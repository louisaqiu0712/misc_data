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ummary" sheetId="2" state="visible" r:id="rId4"/>
    <sheet name="Model" sheetId="3" state="visible" r:id="rId5"/>
    <sheet name="Upsid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<sst xmlns="http://schemas.openxmlformats.org/spreadsheetml/2006/main" count="245" uniqueCount="82">
  <si>
    <t xml:space="preserve">Waters Corporation (WAT) — Post-BD Quarterly Model</t>
  </si>
  <si>
    <t xml:space="preserve">Purpose</t>
  </si>
  <si>
    <t xml:space="preserve">Quarterly revenue model by Waters new 4-division / 10-subsegment structure with full organic/M&amp;A/FX bridge (matching TMO and Agilent model framework). Post-BD Biosciences &amp; Diagnostic Solutions acquisition (closed Feb 9, 2026).</t>
  </si>
  <si>
    <t xml:space="preserve">Division / Subsegment structure</t>
  </si>
  <si>
    <t xml:space="preserve">ASD — Analytical Sciences: Instruments, Service, Chemistry</t>
  </si>
  <si>
    <t xml:space="preserve">WBD — Biosciences (BD-acquired Feb 9, 2026): Flow Research, Flow Clinical</t>
  </si>
  <si>
    <t xml:space="preserve">ADX — Advanced Diagnostics: MSDx (legacy CBU), MDx &amp; PoC (BD-acquired), Microbiology (BD-acquired)</t>
  </si>
  <si>
    <t xml:space="preserve">MSD — Materials Sciences (TA Instruments): Instruments, Service</t>
  </si>
  <si>
    <t xml:space="preserve">Bridge framework (5 rows per subsegment)</t>
  </si>
  <si>
    <t xml:space="preserve">Revenue | Reported Y/Y | Organic | M&amp;A | FX. For Q1-26 BD-acquired subsegs (WBD + ADX-DS), M&amp;A row captures the partial-year ownership impact (Feb 9 close means owned ~50% of Q1-26 — Reported Y/Y vs Q1-25 pro forma full quarter looks negative). Organic and FX use disclosed pro forma underlying growth from Q1-26 deck.</t>
  </si>
  <si>
    <t xml:space="preserve">Color convention</t>
  </si>
  <si>
    <t xml:space="preserve">Black formulas | Blue hardcoded actuals | Red forward assumptions | Green cross-sheet links</t>
  </si>
  <si>
    <t xml:space="preserve">Sources</t>
  </si>
  <si>
    <t xml:space="preserve">Waters Q1 2026 Earnings Presentation; Waters 1Q26 Financial Supplement; Waters Q1 2026 10-Q; Q1 2026 Non-GAAP Recs.</t>
  </si>
  <si>
    <t xml:space="preserve">Waters — Consolidated Summary</t>
  </si>
  <si>
    <t xml:space="preserve">Period</t>
  </si>
  <si>
    <t xml:space="preserve">1Q</t>
  </si>
  <si>
    <t xml:space="preserve">2Q</t>
  </si>
  <si>
    <t xml:space="preserve">3Q</t>
  </si>
  <si>
    <t xml:space="preserve">4Q</t>
  </si>
  <si>
    <t xml:space="preserve">FY</t>
  </si>
  <si>
    <t xml:space="preserve">Fiscal Year (Dec YE)</t>
  </si>
  <si>
    <t xml:space="preserve">Status</t>
  </si>
  <si>
    <t xml:space="preserve">REPORTED</t>
  </si>
  <si>
    <t xml:space="preserve">Reported (blank) or Estimate ("E")</t>
  </si>
  <si>
    <t xml:space="preserve">E</t>
  </si>
  <si>
    <t xml:space="preserve">Fiscal Period</t>
  </si>
  <si>
    <t xml:space="preserve">Period end date</t>
  </si>
  <si>
    <t xml:space="preserve">TOTAL REVENUE</t>
  </si>
  <si>
    <t xml:space="preserve">Total Waters revenue ($M)</t>
  </si>
  <si>
    <t xml:space="preserve">  Reported Y/Y</t>
  </si>
  <si>
    <t xml:space="preserve">  Organic CC</t>
  </si>
  <si>
    <t xml:space="preserve">  M&amp;A / Acquired</t>
  </si>
  <si>
    <t xml:space="preserve">  FX</t>
  </si>
  <si>
    <t xml:space="preserve">BY DIVISION</t>
  </si>
  <si>
    <t xml:space="preserve">Analytical Sciences Division (ASD)</t>
  </si>
  <si>
    <t xml:space="preserve">  Revenue ($M)</t>
  </si>
  <si>
    <t xml:space="preserve">  Organic</t>
  </si>
  <si>
    <t xml:space="preserve">Biosciences Division (WBD)</t>
  </si>
  <si>
    <t xml:space="preserve">Advanced Diagnostics Division (ADX)</t>
  </si>
  <si>
    <t xml:space="preserve">Materials Sciences Division (MSD)</t>
  </si>
  <si>
    <t xml:space="preserve">Waters Quarterly Model — Revenue Bridge by Subsegment ($M)</t>
  </si>
  <si>
    <t xml:space="preserve">TOP-LINE SUMMARY (from bottom of tab)</t>
  </si>
  <si>
    <t xml:space="preserve">Total adj op income ($M)</t>
  </si>
  <si>
    <t xml:space="preserve">  Adj op margin %</t>
  </si>
  <si>
    <t xml:space="preserve">REVENUE BUILD — BY DIVISION / SUBSEGMENT</t>
  </si>
  <si>
    <t xml:space="preserve">10-Q / Deck</t>
  </si>
  <si>
    <t xml:space="preserve">ASD - Instruments</t>
  </si>
  <si>
    <t xml:space="preserve">ASD - Service</t>
  </si>
  <si>
    <t xml:space="preserve">ASD - Chemistry</t>
  </si>
  <si>
    <t xml:space="preserve">Analytical Sciences Division (ASD) — Total</t>
  </si>
  <si>
    <t xml:space="preserve">BD-acquired</t>
  </si>
  <si>
    <t xml:space="preserve">WBD - Flow Research</t>
  </si>
  <si>
    <t xml:space="preserve">WBD - Flow Clinical</t>
  </si>
  <si>
    <t xml:space="preserve">Biosciences Division (WBD) — Total</t>
  </si>
  <si>
    <t xml:space="preserve">ADX - MSDx</t>
  </si>
  <si>
    <t xml:space="preserve">ADX - MDx &amp; PoC</t>
  </si>
  <si>
    <t xml:space="preserve">ADX - Microbiology</t>
  </si>
  <si>
    <t xml:space="preserve">Advanced Diagnostics Division (ADX) — Total</t>
  </si>
  <si>
    <t xml:space="preserve">MSD - Instruments</t>
  </si>
  <si>
    <t xml:space="preserve">MSD - Service</t>
  </si>
  <si>
    <t xml:space="preserve">Materials Sciences Division (MSD) — Total</t>
  </si>
  <si>
    <t xml:space="preserve">TOTAL WATERS REVENUE</t>
  </si>
  <si>
    <t xml:space="preserve">SEGMENT INCOME BUILD (10-Q reportable segments)</t>
  </si>
  <si>
    <t xml:space="preserve">Analytical &amp; Materials Sciences (ASD + MSD)</t>
  </si>
  <si>
    <t xml:space="preserve">  Segment revenue ($M)</t>
  </si>
  <si>
    <t xml:space="preserve">  Adj op income ($M)</t>
  </si>
  <si>
    <t xml:space="preserve">Biosciences (WBD)</t>
  </si>
  <si>
    <t xml:space="preserve">Advanced Diagnostics (ADX)</t>
  </si>
  <si>
    <t xml:space="preserve">TOTAL ADJ OPERATING INCOME</t>
  </si>
  <si>
    <t xml:space="preserve">  Adj op margin % (total)</t>
  </si>
  <si>
    <t xml:space="preserve">Waters Model vs Guidance</t>
  </si>
  <si>
    <t xml:space="preserve">Metric</t>
  </si>
  <si>
    <t xml:space="preserve">FY26 Guide</t>
  </si>
  <si>
    <t xml:space="preserve">FY26 Model</t>
  </si>
  <si>
    <t xml:space="preserve">FY26 Δ</t>
  </si>
  <si>
    <t xml:space="preserve">FY27 Model</t>
  </si>
  <si>
    <t xml:space="preserve">FY28 Model</t>
  </si>
  <si>
    <t xml:space="preserve">Total revenue ($M)</t>
  </si>
  <si>
    <t xml:space="preserve">Organic CC growth %</t>
  </si>
  <si>
    <t xml:space="preserve">Adj op income ($M)</t>
  </si>
  <si>
    <t xml:space="preserve">Adj op margin %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</si>
</sst>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mmm\-yyyy"/>
    <numFmt numFmtId="167" formatCode="#,##0;\(#,##0\);\-"/>
    <numFmt numFmtId="168" formatCode="\+0.0%;\-0.0%;\-"/>
    <numFmt numFmtId="169" formatCode="0.0%;\(0.0%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b val="true"/>
      <sz val="8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8"/>
      <color rgb="FF0000FF"/>
      <name val="Arial"/>
      <family val="0"/>
      <charset val="1"/>
    </font>
    <font>
      <b val="true"/>
      <i val="true"/>
      <sz val="8"/>
      <color rgb="FF1F4E78"/>
      <name val="Arial"/>
      <family val="0"/>
      <charset val="1"/>
    </font>
    <font>
      <sz val="8"/>
      <color rgb="FF0000FF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sz val="8"/>
      <color rgb="FF0080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8"/>
      <color rgb="FFC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1F4E78"/>
      </left>
      <right/>
      <top style="thin">
        <color rgb="FF1F4E78"/>
      </top>
      <bottom style="thin">
        <color rgb="FF1F4E78"/>
      </bottom>
      <diagonal/>
    </border>
    <border diagonalUp="false" diagonalDown="false">
      <left/>
      <right/>
      <top style="thin">
        <color rgb="FF1F4E78"/>
      </top>
      <bottom style="thin">
        <color rgb="FF1F4E78"/>
      </bottom>
      <diagonal/>
    </border>
    <border diagonalUp="false" diagonalDown="false">
      <left/>
      <right style="thin">
        <color rgb="FF1F4E78"/>
      </right>
      <top style="thin">
        <color rgb="FF1F4E78"/>
      </top>
      <bottom style="thin">
        <color rgb="FF1F4E78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30"/>
  </cols>
  <sheetData>
    <row r="2" customFormat="false" ht="1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5" customFormat="false" ht="31.5" hidden="false" customHeight="true" outlineLevel="0" collapsed="false">
      <c r="B5" s="3" t="s">
        <v>2</v>
      </c>
    </row>
    <row r="7" customFormat="false" ht="15" hidden="false" customHeight="false" outlineLevel="0" collapsed="false">
      <c r="B7" s="2" t="s">
        <v>3</v>
      </c>
    </row>
    <row r="8" customFormat="false" ht="15" hidden="false" customHeight="false" outlineLevel="0" collapsed="false">
      <c r="B8" s="4" t="s">
        <v>4</v>
      </c>
    </row>
    <row r="9" customFormat="false" ht="15" hidden="false" customHeight="false" outlineLevel="0" collapsed="false">
      <c r="B9" s="4" t="s">
        <v>5</v>
      </c>
    </row>
    <row r="10" customFormat="false" ht="15" hidden="false" customHeight="false" outlineLevel="0" collapsed="false">
      <c r="B10" s="4" t="s">
        <v>6</v>
      </c>
    </row>
    <row r="11" customFormat="false" ht="15" hidden="false" customHeight="false" outlineLevel="0" collapsed="false">
      <c r="B11" s="4" t="s">
        <v>7</v>
      </c>
    </row>
    <row r="13" customFormat="false" ht="15" hidden="false" customHeight="false" outlineLevel="0" collapsed="false">
      <c r="B13" s="2" t="s">
        <v>8</v>
      </c>
    </row>
    <row r="14" customFormat="false" ht="60" hidden="false" customHeight="true" outlineLevel="0" collapsed="false">
      <c r="B14" s="3" t="s">
        <v>9</v>
      </c>
    </row>
    <row r="16" customFormat="false" ht="15" hidden="false" customHeight="false" outlineLevel="0" collapsed="false">
      <c r="B16" s="2" t="s">
        <v>10</v>
      </c>
    </row>
    <row r="17" customFormat="false" ht="15" hidden="false" customHeight="false" outlineLevel="0" collapsed="false">
      <c r="B17" s="4" t="s">
        <v>11</v>
      </c>
    </row>
    <row r="19" customFormat="false" ht="15" hidden="false" customHeight="false" outlineLevel="0" collapsed="false">
      <c r="B19" s="2" t="s">
        <v>12</v>
      </c>
    </row>
    <row r="20" customFormat="false" ht="15" hidden="false" customHeight="false" outlineLevel="0" collapsed="false">
      <c r="B20" s="4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W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0" topLeftCell="D11" activePane="bottomRight" state="frozen"/>
      <selection pane="topLeft" activeCell="A1" activeCellId="0" sqref="A1"/>
      <selection pane="topRight" activeCell="D1" activeCellId="0" sqref="D1"/>
      <selection pane="bottomLeft" activeCell="A11" activeCellId="0" sqref="A11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"/>
    <col collapsed="false" customWidth="true" hidden="false" outlineLevel="0" max="3" min="3" style="0" width="38"/>
    <col collapsed="false" customWidth="true" hidden="false" outlineLevel="0" max="7" min="4" style="0" width="10"/>
    <col collapsed="false" customWidth="true" hidden="false" outlineLevel="0" max="8" min="8" style="0" width="11"/>
    <col collapsed="false" customWidth="true" hidden="false" outlineLevel="0" max="12" min="9" style="0" width="10"/>
    <col collapsed="false" customWidth="true" hidden="false" outlineLevel="0" max="13" min="13" style="0" width="11"/>
    <col collapsed="false" customWidth="true" hidden="false" outlineLevel="0" max="17" min="14" style="0" width="10"/>
    <col collapsed="false" customWidth="true" hidden="false" outlineLevel="0" max="18" min="18" style="0" width="11"/>
    <col collapsed="false" customWidth="true" hidden="false" outlineLevel="0" max="22" min="19" style="0" width="10"/>
    <col collapsed="false" customWidth="true" hidden="false" outlineLevel="0" max="23" min="23" style="0" width="11"/>
  </cols>
  <sheetData>
    <row r="2" customFormat="false" ht="15" hidden="false" customHeight="false" outlineLevel="0" collapsed="false">
      <c r="B2" s="1" t="s">
        <v>14</v>
      </c>
    </row>
    <row r="4" customFormat="false" ht="15" hidden="false" customHeight="false" outlineLevel="0" collapsed="false">
      <c r="C4" s="2" t="s">
        <v>15</v>
      </c>
      <c r="D4" s="5" t="s">
        <v>16</v>
      </c>
      <c r="E4" s="5" t="s">
        <v>17</v>
      </c>
      <c r="F4" s="5" t="s">
        <v>18</v>
      </c>
      <c r="G4" s="5" t="s">
        <v>19</v>
      </c>
      <c r="H4" s="5" t="s">
        <v>20</v>
      </c>
      <c r="I4" s="5" t="s">
        <v>16</v>
      </c>
      <c r="J4" s="5" t="s">
        <v>17</v>
      </c>
      <c r="K4" s="5" t="s">
        <v>18</v>
      </c>
      <c r="L4" s="5" t="s">
        <v>19</v>
      </c>
      <c r="M4" s="5" t="s">
        <v>20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  <c r="S4" s="5" t="s">
        <v>16</v>
      </c>
      <c r="T4" s="5" t="s">
        <v>17</v>
      </c>
      <c r="U4" s="5" t="s">
        <v>18</v>
      </c>
      <c r="V4" s="5" t="s">
        <v>19</v>
      </c>
      <c r="W4" s="5" t="s">
        <v>20</v>
      </c>
    </row>
    <row r="5" customFormat="false" ht="15" hidden="false" customHeight="false" outlineLevel="0" collapsed="false">
      <c r="C5" s="2" t="s">
        <v>21</v>
      </c>
      <c r="D5" s="6" t="n">
        <v>25</v>
      </c>
      <c r="E5" s="7" t="n">
        <f aca="false">D5</f>
        <v>25</v>
      </c>
      <c r="F5" s="7" t="n">
        <f aca="false">E5</f>
        <v>25</v>
      </c>
      <c r="G5" s="7" t="n">
        <f aca="false">F5</f>
        <v>25</v>
      </c>
      <c r="H5" s="7" t="n">
        <f aca="false">G5</f>
        <v>25</v>
      </c>
      <c r="I5" s="8" t="n">
        <f aca="false">H5+1</f>
        <v>26</v>
      </c>
      <c r="J5" s="7" t="n">
        <f aca="false">I5</f>
        <v>26</v>
      </c>
      <c r="K5" s="7" t="n">
        <f aca="false">J5</f>
        <v>26</v>
      </c>
      <c r="L5" s="7" t="n">
        <f aca="false">K5</f>
        <v>26</v>
      </c>
      <c r="M5" s="7" t="n">
        <f aca="false">L5</f>
        <v>26</v>
      </c>
      <c r="N5" s="8" t="n">
        <f aca="false">M5+1</f>
        <v>27</v>
      </c>
      <c r="O5" s="7" t="n">
        <f aca="false">N5</f>
        <v>27</v>
      </c>
      <c r="P5" s="7" t="n">
        <f aca="false">O5</f>
        <v>27</v>
      </c>
      <c r="Q5" s="7" t="n">
        <f aca="false">P5</f>
        <v>27</v>
      </c>
      <c r="R5" s="7" t="n">
        <f aca="false">Q5</f>
        <v>27</v>
      </c>
      <c r="S5" s="8" t="n">
        <f aca="false">R5+1</f>
        <v>28</v>
      </c>
      <c r="T5" s="7" t="n">
        <f aca="false">S5</f>
        <v>28</v>
      </c>
      <c r="U5" s="7" t="n">
        <f aca="false">T5</f>
        <v>28</v>
      </c>
      <c r="V5" s="7" t="n">
        <f aca="false">U5</f>
        <v>28</v>
      </c>
      <c r="W5" s="7" t="n">
        <f aca="false">V5</f>
        <v>28</v>
      </c>
    </row>
    <row r="7" customFormat="false" ht="15" hidden="false" customHeight="false" outlineLevel="0" collapsed="false">
      <c r="C7" s="2" t="s">
        <v>22</v>
      </c>
      <c r="D7" s="9" t="s">
        <v>23</v>
      </c>
      <c r="E7" s="10"/>
      <c r="F7" s="10"/>
      <c r="G7" s="10"/>
      <c r="H7" s="11"/>
    </row>
    <row r="8" customFormat="false" ht="15" hidden="false" customHeight="false" outlineLevel="0" collapsed="false">
      <c r="C8" s="2" t="s">
        <v>24</v>
      </c>
      <c r="D8" s="12"/>
      <c r="E8" s="12"/>
      <c r="F8" s="12"/>
      <c r="G8" s="12"/>
      <c r="H8" s="12"/>
      <c r="I8" s="12"/>
      <c r="J8" s="12" t="s">
        <v>25</v>
      </c>
      <c r="K8" s="12" t="s">
        <v>25</v>
      </c>
      <c r="L8" s="12" t="s">
        <v>25</v>
      </c>
      <c r="M8" s="12" t="s">
        <v>25</v>
      </c>
      <c r="N8" s="12" t="s">
        <v>25</v>
      </c>
      <c r="O8" s="12" t="s">
        <v>25</v>
      </c>
      <c r="P8" s="12" t="s">
        <v>25</v>
      </c>
      <c r="Q8" s="12" t="s">
        <v>25</v>
      </c>
      <c r="R8" s="12" t="s">
        <v>25</v>
      </c>
      <c r="S8" s="12" t="s">
        <v>25</v>
      </c>
      <c r="T8" s="12" t="s">
        <v>25</v>
      </c>
      <c r="U8" s="12" t="s">
        <v>25</v>
      </c>
      <c r="V8" s="12" t="s">
        <v>25</v>
      </c>
      <c r="W8" s="12" t="s">
        <v>25</v>
      </c>
    </row>
    <row r="9" customFormat="false" ht="15" hidden="false" customHeight="false" outlineLevel="0" collapsed="false">
      <c r="C9" s="2" t="s">
        <v>26</v>
      </c>
      <c r="D9" s="13" t="str">
        <f aca="false">D$4&amp;D5&amp;D8</f>
        <v>1Q25</v>
      </c>
      <c r="E9" s="13" t="str">
        <f aca="false">E$4&amp;E5&amp;E8</f>
        <v>2Q25</v>
      </c>
      <c r="F9" s="13" t="str">
        <f aca="false">F$4&amp;F5&amp;F8</f>
        <v>3Q25</v>
      </c>
      <c r="G9" s="13" t="str">
        <f aca="false">G$4&amp;G5&amp;G8</f>
        <v>4Q25</v>
      </c>
      <c r="H9" s="14" t="str">
        <f aca="false">H$4&amp;H5&amp;H8</f>
        <v>FY25</v>
      </c>
      <c r="I9" s="13" t="str">
        <f aca="false">I$4&amp;I5&amp;I8</f>
        <v>1Q26</v>
      </c>
      <c r="J9" s="13" t="str">
        <f aca="false">J$4&amp;J5&amp;J8</f>
        <v>2Q26E</v>
      </c>
      <c r="K9" s="13" t="str">
        <f aca="false">K$4&amp;K5&amp;K8</f>
        <v>3Q26E</v>
      </c>
      <c r="L9" s="13" t="str">
        <f aca="false">L$4&amp;L5&amp;L8</f>
        <v>4Q26E</v>
      </c>
      <c r="M9" s="14" t="str">
        <f aca="false">M$4&amp;M5&amp;M8</f>
        <v>FY26E</v>
      </c>
      <c r="N9" s="13" t="str">
        <f aca="false">N$4&amp;N5&amp;N8</f>
        <v>1Q27E</v>
      </c>
      <c r="O9" s="13" t="str">
        <f aca="false">O$4&amp;O5&amp;O8</f>
        <v>2Q27E</v>
      </c>
      <c r="P9" s="13" t="str">
        <f aca="false">P$4&amp;P5&amp;P8</f>
        <v>3Q27E</v>
      </c>
      <c r="Q9" s="13" t="str">
        <f aca="false">Q$4&amp;Q5&amp;Q8</f>
        <v>4Q27E</v>
      </c>
      <c r="R9" s="14" t="str">
        <f aca="false">R$4&amp;R5&amp;R8</f>
        <v>FY27E</v>
      </c>
      <c r="S9" s="13" t="str">
        <f aca="false">S$4&amp;S5&amp;S8</f>
        <v>1Q28E</v>
      </c>
      <c r="T9" s="13" t="str">
        <f aca="false">T$4&amp;T5&amp;T8</f>
        <v>2Q28E</v>
      </c>
      <c r="U9" s="13" t="str">
        <f aca="false">U$4&amp;U5&amp;U8</f>
        <v>3Q28E</v>
      </c>
      <c r="V9" s="13" t="str">
        <f aca="false">V$4&amp;V5&amp;V8</f>
        <v>4Q28E</v>
      </c>
      <c r="W9" s="14" t="str">
        <f aca="false">W$4&amp;W5&amp;W8</f>
        <v>FY28E</v>
      </c>
    </row>
    <row r="10" customFormat="false" ht="15" hidden="false" customHeight="false" outlineLevel="0" collapsed="false">
      <c r="C10" s="2" t="s">
        <v>27</v>
      </c>
      <c r="D10" s="15" t="n">
        <v>45745</v>
      </c>
      <c r="E10" s="15" t="n">
        <v>45836</v>
      </c>
      <c r="F10" s="15" t="n">
        <v>45927</v>
      </c>
      <c r="G10" s="15" t="n">
        <v>46022</v>
      </c>
      <c r="H10" s="16" t="n">
        <v>46022</v>
      </c>
      <c r="I10" s="15" t="n">
        <v>46116</v>
      </c>
      <c r="J10" s="15" t="n">
        <v>46207</v>
      </c>
      <c r="K10" s="15" t="n">
        <v>46298</v>
      </c>
      <c r="L10" s="15" t="n">
        <v>46387</v>
      </c>
      <c r="M10" s="16" t="n">
        <v>46387</v>
      </c>
      <c r="N10" s="15" t="n">
        <v>46480</v>
      </c>
      <c r="O10" s="15" t="n">
        <v>46571</v>
      </c>
      <c r="P10" s="15" t="n">
        <v>46662</v>
      </c>
      <c r="Q10" s="15" t="n">
        <v>46752</v>
      </c>
      <c r="R10" s="16" t="n">
        <v>46752</v>
      </c>
      <c r="S10" s="15" t="n">
        <v>46844</v>
      </c>
      <c r="T10" s="15" t="n">
        <v>46935</v>
      </c>
      <c r="U10" s="15" t="n">
        <v>47026</v>
      </c>
      <c r="V10" s="15" t="n">
        <v>47117</v>
      </c>
      <c r="W10" s="16" t="n">
        <v>47117</v>
      </c>
    </row>
    <row r="11" customFormat="false" ht="15" hidden="false" customHeight="false" outlineLevel="0" collapsed="false">
      <c r="B11" s="17" t="s">
        <v>28</v>
      </c>
      <c r="C11" s="18"/>
      <c r="D11" s="18"/>
      <c r="E11" s="18"/>
      <c r="F11" s="18"/>
      <c r="G11" s="18"/>
      <c r="H11" s="19"/>
      <c r="I11" s="18"/>
      <c r="J11" s="18"/>
      <c r="K11" s="18"/>
      <c r="L11" s="18"/>
      <c r="M11" s="19"/>
      <c r="N11" s="18"/>
      <c r="O11" s="18"/>
      <c r="P11" s="18"/>
      <c r="Q11" s="18"/>
      <c r="R11" s="19"/>
      <c r="S11" s="18"/>
      <c r="T11" s="18"/>
      <c r="U11" s="18"/>
      <c r="V11" s="18"/>
      <c r="W11" s="19"/>
    </row>
    <row r="12" customFormat="false" ht="15" hidden="false" customHeight="false" outlineLevel="0" collapsed="false">
      <c r="C12" s="2" t="s">
        <v>29</v>
      </c>
      <c r="D12" s="20" t="n">
        <f aca="false">Model!D102</f>
        <v>1455</v>
      </c>
      <c r="E12" s="20" t="n">
        <f aca="false">Model!E102</f>
        <v>1553</v>
      </c>
      <c r="F12" s="20" t="n">
        <f aca="false">Model!F102</f>
        <v>1686</v>
      </c>
      <c r="G12" s="20" t="n">
        <f aca="false">Model!G102</f>
        <v>1699</v>
      </c>
      <c r="H12" s="21" t="n">
        <f aca="false">Model!H102</f>
        <v>6393</v>
      </c>
      <c r="I12" s="20" t="n">
        <f aca="false">Model!I102</f>
        <v>1267</v>
      </c>
      <c r="J12" s="20" t="n">
        <f aca="false">Model!J102</f>
        <v>1646.18</v>
      </c>
      <c r="K12" s="20" t="n">
        <f aca="false">Model!K102</f>
        <v>1787.16</v>
      </c>
      <c r="L12" s="20" t="n">
        <f aca="false">Model!L102</f>
        <v>1800.94</v>
      </c>
      <c r="M12" s="21" t="n">
        <f aca="false">Model!M102</f>
        <v>6501.28</v>
      </c>
      <c r="N12" s="20" t="n">
        <f aca="false">Model!N102</f>
        <v>1603.02</v>
      </c>
      <c r="O12" s="20" t="n">
        <f aca="false">Model!O102</f>
        <v>1744.9508</v>
      </c>
      <c r="P12" s="20" t="n">
        <f aca="false">Model!P102</f>
        <v>1894.3896</v>
      </c>
      <c r="Q12" s="20" t="n">
        <f aca="false">Model!Q102</f>
        <v>1908.9964</v>
      </c>
      <c r="R12" s="21" t="n">
        <f aca="false">Model!R102</f>
        <v>7151.3568</v>
      </c>
      <c r="S12" s="20" t="n">
        <f aca="false">Model!S102</f>
        <v>1699.2012</v>
      </c>
      <c r="T12" s="20" t="n">
        <f aca="false">Model!T102</f>
        <v>1849.647848</v>
      </c>
      <c r="U12" s="20" t="n">
        <f aca="false">Model!U102</f>
        <v>2008.052976</v>
      </c>
      <c r="V12" s="20" t="n">
        <f aca="false">Model!V102</f>
        <v>2023.536184</v>
      </c>
      <c r="W12" s="21" t="n">
        <f aca="false">Model!W102</f>
        <v>7580.438208</v>
      </c>
    </row>
    <row r="13" customFormat="false" ht="15" hidden="false" customHeight="false" outlineLevel="0" collapsed="false">
      <c r="C13" s="22" t="s">
        <v>30</v>
      </c>
      <c r="D13" s="23" t="n">
        <f aca="false">Model!D103</f>
        <v>0</v>
      </c>
      <c r="E13" s="23" t="n">
        <f aca="false">Model!E103</f>
        <v>0</v>
      </c>
      <c r="F13" s="23" t="n">
        <f aca="false">Model!F103</f>
        <v>0</v>
      </c>
      <c r="G13" s="23" t="n">
        <f aca="false">Model!G103</f>
        <v>0</v>
      </c>
      <c r="H13" s="24" t="n">
        <f aca="false">Model!H103</f>
        <v>0</v>
      </c>
      <c r="I13" s="23" t="n">
        <f aca="false">Model!I103</f>
        <v>-0.129209621993127</v>
      </c>
      <c r="J13" s="23" t="n">
        <f aca="false">Model!J103</f>
        <v>0.0600000000000001</v>
      </c>
      <c r="K13" s="23" t="n">
        <f aca="false">Model!K103</f>
        <v>0.0600000000000001</v>
      </c>
      <c r="L13" s="23" t="n">
        <f aca="false">Model!L103</f>
        <v>0.0600000000000001</v>
      </c>
      <c r="M13" s="24" t="n">
        <f aca="false">Model!M103</f>
        <v>0.0169372751446895</v>
      </c>
      <c r="N13" s="23" t="n">
        <f aca="false">Model!N103</f>
        <v>0.265209155485399</v>
      </c>
      <c r="O13" s="23" t="n">
        <f aca="false">Model!O103</f>
        <v>0.0600000000000001</v>
      </c>
      <c r="P13" s="23" t="n">
        <f aca="false">Model!P103</f>
        <v>0.0600000000000003</v>
      </c>
      <c r="Q13" s="23" t="n">
        <f aca="false">Model!Q103</f>
        <v>0.0600000000000001</v>
      </c>
      <c r="R13" s="24" t="n">
        <f aca="false">Model!R103</f>
        <v>0.099992124627766</v>
      </c>
      <c r="S13" s="23" t="n">
        <f aca="false">Model!S103</f>
        <v>0.0600000000000001</v>
      </c>
      <c r="T13" s="23" t="n">
        <f aca="false">Model!T103</f>
        <v>0.0600000000000001</v>
      </c>
      <c r="U13" s="23" t="n">
        <f aca="false">Model!U103</f>
        <v>0.0600000000000001</v>
      </c>
      <c r="V13" s="23" t="n">
        <f aca="false">Model!V103</f>
        <v>0.0600000000000001</v>
      </c>
      <c r="W13" s="24" t="n">
        <f aca="false">Model!W103</f>
        <v>0.0599999999999998</v>
      </c>
    </row>
    <row r="14" customFormat="false" ht="15" hidden="false" customHeight="false" outlineLevel="0" collapsed="false">
      <c r="C14" s="22" t="s">
        <v>31</v>
      </c>
      <c r="D14" s="23" t="n">
        <f aca="false">Model!D104</f>
        <v>0</v>
      </c>
      <c r="E14" s="23" t="n">
        <f aca="false">Model!E104</f>
        <v>0</v>
      </c>
      <c r="F14" s="23" t="n">
        <f aca="false">Model!F104</f>
        <v>0</v>
      </c>
      <c r="G14" s="23" t="n">
        <f aca="false">Model!G104</f>
        <v>0</v>
      </c>
      <c r="H14" s="24" t="n">
        <f aca="false">Model!H104</f>
        <v>0</v>
      </c>
      <c r="I14" s="23" t="n">
        <f aca="false">Model!I104</f>
        <v>0.0893539518900344</v>
      </c>
      <c r="J14" s="23" t="n">
        <f aca="false">Model!J104</f>
        <v>0.06</v>
      </c>
      <c r="K14" s="23" t="n">
        <f aca="false">Model!K104</f>
        <v>0.06</v>
      </c>
      <c r="L14" s="23" t="n">
        <f aca="false">Model!L104</f>
        <v>0.06</v>
      </c>
      <c r="M14" s="24" t="n">
        <f aca="false">Model!M104</f>
        <v>0.0666807445643673</v>
      </c>
      <c r="N14" s="23" t="n">
        <f aca="false">Model!N104</f>
        <v>0.06</v>
      </c>
      <c r="O14" s="23" t="n">
        <f aca="false">Model!O104</f>
        <v>0.06</v>
      </c>
      <c r="P14" s="23" t="n">
        <f aca="false">Model!P104</f>
        <v>0.06</v>
      </c>
      <c r="Q14" s="23" t="n">
        <f aca="false">Model!Q104</f>
        <v>0.06</v>
      </c>
      <c r="R14" s="24" t="n">
        <f aca="false">Model!R104</f>
        <v>0.06</v>
      </c>
      <c r="S14" s="23" t="n">
        <f aca="false">Model!S104</f>
        <v>0.06</v>
      </c>
      <c r="T14" s="23" t="n">
        <f aca="false">Model!T104</f>
        <v>0.06</v>
      </c>
      <c r="U14" s="23" t="n">
        <f aca="false">Model!U104</f>
        <v>0.06</v>
      </c>
      <c r="V14" s="23" t="n">
        <f aca="false">Model!V104</f>
        <v>0.06</v>
      </c>
      <c r="W14" s="24" t="n">
        <f aca="false">Model!W104</f>
        <v>0.06</v>
      </c>
    </row>
    <row r="15" customFormat="false" ht="15" hidden="false" customHeight="false" outlineLevel="0" collapsed="false">
      <c r="C15" s="22" t="s">
        <v>32</v>
      </c>
      <c r="D15" s="23" t="n">
        <f aca="false">Model!D105</f>
        <v>0</v>
      </c>
      <c r="E15" s="23" t="n">
        <f aca="false">Model!E105</f>
        <v>0</v>
      </c>
      <c r="F15" s="23" t="n">
        <f aca="false">Model!F105</f>
        <v>0</v>
      </c>
      <c r="G15" s="23" t="n">
        <f aca="false">Model!G105</f>
        <v>0</v>
      </c>
      <c r="H15" s="24" t="n">
        <f aca="false">Model!H105</f>
        <v>0</v>
      </c>
      <c r="I15" s="23" t="n">
        <f aca="false">Model!I105</f>
        <v>-0.239099656357388</v>
      </c>
      <c r="J15" s="23" t="n">
        <f aca="false">Model!J105</f>
        <v>0</v>
      </c>
      <c r="K15" s="23" t="n">
        <f aca="false">Model!K105</f>
        <v>0</v>
      </c>
      <c r="L15" s="23" t="n">
        <f aca="false">Model!L105</f>
        <v>0</v>
      </c>
      <c r="M15" s="24" t="n">
        <f aca="false">Model!M105</f>
        <v>-0.0544173314562803</v>
      </c>
      <c r="N15" s="23" t="n">
        <f aca="false">Model!N105</f>
        <v>0.205209155485399</v>
      </c>
      <c r="O15" s="23" t="n">
        <f aca="false">Model!O105</f>
        <v>0</v>
      </c>
      <c r="P15" s="23" t="n">
        <f aca="false">Model!P105</f>
        <v>0</v>
      </c>
      <c r="Q15" s="23" t="n">
        <f aca="false">Model!Q105</f>
        <v>0</v>
      </c>
      <c r="R15" s="24" t="n">
        <f aca="false">Model!R105</f>
        <v>0.0399921246277656</v>
      </c>
      <c r="S15" s="23" t="n">
        <f aca="false">Model!S105</f>
        <v>0</v>
      </c>
      <c r="T15" s="23" t="n">
        <f aca="false">Model!T105</f>
        <v>0</v>
      </c>
      <c r="U15" s="23" t="n">
        <f aca="false">Model!U105</f>
        <v>0</v>
      </c>
      <c r="V15" s="23" t="n">
        <f aca="false">Model!V105</f>
        <v>0</v>
      </c>
      <c r="W15" s="24" t="n">
        <f aca="false">Model!W105</f>
        <v>0</v>
      </c>
    </row>
    <row r="16" customFormat="false" ht="15" hidden="false" customHeight="false" outlineLevel="0" collapsed="false">
      <c r="C16" s="22" t="s">
        <v>33</v>
      </c>
      <c r="D16" s="23" t="n">
        <f aca="false">Model!D106</f>
        <v>0</v>
      </c>
      <c r="E16" s="23" t="n">
        <f aca="false">Model!E106</f>
        <v>0</v>
      </c>
      <c r="F16" s="23" t="n">
        <f aca="false">Model!F106</f>
        <v>0</v>
      </c>
      <c r="G16" s="23" t="n">
        <f aca="false">Model!G106</f>
        <v>0</v>
      </c>
      <c r="H16" s="24" t="n">
        <f aca="false">Model!H106</f>
        <v>0</v>
      </c>
      <c r="I16" s="23" t="n">
        <f aca="false">Model!I106</f>
        <v>0.0205360824742268</v>
      </c>
      <c r="J16" s="23" t="n">
        <f aca="false">Model!J106</f>
        <v>0</v>
      </c>
      <c r="K16" s="23" t="n">
        <f aca="false">Model!K106</f>
        <v>0</v>
      </c>
      <c r="L16" s="23" t="n">
        <f aca="false">Model!L106</f>
        <v>0</v>
      </c>
      <c r="M16" s="24" t="n">
        <f aca="false">Model!M106</f>
        <v>0.00467386203660253</v>
      </c>
      <c r="N16" s="23" t="n">
        <f aca="false">Model!N106</f>
        <v>0</v>
      </c>
      <c r="O16" s="23" t="n">
        <f aca="false">Model!O106</f>
        <v>0</v>
      </c>
      <c r="P16" s="23" t="n">
        <f aca="false">Model!P106</f>
        <v>0</v>
      </c>
      <c r="Q16" s="23" t="n">
        <f aca="false">Model!Q106</f>
        <v>0</v>
      </c>
      <c r="R16" s="24" t="n">
        <f aca="false">Model!R106</f>
        <v>0</v>
      </c>
      <c r="S16" s="23" t="n">
        <f aca="false">Model!S106</f>
        <v>0</v>
      </c>
      <c r="T16" s="23" t="n">
        <f aca="false">Model!T106</f>
        <v>0</v>
      </c>
      <c r="U16" s="23" t="n">
        <f aca="false">Model!U106</f>
        <v>0</v>
      </c>
      <c r="V16" s="23" t="n">
        <f aca="false">Model!V106</f>
        <v>0</v>
      </c>
      <c r="W16" s="24" t="n">
        <f aca="false">Model!W106</f>
        <v>0</v>
      </c>
    </row>
    <row r="17" customFormat="false" ht="15" hidden="false" customHeight="false" outlineLevel="0" collapsed="false">
      <c r="H17" s="25"/>
      <c r="M17" s="25"/>
      <c r="R17" s="25"/>
      <c r="W17" s="25"/>
    </row>
    <row r="18" customFormat="false" ht="15" hidden="false" customHeight="false" outlineLevel="0" collapsed="false">
      <c r="B18" s="17" t="s">
        <v>34</v>
      </c>
      <c r="C18" s="18"/>
      <c r="D18" s="18"/>
      <c r="E18" s="18"/>
      <c r="F18" s="18"/>
      <c r="G18" s="18"/>
      <c r="H18" s="19"/>
      <c r="I18" s="18"/>
      <c r="J18" s="18"/>
      <c r="K18" s="18"/>
      <c r="L18" s="18"/>
      <c r="M18" s="19"/>
      <c r="N18" s="18"/>
      <c r="O18" s="18"/>
      <c r="P18" s="18"/>
      <c r="Q18" s="18"/>
      <c r="R18" s="19"/>
      <c r="S18" s="18"/>
      <c r="T18" s="18"/>
      <c r="U18" s="18"/>
      <c r="V18" s="18"/>
      <c r="W18" s="19"/>
    </row>
    <row r="19" customFormat="false" ht="15" hidden="false" customHeight="false" outlineLevel="0" collapsed="false">
      <c r="C19" s="26" t="s">
        <v>35</v>
      </c>
      <c r="D19" s="27"/>
      <c r="E19" s="27"/>
      <c r="F19" s="27"/>
      <c r="G19" s="27"/>
      <c r="H19" s="28"/>
      <c r="I19" s="27"/>
      <c r="J19" s="27"/>
      <c r="K19" s="27"/>
      <c r="L19" s="27"/>
      <c r="M19" s="28"/>
      <c r="N19" s="27"/>
      <c r="O19" s="27"/>
      <c r="P19" s="27"/>
      <c r="Q19" s="27"/>
      <c r="R19" s="28"/>
      <c r="S19" s="27"/>
      <c r="T19" s="27"/>
      <c r="U19" s="27"/>
      <c r="V19" s="27"/>
      <c r="W19" s="28"/>
    </row>
    <row r="20" customFormat="false" ht="15" hidden="false" customHeight="false" outlineLevel="0" collapsed="false">
      <c r="C20" s="4" t="s">
        <v>36</v>
      </c>
      <c r="D20" s="20" t="n">
        <f aca="false">Model!D40</f>
        <v>534</v>
      </c>
      <c r="E20" s="20" t="n">
        <f aca="false">Model!E40</f>
        <v>625</v>
      </c>
      <c r="F20" s="20" t="n">
        <f aca="false">Model!F40</f>
        <v>650</v>
      </c>
      <c r="G20" s="20" t="n">
        <f aca="false">Model!G40</f>
        <v>732</v>
      </c>
      <c r="H20" s="21" t="n">
        <f aca="false">Model!H40</f>
        <v>2541</v>
      </c>
      <c r="I20" s="20" t="n">
        <f aca="false">Model!I40</f>
        <v>607</v>
      </c>
      <c r="J20" s="20" t="n">
        <f aca="false">Model!J40</f>
        <v>662.5</v>
      </c>
      <c r="K20" s="20" t="n">
        <f aca="false">Model!K40</f>
        <v>689</v>
      </c>
      <c r="L20" s="20" t="n">
        <f aca="false">Model!L40</f>
        <v>775.92</v>
      </c>
      <c r="M20" s="21" t="n">
        <f aca="false">Model!M40</f>
        <v>2734.42</v>
      </c>
      <c r="N20" s="20" t="n">
        <f aca="false">Model!N40</f>
        <v>643.42</v>
      </c>
      <c r="O20" s="20" t="n">
        <f aca="false">Model!O40</f>
        <v>702.25</v>
      </c>
      <c r="P20" s="20" t="n">
        <f aca="false">Model!P40</f>
        <v>730.34</v>
      </c>
      <c r="Q20" s="20" t="n">
        <f aca="false">Model!Q40</f>
        <v>822.4752</v>
      </c>
      <c r="R20" s="21" t="n">
        <f aca="false">Model!R40</f>
        <v>2898.4852</v>
      </c>
      <c r="S20" s="20" t="n">
        <f aca="false">Model!S40</f>
        <v>682.0252</v>
      </c>
      <c r="T20" s="20" t="n">
        <f aca="false">Model!T40</f>
        <v>744.385</v>
      </c>
      <c r="U20" s="20" t="n">
        <f aca="false">Model!U40</f>
        <v>774.1604</v>
      </c>
      <c r="V20" s="20" t="n">
        <f aca="false">Model!V40</f>
        <v>871.823712</v>
      </c>
      <c r="W20" s="21" t="n">
        <f aca="false">Model!W40</f>
        <v>3072.394312</v>
      </c>
    </row>
    <row r="21" customFormat="false" ht="15" hidden="false" customHeight="false" outlineLevel="0" collapsed="false">
      <c r="C21" s="22" t="s">
        <v>30</v>
      </c>
      <c r="D21" s="23" t="n">
        <f aca="false">Model!D41</f>
        <v>0</v>
      </c>
      <c r="E21" s="23" t="n">
        <f aca="false">Model!E41</f>
        <v>0</v>
      </c>
      <c r="F21" s="23" t="n">
        <f aca="false">Model!F41</f>
        <v>0</v>
      </c>
      <c r="G21" s="23" t="n">
        <f aca="false">Model!G41</f>
        <v>0</v>
      </c>
      <c r="H21" s="24" t="n">
        <f aca="false">Model!H41</f>
        <v>0</v>
      </c>
      <c r="I21" s="23" t="n">
        <f aca="false">Model!I41</f>
        <v>0.136704119850187</v>
      </c>
      <c r="J21" s="23" t="n">
        <f aca="false">Model!J41</f>
        <v>0.0600000000000001</v>
      </c>
      <c r="K21" s="23" t="n">
        <f aca="false">Model!K41</f>
        <v>0.0600000000000001</v>
      </c>
      <c r="L21" s="23" t="n">
        <f aca="false">Model!L41</f>
        <v>0.0600000000000001</v>
      </c>
      <c r="M21" s="24" t="n">
        <f aca="false">Model!M41</f>
        <v>0.0761196379378197</v>
      </c>
      <c r="N21" s="23" t="n">
        <f aca="false">Model!N41</f>
        <v>0.0600000000000001</v>
      </c>
      <c r="O21" s="23" t="n">
        <f aca="false">Model!O41</f>
        <v>0.0600000000000001</v>
      </c>
      <c r="P21" s="23" t="n">
        <f aca="false">Model!P41</f>
        <v>0.0600000000000001</v>
      </c>
      <c r="Q21" s="23" t="n">
        <f aca="false">Model!Q41</f>
        <v>0.0600000000000001</v>
      </c>
      <c r="R21" s="24" t="n">
        <f aca="false">Model!R41</f>
        <v>0.0600000000000001</v>
      </c>
      <c r="S21" s="23" t="n">
        <f aca="false">Model!S41</f>
        <v>0.0600000000000001</v>
      </c>
      <c r="T21" s="23" t="n">
        <f aca="false">Model!T41</f>
        <v>0.0600000000000001</v>
      </c>
      <c r="U21" s="23" t="n">
        <f aca="false">Model!U41</f>
        <v>0.0600000000000003</v>
      </c>
      <c r="V21" s="23" t="n">
        <f aca="false">Model!V41</f>
        <v>0.0600000000000001</v>
      </c>
      <c r="W21" s="24" t="n">
        <f aca="false">Model!W41</f>
        <v>0.0600000000000001</v>
      </c>
    </row>
    <row r="22" customFormat="false" ht="15" hidden="false" customHeight="false" outlineLevel="0" collapsed="false">
      <c r="C22" s="22" t="s">
        <v>37</v>
      </c>
      <c r="D22" s="23" t="n">
        <f aca="false">Model!D42</f>
        <v>0</v>
      </c>
      <c r="E22" s="23" t="n">
        <f aca="false">Model!E42</f>
        <v>0</v>
      </c>
      <c r="F22" s="23" t="n">
        <f aca="false">Model!F42</f>
        <v>0</v>
      </c>
      <c r="G22" s="23" t="n">
        <f aca="false">Model!G42</f>
        <v>0</v>
      </c>
      <c r="H22" s="24" t="n">
        <f aca="false">Model!H42</f>
        <v>0</v>
      </c>
      <c r="I22" s="23" t="n">
        <f aca="false">Model!I42</f>
        <v>0.115880149812734</v>
      </c>
      <c r="J22" s="23" t="n">
        <f aca="false">Model!J42</f>
        <v>0.06</v>
      </c>
      <c r="K22" s="23" t="n">
        <f aca="false">Model!K42</f>
        <v>0.06</v>
      </c>
      <c r="L22" s="23" t="n">
        <f aca="false">Model!L42</f>
        <v>0.06</v>
      </c>
      <c r="M22" s="24" t="n">
        <f aca="false">Model!M42</f>
        <v>0.0717434081070445</v>
      </c>
      <c r="N22" s="23" t="n">
        <f aca="false">Model!N42</f>
        <v>0.06</v>
      </c>
      <c r="O22" s="23" t="n">
        <f aca="false">Model!O42</f>
        <v>0.06</v>
      </c>
      <c r="P22" s="23" t="n">
        <f aca="false">Model!P42</f>
        <v>0.06</v>
      </c>
      <c r="Q22" s="23" t="n">
        <f aca="false">Model!Q42</f>
        <v>0.06</v>
      </c>
      <c r="R22" s="24" t="n">
        <f aca="false">Model!R42</f>
        <v>0.06</v>
      </c>
      <c r="S22" s="23" t="n">
        <f aca="false">Model!S42</f>
        <v>0.06</v>
      </c>
      <c r="T22" s="23" t="n">
        <f aca="false">Model!T42</f>
        <v>0.06</v>
      </c>
      <c r="U22" s="23" t="n">
        <f aca="false">Model!U42</f>
        <v>0.06</v>
      </c>
      <c r="V22" s="23" t="n">
        <f aca="false">Model!V42</f>
        <v>0.06</v>
      </c>
      <c r="W22" s="24" t="n">
        <f aca="false">Model!W42</f>
        <v>0.06</v>
      </c>
    </row>
    <row r="23" customFormat="false" ht="15" hidden="false" customHeight="false" outlineLevel="0" collapsed="false">
      <c r="H23" s="25"/>
      <c r="M23" s="25"/>
      <c r="R23" s="25"/>
      <c r="W23" s="25"/>
    </row>
    <row r="24" customFormat="false" ht="15" hidden="false" customHeight="false" outlineLevel="0" collapsed="false">
      <c r="C24" s="26" t="s">
        <v>38</v>
      </c>
      <c r="D24" s="27"/>
      <c r="E24" s="27"/>
      <c r="F24" s="27"/>
      <c r="G24" s="27"/>
      <c r="H24" s="28"/>
      <c r="I24" s="27"/>
      <c r="J24" s="27"/>
      <c r="K24" s="27"/>
      <c r="L24" s="27"/>
      <c r="M24" s="28"/>
      <c r="N24" s="27"/>
      <c r="O24" s="27"/>
      <c r="P24" s="27"/>
      <c r="Q24" s="27"/>
      <c r="R24" s="28"/>
      <c r="S24" s="27"/>
      <c r="T24" s="27"/>
      <c r="U24" s="27"/>
      <c r="V24" s="27"/>
      <c r="W24" s="28"/>
    </row>
    <row r="25" customFormat="false" ht="15" hidden="false" customHeight="false" outlineLevel="0" collapsed="false">
      <c r="C25" s="4" t="s">
        <v>36</v>
      </c>
      <c r="D25" s="20" t="n">
        <f aca="false">Model!D57</f>
        <v>352</v>
      </c>
      <c r="E25" s="20" t="n">
        <f aca="false">Model!E57</f>
        <v>358</v>
      </c>
      <c r="F25" s="20" t="n">
        <f aca="false">Model!F57</f>
        <v>387</v>
      </c>
      <c r="G25" s="20" t="n">
        <f aca="false">Model!G57</f>
        <v>327</v>
      </c>
      <c r="H25" s="21" t="n">
        <f aca="false">Model!H57</f>
        <v>1424</v>
      </c>
      <c r="I25" s="20" t="n">
        <f aca="false">Model!I57</f>
        <v>233</v>
      </c>
      <c r="J25" s="20" t="n">
        <f aca="false">Model!J57</f>
        <v>379.48</v>
      </c>
      <c r="K25" s="20" t="n">
        <f aca="false">Model!K57</f>
        <v>410.22</v>
      </c>
      <c r="L25" s="20" t="n">
        <f aca="false">Model!L57</f>
        <v>346.62</v>
      </c>
      <c r="M25" s="21" t="n">
        <f aca="false">Model!M57</f>
        <v>1369.32</v>
      </c>
      <c r="N25" s="20" t="n">
        <f aca="false">Model!N57</f>
        <v>363.48</v>
      </c>
      <c r="O25" s="20" t="n">
        <f aca="false">Model!O57</f>
        <v>402.2488</v>
      </c>
      <c r="P25" s="20" t="n">
        <f aca="false">Model!P57</f>
        <v>434.8332</v>
      </c>
      <c r="Q25" s="20" t="n">
        <f aca="false">Model!Q57</f>
        <v>367.4172</v>
      </c>
      <c r="R25" s="21" t="n">
        <f aca="false">Model!R57</f>
        <v>1567.9792</v>
      </c>
      <c r="S25" s="20" t="n">
        <f aca="false">Model!S57</f>
        <v>385.2888</v>
      </c>
      <c r="T25" s="20" t="n">
        <f aca="false">Model!T57</f>
        <v>426.383728</v>
      </c>
      <c r="U25" s="20" t="n">
        <f aca="false">Model!U57</f>
        <v>460.923192</v>
      </c>
      <c r="V25" s="20" t="n">
        <f aca="false">Model!V57</f>
        <v>389.462232</v>
      </c>
      <c r="W25" s="21" t="n">
        <f aca="false">Model!W57</f>
        <v>1662.057952</v>
      </c>
    </row>
    <row r="26" customFormat="false" ht="15" hidden="false" customHeight="false" outlineLevel="0" collapsed="false">
      <c r="C26" s="22" t="s">
        <v>30</v>
      </c>
      <c r="D26" s="23" t="n">
        <f aca="false">Model!D58</f>
        <v>0</v>
      </c>
      <c r="E26" s="23" t="n">
        <f aca="false">Model!E58</f>
        <v>0</v>
      </c>
      <c r="F26" s="23" t="n">
        <f aca="false">Model!F58</f>
        <v>0</v>
      </c>
      <c r="G26" s="23" t="n">
        <f aca="false">Model!G58</f>
        <v>0</v>
      </c>
      <c r="H26" s="24" t="n">
        <f aca="false">Model!H58</f>
        <v>0</v>
      </c>
      <c r="I26" s="23" t="n">
        <f aca="false">Model!I58</f>
        <v>-0.338068181818182</v>
      </c>
      <c r="J26" s="23" t="n">
        <f aca="false">Model!J58</f>
        <v>0.0600000000000001</v>
      </c>
      <c r="K26" s="23" t="n">
        <f aca="false">Model!K58</f>
        <v>0.0600000000000001</v>
      </c>
      <c r="L26" s="23" t="n">
        <f aca="false">Model!L58</f>
        <v>0.0600000000000001</v>
      </c>
      <c r="M26" s="24" t="n">
        <f aca="false">Model!M58</f>
        <v>-0.0383988764044942</v>
      </c>
      <c r="N26" s="23" t="n">
        <f aca="false">Model!N58</f>
        <v>0.56</v>
      </c>
      <c r="O26" s="23" t="n">
        <f aca="false">Model!O58</f>
        <v>0.0600000000000001</v>
      </c>
      <c r="P26" s="23" t="n">
        <f aca="false">Model!P58</f>
        <v>0.0600000000000001</v>
      </c>
      <c r="Q26" s="23" t="n">
        <f aca="false">Model!Q58</f>
        <v>0.0600000000000003</v>
      </c>
      <c r="R26" s="24" t="n">
        <f aca="false">Model!R58</f>
        <v>0.145078725206672</v>
      </c>
      <c r="S26" s="23" t="n">
        <f aca="false">Model!S58</f>
        <v>0.0600000000000001</v>
      </c>
      <c r="T26" s="23" t="n">
        <f aca="false">Model!T58</f>
        <v>0.0600000000000001</v>
      </c>
      <c r="U26" s="23" t="n">
        <f aca="false">Model!U58</f>
        <v>0.0600000000000001</v>
      </c>
      <c r="V26" s="23" t="n">
        <f aca="false">Model!V58</f>
        <v>0.0600000000000001</v>
      </c>
      <c r="W26" s="24" t="n">
        <f aca="false">Model!W58</f>
        <v>0.0599999999999998</v>
      </c>
    </row>
    <row r="27" customFormat="false" ht="15" hidden="false" customHeight="false" outlineLevel="0" collapsed="false">
      <c r="C27" s="22" t="s">
        <v>37</v>
      </c>
      <c r="D27" s="23" t="n">
        <f aca="false">Model!D59</f>
        <v>0</v>
      </c>
      <c r="E27" s="23" t="n">
        <f aca="false">Model!E59</f>
        <v>0</v>
      </c>
      <c r="F27" s="23" t="n">
        <f aca="false">Model!F59</f>
        <v>0</v>
      </c>
      <c r="G27" s="23" t="n">
        <f aca="false">Model!G59</f>
        <v>0</v>
      </c>
      <c r="H27" s="24" t="n">
        <f aca="false">Model!H59</f>
        <v>0</v>
      </c>
      <c r="I27" s="23" t="n">
        <f aca="false">Model!I59</f>
        <v>0.07</v>
      </c>
      <c r="J27" s="23" t="n">
        <f aca="false">Model!J59</f>
        <v>0.06</v>
      </c>
      <c r="K27" s="23" t="n">
        <f aca="false">Model!K59</f>
        <v>0.06</v>
      </c>
      <c r="L27" s="23" t="n">
        <f aca="false">Model!L59</f>
        <v>0.06</v>
      </c>
      <c r="M27" s="24" t="n">
        <f aca="false">Model!M59</f>
        <v>0.0624719101123596</v>
      </c>
      <c r="N27" s="23" t="n">
        <f aca="false">Model!N59</f>
        <v>0.06</v>
      </c>
      <c r="O27" s="23" t="n">
        <f aca="false">Model!O59</f>
        <v>0.06</v>
      </c>
      <c r="P27" s="23" t="n">
        <f aca="false">Model!P59</f>
        <v>0.06</v>
      </c>
      <c r="Q27" s="23" t="n">
        <f aca="false">Model!Q59</f>
        <v>0.06</v>
      </c>
      <c r="R27" s="24" t="n">
        <f aca="false">Model!R59</f>
        <v>0.06</v>
      </c>
      <c r="S27" s="23" t="n">
        <f aca="false">Model!S59</f>
        <v>0.06</v>
      </c>
      <c r="T27" s="23" t="n">
        <f aca="false">Model!T59</f>
        <v>0.06</v>
      </c>
      <c r="U27" s="23" t="n">
        <f aca="false">Model!U59</f>
        <v>0.06</v>
      </c>
      <c r="V27" s="23" t="n">
        <f aca="false">Model!V59</f>
        <v>0.06</v>
      </c>
      <c r="W27" s="24" t="n">
        <f aca="false">Model!W59</f>
        <v>0.06</v>
      </c>
    </row>
    <row r="28" customFormat="false" ht="15" hidden="false" customHeight="false" outlineLevel="0" collapsed="false">
      <c r="H28" s="25"/>
      <c r="M28" s="25"/>
      <c r="R28" s="25"/>
      <c r="W28" s="25"/>
    </row>
    <row r="29" customFormat="false" ht="15" hidden="false" customHeight="false" outlineLevel="0" collapsed="false">
      <c r="C29" s="26" t="s">
        <v>39</v>
      </c>
      <c r="D29" s="27"/>
      <c r="E29" s="27"/>
      <c r="F29" s="27"/>
      <c r="G29" s="27"/>
      <c r="H29" s="28"/>
      <c r="I29" s="27"/>
      <c r="J29" s="27"/>
      <c r="K29" s="27"/>
      <c r="L29" s="27"/>
      <c r="M29" s="28"/>
      <c r="N29" s="27"/>
      <c r="O29" s="27"/>
      <c r="P29" s="27"/>
      <c r="Q29" s="27"/>
      <c r="R29" s="28"/>
      <c r="S29" s="27"/>
      <c r="T29" s="27"/>
      <c r="U29" s="27"/>
      <c r="V29" s="27"/>
      <c r="W29" s="28"/>
    </row>
    <row r="30" customFormat="false" ht="15" hidden="false" customHeight="false" outlineLevel="0" collapsed="false">
      <c r="C30" s="4" t="s">
        <v>36</v>
      </c>
      <c r="D30" s="20" t="n">
        <f aca="false">Model!D79</f>
        <v>494</v>
      </c>
      <c r="E30" s="20" t="n">
        <f aca="false">Model!E79</f>
        <v>488</v>
      </c>
      <c r="F30" s="20" t="n">
        <f aca="false">Model!F79</f>
        <v>562</v>
      </c>
      <c r="G30" s="20" t="n">
        <f aca="false">Model!G79</f>
        <v>532</v>
      </c>
      <c r="H30" s="21" t="n">
        <f aca="false">Model!H79</f>
        <v>2076</v>
      </c>
      <c r="I30" s="20" t="n">
        <f aca="false">Model!I79</f>
        <v>348</v>
      </c>
      <c r="J30" s="20" t="n">
        <f aca="false">Model!J79</f>
        <v>517.28</v>
      </c>
      <c r="K30" s="20" t="n">
        <f aca="false">Model!K79</f>
        <v>595.72</v>
      </c>
      <c r="L30" s="20" t="n">
        <f aca="false">Model!L79</f>
        <v>563.92</v>
      </c>
      <c r="M30" s="21" t="n">
        <f aca="false">Model!M79</f>
        <v>2024.92</v>
      </c>
      <c r="N30" s="20" t="n">
        <f aca="false">Model!N79</f>
        <v>512.38</v>
      </c>
      <c r="O30" s="20" t="n">
        <f aca="false">Model!O79</f>
        <v>548.3168</v>
      </c>
      <c r="P30" s="20" t="n">
        <f aca="false">Model!P79</f>
        <v>631.4632</v>
      </c>
      <c r="Q30" s="20" t="n">
        <f aca="false">Model!Q79</f>
        <v>597.7552</v>
      </c>
      <c r="R30" s="21" t="n">
        <f aca="false">Model!R79</f>
        <v>2289.9152</v>
      </c>
      <c r="S30" s="20" t="n">
        <f aca="false">Model!S79</f>
        <v>543.1228</v>
      </c>
      <c r="T30" s="20" t="n">
        <f aca="false">Model!T79</f>
        <v>581.215808</v>
      </c>
      <c r="U30" s="20" t="n">
        <f aca="false">Model!U79</f>
        <v>669.350992</v>
      </c>
      <c r="V30" s="20" t="n">
        <f aca="false">Model!V79</f>
        <v>633.620512</v>
      </c>
      <c r="W30" s="21" t="n">
        <f aca="false">Model!W79</f>
        <v>2427.310112</v>
      </c>
    </row>
    <row r="31" customFormat="false" ht="15" hidden="false" customHeight="false" outlineLevel="0" collapsed="false">
      <c r="C31" s="22" t="s">
        <v>30</v>
      </c>
      <c r="D31" s="23" t="n">
        <f aca="false">Model!D80</f>
        <v>0</v>
      </c>
      <c r="E31" s="23" t="n">
        <f aca="false">Model!E80</f>
        <v>0</v>
      </c>
      <c r="F31" s="23" t="n">
        <f aca="false">Model!F80</f>
        <v>0</v>
      </c>
      <c r="G31" s="23" t="n">
        <f aca="false">Model!G80</f>
        <v>0</v>
      </c>
      <c r="H31" s="24" t="n">
        <f aca="false">Model!H80</f>
        <v>0</v>
      </c>
      <c r="I31" s="23" t="n">
        <f aca="false">Model!I80</f>
        <v>-0.295546558704453</v>
      </c>
      <c r="J31" s="23" t="n">
        <f aca="false">Model!J80</f>
        <v>0.0600000000000001</v>
      </c>
      <c r="K31" s="23" t="n">
        <f aca="false">Model!K80</f>
        <v>0.0600000000000001</v>
      </c>
      <c r="L31" s="23" t="n">
        <f aca="false">Model!L80</f>
        <v>0.0600000000000001</v>
      </c>
      <c r="M31" s="24" t="n">
        <f aca="false">Model!M80</f>
        <v>-0.0246050096339113</v>
      </c>
      <c r="N31" s="23" t="n">
        <f aca="false">Model!N80</f>
        <v>0.472356321839081</v>
      </c>
      <c r="O31" s="23" t="n">
        <f aca="false">Model!O80</f>
        <v>0.0600000000000003</v>
      </c>
      <c r="P31" s="23" t="n">
        <f aca="false">Model!P80</f>
        <v>0.0600000000000003</v>
      </c>
      <c r="Q31" s="23" t="n">
        <f aca="false">Model!Q80</f>
        <v>0.0600000000000001</v>
      </c>
      <c r="R31" s="24" t="n">
        <f aca="false">Model!R80</f>
        <v>0.130866997214705</v>
      </c>
      <c r="S31" s="23" t="n">
        <f aca="false">Model!S80</f>
        <v>0.0600000000000003</v>
      </c>
      <c r="T31" s="23" t="n">
        <f aca="false">Model!T80</f>
        <v>0.0600000000000001</v>
      </c>
      <c r="U31" s="23" t="n">
        <f aca="false">Model!U80</f>
        <v>0.0600000000000001</v>
      </c>
      <c r="V31" s="23" t="n">
        <f aca="false">Model!V80</f>
        <v>0.0599999999999998</v>
      </c>
      <c r="W31" s="24" t="n">
        <f aca="false">Model!W80</f>
        <v>0.0599999999999998</v>
      </c>
    </row>
    <row r="32" customFormat="false" ht="15" hidden="false" customHeight="false" outlineLevel="0" collapsed="false">
      <c r="C32" s="22" t="s">
        <v>37</v>
      </c>
      <c r="D32" s="23" t="n">
        <f aca="false">Model!D81</f>
        <v>0</v>
      </c>
      <c r="E32" s="23" t="n">
        <f aca="false">Model!E81</f>
        <v>0</v>
      </c>
      <c r="F32" s="23" t="n">
        <f aca="false">Model!F81</f>
        <v>0</v>
      </c>
      <c r="G32" s="23" t="n">
        <f aca="false">Model!G81</f>
        <v>0</v>
      </c>
      <c r="H32" s="24" t="n">
        <f aca="false">Model!H81</f>
        <v>0</v>
      </c>
      <c r="I32" s="23" t="n">
        <f aca="false">Model!I81</f>
        <v>0.0852429149797571</v>
      </c>
      <c r="J32" s="23" t="n">
        <f aca="false">Model!J81</f>
        <v>0.06</v>
      </c>
      <c r="K32" s="23" t="n">
        <f aca="false">Model!K81</f>
        <v>0.06</v>
      </c>
      <c r="L32" s="23" t="n">
        <f aca="false">Model!L81</f>
        <v>0.06</v>
      </c>
      <c r="M32" s="24" t="n">
        <f aca="false">Model!M81</f>
        <v>0.0660067437379576</v>
      </c>
      <c r="N32" s="23" t="n">
        <f aca="false">Model!N81</f>
        <v>0.06</v>
      </c>
      <c r="O32" s="23" t="n">
        <f aca="false">Model!O81</f>
        <v>0.06</v>
      </c>
      <c r="P32" s="23" t="n">
        <f aca="false">Model!P81</f>
        <v>0.06</v>
      </c>
      <c r="Q32" s="23" t="n">
        <f aca="false">Model!Q81</f>
        <v>0.06</v>
      </c>
      <c r="R32" s="24" t="n">
        <f aca="false">Model!R81</f>
        <v>0.06</v>
      </c>
      <c r="S32" s="23" t="n">
        <f aca="false">Model!S81</f>
        <v>0.06</v>
      </c>
      <c r="T32" s="23" t="n">
        <f aca="false">Model!T81</f>
        <v>0.06</v>
      </c>
      <c r="U32" s="23" t="n">
        <f aca="false">Model!U81</f>
        <v>0.06</v>
      </c>
      <c r="V32" s="23" t="n">
        <f aca="false">Model!V81</f>
        <v>0.06</v>
      </c>
      <c r="W32" s="24" t="n">
        <f aca="false">Model!W81</f>
        <v>0.06</v>
      </c>
    </row>
    <row r="33" customFormat="false" ht="15" hidden="false" customHeight="false" outlineLevel="0" collapsed="false">
      <c r="H33" s="25"/>
      <c r="M33" s="25"/>
      <c r="R33" s="25"/>
      <c r="W33" s="25"/>
    </row>
    <row r="34" customFormat="false" ht="15" hidden="false" customHeight="false" outlineLevel="0" collapsed="false">
      <c r="C34" s="26" t="s">
        <v>40</v>
      </c>
      <c r="D34" s="27"/>
      <c r="E34" s="27"/>
      <c r="F34" s="27"/>
      <c r="G34" s="27"/>
      <c r="H34" s="28"/>
      <c r="I34" s="27"/>
      <c r="J34" s="27"/>
      <c r="K34" s="27"/>
      <c r="L34" s="27"/>
      <c r="M34" s="28"/>
      <c r="N34" s="27"/>
      <c r="O34" s="27"/>
      <c r="P34" s="27"/>
      <c r="Q34" s="27"/>
      <c r="R34" s="28"/>
      <c r="S34" s="27"/>
      <c r="T34" s="27"/>
      <c r="U34" s="27"/>
      <c r="V34" s="27"/>
      <c r="W34" s="28"/>
    </row>
    <row r="35" customFormat="false" ht="15" hidden="false" customHeight="false" outlineLevel="0" collapsed="false">
      <c r="C35" s="4" t="s">
        <v>36</v>
      </c>
      <c r="D35" s="20" t="n">
        <f aca="false">Model!D96</f>
        <v>75</v>
      </c>
      <c r="E35" s="20" t="n">
        <f aca="false">Model!E96</f>
        <v>82</v>
      </c>
      <c r="F35" s="20" t="n">
        <f aca="false">Model!F96</f>
        <v>87</v>
      </c>
      <c r="G35" s="20" t="n">
        <f aca="false">Model!G96</f>
        <v>108</v>
      </c>
      <c r="H35" s="21" t="n">
        <f aca="false">Model!H96</f>
        <v>352</v>
      </c>
      <c r="I35" s="20" t="n">
        <f aca="false">Model!I96</f>
        <v>79</v>
      </c>
      <c r="J35" s="20" t="n">
        <f aca="false">Model!J96</f>
        <v>86.92</v>
      </c>
      <c r="K35" s="20" t="n">
        <f aca="false">Model!K96</f>
        <v>92.22</v>
      </c>
      <c r="L35" s="20" t="n">
        <f aca="false">Model!L96</f>
        <v>114.48</v>
      </c>
      <c r="M35" s="21" t="n">
        <f aca="false">Model!M96</f>
        <v>372.62</v>
      </c>
      <c r="N35" s="20" t="n">
        <f aca="false">Model!N96</f>
        <v>83.74</v>
      </c>
      <c r="O35" s="20" t="n">
        <f aca="false">Model!O96</f>
        <v>92.1352</v>
      </c>
      <c r="P35" s="20" t="n">
        <f aca="false">Model!P96</f>
        <v>97.7532</v>
      </c>
      <c r="Q35" s="20" t="n">
        <f aca="false">Model!Q96</f>
        <v>121.3488</v>
      </c>
      <c r="R35" s="21" t="n">
        <f aca="false">Model!R96</f>
        <v>394.9772</v>
      </c>
      <c r="S35" s="20" t="n">
        <f aca="false">Model!S96</f>
        <v>88.7644</v>
      </c>
      <c r="T35" s="20" t="n">
        <f aca="false">Model!T96</f>
        <v>97.663312</v>
      </c>
      <c r="U35" s="20" t="n">
        <f aca="false">Model!U96</f>
        <v>103.618392</v>
      </c>
      <c r="V35" s="20" t="n">
        <f aca="false">Model!V96</f>
        <v>128.629728</v>
      </c>
      <c r="W35" s="21" t="n">
        <f aca="false">Model!W96</f>
        <v>418.675832</v>
      </c>
    </row>
    <row r="36" customFormat="false" ht="15" hidden="false" customHeight="false" outlineLevel="0" collapsed="false">
      <c r="C36" s="22" t="s">
        <v>30</v>
      </c>
      <c r="D36" s="23" t="n">
        <f aca="false">Model!D97</f>
        <v>0</v>
      </c>
      <c r="E36" s="23" t="n">
        <f aca="false">Model!E97</f>
        <v>0</v>
      </c>
      <c r="F36" s="23" t="n">
        <f aca="false">Model!F97</f>
        <v>0</v>
      </c>
      <c r="G36" s="23" t="n">
        <f aca="false">Model!G97</f>
        <v>0</v>
      </c>
      <c r="H36" s="24" t="n">
        <f aca="false">Model!H97</f>
        <v>0</v>
      </c>
      <c r="I36" s="23" t="n">
        <f aca="false">Model!I97</f>
        <v>0.0533333333333332</v>
      </c>
      <c r="J36" s="23" t="n">
        <f aca="false">Model!J97</f>
        <v>0.0600000000000001</v>
      </c>
      <c r="K36" s="23" t="n">
        <f aca="false">Model!K97</f>
        <v>0.0600000000000001</v>
      </c>
      <c r="L36" s="23" t="n">
        <f aca="false">Model!L97</f>
        <v>0.0600000000000003</v>
      </c>
      <c r="M36" s="24" t="n">
        <f aca="false">Model!M97</f>
        <v>0.0585795454545455</v>
      </c>
      <c r="N36" s="23" t="n">
        <f aca="false">Model!N97</f>
        <v>0.0600000000000001</v>
      </c>
      <c r="O36" s="23" t="n">
        <f aca="false">Model!O97</f>
        <v>0.0600000000000001</v>
      </c>
      <c r="P36" s="23" t="n">
        <f aca="false">Model!P97</f>
        <v>0.0600000000000003</v>
      </c>
      <c r="Q36" s="23" t="n">
        <f aca="false">Model!Q97</f>
        <v>0.0599999999999998</v>
      </c>
      <c r="R36" s="24" t="n">
        <f aca="false">Model!R97</f>
        <v>0.0600000000000001</v>
      </c>
      <c r="S36" s="23" t="n">
        <f aca="false">Model!S97</f>
        <v>0.0600000000000001</v>
      </c>
      <c r="T36" s="23" t="n">
        <f aca="false">Model!T97</f>
        <v>0.0600000000000001</v>
      </c>
      <c r="U36" s="23" t="n">
        <f aca="false">Model!U97</f>
        <v>0.0600000000000001</v>
      </c>
      <c r="V36" s="23" t="n">
        <f aca="false">Model!V97</f>
        <v>0.0600000000000001</v>
      </c>
      <c r="W36" s="24" t="n">
        <f aca="false">Model!W97</f>
        <v>0.0599999999999998</v>
      </c>
    </row>
    <row r="37" customFormat="false" ht="15" hidden="false" customHeight="false" outlineLevel="0" collapsed="false">
      <c r="C37" s="22" t="s">
        <v>37</v>
      </c>
      <c r="D37" s="23" t="n">
        <f aca="false">Model!D98</f>
        <v>0</v>
      </c>
      <c r="E37" s="23" t="n">
        <f aca="false">Model!E98</f>
        <v>0</v>
      </c>
      <c r="F37" s="23" t="n">
        <f aca="false">Model!F98</f>
        <v>0</v>
      </c>
      <c r="G37" s="23" t="n">
        <f aca="false">Model!G98</f>
        <v>0</v>
      </c>
      <c r="H37" s="24" t="n">
        <f aca="false">Model!H98</f>
        <v>0</v>
      </c>
      <c r="I37" s="23" t="n">
        <f aca="false">Model!I98</f>
        <v>0.0184</v>
      </c>
      <c r="J37" s="23" t="n">
        <f aca="false">Model!J98</f>
        <v>0.06</v>
      </c>
      <c r="K37" s="23" t="n">
        <f aca="false">Model!K98</f>
        <v>0.06</v>
      </c>
      <c r="L37" s="23" t="n">
        <f aca="false">Model!L98</f>
        <v>0.06</v>
      </c>
      <c r="M37" s="24" t="n">
        <f aca="false">Model!M98</f>
        <v>0.0511363636363636</v>
      </c>
      <c r="N37" s="23" t="n">
        <f aca="false">Model!N98</f>
        <v>0.06</v>
      </c>
      <c r="O37" s="23" t="n">
        <f aca="false">Model!O98</f>
        <v>0.06</v>
      </c>
      <c r="P37" s="23" t="n">
        <f aca="false">Model!P98</f>
        <v>0.06</v>
      </c>
      <c r="Q37" s="23" t="n">
        <f aca="false">Model!Q98</f>
        <v>0.06</v>
      </c>
      <c r="R37" s="24" t="n">
        <f aca="false">Model!R98</f>
        <v>0.06</v>
      </c>
      <c r="S37" s="23" t="n">
        <f aca="false">Model!S98</f>
        <v>0.06</v>
      </c>
      <c r="T37" s="23" t="n">
        <f aca="false">Model!T98</f>
        <v>0.06</v>
      </c>
      <c r="U37" s="23" t="n">
        <f aca="false">Model!U98</f>
        <v>0.06</v>
      </c>
      <c r="V37" s="23" t="n">
        <f aca="false">Model!V98</f>
        <v>0.06</v>
      </c>
      <c r="W37" s="24" t="n">
        <f aca="false">Model!W98</f>
        <v>0.06</v>
      </c>
    </row>
    <row r="38" customFormat="false" ht="15" hidden="false" customHeight="false" outlineLevel="0" collapsed="false">
      <c r="H38" s="25"/>
      <c r="M38" s="25"/>
      <c r="R38" s="25"/>
      <c r="W38" s="25"/>
    </row>
    <row r="39" customFormat="false" ht="15" hidden="false" customHeight="false" outlineLevel="0" collapsed="false">
      <c r="H39" s="25"/>
      <c r="M39" s="25"/>
      <c r="R39" s="25"/>
      <c r="W39" s="25"/>
    </row>
    <row r="40" customFormat="false" ht="15" hidden="false" customHeight="false" outlineLevel="0" collapsed="false">
      <c r="H40" s="25"/>
      <c r="M40" s="25"/>
      <c r="R40" s="25"/>
      <c r="W40" s="25"/>
    </row>
    <row r="41" customFormat="false" ht="15" hidden="false" customHeight="false" outlineLevel="0" collapsed="false">
      <c r="H41" s="25"/>
      <c r="M41" s="25"/>
      <c r="R41" s="25"/>
      <c r="W41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W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0" topLeftCell="D11" activePane="bottomRight" state="frozen"/>
      <selection pane="topLeft" activeCell="A1" activeCellId="0" sqref="A1"/>
      <selection pane="topRight" activeCell="D1" activeCellId="0" sqref="D1"/>
      <selection pane="bottomLeft" activeCell="A11" activeCellId="0" sqref="A11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"/>
    <col collapsed="false" customWidth="true" hidden="false" outlineLevel="0" max="3" min="3" style="0" width="38"/>
    <col collapsed="false" customWidth="true" hidden="false" outlineLevel="0" max="7" min="4" style="0" width="10"/>
    <col collapsed="false" customWidth="true" hidden="false" outlineLevel="0" max="8" min="8" style="0" width="11"/>
    <col collapsed="false" customWidth="true" hidden="false" outlineLevel="0" max="12" min="9" style="0" width="10"/>
    <col collapsed="false" customWidth="true" hidden="false" outlineLevel="0" max="13" min="13" style="0" width="11"/>
    <col collapsed="false" customWidth="true" hidden="false" outlineLevel="0" max="17" min="14" style="0" width="10"/>
    <col collapsed="false" customWidth="true" hidden="false" outlineLevel="0" max="18" min="18" style="0" width="11"/>
    <col collapsed="false" customWidth="true" hidden="false" outlineLevel="0" max="22" min="19" style="0" width="10"/>
    <col collapsed="false" customWidth="true" hidden="false" outlineLevel="0" max="23" min="23" style="0" width="11"/>
  </cols>
  <sheetData>
    <row r="2" customFormat="false" ht="15" hidden="false" customHeight="false" outlineLevel="0" collapsed="false">
      <c r="B2" s="1" t="s">
        <v>41</v>
      </c>
    </row>
    <row r="4" customFormat="false" ht="15" hidden="false" customHeight="false" outlineLevel="0" collapsed="false">
      <c r="C4" s="2" t="s">
        <v>15</v>
      </c>
      <c r="D4" s="5" t="s">
        <v>16</v>
      </c>
      <c r="E4" s="5" t="s">
        <v>17</v>
      </c>
      <c r="F4" s="5" t="s">
        <v>18</v>
      </c>
      <c r="G4" s="5" t="s">
        <v>19</v>
      </c>
      <c r="H4" s="5" t="s">
        <v>20</v>
      </c>
      <c r="I4" s="5" t="s">
        <v>16</v>
      </c>
      <c r="J4" s="5" t="s">
        <v>17</v>
      </c>
      <c r="K4" s="5" t="s">
        <v>18</v>
      </c>
      <c r="L4" s="5" t="s">
        <v>19</v>
      </c>
      <c r="M4" s="5" t="s">
        <v>20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  <c r="S4" s="5" t="s">
        <v>16</v>
      </c>
      <c r="T4" s="5" t="s">
        <v>17</v>
      </c>
      <c r="U4" s="5" t="s">
        <v>18</v>
      </c>
      <c r="V4" s="5" t="s">
        <v>19</v>
      </c>
      <c r="W4" s="5" t="s">
        <v>20</v>
      </c>
    </row>
    <row r="5" customFormat="false" ht="15" hidden="false" customHeight="false" outlineLevel="0" collapsed="false">
      <c r="C5" s="2" t="s">
        <v>21</v>
      </c>
      <c r="D5" s="6" t="n">
        <v>25</v>
      </c>
      <c r="E5" s="7" t="n">
        <f aca="false">D5</f>
        <v>25</v>
      </c>
      <c r="F5" s="7" t="n">
        <f aca="false">E5</f>
        <v>25</v>
      </c>
      <c r="G5" s="7" t="n">
        <f aca="false">F5</f>
        <v>25</v>
      </c>
      <c r="H5" s="7" t="n">
        <f aca="false">G5</f>
        <v>25</v>
      </c>
      <c r="I5" s="8" t="n">
        <f aca="false">H5+1</f>
        <v>26</v>
      </c>
      <c r="J5" s="7" t="n">
        <f aca="false">I5</f>
        <v>26</v>
      </c>
      <c r="K5" s="7" t="n">
        <f aca="false">J5</f>
        <v>26</v>
      </c>
      <c r="L5" s="7" t="n">
        <f aca="false">K5</f>
        <v>26</v>
      </c>
      <c r="M5" s="7" t="n">
        <f aca="false">L5</f>
        <v>26</v>
      </c>
      <c r="N5" s="8" t="n">
        <f aca="false">M5+1</f>
        <v>27</v>
      </c>
      <c r="O5" s="7" t="n">
        <f aca="false">N5</f>
        <v>27</v>
      </c>
      <c r="P5" s="7" t="n">
        <f aca="false">O5</f>
        <v>27</v>
      </c>
      <c r="Q5" s="7" t="n">
        <f aca="false">P5</f>
        <v>27</v>
      </c>
      <c r="R5" s="7" t="n">
        <f aca="false">Q5</f>
        <v>27</v>
      </c>
      <c r="S5" s="8" t="n">
        <f aca="false">R5+1</f>
        <v>28</v>
      </c>
      <c r="T5" s="7" t="n">
        <f aca="false">S5</f>
        <v>28</v>
      </c>
      <c r="U5" s="7" t="n">
        <f aca="false">T5</f>
        <v>28</v>
      </c>
      <c r="V5" s="7" t="n">
        <f aca="false">U5</f>
        <v>28</v>
      </c>
      <c r="W5" s="7" t="n">
        <f aca="false">V5</f>
        <v>28</v>
      </c>
    </row>
    <row r="7" customFormat="false" ht="15" hidden="false" customHeight="false" outlineLevel="0" collapsed="false">
      <c r="C7" s="2" t="s">
        <v>22</v>
      </c>
      <c r="D7" s="9" t="s">
        <v>23</v>
      </c>
      <c r="E7" s="10"/>
      <c r="F7" s="10"/>
      <c r="G7" s="10"/>
      <c r="H7" s="11"/>
    </row>
    <row r="8" customFormat="false" ht="15" hidden="false" customHeight="false" outlineLevel="0" collapsed="false">
      <c r="C8" s="2" t="s">
        <v>24</v>
      </c>
      <c r="D8" s="12"/>
      <c r="E8" s="12"/>
      <c r="F8" s="12"/>
      <c r="G8" s="12"/>
      <c r="H8" s="12"/>
      <c r="I8" s="12"/>
      <c r="J8" s="12" t="s">
        <v>25</v>
      </c>
      <c r="K8" s="12" t="s">
        <v>25</v>
      </c>
      <c r="L8" s="12" t="s">
        <v>25</v>
      </c>
      <c r="M8" s="12" t="s">
        <v>25</v>
      </c>
      <c r="N8" s="12" t="s">
        <v>25</v>
      </c>
      <c r="O8" s="12" t="s">
        <v>25</v>
      </c>
      <c r="P8" s="12" t="s">
        <v>25</v>
      </c>
      <c r="Q8" s="12" t="s">
        <v>25</v>
      </c>
      <c r="R8" s="12" t="s">
        <v>25</v>
      </c>
      <c r="S8" s="12" t="s">
        <v>25</v>
      </c>
      <c r="T8" s="12" t="s">
        <v>25</v>
      </c>
      <c r="U8" s="12" t="s">
        <v>25</v>
      </c>
      <c r="V8" s="12" t="s">
        <v>25</v>
      </c>
      <c r="W8" s="12" t="s">
        <v>25</v>
      </c>
    </row>
    <row r="9" customFormat="false" ht="15" hidden="false" customHeight="false" outlineLevel="0" collapsed="false">
      <c r="C9" s="2" t="s">
        <v>26</v>
      </c>
      <c r="D9" s="13" t="str">
        <f aca="false">D$4&amp;D5&amp;D8</f>
        <v>1Q25</v>
      </c>
      <c r="E9" s="13" t="str">
        <f aca="false">E$4&amp;E5&amp;E8</f>
        <v>2Q25</v>
      </c>
      <c r="F9" s="13" t="str">
        <f aca="false">F$4&amp;F5&amp;F8</f>
        <v>3Q25</v>
      </c>
      <c r="G9" s="13" t="str">
        <f aca="false">G$4&amp;G5&amp;G8</f>
        <v>4Q25</v>
      </c>
      <c r="H9" s="14" t="str">
        <f aca="false">H$4&amp;H5&amp;H8</f>
        <v>FY25</v>
      </c>
      <c r="I9" s="13" t="str">
        <f aca="false">I$4&amp;I5&amp;I8</f>
        <v>1Q26</v>
      </c>
      <c r="J9" s="13" t="str">
        <f aca="false">J$4&amp;J5&amp;J8</f>
        <v>2Q26E</v>
      </c>
      <c r="K9" s="13" t="str">
        <f aca="false">K$4&amp;K5&amp;K8</f>
        <v>3Q26E</v>
      </c>
      <c r="L9" s="13" t="str">
        <f aca="false">L$4&amp;L5&amp;L8</f>
        <v>4Q26E</v>
      </c>
      <c r="M9" s="14" t="str">
        <f aca="false">M$4&amp;M5&amp;M8</f>
        <v>FY26E</v>
      </c>
      <c r="N9" s="13" t="str">
        <f aca="false">N$4&amp;N5&amp;N8</f>
        <v>1Q27E</v>
      </c>
      <c r="O9" s="13" t="str">
        <f aca="false">O$4&amp;O5&amp;O8</f>
        <v>2Q27E</v>
      </c>
      <c r="P9" s="13" t="str">
        <f aca="false">P$4&amp;P5&amp;P8</f>
        <v>3Q27E</v>
      </c>
      <c r="Q9" s="13" t="str">
        <f aca="false">Q$4&amp;Q5&amp;Q8</f>
        <v>4Q27E</v>
      </c>
      <c r="R9" s="14" t="str">
        <f aca="false">R$4&amp;R5&amp;R8</f>
        <v>FY27E</v>
      </c>
      <c r="S9" s="13" t="str">
        <f aca="false">S$4&amp;S5&amp;S8</f>
        <v>1Q28E</v>
      </c>
      <c r="T9" s="13" t="str">
        <f aca="false">T$4&amp;T5&amp;T8</f>
        <v>2Q28E</v>
      </c>
      <c r="U9" s="13" t="str">
        <f aca="false">U$4&amp;U5&amp;U8</f>
        <v>3Q28E</v>
      </c>
      <c r="V9" s="13" t="str">
        <f aca="false">V$4&amp;V5&amp;V8</f>
        <v>4Q28E</v>
      </c>
      <c r="W9" s="14" t="str">
        <f aca="false">W$4&amp;W5&amp;W8</f>
        <v>FY28E</v>
      </c>
    </row>
    <row r="10" customFormat="false" ht="15" hidden="false" customHeight="false" outlineLevel="0" collapsed="false">
      <c r="C10" s="2" t="s">
        <v>27</v>
      </c>
      <c r="D10" s="15" t="n">
        <v>45745</v>
      </c>
      <c r="E10" s="15" t="n">
        <v>45836</v>
      </c>
      <c r="F10" s="15" t="n">
        <v>45927</v>
      </c>
      <c r="G10" s="15" t="n">
        <v>46022</v>
      </c>
      <c r="H10" s="16" t="n">
        <v>46022</v>
      </c>
      <c r="I10" s="15" t="n">
        <v>46116</v>
      </c>
      <c r="J10" s="15" t="n">
        <v>46207</v>
      </c>
      <c r="K10" s="15" t="n">
        <v>46298</v>
      </c>
      <c r="L10" s="15" t="n">
        <v>46387</v>
      </c>
      <c r="M10" s="16" t="n">
        <v>46387</v>
      </c>
      <c r="N10" s="15" t="n">
        <v>46480</v>
      </c>
      <c r="O10" s="15" t="n">
        <v>46571</v>
      </c>
      <c r="P10" s="15" t="n">
        <v>46662</v>
      </c>
      <c r="Q10" s="15" t="n">
        <v>46752</v>
      </c>
      <c r="R10" s="16" t="n">
        <v>46752</v>
      </c>
      <c r="S10" s="15" t="n">
        <v>46844</v>
      </c>
      <c r="T10" s="15" t="n">
        <v>46935</v>
      </c>
      <c r="U10" s="15" t="n">
        <v>47026</v>
      </c>
      <c r="V10" s="15" t="n">
        <v>47117</v>
      </c>
      <c r="W10" s="16" t="n">
        <v>47117</v>
      </c>
    </row>
    <row r="11" customFormat="false" ht="15" hidden="false" customHeight="false" outlineLevel="0" collapsed="false">
      <c r="B11" s="17" t="s">
        <v>42</v>
      </c>
      <c r="C11" s="18"/>
      <c r="D11" s="18"/>
      <c r="E11" s="18"/>
      <c r="F11" s="18"/>
      <c r="G11" s="18"/>
      <c r="H11" s="19"/>
      <c r="I11" s="18"/>
      <c r="J11" s="18"/>
      <c r="K11" s="18"/>
      <c r="L11" s="18"/>
      <c r="M11" s="19"/>
      <c r="N11" s="18"/>
      <c r="O11" s="18"/>
      <c r="P11" s="18"/>
      <c r="Q11" s="18"/>
      <c r="R11" s="19"/>
      <c r="S11" s="18"/>
      <c r="T11" s="18"/>
      <c r="U11" s="18"/>
      <c r="V11" s="18"/>
      <c r="W11" s="19"/>
    </row>
    <row r="12" customFormat="false" ht="15" hidden="false" customHeight="false" outlineLevel="0" collapsed="false">
      <c r="C12" s="2" t="s">
        <v>29</v>
      </c>
      <c r="D12" s="29" t="n">
        <f aca="false">D102</f>
        <v>1455</v>
      </c>
      <c r="E12" s="29" t="n">
        <f aca="false">E102</f>
        <v>1553</v>
      </c>
      <c r="F12" s="29" t="n">
        <f aca="false">F102</f>
        <v>1686</v>
      </c>
      <c r="G12" s="29" t="n">
        <f aca="false">G102</f>
        <v>1699</v>
      </c>
      <c r="H12" s="30" t="n">
        <f aca="false">H102</f>
        <v>6393</v>
      </c>
      <c r="I12" s="29" t="n">
        <f aca="false">I102</f>
        <v>1267</v>
      </c>
      <c r="J12" s="29" t="n">
        <f aca="false">J102</f>
        <v>1646.18</v>
      </c>
      <c r="K12" s="29" t="n">
        <f aca="false">K102</f>
        <v>1787.16</v>
      </c>
      <c r="L12" s="29" t="n">
        <f aca="false">L102</f>
        <v>1800.94</v>
      </c>
      <c r="M12" s="30" t="n">
        <f aca="false">M102</f>
        <v>6501.28</v>
      </c>
      <c r="N12" s="29" t="n">
        <f aca="false">N102</f>
        <v>1603.02</v>
      </c>
      <c r="O12" s="29" t="n">
        <f aca="false">O102</f>
        <v>1744.9508</v>
      </c>
      <c r="P12" s="29" t="n">
        <f aca="false">P102</f>
        <v>1894.3896</v>
      </c>
      <c r="Q12" s="29" t="n">
        <f aca="false">Q102</f>
        <v>1908.9964</v>
      </c>
      <c r="R12" s="30" t="n">
        <f aca="false">R102</f>
        <v>7151.3568</v>
      </c>
      <c r="S12" s="29" t="n">
        <f aca="false">S102</f>
        <v>1699.2012</v>
      </c>
      <c r="T12" s="29" t="n">
        <f aca="false">T102</f>
        <v>1849.647848</v>
      </c>
      <c r="U12" s="29" t="n">
        <f aca="false">U102</f>
        <v>2008.052976</v>
      </c>
      <c r="V12" s="29" t="n">
        <f aca="false">V102</f>
        <v>2023.536184</v>
      </c>
      <c r="W12" s="30" t="n">
        <f aca="false">W102</f>
        <v>7580.438208</v>
      </c>
    </row>
    <row r="13" customFormat="false" ht="15" hidden="false" customHeight="false" outlineLevel="0" collapsed="false">
      <c r="C13" s="22" t="s">
        <v>30</v>
      </c>
      <c r="D13" s="31" t="n">
        <f aca="false">D103</f>
        <v>0</v>
      </c>
      <c r="E13" s="31" t="n">
        <f aca="false">E103</f>
        <v>0</v>
      </c>
      <c r="F13" s="31" t="n">
        <f aca="false">F103</f>
        <v>0</v>
      </c>
      <c r="G13" s="31" t="n">
        <f aca="false">G103</f>
        <v>0</v>
      </c>
      <c r="H13" s="32" t="n">
        <f aca="false">H103</f>
        <v>0</v>
      </c>
      <c r="I13" s="31" t="n">
        <f aca="false">I103</f>
        <v>-0.129209621993127</v>
      </c>
      <c r="J13" s="31" t="n">
        <f aca="false">J103</f>
        <v>0.0600000000000001</v>
      </c>
      <c r="K13" s="31" t="n">
        <f aca="false">K103</f>
        <v>0.0600000000000001</v>
      </c>
      <c r="L13" s="31" t="n">
        <f aca="false">L103</f>
        <v>0.0600000000000001</v>
      </c>
      <c r="M13" s="32" t="n">
        <f aca="false">M103</f>
        <v>0.0169372751446895</v>
      </c>
      <c r="N13" s="31" t="n">
        <f aca="false">N103</f>
        <v>0.265209155485399</v>
      </c>
      <c r="O13" s="31" t="n">
        <f aca="false">O103</f>
        <v>0.0600000000000001</v>
      </c>
      <c r="P13" s="31" t="n">
        <f aca="false">P103</f>
        <v>0.0600000000000003</v>
      </c>
      <c r="Q13" s="31" t="n">
        <f aca="false">Q103</f>
        <v>0.0600000000000001</v>
      </c>
      <c r="R13" s="32" t="n">
        <f aca="false">R103</f>
        <v>0.099992124627766</v>
      </c>
      <c r="S13" s="31" t="n">
        <f aca="false">S103</f>
        <v>0.0600000000000001</v>
      </c>
      <c r="T13" s="31" t="n">
        <f aca="false">T103</f>
        <v>0.0600000000000001</v>
      </c>
      <c r="U13" s="31" t="n">
        <f aca="false">U103</f>
        <v>0.0600000000000001</v>
      </c>
      <c r="V13" s="31" t="n">
        <f aca="false">V103</f>
        <v>0.0600000000000001</v>
      </c>
      <c r="W13" s="32" t="n">
        <f aca="false">W103</f>
        <v>0.0599999999999998</v>
      </c>
    </row>
    <row r="14" customFormat="false" ht="15" hidden="false" customHeight="false" outlineLevel="0" collapsed="false">
      <c r="C14" s="22" t="s">
        <v>31</v>
      </c>
      <c r="D14" s="31" t="n">
        <f aca="false">D104</f>
        <v>0</v>
      </c>
      <c r="E14" s="31" t="n">
        <f aca="false">E104</f>
        <v>0</v>
      </c>
      <c r="F14" s="31" t="n">
        <f aca="false">F104</f>
        <v>0</v>
      </c>
      <c r="G14" s="31" t="n">
        <f aca="false">G104</f>
        <v>0</v>
      </c>
      <c r="H14" s="32" t="n">
        <f aca="false">H104</f>
        <v>0</v>
      </c>
      <c r="I14" s="31" t="n">
        <f aca="false">I104</f>
        <v>0.0893539518900344</v>
      </c>
      <c r="J14" s="31" t="n">
        <f aca="false">J104</f>
        <v>0.06</v>
      </c>
      <c r="K14" s="31" t="n">
        <f aca="false">K104</f>
        <v>0.06</v>
      </c>
      <c r="L14" s="31" t="n">
        <f aca="false">L104</f>
        <v>0.06</v>
      </c>
      <c r="M14" s="32" t="n">
        <f aca="false">M104</f>
        <v>0.0666807445643673</v>
      </c>
      <c r="N14" s="31" t="n">
        <f aca="false">N104</f>
        <v>0.06</v>
      </c>
      <c r="O14" s="31" t="n">
        <f aca="false">O104</f>
        <v>0.06</v>
      </c>
      <c r="P14" s="31" t="n">
        <f aca="false">P104</f>
        <v>0.06</v>
      </c>
      <c r="Q14" s="31" t="n">
        <f aca="false">Q104</f>
        <v>0.06</v>
      </c>
      <c r="R14" s="32" t="n">
        <f aca="false">R104</f>
        <v>0.06</v>
      </c>
      <c r="S14" s="31" t="n">
        <f aca="false">S104</f>
        <v>0.06</v>
      </c>
      <c r="T14" s="31" t="n">
        <f aca="false">T104</f>
        <v>0.06</v>
      </c>
      <c r="U14" s="31" t="n">
        <f aca="false">U104</f>
        <v>0.06</v>
      </c>
      <c r="V14" s="31" t="n">
        <f aca="false">V104</f>
        <v>0.06</v>
      </c>
      <c r="W14" s="32" t="n">
        <f aca="false">W104</f>
        <v>0.06</v>
      </c>
    </row>
    <row r="15" customFormat="false" ht="15" hidden="false" customHeight="false" outlineLevel="0" collapsed="false">
      <c r="C15" s="22" t="s">
        <v>32</v>
      </c>
      <c r="D15" s="31" t="n">
        <f aca="false">D105</f>
        <v>0</v>
      </c>
      <c r="E15" s="31" t="n">
        <f aca="false">E105</f>
        <v>0</v>
      </c>
      <c r="F15" s="31" t="n">
        <f aca="false">F105</f>
        <v>0</v>
      </c>
      <c r="G15" s="31" t="n">
        <f aca="false">G105</f>
        <v>0</v>
      </c>
      <c r="H15" s="32" t="n">
        <f aca="false">H105</f>
        <v>0</v>
      </c>
      <c r="I15" s="31" t="n">
        <f aca="false">I105</f>
        <v>-0.239099656357388</v>
      </c>
      <c r="J15" s="31" t="n">
        <f aca="false">J105</f>
        <v>0</v>
      </c>
      <c r="K15" s="31" t="n">
        <f aca="false">K105</f>
        <v>0</v>
      </c>
      <c r="L15" s="31" t="n">
        <f aca="false">L105</f>
        <v>0</v>
      </c>
      <c r="M15" s="32" t="n">
        <f aca="false">M105</f>
        <v>-0.0544173314562803</v>
      </c>
      <c r="N15" s="31" t="n">
        <f aca="false">N105</f>
        <v>0.205209155485399</v>
      </c>
      <c r="O15" s="31" t="n">
        <f aca="false">O105</f>
        <v>0</v>
      </c>
      <c r="P15" s="31" t="n">
        <f aca="false">P105</f>
        <v>0</v>
      </c>
      <c r="Q15" s="31" t="n">
        <f aca="false">Q105</f>
        <v>0</v>
      </c>
      <c r="R15" s="32" t="n">
        <f aca="false">R105</f>
        <v>0.0399921246277656</v>
      </c>
      <c r="S15" s="31" t="n">
        <f aca="false">S105</f>
        <v>0</v>
      </c>
      <c r="T15" s="31" t="n">
        <f aca="false">T105</f>
        <v>0</v>
      </c>
      <c r="U15" s="31" t="n">
        <f aca="false">U105</f>
        <v>0</v>
      </c>
      <c r="V15" s="31" t="n">
        <f aca="false">V105</f>
        <v>0</v>
      </c>
      <c r="W15" s="32" t="n">
        <f aca="false">W105</f>
        <v>0</v>
      </c>
    </row>
    <row r="16" customFormat="false" ht="15" hidden="false" customHeight="false" outlineLevel="0" collapsed="false">
      <c r="C16" s="22" t="s">
        <v>33</v>
      </c>
      <c r="D16" s="31" t="n">
        <f aca="false">D106</f>
        <v>0</v>
      </c>
      <c r="E16" s="31" t="n">
        <f aca="false">E106</f>
        <v>0</v>
      </c>
      <c r="F16" s="31" t="n">
        <f aca="false">F106</f>
        <v>0</v>
      </c>
      <c r="G16" s="31" t="n">
        <f aca="false">G106</f>
        <v>0</v>
      </c>
      <c r="H16" s="32" t="n">
        <f aca="false">H106</f>
        <v>0</v>
      </c>
      <c r="I16" s="31" t="n">
        <f aca="false">I106</f>
        <v>0.0205360824742268</v>
      </c>
      <c r="J16" s="31" t="n">
        <f aca="false">J106</f>
        <v>0</v>
      </c>
      <c r="K16" s="31" t="n">
        <f aca="false">K106</f>
        <v>0</v>
      </c>
      <c r="L16" s="31" t="n">
        <f aca="false">L106</f>
        <v>0</v>
      </c>
      <c r="M16" s="32" t="n">
        <f aca="false">M106</f>
        <v>0.00467386203660253</v>
      </c>
      <c r="N16" s="31" t="n">
        <f aca="false">N106</f>
        <v>0</v>
      </c>
      <c r="O16" s="31" t="n">
        <f aca="false">O106</f>
        <v>0</v>
      </c>
      <c r="P16" s="31" t="n">
        <f aca="false">P106</f>
        <v>0</v>
      </c>
      <c r="Q16" s="31" t="n">
        <f aca="false">Q106</f>
        <v>0</v>
      </c>
      <c r="R16" s="32" t="n">
        <f aca="false">R106</f>
        <v>0</v>
      </c>
      <c r="S16" s="31" t="n">
        <f aca="false">S106</f>
        <v>0</v>
      </c>
      <c r="T16" s="31" t="n">
        <f aca="false">T106</f>
        <v>0</v>
      </c>
      <c r="U16" s="31" t="n">
        <f aca="false">U106</f>
        <v>0</v>
      </c>
      <c r="V16" s="31" t="n">
        <f aca="false">V106</f>
        <v>0</v>
      </c>
      <c r="W16" s="32" t="n">
        <f aca="false">W106</f>
        <v>0</v>
      </c>
    </row>
    <row r="17" customFormat="false" ht="15" hidden="false" customHeight="false" outlineLevel="0" collapsed="false">
      <c r="H17" s="25"/>
      <c r="M17" s="25"/>
      <c r="R17" s="25"/>
      <c r="W17" s="25"/>
    </row>
    <row r="18" customFormat="false" ht="15" hidden="false" customHeight="false" outlineLevel="0" collapsed="false">
      <c r="C18" s="2" t="s">
        <v>43</v>
      </c>
      <c r="D18" s="29" t="n">
        <f aca="false">D125</f>
        <v>506.815</v>
      </c>
      <c r="E18" s="29" t="n">
        <f aca="false">E125</f>
        <v>426.86</v>
      </c>
      <c r="F18" s="29" t="n">
        <f aca="false">F125</f>
        <v>460.84</v>
      </c>
      <c r="G18" s="29" t="n">
        <f aca="false">G125</f>
        <v>467.14</v>
      </c>
      <c r="H18" s="30" t="n">
        <f aca="false">H125</f>
        <v>1861.655</v>
      </c>
      <c r="I18" s="29" t="n">
        <f aca="false">I125</f>
        <v>389.346</v>
      </c>
      <c r="J18" s="29" t="n">
        <f aca="false">J125</f>
        <v>452.4716</v>
      </c>
      <c r="K18" s="29" t="n">
        <f aca="false">K125</f>
        <v>488.4904</v>
      </c>
      <c r="L18" s="29" t="n">
        <f aca="false">L125</f>
        <v>495.1684</v>
      </c>
      <c r="M18" s="30" t="n">
        <f aca="false">M125</f>
        <v>1825.4764</v>
      </c>
      <c r="N18" s="29" t="n">
        <f aca="false">N125</f>
        <v>439.9156</v>
      </c>
      <c r="O18" s="29" t="n">
        <f aca="false">O125</f>
        <v>479.619896</v>
      </c>
      <c r="P18" s="29" t="n">
        <f aca="false">P125</f>
        <v>517.799824</v>
      </c>
      <c r="Q18" s="29" t="n">
        <f aca="false">Q125</f>
        <v>524.878504</v>
      </c>
      <c r="R18" s="30" t="n">
        <f aca="false">R125</f>
        <v>1962.213824</v>
      </c>
      <c r="S18" s="29" t="n">
        <f aca="false">S125</f>
        <v>466.310536</v>
      </c>
      <c r="T18" s="29" t="n">
        <f aca="false">T125</f>
        <v>508.39708976</v>
      </c>
      <c r="U18" s="29" t="n">
        <f aca="false">U125</f>
        <v>548.86781344</v>
      </c>
      <c r="V18" s="29" t="n">
        <f aca="false">V125</f>
        <v>556.37121424</v>
      </c>
      <c r="W18" s="30" t="n">
        <f aca="false">W125</f>
        <v>2079.94665344</v>
      </c>
    </row>
    <row r="19" customFormat="false" ht="15" hidden="false" customHeight="false" outlineLevel="0" collapsed="false">
      <c r="C19" s="22" t="s">
        <v>44</v>
      </c>
      <c r="D19" s="33" t="n">
        <f aca="false">D126</f>
        <v>0.3483264604811</v>
      </c>
      <c r="E19" s="33" t="n">
        <f aca="false">E126</f>
        <v>0.274861558274308</v>
      </c>
      <c r="F19" s="33" t="n">
        <f aca="false">F126</f>
        <v>0.273333333333333</v>
      </c>
      <c r="G19" s="33" t="n">
        <f aca="false">G126</f>
        <v>0.274949970570924</v>
      </c>
      <c r="H19" s="34" t="n">
        <f aca="false">H126</f>
        <v>0.291202096042547</v>
      </c>
      <c r="I19" s="33" t="n">
        <f aca="false">I126</f>
        <v>0.307297553275454</v>
      </c>
      <c r="J19" s="33" t="n">
        <f aca="false">J126</f>
        <v>0.274861558274308</v>
      </c>
      <c r="K19" s="33" t="n">
        <f aca="false">K126</f>
        <v>0.273333333333333</v>
      </c>
      <c r="L19" s="33" t="n">
        <f aca="false">L126</f>
        <v>0.274949970570924</v>
      </c>
      <c r="M19" s="34" t="n">
        <f aca="false">M126</f>
        <v>0.280787229591711</v>
      </c>
      <c r="N19" s="33" t="n">
        <f aca="false">N126</f>
        <v>0.27442926476276</v>
      </c>
      <c r="O19" s="33" t="n">
        <f aca="false">O126</f>
        <v>0.274861558274308</v>
      </c>
      <c r="P19" s="33" t="n">
        <f aca="false">P126</f>
        <v>0.273333333333333</v>
      </c>
      <c r="Q19" s="33" t="n">
        <f aca="false">Q126</f>
        <v>0.274949970570924</v>
      </c>
      <c r="R19" s="34" t="n">
        <f aca="false">R126</f>
        <v>0.274383432246032</v>
      </c>
      <c r="S19" s="33" t="n">
        <f aca="false">S126</f>
        <v>0.27442926476276</v>
      </c>
      <c r="T19" s="33" t="n">
        <f aca="false">T126</f>
        <v>0.274861558274308</v>
      </c>
      <c r="U19" s="33" t="n">
        <f aca="false">U126</f>
        <v>0.273333333333333</v>
      </c>
      <c r="V19" s="33" t="n">
        <f aca="false">V126</f>
        <v>0.274949970570924</v>
      </c>
      <c r="W19" s="34" t="n">
        <f aca="false">W126</f>
        <v>0.274383432246032</v>
      </c>
    </row>
    <row r="20" customFormat="false" ht="15" hidden="false" customHeight="false" outlineLevel="0" collapsed="false">
      <c r="H20" s="25"/>
      <c r="M20" s="25"/>
      <c r="R20" s="25"/>
      <c r="W20" s="25"/>
    </row>
    <row r="21" customFormat="false" ht="15" hidden="false" customHeight="false" outlineLevel="0" collapsed="false">
      <c r="H21" s="25"/>
      <c r="M21" s="25"/>
      <c r="R21" s="25"/>
      <c r="W21" s="25"/>
    </row>
    <row r="22" customFormat="false" ht="15" hidden="false" customHeight="false" outlineLevel="0" collapsed="false">
      <c r="B22" s="17" t="s">
        <v>45</v>
      </c>
      <c r="C22" s="18"/>
      <c r="D22" s="18"/>
      <c r="E22" s="18"/>
      <c r="F22" s="18"/>
      <c r="G22" s="18"/>
      <c r="H22" s="19"/>
      <c r="I22" s="18"/>
      <c r="J22" s="18"/>
      <c r="K22" s="18"/>
      <c r="L22" s="18"/>
      <c r="M22" s="19"/>
      <c r="N22" s="18"/>
      <c r="O22" s="18"/>
      <c r="P22" s="18"/>
      <c r="Q22" s="18"/>
      <c r="R22" s="19"/>
      <c r="S22" s="18"/>
      <c r="T22" s="18"/>
      <c r="U22" s="18"/>
      <c r="V22" s="18"/>
      <c r="W22" s="19"/>
    </row>
    <row r="23" customFormat="false" ht="15" hidden="false" customHeight="false" outlineLevel="0" collapsed="false">
      <c r="H23" s="25"/>
      <c r="M23" s="25"/>
      <c r="R23" s="25"/>
      <c r="W23" s="25"/>
    </row>
    <row r="24" customFormat="false" ht="15" hidden="false" customHeight="false" outlineLevel="0" collapsed="false">
      <c r="C24" s="26" t="s">
        <v>35</v>
      </c>
      <c r="D24" s="27"/>
      <c r="E24" s="27"/>
      <c r="F24" s="27"/>
      <c r="G24" s="27"/>
      <c r="H24" s="28"/>
      <c r="I24" s="27"/>
      <c r="J24" s="27"/>
      <c r="K24" s="27"/>
      <c r="L24" s="27"/>
      <c r="M24" s="28"/>
      <c r="N24" s="27"/>
      <c r="O24" s="27"/>
      <c r="P24" s="27"/>
      <c r="Q24" s="27"/>
      <c r="R24" s="28"/>
      <c r="S24" s="27"/>
      <c r="T24" s="27"/>
      <c r="U24" s="27"/>
      <c r="V24" s="27"/>
      <c r="W24" s="28"/>
    </row>
    <row r="25" customFormat="false" ht="15" hidden="false" customHeight="false" outlineLevel="0" collapsed="false">
      <c r="A25" s="22" t="s">
        <v>46</v>
      </c>
      <c r="C25" s="4" t="s">
        <v>47</v>
      </c>
      <c r="D25" s="35" t="n">
        <v>194</v>
      </c>
      <c r="E25" s="35" t="n">
        <v>227</v>
      </c>
      <c r="F25" s="35" t="n">
        <v>236</v>
      </c>
      <c r="G25" s="35" t="n">
        <v>266</v>
      </c>
      <c r="H25" s="36" t="n">
        <f aca="false">D25+E25+F25+G25</f>
        <v>923</v>
      </c>
      <c r="I25" s="35" t="n">
        <v>210</v>
      </c>
      <c r="J25" s="37" t="n">
        <f aca="false">E25*(1+J27+J28+J29)</f>
        <v>240.62</v>
      </c>
      <c r="K25" s="37" t="n">
        <f aca="false">F25*(1+K27+K28+K29)</f>
        <v>250.16</v>
      </c>
      <c r="L25" s="37" t="n">
        <f aca="false">G25*(1+L27+L28+L29)</f>
        <v>281.96</v>
      </c>
      <c r="M25" s="36" t="n">
        <f aca="false">I25+J25+K25+L25</f>
        <v>982.74</v>
      </c>
      <c r="N25" s="37" t="n">
        <f aca="false">I25*(1+N27+N28+N29)</f>
        <v>222.6</v>
      </c>
      <c r="O25" s="37" t="n">
        <f aca="false">J25*(1+O27+O28+O29)</f>
        <v>255.0572</v>
      </c>
      <c r="P25" s="37" t="n">
        <f aca="false">K25*(1+P27+P28+P29)</f>
        <v>265.1696</v>
      </c>
      <c r="Q25" s="37" t="n">
        <f aca="false">L25*(1+Q27+Q28+Q29)</f>
        <v>298.8776</v>
      </c>
      <c r="R25" s="36" t="n">
        <f aca="false">N25+O25+P25+Q25</f>
        <v>1041.7044</v>
      </c>
      <c r="S25" s="37" t="n">
        <f aca="false">N25*(1+S27+S28+S29)</f>
        <v>235.956</v>
      </c>
      <c r="T25" s="37" t="n">
        <f aca="false">O25*(1+T27+T28+T29)</f>
        <v>270.360632</v>
      </c>
      <c r="U25" s="37" t="n">
        <f aca="false">P25*(1+U27+U28+U29)</f>
        <v>281.079776</v>
      </c>
      <c r="V25" s="37" t="n">
        <f aca="false">Q25*(1+V27+V28+V29)</f>
        <v>316.810256</v>
      </c>
      <c r="W25" s="36" t="n">
        <f aca="false">S25+T25+U25+V25</f>
        <v>1104.206664</v>
      </c>
    </row>
    <row r="26" customFormat="false" ht="15" hidden="false" customHeight="false" outlineLevel="0" collapsed="false">
      <c r="C26" s="22" t="s">
        <v>30</v>
      </c>
      <c r="H26" s="25"/>
      <c r="I26" s="38" t="n">
        <f aca="false">IFERROR(I25/D25-1,0)</f>
        <v>0.0824742268041236</v>
      </c>
      <c r="J26" s="38" t="n">
        <f aca="false">J27+J28+J29</f>
        <v>0.06</v>
      </c>
      <c r="K26" s="38" t="n">
        <f aca="false">K27+K28+K29</f>
        <v>0.06</v>
      </c>
      <c r="L26" s="38" t="n">
        <f aca="false">L27+L28+L29</f>
        <v>0.06</v>
      </c>
      <c r="M26" s="39" t="n">
        <f aca="false">IFERROR(M25/H25-1,0)</f>
        <v>0.064723726977248</v>
      </c>
      <c r="N26" s="38" t="n">
        <f aca="false">N27+N28+N29</f>
        <v>0.06</v>
      </c>
      <c r="O26" s="38" t="n">
        <f aca="false">O27+O28+O29</f>
        <v>0.06</v>
      </c>
      <c r="P26" s="38" t="n">
        <f aca="false">P27+P28+P29</f>
        <v>0.06</v>
      </c>
      <c r="Q26" s="38" t="n">
        <f aca="false">Q27+Q28+Q29</f>
        <v>0.06</v>
      </c>
      <c r="R26" s="39" t="n">
        <f aca="false">IFERROR(R25/M25-1,0)</f>
        <v>0.0600000000000001</v>
      </c>
      <c r="S26" s="38" t="n">
        <f aca="false">S27+S28+S29</f>
        <v>0.06</v>
      </c>
      <c r="T26" s="38" t="n">
        <f aca="false">T27+T28+T29</f>
        <v>0.06</v>
      </c>
      <c r="U26" s="38" t="n">
        <f aca="false">U27+U28+U29</f>
        <v>0.06</v>
      </c>
      <c r="V26" s="38" t="n">
        <f aca="false">V27+V28+V29</f>
        <v>0.06</v>
      </c>
      <c r="W26" s="39" t="n">
        <f aca="false">IFERROR(W25/R25-1,0)</f>
        <v>0.0600000000000001</v>
      </c>
    </row>
    <row r="27" customFormat="false" ht="15" hidden="false" customHeight="false" outlineLevel="0" collapsed="false">
      <c r="C27" s="22" t="s">
        <v>37</v>
      </c>
      <c r="H27" s="25"/>
      <c r="I27" s="40" t="n">
        <v>0.08</v>
      </c>
      <c r="J27" s="41" t="n">
        <v>0.06</v>
      </c>
      <c r="K27" s="41" t="n">
        <v>0.06</v>
      </c>
      <c r="L27" s="41" t="n">
        <v>0.06</v>
      </c>
      <c r="M27" s="39" t="n">
        <f aca="false">IFERROR(((I27*D25)+(J27*E25)+(K27*F25)+(L27*G25))/(D25+E25+F25+G25),0)</f>
        <v>0.0642036836403034</v>
      </c>
      <c r="N27" s="41" t="n">
        <v>0.06</v>
      </c>
      <c r="O27" s="41" t="n">
        <v>0.06</v>
      </c>
      <c r="P27" s="41" t="n">
        <v>0.06</v>
      </c>
      <c r="Q27" s="41" t="n">
        <v>0.06</v>
      </c>
      <c r="R27" s="39" t="n">
        <f aca="false">IFERROR(((N27*I25)+(O27*J25)+(P27*K25)+(Q27*L25))/(I25+J25+K25+L25),0)</f>
        <v>0.06</v>
      </c>
      <c r="S27" s="41" t="n">
        <v>0.06</v>
      </c>
      <c r="T27" s="41" t="n">
        <v>0.06</v>
      </c>
      <c r="U27" s="41" t="n">
        <v>0.06</v>
      </c>
      <c r="V27" s="41" t="n">
        <v>0.06</v>
      </c>
      <c r="W27" s="39" t="n">
        <f aca="false">IFERROR(((S27*N25)+(T27*O25)+(U27*P25)+(V27*Q25))/(N25+O25+P25+Q25),0)</f>
        <v>0.06</v>
      </c>
    </row>
    <row r="28" customFormat="false" ht="15" hidden="false" customHeight="false" outlineLevel="0" collapsed="false">
      <c r="C28" s="22" t="s">
        <v>32</v>
      </c>
      <c r="H28" s="25"/>
      <c r="I28" s="38" t="n">
        <f aca="false">I26-I27-I29</f>
        <v>0.00247422680412364</v>
      </c>
      <c r="J28" s="41" t="n">
        <v>0</v>
      </c>
      <c r="K28" s="41" t="n">
        <v>0</v>
      </c>
      <c r="L28" s="41" t="n">
        <v>0</v>
      </c>
      <c r="M28" s="39" t="n">
        <f aca="false">IFERROR(((I28*D25)+(J28*E25)+(K28*F25)+(L28*G25))/(D25+E25+F25+G25),0)</f>
        <v>0.00052004333694473</v>
      </c>
      <c r="N28" s="41" t="n">
        <v>0</v>
      </c>
      <c r="O28" s="41" t="n">
        <v>0</v>
      </c>
      <c r="P28" s="41" t="n">
        <v>0</v>
      </c>
      <c r="Q28" s="41" t="n">
        <v>0</v>
      </c>
      <c r="R28" s="39" t="n">
        <f aca="false">IFERROR(((N28*I25)+(O28*J25)+(P28*K25)+(Q28*L25))/(I25+J25+K25+L25),0)</f>
        <v>0</v>
      </c>
      <c r="S28" s="41" t="n">
        <v>0</v>
      </c>
      <c r="T28" s="41" t="n">
        <v>0</v>
      </c>
      <c r="U28" s="41" t="n">
        <v>0</v>
      </c>
      <c r="V28" s="41" t="n">
        <v>0</v>
      </c>
      <c r="W28" s="39" t="n">
        <f aca="false">IFERROR(((S28*N25)+(T28*O25)+(U28*P25)+(V28*Q25))/(N25+O25+P25+Q25),0)</f>
        <v>0</v>
      </c>
    </row>
    <row r="29" customFormat="false" ht="15" hidden="false" customHeight="false" outlineLevel="0" collapsed="false">
      <c r="C29" s="22" t="s">
        <v>33</v>
      </c>
      <c r="H29" s="25"/>
      <c r="I29" s="40" t="n">
        <v>0</v>
      </c>
      <c r="J29" s="41" t="n">
        <v>0</v>
      </c>
      <c r="K29" s="41" t="n">
        <v>0</v>
      </c>
      <c r="L29" s="41" t="n">
        <v>0</v>
      </c>
      <c r="M29" s="39" t="n">
        <f aca="false">IFERROR(((I29*D25)+(J29*E25)+(K29*F25)+(L29*G25))/(D25+E25+F25+G25),0)</f>
        <v>0</v>
      </c>
      <c r="N29" s="41" t="n">
        <v>0</v>
      </c>
      <c r="O29" s="41" t="n">
        <v>0</v>
      </c>
      <c r="P29" s="41" t="n">
        <v>0</v>
      </c>
      <c r="Q29" s="41" t="n">
        <v>0</v>
      </c>
      <c r="R29" s="39" t="n">
        <f aca="false">IFERROR(((N29*I25)+(O29*J25)+(P29*K25)+(Q29*L25))/(I25+J25+K25+L25),0)</f>
        <v>0</v>
      </c>
      <c r="S29" s="41" t="n">
        <v>0</v>
      </c>
      <c r="T29" s="41" t="n">
        <v>0</v>
      </c>
      <c r="U29" s="41" t="n">
        <v>0</v>
      </c>
      <c r="V29" s="41" t="n">
        <v>0</v>
      </c>
      <c r="W29" s="39" t="n">
        <f aca="false">IFERROR(((S29*N25)+(T29*O25)+(U29*P25)+(V29*Q25))/(N25+O25+P25+Q25),0)</f>
        <v>0</v>
      </c>
    </row>
    <row r="30" customFormat="false" ht="15" hidden="false" customHeight="false" outlineLevel="0" collapsed="false">
      <c r="A30" s="22" t="s">
        <v>46</v>
      </c>
      <c r="C30" s="4" t="s">
        <v>48</v>
      </c>
      <c r="D30" s="35" t="n">
        <v>216</v>
      </c>
      <c r="E30" s="35" t="n">
        <v>253</v>
      </c>
      <c r="F30" s="35" t="n">
        <v>263</v>
      </c>
      <c r="G30" s="35" t="n">
        <v>296</v>
      </c>
      <c r="H30" s="36" t="n">
        <f aca="false">D30+E30+F30+G30</f>
        <v>1028</v>
      </c>
      <c r="I30" s="35" t="n">
        <v>253</v>
      </c>
      <c r="J30" s="37" t="n">
        <f aca="false">E30*(1+J32+J33+J34)</f>
        <v>268.18</v>
      </c>
      <c r="K30" s="37" t="n">
        <f aca="false">F30*(1+K32+K33+K34)</f>
        <v>278.78</v>
      </c>
      <c r="L30" s="37" t="n">
        <f aca="false">G30*(1+L32+L33+L34)</f>
        <v>313.76</v>
      </c>
      <c r="M30" s="36" t="n">
        <f aca="false">I30+J30+K30+L30</f>
        <v>1113.72</v>
      </c>
      <c r="N30" s="37" t="n">
        <f aca="false">I30*(1+N32+N33+N34)</f>
        <v>268.18</v>
      </c>
      <c r="O30" s="37" t="n">
        <f aca="false">J30*(1+O32+O33+O34)</f>
        <v>284.2708</v>
      </c>
      <c r="P30" s="37" t="n">
        <f aca="false">K30*(1+P32+P33+P34)</f>
        <v>295.5068</v>
      </c>
      <c r="Q30" s="37" t="n">
        <f aca="false">L30*(1+Q32+Q33+Q34)</f>
        <v>332.5856</v>
      </c>
      <c r="R30" s="36" t="n">
        <f aca="false">N30+O30+P30+Q30</f>
        <v>1180.5432</v>
      </c>
      <c r="S30" s="37" t="n">
        <f aca="false">N30*(1+S32+S33+S34)</f>
        <v>284.2708</v>
      </c>
      <c r="T30" s="37" t="n">
        <f aca="false">O30*(1+T32+T33+T34)</f>
        <v>301.327048</v>
      </c>
      <c r="U30" s="37" t="n">
        <f aca="false">P30*(1+U32+U33+U34)</f>
        <v>313.237208</v>
      </c>
      <c r="V30" s="37" t="n">
        <f aca="false">Q30*(1+V32+V33+V34)</f>
        <v>352.540736</v>
      </c>
      <c r="W30" s="36" t="n">
        <f aca="false">S30+T30+U30+V30</f>
        <v>1251.375792</v>
      </c>
    </row>
    <row r="31" customFormat="false" ht="15" hidden="false" customHeight="false" outlineLevel="0" collapsed="false">
      <c r="C31" s="22" t="s">
        <v>30</v>
      </c>
      <c r="H31" s="25"/>
      <c r="I31" s="38" t="n">
        <f aca="false">IFERROR(I30/D30-1,0)</f>
        <v>0.171296296296296</v>
      </c>
      <c r="J31" s="38" t="n">
        <f aca="false">J32+J33+J34</f>
        <v>0.06</v>
      </c>
      <c r="K31" s="38" t="n">
        <f aca="false">K32+K33+K34</f>
        <v>0.06</v>
      </c>
      <c r="L31" s="38" t="n">
        <f aca="false">L32+L33+L34</f>
        <v>0.06</v>
      </c>
      <c r="M31" s="39" t="n">
        <f aca="false">IFERROR(M30/H30-1,0)</f>
        <v>0.0833852140077822</v>
      </c>
      <c r="N31" s="38" t="n">
        <f aca="false">N32+N33+N34</f>
        <v>0.06</v>
      </c>
      <c r="O31" s="38" t="n">
        <f aca="false">O32+O33+O34</f>
        <v>0.06</v>
      </c>
      <c r="P31" s="38" t="n">
        <f aca="false">P32+P33+P34</f>
        <v>0.06</v>
      </c>
      <c r="Q31" s="38" t="n">
        <f aca="false">Q32+Q33+Q34</f>
        <v>0.06</v>
      </c>
      <c r="R31" s="39" t="n">
        <f aca="false">IFERROR(R30/M30-1,0)</f>
        <v>0.0600000000000001</v>
      </c>
      <c r="S31" s="38" t="n">
        <f aca="false">S32+S33+S34</f>
        <v>0.06</v>
      </c>
      <c r="T31" s="38" t="n">
        <f aca="false">T32+T33+T34</f>
        <v>0.06</v>
      </c>
      <c r="U31" s="38" t="n">
        <f aca="false">U32+U33+U34</f>
        <v>0.06</v>
      </c>
      <c r="V31" s="38" t="n">
        <f aca="false">V32+V33+V34</f>
        <v>0.06</v>
      </c>
      <c r="W31" s="39" t="n">
        <f aca="false">IFERROR(W30/R30-1,0)</f>
        <v>0.0600000000000003</v>
      </c>
    </row>
    <row r="32" customFormat="false" ht="15" hidden="false" customHeight="false" outlineLevel="0" collapsed="false">
      <c r="C32" s="22" t="s">
        <v>37</v>
      </c>
      <c r="H32" s="25"/>
      <c r="I32" s="40" t="n">
        <v>0.14</v>
      </c>
      <c r="J32" s="41" t="n">
        <v>0.06</v>
      </c>
      <c r="K32" s="41" t="n">
        <v>0.06</v>
      </c>
      <c r="L32" s="41" t="n">
        <v>0.06</v>
      </c>
      <c r="M32" s="39" t="n">
        <f aca="false">IFERROR(((I32*D30)+(J32*E30)+(K32*F30)+(L32*G30))/(D30+E30+F30+G30),0)</f>
        <v>0.0768093385214008</v>
      </c>
      <c r="N32" s="41" t="n">
        <v>0.06</v>
      </c>
      <c r="O32" s="41" t="n">
        <v>0.06</v>
      </c>
      <c r="P32" s="41" t="n">
        <v>0.06</v>
      </c>
      <c r="Q32" s="41" t="n">
        <v>0.06</v>
      </c>
      <c r="R32" s="39" t="n">
        <f aca="false">IFERROR(((N32*I30)+(O32*J30)+(P32*K30)+(Q32*L30))/(I30+J30+K30+L30),0)</f>
        <v>0.06</v>
      </c>
      <c r="S32" s="41" t="n">
        <v>0.06</v>
      </c>
      <c r="T32" s="41" t="n">
        <v>0.06</v>
      </c>
      <c r="U32" s="41" t="n">
        <v>0.06</v>
      </c>
      <c r="V32" s="41" t="n">
        <v>0.06</v>
      </c>
      <c r="W32" s="39" t="n">
        <f aca="false">IFERROR(((S32*N30)+(T32*O30)+(U32*P30)+(V32*Q30))/(N30+O30+P30+Q30),0)</f>
        <v>0.06</v>
      </c>
    </row>
    <row r="33" customFormat="false" ht="15" hidden="false" customHeight="false" outlineLevel="0" collapsed="false">
      <c r="C33" s="22" t="s">
        <v>32</v>
      </c>
      <c r="H33" s="25"/>
      <c r="I33" s="38" t="n">
        <f aca="false">I31-I32-I34</f>
        <v>0.00129629629629627</v>
      </c>
      <c r="J33" s="41" t="n">
        <v>0</v>
      </c>
      <c r="K33" s="41" t="n">
        <v>0</v>
      </c>
      <c r="L33" s="41" t="n">
        <v>0</v>
      </c>
      <c r="M33" s="39" t="n">
        <f aca="false">IFERROR(((I33*D30)+(J33*E30)+(K33*F30)+(L33*G30))/(D30+E30+F30+G30),0)</f>
        <v>0.000272373540856025</v>
      </c>
      <c r="N33" s="41" t="n">
        <v>0</v>
      </c>
      <c r="O33" s="41" t="n">
        <v>0</v>
      </c>
      <c r="P33" s="41" t="n">
        <v>0</v>
      </c>
      <c r="Q33" s="41" t="n">
        <v>0</v>
      </c>
      <c r="R33" s="39" t="n">
        <f aca="false">IFERROR(((N33*I30)+(O33*J30)+(P33*K30)+(Q33*L30))/(I30+J30+K30+L30),0)</f>
        <v>0</v>
      </c>
      <c r="S33" s="41" t="n">
        <v>0</v>
      </c>
      <c r="T33" s="41" t="n">
        <v>0</v>
      </c>
      <c r="U33" s="41" t="n">
        <v>0</v>
      </c>
      <c r="V33" s="41" t="n">
        <v>0</v>
      </c>
      <c r="W33" s="39" t="n">
        <f aca="false">IFERROR(((S33*N30)+(T33*O30)+(U33*P30)+(V33*Q30))/(N30+O30+P30+Q30),0)</f>
        <v>0</v>
      </c>
    </row>
    <row r="34" customFormat="false" ht="15" hidden="false" customHeight="false" outlineLevel="0" collapsed="false">
      <c r="C34" s="22" t="s">
        <v>33</v>
      </c>
      <c r="H34" s="25"/>
      <c r="I34" s="40" t="n">
        <v>0.03</v>
      </c>
      <c r="J34" s="41" t="n">
        <v>0</v>
      </c>
      <c r="K34" s="41" t="n">
        <v>0</v>
      </c>
      <c r="L34" s="41" t="n">
        <v>0</v>
      </c>
      <c r="M34" s="39" t="n">
        <f aca="false">IFERROR(((I34*D30)+(J34*E30)+(K34*F30)+(L34*G30))/(D30+E30+F30+G30),0)</f>
        <v>0.00630350194552529</v>
      </c>
      <c r="N34" s="41" t="n">
        <v>0</v>
      </c>
      <c r="O34" s="41" t="n">
        <v>0</v>
      </c>
      <c r="P34" s="41" t="n">
        <v>0</v>
      </c>
      <c r="Q34" s="41" t="n">
        <v>0</v>
      </c>
      <c r="R34" s="39" t="n">
        <f aca="false">IFERROR(((N34*I30)+(O34*J30)+(P34*K30)+(Q34*L30))/(I30+J30+K30+L30),0)</f>
        <v>0</v>
      </c>
      <c r="S34" s="41" t="n">
        <v>0</v>
      </c>
      <c r="T34" s="41" t="n">
        <v>0</v>
      </c>
      <c r="U34" s="41" t="n">
        <v>0</v>
      </c>
      <c r="V34" s="41" t="n">
        <v>0</v>
      </c>
      <c r="W34" s="39" t="n">
        <f aca="false">IFERROR(((S34*N30)+(T34*O30)+(U34*P30)+(V34*Q30))/(N30+O30+P30+Q30),0)</f>
        <v>0</v>
      </c>
    </row>
    <row r="35" customFormat="false" ht="15" hidden="false" customHeight="false" outlineLevel="0" collapsed="false">
      <c r="A35" s="22" t="s">
        <v>46</v>
      </c>
      <c r="C35" s="4" t="s">
        <v>49</v>
      </c>
      <c r="D35" s="35" t="n">
        <v>124</v>
      </c>
      <c r="E35" s="35" t="n">
        <v>145</v>
      </c>
      <c r="F35" s="35" t="n">
        <v>151</v>
      </c>
      <c r="G35" s="35" t="n">
        <v>170</v>
      </c>
      <c r="H35" s="36" t="n">
        <f aca="false">D35+E35+F35+G35</f>
        <v>590</v>
      </c>
      <c r="I35" s="35" t="n">
        <v>144</v>
      </c>
      <c r="J35" s="37" t="n">
        <f aca="false">E35*(1+J37+J38+J39)</f>
        <v>153.7</v>
      </c>
      <c r="K35" s="37" t="n">
        <f aca="false">F35*(1+K37+K38+K39)</f>
        <v>160.06</v>
      </c>
      <c r="L35" s="37" t="n">
        <f aca="false">G35*(1+L37+L38+L39)</f>
        <v>180.2</v>
      </c>
      <c r="M35" s="36" t="n">
        <f aca="false">I35+J35+K35+L35</f>
        <v>637.96</v>
      </c>
      <c r="N35" s="37" t="n">
        <f aca="false">I35*(1+N37+N38+N39)</f>
        <v>152.64</v>
      </c>
      <c r="O35" s="37" t="n">
        <f aca="false">J35*(1+O37+O38+O39)</f>
        <v>162.922</v>
      </c>
      <c r="P35" s="37" t="n">
        <f aca="false">K35*(1+P37+P38+P39)</f>
        <v>169.6636</v>
      </c>
      <c r="Q35" s="37" t="n">
        <f aca="false">L35*(1+Q37+Q38+Q39)</f>
        <v>191.012</v>
      </c>
      <c r="R35" s="36" t="n">
        <f aca="false">N35+O35+P35+Q35</f>
        <v>676.2376</v>
      </c>
      <c r="S35" s="37" t="n">
        <f aca="false">N35*(1+S37+S38+S39)</f>
        <v>161.7984</v>
      </c>
      <c r="T35" s="37" t="n">
        <f aca="false">O35*(1+T37+T38+T39)</f>
        <v>172.69732</v>
      </c>
      <c r="U35" s="37" t="n">
        <f aca="false">P35*(1+U37+U38+U39)</f>
        <v>179.843416</v>
      </c>
      <c r="V35" s="37" t="n">
        <f aca="false">Q35*(1+V37+V38+V39)</f>
        <v>202.47272</v>
      </c>
      <c r="W35" s="36" t="n">
        <f aca="false">S35+T35+U35+V35</f>
        <v>716.811856</v>
      </c>
    </row>
    <row r="36" customFormat="false" ht="15" hidden="false" customHeight="false" outlineLevel="0" collapsed="false">
      <c r="C36" s="22" t="s">
        <v>30</v>
      </c>
      <c r="H36" s="25"/>
      <c r="I36" s="38" t="n">
        <f aca="false">IFERROR(I35/D35-1,0)</f>
        <v>0.161290322580645</v>
      </c>
      <c r="J36" s="38" t="n">
        <f aca="false">J37+J38+J39</f>
        <v>0.06</v>
      </c>
      <c r="K36" s="38" t="n">
        <f aca="false">K37+K38+K39</f>
        <v>0.06</v>
      </c>
      <c r="L36" s="38" t="n">
        <f aca="false">L37+L38+L39</f>
        <v>0.06</v>
      </c>
      <c r="M36" s="39" t="n">
        <f aca="false">IFERROR(M35/H35-1,0)</f>
        <v>0.0812881355932205</v>
      </c>
      <c r="N36" s="38" t="n">
        <f aca="false">N37+N38+N39</f>
        <v>0.06</v>
      </c>
      <c r="O36" s="38" t="n">
        <f aca="false">O37+O38+O39</f>
        <v>0.06</v>
      </c>
      <c r="P36" s="38" t="n">
        <f aca="false">P37+P38+P39</f>
        <v>0.06</v>
      </c>
      <c r="Q36" s="38" t="n">
        <f aca="false">Q37+Q38+Q39</f>
        <v>0.06</v>
      </c>
      <c r="R36" s="39" t="n">
        <f aca="false">IFERROR(R35/M35-1,0)</f>
        <v>0.0600000000000001</v>
      </c>
      <c r="S36" s="38" t="n">
        <f aca="false">S37+S38+S39</f>
        <v>0.06</v>
      </c>
      <c r="T36" s="38" t="n">
        <f aca="false">T37+T38+T39</f>
        <v>0.06</v>
      </c>
      <c r="U36" s="38" t="n">
        <f aca="false">U37+U38+U39</f>
        <v>0.06</v>
      </c>
      <c r="V36" s="38" t="n">
        <f aca="false">V37+V38+V39</f>
        <v>0.06</v>
      </c>
      <c r="W36" s="39" t="n">
        <f aca="false">IFERROR(W35/R35-1,0)</f>
        <v>0.0600000000000001</v>
      </c>
    </row>
    <row r="37" customFormat="false" ht="15" hidden="false" customHeight="false" outlineLevel="0" collapsed="false">
      <c r="C37" s="22" t="s">
        <v>37</v>
      </c>
      <c r="H37" s="25"/>
      <c r="I37" s="40" t="n">
        <v>0.13</v>
      </c>
      <c r="J37" s="41" t="n">
        <v>0.06</v>
      </c>
      <c r="K37" s="41" t="n">
        <v>0.06</v>
      </c>
      <c r="L37" s="41" t="n">
        <v>0.06</v>
      </c>
      <c r="M37" s="39" t="n">
        <f aca="false">IFERROR(((I37*D35)+(J37*E35)+(K37*F35)+(L37*G35))/(D35+E35+F35+G35),0)</f>
        <v>0.0747118644067797</v>
      </c>
      <c r="N37" s="41" t="n">
        <v>0.06</v>
      </c>
      <c r="O37" s="41" t="n">
        <v>0.06</v>
      </c>
      <c r="P37" s="41" t="n">
        <v>0.06</v>
      </c>
      <c r="Q37" s="41" t="n">
        <v>0.06</v>
      </c>
      <c r="R37" s="39" t="n">
        <f aca="false">IFERROR(((N37*I35)+(O37*J35)+(P37*K35)+(Q37*L35))/(I35+J35+K35+L35),0)</f>
        <v>0.06</v>
      </c>
      <c r="S37" s="41" t="n">
        <v>0.06</v>
      </c>
      <c r="T37" s="41" t="n">
        <v>0.06</v>
      </c>
      <c r="U37" s="41" t="n">
        <v>0.06</v>
      </c>
      <c r="V37" s="41" t="n">
        <v>0.06</v>
      </c>
      <c r="W37" s="39" t="n">
        <f aca="false">IFERROR(((S37*N35)+(T37*O35)+(U37*P35)+(V37*Q35))/(N35+O35+P35+Q35),0)</f>
        <v>0.06</v>
      </c>
    </row>
    <row r="38" customFormat="false" ht="15" hidden="false" customHeight="false" outlineLevel="0" collapsed="false">
      <c r="C38" s="22" t="s">
        <v>32</v>
      </c>
      <c r="H38" s="25"/>
      <c r="I38" s="38" t="n">
        <f aca="false">I36-I37-I39</f>
        <v>0.00129032258064524</v>
      </c>
      <c r="J38" s="41" t="n">
        <v>0</v>
      </c>
      <c r="K38" s="41" t="n">
        <v>0</v>
      </c>
      <c r="L38" s="41" t="n">
        <v>0</v>
      </c>
      <c r="M38" s="39" t="n">
        <f aca="false">IFERROR(((I38*D35)+(J38*E35)+(K38*F35)+(L38*G35))/(D35+E35+F35+G35),0)</f>
        <v>0.000271186440677982</v>
      </c>
      <c r="N38" s="41" t="n">
        <v>0</v>
      </c>
      <c r="O38" s="41" t="n">
        <v>0</v>
      </c>
      <c r="P38" s="41" t="n">
        <v>0</v>
      </c>
      <c r="Q38" s="41" t="n">
        <v>0</v>
      </c>
      <c r="R38" s="39" t="n">
        <f aca="false">IFERROR(((N38*I35)+(O38*J35)+(P38*K35)+(Q38*L35))/(I35+J35+K35+L35),0)</f>
        <v>0</v>
      </c>
      <c r="S38" s="41" t="n">
        <v>0</v>
      </c>
      <c r="T38" s="41" t="n">
        <v>0</v>
      </c>
      <c r="U38" s="41" t="n">
        <v>0</v>
      </c>
      <c r="V38" s="41" t="n">
        <v>0</v>
      </c>
      <c r="W38" s="39" t="n">
        <f aca="false">IFERROR(((S38*N35)+(T38*O35)+(U38*P35)+(V38*Q35))/(N35+O35+P35+Q35),0)</f>
        <v>0</v>
      </c>
    </row>
    <row r="39" customFormat="false" ht="15" hidden="false" customHeight="false" outlineLevel="0" collapsed="false">
      <c r="C39" s="22" t="s">
        <v>33</v>
      </c>
      <c r="H39" s="25"/>
      <c r="I39" s="40" t="n">
        <v>0.03</v>
      </c>
      <c r="J39" s="41" t="n">
        <v>0</v>
      </c>
      <c r="K39" s="41" t="n">
        <v>0</v>
      </c>
      <c r="L39" s="41" t="n">
        <v>0</v>
      </c>
      <c r="M39" s="39" t="n">
        <f aca="false">IFERROR(((I39*D35)+(J39*E35)+(K39*F35)+(L39*G35))/(D35+E35+F35+G35),0)</f>
        <v>0.00630508474576271</v>
      </c>
      <c r="N39" s="41" t="n">
        <v>0</v>
      </c>
      <c r="O39" s="41" t="n">
        <v>0</v>
      </c>
      <c r="P39" s="41" t="n">
        <v>0</v>
      </c>
      <c r="Q39" s="41" t="n">
        <v>0</v>
      </c>
      <c r="R39" s="39" t="n">
        <f aca="false">IFERROR(((N39*I35)+(O39*J35)+(P39*K35)+(Q39*L35))/(I35+J35+K35+L35),0)</f>
        <v>0</v>
      </c>
      <c r="S39" s="41" t="n">
        <v>0</v>
      </c>
      <c r="T39" s="41" t="n">
        <v>0</v>
      </c>
      <c r="U39" s="41" t="n">
        <v>0</v>
      </c>
      <c r="V39" s="41" t="n">
        <v>0</v>
      </c>
      <c r="W39" s="39" t="n">
        <f aca="false">IFERROR(((S39*N35)+(T39*O35)+(U39*P35)+(V39*Q35))/(N35+O35+P35+Q35),0)</f>
        <v>0</v>
      </c>
    </row>
    <row r="40" customFormat="false" ht="15" hidden="false" customHeight="false" outlineLevel="0" collapsed="false">
      <c r="C40" s="26" t="s">
        <v>50</v>
      </c>
      <c r="D40" s="42" t="n">
        <f aca="false">D25+D30+D35</f>
        <v>534</v>
      </c>
      <c r="E40" s="42" t="n">
        <f aca="false">E25+E30+E35</f>
        <v>625</v>
      </c>
      <c r="F40" s="42" t="n">
        <f aca="false">F25+F30+F35</f>
        <v>650</v>
      </c>
      <c r="G40" s="42" t="n">
        <f aca="false">G25+G30+G35</f>
        <v>732</v>
      </c>
      <c r="H40" s="43" t="n">
        <f aca="false">H25+H30+H35</f>
        <v>2541</v>
      </c>
      <c r="I40" s="42" t="n">
        <f aca="false">I25+I30+I35</f>
        <v>607</v>
      </c>
      <c r="J40" s="42" t="n">
        <f aca="false">J25+J30+J35</f>
        <v>662.5</v>
      </c>
      <c r="K40" s="42" t="n">
        <f aca="false">K25+K30+K35</f>
        <v>689</v>
      </c>
      <c r="L40" s="42" t="n">
        <f aca="false">L25+L30+L35</f>
        <v>775.92</v>
      </c>
      <c r="M40" s="43" t="n">
        <f aca="false">M25+M30+M35</f>
        <v>2734.42</v>
      </c>
      <c r="N40" s="42" t="n">
        <f aca="false">N25+N30+N35</f>
        <v>643.42</v>
      </c>
      <c r="O40" s="42" t="n">
        <f aca="false">O25+O30+O35</f>
        <v>702.25</v>
      </c>
      <c r="P40" s="42" t="n">
        <f aca="false">P25+P30+P35</f>
        <v>730.34</v>
      </c>
      <c r="Q40" s="42" t="n">
        <f aca="false">Q25+Q30+Q35</f>
        <v>822.4752</v>
      </c>
      <c r="R40" s="43" t="n">
        <f aca="false">R25+R30+R35</f>
        <v>2898.4852</v>
      </c>
      <c r="S40" s="42" t="n">
        <f aca="false">S25+S30+S35</f>
        <v>682.0252</v>
      </c>
      <c r="T40" s="42" t="n">
        <f aca="false">T25+T30+T35</f>
        <v>744.385</v>
      </c>
      <c r="U40" s="42" t="n">
        <f aca="false">U25+U30+U35</f>
        <v>774.1604</v>
      </c>
      <c r="V40" s="42" t="n">
        <f aca="false">V25+V30+V35</f>
        <v>871.823712</v>
      </c>
      <c r="W40" s="43" t="n">
        <f aca="false">W25+W30+W35</f>
        <v>3072.394312</v>
      </c>
    </row>
    <row r="41" customFormat="false" ht="15" hidden="false" customHeight="false" outlineLevel="0" collapsed="false">
      <c r="C41" s="22" t="s">
        <v>30</v>
      </c>
      <c r="H41" s="25"/>
      <c r="I41" s="31" t="n">
        <f aca="false">IFERROR(I40/D40-1,0)</f>
        <v>0.136704119850187</v>
      </c>
      <c r="J41" s="31" t="n">
        <f aca="false">IFERROR(J40/E40-1,0)</f>
        <v>0.0600000000000001</v>
      </c>
      <c r="K41" s="31" t="n">
        <f aca="false">IFERROR(K40/F40-1,0)</f>
        <v>0.0600000000000001</v>
      </c>
      <c r="L41" s="31" t="n">
        <f aca="false">IFERROR(L40/G40-1,0)</f>
        <v>0.0600000000000001</v>
      </c>
      <c r="M41" s="32" t="n">
        <f aca="false">IFERROR(M40/H40-1,0)</f>
        <v>0.0761196379378197</v>
      </c>
      <c r="N41" s="31" t="n">
        <f aca="false">IFERROR(N40/I40-1,0)</f>
        <v>0.0600000000000001</v>
      </c>
      <c r="O41" s="31" t="n">
        <f aca="false">IFERROR(O40/J40-1,0)</f>
        <v>0.0600000000000001</v>
      </c>
      <c r="P41" s="31" t="n">
        <f aca="false">IFERROR(P40/K40-1,0)</f>
        <v>0.0600000000000001</v>
      </c>
      <c r="Q41" s="31" t="n">
        <f aca="false">IFERROR(Q40/L40-1,0)</f>
        <v>0.0600000000000001</v>
      </c>
      <c r="R41" s="32" t="n">
        <f aca="false">IFERROR(R40/M40-1,0)</f>
        <v>0.0600000000000001</v>
      </c>
      <c r="S41" s="31" t="n">
        <f aca="false">IFERROR(S40/N40-1,0)</f>
        <v>0.0600000000000001</v>
      </c>
      <c r="T41" s="31" t="n">
        <f aca="false">IFERROR(T40/O40-1,0)</f>
        <v>0.0600000000000001</v>
      </c>
      <c r="U41" s="31" t="n">
        <f aca="false">IFERROR(U40/P40-1,0)</f>
        <v>0.0600000000000003</v>
      </c>
      <c r="V41" s="31" t="n">
        <f aca="false">IFERROR(V40/Q40-1,0)</f>
        <v>0.0600000000000001</v>
      </c>
      <c r="W41" s="32" t="n">
        <f aca="false">IFERROR(W40/R40-1,0)</f>
        <v>0.0600000000000001</v>
      </c>
    </row>
    <row r="42" customFormat="false" ht="15" hidden="false" customHeight="false" outlineLevel="0" collapsed="false">
      <c r="C42" s="22" t="s">
        <v>37</v>
      </c>
      <c r="H42" s="25"/>
      <c r="I42" s="31" t="n">
        <f aca="false">IFERROR(((I27*D25)+(I32*D30)+(I37*D35))/(D25+D30+D35),0)</f>
        <v>0.115880149812734</v>
      </c>
      <c r="J42" s="31" t="n">
        <f aca="false">IFERROR(((J27*E25)+(J32*E30)+(J37*E35))/(E25+E30+E35),0)</f>
        <v>0.06</v>
      </c>
      <c r="K42" s="31" t="n">
        <f aca="false">IFERROR(((K27*F25)+(K32*F30)+(K37*F35))/(F25+F30+F35),0)</f>
        <v>0.06</v>
      </c>
      <c r="L42" s="31" t="n">
        <f aca="false">IFERROR(((L27*G25)+(L32*G30)+(L37*G35))/(G25+G30+G35),0)</f>
        <v>0.06</v>
      </c>
      <c r="M42" s="32" t="n">
        <f aca="false">IFERROR(((I42*D40)+(J42*E40)+(K42*F40)+(L42*G40))/(D40+E40+F40+G40),0)</f>
        <v>0.0717434081070445</v>
      </c>
      <c r="N42" s="31" t="n">
        <f aca="false">IFERROR(((N27*I25)+(N32*I30)+(N37*I35))/(I25+I30+I35),0)</f>
        <v>0.06</v>
      </c>
      <c r="O42" s="31" t="n">
        <f aca="false">IFERROR(((O27*J25)+(O32*J30)+(O37*J35))/(J25+J30+J35),0)</f>
        <v>0.06</v>
      </c>
      <c r="P42" s="31" t="n">
        <f aca="false">IFERROR(((P27*K25)+(P32*K30)+(P37*K35))/(K25+K30+K35),0)</f>
        <v>0.06</v>
      </c>
      <c r="Q42" s="31" t="n">
        <f aca="false">IFERROR(((Q27*L25)+(Q32*L30)+(Q37*L35))/(L25+L30+L35),0)</f>
        <v>0.06</v>
      </c>
      <c r="R42" s="32" t="n">
        <f aca="false">IFERROR(((N42*I40)+(O42*J40)+(P42*K40)+(Q42*L40))/(I40+J40+K40+L40),0)</f>
        <v>0.06</v>
      </c>
      <c r="S42" s="31" t="n">
        <f aca="false">IFERROR(((S27*N25)+(S32*N30)+(S37*N35))/(N25+N30+N35),0)</f>
        <v>0.06</v>
      </c>
      <c r="T42" s="31" t="n">
        <f aca="false">IFERROR(((T27*O25)+(T32*O30)+(T37*O35))/(O25+O30+O35),0)</f>
        <v>0.06</v>
      </c>
      <c r="U42" s="31" t="n">
        <f aca="false">IFERROR(((U27*P25)+(U32*P30)+(U37*P35))/(P25+P30+P35),0)</f>
        <v>0.06</v>
      </c>
      <c r="V42" s="31" t="n">
        <f aca="false">IFERROR(((V27*Q25)+(V32*Q30)+(V37*Q35))/(Q25+Q30+Q35),0)</f>
        <v>0.06</v>
      </c>
      <c r="W42" s="32" t="n">
        <f aca="false">IFERROR(((S42*N40)+(T42*O40)+(U42*P40)+(V42*Q40))/(N40+O40+P40+Q40),0)</f>
        <v>0.06</v>
      </c>
    </row>
    <row r="43" customFormat="false" ht="15" hidden="false" customHeight="false" outlineLevel="0" collapsed="false">
      <c r="C43" s="22" t="s">
        <v>32</v>
      </c>
      <c r="H43" s="25"/>
      <c r="I43" s="31" t="n">
        <f aca="false">IFERROR(((I28*D25)+(I33*D30)+(I38*D35))/(D25+D30+D35),0)</f>
        <v>0.00172284644194755</v>
      </c>
      <c r="J43" s="31" t="n">
        <f aca="false">IFERROR(((J28*E25)+(J33*E30)+(J38*E35))/(E25+E30+E35),0)</f>
        <v>0</v>
      </c>
      <c r="K43" s="31" t="n">
        <f aca="false">IFERROR(((K28*F25)+(K33*F30)+(K38*F35))/(F25+F30+F35),0)</f>
        <v>0</v>
      </c>
      <c r="L43" s="31" t="n">
        <f aca="false">IFERROR(((L28*G25)+(L33*G30)+(L38*G35))/(G25+G30+G35),0)</f>
        <v>0</v>
      </c>
      <c r="M43" s="32" t="n">
        <f aca="false">IFERROR(((I43*D40)+(J43*E40)+(K43*F40)+(L43*G40))/(D40+E40+F40+G40),0)</f>
        <v>0.000362062180243994</v>
      </c>
      <c r="N43" s="31" t="n">
        <f aca="false">IFERROR(((N28*I25)+(N33*I30)+(N38*I35))/(I25+I30+I35),0)</f>
        <v>0</v>
      </c>
      <c r="O43" s="31" t="n">
        <f aca="false">IFERROR(((O28*J25)+(O33*J30)+(O38*J35))/(J25+J30+J35),0)</f>
        <v>0</v>
      </c>
      <c r="P43" s="31" t="n">
        <f aca="false">IFERROR(((P28*K25)+(P33*K30)+(P38*K35))/(K25+K30+K35),0)</f>
        <v>0</v>
      </c>
      <c r="Q43" s="31" t="n">
        <f aca="false">IFERROR(((Q28*L25)+(Q33*L30)+(Q38*L35))/(L25+L30+L35),0)</f>
        <v>0</v>
      </c>
      <c r="R43" s="32" t="n">
        <f aca="false">IFERROR(((N43*I40)+(O43*J40)+(P43*K40)+(Q43*L40))/(I40+J40+K40+L40),0)</f>
        <v>0</v>
      </c>
      <c r="S43" s="31" t="n">
        <f aca="false">IFERROR(((S28*N25)+(S33*N30)+(S38*N35))/(N25+N30+N35),0)</f>
        <v>0</v>
      </c>
      <c r="T43" s="31" t="n">
        <f aca="false">IFERROR(((T28*O25)+(T33*O30)+(T38*O35))/(O25+O30+O35),0)</f>
        <v>0</v>
      </c>
      <c r="U43" s="31" t="n">
        <f aca="false">IFERROR(((U28*P25)+(U33*P30)+(U38*P35))/(P25+P30+P35),0)</f>
        <v>0</v>
      </c>
      <c r="V43" s="31" t="n">
        <f aca="false">IFERROR(((V28*Q25)+(V33*Q30)+(V38*Q35))/(Q25+Q30+Q35),0)</f>
        <v>0</v>
      </c>
      <c r="W43" s="32" t="n">
        <f aca="false">IFERROR(((S43*N40)+(T43*O40)+(U43*P40)+(V43*Q40))/(N40+O40+P40+Q40),0)</f>
        <v>0</v>
      </c>
    </row>
    <row r="44" customFormat="false" ht="15" hidden="false" customHeight="false" outlineLevel="0" collapsed="false">
      <c r="C44" s="22" t="s">
        <v>33</v>
      </c>
      <c r="H44" s="25"/>
      <c r="I44" s="31" t="n">
        <f aca="false">IFERROR(((I29*D25)+(I34*D30)+(I39*D35))/(D25+D30+D35),0)</f>
        <v>0.0191011235955056</v>
      </c>
      <c r="J44" s="31" t="n">
        <f aca="false">IFERROR(((J29*E25)+(J34*E30)+(J39*E35))/(E25+E30+E35),0)</f>
        <v>0</v>
      </c>
      <c r="K44" s="31" t="n">
        <f aca="false">IFERROR(((K29*F25)+(K34*F30)+(K39*F35))/(F25+F30+F35),0)</f>
        <v>0</v>
      </c>
      <c r="L44" s="31" t="n">
        <f aca="false">IFERROR(((L29*G25)+(L34*G30)+(L39*G35))/(G25+G30+G35),0)</f>
        <v>0</v>
      </c>
      <c r="M44" s="32" t="n">
        <f aca="false">IFERROR(((I44*D40)+(J44*E40)+(K44*F40)+(L44*G40))/(D40+E40+F40+G40),0)</f>
        <v>0.00401416765053129</v>
      </c>
      <c r="N44" s="31" t="n">
        <f aca="false">IFERROR(((N29*I25)+(N34*I30)+(N39*I35))/(I25+I30+I35),0)</f>
        <v>0</v>
      </c>
      <c r="O44" s="31" t="n">
        <f aca="false">IFERROR(((O29*J25)+(O34*J30)+(O39*J35))/(J25+J30+J35),0)</f>
        <v>0</v>
      </c>
      <c r="P44" s="31" t="n">
        <f aca="false">IFERROR(((P29*K25)+(P34*K30)+(P39*K35))/(K25+K30+K35),0)</f>
        <v>0</v>
      </c>
      <c r="Q44" s="31" t="n">
        <f aca="false">IFERROR(((Q29*L25)+(Q34*L30)+(Q39*L35))/(L25+L30+L35),0)</f>
        <v>0</v>
      </c>
      <c r="R44" s="32" t="n">
        <f aca="false">IFERROR(((N44*I40)+(O44*J40)+(P44*K40)+(Q44*L40))/(I40+J40+K40+L40),0)</f>
        <v>0</v>
      </c>
      <c r="S44" s="31" t="n">
        <f aca="false">IFERROR(((S29*N25)+(S34*N30)+(S39*N35))/(N25+N30+N35),0)</f>
        <v>0</v>
      </c>
      <c r="T44" s="31" t="n">
        <f aca="false">IFERROR(((T29*O25)+(T34*O30)+(T39*O35))/(O25+O30+O35),0)</f>
        <v>0</v>
      </c>
      <c r="U44" s="31" t="n">
        <f aca="false">IFERROR(((U29*P25)+(U34*P30)+(U39*P35))/(P25+P30+P35),0)</f>
        <v>0</v>
      </c>
      <c r="V44" s="31" t="n">
        <f aca="false">IFERROR(((V29*Q25)+(V34*Q30)+(V39*Q35))/(Q25+Q30+Q35),0)</f>
        <v>0</v>
      </c>
      <c r="W44" s="32" t="n">
        <f aca="false">IFERROR(((S44*N40)+(T44*O40)+(U44*P40)+(V44*Q40))/(N40+O40+P40+Q40),0)</f>
        <v>0</v>
      </c>
    </row>
    <row r="45" customFormat="false" ht="15" hidden="false" customHeight="false" outlineLevel="0" collapsed="false">
      <c r="H45" s="25"/>
      <c r="M45" s="25"/>
      <c r="R45" s="25"/>
      <c r="W45" s="25"/>
    </row>
    <row r="46" customFormat="false" ht="15" hidden="false" customHeight="false" outlineLevel="0" collapsed="false">
      <c r="C46" s="26" t="s">
        <v>38</v>
      </c>
      <c r="D46" s="27"/>
      <c r="E46" s="27"/>
      <c r="F46" s="27"/>
      <c r="G46" s="27"/>
      <c r="H46" s="28"/>
      <c r="I46" s="27"/>
      <c r="J46" s="27"/>
      <c r="K46" s="27"/>
      <c r="L46" s="27"/>
      <c r="M46" s="28"/>
      <c r="N46" s="27"/>
      <c r="O46" s="27"/>
      <c r="P46" s="27"/>
      <c r="Q46" s="27"/>
      <c r="R46" s="28"/>
      <c r="S46" s="27"/>
      <c r="T46" s="27"/>
      <c r="U46" s="27"/>
      <c r="V46" s="27"/>
      <c r="W46" s="28"/>
    </row>
    <row r="47" customFormat="false" ht="15" hidden="false" customHeight="false" outlineLevel="0" collapsed="false">
      <c r="A47" s="22" t="s">
        <v>51</v>
      </c>
      <c r="C47" s="4" t="s">
        <v>52</v>
      </c>
      <c r="D47" s="35" t="n">
        <v>198</v>
      </c>
      <c r="E47" s="35" t="n">
        <v>201</v>
      </c>
      <c r="F47" s="35" t="n">
        <v>218</v>
      </c>
      <c r="G47" s="35" t="n">
        <v>184</v>
      </c>
      <c r="H47" s="36" t="n">
        <f aca="false">D47+E47+F47+G47</f>
        <v>801</v>
      </c>
      <c r="I47" s="35" t="n">
        <v>131</v>
      </c>
      <c r="J47" s="37" t="n">
        <f aca="false">E47*(1+J49+J50+J51)</f>
        <v>213.06</v>
      </c>
      <c r="K47" s="37" t="n">
        <f aca="false">F47*(1+K49+K50+K51)</f>
        <v>231.08</v>
      </c>
      <c r="L47" s="37" t="n">
        <f aca="false">G47*(1+L49+L50+L51)</f>
        <v>195.04</v>
      </c>
      <c r="M47" s="36" t="n">
        <f aca="false">I47+J47+K47+L47</f>
        <v>770.18</v>
      </c>
      <c r="N47" s="37" t="n">
        <f aca="false">I47*(1+N49+N50+N51)</f>
        <v>204.36</v>
      </c>
      <c r="O47" s="37" t="n">
        <f aca="false">J47*(1+O49+O50+O51)</f>
        <v>225.8436</v>
      </c>
      <c r="P47" s="37" t="n">
        <f aca="false">K47*(1+P49+P50+P51)</f>
        <v>244.9448</v>
      </c>
      <c r="Q47" s="37" t="n">
        <f aca="false">L47*(1+Q49+Q50+Q51)</f>
        <v>206.7424</v>
      </c>
      <c r="R47" s="36" t="n">
        <f aca="false">N47+O47+P47+Q47</f>
        <v>881.8908</v>
      </c>
      <c r="S47" s="37" t="n">
        <f aca="false">N47*(1+S49+S50+S51)</f>
        <v>216.6216</v>
      </c>
      <c r="T47" s="37" t="n">
        <f aca="false">O47*(1+T49+T50+T51)</f>
        <v>239.394216</v>
      </c>
      <c r="U47" s="37" t="n">
        <f aca="false">P47*(1+U49+U50+U51)</f>
        <v>259.641488</v>
      </c>
      <c r="V47" s="37" t="n">
        <f aca="false">Q47*(1+V49+V50+V51)</f>
        <v>219.146944</v>
      </c>
      <c r="W47" s="36" t="n">
        <f aca="false">S47+T47+U47+V47</f>
        <v>934.804248</v>
      </c>
    </row>
    <row r="48" customFormat="false" ht="15" hidden="false" customHeight="false" outlineLevel="0" collapsed="false">
      <c r="C48" s="22" t="s">
        <v>30</v>
      </c>
      <c r="H48" s="25"/>
      <c r="I48" s="38" t="n">
        <f aca="false">IFERROR(I47/D47-1,0)</f>
        <v>-0.338383838383838</v>
      </c>
      <c r="J48" s="38" t="n">
        <f aca="false">J49+J50+J51</f>
        <v>0.06</v>
      </c>
      <c r="K48" s="38" t="n">
        <f aca="false">K49+K50+K51</f>
        <v>0.06</v>
      </c>
      <c r="L48" s="38" t="n">
        <f aca="false">L49+L50+L51</f>
        <v>0.06</v>
      </c>
      <c r="M48" s="39" t="n">
        <f aca="false">IFERROR(M47/H47-1,0)</f>
        <v>-0.0384769038701622</v>
      </c>
      <c r="N48" s="38" t="n">
        <f aca="false">N49+N50+N51</f>
        <v>0.56</v>
      </c>
      <c r="O48" s="38" t="n">
        <f aca="false">O49+O50+O51</f>
        <v>0.06</v>
      </c>
      <c r="P48" s="38" t="n">
        <f aca="false">P49+P50+P51</f>
        <v>0.06</v>
      </c>
      <c r="Q48" s="38" t="n">
        <f aca="false">Q49+Q50+Q51</f>
        <v>0.06</v>
      </c>
      <c r="R48" s="39" t="n">
        <f aca="false">IFERROR(R47/M47-1,0)</f>
        <v>0.145045054402867</v>
      </c>
      <c r="S48" s="38" t="n">
        <f aca="false">S49+S50+S51</f>
        <v>0.06</v>
      </c>
      <c r="T48" s="38" t="n">
        <f aca="false">T49+T50+T51</f>
        <v>0.06</v>
      </c>
      <c r="U48" s="38" t="n">
        <f aca="false">U49+U50+U51</f>
        <v>0.06</v>
      </c>
      <c r="V48" s="38" t="n">
        <f aca="false">V49+V50+V51</f>
        <v>0.06</v>
      </c>
      <c r="W48" s="39" t="n">
        <f aca="false">IFERROR(W47/R47-1,0)</f>
        <v>0.0600000000000001</v>
      </c>
    </row>
    <row r="49" customFormat="false" ht="15" hidden="false" customHeight="false" outlineLevel="0" collapsed="false">
      <c r="C49" s="22" t="s">
        <v>37</v>
      </c>
      <c r="H49" s="25"/>
      <c r="I49" s="40" t="n">
        <v>0.07</v>
      </c>
      <c r="J49" s="41" t="n">
        <v>0.06</v>
      </c>
      <c r="K49" s="41" t="n">
        <v>0.06</v>
      </c>
      <c r="L49" s="41" t="n">
        <v>0.06</v>
      </c>
      <c r="M49" s="39" t="n">
        <f aca="false">IFERROR(((I49*D47)+(J49*E47)+(K49*F47)+(L49*G47))/(D47+E47+F47+G47),0)</f>
        <v>0.0624719101123596</v>
      </c>
      <c r="N49" s="41" t="n">
        <v>0.06</v>
      </c>
      <c r="O49" s="41" t="n">
        <v>0.06</v>
      </c>
      <c r="P49" s="41" t="n">
        <v>0.06</v>
      </c>
      <c r="Q49" s="41" t="n">
        <v>0.06</v>
      </c>
      <c r="R49" s="39" t="n">
        <f aca="false">IFERROR(((N49*I47)+(O49*J47)+(P49*K47)+(Q49*L47))/(I47+J47+K47+L47),0)</f>
        <v>0.06</v>
      </c>
      <c r="S49" s="41" t="n">
        <v>0.06</v>
      </c>
      <c r="T49" s="41" t="n">
        <v>0.06</v>
      </c>
      <c r="U49" s="41" t="n">
        <v>0.06</v>
      </c>
      <c r="V49" s="41" t="n">
        <v>0.06</v>
      </c>
      <c r="W49" s="39" t="n">
        <f aca="false">IFERROR(((S49*N47)+(T49*O47)+(U49*P47)+(V49*Q47))/(N47+O47+P47+Q47),0)</f>
        <v>0.06</v>
      </c>
    </row>
    <row r="50" customFormat="false" ht="15" hidden="false" customHeight="false" outlineLevel="0" collapsed="false">
      <c r="C50" s="22" t="s">
        <v>32</v>
      </c>
      <c r="H50" s="25"/>
      <c r="I50" s="38" t="n">
        <f aca="false">I48-I49-I51</f>
        <v>-0.428383838383838</v>
      </c>
      <c r="J50" s="41" t="n">
        <v>0</v>
      </c>
      <c r="K50" s="41" t="n">
        <v>0</v>
      </c>
      <c r="L50" s="41" t="n">
        <v>0</v>
      </c>
      <c r="M50" s="39" t="n">
        <f aca="false">IFERROR(((I50*D47)+(J50*E47)+(K50*F47)+(L50*G47))/(D47+E47+F47+G47),0)</f>
        <v>-0.105892634207241</v>
      </c>
      <c r="N50" s="41" t="n">
        <v>0.5</v>
      </c>
      <c r="O50" s="41" t="n">
        <v>0</v>
      </c>
      <c r="P50" s="41" t="n">
        <v>0</v>
      </c>
      <c r="Q50" s="41" t="n">
        <v>0</v>
      </c>
      <c r="R50" s="39" t="n">
        <f aca="false">IFERROR(((N50*I47)+(O50*J47)+(P50*K47)+(Q50*L47))/(I47+J47+K47+L47),0)</f>
        <v>0.0850450544028669</v>
      </c>
      <c r="S50" s="41" t="n">
        <v>0</v>
      </c>
      <c r="T50" s="41" t="n">
        <v>0</v>
      </c>
      <c r="U50" s="41" t="n">
        <v>0</v>
      </c>
      <c r="V50" s="41" t="n">
        <v>0</v>
      </c>
      <c r="W50" s="39" t="n">
        <f aca="false">IFERROR(((S50*N47)+(T50*O47)+(U50*P47)+(V50*Q47))/(N47+O47+P47+Q47),0)</f>
        <v>0</v>
      </c>
    </row>
    <row r="51" customFormat="false" ht="15" hidden="false" customHeight="false" outlineLevel="0" collapsed="false">
      <c r="C51" s="22" t="s">
        <v>33</v>
      </c>
      <c r="H51" s="25"/>
      <c r="I51" s="40" t="n">
        <v>0.02</v>
      </c>
      <c r="J51" s="41" t="n">
        <v>0</v>
      </c>
      <c r="K51" s="41" t="n">
        <v>0</v>
      </c>
      <c r="L51" s="41" t="n">
        <v>0</v>
      </c>
      <c r="M51" s="39" t="n">
        <f aca="false">IFERROR(((I51*D47)+(J51*E47)+(K51*F47)+(L51*G47))/(D47+E47+F47+G47),0)</f>
        <v>0.0049438202247191</v>
      </c>
      <c r="N51" s="41" t="n">
        <v>0</v>
      </c>
      <c r="O51" s="41" t="n">
        <v>0</v>
      </c>
      <c r="P51" s="41" t="n">
        <v>0</v>
      </c>
      <c r="Q51" s="41" t="n">
        <v>0</v>
      </c>
      <c r="R51" s="39" t="n">
        <f aca="false">IFERROR(((N51*I47)+(O51*J47)+(P51*K47)+(Q51*L47))/(I47+J47+K47+L47),0)</f>
        <v>0</v>
      </c>
      <c r="S51" s="41" t="n">
        <v>0</v>
      </c>
      <c r="T51" s="41" t="n">
        <v>0</v>
      </c>
      <c r="U51" s="41" t="n">
        <v>0</v>
      </c>
      <c r="V51" s="41" t="n">
        <v>0</v>
      </c>
      <c r="W51" s="39" t="n">
        <f aca="false">IFERROR(((S51*N47)+(T51*O47)+(U51*P47)+(V51*Q47))/(N47+O47+P47+Q47),0)</f>
        <v>0</v>
      </c>
    </row>
    <row r="52" customFormat="false" ht="15" hidden="false" customHeight="false" outlineLevel="0" collapsed="false">
      <c r="A52" s="22" t="s">
        <v>51</v>
      </c>
      <c r="C52" s="4" t="s">
        <v>53</v>
      </c>
      <c r="D52" s="35" t="n">
        <v>154</v>
      </c>
      <c r="E52" s="35" t="n">
        <v>157</v>
      </c>
      <c r="F52" s="35" t="n">
        <v>169</v>
      </c>
      <c r="G52" s="35" t="n">
        <v>143</v>
      </c>
      <c r="H52" s="36" t="n">
        <f aca="false">D52+E52+F52+G52</f>
        <v>623</v>
      </c>
      <c r="I52" s="35" t="n">
        <v>102</v>
      </c>
      <c r="J52" s="37" t="n">
        <f aca="false">E52*(1+J54+J55+J56)</f>
        <v>166.42</v>
      </c>
      <c r="K52" s="37" t="n">
        <f aca="false">F52*(1+K54+K55+K56)</f>
        <v>179.14</v>
      </c>
      <c r="L52" s="37" t="n">
        <f aca="false">G52*(1+L54+L55+L56)</f>
        <v>151.58</v>
      </c>
      <c r="M52" s="36" t="n">
        <f aca="false">I52+J52+K52+L52</f>
        <v>599.14</v>
      </c>
      <c r="N52" s="37" t="n">
        <f aca="false">I52*(1+N54+N55+N56)</f>
        <v>159.12</v>
      </c>
      <c r="O52" s="37" t="n">
        <f aca="false">J52*(1+O54+O55+O56)</f>
        <v>176.4052</v>
      </c>
      <c r="P52" s="37" t="n">
        <f aca="false">K52*(1+P54+P55+P56)</f>
        <v>189.8884</v>
      </c>
      <c r="Q52" s="37" t="n">
        <f aca="false">L52*(1+Q54+Q55+Q56)</f>
        <v>160.6748</v>
      </c>
      <c r="R52" s="36" t="n">
        <f aca="false">N52+O52+P52+Q52</f>
        <v>686.0884</v>
      </c>
      <c r="S52" s="37" t="n">
        <f aca="false">N52*(1+S54+S55+S56)</f>
        <v>168.6672</v>
      </c>
      <c r="T52" s="37" t="n">
        <f aca="false">O52*(1+T54+T55+T56)</f>
        <v>186.989512</v>
      </c>
      <c r="U52" s="37" t="n">
        <f aca="false">P52*(1+U54+U55+U56)</f>
        <v>201.281704</v>
      </c>
      <c r="V52" s="37" t="n">
        <f aca="false">Q52*(1+V54+V55+V56)</f>
        <v>170.315288</v>
      </c>
      <c r="W52" s="36" t="n">
        <f aca="false">S52+T52+U52+V52</f>
        <v>727.253704</v>
      </c>
    </row>
    <row r="53" customFormat="false" ht="15" hidden="false" customHeight="false" outlineLevel="0" collapsed="false">
      <c r="C53" s="22" t="s">
        <v>30</v>
      </c>
      <c r="H53" s="25"/>
      <c r="I53" s="38" t="n">
        <f aca="false">IFERROR(I52/D52-1,0)</f>
        <v>-0.337662337662338</v>
      </c>
      <c r="J53" s="38" t="n">
        <f aca="false">J54+J55+J56</f>
        <v>0.06</v>
      </c>
      <c r="K53" s="38" t="n">
        <f aca="false">K54+K55+K56</f>
        <v>0.06</v>
      </c>
      <c r="L53" s="38" t="n">
        <f aca="false">L54+L55+L56</f>
        <v>0.06</v>
      </c>
      <c r="M53" s="39" t="n">
        <f aca="false">IFERROR(M52/H52-1,0)</f>
        <v>-0.0382985553772069</v>
      </c>
      <c r="N53" s="38" t="n">
        <f aca="false">N54+N55+N56</f>
        <v>0.56</v>
      </c>
      <c r="O53" s="38" t="n">
        <f aca="false">O54+O55+O56</f>
        <v>0.06</v>
      </c>
      <c r="P53" s="38" t="n">
        <f aca="false">P54+P55+P56</f>
        <v>0.06</v>
      </c>
      <c r="Q53" s="38" t="n">
        <f aca="false">Q54+Q55+Q56</f>
        <v>0.06</v>
      </c>
      <c r="R53" s="39" t="n">
        <f aca="false">IFERROR(R52/M52-1,0)</f>
        <v>0.14512200821177</v>
      </c>
      <c r="S53" s="38" t="n">
        <f aca="false">S54+S55+S56</f>
        <v>0.06</v>
      </c>
      <c r="T53" s="38" t="n">
        <f aca="false">T54+T55+T56</f>
        <v>0.06</v>
      </c>
      <c r="U53" s="38" t="n">
        <f aca="false">U54+U55+U56</f>
        <v>0.06</v>
      </c>
      <c r="V53" s="38" t="n">
        <f aca="false">V54+V55+V56</f>
        <v>0.06</v>
      </c>
      <c r="W53" s="39" t="n">
        <f aca="false">IFERROR(W52/R52-1,0)</f>
        <v>0.0600000000000001</v>
      </c>
    </row>
    <row r="54" customFormat="false" ht="15" hidden="false" customHeight="false" outlineLevel="0" collapsed="false">
      <c r="C54" s="22" t="s">
        <v>37</v>
      </c>
      <c r="H54" s="25"/>
      <c r="I54" s="40" t="n">
        <v>0.07</v>
      </c>
      <c r="J54" s="41" t="n">
        <v>0.06</v>
      </c>
      <c r="K54" s="41" t="n">
        <v>0.06</v>
      </c>
      <c r="L54" s="41" t="n">
        <v>0.06</v>
      </c>
      <c r="M54" s="39" t="n">
        <f aca="false">IFERROR(((I54*D52)+(J54*E52)+(K54*F52)+(L54*G52))/(D52+E52+F52+G52),0)</f>
        <v>0.0624719101123596</v>
      </c>
      <c r="N54" s="41" t="n">
        <v>0.06</v>
      </c>
      <c r="O54" s="41" t="n">
        <v>0.06</v>
      </c>
      <c r="P54" s="41" t="n">
        <v>0.06</v>
      </c>
      <c r="Q54" s="41" t="n">
        <v>0.06</v>
      </c>
      <c r="R54" s="39" t="n">
        <f aca="false">IFERROR(((N54*I52)+(O54*J52)+(P54*K52)+(Q54*L52))/(I52+J52+K52+L52),0)</f>
        <v>0.06</v>
      </c>
      <c r="S54" s="41" t="n">
        <v>0.06</v>
      </c>
      <c r="T54" s="41" t="n">
        <v>0.06</v>
      </c>
      <c r="U54" s="41" t="n">
        <v>0.06</v>
      </c>
      <c r="V54" s="41" t="n">
        <v>0.06</v>
      </c>
      <c r="W54" s="39" t="n">
        <f aca="false">IFERROR(((S54*N52)+(T54*O52)+(U54*P52)+(V54*Q52))/(N52+O52+P52+Q52),0)</f>
        <v>0.06</v>
      </c>
    </row>
    <row r="55" customFormat="false" ht="15" hidden="false" customHeight="false" outlineLevel="0" collapsed="false">
      <c r="C55" s="22" t="s">
        <v>32</v>
      </c>
      <c r="H55" s="25"/>
      <c r="I55" s="38" t="n">
        <f aca="false">I53-I54-I56</f>
        <v>-0.427662337662338</v>
      </c>
      <c r="J55" s="41" t="n">
        <v>0</v>
      </c>
      <c r="K55" s="41" t="n">
        <v>0</v>
      </c>
      <c r="L55" s="41" t="n">
        <v>0</v>
      </c>
      <c r="M55" s="39" t="n">
        <f aca="false">IFERROR(((I55*D52)+(J55*E52)+(K55*F52)+(L55*G52))/(D52+E52+F52+G52),0)</f>
        <v>-0.105714285714286</v>
      </c>
      <c r="N55" s="41" t="n">
        <v>0.5</v>
      </c>
      <c r="O55" s="41" t="n">
        <v>0</v>
      </c>
      <c r="P55" s="41" t="n">
        <v>0</v>
      </c>
      <c r="Q55" s="41" t="n">
        <v>0</v>
      </c>
      <c r="R55" s="39" t="n">
        <f aca="false">IFERROR(((N55*I52)+(O55*J52)+(P55*K52)+(Q55*L52))/(I52+J52+K52+L52),0)</f>
        <v>0.0851220082117702</v>
      </c>
      <c r="S55" s="41" t="n">
        <v>0</v>
      </c>
      <c r="T55" s="41" t="n">
        <v>0</v>
      </c>
      <c r="U55" s="41" t="n">
        <v>0</v>
      </c>
      <c r="V55" s="41" t="n">
        <v>0</v>
      </c>
      <c r="W55" s="39" t="n">
        <f aca="false">IFERROR(((S55*N52)+(T55*O52)+(U55*P52)+(V55*Q52))/(N52+O52+P52+Q52),0)</f>
        <v>0</v>
      </c>
    </row>
    <row r="56" customFormat="false" ht="15" hidden="false" customHeight="false" outlineLevel="0" collapsed="false">
      <c r="C56" s="22" t="s">
        <v>33</v>
      </c>
      <c r="H56" s="25"/>
      <c r="I56" s="40" t="n">
        <v>0.02</v>
      </c>
      <c r="J56" s="41" t="n">
        <v>0</v>
      </c>
      <c r="K56" s="41" t="n">
        <v>0</v>
      </c>
      <c r="L56" s="41" t="n">
        <v>0</v>
      </c>
      <c r="M56" s="39" t="n">
        <f aca="false">IFERROR(((I56*D52)+(J56*E52)+(K56*F52)+(L56*G52))/(D52+E52+F52+G52),0)</f>
        <v>0.0049438202247191</v>
      </c>
      <c r="N56" s="41" t="n">
        <v>0</v>
      </c>
      <c r="O56" s="41" t="n">
        <v>0</v>
      </c>
      <c r="P56" s="41" t="n">
        <v>0</v>
      </c>
      <c r="Q56" s="41" t="n">
        <v>0</v>
      </c>
      <c r="R56" s="39" t="n">
        <f aca="false">IFERROR(((N56*I52)+(O56*J52)+(P56*K52)+(Q56*L52))/(I52+J52+K52+L52),0)</f>
        <v>0</v>
      </c>
      <c r="S56" s="41" t="n">
        <v>0</v>
      </c>
      <c r="T56" s="41" t="n">
        <v>0</v>
      </c>
      <c r="U56" s="41" t="n">
        <v>0</v>
      </c>
      <c r="V56" s="41" t="n">
        <v>0</v>
      </c>
      <c r="W56" s="39" t="n">
        <f aca="false">IFERROR(((S56*N52)+(T56*O52)+(U56*P52)+(V56*Q52))/(N52+O52+P52+Q52),0)</f>
        <v>0</v>
      </c>
    </row>
    <row r="57" customFormat="false" ht="15" hidden="false" customHeight="false" outlineLevel="0" collapsed="false">
      <c r="C57" s="26" t="s">
        <v>54</v>
      </c>
      <c r="D57" s="42" t="n">
        <f aca="false">D47+D52</f>
        <v>352</v>
      </c>
      <c r="E57" s="42" t="n">
        <f aca="false">E47+E52</f>
        <v>358</v>
      </c>
      <c r="F57" s="42" t="n">
        <f aca="false">F47+F52</f>
        <v>387</v>
      </c>
      <c r="G57" s="42" t="n">
        <f aca="false">G47+G52</f>
        <v>327</v>
      </c>
      <c r="H57" s="43" t="n">
        <f aca="false">H47+H52</f>
        <v>1424</v>
      </c>
      <c r="I57" s="42" t="n">
        <f aca="false">I47+I52</f>
        <v>233</v>
      </c>
      <c r="J57" s="42" t="n">
        <f aca="false">J47+J52</f>
        <v>379.48</v>
      </c>
      <c r="K57" s="42" t="n">
        <f aca="false">K47+K52</f>
        <v>410.22</v>
      </c>
      <c r="L57" s="42" t="n">
        <f aca="false">L47+L52</f>
        <v>346.62</v>
      </c>
      <c r="M57" s="43" t="n">
        <f aca="false">M47+M52</f>
        <v>1369.32</v>
      </c>
      <c r="N57" s="42" t="n">
        <f aca="false">N47+N52</f>
        <v>363.48</v>
      </c>
      <c r="O57" s="42" t="n">
        <f aca="false">O47+O52</f>
        <v>402.2488</v>
      </c>
      <c r="P57" s="42" t="n">
        <f aca="false">P47+P52</f>
        <v>434.8332</v>
      </c>
      <c r="Q57" s="42" t="n">
        <f aca="false">Q47+Q52</f>
        <v>367.4172</v>
      </c>
      <c r="R57" s="43" t="n">
        <f aca="false">R47+R52</f>
        <v>1567.9792</v>
      </c>
      <c r="S57" s="42" t="n">
        <f aca="false">S47+S52</f>
        <v>385.2888</v>
      </c>
      <c r="T57" s="42" t="n">
        <f aca="false">T47+T52</f>
        <v>426.383728</v>
      </c>
      <c r="U57" s="42" t="n">
        <f aca="false">U47+U52</f>
        <v>460.923192</v>
      </c>
      <c r="V57" s="42" t="n">
        <f aca="false">V47+V52</f>
        <v>389.462232</v>
      </c>
      <c r="W57" s="43" t="n">
        <f aca="false">W47+W52</f>
        <v>1662.057952</v>
      </c>
    </row>
    <row r="58" customFormat="false" ht="15" hidden="false" customHeight="false" outlineLevel="0" collapsed="false">
      <c r="C58" s="22" t="s">
        <v>30</v>
      </c>
      <c r="H58" s="25"/>
      <c r="I58" s="31" t="n">
        <f aca="false">IFERROR(I57/D57-1,0)</f>
        <v>-0.338068181818182</v>
      </c>
      <c r="J58" s="31" t="n">
        <f aca="false">IFERROR(J57/E57-1,0)</f>
        <v>0.0600000000000001</v>
      </c>
      <c r="K58" s="31" t="n">
        <f aca="false">IFERROR(K57/F57-1,0)</f>
        <v>0.0600000000000001</v>
      </c>
      <c r="L58" s="31" t="n">
        <f aca="false">IFERROR(L57/G57-1,0)</f>
        <v>0.0600000000000001</v>
      </c>
      <c r="M58" s="32" t="n">
        <f aca="false">IFERROR(M57/H57-1,0)</f>
        <v>-0.0383988764044942</v>
      </c>
      <c r="N58" s="31" t="n">
        <f aca="false">IFERROR(N57/I57-1,0)</f>
        <v>0.56</v>
      </c>
      <c r="O58" s="31" t="n">
        <f aca="false">IFERROR(O57/J57-1,0)</f>
        <v>0.0600000000000001</v>
      </c>
      <c r="P58" s="31" t="n">
        <f aca="false">IFERROR(P57/K57-1,0)</f>
        <v>0.0600000000000001</v>
      </c>
      <c r="Q58" s="31" t="n">
        <f aca="false">IFERROR(Q57/L57-1,0)</f>
        <v>0.0600000000000003</v>
      </c>
      <c r="R58" s="32" t="n">
        <f aca="false">IFERROR(R57/M57-1,0)</f>
        <v>0.145078725206672</v>
      </c>
      <c r="S58" s="31" t="n">
        <f aca="false">IFERROR(S57/N57-1,0)</f>
        <v>0.0600000000000001</v>
      </c>
      <c r="T58" s="31" t="n">
        <f aca="false">IFERROR(T57/O57-1,0)</f>
        <v>0.0600000000000001</v>
      </c>
      <c r="U58" s="31" t="n">
        <f aca="false">IFERROR(U57/P57-1,0)</f>
        <v>0.0600000000000001</v>
      </c>
      <c r="V58" s="31" t="n">
        <f aca="false">IFERROR(V57/Q57-1,0)</f>
        <v>0.0600000000000001</v>
      </c>
      <c r="W58" s="32" t="n">
        <f aca="false">IFERROR(W57/R57-1,0)</f>
        <v>0.0599999999999998</v>
      </c>
    </row>
    <row r="59" customFormat="false" ht="15" hidden="false" customHeight="false" outlineLevel="0" collapsed="false">
      <c r="C59" s="22" t="s">
        <v>37</v>
      </c>
      <c r="H59" s="25"/>
      <c r="I59" s="31" t="n">
        <f aca="false">IFERROR(((I49*D47)+(I54*D52))/(D47+D52),0)</f>
        <v>0.07</v>
      </c>
      <c r="J59" s="31" t="n">
        <f aca="false">IFERROR(((J49*E47)+(J54*E52))/(E47+E52),0)</f>
        <v>0.06</v>
      </c>
      <c r="K59" s="31" t="n">
        <f aca="false">IFERROR(((K49*F47)+(K54*F52))/(F47+F52),0)</f>
        <v>0.06</v>
      </c>
      <c r="L59" s="31" t="n">
        <f aca="false">IFERROR(((L49*G47)+(L54*G52))/(G47+G52),0)</f>
        <v>0.06</v>
      </c>
      <c r="M59" s="32" t="n">
        <f aca="false">IFERROR(((I59*D57)+(J59*E57)+(K59*F57)+(L59*G57))/(D57+E57+F57+G57),0)</f>
        <v>0.0624719101123596</v>
      </c>
      <c r="N59" s="31" t="n">
        <f aca="false">IFERROR(((N49*I47)+(N54*I52))/(I47+I52),0)</f>
        <v>0.06</v>
      </c>
      <c r="O59" s="31" t="n">
        <f aca="false">IFERROR(((O49*J47)+(O54*J52))/(J47+J52),0)</f>
        <v>0.06</v>
      </c>
      <c r="P59" s="31" t="n">
        <f aca="false">IFERROR(((P49*K47)+(P54*K52))/(K47+K52),0)</f>
        <v>0.06</v>
      </c>
      <c r="Q59" s="31" t="n">
        <f aca="false">IFERROR(((Q49*L47)+(Q54*L52))/(L47+L52),0)</f>
        <v>0.06</v>
      </c>
      <c r="R59" s="32" t="n">
        <f aca="false">IFERROR(((N59*I57)+(O59*J57)+(P59*K57)+(Q59*L57))/(I57+J57+K57+L57),0)</f>
        <v>0.06</v>
      </c>
      <c r="S59" s="31" t="n">
        <f aca="false">IFERROR(((S49*N47)+(S54*N52))/(N47+N52),0)</f>
        <v>0.06</v>
      </c>
      <c r="T59" s="31" t="n">
        <f aca="false">IFERROR(((T49*O47)+(T54*O52))/(O47+O52),0)</f>
        <v>0.06</v>
      </c>
      <c r="U59" s="31" t="n">
        <f aca="false">IFERROR(((U49*P47)+(U54*P52))/(P47+P52),0)</f>
        <v>0.06</v>
      </c>
      <c r="V59" s="31" t="n">
        <f aca="false">IFERROR(((V49*Q47)+(V54*Q52))/(Q47+Q52),0)</f>
        <v>0.06</v>
      </c>
      <c r="W59" s="32" t="n">
        <f aca="false">IFERROR(((S59*N57)+(T59*O57)+(U59*P57)+(V59*Q57))/(N57+O57+P57+Q57),0)</f>
        <v>0.06</v>
      </c>
    </row>
    <row r="60" customFormat="false" ht="15" hidden="false" customHeight="false" outlineLevel="0" collapsed="false">
      <c r="C60" s="22" t="s">
        <v>32</v>
      </c>
      <c r="H60" s="25"/>
      <c r="I60" s="31" t="n">
        <f aca="false">IFERROR(((I50*D47)+(I55*D52))/(D47+D52),0)</f>
        <v>-0.428068181818182</v>
      </c>
      <c r="J60" s="31" t="n">
        <f aca="false">IFERROR(((J50*E47)+(J55*E52))/(E47+E52),0)</f>
        <v>0</v>
      </c>
      <c r="K60" s="31" t="n">
        <f aca="false">IFERROR(((K50*F47)+(K55*F52))/(F47+F52),0)</f>
        <v>0</v>
      </c>
      <c r="L60" s="31" t="n">
        <f aca="false">IFERROR(((L50*G47)+(L55*G52))/(G47+G52),0)</f>
        <v>0</v>
      </c>
      <c r="M60" s="32" t="n">
        <f aca="false">IFERROR(((I60*D57)+(J60*E57)+(K60*F57)+(L60*G57))/(D57+E57+F57+G57),0)</f>
        <v>-0.105814606741573</v>
      </c>
      <c r="N60" s="31" t="n">
        <f aca="false">IFERROR(((N50*I47)+(N55*I52))/(I47+I52),0)</f>
        <v>0.5</v>
      </c>
      <c r="O60" s="31" t="n">
        <f aca="false">IFERROR(((O50*J47)+(O55*J52))/(J47+J52),0)</f>
        <v>0</v>
      </c>
      <c r="P60" s="31" t="n">
        <f aca="false">IFERROR(((P50*K47)+(P55*K52))/(K47+K52),0)</f>
        <v>0</v>
      </c>
      <c r="Q60" s="31" t="n">
        <f aca="false">IFERROR(((Q50*L47)+(Q55*L52))/(L47+L52),0)</f>
        <v>0</v>
      </c>
      <c r="R60" s="32" t="n">
        <f aca="false">IFERROR(((N60*I57)+(O60*J57)+(P60*K57)+(Q60*L57))/(I57+J57+K57+L57),0)</f>
        <v>0.0850787252066719</v>
      </c>
      <c r="S60" s="31" t="n">
        <f aca="false">IFERROR(((S50*N47)+(S55*N52))/(N47+N52),0)</f>
        <v>0</v>
      </c>
      <c r="T60" s="31" t="n">
        <f aca="false">IFERROR(((T50*O47)+(T55*O52))/(O47+O52),0)</f>
        <v>0</v>
      </c>
      <c r="U60" s="31" t="n">
        <f aca="false">IFERROR(((U50*P47)+(U55*P52))/(P47+P52),0)</f>
        <v>0</v>
      </c>
      <c r="V60" s="31" t="n">
        <f aca="false">IFERROR(((V50*Q47)+(V55*Q52))/(Q47+Q52),0)</f>
        <v>0</v>
      </c>
      <c r="W60" s="32" t="n">
        <f aca="false">IFERROR(((S60*N57)+(T60*O57)+(U60*P57)+(V60*Q57))/(N57+O57+P57+Q57),0)</f>
        <v>0</v>
      </c>
    </row>
    <row r="61" customFormat="false" ht="15" hidden="false" customHeight="false" outlineLevel="0" collapsed="false">
      <c r="C61" s="22" t="s">
        <v>33</v>
      </c>
      <c r="H61" s="25"/>
      <c r="I61" s="31" t="n">
        <f aca="false">IFERROR(((I51*D47)+(I56*D52))/(D47+D52),0)</f>
        <v>0.02</v>
      </c>
      <c r="J61" s="31" t="n">
        <f aca="false">IFERROR(((J51*E47)+(J56*E52))/(E47+E52),0)</f>
        <v>0</v>
      </c>
      <c r="K61" s="31" t="n">
        <f aca="false">IFERROR(((K51*F47)+(K56*F52))/(F47+F52),0)</f>
        <v>0</v>
      </c>
      <c r="L61" s="31" t="n">
        <f aca="false">IFERROR(((L51*G47)+(L56*G52))/(G47+G52),0)</f>
        <v>0</v>
      </c>
      <c r="M61" s="32" t="n">
        <f aca="false">IFERROR(((I61*D57)+(J61*E57)+(K61*F57)+(L61*G57))/(D57+E57+F57+G57),0)</f>
        <v>0.0049438202247191</v>
      </c>
      <c r="N61" s="31" t="n">
        <f aca="false">IFERROR(((N51*I47)+(N56*I52))/(I47+I52),0)</f>
        <v>0</v>
      </c>
      <c r="O61" s="31" t="n">
        <f aca="false">IFERROR(((O51*J47)+(O56*J52))/(J47+J52),0)</f>
        <v>0</v>
      </c>
      <c r="P61" s="31" t="n">
        <f aca="false">IFERROR(((P51*K47)+(P56*K52))/(K47+K52),0)</f>
        <v>0</v>
      </c>
      <c r="Q61" s="31" t="n">
        <f aca="false">IFERROR(((Q51*L47)+(Q56*L52))/(L47+L52),0)</f>
        <v>0</v>
      </c>
      <c r="R61" s="32" t="n">
        <f aca="false">IFERROR(((N61*I57)+(O61*J57)+(P61*K57)+(Q61*L57))/(I57+J57+K57+L57),0)</f>
        <v>0</v>
      </c>
      <c r="S61" s="31" t="n">
        <f aca="false">IFERROR(((S51*N47)+(S56*N52))/(N47+N52),0)</f>
        <v>0</v>
      </c>
      <c r="T61" s="31" t="n">
        <f aca="false">IFERROR(((T51*O47)+(T56*O52))/(O47+O52),0)</f>
        <v>0</v>
      </c>
      <c r="U61" s="31" t="n">
        <f aca="false">IFERROR(((U51*P47)+(U56*P52))/(P47+P52),0)</f>
        <v>0</v>
      </c>
      <c r="V61" s="31" t="n">
        <f aca="false">IFERROR(((V51*Q47)+(V56*Q52))/(Q47+Q52),0)</f>
        <v>0</v>
      </c>
      <c r="W61" s="32" t="n">
        <f aca="false">IFERROR(((S61*N57)+(T61*O57)+(U61*P57)+(V61*Q57))/(N57+O57+P57+Q57),0)</f>
        <v>0</v>
      </c>
    </row>
    <row r="62" customFormat="false" ht="15" hidden="false" customHeight="false" outlineLevel="0" collapsed="false">
      <c r="H62" s="25"/>
      <c r="M62" s="25"/>
      <c r="R62" s="25"/>
      <c r="W62" s="25"/>
    </row>
    <row r="63" customFormat="false" ht="15" hidden="false" customHeight="false" outlineLevel="0" collapsed="false">
      <c r="C63" s="26" t="s">
        <v>39</v>
      </c>
      <c r="D63" s="27"/>
      <c r="E63" s="27"/>
      <c r="F63" s="27"/>
      <c r="G63" s="27"/>
      <c r="H63" s="28"/>
      <c r="I63" s="27"/>
      <c r="J63" s="27"/>
      <c r="K63" s="27"/>
      <c r="L63" s="27"/>
      <c r="M63" s="28"/>
      <c r="N63" s="27"/>
      <c r="O63" s="27"/>
      <c r="P63" s="27"/>
      <c r="Q63" s="27"/>
      <c r="R63" s="28"/>
      <c r="S63" s="27"/>
      <c r="T63" s="27"/>
      <c r="U63" s="27"/>
      <c r="V63" s="27"/>
      <c r="W63" s="28"/>
    </row>
    <row r="64" customFormat="false" ht="15" hidden="false" customHeight="false" outlineLevel="0" collapsed="false">
      <c r="A64" s="22" t="s">
        <v>46</v>
      </c>
      <c r="C64" s="4" t="s">
        <v>55</v>
      </c>
      <c r="D64" s="35" t="n">
        <v>54</v>
      </c>
      <c r="E64" s="35" t="n">
        <v>63</v>
      </c>
      <c r="F64" s="35" t="n">
        <v>64</v>
      </c>
      <c r="G64" s="35" t="n">
        <v>93</v>
      </c>
      <c r="H64" s="36" t="n">
        <f aca="false">D64+E64+F64+G64</f>
        <v>274</v>
      </c>
      <c r="I64" s="35" t="n">
        <v>61</v>
      </c>
      <c r="J64" s="37" t="n">
        <f aca="false">E64*(1+J66+J67+J68)</f>
        <v>66.78</v>
      </c>
      <c r="K64" s="37" t="n">
        <f aca="false">F64*(1+K66+K67+K68)</f>
        <v>67.84</v>
      </c>
      <c r="L64" s="37" t="n">
        <f aca="false">G64*(1+L66+L67+L68)</f>
        <v>98.58</v>
      </c>
      <c r="M64" s="36" t="n">
        <f aca="false">I64+J64+K64+L64</f>
        <v>294.2</v>
      </c>
      <c r="N64" s="37" t="n">
        <f aca="false">I64*(1+N66+N67+N68)</f>
        <v>64.66</v>
      </c>
      <c r="O64" s="37" t="n">
        <f aca="false">J64*(1+O66+O67+O68)</f>
        <v>70.7868</v>
      </c>
      <c r="P64" s="37" t="n">
        <f aca="false">K64*(1+P66+P67+P68)</f>
        <v>71.9104</v>
      </c>
      <c r="Q64" s="37" t="n">
        <f aca="false">L64*(1+Q66+Q67+Q68)</f>
        <v>104.4948</v>
      </c>
      <c r="R64" s="36" t="n">
        <f aca="false">N64+O64+P64+Q64</f>
        <v>311.852</v>
      </c>
      <c r="S64" s="37" t="n">
        <f aca="false">N64*(1+S66+S67+S68)</f>
        <v>68.5396</v>
      </c>
      <c r="T64" s="37" t="n">
        <f aca="false">O64*(1+T66+T67+T68)</f>
        <v>75.034008</v>
      </c>
      <c r="U64" s="37" t="n">
        <f aca="false">P64*(1+U66+U67+U68)</f>
        <v>76.225024</v>
      </c>
      <c r="V64" s="37" t="n">
        <f aca="false">Q64*(1+V66+V67+V68)</f>
        <v>110.764488</v>
      </c>
      <c r="W64" s="36" t="n">
        <f aca="false">S64+T64+U64+V64</f>
        <v>330.56312</v>
      </c>
    </row>
    <row r="65" customFormat="false" ht="15" hidden="false" customHeight="false" outlineLevel="0" collapsed="false">
      <c r="C65" s="22" t="s">
        <v>30</v>
      </c>
      <c r="H65" s="25"/>
      <c r="I65" s="38" t="n">
        <f aca="false">IFERROR(I64/D64-1,0)</f>
        <v>0.12962962962963</v>
      </c>
      <c r="J65" s="38" t="n">
        <f aca="false">J66+J67+J68</f>
        <v>0.06</v>
      </c>
      <c r="K65" s="38" t="n">
        <f aca="false">K66+K67+K68</f>
        <v>0.06</v>
      </c>
      <c r="L65" s="38" t="n">
        <f aca="false">L66+L67+L68</f>
        <v>0.06</v>
      </c>
      <c r="M65" s="39" t="n">
        <f aca="false">IFERROR(M64/H64-1,0)</f>
        <v>0.0737226277372263</v>
      </c>
      <c r="N65" s="38" t="n">
        <f aca="false">N66+N67+N68</f>
        <v>0.06</v>
      </c>
      <c r="O65" s="38" t="n">
        <f aca="false">O66+O67+O68</f>
        <v>0.06</v>
      </c>
      <c r="P65" s="38" t="n">
        <f aca="false">P66+P67+P68</f>
        <v>0.06</v>
      </c>
      <c r="Q65" s="38" t="n">
        <f aca="false">Q66+Q67+Q68</f>
        <v>0.06</v>
      </c>
      <c r="R65" s="39" t="n">
        <f aca="false">IFERROR(R64/M64-1,0)</f>
        <v>0.0600000000000001</v>
      </c>
      <c r="S65" s="38" t="n">
        <f aca="false">S66+S67+S68</f>
        <v>0.06</v>
      </c>
      <c r="T65" s="38" t="n">
        <f aca="false">T66+T67+T68</f>
        <v>0.06</v>
      </c>
      <c r="U65" s="38" t="n">
        <f aca="false">U66+U67+U68</f>
        <v>0.06</v>
      </c>
      <c r="V65" s="38" t="n">
        <f aca="false">V66+V67+V68</f>
        <v>0.06</v>
      </c>
      <c r="W65" s="39" t="n">
        <f aca="false">IFERROR(W64/R64-1,0)</f>
        <v>0.0600000000000003</v>
      </c>
    </row>
    <row r="66" customFormat="false" ht="15" hidden="false" customHeight="false" outlineLevel="0" collapsed="false">
      <c r="C66" s="22" t="s">
        <v>37</v>
      </c>
      <c r="H66" s="25"/>
      <c r="I66" s="40" t="n">
        <v>0.14</v>
      </c>
      <c r="J66" s="41" t="n">
        <v>0.06</v>
      </c>
      <c r="K66" s="41" t="n">
        <v>0.06</v>
      </c>
      <c r="L66" s="41" t="n">
        <v>0.06</v>
      </c>
      <c r="M66" s="39" t="n">
        <f aca="false">IFERROR(((I66*D64)+(J66*E64)+(K66*F64)+(L66*G64))/(D64+E64+F64+G64),0)</f>
        <v>0.0757664233576642</v>
      </c>
      <c r="N66" s="41" t="n">
        <v>0.06</v>
      </c>
      <c r="O66" s="41" t="n">
        <v>0.06</v>
      </c>
      <c r="P66" s="41" t="n">
        <v>0.06</v>
      </c>
      <c r="Q66" s="41" t="n">
        <v>0.06</v>
      </c>
      <c r="R66" s="39" t="n">
        <f aca="false">IFERROR(((N66*I64)+(O66*J64)+(P66*K64)+(Q66*L64))/(I64+J64+K64+L64),0)</f>
        <v>0.06</v>
      </c>
      <c r="S66" s="41" t="n">
        <v>0.06</v>
      </c>
      <c r="T66" s="41" t="n">
        <v>0.06</v>
      </c>
      <c r="U66" s="41" t="n">
        <v>0.06</v>
      </c>
      <c r="V66" s="41" t="n">
        <v>0.06</v>
      </c>
      <c r="W66" s="39" t="n">
        <f aca="false">IFERROR(((S66*N64)+(T66*O64)+(U66*P64)+(V66*Q64))/(N64+O64+P64+Q64),0)</f>
        <v>0.06</v>
      </c>
    </row>
    <row r="67" customFormat="false" ht="15" hidden="false" customHeight="false" outlineLevel="0" collapsed="false">
      <c r="C67" s="22" t="s">
        <v>32</v>
      </c>
      <c r="H67" s="25"/>
      <c r="I67" s="38" t="n">
        <f aca="false">I65-I66-I68</f>
        <v>-0.0303703703703705</v>
      </c>
      <c r="J67" s="41" t="n">
        <v>0</v>
      </c>
      <c r="K67" s="41" t="n">
        <v>0</v>
      </c>
      <c r="L67" s="41" t="n">
        <v>0</v>
      </c>
      <c r="M67" s="39" t="n">
        <f aca="false">IFERROR(((I67*D64)+(J67*E64)+(K67*F64)+(L67*G64))/(D64+E64+F64+G64),0)</f>
        <v>-0.00598540145985404</v>
      </c>
      <c r="N67" s="41" t="n">
        <v>0</v>
      </c>
      <c r="O67" s="41" t="n">
        <v>0</v>
      </c>
      <c r="P67" s="41" t="n">
        <v>0</v>
      </c>
      <c r="Q67" s="41" t="n">
        <v>0</v>
      </c>
      <c r="R67" s="39" t="n">
        <f aca="false">IFERROR(((N67*I64)+(O67*J64)+(P67*K64)+(Q67*L64))/(I64+J64+K64+L64),0)</f>
        <v>0</v>
      </c>
      <c r="S67" s="41" t="n">
        <v>0</v>
      </c>
      <c r="T67" s="41" t="n">
        <v>0</v>
      </c>
      <c r="U67" s="41" t="n">
        <v>0</v>
      </c>
      <c r="V67" s="41" t="n">
        <v>0</v>
      </c>
      <c r="W67" s="39" t="n">
        <f aca="false">IFERROR(((S67*N64)+(T67*O64)+(U67*P64)+(V67*Q64))/(N64+O64+P64+Q64),0)</f>
        <v>0</v>
      </c>
    </row>
    <row r="68" customFormat="false" ht="15" hidden="false" customHeight="false" outlineLevel="0" collapsed="false">
      <c r="C68" s="22" t="s">
        <v>33</v>
      </c>
      <c r="H68" s="25"/>
      <c r="I68" s="40" t="n">
        <v>0.02</v>
      </c>
      <c r="J68" s="41" t="n">
        <v>0</v>
      </c>
      <c r="K68" s="41" t="n">
        <v>0</v>
      </c>
      <c r="L68" s="41" t="n">
        <v>0</v>
      </c>
      <c r="M68" s="39" t="n">
        <f aca="false">IFERROR(((I68*D64)+(J68*E64)+(K68*F64)+(L68*G64))/(D64+E64+F64+G64),0)</f>
        <v>0.00394160583941606</v>
      </c>
      <c r="N68" s="41" t="n">
        <v>0</v>
      </c>
      <c r="O68" s="41" t="n">
        <v>0</v>
      </c>
      <c r="P68" s="41" t="n">
        <v>0</v>
      </c>
      <c r="Q68" s="41" t="n">
        <v>0</v>
      </c>
      <c r="R68" s="39" t="n">
        <f aca="false">IFERROR(((N68*I64)+(O68*J64)+(P68*K64)+(Q68*L64))/(I64+J64+K64+L64),0)</f>
        <v>0</v>
      </c>
      <c r="S68" s="41" t="n">
        <v>0</v>
      </c>
      <c r="T68" s="41" t="n">
        <v>0</v>
      </c>
      <c r="U68" s="41" t="n">
        <v>0</v>
      </c>
      <c r="V68" s="41" t="n">
        <v>0</v>
      </c>
      <c r="W68" s="39" t="n">
        <f aca="false">IFERROR(((S68*N64)+(T68*O64)+(U68*P64)+(V68*Q64))/(N64+O64+P64+Q64),0)</f>
        <v>0</v>
      </c>
    </row>
    <row r="69" customFormat="false" ht="15" hidden="false" customHeight="false" outlineLevel="0" collapsed="false">
      <c r="A69" s="22" t="s">
        <v>51</v>
      </c>
      <c r="C69" s="4" t="s">
        <v>56</v>
      </c>
      <c r="D69" s="35" t="n">
        <v>135</v>
      </c>
      <c r="E69" s="35" t="n">
        <v>130</v>
      </c>
      <c r="F69" s="35" t="n">
        <v>153</v>
      </c>
      <c r="G69" s="35" t="n">
        <v>135</v>
      </c>
      <c r="H69" s="36" t="n">
        <f aca="false">D69+E69+F69+G69</f>
        <v>553</v>
      </c>
      <c r="I69" s="35" t="n">
        <v>84</v>
      </c>
      <c r="J69" s="37" t="n">
        <f aca="false">E69*(1+J71+J72+J73)</f>
        <v>137.8</v>
      </c>
      <c r="K69" s="37" t="n">
        <f aca="false">F69*(1+K71+K72+K73)</f>
        <v>162.18</v>
      </c>
      <c r="L69" s="37" t="n">
        <f aca="false">G69*(1+L71+L72+L73)</f>
        <v>143.1</v>
      </c>
      <c r="M69" s="36" t="n">
        <f aca="false">I69+J69+K69+L69</f>
        <v>527.08</v>
      </c>
      <c r="N69" s="37" t="n">
        <f aca="false">I69*(1+N71+N72+N73)</f>
        <v>131.04</v>
      </c>
      <c r="O69" s="37" t="n">
        <f aca="false">J69*(1+O71+O72+O73)</f>
        <v>146.068</v>
      </c>
      <c r="P69" s="37" t="n">
        <f aca="false">K69*(1+P71+P72+P73)</f>
        <v>171.9108</v>
      </c>
      <c r="Q69" s="37" t="n">
        <f aca="false">L69*(1+Q71+Q72+Q73)</f>
        <v>151.686</v>
      </c>
      <c r="R69" s="36" t="n">
        <f aca="false">N69+O69+P69+Q69</f>
        <v>600.7048</v>
      </c>
      <c r="S69" s="37" t="n">
        <f aca="false">N69*(1+S71+S72+S73)</f>
        <v>138.9024</v>
      </c>
      <c r="T69" s="37" t="n">
        <f aca="false">O69*(1+T71+T72+T73)</f>
        <v>154.83208</v>
      </c>
      <c r="U69" s="37" t="n">
        <f aca="false">P69*(1+U71+U72+U73)</f>
        <v>182.225448</v>
      </c>
      <c r="V69" s="37" t="n">
        <f aca="false">Q69*(1+V71+V72+V73)</f>
        <v>160.78716</v>
      </c>
      <c r="W69" s="36" t="n">
        <f aca="false">S69+T69+U69+V69</f>
        <v>636.747088</v>
      </c>
    </row>
    <row r="70" customFormat="false" ht="15" hidden="false" customHeight="false" outlineLevel="0" collapsed="false">
      <c r="C70" s="22" t="s">
        <v>30</v>
      </c>
      <c r="H70" s="25"/>
      <c r="I70" s="38" t="n">
        <f aca="false">IFERROR(I69/D69-1,0)</f>
        <v>-0.377777777777778</v>
      </c>
      <c r="J70" s="38" t="n">
        <f aca="false">J71+J72+J73</f>
        <v>0.06</v>
      </c>
      <c r="K70" s="38" t="n">
        <f aca="false">K71+K72+K73</f>
        <v>0.06</v>
      </c>
      <c r="L70" s="38" t="n">
        <f aca="false">L71+L72+L73</f>
        <v>0.06</v>
      </c>
      <c r="M70" s="39" t="n">
        <f aca="false">IFERROR(M69/H69-1,0)</f>
        <v>-0.0468716094032549</v>
      </c>
      <c r="N70" s="38" t="n">
        <f aca="false">N71+N72+N73</f>
        <v>0.56</v>
      </c>
      <c r="O70" s="38" t="n">
        <f aca="false">O71+O72+O73</f>
        <v>0.06</v>
      </c>
      <c r="P70" s="38" t="n">
        <f aca="false">P71+P72+P73</f>
        <v>0.06</v>
      </c>
      <c r="Q70" s="38" t="n">
        <f aca="false">Q71+Q72+Q73</f>
        <v>0.06</v>
      </c>
      <c r="R70" s="39" t="n">
        <f aca="false">IFERROR(R69/M69-1,0)</f>
        <v>0.139684298398725</v>
      </c>
      <c r="S70" s="38" t="n">
        <f aca="false">S71+S72+S73</f>
        <v>0.06</v>
      </c>
      <c r="T70" s="38" t="n">
        <f aca="false">T71+T72+T73</f>
        <v>0.06</v>
      </c>
      <c r="U70" s="38" t="n">
        <f aca="false">U71+U72+U73</f>
        <v>0.06</v>
      </c>
      <c r="V70" s="38" t="n">
        <f aca="false">V71+V72+V73</f>
        <v>0.06</v>
      </c>
      <c r="W70" s="39" t="n">
        <f aca="false">IFERROR(W69/R69-1,0)</f>
        <v>0.0600000000000001</v>
      </c>
    </row>
    <row r="71" customFormat="false" ht="15" hidden="false" customHeight="false" outlineLevel="0" collapsed="false">
      <c r="C71" s="22" t="s">
        <v>37</v>
      </c>
      <c r="H71" s="25"/>
      <c r="I71" s="40" t="n">
        <v>0.03</v>
      </c>
      <c r="J71" s="41" t="n">
        <v>0.06</v>
      </c>
      <c r="K71" s="41" t="n">
        <v>0.06</v>
      </c>
      <c r="L71" s="41" t="n">
        <v>0.06</v>
      </c>
      <c r="M71" s="39" t="n">
        <f aca="false">IFERROR(((I71*D69)+(J71*E69)+(K71*F69)+(L71*G69))/(D69+E69+F69+G69),0)</f>
        <v>0.0526763110307414</v>
      </c>
      <c r="N71" s="41" t="n">
        <v>0.06</v>
      </c>
      <c r="O71" s="41" t="n">
        <v>0.06</v>
      </c>
      <c r="P71" s="41" t="n">
        <v>0.06</v>
      </c>
      <c r="Q71" s="41" t="n">
        <v>0.06</v>
      </c>
      <c r="R71" s="39" t="n">
        <f aca="false">IFERROR(((N71*I69)+(O71*J69)+(P71*K69)+(Q71*L69))/(I69+J69+K69+L69),0)</f>
        <v>0.06</v>
      </c>
      <c r="S71" s="41" t="n">
        <v>0.06</v>
      </c>
      <c r="T71" s="41" t="n">
        <v>0.06</v>
      </c>
      <c r="U71" s="41" t="n">
        <v>0.06</v>
      </c>
      <c r="V71" s="41" t="n">
        <v>0.06</v>
      </c>
      <c r="W71" s="39" t="n">
        <f aca="false">IFERROR(((S71*N69)+(T71*O69)+(U71*P69)+(V71*Q69))/(N69+O69+P69+Q69),0)</f>
        <v>0.06</v>
      </c>
    </row>
    <row r="72" customFormat="false" ht="15" hidden="false" customHeight="false" outlineLevel="0" collapsed="false">
      <c r="C72" s="22" t="s">
        <v>32</v>
      </c>
      <c r="H72" s="25"/>
      <c r="I72" s="38" t="n">
        <f aca="false">I70-I71-I73</f>
        <v>-0.427777777777778</v>
      </c>
      <c r="J72" s="41" t="n">
        <v>0</v>
      </c>
      <c r="K72" s="41" t="n">
        <v>0</v>
      </c>
      <c r="L72" s="41" t="n">
        <v>0</v>
      </c>
      <c r="M72" s="39" t="n">
        <f aca="false">IFERROR(((I72*D69)+(J72*E69)+(K72*F69)+(L72*G69))/(D69+E69+F69+G69),0)</f>
        <v>-0.104430379746835</v>
      </c>
      <c r="N72" s="41" t="n">
        <v>0.5</v>
      </c>
      <c r="O72" s="41" t="n">
        <v>0</v>
      </c>
      <c r="P72" s="41" t="n">
        <v>0</v>
      </c>
      <c r="Q72" s="41" t="n">
        <v>0</v>
      </c>
      <c r="R72" s="39" t="n">
        <f aca="false">IFERROR(((N72*I69)+(O72*J69)+(P72*K69)+(Q72*L69))/(I69+J69+K69+L69),0)</f>
        <v>0.079684298398725</v>
      </c>
      <c r="S72" s="41" t="n">
        <v>0</v>
      </c>
      <c r="T72" s="41" t="n">
        <v>0</v>
      </c>
      <c r="U72" s="41" t="n">
        <v>0</v>
      </c>
      <c r="V72" s="41" t="n">
        <v>0</v>
      </c>
      <c r="W72" s="39" t="n">
        <f aca="false">IFERROR(((S72*N69)+(T72*O69)+(U72*P69)+(V72*Q69))/(N69+O69+P69+Q69),0)</f>
        <v>0</v>
      </c>
    </row>
    <row r="73" customFormat="false" ht="15" hidden="false" customHeight="false" outlineLevel="0" collapsed="false">
      <c r="C73" s="22" t="s">
        <v>33</v>
      </c>
      <c r="H73" s="25"/>
      <c r="I73" s="40" t="n">
        <v>0.02</v>
      </c>
      <c r="J73" s="41" t="n">
        <v>0</v>
      </c>
      <c r="K73" s="41" t="n">
        <v>0</v>
      </c>
      <c r="L73" s="41" t="n">
        <v>0</v>
      </c>
      <c r="M73" s="39" t="n">
        <f aca="false">IFERROR(((I73*D69)+(J73*E69)+(K73*F69)+(L73*G69))/(D69+E69+F69+G69),0)</f>
        <v>0.00488245931283906</v>
      </c>
      <c r="N73" s="41" t="n">
        <v>0</v>
      </c>
      <c r="O73" s="41" t="n">
        <v>0</v>
      </c>
      <c r="P73" s="41" t="n">
        <v>0</v>
      </c>
      <c r="Q73" s="41" t="n">
        <v>0</v>
      </c>
      <c r="R73" s="39" t="n">
        <f aca="false">IFERROR(((N73*I69)+(O73*J69)+(P73*K69)+(Q73*L69))/(I69+J69+K69+L69),0)</f>
        <v>0</v>
      </c>
      <c r="S73" s="41" t="n">
        <v>0</v>
      </c>
      <c r="T73" s="41" t="n">
        <v>0</v>
      </c>
      <c r="U73" s="41" t="n">
        <v>0</v>
      </c>
      <c r="V73" s="41" t="n">
        <v>0</v>
      </c>
      <c r="W73" s="39" t="n">
        <f aca="false">IFERROR(((S73*N69)+(T73*O69)+(U73*P69)+(V73*Q69))/(N69+O69+P69+Q69),0)</f>
        <v>0</v>
      </c>
    </row>
    <row r="74" customFormat="false" ht="15" hidden="false" customHeight="false" outlineLevel="0" collapsed="false">
      <c r="A74" s="22" t="s">
        <v>51</v>
      </c>
      <c r="C74" s="4" t="s">
        <v>57</v>
      </c>
      <c r="D74" s="35" t="n">
        <v>305</v>
      </c>
      <c r="E74" s="35" t="n">
        <v>295</v>
      </c>
      <c r="F74" s="35" t="n">
        <v>345</v>
      </c>
      <c r="G74" s="35" t="n">
        <v>304</v>
      </c>
      <c r="H74" s="36" t="n">
        <f aca="false">D74+E74+F74+G74</f>
        <v>1249</v>
      </c>
      <c r="I74" s="35" t="n">
        <v>203</v>
      </c>
      <c r="J74" s="37" t="n">
        <f aca="false">E74*(1+J76+J77+J78)</f>
        <v>312.7</v>
      </c>
      <c r="K74" s="37" t="n">
        <f aca="false">F74*(1+K76+K77+K78)</f>
        <v>365.7</v>
      </c>
      <c r="L74" s="37" t="n">
        <f aca="false">G74*(1+L76+L77+L78)</f>
        <v>322.24</v>
      </c>
      <c r="M74" s="36" t="n">
        <f aca="false">I74+J74+K74+L74</f>
        <v>1203.64</v>
      </c>
      <c r="N74" s="37" t="n">
        <f aca="false">I74*(1+N76+N77+N78)</f>
        <v>316.68</v>
      </c>
      <c r="O74" s="37" t="n">
        <f aca="false">J74*(1+O76+O77+O78)</f>
        <v>331.462</v>
      </c>
      <c r="P74" s="37" t="n">
        <f aca="false">K74*(1+P76+P77+P78)</f>
        <v>387.642</v>
      </c>
      <c r="Q74" s="37" t="n">
        <f aca="false">L74*(1+Q76+Q77+Q78)</f>
        <v>341.5744</v>
      </c>
      <c r="R74" s="36" t="n">
        <f aca="false">N74+O74+P74+Q74</f>
        <v>1377.3584</v>
      </c>
      <c r="S74" s="37" t="n">
        <f aca="false">N74*(1+S76+S77+S78)</f>
        <v>335.6808</v>
      </c>
      <c r="T74" s="37" t="n">
        <f aca="false">O74*(1+T76+T77+T78)</f>
        <v>351.34972</v>
      </c>
      <c r="U74" s="37" t="n">
        <f aca="false">P74*(1+U76+U77+U78)</f>
        <v>410.90052</v>
      </c>
      <c r="V74" s="37" t="n">
        <f aca="false">Q74*(1+V76+V77+V78)</f>
        <v>362.068864</v>
      </c>
      <c r="W74" s="36" t="n">
        <f aca="false">S74+T74+U74+V74</f>
        <v>1459.999904</v>
      </c>
    </row>
    <row r="75" customFormat="false" ht="15" hidden="false" customHeight="false" outlineLevel="0" collapsed="false">
      <c r="C75" s="22" t="s">
        <v>30</v>
      </c>
      <c r="H75" s="25"/>
      <c r="I75" s="38" t="n">
        <f aca="false">IFERROR(I74/D74-1,0)</f>
        <v>-0.334426229508197</v>
      </c>
      <c r="J75" s="38" t="n">
        <f aca="false">J76+J77+J78</f>
        <v>0.06</v>
      </c>
      <c r="K75" s="38" t="n">
        <f aca="false">K76+K77+K78</f>
        <v>0.06</v>
      </c>
      <c r="L75" s="38" t="n">
        <f aca="false">L76+L77+L78</f>
        <v>0.06</v>
      </c>
      <c r="M75" s="39" t="n">
        <f aca="false">IFERROR(M74/H74-1,0)</f>
        <v>-0.0363170536429143</v>
      </c>
      <c r="N75" s="38" t="n">
        <f aca="false">N76+N77+N78</f>
        <v>0.56</v>
      </c>
      <c r="O75" s="38" t="n">
        <f aca="false">O76+O77+O78</f>
        <v>0.06</v>
      </c>
      <c r="P75" s="38" t="n">
        <f aca="false">P76+P77+P78</f>
        <v>0.06</v>
      </c>
      <c r="Q75" s="38" t="n">
        <f aca="false">Q76+Q77+Q78</f>
        <v>0.06</v>
      </c>
      <c r="R75" s="39" t="n">
        <f aca="false">IFERROR(R74/M74-1,0)</f>
        <v>0.144327539795952</v>
      </c>
      <c r="S75" s="38" t="n">
        <f aca="false">S76+S77+S78</f>
        <v>0.06</v>
      </c>
      <c r="T75" s="38" t="n">
        <f aca="false">T76+T77+T78</f>
        <v>0.06</v>
      </c>
      <c r="U75" s="38" t="n">
        <f aca="false">U76+U77+U78</f>
        <v>0.06</v>
      </c>
      <c r="V75" s="38" t="n">
        <f aca="false">V76+V77+V78</f>
        <v>0.06</v>
      </c>
      <c r="W75" s="39" t="n">
        <f aca="false">IFERROR(W74/R74-1,0)</f>
        <v>0.0600000000000001</v>
      </c>
    </row>
    <row r="76" customFormat="false" ht="15" hidden="false" customHeight="false" outlineLevel="0" collapsed="false">
      <c r="C76" s="22" t="s">
        <v>37</v>
      </c>
      <c r="H76" s="25"/>
      <c r="I76" s="40" t="n">
        <v>0.1</v>
      </c>
      <c r="J76" s="41" t="n">
        <v>0.06</v>
      </c>
      <c r="K76" s="41" t="n">
        <v>0.06</v>
      </c>
      <c r="L76" s="41" t="n">
        <v>0.06</v>
      </c>
      <c r="M76" s="39" t="n">
        <f aca="false">IFERROR(((I76*D74)+(J76*E74)+(K76*F74)+(L76*G74))/(D74+E74+F74+G74),0)</f>
        <v>0.0697678142514011</v>
      </c>
      <c r="N76" s="41" t="n">
        <v>0.06</v>
      </c>
      <c r="O76" s="41" t="n">
        <v>0.06</v>
      </c>
      <c r="P76" s="41" t="n">
        <v>0.06</v>
      </c>
      <c r="Q76" s="41" t="n">
        <v>0.06</v>
      </c>
      <c r="R76" s="39" t="n">
        <f aca="false">IFERROR(((N76*I74)+(O76*J74)+(P76*K74)+(Q76*L74))/(I74+J74+K74+L74),0)</f>
        <v>0.06</v>
      </c>
      <c r="S76" s="41" t="n">
        <v>0.06</v>
      </c>
      <c r="T76" s="41" t="n">
        <v>0.06</v>
      </c>
      <c r="U76" s="41" t="n">
        <v>0.06</v>
      </c>
      <c r="V76" s="41" t="n">
        <v>0.06</v>
      </c>
      <c r="W76" s="39" t="n">
        <f aca="false">IFERROR(((S76*N74)+(T76*O74)+(U76*P74)+(V76*Q74))/(N74+O74+P74+Q74),0)</f>
        <v>0.06</v>
      </c>
    </row>
    <row r="77" customFormat="false" ht="15" hidden="false" customHeight="false" outlineLevel="0" collapsed="false">
      <c r="C77" s="22" t="s">
        <v>32</v>
      </c>
      <c r="H77" s="25"/>
      <c r="I77" s="38" t="n">
        <f aca="false">I75-I76-I78</f>
        <v>-0.454426229508197</v>
      </c>
      <c r="J77" s="41" t="n">
        <v>0</v>
      </c>
      <c r="K77" s="41" t="n">
        <v>0</v>
      </c>
      <c r="L77" s="41" t="n">
        <v>0</v>
      </c>
      <c r="M77" s="39" t="n">
        <f aca="false">IFERROR(((I77*D74)+(J77*E74)+(K77*F74)+(L77*G74))/(D74+E74+F74+G74),0)</f>
        <v>-0.110968775020016</v>
      </c>
      <c r="N77" s="41" t="n">
        <v>0.5</v>
      </c>
      <c r="O77" s="41" t="n">
        <v>0</v>
      </c>
      <c r="P77" s="41" t="n">
        <v>0</v>
      </c>
      <c r="Q77" s="41" t="n">
        <v>0</v>
      </c>
      <c r="R77" s="39" t="n">
        <f aca="false">IFERROR(((N77*I74)+(O77*J74)+(P77*K74)+(Q77*L74))/(I74+J74+K74+L74),0)</f>
        <v>0.0843275397959523</v>
      </c>
      <c r="S77" s="41" t="n">
        <v>0</v>
      </c>
      <c r="T77" s="41" t="n">
        <v>0</v>
      </c>
      <c r="U77" s="41" t="n">
        <v>0</v>
      </c>
      <c r="V77" s="41" t="n">
        <v>0</v>
      </c>
      <c r="W77" s="39" t="n">
        <f aca="false">IFERROR(((S77*N74)+(T77*O74)+(U77*P74)+(V77*Q74))/(N74+O74+P74+Q74),0)</f>
        <v>0</v>
      </c>
    </row>
    <row r="78" customFormat="false" ht="15" hidden="false" customHeight="false" outlineLevel="0" collapsed="false">
      <c r="C78" s="22" t="s">
        <v>33</v>
      </c>
      <c r="H78" s="25"/>
      <c r="I78" s="40" t="n">
        <v>0.02</v>
      </c>
      <c r="J78" s="41" t="n">
        <v>0</v>
      </c>
      <c r="K78" s="41" t="n">
        <v>0</v>
      </c>
      <c r="L78" s="41" t="n">
        <v>0</v>
      </c>
      <c r="M78" s="39" t="n">
        <f aca="false">IFERROR(((I78*D74)+(J78*E74)+(K78*F74)+(L78*G74))/(D74+E74+F74+G74),0)</f>
        <v>0.00488390712570056</v>
      </c>
      <c r="N78" s="41" t="n">
        <v>0</v>
      </c>
      <c r="O78" s="41" t="n">
        <v>0</v>
      </c>
      <c r="P78" s="41" t="n">
        <v>0</v>
      </c>
      <c r="Q78" s="41" t="n">
        <v>0</v>
      </c>
      <c r="R78" s="39" t="n">
        <f aca="false">IFERROR(((N78*I74)+(O78*J74)+(P78*K74)+(Q78*L74))/(I74+J74+K74+L74),0)</f>
        <v>0</v>
      </c>
      <c r="S78" s="41" t="n">
        <v>0</v>
      </c>
      <c r="T78" s="41" t="n">
        <v>0</v>
      </c>
      <c r="U78" s="41" t="n">
        <v>0</v>
      </c>
      <c r="V78" s="41" t="n">
        <v>0</v>
      </c>
      <c r="W78" s="39" t="n">
        <f aca="false">IFERROR(((S78*N74)+(T78*O74)+(U78*P74)+(V78*Q74))/(N74+O74+P74+Q74),0)</f>
        <v>0</v>
      </c>
    </row>
    <row r="79" customFormat="false" ht="15" hidden="false" customHeight="false" outlineLevel="0" collapsed="false">
      <c r="C79" s="26" t="s">
        <v>58</v>
      </c>
      <c r="D79" s="42" t="n">
        <f aca="false">D64+D69+D74</f>
        <v>494</v>
      </c>
      <c r="E79" s="42" t="n">
        <f aca="false">E64+E69+E74</f>
        <v>488</v>
      </c>
      <c r="F79" s="42" t="n">
        <f aca="false">F64+F69+F74</f>
        <v>562</v>
      </c>
      <c r="G79" s="42" t="n">
        <f aca="false">G64+G69+G74</f>
        <v>532</v>
      </c>
      <c r="H79" s="43" t="n">
        <f aca="false">H64+H69+H74</f>
        <v>2076</v>
      </c>
      <c r="I79" s="42" t="n">
        <f aca="false">I64+I69+I74</f>
        <v>348</v>
      </c>
      <c r="J79" s="42" t="n">
        <f aca="false">J64+J69+J74</f>
        <v>517.28</v>
      </c>
      <c r="K79" s="42" t="n">
        <f aca="false">K64+K69+K74</f>
        <v>595.72</v>
      </c>
      <c r="L79" s="42" t="n">
        <f aca="false">L64+L69+L74</f>
        <v>563.92</v>
      </c>
      <c r="M79" s="43" t="n">
        <f aca="false">M64+M69+M74</f>
        <v>2024.92</v>
      </c>
      <c r="N79" s="42" t="n">
        <f aca="false">N64+N69+N74</f>
        <v>512.38</v>
      </c>
      <c r="O79" s="42" t="n">
        <f aca="false">O64+O69+O74</f>
        <v>548.3168</v>
      </c>
      <c r="P79" s="42" t="n">
        <f aca="false">P64+P69+P74</f>
        <v>631.4632</v>
      </c>
      <c r="Q79" s="42" t="n">
        <f aca="false">Q64+Q69+Q74</f>
        <v>597.7552</v>
      </c>
      <c r="R79" s="43" t="n">
        <f aca="false">R64+R69+R74</f>
        <v>2289.9152</v>
      </c>
      <c r="S79" s="42" t="n">
        <f aca="false">S64+S69+S74</f>
        <v>543.1228</v>
      </c>
      <c r="T79" s="42" t="n">
        <f aca="false">T64+T69+T74</f>
        <v>581.215808</v>
      </c>
      <c r="U79" s="42" t="n">
        <f aca="false">U64+U69+U74</f>
        <v>669.350992</v>
      </c>
      <c r="V79" s="42" t="n">
        <f aca="false">V64+V69+V74</f>
        <v>633.620512</v>
      </c>
      <c r="W79" s="43" t="n">
        <f aca="false">W64+W69+W74</f>
        <v>2427.310112</v>
      </c>
    </row>
    <row r="80" customFormat="false" ht="15" hidden="false" customHeight="false" outlineLevel="0" collapsed="false">
      <c r="C80" s="22" t="s">
        <v>30</v>
      </c>
      <c r="H80" s="25"/>
      <c r="I80" s="31" t="n">
        <f aca="false">IFERROR(I79/D79-1,0)</f>
        <v>-0.295546558704453</v>
      </c>
      <c r="J80" s="31" t="n">
        <f aca="false">IFERROR(J79/E79-1,0)</f>
        <v>0.0600000000000001</v>
      </c>
      <c r="K80" s="31" t="n">
        <f aca="false">IFERROR(K79/F79-1,0)</f>
        <v>0.0600000000000001</v>
      </c>
      <c r="L80" s="31" t="n">
        <f aca="false">IFERROR(L79/G79-1,0)</f>
        <v>0.0600000000000001</v>
      </c>
      <c r="M80" s="32" t="n">
        <f aca="false">IFERROR(M79/H79-1,0)</f>
        <v>-0.0246050096339113</v>
      </c>
      <c r="N80" s="31" t="n">
        <f aca="false">IFERROR(N79/I79-1,0)</f>
        <v>0.472356321839081</v>
      </c>
      <c r="O80" s="31" t="n">
        <f aca="false">IFERROR(O79/J79-1,0)</f>
        <v>0.0600000000000003</v>
      </c>
      <c r="P80" s="31" t="n">
        <f aca="false">IFERROR(P79/K79-1,0)</f>
        <v>0.0600000000000003</v>
      </c>
      <c r="Q80" s="31" t="n">
        <f aca="false">IFERROR(Q79/L79-1,0)</f>
        <v>0.0600000000000001</v>
      </c>
      <c r="R80" s="32" t="n">
        <f aca="false">IFERROR(R79/M79-1,0)</f>
        <v>0.130866997214705</v>
      </c>
      <c r="S80" s="31" t="n">
        <f aca="false">IFERROR(S79/N79-1,0)</f>
        <v>0.0600000000000003</v>
      </c>
      <c r="T80" s="31" t="n">
        <f aca="false">IFERROR(T79/O79-1,0)</f>
        <v>0.0600000000000001</v>
      </c>
      <c r="U80" s="31" t="n">
        <f aca="false">IFERROR(U79/P79-1,0)</f>
        <v>0.0600000000000001</v>
      </c>
      <c r="V80" s="31" t="n">
        <f aca="false">IFERROR(V79/Q79-1,0)</f>
        <v>0.0599999999999998</v>
      </c>
      <c r="W80" s="32" t="n">
        <f aca="false">IFERROR(W79/R79-1,0)</f>
        <v>0.0599999999999998</v>
      </c>
    </row>
    <row r="81" customFormat="false" ht="15" hidden="false" customHeight="false" outlineLevel="0" collapsed="false">
      <c r="C81" s="22" t="s">
        <v>37</v>
      </c>
      <c r="H81" s="25"/>
      <c r="I81" s="31" t="n">
        <f aca="false">IFERROR(((I66*D64)+(I71*D69)+(I76*D74))/(D64+D69+D74),0)</f>
        <v>0.0852429149797571</v>
      </c>
      <c r="J81" s="31" t="n">
        <f aca="false">IFERROR(((J66*E64)+(J71*E69)+(J76*E74))/(E64+E69+E74),0)</f>
        <v>0.06</v>
      </c>
      <c r="K81" s="31" t="n">
        <f aca="false">IFERROR(((K66*F64)+(K71*F69)+(K76*F74))/(F64+F69+F74),0)</f>
        <v>0.06</v>
      </c>
      <c r="L81" s="31" t="n">
        <f aca="false">IFERROR(((L66*G64)+(L71*G69)+(L76*G74))/(G64+G69+G74),0)</f>
        <v>0.06</v>
      </c>
      <c r="M81" s="32" t="n">
        <f aca="false">IFERROR(((I81*D79)+(J81*E79)+(K81*F79)+(L81*G79))/(D79+E79+F79+G79),0)</f>
        <v>0.0660067437379576</v>
      </c>
      <c r="N81" s="31" t="n">
        <f aca="false">IFERROR(((N66*I64)+(N71*I69)+(N76*I74))/(I64+I69+I74),0)</f>
        <v>0.06</v>
      </c>
      <c r="O81" s="31" t="n">
        <f aca="false">IFERROR(((O66*J64)+(O71*J69)+(O76*J74))/(J64+J69+J74),0)</f>
        <v>0.06</v>
      </c>
      <c r="P81" s="31" t="n">
        <f aca="false">IFERROR(((P66*K64)+(P71*K69)+(P76*K74))/(K64+K69+K74),0)</f>
        <v>0.06</v>
      </c>
      <c r="Q81" s="31" t="n">
        <f aca="false">IFERROR(((Q66*L64)+(Q71*L69)+(Q76*L74))/(L64+L69+L74),0)</f>
        <v>0.06</v>
      </c>
      <c r="R81" s="32" t="n">
        <f aca="false">IFERROR(((N81*I79)+(O81*J79)+(P81*K79)+(Q81*L79))/(I79+J79+K79+L79),0)</f>
        <v>0.06</v>
      </c>
      <c r="S81" s="31" t="n">
        <f aca="false">IFERROR(((S66*N64)+(S71*N69)+(S76*N74))/(N64+N69+N74),0)</f>
        <v>0.06</v>
      </c>
      <c r="T81" s="31" t="n">
        <f aca="false">IFERROR(((T66*O64)+(T71*O69)+(T76*O74))/(O64+O69+O74),0)</f>
        <v>0.06</v>
      </c>
      <c r="U81" s="31" t="n">
        <f aca="false">IFERROR(((U66*P64)+(U71*P69)+(U76*P74))/(P64+P69+P74),0)</f>
        <v>0.06</v>
      </c>
      <c r="V81" s="31" t="n">
        <f aca="false">IFERROR(((V66*Q64)+(V71*Q69)+(V76*Q74))/(Q64+Q69+Q74),0)</f>
        <v>0.06</v>
      </c>
      <c r="W81" s="32" t="n">
        <f aca="false">IFERROR(((S81*N79)+(T81*O79)+(U81*P79)+(V81*Q79))/(N79+O79+P79+Q79),0)</f>
        <v>0.06</v>
      </c>
    </row>
    <row r="82" customFormat="false" ht="15" hidden="false" customHeight="false" outlineLevel="0" collapsed="false">
      <c r="C82" s="22" t="s">
        <v>32</v>
      </c>
      <c r="H82" s="25"/>
      <c r="I82" s="31" t="n">
        <f aca="false">IFERROR(((I67*D64)+(I72*D69)+(I77*D74))/(D64+D69+D74),0)</f>
        <v>-0.400789473684211</v>
      </c>
      <c r="J82" s="31" t="n">
        <f aca="false">IFERROR(((J67*E64)+(J72*E69)+(J77*E74))/(E64+E69+E74),0)</f>
        <v>0</v>
      </c>
      <c r="K82" s="31" t="n">
        <f aca="false">IFERROR(((K67*F64)+(K72*F69)+(K77*F74))/(F64+F69+F74),0)</f>
        <v>0</v>
      </c>
      <c r="L82" s="31" t="n">
        <f aca="false">IFERROR(((L67*G64)+(L72*G69)+(L77*G74))/(G64+G69+G74),0)</f>
        <v>0</v>
      </c>
      <c r="M82" s="32" t="n">
        <f aca="false">IFERROR(((I82*D79)+(J82*E79)+(K82*F79)+(L82*G79))/(D79+E79+F79+G79),0)</f>
        <v>-0.0953709055876686</v>
      </c>
      <c r="N82" s="31" t="n">
        <f aca="false">IFERROR(((N67*I64)+(N72*I69)+(N77*I74))/(I64+I69+I74),0)</f>
        <v>0.41235632183908</v>
      </c>
      <c r="O82" s="31" t="n">
        <f aca="false">IFERROR(((O67*J64)+(O72*J69)+(O77*J74))/(J64+J69+J74),0)</f>
        <v>0</v>
      </c>
      <c r="P82" s="31" t="n">
        <f aca="false">IFERROR(((P67*K64)+(P72*K69)+(P77*K74))/(K64+K69+K74),0)</f>
        <v>0</v>
      </c>
      <c r="Q82" s="31" t="n">
        <f aca="false">IFERROR(((Q67*L64)+(Q72*L69)+(Q77*L74))/(L64+L69+L74),0)</f>
        <v>0</v>
      </c>
      <c r="R82" s="32" t="n">
        <f aca="false">IFERROR(((N82*I79)+(O82*J79)+(P82*K79)+(Q82*L79))/(I79+J79+K79+L79),0)</f>
        <v>0.0708669972147048</v>
      </c>
      <c r="S82" s="31" t="n">
        <f aca="false">IFERROR(((S67*N64)+(S72*N69)+(S77*N74))/(N64+N69+N74),0)</f>
        <v>0</v>
      </c>
      <c r="T82" s="31" t="n">
        <f aca="false">IFERROR(((T67*O64)+(T72*O69)+(T77*O74))/(O64+O69+O74),0)</f>
        <v>0</v>
      </c>
      <c r="U82" s="31" t="n">
        <f aca="false">IFERROR(((U67*P64)+(U72*P69)+(U77*P74))/(P64+P69+P74),0)</f>
        <v>0</v>
      </c>
      <c r="V82" s="31" t="n">
        <f aca="false">IFERROR(((V67*Q64)+(V72*Q69)+(V77*Q74))/(Q64+Q69+Q74),0)</f>
        <v>0</v>
      </c>
      <c r="W82" s="32" t="n">
        <f aca="false">IFERROR(((S82*N79)+(T82*O79)+(U82*P79)+(V82*Q79))/(N79+O79+P79+Q79),0)</f>
        <v>0</v>
      </c>
    </row>
    <row r="83" customFormat="false" ht="15" hidden="false" customHeight="false" outlineLevel="0" collapsed="false">
      <c r="C83" s="22" t="s">
        <v>33</v>
      </c>
      <c r="H83" s="25"/>
      <c r="I83" s="31" t="n">
        <f aca="false">IFERROR(((I68*D64)+(I73*D69)+(I78*D74))/(D64+D69+D74),0)</f>
        <v>0.02</v>
      </c>
      <c r="J83" s="31" t="n">
        <f aca="false">IFERROR(((J68*E64)+(J73*E69)+(J78*E74))/(E64+E69+E74),0)</f>
        <v>0</v>
      </c>
      <c r="K83" s="31" t="n">
        <f aca="false">IFERROR(((K68*F64)+(K73*F69)+(K78*F74))/(F64+F69+F74),0)</f>
        <v>0</v>
      </c>
      <c r="L83" s="31" t="n">
        <f aca="false">IFERROR(((L68*G64)+(L73*G69)+(L78*G74))/(G64+G69+G74),0)</f>
        <v>0</v>
      </c>
      <c r="M83" s="32" t="n">
        <f aca="false">IFERROR(((I83*D79)+(J83*E79)+(K83*F79)+(L83*G79))/(D79+E79+F79+G79),0)</f>
        <v>0.00475915221579962</v>
      </c>
      <c r="N83" s="31" t="n">
        <f aca="false">IFERROR(((N68*I64)+(N73*I69)+(N78*I74))/(I64+I69+I74),0)</f>
        <v>0</v>
      </c>
      <c r="O83" s="31" t="n">
        <f aca="false">IFERROR(((O68*J64)+(O73*J69)+(O78*J74))/(J64+J69+J74),0)</f>
        <v>0</v>
      </c>
      <c r="P83" s="31" t="n">
        <f aca="false">IFERROR(((P68*K64)+(P73*K69)+(P78*K74))/(K64+K69+K74),0)</f>
        <v>0</v>
      </c>
      <c r="Q83" s="31" t="n">
        <f aca="false">IFERROR(((Q68*L64)+(Q73*L69)+(Q78*L74))/(L64+L69+L74),0)</f>
        <v>0</v>
      </c>
      <c r="R83" s="32" t="n">
        <f aca="false">IFERROR(((N83*I79)+(O83*J79)+(P83*K79)+(Q83*L79))/(I79+J79+K79+L79),0)</f>
        <v>0</v>
      </c>
      <c r="S83" s="31" t="n">
        <f aca="false">IFERROR(((S68*N64)+(S73*N69)+(S78*N74))/(N64+N69+N74),0)</f>
        <v>0</v>
      </c>
      <c r="T83" s="31" t="n">
        <f aca="false">IFERROR(((T68*O64)+(T73*O69)+(T78*O74))/(O64+O69+O74),0)</f>
        <v>0</v>
      </c>
      <c r="U83" s="31" t="n">
        <f aca="false">IFERROR(((U68*P64)+(U73*P69)+(U78*P74))/(P64+P69+P74),0)</f>
        <v>0</v>
      </c>
      <c r="V83" s="31" t="n">
        <f aca="false">IFERROR(((V68*Q64)+(V73*Q69)+(V78*Q74))/(Q64+Q69+Q74),0)</f>
        <v>0</v>
      </c>
      <c r="W83" s="32" t="n">
        <f aca="false">IFERROR(((S83*N79)+(T83*O79)+(U83*P79)+(V83*Q79))/(N79+O79+P79+Q79),0)</f>
        <v>0</v>
      </c>
    </row>
    <row r="84" customFormat="false" ht="15" hidden="false" customHeight="false" outlineLevel="0" collapsed="false">
      <c r="H84" s="25"/>
      <c r="M84" s="25"/>
      <c r="R84" s="25"/>
      <c r="W84" s="25"/>
    </row>
    <row r="85" customFormat="false" ht="15" hidden="false" customHeight="false" outlineLevel="0" collapsed="false">
      <c r="C85" s="26" t="s">
        <v>40</v>
      </c>
      <c r="D85" s="27"/>
      <c r="E85" s="27"/>
      <c r="F85" s="27"/>
      <c r="G85" s="27"/>
      <c r="H85" s="28"/>
      <c r="I85" s="27"/>
      <c r="J85" s="27"/>
      <c r="K85" s="27"/>
      <c r="L85" s="27"/>
      <c r="M85" s="28"/>
      <c r="N85" s="27"/>
      <c r="O85" s="27"/>
      <c r="P85" s="27"/>
      <c r="Q85" s="27"/>
      <c r="R85" s="28"/>
      <c r="S85" s="27"/>
      <c r="T85" s="27"/>
      <c r="U85" s="27"/>
      <c r="V85" s="27"/>
      <c r="W85" s="28"/>
    </row>
    <row r="86" customFormat="false" ht="15" hidden="false" customHeight="false" outlineLevel="0" collapsed="false">
      <c r="A86" s="22" t="s">
        <v>46</v>
      </c>
      <c r="C86" s="4" t="s">
        <v>59</v>
      </c>
      <c r="D86" s="35" t="n">
        <v>51</v>
      </c>
      <c r="E86" s="35" t="n">
        <v>56</v>
      </c>
      <c r="F86" s="35" t="n">
        <v>59</v>
      </c>
      <c r="G86" s="35" t="n">
        <v>73</v>
      </c>
      <c r="H86" s="36" t="n">
        <f aca="false">D86+E86+F86+G86</f>
        <v>239</v>
      </c>
      <c r="I86" s="35" t="n">
        <v>52</v>
      </c>
      <c r="J86" s="37" t="n">
        <f aca="false">E86*(1+J88+J89+J90)</f>
        <v>59.36</v>
      </c>
      <c r="K86" s="37" t="n">
        <f aca="false">F86*(1+K88+K89+K90)</f>
        <v>62.54</v>
      </c>
      <c r="L86" s="37" t="n">
        <f aca="false">G86*(1+L88+L89+L90)</f>
        <v>77.38</v>
      </c>
      <c r="M86" s="36" t="n">
        <f aca="false">I86+J86+K86+L86</f>
        <v>251.28</v>
      </c>
      <c r="N86" s="37" t="n">
        <f aca="false">I86*(1+N88+N89+N90)</f>
        <v>55.12</v>
      </c>
      <c r="O86" s="37" t="n">
        <f aca="false">J86*(1+O88+O89+O90)</f>
        <v>62.9216</v>
      </c>
      <c r="P86" s="37" t="n">
        <f aca="false">K86*(1+P88+P89+P90)</f>
        <v>66.2924</v>
      </c>
      <c r="Q86" s="37" t="n">
        <f aca="false">L86*(1+Q88+Q89+Q90)</f>
        <v>82.0228</v>
      </c>
      <c r="R86" s="36" t="n">
        <f aca="false">N86+O86+P86+Q86</f>
        <v>266.3568</v>
      </c>
      <c r="S86" s="37" t="n">
        <f aca="false">N86*(1+S88+S89+S90)</f>
        <v>58.4272</v>
      </c>
      <c r="T86" s="37" t="n">
        <f aca="false">O86*(1+T88+T89+T90)</f>
        <v>66.696896</v>
      </c>
      <c r="U86" s="37" t="n">
        <f aca="false">P86*(1+U88+U89+U90)</f>
        <v>70.269944</v>
      </c>
      <c r="V86" s="37" t="n">
        <f aca="false">Q86*(1+V88+V89+V90)</f>
        <v>86.944168</v>
      </c>
      <c r="W86" s="36" t="n">
        <f aca="false">S86+T86+U86+V86</f>
        <v>282.338208</v>
      </c>
    </row>
    <row r="87" customFormat="false" ht="15" hidden="false" customHeight="false" outlineLevel="0" collapsed="false">
      <c r="C87" s="22" t="s">
        <v>30</v>
      </c>
      <c r="H87" s="25"/>
      <c r="I87" s="38" t="n">
        <f aca="false">IFERROR(I86/D86-1,0)</f>
        <v>0.0196078431372548</v>
      </c>
      <c r="J87" s="38" t="n">
        <f aca="false">J88+J89+J90</f>
        <v>0.06</v>
      </c>
      <c r="K87" s="38" t="n">
        <f aca="false">K88+K89+K90</f>
        <v>0.06</v>
      </c>
      <c r="L87" s="38" t="n">
        <f aca="false">L88+L89+L90</f>
        <v>0.06</v>
      </c>
      <c r="M87" s="39" t="n">
        <f aca="false">IFERROR(M86/H86-1,0)</f>
        <v>0.0513807531380754</v>
      </c>
      <c r="N87" s="38" t="n">
        <f aca="false">N88+N89+N90</f>
        <v>0.06</v>
      </c>
      <c r="O87" s="38" t="n">
        <f aca="false">O88+O89+O90</f>
        <v>0.06</v>
      </c>
      <c r="P87" s="38" t="n">
        <f aca="false">P88+P89+P90</f>
        <v>0.06</v>
      </c>
      <c r="Q87" s="38" t="n">
        <f aca="false">Q88+Q89+Q90</f>
        <v>0.06</v>
      </c>
      <c r="R87" s="39" t="n">
        <f aca="false">IFERROR(R86/M86-1,0)</f>
        <v>0.0600000000000001</v>
      </c>
      <c r="S87" s="38" t="n">
        <f aca="false">S88+S89+S90</f>
        <v>0.06</v>
      </c>
      <c r="T87" s="38" t="n">
        <f aca="false">T88+T89+T90</f>
        <v>0.06</v>
      </c>
      <c r="U87" s="38" t="n">
        <f aca="false">U88+U89+U90</f>
        <v>0.06</v>
      </c>
      <c r="V87" s="38" t="n">
        <f aca="false">V88+V89+V90</f>
        <v>0.06</v>
      </c>
      <c r="W87" s="39" t="n">
        <f aca="false">IFERROR(W86/R86-1,0)</f>
        <v>0.0600000000000001</v>
      </c>
    </row>
    <row r="88" customFormat="false" ht="15" hidden="false" customHeight="false" outlineLevel="0" collapsed="false">
      <c r="C88" s="22" t="s">
        <v>37</v>
      </c>
      <c r="H88" s="25"/>
      <c r="I88" s="40" t="n">
        <v>-0.02</v>
      </c>
      <c r="J88" s="41" t="n">
        <v>0.06</v>
      </c>
      <c r="K88" s="41" t="n">
        <v>0.06</v>
      </c>
      <c r="L88" s="41" t="n">
        <v>0.06</v>
      </c>
      <c r="M88" s="39" t="n">
        <f aca="false">IFERROR(((I88*D86)+(J88*E86)+(K88*F86)+(L88*G86))/(D86+E86+F86+G86),0)</f>
        <v>0.042928870292887</v>
      </c>
      <c r="N88" s="41" t="n">
        <v>0.06</v>
      </c>
      <c r="O88" s="41" t="n">
        <v>0.06</v>
      </c>
      <c r="P88" s="41" t="n">
        <v>0.06</v>
      </c>
      <c r="Q88" s="41" t="n">
        <v>0.06</v>
      </c>
      <c r="R88" s="39" t="n">
        <f aca="false">IFERROR(((N88*I86)+(O88*J86)+(P88*K86)+(Q88*L86))/(I86+J86+K86+L86),0)</f>
        <v>0.06</v>
      </c>
      <c r="S88" s="41" t="n">
        <v>0.06</v>
      </c>
      <c r="T88" s="41" t="n">
        <v>0.06</v>
      </c>
      <c r="U88" s="41" t="n">
        <v>0.06</v>
      </c>
      <c r="V88" s="41" t="n">
        <v>0.06</v>
      </c>
      <c r="W88" s="39" t="n">
        <f aca="false">IFERROR(((S88*N86)+(T88*O86)+(U88*P86)+(V88*Q86))/(N86+O86+P86+Q86),0)</f>
        <v>0.06</v>
      </c>
    </row>
    <row r="89" customFormat="false" ht="15" hidden="false" customHeight="false" outlineLevel="0" collapsed="false">
      <c r="C89" s="22" t="s">
        <v>32</v>
      </c>
      <c r="H89" s="25"/>
      <c r="I89" s="38" t="n">
        <f aca="false">I87-I88-I90</f>
        <v>-0.000392156862745165</v>
      </c>
      <c r="J89" s="41" t="n">
        <v>0</v>
      </c>
      <c r="K89" s="41" t="n">
        <v>0</v>
      </c>
      <c r="L89" s="41" t="n">
        <v>0</v>
      </c>
      <c r="M89" s="39" t="n">
        <f aca="false">IFERROR(((I89*D86)+(J89*E86)+(K89*F86)+(L89*G86))/(D86+E86+F86+G86),0)</f>
        <v>-8.36820083682151E-005</v>
      </c>
      <c r="N89" s="41" t="n">
        <v>0</v>
      </c>
      <c r="O89" s="41" t="n">
        <v>0</v>
      </c>
      <c r="P89" s="41" t="n">
        <v>0</v>
      </c>
      <c r="Q89" s="41" t="n">
        <v>0</v>
      </c>
      <c r="R89" s="39" t="n">
        <f aca="false">IFERROR(((N89*I86)+(O89*J86)+(P89*K86)+(Q89*L86))/(I86+J86+K86+L86),0)</f>
        <v>0</v>
      </c>
      <c r="S89" s="41" t="n">
        <v>0</v>
      </c>
      <c r="T89" s="41" t="n">
        <v>0</v>
      </c>
      <c r="U89" s="41" t="n">
        <v>0</v>
      </c>
      <c r="V89" s="41" t="n">
        <v>0</v>
      </c>
      <c r="W89" s="39" t="n">
        <f aca="false">IFERROR(((S89*N86)+(T89*O86)+(U89*P86)+(V89*Q86))/(N86+O86+P86+Q86),0)</f>
        <v>0</v>
      </c>
    </row>
    <row r="90" customFormat="false" ht="15" hidden="false" customHeight="false" outlineLevel="0" collapsed="false">
      <c r="C90" s="22" t="s">
        <v>33</v>
      </c>
      <c r="H90" s="25"/>
      <c r="I90" s="40" t="n">
        <v>0.04</v>
      </c>
      <c r="J90" s="41" t="n">
        <v>0</v>
      </c>
      <c r="K90" s="41" t="n">
        <v>0</v>
      </c>
      <c r="L90" s="41" t="n">
        <v>0</v>
      </c>
      <c r="M90" s="39" t="n">
        <f aca="false">IFERROR(((I90*D86)+(J90*E86)+(K90*F86)+(L90*G86))/(D86+E86+F86+G86),0)</f>
        <v>0.00853556485355649</v>
      </c>
      <c r="N90" s="41" t="n">
        <v>0</v>
      </c>
      <c r="O90" s="41" t="n">
        <v>0</v>
      </c>
      <c r="P90" s="41" t="n">
        <v>0</v>
      </c>
      <c r="Q90" s="41" t="n">
        <v>0</v>
      </c>
      <c r="R90" s="39" t="n">
        <f aca="false">IFERROR(((N90*I86)+(O90*J86)+(P90*K86)+(Q90*L86))/(I86+J86+K86+L86),0)</f>
        <v>0</v>
      </c>
      <c r="S90" s="41" t="n">
        <v>0</v>
      </c>
      <c r="T90" s="41" t="n">
        <v>0</v>
      </c>
      <c r="U90" s="41" t="n">
        <v>0</v>
      </c>
      <c r="V90" s="41" t="n">
        <v>0</v>
      </c>
      <c r="W90" s="39" t="n">
        <f aca="false">IFERROR(((S90*N86)+(T90*O86)+(U90*P86)+(V90*Q86))/(N86+O86+P86+Q86),0)</f>
        <v>0</v>
      </c>
    </row>
    <row r="91" customFormat="false" ht="15" hidden="false" customHeight="false" outlineLevel="0" collapsed="false">
      <c r="A91" s="22" t="s">
        <v>46</v>
      </c>
      <c r="C91" s="4" t="s">
        <v>60</v>
      </c>
      <c r="D91" s="35" t="n">
        <v>24</v>
      </c>
      <c r="E91" s="35" t="n">
        <v>26</v>
      </c>
      <c r="F91" s="35" t="n">
        <v>28</v>
      </c>
      <c r="G91" s="35" t="n">
        <v>35</v>
      </c>
      <c r="H91" s="36" t="n">
        <f aca="false">D91+E91+F91+G91</f>
        <v>113</v>
      </c>
      <c r="I91" s="35" t="n">
        <v>27</v>
      </c>
      <c r="J91" s="37" t="n">
        <f aca="false">E91*(1+J93+J94+J95)</f>
        <v>27.56</v>
      </c>
      <c r="K91" s="37" t="n">
        <f aca="false">F91*(1+K93+K94+K95)</f>
        <v>29.68</v>
      </c>
      <c r="L91" s="37" t="n">
        <f aca="false">G91*(1+L93+L94+L95)</f>
        <v>37.1</v>
      </c>
      <c r="M91" s="36" t="n">
        <f aca="false">I91+J91+K91+L91</f>
        <v>121.34</v>
      </c>
      <c r="N91" s="37" t="n">
        <f aca="false">I91*(1+N93+N94+N95)</f>
        <v>28.62</v>
      </c>
      <c r="O91" s="37" t="n">
        <f aca="false">J91*(1+O93+O94+O95)</f>
        <v>29.2136</v>
      </c>
      <c r="P91" s="37" t="n">
        <f aca="false">K91*(1+P93+P94+P95)</f>
        <v>31.4608</v>
      </c>
      <c r="Q91" s="37" t="n">
        <f aca="false">L91*(1+Q93+Q94+Q95)</f>
        <v>39.326</v>
      </c>
      <c r="R91" s="36" t="n">
        <f aca="false">N91+O91+P91+Q91</f>
        <v>128.6204</v>
      </c>
      <c r="S91" s="37" t="n">
        <f aca="false">N91*(1+S93+S94+S95)</f>
        <v>30.3372</v>
      </c>
      <c r="T91" s="37" t="n">
        <f aca="false">O91*(1+T93+T94+T95)</f>
        <v>30.966416</v>
      </c>
      <c r="U91" s="37" t="n">
        <f aca="false">P91*(1+U93+U94+U95)</f>
        <v>33.348448</v>
      </c>
      <c r="V91" s="37" t="n">
        <f aca="false">Q91*(1+V93+V94+V95)</f>
        <v>41.68556</v>
      </c>
      <c r="W91" s="36" t="n">
        <f aca="false">S91+T91+U91+V91</f>
        <v>136.337624</v>
      </c>
    </row>
    <row r="92" customFormat="false" ht="15" hidden="false" customHeight="false" outlineLevel="0" collapsed="false">
      <c r="C92" s="22" t="s">
        <v>30</v>
      </c>
      <c r="H92" s="25"/>
      <c r="I92" s="38" t="n">
        <f aca="false">IFERROR(I91/D91-1,0)</f>
        <v>0.125</v>
      </c>
      <c r="J92" s="38" t="n">
        <f aca="false">J93+J94+J95</f>
        <v>0.06</v>
      </c>
      <c r="K92" s="38" t="n">
        <f aca="false">K93+K94+K95</f>
        <v>0.06</v>
      </c>
      <c r="L92" s="38" t="n">
        <f aca="false">L93+L94+L95</f>
        <v>0.06</v>
      </c>
      <c r="M92" s="39" t="n">
        <f aca="false">IFERROR(M91/H91-1,0)</f>
        <v>0.0738053097345133</v>
      </c>
      <c r="N92" s="38" t="n">
        <f aca="false">N93+N94+N95</f>
        <v>0.06</v>
      </c>
      <c r="O92" s="38" t="n">
        <f aca="false">O93+O94+O95</f>
        <v>0.06</v>
      </c>
      <c r="P92" s="38" t="n">
        <f aca="false">P93+P94+P95</f>
        <v>0.06</v>
      </c>
      <c r="Q92" s="38" t="n">
        <f aca="false">Q93+Q94+Q95</f>
        <v>0.06</v>
      </c>
      <c r="R92" s="39" t="n">
        <f aca="false">IFERROR(R91/M91-1,0)</f>
        <v>0.0600000000000001</v>
      </c>
      <c r="S92" s="38" t="n">
        <f aca="false">S93+S94+S95</f>
        <v>0.06</v>
      </c>
      <c r="T92" s="38" t="n">
        <f aca="false">T93+T94+T95</f>
        <v>0.06</v>
      </c>
      <c r="U92" s="38" t="n">
        <f aca="false">U93+U94+U95</f>
        <v>0.06</v>
      </c>
      <c r="V92" s="38" t="n">
        <f aca="false">V93+V94+V95</f>
        <v>0.06</v>
      </c>
      <c r="W92" s="39" t="n">
        <f aca="false">IFERROR(W91/R91-1,0)</f>
        <v>0.0599999999999998</v>
      </c>
    </row>
    <row r="93" customFormat="false" ht="15" hidden="false" customHeight="false" outlineLevel="0" collapsed="false">
      <c r="C93" s="22" t="s">
        <v>37</v>
      </c>
      <c r="H93" s="25"/>
      <c r="I93" s="40" t="n">
        <v>0.1</v>
      </c>
      <c r="J93" s="41" t="n">
        <v>0.06</v>
      </c>
      <c r="K93" s="41" t="n">
        <v>0.06</v>
      </c>
      <c r="L93" s="41" t="n">
        <v>0.06</v>
      </c>
      <c r="M93" s="39" t="n">
        <f aca="false">IFERROR(((I93*D91)+(J93*E91)+(K93*F91)+(L93*G91))/(D91+E91+F91+G91),0)</f>
        <v>0.068495575221239</v>
      </c>
      <c r="N93" s="41" t="n">
        <v>0.06</v>
      </c>
      <c r="O93" s="41" t="n">
        <v>0.06</v>
      </c>
      <c r="P93" s="41" t="n">
        <v>0.06</v>
      </c>
      <c r="Q93" s="41" t="n">
        <v>0.06</v>
      </c>
      <c r="R93" s="39" t="n">
        <f aca="false">IFERROR(((N93*I91)+(O93*J91)+(P93*K91)+(Q93*L91))/(I91+J91+K91+L91),0)</f>
        <v>0.06</v>
      </c>
      <c r="S93" s="41" t="n">
        <v>0.06</v>
      </c>
      <c r="T93" s="41" t="n">
        <v>0.06</v>
      </c>
      <c r="U93" s="41" t="n">
        <v>0.06</v>
      </c>
      <c r="V93" s="41" t="n">
        <v>0.06</v>
      </c>
      <c r="W93" s="39" t="n">
        <f aca="false">IFERROR(((S93*N91)+(T93*O91)+(U93*P91)+(V93*Q91))/(N91+O91+P91+Q91),0)</f>
        <v>0.06</v>
      </c>
    </row>
    <row r="94" customFormat="false" ht="15" hidden="false" customHeight="false" outlineLevel="0" collapsed="false">
      <c r="C94" s="22" t="s">
        <v>32</v>
      </c>
      <c r="H94" s="25"/>
      <c r="I94" s="38" t="n">
        <f aca="false">I92-I93-I95</f>
        <v>-0.005</v>
      </c>
      <c r="J94" s="41" t="n">
        <v>0</v>
      </c>
      <c r="K94" s="41" t="n">
        <v>0</v>
      </c>
      <c r="L94" s="41" t="n">
        <v>0</v>
      </c>
      <c r="M94" s="39" t="n">
        <f aca="false">IFERROR(((I94*D91)+(J94*E91)+(K94*F91)+(L94*G91))/(D91+E91+F91+G91),0)</f>
        <v>-0.00106194690265487</v>
      </c>
      <c r="N94" s="41" t="n">
        <v>0</v>
      </c>
      <c r="O94" s="41" t="n">
        <v>0</v>
      </c>
      <c r="P94" s="41" t="n">
        <v>0</v>
      </c>
      <c r="Q94" s="41" t="n">
        <v>0</v>
      </c>
      <c r="R94" s="39" t="n">
        <f aca="false">IFERROR(((N94*I91)+(O94*J91)+(P94*K91)+(Q94*L91))/(I91+J91+K91+L91),0)</f>
        <v>0</v>
      </c>
      <c r="S94" s="41" t="n">
        <v>0</v>
      </c>
      <c r="T94" s="41" t="n">
        <v>0</v>
      </c>
      <c r="U94" s="41" t="n">
        <v>0</v>
      </c>
      <c r="V94" s="41" t="n">
        <v>0</v>
      </c>
      <c r="W94" s="39" t="n">
        <f aca="false">IFERROR(((S94*N91)+(T94*O91)+(U94*P91)+(V94*Q91))/(N91+O91+P91+Q91),0)</f>
        <v>0</v>
      </c>
    </row>
    <row r="95" customFormat="false" ht="15" hidden="false" customHeight="false" outlineLevel="0" collapsed="false">
      <c r="C95" s="22" t="s">
        <v>33</v>
      </c>
      <c r="H95" s="25"/>
      <c r="I95" s="40" t="n">
        <v>0.03</v>
      </c>
      <c r="J95" s="41" t="n">
        <v>0</v>
      </c>
      <c r="K95" s="41" t="n">
        <v>0</v>
      </c>
      <c r="L95" s="41" t="n">
        <v>0</v>
      </c>
      <c r="M95" s="39" t="n">
        <f aca="false">IFERROR(((I95*D91)+(J95*E91)+(K95*F91)+(L95*G91))/(D91+E91+F91+G91),0)</f>
        <v>0.0063716814159292</v>
      </c>
      <c r="N95" s="41" t="n">
        <v>0</v>
      </c>
      <c r="O95" s="41" t="n">
        <v>0</v>
      </c>
      <c r="P95" s="41" t="n">
        <v>0</v>
      </c>
      <c r="Q95" s="41" t="n">
        <v>0</v>
      </c>
      <c r="R95" s="39" t="n">
        <f aca="false">IFERROR(((N95*I91)+(O95*J91)+(P95*K91)+(Q95*L91))/(I91+J91+K91+L91),0)</f>
        <v>0</v>
      </c>
      <c r="S95" s="41" t="n">
        <v>0</v>
      </c>
      <c r="T95" s="41" t="n">
        <v>0</v>
      </c>
      <c r="U95" s="41" t="n">
        <v>0</v>
      </c>
      <c r="V95" s="41" t="n">
        <v>0</v>
      </c>
      <c r="W95" s="39" t="n">
        <f aca="false">IFERROR(((S95*N91)+(T95*O91)+(U95*P91)+(V95*Q91))/(N91+O91+P91+Q91),0)</f>
        <v>0</v>
      </c>
    </row>
    <row r="96" customFormat="false" ht="15" hidden="false" customHeight="false" outlineLevel="0" collapsed="false">
      <c r="C96" s="26" t="s">
        <v>61</v>
      </c>
      <c r="D96" s="42" t="n">
        <f aca="false">D86+D91</f>
        <v>75</v>
      </c>
      <c r="E96" s="42" t="n">
        <f aca="false">E86+E91</f>
        <v>82</v>
      </c>
      <c r="F96" s="42" t="n">
        <f aca="false">F86+F91</f>
        <v>87</v>
      </c>
      <c r="G96" s="42" t="n">
        <f aca="false">G86+G91</f>
        <v>108</v>
      </c>
      <c r="H96" s="43" t="n">
        <f aca="false">H86+H91</f>
        <v>352</v>
      </c>
      <c r="I96" s="42" t="n">
        <f aca="false">I86+I91</f>
        <v>79</v>
      </c>
      <c r="J96" s="42" t="n">
        <f aca="false">J86+J91</f>
        <v>86.92</v>
      </c>
      <c r="K96" s="42" t="n">
        <f aca="false">K86+K91</f>
        <v>92.22</v>
      </c>
      <c r="L96" s="42" t="n">
        <f aca="false">L86+L91</f>
        <v>114.48</v>
      </c>
      <c r="M96" s="43" t="n">
        <f aca="false">M86+M91</f>
        <v>372.62</v>
      </c>
      <c r="N96" s="42" t="n">
        <f aca="false">N86+N91</f>
        <v>83.74</v>
      </c>
      <c r="O96" s="42" t="n">
        <f aca="false">O86+O91</f>
        <v>92.1352</v>
      </c>
      <c r="P96" s="42" t="n">
        <f aca="false">P86+P91</f>
        <v>97.7532</v>
      </c>
      <c r="Q96" s="42" t="n">
        <f aca="false">Q86+Q91</f>
        <v>121.3488</v>
      </c>
      <c r="R96" s="43" t="n">
        <f aca="false">R86+R91</f>
        <v>394.9772</v>
      </c>
      <c r="S96" s="42" t="n">
        <f aca="false">S86+S91</f>
        <v>88.7644</v>
      </c>
      <c r="T96" s="42" t="n">
        <f aca="false">T86+T91</f>
        <v>97.663312</v>
      </c>
      <c r="U96" s="42" t="n">
        <f aca="false">U86+U91</f>
        <v>103.618392</v>
      </c>
      <c r="V96" s="42" t="n">
        <f aca="false">V86+V91</f>
        <v>128.629728</v>
      </c>
      <c r="W96" s="43" t="n">
        <f aca="false">W86+W91</f>
        <v>418.675832</v>
      </c>
    </row>
    <row r="97" customFormat="false" ht="15" hidden="false" customHeight="false" outlineLevel="0" collapsed="false">
      <c r="C97" s="22" t="s">
        <v>30</v>
      </c>
      <c r="H97" s="25"/>
      <c r="I97" s="31" t="n">
        <f aca="false">IFERROR(I96/D96-1,0)</f>
        <v>0.0533333333333332</v>
      </c>
      <c r="J97" s="31" t="n">
        <f aca="false">IFERROR(J96/E96-1,0)</f>
        <v>0.0600000000000001</v>
      </c>
      <c r="K97" s="31" t="n">
        <f aca="false">IFERROR(K96/F96-1,0)</f>
        <v>0.0600000000000001</v>
      </c>
      <c r="L97" s="31" t="n">
        <f aca="false">IFERROR(L96/G96-1,0)</f>
        <v>0.0600000000000003</v>
      </c>
      <c r="M97" s="32" t="n">
        <f aca="false">IFERROR(M96/H96-1,0)</f>
        <v>0.0585795454545455</v>
      </c>
      <c r="N97" s="31" t="n">
        <f aca="false">IFERROR(N96/I96-1,0)</f>
        <v>0.0600000000000001</v>
      </c>
      <c r="O97" s="31" t="n">
        <f aca="false">IFERROR(O96/J96-1,0)</f>
        <v>0.0600000000000001</v>
      </c>
      <c r="P97" s="31" t="n">
        <f aca="false">IFERROR(P96/K96-1,0)</f>
        <v>0.0600000000000003</v>
      </c>
      <c r="Q97" s="31" t="n">
        <f aca="false">IFERROR(Q96/L96-1,0)</f>
        <v>0.0599999999999998</v>
      </c>
      <c r="R97" s="32" t="n">
        <f aca="false">IFERROR(R96/M96-1,0)</f>
        <v>0.0600000000000001</v>
      </c>
      <c r="S97" s="31" t="n">
        <f aca="false">IFERROR(S96/N96-1,0)</f>
        <v>0.0600000000000001</v>
      </c>
      <c r="T97" s="31" t="n">
        <f aca="false">IFERROR(T96/O96-1,0)</f>
        <v>0.0600000000000001</v>
      </c>
      <c r="U97" s="31" t="n">
        <f aca="false">IFERROR(U96/P96-1,0)</f>
        <v>0.0600000000000001</v>
      </c>
      <c r="V97" s="31" t="n">
        <f aca="false">IFERROR(V96/Q96-1,0)</f>
        <v>0.0600000000000001</v>
      </c>
      <c r="W97" s="32" t="n">
        <f aca="false">IFERROR(W96/R96-1,0)</f>
        <v>0.0599999999999998</v>
      </c>
    </row>
    <row r="98" customFormat="false" ht="15" hidden="false" customHeight="false" outlineLevel="0" collapsed="false">
      <c r="C98" s="22" t="s">
        <v>37</v>
      </c>
      <c r="H98" s="25"/>
      <c r="I98" s="31" t="n">
        <f aca="false">IFERROR(((I88*D86)+(I93*D91))/(D86+D91),0)</f>
        <v>0.0184</v>
      </c>
      <c r="J98" s="31" t="n">
        <f aca="false">IFERROR(((J88*E86)+(J93*E91))/(E86+E91),0)</f>
        <v>0.06</v>
      </c>
      <c r="K98" s="31" t="n">
        <f aca="false">IFERROR(((K88*F86)+(K93*F91))/(F86+F91),0)</f>
        <v>0.06</v>
      </c>
      <c r="L98" s="31" t="n">
        <f aca="false">IFERROR(((L88*G86)+(L93*G91))/(G86+G91),0)</f>
        <v>0.06</v>
      </c>
      <c r="M98" s="32" t="n">
        <f aca="false">IFERROR(((I98*D96)+(J98*E96)+(K98*F96)+(L98*G96))/(D96+E96+F96+G96),0)</f>
        <v>0.0511363636363636</v>
      </c>
      <c r="N98" s="31" t="n">
        <f aca="false">IFERROR(((N88*I86)+(N93*I91))/(I86+I91),0)</f>
        <v>0.06</v>
      </c>
      <c r="O98" s="31" t="n">
        <f aca="false">IFERROR(((O88*J86)+(O93*J91))/(J86+J91),0)</f>
        <v>0.06</v>
      </c>
      <c r="P98" s="31" t="n">
        <f aca="false">IFERROR(((P88*K86)+(P93*K91))/(K86+K91),0)</f>
        <v>0.06</v>
      </c>
      <c r="Q98" s="31" t="n">
        <f aca="false">IFERROR(((Q88*L86)+(Q93*L91))/(L86+L91),0)</f>
        <v>0.06</v>
      </c>
      <c r="R98" s="32" t="n">
        <f aca="false">IFERROR(((N98*I96)+(O98*J96)+(P98*K96)+(Q98*L96))/(I96+J96+K96+L96),0)</f>
        <v>0.06</v>
      </c>
      <c r="S98" s="31" t="n">
        <f aca="false">IFERROR(((S88*N86)+(S93*N91))/(N86+N91),0)</f>
        <v>0.06</v>
      </c>
      <c r="T98" s="31" t="n">
        <f aca="false">IFERROR(((T88*O86)+(T93*O91))/(O86+O91),0)</f>
        <v>0.06</v>
      </c>
      <c r="U98" s="31" t="n">
        <f aca="false">IFERROR(((U88*P86)+(U93*P91))/(P86+P91),0)</f>
        <v>0.06</v>
      </c>
      <c r="V98" s="31" t="n">
        <f aca="false">IFERROR(((V88*Q86)+(V93*Q91))/(Q86+Q91),0)</f>
        <v>0.06</v>
      </c>
      <c r="W98" s="32" t="n">
        <f aca="false">IFERROR(((S98*N96)+(T98*O96)+(U98*P96)+(V98*Q96))/(N96+O96+P96+Q96),0)</f>
        <v>0.06</v>
      </c>
    </row>
    <row r="99" customFormat="false" ht="15" hidden="false" customHeight="false" outlineLevel="0" collapsed="false">
      <c r="C99" s="22" t="s">
        <v>32</v>
      </c>
      <c r="H99" s="25"/>
      <c r="I99" s="31" t="n">
        <f aca="false">IFERROR(((I89*D86)+(I94*D91))/(D86+D91),0)</f>
        <v>-0.00186666666666671</v>
      </c>
      <c r="J99" s="31" t="n">
        <f aca="false">IFERROR(((J89*E86)+(J94*E91))/(E86+E91),0)</f>
        <v>0</v>
      </c>
      <c r="K99" s="31" t="n">
        <f aca="false">IFERROR(((K89*F86)+(K94*F91))/(F86+F91),0)</f>
        <v>0</v>
      </c>
      <c r="L99" s="31" t="n">
        <f aca="false">IFERROR(((L89*G86)+(L94*G91))/(G86+G91),0)</f>
        <v>0</v>
      </c>
      <c r="M99" s="32" t="n">
        <f aca="false">IFERROR(((I99*D96)+(J99*E96)+(K99*F96)+(L99*G96))/(D96+E96+F96+G96),0)</f>
        <v>-0.000397727272727283</v>
      </c>
      <c r="N99" s="31" t="n">
        <f aca="false">IFERROR(((N89*I86)+(N94*I91))/(I86+I91),0)</f>
        <v>0</v>
      </c>
      <c r="O99" s="31" t="n">
        <f aca="false">IFERROR(((O89*J86)+(O94*J91))/(J86+J91),0)</f>
        <v>0</v>
      </c>
      <c r="P99" s="31" t="n">
        <f aca="false">IFERROR(((P89*K86)+(P94*K91))/(K86+K91),0)</f>
        <v>0</v>
      </c>
      <c r="Q99" s="31" t="n">
        <f aca="false">IFERROR(((Q89*L86)+(Q94*L91))/(L86+L91),0)</f>
        <v>0</v>
      </c>
      <c r="R99" s="32" t="n">
        <f aca="false">IFERROR(((N99*I96)+(O99*J96)+(P99*K96)+(Q99*L96))/(I96+J96+K96+L96),0)</f>
        <v>0</v>
      </c>
      <c r="S99" s="31" t="n">
        <f aca="false">IFERROR(((S89*N86)+(S94*N91))/(N86+N91),0)</f>
        <v>0</v>
      </c>
      <c r="T99" s="31" t="n">
        <f aca="false">IFERROR(((T89*O86)+(T94*O91))/(O86+O91),0)</f>
        <v>0</v>
      </c>
      <c r="U99" s="31" t="n">
        <f aca="false">IFERROR(((U89*P86)+(U94*P91))/(P86+P91),0)</f>
        <v>0</v>
      </c>
      <c r="V99" s="31" t="n">
        <f aca="false">IFERROR(((V89*Q86)+(V94*Q91))/(Q86+Q91),0)</f>
        <v>0</v>
      </c>
      <c r="W99" s="32" t="n">
        <f aca="false">IFERROR(((S99*N96)+(T99*O96)+(U99*P96)+(V99*Q96))/(N96+O96+P96+Q96),0)</f>
        <v>0</v>
      </c>
    </row>
    <row r="100" customFormat="false" ht="15" hidden="false" customHeight="false" outlineLevel="0" collapsed="false">
      <c r="C100" s="22" t="s">
        <v>33</v>
      </c>
      <c r="H100" s="25"/>
      <c r="I100" s="31" t="n">
        <f aca="false">IFERROR(((I90*D86)+(I95*D91))/(D86+D91),0)</f>
        <v>0.0368</v>
      </c>
      <c r="J100" s="31" t="n">
        <f aca="false">IFERROR(((J90*E86)+(J95*E91))/(E86+E91),0)</f>
        <v>0</v>
      </c>
      <c r="K100" s="31" t="n">
        <f aca="false">IFERROR(((K90*F86)+(K95*F91))/(F86+F91),0)</f>
        <v>0</v>
      </c>
      <c r="L100" s="31" t="n">
        <f aca="false">IFERROR(((L90*G86)+(L95*G91))/(G86+G91),0)</f>
        <v>0</v>
      </c>
      <c r="M100" s="32" t="n">
        <f aca="false">IFERROR(((I100*D96)+(J100*E96)+(K100*F96)+(L100*G96))/(D96+E96+F96+G96),0)</f>
        <v>0.00784090909090909</v>
      </c>
      <c r="N100" s="31" t="n">
        <f aca="false">IFERROR(((N90*I86)+(N95*I91))/(I86+I91),0)</f>
        <v>0</v>
      </c>
      <c r="O100" s="31" t="n">
        <f aca="false">IFERROR(((O90*J86)+(O95*J91))/(J86+J91),0)</f>
        <v>0</v>
      </c>
      <c r="P100" s="31" t="n">
        <f aca="false">IFERROR(((P90*K86)+(P95*K91))/(K86+K91),0)</f>
        <v>0</v>
      </c>
      <c r="Q100" s="31" t="n">
        <f aca="false">IFERROR(((Q90*L86)+(Q95*L91))/(L86+L91),0)</f>
        <v>0</v>
      </c>
      <c r="R100" s="32" t="n">
        <f aca="false">IFERROR(((N100*I96)+(O100*J96)+(P100*K96)+(Q100*L96))/(I96+J96+K96+L96),0)</f>
        <v>0</v>
      </c>
      <c r="S100" s="31" t="n">
        <f aca="false">IFERROR(((S90*N86)+(S95*N91))/(N86+N91),0)</f>
        <v>0</v>
      </c>
      <c r="T100" s="31" t="n">
        <f aca="false">IFERROR(((T90*O86)+(T95*O91))/(O86+O91),0)</f>
        <v>0</v>
      </c>
      <c r="U100" s="31" t="n">
        <f aca="false">IFERROR(((U90*P86)+(U95*P91))/(P86+P91),0)</f>
        <v>0</v>
      </c>
      <c r="V100" s="31" t="n">
        <f aca="false">IFERROR(((V90*Q86)+(V95*Q91))/(Q86+Q91),0)</f>
        <v>0</v>
      </c>
      <c r="W100" s="32" t="n">
        <f aca="false">IFERROR(((S100*N96)+(T100*O96)+(U100*P96)+(V100*Q96))/(N96+O96+P96+Q96),0)</f>
        <v>0</v>
      </c>
    </row>
    <row r="101" customFormat="false" ht="15" hidden="false" customHeight="false" outlineLevel="0" collapsed="false">
      <c r="H101" s="25"/>
      <c r="M101" s="25"/>
      <c r="R101" s="25"/>
      <c r="W101" s="25"/>
    </row>
    <row r="102" customFormat="false" ht="15" hidden="false" customHeight="false" outlineLevel="0" collapsed="false">
      <c r="C102" s="44" t="s">
        <v>62</v>
      </c>
      <c r="D102" s="45" t="n">
        <f aca="false">D40+D57+D79+D96</f>
        <v>1455</v>
      </c>
      <c r="E102" s="45" t="n">
        <f aca="false">E40+E57+E79+E96</f>
        <v>1553</v>
      </c>
      <c r="F102" s="45" t="n">
        <f aca="false">F40+F57+F79+F96</f>
        <v>1686</v>
      </c>
      <c r="G102" s="45" t="n">
        <f aca="false">G40+G57+G79+G96</f>
        <v>1699</v>
      </c>
      <c r="H102" s="46" t="n">
        <f aca="false">H40+H57+H79+H96</f>
        <v>6393</v>
      </c>
      <c r="I102" s="45" t="n">
        <f aca="false">I40+I57+I79+I96</f>
        <v>1267</v>
      </c>
      <c r="J102" s="45" t="n">
        <f aca="false">J40+J57+J79+J96</f>
        <v>1646.18</v>
      </c>
      <c r="K102" s="45" t="n">
        <f aca="false">K40+K57+K79+K96</f>
        <v>1787.16</v>
      </c>
      <c r="L102" s="45" t="n">
        <f aca="false">L40+L57+L79+L96</f>
        <v>1800.94</v>
      </c>
      <c r="M102" s="46" t="n">
        <f aca="false">M40+M57+M79+M96</f>
        <v>6501.28</v>
      </c>
      <c r="N102" s="45" t="n">
        <f aca="false">N40+N57+N79+N96</f>
        <v>1603.02</v>
      </c>
      <c r="O102" s="45" t="n">
        <f aca="false">O40+O57+O79+O96</f>
        <v>1744.9508</v>
      </c>
      <c r="P102" s="45" t="n">
        <f aca="false">P40+P57+P79+P96</f>
        <v>1894.3896</v>
      </c>
      <c r="Q102" s="45" t="n">
        <f aca="false">Q40+Q57+Q79+Q96</f>
        <v>1908.9964</v>
      </c>
      <c r="R102" s="46" t="n">
        <f aca="false">R40+R57+R79+R96</f>
        <v>7151.3568</v>
      </c>
      <c r="S102" s="45" t="n">
        <f aca="false">S40+S57+S79+S96</f>
        <v>1699.2012</v>
      </c>
      <c r="T102" s="45" t="n">
        <f aca="false">T40+T57+T79+T96</f>
        <v>1849.647848</v>
      </c>
      <c r="U102" s="45" t="n">
        <f aca="false">U40+U57+U79+U96</f>
        <v>2008.052976</v>
      </c>
      <c r="V102" s="45" t="n">
        <f aca="false">V40+V57+V79+V96</f>
        <v>2023.536184</v>
      </c>
      <c r="W102" s="46" t="n">
        <f aca="false">W40+W57+W79+W96</f>
        <v>7580.438208</v>
      </c>
    </row>
    <row r="103" customFormat="false" ht="15" hidden="false" customHeight="false" outlineLevel="0" collapsed="false">
      <c r="C103" s="22" t="s">
        <v>30</v>
      </c>
      <c r="H103" s="25"/>
      <c r="I103" s="31" t="n">
        <f aca="false">IFERROR(I102/D102-1,0)</f>
        <v>-0.129209621993127</v>
      </c>
      <c r="J103" s="31" t="n">
        <f aca="false">IFERROR(J102/E102-1,0)</f>
        <v>0.0600000000000001</v>
      </c>
      <c r="K103" s="31" t="n">
        <f aca="false">IFERROR(K102/F102-1,0)</f>
        <v>0.0600000000000001</v>
      </c>
      <c r="L103" s="31" t="n">
        <f aca="false">IFERROR(L102/G102-1,0)</f>
        <v>0.0600000000000001</v>
      </c>
      <c r="M103" s="32" t="n">
        <f aca="false">IFERROR(M102/H102-1,0)</f>
        <v>0.0169372751446895</v>
      </c>
      <c r="N103" s="31" t="n">
        <f aca="false">IFERROR(N102/I102-1,0)</f>
        <v>0.265209155485399</v>
      </c>
      <c r="O103" s="31" t="n">
        <f aca="false">IFERROR(O102/J102-1,0)</f>
        <v>0.0600000000000001</v>
      </c>
      <c r="P103" s="31" t="n">
        <f aca="false">IFERROR(P102/K102-1,0)</f>
        <v>0.0600000000000003</v>
      </c>
      <c r="Q103" s="31" t="n">
        <f aca="false">IFERROR(Q102/L102-1,0)</f>
        <v>0.0600000000000001</v>
      </c>
      <c r="R103" s="32" t="n">
        <f aca="false">IFERROR(R102/M102-1,0)</f>
        <v>0.099992124627766</v>
      </c>
      <c r="S103" s="31" t="n">
        <f aca="false">IFERROR(S102/N102-1,0)</f>
        <v>0.0600000000000001</v>
      </c>
      <c r="T103" s="31" t="n">
        <f aca="false">IFERROR(T102/O102-1,0)</f>
        <v>0.0600000000000001</v>
      </c>
      <c r="U103" s="31" t="n">
        <f aca="false">IFERROR(U102/P102-1,0)</f>
        <v>0.0600000000000001</v>
      </c>
      <c r="V103" s="31" t="n">
        <f aca="false">IFERROR(V102/Q102-1,0)</f>
        <v>0.0600000000000001</v>
      </c>
      <c r="W103" s="32" t="n">
        <f aca="false">IFERROR(W102/R102-1,0)</f>
        <v>0.0599999999999998</v>
      </c>
    </row>
    <row r="104" customFormat="false" ht="15" hidden="false" customHeight="false" outlineLevel="0" collapsed="false">
      <c r="C104" s="22" t="s">
        <v>31</v>
      </c>
      <c r="H104" s="25"/>
      <c r="I104" s="31" t="n">
        <f aca="false">IFERROR(((I42*D40)+(I59*D57)+(I81*D79)+(I98*D96))/(D40+D57+D79+D96),0)</f>
        <v>0.0893539518900344</v>
      </c>
      <c r="J104" s="31" t="n">
        <f aca="false">IFERROR(((J42*E40)+(J59*E57)+(J81*E79)+(J98*E96))/(E40+E57+E79+E96),0)</f>
        <v>0.06</v>
      </c>
      <c r="K104" s="31" t="n">
        <f aca="false">IFERROR(((K42*F40)+(K59*F57)+(K81*F79)+(K98*F96))/(F40+F57+F79+F96),0)</f>
        <v>0.06</v>
      </c>
      <c r="L104" s="31" t="n">
        <f aca="false">IFERROR(((L42*G40)+(L59*G57)+(L81*G79)+(L98*G96))/(G40+G57+G79+G96),0)</f>
        <v>0.06</v>
      </c>
      <c r="M104" s="32" t="n">
        <f aca="false">IFERROR(((I104*D102)+(J104*E102)+(K104*F102)+(L104*G102))/(D102+E102+F102+G102),0)</f>
        <v>0.0666807445643673</v>
      </c>
      <c r="N104" s="31" t="n">
        <f aca="false">IFERROR(((N42*I40)+(N59*I57)+(N81*I79)+(N98*I96))/(I40+I57+I79+I96),0)</f>
        <v>0.06</v>
      </c>
      <c r="O104" s="31" t="n">
        <f aca="false">IFERROR(((O42*J40)+(O59*J57)+(O81*J79)+(O98*J96))/(J40+J57+J79+J96),0)</f>
        <v>0.06</v>
      </c>
      <c r="P104" s="31" t="n">
        <f aca="false">IFERROR(((P42*K40)+(P59*K57)+(P81*K79)+(P98*K96))/(K40+K57+K79+K96),0)</f>
        <v>0.06</v>
      </c>
      <c r="Q104" s="31" t="n">
        <f aca="false">IFERROR(((Q42*L40)+(Q59*L57)+(Q81*L79)+(Q98*L96))/(L40+L57+L79+L96),0)</f>
        <v>0.06</v>
      </c>
      <c r="R104" s="32" t="n">
        <f aca="false">IFERROR(((N104*I102)+(O104*J102)+(P104*K102)+(Q104*L102))/(I102+J102+K102+L102),0)</f>
        <v>0.06</v>
      </c>
      <c r="S104" s="31" t="n">
        <f aca="false">IFERROR(((S42*N40)+(S59*N57)+(S81*N79)+(S98*N96))/(N40+N57+N79+N96),0)</f>
        <v>0.06</v>
      </c>
      <c r="T104" s="31" t="n">
        <f aca="false">IFERROR(((T42*O40)+(T59*O57)+(T81*O79)+(T98*O96))/(O40+O57+O79+O96),0)</f>
        <v>0.06</v>
      </c>
      <c r="U104" s="31" t="n">
        <f aca="false">IFERROR(((U42*P40)+(U59*P57)+(U81*P79)+(U98*P96))/(P40+P57+P79+P96),0)</f>
        <v>0.06</v>
      </c>
      <c r="V104" s="31" t="n">
        <f aca="false">IFERROR(((V42*Q40)+(V59*Q57)+(V81*Q79)+(V98*Q96))/(Q40+Q57+Q79+Q96),0)</f>
        <v>0.06</v>
      </c>
      <c r="W104" s="32" t="n">
        <f aca="false">IFERROR(((S104*N102)+(T104*O102)+(U104*P102)+(V104*Q102))/(N102+O102+P102+Q102),0)</f>
        <v>0.06</v>
      </c>
    </row>
    <row r="105" customFormat="false" ht="15" hidden="false" customHeight="false" outlineLevel="0" collapsed="false">
      <c r="C105" s="22" t="s">
        <v>32</v>
      </c>
      <c r="H105" s="25"/>
      <c r="I105" s="31" t="n">
        <f aca="false">IFERROR(((I43*D40)+(I60*D57)+(I82*D79)+(I99*D96))/(D40+D57+D79+D96),0)</f>
        <v>-0.239099656357388</v>
      </c>
      <c r="J105" s="31" t="n">
        <f aca="false">IFERROR(((J43*E40)+(J60*E57)+(J82*E79)+(J99*E96))/(E40+E57+E79+E96),0)</f>
        <v>0</v>
      </c>
      <c r="K105" s="31" t="n">
        <f aca="false">IFERROR(((K43*F40)+(K60*F57)+(K82*F79)+(K99*F96))/(F40+F57+F79+F96),0)</f>
        <v>0</v>
      </c>
      <c r="L105" s="31" t="n">
        <f aca="false">IFERROR(((L43*G40)+(L60*G57)+(L82*G79)+(L99*G96))/(G40+G57+G79+G96),0)</f>
        <v>0</v>
      </c>
      <c r="M105" s="32" t="n">
        <f aca="false">IFERROR(((I105*D102)+(J105*E102)+(K105*F102)+(L105*G102))/(D102+E102+F102+G102),0)</f>
        <v>-0.0544173314562803</v>
      </c>
      <c r="N105" s="31" t="n">
        <f aca="false">IFERROR(((N43*I40)+(N60*I57)+(N82*I79)+(N99*I96))/(I40+I57+I79+I96),0)</f>
        <v>0.205209155485399</v>
      </c>
      <c r="O105" s="31" t="n">
        <f aca="false">IFERROR(((O43*J40)+(O60*J57)+(O82*J79)+(O99*J96))/(J40+J57+J79+J96),0)</f>
        <v>0</v>
      </c>
      <c r="P105" s="31" t="n">
        <f aca="false">IFERROR(((P43*K40)+(P60*K57)+(P82*K79)+(P99*K96))/(K40+K57+K79+K96),0)</f>
        <v>0</v>
      </c>
      <c r="Q105" s="31" t="n">
        <f aca="false">IFERROR(((Q43*L40)+(Q60*L57)+(Q82*L79)+(Q99*L96))/(L40+L57+L79+L96),0)</f>
        <v>0</v>
      </c>
      <c r="R105" s="32" t="n">
        <f aca="false">IFERROR(((N105*I102)+(O105*J102)+(P105*K102)+(Q105*L102))/(I102+J102+K102+L102),0)</f>
        <v>0.0399921246277656</v>
      </c>
      <c r="S105" s="31" t="n">
        <f aca="false">IFERROR(((S43*N40)+(S60*N57)+(S82*N79)+(S99*N96))/(N40+N57+N79+N96),0)</f>
        <v>0</v>
      </c>
      <c r="T105" s="31" t="n">
        <f aca="false">IFERROR(((T43*O40)+(T60*O57)+(T82*O79)+(T99*O96))/(O40+O57+O79+O96),0)</f>
        <v>0</v>
      </c>
      <c r="U105" s="31" t="n">
        <f aca="false">IFERROR(((U43*P40)+(U60*P57)+(U82*P79)+(U99*P96))/(P40+P57+P79+P96),0)</f>
        <v>0</v>
      </c>
      <c r="V105" s="31" t="n">
        <f aca="false">IFERROR(((V43*Q40)+(V60*Q57)+(V82*Q79)+(V99*Q96))/(Q40+Q57+Q79+Q96),0)</f>
        <v>0</v>
      </c>
      <c r="W105" s="32" t="n">
        <f aca="false">IFERROR(((S105*N102)+(T105*O102)+(U105*P102)+(V105*Q102))/(N102+O102+P102+Q102),0)</f>
        <v>0</v>
      </c>
    </row>
    <row r="106" customFormat="false" ht="15" hidden="false" customHeight="false" outlineLevel="0" collapsed="false">
      <c r="C106" s="22" t="s">
        <v>33</v>
      </c>
      <c r="H106" s="25"/>
      <c r="I106" s="31" t="n">
        <f aca="false">IFERROR(((I44*D40)+(I61*D57)+(I83*D79)+(I100*D96))/(D40+D57+D79+D96),0)</f>
        <v>0.0205360824742268</v>
      </c>
      <c r="J106" s="31" t="n">
        <f aca="false">IFERROR(((J44*E40)+(J61*E57)+(J83*E79)+(J100*E96))/(E40+E57+E79+E96),0)</f>
        <v>0</v>
      </c>
      <c r="K106" s="31" t="n">
        <f aca="false">IFERROR(((K44*F40)+(K61*F57)+(K83*F79)+(K100*F96))/(F40+F57+F79+F96),0)</f>
        <v>0</v>
      </c>
      <c r="L106" s="31" t="n">
        <f aca="false">IFERROR(((L44*G40)+(L61*G57)+(L83*G79)+(L100*G96))/(G40+G57+G79+G96),0)</f>
        <v>0</v>
      </c>
      <c r="M106" s="32" t="n">
        <f aca="false">IFERROR(((I106*D102)+(J106*E102)+(K106*F102)+(L106*G102))/(D102+E102+F102+G102),0)</f>
        <v>0.00467386203660253</v>
      </c>
      <c r="N106" s="31" t="n">
        <f aca="false">IFERROR(((N44*I40)+(N61*I57)+(N83*I79)+(N100*I96))/(I40+I57+I79+I96),0)</f>
        <v>0</v>
      </c>
      <c r="O106" s="31" t="n">
        <f aca="false">IFERROR(((O44*J40)+(O61*J57)+(O83*J79)+(O100*J96))/(J40+J57+J79+J96),0)</f>
        <v>0</v>
      </c>
      <c r="P106" s="31" t="n">
        <f aca="false">IFERROR(((P44*K40)+(P61*K57)+(P83*K79)+(P100*K96))/(K40+K57+K79+K96),0)</f>
        <v>0</v>
      </c>
      <c r="Q106" s="31" t="n">
        <f aca="false">IFERROR(((Q44*L40)+(Q61*L57)+(Q83*L79)+(Q100*L96))/(L40+L57+L79+L96),0)</f>
        <v>0</v>
      </c>
      <c r="R106" s="32" t="n">
        <f aca="false">IFERROR(((N106*I102)+(O106*J102)+(P106*K102)+(Q106*L102))/(I102+J102+K102+L102),0)</f>
        <v>0</v>
      </c>
      <c r="S106" s="31" t="n">
        <f aca="false">IFERROR(((S44*N40)+(S61*N57)+(S83*N79)+(S100*N96))/(N40+N57+N79+N96),0)</f>
        <v>0</v>
      </c>
      <c r="T106" s="31" t="n">
        <f aca="false">IFERROR(((T44*O40)+(T61*O57)+(T83*O79)+(T100*O96))/(O40+O57+O79+O96),0)</f>
        <v>0</v>
      </c>
      <c r="U106" s="31" t="n">
        <f aca="false">IFERROR(((U44*P40)+(U61*P57)+(U83*P79)+(U100*P96))/(P40+P57+P79+P96),0)</f>
        <v>0</v>
      </c>
      <c r="V106" s="31" t="n">
        <f aca="false">IFERROR(((V44*Q40)+(V61*Q57)+(V83*Q79)+(V100*Q96))/(Q40+Q57+Q79+Q96),0)</f>
        <v>0</v>
      </c>
      <c r="W106" s="32" t="n">
        <f aca="false">IFERROR(((S106*N102)+(T106*O102)+(U106*P102)+(V106*Q102))/(N102+O102+P102+Q102),0)</f>
        <v>0</v>
      </c>
    </row>
    <row r="107" customFormat="false" ht="15" hidden="false" customHeight="false" outlineLevel="0" collapsed="false">
      <c r="H107" s="25"/>
      <c r="M107" s="25"/>
      <c r="R107" s="25"/>
      <c r="W107" s="25"/>
    </row>
    <row r="108" customFormat="false" ht="15" hidden="false" customHeight="false" outlineLevel="0" collapsed="false">
      <c r="B108" s="17" t="s">
        <v>63</v>
      </c>
      <c r="C108" s="18"/>
      <c r="D108" s="18"/>
      <c r="E108" s="18"/>
      <c r="F108" s="18"/>
      <c r="G108" s="18"/>
      <c r="H108" s="19"/>
      <c r="I108" s="18"/>
      <c r="J108" s="18"/>
      <c r="K108" s="18"/>
      <c r="L108" s="18"/>
      <c r="M108" s="19"/>
      <c r="N108" s="18"/>
      <c r="O108" s="18"/>
      <c r="P108" s="18"/>
      <c r="Q108" s="18"/>
      <c r="R108" s="19"/>
      <c r="S108" s="18"/>
      <c r="T108" s="18"/>
      <c r="U108" s="18"/>
      <c r="V108" s="18"/>
      <c r="W108" s="19"/>
    </row>
    <row r="109" customFormat="false" ht="15" hidden="false" customHeight="false" outlineLevel="0" collapsed="false">
      <c r="H109" s="25"/>
      <c r="M109" s="25"/>
      <c r="R109" s="25"/>
      <c r="W109" s="25"/>
    </row>
    <row r="110" customFormat="false" ht="15" hidden="false" customHeight="false" outlineLevel="0" collapsed="false">
      <c r="C110" s="26" t="s">
        <v>64</v>
      </c>
      <c r="D110" s="27"/>
      <c r="E110" s="27"/>
      <c r="F110" s="27"/>
      <c r="G110" s="27"/>
      <c r="H110" s="28"/>
      <c r="I110" s="27"/>
      <c r="J110" s="27"/>
      <c r="K110" s="27"/>
      <c r="L110" s="27"/>
      <c r="M110" s="28"/>
      <c r="N110" s="27"/>
      <c r="O110" s="27"/>
      <c r="P110" s="27"/>
      <c r="Q110" s="27"/>
      <c r="R110" s="28"/>
      <c r="S110" s="27"/>
      <c r="T110" s="27"/>
      <c r="U110" s="27"/>
      <c r="V110" s="27"/>
      <c r="W110" s="28"/>
    </row>
    <row r="111" customFormat="false" ht="15" hidden="false" customHeight="false" outlineLevel="0" collapsed="false">
      <c r="C111" s="4" t="s">
        <v>65</v>
      </c>
      <c r="D111" s="37" t="n">
        <f aca="false">D40+D96</f>
        <v>609</v>
      </c>
      <c r="E111" s="37" t="n">
        <f aca="false">E40+E96</f>
        <v>707</v>
      </c>
      <c r="F111" s="37" t="n">
        <f aca="false">F40+F96</f>
        <v>737</v>
      </c>
      <c r="G111" s="37" t="n">
        <f aca="false">G40+G96</f>
        <v>840</v>
      </c>
      <c r="H111" s="36" t="n">
        <f aca="false">H40+H96</f>
        <v>2893</v>
      </c>
      <c r="I111" s="37" t="n">
        <f aca="false">I40+I96</f>
        <v>686</v>
      </c>
      <c r="J111" s="37" t="n">
        <f aca="false">J40+J96</f>
        <v>749.42</v>
      </c>
      <c r="K111" s="37" t="n">
        <f aca="false">K40+K96</f>
        <v>781.22</v>
      </c>
      <c r="L111" s="37" t="n">
        <f aca="false">L40+L96</f>
        <v>890.4</v>
      </c>
      <c r="M111" s="36" t="n">
        <f aca="false">M40+M96</f>
        <v>3107.04</v>
      </c>
      <c r="N111" s="37" t="n">
        <f aca="false">N40+N96</f>
        <v>727.16</v>
      </c>
      <c r="O111" s="37" t="n">
        <f aca="false">O40+O96</f>
        <v>794.3852</v>
      </c>
      <c r="P111" s="37" t="n">
        <f aca="false">P40+P96</f>
        <v>828.0932</v>
      </c>
      <c r="Q111" s="37" t="n">
        <f aca="false">Q40+Q96</f>
        <v>943.824</v>
      </c>
      <c r="R111" s="36" t="n">
        <f aca="false">R40+R96</f>
        <v>3293.4624</v>
      </c>
      <c r="S111" s="37" t="n">
        <f aca="false">S40+S96</f>
        <v>770.7896</v>
      </c>
      <c r="T111" s="37" t="n">
        <f aca="false">T40+T96</f>
        <v>842.048312</v>
      </c>
      <c r="U111" s="37" t="n">
        <f aca="false">U40+U96</f>
        <v>877.778792</v>
      </c>
      <c r="V111" s="37" t="n">
        <f aca="false">V40+V96</f>
        <v>1000.45344</v>
      </c>
      <c r="W111" s="36" t="n">
        <f aca="false">W40+W96</f>
        <v>3491.070144</v>
      </c>
    </row>
    <row r="112" customFormat="false" ht="15" hidden="false" customHeight="false" outlineLevel="0" collapsed="false">
      <c r="C112" s="4" t="s">
        <v>44</v>
      </c>
      <c r="D112" s="47" t="n">
        <v>0.353</v>
      </c>
      <c r="E112" s="48" t="n">
        <v>0.3</v>
      </c>
      <c r="F112" s="48" t="n">
        <v>0.3</v>
      </c>
      <c r="G112" s="48" t="n">
        <v>0.3</v>
      </c>
      <c r="H112" s="49" t="n">
        <v>0.3</v>
      </c>
      <c r="I112" s="47" t="n">
        <v>0.344</v>
      </c>
      <c r="J112" s="48" t="n">
        <v>0.3</v>
      </c>
      <c r="K112" s="48" t="n">
        <v>0.3</v>
      </c>
      <c r="L112" s="48" t="n">
        <v>0.3</v>
      </c>
      <c r="M112" s="49" t="n">
        <v>0.3</v>
      </c>
      <c r="N112" s="48" t="n">
        <v>0.3</v>
      </c>
      <c r="O112" s="48" t="n">
        <v>0.3</v>
      </c>
      <c r="P112" s="48" t="n">
        <v>0.3</v>
      </c>
      <c r="Q112" s="48" t="n">
        <v>0.3</v>
      </c>
      <c r="R112" s="49" t="n">
        <v>0.3</v>
      </c>
      <c r="S112" s="48" t="n">
        <v>0.3</v>
      </c>
      <c r="T112" s="48" t="n">
        <v>0.3</v>
      </c>
      <c r="U112" s="48" t="n">
        <v>0.3</v>
      </c>
      <c r="V112" s="48" t="n">
        <v>0.3</v>
      </c>
      <c r="W112" s="49" t="n">
        <v>0.3</v>
      </c>
    </row>
    <row r="113" customFormat="false" ht="15" hidden="false" customHeight="false" outlineLevel="0" collapsed="false">
      <c r="C113" s="2" t="s">
        <v>66</v>
      </c>
      <c r="D113" s="29" t="n">
        <f aca="false">D112*D111</f>
        <v>214.977</v>
      </c>
      <c r="E113" s="29" t="n">
        <f aca="false">E112*E111</f>
        <v>212.1</v>
      </c>
      <c r="F113" s="29" t="n">
        <f aca="false">F112*F111</f>
        <v>221.1</v>
      </c>
      <c r="G113" s="29" t="n">
        <f aca="false">G112*G111</f>
        <v>252</v>
      </c>
      <c r="H113" s="30" t="n">
        <f aca="false">D113+E113+F113+G113</f>
        <v>900.177</v>
      </c>
      <c r="I113" s="29" t="n">
        <f aca="false">I112*I111</f>
        <v>235.984</v>
      </c>
      <c r="J113" s="29" t="n">
        <f aca="false">J112*J111</f>
        <v>224.826</v>
      </c>
      <c r="K113" s="29" t="n">
        <f aca="false">K112*K111</f>
        <v>234.366</v>
      </c>
      <c r="L113" s="29" t="n">
        <f aca="false">L112*L111</f>
        <v>267.12</v>
      </c>
      <c r="M113" s="30" t="n">
        <f aca="false">I113+J113+K113+L113</f>
        <v>962.296</v>
      </c>
      <c r="N113" s="29" t="n">
        <f aca="false">N112*N111</f>
        <v>218.148</v>
      </c>
      <c r="O113" s="29" t="n">
        <f aca="false">O112*O111</f>
        <v>238.31556</v>
      </c>
      <c r="P113" s="29" t="n">
        <f aca="false">P112*P111</f>
        <v>248.42796</v>
      </c>
      <c r="Q113" s="29" t="n">
        <f aca="false">Q112*Q111</f>
        <v>283.1472</v>
      </c>
      <c r="R113" s="30" t="n">
        <f aca="false">N113+O113+P113+Q113</f>
        <v>988.03872</v>
      </c>
      <c r="S113" s="29" t="n">
        <f aca="false">S112*S111</f>
        <v>231.23688</v>
      </c>
      <c r="T113" s="29" t="n">
        <f aca="false">T112*T111</f>
        <v>252.6144936</v>
      </c>
      <c r="U113" s="29" t="n">
        <f aca="false">U112*U111</f>
        <v>263.3336376</v>
      </c>
      <c r="V113" s="29" t="n">
        <f aca="false">V112*V111</f>
        <v>300.136032</v>
      </c>
      <c r="W113" s="30" t="n">
        <f aca="false">S113+T113+U113+V113</f>
        <v>1047.3210432</v>
      </c>
    </row>
    <row r="114" customFormat="false" ht="15" hidden="false" customHeight="false" outlineLevel="0" collapsed="false">
      <c r="H114" s="25"/>
      <c r="M114" s="25"/>
      <c r="R114" s="25"/>
      <c r="W114" s="25"/>
    </row>
    <row r="115" customFormat="false" ht="15" hidden="false" customHeight="false" outlineLevel="0" collapsed="false">
      <c r="C115" s="26" t="s">
        <v>67</v>
      </c>
      <c r="D115" s="27"/>
      <c r="E115" s="27"/>
      <c r="F115" s="27"/>
      <c r="G115" s="27"/>
      <c r="H115" s="28"/>
      <c r="I115" s="27"/>
      <c r="J115" s="27"/>
      <c r="K115" s="27"/>
      <c r="L115" s="27"/>
      <c r="M115" s="28"/>
      <c r="N115" s="27"/>
      <c r="O115" s="27"/>
      <c r="P115" s="27"/>
      <c r="Q115" s="27"/>
      <c r="R115" s="28"/>
      <c r="S115" s="27"/>
      <c r="T115" s="27"/>
      <c r="U115" s="27"/>
      <c r="V115" s="27"/>
      <c r="W115" s="28"/>
    </row>
    <row r="116" customFormat="false" ht="15" hidden="false" customHeight="false" outlineLevel="0" collapsed="false">
      <c r="C116" s="4" t="s">
        <v>65</v>
      </c>
      <c r="D116" s="37" t="n">
        <f aca="false">D57</f>
        <v>352</v>
      </c>
      <c r="E116" s="37" t="n">
        <f aca="false">E57</f>
        <v>358</v>
      </c>
      <c r="F116" s="37" t="n">
        <f aca="false">F57</f>
        <v>387</v>
      </c>
      <c r="G116" s="37" t="n">
        <f aca="false">G57</f>
        <v>327</v>
      </c>
      <c r="H116" s="36" t="n">
        <f aca="false">H57</f>
        <v>1424</v>
      </c>
      <c r="I116" s="37" t="n">
        <f aca="false">I57</f>
        <v>233</v>
      </c>
      <c r="J116" s="37" t="n">
        <f aca="false">J57</f>
        <v>379.48</v>
      </c>
      <c r="K116" s="37" t="n">
        <f aca="false">K57</f>
        <v>410.22</v>
      </c>
      <c r="L116" s="37" t="n">
        <f aca="false">L57</f>
        <v>346.62</v>
      </c>
      <c r="M116" s="36" t="n">
        <f aca="false">M57</f>
        <v>1369.32</v>
      </c>
      <c r="N116" s="37" t="n">
        <f aca="false">N57</f>
        <v>363.48</v>
      </c>
      <c r="O116" s="37" t="n">
        <f aca="false">O57</f>
        <v>402.2488</v>
      </c>
      <c r="P116" s="37" t="n">
        <f aca="false">P57</f>
        <v>434.8332</v>
      </c>
      <c r="Q116" s="37" t="n">
        <f aca="false">Q57</f>
        <v>367.4172</v>
      </c>
      <c r="R116" s="36" t="n">
        <f aca="false">R57</f>
        <v>1567.9792</v>
      </c>
      <c r="S116" s="37" t="n">
        <f aca="false">S57</f>
        <v>385.2888</v>
      </c>
      <c r="T116" s="37" t="n">
        <f aca="false">T57</f>
        <v>426.383728</v>
      </c>
      <c r="U116" s="37" t="n">
        <f aca="false">U57</f>
        <v>460.923192</v>
      </c>
      <c r="V116" s="37" t="n">
        <f aca="false">V57</f>
        <v>389.462232</v>
      </c>
      <c r="W116" s="36" t="n">
        <f aca="false">W57</f>
        <v>1662.057952</v>
      </c>
    </row>
    <row r="117" customFormat="false" ht="15" hidden="false" customHeight="false" outlineLevel="0" collapsed="false">
      <c r="C117" s="4" t="s">
        <v>44</v>
      </c>
      <c r="D117" s="48" t="n">
        <v>0.3</v>
      </c>
      <c r="E117" s="48" t="n">
        <v>0.3</v>
      </c>
      <c r="F117" s="48" t="n">
        <v>0.3</v>
      </c>
      <c r="G117" s="48" t="n">
        <v>0.3</v>
      </c>
      <c r="H117" s="49" t="n">
        <v>0.3</v>
      </c>
      <c r="I117" s="47" t="n">
        <v>0.358</v>
      </c>
      <c r="J117" s="48" t="n">
        <v>0.3</v>
      </c>
      <c r="K117" s="48" t="n">
        <v>0.3</v>
      </c>
      <c r="L117" s="48" t="n">
        <v>0.3</v>
      </c>
      <c r="M117" s="49" t="n">
        <v>0.3</v>
      </c>
      <c r="N117" s="48" t="n">
        <v>0.3</v>
      </c>
      <c r="O117" s="48" t="n">
        <v>0.3</v>
      </c>
      <c r="P117" s="48" t="n">
        <v>0.3</v>
      </c>
      <c r="Q117" s="48" t="n">
        <v>0.3</v>
      </c>
      <c r="R117" s="49" t="n">
        <v>0.3</v>
      </c>
      <c r="S117" s="48" t="n">
        <v>0.3</v>
      </c>
      <c r="T117" s="48" t="n">
        <v>0.3</v>
      </c>
      <c r="U117" s="48" t="n">
        <v>0.3</v>
      </c>
      <c r="V117" s="48" t="n">
        <v>0.3</v>
      </c>
      <c r="W117" s="49" t="n">
        <v>0.3</v>
      </c>
    </row>
    <row r="118" customFormat="false" ht="15" hidden="false" customHeight="false" outlineLevel="0" collapsed="false">
      <c r="C118" s="2" t="s">
        <v>66</v>
      </c>
      <c r="D118" s="29" t="n">
        <f aca="false">D117*D116</f>
        <v>105.6</v>
      </c>
      <c r="E118" s="29" t="n">
        <f aca="false">E117*E116</f>
        <v>107.4</v>
      </c>
      <c r="F118" s="29" t="n">
        <f aca="false">F117*F116</f>
        <v>116.1</v>
      </c>
      <c r="G118" s="29" t="n">
        <f aca="false">G117*G116</f>
        <v>98.1</v>
      </c>
      <c r="H118" s="30" t="n">
        <f aca="false">D118+E118+F118+G118</f>
        <v>427.2</v>
      </c>
      <c r="I118" s="29" t="n">
        <f aca="false">I117*I116</f>
        <v>83.414</v>
      </c>
      <c r="J118" s="29" t="n">
        <f aca="false">J117*J116</f>
        <v>113.844</v>
      </c>
      <c r="K118" s="29" t="n">
        <f aca="false">K117*K116</f>
        <v>123.066</v>
      </c>
      <c r="L118" s="29" t="n">
        <f aca="false">L117*L116</f>
        <v>103.986</v>
      </c>
      <c r="M118" s="30" t="n">
        <f aca="false">I118+J118+K118+L118</f>
        <v>424.31</v>
      </c>
      <c r="N118" s="29" t="n">
        <f aca="false">N117*N116</f>
        <v>109.044</v>
      </c>
      <c r="O118" s="29" t="n">
        <f aca="false">O117*O116</f>
        <v>120.67464</v>
      </c>
      <c r="P118" s="29" t="n">
        <f aca="false">P117*P116</f>
        <v>130.44996</v>
      </c>
      <c r="Q118" s="29" t="n">
        <f aca="false">Q117*Q116</f>
        <v>110.22516</v>
      </c>
      <c r="R118" s="30" t="n">
        <f aca="false">N118+O118+P118+Q118</f>
        <v>470.39376</v>
      </c>
      <c r="S118" s="29" t="n">
        <f aca="false">S117*S116</f>
        <v>115.58664</v>
      </c>
      <c r="T118" s="29" t="n">
        <f aca="false">T117*T116</f>
        <v>127.9151184</v>
      </c>
      <c r="U118" s="29" t="n">
        <f aca="false">U117*U116</f>
        <v>138.2769576</v>
      </c>
      <c r="V118" s="29" t="n">
        <f aca="false">V117*V116</f>
        <v>116.8386696</v>
      </c>
      <c r="W118" s="30" t="n">
        <f aca="false">S118+T118+U118+V118</f>
        <v>498.6173856</v>
      </c>
    </row>
    <row r="119" customFormat="false" ht="15" hidden="false" customHeight="false" outlineLevel="0" collapsed="false">
      <c r="H119" s="25"/>
      <c r="M119" s="25"/>
      <c r="R119" s="25"/>
      <c r="W119" s="25"/>
    </row>
    <row r="120" customFormat="false" ht="15" hidden="false" customHeight="false" outlineLevel="0" collapsed="false">
      <c r="C120" s="26" t="s">
        <v>68</v>
      </c>
      <c r="D120" s="27"/>
      <c r="E120" s="27"/>
      <c r="F120" s="27"/>
      <c r="G120" s="27"/>
      <c r="H120" s="28"/>
      <c r="I120" s="27"/>
      <c r="J120" s="27"/>
      <c r="K120" s="27"/>
      <c r="L120" s="27"/>
      <c r="M120" s="28"/>
      <c r="N120" s="27"/>
      <c r="O120" s="27"/>
      <c r="P120" s="27"/>
      <c r="Q120" s="27"/>
      <c r="R120" s="28"/>
      <c r="S120" s="27"/>
      <c r="T120" s="27"/>
      <c r="U120" s="27"/>
      <c r="V120" s="27"/>
      <c r="W120" s="28"/>
    </row>
    <row r="121" customFormat="false" ht="15" hidden="false" customHeight="false" outlineLevel="0" collapsed="false">
      <c r="C121" s="4" t="s">
        <v>65</v>
      </c>
      <c r="D121" s="37" t="n">
        <f aca="false">D79</f>
        <v>494</v>
      </c>
      <c r="E121" s="37" t="n">
        <f aca="false">E79</f>
        <v>488</v>
      </c>
      <c r="F121" s="37" t="n">
        <f aca="false">F79</f>
        <v>562</v>
      </c>
      <c r="G121" s="37" t="n">
        <f aca="false">G79</f>
        <v>532</v>
      </c>
      <c r="H121" s="36" t="n">
        <f aca="false">H79</f>
        <v>2076</v>
      </c>
      <c r="I121" s="37" t="n">
        <f aca="false">I79</f>
        <v>348</v>
      </c>
      <c r="J121" s="37" t="n">
        <f aca="false">J79</f>
        <v>517.28</v>
      </c>
      <c r="K121" s="37" t="n">
        <f aca="false">K79</f>
        <v>595.72</v>
      </c>
      <c r="L121" s="37" t="n">
        <f aca="false">L79</f>
        <v>563.92</v>
      </c>
      <c r="M121" s="36" t="n">
        <f aca="false">M79</f>
        <v>2024.92</v>
      </c>
      <c r="N121" s="37" t="n">
        <f aca="false">N79</f>
        <v>512.38</v>
      </c>
      <c r="O121" s="37" t="n">
        <f aca="false">O79</f>
        <v>548.3168</v>
      </c>
      <c r="P121" s="37" t="n">
        <f aca="false">P79</f>
        <v>631.4632</v>
      </c>
      <c r="Q121" s="37" t="n">
        <f aca="false">Q79</f>
        <v>597.7552</v>
      </c>
      <c r="R121" s="36" t="n">
        <f aca="false">R79</f>
        <v>2289.9152</v>
      </c>
      <c r="S121" s="37" t="n">
        <f aca="false">S79</f>
        <v>543.1228</v>
      </c>
      <c r="T121" s="37" t="n">
        <f aca="false">T79</f>
        <v>581.215808</v>
      </c>
      <c r="U121" s="37" t="n">
        <f aca="false">U79</f>
        <v>669.350992</v>
      </c>
      <c r="V121" s="37" t="n">
        <f aca="false">V79</f>
        <v>633.620512</v>
      </c>
      <c r="W121" s="36" t="n">
        <f aca="false">W79</f>
        <v>2427.310112</v>
      </c>
    </row>
    <row r="122" customFormat="false" ht="15" hidden="false" customHeight="false" outlineLevel="0" collapsed="false">
      <c r="C122" s="4" t="s">
        <v>44</v>
      </c>
      <c r="D122" s="47" t="n">
        <v>0.377</v>
      </c>
      <c r="E122" s="48" t="n">
        <v>0.22</v>
      </c>
      <c r="F122" s="48" t="n">
        <v>0.22</v>
      </c>
      <c r="G122" s="48" t="n">
        <v>0.22</v>
      </c>
      <c r="H122" s="49" t="n">
        <v>0.22</v>
      </c>
      <c r="I122" s="47" t="n">
        <v>0.201</v>
      </c>
      <c r="J122" s="48" t="n">
        <v>0.22</v>
      </c>
      <c r="K122" s="48" t="n">
        <v>0.22</v>
      </c>
      <c r="L122" s="48" t="n">
        <v>0.22</v>
      </c>
      <c r="M122" s="49" t="n">
        <v>0.22</v>
      </c>
      <c r="N122" s="48" t="n">
        <v>0.22</v>
      </c>
      <c r="O122" s="48" t="n">
        <v>0.22</v>
      </c>
      <c r="P122" s="48" t="n">
        <v>0.22</v>
      </c>
      <c r="Q122" s="48" t="n">
        <v>0.22</v>
      </c>
      <c r="R122" s="49" t="n">
        <v>0.22</v>
      </c>
      <c r="S122" s="48" t="n">
        <v>0.22</v>
      </c>
      <c r="T122" s="48" t="n">
        <v>0.22</v>
      </c>
      <c r="U122" s="48" t="n">
        <v>0.22</v>
      </c>
      <c r="V122" s="48" t="n">
        <v>0.22</v>
      </c>
      <c r="W122" s="49" t="n">
        <v>0.22</v>
      </c>
    </row>
    <row r="123" customFormat="false" ht="15" hidden="false" customHeight="false" outlineLevel="0" collapsed="false">
      <c r="C123" s="2" t="s">
        <v>66</v>
      </c>
      <c r="D123" s="29" t="n">
        <f aca="false">D122*D121</f>
        <v>186.238</v>
      </c>
      <c r="E123" s="29" t="n">
        <f aca="false">E122*E121</f>
        <v>107.36</v>
      </c>
      <c r="F123" s="29" t="n">
        <f aca="false">F122*F121</f>
        <v>123.64</v>
      </c>
      <c r="G123" s="29" t="n">
        <f aca="false">G122*G121</f>
        <v>117.04</v>
      </c>
      <c r="H123" s="30" t="n">
        <f aca="false">D123+E123+F123+G123</f>
        <v>534.278</v>
      </c>
      <c r="I123" s="29" t="n">
        <f aca="false">I122*I121</f>
        <v>69.948</v>
      </c>
      <c r="J123" s="29" t="n">
        <f aca="false">J122*J121</f>
        <v>113.8016</v>
      </c>
      <c r="K123" s="29" t="n">
        <f aca="false">K122*K121</f>
        <v>131.0584</v>
      </c>
      <c r="L123" s="29" t="n">
        <f aca="false">L122*L121</f>
        <v>124.0624</v>
      </c>
      <c r="M123" s="30" t="n">
        <f aca="false">I123+J123+K123+L123</f>
        <v>438.8704</v>
      </c>
      <c r="N123" s="29" t="n">
        <f aca="false">N122*N121</f>
        <v>112.7236</v>
      </c>
      <c r="O123" s="29" t="n">
        <f aca="false">O122*O121</f>
        <v>120.629696</v>
      </c>
      <c r="P123" s="29" t="n">
        <f aca="false">P122*P121</f>
        <v>138.921904</v>
      </c>
      <c r="Q123" s="29" t="n">
        <f aca="false">Q122*Q121</f>
        <v>131.506144</v>
      </c>
      <c r="R123" s="30" t="n">
        <f aca="false">N123+O123+P123+Q123</f>
        <v>503.781344</v>
      </c>
      <c r="S123" s="29" t="n">
        <f aca="false">S122*S121</f>
        <v>119.487016</v>
      </c>
      <c r="T123" s="29" t="n">
        <f aca="false">T122*T121</f>
        <v>127.86747776</v>
      </c>
      <c r="U123" s="29" t="n">
        <f aca="false">U122*U121</f>
        <v>147.25721824</v>
      </c>
      <c r="V123" s="29" t="n">
        <f aca="false">V122*V121</f>
        <v>139.39651264</v>
      </c>
      <c r="W123" s="30" t="n">
        <f aca="false">S123+T123+U123+V123</f>
        <v>534.00822464</v>
      </c>
    </row>
    <row r="124" customFormat="false" ht="15" hidden="false" customHeight="false" outlineLevel="0" collapsed="false">
      <c r="H124" s="25"/>
      <c r="M124" s="25"/>
      <c r="R124" s="25"/>
      <c r="W124" s="25"/>
    </row>
    <row r="125" customFormat="false" ht="15" hidden="false" customHeight="false" outlineLevel="0" collapsed="false">
      <c r="C125" s="44" t="s">
        <v>69</v>
      </c>
      <c r="D125" s="45" t="n">
        <f aca="false">D113+D118+D123</f>
        <v>506.815</v>
      </c>
      <c r="E125" s="45" t="n">
        <f aca="false">E113+E118+E123</f>
        <v>426.86</v>
      </c>
      <c r="F125" s="45" t="n">
        <f aca="false">F113+F118+F123</f>
        <v>460.84</v>
      </c>
      <c r="G125" s="45" t="n">
        <f aca="false">G113+G118+G123</f>
        <v>467.14</v>
      </c>
      <c r="H125" s="46" t="n">
        <f aca="false">H113+H118+H123</f>
        <v>1861.655</v>
      </c>
      <c r="I125" s="45" t="n">
        <f aca="false">I113+I118+I123</f>
        <v>389.346</v>
      </c>
      <c r="J125" s="45" t="n">
        <f aca="false">J113+J118+J123</f>
        <v>452.4716</v>
      </c>
      <c r="K125" s="45" t="n">
        <f aca="false">K113+K118+K123</f>
        <v>488.4904</v>
      </c>
      <c r="L125" s="45" t="n">
        <f aca="false">L113+L118+L123</f>
        <v>495.1684</v>
      </c>
      <c r="M125" s="46" t="n">
        <f aca="false">M113+M118+M123</f>
        <v>1825.4764</v>
      </c>
      <c r="N125" s="45" t="n">
        <f aca="false">N113+N118+N123</f>
        <v>439.9156</v>
      </c>
      <c r="O125" s="45" t="n">
        <f aca="false">O113+O118+O123</f>
        <v>479.619896</v>
      </c>
      <c r="P125" s="45" t="n">
        <f aca="false">P113+P118+P123</f>
        <v>517.799824</v>
      </c>
      <c r="Q125" s="45" t="n">
        <f aca="false">Q113+Q118+Q123</f>
        <v>524.878504</v>
      </c>
      <c r="R125" s="46" t="n">
        <f aca="false">R113+R118+R123</f>
        <v>1962.213824</v>
      </c>
      <c r="S125" s="45" t="n">
        <f aca="false">S113+S118+S123</f>
        <v>466.310536</v>
      </c>
      <c r="T125" s="45" t="n">
        <f aca="false">T113+T118+T123</f>
        <v>508.39708976</v>
      </c>
      <c r="U125" s="45" t="n">
        <f aca="false">U113+U118+U123</f>
        <v>548.86781344</v>
      </c>
      <c r="V125" s="45" t="n">
        <f aca="false">V113+V118+V123</f>
        <v>556.37121424</v>
      </c>
      <c r="W125" s="46" t="n">
        <f aca="false">W113+W118+W123</f>
        <v>2079.94665344</v>
      </c>
    </row>
    <row r="126" customFormat="false" ht="15" hidden="false" customHeight="false" outlineLevel="0" collapsed="false">
      <c r="C126" s="4" t="s">
        <v>70</v>
      </c>
      <c r="D126" s="50" t="n">
        <f aca="false">IFERROR(D125/D102,0)</f>
        <v>0.3483264604811</v>
      </c>
      <c r="E126" s="50" t="n">
        <f aca="false">IFERROR(E125/E102,0)</f>
        <v>0.274861558274308</v>
      </c>
      <c r="F126" s="50" t="n">
        <f aca="false">IFERROR(F125/F102,0)</f>
        <v>0.273333333333333</v>
      </c>
      <c r="G126" s="50" t="n">
        <f aca="false">IFERROR(G125/G102,0)</f>
        <v>0.274949970570924</v>
      </c>
      <c r="H126" s="51" t="n">
        <f aca="false">IFERROR(H125/H102,0)</f>
        <v>0.291202096042547</v>
      </c>
      <c r="I126" s="50" t="n">
        <f aca="false">IFERROR(I125/I102,0)</f>
        <v>0.307297553275454</v>
      </c>
      <c r="J126" s="50" t="n">
        <f aca="false">IFERROR(J125/J102,0)</f>
        <v>0.274861558274308</v>
      </c>
      <c r="K126" s="50" t="n">
        <f aca="false">IFERROR(K125/K102,0)</f>
        <v>0.273333333333333</v>
      </c>
      <c r="L126" s="50" t="n">
        <f aca="false">IFERROR(L125/L102,0)</f>
        <v>0.274949970570924</v>
      </c>
      <c r="M126" s="51" t="n">
        <f aca="false">IFERROR(M125/M102,0)</f>
        <v>0.280787229591711</v>
      </c>
      <c r="N126" s="50" t="n">
        <f aca="false">IFERROR(N125/N102,0)</f>
        <v>0.27442926476276</v>
      </c>
      <c r="O126" s="50" t="n">
        <f aca="false">IFERROR(O125/O102,0)</f>
        <v>0.274861558274308</v>
      </c>
      <c r="P126" s="50" t="n">
        <f aca="false">IFERROR(P125/P102,0)</f>
        <v>0.273333333333333</v>
      </c>
      <c r="Q126" s="50" t="n">
        <f aca="false">IFERROR(Q125/Q102,0)</f>
        <v>0.274949970570924</v>
      </c>
      <c r="R126" s="51" t="n">
        <f aca="false">IFERROR(R125/R102,0)</f>
        <v>0.274383432246032</v>
      </c>
      <c r="S126" s="50" t="n">
        <f aca="false">IFERROR(S125/S102,0)</f>
        <v>0.27442926476276</v>
      </c>
      <c r="T126" s="50" t="n">
        <f aca="false">IFERROR(T125/T102,0)</f>
        <v>0.274861558274308</v>
      </c>
      <c r="U126" s="50" t="n">
        <f aca="false">IFERROR(U125/U102,0)</f>
        <v>0.273333333333333</v>
      </c>
      <c r="V126" s="50" t="n">
        <f aca="false">IFERROR(V125/V102,0)</f>
        <v>0.274949970570924</v>
      </c>
      <c r="W126" s="51" t="n">
        <f aca="false">IFERROR(W125/W102,0)</f>
        <v>0.274383432246032</v>
      </c>
    </row>
    <row r="127" customFormat="false" ht="15" hidden="false" customHeight="false" outlineLevel="0" collapsed="false">
      <c r="H127" s="25"/>
      <c r="M127" s="25"/>
      <c r="R127" s="25"/>
      <c r="W127" s="25"/>
    </row>
    <row r="128" customFormat="false" ht="15" hidden="false" customHeight="false" outlineLevel="0" collapsed="false">
      <c r="H128" s="25"/>
      <c r="M128" s="25"/>
      <c r="R128" s="25"/>
      <c r="W128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7" min="6" style="0" width="13"/>
  </cols>
  <sheetData>
    <row r="2" customFormat="false" ht="15" hidden="false" customHeight="false" outlineLevel="0" collapsed="false">
      <c r="B2" s="1" t="s">
        <v>71</v>
      </c>
    </row>
    <row r="4" customFormat="false" ht="15" hidden="false" customHeight="false" outlineLevel="0" collapsed="false">
      <c r="B4" s="52" t="s">
        <v>72</v>
      </c>
      <c r="C4" s="52" t="s">
        <v>73</v>
      </c>
      <c r="D4" s="52" t="s">
        <v>74</v>
      </c>
      <c r="E4" s="52" t="s">
        <v>75</v>
      </c>
      <c r="F4" s="52" t="s">
        <v>76</v>
      </c>
      <c r="G4" s="52" t="s">
        <v>77</v>
      </c>
    </row>
    <row r="5" customFormat="false" ht="15" hidden="false" customHeight="false" outlineLevel="0" collapsed="false">
      <c r="B5" s="4" t="s">
        <v>78</v>
      </c>
      <c r="C5" s="35" t="n">
        <v>6430</v>
      </c>
      <c r="D5" s="20" t="n">
        <f aca="false">Model!M102</f>
        <v>6501.28</v>
      </c>
      <c r="E5" s="38" t="n">
        <f aca="false">IFERROR((D5-C5)/C5,0)</f>
        <v>0.0110855365474339</v>
      </c>
      <c r="F5" s="20" t="n">
        <f aca="false">Model!R102</f>
        <v>7151.3568</v>
      </c>
      <c r="G5" s="20" t="n">
        <f aca="false">Model!W102</f>
        <v>7580.438208</v>
      </c>
    </row>
    <row r="6" customFormat="false" ht="15" hidden="false" customHeight="false" outlineLevel="0" collapsed="false">
      <c r="B6" s="4" t="s">
        <v>79</v>
      </c>
      <c r="C6" s="47" t="n">
        <v>0.0725</v>
      </c>
      <c r="D6" s="53" t="n">
        <f aca="false">Model!M104</f>
        <v>0.0666807445643673</v>
      </c>
      <c r="E6" s="38" t="n">
        <f aca="false">D6-C6</f>
        <v>-0.00581925543563272</v>
      </c>
      <c r="F6" s="53" t="n">
        <f aca="false">Model!R104</f>
        <v>0.06</v>
      </c>
      <c r="G6" s="53" t="n">
        <f aca="false">Model!W104</f>
        <v>0.06</v>
      </c>
    </row>
    <row r="7" customFormat="false" ht="15" hidden="false" customHeight="false" outlineLevel="0" collapsed="false">
      <c r="B7" s="4" t="s">
        <v>80</v>
      </c>
      <c r="C7" s="35" t="n">
        <v>1813</v>
      </c>
      <c r="D7" s="20" t="n">
        <f aca="false">Model!M125</f>
        <v>1825.4764</v>
      </c>
      <c r="E7" s="38" t="n">
        <f aca="false">IFERROR((D7-C7)/C7,0)</f>
        <v>0.00688163265306123</v>
      </c>
      <c r="F7" s="20" t="n">
        <f aca="false">Model!R125</f>
        <v>1962.213824</v>
      </c>
      <c r="G7" s="20" t="n">
        <f aca="false">Model!W125</f>
        <v>2079.94665344</v>
      </c>
    </row>
    <row r="8" customFormat="false" ht="15" hidden="false" customHeight="false" outlineLevel="0" collapsed="false">
      <c r="B8" s="4" t="s">
        <v>81</v>
      </c>
      <c r="C8" s="50" t="n">
        <f aca="false">C7/C5</f>
        <v>0.281959564541213</v>
      </c>
      <c r="D8" s="50" t="n">
        <f aca="false">D7/D5</f>
        <v>0.280787229591711</v>
      </c>
      <c r="E8" s="38" t="n">
        <f aca="false">D8-C8</f>
        <v>-0.00117233494950186</v>
      </c>
      <c r="F8" s="50" t="n">
        <f aca="false">F7/F5</f>
        <v>0.274383432246032</v>
      </c>
      <c r="G8" s="50" t="n">
        <f aca="false">G7/G5</f>
        <v>0.274383432246032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2026-06-02T15:14:32Z</dcterms:created>
  <dc:creator>openpyxl</dc:creator>
  <dc:description/>
  <dc:language>en-US</dc:language>
  <cp:lastModifiedBy/>
  <dcterms:modified xsi:type="dcterms:W3CDTF">2026-06-02T15:14:32Z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