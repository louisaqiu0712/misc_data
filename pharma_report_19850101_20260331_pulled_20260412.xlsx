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defaultThemeVersion="124226"/>
  <mc:AlternateContent xmlns:mc="http://schemas.openxmlformats.org/markup-compatibility/2006">
    <mc:Choice Requires="x15">
      <x15ac:absPath xmlns:x15ac="http://schemas.microsoft.com/office/spreadsheetml/2010/11/ac" url="/Users/louisaqiu/Downloads/"/>
    </mc:Choice>
  </mc:AlternateContent>
  <xr:revisionPtr revIDLastSave="0" documentId="13_ncr:1_{662621B6-B0B0-3C42-9FAF-AD7328289F9A}" xr6:coauthVersionLast="47" xr6:coauthVersionMax="47" xr10:uidLastSave="{00000000-0000-0000-0000-000000000000}"/>
  <bookViews>
    <workbookView xWindow="0" yWindow="660" windowWidth="29400" windowHeight="18460" activeTab="7" xr2:uid="{00000000-000D-0000-FFFF-FFFF00000000}"/>
  </bookViews>
  <sheets>
    <sheet name="Cover" sheetId="1" r:id="rId1"/>
    <sheet name="── Charts ──" sheetId="2" r:id="rId2"/>
    <sheet name="FDA Charts" sheetId="3" r:id="rId3"/>
    <sheet name="── Summary ──" sheetId="4" r:id="rId4"/>
    <sheet name="FDA Approval Summary" sheetId="5" r:id="rId5"/>
    <sheet name="── Database ──" sheetId="6" r:id="rId6"/>
    <sheet name="Novel Approval Database" sheetId="7" r:id="rId7"/>
    <sheet name="Biosimilar Approval Database" sheetId="8" r:id="rId8"/>
  </sheets>
  <definedNames>
    <definedName name="_xlnm._FilterDatabase" localSheetId="7" hidden="1">'Biosimilar Approval Database'!$A$2:$H$2</definedName>
    <definedName name="_xlnm._FilterDatabase" localSheetId="6" hidden="1">'Novel Approval Database'!$A$2:$J$1576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 i="5" l="1"/>
  <c r="B94" i="5" s="1"/>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C46" i="5"/>
  <c r="C47" i="5" s="1"/>
  <c r="B46" i="5"/>
  <c r="B47" i="5" s="1"/>
  <c r="C45" i="5"/>
  <c r="B45" i="5"/>
  <c r="D45" i="5" s="1"/>
  <c r="C44" i="5"/>
  <c r="B44" i="5"/>
  <c r="D44" i="5" s="1"/>
  <c r="D43" i="5"/>
  <c r="C43" i="5"/>
  <c r="B43" i="5"/>
  <c r="C42" i="5"/>
  <c r="D42" i="5" s="1"/>
  <c r="B42" i="5"/>
  <c r="C41" i="5"/>
  <c r="B41" i="5"/>
  <c r="D41" i="5" s="1"/>
  <c r="C40" i="5"/>
  <c r="B40" i="5"/>
  <c r="D40" i="5" s="1"/>
  <c r="C39" i="5"/>
  <c r="D39" i="5" s="1"/>
  <c r="B39" i="5"/>
  <c r="C38" i="5"/>
  <c r="D38" i="5" s="1"/>
  <c r="B38" i="5"/>
  <c r="C37" i="5"/>
  <c r="B37" i="5"/>
  <c r="D37" i="5" s="1"/>
  <c r="D36" i="5"/>
  <c r="C36" i="5"/>
  <c r="B36" i="5"/>
  <c r="D35" i="5"/>
  <c r="C35" i="5"/>
  <c r="B35" i="5"/>
  <c r="C34" i="5"/>
  <c r="B34" i="5"/>
  <c r="D34" i="5" s="1"/>
  <c r="C33" i="5"/>
  <c r="B33" i="5"/>
  <c r="D33" i="5" s="1"/>
  <c r="C32" i="5"/>
  <c r="B32" i="5"/>
  <c r="D32" i="5" s="1"/>
  <c r="C31" i="5"/>
  <c r="D31" i="5" s="1"/>
  <c r="B31" i="5"/>
  <c r="C30" i="5"/>
  <c r="B30" i="5"/>
  <c r="D30" i="5" s="1"/>
  <c r="C29" i="5"/>
  <c r="B29" i="5"/>
  <c r="D29" i="5" s="1"/>
  <c r="D28" i="5"/>
  <c r="C28" i="5"/>
  <c r="B28" i="5"/>
  <c r="C27" i="5"/>
  <c r="B27" i="5"/>
  <c r="D27" i="5" s="1"/>
  <c r="C26" i="5"/>
  <c r="B26" i="5"/>
  <c r="D26" i="5" s="1"/>
  <c r="C25" i="5"/>
  <c r="B25" i="5"/>
  <c r="D25" i="5" s="1"/>
  <c r="C24" i="5"/>
  <c r="B24" i="5"/>
  <c r="D24" i="5" s="1"/>
  <c r="C23" i="5"/>
  <c r="D23" i="5" s="1"/>
  <c r="B23" i="5"/>
  <c r="C22" i="5"/>
  <c r="B22" i="5"/>
  <c r="D22" i="5" s="1"/>
  <c r="C21" i="5"/>
  <c r="B21" i="5"/>
  <c r="D21" i="5" s="1"/>
  <c r="D20" i="5"/>
  <c r="C20" i="5"/>
  <c r="B20" i="5"/>
  <c r="C19" i="5"/>
  <c r="B19" i="5"/>
  <c r="D19" i="5" s="1"/>
  <c r="C18" i="5"/>
  <c r="B18" i="5"/>
  <c r="D18" i="5" s="1"/>
  <c r="C17" i="5"/>
  <c r="B17" i="5"/>
  <c r="D17" i="5" s="1"/>
  <c r="C16" i="5"/>
  <c r="B16" i="5"/>
  <c r="D16" i="5" s="1"/>
  <c r="C15" i="5"/>
  <c r="D15" i="5" s="1"/>
  <c r="B15" i="5"/>
  <c r="C14" i="5"/>
  <c r="B14" i="5"/>
  <c r="D14" i="5" s="1"/>
  <c r="C13" i="5"/>
  <c r="B13" i="5"/>
  <c r="D13" i="5" s="1"/>
  <c r="D12" i="5"/>
  <c r="C12" i="5"/>
  <c r="B12" i="5"/>
  <c r="C11" i="5"/>
  <c r="B11" i="5"/>
  <c r="D11" i="5" s="1"/>
  <c r="C10" i="5"/>
  <c r="B10" i="5"/>
  <c r="D10" i="5" s="1"/>
  <c r="C9" i="5"/>
  <c r="B9" i="5"/>
  <c r="D9" i="5" s="1"/>
  <c r="C8" i="5"/>
  <c r="B8" i="5"/>
  <c r="D8" i="5" s="1"/>
  <c r="C7" i="5"/>
  <c r="D7" i="5" s="1"/>
  <c r="B7" i="5"/>
  <c r="C6" i="5"/>
  <c r="B6" i="5"/>
  <c r="D6" i="5" s="1"/>
  <c r="C5" i="5"/>
  <c r="B5" i="5"/>
  <c r="D5" i="5" s="1"/>
  <c r="D47" i="5" l="1"/>
  <c r="D46" i="5"/>
</calcChain>
</file>

<file path=xl/sharedStrings.xml><?xml version="1.0" encoding="utf-8"?>
<sst xmlns="http://schemas.openxmlformats.org/spreadsheetml/2006/main" count="10492" uniqueCount="4256">
  <si>
    <t>Charts</t>
  </si>
  <si>
    <t>Summary</t>
  </si>
  <si>
    <t>Database</t>
  </si>
  <si>
    <t>Data pulled: 04/12/2026 | CDER current as of: N/A | CBER current as of: N/A</t>
  </si>
  <si>
    <t>FDA Center</t>
  </si>
  <si>
    <t>Approval Date</t>
  </si>
  <si>
    <t>Approval Type</t>
  </si>
  <si>
    <t>Drug Name</t>
  </si>
  <si>
    <t>Active Ingredient</t>
  </si>
  <si>
    <t>Month</t>
  </si>
  <si>
    <t>Year</t>
  </si>
  <si>
    <t>Month &amp; Year</t>
  </si>
  <si>
    <t>FDA-Approved Use</t>
  </si>
  <si>
    <t>Source</t>
  </si>
  <si>
    <t>CDER</t>
  </si>
  <si>
    <t>BLA</t>
  </si>
  <si>
    <t>Awiqli</t>
  </si>
  <si>
    <t>insulin icodec-abae</t>
  </si>
  <si>
    <t>Mar 2026</t>
  </si>
  <si>
    <t>To improve glycemic control in adults with type 2 diabetes mellitus</t>
  </si>
  <si>
    <t>https://www.fda.gov/drugs/novel-drug-approvals-fda/novel-drug-approvals-2026</t>
  </si>
  <si>
    <t>NDA</t>
  </si>
  <si>
    <t>Lifyorli</t>
  </si>
  <si>
    <t>relacorilant</t>
  </si>
  <si>
    <t>To treat platinum-resistant epithelial ovarian, fallopian tube, or primary peritoneal cancer after one to three prior systemic treatment regimens, at least one of which included bevacizumab</t>
  </si>
  <si>
    <t>Avlayah</t>
  </si>
  <si>
    <t>tividenofusp alfa-eknm</t>
  </si>
  <si>
    <t>To treat certain individuals with Hunter syndrome (Mucopolysaccharidosis type II or MPS II)</t>
  </si>
  <si>
    <t>Lynavoy</t>
  </si>
  <si>
    <t>linerixibat</t>
  </si>
  <si>
    <t>To treat cholestatic pruritus associated with primary biliary cholangitis</t>
  </si>
  <si>
    <t>Icotyde</t>
  </si>
  <si>
    <t>icotrokinra</t>
  </si>
  <si>
    <t>To treat moderate-to-severe plaque psoriasis in patients 12 years and older who weigh at least 40 kg and who are candidates for systemic therapy or phototherapy</t>
  </si>
  <si>
    <t>Yuviwel</t>
  </si>
  <si>
    <t>navepegritide</t>
  </si>
  <si>
    <t>Feb 2026</t>
  </si>
  <si>
    <t>To increase linear growth in pediatric patients 2 years and older with achondroplasia with open epiphyses</t>
  </si>
  <si>
    <t>Loargys</t>
  </si>
  <si>
    <t>pegzilarginase-nbln</t>
  </si>
  <si>
    <t>To treat hyperarginemia in adults and pediatric patients two years and older with Arginase 1 Deficiency, in conjunction with dietary protein restriction</t>
  </si>
  <si>
    <t>Bysanti</t>
  </si>
  <si>
    <t>milsaperidone</t>
  </si>
  <si>
    <t>To treat schizophrenia and to treat manic or mixed episodes associated with bipolar I disorder</t>
  </si>
  <si>
    <t>Adquey</t>
  </si>
  <si>
    <t>difamilast</t>
  </si>
  <si>
    <t>To treat mild to moderate atopic dermatitis</t>
  </si>
  <si>
    <t>Zycubo</t>
  </si>
  <si>
    <t>copper histidinate</t>
  </si>
  <si>
    <t>Jan 2026</t>
  </si>
  <si>
    <t>To treat Menkes disease</t>
  </si>
  <si>
    <t>Nereus</t>
  </si>
  <si>
    <t>tradipitant</t>
  </si>
  <si>
    <t>Dec 2025</t>
  </si>
  <si>
    <t>To treat vomiting associated with motion</t>
  </si>
  <si>
    <t>https://www.fda.gov/drugs/novel-drug-approvals-fda/novel-drug-approvals-2025</t>
  </si>
  <si>
    <t>Yartemlea</t>
  </si>
  <si>
    <t>narsoplimab-wuug</t>
  </si>
  <si>
    <t>To treat hematopoietic stem cell transplant-associated thrombotic microangiopathy</t>
  </si>
  <si>
    <t>Myqorzo</t>
  </si>
  <si>
    <t>aficamten</t>
  </si>
  <si>
    <t>To treat symptomatic obstructive hypertrophic cardiomyopathyDrug Trials Snapshot</t>
  </si>
  <si>
    <t>Exdensur</t>
  </si>
  <si>
    <t>depemokimab-ulaa</t>
  </si>
  <si>
    <t>To treat severe asthma characterized by an eosinophilic phenotype as an Komziftiadd-on maintenance therapyDrug Trials Snapshot</t>
  </si>
  <si>
    <t>CBER</t>
  </si>
  <si>
    <t>FESILTYfibrinogen, human–chmt</t>
  </si>
  <si>
    <t>A human blood coagulation factor indicated for treatment of acute bleeding episodes in pediatric and adult patients with congenital fibrinogen deficiency, including hypo- or afibrinogenemia.</t>
  </si>
  <si>
    <t>https://www.fda.gov/vaccines-blood-biologics/development-approval-process-cber/2025-biological-license-application-approvals</t>
  </si>
  <si>
    <t>Cardamyst</t>
  </si>
  <si>
    <t>etripamil</t>
  </si>
  <si>
    <t>To treat episodes of paroxysmal supraventricular tachycardiaDrug Trials Snapshot</t>
  </si>
  <si>
    <t>Nuzolvence</t>
  </si>
  <si>
    <t>zoliflodacin</t>
  </si>
  <si>
    <t>To treat uncomplicated urogenital gonorrhea due to Neisseria gonorrhoeae</t>
  </si>
  <si>
    <t>Lerochol</t>
  </si>
  <si>
    <t>lerodalcibep-liga</t>
  </si>
  <si>
    <t>To reduce low-density lipoprotein cholesterol in adults with hypercholesterolemia, including heterozygous familial hypercholesterolemia, as an adjunct to diet and exerciseDrug Trials Snapshot</t>
  </si>
  <si>
    <t>WASKYRAetuvetidigene autotemcel</t>
  </si>
  <si>
    <t>Indicated for the treatment of pediatric patients aged 6 months and older and adults with Wiskott-Aldrich Syndrome (WAS) who have a mutation in the WAS gene for whom hematopoietic stem cell transplantation (HSCT) is appropriate and no suitable human leukocyte antigen (HLA)-matched related stem cell donor is available.</t>
  </si>
  <si>
    <t>Avance Nerve Graftacellular nerve allograft-arwx</t>
  </si>
  <si>
    <t>Indicated for the treatment of adult and pediatric patients aged one month and older with:• Traditional Approval for sensory nerve discontinuity &lt;25mm and• Accelerated Approval for sensory nerve discontinuity &gt;25mm, as well as mixed and motor nerve discontinuity.</t>
  </si>
  <si>
    <t>Voyxact</t>
  </si>
  <si>
    <t>sibeprenlimab-szsi</t>
  </si>
  <si>
    <t>Nov 2025</t>
  </si>
  <si>
    <t>To reduce proteinuria in primary immunoglobulin A nephropathy in adults at risk for disease progression</t>
  </si>
  <si>
    <t>ITVISMAonasemnogene abeparvovec-brve</t>
  </si>
  <si>
    <t>Indicated for the treatment of spinal muscular atrophy (SMA) in adult and pediatric patients 2 years of age and older with confirmed mutation in survival motor neuron 1 (SMN1) gene.</t>
  </si>
  <si>
    <t>Blood Grouping Reagent, Anti-c (Human/Murine Monoclonal)</t>
  </si>
  <si>
    <t>Indicated for in vitro detection of the c (RH4) antigen on human red blood cells by direct agglutination using the manual tube testing method.</t>
  </si>
  <si>
    <t>Blood Grouping Reagent, Anti-C (Human/Murine Monoclonal)</t>
  </si>
  <si>
    <t>Indicated for in vitro detection of the C (RH2) antigen on human red blood cells by directagglutination using the manual tube testing method.</t>
  </si>
  <si>
    <t>Blood Grouping Reagent, Anti-E (Human/Murine Monoclonal)</t>
  </si>
  <si>
    <t>Indicated for in vitro detection of the E (RH3) antigen on human red blood cells by direct agglutination using the manual tube testing method.</t>
  </si>
  <si>
    <t>Blood Grouping Reagent, Anti-k (Human/Murine Monoclonal) (IgG)</t>
  </si>
  <si>
    <t>Indicated for in vitro detection of the k (KEL2) antigen on human red blood cells by the Indirect Antiglobulin Test (IAT).</t>
  </si>
  <si>
    <t>Blood Grouping Reagent, Anti-s (Human/Murine Monoclonal)</t>
  </si>
  <si>
    <t>Indicated for in vitro detection of the s (MNS4) antigen on human red blood cells by direct agglutination</t>
  </si>
  <si>
    <t>Blood Grouping Reagent, Anti-Jkb(Human/Murine Monoclonal)</t>
  </si>
  <si>
    <t>Indicated for in vitro detection of the Jkb (JK2) antigen on human red blood cells by direct agglutination using the manual tube test.</t>
  </si>
  <si>
    <t>Blood Grouping Reagent, Anti-Jka(Human/Murine Monoclonal</t>
  </si>
  <si>
    <t>Indicated for in vitro detection of the Jka (JK1) antigen on human red blood cells by direct agglutination using the manual tube test.</t>
  </si>
  <si>
    <t>Blood Grouping Reagent, Anti-S (Human/Murine Monoclonal)</t>
  </si>
  <si>
    <t>Indicated for in vitro detection of the S (MNS3) antigen on human red blood cells by direct agglutination using the manual tube test.</t>
  </si>
  <si>
    <t>Hyrnuo</t>
  </si>
  <si>
    <t>sevabertinib</t>
  </si>
  <si>
    <t>To treat locally advanced or metastatic non-squamous non-small cell lung cancer with tumors that have activating HER2 tyrosine kinase domain activating mutations in patients who received a systemic therapyDrug Trials Snapshot</t>
  </si>
  <si>
    <t>Redemplo</t>
  </si>
  <si>
    <t>plozasiran</t>
  </si>
  <si>
    <t>To reduce triglycerides in adults with familial chylomicronemia syndromeDrug Trials Snapshot</t>
  </si>
  <si>
    <t>Komzifti</t>
  </si>
  <si>
    <t>ziftomenib</t>
  </si>
  <si>
    <t>To treat adults with relapsed or refractory acute myeloid leukemia with a susceptible nucleophosmin 1 mutation who have no satisfactory alternative treatment optionsDrug Trials Snapshot</t>
  </si>
  <si>
    <t>Kygevvi</t>
  </si>
  <si>
    <t>doxecitine and doxribtimine</t>
  </si>
  <si>
    <t>To treat thymidine kinase 2 deficiency in patients who start to show symptoms when they are 12 years old or youngerDrug Trials Snapshot</t>
  </si>
  <si>
    <t>Lynkuet</t>
  </si>
  <si>
    <t>elinzanetant</t>
  </si>
  <si>
    <t>Oct 2025</t>
  </si>
  <si>
    <t>To treat moderate-to-severe vasomotor symptoms due to menopauseDrug Trials Snapshot</t>
  </si>
  <si>
    <t>Jascayd</t>
  </si>
  <si>
    <t>nerandomilast</t>
  </si>
  <si>
    <t>To treat idiopathic pulmonary fibrosis</t>
  </si>
  <si>
    <t>Rhapsido</t>
  </si>
  <si>
    <t>remibrutinib</t>
  </si>
  <si>
    <t>Sep 2025</t>
  </si>
  <si>
    <t>To treat chronic spontaneous urticaria in adults who remain symptomatic despite H1 antihistamine treatmentDrug Trials Snapshot</t>
  </si>
  <si>
    <t>QIVIGYimmune globulin intravenous, human-kthm 10% solution</t>
  </si>
  <si>
    <t>Indicated for the treatment of adults with primary humoral immunodeficiency.</t>
  </si>
  <si>
    <t>Inluriyo</t>
  </si>
  <si>
    <t>imlunestrant</t>
  </si>
  <si>
    <t>To treat estrogen receptor-positive, human epidermal growth factor receptor 2-negative, estrogen receptor-1-mutated advanced or metastatic breast cancer with disease progression following at least one line of endocrine therapyDrug Trials Snapshot</t>
  </si>
  <si>
    <t>Palsonify</t>
  </si>
  <si>
    <t>paltusotine</t>
  </si>
  <si>
    <t>To treat acromegaly in adults who had an inadequate response to surgery and/or for whom surgery is not an option</t>
  </si>
  <si>
    <t>Keytruda Qlex</t>
  </si>
  <si>
    <t>pembrolizumab and berahyaluronidase alfa-pmph</t>
  </si>
  <si>
    <t>To treat adult and pediatric (12 years and older) solid tumor indications approved for the intravenous formulation of pembrolizumab</t>
  </si>
  <si>
    <t>Forzinity</t>
  </si>
  <si>
    <t>elamipretide</t>
  </si>
  <si>
    <t>To improve muscle strength in patients with Barth syndrome weighing at least 30 kg</t>
  </si>
  <si>
    <t>Wayrilz</t>
  </si>
  <si>
    <t>rilzabrutinib</t>
  </si>
  <si>
    <t>Aug 2025</t>
  </si>
  <si>
    <t>To treat persistent or chronic immune thrombocytopenia that has not sufficiently responded to immunoglobulins, anti-D therapy, or corticosteroidsDrug Trials Snapshot</t>
  </si>
  <si>
    <t>Dawnzera</t>
  </si>
  <si>
    <t>donidalorsen</t>
  </si>
  <si>
    <t>To prevent attacks of hereditary angioedemaDrug Trials Snapshot</t>
  </si>
  <si>
    <t>PAPZIMEOSzopapogene imadenovec-drba</t>
  </si>
  <si>
    <t>Indicated for the treatment of adults with recurrent respiratory papillomatosis.</t>
  </si>
  <si>
    <t>Brinsupri</t>
  </si>
  <si>
    <t>brensocatib</t>
  </si>
  <si>
    <t>To treat non-cystic fibrosis bronchiectasisDrug Trials Snapshot</t>
  </si>
  <si>
    <t>Hernexeos</t>
  </si>
  <si>
    <t>zongertinib</t>
  </si>
  <si>
    <t>To treat adults with unresectable or metastatic non-squamous non-small cell lung cancer whose tumors have HER2 tyrosine kinase domain activating mutations, as detected by an FDA-approved test, and who have received prior systemic therapyDrug Trials Snapshot</t>
  </si>
  <si>
    <t>Modeyso</t>
  </si>
  <si>
    <t>dordaviprone</t>
  </si>
  <si>
    <t>To treat diffuse midline glioma harboring an H3 K27M mutation with progressive disease following prior therapyDrug Trials Snapshot</t>
  </si>
  <si>
    <t>Vizz</t>
  </si>
  <si>
    <t>aceclidine</t>
  </si>
  <si>
    <t>Jul 2025</t>
  </si>
  <si>
    <t>To treat presbyopiaDrug Trials Snapshot</t>
  </si>
  <si>
    <t>Sephience</t>
  </si>
  <si>
    <t>sepiapterin</t>
  </si>
  <si>
    <t>To treat hyperphenylalaninemia in patients with sepiapterin-responsive phenylketonuria, in conjunction with a phenylalanine-restricted dietDrug Trials Snapshot</t>
  </si>
  <si>
    <t>Anzupgo</t>
  </si>
  <si>
    <t>delgocitinib</t>
  </si>
  <si>
    <t>To treat moderate-to-severe chronic hand eczema when topical corticosteroids are not advisable or produce an inadequate responseDrug Trials Snapshot</t>
  </si>
  <si>
    <t>Ekterly</t>
  </si>
  <si>
    <t>sebetralstat</t>
  </si>
  <si>
    <t>To treat acute attacks of hereditary angioedemaDrug Trials Snapshot</t>
  </si>
  <si>
    <t>Lynozyfic</t>
  </si>
  <si>
    <t>linvoseltamab-gcpt</t>
  </si>
  <si>
    <t>To treat relapsed or refractory multiple myeloma after at least four prior lines of therapy, including a proteasome inhibitor, an immunomodulatory agent, and an anti CD38 monoclonal antibodyDrug Trials Snapshot</t>
  </si>
  <si>
    <t>Zegfrovy</t>
  </si>
  <si>
    <t>sunvozertinib</t>
  </si>
  <si>
    <t>To treat locally advanced or metastatic non-small cell lung cancer with epidermal growth factor receptor exon 20 insertion mutations, as detected by an FDA-approved test, with disease progression on or after platinum-based chemotherapyDrug Trials Snapshot</t>
  </si>
  <si>
    <t>Andembry</t>
  </si>
  <si>
    <t>garadacimab-gxii</t>
  </si>
  <si>
    <t>Jun 2025</t>
  </si>
  <si>
    <t>Ibtrozi</t>
  </si>
  <si>
    <t>taletrectinib</t>
  </si>
  <si>
    <t>To treat locally advanced or metastatic ROS1-positive non-small cell lung cancerDrug Trials Snapshot</t>
  </si>
  <si>
    <t>Enflonsia</t>
  </si>
  <si>
    <t>clesrovimab-cfor</t>
  </si>
  <si>
    <t>To prevent respiratory syncytial virus (RSV) lower respiratory tract disease in neonates and infants who are born during or entering their first RSV seasonDrug Trials Snapshot</t>
  </si>
  <si>
    <t>MNEXSPIKECOVID-19 Vaccine, mRNA</t>
  </si>
  <si>
    <t>May 2025</t>
  </si>
  <si>
    <t>Indicated for active immunization to prevent coronavirus disease 2019 (COVID-19) caused by severe acute respiratory syndrome coronavirus 2 (SARS-CoV-2). MNEXSPIKE is approved for use in individuals who have been previously vaccinated with any COVID-19 vaccine and are 65 years of age and older, or 12 years through 64 years of age with at least one underlying condition that puts them at high risk for severe outcomes from COVID-19.</t>
  </si>
  <si>
    <t>Tryptyr</t>
  </si>
  <si>
    <t>acoltremon</t>
  </si>
  <si>
    <t>To treat the signs and symptoms of dry eye diseaseDrug Trials Snapshot</t>
  </si>
  <si>
    <t>NUVAXOVIDCOVID-19 Vaccine, Adjuvanted</t>
  </si>
  <si>
    <t>Indicated for active immunization to prevent coronavirus disease 2019 (COVID-19) caused by severe acute respiratory syndrome coronavirus 2 (SARS-CoV-2) in adults 65 years and older. Additionally, COVID-19 Vaccine, Adjuvanted is indicated for individuals 12 through 64 years who have at least one underlying condition that puts them at high risk for severe outcomes from COVID-19.</t>
  </si>
  <si>
    <t>Emrelis</t>
  </si>
  <si>
    <t>telisotuzumab vedotin-tllv</t>
  </si>
  <si>
    <t>To treat locally advanced or metastatic, non-squamous non-small cell lung cancer (NSCLC) with high c-Met protein overexpression after prior systemic therapyDrug Trials Snapshot</t>
  </si>
  <si>
    <t>Avmapki Fakzynja Co-Pack</t>
  </si>
  <si>
    <t>avutometinib and defactinib</t>
  </si>
  <si>
    <t>To treat KRAS-mutated recurrent low-grade serous ovarian cancer (LGSOC) after prior systemic therapyDrug Trials Snapshot</t>
  </si>
  <si>
    <t>Imaavy</t>
  </si>
  <si>
    <t>nipocalimab-aahu</t>
  </si>
  <si>
    <t>Apr 2025</t>
  </si>
  <si>
    <t>To treat generalized myasthenia gravisDrug Trials Snapshot</t>
  </si>
  <si>
    <t>ZEVASKYNprademagene zamikeracel</t>
  </si>
  <si>
    <t>Indicated for treatment of wounds in adult and pediatric patients with recessive dystrophic epidermolysis bullosa (RDEB).</t>
  </si>
  <si>
    <t>penpulimab-kcqx</t>
  </si>
  <si>
    <t>In combination with either cisplatin or carboplatin and gemcitabine, to treat adults with recurrent or metastatic non-keratinizing nasopharyngeal carcinoma (NPC), or as a single agent while on or after platinum-based chemotherapy and at least one other prior line of therapyDrug Trials Snapshot</t>
  </si>
  <si>
    <t>Vanrafia</t>
  </si>
  <si>
    <t>atrasentan</t>
  </si>
  <si>
    <t>To reduce proteinuria in adults with primary immunoglobulin A nephropathy at risk of rapid disease progressionDrug Trials Snapshot</t>
  </si>
  <si>
    <t>Qfitlia</t>
  </si>
  <si>
    <t>fitusiran</t>
  </si>
  <si>
    <t>Mar 2025</t>
  </si>
  <si>
    <t>To prevent or reduce the frequency of bleeding episodes in hemophilia A or BPress ReleaseDrug Trials Snapshot</t>
  </si>
  <si>
    <t>Blujepa</t>
  </si>
  <si>
    <t>gepotidacin</t>
  </si>
  <si>
    <t>To treat uncomplicated urinary tract infectionsDrug Trials Snapshot</t>
  </si>
  <si>
    <t>ENCELTOrevakinagene taroretcel-lwey</t>
  </si>
  <si>
    <t>Indicated for the treatment of adults with idiopathic macular telangiectasia type 2 (MacTel).</t>
  </si>
  <si>
    <t>VIMKUNYAChikungunya Vaccine, Recombinant</t>
  </si>
  <si>
    <t>Feb 2025</t>
  </si>
  <si>
    <t>Indicated for the prevention of disease caused by chikungunya virus in individuals 12 years of age and older.</t>
  </si>
  <si>
    <t>Romvimza</t>
  </si>
  <si>
    <t>vimseltinib</t>
  </si>
  <si>
    <t>To treat symptomatic tenosynovial giant cell tumor for which surgical resection will potentially cause worsening functional limitation or severe morbidityDrug Trials Snapshot</t>
  </si>
  <si>
    <t>PENMENVYMeningococcal Groups A, B, C, W, and Y Vaccine</t>
  </si>
  <si>
    <t>Indicated for active immunization to prevent invasive disease caused by Neisseria meningitidis serogroups A, B, C, W, and Y in individuals 10 through 25 years of age.</t>
  </si>
  <si>
    <t>Gomekli</t>
  </si>
  <si>
    <t>mirdametinib</t>
  </si>
  <si>
    <t>To treat neurofibromatosis type 1 who have symptomatic plexiform neurofibromas not amenable to complete resectionDrug Trials Snapshot</t>
  </si>
  <si>
    <t>Journavx</t>
  </si>
  <si>
    <t>suzetrigine</t>
  </si>
  <si>
    <t>Jan 2025</t>
  </si>
  <si>
    <t>To treat moderate to severe acute painPress ReleaseDrug Trials Snapshot</t>
  </si>
  <si>
    <t>Grafapex</t>
  </si>
  <si>
    <t>treosulfan</t>
  </si>
  <si>
    <t>For use in combination with fludarabine as a preparative regimen for allogeneic hematopoietic stem cell transplantation for acute myeloid leukemia and myelodysplastic syndromeDrug Trials Snapshot</t>
  </si>
  <si>
    <t>Datroway</t>
  </si>
  <si>
    <t>datopotamab deruxtecan-dlnk</t>
  </si>
  <si>
    <t>To treat unresectable or metastatic, HR-positive, HER2-negative breast cancer who have received prior endocrine-based therapy and chemotherapy for unresectable or metastatic diseaseDrug Trials Snapshot</t>
  </si>
  <si>
    <t>Automated C3d PlateAnti-Human Globulin (Murine Monoclonal)</t>
  </si>
  <si>
    <t>Indicated for use on Echo Lumena and Galileo Echo in automated direct antiglobulin tests (DAT) where detection of C3d is required.</t>
  </si>
  <si>
    <t>Alhemo</t>
  </si>
  <si>
    <t>concizumab-mtci</t>
  </si>
  <si>
    <t>Dec 2024</t>
  </si>
  <si>
    <t>FDA Compilation 1985-2024</t>
  </si>
  <si>
    <t>Alyftrek</t>
  </si>
  <si>
    <t>vanzacaftor, tezacaftor and deutivacaftor</t>
  </si>
  <si>
    <t>SYMVESSacellular tissue engineered vessel-tyod</t>
  </si>
  <si>
    <t>Indicated for use in adults as a vascular conduit for extremity arterial injury when urgent revascularization is needed to avoid imminent limb loss, and autologous vein graft is not feasible.</t>
  </si>
  <si>
    <t>https://www.fda.gov/vaccines-blood-biologics/development-approval-process-cber/2024-biological-license-application-approvals</t>
  </si>
  <si>
    <t>Tryngolza</t>
  </si>
  <si>
    <t>olezarsen</t>
  </si>
  <si>
    <t>RYONCILremestemcel-L-rknd</t>
  </si>
  <si>
    <t>Indicated for the treatment of steroid-refractory acute graft versus host disease (SR-aGvHD) in pediatric patients 2 months of age and older.</t>
  </si>
  <si>
    <t>Ensacove</t>
  </si>
  <si>
    <t>ensartinib</t>
  </si>
  <si>
    <t>Crenessity</t>
  </si>
  <si>
    <t>crinecerfont</t>
  </si>
  <si>
    <t>Unloxcyt</t>
  </si>
  <si>
    <t>cosibelimab-ipdl</t>
  </si>
  <si>
    <t>Bizengri</t>
  </si>
  <si>
    <t>zenocutuzumab-zbco</t>
  </si>
  <si>
    <t>Iomervu</t>
  </si>
  <si>
    <t>iomeprol</t>
  </si>
  <si>
    <t>Nov 2024</t>
  </si>
  <si>
    <t>Attruby</t>
  </si>
  <si>
    <t>acoramidis</t>
  </si>
  <si>
    <t>Rapiblyk</t>
  </si>
  <si>
    <t>landiolol</t>
  </si>
  <si>
    <t>Ziihera</t>
  </si>
  <si>
    <t>zanidatamab-hrii</t>
  </si>
  <si>
    <t>Revuforj</t>
  </si>
  <si>
    <t>revumenib</t>
  </si>
  <si>
    <t>Kebilidieladocagene exuparvovec-tneq</t>
  </si>
  <si>
    <t>For treatment of adult and pediatric patients with aromatic L-amino acid decarboxylase (AADC) deficiency.</t>
  </si>
  <si>
    <t>Aucatzylobecabtagene autoleucel</t>
  </si>
  <si>
    <t>Indicated for the treatment of adults with relapsed or refractory B-cell precursor acute lymphoblastic leukemia (ALL).</t>
  </si>
  <si>
    <t>Orlynvah</t>
  </si>
  <si>
    <t>sulopenem etzadroxil and probenecid</t>
  </si>
  <si>
    <t>Oct 2024</t>
  </si>
  <si>
    <t>Vyloy</t>
  </si>
  <si>
    <t>zolbetuximab-clzb</t>
  </si>
  <si>
    <t>Hympavzi</t>
  </si>
  <si>
    <t>marstacimab-hncq</t>
  </si>
  <si>
    <t>Itovebi</t>
  </si>
  <si>
    <t>inavolisib</t>
  </si>
  <si>
    <t>Flyrcado</t>
  </si>
  <si>
    <t>flurpiridaz F 18</t>
  </si>
  <si>
    <t>Sep 2024</t>
  </si>
  <si>
    <t>Cobenfy</t>
  </si>
  <si>
    <t>xanomeline and trospium chloride</t>
  </si>
  <si>
    <t>Aqneursa</t>
  </si>
  <si>
    <t>levacetylleucine</t>
  </si>
  <si>
    <t>Miplyffa</t>
  </si>
  <si>
    <t>arimoclomol</t>
  </si>
  <si>
    <t>Ebglyss</t>
  </si>
  <si>
    <t>lebrikizumab-lbkz</t>
  </si>
  <si>
    <t>Lazcluze</t>
  </si>
  <si>
    <t>lazertinib</t>
  </si>
  <si>
    <t>Aug 2024</t>
  </si>
  <si>
    <t>Livdelzi</t>
  </si>
  <si>
    <t>seladelpar</t>
  </si>
  <si>
    <t>Niktimvo</t>
  </si>
  <si>
    <t>axatilimab-csfr</t>
  </si>
  <si>
    <t>Nemluvio</t>
  </si>
  <si>
    <t>nemolizumab-ilto</t>
  </si>
  <si>
    <t>Yorvipath</t>
  </si>
  <si>
    <t>palopegteriparatide</t>
  </si>
  <si>
    <t>Voranigo</t>
  </si>
  <si>
    <t>vorasidenib</t>
  </si>
  <si>
    <t>TECELRAafamitresgene autoleucel</t>
  </si>
  <si>
    <t>Indicated for treatment of adults with unresectable or metastatic synovial sarcoma who have received prior chemotherapy, are HLA-A*02:01P, -A*02:02P, -A*02:03P, or -A*02:06P positive and whose tumor expresses the MAGE-A4 antigen as determined by FDA-approved or cleared companion diagnostic devices.</t>
  </si>
  <si>
    <t>Leqselvi</t>
  </si>
  <si>
    <t>deuruxolitinib</t>
  </si>
  <si>
    <t>Jul 2024</t>
  </si>
  <si>
    <t>Kisunla</t>
  </si>
  <si>
    <t>donanemab-azbt</t>
  </si>
  <si>
    <t>Ohtuvayre</t>
  </si>
  <si>
    <t>ensifentrine</t>
  </si>
  <si>
    <t>Jun 2024</t>
  </si>
  <si>
    <t>Piasky</t>
  </si>
  <si>
    <t>crovalimab-akkz</t>
  </si>
  <si>
    <t>Sofdra</t>
  </si>
  <si>
    <t>sofpironium</t>
  </si>
  <si>
    <t>CAPVAXIVEPneumococcal 21-valent Conjugate Vaccine</t>
  </si>
  <si>
    <t>Indicated for active immunization for the prevention of invasive disease caused by Streptococcus pneumoniae serotypes 3, 6A, 7F, 8, 9N, 10A, 11A, 12F, 15A, 15B, 15C, 16F, 17F, 19A, 20A, 22F, 23A, 23B, 24F, 31, 33F, and 35B in individuals 18 years of age and older.</t>
  </si>
  <si>
    <t>YIMMUGOimmune globulin intravenous, human-dira</t>
  </si>
  <si>
    <t>Indicated for the treatment of primary humoral immunodeficiency (PI) in patients 2 years of age or older.</t>
  </si>
  <si>
    <t>Iqirvo</t>
  </si>
  <si>
    <t>elafibranor</t>
  </si>
  <si>
    <t>Rytelo</t>
  </si>
  <si>
    <t>imetelstat</t>
  </si>
  <si>
    <t>MRESVIARespiratory Syncytial Virus Vaccine</t>
  </si>
  <si>
    <t>May 2024</t>
  </si>
  <si>
    <t>Indicated for active immunization for the prevention of lower respiratory tract disease (LRTD) caused by respiratory syncytial virus (RSV) in individuals 60 years of age and older.</t>
  </si>
  <si>
    <t>Imdelltra</t>
  </si>
  <si>
    <t>tarlatamab-dlle</t>
  </si>
  <si>
    <t>Xolremdi</t>
  </si>
  <si>
    <t>mavorixafor</t>
  </si>
  <si>
    <t>Apr 2024</t>
  </si>
  <si>
    <t>BEQVEZelaparvovec-dzkt</t>
  </si>
  <si>
    <t>Indicated for the treatment of adults with moderate to severe hemophilia B (congenital factor IX deficiency) who: currently use factor IX prophylaxis therapy, or have current or historical life-threatening hemorrhage, or have repeated, serious spontaneous bleeding episodes, and, do not have neutralizing antibodies to adeno-associated virus serotype Rh74var (AAVRh74var) capsid as detected by an FDA-approved test.</t>
  </si>
  <si>
    <t>Ojemda</t>
  </si>
  <si>
    <t>tovorafenib</t>
  </si>
  <si>
    <t>Anktiva</t>
  </si>
  <si>
    <t>nogapendekin alfa inbakicept-pmln</t>
  </si>
  <si>
    <t>Lumisight</t>
  </si>
  <si>
    <t>pegulicianine</t>
  </si>
  <si>
    <t>Zevtera</t>
  </si>
  <si>
    <t>ceftobiprole medocaril sodium</t>
  </si>
  <si>
    <t>Voydeya</t>
  </si>
  <si>
    <t>danicopan</t>
  </si>
  <si>
    <t>Mar 2024</t>
  </si>
  <si>
    <t>Vafseo</t>
  </si>
  <si>
    <t>vadadustat</t>
  </si>
  <si>
    <t>Winrevair</t>
  </si>
  <si>
    <t>sotatercept-csrk</t>
  </si>
  <si>
    <t>Duvyzat</t>
  </si>
  <si>
    <t>givinostat</t>
  </si>
  <si>
    <t>Tryvio</t>
  </si>
  <si>
    <t>aprocitentan</t>
  </si>
  <si>
    <t>cobas Malariacobas Malaria,Nucleic Acid Test foruse on the cobas6800/8800 Systems</t>
  </si>
  <si>
    <t>Is a qualitative in vitro nucleic acid screening test for the direct detection of Plasmodium (P. falciparum, P. malariae, P. vivax, P. ovale and P. knowlesi) DNA and RNA in whole blood samples from individual human donors, including donors of whole blood and blood components, as well as other living donors. It is also intended for use in testing whole blood samples to screen organ and tissue donors when samples are obtained while the donor’s heart is still beating.</t>
  </si>
  <si>
    <t>LENMELDYatidarsagene autotemcel</t>
  </si>
  <si>
    <t>Indicated for treatment of children with pre-symptomatic late infantile (PSLI), pre-symptomatic early juvenile (PSEJ) or early symptomatic early juvenile (ESEJ) metachromatic leukodystrophy (MLD).</t>
  </si>
  <si>
    <t>Rezdiffra</t>
  </si>
  <si>
    <t>resmetirom</t>
  </si>
  <si>
    <t>Tevimbra</t>
  </si>
  <si>
    <t>tislelizumab-jsgr</t>
  </si>
  <si>
    <t>Letybo</t>
  </si>
  <si>
    <t>letibotulinumtoxinA-wlbg</t>
  </si>
  <si>
    <t>Feb 2024</t>
  </si>
  <si>
    <t>Elecsys Anti-HCV IIElecsys Anti-HCV II</t>
  </si>
  <si>
    <t>An in vitro immunoassay for the qualitative detection of antibodies to hepatitis C virus (HCV) in human serum and plasma. It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</si>
  <si>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Elecsys Anti-HBc IIElecsys Anti-HBc II</t>
  </si>
  <si>
    <t>An in vitro immunoassay for the qualitative detection of antibodies to hepatitis B core antigen (anti-HBc) in human serum and plasma. It is 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</si>
  <si>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Exblifep</t>
  </si>
  <si>
    <t>cefepime and enmetazobactam</t>
  </si>
  <si>
    <t>Elecsys HBsAg II and Elecsys HBsAg II Auto ConfirmElecsys HBsAg II and Elecsys HBsAg II Auto Confirm</t>
  </si>
  <si>
    <t>An in vitro immunoassay intended for the qualitative detection of hepatitis B surface antigen (HBsAg) in human serum and plasma. It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</si>
  <si>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AMTAGVILifileucel</t>
  </si>
  <si>
    <t>Indicated for treatment of adult patients with unresectable or metastatic melanoma previously treated with a PD-1 blocking antibody, and if BRAF V600 mutation positive, a BRAF inhibitor with or without a MEK inhibitor.</t>
  </si>
  <si>
    <t>Elecsys ChagasElecsys Chagas</t>
  </si>
  <si>
    <t>An in vitro immunoassay for the qualitative detection of antibodies to Trypanosoma cruzi (T. cruzi, the causative agent of the Chagas disease) in human serum and plasma. It’s 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</si>
  <si>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Source Plasma</t>
  </si>
  <si>
    <t>Jan 2024</t>
  </si>
  <si>
    <t>Indicated for further manufacturing of injectable products.</t>
  </si>
  <si>
    <t>CASGEVYExagamglogene autotemcel</t>
  </si>
  <si>
    <t>Indicated the treatment of patients aged 12 years and older with transfusion-dependent ß-thalassemia (TDT).</t>
  </si>
  <si>
    <t>Zelsuvmi</t>
  </si>
  <si>
    <t>berdazimer</t>
  </si>
  <si>
    <t>Wainua</t>
  </si>
  <si>
    <t>eplontersen</t>
  </si>
  <si>
    <t>Dec 2023</t>
  </si>
  <si>
    <t>Filsuvez</t>
  </si>
  <si>
    <t>birch triterpenes</t>
  </si>
  <si>
    <t>Alygloimmune globulin intravenous, human-stwk</t>
  </si>
  <si>
    <t>Indicated for treatment of primary humoral immunodeficiency (PI) in adults.</t>
  </si>
  <si>
    <t>https://www.fda.gov/vaccines-blood-biologics/development-approval-process-cber/2023-biological-license-application-approvals</t>
  </si>
  <si>
    <t>LYFGENIAlovotibeglogene autotemcel</t>
  </si>
  <si>
    <t>Indicated for the treatment of patients 12 years of age or older with sickle cell disease and a history of vaso-occlusive events (VOEs).</t>
  </si>
  <si>
    <t>Casgevyexagamglogene autotemcel (exa-cel)</t>
  </si>
  <si>
    <t>Indicated for treatment of sickle cell disease (SCD) in patients 12 years of age or older with recurrent vaso-occlusive crises (VOCs).</t>
  </si>
  <si>
    <t>Fabhalta</t>
  </si>
  <si>
    <t>iptacopan</t>
  </si>
  <si>
    <t>Ogsiveo</t>
  </si>
  <si>
    <t>nirogacestat</t>
  </si>
  <si>
    <t>Nov 2023</t>
  </si>
  <si>
    <t>Ryzneuta</t>
  </si>
  <si>
    <t>efbemalenograstim alfa-vuxw</t>
  </si>
  <si>
    <t>Truqap</t>
  </si>
  <si>
    <t>capivasertib</t>
  </si>
  <si>
    <t>Defencath</t>
  </si>
  <si>
    <t>taurolidine and heparin</t>
  </si>
  <si>
    <t>Augtyro</t>
  </si>
  <si>
    <t>repotrectinib</t>
  </si>
  <si>
    <t>ADZYNMAADAMTS13, recombinant-krhn</t>
  </si>
  <si>
    <t>Indicated for prophylactic or on demand enzyme replacement therapy (ERT) in adult and pediatric patients with congenital thrombotic thrombocytopenic purpura (cTTP).</t>
  </si>
  <si>
    <t>IXCHIQChikungunya Vaccine, Live</t>
  </si>
  <si>
    <t>Indicated for active immunization for the prevention of disease caused by chikungunya virus in individuals 18 years of age and older who are at increased risk of exposure to chikungunya virus.</t>
  </si>
  <si>
    <t>Fruzaqla</t>
  </si>
  <si>
    <t>fruquintinib</t>
  </si>
  <si>
    <t>Loqtorzi</t>
  </si>
  <si>
    <t>toripalimab-tpzi</t>
  </si>
  <si>
    <t>Oct 2023</t>
  </si>
  <si>
    <t>Agamree</t>
  </si>
  <si>
    <t>vamorolone</t>
  </si>
  <si>
    <t>Omvoh</t>
  </si>
  <si>
    <t>mirikizumab-mrkz</t>
  </si>
  <si>
    <t>PENBRAYAMeningococcal Groups A, B, C, W, and Y Vaccine</t>
  </si>
  <si>
    <t>Indicated for active immunization to prevent invasive disease caused by Neisseria meningitidis serogroups A, B, C, W, and Y. Meningococcal Groups A, B, C, W, and Y Vaccine is approved for use in individuals 10 through 25 years of age.</t>
  </si>
  <si>
    <t>Zilbrysq</t>
  </si>
  <si>
    <t>zilucoplan</t>
  </si>
  <si>
    <t>Elecsys HTLV- I/IIElecsys HTLV-I/II</t>
  </si>
  <si>
    <t>Intended to screen individual human donors, including volunteer donors of whole blood and blood components. The assay is also intended to be used to screen organ, tissue and cell donors, when donor samples are obtained while the donor's heart is still beating. It is not intended for use on cord blood specimens.</t>
  </si>
  <si>
    <t>Bimzelx</t>
  </si>
  <si>
    <t>bimekizumab-bkzx</t>
  </si>
  <si>
    <t>Velsipity</t>
  </si>
  <si>
    <t>etrasimod</t>
  </si>
  <si>
    <t>Rivfloza</t>
  </si>
  <si>
    <t>nedosiran</t>
  </si>
  <si>
    <t>Sep 2023</t>
  </si>
  <si>
    <t>Pombiliti</t>
  </si>
  <si>
    <t>cipaglucosidase alfa-atga</t>
  </si>
  <si>
    <t>Exxua</t>
  </si>
  <si>
    <t>gepirone</t>
  </si>
  <si>
    <t>Ojjaara</t>
  </si>
  <si>
    <t>momelotinib</t>
  </si>
  <si>
    <t>Indicated for further manufacturing of injectable and non-injectable products.</t>
  </si>
  <si>
    <t>Aphexda</t>
  </si>
  <si>
    <t>motixafortide</t>
  </si>
  <si>
    <t>ABRYSVORespiratory Syncytial Virus Vaccine</t>
  </si>
  <si>
    <t>Aug 2023</t>
  </si>
  <si>
    <t>Indicated for active immunization of pregnant individuals at 32 through 36 weeks gestational age for the prevention of lower respiratory tract disease (LRTD) and severe LRTD caused by respiratory syncytial virus (RSV) in infants from birth through 6 months of age.</t>
  </si>
  <si>
    <t>Veopoz</t>
  </si>
  <si>
    <t>pozelimab-bbfg</t>
  </si>
  <si>
    <t>Sohonos</t>
  </si>
  <si>
    <t>palovarotene</t>
  </si>
  <si>
    <t>Elrexfio</t>
  </si>
  <si>
    <t>elranatamab-bcmm</t>
  </si>
  <si>
    <t>Talvey</t>
  </si>
  <si>
    <t>talquetamab-tgvs</t>
  </si>
  <si>
    <t>Zurzuvae</t>
  </si>
  <si>
    <t>zuranolone</t>
  </si>
  <si>
    <t>Izervay</t>
  </si>
  <si>
    <t>avacincaptad pegol</t>
  </si>
  <si>
    <t>Xdemvy</t>
  </si>
  <si>
    <t>lotilaner</t>
  </si>
  <si>
    <t>Jul 2023</t>
  </si>
  <si>
    <t>BALFAXARprothrombin complex concentrate, human-lans</t>
  </si>
  <si>
    <t>Indicated for the urgent reversal of acquired coagulation factor deficiency induced by Vitamin K antagonist (VKA, e.g., warfarin) therapy in adult patients with need for an urgent surgery/invasive procedure.</t>
  </si>
  <si>
    <t>Vanflyta</t>
  </si>
  <si>
    <t>quizartinib</t>
  </si>
  <si>
    <t>CYFENDUSAnthrax Vaccine Adsorbed, Adjuvanted</t>
  </si>
  <si>
    <t>Indicated for post-exposure prophylaxis of disease following suspected or confirmed exposure to Bacillus anthracis in persons 18 through 65 years of age when administered in conjunction with recommended antibacterial drugs.</t>
  </si>
  <si>
    <t>Beyfortus</t>
  </si>
  <si>
    <t>nirsevimab-alip</t>
  </si>
  <si>
    <t>ROCTAVIANvaloctocogene roxaparvovec-rvox</t>
  </si>
  <si>
    <t>Jun 2023</t>
  </si>
  <si>
    <t>Valoctocogene roxaparvovec-rvox is an adeno-associated virus vector-based gene therapy indicated for the treatment of adults with severe hemophilia A (congenital factor VIII deficiency with factor VIII activity &lt;1 IU/dL) without pre-existing antibodies to adeno-associated virus serotype 5 detected by an FDA-approved test.</t>
  </si>
  <si>
    <t>LANTIDRAdonislecel-jujn</t>
  </si>
  <si>
    <t>Indicated for the treatment of adults with Type 1 diabetes who are unable to approach target HbA1c because of current repeated episodes of severe hypoglycemia despite intensive diabetes management and education.</t>
  </si>
  <si>
    <t>Ngenla</t>
  </si>
  <si>
    <t>somatrogon-ghla</t>
  </si>
  <si>
    <t>Rystiggo</t>
  </si>
  <si>
    <t>rozanolixizumab-noli</t>
  </si>
  <si>
    <t>Litfulo</t>
  </si>
  <si>
    <t>ritlecitinib</t>
  </si>
  <si>
    <t>ELEVIDYSdelandistrogene moxeparvovec-rokl</t>
  </si>
  <si>
    <t>Indicated for treatment of ambulatory pediatric patients aged 4 through 5 years with Duchenne muscular dystrophy (DMD) with a confirmed mutation in the DMD gene.</t>
  </si>
  <si>
    <t>Columvi</t>
  </si>
  <si>
    <t>glofitamab-gxbm</t>
  </si>
  <si>
    <t>Elecsys HIV DuoElecsys HIV Duo</t>
  </si>
  <si>
    <t>Elecsys HIV Duo is intended to screen individual human donors, including volunteer donors of whole blood, blood components and source plasma. The assay is also intended to be used to screen organ, tissue and cell donors, when donor samples are obtained while the donor's heart is still beating. It is not intended for use on cord blood specimens.</t>
  </si>
  <si>
    <t>May 2023</t>
  </si>
  <si>
    <t>Inpefa</t>
  </si>
  <si>
    <t>sotagliflozin</t>
  </si>
  <si>
    <t>Paxlovid</t>
  </si>
  <si>
    <t>nirmatrelvir; ritonavir (co-packaged)</t>
  </si>
  <si>
    <t>Posluma</t>
  </si>
  <si>
    <t>flotufolastat F 18</t>
  </si>
  <si>
    <t>Xacduro</t>
  </si>
  <si>
    <t>sulbactam; durlobactam (co-packaged)</t>
  </si>
  <si>
    <t>Epkinly</t>
  </si>
  <si>
    <t>epcoritamab-bysp</t>
  </si>
  <si>
    <t>VYJUVEKberemagene geperpavec-svdt</t>
  </si>
  <si>
    <t>Indicated for treatment of wounds in patients 6 months of age and older with dystrophic epidermolysis bullosa with mutation(s) in the collagen type VII alpha 1 chain (COL7A1) gene.</t>
  </si>
  <si>
    <t>Miebo</t>
  </si>
  <si>
    <t>perfluorohexyloctane</t>
  </si>
  <si>
    <t>Veozah</t>
  </si>
  <si>
    <t>fezolinetant</t>
  </si>
  <si>
    <t>Elfabrio</t>
  </si>
  <si>
    <t>pegunigalsidase alfa-iwxj</t>
  </si>
  <si>
    <t>AREXVYRespiratory Syncytial Virus Vaccine, Adjuvanted</t>
  </si>
  <si>
    <t>Indicated for active immunization for the prevention of lower respiratory tract disease caused by respiratory syncytial virus in individuals 60 years of age and older.</t>
  </si>
  <si>
    <t>VOWSTfecal microbiota spores, live-brpk</t>
  </si>
  <si>
    <t>Apr 2023</t>
  </si>
  <si>
    <t>To prevent the recurrence of Clostridioides difficile infection (CDI) in individuals 18 years of age and older following antibacterial treatment for recurrent CDI (rCDI).</t>
  </si>
  <si>
    <t>Qalsody</t>
  </si>
  <si>
    <t>tofersen</t>
  </si>
  <si>
    <t>OMISIRGEomidubicel-onlv</t>
  </si>
  <si>
    <t>Indicated for use in adults and pediatric patients 12 years and older with hematologic malignancies who are planned for umbilical cord blood transplantation following myeloablative conditioning to reduce the time to neutrophil recovery and the incidence of infection.</t>
  </si>
  <si>
    <t>Joenja</t>
  </si>
  <si>
    <t>leniolisib</t>
  </si>
  <si>
    <t>Mar 2023</t>
  </si>
  <si>
    <t>Zynyz</t>
  </si>
  <si>
    <t>retifanlimab-dlwr</t>
  </si>
  <si>
    <t>Rezzayo</t>
  </si>
  <si>
    <t>rezafungin</t>
  </si>
  <si>
    <t>Daybue</t>
  </si>
  <si>
    <t>trofinetide</t>
  </si>
  <si>
    <t>Zavzpret</t>
  </si>
  <si>
    <t>zavegepant</t>
  </si>
  <si>
    <t>Skyclarys</t>
  </si>
  <si>
    <t>omaveloxolone</t>
  </si>
  <si>
    <t>Feb 2023</t>
  </si>
  <si>
    <t>ALTUVIIIOantihemophilic factor (recombinant), Fc-VWF-XTEN fusion protein-ehtl</t>
  </si>
  <si>
    <t>Indicated for use in adults and children with Hemophilia A (congenital Factor VIII deficiency) for: (1) Routine prophylaxis to reduce the frequency of bleeding episodes; (2) On-demand treatment and control of bleeding episodes; and (3) Perioperative management of bleeding.</t>
  </si>
  <si>
    <t>Filspari</t>
  </si>
  <si>
    <t>sparsentan</t>
  </si>
  <si>
    <t>Lamzede</t>
  </si>
  <si>
    <t>velmanase alfa-tycv</t>
  </si>
  <si>
    <t>Jesduvroq</t>
  </si>
  <si>
    <t>daprodustat</t>
  </si>
  <si>
    <t>Orserdu</t>
  </si>
  <si>
    <t>elacestrant</t>
  </si>
  <si>
    <t>Jan 2023</t>
  </si>
  <si>
    <t>Jaypirca</t>
  </si>
  <si>
    <t>pirtobrutinib</t>
  </si>
  <si>
    <t>Indicated for further manufacturing of injectable products</t>
  </si>
  <si>
    <t>Brenzavvy</t>
  </si>
  <si>
    <t>bexagliflozin</t>
  </si>
  <si>
    <t>Indicated for further manufacturing of injectable and noninjectable products</t>
  </si>
  <si>
    <t>Leqembi</t>
  </si>
  <si>
    <t>lecanemab-irmb</t>
  </si>
  <si>
    <t>NexoBrid</t>
  </si>
  <si>
    <t>anacaulase-bcdb</t>
  </si>
  <si>
    <t>Dec 2022</t>
  </si>
  <si>
    <t>Briumvi</t>
  </si>
  <si>
    <t>ublituximab-xiiy</t>
  </si>
  <si>
    <t>Platelets</t>
  </si>
  <si>
    <t>To manufacture Apheresis Platelets, Platelet Additive Solution (PAS-C) Added, Leukocytes Reduced, Psoralen–Treated, collected on the --------(b)(4)----- ------ (b)(4)-------- and pathogen reduced using the ---(b)(4)--- -----(b)(4)---------------- ------ for Platelets.</t>
  </si>
  <si>
    <t>https://web.archive.org/web/20250202091310/https://www.fda.gov/vaccines-blood-biologics/development-approval-process-cber/2022-biological-license-application-approvals</t>
  </si>
  <si>
    <t>Xenoview</t>
  </si>
  <si>
    <t>xenon Xe 129 hyperpolarized</t>
  </si>
  <si>
    <t>Lunsumio</t>
  </si>
  <si>
    <t>mosunetuzumab-axgb</t>
  </si>
  <si>
    <t>Sunlenca</t>
  </si>
  <si>
    <t>lenacapavir</t>
  </si>
  <si>
    <t>ADSTILADRINnadofaragene firadenovec</t>
  </si>
  <si>
    <t>Indicated for the treatment of adult patients with high-risk Bacillus Calmette-Guérin (BCG)-unresponsive non-muscle invasive bladder cancer (NMIBC) with carcinoma in situ (CIS) with or without papillary tumors.</t>
  </si>
  <si>
    <t>Krazati</t>
  </si>
  <si>
    <t>adagrasib</t>
  </si>
  <si>
    <t>Rezlidhia</t>
  </si>
  <si>
    <t>olutasidenib</t>
  </si>
  <si>
    <t>REBYOTAfecal microbiota, live-jslm</t>
  </si>
  <si>
    <t>Nov 2022</t>
  </si>
  <si>
    <t>Indicated for the prevention of recurrence of Clostridioides difficile infection (CDI) in individuals 18 years of age and older, following antibiotic treatment for recurrent CDI.</t>
  </si>
  <si>
    <t>HEMGENIXetranacogene dezaparvovec-drlb</t>
  </si>
  <si>
    <t>Indicated for treatment of adults with Hemophilia B (congenital Factor IX deficiency) who: currently use Factor IX prophylaxis therapy, or have current or historical life-threatening hemorrhage, or have repeated, serious spontaneous bleeding episodes.</t>
  </si>
  <si>
    <t>Tzield</t>
  </si>
  <si>
    <t>teplizumab-mzwv</t>
  </si>
  <si>
    <t>Elahere</t>
  </si>
  <si>
    <t>mirvetuximab soravtansine-gynx</t>
  </si>
  <si>
    <t>Tecvayli</t>
  </si>
  <si>
    <t>teclistamab-cqyv</t>
  </si>
  <si>
    <t>Oct 2022</t>
  </si>
  <si>
    <t>Imjudo</t>
  </si>
  <si>
    <t>tremelimumab-actl</t>
  </si>
  <si>
    <t>Lytgobi</t>
  </si>
  <si>
    <t>futibatinib</t>
  </si>
  <si>
    <t>Sep 2022</t>
  </si>
  <si>
    <t>Relyvrio</t>
  </si>
  <si>
    <t>sodium phenylbutyrate and taurursodiol</t>
  </si>
  <si>
    <t>Omlonti</t>
  </si>
  <si>
    <t>omidenepag isopropyl</t>
  </si>
  <si>
    <t>Elucirem</t>
  </si>
  <si>
    <t>gadopiclenol</t>
  </si>
  <si>
    <t>SKYSONAelivaldogene autotemcel</t>
  </si>
  <si>
    <t>Indicated to slow the progression of neurologic dysfunction in boys 4-17 years of age with early, active cerebral adrenoleukodystrophy (CALD).</t>
  </si>
  <si>
    <t>Terlivaz</t>
  </si>
  <si>
    <t>terlipressin</t>
  </si>
  <si>
    <t>Sotyktu</t>
  </si>
  <si>
    <t>deucravacitinib</t>
  </si>
  <si>
    <t>Rolvedon</t>
  </si>
  <si>
    <t>eflapegrastim-xnst</t>
  </si>
  <si>
    <t>Daxxify</t>
  </si>
  <si>
    <t>daxibotulinumtoxinA-lanm</t>
  </si>
  <si>
    <t>Spevigo</t>
  </si>
  <si>
    <t>spesolimab-sbzo</t>
  </si>
  <si>
    <t>Xenpozyme</t>
  </si>
  <si>
    <t>olipudase alfa-rpcp</t>
  </si>
  <si>
    <t>Aug 2022</t>
  </si>
  <si>
    <t>ZYNTEGLObetibeglogene autotemcel</t>
  </si>
  <si>
    <t>Indicated for the treatment of adult and pediatric patients with ß-thalassemia who require regular red blood cell (RBC) transfusions.</t>
  </si>
  <si>
    <t>Alinity s Anti-HCV II Reagent KitHepatitis C Virus (E coli, Recombinant) NS3 Helicase Antigens and Synthetic Core Peptide</t>
  </si>
  <si>
    <t>Jul 2022</t>
  </si>
  <si>
    <t>Intended to screen individual human donors, including volunteer donors of whole blood and blood components, and other living donors for the presence of anti- HCV. The assay is also intended for use in testing serum and plasma specimens to screen organ donors when specimens are obtained while the donor's heart is still beating, and in testing serum and EDTA plasma specimens to screen cadaveric (nonheart- beating) donors. It is not intended for use on cord blood specimens.</t>
  </si>
  <si>
    <t>Amvuttra</t>
  </si>
  <si>
    <t>vutrisiran</t>
  </si>
  <si>
    <t>Jun 2022</t>
  </si>
  <si>
    <t>PRIORIXMeasles, Mumps and Rubella Vaccine Live</t>
  </si>
  <si>
    <t>Indicated for active immunization for the prevention of measles, mumps, and rubella in individuals 12 months of age and older.</t>
  </si>
  <si>
    <t>Vtama</t>
  </si>
  <si>
    <t>tapinarof</t>
  </si>
  <si>
    <t>May 2022</t>
  </si>
  <si>
    <t>Anti-Human Globulin Anti-C3d FFMU, Murine MonoclonalAnti-Human Globulin (Murine Monoclonal) (For Further Manufacturing Use)</t>
  </si>
  <si>
    <t>Indicated for further manufacturing use in the production of Anti-IgG, -C3d Anti-Human Globulin under a Shared Manufacturing Agreement with Diagnostic Grifols, S.A.</t>
  </si>
  <si>
    <t>DG Gel 8 Direct Coombs (Anti-C3d)Anti-Human Globulin (Murine Monoclonal)</t>
  </si>
  <si>
    <t>Indicated for use with the DG Gel System to detect in vivo coating of human red blood cells with C3d (direct antiglobulin test).</t>
  </si>
  <si>
    <t>DG Gel 8 Direct Coombs (Anti-IgG, -C3d)Anti-Human Globulin (Rabbit/Murine Monoclonal)</t>
  </si>
  <si>
    <t>Indicated for use with the DG Gel System to detect in vivo coating of human red blood cells with IgG and C3d (direct antiglobulin test).</t>
  </si>
  <si>
    <t>Mounjaro</t>
  </si>
  <si>
    <t>tirzepatide</t>
  </si>
  <si>
    <t>Voquezna Triple Pak</t>
  </si>
  <si>
    <t>vonoprazan; amoxicillin; clarithromycin (co-packaged)</t>
  </si>
  <si>
    <t>Camzyos</t>
  </si>
  <si>
    <t>mavacamten</t>
  </si>
  <si>
    <t>Apr 2022</t>
  </si>
  <si>
    <t>Vivjoa</t>
  </si>
  <si>
    <t>oteseconazole</t>
  </si>
  <si>
    <t>Pluvicto</t>
  </si>
  <si>
    <t>lutetium Lu 177 vipivotide tetraxetan</t>
  </si>
  <si>
    <t>Mar 2022</t>
  </si>
  <si>
    <t>Opdualag</t>
  </si>
  <si>
    <t>nivolumab and relatlimab-rmbw</t>
  </si>
  <si>
    <t>Ztalmy</t>
  </si>
  <si>
    <t>ganaxolone</t>
  </si>
  <si>
    <t>Vonjo</t>
  </si>
  <si>
    <t>pacritinib</t>
  </si>
  <si>
    <t>Feb 2022</t>
  </si>
  <si>
    <t>CARVYKTIciltacabtagene autoleucel</t>
  </si>
  <si>
    <t>Is indicated for the treatment of adult patients with relapsed or refractory multiple myeloma after four or more prior lines of therapy, including a proteasome inhibitor, an immunomodulatory agent, and an anti-CD38 monoclonal antibody.</t>
  </si>
  <si>
    <t>Pyrukynd</t>
  </si>
  <si>
    <t>mitapivat</t>
  </si>
  <si>
    <t>Enjaymo</t>
  </si>
  <si>
    <t>sutimlimab-jome</t>
  </si>
  <si>
    <t>SPIKEVAXCOVID-19 Vaccine, mRNA</t>
  </si>
  <si>
    <t>Jan 2022</t>
  </si>
  <si>
    <t>Active immunization to prevent coronavirus disease 2019 (COVID-19) caused by severe acute respiratory syndrome coronavirus 2 (SARS-CoV-2) in individuals 18 years of age and older</t>
  </si>
  <si>
    <t>Vabysmo</t>
  </si>
  <si>
    <t>faricimab-svoa</t>
  </si>
  <si>
    <t>Kimmtrak</t>
  </si>
  <si>
    <t>tebentafusp-tebn</t>
  </si>
  <si>
    <t>Cibinqo</t>
  </si>
  <si>
    <t>abrocitinib</t>
  </si>
  <si>
    <t>Quviviq</t>
  </si>
  <si>
    <t>daridorexant</t>
  </si>
  <si>
    <t>Adbry</t>
  </si>
  <si>
    <t>tralokinumab-ldrm</t>
  </si>
  <si>
    <t>Dec 2021</t>
  </si>
  <si>
    <t>Leqvio</t>
  </si>
  <si>
    <t>inclisiran</t>
  </si>
  <si>
    <t>Tezspire</t>
  </si>
  <si>
    <t>tezepelumab-ekko</t>
  </si>
  <si>
    <t>Vyvgart</t>
  </si>
  <si>
    <t>efgartigimod alfa-fcab</t>
  </si>
  <si>
    <t>PrehevbrioPrehebrioTrehebriHepatitis B Vaccine (Recombinant)</t>
  </si>
  <si>
    <t>Nov 2021</t>
  </si>
  <si>
    <t>Indicated for prevention of infection caused by all known subtypes of hepatitis B virus in adults 18 years and older.</t>
  </si>
  <si>
    <t>https://web.archive.org/web/20250201005753/https://www.fda.gov/vaccines-blood-biologics/development-approval-process-cber/2021-biological-license-application-approvals</t>
  </si>
  <si>
    <t>Cytalux</t>
  </si>
  <si>
    <t>pafolacianine</t>
  </si>
  <si>
    <t>Livtencity</t>
  </si>
  <si>
    <t>maribavir</t>
  </si>
  <si>
    <t>Voxzogo</t>
  </si>
  <si>
    <t>vosoritide</t>
  </si>
  <si>
    <t>Besremi</t>
  </si>
  <si>
    <t>ropeginterferon alfa-2b-njft</t>
  </si>
  <si>
    <t>Scemblix</t>
  </si>
  <si>
    <t>asciminib</t>
  </si>
  <si>
    <t>Oct 2021</t>
  </si>
  <si>
    <t>RETHYMICAllogeneic processed Thymus Tissue</t>
  </si>
  <si>
    <t>Indicated for immune reconstitution in pediatric patients with congenital athymia.</t>
  </si>
  <si>
    <t>Tavneos</t>
  </si>
  <si>
    <t>avacopan</t>
  </si>
  <si>
    <t>Livmarli</t>
  </si>
  <si>
    <t>maralixibat</t>
  </si>
  <si>
    <t>Sep 2021</t>
  </si>
  <si>
    <t>Qulipta</t>
  </si>
  <si>
    <t>atogepant</t>
  </si>
  <si>
    <t>For further manufacturing of injectable products under License No. 2260</t>
  </si>
  <si>
    <t>Tivdak</t>
  </si>
  <si>
    <t>tisotumab vedotin-tftv</t>
  </si>
  <si>
    <t>Exkivity</t>
  </si>
  <si>
    <t>mobocertinib</t>
  </si>
  <si>
    <t>Skytrofa</t>
  </si>
  <si>
    <t>lonapegsomatropin-tcgd</t>
  </si>
  <si>
    <t>Aug 2021</t>
  </si>
  <si>
    <t>COMIRNATYCOVID-19 Vaccine, mRNA</t>
  </si>
  <si>
    <t>Indicated for active immunization to prevent coronavirus disease 2019 (COVID-19) caused by severe acute respiratory syndrome coronavirus 2 (SARS-CoV-2) in individuals 16 years of age and older.</t>
  </si>
  <si>
    <t>Korsuva</t>
  </si>
  <si>
    <t>difelikefalin</t>
  </si>
  <si>
    <t>For further manufacturing of injectable products under License No. 2255</t>
  </si>
  <si>
    <t>Welireg</t>
  </si>
  <si>
    <t>belzutifan</t>
  </si>
  <si>
    <t>TicoVacTick-Borne Encephalitis Vaccine</t>
  </si>
  <si>
    <t>Indicated for active immunization to prevent tick-borne encephalitis (TBE) in individuals 1 year of age and older.</t>
  </si>
  <si>
    <t>Nexviazyme</t>
  </si>
  <si>
    <t>avalglucosidase alfa-ngpt</t>
  </si>
  <si>
    <t>Saphnelo</t>
  </si>
  <si>
    <t>anifrolumab-fnia</t>
  </si>
  <si>
    <t>Jul 2021</t>
  </si>
  <si>
    <t>Bylvay</t>
  </si>
  <si>
    <t>odevixibat</t>
  </si>
  <si>
    <t>[drug marketed without a proprietary name]</t>
  </si>
  <si>
    <t>fexinidazole</t>
  </si>
  <si>
    <t>VAXNEUVANCEPneumococcal 15-valent Conjugate Vaccine</t>
  </si>
  <si>
    <t>Indicated for active immunization for the prevention of invasive disease caused by Streptococcus pneumoniae serotypes 1, 3, 4, 5, 6A, 6B, 7F, 9V, 14, 18C, 19A, 19F, 22F, 23F and 33F in adults 18 years of age and older.</t>
  </si>
  <si>
    <t>Rezurock</t>
  </si>
  <si>
    <t>belumosudil</t>
  </si>
  <si>
    <t>Kerendia</t>
  </si>
  <si>
    <t>finerenone</t>
  </si>
  <si>
    <t>Rylaze</t>
  </si>
  <si>
    <t>asparaginase erwinia chrysanthemi (recombinant)-rywn</t>
  </si>
  <si>
    <t>Jun 2021</t>
  </si>
  <si>
    <t>To manufacture Source Plasma prepared by plasmapheresis using the ---(b)(4)-------------------------------------- Collection System, with the anticoagulant (b)(4) Sodium Citrate Solution, collected from normal, non-immunized donors, andImmunoTek’s previously approved Standard Operating Procedures and Physician Substitute Program.</t>
  </si>
  <si>
    <t>StrataGraftAllogeneic cultured keratinocytes and dermal fibroblasts in murine collagen-dsat</t>
  </si>
  <si>
    <t>Indicated for the treatment of adults with thermal burns containing intact dermal elements for which surgical intervention is clinically indicated (deep partial-thickness burns).</t>
  </si>
  <si>
    <t>PREVNAR 20Pneumococcal 20-valent Conjugate Vaccine</t>
  </si>
  <si>
    <t>Indicated for active immunization for the prevention of invasive disease caused by Streptococcus pneumoniae serotypes 1, 3, 4, 5, 6A, 6B, 7F, 8, 9V, 10A, 11A, 12F, 14, 15B, 18C, 19A, 19F, 22F, 23F, and 33F in adults 18 years of age and older and the prevention of pneumonia caused by Streptococcus pneumoniae serotypes 1, 3, 4, 5, 6A, 6B, 7F, 9V, 14, 18C, 19A, 19F, and 23F in adults 18 years of age and older.</t>
  </si>
  <si>
    <t>Aduhelm</t>
  </si>
  <si>
    <t>aducanumab-avwa</t>
  </si>
  <si>
    <t>RYPLAZIMplasminogen,human-tvmh</t>
  </si>
  <si>
    <t>Indicated for the treatment of patients with plasminogen deficiency type 1 (hypoplasminogenemi).</t>
  </si>
  <si>
    <t>Brexafemme</t>
  </si>
  <si>
    <t>ibrexafungerp</t>
  </si>
  <si>
    <t>Truseltiq</t>
  </si>
  <si>
    <t>infigratinib</t>
  </si>
  <si>
    <t>May 2021</t>
  </si>
  <si>
    <t>Lybalvi</t>
  </si>
  <si>
    <t>olanzapine and samidorphan</t>
  </si>
  <si>
    <t>Lumakras</t>
  </si>
  <si>
    <t>sotorasib</t>
  </si>
  <si>
    <t>Pylarify</t>
  </si>
  <si>
    <t>piflufolastat F 18</t>
  </si>
  <si>
    <t>Rybrevant</t>
  </si>
  <si>
    <t>amivantamab-vmjw</t>
  </si>
  <si>
    <t>Empaveli</t>
  </si>
  <si>
    <t>pegcetacoplan</t>
  </si>
  <si>
    <t>Zynlonta</t>
  </si>
  <si>
    <t>loncastuximab tesirine-lpyl</t>
  </si>
  <si>
    <t>Apr 2021</t>
  </si>
  <si>
    <t>Jemperli</t>
  </si>
  <si>
    <t>dostarlimab-gxly</t>
  </si>
  <si>
    <t>Nextstellis</t>
  </si>
  <si>
    <t>drospirenone and estetrol</t>
  </si>
  <si>
    <t>Qelbree</t>
  </si>
  <si>
    <t>viloxazine</t>
  </si>
  <si>
    <t>ABECMAidecabtagene vicleucel</t>
  </si>
  <si>
    <t>Mar 2021</t>
  </si>
  <si>
    <t>Indicated for the treatment of adult patients with relapsed or refractory multiple myeloma after four or more prior lines of therapy including an immunomodulatory agent, a proteasome inhibitor, and an anti-CD38 monoclonal antibody.</t>
  </si>
  <si>
    <t>Zegalogue</t>
  </si>
  <si>
    <t>dasiglucagon</t>
  </si>
  <si>
    <t>Ponvory</t>
  </si>
  <si>
    <t>ponesimod</t>
  </si>
  <si>
    <t>Fotivda</t>
  </si>
  <si>
    <t>tivozanib</t>
  </si>
  <si>
    <t>Azstarys</t>
  </si>
  <si>
    <t>serdexmethylphenidate and dexmethylphenidate</t>
  </si>
  <si>
    <t>Pepaxto</t>
  </si>
  <si>
    <t>melphalan flufenamide</t>
  </si>
  <si>
    <t>Feb 2021</t>
  </si>
  <si>
    <t>Nulibry</t>
  </si>
  <si>
    <t>fosdenopterin</t>
  </si>
  <si>
    <t>Amondys 45</t>
  </si>
  <si>
    <t>casimersen</t>
  </si>
  <si>
    <t>Cosela</t>
  </si>
  <si>
    <t>trilaciclib</t>
  </si>
  <si>
    <t>Evkeeza</t>
  </si>
  <si>
    <t>evinacumab-dgnb</t>
  </si>
  <si>
    <t>Ukoniq</t>
  </si>
  <si>
    <t>umbralisib</t>
  </si>
  <si>
    <t>BREYANZIlisocabtagene maraleucel</t>
  </si>
  <si>
    <t>Indicated for the treatment of adult patients with relapsed or refractory large B-cell lymphoma after two or more lines of systemic therapy, including diffuse large B cell lymphoma (DLBCL) not otherwise specified (including DLBCL arising from indolent lymphoma), high-grade B-cell lymphoma, primary mediastinal large B-cell lymphoma, and follicular lymphoma grade 3B. Lisocabtagene maraleucel is not indicated for the treatment of patients with primary central nervous system (CNS) lymphoma.</t>
  </si>
  <si>
    <t>Tepmetko</t>
  </si>
  <si>
    <t>tepotinib</t>
  </si>
  <si>
    <t>Lupkynis</t>
  </si>
  <si>
    <t>voclosporin</t>
  </si>
  <si>
    <t>Jan 2021</t>
  </si>
  <si>
    <t>Cabenuva</t>
  </si>
  <si>
    <t>cabotegravir; rilpivirine (co-packaged)</t>
  </si>
  <si>
    <t>Verquvo</t>
  </si>
  <si>
    <t>vericiguat</t>
  </si>
  <si>
    <t>Gemtesa</t>
  </si>
  <si>
    <t>vibegron</t>
  </si>
  <si>
    <t>Dec 2020</t>
  </si>
  <si>
    <t>Ebanga</t>
  </si>
  <si>
    <t>ansuvimab-zykl</t>
  </si>
  <si>
    <t>Orgovyx</t>
  </si>
  <si>
    <t>relugolix</t>
  </si>
  <si>
    <t>Margenza</t>
  </si>
  <si>
    <t>margetuximab-cmkb</t>
  </si>
  <si>
    <t>Klisyri</t>
  </si>
  <si>
    <t>tirbanibulin</t>
  </si>
  <si>
    <t>Orladeyo</t>
  </si>
  <si>
    <t>berotralstat</t>
  </si>
  <si>
    <t>gallium Ga 68 PSMA-11</t>
  </si>
  <si>
    <t>Imcivree</t>
  </si>
  <si>
    <t>setmelanotide</t>
  </si>
  <si>
    <t>Nov 2020</t>
  </si>
  <si>
    <t>Danyelza</t>
  </si>
  <si>
    <t>naxitamab-gqgk</t>
  </si>
  <si>
    <t>Oxlumo</t>
  </si>
  <si>
    <t>lumasiran</t>
  </si>
  <si>
    <t>Zokinvy</t>
  </si>
  <si>
    <t>lonafarnib</t>
  </si>
  <si>
    <t>Veklury</t>
  </si>
  <si>
    <t>remdesivir</t>
  </si>
  <si>
    <t>Oct 2020</t>
  </si>
  <si>
    <t>Inmazeb</t>
  </si>
  <si>
    <t>atoltivimab, maftivimab, and odesivimab-ebgn</t>
  </si>
  <si>
    <t>Gavreto</t>
  </si>
  <si>
    <t>pralsetinib</t>
  </si>
  <si>
    <t>Sep 2020</t>
  </si>
  <si>
    <t>Detectnet</t>
  </si>
  <si>
    <t>copper Cu 64 dotatate</t>
  </si>
  <si>
    <t>Sogroya</t>
  </si>
  <si>
    <t>somapacitan-beco</t>
  </si>
  <si>
    <t>Aug 2020</t>
  </si>
  <si>
    <t>Winlevi</t>
  </si>
  <si>
    <t>clascoterone</t>
  </si>
  <si>
    <t>Enspryng</t>
  </si>
  <si>
    <t>satralizumab-mwge</t>
  </si>
  <si>
    <t>Viltepso</t>
  </si>
  <si>
    <t>viltolarsen</t>
  </si>
  <si>
    <t>Olinvyk</t>
  </si>
  <si>
    <t>oliceridine</t>
  </si>
  <si>
    <t>Evrysdi</t>
  </si>
  <si>
    <t>risdiplam</t>
  </si>
  <si>
    <t>Lampit</t>
  </si>
  <si>
    <t>nifurtimox</t>
  </si>
  <si>
    <t>Blenrep</t>
  </si>
  <si>
    <t>belantamab mafodotin-blmf</t>
  </si>
  <si>
    <t>Monjuvi</t>
  </si>
  <si>
    <t>tafasitamab-cxix</t>
  </si>
  <si>
    <t>Jul 2020</t>
  </si>
  <si>
    <t>Xeglyze</t>
  </si>
  <si>
    <t>abametapir</t>
  </si>
  <si>
    <t>Inqovi</t>
  </si>
  <si>
    <t>decitabine and cedazuridine</t>
  </si>
  <si>
    <t>Rukobia</t>
  </si>
  <si>
    <t>fostemsavir</t>
  </si>
  <si>
    <t>Byfavo</t>
  </si>
  <si>
    <t>remimazolam</t>
  </si>
  <si>
    <t>Dojolvi</t>
  </si>
  <si>
    <t>triheptanoin</t>
  </si>
  <si>
    <t>Jun 2020</t>
  </si>
  <si>
    <t>Zepzelca</t>
  </si>
  <si>
    <t>lurbinectedin</t>
  </si>
  <si>
    <t>Uplizna</t>
  </si>
  <si>
    <t>inebilizumab-cdon</t>
  </si>
  <si>
    <t>Tauvid</t>
  </si>
  <si>
    <t>flortaucipir F 18</t>
  </si>
  <si>
    <t>May 2020</t>
  </si>
  <si>
    <t>artesunate</t>
  </si>
  <si>
    <t>Cerianna</t>
  </si>
  <si>
    <t>fluoroestradiol F 18</t>
  </si>
  <si>
    <t>Qinlock</t>
  </si>
  <si>
    <t>ripretinib</t>
  </si>
  <si>
    <t>Retevmo</t>
  </si>
  <si>
    <t>selpercatinib</t>
  </si>
  <si>
    <t>Tabrecta</t>
  </si>
  <si>
    <t>capmatinib</t>
  </si>
  <si>
    <t>Ongentys</t>
  </si>
  <si>
    <t>opicapone</t>
  </si>
  <si>
    <t>Apr 2020</t>
  </si>
  <si>
    <t>Trodelvy</t>
  </si>
  <si>
    <t>sacituzumab govitecan-hziy</t>
  </si>
  <si>
    <t>Pemazyre</t>
  </si>
  <si>
    <t>pemigatinib</t>
  </si>
  <si>
    <t>Tukysa</t>
  </si>
  <si>
    <t>tucatinib</t>
  </si>
  <si>
    <t>Koselugo</t>
  </si>
  <si>
    <t>selumetinib</t>
  </si>
  <si>
    <t>Zeposia</t>
  </si>
  <si>
    <t>ozanimod</t>
  </si>
  <si>
    <t>Mar 2020</t>
  </si>
  <si>
    <t>Isturisa</t>
  </si>
  <si>
    <t>osilodrostat</t>
  </si>
  <si>
    <t>Sarclisa</t>
  </si>
  <si>
    <t>isatuximab-irfc</t>
  </si>
  <si>
    <t>Nurtec ODT</t>
  </si>
  <si>
    <t>rimegepant</t>
  </si>
  <si>
    <t>Feb 2020</t>
  </si>
  <si>
    <t>Barhemsys</t>
  </si>
  <si>
    <t>amisulpride</t>
  </si>
  <si>
    <t>Nexletol</t>
  </si>
  <si>
    <t>bempedoic acid</t>
  </si>
  <si>
    <t>Vyepti</t>
  </si>
  <si>
    <t>eptinezumab-jjmr</t>
  </si>
  <si>
    <t>Pizensy</t>
  </si>
  <si>
    <t>lactitol</t>
  </si>
  <si>
    <t>Tazverik</t>
  </si>
  <si>
    <t>tazemetostat</t>
  </si>
  <si>
    <t>Jan 2020</t>
  </si>
  <si>
    <t>Tepezza</t>
  </si>
  <si>
    <t>teprotumumab-trbw</t>
  </si>
  <si>
    <t>Ayvakit</t>
  </si>
  <si>
    <t>avapritinib</t>
  </si>
  <si>
    <t>Ubrelvy</t>
  </si>
  <si>
    <t>ubrogepant</t>
  </si>
  <si>
    <t>Dec 2019</t>
  </si>
  <si>
    <t>Caplyta</t>
  </si>
  <si>
    <t>lumateperone</t>
  </si>
  <si>
    <t>Enhertu</t>
  </si>
  <si>
    <t>fam-trastuzumab deruxtecan-nxki</t>
  </si>
  <si>
    <t>TissueBlue</t>
  </si>
  <si>
    <t>Brilliant Blue G</t>
  </si>
  <si>
    <t>Dayvigo</t>
  </si>
  <si>
    <t>lemborexant</t>
  </si>
  <si>
    <t>Padcev</t>
  </si>
  <si>
    <t>enfortumab vedotin-ejfv</t>
  </si>
  <si>
    <t>Vyondys 53</t>
  </si>
  <si>
    <t>golodirsen</t>
  </si>
  <si>
    <t>Oxbryta</t>
  </si>
  <si>
    <t>voxelotor</t>
  </si>
  <si>
    <t>Nov 2019</t>
  </si>
  <si>
    <t>Xcopri</t>
  </si>
  <si>
    <t>cenobamate</t>
  </si>
  <si>
    <t>Givlaari</t>
  </si>
  <si>
    <t>givosiran</t>
  </si>
  <si>
    <t>Adakveo</t>
  </si>
  <si>
    <t>crizanlizumab-tmca</t>
  </si>
  <si>
    <t>Brukinsa</t>
  </si>
  <si>
    <t>zanubrutinib</t>
  </si>
  <si>
    <t>Fetroja</t>
  </si>
  <si>
    <t>cefiderocol</t>
  </si>
  <si>
    <t>Reblozyl</t>
  </si>
  <si>
    <t>luspatercept-aamt</t>
  </si>
  <si>
    <t>ExEm Foam</t>
  </si>
  <si>
    <t>air polymer-type A</t>
  </si>
  <si>
    <t>Trikafta</t>
  </si>
  <si>
    <t>elexacaftor, ivacaftor, tezacaftor; ivacaftor (co-packaged)</t>
  </si>
  <si>
    <t>Oct 2019</t>
  </si>
  <si>
    <t>Reyvow</t>
  </si>
  <si>
    <t>lasmiditan</t>
  </si>
  <si>
    <t>fluorodopa F 18</t>
  </si>
  <si>
    <t>Scenesse</t>
  </si>
  <si>
    <t>afamelanotide</t>
  </si>
  <si>
    <t>Beovu</t>
  </si>
  <si>
    <t>brolucizumab-dbll</t>
  </si>
  <si>
    <t>Aklief</t>
  </si>
  <si>
    <t>trifarotene</t>
  </si>
  <si>
    <t>Ibsrela</t>
  </si>
  <si>
    <t>tenapanor</t>
  </si>
  <si>
    <t>Sep 2019</t>
  </si>
  <si>
    <t>Nourianz</t>
  </si>
  <si>
    <t>istradefylline</t>
  </si>
  <si>
    <t>Aug 2019</t>
  </si>
  <si>
    <t>Ga 68 DOTATOC</t>
  </si>
  <si>
    <t>Xenleta</t>
  </si>
  <si>
    <t>lefamulin</t>
  </si>
  <si>
    <t>Rinvoq</t>
  </si>
  <si>
    <t>upadacitinib</t>
  </si>
  <si>
    <t>Inrebic</t>
  </si>
  <si>
    <t>fedratinib</t>
  </si>
  <si>
    <t>Rozlytrek</t>
  </si>
  <si>
    <t>entrectinib</t>
  </si>
  <si>
    <t>pretomanid</t>
  </si>
  <si>
    <t>Wakix</t>
  </si>
  <si>
    <t>pitolisant</t>
  </si>
  <si>
    <t>Turalio</t>
  </si>
  <si>
    <t>pexidartinib</t>
  </si>
  <si>
    <t>Nubeqa</t>
  </si>
  <si>
    <t>darolutamide</t>
  </si>
  <si>
    <t>Jul 2019</t>
  </si>
  <si>
    <t>Accrufer</t>
  </si>
  <si>
    <t>ferric maltol</t>
  </si>
  <si>
    <t>Recarbrio</t>
  </si>
  <si>
    <t>imipenem, cilastatin, and relebactam</t>
  </si>
  <si>
    <t>Xpovio</t>
  </si>
  <si>
    <t>selinexor</t>
  </si>
  <si>
    <t>Vyleesi</t>
  </si>
  <si>
    <t>bremelanotide</t>
  </si>
  <si>
    <t>Jun 2019</t>
  </si>
  <si>
    <t>Polivy</t>
  </si>
  <si>
    <t>polatuzumab vedotin-piiq</t>
  </si>
  <si>
    <t>Piqray</t>
  </si>
  <si>
    <t>alpelisib</t>
  </si>
  <si>
    <t>May 2019</t>
  </si>
  <si>
    <t>Vyndaqel</t>
  </si>
  <si>
    <t>tafamidis meglumine</t>
  </si>
  <si>
    <t>Skyrizi</t>
  </si>
  <si>
    <t>risankizumab-rzaa</t>
  </si>
  <si>
    <t>Apr 2019</t>
  </si>
  <si>
    <t>Balversa</t>
  </si>
  <si>
    <t>erdafitinib</t>
  </si>
  <si>
    <t>Evenity</t>
  </si>
  <si>
    <t>romosozumab-aqqg</t>
  </si>
  <si>
    <t>Mayzent</t>
  </si>
  <si>
    <t>siponimod</t>
  </si>
  <si>
    <t>Mar 2019</t>
  </si>
  <si>
    <t>Sunosi</t>
  </si>
  <si>
    <t>solriamfetol</t>
  </si>
  <si>
    <t>Zulresso</t>
  </si>
  <si>
    <t>brexanolone</t>
  </si>
  <si>
    <t>Egaten</t>
  </si>
  <si>
    <t>triclabendazole</t>
  </si>
  <si>
    <t>Feb 2019</t>
  </si>
  <si>
    <t>Cablivi</t>
  </si>
  <si>
    <t>caplacizumab-yhdp</t>
  </si>
  <si>
    <t>Jeuveau</t>
  </si>
  <si>
    <t>prabotulinumtoxinA-xvfs</t>
  </si>
  <si>
    <t>Elzonris</t>
  </si>
  <si>
    <t>tagraxofusp-erzs</t>
  </si>
  <si>
    <t>Dec 2018</t>
  </si>
  <si>
    <t>Ultomiris</t>
  </si>
  <si>
    <t>ravulizumab-cwvz</t>
  </si>
  <si>
    <t>Asparlas</t>
  </si>
  <si>
    <t>calaspargase pegol-mknl</t>
  </si>
  <si>
    <t>Motegrity</t>
  </si>
  <si>
    <t>prucalopride</t>
  </si>
  <si>
    <t>Xospata</t>
  </si>
  <si>
    <t>gilteritinib</t>
  </si>
  <si>
    <t>Nov 2018</t>
  </si>
  <si>
    <t>Firdapse</t>
  </si>
  <si>
    <t>amifampridine</t>
  </si>
  <si>
    <t>Vitrakvi</t>
  </si>
  <si>
    <t>larotrectinib</t>
  </si>
  <si>
    <t>Daurismo</t>
  </si>
  <si>
    <t>glasdegib</t>
  </si>
  <si>
    <t>Gamifant</t>
  </si>
  <si>
    <t>emapalumab-lzsg</t>
  </si>
  <si>
    <t>Aemcolo</t>
  </si>
  <si>
    <t>rifamycin</t>
  </si>
  <si>
    <t>Yupelri</t>
  </si>
  <si>
    <t>revefenacin</t>
  </si>
  <si>
    <t>Lorbrena</t>
  </si>
  <si>
    <t>lorlatinib</t>
  </si>
  <si>
    <t>Xofluza</t>
  </si>
  <si>
    <t>baloxavir marboxil</t>
  </si>
  <si>
    <t>Oct 2018</t>
  </si>
  <si>
    <t>Talzenna</t>
  </si>
  <si>
    <t>talazoparib</t>
  </si>
  <si>
    <t>Revcovi</t>
  </si>
  <si>
    <t>elapegademase-lvlr</t>
  </si>
  <si>
    <t>Tegsedi</t>
  </si>
  <si>
    <t>inotersen</t>
  </si>
  <si>
    <t>Nuzyra</t>
  </si>
  <si>
    <t>omadacycline</t>
  </si>
  <si>
    <t>Seysara</t>
  </si>
  <si>
    <t>sarecycline</t>
  </si>
  <si>
    <t>Libtayo</t>
  </si>
  <si>
    <t>cemiplimab-rwlc</t>
  </si>
  <si>
    <t>Sep 2018</t>
  </si>
  <si>
    <t>Vizimpro</t>
  </si>
  <si>
    <t>dacomitinib</t>
  </si>
  <si>
    <t>Emgality</t>
  </si>
  <si>
    <t>galcanezumab-gnlm</t>
  </si>
  <si>
    <t>Copiktra</t>
  </si>
  <si>
    <t>duvelisib</t>
  </si>
  <si>
    <t>Ajovy</t>
  </si>
  <si>
    <t>fremanezumab-vfrm</t>
  </si>
  <si>
    <t>Lumoxiti</t>
  </si>
  <si>
    <t>moxetumomab pasudotox-tdfk</t>
  </si>
  <si>
    <t>Pifeltro</t>
  </si>
  <si>
    <t>doravirine</t>
  </si>
  <si>
    <t>Aug 2018</t>
  </si>
  <si>
    <t>Xerava</t>
  </si>
  <si>
    <t>eravacycline</t>
  </si>
  <si>
    <t>Takhzyro</t>
  </si>
  <si>
    <t>lanadelumab-flyo</t>
  </si>
  <si>
    <t>Oxervate</t>
  </si>
  <si>
    <t>cenegermin-bkbj</t>
  </si>
  <si>
    <t>Diacomit</t>
  </si>
  <si>
    <t>stiripentol</t>
  </si>
  <si>
    <t>Galafold</t>
  </si>
  <si>
    <t>migalastat</t>
  </si>
  <si>
    <t>Annovera</t>
  </si>
  <si>
    <t>segesterone acetate, ethinyl estradiol</t>
  </si>
  <si>
    <t>Onpattro</t>
  </si>
  <si>
    <t>patisiran</t>
  </si>
  <si>
    <t>Poteligeo</t>
  </si>
  <si>
    <t>mogamulizumab-kpkc</t>
  </si>
  <si>
    <t>Mulpleta</t>
  </si>
  <si>
    <t>lusutrombopag</t>
  </si>
  <si>
    <t>Jul 2018</t>
  </si>
  <si>
    <t>Omegaven</t>
  </si>
  <si>
    <t>fish oil triglycerides</t>
  </si>
  <si>
    <t>Orilissa</t>
  </si>
  <si>
    <t>elagolix</t>
  </si>
  <si>
    <t>Tibsovo</t>
  </si>
  <si>
    <t>ivosidenib</t>
  </si>
  <si>
    <t>Krintafel</t>
  </si>
  <si>
    <t>tafenoquine</t>
  </si>
  <si>
    <t>Tpoxx</t>
  </si>
  <si>
    <t>tecovirimat</t>
  </si>
  <si>
    <t>Mektovi</t>
  </si>
  <si>
    <t>binimetinib</t>
  </si>
  <si>
    <t>Jun 2018</t>
  </si>
  <si>
    <t>Braftovi</t>
  </si>
  <si>
    <t>encorafenib</t>
  </si>
  <si>
    <t>Epidiolex</t>
  </si>
  <si>
    <t>cannabidiol</t>
  </si>
  <si>
    <t>Zemdri</t>
  </si>
  <si>
    <t>plazomicin</t>
  </si>
  <si>
    <t>moxidectin</t>
  </si>
  <si>
    <t>Olumiant</t>
  </si>
  <si>
    <t>baricitinib</t>
  </si>
  <si>
    <t>May 2018</t>
  </si>
  <si>
    <t>Palynziq</t>
  </si>
  <si>
    <t>pegvaliase-pqpz</t>
  </si>
  <si>
    <t>Doptelet</t>
  </si>
  <si>
    <t>avatrombopag</t>
  </si>
  <si>
    <t>Lokelma</t>
  </si>
  <si>
    <t>sodium zirconium cyclosilicate</t>
  </si>
  <si>
    <t>Aimovig</t>
  </si>
  <si>
    <t>erenumab-aooe</t>
  </si>
  <si>
    <t>Lucemyra</t>
  </si>
  <si>
    <t>lofexidine</t>
  </si>
  <si>
    <t>Akynzeo</t>
  </si>
  <si>
    <t>fosnetupitant and palonosetron</t>
  </si>
  <si>
    <t>Apr 2018</t>
  </si>
  <si>
    <t>Crysvita</t>
  </si>
  <si>
    <t>burosumab-twza</t>
  </si>
  <si>
    <t>Tavalisse</t>
  </si>
  <si>
    <t>fostamatinib disodium hexahydrate</t>
  </si>
  <si>
    <t>Ilumya</t>
  </si>
  <si>
    <t>tildrakizumab-asmn</t>
  </si>
  <si>
    <t>Mar 2018</t>
  </si>
  <si>
    <t>Trogarzo</t>
  </si>
  <si>
    <t>ibalizumab-uiyk</t>
  </si>
  <si>
    <t>Erleada</t>
  </si>
  <si>
    <t>apalutamide</t>
  </si>
  <si>
    <t>Feb 2018</t>
  </si>
  <si>
    <t>Symdeko</t>
  </si>
  <si>
    <t>tezacaftor, ivacaftor; ivacaftor (co-packaged)</t>
  </si>
  <si>
    <t>Biktarvy</t>
  </si>
  <si>
    <t>bictegravir, emtricitabine, tenofovir alafenamide</t>
  </si>
  <si>
    <t>Lutathera</t>
  </si>
  <si>
    <t>lutetium Lu 177 dotatate</t>
  </si>
  <si>
    <t>Jan 2018</t>
  </si>
  <si>
    <t>Giapreza</t>
  </si>
  <si>
    <t>angiotensin II</t>
  </si>
  <si>
    <t>Dec 2017</t>
  </si>
  <si>
    <t>Macrilen</t>
  </si>
  <si>
    <t>macimorelin</t>
  </si>
  <si>
    <t>Steglatro</t>
  </si>
  <si>
    <t>ertugliflozin</t>
  </si>
  <si>
    <t>Rhopressa</t>
  </si>
  <si>
    <t>netarsudil</t>
  </si>
  <si>
    <t>Xepi</t>
  </si>
  <si>
    <t>ozenoxacin</t>
  </si>
  <si>
    <t>Ozempic</t>
  </si>
  <si>
    <t>semaglutide</t>
  </si>
  <si>
    <t>Hemlibra</t>
  </si>
  <si>
    <t>emicizumab-kxwh</t>
  </si>
  <si>
    <t>Nov 2017</t>
  </si>
  <si>
    <t>Mepsevii</t>
  </si>
  <si>
    <t>vestronidase alfa-vjbk</t>
  </si>
  <si>
    <t>Fasenra</t>
  </si>
  <si>
    <t>benralizumab</t>
  </si>
  <si>
    <t>Prevymis</t>
  </si>
  <si>
    <t>letermovir</t>
  </si>
  <si>
    <t>Vyzulta</t>
  </si>
  <si>
    <t>latanoprostene bunod</t>
  </si>
  <si>
    <t>Calquence</t>
  </si>
  <si>
    <t>acalabrutinib</t>
  </si>
  <si>
    <t>Oct 2017</t>
  </si>
  <si>
    <t>Verzenio</t>
  </si>
  <si>
    <t>abemaciclib</t>
  </si>
  <si>
    <t>Sep 2017</t>
  </si>
  <si>
    <t>Solosec</t>
  </si>
  <si>
    <t>secnidazole</t>
  </si>
  <si>
    <t>Aliqopa</t>
  </si>
  <si>
    <t>copanlisib</t>
  </si>
  <si>
    <t>benznidazole</t>
  </si>
  <si>
    <t>Aug 2017</t>
  </si>
  <si>
    <t>Vabomere</t>
  </si>
  <si>
    <t>meropenem and vaborbactam</t>
  </si>
  <si>
    <t>Besponsa</t>
  </si>
  <si>
    <t>inotuzumab ozogamicin</t>
  </si>
  <si>
    <t>Mavyret</t>
  </si>
  <si>
    <t>glecaprevir, pibrentasvir</t>
  </si>
  <si>
    <t>Idhifa</t>
  </si>
  <si>
    <t>enasidenib</t>
  </si>
  <si>
    <t>Vosevi</t>
  </si>
  <si>
    <t>sofosbuvir, velpatasvir, voxilaprevir</t>
  </si>
  <si>
    <t>Jul 2017</t>
  </si>
  <si>
    <t>Nerlynx</t>
  </si>
  <si>
    <t>neratinib</t>
  </si>
  <si>
    <t>Tremfya</t>
  </si>
  <si>
    <t>guselkumab</t>
  </si>
  <si>
    <t>Bevyxxa</t>
  </si>
  <si>
    <t>betrixaban</t>
  </si>
  <si>
    <t>Jun 2017</t>
  </si>
  <si>
    <t>Baxdela</t>
  </si>
  <si>
    <t>delafloxacin</t>
  </si>
  <si>
    <t>Kevzara</t>
  </si>
  <si>
    <t>sarilumab</t>
  </si>
  <si>
    <t>May 2017</t>
  </si>
  <si>
    <t>Radicava</t>
  </si>
  <si>
    <t>edaravone</t>
  </si>
  <si>
    <t>Imfinzi</t>
  </si>
  <si>
    <t>durvalumab</t>
  </si>
  <si>
    <t>Alunbrig</t>
  </si>
  <si>
    <t>brigatinib</t>
  </si>
  <si>
    <t>Apr 2017</t>
  </si>
  <si>
    <t>Tymlos</t>
  </si>
  <si>
    <t>abaloparatide</t>
  </si>
  <si>
    <t>Rydapt</t>
  </si>
  <si>
    <t>midostaurin</t>
  </si>
  <si>
    <t>Brineura</t>
  </si>
  <si>
    <t>cerliponase alfa</t>
  </si>
  <si>
    <t>Ingrezza</t>
  </si>
  <si>
    <t>valbenazine</t>
  </si>
  <si>
    <t>Austedo</t>
  </si>
  <si>
    <t>deutetrabenazine</t>
  </si>
  <si>
    <t>Ocrevus</t>
  </si>
  <si>
    <t>ocrelizumab</t>
  </si>
  <si>
    <t>Mar 2017</t>
  </si>
  <si>
    <t>Dupixent</t>
  </si>
  <si>
    <t>dupilumab</t>
  </si>
  <si>
    <t>Zejula</t>
  </si>
  <si>
    <t>niraparib</t>
  </si>
  <si>
    <t>Bavencio</t>
  </si>
  <si>
    <t>avelumab</t>
  </si>
  <si>
    <t>Symproic</t>
  </si>
  <si>
    <t>naldemedine</t>
  </si>
  <si>
    <t>Xadago</t>
  </si>
  <si>
    <t>safinamide</t>
  </si>
  <si>
    <t>Kisqali</t>
  </si>
  <si>
    <t>ribociclib</t>
  </si>
  <si>
    <t>Xermelo</t>
  </si>
  <si>
    <t>telotristat ethyl</t>
  </si>
  <si>
    <t>Feb 2017</t>
  </si>
  <si>
    <t>Siliq</t>
  </si>
  <si>
    <t>brodalumab</t>
  </si>
  <si>
    <t>Emflaza</t>
  </si>
  <si>
    <t>deflazacort</t>
  </si>
  <si>
    <t>Parsabiv</t>
  </si>
  <si>
    <t>etelcalcetide</t>
  </si>
  <si>
    <t>Trulance</t>
  </si>
  <si>
    <t>plecanatide</t>
  </si>
  <si>
    <t>Jan 2017</t>
  </si>
  <si>
    <t>Spinraza</t>
  </si>
  <si>
    <t>nusinersen</t>
  </si>
  <si>
    <t>Dec 2016</t>
  </si>
  <si>
    <t>Rubraca</t>
  </si>
  <si>
    <t>rucaparib</t>
  </si>
  <si>
    <t>Eucrisa</t>
  </si>
  <si>
    <t>crisaborole</t>
  </si>
  <si>
    <t>MACIautologous cultured chondrocytes on porcine collagen membrane</t>
  </si>
  <si>
    <t>MACI™ is an autologous cellularized scaffold product indicated for the repair of symptomatic, single or multiple full-thickness cartilage defects of the knee with or without bone involvement in adults</t>
  </si>
  <si>
    <t>https://wayback.archive-it.org/7993/20180908105239/https://www.fda.gov/BiologicsBloodVaccines/DevelopmentApprovalProcess/BiologicalApprovalsbyYear/ucm482397.htm</t>
  </si>
  <si>
    <t>cobas® WNVWest Nile Virus Nucleic acid test for use in the cobas 6800/8800 Systems</t>
  </si>
  <si>
    <t>Nov 2016</t>
  </si>
  <si>
    <t>cobas® WNV is indicated for qualitative in vitro nucleic acid screening test for the direct detection of West Nile Virus (WNV) RNA in human plasma.</t>
  </si>
  <si>
    <t>Anti-Human Globulin Anti-IgG,-C3d; Polyspecific IH-Card AHG Anti-IgG,-C3dAnti-Human Globulin (Rabbit/Murine Monoclonal) (Formulated for Automated Testing)</t>
  </si>
  <si>
    <t>Oct 2016</t>
  </si>
  <si>
    <t>The Anti-Human Globulin (Rabbit/Murine Monoclonal) (Formulated for Automated Testing) is indicated for use in IH-Cards AHG Anti-IgG, -C3d product is detection of antibodies and complement on human red blood cells using Direct and Indirect Antiglobulin Tests on the IH Analyzer System.</t>
  </si>
  <si>
    <t>Zinplava</t>
  </si>
  <si>
    <t>bezlotoxumab</t>
  </si>
  <si>
    <t>IH-Card ABO D(DVI+)+Rev A1B;IH-Card ABO D(DVI-)+Rev A1B;IH-Card ABD(DVI-)-Conf;IH-Card ABO;IH-Card ABO RhD(DVI+);IH-Card ABD(DVI+)-ConfBlood Grouping Reagent, Anti-B (Murine Monoclonal) (IgG)(Formulated for Automated Testing)</t>
  </si>
  <si>
    <t>Blood Grouping Reagent, Anti-B (Murine Monoclonal) (IgG) (Formulated for Automated Testing) is intended for use in IH-Card BGR products.The IH-Card products are intended to be used on the IH-1000 Analyzer system for blood grouping and antigen typing of human red blood samples using the hemagglutination and gel filtration technique</t>
  </si>
  <si>
    <t>Cell Line:DEM1Blood Grouping Reagent, Anti-E (Human/Murine Monoclonal)(For Further Manufacturing Use)</t>
  </si>
  <si>
    <t>The Blood Grouping Reagents (For Further Manufacturing Use) are indicated for use in the manufacture of in vitro product Blood Grouping Reagents, Anti-E by Bio-Rad Medical Diagnostics (BMD) GmbH U.S. License No. 1845 under a shared manufacturing agreement for further manufacturing into final get card products for use on the IH-1000 System.</t>
  </si>
  <si>
    <t>Cell Line: ESD1MBlood Grouping Reagent, Anti-D (Human/Murine Heterohybridoma) (For Further Manufacturing Use)</t>
  </si>
  <si>
    <t>The Blood Grouping Reagents (For Further Manufacturing Use) are indicated for use in the manufacture of in vitro product Blood Grouping Reagents, Anti-D by Bio-Rad Medical Diagnostics (BMD) GmbH U.S. License No. 1845 under a shared manufacturing agreement for further manufacturing into final get card products for use on the IH-1000 System.</t>
  </si>
  <si>
    <t>IH-Anit-D (RH1) BlendBlood Grouping Reagent, Anti-D (Monoclonal Blend)(Formulated for Automated Testing)</t>
  </si>
  <si>
    <t>It is intended to be used with the IH-Card AHG Anti-IgG for testing weak and partial D antigens (including DVI) in Low Saline Solution (LISS)-Indirect Antiglobulin Test (IAT) on the IH-1000 Analyser System.</t>
  </si>
  <si>
    <t>cobas® MPXHIV-1 Group O and M, HIV-2, HCV and/or HBV (HIV-1/HIV-2/HCV/HBV/Multiplex Discriminatory NAT/pool testing)</t>
  </si>
  <si>
    <t>It’s indicated for qualitative in vitro nucleic acid test for the direct detection of HIV-1 Group M RNA, HIV-1 Group O RNA, HIV-2 RNA, HCV RNA, HBV DNA in human plasma and serum.</t>
  </si>
  <si>
    <t>Lartruvo</t>
  </si>
  <si>
    <t>olaratumab</t>
  </si>
  <si>
    <t>Exondys 51</t>
  </si>
  <si>
    <t>eteplirsen</t>
  </si>
  <si>
    <t>Sep 2016</t>
  </si>
  <si>
    <t>CUVITRUImmune Globulin Subcutaneous (Human), 20% Solution</t>
  </si>
  <si>
    <t>Replacement therapy for primary humoral immunodeficiency (PI) in adult and pediatric patients two years of age and older.</t>
  </si>
  <si>
    <t>CLEVECORDHPC, Cord Blood</t>
  </si>
  <si>
    <t>Use in unrelated donor hematopoietic progenitor cell transplantation procedures in conjunction with an appropriate preparative regimen for hematopoietic and immunologic reconstitution in patients with disorders affecting the hematopoietic system that are inherited, acquired, or result from myeloablative treatment. The risk benefit assessment for an individual patient depends on the patient characteristics, including disease, stage, risk factors, and specific manifestations of the disease, on characteristics of the graft, and on other available treatments or types of hematopoietic progenitor cells.</t>
  </si>
  <si>
    <t>Adlyxin</t>
  </si>
  <si>
    <t>lixisenatide</t>
  </si>
  <si>
    <t>Jul 2016</t>
  </si>
  <si>
    <t>Xiidra</t>
  </si>
  <si>
    <t>lifitegrast</t>
  </si>
  <si>
    <t>Epclusa</t>
  </si>
  <si>
    <t>sofosbuvir and velpatasvir</t>
  </si>
  <si>
    <t>Jun 2016</t>
  </si>
  <si>
    <t>VaxchoraCholera Vaccine Live Oral</t>
  </si>
  <si>
    <t>Active immunization against disease caused by Vibrio cholerae serogroup O1. Cholera Vaccine, Live, Oral is approved for use in adults 18 through 64 years of age traveling to cholera-affected areas.</t>
  </si>
  <si>
    <t>Netspot</t>
  </si>
  <si>
    <t>gallium Ga 68 dotatate</t>
  </si>
  <si>
    <t>Ocaliva</t>
  </si>
  <si>
    <t>obeticholic acid</t>
  </si>
  <si>
    <t>May 2016</t>
  </si>
  <si>
    <t>Zinbryta</t>
  </si>
  <si>
    <t>daclizumab</t>
  </si>
  <si>
    <t>Axumin</t>
  </si>
  <si>
    <t>fluciclovine F 18</t>
  </si>
  <si>
    <t>AFSTYLA;SolchaynAntihemophilic Factor (Recombinant), Single Chain</t>
  </si>
  <si>
    <t>Antihemophilic Factor (Recombinant), Single Chain is indicated in children and adults with hemophilia A (congenital Factor VIII deficiency) for: (1) on-demand treatment and control of bleeding episodes, (2) routine prophylaxis to reduce the frequency of bleeding episodes, and (3) perioperative management of bleeding.</t>
  </si>
  <si>
    <t>Tecentriq</t>
  </si>
  <si>
    <t>atezolizumab</t>
  </si>
  <si>
    <t>Nuplazid</t>
  </si>
  <si>
    <t>pimavanserin</t>
  </si>
  <si>
    <t>Apr 2016</t>
  </si>
  <si>
    <t>Venclexta</t>
  </si>
  <si>
    <t>venetoclax</t>
  </si>
  <si>
    <t>Defitelio</t>
  </si>
  <si>
    <t>defibrotide sodium</t>
  </si>
  <si>
    <t>Mar 2016</t>
  </si>
  <si>
    <t>Cinqair</t>
  </si>
  <si>
    <t>reslizumab</t>
  </si>
  <si>
    <t>Taltz</t>
  </si>
  <si>
    <t>ixekizumab</t>
  </si>
  <si>
    <t>Anthim</t>
  </si>
  <si>
    <t>obiltoxaximab</t>
  </si>
  <si>
    <t>KOVALTRYAntihemophilic Factor (Recombinant), Full Length</t>
  </si>
  <si>
    <t>Antihemophilic Factor (Recombinant) is indicated for use in adults and children with hemophilia A(congenital Factor VIII deficiency) for: (1) on-demand treatment and control of bleeding episodes; (2) perioperative management of bleeding; and (3) routine prophylaxis to reduce the frequency of bleeding episodes.</t>
  </si>
  <si>
    <t>IDELVIONCoagulation Factor IX (Recombinant), Albumin Fusion Protein</t>
  </si>
  <si>
    <t>Coagulation Factor IX (Recombinant), Albumin Fusion Protein is indicated for (1) control and prevention of bleeding in the perioperative setting, (2) control and prevention of bleeding episodes, and (3) routine prophylaxis to prevent or reduce the frequency of bleeding episodes.</t>
  </si>
  <si>
    <t>Briviact</t>
  </si>
  <si>
    <t>brivaracetam</t>
  </si>
  <si>
    <t>Feb 2016</t>
  </si>
  <si>
    <t>HPC, Cord Blood</t>
  </si>
  <si>
    <t>Jan 2016</t>
  </si>
  <si>
    <t>For use in unrelated donor hematopoietic progenitor cell transplantation procedures in conjunction with an appropriate preparative regimen for hematopoietic and immunologic reconstitution in patients with disorders affecting the hematopoietic system that are inherited, acquired, or result from myeloablative treatment.</t>
  </si>
  <si>
    <t>Zepatier</t>
  </si>
  <si>
    <t>elbasvir and grazoprevir</t>
  </si>
  <si>
    <t>Zurampic</t>
  </si>
  <si>
    <t>lesinurad</t>
  </si>
  <si>
    <t>Dec 2015</t>
  </si>
  <si>
    <t>Uptravi</t>
  </si>
  <si>
    <t>selexipag</t>
  </si>
  <si>
    <t>Bridion</t>
  </si>
  <si>
    <t>sugammadex</t>
  </si>
  <si>
    <t>Alecensa</t>
  </si>
  <si>
    <t>alectinib</t>
  </si>
  <si>
    <t>Kanuma</t>
  </si>
  <si>
    <t>sebelipase alfa</t>
  </si>
  <si>
    <t>Empliciti</t>
  </si>
  <si>
    <t>elotuzumab</t>
  </si>
  <si>
    <t>Nov 2015</t>
  </si>
  <si>
    <t>Portrazza</t>
  </si>
  <si>
    <t>necitumumab</t>
  </si>
  <si>
    <t>Ninlaro</t>
  </si>
  <si>
    <t>ixazomib</t>
  </si>
  <si>
    <t>Darzalex</t>
  </si>
  <si>
    <t>daratumumab</t>
  </si>
  <si>
    <t>Tagrisso</t>
  </si>
  <si>
    <t>osimertinib</t>
  </si>
  <si>
    <t>Cotellic</t>
  </si>
  <si>
    <t>cobimetinib</t>
  </si>
  <si>
    <t>Genvoya</t>
  </si>
  <si>
    <t>elvitegravir, cobicistat, emtricitabine, tenofovir alafenamide</t>
  </si>
  <si>
    <t>Nucala</t>
  </si>
  <si>
    <t>mepolizumab</t>
  </si>
  <si>
    <t>Yondelis</t>
  </si>
  <si>
    <t>trabectedin</t>
  </si>
  <si>
    <t>Oct 2015</t>
  </si>
  <si>
    <t>Strensiq</t>
  </si>
  <si>
    <t>asfotase alfa</t>
  </si>
  <si>
    <t>Veltassa</t>
  </si>
  <si>
    <t>patiromer</t>
  </si>
  <si>
    <t>Praxbind</t>
  </si>
  <si>
    <t>idarucizumab</t>
  </si>
  <si>
    <t>Aristada</t>
  </si>
  <si>
    <t>aripiprazole lauroxil</t>
  </si>
  <si>
    <t>Tresiba</t>
  </si>
  <si>
    <t>insulin degludec</t>
  </si>
  <si>
    <t>Sep 2015</t>
  </si>
  <si>
    <t>Lonsurf</t>
  </si>
  <si>
    <t>trifluridine and tipiracil</t>
  </si>
  <si>
    <t>Vraylar</t>
  </si>
  <si>
    <t>cariprazine</t>
  </si>
  <si>
    <t>Xuriden</t>
  </si>
  <si>
    <t>uridine triacetate</t>
  </si>
  <si>
    <t>Varubi</t>
  </si>
  <si>
    <t>rolapitant</t>
  </si>
  <si>
    <t>Repatha</t>
  </si>
  <si>
    <t>evolocumab</t>
  </si>
  <si>
    <t>Aug 2015</t>
  </si>
  <si>
    <t>Addyi</t>
  </si>
  <si>
    <t>flibanserin</t>
  </si>
  <si>
    <t>Praluent</t>
  </si>
  <si>
    <t>alirocumab</t>
  </si>
  <si>
    <t>Jul 2015</t>
  </si>
  <si>
    <t>Odomzo</t>
  </si>
  <si>
    <t>sonidegib</t>
  </si>
  <si>
    <t>Daklinza</t>
  </si>
  <si>
    <t>daclatasvir</t>
  </si>
  <si>
    <t>Rexulti</t>
  </si>
  <si>
    <t>brexpiprazole</t>
  </si>
  <si>
    <t>Entresto</t>
  </si>
  <si>
    <t>sacubitril, valsartan</t>
  </si>
  <si>
    <t>Orkambi</t>
  </si>
  <si>
    <t>lumacaftor, ivacaftor</t>
  </si>
  <si>
    <t>Kengreal</t>
  </si>
  <si>
    <t>cangrelor</t>
  </si>
  <si>
    <t>Jun 2015</t>
  </si>
  <si>
    <t>Viberzi</t>
  </si>
  <si>
    <t>eluxadoline</t>
  </si>
  <si>
    <t>May 2015</t>
  </si>
  <si>
    <t>Kybella</t>
  </si>
  <si>
    <t>deoxycholic acid</t>
  </si>
  <si>
    <t>Apr 2015</t>
  </si>
  <si>
    <t>Corlanor</t>
  </si>
  <si>
    <t>ivabradine</t>
  </si>
  <si>
    <t>Cholbam</t>
  </si>
  <si>
    <t>cholic acid</t>
  </si>
  <si>
    <t>Mar 2015</t>
  </si>
  <si>
    <t>Unituxin</t>
  </si>
  <si>
    <t>dinutuximab</t>
  </si>
  <si>
    <t>Cresemba</t>
  </si>
  <si>
    <t>isavuconazonium sulfate</t>
  </si>
  <si>
    <t>Avycaz</t>
  </si>
  <si>
    <t>ceftazidime and avibactam</t>
  </si>
  <si>
    <t>Feb 2015</t>
  </si>
  <si>
    <t>Farydak</t>
  </si>
  <si>
    <t>panobinostat</t>
  </si>
  <si>
    <t>Lenvima</t>
  </si>
  <si>
    <t>lenvatinib</t>
  </si>
  <si>
    <t>Ibrance</t>
  </si>
  <si>
    <t>palbociclib</t>
  </si>
  <si>
    <t>Natpara</t>
  </si>
  <si>
    <t>parathyroid hormone</t>
  </si>
  <si>
    <t>Jan 2015</t>
  </si>
  <si>
    <t>Cosentyx</t>
  </si>
  <si>
    <t>secukinumab</t>
  </si>
  <si>
    <t>Savaysa</t>
  </si>
  <si>
    <t>edoxaban tosylate</t>
  </si>
  <si>
    <t>Opdivo</t>
  </si>
  <si>
    <t>nivolumab</t>
  </si>
  <si>
    <t>Dec 2014</t>
  </si>
  <si>
    <t>Rapivab</t>
  </si>
  <si>
    <t>peramivir</t>
  </si>
  <si>
    <t>Lynparza</t>
  </si>
  <si>
    <t>olaparib</t>
  </si>
  <si>
    <t>Zerbaxa</t>
  </si>
  <si>
    <t>ceftolozane, tazobactam</t>
  </si>
  <si>
    <t>Viekira Pak</t>
  </si>
  <si>
    <t>ombitasvir, paritaprevir, ritonavir; dasabuvir (co-packaged)</t>
  </si>
  <si>
    <t>Xtoro</t>
  </si>
  <si>
    <t>finafloxacin</t>
  </si>
  <si>
    <t>Blincyto</t>
  </si>
  <si>
    <t>blinatumomab</t>
  </si>
  <si>
    <t>Ofev</t>
  </si>
  <si>
    <t>nintedanib</t>
  </si>
  <si>
    <t>Oct 2014</t>
  </si>
  <si>
    <t>Esbriet</t>
  </si>
  <si>
    <t>pirfenidone</t>
  </si>
  <si>
    <t>netupitant, palonosetron</t>
  </si>
  <si>
    <t>Harvoni</t>
  </si>
  <si>
    <t>ledipasvir, sofosbuvir</t>
  </si>
  <si>
    <t>Lumason</t>
  </si>
  <si>
    <t>sulfur hexafluoride lipid-type A microspheres</t>
  </si>
  <si>
    <t>Trulicity</t>
  </si>
  <si>
    <t>dulaglutide</t>
  </si>
  <si>
    <t>Sep 2014</t>
  </si>
  <si>
    <t>Movantik</t>
  </si>
  <si>
    <t>naloxegol</t>
  </si>
  <si>
    <t>Keytruda</t>
  </si>
  <si>
    <t>pembrolizumab</t>
  </si>
  <si>
    <t>Cerdelga</t>
  </si>
  <si>
    <t>eliglustat</t>
  </si>
  <si>
    <t>Aug 2014</t>
  </si>
  <si>
    <t>Plegridy</t>
  </si>
  <si>
    <t>peginterferon beta-1a</t>
  </si>
  <si>
    <t>Belsomra</t>
  </si>
  <si>
    <t>suvorexant</t>
  </si>
  <si>
    <t>Orbactiv</t>
  </si>
  <si>
    <t>oritavancin diphosphate</t>
  </si>
  <si>
    <t>Jardiance</t>
  </si>
  <si>
    <t>empagliflozin</t>
  </si>
  <si>
    <t>Striverdi Respimat</t>
  </si>
  <si>
    <t>olodaterol</t>
  </si>
  <si>
    <t>Jul 2014</t>
  </si>
  <si>
    <t>Zydelig</t>
  </si>
  <si>
    <t>idelalisib</t>
  </si>
  <si>
    <t>Kerydin</t>
  </si>
  <si>
    <t>tavaborole</t>
  </si>
  <si>
    <t>Beleodaq</t>
  </si>
  <si>
    <t>belinostat</t>
  </si>
  <si>
    <t>Sivextro</t>
  </si>
  <si>
    <t>tedizolid phosphate</t>
  </si>
  <si>
    <t>Jun 2014</t>
  </si>
  <si>
    <t>Jublia</t>
  </si>
  <si>
    <t>efinaconazole</t>
  </si>
  <si>
    <t>Dalvance</t>
  </si>
  <si>
    <t>dalbavancin</t>
  </si>
  <si>
    <t>May 2014</t>
  </si>
  <si>
    <t>Entyvio</t>
  </si>
  <si>
    <t>vedolizumab</t>
  </si>
  <si>
    <t>Zontivity</t>
  </si>
  <si>
    <t>vorapaxar</t>
  </si>
  <si>
    <t>Zykadia</t>
  </si>
  <si>
    <t>ceritinib</t>
  </si>
  <si>
    <t>Apr 2014</t>
  </si>
  <si>
    <t>Sylvant</t>
  </si>
  <si>
    <t>siltuximab</t>
  </si>
  <si>
    <t>Cyramza</t>
  </si>
  <si>
    <t>ramucirumab</t>
  </si>
  <si>
    <t>Tanzeum</t>
  </si>
  <si>
    <t>albiglutide</t>
  </si>
  <si>
    <t>Otezla</t>
  </si>
  <si>
    <t>apremilast</t>
  </si>
  <si>
    <t>Mar 2014</t>
  </si>
  <si>
    <t>Neuraceq</t>
  </si>
  <si>
    <t>florbetaben F 18</t>
  </si>
  <si>
    <t>Impavido</t>
  </si>
  <si>
    <t>miltefosine</t>
  </si>
  <si>
    <t>Myalept</t>
  </si>
  <si>
    <t>metreleptin</t>
  </si>
  <si>
    <t>Feb 2014</t>
  </si>
  <si>
    <t>Northera</t>
  </si>
  <si>
    <t>droxidopa</t>
  </si>
  <si>
    <t>Vimizim</t>
  </si>
  <si>
    <t>elosulfase alfa</t>
  </si>
  <si>
    <t>Hetlioz</t>
  </si>
  <si>
    <t>tasimelteon</t>
  </si>
  <si>
    <t>Jan 2014</t>
  </si>
  <si>
    <t>Farxiga</t>
  </si>
  <si>
    <t>dapagliflozin</t>
  </si>
  <si>
    <t>Anoro Ellipta</t>
  </si>
  <si>
    <t>umeclidinium, vilanterol</t>
  </si>
  <si>
    <t>Dec 2013</t>
  </si>
  <si>
    <t>Sovaldi</t>
  </si>
  <si>
    <t>sofosbuvir</t>
  </si>
  <si>
    <t>Olysio</t>
  </si>
  <si>
    <t>simeprevir</t>
  </si>
  <si>
    <t>Nov 2013</t>
  </si>
  <si>
    <t>Luzu</t>
  </si>
  <si>
    <t>luliconazole</t>
  </si>
  <si>
    <t>Imbruvica</t>
  </si>
  <si>
    <t>ibrutinib</t>
  </si>
  <si>
    <t>Aptiom</t>
  </si>
  <si>
    <t>eslicarbazepine acetate</t>
  </si>
  <si>
    <t>Gazyva</t>
  </si>
  <si>
    <t>obinutuzumab</t>
  </si>
  <si>
    <t>Vizamyl</t>
  </si>
  <si>
    <t>flutemetamol F 18</t>
  </si>
  <si>
    <t>Oct 2013</t>
  </si>
  <si>
    <t>Opsumit</t>
  </si>
  <si>
    <t>macitentan</t>
  </si>
  <si>
    <t>Adempas</t>
  </si>
  <si>
    <t>riociguat</t>
  </si>
  <si>
    <t>Duavee</t>
  </si>
  <si>
    <t>conjugated estrogens and bazedoxifene</t>
  </si>
  <si>
    <t>Brintellix</t>
  </si>
  <si>
    <t>vortioxetine</t>
  </si>
  <si>
    <t>Sep 2013</t>
  </si>
  <si>
    <t>Tivicay</t>
  </si>
  <si>
    <t>dolutegravir</t>
  </si>
  <si>
    <t>Aug 2013</t>
  </si>
  <si>
    <t>Gilotrif</t>
  </si>
  <si>
    <t>afatinib</t>
  </si>
  <si>
    <t>Jul 2013</t>
  </si>
  <si>
    <t>Mekinist</t>
  </si>
  <si>
    <t>trametinib</t>
  </si>
  <si>
    <t>May 2013</t>
  </si>
  <si>
    <t>Tafinlar</t>
  </si>
  <si>
    <t>dabrafenib</t>
  </si>
  <si>
    <t>Xofigo</t>
  </si>
  <si>
    <t>radium Ra 223 dichloride</t>
  </si>
  <si>
    <t>Breo Ellipta</t>
  </si>
  <si>
    <t>fluticasone furoate and vilanterol</t>
  </si>
  <si>
    <t>Invokana</t>
  </si>
  <si>
    <t>canagliflozin</t>
  </si>
  <si>
    <t>Mar 2013</t>
  </si>
  <si>
    <t>Tecfidera</t>
  </si>
  <si>
    <t>dimethyl fumarate</t>
  </si>
  <si>
    <t>Dotarem</t>
  </si>
  <si>
    <t>gadoterate meglumine</t>
  </si>
  <si>
    <t>Lymphoseek</t>
  </si>
  <si>
    <t>technetium Tc 99m tilmanocept</t>
  </si>
  <si>
    <t>Osphena</t>
  </si>
  <si>
    <t>ospemifene</t>
  </si>
  <si>
    <t>Feb 2013</t>
  </si>
  <si>
    <t>Kadcyla</t>
  </si>
  <si>
    <t>ado-trastuzumab emtansine</t>
  </si>
  <si>
    <t>Pomalyst</t>
  </si>
  <si>
    <t>pomalidomide</t>
  </si>
  <si>
    <t>Kynamro</t>
  </si>
  <si>
    <t>mipomersen sodium</t>
  </si>
  <si>
    <t>Jan 2013</t>
  </si>
  <si>
    <t>Nesina</t>
  </si>
  <si>
    <t>alogliptin</t>
  </si>
  <si>
    <t>Fulyzaq</t>
  </si>
  <si>
    <t>crofelemer</t>
  </si>
  <si>
    <t>Dec 2012</t>
  </si>
  <si>
    <t>Sirturo</t>
  </si>
  <si>
    <t>bedaquiline</t>
  </si>
  <si>
    <t>Eliquis</t>
  </si>
  <si>
    <t>apixaban</t>
  </si>
  <si>
    <t>Juxtapid</t>
  </si>
  <si>
    <t>lomitapide</t>
  </si>
  <si>
    <t>Gattex</t>
  </si>
  <si>
    <t>teduglutide (rDNA origin)</t>
  </si>
  <si>
    <t>Iclusig</t>
  </si>
  <si>
    <t>ponatinib</t>
  </si>
  <si>
    <t>Signifor</t>
  </si>
  <si>
    <t>pasireotide</t>
  </si>
  <si>
    <t>raxibacumab</t>
  </si>
  <si>
    <t>Cometriq</t>
  </si>
  <si>
    <t>cabozantinib</t>
  </si>
  <si>
    <t>Nov 2012</t>
  </si>
  <si>
    <t>Xeljanz</t>
  </si>
  <si>
    <t>tofacitinib</t>
  </si>
  <si>
    <t>Synribo</t>
  </si>
  <si>
    <t>omacetaxine mepesuccinate</t>
  </si>
  <si>
    <t>Oct 2012</t>
  </si>
  <si>
    <t>Fycompa</t>
  </si>
  <si>
    <t>perampanel</t>
  </si>
  <si>
    <t>Jetrea</t>
  </si>
  <si>
    <t>ocriplasmin</t>
  </si>
  <si>
    <t>Stivarga</t>
  </si>
  <si>
    <t>regorafenib</t>
  </si>
  <si>
    <t>Sep 2012</t>
  </si>
  <si>
    <t>choline C 11</t>
  </si>
  <si>
    <t>Aubagio</t>
  </si>
  <si>
    <t>teriflunomide</t>
  </si>
  <si>
    <t>Bosulif</t>
  </si>
  <si>
    <t>bosutinib</t>
  </si>
  <si>
    <t>Xtandi</t>
  </si>
  <si>
    <t>enzalutamide</t>
  </si>
  <si>
    <t>Aug 2012</t>
  </si>
  <si>
    <t>Linzess</t>
  </si>
  <si>
    <t>linaclotide</t>
  </si>
  <si>
    <t>Granix</t>
  </si>
  <si>
    <t>tbo-filgrastim</t>
  </si>
  <si>
    <t>Stribild</t>
  </si>
  <si>
    <t>elvitegravir, cobicistat, emtricitabine, tenofovir disoproxil fumarate</t>
  </si>
  <si>
    <t>Zaltrap</t>
  </si>
  <si>
    <t>ziv-aflibercept</t>
  </si>
  <si>
    <t>Tudorza Pressair</t>
  </si>
  <si>
    <t>aclidinium bromide</t>
  </si>
  <si>
    <t>Jul 2012</t>
  </si>
  <si>
    <t>Kyprolis</t>
  </si>
  <si>
    <t>carfilzomib</t>
  </si>
  <si>
    <t>Prepopik</t>
  </si>
  <si>
    <t>sodium picosulfate, magnesium oxide, citric acid</t>
  </si>
  <si>
    <t>Myrbetriq</t>
  </si>
  <si>
    <t>mirabegron</t>
  </si>
  <si>
    <t>Jun 2012</t>
  </si>
  <si>
    <t>Belviq</t>
  </si>
  <si>
    <t>lorcaserin hydrochloride</t>
  </si>
  <si>
    <t>Perjeta</t>
  </si>
  <si>
    <t>pertuzumab</t>
  </si>
  <si>
    <t>Elelyso</t>
  </si>
  <si>
    <t>taliglucerase alfa</t>
  </si>
  <si>
    <t>May 2012</t>
  </si>
  <si>
    <t>Stendra</t>
  </si>
  <si>
    <t>avanafil</t>
  </si>
  <si>
    <t>Apr 2012</t>
  </si>
  <si>
    <t>Amyvid</t>
  </si>
  <si>
    <t>florbetapir F 18</t>
  </si>
  <si>
    <t>Omontys</t>
  </si>
  <si>
    <t>peginesatide</t>
  </si>
  <si>
    <t>Mar 2012</t>
  </si>
  <si>
    <t>Surfaxin</t>
  </si>
  <si>
    <t>lucinactant</t>
  </si>
  <si>
    <t>Zioptan</t>
  </si>
  <si>
    <t>tafluprost</t>
  </si>
  <si>
    <t>Feb 2012</t>
  </si>
  <si>
    <t>Kalydeco</t>
  </si>
  <si>
    <t>ivacaftor</t>
  </si>
  <si>
    <t>Jan 2012</t>
  </si>
  <si>
    <t>Erivedge</t>
  </si>
  <si>
    <t>vismodegib</t>
  </si>
  <si>
    <t>Inlyta</t>
  </si>
  <si>
    <t>axitinib</t>
  </si>
  <si>
    <t>Picato</t>
  </si>
  <si>
    <t>ingenol mebutate</t>
  </si>
  <si>
    <t>Voraxaze</t>
  </si>
  <si>
    <t>glucarpidase</t>
  </si>
  <si>
    <t>Eylea</t>
  </si>
  <si>
    <t>aflibercept</t>
  </si>
  <si>
    <t>Nov 2011</t>
  </si>
  <si>
    <t>Erwinaze</t>
  </si>
  <si>
    <t>asparaginase Erwinia chrysanthemi</t>
  </si>
  <si>
    <t>Jakafi</t>
  </si>
  <si>
    <t>ruxolitinib</t>
  </si>
  <si>
    <t>Onfi</t>
  </si>
  <si>
    <t>clobazam</t>
  </si>
  <si>
    <t>Oct 2011</t>
  </si>
  <si>
    <t>Ferriprox</t>
  </si>
  <si>
    <t>deferiprone</t>
  </si>
  <si>
    <t>Xalkori</t>
  </si>
  <si>
    <t>crizotinib</t>
  </si>
  <si>
    <t>Aug 2011</t>
  </si>
  <si>
    <t>Firazyr</t>
  </si>
  <si>
    <t>icatibant</t>
  </si>
  <si>
    <t>Adcetris</t>
  </si>
  <si>
    <t>brentuximab vedotin</t>
  </si>
  <si>
    <t>Zelboraf</t>
  </si>
  <si>
    <t>vemurafenib</t>
  </si>
  <si>
    <t>Brilinta</t>
  </si>
  <si>
    <t>ticagrelor</t>
  </si>
  <si>
    <t>Jul 2011</t>
  </si>
  <si>
    <t>Arcapta Neohaler</t>
  </si>
  <si>
    <t>indacaterol</t>
  </si>
  <si>
    <t>Xarelto</t>
  </si>
  <si>
    <t>rivaroxaban</t>
  </si>
  <si>
    <t>Nulojix</t>
  </si>
  <si>
    <t>belatacept</t>
  </si>
  <si>
    <t>Jun 2011</t>
  </si>
  <si>
    <t>Potiga</t>
  </si>
  <si>
    <t>ezogabine</t>
  </si>
  <si>
    <t>Dificid</t>
  </si>
  <si>
    <t>fidaxomicin</t>
  </si>
  <si>
    <t>May 2011</t>
  </si>
  <si>
    <t>Incivek</t>
  </si>
  <si>
    <t>telaprevir</t>
  </si>
  <si>
    <t>Edurant</t>
  </si>
  <si>
    <t>rilpivirine</t>
  </si>
  <si>
    <t>Victrelis</t>
  </si>
  <si>
    <t>boceprevir</t>
  </si>
  <si>
    <t>Tradjenta</t>
  </si>
  <si>
    <t>linagliptin</t>
  </si>
  <si>
    <t>Zytiga</t>
  </si>
  <si>
    <t>abiraterone acetate</t>
  </si>
  <si>
    <t>Apr 2011</t>
  </si>
  <si>
    <t>Horizant</t>
  </si>
  <si>
    <t>gabapentin enacarbil</t>
  </si>
  <si>
    <t>Caprelsa</t>
  </si>
  <si>
    <t>vandetanib</t>
  </si>
  <si>
    <t>Yervoy</t>
  </si>
  <si>
    <t>ipilimumab</t>
  </si>
  <si>
    <t>Mar 2011</t>
  </si>
  <si>
    <t>Gadavist</t>
  </si>
  <si>
    <t>gadobutrol</t>
  </si>
  <si>
    <t>Benlysta</t>
  </si>
  <si>
    <t>belimumab</t>
  </si>
  <si>
    <t>Daliresp</t>
  </si>
  <si>
    <t>roflumilast</t>
  </si>
  <si>
    <t>Feb 2011</t>
  </si>
  <si>
    <t>Edarbi</t>
  </si>
  <si>
    <t>azilsartan medoxomil</t>
  </si>
  <si>
    <t>Viibryd</t>
  </si>
  <si>
    <t>vilazodone hydrochloride</t>
  </si>
  <si>
    <t>Jan 2011</t>
  </si>
  <si>
    <t>Natroba</t>
  </si>
  <si>
    <t>spinosad</t>
  </si>
  <si>
    <t>DaTscan</t>
  </si>
  <si>
    <t>ioflupane I 123</t>
  </si>
  <si>
    <t>Halaven</t>
  </si>
  <si>
    <t>eribulin mesylate</t>
  </si>
  <si>
    <t>Nov 2010</t>
  </si>
  <si>
    <t>Egrifta</t>
  </si>
  <si>
    <t>tesamorelin</t>
  </si>
  <si>
    <t>Teflaro</t>
  </si>
  <si>
    <t>ceftaroline fosamil</t>
  </si>
  <si>
    <t>Oct 2010</t>
  </si>
  <si>
    <t>Latuda</t>
  </si>
  <si>
    <t>lurasidone hydrochloride</t>
  </si>
  <si>
    <t>Pradaxa</t>
  </si>
  <si>
    <t>dabigatran etexilate mesylate</t>
  </si>
  <si>
    <t>Gilenya</t>
  </si>
  <si>
    <t>fingolimod</t>
  </si>
  <si>
    <t>Sep 2010</t>
  </si>
  <si>
    <t>Krystexxa</t>
  </si>
  <si>
    <t>pegloticase</t>
  </si>
  <si>
    <t>Ella</t>
  </si>
  <si>
    <t>ulipristal acetate</t>
  </si>
  <si>
    <t>Aug 2010</t>
  </si>
  <si>
    <t>Xeomin</t>
  </si>
  <si>
    <t>incobotulinumtoxinA</t>
  </si>
  <si>
    <t>Jul 2010</t>
  </si>
  <si>
    <t>Lastacaft</t>
  </si>
  <si>
    <t>alcaftadine</t>
  </si>
  <si>
    <t>Jevtana</t>
  </si>
  <si>
    <t>cabazitaxel</t>
  </si>
  <si>
    <t>Jun 2010</t>
  </si>
  <si>
    <t>Prolia</t>
  </si>
  <si>
    <t>denosumab</t>
  </si>
  <si>
    <t>Lumizyme</t>
  </si>
  <si>
    <t>alglucosidase alfa</t>
  </si>
  <si>
    <t>May 2010</t>
  </si>
  <si>
    <t>Natazia</t>
  </si>
  <si>
    <t>estradiol valerate; estradiol valerate and dienogest</t>
  </si>
  <si>
    <t>Asclera</t>
  </si>
  <si>
    <t>polidocanol</t>
  </si>
  <si>
    <t>Mar 2010</t>
  </si>
  <si>
    <t>Carbaglu</t>
  </si>
  <si>
    <t>carglumic acid</t>
  </si>
  <si>
    <t>Vpriv</t>
  </si>
  <si>
    <t>velaglucerase alfa</t>
  </si>
  <si>
    <t>Feb 2010</t>
  </si>
  <si>
    <t>Xiaflex</t>
  </si>
  <si>
    <t>clostridial collagenase histolyticum</t>
  </si>
  <si>
    <t>Victoza</t>
  </si>
  <si>
    <t>liraglutide</t>
  </si>
  <si>
    <t>Jan 2010</t>
  </si>
  <si>
    <t>Ampyra</t>
  </si>
  <si>
    <t>dalfampridine</t>
  </si>
  <si>
    <t>Actemra</t>
  </si>
  <si>
    <t>tocilizumab</t>
  </si>
  <si>
    <t>Kalbitor</t>
  </si>
  <si>
    <t>ecallantide</t>
  </si>
  <si>
    <t>Dec 2009</t>
  </si>
  <si>
    <t>Qutenza</t>
  </si>
  <si>
    <t>capsaicin</t>
  </si>
  <si>
    <t>Nov 2009</t>
  </si>
  <si>
    <t>Istodax</t>
  </si>
  <si>
    <t>romidepsin</t>
  </si>
  <si>
    <t>Arzerra</t>
  </si>
  <si>
    <t>ofatumumab</t>
  </si>
  <si>
    <t>Oct 2009</t>
  </si>
  <si>
    <t>Votrient</t>
  </si>
  <si>
    <t>pazopanib</t>
  </si>
  <si>
    <t>Stelara</t>
  </si>
  <si>
    <t>ustekinumab</t>
  </si>
  <si>
    <t>Sep 2009</t>
  </si>
  <si>
    <t>Folotyn</t>
  </si>
  <si>
    <t>pralatrexate</t>
  </si>
  <si>
    <t>Vibativ</t>
  </si>
  <si>
    <t>telavancin</t>
  </si>
  <si>
    <t>Bepreve</t>
  </si>
  <si>
    <t>bepotastine besilate</t>
  </si>
  <si>
    <t>Sabril</t>
  </si>
  <si>
    <t>vigabatrin</t>
  </si>
  <si>
    <t>Aug 2009</t>
  </si>
  <si>
    <t>Saphris</t>
  </si>
  <si>
    <t>asenapine</t>
  </si>
  <si>
    <t>Livalo</t>
  </si>
  <si>
    <t>pitavastatin</t>
  </si>
  <si>
    <t>Onglyza</t>
  </si>
  <si>
    <t>saxagliptin</t>
  </si>
  <si>
    <t>Jul 2009</t>
  </si>
  <si>
    <t>Effient</t>
  </si>
  <si>
    <t>prasugrel</t>
  </si>
  <si>
    <t>Multaq</t>
  </si>
  <si>
    <t>dronedarone</t>
  </si>
  <si>
    <t>Ilaris</t>
  </si>
  <si>
    <t>canakinumab</t>
  </si>
  <si>
    <t>Jun 2009</t>
  </si>
  <si>
    <t>Besivance</t>
  </si>
  <si>
    <t>besifloxacin</t>
  </si>
  <si>
    <t>May 2009</t>
  </si>
  <si>
    <t>Samsca</t>
  </si>
  <si>
    <t>tolvaptan</t>
  </si>
  <si>
    <t>Fanapt</t>
  </si>
  <si>
    <t>iloperidone</t>
  </si>
  <si>
    <t>Dysport</t>
  </si>
  <si>
    <t>abobotulinumtoxinA</t>
  </si>
  <si>
    <t>Apr 2009</t>
  </si>
  <si>
    <t>Simponi</t>
  </si>
  <si>
    <t>golimumab</t>
  </si>
  <si>
    <t>Ulesfia</t>
  </si>
  <si>
    <t>benzyl alcohol</t>
  </si>
  <si>
    <t>Coartem</t>
  </si>
  <si>
    <t>artemether, lumefantrine</t>
  </si>
  <si>
    <t>Afinitor</t>
  </si>
  <si>
    <t>everolimus</t>
  </si>
  <si>
    <t>Mar 2009</t>
  </si>
  <si>
    <t>Uloric</t>
  </si>
  <si>
    <t>febuxostat</t>
  </si>
  <si>
    <t>Feb 2009</t>
  </si>
  <si>
    <t>Savella</t>
  </si>
  <si>
    <t>milnacipran hydrochloride</t>
  </si>
  <si>
    <t>Jan 2009</t>
  </si>
  <si>
    <t>Firmagon</t>
  </si>
  <si>
    <t>degarelix</t>
  </si>
  <si>
    <t>Dec 2008</t>
  </si>
  <si>
    <t>Vasovist</t>
  </si>
  <si>
    <t>gadofosveset trisodium</t>
  </si>
  <si>
    <t>Mozobil</t>
  </si>
  <si>
    <t>plerixafor</t>
  </si>
  <si>
    <t>Lusedra</t>
  </si>
  <si>
    <t>fospropofol disodium</t>
  </si>
  <si>
    <t>Nucynta</t>
  </si>
  <si>
    <t>tapentadol</t>
  </si>
  <si>
    <t>Nov 2008</t>
  </si>
  <si>
    <t>Promacta</t>
  </si>
  <si>
    <t>eltrombopag</t>
  </si>
  <si>
    <t>Banzel</t>
  </si>
  <si>
    <t>rufinamide</t>
  </si>
  <si>
    <t>Toviaz</t>
  </si>
  <si>
    <t>fesoterodine fumarate</t>
  </si>
  <si>
    <t>Oct 2008</t>
  </si>
  <si>
    <t>Vimpat</t>
  </si>
  <si>
    <t>lacosamide</t>
  </si>
  <si>
    <t>Rapaflo</t>
  </si>
  <si>
    <t>silodosin</t>
  </si>
  <si>
    <t>AdreView</t>
  </si>
  <si>
    <t>iobenguane I 123</t>
  </si>
  <si>
    <t>Sep 2008</t>
  </si>
  <si>
    <t>Nplate</t>
  </si>
  <si>
    <t>romiplostim</t>
  </si>
  <si>
    <t>Aug 2008</t>
  </si>
  <si>
    <t>Xenazine</t>
  </si>
  <si>
    <t>tetrabenazine</t>
  </si>
  <si>
    <t>Cleviprex</t>
  </si>
  <si>
    <t>clevidipine</t>
  </si>
  <si>
    <t>Eovist</t>
  </si>
  <si>
    <t>gadoxetate disodium</t>
  </si>
  <si>
    <t>Jul 2008</t>
  </si>
  <si>
    <t>Durezol</t>
  </si>
  <si>
    <t>difluprednate</t>
  </si>
  <si>
    <t>Jun 2008</t>
  </si>
  <si>
    <t>Entereg</t>
  </si>
  <si>
    <t>alvimopan</t>
  </si>
  <si>
    <t>May 2008</t>
  </si>
  <si>
    <t>Relistor</t>
  </si>
  <si>
    <t>methylnaltrexone bromide</t>
  </si>
  <si>
    <t>Apr 2008</t>
  </si>
  <si>
    <t>Cimzia</t>
  </si>
  <si>
    <t>certolizumab pegol</t>
  </si>
  <si>
    <t>Lexiscan</t>
  </si>
  <si>
    <t>regadenoson</t>
  </si>
  <si>
    <t>Treanda</t>
  </si>
  <si>
    <t>bendamustine hydrochloride</t>
  </si>
  <si>
    <t>Mar 2008</t>
  </si>
  <si>
    <t>Pristiq</t>
  </si>
  <si>
    <t>desvenlafaxine</t>
  </si>
  <si>
    <t>Feb 2008</t>
  </si>
  <si>
    <t>Arcalyst</t>
  </si>
  <si>
    <t>rilonacept</t>
  </si>
  <si>
    <t>Emend</t>
  </si>
  <si>
    <t>fosaprepitant dimeglumine</t>
  </si>
  <si>
    <t>Jan 2008</t>
  </si>
  <si>
    <t>Intelence</t>
  </si>
  <si>
    <t>etravirine</t>
  </si>
  <si>
    <t>Bystolic</t>
  </si>
  <si>
    <t>nebivolol</t>
  </si>
  <si>
    <t>Dec 2007</t>
  </si>
  <si>
    <t>Kuvan</t>
  </si>
  <si>
    <t>sapropterin dihydrochloride</t>
  </si>
  <si>
    <t>Mircera</t>
  </si>
  <si>
    <t>methoxy polyethylene glycol-epoetin beta</t>
  </si>
  <si>
    <t>Nov 2007</t>
  </si>
  <si>
    <t>Tasigna</t>
  </si>
  <si>
    <t>nilotinib</t>
  </si>
  <si>
    <t>Oct 2007</t>
  </si>
  <si>
    <t>Ixempra</t>
  </si>
  <si>
    <t>ixabepilone</t>
  </si>
  <si>
    <t>Isentress</t>
  </si>
  <si>
    <t>raltegravir</t>
  </si>
  <si>
    <t>Doribax</t>
  </si>
  <si>
    <t>doripenem</t>
  </si>
  <si>
    <t>Somatuline Depot</t>
  </si>
  <si>
    <t>lanreotide</t>
  </si>
  <si>
    <t>Aug 2007</t>
  </si>
  <si>
    <t>long-term treatment of acromegalic patients who have had an inadequate response to or cannot be treated with surgery and/or radiotherapy</t>
  </si>
  <si>
    <t>ammonia N 13</t>
  </si>
  <si>
    <t>indicated for diagnostic Positron Emission Tomography (PET) imaging of the myocardium under rest or pharmacologic stress conditions to evaluate myocardial perfusion in patients with suspected or existing coronary artery disease</t>
  </si>
  <si>
    <t>Selzentry</t>
  </si>
  <si>
    <t>maraviroc</t>
  </si>
  <si>
    <t>treatment of patients infected with CCR5-tropic HIV-1</t>
  </si>
  <si>
    <t>Letairis</t>
  </si>
  <si>
    <t>ambrisentan</t>
  </si>
  <si>
    <t>Jun 2007</t>
  </si>
  <si>
    <t>treatment of pulmonary arterial hypertension (WHO Group I) in patients with WHO class II or III symptoms to improve exercise capacity and delay clinical worsening</t>
  </si>
  <si>
    <t>Torisel</t>
  </si>
  <si>
    <t>temsirolimus</t>
  </si>
  <si>
    <t>May 2007</t>
  </si>
  <si>
    <t>treatment of advanced renal cell carcinoma</t>
  </si>
  <si>
    <t>Neupro</t>
  </si>
  <si>
    <t>rotigotine</t>
  </si>
  <si>
    <t>treatment of the signs and symptoms of early-stage idiopathic Parkinson’s disease</t>
  </si>
  <si>
    <t>Altabax</t>
  </si>
  <si>
    <t>retapamulin</t>
  </si>
  <si>
    <t>Apr 2007</t>
  </si>
  <si>
    <t>treatment of impetigo</t>
  </si>
  <si>
    <t>Soliris</t>
  </si>
  <si>
    <t>eculizumab</t>
  </si>
  <si>
    <t>Mar 2007</t>
  </si>
  <si>
    <t>treatment of paroxysmal nocturnal hemoglobinuria to reduce hemolysis</t>
  </si>
  <si>
    <t>Tykerb</t>
  </si>
  <si>
    <t>lapatinib</t>
  </si>
  <si>
    <t>in combination with capecitabine for the treatment of patients with advanced or metastatic breast cancer whose tumors over-express HER2 (ErbB2) and who have received prior therapy including and anthracycline, a taxane and trastuzumab</t>
  </si>
  <si>
    <t>Tekturna</t>
  </si>
  <si>
    <t>aliskiren</t>
  </si>
  <si>
    <t>treatment of hypertension</t>
  </si>
  <si>
    <t>Vyvanse</t>
  </si>
  <si>
    <t>lisdexamfetamine dimesylate</t>
  </si>
  <si>
    <t>Feb 2007</t>
  </si>
  <si>
    <t>treatment of Attention-Deficit Hyperactivity Disorder (ADHD) in children 6-12 years of age</t>
  </si>
  <si>
    <t>Invega</t>
  </si>
  <si>
    <t>paliperidone</t>
  </si>
  <si>
    <t>Dec 2006</t>
  </si>
  <si>
    <t>treatment of schizophrenia</t>
  </si>
  <si>
    <t>Veregen</t>
  </si>
  <si>
    <t>kunecatechins</t>
  </si>
  <si>
    <t>Oct 2006</t>
  </si>
  <si>
    <t>treatment of external genital and perianal warts (Condylomata acuminata) in immunocompetent patients 18 years and older</t>
  </si>
  <si>
    <t>Tyzeka</t>
  </si>
  <si>
    <t>telbivudine</t>
  </si>
  <si>
    <t>treatment of chronic hepatitis B (CHB) in patients with evidence of viral replication and active liver inflammation</t>
  </si>
  <si>
    <t>Omnaris</t>
  </si>
  <si>
    <t>ciclesonide</t>
  </si>
  <si>
    <t>treatment of seasonal and allergic rhinitis in patients 12 years of age and older</t>
  </si>
  <si>
    <t>Januvia</t>
  </si>
  <si>
    <t>sitagliptin phosphate</t>
  </si>
  <si>
    <t>indicated as an adjunct to diet and exercise to improve glycemic control in patients with type 2 diabetes mellitus as monotherapy and in combination with metformin or a PPAR? agonist (e.g., thiazolidinediones) when diet and exercise plus the single agent do not provide adequate glycemic control</t>
  </si>
  <si>
    <t>Zolinza</t>
  </si>
  <si>
    <t>vorinostat</t>
  </si>
  <si>
    <t>treatment of cutaneous manifestations in patients with cutaneous T-cell lymphoma (CTCL) who have progressive, persistent or recurrent disease on or following two systemic therapies</t>
  </si>
  <si>
    <t>Pylera</t>
  </si>
  <si>
    <t>biskalcitrate, metronidazole, tetracycline hydrochloride</t>
  </si>
  <si>
    <t>Sep 2006</t>
  </si>
  <si>
    <t>in combination with omeprazole, for the treatment of patients with Helicobacter pylori infection and duodenal ulcer disease (active or history of within the past 5 years) to eradicate H. pylori</t>
  </si>
  <si>
    <t>Vectibix</t>
  </si>
  <si>
    <t>panitumumab</t>
  </si>
  <si>
    <t>treatment of EGFR-expressing metastatic colorectal carcinoma with disease progression on or following fluoropyrimidine, oxaliplatin, and irinotecan-containing chemotherapy regimens</t>
  </si>
  <si>
    <t>Noxafil</t>
  </si>
  <si>
    <t>posaconazole</t>
  </si>
  <si>
    <t>prophylaxis of invasive Aspergillus and Candida infections in patients, 13 years of age and older, who are at high risk of developing these infections due to being severely immunocompromised, such as hematopoietic stem cell transplant (HSCT) recipients with Graft versus Host Disease (GVHD) or those with hematologic malignancies with prolonged neutropenia from chemotherapy</t>
  </si>
  <si>
    <t>Elaprase</t>
  </si>
  <si>
    <t>idursulfase</t>
  </si>
  <si>
    <t>Jul 2006</t>
  </si>
  <si>
    <t>treatment of patients with Hunter syndrome (Mucopolysaccharidosis II, MPS II)</t>
  </si>
  <si>
    <t>Anthelios SX</t>
  </si>
  <si>
    <t>avobenzone, ecamsule, octocrylene</t>
  </si>
  <si>
    <t>prevention of sunburn and to help provide protection from UVA and UVB rays</t>
  </si>
  <si>
    <t>Lucentis</t>
  </si>
  <si>
    <t>ranibizumab</t>
  </si>
  <si>
    <t>Jun 2006</t>
  </si>
  <si>
    <t>treatment of patients with neovascular (wet) age-related macular degeneration</t>
  </si>
  <si>
    <t>Sprycel</t>
  </si>
  <si>
    <t>dasatinib</t>
  </si>
  <si>
    <t>[A] treatment of adults with chronic myeloid leukemia with resistance or intolerance to prior therapy including imatinib
[B] treatment of adults with Philadelphia chromosome-positive acute lymphoblastic leukemia with resistance or intolerance to prior therapy</t>
  </si>
  <si>
    <t>Prezista</t>
  </si>
  <si>
    <t>darunavir</t>
  </si>
  <si>
    <t>coadministered with ritonavir, indicated for the treatment of human immunodeficiency virus (HIV) infection in antiretroviral treatment-experienced adult patients, such as those with HIV-1 strains resistant to more than one protease inhibitor</t>
  </si>
  <si>
    <t>Azilect</t>
  </si>
  <si>
    <t>rasagiline mesylate</t>
  </si>
  <si>
    <t>May 2006</t>
  </si>
  <si>
    <t>indicated for the treatment of the signs and symptoms of idiopathic Parkinson's disease as initial monotherapy and as adjunct therapy to levodopa</t>
  </si>
  <si>
    <t>Chantix</t>
  </si>
  <si>
    <t>varenicline</t>
  </si>
  <si>
    <t>indicated as an aid to smoking cessation treatment</t>
  </si>
  <si>
    <t>Dacogen</t>
  </si>
  <si>
    <t>decitabine</t>
  </si>
  <si>
    <t>treatment of myelodysplastic syndrome (MDS)</t>
  </si>
  <si>
    <t>Myozyme</t>
  </si>
  <si>
    <t>Apr 2006</t>
  </si>
  <si>
    <t>treatment of Pompe disease (GAA deficiency)</t>
  </si>
  <si>
    <t>Eraxis</t>
  </si>
  <si>
    <t>anidulafungin</t>
  </si>
  <si>
    <t>Feb 2006</t>
  </si>
  <si>
    <t>[A] treatment of patients with esophageal candidiasis
[B] treatment of patients with candidemia and other forms of Candida infections (intra-abdominal abscess and peritonitis)</t>
  </si>
  <si>
    <t>Amitiza</t>
  </si>
  <si>
    <t>lubiprostone</t>
  </si>
  <si>
    <t>Jan 2006</t>
  </si>
  <si>
    <t>treatment of chronic idiopathic constipation in the adult population</t>
  </si>
  <si>
    <t>Ranexa</t>
  </si>
  <si>
    <t>ranolazine</t>
  </si>
  <si>
    <t>treatment of chronic angina</t>
  </si>
  <si>
    <t>Sutent</t>
  </si>
  <si>
    <t>sunitinib malate</t>
  </si>
  <si>
    <t>[A] treatment of gastrointestinal stromal tumor after disease progression on or intolerance to imatinib mesylate
[B] treatment of advanced renal cell carcinoma</t>
  </si>
  <si>
    <t>Vaprisol</t>
  </si>
  <si>
    <t>conivaptan hydrochloride</t>
  </si>
  <si>
    <t>Dec 2005</t>
  </si>
  <si>
    <t>treatment of euvolemic hyponatremia in hospitalized patients</t>
  </si>
  <si>
    <t>Revlimid</t>
  </si>
  <si>
    <t>lenalidomide</t>
  </si>
  <si>
    <t>treatment of patients with transfusion dependent anemia due to low or intermediate-1 risk myelodysplastic syndromes associated with a deletion 5q cytogenetic abnormality with or without additional cytogenetic abnormalities</t>
  </si>
  <si>
    <t>Orencia</t>
  </si>
  <si>
    <t>abatacept</t>
  </si>
  <si>
    <t>indicated for reducing signs and symptoms, inducing major clinical response, slowing the progression of structural damage, and improving physical function in adult patients with moderately to severely active rheumatoid arthritis who have had an inadequate response to one or more Disease Modifying Anti-Rheumatoid Drugs (DMARDs), such as methotrexate or TNF antagonists.  Abatacept may be used as monotherapy or concomitantly with DMARDs other than TNF antagonists</t>
  </si>
  <si>
    <t>Nexavar</t>
  </si>
  <si>
    <t>sorafenib tosylate</t>
  </si>
  <si>
    <t>treatment of patients with advanced renal cell carcinoma</t>
  </si>
  <si>
    <t>Iplex</t>
  </si>
  <si>
    <t>mecasermin rinfabate (rDNA origin)</t>
  </si>
  <si>
    <t>treatment of growth failure in children with severe primary IGF-1 deficiency (Primary IGFD) or with growth hormone (GH) gene deletion who have developed neutralizing antibodies to growth hormone</t>
  </si>
  <si>
    <t>Hylenex</t>
  </si>
  <si>
    <t>hyaluronidase (human)</t>
  </si>
  <si>
    <t>indicated as an adjuvant to increase the absorption and dispersion of other injected drugs; for hypodermoclysis; and as an adjunct in subcutaneous urography for improving resorption of radiopaque agents</t>
  </si>
  <si>
    <t>Procleix WNV AssayWest Nile Virus Assay</t>
  </si>
  <si>
    <t>Qualitative detection of West Nile Virus (WNV) RNA in plasma specimens from individual human donors, including volunteer donors of whole blood and blood components, and other living donors; testing plasma specimens to screen organ donors when specimens are obtained while the donor's heart is still beating, and testing blood specimens to screen cadaveric (non-heart-beating) donors. It is not intended for use on cord blood specimens.</t>
  </si>
  <si>
    <t>https://wayback.archive-it.org/7993/20170111093336/http://www.fda.gov/BiologicsBloodVaccines/DevelopmentApprovalProcess/BiologicalApprovalsbyYear/ucm176292.htm</t>
  </si>
  <si>
    <t>Exjade</t>
  </si>
  <si>
    <t>deferasirox</t>
  </si>
  <si>
    <t>Nov 2005</t>
  </si>
  <si>
    <t>treatment of chronic iron overload due to blood transfusions (transfusional hemosiderosis) in patients 2 years of age and older</t>
  </si>
  <si>
    <t>Arranon</t>
  </si>
  <si>
    <t>nelarabine</t>
  </si>
  <si>
    <t>Oct 2005</t>
  </si>
  <si>
    <t>treatment of patients with T-cell acute lymphoblastic leukemia and T-cell lymphoblastic lymphoma whose disease has not responded to or has relapsed following treatment with at least two chemotherapy regimens</t>
  </si>
  <si>
    <t>Hydase</t>
  </si>
  <si>
    <t>hyaluronidase (bovine)</t>
  </si>
  <si>
    <t>ABBOTT PRISM HBcoreHepatitis B Virus Core Antigen (E.coli, Recombinant)</t>
  </si>
  <si>
    <t>Qualitative detection of total antibody to hepatitis B core antigen (anti-HBc) in human serum and plasma; screening test for blood and plasma to prevent transmission of hepatitis B virus (HBV) to recipients of blood and blood components</t>
  </si>
  <si>
    <t>ProQuadMeasles, Mumps, Rubella and Varicella Virus Vaccine Live</t>
  </si>
  <si>
    <t>Sep 2005</t>
  </si>
  <si>
    <t>For vaccination against measles, mumps, rubella, and varicella in children 12 months to 12 years of age</t>
  </si>
  <si>
    <t>FluarixInfluenza Virus Vaccine</t>
  </si>
  <si>
    <t>Aug 2005</t>
  </si>
  <si>
    <t>For active immunization of adults 18 years of age and older against influenza disease caused by influenza virus types A and B</t>
  </si>
  <si>
    <t>Increlex</t>
  </si>
  <si>
    <t>mecasermin (rDNA origin)</t>
  </si>
  <si>
    <t>long-term treatment of growth failure in children with severe primary IGF-1 deficiency (Primary IGFD) or with growth hormone (GH) gene deletion who have developed neutralizing antibodies to growth hormone</t>
  </si>
  <si>
    <t>Nevanac</t>
  </si>
  <si>
    <t>nepafenac</t>
  </si>
  <si>
    <t>treatment of pain and inflammation associated with cataract surgery</t>
  </si>
  <si>
    <t>Component of Erytype SBlood Grouping Reagent, Anti-A (Murine Monoclonal); Anti-B (Murine Monoclonal); Anti-A,B (Murine Monoclonal Blend); Anti-D (Monoclonal) (IgM)</t>
  </si>
  <si>
    <t>Jul 2005</t>
  </si>
  <si>
    <t>To perform a single ABO Grouping and D Typing or label confirmation for donor ABO Grouping and/or D Typing (for exclusive use on the Tango Automated Analyzer)</t>
  </si>
  <si>
    <t>Anti-Human Globulin Solidscreen IIAnti-Human Globulin, Anti-IgG (Rabbit)</t>
  </si>
  <si>
    <t>To detect the sensitization of Reagent Red Blood Cells by immunoglobulins (for exclusive use on the Tango Automated Analyzer)</t>
  </si>
  <si>
    <t>Rozerem</t>
  </si>
  <si>
    <t>ramelteon</t>
  </si>
  <si>
    <t>treatment of insomnia characterized by difficulty with sleep onset</t>
  </si>
  <si>
    <t>Aptivus</t>
  </si>
  <si>
    <t>tipranavir</t>
  </si>
  <si>
    <t>Jun 2005</t>
  </si>
  <si>
    <t>co-administered with ritonavir, is indicated for combination antiretroviral treatment of HIV-1 infected adult patients with evidence of viral replication, who are highly treatment-experienced or have HIV-1 strains resistant to multiple protease inhibitors</t>
  </si>
  <si>
    <t>Levemir</t>
  </si>
  <si>
    <t>insulin detemir</t>
  </si>
  <si>
    <t>treatment of adult patients with Type 1 or Type 2 diabetes mellitus who require basal (long-acting) insulin for the control of hyperglycemia</t>
  </si>
  <si>
    <t>Tygacil</t>
  </si>
  <si>
    <t>tigecycline</t>
  </si>
  <si>
    <t>treatment of Complicated Skin and Skin Structure Infections (cSSSI) and Complicated Intra-abdominal Infections (cIAI)</t>
  </si>
  <si>
    <t>AdacelTetanus Toxoid, Reduced Diphtheria Toxoid and Acellular Pertussis Vaccine, Adsorbed</t>
  </si>
  <si>
    <t>Booster immunization against tetanus, diphtheria and pertussis as a single dose in individuals 11 through 64 years of age</t>
  </si>
  <si>
    <t>Naglazyme</t>
  </si>
  <si>
    <t>galsulfase</t>
  </si>
  <si>
    <t>May 2005</t>
  </si>
  <si>
    <t>treatment of patients with Mucopolysaccharidosis VI (MPS VI)</t>
  </si>
  <si>
    <t>BoostrixTetanus Toxoid, Reduced Diphtheria Toxoid and Acellular Pertussis Vaccine, Adsorbed</t>
  </si>
  <si>
    <t>Booster immunization against tetanus, diphtheria and pertussis as a single dose in adolescents 10-18 years of age</t>
  </si>
  <si>
    <t>Tetanus Toxoid Concentrate (For Further Manufacturing Use)</t>
  </si>
  <si>
    <t>For further manufacture to Tetanus Toxoid, Reduced Diphtheria Toxoid and Acellular Pertussis Vaccine Adsorbed under a shared manufacturing arrangement with GlaxoSmithKline Biologicals</t>
  </si>
  <si>
    <t>Vaccinia Immune Globulin Intravenous (Human)</t>
  </si>
  <si>
    <t>Treatment and/or modification of the following conditions, which are complications resulting from smallpox vaccination:Eczema vaccinatumProgressive vacciniaSevere generalized vacciniaVaccinia infections in individuals who have skin conditions such as burns, impetigo, varicella-zoster, or poison ivy; or in individuals who have eczematous skin lesions because of either the activity or extensiveness of such lesionsAberrant infections induced by vaccinia virus that include its accidental implantation in eyes (except in cases of isolated keratitis), mouth, or other areas where vaccinia infection would constitute a special hazard</t>
  </si>
  <si>
    <t>Byetta</t>
  </si>
  <si>
    <t>exenatide</t>
  </si>
  <si>
    <t>Apr 2005</t>
  </si>
  <si>
    <t>indicated to improve glycemic control in patients with type 2 diabetes mellitus who have not achieved adequate glycemic control on metformin, a sulfonylurea, or a combination of metformin and a sulfonylurea</t>
  </si>
  <si>
    <t>Gammagard LiquidImmune Globulin Intravenous (Human), 10% Solution</t>
  </si>
  <si>
    <t>Liquid dosage form for primary immune deficiency</t>
  </si>
  <si>
    <t>COBAS AmpliScreen HBV TestHepatitis B Virus (Hepatitis B Virus/Polymerase Chain Reaction/Blood Cell Derived)</t>
  </si>
  <si>
    <t>Qualitativein vitrotest for the direct detection of Hepatitis B Virus (HBV) DNA in human plasma from donations of Whole Blood and blood components for transfusion, and Source Plasma, as well as for testing individual plasma samples from other living donors and organ donors (when specimens are obtained while the donor's heart is still beating)</t>
  </si>
  <si>
    <t>Baraclude</t>
  </si>
  <si>
    <t>entecavir</t>
  </si>
  <si>
    <t>Mar 2005</t>
  </si>
  <si>
    <t>treatment of chronic hepatitis B virus infection in adults with evidence of active viral replication and either evidence of persistent elevations in serum aminotransferases (ALT or AST) or histologically active disease</t>
  </si>
  <si>
    <t>Symlin</t>
  </si>
  <si>
    <t>pramlintide acetate</t>
  </si>
  <si>
    <t>indicated for type 1 diabetes, as an adjunct treatment in patients who use mealtime insulin therapy and who have failed to achieve desired glucose control despite optimal insulin therapy; indicated for type 2 diabetes, as an adjunct treatment in patients who use mealtime insulin therapy and who have failed to achieve desired glucose control despite optimal insulin therapy, with or without a concurrent sulfonylurea agent and/or metformin</t>
  </si>
  <si>
    <t>Mycamine</t>
  </si>
  <si>
    <t>micafungin sodium</t>
  </si>
  <si>
    <t>[A] prophylaxis of Candida infections in patients undergoing hematopoietic stem cell transplantation
[B] treatment of esophageal candidiasis</t>
  </si>
  <si>
    <t>Thrombin (Human) (For Further Manufacturing Use)</t>
  </si>
  <si>
    <t>Feb 2005</t>
  </si>
  <si>
    <t>For further manufacturing with FloSeal Matrix Hemostatic Sealant</t>
  </si>
  <si>
    <t>For the treatment and modification of aberrant infections induced by vaccinia virus that include its accidental implantation in eyes (except in cases of isolated keratitis), mouth, or other areas where vaccinia infection would constitute a special hazard; eczema vaccinatum; progressive vaccinia; severe generalized vaccinia, and vaccinia infections in individuals who have skin conditions such as burns, impetigo, varicella-zoster, or poison ivy; or in individuals who have eczematous skin lesions because of either the activity or extensiveness of such lesions</t>
  </si>
  <si>
    <t>MenactraMeningococcal Polysaccharide (Serogroups A, C, Y and W-135) Diphtheria Toxoid Conjugate Vaccine</t>
  </si>
  <si>
    <t>Jan 2005</t>
  </si>
  <si>
    <t>For active immunization of adolescents and adults 11-55 years of age for the prevention of invasive meningococcal disease caused byNeisseria meningitidisserogroups A, C, Y and W-135</t>
  </si>
  <si>
    <t>Lyrica</t>
  </si>
  <si>
    <t>pregabalin</t>
  </si>
  <si>
    <t>Dec 2004</t>
  </si>
  <si>
    <t>[A] management of neuropathic pain associated with diabetic peripheral neuropathy
[B] management of postherpetic neuralgia</t>
  </si>
  <si>
    <t>Ventavis</t>
  </si>
  <si>
    <t>iloprost</t>
  </si>
  <si>
    <t>treatment of pulmonary arterial hypertension (WHO Group I) in patients with NYHA Class III or IV symptoms</t>
  </si>
  <si>
    <t>Prialt</t>
  </si>
  <si>
    <t>ziconotide</t>
  </si>
  <si>
    <t>management of severe chronic pain in patients for whom intrathecal (IT) therapy is warranted and who are intolerant of or refractory to other treatment, such as systemic analgesics, adjunctive therapies, or IT morphine</t>
  </si>
  <si>
    <t>Clolar</t>
  </si>
  <si>
    <t>clofarbine</t>
  </si>
  <si>
    <t>treatment of pediatric patients 1 to 21 years old with relapsed or refractory acute lymphoblastic leukemia after at least two prior regimens</t>
  </si>
  <si>
    <t>Enablex</t>
  </si>
  <si>
    <t>darifenacin hydrobromide</t>
  </si>
  <si>
    <t>treatment of overactive bladder</t>
  </si>
  <si>
    <t>Macugen</t>
  </si>
  <si>
    <t>pegaptanib sodium</t>
  </si>
  <si>
    <t>treatment of neovascular (wet) age-related macular degeneration</t>
  </si>
  <si>
    <t>VisionBlue</t>
  </si>
  <si>
    <t>trypan blue</t>
  </si>
  <si>
    <t>indicated as an aid in ophthalmic surgery by staining the anterior capsule of the lens</t>
  </si>
  <si>
    <t>Lunesta</t>
  </si>
  <si>
    <t>eszopiclone</t>
  </si>
  <si>
    <t>treatment of insomnia</t>
  </si>
  <si>
    <t>Kepivance</t>
  </si>
  <si>
    <t>palifermin</t>
  </si>
  <si>
    <t>indicated to decrease the incidence and duration of severe oral mucositis in patients with hematologic malignancies receiving myelotoxic therapy requiring hematopoietic stem cell support</t>
  </si>
  <si>
    <t>Tysabri</t>
  </si>
  <si>
    <t>natalizumab</t>
  </si>
  <si>
    <t>Nov 2004</t>
  </si>
  <si>
    <t>treatment of patients with relapsing forms of multiple sclerosis (MS) to reduce the frequency of clinical exacerbations</t>
  </si>
  <si>
    <t>Multihance</t>
  </si>
  <si>
    <t>gadobenate dimeglumine</t>
  </si>
  <si>
    <t>indicated for intravenous use in magnetic resonance imaging (MRI) of the central nervous system in adults to visualize lesions with abnormal blood brain barrier or abnormal vascularity of the brain, spine, and associated tissues</t>
  </si>
  <si>
    <t>Vesicare</t>
  </si>
  <si>
    <t>solifenacin succinate</t>
  </si>
  <si>
    <t>treatment of overactive bladder with symptoms of urge urinary incontinence, urgency, and urinary frequency</t>
  </si>
  <si>
    <t>Tarceva</t>
  </si>
  <si>
    <t>erlotinib hydrochloride</t>
  </si>
  <si>
    <t>treatment of locally advanced or metastatic Non Small-Cell Lung Cancer (NSCLC) after failure of at least one prior chemotherapy regimen</t>
  </si>
  <si>
    <t>Omacor</t>
  </si>
  <si>
    <t>omega-3-acid ethyl esters</t>
  </si>
  <si>
    <t>indicated as an adjunct to diet to reduce triglyceride (TG) levels in adult patients with TG levels &gt; 500 mg/dL</t>
  </si>
  <si>
    <t>Amphadase</t>
  </si>
  <si>
    <t>Oct 2004</t>
  </si>
  <si>
    <t>Fosrenol</t>
  </si>
  <si>
    <t>lanthanum carbonate hydrate</t>
  </si>
  <si>
    <t>indicated to reduce serum phosphate in patients with end stage renal disease</t>
  </si>
  <si>
    <t>pentetate calcium trisodium</t>
  </si>
  <si>
    <t>Aug 2004</t>
  </si>
  <si>
    <t>treatment of internal contamination with plutonium, americium or curium to increase the rates of elimination</t>
  </si>
  <si>
    <t>Cymbalta</t>
  </si>
  <si>
    <t>duloxetine hydrochloride</t>
  </si>
  <si>
    <t>treatment of major depressive disorder (MDD)</t>
  </si>
  <si>
    <t>Campral</t>
  </si>
  <si>
    <t>acamprosate calcium</t>
  </si>
  <si>
    <t>Jul 2004</t>
  </si>
  <si>
    <t>indicated for the maintenance of abstinence from alcohol in patients with alcohol dependence who are abstinent at treatment initiation</t>
  </si>
  <si>
    <t>NeutroSpec</t>
  </si>
  <si>
    <t>technetium Tc 99m fanolesomab</t>
  </si>
  <si>
    <t>indicated for scintigraphic imaging of patients with equivocal signs and symptoms of appendicitis who are five years of age or older</t>
  </si>
  <si>
    <t>NutreStore</t>
  </si>
  <si>
    <t>l-glutamine</t>
  </si>
  <si>
    <t>Jun 2004</t>
  </si>
  <si>
    <t>treatment of short bowel syndrome in patients receiving specialized nutritional support when used in conjunction with a recombinant human growth that is approved for this indication</t>
  </si>
  <si>
    <t>Sanctura</t>
  </si>
  <si>
    <t>trospium chloride</t>
  </si>
  <si>
    <t>May 2004</t>
  </si>
  <si>
    <t>treatment of overactive bladder associated with symptoms of urge urinary incontinence, urgency, and urinary frequency</t>
  </si>
  <si>
    <t>Xifaxan</t>
  </si>
  <si>
    <t>rifaximin</t>
  </si>
  <si>
    <t>treatment of patients (&gt; 12 years of age) with travelers' diarrhea caused by noninvasive strains of Escherichia coli</t>
  </si>
  <si>
    <t>Vidaza</t>
  </si>
  <si>
    <t>azacitidine</t>
  </si>
  <si>
    <t>treatment of patients with the following myelodysplastic syndrome subtypes: refractory anemia or refractory anemia with ringed sideroblasts (if accompanied by neutropenia or thrombocytopenia and requiring transfusions), refractory anemia with excess blasts, refractory anemia with excess blasts in transformation, and chronic myelomonocytic leukemia</t>
  </si>
  <si>
    <t>Tindamax</t>
  </si>
  <si>
    <t>tinidazole</t>
  </si>
  <si>
    <t>[A] treatment of trichomoniasis
[B] treatment of giardiasis
[C] treatment of amebiasis and amebic liver abscess</t>
  </si>
  <si>
    <t>Vitrase</t>
  </si>
  <si>
    <t>hyaluronidase (ovine)</t>
  </si>
  <si>
    <t>Apokyn</t>
  </si>
  <si>
    <t>apomorphine hydrochloride</t>
  </si>
  <si>
    <t>Apr 2004</t>
  </si>
  <si>
    <t>indicated for the acute, intermittent treatment of hypomobility, "off" episodes ("end-of-dose wearing off" and unpredictable "on/off" episodes) associated with advanced Parkinson's disease</t>
  </si>
  <si>
    <t>Apidra</t>
  </si>
  <si>
    <t>insulin glulisine</t>
  </si>
  <si>
    <t>treatment of adult patients with diabetes mellitus for the control of hyperglycemia</t>
  </si>
  <si>
    <t>ChiRhoStim</t>
  </si>
  <si>
    <t>human secretin</t>
  </si>
  <si>
    <t>indicated for stimulation of pancreatic secretions, including bicarbonate, to aid in the diagnosis of pancreatic exocrine dysfunction; also indicated for stimulation of gastrin secretion to aid in the diagnosis of gastrinoma; also indicated for stimulation of pancreatic secretions to facilitate the identification of the ampulla of Vater and accessory papilla during endoscopic retrograde cholangiopancreatography (ERCP)</t>
  </si>
  <si>
    <t>Ketek</t>
  </si>
  <si>
    <t>telithromycin</t>
  </si>
  <si>
    <t>treatment of infections caused by susceptible strains of  designated microorganisms in the conditions listed below, for patients 18 years old and above:  acute bacterial exacerbation of chronic bronchitis,  acute bacterial sinusitis, community-acquired pneumonia (of mild to moderate severity)</t>
  </si>
  <si>
    <t>Sensipar</t>
  </si>
  <si>
    <t>cinacalcet hydrochloride</t>
  </si>
  <si>
    <t>Mar 2004</t>
  </si>
  <si>
    <t>[A] treatment of secondary hyperparathyroidism in patients with chronic kidney disease on dialysis
[B] treatment of hypercalcemia in patients with parathyroid carcinoma</t>
  </si>
  <si>
    <t>Avastin</t>
  </si>
  <si>
    <t>bevacizumab</t>
  </si>
  <si>
    <t>Feb 2004</t>
  </si>
  <si>
    <t>in combination with intravenous 5-fluorouracil-based chemotherapy is indicated for the first-line treatment of patients with metastatic carcinoma of the colon and rectum</t>
  </si>
  <si>
    <t>Erbitux</t>
  </si>
  <si>
    <t>cetuximab</t>
  </si>
  <si>
    <t>in combination with irinotecan for treatment of EGFR-expressing, metastatic colorectal carcinoma in patients who are refractory to irinotecan-based chemotherapy; as a single agent for treatment of EGFR-expressing, metastatic colorectal carcinoma in patients who are intolerant to irinotecan-based chemotherapy</t>
  </si>
  <si>
    <t>Alimta</t>
  </si>
  <si>
    <t>pemetrexed disodium</t>
  </si>
  <si>
    <t>treatment of patients with malignant pleural mesothelioma whose disease is either unresectable or who are otherwise not candidates for curative surgery</t>
  </si>
  <si>
    <t>Spiriva Handihaler</t>
  </si>
  <si>
    <t>tiotropium bromide</t>
  </si>
  <si>
    <t>Jan 2004</t>
  </si>
  <si>
    <t>long-term, once-daily, maintenance treatment of bronchospasm associated with chronic obstructive pulmonary disease (COPD), including chronic bronchitis and emphysema</t>
  </si>
  <si>
    <t>Ertaczo</t>
  </si>
  <si>
    <t>sertaconazole nitrate</t>
  </si>
  <si>
    <t>Dec 2003</t>
  </si>
  <si>
    <t>treatment of interdigital tinea pedis in immunocompetent patients 12 years of age and older, caused by Trichophyton rubrum, Trichophyton mentagrophytes, and Epidermophyton floccosum</t>
  </si>
  <si>
    <t>Plenaxis</t>
  </si>
  <si>
    <t>abarelix</t>
  </si>
  <si>
    <t>Nov 2003</t>
  </si>
  <si>
    <t>palliative treatment of men with advanced symptomatic prostate cancer, in whom LHRH agonist therapy is not appropriate and who refuse surgical castration, and have one or more of the following:  risk of neurological compromise due to metastases, ureteral or bladder outlet obstruction due to local encroachment or metastatic disease, or severe bone pain from skeletal metastases persisting on narcotic analgesia</t>
  </si>
  <si>
    <t>Cialis</t>
  </si>
  <si>
    <t>tadalafil</t>
  </si>
  <si>
    <t>treatment of erectile dysfunction</t>
  </si>
  <si>
    <t>Raptiva</t>
  </si>
  <si>
    <t>efalizumab</t>
  </si>
  <si>
    <t>Oct 2003</t>
  </si>
  <si>
    <t>treatment of adult patients (18 years or older) with chronic moderate to severe plaque psoriasis who are candidates for systemic therapy or phototherapy</t>
  </si>
  <si>
    <t>Elestat</t>
  </si>
  <si>
    <t>epinastine hydrochloride</t>
  </si>
  <si>
    <t>prevention of itching associated with allergic conjunctivitis</t>
  </si>
  <si>
    <t>Namenda</t>
  </si>
  <si>
    <t>memantine hydrochloride</t>
  </si>
  <si>
    <t>treatment of moderate to severe dementia of the Alzheimer's type</t>
  </si>
  <si>
    <t>Radiogardase</t>
  </si>
  <si>
    <t>prussian blue</t>
  </si>
  <si>
    <t>treatment of patients with known or suspected internal contamination with radioactive cesium and/or radioactive or non-radioactive thallium to increase their rates of elimination</t>
  </si>
  <si>
    <t>Cubicin</t>
  </si>
  <si>
    <t>daptomycin</t>
  </si>
  <si>
    <t>Sep 2003</t>
  </si>
  <si>
    <t>treatment of complicated skin and skin structure infections caused by susceptible strains of Gram-positive microorganisms</t>
  </si>
  <si>
    <t>Levitra</t>
  </si>
  <si>
    <t>vardenafil hydrochloride</t>
  </si>
  <si>
    <t>Aug 2003</t>
  </si>
  <si>
    <t>Crestor</t>
  </si>
  <si>
    <t>rosuvastatin calcium</t>
  </si>
  <si>
    <t>indicated as an adjunct to diet to reduce elevated total-C in patients with primary hypercholesterolemia (heterozygous familial and nonfamilial) and mixed dyslipidemia (Frederickson Type IIa and IIb);  as an adjunct to diet for the treatment of patients with elevated serum TG levels (Frederickson Type IV); indicated to reduce LDL-C, total-C, and ApoB in patients with homozygous familial hypercholesterolemia as an adjunct to other lipid-lowering treatments (e.g., LDL apheresis) or if such treatments are unavailable)</t>
  </si>
  <si>
    <t>Zavesca</t>
  </si>
  <si>
    <t>miglustat</t>
  </si>
  <si>
    <t>Jul 2003</t>
  </si>
  <si>
    <t>treatment of mild to moderate Type I Gaucher disease in adults for whom enzyme replacement therapy is not a therapeutic option (e.g., due to constraints such as allergy, hypersensitivity, or poor venous access)</t>
  </si>
  <si>
    <t>Aloxi</t>
  </si>
  <si>
    <t>palonosetron hydrochloride</t>
  </si>
  <si>
    <t>prevention of acute nausea and vomiting associated with initial and repeat courses of moderately and highly emetogenic cancer chemotherapy; prevention of delayed nausea and vomiting associated with initial and repeat courses of moderately emetogenic cancer chemotherapy</t>
  </si>
  <si>
    <t>Emtriva</t>
  </si>
  <si>
    <t>emtricitabine</t>
  </si>
  <si>
    <t>indicated for the treatment of HIV infection in adults</t>
  </si>
  <si>
    <t>Bexxar</t>
  </si>
  <si>
    <t>tositumomab, iodine I 131 tositumomab</t>
  </si>
  <si>
    <t>Jun 2003</t>
  </si>
  <si>
    <t>indicated for the treatment of patients with CD20 positive, follicular, non-Hodgkin's lymphoma, with and without transformation, whose disease is refractory to Rituximab and has relapsed following chemotherapy</t>
  </si>
  <si>
    <t>Reyataz</t>
  </si>
  <si>
    <t>atazanavir sulfate</t>
  </si>
  <si>
    <t>in combination with other antiretroviral agents for the treatment of HIV-1 infection in adults</t>
  </si>
  <si>
    <t>Xolair</t>
  </si>
  <si>
    <t>omalizumab</t>
  </si>
  <si>
    <t>indicated for adults and adolescents (12 years of age and above) with moderate to severe persistent asthma who have a positive skin test or in vitro reactivity to a perennial aeroallergen and whose symptoms are inadequately controlled with inhaled corticosteroids</t>
  </si>
  <si>
    <t>Uroxatral</t>
  </si>
  <si>
    <t>alfuzosin hydrochloride</t>
  </si>
  <si>
    <t>treatment of the signs and symptoms of benign prostatic hyperplasia (BPH)</t>
  </si>
  <si>
    <t>Boniva</t>
  </si>
  <si>
    <t>ibandronate sodium</t>
  </si>
  <si>
    <t>May 2003</t>
  </si>
  <si>
    <t>treatment and prevention of postmenopausal osteoporosis</t>
  </si>
  <si>
    <t>Velcade</t>
  </si>
  <si>
    <t>bortezomib</t>
  </si>
  <si>
    <t>treatment of multiple myeloma patients who have received at least two prior therapies and have demonstrated disease progression on the last therapy</t>
  </si>
  <si>
    <t>Iressa</t>
  </si>
  <si>
    <t>gefitinib</t>
  </si>
  <si>
    <t>indicated as monotherapy for the treatment of patients with locally advanced or metastatic non-small cell lung cancer after failure of both platinum-based and docetaxel chemotherapies</t>
  </si>
  <si>
    <t>Aldurazyme</t>
  </si>
  <si>
    <t>laronidase</t>
  </si>
  <si>
    <t>Apr 2003</t>
  </si>
  <si>
    <t>indicated for patients with Hurler and Hurler-Scheie forms of Mucopolysaccharidosis I (MPS I) and for patients with the Scheie form who have moderate to severe symptoms</t>
  </si>
  <si>
    <t>Fabrazyme</t>
  </si>
  <si>
    <t>agalsidase beta</t>
  </si>
  <si>
    <t>indicated for use in patients with Fabry disease to reduce globotriaosylceramide (GL-3) deposition in capillary endothelium of the kidney and certain other cell types</t>
  </si>
  <si>
    <t>Factive</t>
  </si>
  <si>
    <t>gemifloxacin mesylate</t>
  </si>
  <si>
    <t>treatment of community-acquired pneumonia and acute bacterial exacerbation of chronic bronchitis</t>
  </si>
  <si>
    <t>aprepitant</t>
  </si>
  <si>
    <t>Mar 2003</t>
  </si>
  <si>
    <t>in combination with other antiemetic agents, for the prevention of acute and delayed nausea and vomiting associated with initial and repeat courses of highly emetogenic cancer chemotherapy, including high-dose cisplatin</t>
  </si>
  <si>
    <t>Somavert</t>
  </si>
  <si>
    <t>pegvisomant</t>
  </si>
  <si>
    <t>treatment of acromegaly in patients who have an inadequate response to surgery and/or radiation therapy and/or other medical therapies, or for whom these therapies are not appropriate</t>
  </si>
  <si>
    <t>Fuzeon</t>
  </si>
  <si>
    <t>enfuvirtide</t>
  </si>
  <si>
    <t>in combination with other antiretroviral agents, for the treatment of HIV-1 infection in treatment experienced patients with evidence of HIV-1 replication despite ongoing antiretroviral therapy</t>
  </si>
  <si>
    <t>Amevive</t>
  </si>
  <si>
    <t>alefacept</t>
  </si>
  <si>
    <t>Jan 2003</t>
  </si>
  <si>
    <t>treatment of adult patients with moderate to severe chronic plaque psoriasis who are candidates for systemic therapy or phototherapy</t>
  </si>
  <si>
    <t>Humira</t>
  </si>
  <si>
    <t>adalimumab</t>
  </si>
  <si>
    <t>Dec 2002</t>
  </si>
  <si>
    <t>indicated for reducing signs and symptoms and inhibiting the progression of structural damage in adult patients with moderately to severely active rheumatoid arthritis who have had an inadequate response to one or more disease-modifying anti-rheumatic drugs (DMARDs)</t>
  </si>
  <si>
    <t>Relpax</t>
  </si>
  <si>
    <t>eletriptan hydrobromide</t>
  </si>
  <si>
    <t>acute treatment of migraine</t>
  </si>
  <si>
    <t>Extraneal</t>
  </si>
  <si>
    <t>icodextrin</t>
  </si>
  <si>
    <t>indicated for a single daily exchange for the long (8-16-hour) dwell during continuous ambulatory peritoneal dialysis (CAPD) or automated peritoneal dialysis (APD) for the management of chronic renal failure</t>
  </si>
  <si>
    <t>Strattera</t>
  </si>
  <si>
    <t>atomoxetine hydrochloride</t>
  </si>
  <si>
    <t>Nov 2002</t>
  </si>
  <si>
    <t>treatment of Attention-Deficit Hyperactivity Disorder (ADHD) for children and adolescents ages 6-18 and adults</t>
  </si>
  <si>
    <t>Alinia</t>
  </si>
  <si>
    <t>nitazoxanide</t>
  </si>
  <si>
    <t>treatment of diarrhea caused by Cryptosporidium parvum and Giardia lamblia</t>
  </si>
  <si>
    <t>Abilify</t>
  </si>
  <si>
    <t>aripiprazole</t>
  </si>
  <si>
    <t>Zetia</t>
  </si>
  <si>
    <t>ezetimibe</t>
  </si>
  <si>
    <t>Oct 2002</t>
  </si>
  <si>
    <t>indicated as adjunctive therapy to diet for reduction of elevated total-C, LDL-C and Apo B in patients with primary (heterozygous familial and non-familial) hypercholesterolemia either alone or with an HMG-Co A reductase inhibitor; treatment of homozygous familial hypercholesterolemia in combination with either atorvastatin or simvastatin, as an adjunct to other lipid-lowering treatments (e.g., LDL apheresis) or, if such treatments are unavailable, in combination with either atorvastatin or simvastatin alone; treatment of homozygous familial sitosterolemia as adjunctive therapy to diet for the reduction of elevated sitosterol and campesterol levels</t>
  </si>
  <si>
    <t>Pegasys</t>
  </si>
  <si>
    <t>peginterferon alfa-2a</t>
  </si>
  <si>
    <t>treatment of adults with chronic hepatitis C who have compensated liver disease and who have not been previously treated with interferon alfa</t>
  </si>
  <si>
    <t>Inspra</t>
  </si>
  <si>
    <t>eplerenone</t>
  </si>
  <si>
    <t>Sep 2002</t>
  </si>
  <si>
    <t>treatment of hypertension, alone or in combination with other agents</t>
  </si>
  <si>
    <t>Hepsera</t>
  </si>
  <si>
    <t>adefovir dipivoxil</t>
  </si>
  <si>
    <t>treatment of chronic hepatitis B in adults with evidence of active viral replication and either evidence of persistent elevations in serum alanine aminotransferase (ALT)/aspartate aminotransferase (AST) or histologically active disease</t>
  </si>
  <si>
    <t>Eloxatin</t>
  </si>
  <si>
    <t>oxaliplatin</t>
  </si>
  <si>
    <t>Aug 2002</t>
  </si>
  <si>
    <t>in combination with infusional 5-FU/LV for the treatment of patients with metastatic carcinoma of the colon or rectum whose disease has recurred or progressed during or within 6 months of completion of first line therapy with the combination of bolus 5-FU/LV and irinotecan</t>
  </si>
  <si>
    <t>Zelnorm</t>
  </si>
  <si>
    <t>tegaserod maleate</t>
  </si>
  <si>
    <t>Jul 2002</t>
  </si>
  <si>
    <t>short-term treatment of women with irritable bowel syndrome whose primary bowel symptom is constipation</t>
  </si>
  <si>
    <t>Xyrem</t>
  </si>
  <si>
    <t>sodium oxybate</t>
  </si>
  <si>
    <t>treatment of cataplexy associated with narcolepsy</t>
  </si>
  <si>
    <t>Elitek</t>
  </si>
  <si>
    <t>rasburicase</t>
  </si>
  <si>
    <t>indicated for the initial management of plasma uric acid levels in pediatric patients with leukemia, lymphoma, and solid tumor malignancies who are receiving anti-cancer therapy expected to result in tumor lysis and subsequent elevation of plasma uric acid</t>
  </si>
  <si>
    <t>Imagent</t>
  </si>
  <si>
    <t>dimyristoylphosphatidylcholine, perflexane</t>
  </si>
  <si>
    <t>May 2002</t>
  </si>
  <si>
    <t>indicated for the use in patients with suboptimal echocardiograms to opacify the left ventricular chamber and to improve the delineation of the left ventricular endocardial border</t>
  </si>
  <si>
    <t>Vfend</t>
  </si>
  <si>
    <t>voriconazole</t>
  </si>
  <si>
    <t>treatment of invasive aspergillosis and serious fungal infections caused by Scedosporium apiospermum and Fusarium spp., including Fusarium solani, in patients intolerant of, or refractory to, other therapy</t>
  </si>
  <si>
    <t>Remodulin</t>
  </si>
  <si>
    <t>treprostinil sodium</t>
  </si>
  <si>
    <t>treatment of pulmonary arterial hypertension</t>
  </si>
  <si>
    <t>Faslodex</t>
  </si>
  <si>
    <t>fulvestrant</t>
  </si>
  <si>
    <t>Apr 2002</t>
  </si>
  <si>
    <t>treatment of hormone receptor positive metastatic breast cancer in postmenopausal women with disease progression following antiestrogen therapy</t>
  </si>
  <si>
    <t>Benicar</t>
  </si>
  <si>
    <t>olmesartan medoxomil</t>
  </si>
  <si>
    <t>Rebif</t>
  </si>
  <si>
    <t>interferon beta-1a</t>
  </si>
  <si>
    <t>Mar 2002</t>
  </si>
  <si>
    <t>treatment of patients with relapsing forms of multiple sclerosis to decrease the frequency of clinical exacerbations and delay the accumulation of physical disability</t>
  </si>
  <si>
    <t>Zevalin</t>
  </si>
  <si>
    <t>ibritumomab tiuxetan</t>
  </si>
  <si>
    <t>Feb 2002</t>
  </si>
  <si>
    <t>as part of a specific therapeutic regimen including Rituximab, Indium-111, Ibritumomab Tiuxetan, and Yttrium-90 Ibritumomab Tiuxetan, is indicated for the treatment of patients with relapsed or refractory low-grade, follicular, or transformed B-cell non-Hodgkin's lymphoma, including patients with Rituximab (Rituxan) refractory follicular non-Hodgkin’s lymphoma</t>
  </si>
  <si>
    <t>Neulasta</t>
  </si>
  <si>
    <t>pegfilgrastim</t>
  </si>
  <si>
    <t>Jan 2002</t>
  </si>
  <si>
    <t>indicated to decrease the incidence of infection, as manifested by febrile neutropenia, in patients with non-myeloid malignancies receiving myelosuppressive anti-cancer drugs associated with a clinically significant incidence of febrile neutropenia</t>
  </si>
  <si>
    <t>Orfadin</t>
  </si>
  <si>
    <t>nitisinone</t>
  </si>
  <si>
    <t>indicated as adjunctive therapy to dietary restriction of tyrosine and phenylalanine in the treatment of hereditary tyrosinemia type 1</t>
  </si>
  <si>
    <t>Clarinex</t>
  </si>
  <si>
    <t>desloratadine</t>
  </si>
  <si>
    <t>Dec 2001</t>
  </si>
  <si>
    <t>indicated for the relief of the nasal and non-nasal symptoms of seasonal allergic rhinitis in patients 12 years of age and older</t>
  </si>
  <si>
    <t>Elidel</t>
  </si>
  <si>
    <t>pimecrolimus</t>
  </si>
  <si>
    <t>short-term and intermittent long-term therapy in the treatment of mild to moderate atopic dermatitis in non-immunocompromised patients 2 years of age and older, in whom the use of alternative, conventional therapies is deemed inadvisable because of potential risks, or in the treatment of patients who are not adequately responsive to or intolerant of alternative, conventional therapies</t>
  </si>
  <si>
    <t>Arixtra</t>
  </si>
  <si>
    <t>fondaparinux sodium</t>
  </si>
  <si>
    <t>indicated for the prophylaxis of deep vein thrombosis, which may lead to pulmonary embolism, in patients undergoing hip fracture surgery, hip replacement surgery, or knee replacement surgery</t>
  </si>
  <si>
    <t>Invanz</t>
  </si>
  <si>
    <t>ertapenem sodium</t>
  </si>
  <si>
    <t>Nov 2001</t>
  </si>
  <si>
    <t>treatment of complicated intra-abdominal infections; complicated skin and skin structure infections; community acquired pneumonia; complicated urinary tract infections including pyelonephritis; acute pelvic infections including postpartum endomyometritis, septic abortion and post surgical gynecologic infections</t>
  </si>
  <si>
    <t>Xigris</t>
  </si>
  <si>
    <t>drotrecogin alfa</t>
  </si>
  <si>
    <t>indicated for the reduction of mortality in adult patients with severe sepsis (sepsis associated with acute organ dysfunction) who have a high risk of death</t>
  </si>
  <si>
    <t>Avodart</t>
  </si>
  <si>
    <t>dutasteride</t>
  </si>
  <si>
    <t>treatment of symptomatic benign prostatic hyperplasia in men with an enlarged prostate gland</t>
  </si>
  <si>
    <t>Ortho Evra</t>
  </si>
  <si>
    <t>norelgestromin, ethinyl estradiol</t>
  </si>
  <si>
    <t>indicated for the prevention of pregnancy</t>
  </si>
  <si>
    <t>Tracleer</t>
  </si>
  <si>
    <t>bosentan</t>
  </si>
  <si>
    <t>indicated for the treatment of pulmonary arterial hypertension</t>
  </si>
  <si>
    <t>Bextra</t>
  </si>
  <si>
    <t>valdecoxib</t>
  </si>
  <si>
    <t>indicated for the relief of signs and symptoms of osteoarthritis and adult rheumatoid arthritis and for the treatment of primary dysmenorrhea</t>
  </si>
  <si>
    <t>Kineret</t>
  </si>
  <si>
    <t>anakinra</t>
  </si>
  <si>
    <t>indicated for the reduction in signs and symptoms of moderately to severely active rheumatoid arthritis, in patients 18 years of age or older who have failed one or more disease modifying antirheumatic drugs (DMARDs)</t>
  </si>
  <si>
    <t>Frova</t>
  </si>
  <si>
    <t>frovatriptan</t>
  </si>
  <si>
    <t>Viread</t>
  </si>
  <si>
    <t>tenofovir disoproxil fumarate</t>
  </si>
  <si>
    <t>Oct 2001</t>
  </si>
  <si>
    <t>NuvaRing</t>
  </si>
  <si>
    <t>etonogestrel, ethinyl estradiol</t>
  </si>
  <si>
    <t>indicated for the prevention of pregnancy in women who elect to use this product as a method of contraception</t>
  </si>
  <si>
    <t>Aranesp</t>
  </si>
  <si>
    <t>darbepoetin alfa</t>
  </si>
  <si>
    <t>Sep 2001</t>
  </si>
  <si>
    <t>treatment of anemia associated with chronic renal failure, including patients on dialysis and patients not on dialysis</t>
  </si>
  <si>
    <t>Spectracef</t>
  </si>
  <si>
    <t>cefditoren pivoxil</t>
  </si>
  <si>
    <t>Aug 2001</t>
  </si>
  <si>
    <t>treatment of acute bacterial exacerbation of chronic bronchitis, pharyngitis/tonsillitis, and uncomplicated skin and skin structure infections</t>
  </si>
  <si>
    <t>Zometa</t>
  </si>
  <si>
    <t>zoledronic acid</t>
  </si>
  <si>
    <t>treatment of hypercalcemia of malignancy</t>
  </si>
  <si>
    <t>Natrecor</t>
  </si>
  <si>
    <t>nesiritide</t>
  </si>
  <si>
    <t>treatment of patients with acutely decompensated congestive heart failure who have dyspnea at rest or with minimal activity</t>
  </si>
  <si>
    <t>Definity</t>
  </si>
  <si>
    <t>perflutren lipid microsphere</t>
  </si>
  <si>
    <t>Jul 2001</t>
  </si>
  <si>
    <t>indicated for use in patients with suboptimal echocardiograms to opacify the left ventricular chamber and to improve the delineation of the left ventricular endocardial border</t>
  </si>
  <si>
    <t>Yasmin</t>
  </si>
  <si>
    <t>drospirenone,ethinyl estradiol</t>
  </si>
  <si>
    <t>May 2001</t>
  </si>
  <si>
    <t>indicated for the prevention of pregnancy in women who elect to use an oral contraceptive</t>
  </si>
  <si>
    <t>Gleevec</t>
  </si>
  <si>
    <t>imatinib mesylate</t>
  </si>
  <si>
    <t>indicated for the treatment of patients with chronic myeloid leukemia (CML) in blast crisis, accelerated phase, or in chronic phase after failure of interferon-alpha therapy</t>
  </si>
  <si>
    <t>Campath</t>
  </si>
  <si>
    <t>alemtuzumab</t>
  </si>
  <si>
    <t>treatment of patients with B-cell chronic lymphocytic leukemia who have been treated with alkylating agents and who have failed fludarabine therapy</t>
  </si>
  <si>
    <t>Axert</t>
  </si>
  <si>
    <t>almotriptan malate</t>
  </si>
  <si>
    <t>indicated for the acute treatment of migraine with or without aura in adults</t>
  </si>
  <si>
    <t>Travatan</t>
  </si>
  <si>
    <t>travoprost</t>
  </si>
  <si>
    <t>Mar 2001</t>
  </si>
  <si>
    <t>indicated for the reduction of intraocular pressure in patients with open-angle glaucoma or ocular hypertension who are intolerant of other intraocular pressure lowering medications or insufficiently responsive (failed to achieve target IOP determined after multiple measurements over time) to another intraocular pressure lowering medication</t>
  </si>
  <si>
    <t>Lumigan</t>
  </si>
  <si>
    <t>bimatoprost</t>
  </si>
  <si>
    <t>indicated for the reduction of elevated intraocular pressure in patients with open angle glaucoma or ocular hypertension who are intolerant of other intraocular pressure lowering medications or insufficiently responsive (failed to achieve target IOP determined after multiple measurements over time) to another intraocular pressure lowering medication</t>
  </si>
  <si>
    <t>Reminyl</t>
  </si>
  <si>
    <t>galantamine hydrobromide</t>
  </si>
  <si>
    <t>Feb 2001</t>
  </si>
  <si>
    <t>treatment of mild to moderate dementia of the Alzheimer's type</t>
  </si>
  <si>
    <t>Foradil</t>
  </si>
  <si>
    <t>formoterol fumarate</t>
  </si>
  <si>
    <t>indicated for the long-term, administration in the maintenance treatment of asthma and in the prevention of bronchospasm in adults and children 5 years of age and older with reversible obstructive airways disease, including patients with symptoms of nocturnal asthma; also indicated for the acute prevention of exercise-induced bronchospasm (EIB) in adults and children 12 years of age and older, when administered on an occasional, as-needed basis</t>
  </si>
  <si>
    <t>Geodon</t>
  </si>
  <si>
    <t>ziprasidone hydrochloride</t>
  </si>
  <si>
    <t>Cancidas</t>
  </si>
  <si>
    <t>caspofungin acetate</t>
  </si>
  <si>
    <t>Jan 2001</t>
  </si>
  <si>
    <t>treatment of invasive aspergillosis in patients who are refractory to or intolerant of other therapies</t>
  </si>
  <si>
    <t>Peg-Intron</t>
  </si>
  <si>
    <t>peginterferon alfa-2b</t>
  </si>
  <si>
    <t>treatment of chronic hepatitis C in patients not previously treated with interferon alfa who have compensated liver disease and are at least 18 years of age</t>
  </si>
  <si>
    <t>Starlix</t>
  </si>
  <si>
    <t>nateglinide</t>
  </si>
  <si>
    <t>Dec 2000</t>
  </si>
  <si>
    <t>indicated  as  monotherapy  to  lower  blood  glucose  in  patients  with  Type  2  diabetes (non-insulin   dependent   diabetes   mellitus,   NIDDM)   whose   hyperglycemia   cannot   be adequately controlled by diet and physical exercise and who have not been chronically treated with other anti-diabetic agents; also indicated   for   use   in   combination   with   metformin in  patients   whose hyperglycemia  is  inadequately  controlled  with  metformin,  Starlix    may  be  added  to,  but  not substituted for, metformin</t>
  </si>
  <si>
    <t>Angiomax</t>
  </si>
  <si>
    <t>bivalirudin</t>
  </si>
  <si>
    <t>indicated for use as an anticoagulant in conjunction with aspirin in patients with unstable angina undergoing percutaneous transluminal coronary angioplasty (PTCA)</t>
  </si>
  <si>
    <t>Myobloc</t>
  </si>
  <si>
    <t>botulinum toxin type B</t>
  </si>
  <si>
    <t>treatment of patients with cervical dystonia to reduce the severity of abnormal head position and neck pain associated with cervical dystonia</t>
  </si>
  <si>
    <t>Mifeprex</t>
  </si>
  <si>
    <t>mifepristone</t>
  </si>
  <si>
    <t>Sep 2000</t>
  </si>
  <si>
    <t>indicated for medical termination of intrauterine pregnancy through 49 days’ pregnancy</t>
  </si>
  <si>
    <t>Trisenox</t>
  </si>
  <si>
    <t>arsenic trioxide</t>
  </si>
  <si>
    <t>indicated for induction of remission and consolidation in patients with acute promyelocytic leukemia (APL) who are refractory to, or have relapsed from, retinoid and anthracycline chemotherapy, and whose APL is characterized by the presence of the t(15;17) translocation or PML/RAR-alpha gene expression</t>
  </si>
  <si>
    <t>Kaletra</t>
  </si>
  <si>
    <t>lopinavir, ritonavir</t>
  </si>
  <si>
    <t>in combination with other antiretroviral agents for the treatment of HIV-1 infections in adults and pediatric patients age six months and older</t>
  </si>
  <si>
    <t>Cetrotide</t>
  </si>
  <si>
    <t>cetrorelix acetate</t>
  </si>
  <si>
    <t>Aug 2000</t>
  </si>
  <si>
    <t>prevention of premature LH surges in women undergoing controlled ovarian stimulation</t>
  </si>
  <si>
    <t>Rescula</t>
  </si>
  <si>
    <t>unoprostone isopropyl</t>
  </si>
  <si>
    <t>indicated for the lowering of intraocular pressure in patients with open-angel glaucoma or ocular hypertension who are intolerant of other intraocular pressure lowering medications or insufficiently responsive (failed to achieve target IOP determined after multiple measurements over time) to another intraocular pressure lowering medication</t>
  </si>
  <si>
    <t>Abreva</t>
  </si>
  <si>
    <t>docosanol</t>
  </si>
  <si>
    <t>Jul 2000</t>
  </si>
  <si>
    <t>treatment of cold sores and fever blisters</t>
  </si>
  <si>
    <t>Colazal</t>
  </si>
  <si>
    <t>balsalazide disodium</t>
  </si>
  <si>
    <t>treatment of mildly to moderate active ulcerative colitis</t>
  </si>
  <si>
    <t>Innohep</t>
  </si>
  <si>
    <t>tinzaparin sodium</t>
  </si>
  <si>
    <t>treatment of acute symptomatic deep vein thrombosis with or without pulmonary embolism when administered in conjunction with warfarin sodium</t>
  </si>
  <si>
    <t>Acova</t>
  </si>
  <si>
    <t>argatroban</t>
  </si>
  <si>
    <t>Jun 2000</t>
  </si>
  <si>
    <t>indicated as an anticoagulant for prophylaxis or treatment of thrombosis in patients with heparin-induced thrombocytopenia</t>
  </si>
  <si>
    <t>Trelstar Depot</t>
  </si>
  <si>
    <t>triptorelin pamoate</t>
  </si>
  <si>
    <t>palliative treatment of advanced prostate cancer</t>
  </si>
  <si>
    <t>Novolog</t>
  </si>
  <si>
    <t>insulin aspart recombinant</t>
  </si>
  <si>
    <t>treatment of adult patients with diabetes mellitus, for the control of hyperglycemia</t>
  </si>
  <si>
    <t>TNKase</t>
  </si>
  <si>
    <t>tenecteplase</t>
  </si>
  <si>
    <t>indicated for reduction of mortality associated with acute myocardial infarction (AMI)</t>
  </si>
  <si>
    <t>Welchol</t>
  </si>
  <si>
    <t>colesevelam hydrochloride</t>
  </si>
  <si>
    <t>May 2000</t>
  </si>
  <si>
    <t>alone or in combination with an HMG-CoA reductase inhibitor, for the reduction of elevated LDL-cholesterol in patients with primary hypercholesterolemia (Frederickson Type IIa)</t>
  </si>
  <si>
    <t>Mylotarg</t>
  </si>
  <si>
    <t>gemtuzumab ozogamicin</t>
  </si>
  <si>
    <t>treatment of patients with CD33 positive acute myeloid leukemia in first relapse who are 60 years of age or older and who are not considered candidates for cytotoxic chemotherapy</t>
  </si>
  <si>
    <t>Exelon</t>
  </si>
  <si>
    <t>rivastigmine tartrate</t>
  </si>
  <si>
    <t>Apr 2000</t>
  </si>
  <si>
    <t>treatment of mild to moderate dementia of the Alzheimer’s type</t>
  </si>
  <si>
    <t>Lantus</t>
  </si>
  <si>
    <t>insulin glargine</t>
  </si>
  <si>
    <t>treatment of adult and pediatric patients with type 1 diabetes mellitus or adult patients with type 2 diabetes mellitus who require basal (long-acting) insulin for the control of hyperglycemia</t>
  </si>
  <si>
    <t>Zyvox</t>
  </si>
  <si>
    <t>linezolid</t>
  </si>
  <si>
    <t>treatment of adult patients with vancomycin-resistant Enterococcus faecium infections, nosocomial pneumonia, complicated and uncomplicated skin and skin structure infections, and community-acquired pneumonia</t>
  </si>
  <si>
    <t>Mobic</t>
  </si>
  <si>
    <t>meloxicam</t>
  </si>
  <si>
    <t>indicated for the relief of the signs and symptoms of osteoarthritis</t>
  </si>
  <si>
    <t>Visudyne</t>
  </si>
  <si>
    <t>verteporfin</t>
  </si>
  <si>
    <t>treatment of age-related macular degeneration in patients with predominantly classic subfoveal choroidal neovascularization</t>
  </si>
  <si>
    <t>Septocaine</t>
  </si>
  <si>
    <t>articaine hydrochloride, ephinephrine</t>
  </si>
  <si>
    <t>indicated for local, infiltrative, or conductive anesthesia in both simple and complex dental and periodontal procedures</t>
  </si>
  <si>
    <t>Zonegran</t>
  </si>
  <si>
    <t>zonisamide</t>
  </si>
  <si>
    <t>Mar 2000</t>
  </si>
  <si>
    <t>indicated as an adjunctive therapy in the treatment of partial seizures in adults with epilepsy</t>
  </si>
  <si>
    <t>Skin Exposure Reduction Paste Against Chemical Warfare Agents (SERPACWA)</t>
  </si>
  <si>
    <t>perfluoroalkylpolyether, polytetrafluoroethylene</t>
  </si>
  <si>
    <t>Feb 2000</t>
  </si>
  <si>
    <t>in conjunction with Mission Oriented Protective Posture (MOPP) gear to reduce or delay the absorption of chemical warfare agents through the skin when applied prior to exposure</t>
  </si>
  <si>
    <t>Lotronex</t>
  </si>
  <si>
    <t>alosetron hydrochloride</t>
  </si>
  <si>
    <t>treatment of irritable bowel syndrome (IBS) in female patients whose predominant bowel symptom is diarrhea</t>
  </si>
  <si>
    <t>Protonix</t>
  </si>
  <si>
    <t>pantoprazole sodium</t>
  </si>
  <si>
    <t>short-term treatment (up to 8 weeks) in the healing and symptomatic relief of erosive esophagitis</t>
  </si>
  <si>
    <t>Trileptal</t>
  </si>
  <si>
    <t>oxcarbazepine</t>
  </si>
  <si>
    <t>Jan 2000</t>
  </si>
  <si>
    <t>indicated for use as monotherapy or adjunctive therapy in the treatment of partial seizures in adults with epilepsy and as adjunctive therapy in the treatment of partial seizures in children ages 4-16 with epilepsy</t>
  </si>
  <si>
    <t>Evoxac</t>
  </si>
  <si>
    <t>cevimeline hydrochloride</t>
  </si>
  <si>
    <t>treatment of symptoms of dry mouth in patients with Sjögren's Syndrome</t>
  </si>
  <si>
    <t>Targretin</t>
  </si>
  <si>
    <t>bexarotene</t>
  </si>
  <si>
    <t>Dec 1999</t>
  </si>
  <si>
    <t>treatment of cutaneous manifestations of cutaneous T-cell lymphoma in patients who are refractory to at least one prior systemic therapy</t>
  </si>
  <si>
    <t>Inomax</t>
  </si>
  <si>
    <t>nitric oxide</t>
  </si>
  <si>
    <t>indicated in conjunction with ventilatory support and other appropriate agents, is indicated for the treatment of term and near-term (&gt;34 weeks) neonates with hypoxic respiratory failure associated with clinical or echocardiographic evidence or pulmonary hypertension, where it improves oxygenation and reduces the need for extracorporeal membrane oxygenation</t>
  </si>
  <si>
    <t>Tequin</t>
  </si>
  <si>
    <t>gatifloxacin</t>
  </si>
  <si>
    <t>indicated for the treatment of infections caused by susceptible strains of designated microorganisms in the
following conditions: acute bacterial exacerbation of chronic bronchitis, acute sinusitis, community-acquired pneumonia, uncomplicated and complicated urinary tract infections, pyelonephritis, and uncomplicated gonorrhea</t>
  </si>
  <si>
    <t>Precedex</t>
  </si>
  <si>
    <t>dexmedetomidine hydrochloride</t>
  </si>
  <si>
    <t>indicated for the sedation of initially intubated and mechanically ventilated adult patients in an intensive care unit setting</t>
  </si>
  <si>
    <t>Solage</t>
  </si>
  <si>
    <t>mequinol, tretinoin</t>
  </si>
  <si>
    <t>treatment of solar lentigines</t>
  </si>
  <si>
    <t>Avelox</t>
  </si>
  <si>
    <t>moxifloxacin hydrochloride</t>
  </si>
  <si>
    <t>indicated for the treatment of adults with infections caused by susceptible strains of  designated microorganisms in the
following conditions: acute bacterial sinusitis, acute bacterial exacerbation of chronic bronchitis, community-acquired pneumonia</t>
  </si>
  <si>
    <t>Optimark</t>
  </si>
  <si>
    <t>gadoversetamide</t>
  </si>
  <si>
    <t>indicated for the use with magnetic resonance imaging (MRI) in patients with an abnormal blood barrier or abnormal vascularity of the brain, spine and associated tissues; and with MRI to provide contrast enhancement and facilitate visualization of lesions with abnormal vascularity in the liver in patients who are highly suspect for liver structural abnormalities identified on computerized tomography</t>
  </si>
  <si>
    <t>Levulan Kerastick</t>
  </si>
  <si>
    <t>aminolevulinic acid hydrochloride</t>
  </si>
  <si>
    <t>Levulan Kerastick plus blue light illumination using the BLU-U Blue Light Photodynamic Therapy Illuminator is indicated for the treatment of non-hyperkeratotic actinic keratoses of the face and scalp</t>
  </si>
  <si>
    <t>Keppra</t>
  </si>
  <si>
    <t>levetiracetam</t>
  </si>
  <si>
    <t>Nov 1999</t>
  </si>
  <si>
    <t>indicated as an adjunctive therapy in the treatment of partial onset seizures in adults with epilepsy</t>
  </si>
  <si>
    <t>Curosurf</t>
  </si>
  <si>
    <t>poractant</t>
  </si>
  <si>
    <t>treatment (rescue) of Respiratory Distress Syndrome (RDS) in premature infants</t>
  </si>
  <si>
    <t>Tamiflu</t>
  </si>
  <si>
    <t>oseltamivir phosphate</t>
  </si>
  <si>
    <t>Oct 1999</t>
  </si>
  <si>
    <t>treatment of uncomplicated acute illness due to influenza infections in adults who have been symptomatic for no more than
two days</t>
  </si>
  <si>
    <t>Aromasin</t>
  </si>
  <si>
    <t>exemestane</t>
  </si>
  <si>
    <t>treatment of advanced breast cancer in postmenopausal women whose disease has progressed following tamoxifen therapy</t>
  </si>
  <si>
    <t>Comtan</t>
  </si>
  <si>
    <t>entacapone</t>
  </si>
  <si>
    <t>indicated as an adjunct to levodopa/carbidopa to treat patients with idiopathic Parkinson’s Disease who experience the signs and symptoms of end-of-dose "wearing-off" (so called "fluctuating" patients)</t>
  </si>
  <si>
    <t>Tikosyn</t>
  </si>
  <si>
    <t>dofetilide</t>
  </si>
  <si>
    <t>indicated for the maintenance of normal sinus rhythm (delay in time to recurrence of atrial fibrillation/atrial flutter) in patients with atrial fibrillation /atrial flutter of greater than one week duration who have been converted to normal sinus rhythm</t>
  </si>
  <si>
    <t>Alamast</t>
  </si>
  <si>
    <t>pemirolast potassium</t>
  </si>
  <si>
    <t>Sep 1999</t>
  </si>
  <si>
    <t>prevention of itching of the eye due to allergic conjunctivitis</t>
  </si>
  <si>
    <t>Synercid</t>
  </si>
  <si>
    <t>dalfopristin, quinupristin</t>
  </si>
  <si>
    <t>[A] treatment of vancomycin resistant Enterococcus faecium
[B] treatment of complicated skin and skin structure infections</t>
  </si>
  <si>
    <t>Ellence</t>
  </si>
  <si>
    <t>epirubicin hydrochloride</t>
  </si>
  <si>
    <t>indicated as a component of adjuvant therapy in patients with evidence of axillary node tumor involvement following resection of primary breast cancer</t>
  </si>
  <si>
    <t>Rapamune</t>
  </si>
  <si>
    <t>sirolimus</t>
  </si>
  <si>
    <t>prophylaxis of organ rejection in patients receiving renal transplants</t>
  </si>
  <si>
    <t>Aciphex</t>
  </si>
  <si>
    <t>rabeprazole sodium</t>
  </si>
  <si>
    <t>Aug 1999</t>
  </si>
  <si>
    <t>indicated for: healing of erosive or ulcerative gastroesophageal reflux disease (GERD); maintenance of healing of erosive or ulcerative GERD; healing of duodenal ulcer; treatment of pathological hypersecretory conditions, including Zollinger-Ellison Syndrome</t>
  </si>
  <si>
    <t>Raplon</t>
  </si>
  <si>
    <t>rapacuronium bromide</t>
  </si>
  <si>
    <t>indicated for outpatients and inpatients as an adjunct to general anesthesia to facilitate tracheal intubation, and to provide skeletal muscle relaxation during surgical procedures</t>
  </si>
  <si>
    <t>Sonata</t>
  </si>
  <si>
    <t>zaleplon</t>
  </si>
  <si>
    <t>short-term treatment of insomnia</t>
  </si>
  <si>
    <t>Temodar</t>
  </si>
  <si>
    <t>temozolomide</t>
  </si>
  <si>
    <t>treatment of adult patients with refractory anaplastic astrocytoma, i.e., patients at first relapse who have experienced disease progression on a drug regimen containing a nitrosourea and procarbazine</t>
  </si>
  <si>
    <t>NeoTect</t>
  </si>
  <si>
    <t>technetium Tc 99m depreotide</t>
  </si>
  <si>
    <t>indicated as a scintigraphic imaging agent that identifies somatostatin receptor-bearing pulmonary masses in patients presenting with pulmonary lesions on computed tomography and/or chest x-ray who have known malignancy or who are highly suspect for malignancy</t>
  </si>
  <si>
    <t>Antagon</t>
  </si>
  <si>
    <t>ganirelix acetate</t>
  </si>
  <si>
    <t>Jul 1999</t>
  </si>
  <si>
    <t>indicated for the inhibition of premature LH surges in women undergoing controlled ovarian hyperstimulation</t>
  </si>
  <si>
    <t>Relenza</t>
  </si>
  <si>
    <t>zanamivir</t>
  </si>
  <si>
    <t>treatment of uncomplicated acute illness due to influenza virus in adults and adolescents twelve years and older who have been symptomatic for no more than two days</t>
  </si>
  <si>
    <t>Actos</t>
  </si>
  <si>
    <t>pioglitazone hydrochloride</t>
  </si>
  <si>
    <t>indicated for the improvement of glycemic control in patients with type 2 diabetes as monotherapy, or in combination with a sulfonylurea, metformin or insulin when diet and the single agent does not result in adequate glycemic control</t>
  </si>
  <si>
    <t>Zaditor</t>
  </si>
  <si>
    <t>ketotifen fumarate</t>
  </si>
  <si>
    <t>Hectorol</t>
  </si>
  <si>
    <t>doxercalciferol</t>
  </si>
  <si>
    <t>Jun 1999</t>
  </si>
  <si>
    <t>indicated for the reduction of elevated iPTH levels in the management of secondary hyperparathyroidism in patients undergoing chronic renal dialysis</t>
  </si>
  <si>
    <t>Avandia</t>
  </si>
  <si>
    <t>rosiglitazone maleate</t>
  </si>
  <si>
    <t>May 1999</t>
  </si>
  <si>
    <t>indicated as an adjunct to diet and exercise to improve glycemic control in patients with Type 2 diabetes mellitus as monotherapy or in combination with metformin</t>
  </si>
  <si>
    <t>Vioxx</t>
  </si>
  <si>
    <t>rofecoxib</t>
  </si>
  <si>
    <t>indicated for the relief of the signs and symptoms of osteoarthritis, for the management of acute pain, and for the treatment of primary dysmenorrhea</t>
  </si>
  <si>
    <t>Xenical</t>
  </si>
  <si>
    <t>orlistat</t>
  </si>
  <si>
    <t>Apr 1999</t>
  </si>
  <si>
    <t>indicated for obesity management including weight loss and weight maintenance when used in conjunction with a reduced-calorie diet;  also indicated to reduce the risk for weight re-gain after prior loss</t>
  </si>
  <si>
    <t>Agenerase</t>
  </si>
  <si>
    <t>amprenavir</t>
  </si>
  <si>
    <t>in combination with other antiretroviral agents, for the treatment of HIV-1 infection</t>
  </si>
  <si>
    <t>Wellferon</t>
  </si>
  <si>
    <t>interferon alfa-n1</t>
  </si>
  <si>
    <t>Mar 1999</t>
  </si>
  <si>
    <t>treatment of chronic hepatitis C in patients 18 years of age or older without decompensated liver disease</t>
  </si>
  <si>
    <t>Ferrlecit</t>
  </si>
  <si>
    <t>sodium ferric gluconate complex</t>
  </si>
  <si>
    <t>Feb 1999</t>
  </si>
  <si>
    <t>treatment of iron deficiency anemia in patients undergoing chronic hemodialysis who are receiving supplemental erythropoietin therapy</t>
  </si>
  <si>
    <t>Ontak</t>
  </si>
  <si>
    <t>denileukin diftitox</t>
  </si>
  <si>
    <t>treatment of patients with persistent or recurrent cutaneous T-cell lymphoma whose malignant cells express the CD25 component of the IL-2 receptor</t>
  </si>
  <si>
    <t>Panretin</t>
  </si>
  <si>
    <t>alitretinoin</t>
  </si>
  <si>
    <t>topical treatment of cutaneous lesions in patients with AIDS-related Kaposi’s sarcoma</t>
  </si>
  <si>
    <t>Pletal</t>
  </si>
  <si>
    <t>cilostazol</t>
  </si>
  <si>
    <t>Jan 1999</t>
  </si>
  <si>
    <t>indicated for the reduction of symptoms of intermittent claudication</t>
  </si>
  <si>
    <t>Celebrex</t>
  </si>
  <si>
    <t>celecoxib</t>
  </si>
  <si>
    <t>Dec 1998</t>
  </si>
  <si>
    <t>indicated for relief of the signs and symptoms of osteoarthritis; also indicated for relief of signs and symptoms of rheumatoid arthritis in adults</t>
  </si>
  <si>
    <t>ThymoglobulinAnti-thymocyte Globulin (Rabbit)</t>
  </si>
  <si>
    <t>Treatment of acute rejection in renal transplant patients</t>
  </si>
  <si>
    <t>https://wayback.archive-it.org/7993/20170111093349/http://www.fda.gov/BiologicsBloodVaccines/DevelopmentApprovalProcess/BiologicalApprovalsbyYear/ucm180084.htm</t>
  </si>
  <si>
    <t>Transfusion</t>
  </si>
  <si>
    <t>Whole Blood</t>
  </si>
  <si>
    <t>Red Blood Cells</t>
  </si>
  <si>
    <t>Plasma</t>
  </si>
  <si>
    <t>Provigil</t>
  </si>
  <si>
    <t>modafinil</t>
  </si>
  <si>
    <t>indicated  to  improve  wakefulness  in  patients  with  excessive  daytime sleepiness associated with narcolepsy</t>
  </si>
  <si>
    <t>LYMErixLyme Disease Vaccine (Recombinant OspA)</t>
  </si>
  <si>
    <t>Active immunization against Lyme disease in individuals aged 15-70 years</t>
  </si>
  <si>
    <t>Ziagen</t>
  </si>
  <si>
    <t>abacavir sulfate</t>
  </si>
  <si>
    <t>Thyrogen</t>
  </si>
  <si>
    <t>thyrotropin alfa</t>
  </si>
  <si>
    <t>Nov 1998</t>
  </si>
  <si>
    <t>indicated for use as an adjunctive diagnostic tool for serum thyroglobulin (Tg) testing with or without radioiodine imaging in the follow-up of patients with well-differentiated thyroid cancer</t>
  </si>
  <si>
    <t>Micardis</t>
  </si>
  <si>
    <t>telmisartan</t>
  </si>
  <si>
    <t>For further manufacture</t>
  </si>
  <si>
    <t>Enbrel</t>
  </si>
  <si>
    <t>etanercept</t>
  </si>
  <si>
    <t>indicated for reduction in signs and symptoms of moderately to severely active rheumatoid arthritis in patients who have had an inadequate response to one or more disease-modifying antirheumatic drugs (DMARDS); Etanercept can be used in combination with methotrexate in patients who do not respond adequately to methotrexate alone</t>
  </si>
  <si>
    <t>Renagel</t>
  </si>
  <si>
    <t>sevelamer hydrochloride</t>
  </si>
  <si>
    <t>Oct 1998</t>
  </si>
  <si>
    <t>indicated for the reduction of serum phosphorus in patients with end stage renal disease who are on hemodialysis</t>
  </si>
  <si>
    <t>Herceptin</t>
  </si>
  <si>
    <t>trastuzumab</t>
  </si>
  <si>
    <t>Sep 1998</t>
  </si>
  <si>
    <t>treatment of patients with metastatic breast cancer whose tumors overexpress the HER2 protein and who have received one or more chemotherapy regimens for their metastatic disease; also indicated in combination with paclitaxel for treatment of patients with metastatic breast cancer whose tumors overexpress HER2 protein and who have not received chemotherapy for their metastatic disease</t>
  </si>
  <si>
    <t>Valstar</t>
  </si>
  <si>
    <t>valrubicin</t>
  </si>
  <si>
    <t>indicated for intravesical therapy of BCG-refractory carcinoma in situ (CIS) of the urinary bladder in patients for whom immediate cystectomy would be associated with unacceptable morbidity or mortality</t>
  </si>
  <si>
    <t>Sustiva</t>
  </si>
  <si>
    <t>efavirenz</t>
  </si>
  <si>
    <t>provides for the use of efavirenz in combination with other antiretroviral agents for the treatment of HIV-1 infection</t>
  </si>
  <si>
    <t>AcuTect</t>
  </si>
  <si>
    <t>technetium Tc-99m apcitide</t>
  </si>
  <si>
    <t>for scintigraphic imaging of acute venous thrombosis in the lower extremities of patients who have signs and symptoms of acute venous thrombosis</t>
  </si>
  <si>
    <t>Arava</t>
  </si>
  <si>
    <t>leflunomide</t>
  </si>
  <si>
    <t>treatment of active rheumatoid arthritis (RA) to reduce signs and symptoms and to retard structural damage as evidenced by X-ray erosions and joint space narrowing</t>
  </si>
  <si>
    <t>Cryoprecipitated AHF</t>
  </si>
  <si>
    <t>RotaShieldRotovarus Vaccine, Live, Oral, Tetravalent</t>
  </si>
  <si>
    <t>Aug 1998</t>
  </si>
  <si>
    <t>Primary immunization of infants at 2, 4, and 6 months of age</t>
  </si>
  <si>
    <t>Vitravene</t>
  </si>
  <si>
    <t>fomivirsen sodium</t>
  </si>
  <si>
    <t>local treatment of cytomegalovirus (CMV) retinitis in patients with acquired immunodeficiency syndrome (AIDS) who are intolerant or have a contraindication to other treatments for CMV retinitis or who were insufficiently responsive to previous treatment(s) for CMV retinitis</t>
  </si>
  <si>
    <t>Remicade</t>
  </si>
  <si>
    <t>infliximab</t>
  </si>
  <si>
    <t>indicated for the treatment of moderately to severely active Crohn’s disease for the reduction of the signs and symptoms, in patients who have an inadequate response to conventional therapies; and treatment of patients with fistulizing Crohn’s disease for the reduction in the number of draining enterocutaneous fistula(s)</t>
  </si>
  <si>
    <t>CERTIVADiphtheria &amp; Tetanus Toxoids &amp; Acellular Pertussis Vaccine Adsorbed</t>
  </si>
  <si>
    <t>Jul 1998</t>
  </si>
  <si>
    <t>For the active immunization of persons 6 weeks to 7 years of age (prior to the seventh birthday)</t>
  </si>
  <si>
    <t>Diphtheria Toxoid Concentrate (For Further Manufacturing Use)</t>
  </si>
  <si>
    <t>For further manufacture under shared arrangement with North American Vaccine, Inc</t>
  </si>
  <si>
    <t>Celexa</t>
  </si>
  <si>
    <t>citalopram hydrobromide</t>
  </si>
  <si>
    <t>treatment of depression</t>
  </si>
  <si>
    <t>Thalomid</t>
  </si>
  <si>
    <t>thalidomide</t>
  </si>
  <si>
    <t>acute treatment of the cutaneous manifestations of moderate to severe erythema nodosum leprosum (ENL) and as maintenance therapy for prevention and suppression of the cutaneous manifestations of ENL recurrences</t>
  </si>
  <si>
    <t>Infasurf</t>
  </si>
  <si>
    <t>calfactant</t>
  </si>
  <si>
    <t>prevention and treatment of Respiratory Distress Syndrome (RDS) in neonates</t>
  </si>
  <si>
    <t>Maxalt; Maxalt-MLT</t>
  </si>
  <si>
    <t>rizatriptan benzoate</t>
  </si>
  <si>
    <t>Jun 1998</t>
  </si>
  <si>
    <t>acute treatment of migraine headache</t>
  </si>
  <si>
    <t>Source Leukocytes</t>
  </si>
  <si>
    <t>Priftin</t>
  </si>
  <si>
    <t>rifapentine</t>
  </si>
  <si>
    <t>treatment of pulmonary tuberculosis</t>
  </si>
  <si>
    <t>Synagis</t>
  </si>
  <si>
    <t>palivizumab</t>
  </si>
  <si>
    <t>prophylaxis of serious lower respiratory tract disease, caused by respiratory syncytial virus, in pediatric patients at high risk of RSV disease</t>
  </si>
  <si>
    <t>Atacand</t>
  </si>
  <si>
    <t>candesartan cilexetil</t>
  </si>
  <si>
    <t>May 1998</t>
  </si>
  <si>
    <t>Integrilin</t>
  </si>
  <si>
    <t>eptifibatide</t>
  </si>
  <si>
    <t>treatment of patients with acute coronary syndrome (UA/NQMI), including patients who are to be managed medically and those undergoing percutaneous coronary intervention (PCI). In this setting, INTEGRILIN has been shown to decrease the rate of a combined endpoint of death or new myocardial infarction;  also indicated for treatment of patients undergoing PCI. In this setting, INTEGRILIN has been shown to decrease the rate of a combined endpoint of death, new myocardial infarction, or need for urgent intervention</t>
  </si>
  <si>
    <t>Aggrastat</t>
  </si>
  <si>
    <t>tirofiban hydrochloride</t>
  </si>
  <si>
    <t>in combination with heparin, for the treatment of acute coronary syndrome, including patients who are to be managed medically and those undergoing PTCA or atherectomy</t>
  </si>
  <si>
    <t>Simulect</t>
  </si>
  <si>
    <t>basiliximab</t>
  </si>
  <si>
    <t>indicated for the prophylaxis of acute organ rejection in patients receiving renal transplantation when used as part of an immunosuppressive regimen that includes cyclosporine and corticosteroids</t>
  </si>
  <si>
    <t>VIPLAS / SDPooled Plasma, Solvent Detergent Treated</t>
  </si>
  <si>
    <t>For use in the treatment of patients with documented deficiencies of coagulation factors for which there are no concentrate preparations available, including congenital single-factor deficiencies of factors I, V, VII, XI, and XIII, and acquired multiple coagulation factor deficiencies; reversals of warfarin effect; and treatment of patients with thrombotic thrombocytopenic purpura (TTP)</t>
  </si>
  <si>
    <t>Tisseel VH KitFibrin Sealant</t>
  </si>
  <si>
    <t>Used as an adjunct to hemostasis in surgeries involving cardiopulmonary bypass and treatment of splenic injuries due to blunt or penetrating trauma to the abdomen, when control of bleeding by onventional surgical techniques, including suture, ligature, and cautery, is ineffective or impractical; and for closure of colostomies</t>
  </si>
  <si>
    <t>Xeloda</t>
  </si>
  <si>
    <t>capecitabine</t>
  </si>
  <si>
    <t>Apr 1998</t>
  </si>
  <si>
    <t>treatment of patients with metastatic breast cancer resistant to both paclitaxel and an anthracycline-containing chemotherapy regimen or resistant to paclitaxel and for whom further anthracycline therapy may be contraindicated, e.g., patients who have received cumulative doses of 400 mg/m2 of doxorubicin or doxorubicin equivalents</t>
  </si>
  <si>
    <t>Zemplar</t>
  </si>
  <si>
    <t>paricalcitol</t>
  </si>
  <si>
    <t>prevention and treatment of secondary hyperparathyroidism encountered with chronic renal failure</t>
  </si>
  <si>
    <t>Sucraid</t>
  </si>
  <si>
    <t>sacrosidase</t>
  </si>
  <si>
    <t>treatment of the genetically determined sucrase deficiency, which is part of congenital sucrase-isomaltase deficiency (CSID)</t>
  </si>
  <si>
    <t>Azopt</t>
  </si>
  <si>
    <t>brinzolamide</t>
  </si>
  <si>
    <t>treatment of elevated intraocular pressure in patients with ocular hypertension or open angle glaucoma</t>
  </si>
  <si>
    <t>Viagra</t>
  </si>
  <si>
    <t>sildenafil citrate</t>
  </si>
  <si>
    <t>Mar 1998</t>
  </si>
  <si>
    <t>Actonel</t>
  </si>
  <si>
    <t>risedronate sodium</t>
  </si>
  <si>
    <t>treatment of Paget's disease of the bone</t>
  </si>
  <si>
    <t>Detrol</t>
  </si>
  <si>
    <t>tolterodine tartrate</t>
  </si>
  <si>
    <t>treatment of patients with an overactive bladder with symptoms of urinary frequency, urgency, or urge incontinence</t>
  </si>
  <si>
    <t>Lotemax; Alrex</t>
  </si>
  <si>
    <t>loteprednol etabonate</t>
  </si>
  <si>
    <t>Lotemax is indicated for treatment of steroid response inflammatory conditions of the palepebral and bulbar conjunctiva, cornea, and anterior segment of the eye; Lotemax is also indicated for treatment of post-operative inflammation following ocular surgery; Alrex is indicated for temporary relief of signs and symptoms of seasonal allergic conjunctivitis</t>
  </si>
  <si>
    <t>Refludan</t>
  </si>
  <si>
    <t>lepirudin</t>
  </si>
  <si>
    <t>anticoagulation in patients with heparin-induced thrombocytopenia (HIT) and thromboembolic disease in order to prevent further thromboembolic complications</t>
  </si>
  <si>
    <t>Singulair</t>
  </si>
  <si>
    <t>montelukast sodium</t>
  </si>
  <si>
    <t>Feb 1998</t>
  </si>
  <si>
    <t>prophylaxis and chronic treatment of asthma in patients 15 years and older</t>
  </si>
  <si>
    <t>Amerge</t>
  </si>
  <si>
    <t>naratriptan</t>
  </si>
  <si>
    <t>Tasmar</t>
  </si>
  <si>
    <t>tolcapone</t>
  </si>
  <si>
    <t>Jan 1998</t>
  </si>
  <si>
    <t>indicated as an adjunct to levodopa and carbidopa for the treatment of the signs and symptoms of idiopathic Parkinson’s disease</t>
  </si>
  <si>
    <t>HTLV-I p21E AntigenHuman T-Lymphotropic Virus I &amp; II</t>
  </si>
  <si>
    <t>Shared manufacturing arrangement with Organon Teknika Corp</t>
  </si>
  <si>
    <t>Vironostika HTLV-I &amp; II Microelisa SystemHuman T-Lymphotropic Virus I &amp; II</t>
  </si>
  <si>
    <t>Used for detection of antibodies to HTLV-I/II in human serum or plasma</t>
  </si>
  <si>
    <t>Emadine</t>
  </si>
  <si>
    <t>emedastine difumarate</t>
  </si>
  <si>
    <t>Dec 1997</t>
  </si>
  <si>
    <t>for the temporary relief of the signs and symptoms of allergic conjunctivitis</t>
  </si>
  <si>
    <t>Sclerosol</t>
  </si>
  <si>
    <t>talc</t>
  </si>
  <si>
    <t>for the prevention of the recurrence of malignant pleural effusions in symptomatic patients</t>
  </si>
  <si>
    <t>Prandin</t>
  </si>
  <si>
    <t>repaglinide</t>
  </si>
  <si>
    <t>indicated as an adjunct to diet and exercise to lower blood glucose in patients with non-insulin dependent (type 2) diabetes whose hyperglycemia cannot be controlled satisfactorily by diet and exercise alone; in combination with metformin to lower blood glucose in patients whose hyperglycemia cannot be controlled satisfactorily by exercise, diet, and either repaglinide or metformin alone</t>
  </si>
  <si>
    <t>Teveten</t>
  </si>
  <si>
    <t>eprosartan mesylate</t>
  </si>
  <si>
    <t>Trovan</t>
  </si>
  <si>
    <t>alatrofloxacin mesylate</t>
  </si>
  <si>
    <t>indicated for the treatment of patients with mild to moderate infections caused by susceptible strains of designated microorganisms in the following conditions: nosocomial pneumonia, community acquired pneumonia, acute bacterial exacerbation of chronic bronchitis, acute sinusitis, complicated intra-abdominal infections including post-surgical infections, gynecologic and pelvic infections including endomyometritis, parametritis, septic abortion and post-partum infections, prophylaxis of infection associated with elective colorectal surgery, vaginal and abdominal hysterectomy, uncomplicated skin and skin structure infection including diabetic foot infections, uncomplicated urinary tract infections, chronic bacterial prostatitis, uncomplicate urethral gonorrhea in males and endocervical and rectal gonorrhea in females, pelvic inflammatory disease</t>
  </si>
  <si>
    <t>Regranex</t>
  </si>
  <si>
    <t>becaplermin</t>
  </si>
  <si>
    <t>indicated for treatment of lower extremity diabetic neuropathic ulcers that extend into the subcutaneous tissue or beyond, and have adequate blood supply</t>
  </si>
  <si>
    <t>Zenapax</t>
  </si>
  <si>
    <t>indicated for the prophylaxis of acute organ rejection in patients receiving renal transplants, to be used as a part of an immunosuppressive regimen that includes cyclosporine and corticosteroids</t>
  </si>
  <si>
    <t>Evista</t>
  </si>
  <si>
    <t>raloxifene hydrochloride</t>
  </si>
  <si>
    <t>prevention of osteoporosis in postmenopausal women</t>
  </si>
  <si>
    <t>Omnicef</t>
  </si>
  <si>
    <t>cefdinir</t>
  </si>
  <si>
    <t>indicated for the treatment of patients with mild to moderate infections caused by susceptible strains of designated microorganisms in the following conditions:  community-acquired pneumonia, acute exacerbations of chronic bronchitis, acute bacterial otitis media, acute maxillary sinusitis, pharyngitis/tonsillitis and uncomplicated skin and skin structure infections</t>
  </si>
  <si>
    <t>Antizol</t>
  </si>
  <si>
    <t>fomepizole</t>
  </si>
  <si>
    <t>indicated as an antidote to ethylene glycol (antifreeze) poisoning in patients who have ingested, or are suspected of having ingested ethylene glycol</t>
  </si>
  <si>
    <t>Rituxan</t>
  </si>
  <si>
    <t>rituximab</t>
  </si>
  <si>
    <t>Nov 1997</t>
  </si>
  <si>
    <t>treatment of patients with relapsed or refractory low-grade or follicular, CD20 positive, B-cell non-Hodgkin’s lymphoma</t>
  </si>
  <si>
    <t>Teslascan</t>
  </si>
  <si>
    <t>mangafodipir trisodium</t>
  </si>
  <si>
    <t>indicated as an adjunct to MRI to enhance the T1-weighted images used in the detection, localization, characterization, and evaluation of lesions of the liver</t>
  </si>
  <si>
    <t>Zomig</t>
  </si>
  <si>
    <t>zolmitriptan</t>
  </si>
  <si>
    <t>treatment of acute migraine</t>
  </si>
  <si>
    <t>Neumega</t>
  </si>
  <si>
    <t>oprelvekin</t>
  </si>
  <si>
    <t>indicated for the prevention of severe thrombocytopenia and the reduction of the need for platelet transfusions following myelosuppressive chemotherapy in patients with nonmyeloid malignancies who are at high risk of severe thrombocytopenia</t>
  </si>
  <si>
    <t>Meridia</t>
  </si>
  <si>
    <t>sibutramine hydrochloride</t>
  </si>
  <si>
    <t>indicated for the management of obesity, including weight loss and maintenance of weight loss, and should be used in conjunction with a reduced calorie diet</t>
  </si>
  <si>
    <t>Plavix</t>
  </si>
  <si>
    <t>clopidogrel bisulfate</t>
  </si>
  <si>
    <t>indicated for the reduction of atherosclerotic events (myocardial infarction, stroke, and vascular death) in patients with atherosclerosis documented by recent stroke, recent myocardial infarction, or established peripheral arterial disease</t>
  </si>
  <si>
    <t>Raxar</t>
  </si>
  <si>
    <t>grepafloxacin hydrochloride</t>
  </si>
  <si>
    <t>treatment of adults with acute bacterial exacerbations of chronic bronchitis, community-acquired pneumonia, uncomplicated gonorrhea, and nongonococcal urethritis and cervicitis</t>
  </si>
  <si>
    <t>Infergen</t>
  </si>
  <si>
    <t>interferon alfacon-1</t>
  </si>
  <si>
    <t>Oct 1997</t>
  </si>
  <si>
    <t>treatment of chronic hepatitis C virus (HCV) infection in patients 18 years of age or older with compensated liver disease who have anti-HCV serum antibodies and/or the presence of HCV RNA</t>
  </si>
  <si>
    <t>Gabitril</t>
  </si>
  <si>
    <t>tiagabine hydrochloride</t>
  </si>
  <si>
    <t>Sep 1997</t>
  </si>
  <si>
    <t>indicated as adjunctive therapy in adults and children 12 years and older in the treatment of partial seizures</t>
  </si>
  <si>
    <t>Avapro</t>
  </si>
  <si>
    <t>irbesartan</t>
  </si>
  <si>
    <t>Seroquel</t>
  </si>
  <si>
    <t>quetiapine fumarate</t>
  </si>
  <si>
    <t>treatment of the manifestations of psychotic disorders</t>
  </si>
  <si>
    <t>Corlopam</t>
  </si>
  <si>
    <t>fenoldopam mesylate</t>
  </si>
  <si>
    <t>indicated for the in-hospital, short-term (up to 48 hours) use in the management of severe hypertension when rapid, but quickly reversible, emergency reduction of blood pressure is clinically indicated, including malignant hypertension with deteriorating end-organ function</t>
  </si>
  <si>
    <t>Requip</t>
  </si>
  <si>
    <t>ropinirole hydrochloride</t>
  </si>
  <si>
    <t>treatment of the signs and symptoms of idiopathic Parkinson's disease</t>
  </si>
  <si>
    <t>Genesa</t>
  </si>
  <si>
    <t>arbutamine hydrochloride</t>
  </si>
  <si>
    <t>indicated for us as an aid in diagnosing the presence or absence of coronary artery disease in patients who cannot exercise adequately when used in conjunction with radionuclide myocardial perfusion imaging or echocardiography</t>
  </si>
  <si>
    <t>Anzemet</t>
  </si>
  <si>
    <t>dolasetron mesylate</t>
  </si>
  <si>
    <t>prevention of chemotherapy-induced nausea and vomiting; prevention of postoperative nausea and vomiting</t>
  </si>
  <si>
    <t>Femara</t>
  </si>
  <si>
    <t>letrozole</t>
  </si>
  <si>
    <t>Jul 1997</t>
  </si>
  <si>
    <t>indicated for the treatment of advanced breast cancer in postmenopausal women</t>
  </si>
  <si>
    <t>Duract</t>
  </si>
  <si>
    <t>bromfenac sodium</t>
  </si>
  <si>
    <t>indicated for the short-term (generally less than 10 days) management of pain</t>
  </si>
  <si>
    <t>Mirapex</t>
  </si>
  <si>
    <t>pramipexole dihydrochloride</t>
  </si>
  <si>
    <t>Baycol</t>
  </si>
  <si>
    <t>cerivastatin sodium</t>
  </si>
  <si>
    <t>Jun 1997</t>
  </si>
  <si>
    <t>indicated as an adjunct to diet for the reduction of elevated total and LDL cholesterol levels in patients with primary hypercholesterolemia and mixed dyslipidemia (Frederickson Types IIa and IIb) when the response to dietary restriction of saturated fat and cholesterol and other non-pharmacological measures alone has been inadequate</t>
  </si>
  <si>
    <t>Posicor</t>
  </si>
  <si>
    <t>mibefradil dihydrochloride</t>
  </si>
  <si>
    <t>treatment of hypertension and chronic stable angina pectoris</t>
  </si>
  <si>
    <t>Tazorac</t>
  </si>
  <si>
    <t>tazarotene</t>
  </si>
  <si>
    <t>indicated for the topical treatment of patients with stable plaque psoriasis of up to 20% body surface area involvement and topical treatment of patients with facial acne vulgaris of mild to moderate severity</t>
  </si>
  <si>
    <t>Fareston</t>
  </si>
  <si>
    <t>toremifene citrate</t>
  </si>
  <si>
    <t>May 1997</t>
  </si>
  <si>
    <t>treatment of metastatic breast cancer in postmenopausal women with estrogen receptor positive or receptor unknown tumors</t>
  </si>
  <si>
    <t>Normiflo</t>
  </si>
  <si>
    <t>ardeparin sodium</t>
  </si>
  <si>
    <t>prevention of deep venous thrombosis which may lead to pulmonary embolism following knee replacement surgery</t>
  </si>
  <si>
    <t>Pytest Kit</t>
  </si>
  <si>
    <t>14 C Urea</t>
  </si>
  <si>
    <t>indicated for the diagnosis of Helicobacter pylori infection of the stomach</t>
  </si>
  <si>
    <t>Flomax</t>
  </si>
  <si>
    <t>tamsulosin hydrochloride</t>
  </si>
  <si>
    <t>Apr 1997</t>
  </si>
  <si>
    <t>indicated for the treatment of the signs and symptoms of benign prostatic hyperplasia</t>
  </si>
  <si>
    <t>Rescriptor</t>
  </si>
  <si>
    <t>delavirdine mesylate</t>
  </si>
  <si>
    <t>treatment of HIV-1 infection in combination with appropriate antiretroviral agents when therapy is warranted</t>
  </si>
  <si>
    <t>Quadramet</t>
  </si>
  <si>
    <t>samarium Sm 153 lexidronam</t>
  </si>
  <si>
    <t>Mar 1997</t>
  </si>
  <si>
    <t>indicated for the relief of pain in patients with confirmed osteoblastic metastatic bone lesions that enhance on radionuclide bone scan</t>
  </si>
  <si>
    <t>Agrylin</t>
  </si>
  <si>
    <t>anagrelide hydrochloride</t>
  </si>
  <si>
    <t>treatment of patients with essential thrombocythemia to reduce the elevated platelet count and the risk of thrombosis and ameliorate associated systems</t>
  </si>
  <si>
    <t>Viracept</t>
  </si>
  <si>
    <t>nelfinavir mesylate</t>
  </si>
  <si>
    <t>treatment of HIV infection when therapy is warranted</t>
  </si>
  <si>
    <t>Skelid</t>
  </si>
  <si>
    <t>tiludronate disodium</t>
  </si>
  <si>
    <t>treatment of Paget's disease of bone</t>
  </si>
  <si>
    <t>Aldara</t>
  </si>
  <si>
    <t>imiquimod</t>
  </si>
  <si>
    <t>Feb 1997</t>
  </si>
  <si>
    <t>treatment of external genital and perianal warts/condyloma acuminata in adults</t>
  </si>
  <si>
    <t>Rezulin</t>
  </si>
  <si>
    <t>troglitazone</t>
  </si>
  <si>
    <t>Jan 1997</t>
  </si>
  <si>
    <t>indicated for use in Type II diabetes patients whose hyperglycemia is inadequately controlled despite insulin therapy</t>
  </si>
  <si>
    <t>Dec 1996</t>
  </si>
  <si>
    <t>https://wayback.archive-it.org/7993/20170111093351/http://www.fda.gov/BiologicsBloodVaccines/DevelopmentApprovalProcess/BiologicalApprovalsbyYear/ucm180879.htm</t>
  </si>
  <si>
    <t>Topamax</t>
  </si>
  <si>
    <t>topiramate</t>
  </si>
  <si>
    <t>adjunctive therapy for the treatment of adults with partial onset seizures</t>
  </si>
  <si>
    <t>Orgaran</t>
  </si>
  <si>
    <t>danaparoid sodium</t>
  </si>
  <si>
    <t>indicated for the prophylaxis of post-operative deep venous thrombosis (DVT) which may lead to pulmonary embolism (PE) in patients undergoing elective hip replacement surgery</t>
  </si>
  <si>
    <t>Dostinex</t>
  </si>
  <si>
    <t>cabergoline</t>
  </si>
  <si>
    <t>treatment of hyperprolactinemic disorders, either idiopathic or due to pituitary adenomas</t>
  </si>
  <si>
    <t>Diovan</t>
  </si>
  <si>
    <t>valsartan</t>
  </si>
  <si>
    <t>Copaxone</t>
  </si>
  <si>
    <t>glatiramer acetate</t>
  </si>
  <si>
    <t>indicated for the reduction of the frequency of relapses in patients with relapsing-remitting multiple sclerosis</t>
  </si>
  <si>
    <t>UBI HIV 1/2 EIAHuman Immuno-deficiency test to detect Virus Types 1 &amp; 2</t>
  </si>
  <si>
    <t>In vitro diagnostic antibodies to HIV 1/2 in human serum or plasma</t>
  </si>
  <si>
    <t>Zagam</t>
  </si>
  <si>
    <t>sparfloxacin</t>
  </si>
  <si>
    <t>indicated for the treatment of adults with the following infections caused by susceptible strains of designated organisms: community-acquired pneumonia; acute bacterial exacerbations of chronic bronchitis</t>
  </si>
  <si>
    <t>Monurol</t>
  </si>
  <si>
    <t>fosfomycin tromethamine</t>
  </si>
  <si>
    <t>treatment of uncomplicated urinary tract infections(acute cystitis) in women due to susceptible strains of Escherichia coli and Enterococcus faecalis</t>
  </si>
  <si>
    <t>Glyset</t>
  </si>
  <si>
    <t>miglitol</t>
  </si>
  <si>
    <t>indicated as adjunct to diet or diet plus sulfonylurea therapy to improve glycemic control in patients with non-insulin-dependent diabetes mellitus</t>
  </si>
  <si>
    <t>Patanol</t>
  </si>
  <si>
    <t>olopatadine hydrochloride</t>
  </si>
  <si>
    <t>For the temporary prevention of itching of the eye due to allergic conjunctivitis</t>
  </si>
  <si>
    <t>Lipitor</t>
  </si>
  <si>
    <t>atorvastatin calcium</t>
  </si>
  <si>
    <t>indicated as an adjunct to diet to reduce elevated total-C, LDL-C, apo B, and TG levels in patients with primary hypercholesterolemia (heterozygous familial and non familial) and mixed dyslipidemia (Fredrickson Types IIa and IIb); to reduce total-C and LDL-C in patients with homozygous familial hypercholesterolemia as an adjunct to other lipid-lowering treatments (e.g., LDL apheresis) or if such treatments are unavailable</t>
  </si>
  <si>
    <t>Aphthasol</t>
  </si>
  <si>
    <t>amlexanox</t>
  </si>
  <si>
    <t>the treatment of aphthous ulcers in people with normal immune systems</t>
  </si>
  <si>
    <t>Zyflo</t>
  </si>
  <si>
    <t>zileuton</t>
  </si>
  <si>
    <t>prophylaxis and chronic treatment of asthma in adults and children 12 years of age and older</t>
  </si>
  <si>
    <t>Gastromark</t>
  </si>
  <si>
    <t>ferumoxsil</t>
  </si>
  <si>
    <t>for oral use with magnetic resonance imaging to enhance the delineation of the bowel to distinguish it from organs and tissues that are adjacent to the upper regions of the gastrointestinal tract</t>
  </si>
  <si>
    <t>Zanaflex</t>
  </si>
  <si>
    <t>tizanidine hydrochloride</t>
  </si>
  <si>
    <t>Nov 1996</t>
  </si>
  <si>
    <t>acute and intermittent management of increased muscle tone associated with spasticity</t>
  </si>
  <si>
    <t>Aricept</t>
  </si>
  <si>
    <t>donepezil hydrochloride</t>
  </si>
  <si>
    <t>Stromectol</t>
  </si>
  <si>
    <t>ivermectin</t>
  </si>
  <si>
    <t>indicated for the treatment of intestinal strongyloidiasis due to the nematode parasite Strongyloides stercoralis; also indicated for the treatment of onchocerciasis due to the nematode parasite Onchocerca volvulus</t>
  </si>
  <si>
    <t>Astelin</t>
  </si>
  <si>
    <t>azelastine hydrochloride</t>
  </si>
  <si>
    <t>treatment of the symptoms of seasonal allergic rhinitis such as rhinorrhea, sneezing, and nasal pruritus in adults and children 12 years and older</t>
  </si>
  <si>
    <t>Retavase</t>
  </si>
  <si>
    <t>reteplase</t>
  </si>
  <si>
    <t>Oct 1996</t>
  </si>
  <si>
    <t>indicated in the management of acute myocardial infarction (AMI) in adults for the improvement of ventricular function following AMI, the reduction of the incidence of congestive heart failure and the reduction of mortality associated with AMI</t>
  </si>
  <si>
    <t>ProstaScint</t>
  </si>
  <si>
    <t>capromab pendetide</t>
  </si>
  <si>
    <t>indicated for the preparation of lndium In 111 Capromab Pendetide to be used as a diagnostic imaging agent in newly diagnosed patients with biopsy-proven prostate cancer, thought to be clinically localized after standard diagnostic evaluation, who are at high risk for pelvic lymph node metastases, and in post-prostatectomy patients with a rising PSA and a negative or equivocal standard metastatic evaluation in whom there is a high clinical suspicion of occult metastatic disease</t>
  </si>
  <si>
    <t>Cystadane</t>
  </si>
  <si>
    <t>betaine anhydrous</t>
  </si>
  <si>
    <t>treatment of homocystinuria to decrease elevated homocysteine blood levels</t>
  </si>
  <si>
    <t>For Further Manufacture</t>
  </si>
  <si>
    <t>Mentax</t>
  </si>
  <si>
    <t>butenafine hydrochloride</t>
  </si>
  <si>
    <t>treatment of interdigital tinea pedis</t>
  </si>
  <si>
    <t>Control bleeding associated with Factor VIII deficiency</t>
  </si>
  <si>
    <t>COMVAXHaemophilus b Conjugate (Meningococcal Protein Conjugate) and Hepatitis B (Recombinant) Vaccine</t>
  </si>
  <si>
    <t>Immunization of persons 6 weeks to 15 months of age born of Hepatitis B Surface Antigen (HBsAg) negative mothers</t>
  </si>
  <si>
    <t>Zyprexa</t>
  </si>
  <si>
    <t>olanzapine</t>
  </si>
  <si>
    <t>Sep 1996</t>
  </si>
  <si>
    <t>Accolate</t>
  </si>
  <si>
    <t>zafirlukast</t>
  </si>
  <si>
    <t>Elmiron</t>
  </si>
  <si>
    <t>pentosan polysulfate sodium</t>
  </si>
  <si>
    <t>indicated for the relief of bladder pain or discomfort associated with interstitial cystitis</t>
  </si>
  <si>
    <t>Naropin</t>
  </si>
  <si>
    <t>ropivacaine hydrochloride monohydrate</t>
  </si>
  <si>
    <t>production of local or regional anesthesia for surgery, for postoperative pain management and for obstetrical procedures</t>
  </si>
  <si>
    <t>Denavir</t>
  </si>
  <si>
    <t>penciclovir</t>
  </si>
  <si>
    <t>treatment of recurrent herpes labialis (cold sores) in adults</t>
  </si>
  <si>
    <t>Nilandron</t>
  </si>
  <si>
    <t>nilutamide</t>
  </si>
  <si>
    <t>in combination with surgical castration for the treatment of stage D2 metastatic carcinoma of the prostate</t>
  </si>
  <si>
    <t>Meretek UBT</t>
  </si>
  <si>
    <t>13 C Urea</t>
  </si>
  <si>
    <t>for the detection of the presence of absence of active Helicobactor pylori infection of the stomach</t>
  </si>
  <si>
    <t>RSV High Titer Fraction II+III Paste (For Further Manufacturing Use)</t>
  </si>
  <si>
    <t>Shared manufacturing arrangement with Massachusetts Public Health Biologic Labs</t>
  </si>
  <si>
    <t>Alphagan</t>
  </si>
  <si>
    <t>brimonidine tartrate</t>
  </si>
  <si>
    <t>indicated for the reduction of elevated intraocular pressure in patients with open-angle glaucoma or ocular hypertension</t>
  </si>
  <si>
    <t>ProAmatine</t>
  </si>
  <si>
    <t>midodrine hydrochloride</t>
  </si>
  <si>
    <t>treatment of symptomatic or orthostatic hypotension</t>
  </si>
  <si>
    <t>Therapeutic Exchange Plasma</t>
  </si>
  <si>
    <t>Collection of plasma from patients diagnosed with Guillain-Barre and who have developed high titers of IgM antibody to Cytomegalovirus</t>
  </si>
  <si>
    <t>Feridex</t>
  </si>
  <si>
    <t>ferumoxides</t>
  </si>
  <si>
    <t>Aug 1996</t>
  </si>
  <si>
    <t>indicated for detection of lesions of the liver and spleen manifested by an alteration in RES distribution, to facilitate visualization and detection of hepatosplenic lesions, including, but not limited to, tumors</t>
  </si>
  <si>
    <t>Ivy Block</t>
  </si>
  <si>
    <t>bentoquatam</t>
  </si>
  <si>
    <t>indicated as a skin protectant against poison ivy, poison oak, poison sumac</t>
  </si>
  <si>
    <t>Antihemophilic Factor (Human)</t>
  </si>
  <si>
    <t>Treatment of patients with hemophilia A</t>
  </si>
  <si>
    <t>Verluma</t>
  </si>
  <si>
    <t>nofetumomab</t>
  </si>
  <si>
    <t>detection of extensive stage disease in patients with biopsy-confirmed, previously untreated, small cell lung cancer</t>
  </si>
  <si>
    <t>Calypte HIV-1 Urine EIAHIV-Type 1 (Recombinant)</t>
  </si>
  <si>
    <t>In vitro diagnostic test kit used in the detection of antibodies to HIV-1 present in urine</t>
  </si>
  <si>
    <t>Cerebyx</t>
  </si>
  <si>
    <t>fosphenytoin sodium</t>
  </si>
  <si>
    <t>for short-term parenteral administration when other means of phenytoin administration are unavailable, inappropriate or deemed less advantageous, indicated for the following:
[A] control of generalized convulsive status epilepticus
[B] prevention and treatment of seizures occurring during neuorsurgery
[C] as a substitute, short-term, for oral phenytoin</t>
  </si>
  <si>
    <t>Allegra</t>
  </si>
  <si>
    <t>fexofenadine hydrochloride</t>
  </si>
  <si>
    <t>Jul 1996</t>
  </si>
  <si>
    <t>relief of symptoms associated with seasonal allergic rhinitis in adults and children 12 years of age and older</t>
  </si>
  <si>
    <t>Ultiva</t>
  </si>
  <si>
    <t>remifentanil hydrochloride</t>
  </si>
  <si>
    <t>indicated for induction and maintenance of general anesthesia for inpatient and outpatient procedures, and for continuation as an analgesic into the immediate postoperative period under the direct supervision of an anesthesia practitioner in a postoperative anesthesia care unit or intensive care setting; also provides an analgesic component of monitored anesthesia care</t>
  </si>
  <si>
    <t>Myoscint</t>
  </si>
  <si>
    <t>imciromab pentetate</t>
  </si>
  <si>
    <t>indicated for the preparation of Indium In 111 Imciromab pentetate to be used as a cardiac imaging agent for detecting the presence and/or identifying the location of myocardial injury in patients with suspected myocardial infarction</t>
  </si>
  <si>
    <t>Immu-4 Bulk (For Further Manufacturing Use)</t>
  </si>
  <si>
    <t>Jun 1996</t>
  </si>
  <si>
    <t>Shared manufacturing arrangement with Immunomedics, Inc</t>
  </si>
  <si>
    <t>CEA-Scan</t>
  </si>
  <si>
    <t>arcitumomab</t>
  </si>
  <si>
    <t>for use in conjunction with computerized tomography scans to detect recurrent or metastatic colorectal cancer</t>
  </si>
  <si>
    <t>Vistide</t>
  </si>
  <si>
    <t>cidofovir</t>
  </si>
  <si>
    <t>treatment of cytomegalovirus (CMV) retinitis in patients with acquired immunodeficiency syndrome (AIDS)</t>
  </si>
  <si>
    <t>Merrem</t>
  </si>
  <si>
    <t>meropenem</t>
  </si>
  <si>
    <t>indicated as single agent therapy for the treatment of the following infections when caused by susceptible strains of the designated microorganisms: complicated intra-abdominal infections (appendicitis and peritonitis); pediatric bacterial meningitis</t>
  </si>
  <si>
    <t>Viramune</t>
  </si>
  <si>
    <t>nevirapine</t>
  </si>
  <si>
    <t>indicated for use in combination with nucleoside analogues to treat adults with HIV infection who have experienced clinical and/or immunological deterioration</t>
  </si>
  <si>
    <t>Humalog</t>
  </si>
  <si>
    <t>lispro insulin</t>
  </si>
  <si>
    <t>treatment of diabetes mellitus in patients requiring insulin</t>
  </si>
  <si>
    <t>Camptosar</t>
  </si>
  <si>
    <t>irinotecan hydrochloride</t>
  </si>
  <si>
    <t>treatment of patients with metastatic carcinoma of the colon or rectum whose disease has recurred or progressed following 5-FU-based therapy</t>
  </si>
  <si>
    <t>Remeron</t>
  </si>
  <si>
    <t>mirtazapine</t>
  </si>
  <si>
    <t>Albenza</t>
  </si>
  <si>
    <t>albendazole</t>
  </si>
  <si>
    <t>indicated for the treatment of parenchymal neurocysticercosis due to active lesions caused by larval forms of the pork tapeworm, Taenia solium; also indicated for the treatment of cystic hydatid disease of the liver, lung, and peritoneum, caused by the larval form of the dog tapeworm, Echinococcus granulosus</t>
  </si>
  <si>
    <t>Xalatan</t>
  </si>
  <si>
    <t>latanoprost</t>
  </si>
  <si>
    <t>indicated for the reduction of elevated intraocular pressure (IOP) in patients with open-angle glaucoma and/or ocular hypertension who were intolerant of other IOP-lowering medications or insufficiently responsive (failed to achieve target IOP determined after multiple measurements over time) to another IOP-lowering medication</t>
  </si>
  <si>
    <t>Differin</t>
  </si>
  <si>
    <t>adapalene</t>
  </si>
  <si>
    <t>May 1996</t>
  </si>
  <si>
    <t>indicated for the topical treatment of acne vulgaris</t>
  </si>
  <si>
    <t>Hycamtin</t>
  </si>
  <si>
    <t>topotecan hydrochloride</t>
  </si>
  <si>
    <t>treatment of patients with metastatic carcinoma of the ovary after failure of initial or subsequent chemotherapy</t>
  </si>
  <si>
    <t>Acthrel</t>
  </si>
  <si>
    <t>corticorelin ovine triflutate</t>
  </si>
  <si>
    <t>indicated for use in differentiating pituitary and ectopic production of ACTH in patients with ACTH-dependent Cushing’s syndrome</t>
  </si>
  <si>
    <t>Avonex</t>
  </si>
  <si>
    <t>indicated for the treatment of relapsing forms of multiple sclerosis to slow the accumulation of physical disability and decrease the frequency of clinical exacerbations</t>
  </si>
  <si>
    <t>Gemzar</t>
  </si>
  <si>
    <t>gemcitabine hydrochloride</t>
  </si>
  <si>
    <t>first-line treatment for patients with locally advanced (nonresectable stage II or III) or metastatic (stage IV) adenocarcinoma of the pancreas; also indicated for patients previously treated with 5-fluorouracil</t>
  </si>
  <si>
    <t>Taxotere</t>
  </si>
  <si>
    <t>docetaxel</t>
  </si>
  <si>
    <t>treatment of patients with locally advanced or metastatic breast cancer who have progressed during anthracycline-based therapy or have relapsed during anthracycline-based adjuvant therapy</t>
  </si>
  <si>
    <t>Buphenyl</t>
  </si>
  <si>
    <t>sodium phenylbutyrate</t>
  </si>
  <si>
    <t>Apr 1996</t>
  </si>
  <si>
    <t>indicated as adjunctive therapy in the chronic management of patients with urea cycle disorders involving deficiencies of carbamylphosphate synthetase, ornithine transcarbamylase or argininosuccinic acid synthetase</t>
  </si>
  <si>
    <t>Mavik</t>
  </si>
  <si>
    <t>trandolapril</t>
  </si>
  <si>
    <t>Reverse-CyteReagent Red Blood Cells</t>
  </si>
  <si>
    <t>In vitro diagnostic test kit</t>
  </si>
  <si>
    <t>VAQTAHeptatitis A Vaccine Inactivated</t>
  </si>
  <si>
    <t>Mar 1996</t>
  </si>
  <si>
    <t>Immunization against hepatitis A in children over 6 years of age</t>
  </si>
  <si>
    <t>Visipaque</t>
  </si>
  <si>
    <t>iodixanol</t>
  </si>
  <si>
    <t>indicated for intra-arterial use in visceral intra-arterial digital subtraction angiography, angiocardiography (left ventriculography and selective coronary arteriography), peripheral arteriography, visceral arteriography, cerebral arteriography; indicated for intravenous use in contrast enhancement computed tomography imaging of the head and body, excretory urography, and peripheral venography</t>
  </si>
  <si>
    <t>Coulter HIV-1 p24 Antigen Assay Neutralization KitAntibody to HIV-1 p24 Antigen (Murine Monoclonal)</t>
  </si>
  <si>
    <t>In-vitro diagnostic test kit used in the detection of HIV Type 1 Antigen</t>
  </si>
  <si>
    <t>Crixivan</t>
  </si>
  <si>
    <t>indinavir sulfate</t>
  </si>
  <si>
    <t>treatment of HIV infection in adults when antiretroviral therapy is warranted</t>
  </si>
  <si>
    <t>Norvir</t>
  </si>
  <si>
    <t>ritonavir</t>
  </si>
  <si>
    <t>in combination with nucleoside analogues or as monotherapy for the treatment of HIV infection when therapy is warranted</t>
  </si>
  <si>
    <t>Myoview</t>
  </si>
  <si>
    <t>technetium Tc-99m tetrofosmin</t>
  </si>
  <si>
    <t>Feb 1996</t>
  </si>
  <si>
    <t>indicated for scientific imaging of the myocardium following separate administrations under exercise and resting conditions to enhance the delineation of regions of reversible myocardial ischemia in the presence or absence of infarcted myocardium</t>
  </si>
  <si>
    <t>RespigamRespiratory Syncytial Virus Immune Globulin Intravenous (Human)</t>
  </si>
  <si>
    <t>Jan 1996</t>
  </si>
  <si>
    <t>Prevention of serious lower respiratory tract infection in children less than 24 months of age</t>
  </si>
  <si>
    <t>Maxipime</t>
  </si>
  <si>
    <t>cefepime hydrochloride</t>
  </si>
  <si>
    <t>indicated in the treatment of the following infections when caused by susceptible strains of designated microorganisms: uncomplicated and complicated urinary tract infections, including pyelonephritis; uncomplicated skin and skin structure infections; pneumonia</t>
  </si>
  <si>
    <t>Blood Grouping Reagent (Monoclonal) (For Further Manufacturing Use)</t>
  </si>
  <si>
    <t>Shared manufacturing arrangement with Immucor, Inc</t>
  </si>
  <si>
    <t>Corvert</t>
  </si>
  <si>
    <t>ibutilide fumurate</t>
  </si>
  <si>
    <t>Dec 1995</t>
  </si>
  <si>
    <t>indicated for the rapid conversion of atrial fibrillation or atrial flutter of recent onset to sinus rhythm</t>
  </si>
  <si>
    <t>Photofrin</t>
  </si>
  <si>
    <t>porfimer sodium</t>
  </si>
  <si>
    <t>palliation of patients with completely obstructing esophageal cancer, or of patients with partially obstructing esophageal cancer who, in the opinion of their physician, cannot be satisfactorily treated with Nd:YAG laser therapy</t>
  </si>
  <si>
    <t>Arimidex</t>
  </si>
  <si>
    <t>anastrozole</t>
  </si>
  <si>
    <t>treatment of advanced breast cancer in postmenopausal women with disease progression following tamoxifen therapy</t>
  </si>
  <si>
    <t>Oxilan</t>
  </si>
  <si>
    <t>ioxilan</t>
  </si>
  <si>
    <t>indicated for intra-arterial use in cerebral arteriography, coronary arteriography and left ventriculography, visceral angiography, aortography and peripheral arteriography;  indicated for intravenous use in excretory urography and contrast enhanced computed tomographic imaging of the head and body</t>
  </si>
  <si>
    <t>Cedax</t>
  </si>
  <si>
    <t>ceftibuten</t>
  </si>
  <si>
    <t>indicated for the treatment of individuals with mild-to-moderate infections caused by susceptible strains of designated microorganisms in the following conditions: acute bacterial exacerbations of chronic bronchitis, acute bacterial otitis media, pharyngitis and tonsillitis</t>
  </si>
  <si>
    <t>Rilutek</t>
  </si>
  <si>
    <t>riluzole</t>
  </si>
  <si>
    <t>treatment of patients with amyotrophic lateral sclerosis (ALS)</t>
  </si>
  <si>
    <t>Zyrtec</t>
  </si>
  <si>
    <t>cetirizine</t>
  </si>
  <si>
    <t>relief of symptoms associated with seasonal allergic rhinitis, perennial allergic rhinitis, and chronic urticaria</t>
  </si>
  <si>
    <t>Ethyol</t>
  </si>
  <si>
    <t>amifostine</t>
  </si>
  <si>
    <t>indicated to reduce the cumulative renal toxicity associated with repeated administration of cisplatin in patients with advanced ovarian cancer</t>
  </si>
  <si>
    <t>Invirase</t>
  </si>
  <si>
    <t>saquinavir</t>
  </si>
  <si>
    <t>in combination with nucleoside analogues for the treatment of advanced HIV infection in selected patients</t>
  </si>
  <si>
    <t>Amaryl</t>
  </si>
  <si>
    <t>glimepiride</t>
  </si>
  <si>
    <t>Nov 1995</t>
  </si>
  <si>
    <t>indicated as an adjunct to diet and exercise to lower blood glucose levels in patients with noninsulin-dependent (Type 2) diabetes mellitus (NIDDM) whose hyperglycemia cannot be controlled by diet and exercise alone; in combination with insulin to lower the blood glucose in patients whose hyperglycemia cannot be controlled by diet and exercise in conjunction with an oral hypoglycemic agent</t>
  </si>
  <si>
    <t>Epivir</t>
  </si>
  <si>
    <t>lamivudine</t>
  </si>
  <si>
    <t>in combination with Retrovir (zidovudine) for the treatment of HIV infection when therapy is warranted based on clinical and/or immunological evidence of disease progression</t>
  </si>
  <si>
    <t>Casodex</t>
  </si>
  <si>
    <t>bicalutamide</t>
  </si>
  <si>
    <t>Oct 1995</t>
  </si>
  <si>
    <t>use in combination therapy with a luteinizing-hormone releasing hormone (LHRH) analogue for the treatment of advanced prostate cancer</t>
  </si>
  <si>
    <t>Eprex</t>
  </si>
  <si>
    <t>epoetin alfa</t>
  </si>
  <si>
    <t>Sep 1995</t>
  </si>
  <si>
    <t>indicated for the treatment of anemia associated with chronic renal  failure, including patients on dialysis (ESRD) and patients not on dialysis</t>
  </si>
  <si>
    <t>Fosamax</t>
  </si>
  <si>
    <t>alendronate sodium</t>
  </si>
  <si>
    <t>treatment of osteoporosis in postmenopausal women; treatment of Paget's disease of the bone.</t>
  </si>
  <si>
    <t>Flolan</t>
  </si>
  <si>
    <t>epoprostenol sodium</t>
  </si>
  <si>
    <t>long-term intravenous treatment of primary pulmonary hypertension and pulmonary hypertension in NYHA Class III and Class IV patients</t>
  </si>
  <si>
    <t>Coreg</t>
  </si>
  <si>
    <t>carvedilol</t>
  </si>
  <si>
    <t>Azelex</t>
  </si>
  <si>
    <t>azelaic acid</t>
  </si>
  <si>
    <t>treatment of mild-to-moderate inflammatory acne vulgaris</t>
  </si>
  <si>
    <t>Precose</t>
  </si>
  <si>
    <t>acarbose</t>
  </si>
  <si>
    <t>adjunct to diet to lower blood glucose in patients with non-insulin-dependent diabetes mellitus whose hyperglycemia cannot be managed alone.  It may also be used in combination with a sulfonylurea when diet plus Precose or a sulfonurea do not result in adequate glycemic control</t>
  </si>
  <si>
    <t>Dynabac</t>
  </si>
  <si>
    <t>dirithromycin</t>
  </si>
  <si>
    <t>Jun 1995</t>
  </si>
  <si>
    <t>treatment of individuals 12 years of age or older with mild-to-moderate infections caused by susceptible strains of designated microorganisms in the following specific conditions: acute bacterial exacerbation of chronic bronchitis, secondary bacterial infection of acute bronchitis, community-acquired pneumonia, pharyngitis/tonsillitis, uncomplicated skin and skin structure infections,</t>
  </si>
  <si>
    <t>Ultane</t>
  </si>
  <si>
    <t>sevoflurane</t>
  </si>
  <si>
    <t>induction and maintenance of general anesthesia in adult and pediatric patients for inpatient and outpatient surgery</t>
  </si>
  <si>
    <t>Zinecard</t>
  </si>
  <si>
    <t>dexrazoxane</t>
  </si>
  <si>
    <t>May 1995</t>
  </si>
  <si>
    <t>for reducing the incidence and severity of cardiomyopathy associated with doxorubicin administration in women with metastatic breast cancer who have received a cumulative dose of 300 mg/m2 and who, in their physician's opinion, would benefit from continuing therapy with doxorubicin</t>
  </si>
  <si>
    <t>Prevacid</t>
  </si>
  <si>
    <t>lansoprazole</t>
  </si>
  <si>
    <t>short-term treatment (up to four weeks) for healing and symptom relief of active duodenal ulcer; short-term treatment (up to eight weeks) for healing and symptom relief of all grades of erosive esophagitis; long-term treatment of pathological hypersecretory conditions including Zollinger-Ellison syndrome</t>
  </si>
  <si>
    <t>Ultravist</t>
  </si>
  <si>
    <t>iopromide</t>
  </si>
  <si>
    <t>intra-arterial Ultravist is indicated for intra-arterial digital subtraction angiography, cerebral arteriography, and peripheral arteriography, and coronary arteriography and left ventriculography, visceral angiography, and aortography; intravenous Ultravist is indicated for peripheral venography and for contrast enhanced computed tomographic (CECT) imaging of the head and body, and excretory urography</t>
  </si>
  <si>
    <t>Cellcept</t>
  </si>
  <si>
    <t>mycophenolate mofetil</t>
  </si>
  <si>
    <t>prophylaxis of organ rejection in patients receiving allogeneic renal transplants</t>
  </si>
  <si>
    <t>Univasc</t>
  </si>
  <si>
    <t>moexipril hydrochloride</t>
  </si>
  <si>
    <t>Apr 1995</t>
  </si>
  <si>
    <t>Revex</t>
  </si>
  <si>
    <t>nalmefene hydrochloride</t>
  </si>
  <si>
    <t>indicated for the complete or partial reversal of opioid drug effects, including respiratory depression, induced by either natural or synthetic opioids, and in the management of known or suspected opioid overdose</t>
  </si>
  <si>
    <t>Cozaar</t>
  </si>
  <si>
    <t>losartan potassium</t>
  </si>
  <si>
    <t>Glucophage</t>
  </si>
  <si>
    <t>metformin hydrochloride</t>
  </si>
  <si>
    <t>Mar 1995</t>
  </si>
  <si>
    <t>indicated as an adjunct to diet to lower blood glucose in patients with non-insulin-dependent diabetes mellitus whose hyperglycemia cannot be satisfactorily managed on diet alone</t>
  </si>
  <si>
    <t>Ultram</t>
  </si>
  <si>
    <t>tramadol hydrochloride</t>
  </si>
  <si>
    <t>management of moderate to moderately severe pain</t>
  </si>
  <si>
    <t>Sular</t>
  </si>
  <si>
    <t>nisoldipine</t>
  </si>
  <si>
    <t>Feb 1995</t>
  </si>
  <si>
    <t>Vexol</t>
  </si>
  <si>
    <t>rimexalone</t>
  </si>
  <si>
    <t>Dec 1994</t>
  </si>
  <si>
    <t>treatment of postoperative inflammation following ocular surgery and in the treatment of anterior uveitis</t>
  </si>
  <si>
    <t>Renormax</t>
  </si>
  <si>
    <t>spirapril hydrochloride</t>
  </si>
  <si>
    <t>Lamictal</t>
  </si>
  <si>
    <t>lamotrigine</t>
  </si>
  <si>
    <t>indicated as adjunctive therapy in the treatment of partial seizures in adults with epilepsy</t>
  </si>
  <si>
    <t>Navelbine</t>
  </si>
  <si>
    <t>vinorelbine tartrate</t>
  </si>
  <si>
    <t>as a single agent or in combination with cisplatin for the first-line treatment of ambulatory patients with unresectable, advanced non-small cell lung cancer (NSCLC)</t>
  </si>
  <si>
    <t>Serzone</t>
  </si>
  <si>
    <t>nefazodone hydrochloride</t>
  </si>
  <si>
    <t>ReoPro</t>
  </si>
  <si>
    <t>abciximab</t>
  </si>
  <si>
    <t>indicated as an adjunct to percutaneous transluminal coronary angioplasty or atherectomy (PTCA) for the prevention of acute cardiac ischemic complications in patients at high risk for abrupt closure of the treated coronary vessel</t>
  </si>
  <si>
    <t>Fragmin</t>
  </si>
  <si>
    <t>dalteparin sodium</t>
  </si>
  <si>
    <t>prophylaxis against deep vein thrombosis (DVT) which may lead to pulmonary embolism (PE) in patients undergoing abdominal surgery who are at risk for thromboembolic complications</t>
  </si>
  <si>
    <t>Trusopt</t>
  </si>
  <si>
    <t>dorzolamide hydrochloride</t>
  </si>
  <si>
    <t>treatment of elevated intraocular pressure in patients with ocular hypertension or open-angle glaucoma</t>
  </si>
  <si>
    <t>Luvox</t>
  </si>
  <si>
    <t>fluvoxamine maleate</t>
  </si>
  <si>
    <t>treatment of obsessions and compulsions in patients with obsessive-compulsive disorder</t>
  </si>
  <si>
    <t>Neurolite</t>
  </si>
  <si>
    <t>technetium Tc-99m bicisate</t>
  </si>
  <si>
    <t>Nov 1994</t>
  </si>
  <si>
    <t>indicated as an adjunct to conventional CT or MRI imaging in the localization of stroke in patients in whom stroke has already been diagnosed</t>
  </si>
  <si>
    <t>fludeoxyglucose F 18</t>
  </si>
  <si>
    <t>Aug 1994</t>
  </si>
  <si>
    <t>indicated in positron emission tomography for the identification of regions of abnormal glucose metabolism associated with foci of epileptic seizures</t>
  </si>
  <si>
    <t>Cystagon</t>
  </si>
  <si>
    <t>cysteamine bitartrate</t>
  </si>
  <si>
    <t>indicated for the management of nephropathic cystinosis in children and adults</t>
  </si>
  <si>
    <t>Famvir</t>
  </si>
  <si>
    <t>famciclovir</t>
  </si>
  <si>
    <t>Jun 1994</t>
  </si>
  <si>
    <t>management of acute herpes zoster (shingles)</t>
  </si>
  <si>
    <t>Zerit</t>
  </si>
  <si>
    <t>stavudine</t>
  </si>
  <si>
    <t>indicated for the treatment of adults with advanced HIV infection who are intolerant of approved therapies with proven clinical benefit or who have experienced significant clinical or immunologic deterioration while receiving these therapies or for whom such therapies are contraindicated</t>
  </si>
  <si>
    <t>Octreoscan</t>
  </si>
  <si>
    <t>indium In 111 pentetreotide</t>
  </si>
  <si>
    <t>for the scintigraphic localization of primary and metastatic neuroendocrine tumors bearing somatostatin receptors</t>
  </si>
  <si>
    <t>Cerezyme</t>
  </si>
  <si>
    <t>imiglucerase</t>
  </si>
  <si>
    <t>May 1994</t>
  </si>
  <si>
    <t>indicated for long-term enzyme replacement therapy for patients with a confirmed diagnosis of Type 1 Gaucher disease that results in one or more of the following conditions: anemia, thrombocytopenia, bone disease, hepatomegaly, or splenomegaly</t>
  </si>
  <si>
    <t>Prograf</t>
  </si>
  <si>
    <t>tacrolimus</t>
  </si>
  <si>
    <t>Apr 1994</t>
  </si>
  <si>
    <t>indicated for the prophylaxis of organ rejection in patients receiving allogeneic liver transplants</t>
  </si>
  <si>
    <t>Semprex-D</t>
  </si>
  <si>
    <t>acrivastine, pseudoephedrine hydrochloride</t>
  </si>
  <si>
    <t>Mar 1994</t>
  </si>
  <si>
    <t>indicated for relief of symptoms associated with seasonal allergic rhinitis such as sneezing, rhinorrhea, pruritus, lacrimation, and nasal congestion</t>
  </si>
  <si>
    <t>iobenguane sulfate I 131</t>
  </si>
  <si>
    <t>indicated as an adjunctive diagnostic agent in the localization of primary or metastatic pheochromocytomas and neuroblastomas</t>
  </si>
  <si>
    <t>Zemuron</t>
  </si>
  <si>
    <t>rocuronium bromide</t>
  </si>
  <si>
    <t>indicated for inpatients and outpatients as an adjunct to general anesthesia to facilitate both rapid sequence and routine tracheal intubation, and to provide skeletal muscle relaxation during surgery or mechanical ventilation</t>
  </si>
  <si>
    <t>Rhinocort</t>
  </si>
  <si>
    <t>budesonide</t>
  </si>
  <si>
    <t>Feb 1994</t>
  </si>
  <si>
    <t>management of symptoms of seasonal or perennial allergic rhinitis in adults and children and nonallergic perennial rhinitis in adults</t>
  </si>
  <si>
    <t>Serevent</t>
  </si>
  <si>
    <t>salmeterol xinafoate</t>
  </si>
  <si>
    <t>maintenance treatment of asthma and prevention of bronchospasm in patients 12 years old and above</t>
  </si>
  <si>
    <t>Oncaspar</t>
  </si>
  <si>
    <t>pegaspargase</t>
  </si>
  <si>
    <t>Treatment of acute lymphocytic leukemia (ALL) in patients who require L-asparaginase in their treatment regimen but have developed hypersensitivity to the native forms of L-asparaginase</t>
  </si>
  <si>
    <t>Lescol</t>
  </si>
  <si>
    <t>fluvastatin sodium</t>
  </si>
  <si>
    <t>Dec 1993</t>
  </si>
  <si>
    <t>as an adjunct to diet in the treatment of elevated total cholesterol (total-C) and LDL-C levels in patients with primary hypercholesteremia (type IIa and IIb) whose response to dietary restriction of saturated fat and cholesterol and other non-pharmacological measures has not been adequate</t>
  </si>
  <si>
    <t>Lipidil</t>
  </si>
  <si>
    <t>fenofibrate</t>
  </si>
  <si>
    <t>adjunctive therapy to diet for treatment of adult patients with very high elevations of serum triglyceride levels (types IV and V hyperlipidemia) who are at risk of pancreatitis and who do not respond adequately to a determined dietary effort to control them</t>
  </si>
  <si>
    <t>Aceon</t>
  </si>
  <si>
    <t>perindopril erbumine</t>
  </si>
  <si>
    <t>treatment of patients with essential hypertension</t>
  </si>
  <si>
    <t>Neurontin</t>
  </si>
  <si>
    <t>gabapentin</t>
  </si>
  <si>
    <t>indicated as adjunctive therapy in the treatment of partial seizures with and without secondary generalization in adults with epilepsy</t>
  </si>
  <si>
    <t>Pulmozyme</t>
  </si>
  <si>
    <t>dornase alfa</t>
  </si>
  <si>
    <t>management of cystic fibrosis patients to reduce the frequency of respiratory infections requiring parenteral antibiotics and to improve pulmonary function</t>
  </si>
  <si>
    <t>Dovonex</t>
  </si>
  <si>
    <t>calcipotriene</t>
  </si>
  <si>
    <t>treatment of moderate plaque psoriasis</t>
  </si>
  <si>
    <t>Trasylol</t>
  </si>
  <si>
    <t>aprotinin</t>
  </si>
  <si>
    <t>prophylactic use to reduce perioperative blood loss and the homologous blood transfusion requirement in patients undergoing cardiopulmonary bypass surgery in the course of repeat coronary artery bypass graft surgery, and in selected cases
of primary coronary artery bypass graft surgery where the risk of bleeding is especially high (impaired hemostasis) or where transfusion is unavailable or unacceptable</t>
  </si>
  <si>
    <t>Kytril</t>
  </si>
  <si>
    <t>granisetron hydrochloride</t>
  </si>
  <si>
    <t>prevention of nausea and/or vomiting associated with initial and repeat courses of emetogenic cancer therapy, including high-dose cisplatin</t>
  </si>
  <si>
    <t>Risperdal</t>
  </si>
  <si>
    <t>risperidone</t>
  </si>
  <si>
    <t>management of the manifestations of psychotic disorders</t>
  </si>
  <si>
    <t>Effexor</t>
  </si>
  <si>
    <t>venlafaxine hydrochloride</t>
  </si>
  <si>
    <t>Neutrexin</t>
  </si>
  <si>
    <t>trimetrexate glucuronate</t>
  </si>
  <si>
    <t>for use with concurrent leucovorin administration is indicated as an alternative therapy for the treatment of moderate-to-severe Pneumocystis carnii pneumonia (PCP) in immunocompromised patients, including patients with acquired immunodeficiency syndrome (AIDS), who are intolerant of, or are refractory to, trimethoprim-sulfamethoxazole (TMP/SMX) therapy or for whom TMP/SMX is contraindicated</t>
  </si>
  <si>
    <t>Livostin</t>
  </si>
  <si>
    <t>levocabastine hydrochloride</t>
  </si>
  <si>
    <t>Nov 1993</t>
  </si>
  <si>
    <t>temporary relief of the signs and symptoms of seasonal allergic conjunctivitis</t>
  </si>
  <si>
    <t>Zosyn</t>
  </si>
  <si>
    <t>tazobactam sodium, pipercillin sodium</t>
  </si>
  <si>
    <t>Oct 1993</t>
  </si>
  <si>
    <t>treatment of moderate to severe infections cased by piperacillin-resistant, piperacillin/tazobactam-susceptible, beta-lactamase producing strains of designated microorganisms in: appendicitis and peritonitis; uncomplicated and complicated skin and skin structures infections; postpartum endometritis or pelvic inflammatory disease; community-acquired pneumonia (moderate severity only)</t>
  </si>
  <si>
    <t>Alomide</t>
  </si>
  <si>
    <t>lodoxamide tromethamine</t>
  </si>
  <si>
    <t>Sep 1993</t>
  </si>
  <si>
    <t>treatment of the ocular disorders referred to by the terms vernal keratoconjunctivitis, vernal conjunctivitis, and vernal keratitis</t>
  </si>
  <si>
    <t>Flumadine</t>
  </si>
  <si>
    <t>rimantadine hydrochloride</t>
  </si>
  <si>
    <t>prophylaxis and treatment of illness caused by various strains of influenza A virus in adults; indicated for prophylaxis against influenza A virus in children</t>
  </si>
  <si>
    <t>Cognex</t>
  </si>
  <si>
    <t>tacrine hydrochloride</t>
  </si>
  <si>
    <t>Demadex</t>
  </si>
  <si>
    <t>torsemide</t>
  </si>
  <si>
    <t>Aug 1993</t>
  </si>
  <si>
    <t>treatment of edema associated with congestive heart failure (CHF), renal disease, or hepatic disease; treatment of hypertension</t>
  </si>
  <si>
    <t>Imagent GI</t>
  </si>
  <si>
    <t>perflubron</t>
  </si>
  <si>
    <t>Indicated for use with magnetic resonance imaging to enhance the delineation of the bowel in order to distinguish it from adjacent organs and areas of suspected pathology</t>
  </si>
  <si>
    <t>Propulsid</t>
  </si>
  <si>
    <t>cisapride monohydrate</t>
  </si>
  <si>
    <t>Jul 1993</t>
  </si>
  <si>
    <t>symptomatic treatment of patients with nocturnal heartburn due to gastroesophageal reflux disease</t>
  </si>
  <si>
    <t>Felbatol</t>
  </si>
  <si>
    <t>felbamate</t>
  </si>
  <si>
    <t>[A] as monotherapy and adjunctive therapy in the treatment of partial seizures with and without generalization in adults with epilepsy
[B] as adjunctive therapy in the treatment of partial and generalized seizures associated with the Lennox-Gastaut syndrome in children</t>
  </si>
  <si>
    <t>Betaseron</t>
  </si>
  <si>
    <t>interferon beta-1b</t>
  </si>
  <si>
    <t>for use in ambulatory patients with relapse-remitting multiple sclerosis (MS) to reduce the frequency of clinical exacerbations</t>
  </si>
  <si>
    <t>Orlaam</t>
  </si>
  <si>
    <t>levomethadyl acetate hydrochloride</t>
  </si>
  <si>
    <t>indicated for the management of opiate dependence</t>
  </si>
  <si>
    <t>Metastron</t>
  </si>
  <si>
    <t>strontium 89 chloride</t>
  </si>
  <si>
    <t>Jun 1993</t>
  </si>
  <si>
    <t>for the relief of bone pain in patients with painful skeletal metastases</t>
  </si>
  <si>
    <t>Claritin</t>
  </si>
  <si>
    <t>loratadine</t>
  </si>
  <si>
    <t>Apr 1993</t>
  </si>
  <si>
    <t>for the relief of nasal and non-nasal symptoms of seasonal allergic rhinitis</t>
  </si>
  <si>
    <t>Lovenox</t>
  </si>
  <si>
    <t>enoxaparin sodium</t>
  </si>
  <si>
    <t>Mar 1993</t>
  </si>
  <si>
    <t>prevention of deep vein thrombosis (DVT), which may lead to pulmonary embolism, following hip replacement surgery</t>
  </si>
  <si>
    <t>Leustatin</t>
  </si>
  <si>
    <t>cladribine</t>
  </si>
  <si>
    <t>Feb 1993</t>
  </si>
  <si>
    <t>treatment of active hairy cell leukemia</t>
  </si>
  <si>
    <t>Omniscan</t>
  </si>
  <si>
    <t>gadodiamide</t>
  </si>
  <si>
    <t>Jan 1993</t>
  </si>
  <si>
    <t>intravenous administration with magnetic resonance imaging in adult patients to provide contrast enhancement in those central nervous system lesions with abnormal vascularity or those thought to cause abnormalities in the blood brain barrier</t>
  </si>
  <si>
    <t>Manoplax</t>
  </si>
  <si>
    <t>flosequinan</t>
  </si>
  <si>
    <t>Dec 1992</t>
  </si>
  <si>
    <t>management of congestive heart failure in patients not responding adequately to diuretics</t>
  </si>
  <si>
    <t>Lamisil</t>
  </si>
  <si>
    <t>terbinafine hydrochloride</t>
  </si>
  <si>
    <t>treatment of the following dermatologic infections: interdigital tinea pedis, tinea cruris, or tinea corporis due to Epidermophyton floccosum, Trichophyton mentagrophytes, or Trichophyton rubrum</t>
  </si>
  <si>
    <t>Tilade</t>
  </si>
  <si>
    <t>nedocromil sodium</t>
  </si>
  <si>
    <t>indicated for maintenance therapy in the management of patients with mild to moderate bronchial asthma</t>
  </si>
  <si>
    <t>Taxol</t>
  </si>
  <si>
    <t>paclitaxel</t>
  </si>
  <si>
    <t>treatment of patients with metastatic carcinoma of the ovary after failure of first-line or subsequent chemotherapy</t>
  </si>
  <si>
    <t>Indiclor</t>
  </si>
  <si>
    <t>indium In 111 chloride</t>
  </si>
  <si>
    <t>indicated for radiolabeling of monoclonal antibodies in preparations used for in vivo diagnostic imaging procedures</t>
  </si>
  <si>
    <t>OncoScint</t>
  </si>
  <si>
    <t>satumomab pendetide</t>
  </si>
  <si>
    <t>indicated for determining the extent and location of extrahepatic malignant disease in the following:
[A] in patients with known colorectal cancer 
[B] in patients with known ovarian cancer</t>
  </si>
  <si>
    <t>Paxil</t>
  </si>
  <si>
    <t>paroxetine hydrochloride</t>
  </si>
  <si>
    <t>Imitrex</t>
  </si>
  <si>
    <t>sumatriptan succinate</t>
  </si>
  <si>
    <t>acute treatment of migraine attacks with or without aura</t>
  </si>
  <si>
    <t>Mycobutin</t>
  </si>
  <si>
    <t>rifabutin</t>
  </si>
  <si>
    <t>prevention of disseminated Mycobacterium avium complex (MAC) disease in patients with advanced HIV infection</t>
  </si>
  <si>
    <t>Ambien</t>
  </si>
  <si>
    <t>zolpidem tartrate</t>
  </si>
  <si>
    <t>Desogen</t>
  </si>
  <si>
    <t>desogestrel, ethinyl estradiol</t>
  </si>
  <si>
    <t>prevention of pregnancy in women who elect to use oral contraceptives as a method of contraception</t>
  </si>
  <si>
    <t>Mepron</t>
  </si>
  <si>
    <t>atovaquone</t>
  </si>
  <si>
    <t>Nov 1992</t>
  </si>
  <si>
    <t>treatment of mild to moderate Pneumocystis carinii pneumonia in patients who are intolerant to trimethoprim-sulfamethoxazole</t>
  </si>
  <si>
    <t>ProHance</t>
  </si>
  <si>
    <t>gadoteridol</t>
  </si>
  <si>
    <t>provides contrast enhancement of the brain, spine, and surrounding tissues resulting in improved visualization of lesions with abnormal vascularity or those thought to cause a disruption of the normal blood-brain barrier</t>
  </si>
  <si>
    <t>Betapace</t>
  </si>
  <si>
    <t>sotalol hydrochloride</t>
  </si>
  <si>
    <t>Oct 1992</t>
  </si>
  <si>
    <t>treatment of documented ventricular arrhythmias, such as sustained ventricular tachycardia, that in the judgment of the physician are life-threatening</t>
  </si>
  <si>
    <t>Daypro</t>
  </si>
  <si>
    <t>oxaprozin</t>
  </si>
  <si>
    <t>indicated for acute and long-term use in the management of the signs and symptoms of osteoarthritis and rheumatoid arthritis</t>
  </si>
  <si>
    <t>Suprane</t>
  </si>
  <si>
    <t>desflurane</t>
  </si>
  <si>
    <t>Sep 1992</t>
  </si>
  <si>
    <t>indicated as an inhalation agent for induction and/or maintenance of anesthesia for inpatient and outpatient surgery in adults</t>
  </si>
  <si>
    <t>Sporanox</t>
  </si>
  <si>
    <t>itraconazole</t>
  </si>
  <si>
    <t>treatment of the following fungal infections in immunocompromised and non-immunocompromised patients: blastomycosis, pulmonary and extrapulmonary; histoplasmosis, including chronic cavitary pulmonary disease and disseminated, non-meningeal histoplasmosis</t>
  </si>
  <si>
    <t>Actinex</t>
  </si>
  <si>
    <t>masoprocol</t>
  </si>
  <si>
    <t>topical treatment of actinic (solar) keratoses</t>
  </si>
  <si>
    <t>Vantin</t>
  </si>
  <si>
    <t>cefpodoxime proxetil</t>
  </si>
  <si>
    <t>Aug 1992</t>
  </si>
  <si>
    <t>treatment of patients with mild to moderate infections caused by susceptible strains of designated microorganisms in the conditions listed:  Acute, community-acquired pneumonia; acute, uncomplicated urethral and cervical gonorrhea; acute, uncomplicated ano-rectal infections in women due to Neisseria gonorrhoeae; uncomplicated skin and skin structure infections; acute otitis media; pharyngitis/tonsillitis; uncomplicated urinary tract infections</t>
  </si>
  <si>
    <t>Zebeta</t>
  </si>
  <si>
    <t>bisoprolol fumarate</t>
  </si>
  <si>
    <t>Jul 1992</t>
  </si>
  <si>
    <t>management of hypertension</t>
  </si>
  <si>
    <t>Norvasc</t>
  </si>
  <si>
    <t>amlodipine besylate</t>
  </si>
  <si>
    <t>treatment of hypertension, alone or in combination with other antihypertensive agents, treatment of chronic stable angina alone or in combination with other antianginal agents, treatment of confirmed or suspected vasospastic angina, as monotherapy or in combination with other antianginal drugs</t>
  </si>
  <si>
    <t>Halfan</t>
  </si>
  <si>
    <t>halofantrine hydrochloride</t>
  </si>
  <si>
    <t>treatment of adults who can tolerate oral medication and who have mild to moderate malaria caused by Plasmodium falciparum or Plasmodium vivax</t>
  </si>
  <si>
    <t>Vumon</t>
  </si>
  <si>
    <t>teniposide</t>
  </si>
  <si>
    <t>indicated for induction therapy in patients with refractory childhood acute lymphoblastic leukemia</t>
  </si>
  <si>
    <t>Proscar</t>
  </si>
  <si>
    <t>finasteride</t>
  </si>
  <si>
    <t>Jun 1992</t>
  </si>
  <si>
    <t>treatment of symptomatic benign prostatic hyperplasia</t>
  </si>
  <si>
    <t>Hivid</t>
  </si>
  <si>
    <t>zalcitabine</t>
  </si>
  <si>
    <t>indicated for the treatment of adult patients with advanced HIV infection who have demonstrated significant clinical or immunological deterioration</t>
  </si>
  <si>
    <t>Proleukin</t>
  </si>
  <si>
    <t>aldesleukin</t>
  </si>
  <si>
    <t>May 1992</t>
  </si>
  <si>
    <t>treatment of adults (&gt;18 years old) with metastatic renal cell carcinoma</t>
  </si>
  <si>
    <t>Maxaquin</t>
  </si>
  <si>
    <t>lomefloxacin hydrochloride</t>
  </si>
  <si>
    <t>Feb 1992</t>
  </si>
  <si>
    <t>indicated  for  the  treatment  of  adults  with  mild  to moderate  infections  caused  by  susceptible  strains  of  the  designated  microorganisms  in  the  conditions listed: complicated and uncomplicated urinary tract infections; acute bacterial exacerbations of chronic bronchitis; indicated pre-operatively to reduce the incidence of urinary tract infections in the early postoperative period in patients undergoing transurethral surgical procedures</t>
  </si>
  <si>
    <t>Omniflox</t>
  </si>
  <si>
    <t>temafloxacin hydrochloride</t>
  </si>
  <si>
    <t>Jan 1992</t>
  </si>
  <si>
    <t>treatment of adults with mild to moderate infections caused by susceptible strains of designated microorganisms in the conditions listed: Lower Respiratory Tract Infections (acute bacterial exacerbation of chronic bronchitis and pneumonia), uncomplicated skin and skin structure infections, prostatitis, uncomplicated and complicated urinary tract infections</t>
  </si>
  <si>
    <t>Mivacron</t>
  </si>
  <si>
    <t>mivacurium chloride</t>
  </si>
  <si>
    <t>for inpatients and outpatients, as an adjunct to general anesthesia, to facilitate tracheal intubation and to provide skeletal muscle relaxation during surgery or mechanical ventilation</t>
  </si>
  <si>
    <t>Penetrex</t>
  </si>
  <si>
    <t>enoxacin</t>
  </si>
  <si>
    <t>Dec 1991</t>
  </si>
  <si>
    <t>indicated for the treatment of infections caused by susceptible strains of designated microorganisms in the infections listed: urinary tract infections (uncomplicated and complicated), uncomplicated urethritis or endocervicitis due to susceptible strains of Neisseria gonorrhoea, including non-penicillinase- and penicillinase-producing strains</t>
  </si>
  <si>
    <t>Lorabid</t>
  </si>
  <si>
    <t>loracarbef</t>
  </si>
  <si>
    <t>indicated for the treatment of patients with mild to moderate infections caused by susceptible strains of designated microorganisms in the conditions listed: Secondary Bacterial Infection of Acute Bronchitis; Acute Bacterial Exacerbations of Chronic Bronchitis; Pneumonia; Acute Otitis Media; Acute Maxillary Sinusitis; Pharyngitis and Tonsillitis; Uncomplicated Skin and Skin Structure Infections; Uncomplicated Urinary Tract Infections; Uncomplicated Pyelonephritis</t>
  </si>
  <si>
    <t>Zoloft</t>
  </si>
  <si>
    <t>sertraline hydrochloride</t>
  </si>
  <si>
    <t>Ismo</t>
  </si>
  <si>
    <t>isosorbide mononitrate</t>
  </si>
  <si>
    <t>prevention and control of stable angina pectoris due to coronary artery disease</t>
  </si>
  <si>
    <t>Relafen</t>
  </si>
  <si>
    <t>nabumetone</t>
  </si>
  <si>
    <t>acute and chronic treatment of signs and symptoms of osteoarthritis and rheumatoid arthritis</t>
  </si>
  <si>
    <t>Supprelin</t>
  </si>
  <si>
    <t>histrelin acetate</t>
  </si>
  <si>
    <t>treatment of central precocious puberty</t>
  </si>
  <si>
    <t>Zocor</t>
  </si>
  <si>
    <t>simvastatin</t>
  </si>
  <si>
    <t>as an adjunct to diet for the reduction of elevated total and LDL cholesterol levels in patients with primary hypercholesterolemia (Types IIa and IIb) when the response to a diet restricted in saturated fat and cholesterol and other nonpharmacological measures alone has not been adequate</t>
  </si>
  <si>
    <t>Cefzil</t>
  </si>
  <si>
    <t>cefprozil</t>
  </si>
  <si>
    <t>indicated for the treatment of patients with mild to moderate infections caused by susceptible strains of designated microorganisms in the conditions listed below: pharyngitis/tonsillitis; otitis media; secondary bacterial infection of acute bronchitis and acute bacterial exacerbations of chronic bronchitis; uncomplicated skin and skin structure infections</t>
  </si>
  <si>
    <t>Romazicon</t>
  </si>
  <si>
    <t>flumazenil</t>
  </si>
  <si>
    <t>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</si>
  <si>
    <t>Accupril</t>
  </si>
  <si>
    <t>quinapril hydrochloride</t>
  </si>
  <si>
    <t>Nov 1991</t>
  </si>
  <si>
    <t>Zithromax</t>
  </si>
  <si>
    <t>azithromycin</t>
  </si>
  <si>
    <t>indicated for the treatment of individuals 16 years of age and older with mild to moderate infections caused by susceptible strains of designated microorganisms in the conditions listed below: acute bacterial exacerbations of chronic obstructive pulmonary disease; pneumonia; streptococcal pharyngitis/tonsillitis, as an alternative to first line therapy in individuals who cannot use first line therapy; uncomplicated skin and skin structure infections; non-gonococal urethritis and cervicitis</t>
  </si>
  <si>
    <t>Biaxin</t>
  </si>
  <si>
    <t>clarithromycin</t>
  </si>
  <si>
    <t>Oct 1991</t>
  </si>
  <si>
    <t>indicated for the treatment of mild to moderate infections caused by susceptible strains of designated microorganisms in the conditions listed below:  pharyngitis/tonsillitis; sinusitis; acute bacterial exacerbations of chronic bronchitis; pneumonia; uncomplicated skin and skin structure infections</t>
  </si>
  <si>
    <t>Ticlid</t>
  </si>
  <si>
    <t>ticlopidine hydrochloride</t>
  </si>
  <si>
    <t>indicated to reduce the risk of thrombotic stroke (fatal 
or nonfatal) in patients who have experienced stroke precursors,
and in patients who have had a completed thrombotic stroke</t>
  </si>
  <si>
    <t>Pravachol</t>
  </si>
  <si>
    <t>pravastatin sodium</t>
  </si>
  <si>
    <t>as an adjunct to diet for the reduction of elevated total and LDL-cholesterol levels in patients with primary hypercholesterolemia (Type IIa and IIb) when the response to a diet restricted in saturated fat and cholesterol has not been adequate</t>
  </si>
  <si>
    <t>Aredia</t>
  </si>
  <si>
    <t>pamidronate disodium</t>
  </si>
  <si>
    <t>treatment of hypercalcemia associate with malignancy</t>
  </si>
  <si>
    <t>Nipent</t>
  </si>
  <si>
    <t>pentostatin</t>
  </si>
  <si>
    <t>treatment for adult patients with alpha-interferon-refractory hairy cell leukemia</t>
  </si>
  <si>
    <t>Videx</t>
  </si>
  <si>
    <t>didanosine</t>
  </si>
  <si>
    <t>adult and pediatric patients over six months of age with advanced HIV infection who are intolerant of zidovudine [AZT] therapy or who have demonstrated significant clinical or immunologic deterioration during zidovudine therapy</t>
  </si>
  <si>
    <t>Foscavir</t>
  </si>
  <si>
    <t>foscarnet sodium</t>
  </si>
  <si>
    <t>Sep 1991</t>
  </si>
  <si>
    <t>treatment of CMV retinitis in patients with acquired immunodeficiency syndrome (AIDS)</t>
  </si>
  <si>
    <t>Plendil</t>
  </si>
  <si>
    <t>felodipine</t>
  </si>
  <si>
    <t>Jul 1991</t>
  </si>
  <si>
    <t>Survanta</t>
  </si>
  <si>
    <t>beractant</t>
  </si>
  <si>
    <t>prevention of RDS (hyaline membrane disease) in premature infants less than 1250 grams birthweight or with evidence of surfactant deficiency; treatment of ("rescue") of premature infants with RDS confirmed by x-ray and requiring mechanical ventilation</t>
  </si>
  <si>
    <t>Lotensin</t>
  </si>
  <si>
    <t>benazepril hydrochloride</t>
  </si>
  <si>
    <t>Jun 1991</t>
  </si>
  <si>
    <t>Monopril</t>
  </si>
  <si>
    <t>fosinopril sodium</t>
  </si>
  <si>
    <t>May 1991</t>
  </si>
  <si>
    <t>Fludara</t>
  </si>
  <si>
    <t>fludarabine phosphate</t>
  </si>
  <si>
    <t>Apr 1991</t>
  </si>
  <si>
    <t>treatment of patients with B-cell chronic lymphocytic leukemia (CLL) who have not responded to other treatments or whose disease has progressed during treatment with at least one standard alkylating agent-containing regimen</t>
  </si>
  <si>
    <t>Ceredase</t>
  </si>
  <si>
    <t>alglucerase</t>
  </si>
  <si>
    <t>indicated for use as long-term enzyme replacement therapy for patients with a confirmed diagnosis of Type 1 Gaucher disease who exhibit signs and symptoms that are severe enough to result in one of the following conditions:  moderate to severe anemia, thrombocytopenia with bleeding tendency, bone disease, significant hepatomegaly or splenomegaly</t>
  </si>
  <si>
    <t>Nuromax</t>
  </si>
  <si>
    <t>doxacurium chloride</t>
  </si>
  <si>
    <t>Mar 1991</t>
  </si>
  <si>
    <t>indicated as an adjunct to general anesthesia, to provide skeletal muscle relaxation during surgery; also be used to provide skeletal muscle relaxation for endotracheal intubation</t>
  </si>
  <si>
    <t>Leukine</t>
  </si>
  <si>
    <t>sargramostim</t>
  </si>
  <si>
    <t>approved for use following induction chemotherapy in older adults with acute myelogenous leukemia (AML) to shorten the time to neutrophil recovery and reduce the incidence of severe and life-threatening infections and infections resulting in death</t>
  </si>
  <si>
    <t>Neupogen</t>
  </si>
  <si>
    <t>filgrastim</t>
  </si>
  <si>
    <t>Feb 1991</t>
  </si>
  <si>
    <t>to decrease the incidence of infection, as manifested in febrile neutropenia, in patients with non-myeloid malignancies receiving myelosuppressive anti-cancer drugs associated with a significant incidence of severe neutropenia with fever</t>
  </si>
  <si>
    <t>Lodine</t>
  </si>
  <si>
    <t>etodolac</t>
  </si>
  <si>
    <t>Jan 1991</t>
  </si>
  <si>
    <t>indicated for the treatment of osteoarthritis; management of pain</t>
  </si>
  <si>
    <t>Chemet</t>
  </si>
  <si>
    <t>succimer</t>
  </si>
  <si>
    <t>treatment of lead poisoning in children with blood lead levels above 45 mug/dL</t>
  </si>
  <si>
    <t>Altace</t>
  </si>
  <si>
    <t>ramipril</t>
  </si>
  <si>
    <t>for the treatment of hypertension</t>
  </si>
  <si>
    <t>Ganite</t>
  </si>
  <si>
    <t>gallium nitrate</t>
  </si>
  <si>
    <t>for the treatment of clearly symptomatic cancer-related hypercalcemia that has not responded to adequate hydration</t>
  </si>
  <si>
    <t>Zofran</t>
  </si>
  <si>
    <t>ondansetron hydrochloride</t>
  </si>
  <si>
    <t>prevention of nausea and vomiting associated with initial and repeat courses of emetogenic cancer chemotherapy including high-dose cisplatin</t>
  </si>
  <si>
    <t>Rev-Eyes</t>
  </si>
  <si>
    <t>dapiprazole hydrochloride</t>
  </si>
  <si>
    <t>Dec 1990</t>
  </si>
  <si>
    <t>treatment of iatrogenically induced mydriasis produced by adrenergic (phenylephrine) or parasmypatholytic (tropicamide) agents</t>
  </si>
  <si>
    <t>Floxin</t>
  </si>
  <si>
    <t>ofloxacin</t>
  </si>
  <si>
    <t>treatment for the following infections caused by susceptible strains of designated microorganisms; lower respiratory tract infections (acute bacterial exacerbations of chronic bronchitis and pneumonia); sexually transmitted diseases (acute, uncomplicated urethral and cervical gonorrhea, nongonococcal urethritis and cervicitis, and mixed infections of the urethra and cervix); skin and skin structure infections (mild to moderate skin and skin structure infections); urinary tract infections (uncomplicated cystitis, and complicated urinary tract infections); and prostatitis</t>
  </si>
  <si>
    <t>Vascor</t>
  </si>
  <si>
    <t>bepridil hydrochloride</t>
  </si>
  <si>
    <t>treatment of chronic stable angina (classic effort-associated angina) in patients failing to respond adequately to other therapy</t>
  </si>
  <si>
    <t>Geref</t>
  </si>
  <si>
    <t>sermorelin acetate</t>
  </si>
  <si>
    <t>for evaluating the ability of the somatotroph of the pituitary gland to secrete growth hormone (GH)</t>
  </si>
  <si>
    <t>ProSom</t>
  </si>
  <si>
    <t>estazolam</t>
  </si>
  <si>
    <t>short term treatment of insomnia</t>
  </si>
  <si>
    <t>Hexalen</t>
  </si>
  <si>
    <t>altretamine</t>
  </si>
  <si>
    <t>palliative treatment of patients with persistent or recurrent ovarian cancer following first-line therapy with cisplatin and/or alkylating agent based combination</t>
  </si>
  <si>
    <t>Cardiolite</t>
  </si>
  <si>
    <t>technetium Tc-99m sestamibi</t>
  </si>
  <si>
    <t>indicated as a myocardial perfusion agent that is useful in distinguishing normal from abnormal myocardium, and in the localization of the abnormality, in patients with suspected myocardial infarction</t>
  </si>
  <si>
    <t>Dynacirc</t>
  </si>
  <si>
    <t>isradipine</t>
  </si>
  <si>
    <t>indicated for the management of hypertension</t>
  </si>
  <si>
    <t>Actimmune</t>
  </si>
  <si>
    <t>interferon gamma-1b</t>
  </si>
  <si>
    <t>treatment of chronic granulomatous disease</t>
  </si>
  <si>
    <t>Cardiotec</t>
  </si>
  <si>
    <t>technetium Tc-99m teboroxime</t>
  </si>
  <si>
    <t>indicated as a myocardial perfusion agent that is useful in distinguishing normal from abnormal myocardium in patients with suspected coronary artery disease, using rest and stress techniques</t>
  </si>
  <si>
    <t>Ultravate</t>
  </si>
  <si>
    <t>halobetasol propionate</t>
  </si>
  <si>
    <t>indicated for the relief of the inflammatory and pruritic manifestations of corticosteroid-responsive dermatoses</t>
  </si>
  <si>
    <t>Cutivate</t>
  </si>
  <si>
    <t>fluticasone propionate</t>
  </si>
  <si>
    <t>Ornidyl</t>
  </si>
  <si>
    <t>eflornithine hydrochloride</t>
  </si>
  <si>
    <t>Nov 1990</t>
  </si>
  <si>
    <t>treatment of meningoencephalitic stage of Trypanosoma brucei gambiense infection (sleeping sickness)</t>
  </si>
  <si>
    <t>Cardura</t>
  </si>
  <si>
    <t>doxazosin mesylate</t>
  </si>
  <si>
    <t>Idamycin</t>
  </si>
  <si>
    <t>idarubicin hydrochloride</t>
  </si>
  <si>
    <t>Sep 1990</t>
  </si>
  <si>
    <t>in combination with other approved antileukemic drugs for the treatment of acute myeloid leukemia (AML) in adults</t>
  </si>
  <si>
    <t>Exosurf</t>
  </si>
  <si>
    <t>colfosceril palmitate, cetyl alcohol, tyloxapol</t>
  </si>
  <si>
    <t>Aug 1990</t>
  </si>
  <si>
    <t>indicated for prophylactic treatment of infants with birth weight less than 1350 grams who are at risk of developing RDS, prophylactic treatment of infants with birth weight greater than 1350 grams who have evidence of pulmonary immaturity, and rescue treatment of infants who have developed RDS</t>
  </si>
  <si>
    <t>Dipentum</t>
  </si>
  <si>
    <t>olsalazine sodium</t>
  </si>
  <si>
    <t>Jul 1990</t>
  </si>
  <si>
    <t>indicated for the maintenance of remission of ulcerative colitis in patients who are intolerant of sulfasalazine</t>
  </si>
  <si>
    <t>Arduan</t>
  </si>
  <si>
    <t>pipecuronium bromide</t>
  </si>
  <si>
    <t>Jun 1990</t>
  </si>
  <si>
    <t>indicated as an adjunct to general anesthesia, to provide skeletal muscle relaxation during surgery; can also be used to provide skeletal muscle relaxation for endotracheal intubation</t>
  </si>
  <si>
    <t>Ethmozine</t>
  </si>
  <si>
    <t>moricizine hydrochloride</t>
  </si>
  <si>
    <t>indicated for the treatment of documented ventricular arrhythmias, such as sustained ventricular tachycardia, that in the judgment of the physician are life-threatening</t>
  </si>
  <si>
    <t>Ergamisol</t>
  </si>
  <si>
    <t>levamisole hydrochloride</t>
  </si>
  <si>
    <t>indicated as adjuvant treatment in combination with 5-fluorouracil after surgical resection in patients with Dukes' stage C colon cancer</t>
  </si>
  <si>
    <t>TechneScan MAG3</t>
  </si>
  <si>
    <t>technetium Tc-99m mertiatide</t>
  </si>
  <si>
    <t>indicated as a renal imaging agent for use in the diagnosis of congenital and acquired abnormalities, renal failure, urinary tract obstruction, and calculi</t>
  </si>
  <si>
    <t>Adagen</t>
  </si>
  <si>
    <t>pegademase bovine</t>
  </si>
  <si>
    <t>Mar 1990</t>
  </si>
  <si>
    <t>indicated for enzyme replacement therapy for adenosine deaminase (ADA) deficiency  in  patients  with  severe  combined  immunodeficiency  disease  (SCID)  who  are  not  suitable  candidates  for  –  or  who  have  failed  –  bone  marrow  transplantation</t>
  </si>
  <si>
    <t>Synarel</t>
  </si>
  <si>
    <t>nafarelin acetate</t>
  </si>
  <si>
    <t>Feb 1990</t>
  </si>
  <si>
    <t>management of endometriosis, including pain relief and reduction of endometriotic lesions</t>
  </si>
  <si>
    <t>Diflucan</t>
  </si>
  <si>
    <t>fluconazole</t>
  </si>
  <si>
    <t>Jan 1990</t>
  </si>
  <si>
    <t>treatment of oropharyngeal and esophageal candidiasis; serious systemic candidal infections, including urinary tract infection, peritonitis, and pneumonia; also indicated for treatment of cryptococcal meningitis</t>
  </si>
  <si>
    <t>Ortho Cyclen</t>
  </si>
  <si>
    <t>norgestimate, ethinyl estradiol</t>
  </si>
  <si>
    <t>Dec 1989</t>
  </si>
  <si>
    <t>Decabid</t>
  </si>
  <si>
    <t>indecainide hydrochloride</t>
  </si>
  <si>
    <t>treatment of documented ventricular arrhythmias, such as sustained ventricular tachycardia, that in the judgment of the physician, are life-threatening</t>
  </si>
  <si>
    <t>Anafranil</t>
  </si>
  <si>
    <t>clomipramine hydrochloride</t>
  </si>
  <si>
    <t>treatment of obsessions and compulsions in patients with Obsessive Compulsive Disorder (OCD). The obsessions or compulsions must cause marked distress, be time-consuming, or significantly interfere with social or occupational functioning, in order to meet the DSM III-R (circa 1989) diagnosis of OCD</t>
  </si>
  <si>
    <t>Zoladex</t>
  </si>
  <si>
    <t>goserelin acetate</t>
  </si>
  <si>
    <t>palliative treatment of advanced carcinoma of the prostate</t>
  </si>
  <si>
    <t>Dalgan</t>
  </si>
  <si>
    <t>dezocine</t>
  </si>
  <si>
    <t>indicated for the management of pain when the use of an opioid analgesic is appropriate</t>
  </si>
  <si>
    <t>Cardiogen-82</t>
  </si>
  <si>
    <t>rubidium Rb 82 chloride</t>
  </si>
  <si>
    <t>indicated for assessing regional myocardial perfusion in the diagnosis and localization of myocardial infarction</t>
  </si>
  <si>
    <t>Betamet</t>
  </si>
  <si>
    <t>metipranolol hydrochloride</t>
  </si>
  <si>
    <t>has been shown to be effective in lowering intraocular pressure and may be used in patients with chronic open-angle glaucoma or intraocular hypertension</t>
  </si>
  <si>
    <t>Pindac</t>
  </si>
  <si>
    <t>pinacidil</t>
  </si>
  <si>
    <t>Zefazone</t>
  </si>
  <si>
    <t>cefmetazole sodium</t>
  </si>
  <si>
    <t>treatment of serious infections caused by susceptible strains of the designated microorganisms in the following diseases: Urinary Tract Infections; Lower Respiratory Tract Infections; Skin and Skin Structure Infections; Intraabdominal Infections; reduce the incidence of certain postoperative infections in patients who undergo caesarean section, abdominal or vaginal hysterectomy, cholecystectomy (high risk patients), and colorectal surgery</t>
  </si>
  <si>
    <t>Oculinum</t>
  </si>
  <si>
    <t>botulinum toxin type A</t>
  </si>
  <si>
    <t>for the treatment of strabismus  in patients 12 years of age and above;
blepharospasm associated with dystonia, including benign essential blepharospasm or [seventh] nerve disorders in patients 12 years of age and above</t>
  </si>
  <si>
    <t>Osmovist</t>
  </si>
  <si>
    <t>iotrolan</t>
  </si>
  <si>
    <t>indicated for lumbar, thoracic, cervical, and total columnar myelography, and computerized tomography (CT) of spinal and subarachnoid spaces, in adults</t>
  </si>
  <si>
    <t>Toradol</t>
  </si>
  <si>
    <t>ketorolac tromethamine</t>
  </si>
  <si>
    <t>Nov 1989</t>
  </si>
  <si>
    <t>indicated for the short-term management of pain</t>
  </si>
  <si>
    <t>Eminase</t>
  </si>
  <si>
    <t>anistreplase</t>
  </si>
  <si>
    <t>indicated for use in the management of acute myocardial infarction (AMI) in adults, for the lysis of thrombi obstructing coronary arteries, the reduction of infarct size, the improvement of ventricular function following AMI, and the reduction of mortality associated with AMI</t>
  </si>
  <si>
    <t>Rythmol</t>
  </si>
  <si>
    <t>propafenone hydrochloride</t>
  </si>
  <si>
    <t>Adenocard</t>
  </si>
  <si>
    <t>adenosine</t>
  </si>
  <si>
    <t>Oct 1989</t>
  </si>
  <si>
    <t>indicated for conversion to sinus rhythm of paroxysmal supraventricular tachycardia (PSVT), including that associated with accessory bypass tracts (Wolff-Parkinson-White Syndrome)</t>
  </si>
  <si>
    <t>Alferon N</t>
  </si>
  <si>
    <t>interferon alfa-n3</t>
  </si>
  <si>
    <t>treatment of condyloma acuminata (genital warts)</t>
  </si>
  <si>
    <t>Diprivan</t>
  </si>
  <si>
    <t>propofol</t>
  </si>
  <si>
    <t>induction and maintenance of anesthesia</t>
  </si>
  <si>
    <t>Clozaril</t>
  </si>
  <si>
    <t>clozapine</t>
  </si>
  <si>
    <t>Sep 1989</t>
  </si>
  <si>
    <t>treatment of severely ill schizophrenic patients who fail to respond to standard drug therapies</t>
  </si>
  <si>
    <t>Losec</t>
  </si>
  <si>
    <t>omeprazole</t>
  </si>
  <si>
    <t>short-term treatment (four to eight weeks) of severe erosive esophagitis; short-term treatment of symptomatic gastroesophageal reflux disease (GERD) poorly responsive to customary medical treatment, usually including an adequate course of a histamine H2 receptor antagonist;  long-term treatment of Zollinger-Ellison syndrome</t>
  </si>
  <si>
    <t>Cytovene</t>
  </si>
  <si>
    <t>ganciclovir sodium</t>
  </si>
  <si>
    <t>Jun 1989</t>
  </si>
  <si>
    <t>treatment of CMV retinitis in immunocompromised 
patients, including patients with acquired immunodeficiency syndrome (AIDS)</t>
  </si>
  <si>
    <t>Eldepryl</t>
  </si>
  <si>
    <t>selegiline hydrochloride</t>
  </si>
  <si>
    <t>indicated as an adjunct in the management of Parkinsonian patients being treated with levodopa/carbidopa who exhibit deterioration in the quality of their response to this therapy</t>
  </si>
  <si>
    <t>Epogen</t>
  </si>
  <si>
    <t>treatment of anemia associated with chronic renal failure, including patients on dialysis (end-stage renal disease) and patients not on dialysis</t>
  </si>
  <si>
    <t>Lariam</t>
  </si>
  <si>
    <t>mefloquine hydrochloride</t>
  </si>
  <si>
    <t>May 1989</t>
  </si>
  <si>
    <t>treatment of mild to moderate acute malaria caused by mefloquine-susceptible strains of P. falciparum (both chloroquine-susceptible and resistant strains) or by Plasmodium vivax; also indicated for the prophylaxis of P. falciparum and P. vivax malaria infections, including prophylaxis of chloroquine-resistant strains of P. falciparum.</t>
  </si>
  <si>
    <t>Suprax</t>
  </si>
  <si>
    <t>cefixime</t>
  </si>
  <si>
    <t>Apr 1989</t>
  </si>
  <si>
    <t>indicated in the treatment of the following infections when caused by susceptible strains of the designated microorganisms: Uncomplicated Urinary Tract Infections, Otitis Media, Pharyngitis and tonsillitis, Acute Bronchitis and Acute Exacerbations of Chronic Bronchitis</t>
  </si>
  <si>
    <t>Paraplatin</t>
  </si>
  <si>
    <t>carboplatin</t>
  </si>
  <si>
    <t>Mar 1989</t>
  </si>
  <si>
    <t>palliative treatment of patients with ovarian carcinoma recurrent after prior chemotherapy, including patients who have previously been treated with cisplatin</t>
  </si>
  <si>
    <t>Cefpiramide</t>
  </si>
  <si>
    <t>cefpiramide sodium</t>
  </si>
  <si>
    <t>Jan 1989</t>
  </si>
  <si>
    <t>indicated for the treatment of the following infections when caused by susceptible strains of designated organisms:  lower respiratory infections including pneumonia, skin and skin structure infections</t>
  </si>
  <si>
    <t>Eulexin</t>
  </si>
  <si>
    <t>flutamide</t>
  </si>
  <si>
    <t>in combination with LHRH agonistic analogs (such as leuprolide acetate) for the treatment of metastatic prostatic carcinoma</t>
  </si>
  <si>
    <t>Ceretec</t>
  </si>
  <si>
    <t>technetium Tc-99m exametazime</t>
  </si>
  <si>
    <t>Dec 1988</t>
  </si>
  <si>
    <t>use as an adjunct in the detection of altered regional cerebral perfusion in strokes</t>
  </si>
  <si>
    <t>Oxistat</t>
  </si>
  <si>
    <t>oxiconazole nitrate</t>
  </si>
  <si>
    <t>treatment of tinea pedis, tinea cruris and tinea corporis due to Trichophyton rubrum, Trichophyton mentagrophytes, or Epidermophyton floccosum</t>
  </si>
  <si>
    <t>Optiray</t>
  </si>
  <si>
    <t>ioversol</t>
  </si>
  <si>
    <t>Optiray-320 for angiography throughout the cardiovascular system including cerebral, coronary, peripheral, visceral and renal arteriography, aortography, and left ventriculography; contrast enhanced CT imaging of the head and body, and I.V. excretory urography. Optiray-240  indicated  for cerebral angiography and venography. Optiray-160 intra-arterial digital subtraction angiography</t>
  </si>
  <si>
    <t>Ifex</t>
  </si>
  <si>
    <t>ifosfamide</t>
  </si>
  <si>
    <t>used in combination with certain other approved antineoplastic agents is indicated for third-line chemotherapy of germ cell testicular cancer. It should ordinarily be used in combination with a prophylactic agent for hemorrhagic cystitis, such as mesna</t>
  </si>
  <si>
    <t>Mesnex</t>
  </si>
  <si>
    <t>mesna</t>
  </si>
  <si>
    <t>prophylactic agent for reducing the incidence of ifosamide-induced hemorrhagic cystitis</t>
  </si>
  <si>
    <t>Ceradon</t>
  </si>
  <si>
    <t>cefotiam hydrochloride</t>
  </si>
  <si>
    <t>treatment of infections caused by susceptible strains of the designated microorganisms: lower respiratory tract infections, bronchitis, and pneumonia</t>
  </si>
  <si>
    <t>Permax</t>
  </si>
  <si>
    <t>pergolide mesylate</t>
  </si>
  <si>
    <t>as adjunctive treatment to levodopa in the management of the signs and symptoms of Parkinson’s disease</t>
  </si>
  <si>
    <t>Hismanal</t>
  </si>
  <si>
    <t>astemizole</t>
  </si>
  <si>
    <t>relief of symptoms associated with seasonal allergic rhinitis and chronic idiopathic urticaria</t>
  </si>
  <si>
    <t>Cartrol</t>
  </si>
  <si>
    <t>carteolol hydrochloride</t>
  </si>
  <si>
    <t>Nimotop</t>
  </si>
  <si>
    <t>nimodipine</t>
  </si>
  <si>
    <t>for the improvement of neurological deficits due to spasm following subarachnoid hemorrhage from ruptured congenital intracranial aneurysms in patients who are in good neurological condition post-ictus (e.g. Hunt and Hess Grades I-III)</t>
  </si>
  <si>
    <t>Cytotec</t>
  </si>
  <si>
    <t>misoprostol</t>
  </si>
  <si>
    <t>prevention of NSAID (nonsteroidal anti-inflammatory drugs, including aspirin)- induced gastric ulcers in patients at high risk of complications from a gastric ulcer, e.g., the elderly and patients with concomitant disease, as well as patients at high risk of developing gastric ulceration, such as patients with a history of ulcer</t>
  </si>
  <si>
    <t>Ethamolin</t>
  </si>
  <si>
    <t>ethanolamine oleate</t>
  </si>
  <si>
    <t>treatment of patients with esophageal varices that have recently bled, to prevent rebleeding</t>
  </si>
  <si>
    <t>Cardene</t>
  </si>
  <si>
    <t>nicardipine hydrochloride</t>
  </si>
  <si>
    <t>management of patients with chronic stable angina (effort-associated angina); management of hypertension</t>
  </si>
  <si>
    <t>Sandostatin</t>
  </si>
  <si>
    <t>octreotide acetate</t>
  </si>
  <si>
    <t>Oct 1988</t>
  </si>
  <si>
    <t>treatment of chronic and severe diarrhea and flushing episodes associated with carcinoid tumors and vasoactive intestinal peptide-secreting tumors (VIPomas)</t>
  </si>
  <si>
    <t>Photoplex</t>
  </si>
  <si>
    <t>avobenzone, padimate-O</t>
  </si>
  <si>
    <t>Sep 1988</t>
  </si>
  <si>
    <t>protection from the acute and long-term risks associated with UVA and UVB light exposure</t>
  </si>
  <si>
    <t>Thiola</t>
  </si>
  <si>
    <t>tiopronin</t>
  </si>
  <si>
    <t>Aug 1988</t>
  </si>
  <si>
    <t>prevention of cystine (kidney) stone formation in patients with severe homozygous cystinuria with urinary cystine greater than 500 mg/day, who are resistant to treatment with conservative measures of high fluid intake, alkali and diet modification, or who have adverse reactions to d-penicillamine</t>
  </si>
  <si>
    <t>Voltaren</t>
  </si>
  <si>
    <t>diclofenac sodium</t>
  </si>
  <si>
    <t>Jul 1988</t>
  </si>
  <si>
    <t>acute and chronic treatment of the signs and symptoms of rheumatoid arthritis, osteoarthritis, and ankylosing spondylitis</t>
  </si>
  <si>
    <t>Magnevist</t>
  </si>
  <si>
    <t>gadopentetate dimeglumine</t>
  </si>
  <si>
    <t>Jun 1988</t>
  </si>
  <si>
    <t>using magnetic resonance imaging in adult patients, gadopentetate dimeglumine provides contrast enhancement in those intracranial lesions with abnormal vascularity or those thought to cause an abnormal blood brain barrier</t>
  </si>
  <si>
    <t>Axid</t>
  </si>
  <si>
    <t>nizatidine</t>
  </si>
  <si>
    <t>Apr 1988</t>
  </si>
  <si>
    <t>treatment of active duodenal ulcers for up to six weeks; maintenance therapy of duodenal ulcer patients at a reduced dosage after healing of an active duodenal ulcer</t>
  </si>
  <si>
    <t>Naftin</t>
  </si>
  <si>
    <t>naftifine hydrochloride</t>
  </si>
  <si>
    <t>Feb 1988</t>
  </si>
  <si>
    <t>indicated for the topical treatment of tinea cruris and tinea corporis</t>
  </si>
  <si>
    <t>Rimadyl</t>
  </si>
  <si>
    <t>carprofen</t>
  </si>
  <si>
    <t>Dec 1987</t>
  </si>
  <si>
    <t>acute or long-term use for the relief of signs and symptoms of rheumatiod arthritis, osteoarthritis, and acute gouty arthritis</t>
  </si>
  <si>
    <t>Iopidine</t>
  </si>
  <si>
    <t>apraclonidine hydrochloride</t>
  </si>
  <si>
    <t>to control or prevent postsurgical elevations in intraocular pressure that occur in patients after argon laser trabeculoplasty or argon laser iridotomy</t>
  </si>
  <si>
    <t>Bactroban</t>
  </si>
  <si>
    <t>mupirocin</t>
  </si>
  <si>
    <t>indicated for the topical treatment of impetigo due to: Staphylococcus aureus, beta hemolytic Streptococcus, and Streptococcus pyogenes</t>
  </si>
  <si>
    <t>Corotrope</t>
  </si>
  <si>
    <t>milrinone lactate</t>
  </si>
  <si>
    <t>short-term  intravenous  treatment  of  patients  with  acute  decompensated  heart  failure</t>
  </si>
  <si>
    <t>Terazol 7</t>
  </si>
  <si>
    <t>terconazole</t>
  </si>
  <si>
    <t>local treatment of vulvovaginal candidiasis (moniliasis)</t>
  </si>
  <si>
    <t>Deursil</t>
  </si>
  <si>
    <t>ursodiol</t>
  </si>
  <si>
    <t>patients with radiolucent, non-calcified, gallbladder stones &lt;20mm in greatest diameter in whom elective cholecystectomy would be undertaken except for the presence of increased surgical risk due to systemic disease or age</t>
  </si>
  <si>
    <t>Levatol</t>
  </si>
  <si>
    <t>penbutolol sulfate</t>
  </si>
  <si>
    <t>treatment of mild-to-moderate arterial hypertension</t>
  </si>
  <si>
    <t>Cefmax</t>
  </si>
  <si>
    <t>cefmenoxime hydrochloride</t>
  </si>
  <si>
    <t>indicated for the treatment of infections caused by susceptible strains of designated microorganisms in:  Lower respiratory infections, urinary tract infections</t>
  </si>
  <si>
    <t>Prinivil</t>
  </si>
  <si>
    <t>lisinopril</t>
  </si>
  <si>
    <t>Prozac</t>
  </si>
  <si>
    <t>fluoxetine hydrochloride</t>
  </si>
  <si>
    <t>Spectamine</t>
  </si>
  <si>
    <t>iofetamine hydrochloride  I 123</t>
  </si>
  <si>
    <t>evaluation of nonlucunar stroke especially when used within 96 hours of the first onset of neurological deficit</t>
  </si>
  <si>
    <t>Rowasa</t>
  </si>
  <si>
    <t>mesalamine</t>
  </si>
  <si>
    <t>treatment of active mild to moderate distal ulcerative colitis, proctosigmoiditis or proctitis</t>
  </si>
  <si>
    <t>Parathar</t>
  </si>
  <si>
    <t>teriparatide acetate</t>
  </si>
  <si>
    <t>as a diagnostic agent to assist in establishing the diagnosis in patients presenting with evidence of hypocalcemia due to either hypoparathyroidism or pseudohypoparathyroidism</t>
  </si>
  <si>
    <t>Novantrone</t>
  </si>
  <si>
    <t>mitoxantrone hydrochloride</t>
  </si>
  <si>
    <t>indicated in the initial therapy of acute nonlymphocytic leukemia (ANLL) in adults.  This category includes myelogenous, promyelocytic, monocytic, and erythroid acute leukemias</t>
  </si>
  <si>
    <t>Ucephan</t>
  </si>
  <si>
    <t>sodium phenylacetate, sodium benzoate</t>
  </si>
  <si>
    <t>indicated as adjunctive therapy for the prevention and treatment of hyperammonemia in chronic management of urea cycle enzymopathies involving partial or complete deficiencies of carbamylphosphate synthetase, ornithine transcarbmylase, or argininosuccinate synthetase</t>
  </si>
  <si>
    <t>Activase</t>
  </si>
  <si>
    <t>alteplase</t>
  </si>
  <si>
    <t>Nov 1987</t>
  </si>
  <si>
    <t>indicated for use in the management of acute myocardial infarction in adults for the lysis of thrombi obstructing coronary arteries, the improvement of ventricular function and reduction of the incidence of congestive heart failure</t>
  </si>
  <si>
    <t>Cipro</t>
  </si>
  <si>
    <t>ciprofloxacin hydrochloride</t>
  </si>
  <si>
    <t>Oct 1987</t>
  </si>
  <si>
    <t>indicated for treatment of infections caused by susceptible strains of designated microorganisms in the conditions listed: lower respiratory, skin and skin structure, bone and joint, and urinary tract infections; infectious diarrhea</t>
  </si>
  <si>
    <t>Mevacor</t>
  </si>
  <si>
    <t>lovastatin</t>
  </si>
  <si>
    <t>Aug 1987</t>
  </si>
  <si>
    <t>indicated as an adjunct to diet for the reduction of elevated total and LDL cholesterol levels in patients with primary hypercholesterolemia (Types IIa and IIb) when the response to diet and other nonpharmacological measures alone has been inadequate</t>
  </si>
  <si>
    <t>Hytrin</t>
  </si>
  <si>
    <t>terazosin hydrochloride</t>
  </si>
  <si>
    <t>Elocon</t>
  </si>
  <si>
    <t>mometasone furoate</t>
  </si>
  <si>
    <t>Apr 1987</t>
  </si>
  <si>
    <t>Retrovir</t>
  </si>
  <si>
    <t>zidovudine</t>
  </si>
  <si>
    <t>Mar 1987</t>
  </si>
  <si>
    <t>for the management of certain adult patients with symptomatic HIV infection (AIDS and advanced ARC) who have a history of cytologically confirmed Pneumocystis carinii pneumonia (PCP) or an absolute CD4 (T4 helper/inducer) lymphocyte count of less than 200/mm in the peripheral blood before therapy is begun</t>
  </si>
  <si>
    <t>Choletec</t>
  </si>
  <si>
    <t>technetium Tc-99m mebrofenin</t>
  </si>
  <si>
    <t>Jan 1987</t>
  </si>
  <si>
    <t>indicated as a hepatobiliary imaging agent</t>
  </si>
  <si>
    <t>Ocufen</t>
  </si>
  <si>
    <t>flurbiprofen sodium</t>
  </si>
  <si>
    <t>Dec 1986</t>
  </si>
  <si>
    <t>inhibition of intraoperative miosis</t>
  </si>
  <si>
    <t>Unasyn</t>
  </si>
  <si>
    <t>sulbactam sodium, ampicillin sodium</t>
  </si>
  <si>
    <t>treatment of infections due to susceptible of designated microorganisms for: Lower Respiratory Tract Infections; Skin and Skin Structure Infections; Urinary Tract Infections; Intra-Abdominal Infections; Gynecological Infections</t>
  </si>
  <si>
    <t>Azactam</t>
  </si>
  <si>
    <t>aztreonam</t>
  </si>
  <si>
    <t>treatment of the following infections caused by susceptible gram-negative microorganisms: Urinary Tract Infections (complicated and uncomplicated), Lower Respiratory Tract Infections, Septicemia, Skin and Skin Structure Infections, Intra-abdominal Infections, Gynecologic Infections; indicated for adjunctive therapy to surgery in the management of infections caused by susceptible organisms including abscesses, infections complicating hollow viscous perforations, cutaneous infections and infections of serous surfaces</t>
  </si>
  <si>
    <t>Brevibloc</t>
  </si>
  <si>
    <t>esmolol hydrochloride</t>
  </si>
  <si>
    <t>indicated for the rapid control of ventricular rate in patients with atrial fibrillation or atrial flutter in perioperative, postoperative, or other emergent circumstances where short term control of ventricular rate with a short-acting agent is desirable; also indicated in compensatory sinus tachycardia where, in the physician's judgment the rapid heart rate requires specific intervention</t>
  </si>
  <si>
    <t>Cyklokapron</t>
  </si>
  <si>
    <t>tranexamic acid</t>
  </si>
  <si>
    <t>indicated in patients with hemophilia for short term use (two to eight days) to reduce or prevent hemorrhage and reduce the need for replacement therapy during and following tooth extraction</t>
  </si>
  <si>
    <t>Exirel</t>
  </si>
  <si>
    <t>pirbuterol acetate</t>
  </si>
  <si>
    <t>indicated for the relief of acute bronchospasm in patients with chronic reversible obstructive airway disease (extrinsic asthma, intrinsic asthma and chronic bronchitis/emphysema)</t>
  </si>
  <si>
    <t>Atrovent</t>
  </si>
  <si>
    <t>ipratropium bromide</t>
  </si>
  <si>
    <t>indicated as a bronchodilator for maintenance treatment of bronchospasm associated with chronic obstructive pulmonary disease, including chronic bronchitis and emphysema</t>
  </si>
  <si>
    <t>Alfenta</t>
  </si>
  <si>
    <t>alfentanil hydrochloride</t>
  </si>
  <si>
    <t>indicated as an analgesic adjunct given in incremental doses in the maintenance of anesthesia with barbituate/nitrous oxide/oxygen; as an analgesic administered by continuous infusion with nitrous oxide/oxygen in the maintenance of general anesthesia; as a primary anesthetic agent for the induction of anesthesia in patients undergoing general surgery in which endotracheal intubation and mechanical ventilation are required</t>
  </si>
  <si>
    <t>Enkaid</t>
  </si>
  <si>
    <t>encainide hydrochloride</t>
  </si>
  <si>
    <t>for the treatment of documented life threatening arrhythmias such as sustained ventricular tachycardia; for the treatment of patients with symptomatic nonsustained ventricular tachycardia and frequent premature ventricular complexes</t>
  </si>
  <si>
    <t>Lamprene</t>
  </si>
  <si>
    <t>clofazimine</t>
  </si>
  <si>
    <t>indicated in the treatment of lepromatous leprosy, including dapsone-resistant lepromatous leprosy and lepromatous leprosy complicated by erythema nodosum leprosum</t>
  </si>
  <si>
    <t>Noroxin</t>
  </si>
  <si>
    <t>norfloxacin</t>
  </si>
  <si>
    <t>Oct 1986</t>
  </si>
  <si>
    <t>Treatment of adults with complicated and uncomplicated urinary tract infections caused by susceptible strains of microorganisms</t>
  </si>
  <si>
    <t>Technescan Hida</t>
  </si>
  <si>
    <t>technetium Tc-99m lidofenin</t>
  </si>
  <si>
    <t>Cibacalcin</t>
  </si>
  <si>
    <t>calcitonin (human)</t>
  </si>
  <si>
    <t>treatment of symptomatic Paget’s disease of the bone</t>
  </si>
  <si>
    <t>Provocholine</t>
  </si>
  <si>
    <t>methacholine chloride</t>
  </si>
  <si>
    <t>indicated for the diagnosis of bronchial airway hyperreactivity in subjects who do not have clinically apparent asthma</t>
  </si>
  <si>
    <t>Tenex</t>
  </si>
  <si>
    <t>guanfacine hydrochloride</t>
  </si>
  <si>
    <t>indicated in the management of hypertension</t>
  </si>
  <si>
    <t>Pepcid</t>
  </si>
  <si>
    <t>famotidine</t>
  </si>
  <si>
    <t>short term treatment of acute duodenal ulcer; maintenance therapy for duodenal ulcer patients at reduced dosage after healing of active ulcer; treatment of pathological hypersecretory conditions such as Zollinger-Ellison syndrome</t>
  </si>
  <si>
    <t>Tegison</t>
  </si>
  <si>
    <t>etretinate</t>
  </si>
  <si>
    <t>Sep 1986</t>
  </si>
  <si>
    <t>treatment of severe recalcitrant psoriasis, including erythrodermic and generalized pustular types</t>
  </si>
  <si>
    <t>Buspar</t>
  </si>
  <si>
    <t>buspirone hydrochloride</t>
  </si>
  <si>
    <t>management of anxiety disorders or the short term relief of the symptoms of anxiety</t>
  </si>
  <si>
    <t>Orthoclone OKT3</t>
  </si>
  <si>
    <t>muromonab-CD3</t>
  </si>
  <si>
    <t>Jun 1986</t>
  </si>
  <si>
    <t>treatment of acute allograft rejection in renal transplant patients</t>
  </si>
  <si>
    <t>Roferon-A</t>
  </si>
  <si>
    <t>interferon alfa-2a</t>
  </si>
  <si>
    <t>treatment of patients 18 years of age or older with hairy cell leukemia</t>
  </si>
  <si>
    <t>Intron-A</t>
  </si>
  <si>
    <t>interferon alfa-2b</t>
  </si>
  <si>
    <t>Nix</t>
  </si>
  <si>
    <t>permethrin</t>
  </si>
  <si>
    <t>Mar 1986</t>
  </si>
  <si>
    <t>single-application treatment of infestation with Pediculus humanus capitis (the head louse) and its nits (eggs)</t>
  </si>
  <si>
    <t>Orudis</t>
  </si>
  <si>
    <t>ketoprofen</t>
  </si>
  <si>
    <t>Jan 1986</t>
  </si>
  <si>
    <t>treatment of signs and symptoms of osteoarthritis and rheumatoid arthritis</t>
  </si>
  <si>
    <t>Isovue</t>
  </si>
  <si>
    <t>iopamidol</t>
  </si>
  <si>
    <t>Dec 1985</t>
  </si>
  <si>
    <t>indicated for lumbar, thoracic, cervical and total columnar myelography, coronary angiography and ventriculography, peripheral arteriography and ventriculography, peripheral arteriography, cerebral arteriography and CT scanning of the head and body</t>
  </si>
  <si>
    <t>Virazole</t>
  </si>
  <si>
    <t>ribavirin</t>
  </si>
  <si>
    <t>indicated in the treatment of carefully selected hospitalized infants and young children with severe lower respiratory tract infections due to respiratory syncytial virus (RSV)</t>
  </si>
  <si>
    <t>Wellbutrin</t>
  </si>
  <si>
    <t>bupropion hydrochloride</t>
  </si>
  <si>
    <t>treatment of depression in patients who fail to respond adequately to, or who cannot tolerate, alternative antidepressant treatments</t>
  </si>
  <si>
    <t>Mexitil</t>
  </si>
  <si>
    <t>mexiletine hydrochloride</t>
  </si>
  <si>
    <t>for the suppression of symptomatic ventricular arrhythmias, including frequent premature ventricular contractions, unifocal or multifocal, couplets and ventricular tachycardia</t>
  </si>
  <si>
    <t>Carnitor</t>
  </si>
  <si>
    <t>L-carnitine</t>
  </si>
  <si>
    <t>treatment of primary systemic carnitine deficiency</t>
  </si>
  <si>
    <t>Dormalin</t>
  </si>
  <si>
    <t>quazepam</t>
  </si>
  <si>
    <t>treatment of insomnia characterized by difficulty in falling asleep, frequent nocturnal awakenings and/or early morning awakenings</t>
  </si>
  <si>
    <t>Cefotan</t>
  </si>
  <si>
    <t>cefotetan disodium</t>
  </si>
  <si>
    <t>indicated for the treatment of the following infections when caused by susceptible strains of designated organisms: urinary tract infections, lower respiratory infections, skin and skin structure infections; gynecologic infections, intra-abdominal infections, bone and joint infections</t>
  </si>
  <si>
    <t>Temovate</t>
  </si>
  <si>
    <t>clobetasol propionate</t>
  </si>
  <si>
    <t>short term treatment of inflammatory and pruritic manifestations of moderate to severe corticosteroid-responsive dermatoses</t>
  </si>
  <si>
    <t>Omnipaque</t>
  </si>
  <si>
    <t>iohexol</t>
  </si>
  <si>
    <t>indicated for intrathecal administration including angiocardiography, cerebral and peripheral arteriography, digital subtraction angiography, urography, phlebography and lumbar myelography</t>
  </si>
  <si>
    <t>Cesamet</t>
  </si>
  <si>
    <t>nabilone</t>
  </si>
  <si>
    <t>for use in the treatment of nausea and vomiting associated with cancer chemotherapy in patients who have failed to respond adequately to conventional antiemetic treatments</t>
  </si>
  <si>
    <t>Suprol</t>
  </si>
  <si>
    <t>suprofen</t>
  </si>
  <si>
    <t>relief of mild to moderate pain; treatment of primary dysmenorrhea</t>
  </si>
  <si>
    <t>Vasotec</t>
  </si>
  <si>
    <t>enalapril maleate</t>
  </si>
  <si>
    <t>Cordarone</t>
  </si>
  <si>
    <t>amiodarone hydrochloride</t>
  </si>
  <si>
    <t>indicated for the treatment of the following documented, life-threatening recurrent ventricular arrhythmias: recurrent ventricular fibrillation or recurrent hemodynamically unstable ventricular tachycardia, when these have not responded to documented aggregate doses of other available antiarrhythmics or when alternative agents could not be tolerated</t>
  </si>
  <si>
    <t>indium In 111 oxyquinoline</t>
  </si>
  <si>
    <t>indicated for radiolabeling autologous leukocytes as an adjunct in the detection of inflammatory processes to which leukocytes migrate, such as those associated with abscesses or other infection, following reinjection and detection by appropriate imaging procedures</t>
  </si>
  <si>
    <t>Versed</t>
  </si>
  <si>
    <t>midazolam hydrochloride</t>
  </si>
  <si>
    <t>intramuscularly: for preoperative sedation and to impair memory of peri-operative events;  intravenously: as an agent for conscious sedation prior to short diagnostic or endoscopic procedures either alone or with a narcotic; intravenously: for induction of general anesthesia, before administration of other anesthetic agents</t>
  </si>
  <si>
    <t>Betagan</t>
  </si>
  <si>
    <t>levobunolol hydrochloride</t>
  </si>
  <si>
    <t>has been shown to be effective in lowering intraocular pressure and may be used in patients with chronic open-angle glaucoma or ocular hypertension</t>
  </si>
  <si>
    <t>Primaxin</t>
  </si>
  <si>
    <t>cilastatin sodium, imipenem</t>
  </si>
  <si>
    <t>Nov 1985</t>
  </si>
  <si>
    <t>treatment of patients with the following infections caused by susceptible strains of designated microorganisms in: lower respiratory tract infections, urinary tract infections, intra-abdominal infections, gynecological infections, bacterial septicemia, bone and joint infections, skin and skin structure infections, endocarditis, polymicrobic infections</t>
  </si>
  <si>
    <t>Femstat</t>
  </si>
  <si>
    <t>butoconazole nitrate</t>
  </si>
  <si>
    <t>indicated for local treatment of vulvovaginal mycotic infections caused by Candida species</t>
  </si>
  <si>
    <t>Cuprid</t>
  </si>
  <si>
    <t>trientine hydrochloride</t>
  </si>
  <si>
    <t>treatment of patients with Wilson's disease who are intolerant of penicillamine</t>
  </si>
  <si>
    <t>Tambocor</t>
  </si>
  <si>
    <t>flecainide acetate</t>
  </si>
  <si>
    <t>Oct 1985</t>
  </si>
  <si>
    <t>treatment of documented life-threatening ventricular arrhythmias, such as sustained ventricular tachycardia; symptomatic nonsustained ventricular tachycardia and frequent premature ventricular complexes</t>
  </si>
  <si>
    <t>Moctanin</t>
  </si>
  <si>
    <t>monooctanoin</t>
  </si>
  <si>
    <t>indicated as a solubilizing agent for cholesterol (radiolucent) gallstones retained in the biliary tract of patients following cholecystectomy, when other means of reducing cholesterol stones retained in the common bile duct have failed or cannot be undertaken</t>
  </si>
  <si>
    <t>Protropin</t>
  </si>
  <si>
    <t>somatrem</t>
  </si>
  <si>
    <t>long-term treatment of children who have growth failure due to a lack of adequate endogenous growth hormone secretion</t>
  </si>
  <si>
    <t>Betoptic</t>
  </si>
  <si>
    <t>betaxolol hydrochloride</t>
  </si>
  <si>
    <t>Aug 1985</t>
  </si>
  <si>
    <t>indicated in the treatment of patients with chronic open-angle glaucoma, patients with elevated intraocular pressure (ocular hypertensive patients), patients with glaucoma or ocular hypertension who have reactive airway disease, patients with glaucoma or ocular hypertension who are currently on multiple anti-glaucoma therapy</t>
  </si>
  <si>
    <t>Sulcosyn</t>
  </si>
  <si>
    <t>sulconazole nitrate</t>
  </si>
  <si>
    <t>treatment of tinea cruris tinea corporis caused by Trichophyton mentagrophytes, Epidermophyton floccosum, and Microeporam canis; and for the treatment of tinea versicolor</t>
  </si>
  <si>
    <t>Baros Effervescent</t>
  </si>
  <si>
    <t>tartaric acid, sodium bicarbonate</t>
  </si>
  <si>
    <t>indictated for double-contrast radiographic imaging of the upper gastrointestinal tract</t>
  </si>
  <si>
    <t>Hexabrix</t>
  </si>
  <si>
    <t>ioxaglate meglumine, ioxaglate sodium</t>
  </si>
  <si>
    <t>Jul 1985</t>
  </si>
  <si>
    <t>indicated for cerebral angiography, peripheral arteriography, selective visceral arteriography and selective coronary arteriography with or without left ventriculography</t>
  </si>
  <si>
    <t>Fortaz</t>
  </si>
  <si>
    <t>ceftazidime</t>
  </si>
  <si>
    <t>treatment of patients with following infections caused by susceptible strains of designated organisms: lower respiratory infections including pneumonia, skin and skin structure infections, urinary tract infections, bacterial septicemia, bone and joint infections, gynecological infections, intra-abdominal infections including peritonitis, central nervous system infections including meningitis</t>
  </si>
  <si>
    <t>Marinol</t>
  </si>
  <si>
    <t>dronabinol</t>
  </si>
  <si>
    <t>May 1985</t>
  </si>
  <si>
    <t>treatment of the nausea and vomiting associated with cancer chemotherapy in patients who have failed to respond adequately to conventional anti-emetic treatment</t>
  </si>
  <si>
    <t>Ridaura</t>
  </si>
  <si>
    <t>auranofin</t>
  </si>
  <si>
    <t>indicated in the management of adults with active, classical, or definite rheumatoid arthritis (ARA criteria) who have had an insufficient therapeutic response to, or are intolerant of, an adequate trial of full doses of one or more nonsteroidal anti-inflammatory drugs</t>
  </si>
  <si>
    <t>Seldane</t>
  </si>
  <si>
    <t>terfenadine</t>
  </si>
  <si>
    <t>indicated for the relief of symptoms associated with seasonal allergic rhinitis such as sneezing, rhinorrhea, pruritus and lacrimation</t>
  </si>
  <si>
    <t>Lupron</t>
  </si>
  <si>
    <t>leuprolide acetate</t>
  </si>
  <si>
    <t>Apr 1985</t>
  </si>
  <si>
    <t>palliative treatment of advanced prostatic cancer</t>
  </si>
  <si>
    <t>Data pulled: 04/12/2026 | Biosimilar page current as of: N/A</t>
  </si>
  <si>
    <t>Approval Year</t>
  </si>
  <si>
    <t>Approval Month &amp; Year</t>
  </si>
  <si>
    <t>Biosimilar Name</t>
  </si>
  <si>
    <t>Reference Product</t>
  </si>
  <si>
    <t>Count</t>
  </si>
  <si>
    <t>Data pulled: 04/12/2026</t>
  </si>
  <si>
    <t>A) Annual Novel Approval Summary (CDER)</t>
  </si>
  <si>
    <t>Chemical (NDA)</t>
  </si>
  <si>
    <t>Biologics (BLA)</t>
  </si>
  <si>
    <t>Total</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</si>
  <si>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</si>
  <si>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</si>
  <si>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</si>
  <si>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</si>
  <si>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</si>
  <si>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</si>
  <si>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</si>
  <si>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</si>
  <si>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</si>
  <si>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</si>
  <si>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</si>
  <si>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</si>
  <si>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</si>
  <si>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</si>
  <si>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</si>
  <si>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</si>
  <si>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</si>
  <si>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</si>
  <si>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</si>
  <si>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</si>
  <si>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</si>
  <si>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</si>
  <si>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</si>
  <si>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</si>
  <si>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</si>
  <si>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</si>
  <si>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</si>
  <si>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</si>
  <si>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</si>
  <si>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</si>
  <si>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</si>
  <si>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</si>
  <si>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</si>
  <si>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</si>
  <si>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</si>
  <si>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</si>
  <si>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</si>
  <si>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</si>
  <si>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</si>
  <si>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</si>
  <si>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</si>
  <si>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</si>
  <si>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2026 Annualized</t>
  </si>
  <si>
    <t>*CBER data current as of: N/A</t>
  </si>
  <si>
    <t>B) Annual Biosimilar Approval Summary</t>
  </si>
  <si>
    <t>Approvals</t>
  </si>
  <si>
    <t>C) Overall Novel Approval Summary</t>
  </si>
  <si>
    <t>Metric</t>
  </si>
  <si>
    <t>Value</t>
  </si>
  <si>
    <t>T12M (Apr 2025 – Mar 2026)</t>
  </si>
  <si>
    <t>T12M Prior (Apr 2024 – Mar 2025)</t>
  </si>
  <si>
    <t>T12M vs T12M Prior %</t>
  </si>
  <si>
    <t>2025 vs 2024 %</t>
  </si>
  <si>
    <t>D) Overall Biosimilar Approval Summary</t>
  </si>
  <si>
    <t>Pharma Monthly Tracker</t>
  </si>
  <si>
    <t>Date Range: Jan 01, 1985  to  Mar 31, 2026   |   Generated: April 12, 2026</t>
  </si>
  <si>
    <t>Module Status</t>
  </si>
  <si>
    <t>Module</t>
  </si>
  <si>
    <t>Details</t>
  </si>
  <si>
    <t>Status</t>
  </si>
  <si>
    <t>Clinical Trials</t>
  </si>
  <si>
    <t>Not selected</t>
  </si>
  <si>
    <t>SKIPPED</t>
  </si>
  <si>
    <t>FDA Novel Approvals</t>
  </si>
  <si>
    <t>1574 novel approvals</t>
  </si>
  <si>
    <t>OK</t>
  </si>
  <si>
    <t>FDA Biosimilars</t>
  </si>
  <si>
    <t>NIH Outlays</t>
  </si>
  <si>
    <t>Report Contents</t>
  </si>
  <si>
    <t>FDA Charts</t>
  </si>
  <si>
    <t>FDA Approval Summary</t>
  </si>
  <si>
    <t>Novel Approval Database</t>
  </si>
  <si>
    <t>Biosimilar Approval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</si>
</sst>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yy"/>
  </numFmts>
  <fonts count="19" x14ac:knownFonts="1">
    <font>
      <sz val="11"/>
      <color theme="1"/>
      <name val="Calibri"/>
      <family val="2"/>
      <scheme val="minor"/>
    </font>
    <font>
      <b/>
      <sz val="22"/>
      <color rgb="FFFFFFFF"/>
      <name val="Arial"/>
      <family val="2"/>
    </font>
    <font>
      <sz val="11"/>
      <color rgb="FFFFFFFF"/>
      <name val="Arial"/>
      <family val="2"/>
    </font>
    <font>
      <b/>
      <sz val="13"/>
      <color rgb="FF1B2A4A"/>
      <name val="Arial"/>
      <family val="2"/>
    </font>
    <font>
      <b/>
      <sz val="10"/>
      <color rgb="FFFFFFFF"/>
      <name val="Arial"/>
      <family val="2"/>
    </font>
    <font>
      <sz val="9"/>
      <color theme="1"/>
      <name val="Arial"/>
      <family val="2"/>
    </font>
    <font>
      <i/>
      <sz val="10"/>
      <color rgb="FF666666"/>
      <name val="Arial"/>
      <family val="2"/>
    </font>
    <font>
      <b/>
      <sz val="10"/>
      <color rgb="FF006100"/>
      <name val="Arial"/>
      <family val="2"/>
    </font>
    <font>
      <b/>
      <sz val="10"/>
      <color rgb="FF1B2A4A"/>
      <name val="Arial"/>
      <family val="2"/>
    </font>
    <font>
      <u/>
      <sz val="10"/>
      <color rgb="FF0563C1"/>
      <name val="Arial"/>
      <family val="2"/>
    </font>
    <font>
      <b/>
      <sz val="14"/>
      <color rgb="FFFFFFFF"/>
      <name val="Arial"/>
      <family val="2"/>
    </font>
    <font>
      <i/>
      <sz val="9"/>
      <color rgb="FF666666"/>
      <name val="Arial"/>
      <family val="2"/>
    </font>
    <font>
      <b/>
      <sz val="11"/>
      <color theme="1"/>
      <name val="Arial"/>
      <family val="2"/>
    </font>
    <font>
      <b/>
      <sz val="9"/>
      <color theme="1"/>
      <name val="Arial"/>
      <family val="2"/>
    </font>
    <font>
      <b/>
      <i/>
      <sz val="9"/>
      <color theme="1"/>
      <name val="Arial"/>
      <family val="2"/>
    </font>
    <font>
      <i/>
      <sz val="9"/>
      <color theme="1"/>
      <name val="Arial"/>
      <family val="2"/>
    </font>
    <font>
      <i/>
      <sz val="8"/>
      <color rgb="FF666666"/>
      <name val="Arial"/>
      <family val="2"/>
    </font>
    <font>
      <sz val="9"/>
      <color rgb="FF006100"/>
      <name val="Arial"/>
      <family val="2"/>
    </font>
    <font>
      <sz val="9"/>
      <color rgb="FFC00000"/>
      <name val="Arial"/>
      <family val="2"/>
    </font>
  </fonts>
  <fills count="6">
    <fill>
      <patternFill patternType="none"/>
    </fill>
    <fill>
      <patternFill patternType="gray125"/>
    </fill>
    <fill>
      <patternFill patternType="solid">
        <fgColor rgb="FF1B2A4A"/>
        <bgColor indexed="64"/>
      </patternFill>
    </fill>
    <fill>
      <patternFill patternType="solid">
        <fgColor rgb="FFF2F2F2"/>
        <bgColor indexed="64"/>
      </patternFill>
    </fill>
    <fill>
      <patternFill patternType="solid">
        <fgColor rgb="FFE2EFDA"/>
        <bgColor indexed="64"/>
      </patternFill>
    </fill>
    <fill>
      <patternFill patternType="solid">
        <fgColor rgb="FFF5A623"/>
        <bgColor indexed="64"/>
      </patternFill>
    </fill>
  </fills>
  <borders count="3">
    <border>
      <left/>
      <right/>
      <top/>
      <bottom/>
      <diagonal/>
    </border>
    <border>
      <left/>
      <right/>
      <top/>
      <bottom style="medium">
        <color rgb="FF1B2A4A"/>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4" fillId="2" borderId="2" xfId="0" applyFont="1" applyFill="1" applyBorder="1" applyAlignment="1">
      <alignment horizontal="center"/>
    </xf>
    <xf numFmtId="0" fontId="5" fillId="0" borderId="2" xfId="0" applyFont="1" applyBorder="1" applyAlignment="1">
      <alignment vertical="center"/>
    </xf>
    <xf numFmtId="0" fontId="6" fillId="3" borderId="2" xfId="0" applyFont="1" applyFill="1" applyBorder="1" applyAlignment="1">
      <alignment horizontal="center"/>
    </xf>
    <xf numFmtId="0" fontId="7" fillId="4" borderId="2" xfId="0" applyFont="1" applyFill="1" applyBorder="1" applyAlignment="1">
      <alignment horizontal="center"/>
    </xf>
    <xf numFmtId="0" fontId="8" fillId="0" borderId="0" xfId="0" applyFont="1"/>
    <xf numFmtId="0" fontId="9" fillId="0" borderId="0" xfId="0" applyFont="1"/>
    <xf numFmtId="0" fontId="11" fillId="0" borderId="0" xfId="0" applyFont="1"/>
    <xf numFmtId="0" fontId="12" fillId="0" borderId="1" xfId="0" applyFont="1" applyBorder="1"/>
    <xf numFmtId="0" fontId="4" fillId="2" borderId="2" xfId="0" applyFont="1" applyFill="1" applyBorder="1" applyAlignment="1">
      <alignment horizontal="center" vertical="center" wrapText="1"/>
    </xf>
    <xf numFmtId="3" fontId="5" fillId="0" borderId="2" xfId="0" applyNumberFormat="1" applyFont="1" applyBorder="1" applyAlignment="1">
      <alignment horizontal="center"/>
    </xf>
    <xf numFmtId="3" fontId="13" fillId="0" borderId="2" xfId="0" applyNumberFormat="1" applyFont="1" applyBorder="1" applyAlignment="1">
      <alignment horizontal="center"/>
    </xf>
    <xf numFmtId="0" fontId="14" fillId="5" borderId="2" xfId="0" applyFont="1" applyFill="1" applyBorder="1"/>
    <xf numFmtId="3" fontId="15" fillId="5" borderId="2" xfId="0" applyNumberFormat="1" applyFont="1" applyFill="1" applyBorder="1" applyAlignment="1">
      <alignment horizontal="center"/>
    </xf>
    <xf numFmtId="3" fontId="14" fillId="5" borderId="2" xfId="0" applyNumberFormat="1" applyFont="1" applyFill="1" applyBorder="1" applyAlignment="1">
      <alignment horizontal="center"/>
    </xf>
    <xf numFmtId="0" fontId="16" fillId="0" borderId="0" xfId="0" applyFont="1"/>
    <xf numFmtId="0" fontId="4" fillId="2" borderId="2" xfId="0" applyFont="1" applyFill="1" applyBorder="1"/>
    <xf numFmtId="0" fontId="13" fillId="0" borderId="2" xfId="0" applyFont="1" applyBorder="1"/>
    <xf numFmtId="164" fontId="17" fillId="0" borderId="2" xfId="0" applyNumberFormat="1" applyFont="1" applyBorder="1" applyAlignment="1">
      <alignment horizontal="center"/>
    </xf>
    <xf numFmtId="164" fontId="18" fillId="0" borderId="2" xfId="0" applyNumberFormat="1" applyFont="1" applyBorder="1" applyAlignment="1">
      <alignment horizontal="center"/>
    </xf>
    <xf numFmtId="0" fontId="4" fillId="2" borderId="2" xfId="0" applyFont="1" applyFill="1" applyBorder="1" applyAlignment="1">
      <alignment vertical="center" wrapText="1"/>
    </xf>
    <xf numFmtId="0" fontId="5" fillId="0" borderId="2" xfId="0" applyFont="1" applyBorder="1"/>
    <xf numFmtId="165" fontId="5" fillId="0" borderId="2" xfId="0" applyNumberFormat="1" applyFont="1" applyBorder="1"/>
    <xf numFmtId="0" fontId="5" fillId="3" borderId="2" xfId="0" applyFont="1" applyFill="1" applyBorder="1"/>
    <xf numFmtId="165" fontId="5" fillId="3" borderId="2" xfId="0" applyNumberFormat="1" applyFont="1" applyFill="1" applyBorder="1"/>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xf numFmtId="0" fontId="3" fillId="0" borderId="1" xfId="0" applyFont="1" applyBorder="1"/>
    <xf numFmtId="0" fontId="10"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latin typeface="Arial"/>
              </a:defRPr>
            </a:pPr>
            <a:r>
              <a:rPr lang="en-US" sz="1200" b="1" baseline="0">
                <a:latin typeface="Arial"/>
              </a:rPr>
              <a:t>CDER new drug approvals, to date: Yearly</a:t>
            </a:r>
          </a:p>
        </c:rich>
      </c:tx>
      <c:overlay val="0"/>
    </c:title>
    <c:autoTitleDeleted val="0"/>
    <c:plotArea>
      <c:layout/>
      <c:barChart>
        <c:barDir val="col"/>
        <c:grouping val="stacked"/>
        <c:varyColors val="0"/>
        <c:ser>
          <c:idx val="0"/>
          <c:order val="0"/>
          <c:tx>
            <c:v>Chemical (NDA)</c:v>
          </c:tx>
          <c:spPr>
            <a:solidFill>
              <a:srgbClr val="999999"/>
            </a:solidFill>
            <a:ln>
              <a:solidFill>
                <a:srgbClr val="999999"/>
              </a:solidFill>
            </a:ln>
          </c:spPr>
          <c:invertIfNegative val="0"/>
          <c:dPt>
            <c:idx val="0"/>
            <c:invertIfNegative val="0"/>
            <c:bubble3D val="0"/>
            <c:extLst>
              <c:ext xmlns:c16="http://schemas.microsoft.com/office/drawing/2014/chart" uri="{C3380CC4-5D6E-409C-BE32-E72D297353CC}">
                <c16:uniqueId val="{00000000-9E43-9942-9A4D-462BA9F31BA8}"/>
              </c:ext>
            </c:extLst>
          </c:dPt>
          <c:dPt>
            <c:idx val="1"/>
            <c:invertIfNegative val="0"/>
            <c:bubble3D val="0"/>
            <c:extLst>
              <c:ext xmlns:c16="http://schemas.microsoft.com/office/drawing/2014/chart" uri="{C3380CC4-5D6E-409C-BE32-E72D297353CC}">
                <c16:uniqueId val="{00000001-9E43-9942-9A4D-462BA9F31BA8}"/>
              </c:ext>
            </c:extLst>
          </c:dPt>
          <c:dPt>
            <c:idx val="2"/>
            <c:invertIfNegative val="0"/>
            <c:bubble3D val="0"/>
            <c:extLst>
              <c:ext xmlns:c16="http://schemas.microsoft.com/office/drawing/2014/chart" uri="{C3380CC4-5D6E-409C-BE32-E72D297353CC}">
                <c16:uniqueId val="{00000002-9E43-9942-9A4D-462BA9F31BA8}"/>
              </c:ext>
            </c:extLst>
          </c:dPt>
          <c:dPt>
            <c:idx val="3"/>
            <c:invertIfNegative val="0"/>
            <c:bubble3D val="0"/>
            <c:extLst>
              <c:ext xmlns:c16="http://schemas.microsoft.com/office/drawing/2014/chart" uri="{C3380CC4-5D6E-409C-BE32-E72D297353CC}">
                <c16:uniqueId val="{00000003-9E43-9942-9A4D-462BA9F31BA8}"/>
              </c:ext>
            </c:extLst>
          </c:dPt>
          <c:dPt>
            <c:idx val="4"/>
            <c:invertIfNegative val="0"/>
            <c:bubble3D val="0"/>
            <c:extLst>
              <c:ext xmlns:c16="http://schemas.microsoft.com/office/drawing/2014/chart" uri="{C3380CC4-5D6E-409C-BE32-E72D297353CC}">
                <c16:uniqueId val="{00000004-9E43-9942-9A4D-462BA9F31BA8}"/>
              </c:ext>
            </c:extLst>
          </c:dPt>
          <c:dPt>
            <c:idx val="5"/>
            <c:invertIfNegative val="0"/>
            <c:bubble3D val="0"/>
            <c:extLst>
              <c:ext xmlns:c16="http://schemas.microsoft.com/office/drawing/2014/chart" uri="{C3380CC4-5D6E-409C-BE32-E72D297353CC}">
                <c16:uniqueId val="{00000005-9E43-9942-9A4D-462BA9F31BA8}"/>
              </c:ext>
            </c:extLst>
          </c:dPt>
          <c:dPt>
            <c:idx val="6"/>
            <c:invertIfNegative val="0"/>
            <c:bubble3D val="0"/>
            <c:extLst>
              <c:ext xmlns:c16="http://schemas.microsoft.com/office/drawing/2014/chart" uri="{C3380CC4-5D6E-409C-BE32-E72D297353CC}">
                <c16:uniqueId val="{00000006-9E43-9942-9A4D-462BA9F31BA8}"/>
              </c:ext>
            </c:extLst>
          </c:dPt>
          <c:dPt>
            <c:idx val="7"/>
            <c:invertIfNegative val="0"/>
            <c:bubble3D val="0"/>
            <c:extLst>
              <c:ext xmlns:c16="http://schemas.microsoft.com/office/drawing/2014/chart" uri="{C3380CC4-5D6E-409C-BE32-E72D297353CC}">
                <c16:uniqueId val="{00000007-9E43-9942-9A4D-462BA9F31BA8}"/>
              </c:ext>
            </c:extLst>
          </c:dPt>
          <c:dPt>
            <c:idx val="8"/>
            <c:invertIfNegative val="0"/>
            <c:bubble3D val="0"/>
            <c:extLst>
              <c:ext xmlns:c16="http://schemas.microsoft.com/office/drawing/2014/chart" uri="{C3380CC4-5D6E-409C-BE32-E72D297353CC}">
                <c16:uniqueId val="{00000008-9E43-9942-9A4D-462BA9F31BA8}"/>
              </c:ext>
            </c:extLst>
          </c:dPt>
          <c:dPt>
            <c:idx val="9"/>
            <c:invertIfNegative val="0"/>
            <c:bubble3D val="0"/>
            <c:extLst>
              <c:ext xmlns:c16="http://schemas.microsoft.com/office/drawing/2014/chart" uri="{C3380CC4-5D6E-409C-BE32-E72D297353CC}">
                <c16:uniqueId val="{00000009-9E43-9942-9A4D-462BA9F31BA8}"/>
              </c:ext>
            </c:extLst>
          </c:dPt>
          <c:dPt>
            <c:idx val="10"/>
            <c:invertIfNegative val="0"/>
            <c:bubble3D val="0"/>
            <c:extLst>
              <c:ext xmlns:c16="http://schemas.microsoft.com/office/drawing/2014/chart" uri="{C3380CC4-5D6E-409C-BE32-E72D297353CC}">
                <c16:uniqueId val="{0000000A-9E43-9942-9A4D-462BA9F31BA8}"/>
              </c:ext>
            </c:extLst>
          </c:dPt>
          <c:dPt>
            <c:idx val="11"/>
            <c:invertIfNegative val="0"/>
            <c:bubble3D val="0"/>
            <c:extLst>
              <c:ext xmlns:c16="http://schemas.microsoft.com/office/drawing/2014/chart" uri="{C3380CC4-5D6E-409C-BE32-E72D297353CC}">
                <c16:uniqueId val="{0000000B-9E43-9942-9A4D-462BA9F31BA8}"/>
              </c:ext>
            </c:extLst>
          </c:dPt>
          <c:dPt>
            <c:idx val="12"/>
            <c:invertIfNegative val="0"/>
            <c:bubble3D val="0"/>
            <c:extLst>
              <c:ext xmlns:c16="http://schemas.microsoft.com/office/drawing/2014/chart" uri="{C3380CC4-5D6E-409C-BE32-E72D297353CC}">
                <c16:uniqueId val="{0000000C-9E43-9942-9A4D-462BA9F31BA8}"/>
              </c:ext>
            </c:extLst>
          </c:dPt>
          <c:dPt>
            <c:idx val="13"/>
            <c:invertIfNegative val="0"/>
            <c:bubble3D val="0"/>
            <c:extLst>
              <c:ext xmlns:c16="http://schemas.microsoft.com/office/drawing/2014/chart" uri="{C3380CC4-5D6E-409C-BE32-E72D297353CC}">
                <c16:uniqueId val="{0000000D-9E43-9942-9A4D-462BA9F31BA8}"/>
              </c:ext>
            </c:extLst>
          </c:dPt>
          <c:dPt>
            <c:idx val="14"/>
            <c:invertIfNegative val="0"/>
            <c:bubble3D val="0"/>
            <c:extLst>
              <c:ext xmlns:c16="http://schemas.microsoft.com/office/drawing/2014/chart" uri="{C3380CC4-5D6E-409C-BE32-E72D297353CC}">
                <c16:uniqueId val="{0000000E-9E43-9942-9A4D-462BA9F31BA8}"/>
              </c:ext>
            </c:extLst>
          </c:dPt>
          <c:dPt>
            <c:idx val="15"/>
            <c:invertIfNegative val="0"/>
            <c:bubble3D val="0"/>
            <c:extLst>
              <c:ext xmlns:c16="http://schemas.microsoft.com/office/drawing/2014/chart" uri="{C3380CC4-5D6E-409C-BE32-E72D297353CC}">
                <c16:uniqueId val="{0000000F-9E43-9942-9A4D-462BA9F31BA8}"/>
              </c:ext>
            </c:extLst>
          </c:dPt>
          <c:dPt>
            <c:idx val="16"/>
            <c:invertIfNegative val="0"/>
            <c:bubble3D val="0"/>
            <c:extLst>
              <c:ext xmlns:c16="http://schemas.microsoft.com/office/drawing/2014/chart" uri="{C3380CC4-5D6E-409C-BE32-E72D297353CC}">
                <c16:uniqueId val="{00000010-9E43-9942-9A4D-462BA9F31BA8}"/>
              </c:ext>
            </c:extLst>
          </c:dPt>
          <c:dPt>
            <c:idx val="17"/>
            <c:invertIfNegative val="0"/>
            <c:bubble3D val="0"/>
            <c:extLst>
              <c:ext xmlns:c16="http://schemas.microsoft.com/office/drawing/2014/chart" uri="{C3380CC4-5D6E-409C-BE32-E72D297353CC}">
                <c16:uniqueId val="{00000011-9E43-9942-9A4D-462BA9F31BA8}"/>
              </c:ext>
            </c:extLst>
          </c:dPt>
          <c:dPt>
            <c:idx val="18"/>
            <c:invertIfNegative val="0"/>
            <c:bubble3D val="0"/>
            <c:extLst>
              <c:ext xmlns:c16="http://schemas.microsoft.com/office/drawing/2014/chart" uri="{C3380CC4-5D6E-409C-BE32-E72D297353CC}">
                <c16:uniqueId val="{00000012-9E43-9942-9A4D-462BA9F31BA8}"/>
              </c:ext>
            </c:extLst>
          </c:dPt>
          <c:dPt>
            <c:idx val="19"/>
            <c:invertIfNegative val="0"/>
            <c:bubble3D val="0"/>
            <c:extLst>
              <c:ext xmlns:c16="http://schemas.microsoft.com/office/drawing/2014/chart" uri="{C3380CC4-5D6E-409C-BE32-E72D297353CC}">
                <c16:uniqueId val="{00000013-9E43-9942-9A4D-462BA9F31BA8}"/>
              </c:ext>
            </c:extLst>
          </c:dPt>
          <c:dPt>
            <c:idx val="20"/>
            <c:invertIfNegative val="0"/>
            <c:bubble3D val="0"/>
            <c:extLst>
              <c:ext xmlns:c16="http://schemas.microsoft.com/office/drawing/2014/chart" uri="{C3380CC4-5D6E-409C-BE32-E72D297353CC}">
                <c16:uniqueId val="{00000014-9E43-9942-9A4D-462BA9F31BA8}"/>
              </c:ext>
            </c:extLst>
          </c:dPt>
          <c:dPt>
            <c:idx val="21"/>
            <c:invertIfNegative val="0"/>
            <c:bubble3D val="0"/>
            <c:extLst>
              <c:ext xmlns:c16="http://schemas.microsoft.com/office/drawing/2014/chart" uri="{C3380CC4-5D6E-409C-BE32-E72D297353CC}">
                <c16:uniqueId val="{00000015-9E43-9942-9A4D-462BA9F31BA8}"/>
              </c:ext>
            </c:extLst>
          </c:dPt>
          <c:dPt>
            <c:idx val="22"/>
            <c:invertIfNegative val="0"/>
            <c:bubble3D val="0"/>
            <c:extLst>
              <c:ext xmlns:c16="http://schemas.microsoft.com/office/drawing/2014/chart" uri="{C3380CC4-5D6E-409C-BE32-E72D297353CC}">
                <c16:uniqueId val="{00000016-9E43-9942-9A4D-462BA9F31BA8}"/>
              </c:ext>
            </c:extLst>
          </c:dPt>
          <c:dPt>
            <c:idx val="23"/>
            <c:invertIfNegative val="0"/>
            <c:bubble3D val="0"/>
            <c:extLst>
              <c:ext xmlns:c16="http://schemas.microsoft.com/office/drawing/2014/chart" uri="{C3380CC4-5D6E-409C-BE32-E72D297353CC}">
                <c16:uniqueId val="{00000017-9E43-9942-9A4D-462BA9F31BA8}"/>
              </c:ext>
            </c:extLst>
          </c:dPt>
          <c:dPt>
            <c:idx val="24"/>
            <c:invertIfNegative val="0"/>
            <c:bubble3D val="0"/>
            <c:extLst>
              <c:ext xmlns:c16="http://schemas.microsoft.com/office/drawing/2014/chart" uri="{C3380CC4-5D6E-409C-BE32-E72D297353CC}">
                <c16:uniqueId val="{00000018-9E43-9942-9A4D-462BA9F31BA8}"/>
              </c:ext>
            </c:extLst>
          </c:dPt>
          <c:dPt>
            <c:idx val="25"/>
            <c:invertIfNegative val="0"/>
            <c:bubble3D val="0"/>
            <c:extLst>
              <c:ext xmlns:c16="http://schemas.microsoft.com/office/drawing/2014/chart" uri="{C3380CC4-5D6E-409C-BE32-E72D297353CC}">
                <c16:uniqueId val="{00000019-9E43-9942-9A4D-462BA9F31BA8}"/>
              </c:ext>
            </c:extLst>
          </c:dPt>
          <c:dPt>
            <c:idx val="26"/>
            <c:invertIfNegative val="0"/>
            <c:bubble3D val="0"/>
            <c:extLst>
              <c:ext xmlns:c16="http://schemas.microsoft.com/office/drawing/2014/chart" uri="{C3380CC4-5D6E-409C-BE32-E72D297353CC}">
                <c16:uniqueId val="{0000001A-9E43-9942-9A4D-462BA9F31BA8}"/>
              </c:ext>
            </c:extLst>
          </c:dPt>
          <c:dPt>
            <c:idx val="27"/>
            <c:invertIfNegative val="0"/>
            <c:bubble3D val="0"/>
            <c:extLst>
              <c:ext xmlns:c16="http://schemas.microsoft.com/office/drawing/2014/chart" uri="{C3380CC4-5D6E-409C-BE32-E72D297353CC}">
                <c16:uniqueId val="{0000001B-9E43-9942-9A4D-462BA9F31BA8}"/>
              </c:ext>
            </c:extLst>
          </c:dPt>
          <c:dPt>
            <c:idx val="28"/>
            <c:invertIfNegative val="0"/>
            <c:bubble3D val="0"/>
            <c:extLst>
              <c:ext xmlns:c16="http://schemas.microsoft.com/office/drawing/2014/chart" uri="{C3380CC4-5D6E-409C-BE32-E72D297353CC}">
                <c16:uniqueId val="{0000001C-9E43-9942-9A4D-462BA9F31BA8}"/>
              </c:ext>
            </c:extLst>
          </c:dPt>
          <c:dPt>
            <c:idx val="29"/>
            <c:invertIfNegative val="0"/>
            <c:bubble3D val="0"/>
            <c:extLst>
              <c:ext xmlns:c16="http://schemas.microsoft.com/office/drawing/2014/chart" uri="{C3380CC4-5D6E-409C-BE32-E72D297353CC}">
                <c16:uniqueId val="{0000001D-9E43-9942-9A4D-462BA9F31BA8}"/>
              </c:ext>
            </c:extLst>
          </c:dPt>
          <c:dPt>
            <c:idx val="30"/>
            <c:invertIfNegative val="0"/>
            <c:bubble3D val="0"/>
            <c:extLst>
              <c:ext xmlns:c16="http://schemas.microsoft.com/office/drawing/2014/chart" uri="{C3380CC4-5D6E-409C-BE32-E72D297353CC}">
                <c16:uniqueId val="{0000001E-9E43-9942-9A4D-462BA9F31BA8}"/>
              </c:ext>
            </c:extLst>
          </c:dPt>
          <c:dPt>
            <c:idx val="31"/>
            <c:invertIfNegative val="0"/>
            <c:bubble3D val="0"/>
            <c:extLst>
              <c:ext xmlns:c16="http://schemas.microsoft.com/office/drawing/2014/chart" uri="{C3380CC4-5D6E-409C-BE32-E72D297353CC}">
                <c16:uniqueId val="{0000001F-9E43-9942-9A4D-462BA9F31BA8}"/>
              </c:ext>
            </c:extLst>
          </c:dPt>
          <c:dPt>
            <c:idx val="32"/>
            <c:invertIfNegative val="0"/>
            <c:bubble3D val="0"/>
            <c:extLst>
              <c:ext xmlns:c16="http://schemas.microsoft.com/office/drawing/2014/chart" uri="{C3380CC4-5D6E-409C-BE32-E72D297353CC}">
                <c16:uniqueId val="{00000020-9E43-9942-9A4D-462BA9F31BA8}"/>
              </c:ext>
            </c:extLst>
          </c:dPt>
          <c:dPt>
            <c:idx val="33"/>
            <c:invertIfNegative val="0"/>
            <c:bubble3D val="0"/>
            <c:extLst>
              <c:ext xmlns:c16="http://schemas.microsoft.com/office/drawing/2014/chart" uri="{C3380CC4-5D6E-409C-BE32-E72D297353CC}">
                <c16:uniqueId val="{00000021-9E43-9942-9A4D-462BA9F31BA8}"/>
              </c:ext>
            </c:extLst>
          </c:dPt>
          <c:dPt>
            <c:idx val="34"/>
            <c:invertIfNegative val="0"/>
            <c:bubble3D val="0"/>
            <c:extLst>
              <c:ext xmlns:c16="http://schemas.microsoft.com/office/drawing/2014/chart" uri="{C3380CC4-5D6E-409C-BE32-E72D297353CC}">
                <c16:uniqueId val="{00000022-9E43-9942-9A4D-462BA9F31BA8}"/>
              </c:ext>
            </c:extLst>
          </c:dPt>
          <c:dPt>
            <c:idx val="35"/>
            <c:invertIfNegative val="0"/>
            <c:bubble3D val="0"/>
            <c:extLst>
              <c:ext xmlns:c16="http://schemas.microsoft.com/office/drawing/2014/chart" uri="{C3380CC4-5D6E-409C-BE32-E72D297353CC}">
                <c16:uniqueId val="{00000023-9E43-9942-9A4D-462BA9F31BA8}"/>
              </c:ext>
            </c:extLst>
          </c:dPt>
          <c:dPt>
            <c:idx val="36"/>
            <c:invertIfNegative val="0"/>
            <c:bubble3D val="0"/>
            <c:extLst>
              <c:ext xmlns:c16="http://schemas.microsoft.com/office/drawing/2014/chart" uri="{C3380CC4-5D6E-409C-BE32-E72D297353CC}">
                <c16:uniqueId val="{00000024-9E43-9942-9A4D-462BA9F31BA8}"/>
              </c:ext>
            </c:extLst>
          </c:dPt>
          <c:dPt>
            <c:idx val="37"/>
            <c:invertIfNegative val="0"/>
            <c:bubble3D val="0"/>
            <c:extLst>
              <c:ext xmlns:c16="http://schemas.microsoft.com/office/drawing/2014/chart" uri="{C3380CC4-5D6E-409C-BE32-E72D297353CC}">
                <c16:uniqueId val="{00000025-9E43-9942-9A4D-462BA9F31BA8}"/>
              </c:ext>
            </c:extLst>
          </c:dPt>
          <c:dPt>
            <c:idx val="38"/>
            <c:invertIfNegative val="0"/>
            <c:bubble3D val="0"/>
            <c:extLst>
              <c:ext xmlns:c16="http://schemas.microsoft.com/office/drawing/2014/chart" uri="{C3380CC4-5D6E-409C-BE32-E72D297353CC}">
                <c16:uniqueId val="{00000026-9E43-9942-9A4D-462BA9F31BA8}"/>
              </c:ext>
            </c:extLst>
          </c:dPt>
          <c:dPt>
            <c:idx val="39"/>
            <c:invertIfNegative val="0"/>
            <c:bubble3D val="0"/>
            <c:extLst>
              <c:ext xmlns:c16="http://schemas.microsoft.com/office/drawing/2014/chart" uri="{C3380CC4-5D6E-409C-BE32-E72D297353CC}">
                <c16:uniqueId val="{00000027-9E43-9942-9A4D-462BA9F31BA8}"/>
              </c:ext>
            </c:extLst>
          </c:dPt>
          <c:dPt>
            <c:idx val="40"/>
            <c:invertIfNegative val="0"/>
            <c:bubble3D val="0"/>
            <c:extLst>
              <c:ext xmlns:c16="http://schemas.microsoft.com/office/drawing/2014/chart" uri="{C3380CC4-5D6E-409C-BE32-E72D297353CC}">
                <c16:uniqueId val="{00000028-9E43-9942-9A4D-462BA9F31BA8}"/>
              </c:ext>
            </c:extLst>
          </c:dPt>
          <c:dPt>
            <c:idx val="41"/>
            <c:invertIfNegative val="0"/>
            <c:bubble3D val="0"/>
            <c:spPr>
              <a:solidFill>
                <a:srgbClr val="B8D4E3"/>
              </a:solidFill>
              <a:ln>
                <a:solidFill>
                  <a:srgbClr val="B8D4E3"/>
                </a:solidFill>
              </a:ln>
            </c:spPr>
            <c:extLst>
              <c:ext xmlns:c16="http://schemas.microsoft.com/office/drawing/2014/chart" uri="{C3380CC4-5D6E-409C-BE32-E72D297353CC}">
                <c16:uniqueId val="{00000029-9E43-9942-9A4D-462BA9F31BA8}"/>
              </c:ext>
            </c:extLst>
          </c:dPt>
          <c:dPt>
            <c:idx val="42"/>
            <c:invertIfNegative val="0"/>
            <c:bubble3D val="0"/>
            <c:spPr>
              <a:solidFill>
                <a:srgbClr val="B8D4E3"/>
              </a:solidFill>
              <a:ln>
                <a:solidFill>
                  <a:srgbClr val="B8D4E3"/>
                </a:solidFill>
              </a:ln>
            </c:spPr>
            <c:extLst>
              <c:ext xmlns:c16="http://schemas.microsoft.com/office/drawing/2014/chart" uri="{C3380CC4-5D6E-409C-BE32-E72D297353CC}">
                <c16:uniqueId val="{0000002A-9E43-9942-9A4D-462BA9F31BA8}"/>
              </c:ext>
            </c:extLst>
          </c:dPt>
          <c:dLbls>
            <c:dLbl>
              <c:idx val="41"/>
              <c:delete val="1"/>
              <c:extLst>
                <c:ext xmlns:c15="http://schemas.microsoft.com/office/drawing/2012/chart" uri="{CE6537A1-D6FC-4f65-9D91-7224C49458BB}"/>
                <c:ext xmlns:c16="http://schemas.microsoft.com/office/drawing/2014/chart" uri="{C3380CC4-5D6E-409C-BE32-E72D297353CC}">
                  <c16:uniqueId val="{00000029-9E43-9942-9A4D-462BA9F31BA8}"/>
                </c:ext>
              </c:extLst>
            </c:dLbl>
            <c:numFmt formatCode="#,##0" sourceLinked="0"/>
            <c:spPr>
              <a:noFill/>
              <a:ln>
                <a:noFill/>
              </a:ln>
              <a:effectLst/>
            </c:spPr>
            <c:txPr>
              <a:bodyPr/>
              <a:lstStyle/>
              <a:p>
                <a:pPr>
                  <a:defRPr sz="800"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Summary'!$A$5:$A$47</c:f>
              <c:strCache>
                <c:ptCount val="43"/>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2026 Annualized</c:v>
                </c:pt>
              </c:strCache>
            </c:strRef>
          </c:cat>
          <c:val>
            <c:numRef>
              <c:f>'FDA Approval Summary'!$B$5:$B$47</c:f>
              <c:numCache>
                <c:formatCode>#,##0</c:formatCode>
                <c:ptCount val="43"/>
                <c:pt idx="0">
                  <c:v>31</c:v>
                </c:pt>
                <c:pt idx="1">
                  <c:v>20</c:v>
                </c:pt>
                <c:pt idx="2">
                  <c:v>21</c:v>
                </c:pt>
                <c:pt idx="3">
                  <c:v>20</c:v>
                </c:pt>
                <c:pt idx="4">
                  <c:v>23</c:v>
                </c:pt>
                <c:pt idx="5">
                  <c:v>22</c:v>
                </c:pt>
                <c:pt idx="6">
                  <c:v>29</c:v>
                </c:pt>
                <c:pt idx="7">
                  <c:v>27</c:v>
                </c:pt>
                <c:pt idx="8">
                  <c:v>24</c:v>
                </c:pt>
                <c:pt idx="9">
                  <c:v>20</c:v>
                </c:pt>
                <c:pt idx="10">
                  <c:v>29</c:v>
                </c:pt>
                <c:pt idx="11">
                  <c:v>51</c:v>
                </c:pt>
                <c:pt idx="12">
                  <c:v>37</c:v>
                </c:pt>
                <c:pt idx="13">
                  <c:v>28</c:v>
                </c:pt>
                <c:pt idx="14">
                  <c:v>34</c:v>
                </c:pt>
                <c:pt idx="15">
                  <c:v>25</c:v>
                </c:pt>
                <c:pt idx="16">
                  <c:v>24</c:v>
                </c:pt>
                <c:pt idx="17">
                  <c:v>17</c:v>
                </c:pt>
                <c:pt idx="18">
                  <c:v>20</c:v>
                </c:pt>
                <c:pt idx="19">
                  <c:v>27</c:v>
                </c:pt>
                <c:pt idx="20">
                  <c:v>13</c:v>
                </c:pt>
                <c:pt idx="21">
                  <c:v>18</c:v>
                </c:pt>
                <c:pt idx="22">
                  <c:v>16</c:v>
                </c:pt>
                <c:pt idx="23">
                  <c:v>22</c:v>
                </c:pt>
                <c:pt idx="24">
                  <c:v>20</c:v>
                </c:pt>
                <c:pt idx="25">
                  <c:v>13</c:v>
                </c:pt>
                <c:pt idx="26">
                  <c:v>24</c:v>
                </c:pt>
                <c:pt idx="27">
                  <c:v>32</c:v>
                </c:pt>
                <c:pt idx="28">
                  <c:v>25</c:v>
                </c:pt>
                <c:pt idx="29">
                  <c:v>30</c:v>
                </c:pt>
                <c:pt idx="30">
                  <c:v>32</c:v>
                </c:pt>
                <c:pt idx="31">
                  <c:v>14</c:v>
                </c:pt>
                <c:pt idx="32">
                  <c:v>34</c:v>
                </c:pt>
                <c:pt idx="33">
                  <c:v>42</c:v>
                </c:pt>
                <c:pt idx="34">
                  <c:v>38</c:v>
                </c:pt>
                <c:pt idx="35">
                  <c:v>40</c:v>
                </c:pt>
                <c:pt idx="36">
                  <c:v>36</c:v>
                </c:pt>
                <c:pt idx="37">
                  <c:v>22</c:v>
                </c:pt>
                <c:pt idx="38">
                  <c:v>38</c:v>
                </c:pt>
                <c:pt idx="39">
                  <c:v>34</c:v>
                </c:pt>
                <c:pt idx="40">
                  <c:v>34</c:v>
                </c:pt>
                <c:pt idx="41">
                  <c:v>7</c:v>
                </c:pt>
                <c:pt idx="42">
                  <c:v>28</c:v>
                </c:pt>
              </c:numCache>
            </c:numRef>
          </c:val>
          <c:extLst>
            <c:ext xmlns:c16="http://schemas.microsoft.com/office/drawing/2014/chart" uri="{C3380CC4-5D6E-409C-BE32-E72D297353CC}">
              <c16:uniqueId val="{0000002B-9E43-9942-9A4D-462BA9F31BA8}"/>
            </c:ext>
          </c:extLst>
        </c:ser>
        <c:ser>
          <c:idx val="1"/>
          <c:order val="1"/>
          <c:tx>
            <c:v>Biologics (BLA)</c:v>
          </c:tx>
          <c:spPr>
            <a:solidFill>
              <a:srgbClr val="1A1A1A"/>
            </a:solidFill>
            <a:ln>
              <a:solidFill>
                <a:srgbClr val="1A1A1A"/>
              </a:solidFill>
            </a:ln>
          </c:spPr>
          <c:invertIfNegative val="0"/>
          <c:dPt>
            <c:idx val="0"/>
            <c:invertIfNegative val="0"/>
            <c:bubble3D val="0"/>
            <c:extLst>
              <c:ext xmlns:c16="http://schemas.microsoft.com/office/drawing/2014/chart" uri="{C3380CC4-5D6E-409C-BE32-E72D297353CC}">
                <c16:uniqueId val="{0000002C-9E43-9942-9A4D-462BA9F31BA8}"/>
              </c:ext>
            </c:extLst>
          </c:dPt>
          <c:dPt>
            <c:idx val="1"/>
            <c:invertIfNegative val="0"/>
            <c:bubble3D val="0"/>
            <c:extLst>
              <c:ext xmlns:c16="http://schemas.microsoft.com/office/drawing/2014/chart" uri="{C3380CC4-5D6E-409C-BE32-E72D297353CC}">
                <c16:uniqueId val="{0000002D-9E43-9942-9A4D-462BA9F31BA8}"/>
              </c:ext>
            </c:extLst>
          </c:dPt>
          <c:dPt>
            <c:idx val="2"/>
            <c:invertIfNegative val="0"/>
            <c:bubble3D val="0"/>
            <c:extLst>
              <c:ext xmlns:c16="http://schemas.microsoft.com/office/drawing/2014/chart" uri="{C3380CC4-5D6E-409C-BE32-E72D297353CC}">
                <c16:uniqueId val="{0000002E-9E43-9942-9A4D-462BA9F31BA8}"/>
              </c:ext>
            </c:extLst>
          </c:dPt>
          <c:dPt>
            <c:idx val="3"/>
            <c:invertIfNegative val="0"/>
            <c:bubble3D val="0"/>
            <c:extLst>
              <c:ext xmlns:c16="http://schemas.microsoft.com/office/drawing/2014/chart" uri="{C3380CC4-5D6E-409C-BE32-E72D297353CC}">
                <c16:uniqueId val="{0000002F-9E43-9942-9A4D-462BA9F31BA8}"/>
              </c:ext>
            </c:extLst>
          </c:dPt>
          <c:dPt>
            <c:idx val="4"/>
            <c:invertIfNegative val="0"/>
            <c:bubble3D val="0"/>
            <c:extLst>
              <c:ext xmlns:c16="http://schemas.microsoft.com/office/drawing/2014/chart" uri="{C3380CC4-5D6E-409C-BE32-E72D297353CC}">
                <c16:uniqueId val="{00000030-9E43-9942-9A4D-462BA9F31BA8}"/>
              </c:ext>
            </c:extLst>
          </c:dPt>
          <c:dPt>
            <c:idx val="5"/>
            <c:invertIfNegative val="0"/>
            <c:bubble3D val="0"/>
            <c:extLst>
              <c:ext xmlns:c16="http://schemas.microsoft.com/office/drawing/2014/chart" uri="{C3380CC4-5D6E-409C-BE32-E72D297353CC}">
                <c16:uniqueId val="{00000031-9E43-9942-9A4D-462BA9F31BA8}"/>
              </c:ext>
            </c:extLst>
          </c:dPt>
          <c:dPt>
            <c:idx val="6"/>
            <c:invertIfNegative val="0"/>
            <c:bubble3D val="0"/>
            <c:extLst>
              <c:ext xmlns:c16="http://schemas.microsoft.com/office/drawing/2014/chart" uri="{C3380CC4-5D6E-409C-BE32-E72D297353CC}">
                <c16:uniqueId val="{00000032-9E43-9942-9A4D-462BA9F31BA8}"/>
              </c:ext>
            </c:extLst>
          </c:dPt>
          <c:dPt>
            <c:idx val="7"/>
            <c:invertIfNegative val="0"/>
            <c:bubble3D val="0"/>
            <c:extLst>
              <c:ext xmlns:c16="http://schemas.microsoft.com/office/drawing/2014/chart" uri="{C3380CC4-5D6E-409C-BE32-E72D297353CC}">
                <c16:uniqueId val="{00000033-9E43-9942-9A4D-462BA9F31BA8}"/>
              </c:ext>
            </c:extLst>
          </c:dPt>
          <c:dPt>
            <c:idx val="8"/>
            <c:invertIfNegative val="0"/>
            <c:bubble3D val="0"/>
            <c:extLst>
              <c:ext xmlns:c16="http://schemas.microsoft.com/office/drawing/2014/chart" uri="{C3380CC4-5D6E-409C-BE32-E72D297353CC}">
                <c16:uniqueId val="{00000034-9E43-9942-9A4D-462BA9F31BA8}"/>
              </c:ext>
            </c:extLst>
          </c:dPt>
          <c:dPt>
            <c:idx val="9"/>
            <c:invertIfNegative val="0"/>
            <c:bubble3D val="0"/>
            <c:extLst>
              <c:ext xmlns:c16="http://schemas.microsoft.com/office/drawing/2014/chart" uri="{C3380CC4-5D6E-409C-BE32-E72D297353CC}">
                <c16:uniqueId val="{00000035-9E43-9942-9A4D-462BA9F31BA8}"/>
              </c:ext>
            </c:extLst>
          </c:dPt>
          <c:dPt>
            <c:idx val="10"/>
            <c:invertIfNegative val="0"/>
            <c:bubble3D val="0"/>
            <c:extLst>
              <c:ext xmlns:c16="http://schemas.microsoft.com/office/drawing/2014/chart" uri="{C3380CC4-5D6E-409C-BE32-E72D297353CC}">
                <c16:uniqueId val="{00000036-9E43-9942-9A4D-462BA9F31BA8}"/>
              </c:ext>
            </c:extLst>
          </c:dPt>
          <c:dPt>
            <c:idx val="11"/>
            <c:invertIfNegative val="0"/>
            <c:bubble3D val="0"/>
            <c:extLst>
              <c:ext xmlns:c16="http://schemas.microsoft.com/office/drawing/2014/chart" uri="{C3380CC4-5D6E-409C-BE32-E72D297353CC}">
                <c16:uniqueId val="{00000037-9E43-9942-9A4D-462BA9F31BA8}"/>
              </c:ext>
            </c:extLst>
          </c:dPt>
          <c:dPt>
            <c:idx val="12"/>
            <c:invertIfNegative val="0"/>
            <c:bubble3D val="0"/>
            <c:extLst>
              <c:ext xmlns:c16="http://schemas.microsoft.com/office/drawing/2014/chart" uri="{C3380CC4-5D6E-409C-BE32-E72D297353CC}">
                <c16:uniqueId val="{00000038-9E43-9942-9A4D-462BA9F31BA8}"/>
              </c:ext>
            </c:extLst>
          </c:dPt>
          <c:dPt>
            <c:idx val="13"/>
            <c:invertIfNegative val="0"/>
            <c:bubble3D val="0"/>
            <c:extLst>
              <c:ext xmlns:c16="http://schemas.microsoft.com/office/drawing/2014/chart" uri="{C3380CC4-5D6E-409C-BE32-E72D297353CC}">
                <c16:uniqueId val="{00000039-9E43-9942-9A4D-462BA9F31BA8}"/>
              </c:ext>
            </c:extLst>
          </c:dPt>
          <c:dPt>
            <c:idx val="14"/>
            <c:invertIfNegative val="0"/>
            <c:bubble3D val="0"/>
            <c:extLst>
              <c:ext xmlns:c16="http://schemas.microsoft.com/office/drawing/2014/chart" uri="{C3380CC4-5D6E-409C-BE32-E72D297353CC}">
                <c16:uniqueId val="{0000003A-9E43-9942-9A4D-462BA9F31BA8}"/>
              </c:ext>
            </c:extLst>
          </c:dPt>
          <c:dPt>
            <c:idx val="15"/>
            <c:invertIfNegative val="0"/>
            <c:bubble3D val="0"/>
            <c:extLst>
              <c:ext xmlns:c16="http://schemas.microsoft.com/office/drawing/2014/chart" uri="{C3380CC4-5D6E-409C-BE32-E72D297353CC}">
                <c16:uniqueId val="{0000003B-9E43-9942-9A4D-462BA9F31BA8}"/>
              </c:ext>
            </c:extLst>
          </c:dPt>
          <c:dPt>
            <c:idx val="16"/>
            <c:invertIfNegative val="0"/>
            <c:bubble3D val="0"/>
            <c:extLst>
              <c:ext xmlns:c16="http://schemas.microsoft.com/office/drawing/2014/chart" uri="{C3380CC4-5D6E-409C-BE32-E72D297353CC}">
                <c16:uniqueId val="{0000003C-9E43-9942-9A4D-462BA9F31BA8}"/>
              </c:ext>
            </c:extLst>
          </c:dPt>
          <c:dPt>
            <c:idx val="17"/>
            <c:invertIfNegative val="0"/>
            <c:bubble3D val="0"/>
            <c:extLst>
              <c:ext xmlns:c16="http://schemas.microsoft.com/office/drawing/2014/chart" uri="{C3380CC4-5D6E-409C-BE32-E72D297353CC}">
                <c16:uniqueId val="{0000003D-9E43-9942-9A4D-462BA9F31BA8}"/>
              </c:ext>
            </c:extLst>
          </c:dPt>
          <c:dPt>
            <c:idx val="18"/>
            <c:invertIfNegative val="0"/>
            <c:bubble3D val="0"/>
            <c:extLst>
              <c:ext xmlns:c16="http://schemas.microsoft.com/office/drawing/2014/chart" uri="{C3380CC4-5D6E-409C-BE32-E72D297353CC}">
                <c16:uniqueId val="{0000003E-9E43-9942-9A4D-462BA9F31BA8}"/>
              </c:ext>
            </c:extLst>
          </c:dPt>
          <c:dPt>
            <c:idx val="19"/>
            <c:invertIfNegative val="0"/>
            <c:bubble3D val="0"/>
            <c:extLst>
              <c:ext xmlns:c16="http://schemas.microsoft.com/office/drawing/2014/chart" uri="{C3380CC4-5D6E-409C-BE32-E72D297353CC}">
                <c16:uniqueId val="{0000003F-9E43-9942-9A4D-462BA9F31BA8}"/>
              </c:ext>
            </c:extLst>
          </c:dPt>
          <c:dPt>
            <c:idx val="20"/>
            <c:invertIfNegative val="0"/>
            <c:bubble3D val="0"/>
            <c:extLst>
              <c:ext xmlns:c16="http://schemas.microsoft.com/office/drawing/2014/chart" uri="{C3380CC4-5D6E-409C-BE32-E72D297353CC}">
                <c16:uniqueId val="{00000040-9E43-9942-9A4D-462BA9F31BA8}"/>
              </c:ext>
            </c:extLst>
          </c:dPt>
          <c:dPt>
            <c:idx val="21"/>
            <c:invertIfNegative val="0"/>
            <c:bubble3D val="0"/>
            <c:extLst>
              <c:ext xmlns:c16="http://schemas.microsoft.com/office/drawing/2014/chart" uri="{C3380CC4-5D6E-409C-BE32-E72D297353CC}">
                <c16:uniqueId val="{00000041-9E43-9942-9A4D-462BA9F31BA8}"/>
              </c:ext>
            </c:extLst>
          </c:dPt>
          <c:dPt>
            <c:idx val="22"/>
            <c:invertIfNegative val="0"/>
            <c:bubble3D val="0"/>
            <c:extLst>
              <c:ext xmlns:c16="http://schemas.microsoft.com/office/drawing/2014/chart" uri="{C3380CC4-5D6E-409C-BE32-E72D297353CC}">
                <c16:uniqueId val="{00000042-9E43-9942-9A4D-462BA9F31BA8}"/>
              </c:ext>
            </c:extLst>
          </c:dPt>
          <c:dPt>
            <c:idx val="23"/>
            <c:invertIfNegative val="0"/>
            <c:bubble3D val="0"/>
            <c:extLst>
              <c:ext xmlns:c16="http://schemas.microsoft.com/office/drawing/2014/chart" uri="{C3380CC4-5D6E-409C-BE32-E72D297353CC}">
                <c16:uniqueId val="{00000043-9E43-9942-9A4D-462BA9F31BA8}"/>
              </c:ext>
            </c:extLst>
          </c:dPt>
          <c:dPt>
            <c:idx val="24"/>
            <c:invertIfNegative val="0"/>
            <c:bubble3D val="0"/>
            <c:extLst>
              <c:ext xmlns:c16="http://schemas.microsoft.com/office/drawing/2014/chart" uri="{C3380CC4-5D6E-409C-BE32-E72D297353CC}">
                <c16:uniqueId val="{00000044-9E43-9942-9A4D-462BA9F31BA8}"/>
              </c:ext>
            </c:extLst>
          </c:dPt>
          <c:dPt>
            <c:idx val="25"/>
            <c:invertIfNegative val="0"/>
            <c:bubble3D val="0"/>
            <c:extLst>
              <c:ext xmlns:c16="http://schemas.microsoft.com/office/drawing/2014/chart" uri="{C3380CC4-5D6E-409C-BE32-E72D297353CC}">
                <c16:uniqueId val="{00000045-9E43-9942-9A4D-462BA9F31BA8}"/>
              </c:ext>
            </c:extLst>
          </c:dPt>
          <c:dPt>
            <c:idx val="26"/>
            <c:invertIfNegative val="0"/>
            <c:bubble3D val="0"/>
            <c:extLst>
              <c:ext xmlns:c16="http://schemas.microsoft.com/office/drawing/2014/chart" uri="{C3380CC4-5D6E-409C-BE32-E72D297353CC}">
                <c16:uniqueId val="{00000046-9E43-9942-9A4D-462BA9F31BA8}"/>
              </c:ext>
            </c:extLst>
          </c:dPt>
          <c:dPt>
            <c:idx val="27"/>
            <c:invertIfNegative val="0"/>
            <c:bubble3D val="0"/>
            <c:extLst>
              <c:ext xmlns:c16="http://schemas.microsoft.com/office/drawing/2014/chart" uri="{C3380CC4-5D6E-409C-BE32-E72D297353CC}">
                <c16:uniqueId val="{00000047-9E43-9942-9A4D-462BA9F31BA8}"/>
              </c:ext>
            </c:extLst>
          </c:dPt>
          <c:dPt>
            <c:idx val="28"/>
            <c:invertIfNegative val="0"/>
            <c:bubble3D val="0"/>
            <c:extLst>
              <c:ext xmlns:c16="http://schemas.microsoft.com/office/drawing/2014/chart" uri="{C3380CC4-5D6E-409C-BE32-E72D297353CC}">
                <c16:uniqueId val="{00000048-9E43-9942-9A4D-462BA9F31BA8}"/>
              </c:ext>
            </c:extLst>
          </c:dPt>
          <c:dPt>
            <c:idx val="29"/>
            <c:invertIfNegative val="0"/>
            <c:bubble3D val="0"/>
            <c:extLst>
              <c:ext xmlns:c16="http://schemas.microsoft.com/office/drawing/2014/chart" uri="{C3380CC4-5D6E-409C-BE32-E72D297353CC}">
                <c16:uniqueId val="{00000049-9E43-9942-9A4D-462BA9F31BA8}"/>
              </c:ext>
            </c:extLst>
          </c:dPt>
          <c:dPt>
            <c:idx val="30"/>
            <c:invertIfNegative val="0"/>
            <c:bubble3D val="0"/>
            <c:extLst>
              <c:ext xmlns:c16="http://schemas.microsoft.com/office/drawing/2014/chart" uri="{C3380CC4-5D6E-409C-BE32-E72D297353CC}">
                <c16:uniqueId val="{0000004A-9E43-9942-9A4D-462BA9F31BA8}"/>
              </c:ext>
            </c:extLst>
          </c:dPt>
          <c:dPt>
            <c:idx val="31"/>
            <c:invertIfNegative val="0"/>
            <c:bubble3D val="0"/>
            <c:extLst>
              <c:ext xmlns:c16="http://schemas.microsoft.com/office/drawing/2014/chart" uri="{C3380CC4-5D6E-409C-BE32-E72D297353CC}">
                <c16:uniqueId val="{0000004B-9E43-9942-9A4D-462BA9F31BA8}"/>
              </c:ext>
            </c:extLst>
          </c:dPt>
          <c:dPt>
            <c:idx val="32"/>
            <c:invertIfNegative val="0"/>
            <c:bubble3D val="0"/>
            <c:extLst>
              <c:ext xmlns:c16="http://schemas.microsoft.com/office/drawing/2014/chart" uri="{C3380CC4-5D6E-409C-BE32-E72D297353CC}">
                <c16:uniqueId val="{0000004C-9E43-9942-9A4D-462BA9F31BA8}"/>
              </c:ext>
            </c:extLst>
          </c:dPt>
          <c:dPt>
            <c:idx val="33"/>
            <c:invertIfNegative val="0"/>
            <c:bubble3D val="0"/>
            <c:extLst>
              <c:ext xmlns:c16="http://schemas.microsoft.com/office/drawing/2014/chart" uri="{C3380CC4-5D6E-409C-BE32-E72D297353CC}">
                <c16:uniqueId val="{0000004D-9E43-9942-9A4D-462BA9F31BA8}"/>
              </c:ext>
            </c:extLst>
          </c:dPt>
          <c:dPt>
            <c:idx val="34"/>
            <c:invertIfNegative val="0"/>
            <c:bubble3D val="0"/>
            <c:extLst>
              <c:ext xmlns:c16="http://schemas.microsoft.com/office/drawing/2014/chart" uri="{C3380CC4-5D6E-409C-BE32-E72D297353CC}">
                <c16:uniqueId val="{0000004E-9E43-9942-9A4D-462BA9F31BA8}"/>
              </c:ext>
            </c:extLst>
          </c:dPt>
          <c:dPt>
            <c:idx val="35"/>
            <c:invertIfNegative val="0"/>
            <c:bubble3D val="0"/>
            <c:extLst>
              <c:ext xmlns:c16="http://schemas.microsoft.com/office/drawing/2014/chart" uri="{C3380CC4-5D6E-409C-BE32-E72D297353CC}">
                <c16:uniqueId val="{0000004F-9E43-9942-9A4D-462BA9F31BA8}"/>
              </c:ext>
            </c:extLst>
          </c:dPt>
          <c:dPt>
            <c:idx val="36"/>
            <c:invertIfNegative val="0"/>
            <c:bubble3D val="0"/>
            <c:extLst>
              <c:ext xmlns:c16="http://schemas.microsoft.com/office/drawing/2014/chart" uri="{C3380CC4-5D6E-409C-BE32-E72D297353CC}">
                <c16:uniqueId val="{00000050-9E43-9942-9A4D-462BA9F31BA8}"/>
              </c:ext>
            </c:extLst>
          </c:dPt>
          <c:dPt>
            <c:idx val="37"/>
            <c:invertIfNegative val="0"/>
            <c:bubble3D val="0"/>
            <c:extLst>
              <c:ext xmlns:c16="http://schemas.microsoft.com/office/drawing/2014/chart" uri="{C3380CC4-5D6E-409C-BE32-E72D297353CC}">
                <c16:uniqueId val="{00000051-9E43-9942-9A4D-462BA9F31BA8}"/>
              </c:ext>
            </c:extLst>
          </c:dPt>
          <c:dPt>
            <c:idx val="38"/>
            <c:invertIfNegative val="0"/>
            <c:bubble3D val="0"/>
            <c:extLst>
              <c:ext xmlns:c16="http://schemas.microsoft.com/office/drawing/2014/chart" uri="{C3380CC4-5D6E-409C-BE32-E72D297353CC}">
                <c16:uniqueId val="{00000052-9E43-9942-9A4D-462BA9F31BA8}"/>
              </c:ext>
            </c:extLst>
          </c:dPt>
          <c:dPt>
            <c:idx val="39"/>
            <c:invertIfNegative val="0"/>
            <c:bubble3D val="0"/>
            <c:extLst>
              <c:ext xmlns:c16="http://schemas.microsoft.com/office/drawing/2014/chart" uri="{C3380CC4-5D6E-409C-BE32-E72D297353CC}">
                <c16:uniqueId val="{00000053-9E43-9942-9A4D-462BA9F31BA8}"/>
              </c:ext>
            </c:extLst>
          </c:dPt>
          <c:dPt>
            <c:idx val="40"/>
            <c:invertIfNegative val="0"/>
            <c:bubble3D val="0"/>
            <c:extLst>
              <c:ext xmlns:c16="http://schemas.microsoft.com/office/drawing/2014/chart" uri="{C3380CC4-5D6E-409C-BE32-E72D297353CC}">
                <c16:uniqueId val="{00000054-9E43-9942-9A4D-462BA9F31BA8}"/>
              </c:ext>
            </c:extLst>
          </c:dPt>
          <c:dPt>
            <c:idx val="41"/>
            <c:invertIfNegative val="0"/>
            <c:bubble3D val="0"/>
            <c:spPr>
              <a:solidFill>
                <a:srgbClr val="1B2A4A"/>
              </a:solidFill>
              <a:ln>
                <a:solidFill>
                  <a:srgbClr val="1B2A4A"/>
                </a:solidFill>
              </a:ln>
            </c:spPr>
            <c:extLst>
              <c:ext xmlns:c16="http://schemas.microsoft.com/office/drawing/2014/chart" uri="{C3380CC4-5D6E-409C-BE32-E72D297353CC}">
                <c16:uniqueId val="{00000055-9E43-9942-9A4D-462BA9F31BA8}"/>
              </c:ext>
            </c:extLst>
          </c:dPt>
          <c:dPt>
            <c:idx val="42"/>
            <c:invertIfNegative val="0"/>
            <c:bubble3D val="0"/>
            <c:spPr>
              <a:solidFill>
                <a:srgbClr val="1B2A4A"/>
              </a:solidFill>
              <a:ln>
                <a:solidFill>
                  <a:srgbClr val="1B2A4A"/>
                </a:solidFill>
              </a:ln>
            </c:spPr>
            <c:extLst>
              <c:ext xmlns:c16="http://schemas.microsoft.com/office/drawing/2014/chart" uri="{C3380CC4-5D6E-409C-BE32-E72D297353CC}">
                <c16:uniqueId val="{00000056-9E43-9942-9A4D-462BA9F31BA8}"/>
              </c:ext>
            </c:extLst>
          </c:dPt>
          <c:dLbls>
            <c:dLbl>
              <c:idx val="41"/>
              <c:delete val="1"/>
              <c:extLst>
                <c:ext xmlns:c15="http://schemas.microsoft.com/office/drawing/2012/chart" uri="{CE6537A1-D6FC-4f65-9D91-7224C49458BB}"/>
                <c:ext xmlns:c16="http://schemas.microsoft.com/office/drawing/2014/chart" uri="{C3380CC4-5D6E-409C-BE32-E72D297353CC}">
                  <c16:uniqueId val="{00000055-9E43-9942-9A4D-462BA9F31BA8}"/>
                </c:ext>
              </c:extLst>
            </c:dLbl>
            <c:numFmt formatCode="#,##0" sourceLinked="0"/>
            <c:spPr>
              <a:noFill/>
              <a:ln>
                <a:noFill/>
              </a:ln>
              <a:effectLst/>
            </c:spPr>
            <c:txPr>
              <a:bodyPr/>
              <a:lstStyle/>
              <a:p>
                <a:pPr>
                  <a:defRPr sz="800"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Summary'!$A$5:$A$47</c:f>
              <c:strCache>
                <c:ptCount val="43"/>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2026 Annualized</c:v>
                </c:pt>
              </c:strCache>
            </c:strRef>
          </c:cat>
          <c:val>
            <c:numRef>
              <c:f>'FDA Approval Summary'!$C$5:$C$47</c:f>
              <c:numCache>
                <c:formatCode>#,##0</c:formatCode>
                <c:ptCount val="43"/>
                <c:pt idx="0">
                  <c:v>0</c:v>
                </c:pt>
                <c:pt idx="1">
                  <c:v>3</c:v>
                </c:pt>
                <c:pt idx="2">
                  <c:v>1</c:v>
                </c:pt>
                <c:pt idx="3">
                  <c:v>0</c:v>
                </c:pt>
                <c:pt idx="4">
                  <c:v>4</c:v>
                </c:pt>
                <c:pt idx="5">
                  <c:v>2</c:v>
                </c:pt>
                <c:pt idx="6">
                  <c:v>3</c:v>
                </c:pt>
                <c:pt idx="7">
                  <c:v>2</c:v>
                </c:pt>
                <c:pt idx="8">
                  <c:v>3</c:v>
                </c:pt>
                <c:pt idx="9">
                  <c:v>3</c:v>
                </c:pt>
                <c:pt idx="10">
                  <c:v>1</c:v>
                </c:pt>
                <c:pt idx="11">
                  <c:v>8</c:v>
                </c:pt>
                <c:pt idx="12">
                  <c:v>5</c:v>
                </c:pt>
                <c:pt idx="13">
                  <c:v>8</c:v>
                </c:pt>
                <c:pt idx="14">
                  <c:v>3</c:v>
                </c:pt>
                <c:pt idx="15">
                  <c:v>4</c:v>
                </c:pt>
                <c:pt idx="16">
                  <c:v>5</c:v>
                </c:pt>
                <c:pt idx="17">
                  <c:v>6</c:v>
                </c:pt>
                <c:pt idx="18">
                  <c:v>7</c:v>
                </c:pt>
                <c:pt idx="19">
                  <c:v>8</c:v>
                </c:pt>
                <c:pt idx="20">
                  <c:v>7</c:v>
                </c:pt>
                <c:pt idx="21">
                  <c:v>4</c:v>
                </c:pt>
                <c:pt idx="22">
                  <c:v>2</c:v>
                </c:pt>
                <c:pt idx="23">
                  <c:v>3</c:v>
                </c:pt>
                <c:pt idx="24">
                  <c:v>6</c:v>
                </c:pt>
                <c:pt idx="25">
                  <c:v>8</c:v>
                </c:pt>
                <c:pt idx="26">
                  <c:v>6</c:v>
                </c:pt>
                <c:pt idx="27">
                  <c:v>7</c:v>
                </c:pt>
                <c:pt idx="28">
                  <c:v>2</c:v>
                </c:pt>
                <c:pt idx="29">
                  <c:v>11</c:v>
                </c:pt>
                <c:pt idx="30">
                  <c:v>13</c:v>
                </c:pt>
                <c:pt idx="31">
                  <c:v>8</c:v>
                </c:pt>
                <c:pt idx="32">
                  <c:v>12</c:v>
                </c:pt>
                <c:pt idx="33">
                  <c:v>17</c:v>
                </c:pt>
                <c:pt idx="34">
                  <c:v>10</c:v>
                </c:pt>
                <c:pt idx="35">
                  <c:v>13</c:v>
                </c:pt>
                <c:pt idx="36">
                  <c:v>14</c:v>
                </c:pt>
                <c:pt idx="37">
                  <c:v>15</c:v>
                </c:pt>
                <c:pt idx="38">
                  <c:v>17</c:v>
                </c:pt>
                <c:pt idx="39">
                  <c:v>16</c:v>
                </c:pt>
                <c:pt idx="40">
                  <c:v>12</c:v>
                </c:pt>
                <c:pt idx="41">
                  <c:v>3</c:v>
                </c:pt>
                <c:pt idx="42">
                  <c:v>12</c:v>
                </c:pt>
              </c:numCache>
            </c:numRef>
          </c:val>
          <c:extLst>
            <c:ext xmlns:c16="http://schemas.microsoft.com/office/drawing/2014/chart" uri="{C3380CC4-5D6E-409C-BE32-E72D297353CC}">
              <c16:uniqueId val="{00000057-9E43-9942-9A4D-462BA9F31BA8}"/>
            </c:ext>
          </c:extLst>
        </c:ser>
        <c:dLbls>
          <c:showLegendKey val="0"/>
          <c:showVal val="0"/>
          <c:showCatName val="0"/>
          <c:showSerName val="0"/>
          <c:showPercent val="0"/>
          <c:showBubbleSize val="0"/>
        </c:dLbls>
        <c:gapWidth val="80"/>
        <c:overlap val="100"/>
        <c:axId val="50010001"/>
        <c:axId val="50010002"/>
      </c:barChart>
      <c:lineChart>
        <c:grouping val="standard"/>
        <c:varyColors val="0"/>
        <c:ser>
          <c:idx val="2"/>
          <c:order val="2"/>
          <c:tx>
            <c:v>_Total</c:v>
          </c:tx>
          <c:spPr>
            <a:ln>
              <a:noFill/>
            </a:ln>
          </c:spPr>
          <c:marker>
            <c:symbol val="none"/>
          </c:marker>
          <c:dLbls>
            <c:numFmt formatCode="#,##0" sourceLinked="0"/>
            <c:spPr>
              <a:noFill/>
              <a:ln>
                <a:noFill/>
              </a:ln>
              <a:effectLst/>
            </c:spPr>
            <c:txPr>
              <a:bodyPr/>
              <a:lstStyle/>
              <a:p>
                <a:pPr>
                  <a:defRPr sz="900" b="1" baseline="0">
                    <a:solidFill>
                      <a:srgbClr val="1B2A4A"/>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'FDA Approval Summary'!$A$5:$A$47</c:f>
              <c:strCache>
                <c:ptCount val="43"/>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2026 Annualized</c:v>
                </c:pt>
              </c:strCache>
            </c:strRef>
          </c:cat>
          <c:val>
            <c:numRef>
              <c:f>'FDA Approval Summary'!$D$5:$D$47</c:f>
              <c:numCache>
                <c:formatCode>#,##0</c:formatCode>
                <c:ptCount val="43"/>
                <c:pt idx="0">
                  <c:v>31</c:v>
                </c:pt>
                <c:pt idx="1">
                  <c:v>23</c:v>
                </c:pt>
                <c:pt idx="2">
                  <c:v>22</c:v>
                </c:pt>
                <c:pt idx="3">
                  <c:v>20</c:v>
                </c:pt>
                <c:pt idx="4">
                  <c:v>27</c:v>
                </c:pt>
                <c:pt idx="5">
                  <c:v>24</c:v>
                </c:pt>
                <c:pt idx="6">
                  <c:v>32</c:v>
                </c:pt>
                <c:pt idx="7">
                  <c:v>29</c:v>
                </c:pt>
                <c:pt idx="8">
                  <c:v>27</c:v>
                </c:pt>
                <c:pt idx="9">
                  <c:v>23</c:v>
                </c:pt>
                <c:pt idx="10">
                  <c:v>30</c:v>
                </c:pt>
                <c:pt idx="11">
                  <c:v>59</c:v>
                </c:pt>
                <c:pt idx="12">
                  <c:v>42</c:v>
                </c:pt>
                <c:pt idx="13">
                  <c:v>36</c:v>
                </c:pt>
                <c:pt idx="14">
                  <c:v>37</c:v>
                </c:pt>
                <c:pt idx="15">
                  <c:v>29</c:v>
                </c:pt>
                <c:pt idx="16">
                  <c:v>29</c:v>
                </c:pt>
                <c:pt idx="17">
                  <c:v>23</c:v>
                </c:pt>
                <c:pt idx="18">
                  <c:v>27</c:v>
                </c:pt>
                <c:pt idx="19">
                  <c:v>35</c:v>
                </c:pt>
                <c:pt idx="20">
                  <c:v>20</c:v>
                </c:pt>
                <c:pt idx="21">
                  <c:v>22</c:v>
                </c:pt>
                <c:pt idx="22">
                  <c:v>18</c:v>
                </c:pt>
                <c:pt idx="23">
                  <c:v>25</c:v>
                </c:pt>
                <c:pt idx="24">
                  <c:v>26</c:v>
                </c:pt>
                <c:pt idx="25">
                  <c:v>21</c:v>
                </c:pt>
                <c:pt idx="26">
                  <c:v>30</c:v>
                </c:pt>
                <c:pt idx="27">
                  <c:v>39</c:v>
                </c:pt>
                <c:pt idx="28">
                  <c:v>27</c:v>
                </c:pt>
                <c:pt idx="29">
                  <c:v>41</c:v>
                </c:pt>
                <c:pt idx="30">
                  <c:v>45</c:v>
                </c:pt>
                <c:pt idx="31">
                  <c:v>22</c:v>
                </c:pt>
                <c:pt idx="32">
                  <c:v>46</c:v>
                </c:pt>
                <c:pt idx="33">
                  <c:v>59</c:v>
                </c:pt>
                <c:pt idx="34">
                  <c:v>48</c:v>
                </c:pt>
                <c:pt idx="35">
                  <c:v>53</c:v>
                </c:pt>
                <c:pt idx="36">
                  <c:v>50</c:v>
                </c:pt>
                <c:pt idx="37">
                  <c:v>37</c:v>
                </c:pt>
                <c:pt idx="38">
                  <c:v>55</c:v>
                </c:pt>
                <c:pt idx="39">
                  <c:v>50</c:v>
                </c:pt>
                <c:pt idx="40">
                  <c:v>46</c:v>
                </c:pt>
                <c:pt idx="41">
                  <c:v>10</c:v>
                </c:pt>
                <c:pt idx="42">
                  <c:v>40</c:v>
                </c:pt>
              </c:numCache>
            </c:numRef>
          </c:val>
          <c:smooth val="0"/>
          <c:extLst>
            <c:ext xmlns:c16="http://schemas.microsoft.com/office/drawing/2014/chart" uri="{C3380CC4-5D6E-409C-BE32-E72D297353CC}">
              <c16:uniqueId val="{00000058-9E43-9942-9A4D-462BA9F31BA8}"/>
            </c:ext>
          </c:extLst>
        </c:ser>
        <c:dLbls>
          <c:showLegendKey val="0"/>
          <c:showVal val="0"/>
          <c:showCatName val="0"/>
          <c:showSerName val="0"/>
          <c:showPercent val="0"/>
          <c:showBubbleSize val="0"/>
        </c:dLbls>
        <c:marker val="1"/>
        <c:smooth val="0"/>
        <c:axId val="50010001"/>
        <c:axId val="50010002"/>
      </c:lineChart>
      <c:catAx>
        <c:axId val="50010001"/>
        <c:scaling>
          <c:orientation val="minMax"/>
        </c:scaling>
        <c:delete val="0"/>
        <c:axPos val="b"/>
        <c:numFmt formatCode="General" sourceLinked="0"/>
        <c:majorTickMark val="out"/>
        <c:minorTickMark val="none"/>
        <c:tickLblPos val="low"/>
        <c:txPr>
          <a:bodyPr/>
          <a:lstStyle/>
          <a:p>
            <a:pPr>
              <a:defRPr sz="800" baseline="0">
                <a:latin typeface="Arial"/>
              </a:defRPr>
            </a:pPr>
            <a:endParaRPr lang="en-US"/>
          </a:p>
        </c:txPr>
        <c:crossAx val="50010002"/>
        <c:crosses val="autoZero"/>
        <c:auto val="1"/>
        <c:lblAlgn val="ctr"/>
        <c:lblOffset val="100"/>
        <c:noMultiLvlLbl val="0"/>
      </c:catAx>
      <c:valAx>
        <c:axId val="50010002"/>
        <c:scaling>
          <c:orientation val="minMax"/>
        </c:scaling>
        <c:delete val="0"/>
        <c:axPos val="l"/>
        <c:numFmt formatCode="#,##0" sourceLinked="0"/>
        <c:majorTickMark val="out"/>
        <c:minorTickMark val="none"/>
        <c:tickLblPos val="nextTo"/>
        <c:crossAx val="50010001"/>
        <c:crosses val="autoZero"/>
        <c:crossBetween val="between"/>
      </c:valAx>
      <c:spPr>
        <a:ln>
          <a:noFill/>
        </a:ln>
      </c:spPr>
    </c:plotArea>
    <c:legend>
      <c:legendPos val="b"/>
      <c:legendEntry>
        <c:idx val="2"/>
        <c:delete val="1"/>
      </c:legendEntry>
      <c:overlay val="0"/>
      <c:txPr>
        <a:bodyPr/>
        <a:lstStyle/>
        <a:p>
          <a:pPr>
            <a:defRPr sz="800" baseline="0">
              <a:latin typeface="Arial"/>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fda.gov/vaccines-blood-biologics/development-approval-process-cber/2023-biological-license-application-approvals" TargetMode="External"/><Relationship Id="rId21" Type="http://schemas.openxmlformats.org/officeDocument/2006/relationships/hyperlink" Target="https://www.fda.gov/drugs/novel-drug-approvals-fda/novel-drug-approvals-2025" TargetMode="External"/><Relationship Id="rId42" Type="http://schemas.openxmlformats.org/officeDocument/2006/relationships/hyperlink" Target="https://www.fda.gov/drugs/novel-drug-approvals-fda/novel-drug-approvals-2025" TargetMode="External"/><Relationship Id="rId63" Type="http://schemas.openxmlformats.org/officeDocument/2006/relationships/hyperlink" Target="https://www.fda.gov/drugs/novel-drug-approvals-fda/novel-drug-approvals-2025" TargetMode="External"/><Relationship Id="rId84" Type="http://schemas.openxmlformats.org/officeDocument/2006/relationships/hyperlink" Target="https://www.fda.gov/vaccines-blood-biologics/development-approval-process-cber/2024-biological-license-application-approvals" TargetMode="External"/><Relationship Id="rId138" Type="http://schemas.openxmlformats.org/officeDocument/2006/relationships/hyperlink" Target="https://web.archive.org/web/20250201005753/https:/www.fda.gov/vaccines-blood-biologics/development-approval-process-cber/2021-biological-license-application-approvals" TargetMode="External"/><Relationship Id="rId159" Type="http://schemas.openxmlformats.org/officeDocument/2006/relationships/hyperlink" Target="https://wayback.archive-it.org/7993/20180908105239/https:/www.fda.gov/BiologicsBloodVaccines/DevelopmentApprovalProcess/BiologicalApprovalsbyYear/ucm482397.htm" TargetMode="External"/><Relationship Id="rId170" Type="http://schemas.openxmlformats.org/officeDocument/2006/relationships/hyperlink" Target="https://wayback.archive-it.org/7993/20170111093336/http:/www.fda.gov/BiologicsBloodVaccines/DevelopmentApprovalProcess/BiologicalApprovalsbyYear/ucm176292.htm" TargetMode="External"/><Relationship Id="rId191" Type="http://schemas.openxmlformats.org/officeDocument/2006/relationships/hyperlink" Target="https://wayback.archive-it.org/7993/20170111093349/http:/www.fda.gov/BiologicsBloodVaccines/DevelopmentApprovalProcess/BiologicalApprovalsbyYear/ucm180084.htm" TargetMode="External"/><Relationship Id="rId205" Type="http://schemas.openxmlformats.org/officeDocument/2006/relationships/hyperlink" Target="https://wayback.archive-it.org/7993/20170111093351/http:/www.fda.gov/BiologicsBloodVaccines/DevelopmentApprovalProcess/BiologicalApprovalsbyYear/ucm180879.htm" TargetMode="External"/><Relationship Id="rId226" Type="http://schemas.openxmlformats.org/officeDocument/2006/relationships/hyperlink" Target="https://wayback.archive-it.org/7993/20170111093351/http:/www.fda.gov/BiologicsBloodVaccines/DevelopmentApprovalProcess/BiologicalApprovalsbyYear/ucm180879.htm" TargetMode="External"/><Relationship Id="rId107" Type="http://schemas.openxmlformats.org/officeDocument/2006/relationships/hyperlink" Target="https://www.fda.gov/vaccines-blood-biologics/development-approval-process-cber/2023-biological-license-application-approvals" TargetMode="External"/><Relationship Id="rId11" Type="http://schemas.openxmlformats.org/officeDocument/2006/relationships/hyperlink" Target="https://www.fda.gov/drugs/novel-drug-approvals-fda/novel-drug-approvals-2025" TargetMode="External"/><Relationship Id="rId32" Type="http://schemas.openxmlformats.org/officeDocument/2006/relationships/hyperlink" Target="https://www.fda.gov/drugs/novel-drug-approvals-fda/novel-drug-approvals-2025" TargetMode="External"/><Relationship Id="rId53" Type="http://schemas.openxmlformats.org/officeDocument/2006/relationships/hyperlink" Target="https://www.fda.gov/drugs/novel-drug-approvals-fda/novel-drug-approvals-2025" TargetMode="External"/><Relationship Id="rId74" Type="http://schemas.openxmlformats.org/officeDocument/2006/relationships/hyperlink" Target="https://www.fda.gov/drugs/novel-drug-approvals-fda/novel-drug-approvals-2025" TargetMode="External"/><Relationship Id="rId128" Type="http://schemas.openxmlformats.org/officeDocument/2006/relationships/hyperlink" Target="https://web.archive.org/web/20250202091310/https:/www.fda.gov/vaccines-blood-biologics/development-approval-process-cber/2022-biological-license-application-approvals" TargetMode="External"/><Relationship Id="rId149" Type="http://schemas.openxmlformats.org/officeDocument/2006/relationships/hyperlink" Target="https://wayback.archive-it.org/7993/20180908105239/https:/www.fda.gov/BiologicsBloodVaccines/DevelopmentApprovalProcess/BiologicalApprovalsbyYear/ucm482397.htm" TargetMode="External"/><Relationship Id="rId5" Type="http://schemas.openxmlformats.org/officeDocument/2006/relationships/hyperlink" Target="https://www.fda.gov/drugs/novel-drug-approvals-fda/novel-drug-approvals-2026" TargetMode="External"/><Relationship Id="rId95" Type="http://schemas.openxmlformats.org/officeDocument/2006/relationships/hyperlink" Target="https://www.fda.gov/vaccines-blood-biologics/development-approval-process-cber/2024-biological-license-application-approvals" TargetMode="External"/><Relationship Id="rId160" Type="http://schemas.openxmlformats.org/officeDocument/2006/relationships/hyperlink" Target="https://wayback.archive-it.org/7993/20180908105239/https:/www.fda.gov/BiologicsBloodVaccines/DevelopmentApprovalProcess/BiologicalApprovalsbyYear/ucm482397.htm" TargetMode="External"/><Relationship Id="rId181" Type="http://schemas.openxmlformats.org/officeDocument/2006/relationships/hyperlink" Target="https://wayback.archive-it.org/7993/20170111093349/http:/www.fda.gov/BiologicsBloodVaccines/DevelopmentApprovalProcess/BiologicalApprovalsbyYear/ucm180084.htm" TargetMode="External"/><Relationship Id="rId216" Type="http://schemas.openxmlformats.org/officeDocument/2006/relationships/hyperlink" Target="https://wayback.archive-it.org/7993/20170111093351/http:/www.fda.gov/BiologicsBloodVaccines/DevelopmentApprovalProcess/BiologicalApprovalsbyYear/ucm180879.htm" TargetMode="External"/><Relationship Id="rId22" Type="http://schemas.openxmlformats.org/officeDocument/2006/relationships/hyperlink" Target="https://www.fda.gov/vaccines-blood-biologics/development-approval-process-cber/2025-biological-license-application-approvals" TargetMode="External"/><Relationship Id="rId43" Type="http://schemas.openxmlformats.org/officeDocument/2006/relationships/hyperlink" Target="https://www.fda.gov/drugs/novel-drug-approvals-fda/novel-drug-approvals-2025" TargetMode="External"/><Relationship Id="rId64" Type="http://schemas.openxmlformats.org/officeDocument/2006/relationships/hyperlink" Target="https://www.fda.gov/vaccines-blood-biologics/development-approval-process-cber/2025-biological-license-application-approvals" TargetMode="External"/><Relationship Id="rId118" Type="http://schemas.openxmlformats.org/officeDocument/2006/relationships/hyperlink" Target="https://www.fda.gov/vaccines-blood-biologics/development-approval-process-cber/2023-biological-license-application-approvals" TargetMode="External"/><Relationship Id="rId139" Type="http://schemas.openxmlformats.org/officeDocument/2006/relationships/hyperlink" Target="https://web.archive.org/web/20250201005753/https:/www.fda.gov/vaccines-blood-biologics/development-approval-process-cber/2021-biological-license-application-approvals" TargetMode="External"/><Relationship Id="rId85" Type="http://schemas.openxmlformats.org/officeDocument/2006/relationships/hyperlink" Target="https://www.fda.gov/vaccines-blood-biologics/development-approval-process-cber/2024-biological-license-application-approvals" TargetMode="External"/><Relationship Id="rId150" Type="http://schemas.openxmlformats.org/officeDocument/2006/relationships/hyperlink" Target="https://wayback.archive-it.org/7993/20180908105239/https:/www.fda.gov/BiologicsBloodVaccines/DevelopmentApprovalProcess/BiologicalApprovalsbyYear/ucm482397.htm" TargetMode="External"/><Relationship Id="rId171" Type="http://schemas.openxmlformats.org/officeDocument/2006/relationships/hyperlink" Target="https://wayback.archive-it.org/7993/20170111093336/http:/www.fda.gov/BiologicsBloodVaccines/DevelopmentApprovalProcess/BiologicalApprovalsbyYear/ucm176292.htm" TargetMode="External"/><Relationship Id="rId192" Type="http://schemas.openxmlformats.org/officeDocument/2006/relationships/hyperlink" Target="https://wayback.archive-it.org/7993/20170111093349/http:/www.fda.gov/BiologicsBloodVaccines/DevelopmentApprovalProcess/BiologicalApprovalsbyYear/ucm180084.htm" TargetMode="External"/><Relationship Id="rId206" Type="http://schemas.openxmlformats.org/officeDocument/2006/relationships/hyperlink" Target="https://wayback.archive-it.org/7993/20170111093351/http:/www.fda.gov/BiologicsBloodVaccines/DevelopmentApprovalProcess/BiologicalApprovalsbyYear/ucm180879.htm" TargetMode="External"/><Relationship Id="rId227" Type="http://schemas.openxmlformats.org/officeDocument/2006/relationships/hyperlink" Target="https://wayback.archive-it.org/7993/20170111093351/http:/www.fda.gov/BiologicsBloodVaccines/DevelopmentApprovalProcess/BiologicalApprovalsbyYear/ucm180879.htm" TargetMode="External"/><Relationship Id="rId12" Type="http://schemas.openxmlformats.org/officeDocument/2006/relationships/hyperlink" Target="https://www.fda.gov/drugs/novel-drug-approvals-fda/novel-drug-approvals-2025" TargetMode="External"/><Relationship Id="rId33" Type="http://schemas.openxmlformats.org/officeDocument/2006/relationships/hyperlink" Target="https://www.fda.gov/drugs/novel-drug-approvals-fda/novel-drug-approvals-2025" TargetMode="External"/><Relationship Id="rId108" Type="http://schemas.openxmlformats.org/officeDocument/2006/relationships/hyperlink" Target="https://www.fda.gov/vaccines-blood-biologics/development-approval-process-cber/2023-biological-license-application-approvals" TargetMode="External"/><Relationship Id="rId129" Type="http://schemas.openxmlformats.org/officeDocument/2006/relationships/hyperlink" Target="https://web.archive.org/web/20250202091310/https:/www.fda.gov/vaccines-blood-biologics/development-approval-process-cber/2022-biological-license-application-approvals" TargetMode="External"/><Relationship Id="rId54" Type="http://schemas.openxmlformats.org/officeDocument/2006/relationships/hyperlink" Target="https://www.fda.gov/drugs/novel-drug-approvals-fda/novel-drug-approvals-2025" TargetMode="External"/><Relationship Id="rId75" Type="http://schemas.openxmlformats.org/officeDocument/2006/relationships/hyperlink" Target="https://www.fda.gov/drugs/novel-drug-approvals-fda/novel-drug-approvals-2025" TargetMode="External"/><Relationship Id="rId96" Type="http://schemas.openxmlformats.org/officeDocument/2006/relationships/hyperlink" Target="https://www.fda.gov/vaccines-blood-biologics/development-approval-process-cber/2023-biological-license-application-approvals" TargetMode="External"/><Relationship Id="rId140" Type="http://schemas.openxmlformats.org/officeDocument/2006/relationships/hyperlink" Target="https://web.archive.org/web/20250201005753/https:/www.fda.gov/vaccines-blood-biologics/development-approval-process-cber/2021-biological-license-application-approvals" TargetMode="External"/><Relationship Id="rId161" Type="http://schemas.openxmlformats.org/officeDocument/2006/relationships/hyperlink" Target="https://wayback.archive-it.org/7993/20180908105239/https:/www.fda.gov/BiologicsBloodVaccines/DevelopmentApprovalProcess/BiologicalApprovalsbyYear/ucm482397.htm" TargetMode="External"/><Relationship Id="rId182" Type="http://schemas.openxmlformats.org/officeDocument/2006/relationships/hyperlink" Target="https://wayback.archive-it.org/7993/20170111093349/http:/www.fda.gov/BiologicsBloodVaccines/DevelopmentApprovalProcess/BiologicalApprovalsbyYear/ucm180084.htm" TargetMode="External"/><Relationship Id="rId217" Type="http://schemas.openxmlformats.org/officeDocument/2006/relationships/hyperlink" Target="https://wayback.archive-it.org/7993/20170111093351/http:/www.fda.gov/BiologicsBloodVaccines/DevelopmentApprovalProcess/BiologicalApprovalsbyYear/ucm180879.htm" TargetMode="External"/><Relationship Id="rId6" Type="http://schemas.openxmlformats.org/officeDocument/2006/relationships/hyperlink" Target="https://www.fda.gov/drugs/novel-drug-approvals-fda/novel-drug-approvals-2026" TargetMode="External"/><Relationship Id="rId23" Type="http://schemas.openxmlformats.org/officeDocument/2006/relationships/hyperlink" Target="https://www.fda.gov/vaccines-blood-biologics/development-approval-process-cber/2025-biological-license-application-approvals" TargetMode="External"/><Relationship Id="rId119" Type="http://schemas.openxmlformats.org/officeDocument/2006/relationships/hyperlink" Target="https://www.fda.gov/vaccines-blood-biologics/development-approval-process-cber/2023-biological-license-application-approvals" TargetMode="External"/><Relationship Id="rId44" Type="http://schemas.openxmlformats.org/officeDocument/2006/relationships/hyperlink" Target="https://www.fda.gov/drugs/novel-drug-approvals-fda/novel-drug-approvals-2025" TargetMode="External"/><Relationship Id="rId65" Type="http://schemas.openxmlformats.org/officeDocument/2006/relationships/hyperlink" Target="https://www.fda.gov/drugs/novel-drug-approvals-fda/novel-drug-approvals-2025" TargetMode="External"/><Relationship Id="rId86" Type="http://schemas.openxmlformats.org/officeDocument/2006/relationships/hyperlink" Target="https://www.fda.gov/vaccines-blood-biologics/development-approval-process-cber/2024-biological-license-application-approvals" TargetMode="External"/><Relationship Id="rId130" Type="http://schemas.openxmlformats.org/officeDocument/2006/relationships/hyperlink" Target="https://web.archive.org/web/20250202091310/https:/www.fda.gov/vaccines-blood-biologics/development-approval-process-cber/2022-biological-license-application-approvals" TargetMode="External"/><Relationship Id="rId151" Type="http://schemas.openxmlformats.org/officeDocument/2006/relationships/hyperlink" Target="https://wayback.archive-it.org/7993/20180908105239/https:/www.fda.gov/BiologicsBloodVaccines/DevelopmentApprovalProcess/BiologicalApprovalsbyYear/ucm482397.htm" TargetMode="External"/><Relationship Id="rId172" Type="http://schemas.openxmlformats.org/officeDocument/2006/relationships/hyperlink" Target="https://wayback.archive-it.org/7993/20170111093336/http:/www.fda.gov/BiologicsBloodVaccines/DevelopmentApprovalProcess/BiologicalApprovalsbyYear/ucm176292.htm" TargetMode="External"/><Relationship Id="rId193" Type="http://schemas.openxmlformats.org/officeDocument/2006/relationships/hyperlink" Target="https://wayback.archive-it.org/7993/20170111093349/http:/www.fda.gov/BiologicsBloodVaccines/DevelopmentApprovalProcess/BiologicalApprovalsbyYear/ucm180084.htm" TargetMode="External"/><Relationship Id="rId207" Type="http://schemas.openxmlformats.org/officeDocument/2006/relationships/hyperlink" Target="https://wayback.archive-it.org/7993/20170111093351/http:/www.fda.gov/BiologicsBloodVaccines/DevelopmentApprovalProcess/BiologicalApprovalsbyYear/ucm180879.htm" TargetMode="External"/><Relationship Id="rId228" Type="http://schemas.openxmlformats.org/officeDocument/2006/relationships/hyperlink" Target="https://wayback.archive-it.org/7993/20170111093351/http:/www.fda.gov/BiologicsBloodVaccines/DevelopmentApprovalProcess/BiologicalApprovalsbyYear/ucm180879.htm" TargetMode="External"/><Relationship Id="rId13" Type="http://schemas.openxmlformats.org/officeDocument/2006/relationships/hyperlink" Target="https://www.fda.gov/drugs/novel-drug-approvals-fda/novel-drug-approvals-2025" TargetMode="External"/><Relationship Id="rId109" Type="http://schemas.openxmlformats.org/officeDocument/2006/relationships/hyperlink" Target="https://www.fda.gov/vaccines-blood-biologics/development-approval-process-cber/2023-biological-license-application-approvals" TargetMode="External"/><Relationship Id="rId34" Type="http://schemas.openxmlformats.org/officeDocument/2006/relationships/hyperlink" Target="https://www.fda.gov/drugs/novel-drug-approvals-fda/novel-drug-approvals-2025" TargetMode="External"/><Relationship Id="rId55" Type="http://schemas.openxmlformats.org/officeDocument/2006/relationships/hyperlink" Target="https://www.fda.gov/drugs/novel-drug-approvals-fda/novel-drug-approvals-2025" TargetMode="External"/><Relationship Id="rId76" Type="http://schemas.openxmlformats.org/officeDocument/2006/relationships/hyperlink" Target="https://www.fda.gov/drugs/novel-drug-approvals-fda/novel-drug-approvals-2025" TargetMode="External"/><Relationship Id="rId97" Type="http://schemas.openxmlformats.org/officeDocument/2006/relationships/hyperlink" Target="https://www.fda.gov/vaccines-blood-biologics/development-approval-process-cber/2023-biological-license-application-approvals" TargetMode="External"/><Relationship Id="rId120" Type="http://schemas.openxmlformats.org/officeDocument/2006/relationships/hyperlink" Target="https://www.fda.gov/vaccines-blood-biologics/development-approval-process-cber/2023-biological-license-application-approvals" TargetMode="External"/><Relationship Id="rId141" Type="http://schemas.openxmlformats.org/officeDocument/2006/relationships/hyperlink" Target="https://web.archive.org/web/20250201005753/https:/www.fda.gov/vaccines-blood-biologics/development-approval-process-cber/2021-biological-license-application-approvals" TargetMode="External"/><Relationship Id="rId7" Type="http://schemas.openxmlformats.org/officeDocument/2006/relationships/hyperlink" Target="https://www.fda.gov/drugs/novel-drug-approvals-fda/novel-drug-approvals-2026" TargetMode="External"/><Relationship Id="rId162" Type="http://schemas.openxmlformats.org/officeDocument/2006/relationships/hyperlink" Target="https://wayback.archive-it.org/7993/20170111093336/http:/www.fda.gov/BiologicsBloodVaccines/DevelopmentApprovalProcess/BiologicalApprovalsbyYear/ucm176292.htm" TargetMode="External"/><Relationship Id="rId183" Type="http://schemas.openxmlformats.org/officeDocument/2006/relationships/hyperlink" Target="https://wayback.archive-it.org/7993/20170111093349/http:/www.fda.gov/BiologicsBloodVaccines/DevelopmentApprovalProcess/BiologicalApprovalsbyYear/ucm180084.htm" TargetMode="External"/><Relationship Id="rId218" Type="http://schemas.openxmlformats.org/officeDocument/2006/relationships/hyperlink" Target="https://wayback.archive-it.org/7993/20170111093351/http:/www.fda.gov/BiologicsBloodVaccines/DevelopmentApprovalProcess/BiologicalApprovalsbyYear/ucm180879.htm" TargetMode="External"/><Relationship Id="rId24" Type="http://schemas.openxmlformats.org/officeDocument/2006/relationships/hyperlink" Target="https://www.fda.gov/vaccines-blood-biologics/development-approval-process-cber/2025-biological-license-application-approvals" TargetMode="External"/><Relationship Id="rId45" Type="http://schemas.openxmlformats.org/officeDocument/2006/relationships/hyperlink" Target="https://www.fda.gov/vaccines-blood-biologics/development-approval-process-cber/2025-biological-license-application-approvals" TargetMode="External"/><Relationship Id="rId66" Type="http://schemas.openxmlformats.org/officeDocument/2006/relationships/hyperlink" Target="https://www.fda.gov/drugs/novel-drug-approvals-fda/novel-drug-approvals-2025" TargetMode="External"/><Relationship Id="rId87" Type="http://schemas.openxmlformats.org/officeDocument/2006/relationships/hyperlink" Target="https://www.fda.gov/vaccines-blood-biologics/development-approval-process-cber/2024-biological-license-application-approvals" TargetMode="External"/><Relationship Id="rId110" Type="http://schemas.openxmlformats.org/officeDocument/2006/relationships/hyperlink" Target="https://www.fda.gov/vaccines-blood-biologics/development-approval-process-cber/2023-biological-license-application-approvals" TargetMode="External"/><Relationship Id="rId131" Type="http://schemas.openxmlformats.org/officeDocument/2006/relationships/hyperlink" Target="https://web.archive.org/web/20250202091310/https:/www.fda.gov/vaccines-blood-biologics/development-approval-process-cber/2022-biological-license-application-approvals" TargetMode="External"/><Relationship Id="rId152" Type="http://schemas.openxmlformats.org/officeDocument/2006/relationships/hyperlink" Target="https://wayback.archive-it.org/7993/20180908105239/https:/www.fda.gov/BiologicsBloodVaccines/DevelopmentApprovalProcess/BiologicalApprovalsbyYear/ucm482397.htm" TargetMode="External"/><Relationship Id="rId173" Type="http://schemas.openxmlformats.org/officeDocument/2006/relationships/hyperlink" Target="https://wayback.archive-it.org/7993/20170111093336/http:/www.fda.gov/BiologicsBloodVaccines/DevelopmentApprovalProcess/BiologicalApprovalsbyYear/ucm176292.htm" TargetMode="External"/><Relationship Id="rId194" Type="http://schemas.openxmlformats.org/officeDocument/2006/relationships/hyperlink" Target="https://wayback.archive-it.org/7993/20170111093349/http:/www.fda.gov/BiologicsBloodVaccines/DevelopmentApprovalProcess/BiologicalApprovalsbyYear/ucm180084.htm" TargetMode="External"/><Relationship Id="rId208" Type="http://schemas.openxmlformats.org/officeDocument/2006/relationships/hyperlink" Target="https://wayback.archive-it.org/7993/20170111093351/http:/www.fda.gov/BiologicsBloodVaccines/DevelopmentApprovalProcess/BiologicalApprovalsbyYear/ucm180879.htm" TargetMode="External"/><Relationship Id="rId229" Type="http://schemas.openxmlformats.org/officeDocument/2006/relationships/hyperlink" Target="https://wayback.archive-it.org/7993/20170111093351/http:/www.fda.gov/BiologicsBloodVaccines/DevelopmentApprovalProcess/BiologicalApprovalsbyYear/ucm180879.htm" TargetMode="External"/><Relationship Id="rId14" Type="http://schemas.openxmlformats.org/officeDocument/2006/relationships/hyperlink" Target="https://www.fda.gov/drugs/novel-drug-approvals-fda/novel-drug-approvals-2025" TargetMode="External"/><Relationship Id="rId35" Type="http://schemas.openxmlformats.org/officeDocument/2006/relationships/hyperlink" Target="https://www.fda.gov/drugs/novel-drug-approvals-fda/novel-drug-approvals-2025" TargetMode="External"/><Relationship Id="rId56" Type="http://schemas.openxmlformats.org/officeDocument/2006/relationships/hyperlink" Target="https://www.fda.gov/drugs/novel-drug-approvals-fda/novel-drug-approvals-2025" TargetMode="External"/><Relationship Id="rId77" Type="http://schemas.openxmlformats.org/officeDocument/2006/relationships/hyperlink" Target="https://www.fda.gov/vaccines-blood-biologics/development-approval-process-cber/2025-biological-license-application-approvals" TargetMode="External"/><Relationship Id="rId100" Type="http://schemas.openxmlformats.org/officeDocument/2006/relationships/hyperlink" Target="https://www.fda.gov/vaccines-blood-biologics/development-approval-process-cber/2023-biological-license-application-approvals" TargetMode="External"/><Relationship Id="rId8" Type="http://schemas.openxmlformats.org/officeDocument/2006/relationships/hyperlink" Target="https://www.fda.gov/drugs/novel-drug-approvals-fda/novel-drug-approvals-2026" TargetMode="External"/><Relationship Id="rId98" Type="http://schemas.openxmlformats.org/officeDocument/2006/relationships/hyperlink" Target="https://www.fda.gov/vaccines-blood-biologics/development-approval-process-cber/2023-biological-license-application-approvals" TargetMode="External"/><Relationship Id="rId121" Type="http://schemas.openxmlformats.org/officeDocument/2006/relationships/hyperlink" Target="https://web.archive.org/web/20250202091310/https:/www.fda.gov/vaccines-blood-biologics/development-approval-process-cber/2022-biological-license-application-approvals" TargetMode="External"/><Relationship Id="rId142" Type="http://schemas.openxmlformats.org/officeDocument/2006/relationships/hyperlink" Target="https://web.archive.org/web/20250201005753/https:/www.fda.gov/vaccines-blood-biologics/development-approval-process-cber/2021-biological-license-application-approvals" TargetMode="External"/><Relationship Id="rId163" Type="http://schemas.openxmlformats.org/officeDocument/2006/relationships/hyperlink" Target="https://wayback.archive-it.org/7993/20170111093336/http:/www.fda.gov/BiologicsBloodVaccines/DevelopmentApprovalProcess/BiologicalApprovalsbyYear/ucm176292.htm" TargetMode="External"/><Relationship Id="rId184" Type="http://schemas.openxmlformats.org/officeDocument/2006/relationships/hyperlink" Target="https://wayback.archive-it.org/7993/20170111093349/http:/www.fda.gov/BiologicsBloodVaccines/DevelopmentApprovalProcess/BiologicalApprovalsbyYear/ucm180084.htm" TargetMode="External"/><Relationship Id="rId219" Type="http://schemas.openxmlformats.org/officeDocument/2006/relationships/hyperlink" Target="https://wayback.archive-it.org/7993/20170111093351/http:/www.fda.gov/BiologicsBloodVaccines/DevelopmentApprovalProcess/BiologicalApprovalsbyYear/ucm180879.htm" TargetMode="External"/><Relationship Id="rId230" Type="http://schemas.openxmlformats.org/officeDocument/2006/relationships/hyperlink" Target="https://wayback.archive-it.org/7993/20170111093351/http:/www.fda.gov/BiologicsBloodVaccines/DevelopmentApprovalProcess/BiologicalApprovalsbyYear/ucm180879.htm" TargetMode="External"/><Relationship Id="rId25" Type="http://schemas.openxmlformats.org/officeDocument/2006/relationships/hyperlink" Target="https://www.fda.gov/vaccines-blood-biologics/development-approval-process-cber/2025-biological-license-application-approvals" TargetMode="External"/><Relationship Id="rId46" Type="http://schemas.openxmlformats.org/officeDocument/2006/relationships/hyperlink" Target="https://www.fda.gov/drugs/novel-drug-approvals-fda/novel-drug-approvals-2025" TargetMode="External"/><Relationship Id="rId67" Type="http://schemas.openxmlformats.org/officeDocument/2006/relationships/hyperlink" Target="https://www.fda.gov/drugs/novel-drug-approvals-fda/novel-drug-approvals-2025" TargetMode="External"/><Relationship Id="rId20" Type="http://schemas.openxmlformats.org/officeDocument/2006/relationships/hyperlink" Target="https://www.fda.gov/vaccines-blood-biologics/development-approval-process-cber/2025-biological-license-application-approvals" TargetMode="External"/><Relationship Id="rId41" Type="http://schemas.openxmlformats.org/officeDocument/2006/relationships/hyperlink" Target="https://www.fda.gov/drugs/novel-drug-approvals-fda/novel-drug-approvals-2025" TargetMode="External"/><Relationship Id="rId62" Type="http://schemas.openxmlformats.org/officeDocument/2006/relationships/hyperlink" Target="https://www.fda.gov/drugs/novel-drug-approvals-fda/novel-drug-approvals-2025" TargetMode="External"/><Relationship Id="rId83" Type="http://schemas.openxmlformats.org/officeDocument/2006/relationships/hyperlink" Target="https://www.fda.gov/vaccines-blood-biologics/development-approval-process-cber/2024-biological-license-application-approvals" TargetMode="External"/><Relationship Id="rId88" Type="http://schemas.openxmlformats.org/officeDocument/2006/relationships/hyperlink" Target="https://www.fda.gov/vaccines-blood-biologics/development-approval-process-cber/2024-biological-license-application-approvals" TargetMode="External"/><Relationship Id="rId111" Type="http://schemas.openxmlformats.org/officeDocument/2006/relationships/hyperlink" Target="https://www.fda.gov/vaccines-blood-biologics/development-approval-process-cber/2023-biological-license-application-approvals" TargetMode="External"/><Relationship Id="rId132" Type="http://schemas.openxmlformats.org/officeDocument/2006/relationships/hyperlink" Target="https://web.archive.org/web/20250202091310/https:/www.fda.gov/vaccines-blood-biologics/development-approval-process-cber/2022-biological-license-application-approvals" TargetMode="External"/><Relationship Id="rId153" Type="http://schemas.openxmlformats.org/officeDocument/2006/relationships/hyperlink" Target="https://wayback.archive-it.org/7993/20180908105239/https:/www.fda.gov/BiologicsBloodVaccines/DevelopmentApprovalProcess/BiologicalApprovalsbyYear/ucm482397.htm" TargetMode="External"/><Relationship Id="rId174" Type="http://schemas.openxmlformats.org/officeDocument/2006/relationships/hyperlink" Target="https://wayback.archive-it.org/7993/20170111093336/http:/www.fda.gov/BiologicsBloodVaccines/DevelopmentApprovalProcess/BiologicalApprovalsbyYear/ucm176292.htm" TargetMode="External"/><Relationship Id="rId179" Type="http://schemas.openxmlformats.org/officeDocument/2006/relationships/hyperlink" Target="https://wayback.archive-it.org/7993/20170111093349/http:/www.fda.gov/BiologicsBloodVaccines/DevelopmentApprovalProcess/BiologicalApprovalsbyYear/ucm180084.htm" TargetMode="External"/><Relationship Id="rId195" Type="http://schemas.openxmlformats.org/officeDocument/2006/relationships/hyperlink" Target="https://wayback.archive-it.org/7993/20170111093349/http:/www.fda.gov/BiologicsBloodVaccines/DevelopmentApprovalProcess/BiologicalApprovalsbyYear/ucm180084.htm" TargetMode="External"/><Relationship Id="rId209" Type="http://schemas.openxmlformats.org/officeDocument/2006/relationships/hyperlink" Target="https://wayback.archive-it.org/7993/20170111093351/http:/www.fda.gov/BiologicsBloodVaccines/DevelopmentApprovalProcess/BiologicalApprovalsbyYear/ucm180879.htm" TargetMode="External"/><Relationship Id="rId190" Type="http://schemas.openxmlformats.org/officeDocument/2006/relationships/hyperlink" Target="https://wayback.archive-it.org/7993/20170111093349/http:/www.fda.gov/BiologicsBloodVaccines/DevelopmentApprovalProcess/BiologicalApprovalsbyYear/ucm180084.htm" TargetMode="External"/><Relationship Id="rId204" Type="http://schemas.openxmlformats.org/officeDocument/2006/relationships/hyperlink" Target="https://wayback.archive-it.org/7993/20170111093351/http:/www.fda.gov/BiologicsBloodVaccines/DevelopmentApprovalProcess/BiologicalApprovalsbyYear/ucm180879.htm" TargetMode="External"/><Relationship Id="rId220" Type="http://schemas.openxmlformats.org/officeDocument/2006/relationships/hyperlink" Target="https://wayback.archive-it.org/7993/20170111093351/http:/www.fda.gov/BiologicsBloodVaccines/DevelopmentApprovalProcess/BiologicalApprovalsbyYear/ucm180879.htm" TargetMode="External"/><Relationship Id="rId225" Type="http://schemas.openxmlformats.org/officeDocument/2006/relationships/hyperlink" Target="https://wayback.archive-it.org/7993/20170111093351/http:/www.fda.gov/BiologicsBloodVaccines/DevelopmentApprovalProcess/BiologicalApprovalsbyYear/ucm180879.htm" TargetMode="External"/><Relationship Id="rId15" Type="http://schemas.openxmlformats.org/officeDocument/2006/relationships/hyperlink" Target="https://www.fda.gov/vaccines-blood-biologics/development-approval-process-cber/2025-biological-license-application-approvals" TargetMode="External"/><Relationship Id="rId36" Type="http://schemas.openxmlformats.org/officeDocument/2006/relationships/hyperlink" Target="https://www.fda.gov/drugs/novel-drug-approvals-fda/novel-drug-approvals-2025" TargetMode="External"/><Relationship Id="rId57" Type="http://schemas.openxmlformats.org/officeDocument/2006/relationships/hyperlink" Target="https://www.fda.gov/drugs/novel-drug-approvals-fda/novel-drug-approvals-2025" TargetMode="External"/><Relationship Id="rId106" Type="http://schemas.openxmlformats.org/officeDocument/2006/relationships/hyperlink" Target="https://www.fda.gov/vaccines-blood-biologics/development-approval-process-cber/2023-biological-license-application-approvals" TargetMode="External"/><Relationship Id="rId127" Type="http://schemas.openxmlformats.org/officeDocument/2006/relationships/hyperlink" Target="https://web.archive.org/web/20250202091310/https:/www.fda.gov/vaccines-blood-biologics/development-approval-process-cber/2022-biological-license-application-approvals" TargetMode="External"/><Relationship Id="rId10" Type="http://schemas.openxmlformats.org/officeDocument/2006/relationships/hyperlink" Target="https://www.fda.gov/drugs/novel-drug-approvals-fda/novel-drug-approvals-2026" TargetMode="External"/><Relationship Id="rId31" Type="http://schemas.openxmlformats.org/officeDocument/2006/relationships/hyperlink" Target="https://www.fda.gov/drugs/novel-drug-approvals-fda/novel-drug-approvals-2025" TargetMode="External"/><Relationship Id="rId52" Type="http://schemas.openxmlformats.org/officeDocument/2006/relationships/hyperlink" Target="https://www.fda.gov/drugs/novel-drug-approvals-fda/novel-drug-approvals-2025" TargetMode="External"/><Relationship Id="rId73" Type="http://schemas.openxmlformats.org/officeDocument/2006/relationships/hyperlink" Target="https://www.fda.gov/drugs/novel-drug-approvals-fda/novel-drug-approvals-2025" TargetMode="External"/><Relationship Id="rId78" Type="http://schemas.openxmlformats.org/officeDocument/2006/relationships/hyperlink" Target="https://www.fda.gov/vaccines-blood-biologics/development-approval-process-cber/2024-biological-license-application-approvals" TargetMode="External"/><Relationship Id="rId94" Type="http://schemas.openxmlformats.org/officeDocument/2006/relationships/hyperlink" Target="https://www.fda.gov/vaccines-blood-biologics/development-approval-process-cber/2024-biological-license-application-approvals" TargetMode="External"/><Relationship Id="rId99" Type="http://schemas.openxmlformats.org/officeDocument/2006/relationships/hyperlink" Target="https://www.fda.gov/vaccines-blood-biologics/development-approval-process-cber/2023-biological-license-application-approvals" TargetMode="External"/><Relationship Id="rId101" Type="http://schemas.openxmlformats.org/officeDocument/2006/relationships/hyperlink" Target="https://www.fda.gov/vaccines-blood-biologics/development-approval-process-cber/2023-biological-license-application-approvals" TargetMode="External"/><Relationship Id="rId122" Type="http://schemas.openxmlformats.org/officeDocument/2006/relationships/hyperlink" Target="https://web.archive.org/web/20250202091310/https:/www.fda.gov/vaccines-blood-biologics/development-approval-process-cber/2022-biological-license-application-approvals" TargetMode="External"/><Relationship Id="rId143" Type="http://schemas.openxmlformats.org/officeDocument/2006/relationships/hyperlink" Target="https://web.archive.org/web/20250201005753/https:/www.fda.gov/vaccines-blood-biologics/development-approval-process-cber/2021-biological-license-application-approvals" TargetMode="External"/><Relationship Id="rId148" Type="http://schemas.openxmlformats.org/officeDocument/2006/relationships/hyperlink" Target="https://wayback.archive-it.org/7993/20180908105239/https:/www.fda.gov/BiologicsBloodVaccines/DevelopmentApprovalProcess/BiologicalApprovalsbyYear/ucm482397.htm" TargetMode="External"/><Relationship Id="rId164" Type="http://schemas.openxmlformats.org/officeDocument/2006/relationships/hyperlink" Target="https://wayback.archive-it.org/7993/20170111093336/http:/www.fda.gov/BiologicsBloodVaccines/DevelopmentApprovalProcess/BiologicalApprovalsbyYear/ucm176292.htm" TargetMode="External"/><Relationship Id="rId169" Type="http://schemas.openxmlformats.org/officeDocument/2006/relationships/hyperlink" Target="https://wayback.archive-it.org/7993/20170111093336/http:/www.fda.gov/BiologicsBloodVaccines/DevelopmentApprovalProcess/BiologicalApprovalsbyYear/ucm176292.htm" TargetMode="External"/><Relationship Id="rId185" Type="http://schemas.openxmlformats.org/officeDocument/2006/relationships/hyperlink" Target="https://wayback.archive-it.org/7993/20170111093349/http:/www.fda.gov/BiologicsBloodVaccines/DevelopmentApprovalProcess/BiologicalApprovalsbyYear/ucm180084.htm" TargetMode="External"/><Relationship Id="rId4" Type="http://schemas.openxmlformats.org/officeDocument/2006/relationships/hyperlink" Target="https://www.fda.gov/drugs/novel-drug-approvals-fda/novel-drug-approvals-2026" TargetMode="External"/><Relationship Id="rId9" Type="http://schemas.openxmlformats.org/officeDocument/2006/relationships/hyperlink" Target="https://www.fda.gov/drugs/novel-drug-approvals-fda/novel-drug-approvals-2026" TargetMode="External"/><Relationship Id="rId180" Type="http://schemas.openxmlformats.org/officeDocument/2006/relationships/hyperlink" Target="https://wayback.archive-it.org/7993/20170111093349/http:/www.fda.gov/BiologicsBloodVaccines/DevelopmentApprovalProcess/BiologicalApprovalsbyYear/ucm180084.htm" TargetMode="External"/><Relationship Id="rId210" Type="http://schemas.openxmlformats.org/officeDocument/2006/relationships/hyperlink" Target="https://wayback.archive-it.org/7993/20170111093351/http:/www.fda.gov/BiologicsBloodVaccines/DevelopmentApprovalProcess/BiologicalApprovalsbyYear/ucm180879.htm" TargetMode="External"/><Relationship Id="rId215" Type="http://schemas.openxmlformats.org/officeDocument/2006/relationships/hyperlink" Target="https://wayback.archive-it.org/7993/20170111093351/http:/www.fda.gov/BiologicsBloodVaccines/DevelopmentApprovalProcess/BiologicalApprovalsbyYear/ucm180879.htm" TargetMode="External"/><Relationship Id="rId26" Type="http://schemas.openxmlformats.org/officeDocument/2006/relationships/hyperlink" Target="https://www.fda.gov/vaccines-blood-biologics/development-approval-process-cber/2025-biological-license-application-approvals" TargetMode="External"/><Relationship Id="rId231" Type="http://schemas.openxmlformats.org/officeDocument/2006/relationships/hyperlink" Target="https://wayback.archive-it.org/7993/20170111093351/http:/www.fda.gov/BiologicsBloodVaccines/DevelopmentApprovalProcess/BiologicalApprovalsbyYear/ucm180879.htm" TargetMode="External"/><Relationship Id="rId47" Type="http://schemas.openxmlformats.org/officeDocument/2006/relationships/hyperlink" Target="https://www.fda.gov/drugs/novel-drug-approvals-fda/novel-drug-approvals-2025" TargetMode="External"/><Relationship Id="rId68" Type="http://schemas.openxmlformats.org/officeDocument/2006/relationships/hyperlink" Target="https://www.fda.gov/drugs/novel-drug-approvals-fda/novel-drug-approvals-2025" TargetMode="External"/><Relationship Id="rId89" Type="http://schemas.openxmlformats.org/officeDocument/2006/relationships/hyperlink" Target="https://www.fda.gov/vaccines-blood-biologics/development-approval-process-cber/2024-biological-license-application-approvals" TargetMode="External"/><Relationship Id="rId112" Type="http://schemas.openxmlformats.org/officeDocument/2006/relationships/hyperlink" Target="https://www.fda.gov/vaccines-blood-biologics/development-approval-process-cber/2023-biological-license-application-approvals" TargetMode="External"/><Relationship Id="rId133" Type="http://schemas.openxmlformats.org/officeDocument/2006/relationships/hyperlink" Target="https://web.archive.org/web/20250202091310/https:/www.fda.gov/vaccines-blood-biologics/development-approval-process-cber/2022-biological-license-application-approvals" TargetMode="External"/><Relationship Id="rId154" Type="http://schemas.openxmlformats.org/officeDocument/2006/relationships/hyperlink" Target="https://wayback.archive-it.org/7993/20180908105239/https:/www.fda.gov/BiologicsBloodVaccines/DevelopmentApprovalProcess/BiologicalApprovalsbyYear/ucm482397.htm" TargetMode="External"/><Relationship Id="rId175" Type="http://schemas.openxmlformats.org/officeDocument/2006/relationships/hyperlink" Target="https://wayback.archive-it.org/7993/20170111093336/http:/www.fda.gov/BiologicsBloodVaccines/DevelopmentApprovalProcess/BiologicalApprovalsbyYear/ucm176292.htm" TargetMode="External"/><Relationship Id="rId196" Type="http://schemas.openxmlformats.org/officeDocument/2006/relationships/hyperlink" Target="https://wayback.archive-it.org/7993/20170111093349/http:/www.fda.gov/BiologicsBloodVaccines/DevelopmentApprovalProcess/BiologicalApprovalsbyYear/ucm180084.htm" TargetMode="External"/><Relationship Id="rId200" Type="http://schemas.openxmlformats.org/officeDocument/2006/relationships/hyperlink" Target="https://wayback.archive-it.org/7993/20170111093349/http:/www.fda.gov/BiologicsBloodVaccines/DevelopmentApprovalProcess/BiologicalApprovalsbyYear/ucm180084.htm" TargetMode="External"/><Relationship Id="rId16" Type="http://schemas.openxmlformats.org/officeDocument/2006/relationships/hyperlink" Target="https://www.fda.gov/drugs/novel-drug-approvals-fda/novel-drug-approvals-2025" TargetMode="External"/><Relationship Id="rId221" Type="http://schemas.openxmlformats.org/officeDocument/2006/relationships/hyperlink" Target="https://wayback.archive-it.org/7993/20170111093351/http:/www.fda.gov/BiologicsBloodVaccines/DevelopmentApprovalProcess/BiologicalApprovalsbyYear/ucm180879.htm" TargetMode="External"/><Relationship Id="rId37" Type="http://schemas.openxmlformats.org/officeDocument/2006/relationships/hyperlink" Target="https://www.fda.gov/drugs/novel-drug-approvals-fda/novel-drug-approvals-2025" TargetMode="External"/><Relationship Id="rId58" Type="http://schemas.openxmlformats.org/officeDocument/2006/relationships/hyperlink" Target="https://www.fda.gov/vaccines-blood-biologics/development-approval-process-cber/2025-biological-license-application-approvals" TargetMode="External"/><Relationship Id="rId79" Type="http://schemas.openxmlformats.org/officeDocument/2006/relationships/hyperlink" Target="https://www.fda.gov/vaccines-blood-biologics/development-approval-process-cber/2024-biological-license-application-approvals" TargetMode="External"/><Relationship Id="rId102" Type="http://schemas.openxmlformats.org/officeDocument/2006/relationships/hyperlink" Target="https://www.fda.gov/vaccines-blood-biologics/development-approval-process-cber/2023-biological-license-application-approvals" TargetMode="External"/><Relationship Id="rId123" Type="http://schemas.openxmlformats.org/officeDocument/2006/relationships/hyperlink" Target="https://web.archive.org/web/20250202091310/https:/www.fda.gov/vaccines-blood-biologics/development-approval-process-cber/2022-biological-license-application-approvals" TargetMode="External"/><Relationship Id="rId144" Type="http://schemas.openxmlformats.org/officeDocument/2006/relationships/hyperlink" Target="https://web.archive.org/web/20250201005753/https:/www.fda.gov/vaccines-blood-biologics/development-approval-process-cber/2021-biological-license-application-approvals" TargetMode="External"/><Relationship Id="rId90" Type="http://schemas.openxmlformats.org/officeDocument/2006/relationships/hyperlink" Target="https://www.fda.gov/vaccines-blood-biologics/development-approval-process-cber/2024-biological-license-application-approvals" TargetMode="External"/><Relationship Id="rId165" Type="http://schemas.openxmlformats.org/officeDocument/2006/relationships/hyperlink" Target="https://wayback.archive-it.org/7993/20170111093336/http:/www.fda.gov/BiologicsBloodVaccines/DevelopmentApprovalProcess/BiologicalApprovalsbyYear/ucm176292.htm" TargetMode="External"/><Relationship Id="rId186" Type="http://schemas.openxmlformats.org/officeDocument/2006/relationships/hyperlink" Target="https://wayback.archive-it.org/7993/20170111093349/http:/www.fda.gov/BiologicsBloodVaccines/DevelopmentApprovalProcess/BiologicalApprovalsbyYear/ucm180084.htm" TargetMode="External"/><Relationship Id="rId211" Type="http://schemas.openxmlformats.org/officeDocument/2006/relationships/hyperlink" Target="https://wayback.archive-it.org/7993/20170111093351/http:/www.fda.gov/BiologicsBloodVaccines/DevelopmentApprovalProcess/BiologicalApprovalsbyYear/ucm180879.htm" TargetMode="External"/><Relationship Id="rId232" Type="http://schemas.openxmlformats.org/officeDocument/2006/relationships/hyperlink" Target="https://wayback.archive-it.org/7993/20170111093351/http:/www.fda.gov/BiologicsBloodVaccines/DevelopmentApprovalProcess/BiologicalApprovalsbyYear/ucm180879.htm" TargetMode="External"/><Relationship Id="rId27" Type="http://schemas.openxmlformats.org/officeDocument/2006/relationships/hyperlink" Target="https://www.fda.gov/vaccines-blood-biologics/development-approval-process-cber/2025-biological-license-application-approvals" TargetMode="External"/><Relationship Id="rId48" Type="http://schemas.openxmlformats.org/officeDocument/2006/relationships/hyperlink" Target="https://www.fda.gov/drugs/novel-drug-approvals-fda/novel-drug-approvals-2025" TargetMode="External"/><Relationship Id="rId69" Type="http://schemas.openxmlformats.org/officeDocument/2006/relationships/hyperlink" Target="https://www.fda.gov/vaccines-blood-biologics/development-approval-process-cber/2025-biological-license-application-approvals" TargetMode="External"/><Relationship Id="rId113" Type="http://schemas.openxmlformats.org/officeDocument/2006/relationships/hyperlink" Target="https://www.fda.gov/vaccines-blood-biologics/development-approval-process-cber/2023-biological-license-application-approvals" TargetMode="External"/><Relationship Id="rId134" Type="http://schemas.openxmlformats.org/officeDocument/2006/relationships/hyperlink" Target="https://web.archive.org/web/20250201005753/https:/www.fda.gov/vaccines-blood-biologics/development-approval-process-cber/2021-biological-license-application-approvals" TargetMode="External"/><Relationship Id="rId80" Type="http://schemas.openxmlformats.org/officeDocument/2006/relationships/hyperlink" Target="https://www.fda.gov/vaccines-blood-biologics/development-approval-process-cber/2024-biological-license-application-approvals" TargetMode="External"/><Relationship Id="rId155" Type="http://schemas.openxmlformats.org/officeDocument/2006/relationships/hyperlink" Target="https://wayback.archive-it.org/7993/20180908105239/https:/www.fda.gov/BiologicsBloodVaccines/DevelopmentApprovalProcess/BiologicalApprovalsbyYear/ucm482397.htm" TargetMode="External"/><Relationship Id="rId176" Type="http://schemas.openxmlformats.org/officeDocument/2006/relationships/hyperlink" Target="https://wayback.archive-it.org/7993/20170111093336/http:/www.fda.gov/BiologicsBloodVaccines/DevelopmentApprovalProcess/BiologicalApprovalsbyYear/ucm176292.htm" TargetMode="External"/><Relationship Id="rId197" Type="http://schemas.openxmlformats.org/officeDocument/2006/relationships/hyperlink" Target="https://wayback.archive-it.org/7993/20170111093349/http:/www.fda.gov/BiologicsBloodVaccines/DevelopmentApprovalProcess/BiologicalApprovalsbyYear/ucm180084.htm" TargetMode="External"/><Relationship Id="rId201" Type="http://schemas.openxmlformats.org/officeDocument/2006/relationships/hyperlink" Target="https://wayback.archive-it.org/7993/20170111093349/http:/www.fda.gov/BiologicsBloodVaccines/DevelopmentApprovalProcess/BiologicalApprovalsbyYear/ucm180084.htm" TargetMode="External"/><Relationship Id="rId222" Type="http://schemas.openxmlformats.org/officeDocument/2006/relationships/hyperlink" Target="https://wayback.archive-it.org/7993/20170111093351/http:/www.fda.gov/BiologicsBloodVaccines/DevelopmentApprovalProcess/BiologicalApprovalsbyYear/ucm180879.htm" TargetMode="External"/><Relationship Id="rId17" Type="http://schemas.openxmlformats.org/officeDocument/2006/relationships/hyperlink" Target="https://www.fda.gov/drugs/novel-drug-approvals-fda/novel-drug-approvals-2025" TargetMode="External"/><Relationship Id="rId38" Type="http://schemas.openxmlformats.org/officeDocument/2006/relationships/hyperlink" Target="https://www.fda.gov/vaccines-blood-biologics/development-approval-process-cber/2025-biological-license-application-approvals" TargetMode="External"/><Relationship Id="rId59" Type="http://schemas.openxmlformats.org/officeDocument/2006/relationships/hyperlink" Target="https://www.fda.gov/drugs/novel-drug-approvals-fda/novel-drug-approvals-2025" TargetMode="External"/><Relationship Id="rId103" Type="http://schemas.openxmlformats.org/officeDocument/2006/relationships/hyperlink" Target="https://www.fda.gov/vaccines-blood-biologics/development-approval-process-cber/2023-biological-license-application-approvals" TargetMode="External"/><Relationship Id="rId124" Type="http://schemas.openxmlformats.org/officeDocument/2006/relationships/hyperlink" Target="https://web.archive.org/web/20250202091310/https:/www.fda.gov/vaccines-blood-biologics/development-approval-process-cber/2022-biological-license-application-approvals" TargetMode="External"/><Relationship Id="rId70" Type="http://schemas.openxmlformats.org/officeDocument/2006/relationships/hyperlink" Target="https://www.fda.gov/vaccines-blood-biologics/development-approval-process-cber/2025-biological-license-application-approvals" TargetMode="External"/><Relationship Id="rId91" Type="http://schemas.openxmlformats.org/officeDocument/2006/relationships/hyperlink" Target="https://www.fda.gov/vaccines-blood-biologics/development-approval-process-cber/2024-biological-license-application-approvals" TargetMode="External"/><Relationship Id="rId145" Type="http://schemas.openxmlformats.org/officeDocument/2006/relationships/hyperlink" Target="https://web.archive.org/web/20250201005753/https:/www.fda.gov/vaccines-blood-biologics/development-approval-process-cber/2021-biological-license-application-approvals" TargetMode="External"/><Relationship Id="rId166" Type="http://schemas.openxmlformats.org/officeDocument/2006/relationships/hyperlink" Target="https://wayback.archive-it.org/7993/20170111093336/http:/www.fda.gov/BiologicsBloodVaccines/DevelopmentApprovalProcess/BiologicalApprovalsbyYear/ucm176292.htm" TargetMode="External"/><Relationship Id="rId187" Type="http://schemas.openxmlformats.org/officeDocument/2006/relationships/hyperlink" Target="https://wayback.archive-it.org/7993/20170111093349/http:/www.fda.gov/BiologicsBloodVaccines/DevelopmentApprovalProcess/BiologicalApprovalsbyYear/ucm180084.htm" TargetMode="External"/><Relationship Id="rId1" Type="http://schemas.openxmlformats.org/officeDocument/2006/relationships/hyperlink" Target="https://www.fda.gov/drugs/novel-drug-approvals-fda/novel-drug-approvals-2026" TargetMode="External"/><Relationship Id="rId212" Type="http://schemas.openxmlformats.org/officeDocument/2006/relationships/hyperlink" Target="https://wayback.archive-it.org/7993/20170111093351/http:/www.fda.gov/BiologicsBloodVaccines/DevelopmentApprovalProcess/BiologicalApprovalsbyYear/ucm180879.htm" TargetMode="External"/><Relationship Id="rId233" Type="http://schemas.openxmlformats.org/officeDocument/2006/relationships/hyperlink" Target="https://wayback.archive-it.org/7993/20170111093351/http:/www.fda.gov/BiologicsBloodVaccines/DevelopmentApprovalProcess/BiologicalApprovalsbyYear/ucm180879.htm" TargetMode="External"/><Relationship Id="rId28" Type="http://schemas.openxmlformats.org/officeDocument/2006/relationships/hyperlink" Target="https://www.fda.gov/vaccines-blood-biologics/development-approval-process-cber/2025-biological-license-application-approvals" TargetMode="External"/><Relationship Id="rId49" Type="http://schemas.openxmlformats.org/officeDocument/2006/relationships/hyperlink" Target="https://www.fda.gov/drugs/novel-drug-approvals-fda/novel-drug-approvals-2025" TargetMode="External"/><Relationship Id="rId114" Type="http://schemas.openxmlformats.org/officeDocument/2006/relationships/hyperlink" Target="https://www.fda.gov/vaccines-blood-biologics/development-approval-process-cber/2023-biological-license-application-approvals" TargetMode="External"/><Relationship Id="rId60" Type="http://schemas.openxmlformats.org/officeDocument/2006/relationships/hyperlink" Target="https://www.fda.gov/vaccines-blood-biologics/development-approval-process-cber/2025-biological-license-application-approvals" TargetMode="External"/><Relationship Id="rId81" Type="http://schemas.openxmlformats.org/officeDocument/2006/relationships/hyperlink" Target="https://www.fda.gov/vaccines-blood-biologics/development-approval-process-cber/2024-biological-license-application-approvals" TargetMode="External"/><Relationship Id="rId135" Type="http://schemas.openxmlformats.org/officeDocument/2006/relationships/hyperlink" Target="https://web.archive.org/web/20250201005753/https:/www.fda.gov/vaccines-blood-biologics/development-approval-process-cber/2021-biological-license-application-approvals" TargetMode="External"/><Relationship Id="rId156" Type="http://schemas.openxmlformats.org/officeDocument/2006/relationships/hyperlink" Target="https://wayback.archive-it.org/7993/20180908105239/https:/www.fda.gov/BiologicsBloodVaccines/DevelopmentApprovalProcess/BiologicalApprovalsbyYear/ucm482397.htm" TargetMode="External"/><Relationship Id="rId177" Type="http://schemas.openxmlformats.org/officeDocument/2006/relationships/hyperlink" Target="https://wayback.archive-it.org/7993/20170111093349/http:/www.fda.gov/BiologicsBloodVaccines/DevelopmentApprovalProcess/BiologicalApprovalsbyYear/ucm180084.htm" TargetMode="External"/><Relationship Id="rId198" Type="http://schemas.openxmlformats.org/officeDocument/2006/relationships/hyperlink" Target="https://wayback.archive-it.org/7993/20170111093349/http:/www.fda.gov/BiologicsBloodVaccines/DevelopmentApprovalProcess/BiologicalApprovalsbyYear/ucm180084.htm" TargetMode="External"/><Relationship Id="rId202" Type="http://schemas.openxmlformats.org/officeDocument/2006/relationships/hyperlink" Target="https://wayback.archive-it.org/7993/20170111093349/http:/www.fda.gov/BiologicsBloodVaccines/DevelopmentApprovalProcess/BiologicalApprovalsbyYear/ucm180084.htm" TargetMode="External"/><Relationship Id="rId223" Type="http://schemas.openxmlformats.org/officeDocument/2006/relationships/hyperlink" Target="https://wayback.archive-it.org/7993/20170111093351/http:/www.fda.gov/BiologicsBloodVaccines/DevelopmentApprovalProcess/BiologicalApprovalsbyYear/ucm180879.htm" TargetMode="External"/><Relationship Id="rId18" Type="http://schemas.openxmlformats.org/officeDocument/2006/relationships/hyperlink" Target="https://www.fda.gov/drugs/novel-drug-approvals-fda/novel-drug-approvals-2025" TargetMode="External"/><Relationship Id="rId39" Type="http://schemas.openxmlformats.org/officeDocument/2006/relationships/hyperlink" Target="https://www.fda.gov/drugs/novel-drug-approvals-fda/novel-drug-approvals-2025" TargetMode="External"/><Relationship Id="rId50" Type="http://schemas.openxmlformats.org/officeDocument/2006/relationships/hyperlink" Target="https://www.fda.gov/drugs/novel-drug-approvals-fda/novel-drug-approvals-2025" TargetMode="External"/><Relationship Id="rId104" Type="http://schemas.openxmlformats.org/officeDocument/2006/relationships/hyperlink" Target="https://www.fda.gov/vaccines-blood-biologics/development-approval-process-cber/2023-biological-license-application-approvals" TargetMode="External"/><Relationship Id="rId125" Type="http://schemas.openxmlformats.org/officeDocument/2006/relationships/hyperlink" Target="https://web.archive.org/web/20250202091310/https:/www.fda.gov/vaccines-blood-biologics/development-approval-process-cber/2022-biological-license-application-approvals" TargetMode="External"/><Relationship Id="rId146" Type="http://schemas.openxmlformats.org/officeDocument/2006/relationships/hyperlink" Target="https://web.archive.org/web/20250201005753/https:/www.fda.gov/vaccines-blood-biologics/development-approval-process-cber/2021-biological-license-application-approvals" TargetMode="External"/><Relationship Id="rId167" Type="http://schemas.openxmlformats.org/officeDocument/2006/relationships/hyperlink" Target="https://wayback.archive-it.org/7993/20170111093336/http:/www.fda.gov/BiologicsBloodVaccines/DevelopmentApprovalProcess/BiologicalApprovalsbyYear/ucm176292.htm" TargetMode="External"/><Relationship Id="rId188" Type="http://schemas.openxmlformats.org/officeDocument/2006/relationships/hyperlink" Target="https://wayback.archive-it.org/7993/20170111093349/http:/www.fda.gov/BiologicsBloodVaccines/DevelopmentApprovalProcess/BiologicalApprovalsbyYear/ucm180084.htm" TargetMode="External"/><Relationship Id="rId71" Type="http://schemas.openxmlformats.org/officeDocument/2006/relationships/hyperlink" Target="https://www.fda.gov/drugs/novel-drug-approvals-fda/novel-drug-approvals-2025" TargetMode="External"/><Relationship Id="rId92" Type="http://schemas.openxmlformats.org/officeDocument/2006/relationships/hyperlink" Target="https://www.fda.gov/vaccines-blood-biologics/development-approval-process-cber/2024-biological-license-application-approvals" TargetMode="External"/><Relationship Id="rId213" Type="http://schemas.openxmlformats.org/officeDocument/2006/relationships/hyperlink" Target="https://wayback.archive-it.org/7993/20170111093351/http:/www.fda.gov/BiologicsBloodVaccines/DevelopmentApprovalProcess/BiologicalApprovalsbyYear/ucm180879.htm" TargetMode="External"/><Relationship Id="rId234" Type="http://schemas.openxmlformats.org/officeDocument/2006/relationships/hyperlink" Target="https://wayback.archive-it.org/7993/20170111093351/http:/www.fda.gov/BiologicsBloodVaccines/DevelopmentApprovalProcess/BiologicalApprovalsbyYear/ucm180879.htm" TargetMode="External"/><Relationship Id="rId2" Type="http://schemas.openxmlformats.org/officeDocument/2006/relationships/hyperlink" Target="https://www.fda.gov/drugs/novel-drug-approvals-fda/novel-drug-approvals-2026" TargetMode="External"/><Relationship Id="rId29" Type="http://schemas.openxmlformats.org/officeDocument/2006/relationships/hyperlink" Target="https://www.fda.gov/vaccines-blood-biologics/development-approval-process-cber/2025-biological-license-application-approvals" TargetMode="External"/><Relationship Id="rId40" Type="http://schemas.openxmlformats.org/officeDocument/2006/relationships/hyperlink" Target="https://www.fda.gov/drugs/novel-drug-approvals-fda/novel-drug-approvals-2025" TargetMode="External"/><Relationship Id="rId115" Type="http://schemas.openxmlformats.org/officeDocument/2006/relationships/hyperlink" Target="https://www.fda.gov/vaccines-blood-biologics/development-approval-process-cber/2023-biological-license-application-approvals" TargetMode="External"/><Relationship Id="rId136" Type="http://schemas.openxmlformats.org/officeDocument/2006/relationships/hyperlink" Target="https://web.archive.org/web/20250201005753/https:/www.fda.gov/vaccines-blood-biologics/development-approval-process-cber/2021-biological-license-application-approvals" TargetMode="External"/><Relationship Id="rId157" Type="http://schemas.openxmlformats.org/officeDocument/2006/relationships/hyperlink" Target="https://wayback.archive-it.org/7993/20180908105239/https:/www.fda.gov/BiologicsBloodVaccines/DevelopmentApprovalProcess/BiologicalApprovalsbyYear/ucm482397.htm" TargetMode="External"/><Relationship Id="rId178" Type="http://schemas.openxmlformats.org/officeDocument/2006/relationships/hyperlink" Target="https://wayback.archive-it.org/7993/20170111093349/http:/www.fda.gov/BiologicsBloodVaccines/DevelopmentApprovalProcess/BiologicalApprovalsbyYear/ucm180084.htm" TargetMode="External"/><Relationship Id="rId61" Type="http://schemas.openxmlformats.org/officeDocument/2006/relationships/hyperlink" Target="https://www.fda.gov/drugs/novel-drug-approvals-fda/novel-drug-approvals-2025" TargetMode="External"/><Relationship Id="rId82" Type="http://schemas.openxmlformats.org/officeDocument/2006/relationships/hyperlink" Target="https://www.fda.gov/vaccines-blood-biologics/development-approval-process-cber/2024-biological-license-application-approvals" TargetMode="External"/><Relationship Id="rId199" Type="http://schemas.openxmlformats.org/officeDocument/2006/relationships/hyperlink" Target="https://wayback.archive-it.org/7993/20170111093349/http:/www.fda.gov/BiologicsBloodVaccines/DevelopmentApprovalProcess/BiologicalApprovalsbyYear/ucm180084.htm" TargetMode="External"/><Relationship Id="rId203" Type="http://schemas.openxmlformats.org/officeDocument/2006/relationships/hyperlink" Target="https://wayback.archive-it.org/7993/20170111093349/http:/www.fda.gov/BiologicsBloodVaccines/DevelopmentApprovalProcess/BiologicalApprovalsbyYear/ucm180084.htm" TargetMode="External"/><Relationship Id="rId19" Type="http://schemas.openxmlformats.org/officeDocument/2006/relationships/hyperlink" Target="https://www.fda.gov/vaccines-blood-biologics/development-approval-process-cber/2025-biological-license-application-approvals" TargetMode="External"/><Relationship Id="rId224" Type="http://schemas.openxmlformats.org/officeDocument/2006/relationships/hyperlink" Target="https://wayback.archive-it.org/7993/20170111093351/http:/www.fda.gov/BiologicsBloodVaccines/DevelopmentApprovalProcess/BiologicalApprovalsbyYear/ucm180879.htm" TargetMode="External"/><Relationship Id="rId30" Type="http://schemas.openxmlformats.org/officeDocument/2006/relationships/hyperlink" Target="https://www.fda.gov/vaccines-blood-biologics/development-approval-process-cber/2025-biological-license-application-approvals" TargetMode="External"/><Relationship Id="rId105" Type="http://schemas.openxmlformats.org/officeDocument/2006/relationships/hyperlink" Target="https://www.fda.gov/vaccines-blood-biologics/development-approval-process-cber/2023-biological-license-application-approvals" TargetMode="External"/><Relationship Id="rId126" Type="http://schemas.openxmlformats.org/officeDocument/2006/relationships/hyperlink" Target="https://web.archive.org/web/20250202091310/https:/www.fda.gov/vaccines-blood-biologics/development-approval-process-cber/2022-biological-license-application-approvals" TargetMode="External"/><Relationship Id="rId147" Type="http://schemas.openxmlformats.org/officeDocument/2006/relationships/hyperlink" Target="https://wayback.archive-it.org/7993/20180908105239/https:/www.fda.gov/BiologicsBloodVaccines/DevelopmentApprovalProcess/BiologicalApprovalsbyYear/ucm482397.htm" TargetMode="External"/><Relationship Id="rId168" Type="http://schemas.openxmlformats.org/officeDocument/2006/relationships/hyperlink" Target="https://wayback.archive-it.org/7993/20170111093336/http:/www.fda.gov/BiologicsBloodVaccines/DevelopmentApprovalProcess/BiologicalApprovalsbyYear/ucm176292.htm" TargetMode="External"/><Relationship Id="rId51" Type="http://schemas.openxmlformats.org/officeDocument/2006/relationships/hyperlink" Target="https://www.fda.gov/drugs/novel-drug-approvals-fda/novel-drug-approvals-2025" TargetMode="External"/><Relationship Id="rId72" Type="http://schemas.openxmlformats.org/officeDocument/2006/relationships/hyperlink" Target="https://www.fda.gov/vaccines-blood-biologics/development-approval-process-cber/2025-biological-license-application-approvals" TargetMode="External"/><Relationship Id="rId93" Type="http://schemas.openxmlformats.org/officeDocument/2006/relationships/hyperlink" Target="https://www.fda.gov/vaccines-blood-biologics/development-approval-process-cber/2024-biological-license-application-approvals" TargetMode="External"/><Relationship Id="rId189" Type="http://schemas.openxmlformats.org/officeDocument/2006/relationships/hyperlink" Target="https://wayback.archive-it.org/7993/20170111093349/http:/www.fda.gov/BiologicsBloodVaccines/DevelopmentApprovalProcess/BiologicalApprovalsbyYear/ucm180084.htm" TargetMode="External"/><Relationship Id="rId3" Type="http://schemas.openxmlformats.org/officeDocument/2006/relationships/hyperlink" Target="https://www.fda.gov/drugs/novel-drug-approvals-fda/novel-drug-approvals-2026" TargetMode="External"/><Relationship Id="rId214" Type="http://schemas.openxmlformats.org/officeDocument/2006/relationships/hyperlink" Target="https://wayback.archive-it.org/7993/20170111093351/http:/www.fda.gov/BiologicsBloodVaccines/DevelopmentApprovalProcess/BiologicalApprovalsbyYear/ucm180879.htm" TargetMode="External"/><Relationship Id="rId235" Type="http://schemas.openxmlformats.org/officeDocument/2006/relationships/hyperlink" Target="https://wayback.archive-it.org/7993/20170111093351/http:/www.fda.gov/BiologicsBloodVaccines/DevelopmentApprovalProcess/BiologicalApprovalsbyYear/ucm180879.htm" TargetMode="External"/><Relationship Id="rId116" Type="http://schemas.openxmlformats.org/officeDocument/2006/relationships/hyperlink" Target="https://www.fda.gov/vaccines-blood-biologics/development-approval-process-cber/2023-biological-license-application-approvals" TargetMode="External"/><Relationship Id="rId137" Type="http://schemas.openxmlformats.org/officeDocument/2006/relationships/hyperlink" Target="https://web.archive.org/web/20250201005753/https:/www.fda.gov/vaccines-blood-biologics/development-approval-process-cber/2021-biological-license-application-approvals" TargetMode="External"/><Relationship Id="rId158" Type="http://schemas.openxmlformats.org/officeDocument/2006/relationships/hyperlink" Target="https://wayback.archive-it.org/7993/20180908105239/https:/www.fda.gov/BiologicsBloodVaccines/DevelopmentApprovalProcess/BiologicalApprovalsbyYear/ucm482397.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D22"/>
  <sheetViews>
    <sheetView showGridLines="0" workbookViewId="0">
      <selection activeCell="C17" sqref="C17"/>
    </sheetView>
  </sheetViews>
  <sheetFormatPr baseColWidth="10" defaultColWidth="8.83203125" defaultRowHeight="15" x14ac:dyDescent="0.2"/>
  <cols>
    <col min="1" max="1" width="5.6640625" customWidth="1"/>
    <col min="2" max="2" width="35.6640625" customWidth="1"/>
    <col min="3" max="3" width="55.6640625" customWidth="1"/>
    <col min="4" max="4" width="25.6640625" customWidth="1"/>
  </cols>
  <sheetData>
    <row r="1" spans="1:4" x14ac:dyDescent="0.2">
      <c r="A1" s="25" t="s">
        <v>4237</v>
      </c>
      <c r="B1" s="25"/>
      <c r="C1" s="25"/>
      <c r="D1" s="25"/>
    </row>
    <row r="2" spans="1:4" x14ac:dyDescent="0.2">
      <c r="A2" s="25"/>
      <c r="B2" s="25"/>
      <c r="C2" s="25"/>
      <c r="D2" s="25"/>
    </row>
    <row r="3" spans="1:4" x14ac:dyDescent="0.2">
      <c r="A3" s="25"/>
      <c r="B3" s="25"/>
      <c r="C3" s="25"/>
      <c r="D3" s="25"/>
    </row>
    <row r="4" spans="1:4" x14ac:dyDescent="0.2">
      <c r="A4" s="26" t="s">
        <v>4238</v>
      </c>
      <c r="B4" s="26"/>
      <c r="C4" s="26"/>
      <c r="D4" s="26"/>
    </row>
    <row r="5" spans="1:4" x14ac:dyDescent="0.2">
      <c r="A5" s="27"/>
      <c r="B5" s="27"/>
      <c r="C5" s="27"/>
      <c r="D5" s="27"/>
    </row>
    <row r="7" spans="1:4" ht="17" x14ac:dyDescent="0.2">
      <c r="B7" s="28" t="s">
        <v>4239</v>
      </c>
      <c r="C7" s="28"/>
      <c r="D7" s="28"/>
    </row>
    <row r="8" spans="1:4" x14ac:dyDescent="0.2">
      <c r="B8" s="1" t="s">
        <v>4240</v>
      </c>
      <c r="C8" s="1" t="s">
        <v>4241</v>
      </c>
      <c r="D8" s="1" t="s">
        <v>4242</v>
      </c>
    </row>
    <row r="9" spans="1:4" x14ac:dyDescent="0.2">
      <c r="B9" s="2" t="s">
        <v>4243</v>
      </c>
      <c r="C9" s="2" t="s">
        <v>4244</v>
      </c>
      <c r="D9" s="3" t="s">
        <v>4245</v>
      </c>
    </row>
    <row r="10" spans="1:4" x14ac:dyDescent="0.2">
      <c r="B10" s="2" t="s">
        <v>4246</v>
      </c>
      <c r="C10" s="2" t="s">
        <v>4247</v>
      </c>
      <c r="D10" s="4" t="s">
        <v>4248</v>
      </c>
    </row>
    <row r="11" spans="1:4" x14ac:dyDescent="0.2">
      <c r="B11" s="2" t="s">
        <v>4249</v>
      </c>
      <c r="C11" s="2" t="s">
        <v>4244</v>
      </c>
      <c r="D11" s="3" t="s">
        <v>4245</v>
      </c>
    </row>
    <row r="12" spans="1:4" x14ac:dyDescent="0.2">
      <c r="B12" s="2" t="s">
        <v>4250</v>
      </c>
      <c r="C12" s="2" t="s">
        <v>4244</v>
      </c>
      <c r="D12" s="3" t="s">
        <v>4245</v>
      </c>
    </row>
    <row r="15" spans="1:4" ht="17" x14ac:dyDescent="0.2">
      <c r="B15" s="28" t="s">
        <v>4251</v>
      </c>
      <c r="C15" s="28"/>
      <c r="D15" s="28"/>
    </row>
    <row r="16" spans="1:4" x14ac:dyDescent="0.2">
      <c r="B16" s="5" t="s">
        <v>0</v>
      </c>
    </row>
    <row r="17" spans="2:3" x14ac:dyDescent="0.2">
      <c r="C17" s="6" t="s">
        <v>4252</v>
      </c>
    </row>
    <row r="18" spans="2:3" x14ac:dyDescent="0.2">
      <c r="B18" s="5" t="s">
        <v>1</v>
      </c>
    </row>
    <row r="19" spans="2:3" x14ac:dyDescent="0.2">
      <c r="C19" s="6" t="s">
        <v>4253</v>
      </c>
    </row>
    <row r="20" spans="2:3" x14ac:dyDescent="0.2">
      <c r="B20" s="5" t="s">
        <v>2</v>
      </c>
    </row>
    <row r="21" spans="2:3" x14ac:dyDescent="0.2">
      <c r="C21" s="6" t="s">
        <v>4254</v>
      </c>
    </row>
    <row r="22" spans="2:3" x14ac:dyDescent="0.2">
      <c r="C22" s="6" t="s">
        <v>4255</v>
      </c>
    </row>
  </sheetData>
  <mergeCells count="5">
    <mergeCell ref="A1:D3"/>
    <mergeCell ref="A4:D4"/>
    <mergeCell ref="A5:D5"/>
    <mergeCell ref="B7:D7"/>
    <mergeCell ref="B15:D15"/>
  </mergeCells>
  <hyperlinks>
    <hyperlink ref="C17" location="'FDA Charts'!A1" display="FDA Charts" xr:uid="{00000000-0004-0000-0000-000000000000}"/>
    <hyperlink ref="C19" location="'FDA Approval Summary'!A1" display="FDA Approval Summary" xr:uid="{00000000-0004-0000-0000-000001000000}"/>
    <hyperlink ref="C21" location="'Novel Approval Database'!A1" display="Novel Approval Database" xr:uid="{00000000-0004-0000-0000-000002000000}"/>
    <hyperlink ref="C22" location="'Biosimilar Approval Database'!A1" display="Biosimilar Approval Database"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E3"/>
  <sheetViews>
    <sheetView showGridLines="0" workbookViewId="0"/>
  </sheetViews>
  <sheetFormatPr baseColWidth="10" defaultColWidth="8.83203125" defaultRowHeight="15" x14ac:dyDescent="0.2"/>
  <cols>
    <col min="1" max="5" width="20.6640625" customWidth="1"/>
  </cols>
  <sheetData>
    <row r="1" spans="1:5" x14ac:dyDescent="0.2">
      <c r="A1" s="29" t="s">
        <v>0</v>
      </c>
      <c r="B1" s="29"/>
      <c r="C1" s="29"/>
      <c r="D1" s="29"/>
      <c r="E1" s="29"/>
    </row>
    <row r="2" spans="1:5" x14ac:dyDescent="0.2">
      <c r="A2" s="29"/>
      <c r="B2" s="29"/>
      <c r="C2" s="29"/>
      <c r="D2" s="29"/>
      <c r="E2" s="29"/>
    </row>
    <row r="3" spans="1:5" x14ac:dyDescent="0.2">
      <c r="A3" s="29"/>
      <c r="B3" s="29"/>
      <c r="C3" s="29"/>
      <c r="D3" s="29"/>
      <c r="E3" s="29"/>
    </row>
  </sheetData>
  <mergeCells count="1">
    <mergeCell ref="A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D4E3"/>
  </sheetPr>
  <dimension ref="A1"/>
  <sheetViews>
    <sheetView workbookViewId="0">
      <selection activeCell="M27" sqref="M27"/>
    </sheetView>
  </sheetViews>
  <sheetFormatPr baseColWidth="10" defaultColWidth="8.8320312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2A4A"/>
  </sheetPr>
  <dimension ref="A1:E3"/>
  <sheetViews>
    <sheetView showGridLines="0" workbookViewId="0"/>
  </sheetViews>
  <sheetFormatPr baseColWidth="10" defaultColWidth="8.83203125" defaultRowHeight="15" x14ac:dyDescent="0.2"/>
  <cols>
    <col min="1" max="5" width="20.6640625" customWidth="1"/>
  </cols>
  <sheetData>
    <row r="1" spans="1:5" x14ac:dyDescent="0.2">
      <c r="A1" s="29" t="s">
        <v>1</v>
      </c>
      <c r="B1" s="29"/>
      <c r="C1" s="29"/>
      <c r="D1" s="29"/>
      <c r="E1" s="29"/>
    </row>
    <row r="2" spans="1:5" x14ac:dyDescent="0.2">
      <c r="A2" s="29"/>
      <c r="B2" s="29"/>
      <c r="C2" s="29"/>
      <c r="D2" s="29"/>
      <c r="E2" s="29"/>
    </row>
    <row r="3" spans="1:5" x14ac:dyDescent="0.2">
      <c r="A3" s="29"/>
      <c r="B3" s="29"/>
      <c r="C3" s="29"/>
      <c r="D3" s="29"/>
      <c r="E3" s="29"/>
    </row>
  </sheetData>
  <mergeCells count="1">
    <mergeCell ref="A1: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8D4E3"/>
  </sheetPr>
  <dimension ref="A1:D104"/>
  <sheetViews>
    <sheetView topLeftCell="A131" workbookViewId="0"/>
  </sheetViews>
  <sheetFormatPr baseColWidth="10" defaultColWidth="8.83203125" defaultRowHeight="15" x14ac:dyDescent="0.2"/>
  <cols>
    <col min="1" max="1" width="38.6640625" customWidth="1"/>
    <col min="2" max="12" width="14.6640625" customWidth="1"/>
  </cols>
  <sheetData>
    <row r="1" spans="1:4" x14ac:dyDescent="0.2">
      <c r="A1" s="7" t="s">
        <v>4178</v>
      </c>
    </row>
    <row r="3" spans="1:4" x14ac:dyDescent="0.2">
      <c r="A3" s="8" t="s">
        <v>4179</v>
      </c>
    </row>
    <row r="4" spans="1:4" x14ac:dyDescent="0.2">
      <c r="A4" s="9" t="s">
        <v>10</v>
      </c>
      <c r="B4" s="9" t="s">
        <v>4180</v>
      </c>
      <c r="C4" s="9" t="s">
        <v>4181</v>
      </c>
      <c r="D4" s="9" t="s">
        <v>4182</v>
      </c>
    </row>
    <row r="5" spans="1:4" x14ac:dyDescent="0.2">
      <c r="A5" s="10" t="s">
        <v>4183</v>
      </c>
      <c r="B5" s="10">
        <f>COUNTIFS('Novel Approval Database'!$G$3:$G$1576,1985,'Novel Approval Database'!$C$3:$C$1576,"NDA",'Novel Approval Database'!$A$3:$A$1576,"CDER")</f>
        <v>31</v>
      </c>
      <c r="C5" s="10">
        <f>COUNTIFS('Novel Approval Database'!$G$3:$G$1576,1985,'Novel Approval Database'!$C$3:$C$1576,"BLA",'Novel Approval Database'!$A$3:$A$1576,"CDER")</f>
        <v>0</v>
      </c>
      <c r="D5" s="11">
        <f t="shared" ref="D5:D47" si="0">B5+C5</f>
        <v>31</v>
      </c>
    </row>
    <row r="6" spans="1:4" x14ac:dyDescent="0.2">
      <c r="A6" s="10" t="s">
        <v>4184</v>
      </c>
      <c r="B6" s="10">
        <f>COUNTIFS('Novel Approval Database'!$G$3:$G$1576,1986,'Novel Approval Database'!$C$3:$C$1576,"NDA",'Novel Approval Database'!$A$3:$A$1576,"CDER")</f>
        <v>20</v>
      </c>
      <c r="C6" s="10">
        <f>COUNTIFS('Novel Approval Database'!$G$3:$G$1576,1986,'Novel Approval Database'!$C$3:$C$1576,"BLA",'Novel Approval Database'!$A$3:$A$1576,"CDER")</f>
        <v>3</v>
      </c>
      <c r="D6" s="11">
        <f t="shared" si="0"/>
        <v>23</v>
      </c>
    </row>
    <row r="7" spans="1:4" x14ac:dyDescent="0.2">
      <c r="A7" s="10" t="s">
        <v>4185</v>
      </c>
      <c r="B7" s="10">
        <f>COUNTIFS('Novel Approval Database'!$G$3:$G$1576,1987,'Novel Approval Database'!$C$3:$C$1576,"NDA",'Novel Approval Database'!$A$3:$A$1576,"CDER")</f>
        <v>21</v>
      </c>
      <c r="C7" s="10">
        <f>COUNTIFS('Novel Approval Database'!$G$3:$G$1576,1987,'Novel Approval Database'!$C$3:$C$1576,"BLA",'Novel Approval Database'!$A$3:$A$1576,"CDER")</f>
        <v>1</v>
      </c>
      <c r="D7" s="11">
        <f t="shared" si="0"/>
        <v>22</v>
      </c>
    </row>
    <row r="8" spans="1:4" x14ac:dyDescent="0.2">
      <c r="A8" s="10" t="s">
        <v>4186</v>
      </c>
      <c r="B8" s="10">
        <f>COUNTIFS('Novel Approval Database'!$G$3:$G$1576,1988,'Novel Approval Database'!$C$3:$C$1576,"NDA",'Novel Approval Database'!$A$3:$A$1576,"CDER")</f>
        <v>20</v>
      </c>
      <c r="C8" s="10">
        <f>COUNTIFS('Novel Approval Database'!$G$3:$G$1576,1988,'Novel Approval Database'!$C$3:$C$1576,"BLA",'Novel Approval Database'!$A$3:$A$1576,"CDER")</f>
        <v>0</v>
      </c>
      <c r="D8" s="11">
        <f t="shared" si="0"/>
        <v>20</v>
      </c>
    </row>
    <row r="9" spans="1:4" x14ac:dyDescent="0.2">
      <c r="A9" s="10" t="s">
        <v>4187</v>
      </c>
      <c r="B9" s="10">
        <f>COUNTIFS('Novel Approval Database'!$G$3:$G$1576,1989,'Novel Approval Database'!$C$3:$C$1576,"NDA",'Novel Approval Database'!$A$3:$A$1576,"CDER")</f>
        <v>23</v>
      </c>
      <c r="C9" s="10">
        <f>COUNTIFS('Novel Approval Database'!$G$3:$G$1576,1989,'Novel Approval Database'!$C$3:$C$1576,"BLA",'Novel Approval Database'!$A$3:$A$1576,"CDER")</f>
        <v>4</v>
      </c>
      <c r="D9" s="11">
        <f t="shared" si="0"/>
        <v>27</v>
      </c>
    </row>
    <row r="10" spans="1:4" x14ac:dyDescent="0.2">
      <c r="A10" s="10" t="s">
        <v>4188</v>
      </c>
      <c r="B10" s="10">
        <f>COUNTIFS('Novel Approval Database'!$G$3:$G$1576,1990,'Novel Approval Database'!$C$3:$C$1576,"NDA",'Novel Approval Database'!$A$3:$A$1576,"CDER")</f>
        <v>22</v>
      </c>
      <c r="C10" s="10">
        <f>COUNTIFS('Novel Approval Database'!$G$3:$G$1576,1990,'Novel Approval Database'!$C$3:$C$1576,"BLA",'Novel Approval Database'!$A$3:$A$1576,"CDER")</f>
        <v>2</v>
      </c>
      <c r="D10" s="11">
        <f t="shared" si="0"/>
        <v>24</v>
      </c>
    </row>
    <row r="11" spans="1:4" x14ac:dyDescent="0.2">
      <c r="A11" s="10" t="s">
        <v>4189</v>
      </c>
      <c r="B11" s="10">
        <f>COUNTIFS('Novel Approval Database'!$G$3:$G$1576,1991,'Novel Approval Database'!$C$3:$C$1576,"NDA",'Novel Approval Database'!$A$3:$A$1576,"CDER")</f>
        <v>29</v>
      </c>
      <c r="C11" s="10">
        <f>COUNTIFS('Novel Approval Database'!$G$3:$G$1576,1991,'Novel Approval Database'!$C$3:$C$1576,"BLA",'Novel Approval Database'!$A$3:$A$1576,"CDER")</f>
        <v>3</v>
      </c>
      <c r="D11" s="11">
        <f t="shared" si="0"/>
        <v>32</v>
      </c>
    </row>
    <row r="12" spans="1:4" x14ac:dyDescent="0.2">
      <c r="A12" s="10" t="s">
        <v>4190</v>
      </c>
      <c r="B12" s="10">
        <f>COUNTIFS('Novel Approval Database'!$G$3:$G$1576,1992,'Novel Approval Database'!$C$3:$C$1576,"NDA",'Novel Approval Database'!$A$3:$A$1576,"CDER")</f>
        <v>27</v>
      </c>
      <c r="C12" s="10">
        <f>COUNTIFS('Novel Approval Database'!$G$3:$G$1576,1992,'Novel Approval Database'!$C$3:$C$1576,"BLA",'Novel Approval Database'!$A$3:$A$1576,"CDER")</f>
        <v>2</v>
      </c>
      <c r="D12" s="11">
        <f t="shared" si="0"/>
        <v>29</v>
      </c>
    </row>
    <row r="13" spans="1:4" x14ac:dyDescent="0.2">
      <c r="A13" s="10" t="s">
        <v>4191</v>
      </c>
      <c r="B13" s="10">
        <f>COUNTIFS('Novel Approval Database'!$G$3:$G$1576,1993,'Novel Approval Database'!$C$3:$C$1576,"NDA",'Novel Approval Database'!$A$3:$A$1576,"CDER")</f>
        <v>24</v>
      </c>
      <c r="C13" s="10">
        <f>COUNTIFS('Novel Approval Database'!$G$3:$G$1576,1993,'Novel Approval Database'!$C$3:$C$1576,"BLA",'Novel Approval Database'!$A$3:$A$1576,"CDER")</f>
        <v>3</v>
      </c>
      <c r="D13" s="11">
        <f t="shared" si="0"/>
        <v>27</v>
      </c>
    </row>
    <row r="14" spans="1:4" x14ac:dyDescent="0.2">
      <c r="A14" s="10" t="s">
        <v>4192</v>
      </c>
      <c r="B14" s="10">
        <f>COUNTIFS('Novel Approval Database'!$G$3:$G$1576,1994,'Novel Approval Database'!$C$3:$C$1576,"NDA",'Novel Approval Database'!$A$3:$A$1576,"CDER")</f>
        <v>20</v>
      </c>
      <c r="C14" s="10">
        <f>COUNTIFS('Novel Approval Database'!$G$3:$G$1576,1994,'Novel Approval Database'!$C$3:$C$1576,"BLA",'Novel Approval Database'!$A$3:$A$1576,"CDER")</f>
        <v>3</v>
      </c>
      <c r="D14" s="11">
        <f t="shared" si="0"/>
        <v>23</v>
      </c>
    </row>
    <row r="15" spans="1:4" x14ac:dyDescent="0.2">
      <c r="A15" s="10" t="s">
        <v>4193</v>
      </c>
      <c r="B15" s="10">
        <f>COUNTIFS('Novel Approval Database'!$G$3:$G$1576,1995,'Novel Approval Database'!$C$3:$C$1576,"NDA",'Novel Approval Database'!$A$3:$A$1576,"CDER")</f>
        <v>29</v>
      </c>
      <c r="C15" s="10">
        <f>COUNTIFS('Novel Approval Database'!$G$3:$G$1576,1995,'Novel Approval Database'!$C$3:$C$1576,"BLA",'Novel Approval Database'!$A$3:$A$1576,"CDER")</f>
        <v>1</v>
      </c>
      <c r="D15" s="11">
        <f t="shared" si="0"/>
        <v>30</v>
      </c>
    </row>
    <row r="16" spans="1:4" x14ac:dyDescent="0.2">
      <c r="A16" s="10" t="s">
        <v>4194</v>
      </c>
      <c r="B16" s="10">
        <f>COUNTIFS('Novel Approval Database'!$G$3:$G$1576,1996,'Novel Approval Database'!$C$3:$C$1576,"NDA",'Novel Approval Database'!$A$3:$A$1576,"CDER")</f>
        <v>51</v>
      </c>
      <c r="C16" s="10">
        <f>COUNTIFS('Novel Approval Database'!$G$3:$G$1576,1996,'Novel Approval Database'!$C$3:$C$1576,"BLA",'Novel Approval Database'!$A$3:$A$1576,"CDER")</f>
        <v>8</v>
      </c>
      <c r="D16" s="11">
        <f t="shared" si="0"/>
        <v>59</v>
      </c>
    </row>
    <row r="17" spans="1:4" x14ac:dyDescent="0.2">
      <c r="A17" s="10" t="s">
        <v>4195</v>
      </c>
      <c r="B17" s="10">
        <f>COUNTIFS('Novel Approval Database'!$G$3:$G$1576,1997,'Novel Approval Database'!$C$3:$C$1576,"NDA",'Novel Approval Database'!$A$3:$A$1576,"CDER")</f>
        <v>37</v>
      </c>
      <c r="C17" s="10">
        <f>COUNTIFS('Novel Approval Database'!$G$3:$G$1576,1997,'Novel Approval Database'!$C$3:$C$1576,"BLA",'Novel Approval Database'!$A$3:$A$1576,"CDER")</f>
        <v>5</v>
      </c>
      <c r="D17" s="11">
        <f t="shared" si="0"/>
        <v>42</v>
      </c>
    </row>
    <row r="18" spans="1:4" x14ac:dyDescent="0.2">
      <c r="A18" s="10" t="s">
        <v>4196</v>
      </c>
      <c r="B18" s="10">
        <f>COUNTIFS('Novel Approval Database'!$G$3:$G$1576,1998,'Novel Approval Database'!$C$3:$C$1576,"NDA",'Novel Approval Database'!$A$3:$A$1576,"CDER")</f>
        <v>28</v>
      </c>
      <c r="C18" s="10">
        <f>COUNTIFS('Novel Approval Database'!$G$3:$G$1576,1998,'Novel Approval Database'!$C$3:$C$1576,"BLA",'Novel Approval Database'!$A$3:$A$1576,"CDER")</f>
        <v>8</v>
      </c>
      <c r="D18" s="11">
        <f t="shared" si="0"/>
        <v>36</v>
      </c>
    </row>
    <row r="19" spans="1:4" x14ac:dyDescent="0.2">
      <c r="A19" s="10" t="s">
        <v>4197</v>
      </c>
      <c r="B19" s="10">
        <f>COUNTIFS('Novel Approval Database'!$G$3:$G$1576,1999,'Novel Approval Database'!$C$3:$C$1576,"NDA",'Novel Approval Database'!$A$3:$A$1576,"CDER")</f>
        <v>34</v>
      </c>
      <c r="C19" s="10">
        <f>COUNTIFS('Novel Approval Database'!$G$3:$G$1576,1999,'Novel Approval Database'!$C$3:$C$1576,"BLA",'Novel Approval Database'!$A$3:$A$1576,"CDER")</f>
        <v>3</v>
      </c>
      <c r="D19" s="11">
        <f t="shared" si="0"/>
        <v>37</v>
      </c>
    </row>
    <row r="20" spans="1:4" x14ac:dyDescent="0.2">
      <c r="A20" s="10" t="s">
        <v>4198</v>
      </c>
      <c r="B20" s="10">
        <f>COUNTIFS('Novel Approval Database'!$G$3:$G$1576,2000,'Novel Approval Database'!$C$3:$C$1576,"NDA",'Novel Approval Database'!$A$3:$A$1576,"CDER")</f>
        <v>25</v>
      </c>
      <c r="C20" s="10">
        <f>COUNTIFS('Novel Approval Database'!$G$3:$G$1576,2000,'Novel Approval Database'!$C$3:$C$1576,"BLA",'Novel Approval Database'!$A$3:$A$1576,"CDER")</f>
        <v>4</v>
      </c>
      <c r="D20" s="11">
        <f t="shared" si="0"/>
        <v>29</v>
      </c>
    </row>
    <row r="21" spans="1:4" x14ac:dyDescent="0.2">
      <c r="A21" s="10" t="s">
        <v>4199</v>
      </c>
      <c r="B21" s="10">
        <f>COUNTIFS('Novel Approval Database'!$G$3:$G$1576,2001,'Novel Approval Database'!$C$3:$C$1576,"NDA",'Novel Approval Database'!$A$3:$A$1576,"CDER")</f>
        <v>24</v>
      </c>
      <c r="C21" s="10">
        <f>COUNTIFS('Novel Approval Database'!$G$3:$G$1576,2001,'Novel Approval Database'!$C$3:$C$1576,"BLA",'Novel Approval Database'!$A$3:$A$1576,"CDER")</f>
        <v>5</v>
      </c>
      <c r="D21" s="11">
        <f t="shared" si="0"/>
        <v>29</v>
      </c>
    </row>
    <row r="22" spans="1:4" x14ac:dyDescent="0.2">
      <c r="A22" s="10" t="s">
        <v>4200</v>
      </c>
      <c r="B22" s="10">
        <f>COUNTIFS('Novel Approval Database'!$G$3:$G$1576,2002,'Novel Approval Database'!$C$3:$C$1576,"NDA",'Novel Approval Database'!$A$3:$A$1576,"CDER")</f>
        <v>17</v>
      </c>
      <c r="C22" s="10">
        <f>COUNTIFS('Novel Approval Database'!$G$3:$G$1576,2002,'Novel Approval Database'!$C$3:$C$1576,"BLA",'Novel Approval Database'!$A$3:$A$1576,"CDER")</f>
        <v>6</v>
      </c>
      <c r="D22" s="11">
        <f t="shared" si="0"/>
        <v>23</v>
      </c>
    </row>
    <row r="23" spans="1:4" x14ac:dyDescent="0.2">
      <c r="A23" s="10" t="s">
        <v>4201</v>
      </c>
      <c r="B23" s="10">
        <f>COUNTIFS('Novel Approval Database'!$G$3:$G$1576,2003,'Novel Approval Database'!$C$3:$C$1576,"NDA",'Novel Approval Database'!$A$3:$A$1576,"CDER")</f>
        <v>20</v>
      </c>
      <c r="C23" s="10">
        <f>COUNTIFS('Novel Approval Database'!$G$3:$G$1576,2003,'Novel Approval Database'!$C$3:$C$1576,"BLA",'Novel Approval Database'!$A$3:$A$1576,"CDER")</f>
        <v>7</v>
      </c>
      <c r="D23" s="11">
        <f t="shared" si="0"/>
        <v>27</v>
      </c>
    </row>
    <row r="24" spans="1:4" x14ac:dyDescent="0.2">
      <c r="A24" s="10" t="s">
        <v>4202</v>
      </c>
      <c r="B24" s="10">
        <f>COUNTIFS('Novel Approval Database'!$G$3:$G$1576,2004,'Novel Approval Database'!$C$3:$C$1576,"NDA",'Novel Approval Database'!$A$3:$A$1576,"CDER")</f>
        <v>27</v>
      </c>
      <c r="C24" s="10">
        <f>COUNTIFS('Novel Approval Database'!$G$3:$G$1576,2004,'Novel Approval Database'!$C$3:$C$1576,"BLA",'Novel Approval Database'!$A$3:$A$1576,"CDER")</f>
        <v>8</v>
      </c>
      <c r="D24" s="11">
        <f t="shared" si="0"/>
        <v>35</v>
      </c>
    </row>
    <row r="25" spans="1:4" x14ac:dyDescent="0.2">
      <c r="A25" s="10" t="s">
        <v>4203</v>
      </c>
      <c r="B25" s="10">
        <f>COUNTIFS('Novel Approval Database'!$G$3:$G$1576,2005,'Novel Approval Database'!$C$3:$C$1576,"NDA",'Novel Approval Database'!$A$3:$A$1576,"CDER")</f>
        <v>13</v>
      </c>
      <c r="C25" s="10">
        <f>COUNTIFS('Novel Approval Database'!$G$3:$G$1576,2005,'Novel Approval Database'!$C$3:$C$1576,"BLA",'Novel Approval Database'!$A$3:$A$1576,"CDER")</f>
        <v>7</v>
      </c>
      <c r="D25" s="11">
        <f t="shared" si="0"/>
        <v>20</v>
      </c>
    </row>
    <row r="26" spans="1:4" x14ac:dyDescent="0.2">
      <c r="A26" s="10" t="s">
        <v>4204</v>
      </c>
      <c r="B26" s="10">
        <f>COUNTIFS('Novel Approval Database'!$G$3:$G$1576,2006,'Novel Approval Database'!$C$3:$C$1576,"NDA",'Novel Approval Database'!$A$3:$A$1576,"CDER")</f>
        <v>18</v>
      </c>
      <c r="C26" s="10">
        <f>COUNTIFS('Novel Approval Database'!$G$3:$G$1576,2006,'Novel Approval Database'!$C$3:$C$1576,"BLA",'Novel Approval Database'!$A$3:$A$1576,"CDER")</f>
        <v>4</v>
      </c>
      <c r="D26" s="11">
        <f t="shared" si="0"/>
        <v>22</v>
      </c>
    </row>
    <row r="27" spans="1:4" x14ac:dyDescent="0.2">
      <c r="A27" s="10" t="s">
        <v>4205</v>
      </c>
      <c r="B27" s="10">
        <f>COUNTIFS('Novel Approval Database'!$G$3:$G$1576,2007,'Novel Approval Database'!$C$3:$C$1576,"NDA",'Novel Approval Database'!$A$3:$A$1576,"CDER")</f>
        <v>16</v>
      </c>
      <c r="C27" s="10">
        <f>COUNTIFS('Novel Approval Database'!$G$3:$G$1576,2007,'Novel Approval Database'!$C$3:$C$1576,"BLA",'Novel Approval Database'!$A$3:$A$1576,"CDER")</f>
        <v>2</v>
      </c>
      <c r="D27" s="11">
        <f t="shared" si="0"/>
        <v>18</v>
      </c>
    </row>
    <row r="28" spans="1:4" x14ac:dyDescent="0.2">
      <c r="A28" s="10" t="s">
        <v>4206</v>
      </c>
      <c r="B28" s="10">
        <f>COUNTIFS('Novel Approval Database'!$G$3:$G$1576,2008,'Novel Approval Database'!$C$3:$C$1576,"NDA",'Novel Approval Database'!$A$3:$A$1576,"CDER")</f>
        <v>22</v>
      </c>
      <c r="C28" s="10">
        <f>COUNTIFS('Novel Approval Database'!$G$3:$G$1576,2008,'Novel Approval Database'!$C$3:$C$1576,"BLA",'Novel Approval Database'!$A$3:$A$1576,"CDER")</f>
        <v>3</v>
      </c>
      <c r="D28" s="11">
        <f t="shared" si="0"/>
        <v>25</v>
      </c>
    </row>
    <row r="29" spans="1:4" x14ac:dyDescent="0.2">
      <c r="A29" s="10" t="s">
        <v>4207</v>
      </c>
      <c r="B29" s="10">
        <f>COUNTIFS('Novel Approval Database'!$G$3:$G$1576,2009,'Novel Approval Database'!$C$3:$C$1576,"NDA",'Novel Approval Database'!$A$3:$A$1576,"CDER")</f>
        <v>20</v>
      </c>
      <c r="C29" s="10">
        <f>COUNTIFS('Novel Approval Database'!$G$3:$G$1576,2009,'Novel Approval Database'!$C$3:$C$1576,"BLA",'Novel Approval Database'!$A$3:$A$1576,"CDER")</f>
        <v>6</v>
      </c>
      <c r="D29" s="11">
        <f t="shared" si="0"/>
        <v>26</v>
      </c>
    </row>
    <row r="30" spans="1:4" x14ac:dyDescent="0.2">
      <c r="A30" s="10" t="s">
        <v>4208</v>
      </c>
      <c r="B30" s="10">
        <f>COUNTIFS('Novel Approval Database'!$G$3:$G$1576,2010,'Novel Approval Database'!$C$3:$C$1576,"NDA",'Novel Approval Database'!$A$3:$A$1576,"CDER")</f>
        <v>13</v>
      </c>
      <c r="C30" s="10">
        <f>COUNTIFS('Novel Approval Database'!$G$3:$G$1576,2010,'Novel Approval Database'!$C$3:$C$1576,"BLA",'Novel Approval Database'!$A$3:$A$1576,"CDER")</f>
        <v>8</v>
      </c>
      <c r="D30" s="11">
        <f t="shared" si="0"/>
        <v>21</v>
      </c>
    </row>
    <row r="31" spans="1:4" x14ac:dyDescent="0.2">
      <c r="A31" s="10" t="s">
        <v>4209</v>
      </c>
      <c r="B31" s="10">
        <f>COUNTIFS('Novel Approval Database'!$G$3:$G$1576,2011,'Novel Approval Database'!$C$3:$C$1576,"NDA",'Novel Approval Database'!$A$3:$A$1576,"CDER")</f>
        <v>24</v>
      </c>
      <c r="C31" s="10">
        <f>COUNTIFS('Novel Approval Database'!$G$3:$G$1576,2011,'Novel Approval Database'!$C$3:$C$1576,"BLA",'Novel Approval Database'!$A$3:$A$1576,"CDER")</f>
        <v>6</v>
      </c>
      <c r="D31" s="11">
        <f t="shared" si="0"/>
        <v>30</v>
      </c>
    </row>
    <row r="32" spans="1:4" x14ac:dyDescent="0.2">
      <c r="A32" s="10" t="s">
        <v>4210</v>
      </c>
      <c r="B32" s="10">
        <f>COUNTIFS('Novel Approval Database'!$G$3:$G$1576,2012,'Novel Approval Database'!$C$3:$C$1576,"NDA",'Novel Approval Database'!$A$3:$A$1576,"CDER")</f>
        <v>32</v>
      </c>
      <c r="C32" s="10">
        <f>COUNTIFS('Novel Approval Database'!$G$3:$G$1576,2012,'Novel Approval Database'!$C$3:$C$1576,"BLA",'Novel Approval Database'!$A$3:$A$1576,"CDER")</f>
        <v>7</v>
      </c>
      <c r="D32" s="11">
        <f t="shared" si="0"/>
        <v>39</v>
      </c>
    </row>
    <row r="33" spans="1:4" x14ac:dyDescent="0.2">
      <c r="A33" s="10" t="s">
        <v>4211</v>
      </c>
      <c r="B33" s="10">
        <f>COUNTIFS('Novel Approval Database'!$G$3:$G$1576,2013,'Novel Approval Database'!$C$3:$C$1576,"NDA",'Novel Approval Database'!$A$3:$A$1576,"CDER")</f>
        <v>25</v>
      </c>
      <c r="C33" s="10">
        <f>COUNTIFS('Novel Approval Database'!$G$3:$G$1576,2013,'Novel Approval Database'!$C$3:$C$1576,"BLA",'Novel Approval Database'!$A$3:$A$1576,"CDER")</f>
        <v>2</v>
      </c>
      <c r="D33" s="11">
        <f t="shared" si="0"/>
        <v>27</v>
      </c>
    </row>
    <row r="34" spans="1:4" x14ac:dyDescent="0.2">
      <c r="A34" s="10" t="s">
        <v>4212</v>
      </c>
      <c r="B34" s="10">
        <f>COUNTIFS('Novel Approval Database'!$G$3:$G$1576,2014,'Novel Approval Database'!$C$3:$C$1576,"NDA",'Novel Approval Database'!$A$3:$A$1576,"CDER")</f>
        <v>30</v>
      </c>
      <c r="C34" s="10">
        <f>COUNTIFS('Novel Approval Database'!$G$3:$G$1576,2014,'Novel Approval Database'!$C$3:$C$1576,"BLA",'Novel Approval Database'!$A$3:$A$1576,"CDER")</f>
        <v>11</v>
      </c>
      <c r="D34" s="11">
        <f t="shared" si="0"/>
        <v>41</v>
      </c>
    </row>
    <row r="35" spans="1:4" x14ac:dyDescent="0.2">
      <c r="A35" s="10" t="s">
        <v>4213</v>
      </c>
      <c r="B35" s="10">
        <f>COUNTIFS('Novel Approval Database'!$G$3:$G$1576,2015,'Novel Approval Database'!$C$3:$C$1576,"NDA",'Novel Approval Database'!$A$3:$A$1576,"CDER")</f>
        <v>32</v>
      </c>
      <c r="C35" s="10">
        <f>COUNTIFS('Novel Approval Database'!$G$3:$G$1576,2015,'Novel Approval Database'!$C$3:$C$1576,"BLA",'Novel Approval Database'!$A$3:$A$1576,"CDER")</f>
        <v>13</v>
      </c>
      <c r="D35" s="11">
        <f t="shared" si="0"/>
        <v>45</v>
      </c>
    </row>
    <row r="36" spans="1:4" x14ac:dyDescent="0.2">
      <c r="A36" s="10" t="s">
        <v>4214</v>
      </c>
      <c r="B36" s="10">
        <f>COUNTIFS('Novel Approval Database'!$G$3:$G$1576,2016,'Novel Approval Database'!$C$3:$C$1576,"NDA",'Novel Approval Database'!$A$3:$A$1576,"CDER")</f>
        <v>14</v>
      </c>
      <c r="C36" s="10">
        <f>COUNTIFS('Novel Approval Database'!$G$3:$G$1576,2016,'Novel Approval Database'!$C$3:$C$1576,"BLA",'Novel Approval Database'!$A$3:$A$1576,"CDER")</f>
        <v>8</v>
      </c>
      <c r="D36" s="11">
        <f t="shared" si="0"/>
        <v>22</v>
      </c>
    </row>
    <row r="37" spans="1:4" x14ac:dyDescent="0.2">
      <c r="A37" s="10" t="s">
        <v>4215</v>
      </c>
      <c r="B37" s="10">
        <f>COUNTIFS('Novel Approval Database'!$G$3:$G$1576,2017,'Novel Approval Database'!$C$3:$C$1576,"NDA",'Novel Approval Database'!$A$3:$A$1576,"CDER")</f>
        <v>34</v>
      </c>
      <c r="C37" s="10">
        <f>COUNTIFS('Novel Approval Database'!$G$3:$G$1576,2017,'Novel Approval Database'!$C$3:$C$1576,"BLA",'Novel Approval Database'!$A$3:$A$1576,"CDER")</f>
        <v>12</v>
      </c>
      <c r="D37" s="11">
        <f t="shared" si="0"/>
        <v>46</v>
      </c>
    </row>
    <row r="38" spans="1:4" x14ac:dyDescent="0.2">
      <c r="A38" s="10" t="s">
        <v>4216</v>
      </c>
      <c r="B38" s="10">
        <f>COUNTIFS('Novel Approval Database'!$G$3:$G$1576,2018,'Novel Approval Database'!$C$3:$C$1576,"NDA",'Novel Approval Database'!$A$3:$A$1576,"CDER")</f>
        <v>42</v>
      </c>
      <c r="C38" s="10">
        <f>COUNTIFS('Novel Approval Database'!$G$3:$G$1576,2018,'Novel Approval Database'!$C$3:$C$1576,"BLA",'Novel Approval Database'!$A$3:$A$1576,"CDER")</f>
        <v>17</v>
      </c>
      <c r="D38" s="11">
        <f t="shared" si="0"/>
        <v>59</v>
      </c>
    </row>
    <row r="39" spans="1:4" x14ac:dyDescent="0.2">
      <c r="A39" s="10" t="s">
        <v>4217</v>
      </c>
      <c r="B39" s="10">
        <f>COUNTIFS('Novel Approval Database'!$G$3:$G$1576,2019,'Novel Approval Database'!$C$3:$C$1576,"NDA",'Novel Approval Database'!$A$3:$A$1576,"CDER")</f>
        <v>38</v>
      </c>
      <c r="C39" s="10">
        <f>COUNTIFS('Novel Approval Database'!$G$3:$G$1576,2019,'Novel Approval Database'!$C$3:$C$1576,"BLA",'Novel Approval Database'!$A$3:$A$1576,"CDER")</f>
        <v>10</v>
      </c>
      <c r="D39" s="11">
        <f t="shared" si="0"/>
        <v>48</v>
      </c>
    </row>
    <row r="40" spans="1:4" x14ac:dyDescent="0.2">
      <c r="A40" s="10" t="s">
        <v>4218</v>
      </c>
      <c r="B40" s="10">
        <f>COUNTIFS('Novel Approval Database'!$G$3:$G$1576,2020,'Novel Approval Database'!$C$3:$C$1576,"NDA",'Novel Approval Database'!$A$3:$A$1576,"CDER")</f>
        <v>40</v>
      </c>
      <c r="C40" s="10">
        <f>COUNTIFS('Novel Approval Database'!$G$3:$G$1576,2020,'Novel Approval Database'!$C$3:$C$1576,"BLA",'Novel Approval Database'!$A$3:$A$1576,"CDER")</f>
        <v>13</v>
      </c>
      <c r="D40" s="11">
        <f t="shared" si="0"/>
        <v>53</v>
      </c>
    </row>
    <row r="41" spans="1:4" x14ac:dyDescent="0.2">
      <c r="A41" s="10" t="s">
        <v>4219</v>
      </c>
      <c r="B41" s="10">
        <f>COUNTIFS('Novel Approval Database'!$G$3:$G$1576,2021,'Novel Approval Database'!$C$3:$C$1576,"NDA",'Novel Approval Database'!$A$3:$A$1576,"CDER")</f>
        <v>36</v>
      </c>
      <c r="C41" s="10">
        <f>COUNTIFS('Novel Approval Database'!$G$3:$G$1576,2021,'Novel Approval Database'!$C$3:$C$1576,"BLA",'Novel Approval Database'!$A$3:$A$1576,"CDER")</f>
        <v>14</v>
      </c>
      <c r="D41" s="11">
        <f t="shared" si="0"/>
        <v>50</v>
      </c>
    </row>
    <row r="42" spans="1:4" x14ac:dyDescent="0.2">
      <c r="A42" s="10" t="s">
        <v>4220</v>
      </c>
      <c r="B42" s="10">
        <f>COUNTIFS('Novel Approval Database'!$G$3:$G$1576,2022,'Novel Approval Database'!$C$3:$C$1576,"NDA",'Novel Approval Database'!$A$3:$A$1576,"CDER")</f>
        <v>22</v>
      </c>
      <c r="C42" s="10">
        <f>COUNTIFS('Novel Approval Database'!$G$3:$G$1576,2022,'Novel Approval Database'!$C$3:$C$1576,"BLA",'Novel Approval Database'!$A$3:$A$1576,"CDER")</f>
        <v>15</v>
      </c>
      <c r="D42" s="11">
        <f t="shared" si="0"/>
        <v>37</v>
      </c>
    </row>
    <row r="43" spans="1:4" x14ac:dyDescent="0.2">
      <c r="A43" s="10" t="s">
        <v>4221</v>
      </c>
      <c r="B43" s="10">
        <f>COUNTIFS('Novel Approval Database'!$G$3:$G$1576,2023,'Novel Approval Database'!$C$3:$C$1576,"NDA",'Novel Approval Database'!$A$3:$A$1576,"CDER")</f>
        <v>38</v>
      </c>
      <c r="C43" s="10">
        <f>COUNTIFS('Novel Approval Database'!$G$3:$G$1576,2023,'Novel Approval Database'!$C$3:$C$1576,"BLA",'Novel Approval Database'!$A$3:$A$1576,"CDER")</f>
        <v>17</v>
      </c>
      <c r="D43" s="11">
        <f t="shared" si="0"/>
        <v>55</v>
      </c>
    </row>
    <row r="44" spans="1:4" x14ac:dyDescent="0.2">
      <c r="A44" s="10" t="s">
        <v>4222</v>
      </c>
      <c r="B44" s="10">
        <f>COUNTIFS('Novel Approval Database'!$G$3:$G$1576,2024,'Novel Approval Database'!$C$3:$C$1576,"NDA",'Novel Approval Database'!$A$3:$A$1576,"CDER")</f>
        <v>34</v>
      </c>
      <c r="C44" s="10">
        <f>COUNTIFS('Novel Approval Database'!$G$3:$G$1576,2024,'Novel Approval Database'!$C$3:$C$1576,"BLA",'Novel Approval Database'!$A$3:$A$1576,"CDER")</f>
        <v>16</v>
      </c>
      <c r="D44" s="11">
        <f t="shared" si="0"/>
        <v>50</v>
      </c>
    </row>
    <row r="45" spans="1:4" x14ac:dyDescent="0.2">
      <c r="A45" s="10" t="s">
        <v>4223</v>
      </c>
      <c r="B45" s="10">
        <f>COUNTIFS('Novel Approval Database'!$G$3:$G$1576,2025,'Novel Approval Database'!$C$3:$C$1576,"NDA",'Novel Approval Database'!$A$3:$A$1576,"CDER")</f>
        <v>34</v>
      </c>
      <c r="C45" s="10">
        <f>COUNTIFS('Novel Approval Database'!$G$3:$G$1576,2025,'Novel Approval Database'!$C$3:$C$1576,"BLA",'Novel Approval Database'!$A$3:$A$1576,"CDER")</f>
        <v>12</v>
      </c>
      <c r="D45" s="11">
        <f t="shared" si="0"/>
        <v>46</v>
      </c>
    </row>
    <row r="46" spans="1:4" x14ac:dyDescent="0.2">
      <c r="A46" s="10" t="s">
        <v>4224</v>
      </c>
      <c r="B46" s="10">
        <f>COUNTIFS('Novel Approval Database'!$G$3:$G$1576,2026,'Novel Approval Database'!$C$3:$C$1576,"NDA",'Novel Approval Database'!$A$3:$A$1576,"CDER")</f>
        <v>7</v>
      </c>
      <c r="C46" s="10">
        <f>COUNTIFS('Novel Approval Database'!$G$3:$G$1576,2026,'Novel Approval Database'!$C$3:$C$1576,"BLA",'Novel Approval Database'!$A$3:$A$1576,"CDER")</f>
        <v>3</v>
      </c>
      <c r="D46" s="11">
        <f t="shared" si="0"/>
        <v>10</v>
      </c>
    </row>
    <row r="47" spans="1:4" x14ac:dyDescent="0.2">
      <c r="A47" s="12" t="s">
        <v>4225</v>
      </c>
      <c r="B47" s="13">
        <f ca="1">ROUND(B46*12/MONTH(EOMONTH(TODAY(),-1)),0)</f>
        <v>28</v>
      </c>
      <c r="C47" s="13">
        <f ca="1">ROUND(C46*12/MONTH(EOMONTH(TODAY(),-1)),0)</f>
        <v>12</v>
      </c>
      <c r="D47" s="14">
        <f t="shared" ca="1" si="0"/>
        <v>40</v>
      </c>
    </row>
    <row r="48" spans="1:4" x14ac:dyDescent="0.2">
      <c r="A48" s="15" t="s">
        <v>4226</v>
      </c>
    </row>
    <row r="50" spans="1:2" x14ac:dyDescent="0.2">
      <c r="A50" s="8" t="s">
        <v>4227</v>
      </c>
    </row>
    <row r="51" spans="1:2" x14ac:dyDescent="0.2">
      <c r="A51" s="9" t="s">
        <v>10</v>
      </c>
      <c r="B51" s="9" t="s">
        <v>4228</v>
      </c>
    </row>
    <row r="52" spans="1:2" x14ac:dyDescent="0.2">
      <c r="A52" s="10" t="s">
        <v>4183</v>
      </c>
      <c r="B52" s="10">
        <f>SUMIFS('Biosimilar Approval Database'!$G$2:$G$3,'Biosimilar Approval Database'!$B$2:$B$3,1985)</f>
        <v>0</v>
      </c>
    </row>
    <row r="53" spans="1:2" x14ac:dyDescent="0.2">
      <c r="A53" s="10" t="s">
        <v>4184</v>
      </c>
      <c r="B53" s="10">
        <f>SUMIFS('Biosimilar Approval Database'!$G$2:$G$3,'Biosimilar Approval Database'!$B$2:$B$3,1986)</f>
        <v>0</v>
      </c>
    </row>
    <row r="54" spans="1:2" x14ac:dyDescent="0.2">
      <c r="A54" s="10" t="s">
        <v>4185</v>
      </c>
      <c r="B54" s="10">
        <f>SUMIFS('Biosimilar Approval Database'!$G$2:$G$3,'Biosimilar Approval Database'!$B$2:$B$3,1987)</f>
        <v>0</v>
      </c>
    </row>
    <row r="55" spans="1:2" x14ac:dyDescent="0.2">
      <c r="A55" s="10" t="s">
        <v>4186</v>
      </c>
      <c r="B55" s="10">
        <f>SUMIFS('Biosimilar Approval Database'!$G$2:$G$3,'Biosimilar Approval Database'!$B$2:$B$3,1988)</f>
        <v>0</v>
      </c>
    </row>
    <row r="56" spans="1:2" x14ac:dyDescent="0.2">
      <c r="A56" s="10" t="s">
        <v>4187</v>
      </c>
      <c r="B56" s="10">
        <f>SUMIFS('Biosimilar Approval Database'!$G$2:$G$3,'Biosimilar Approval Database'!$B$2:$B$3,1989)</f>
        <v>0</v>
      </c>
    </row>
    <row r="57" spans="1:2" x14ac:dyDescent="0.2">
      <c r="A57" s="10" t="s">
        <v>4188</v>
      </c>
      <c r="B57" s="10">
        <f>SUMIFS('Biosimilar Approval Database'!$G$2:$G$3,'Biosimilar Approval Database'!$B$2:$B$3,1990)</f>
        <v>0</v>
      </c>
    </row>
    <row r="58" spans="1:2" x14ac:dyDescent="0.2">
      <c r="A58" s="10" t="s">
        <v>4189</v>
      </c>
      <c r="B58" s="10">
        <f>SUMIFS('Biosimilar Approval Database'!$G$2:$G$3,'Biosimilar Approval Database'!$B$2:$B$3,1991)</f>
        <v>0</v>
      </c>
    </row>
    <row r="59" spans="1:2" x14ac:dyDescent="0.2">
      <c r="A59" s="10" t="s">
        <v>4190</v>
      </c>
      <c r="B59" s="10">
        <f>SUMIFS('Biosimilar Approval Database'!$G$2:$G$3,'Biosimilar Approval Database'!$B$2:$B$3,1992)</f>
        <v>0</v>
      </c>
    </row>
    <row r="60" spans="1:2" x14ac:dyDescent="0.2">
      <c r="A60" s="10" t="s">
        <v>4191</v>
      </c>
      <c r="B60" s="10">
        <f>SUMIFS('Biosimilar Approval Database'!$G$2:$G$3,'Biosimilar Approval Database'!$B$2:$B$3,1993)</f>
        <v>0</v>
      </c>
    </row>
    <row r="61" spans="1:2" x14ac:dyDescent="0.2">
      <c r="A61" s="10" t="s">
        <v>4192</v>
      </c>
      <c r="B61" s="10">
        <f>SUMIFS('Biosimilar Approval Database'!$G$2:$G$3,'Biosimilar Approval Database'!$B$2:$B$3,1994)</f>
        <v>0</v>
      </c>
    </row>
    <row r="62" spans="1:2" x14ac:dyDescent="0.2">
      <c r="A62" s="10" t="s">
        <v>4193</v>
      </c>
      <c r="B62" s="10">
        <f>SUMIFS('Biosimilar Approval Database'!$G$2:$G$3,'Biosimilar Approval Database'!$B$2:$B$3,1995)</f>
        <v>0</v>
      </c>
    </row>
    <row r="63" spans="1:2" x14ac:dyDescent="0.2">
      <c r="A63" s="10" t="s">
        <v>4194</v>
      </c>
      <c r="B63" s="10">
        <f>SUMIFS('Biosimilar Approval Database'!$G$2:$G$3,'Biosimilar Approval Database'!$B$2:$B$3,1996)</f>
        <v>0</v>
      </c>
    </row>
    <row r="64" spans="1:2" x14ac:dyDescent="0.2">
      <c r="A64" s="10" t="s">
        <v>4195</v>
      </c>
      <c r="B64" s="10">
        <f>SUMIFS('Biosimilar Approval Database'!$G$2:$G$3,'Biosimilar Approval Database'!$B$2:$B$3,1997)</f>
        <v>0</v>
      </c>
    </row>
    <row r="65" spans="1:2" x14ac:dyDescent="0.2">
      <c r="A65" s="10" t="s">
        <v>4196</v>
      </c>
      <c r="B65" s="10">
        <f>SUMIFS('Biosimilar Approval Database'!$G$2:$G$3,'Biosimilar Approval Database'!$B$2:$B$3,1998)</f>
        <v>0</v>
      </c>
    </row>
    <row r="66" spans="1:2" x14ac:dyDescent="0.2">
      <c r="A66" s="10" t="s">
        <v>4197</v>
      </c>
      <c r="B66" s="10">
        <f>SUMIFS('Biosimilar Approval Database'!$G$2:$G$3,'Biosimilar Approval Database'!$B$2:$B$3,1999)</f>
        <v>0</v>
      </c>
    </row>
    <row r="67" spans="1:2" x14ac:dyDescent="0.2">
      <c r="A67" s="10" t="s">
        <v>4198</v>
      </c>
      <c r="B67" s="10">
        <f>SUMIFS('Biosimilar Approval Database'!$G$2:$G$3,'Biosimilar Approval Database'!$B$2:$B$3,2000)</f>
        <v>0</v>
      </c>
    </row>
    <row r="68" spans="1:2" x14ac:dyDescent="0.2">
      <c r="A68" s="10" t="s">
        <v>4199</v>
      </c>
      <c r="B68" s="10">
        <f>SUMIFS('Biosimilar Approval Database'!$G$2:$G$3,'Biosimilar Approval Database'!$B$2:$B$3,2001)</f>
        <v>0</v>
      </c>
    </row>
    <row r="69" spans="1:2" x14ac:dyDescent="0.2">
      <c r="A69" s="10" t="s">
        <v>4200</v>
      </c>
      <c r="B69" s="10">
        <f>SUMIFS('Biosimilar Approval Database'!$G$2:$G$3,'Biosimilar Approval Database'!$B$2:$B$3,2002)</f>
        <v>0</v>
      </c>
    </row>
    <row r="70" spans="1:2" x14ac:dyDescent="0.2">
      <c r="A70" s="10" t="s">
        <v>4201</v>
      </c>
      <c r="B70" s="10">
        <f>SUMIFS('Biosimilar Approval Database'!$G$2:$G$3,'Biosimilar Approval Database'!$B$2:$B$3,2003)</f>
        <v>0</v>
      </c>
    </row>
    <row r="71" spans="1:2" x14ac:dyDescent="0.2">
      <c r="A71" s="10" t="s">
        <v>4202</v>
      </c>
      <c r="B71" s="10">
        <f>SUMIFS('Biosimilar Approval Database'!$G$2:$G$3,'Biosimilar Approval Database'!$B$2:$B$3,2004)</f>
        <v>0</v>
      </c>
    </row>
    <row r="72" spans="1:2" x14ac:dyDescent="0.2">
      <c r="A72" s="10" t="s">
        <v>4203</v>
      </c>
      <c r="B72" s="10">
        <f>SUMIFS('Biosimilar Approval Database'!$G$2:$G$3,'Biosimilar Approval Database'!$B$2:$B$3,2005)</f>
        <v>0</v>
      </c>
    </row>
    <row r="73" spans="1:2" x14ac:dyDescent="0.2">
      <c r="A73" s="10" t="s">
        <v>4204</v>
      </c>
      <c r="B73" s="10">
        <f>SUMIFS('Biosimilar Approval Database'!$G$2:$G$3,'Biosimilar Approval Database'!$B$2:$B$3,2006)</f>
        <v>0</v>
      </c>
    </row>
    <row r="74" spans="1:2" x14ac:dyDescent="0.2">
      <c r="A74" s="10" t="s">
        <v>4205</v>
      </c>
      <c r="B74" s="10">
        <f>SUMIFS('Biosimilar Approval Database'!$G$2:$G$3,'Biosimilar Approval Database'!$B$2:$B$3,2007)</f>
        <v>0</v>
      </c>
    </row>
    <row r="75" spans="1:2" x14ac:dyDescent="0.2">
      <c r="A75" s="10" t="s">
        <v>4206</v>
      </c>
      <c r="B75" s="10">
        <f>SUMIFS('Biosimilar Approval Database'!$G$2:$G$3,'Biosimilar Approval Database'!$B$2:$B$3,2008)</f>
        <v>0</v>
      </c>
    </row>
    <row r="76" spans="1:2" x14ac:dyDescent="0.2">
      <c r="A76" s="10" t="s">
        <v>4207</v>
      </c>
      <c r="B76" s="10">
        <f>SUMIFS('Biosimilar Approval Database'!$G$2:$G$3,'Biosimilar Approval Database'!$B$2:$B$3,2009)</f>
        <v>0</v>
      </c>
    </row>
    <row r="77" spans="1:2" x14ac:dyDescent="0.2">
      <c r="A77" s="10" t="s">
        <v>4208</v>
      </c>
      <c r="B77" s="10">
        <f>SUMIFS('Biosimilar Approval Database'!$G$2:$G$3,'Biosimilar Approval Database'!$B$2:$B$3,2010)</f>
        <v>0</v>
      </c>
    </row>
    <row r="78" spans="1:2" x14ac:dyDescent="0.2">
      <c r="A78" s="10" t="s">
        <v>4209</v>
      </c>
      <c r="B78" s="10">
        <f>SUMIFS('Biosimilar Approval Database'!$G$2:$G$3,'Biosimilar Approval Database'!$B$2:$B$3,2011)</f>
        <v>0</v>
      </c>
    </row>
    <row r="79" spans="1:2" x14ac:dyDescent="0.2">
      <c r="A79" s="10" t="s">
        <v>4210</v>
      </c>
      <c r="B79" s="10">
        <f>SUMIFS('Biosimilar Approval Database'!$G$2:$G$3,'Biosimilar Approval Database'!$B$2:$B$3,2012)</f>
        <v>0</v>
      </c>
    </row>
    <row r="80" spans="1:2" x14ac:dyDescent="0.2">
      <c r="A80" s="10" t="s">
        <v>4211</v>
      </c>
      <c r="B80" s="10">
        <f>SUMIFS('Biosimilar Approval Database'!$G$2:$G$3,'Biosimilar Approval Database'!$B$2:$B$3,2013)</f>
        <v>0</v>
      </c>
    </row>
    <row r="81" spans="1:2" x14ac:dyDescent="0.2">
      <c r="A81" s="10" t="s">
        <v>4212</v>
      </c>
      <c r="B81" s="10">
        <f>SUMIFS('Biosimilar Approval Database'!$G$2:$G$3,'Biosimilar Approval Database'!$B$2:$B$3,2014)</f>
        <v>0</v>
      </c>
    </row>
    <row r="82" spans="1:2" x14ac:dyDescent="0.2">
      <c r="A82" s="10" t="s">
        <v>4213</v>
      </c>
      <c r="B82" s="10">
        <f>SUMIFS('Biosimilar Approval Database'!$G$2:$G$3,'Biosimilar Approval Database'!$B$2:$B$3,2015)</f>
        <v>0</v>
      </c>
    </row>
    <row r="83" spans="1:2" x14ac:dyDescent="0.2">
      <c r="A83" s="10" t="s">
        <v>4214</v>
      </c>
      <c r="B83" s="10">
        <f>SUMIFS('Biosimilar Approval Database'!$G$2:$G$3,'Biosimilar Approval Database'!$B$2:$B$3,2016)</f>
        <v>0</v>
      </c>
    </row>
    <row r="84" spans="1:2" x14ac:dyDescent="0.2">
      <c r="A84" s="10" t="s">
        <v>4215</v>
      </c>
      <c r="B84" s="10">
        <f>SUMIFS('Biosimilar Approval Database'!$G$2:$G$3,'Biosimilar Approval Database'!$B$2:$B$3,2017)</f>
        <v>0</v>
      </c>
    </row>
    <row r="85" spans="1:2" x14ac:dyDescent="0.2">
      <c r="A85" s="10" t="s">
        <v>4216</v>
      </c>
      <c r="B85" s="10">
        <f>SUMIFS('Biosimilar Approval Database'!$G$2:$G$3,'Biosimilar Approval Database'!$B$2:$B$3,2018)</f>
        <v>0</v>
      </c>
    </row>
    <row r="86" spans="1:2" x14ac:dyDescent="0.2">
      <c r="A86" s="10" t="s">
        <v>4217</v>
      </c>
      <c r="B86" s="10">
        <f>SUMIFS('Biosimilar Approval Database'!$G$2:$G$3,'Biosimilar Approval Database'!$B$2:$B$3,2019)</f>
        <v>0</v>
      </c>
    </row>
    <row r="87" spans="1:2" x14ac:dyDescent="0.2">
      <c r="A87" s="10" t="s">
        <v>4218</v>
      </c>
      <c r="B87" s="10">
        <f>SUMIFS('Biosimilar Approval Database'!$G$2:$G$3,'Biosimilar Approval Database'!$B$2:$B$3,2020)</f>
        <v>0</v>
      </c>
    </row>
    <row r="88" spans="1:2" x14ac:dyDescent="0.2">
      <c r="A88" s="10" t="s">
        <v>4219</v>
      </c>
      <c r="B88" s="10">
        <f>SUMIFS('Biosimilar Approval Database'!$G$2:$G$3,'Biosimilar Approval Database'!$B$2:$B$3,2021)</f>
        <v>0</v>
      </c>
    </row>
    <row r="89" spans="1:2" x14ac:dyDescent="0.2">
      <c r="A89" s="10" t="s">
        <v>4220</v>
      </c>
      <c r="B89" s="10">
        <f>SUMIFS('Biosimilar Approval Database'!$G$2:$G$3,'Biosimilar Approval Database'!$B$2:$B$3,2022)</f>
        <v>0</v>
      </c>
    </row>
    <row r="90" spans="1:2" x14ac:dyDescent="0.2">
      <c r="A90" s="10" t="s">
        <v>4221</v>
      </c>
      <c r="B90" s="10">
        <f>SUMIFS('Biosimilar Approval Database'!$G$2:$G$3,'Biosimilar Approval Database'!$B$2:$B$3,2023)</f>
        <v>0</v>
      </c>
    </row>
    <row r="91" spans="1:2" x14ac:dyDescent="0.2">
      <c r="A91" s="10" t="s">
        <v>4222</v>
      </c>
      <c r="B91" s="10">
        <f>SUMIFS('Biosimilar Approval Database'!$G$2:$G$3,'Biosimilar Approval Database'!$B$2:$B$3,2024)</f>
        <v>0</v>
      </c>
    </row>
    <row r="92" spans="1:2" x14ac:dyDescent="0.2">
      <c r="A92" s="10" t="s">
        <v>4223</v>
      </c>
      <c r="B92" s="10">
        <f>SUMIFS('Biosimilar Approval Database'!$G$2:$G$3,'Biosimilar Approval Database'!$B$2:$B$3,2025)</f>
        <v>0</v>
      </c>
    </row>
    <row r="93" spans="1:2" x14ac:dyDescent="0.2">
      <c r="A93" s="10" t="s">
        <v>4224</v>
      </c>
      <c r="B93" s="10">
        <f>SUMIFS('Biosimilar Approval Database'!$G$2:$G$3,'Biosimilar Approval Database'!$B$2:$B$3,2026)</f>
        <v>0</v>
      </c>
    </row>
    <row r="94" spans="1:2" x14ac:dyDescent="0.2">
      <c r="A94" s="12" t="s">
        <v>4225</v>
      </c>
      <c r="B94" s="13">
        <f ca="1">ROUND(B93*12/MONTH(EOMONTH(TODAY(),-1)),0)</f>
        <v>0</v>
      </c>
    </row>
    <row r="96" spans="1:2" x14ac:dyDescent="0.2">
      <c r="A96" s="8" t="s">
        <v>4229</v>
      </c>
    </row>
    <row r="97" spans="1:2" x14ac:dyDescent="0.2">
      <c r="A97" s="16" t="s">
        <v>4230</v>
      </c>
      <c r="B97" s="16" t="s">
        <v>4231</v>
      </c>
    </row>
    <row r="98" spans="1:2" x14ac:dyDescent="0.2">
      <c r="A98" s="17" t="s">
        <v>4232</v>
      </c>
      <c r="B98" s="10">
        <v>66</v>
      </c>
    </row>
    <row r="99" spans="1:2" x14ac:dyDescent="0.2">
      <c r="A99" s="17" t="s">
        <v>4233</v>
      </c>
      <c r="B99" s="10">
        <v>60</v>
      </c>
    </row>
    <row r="100" spans="1:2" x14ac:dyDescent="0.2">
      <c r="A100" s="17" t="s">
        <v>4234</v>
      </c>
      <c r="B100" s="18">
        <v>0.1</v>
      </c>
    </row>
    <row r="101" spans="1:2" x14ac:dyDescent="0.2">
      <c r="A101" s="17" t="s">
        <v>4235</v>
      </c>
      <c r="B101" s="19">
        <v>-1.4705882352941169E-2</v>
      </c>
    </row>
    <row r="103" spans="1:2" x14ac:dyDescent="0.2">
      <c r="A103" s="8" t="s">
        <v>4236</v>
      </c>
    </row>
    <row r="104" spans="1:2" x14ac:dyDescent="0.2">
      <c r="A104" s="16" t="s">
        <v>4230</v>
      </c>
      <c r="B104" s="16" t="s">
        <v>4231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B2A4A"/>
  </sheetPr>
  <dimension ref="A1:E3"/>
  <sheetViews>
    <sheetView showGridLines="0" workbookViewId="0"/>
  </sheetViews>
  <sheetFormatPr baseColWidth="10" defaultColWidth="8.83203125" defaultRowHeight="15" x14ac:dyDescent="0.2"/>
  <cols>
    <col min="1" max="5" width="20.6640625" customWidth="1"/>
  </cols>
  <sheetData>
    <row r="1" spans="1:5" x14ac:dyDescent="0.2">
      <c r="A1" s="29" t="s">
        <v>2</v>
      </c>
      <c r="B1" s="29"/>
      <c r="C1" s="29"/>
      <c r="D1" s="29"/>
      <c r="E1" s="29"/>
    </row>
    <row r="2" spans="1:5" x14ac:dyDescent="0.2">
      <c r="A2" s="29"/>
      <c r="B2" s="29"/>
      <c r="C2" s="29"/>
      <c r="D2" s="29"/>
      <c r="E2" s="29"/>
    </row>
    <row r="3" spans="1:5" x14ac:dyDescent="0.2">
      <c r="A3" s="29"/>
      <c r="B3" s="29"/>
      <c r="C3" s="29"/>
      <c r="D3" s="29"/>
      <c r="E3" s="29"/>
    </row>
  </sheetData>
  <mergeCells count="1">
    <mergeCell ref="A1: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8D4E3"/>
  </sheetPr>
  <dimension ref="A1:J1576"/>
  <sheetViews>
    <sheetView workbookViewId="0">
      <pane ySplit="2" topLeftCell="A3" activePane="bottomLeft" state="frozen"/>
      <selection pane="bottomLeft"/>
    </sheetView>
  </sheetViews>
  <sheetFormatPr baseColWidth="10" defaultColWidth="8.83203125" defaultRowHeight="15" x14ac:dyDescent="0.2"/>
  <cols>
    <col min="1" max="1" width="12.6640625" customWidth="1"/>
    <col min="2" max="3" width="14.6640625" customWidth="1"/>
    <col min="4" max="4" width="18.6640625" customWidth="1"/>
    <col min="5" max="5" width="22.6640625" customWidth="1"/>
    <col min="6" max="7" width="8.6640625" customWidth="1"/>
    <col min="8" max="8" width="12.6640625" customWidth="1"/>
    <col min="9" max="9" width="40.6640625" customWidth="1"/>
    <col min="10" max="10" width="50.6640625" customWidth="1"/>
  </cols>
  <sheetData>
    <row r="1" spans="1:10" x14ac:dyDescent="0.2">
      <c r="A1" s="7" t="s">
        <v>3</v>
      </c>
    </row>
    <row r="2" spans="1:10" x14ac:dyDescent="0.2">
      <c r="A2" s="9" t="s">
        <v>4</v>
      </c>
      <c r="B2" s="9" t="s">
        <v>5</v>
      </c>
      <c r="C2" s="9" t="s">
        <v>6</v>
      </c>
      <c r="D2" s="20" t="s">
        <v>7</v>
      </c>
      <c r="E2" s="20" t="s">
        <v>8</v>
      </c>
      <c r="F2" s="20" t="s">
        <v>9</v>
      </c>
      <c r="G2" s="20" t="s">
        <v>10</v>
      </c>
      <c r="H2" s="20" t="s">
        <v>11</v>
      </c>
      <c r="I2" s="20" t="s">
        <v>12</v>
      </c>
      <c r="J2" s="20" t="s">
        <v>13</v>
      </c>
    </row>
    <row r="3" spans="1:10" x14ac:dyDescent="0.2">
      <c r="A3" s="21" t="s">
        <v>14</v>
      </c>
      <c r="B3" s="22">
        <v>46107</v>
      </c>
      <c r="C3" s="21" t="s">
        <v>15</v>
      </c>
      <c r="D3" s="21" t="s">
        <v>16</v>
      </c>
      <c r="E3" s="21" t="s">
        <v>17</v>
      </c>
      <c r="F3" s="10">
        <v>3</v>
      </c>
      <c r="G3" s="10">
        <v>2026</v>
      </c>
      <c r="H3" s="21" t="s">
        <v>18</v>
      </c>
      <c r="I3" s="21" t="s">
        <v>19</v>
      </c>
      <c r="J3" s="21" t="s">
        <v>20</v>
      </c>
    </row>
    <row r="4" spans="1:10" x14ac:dyDescent="0.2">
      <c r="A4" s="23" t="s">
        <v>14</v>
      </c>
      <c r="B4" s="24">
        <v>46106</v>
      </c>
      <c r="C4" s="23" t="s">
        <v>21</v>
      </c>
      <c r="D4" s="23" t="s">
        <v>22</v>
      </c>
      <c r="E4" s="23" t="s">
        <v>23</v>
      </c>
      <c r="F4" s="10">
        <v>3</v>
      </c>
      <c r="G4" s="10">
        <v>2026</v>
      </c>
      <c r="H4" s="23" t="s">
        <v>18</v>
      </c>
      <c r="I4" s="23" t="s">
        <v>24</v>
      </c>
      <c r="J4" s="23" t="s">
        <v>20</v>
      </c>
    </row>
    <row r="5" spans="1:10" x14ac:dyDescent="0.2">
      <c r="A5" s="21" t="s">
        <v>14</v>
      </c>
      <c r="B5" s="22">
        <v>46105</v>
      </c>
      <c r="C5" s="21" t="s">
        <v>15</v>
      </c>
      <c r="D5" s="21" t="s">
        <v>25</v>
      </c>
      <c r="E5" s="21" t="s">
        <v>26</v>
      </c>
      <c r="F5" s="10">
        <v>3</v>
      </c>
      <c r="G5" s="10">
        <v>2026</v>
      </c>
      <c r="H5" s="21" t="s">
        <v>18</v>
      </c>
      <c r="I5" s="21" t="s">
        <v>27</v>
      </c>
      <c r="J5" s="21" t="s">
        <v>20</v>
      </c>
    </row>
    <row r="6" spans="1:10" x14ac:dyDescent="0.2">
      <c r="A6" s="23" t="s">
        <v>14</v>
      </c>
      <c r="B6" s="24">
        <v>46098</v>
      </c>
      <c r="C6" s="23" t="s">
        <v>21</v>
      </c>
      <c r="D6" s="23" t="s">
        <v>28</v>
      </c>
      <c r="E6" s="23" t="s">
        <v>29</v>
      </c>
      <c r="F6" s="10">
        <v>3</v>
      </c>
      <c r="G6" s="10">
        <v>2026</v>
      </c>
      <c r="H6" s="23" t="s">
        <v>18</v>
      </c>
      <c r="I6" s="23" t="s">
        <v>30</v>
      </c>
      <c r="J6" s="23" t="s">
        <v>20</v>
      </c>
    </row>
    <row r="7" spans="1:10" x14ac:dyDescent="0.2">
      <c r="A7" s="21" t="s">
        <v>14</v>
      </c>
      <c r="B7" s="22">
        <v>46098</v>
      </c>
      <c r="C7" s="21" t="s">
        <v>21</v>
      </c>
      <c r="D7" s="21" t="s">
        <v>31</v>
      </c>
      <c r="E7" s="21" t="s">
        <v>32</v>
      </c>
      <c r="F7" s="10">
        <v>3</v>
      </c>
      <c r="G7" s="10">
        <v>2026</v>
      </c>
      <c r="H7" s="21" t="s">
        <v>18</v>
      </c>
      <c r="I7" s="21" t="s">
        <v>33</v>
      </c>
      <c r="J7" s="21" t="s">
        <v>20</v>
      </c>
    </row>
    <row r="8" spans="1:10" x14ac:dyDescent="0.2">
      <c r="A8" s="23" t="s">
        <v>14</v>
      </c>
      <c r="B8" s="24">
        <v>46080</v>
      </c>
      <c r="C8" s="23" t="s">
        <v>21</v>
      </c>
      <c r="D8" s="23" t="s">
        <v>34</v>
      </c>
      <c r="E8" s="23" t="s">
        <v>35</v>
      </c>
      <c r="F8" s="10">
        <v>2</v>
      </c>
      <c r="G8" s="10">
        <v>2026</v>
      </c>
      <c r="H8" s="23" t="s">
        <v>36</v>
      </c>
      <c r="I8" s="23" t="s">
        <v>37</v>
      </c>
      <c r="J8" s="23" t="s">
        <v>20</v>
      </c>
    </row>
    <row r="9" spans="1:10" x14ac:dyDescent="0.2">
      <c r="A9" s="21" t="s">
        <v>14</v>
      </c>
      <c r="B9" s="22">
        <v>46076</v>
      </c>
      <c r="C9" s="21" t="s">
        <v>15</v>
      </c>
      <c r="D9" s="21" t="s">
        <v>38</v>
      </c>
      <c r="E9" s="21" t="s">
        <v>39</v>
      </c>
      <c r="F9" s="10">
        <v>2</v>
      </c>
      <c r="G9" s="10">
        <v>2026</v>
      </c>
      <c r="H9" s="21" t="s">
        <v>36</v>
      </c>
      <c r="I9" s="21" t="s">
        <v>40</v>
      </c>
      <c r="J9" s="21" t="s">
        <v>20</v>
      </c>
    </row>
    <row r="10" spans="1:10" x14ac:dyDescent="0.2">
      <c r="A10" s="23" t="s">
        <v>14</v>
      </c>
      <c r="B10" s="24">
        <v>46073</v>
      </c>
      <c r="C10" s="23" t="s">
        <v>21</v>
      </c>
      <c r="D10" s="23" t="s">
        <v>41</v>
      </c>
      <c r="E10" s="23" t="s">
        <v>42</v>
      </c>
      <c r="F10" s="10">
        <v>2</v>
      </c>
      <c r="G10" s="10">
        <v>2026</v>
      </c>
      <c r="H10" s="23" t="s">
        <v>36</v>
      </c>
      <c r="I10" s="23" t="s">
        <v>43</v>
      </c>
      <c r="J10" s="23" t="s">
        <v>20</v>
      </c>
    </row>
    <row r="11" spans="1:10" x14ac:dyDescent="0.2">
      <c r="A11" s="21" t="s">
        <v>14</v>
      </c>
      <c r="B11" s="22">
        <v>46065</v>
      </c>
      <c r="C11" s="21" t="s">
        <v>21</v>
      </c>
      <c r="D11" s="21" t="s">
        <v>44</v>
      </c>
      <c r="E11" s="21" t="s">
        <v>45</v>
      </c>
      <c r="F11" s="10">
        <v>2</v>
      </c>
      <c r="G11" s="10">
        <v>2026</v>
      </c>
      <c r="H11" s="21" t="s">
        <v>36</v>
      </c>
      <c r="I11" s="21" t="s">
        <v>46</v>
      </c>
      <c r="J11" s="21" t="s">
        <v>20</v>
      </c>
    </row>
    <row r="12" spans="1:10" x14ac:dyDescent="0.2">
      <c r="A12" s="23" t="s">
        <v>14</v>
      </c>
      <c r="B12" s="24">
        <v>46034</v>
      </c>
      <c r="C12" s="23" t="s">
        <v>21</v>
      </c>
      <c r="D12" s="23" t="s">
        <v>47</v>
      </c>
      <c r="E12" s="23" t="s">
        <v>48</v>
      </c>
      <c r="F12" s="10">
        <v>1</v>
      </c>
      <c r="G12" s="10">
        <v>2026</v>
      </c>
      <c r="H12" s="23" t="s">
        <v>49</v>
      </c>
      <c r="I12" s="23" t="s">
        <v>50</v>
      </c>
      <c r="J12" s="23" t="s">
        <v>20</v>
      </c>
    </row>
    <row r="13" spans="1:10" x14ac:dyDescent="0.2">
      <c r="A13" s="21" t="s">
        <v>14</v>
      </c>
      <c r="B13" s="22">
        <v>46021</v>
      </c>
      <c r="C13" s="21" t="s">
        <v>21</v>
      </c>
      <c r="D13" s="21" t="s">
        <v>51</v>
      </c>
      <c r="E13" s="21" t="s">
        <v>52</v>
      </c>
      <c r="F13" s="10">
        <v>12</v>
      </c>
      <c r="G13" s="10">
        <v>2025</v>
      </c>
      <c r="H13" s="21" t="s">
        <v>53</v>
      </c>
      <c r="I13" s="21" t="s">
        <v>54</v>
      </c>
      <c r="J13" s="21" t="s">
        <v>55</v>
      </c>
    </row>
    <row r="14" spans="1:10" x14ac:dyDescent="0.2">
      <c r="A14" s="23" t="s">
        <v>14</v>
      </c>
      <c r="B14" s="24">
        <v>46014</v>
      </c>
      <c r="C14" s="23" t="s">
        <v>15</v>
      </c>
      <c r="D14" s="23" t="s">
        <v>56</v>
      </c>
      <c r="E14" s="23" t="s">
        <v>57</v>
      </c>
      <c r="F14" s="10">
        <v>12</v>
      </c>
      <c r="G14" s="10">
        <v>2025</v>
      </c>
      <c r="H14" s="23" t="s">
        <v>53</v>
      </c>
      <c r="I14" s="23" t="s">
        <v>58</v>
      </c>
      <c r="J14" s="23" t="s">
        <v>55</v>
      </c>
    </row>
    <row r="15" spans="1:10" x14ac:dyDescent="0.2">
      <c r="A15" s="21" t="s">
        <v>14</v>
      </c>
      <c r="B15" s="22">
        <v>46010</v>
      </c>
      <c r="C15" s="21" t="s">
        <v>21</v>
      </c>
      <c r="D15" s="21" t="s">
        <v>59</v>
      </c>
      <c r="E15" s="21" t="s">
        <v>60</v>
      </c>
      <c r="F15" s="10">
        <v>12</v>
      </c>
      <c r="G15" s="10">
        <v>2025</v>
      </c>
      <c r="H15" s="21" t="s">
        <v>53</v>
      </c>
      <c r="I15" s="21" t="s">
        <v>61</v>
      </c>
      <c r="J15" s="21" t="s">
        <v>55</v>
      </c>
    </row>
    <row r="16" spans="1:10" x14ac:dyDescent="0.2">
      <c r="A16" s="23" t="s">
        <v>14</v>
      </c>
      <c r="B16" s="24">
        <v>46007</v>
      </c>
      <c r="C16" s="23" t="s">
        <v>15</v>
      </c>
      <c r="D16" s="23" t="s">
        <v>62</v>
      </c>
      <c r="E16" s="23" t="s">
        <v>63</v>
      </c>
      <c r="F16" s="10">
        <v>12</v>
      </c>
      <c r="G16" s="10">
        <v>2025</v>
      </c>
      <c r="H16" s="23" t="s">
        <v>53</v>
      </c>
      <c r="I16" s="23" t="s">
        <v>64</v>
      </c>
      <c r="J16" s="23" t="s">
        <v>55</v>
      </c>
    </row>
    <row r="17" spans="1:10" x14ac:dyDescent="0.2">
      <c r="A17" s="21" t="s">
        <v>65</v>
      </c>
      <c r="B17" s="22">
        <v>46007</v>
      </c>
      <c r="C17" s="21" t="s">
        <v>15</v>
      </c>
      <c r="D17" s="21" t="s">
        <v>66</v>
      </c>
      <c r="E17" s="21" t="s">
        <v>66</v>
      </c>
      <c r="F17" s="10">
        <v>12</v>
      </c>
      <c r="G17" s="10">
        <v>2025</v>
      </c>
      <c r="H17" s="21" t="s">
        <v>53</v>
      </c>
      <c r="I17" s="21" t="s">
        <v>67</v>
      </c>
      <c r="J17" s="21" t="s">
        <v>68</v>
      </c>
    </row>
    <row r="18" spans="1:10" x14ac:dyDescent="0.2">
      <c r="A18" s="23" t="s">
        <v>14</v>
      </c>
      <c r="B18" s="24">
        <v>46003</v>
      </c>
      <c r="C18" s="23" t="s">
        <v>21</v>
      </c>
      <c r="D18" s="23" t="s">
        <v>69</v>
      </c>
      <c r="E18" s="23" t="s">
        <v>70</v>
      </c>
      <c r="F18" s="10">
        <v>12</v>
      </c>
      <c r="G18" s="10">
        <v>2025</v>
      </c>
      <c r="H18" s="23" t="s">
        <v>53</v>
      </c>
      <c r="I18" s="23" t="s">
        <v>71</v>
      </c>
      <c r="J18" s="23" t="s">
        <v>55</v>
      </c>
    </row>
    <row r="19" spans="1:10" x14ac:dyDescent="0.2">
      <c r="A19" s="21" t="s">
        <v>14</v>
      </c>
      <c r="B19" s="22">
        <v>46003</v>
      </c>
      <c r="C19" s="21" t="s">
        <v>21</v>
      </c>
      <c r="D19" s="21" t="s">
        <v>72</v>
      </c>
      <c r="E19" s="21" t="s">
        <v>73</v>
      </c>
      <c r="F19" s="10">
        <v>12</v>
      </c>
      <c r="G19" s="10">
        <v>2025</v>
      </c>
      <c r="H19" s="21" t="s">
        <v>53</v>
      </c>
      <c r="I19" s="21" t="s">
        <v>74</v>
      </c>
      <c r="J19" s="21" t="s">
        <v>55</v>
      </c>
    </row>
    <row r="20" spans="1:10" x14ac:dyDescent="0.2">
      <c r="A20" s="23" t="s">
        <v>14</v>
      </c>
      <c r="B20" s="24">
        <v>46003</v>
      </c>
      <c r="C20" s="23" t="s">
        <v>15</v>
      </c>
      <c r="D20" s="23" t="s">
        <v>75</v>
      </c>
      <c r="E20" s="23" t="s">
        <v>76</v>
      </c>
      <c r="F20" s="10">
        <v>12</v>
      </c>
      <c r="G20" s="10">
        <v>2025</v>
      </c>
      <c r="H20" s="23" t="s">
        <v>53</v>
      </c>
      <c r="I20" s="23" t="s">
        <v>77</v>
      </c>
      <c r="J20" s="23" t="s">
        <v>55</v>
      </c>
    </row>
    <row r="21" spans="1:10" x14ac:dyDescent="0.2">
      <c r="A21" s="21" t="s">
        <v>65</v>
      </c>
      <c r="B21" s="22">
        <v>46000</v>
      </c>
      <c r="C21" s="21" t="s">
        <v>15</v>
      </c>
      <c r="D21" s="21" t="s">
        <v>78</v>
      </c>
      <c r="E21" s="21" t="s">
        <v>78</v>
      </c>
      <c r="F21" s="10">
        <v>12</v>
      </c>
      <c r="G21" s="10">
        <v>2025</v>
      </c>
      <c r="H21" s="21" t="s">
        <v>53</v>
      </c>
      <c r="I21" s="21" t="s">
        <v>79</v>
      </c>
      <c r="J21" s="21" t="s">
        <v>68</v>
      </c>
    </row>
    <row r="22" spans="1:10" x14ac:dyDescent="0.2">
      <c r="A22" s="23" t="s">
        <v>65</v>
      </c>
      <c r="B22" s="24">
        <v>45994</v>
      </c>
      <c r="C22" s="23" t="s">
        <v>15</v>
      </c>
      <c r="D22" s="23" t="s">
        <v>80</v>
      </c>
      <c r="E22" s="23" t="s">
        <v>80</v>
      </c>
      <c r="F22" s="10">
        <v>12</v>
      </c>
      <c r="G22" s="10">
        <v>2025</v>
      </c>
      <c r="H22" s="23" t="s">
        <v>53</v>
      </c>
      <c r="I22" s="23" t="s">
        <v>81</v>
      </c>
      <c r="J22" s="23" t="s">
        <v>68</v>
      </c>
    </row>
    <row r="23" spans="1:10" x14ac:dyDescent="0.2">
      <c r="A23" s="21" t="s">
        <v>14</v>
      </c>
      <c r="B23" s="22">
        <v>45986</v>
      </c>
      <c r="C23" s="21" t="s">
        <v>15</v>
      </c>
      <c r="D23" s="21" t="s">
        <v>82</v>
      </c>
      <c r="E23" s="21" t="s">
        <v>83</v>
      </c>
      <c r="F23" s="10">
        <v>11</v>
      </c>
      <c r="G23" s="10">
        <v>2025</v>
      </c>
      <c r="H23" s="21" t="s">
        <v>84</v>
      </c>
      <c r="I23" s="21" t="s">
        <v>85</v>
      </c>
      <c r="J23" s="21" t="s">
        <v>55</v>
      </c>
    </row>
    <row r="24" spans="1:10" x14ac:dyDescent="0.2">
      <c r="A24" s="23" t="s">
        <v>65</v>
      </c>
      <c r="B24" s="24">
        <v>45985</v>
      </c>
      <c r="C24" s="23" t="s">
        <v>15</v>
      </c>
      <c r="D24" s="23" t="s">
        <v>86</v>
      </c>
      <c r="E24" s="23" t="s">
        <v>86</v>
      </c>
      <c r="F24" s="10">
        <v>11</v>
      </c>
      <c r="G24" s="10">
        <v>2025</v>
      </c>
      <c r="H24" s="23" t="s">
        <v>84</v>
      </c>
      <c r="I24" s="23" t="s">
        <v>87</v>
      </c>
      <c r="J24" s="23" t="s">
        <v>68</v>
      </c>
    </row>
    <row r="25" spans="1:10" x14ac:dyDescent="0.2">
      <c r="A25" s="21" t="s">
        <v>65</v>
      </c>
      <c r="B25" s="22">
        <v>45982</v>
      </c>
      <c r="C25" s="21" t="s">
        <v>15</v>
      </c>
      <c r="D25" s="21" t="s">
        <v>88</v>
      </c>
      <c r="E25" s="21" t="s">
        <v>88</v>
      </c>
      <c r="F25" s="10">
        <v>11</v>
      </c>
      <c r="G25" s="10">
        <v>2025</v>
      </c>
      <c r="H25" s="21" t="s">
        <v>84</v>
      </c>
      <c r="I25" s="21" t="s">
        <v>89</v>
      </c>
      <c r="J25" s="21" t="s">
        <v>68</v>
      </c>
    </row>
    <row r="26" spans="1:10" x14ac:dyDescent="0.2">
      <c r="A26" s="23" t="s">
        <v>65</v>
      </c>
      <c r="B26" s="24">
        <v>45982</v>
      </c>
      <c r="C26" s="23" t="s">
        <v>15</v>
      </c>
      <c r="D26" s="23" t="s">
        <v>90</v>
      </c>
      <c r="E26" s="23" t="s">
        <v>90</v>
      </c>
      <c r="F26" s="10">
        <v>11</v>
      </c>
      <c r="G26" s="10">
        <v>2025</v>
      </c>
      <c r="H26" s="23" t="s">
        <v>84</v>
      </c>
      <c r="I26" s="23" t="s">
        <v>91</v>
      </c>
      <c r="J26" s="23" t="s">
        <v>68</v>
      </c>
    </row>
    <row r="27" spans="1:10" x14ac:dyDescent="0.2">
      <c r="A27" s="21" t="s">
        <v>65</v>
      </c>
      <c r="B27" s="22">
        <v>45982</v>
      </c>
      <c r="C27" s="21" t="s">
        <v>15</v>
      </c>
      <c r="D27" s="21" t="s">
        <v>92</v>
      </c>
      <c r="E27" s="21" t="s">
        <v>92</v>
      </c>
      <c r="F27" s="10">
        <v>11</v>
      </c>
      <c r="G27" s="10">
        <v>2025</v>
      </c>
      <c r="H27" s="21" t="s">
        <v>84</v>
      </c>
      <c r="I27" s="21" t="s">
        <v>93</v>
      </c>
      <c r="J27" s="21" t="s">
        <v>68</v>
      </c>
    </row>
    <row r="28" spans="1:10" x14ac:dyDescent="0.2">
      <c r="A28" s="23" t="s">
        <v>65</v>
      </c>
      <c r="B28" s="24">
        <v>45982</v>
      </c>
      <c r="C28" s="23" t="s">
        <v>15</v>
      </c>
      <c r="D28" s="23" t="s">
        <v>94</v>
      </c>
      <c r="E28" s="23" t="s">
        <v>94</v>
      </c>
      <c r="F28" s="10">
        <v>11</v>
      </c>
      <c r="G28" s="10">
        <v>2025</v>
      </c>
      <c r="H28" s="23" t="s">
        <v>84</v>
      </c>
      <c r="I28" s="23" t="s">
        <v>95</v>
      </c>
      <c r="J28" s="23" t="s">
        <v>68</v>
      </c>
    </row>
    <row r="29" spans="1:10" x14ac:dyDescent="0.2">
      <c r="A29" s="21" t="s">
        <v>65</v>
      </c>
      <c r="B29" s="22">
        <v>45982</v>
      </c>
      <c r="C29" s="21" t="s">
        <v>15</v>
      </c>
      <c r="D29" s="21" t="s">
        <v>96</v>
      </c>
      <c r="E29" s="21" t="s">
        <v>96</v>
      </c>
      <c r="F29" s="10">
        <v>11</v>
      </c>
      <c r="G29" s="10">
        <v>2025</v>
      </c>
      <c r="H29" s="21" t="s">
        <v>84</v>
      </c>
      <c r="I29" s="21" t="s">
        <v>97</v>
      </c>
      <c r="J29" s="21" t="s">
        <v>68</v>
      </c>
    </row>
    <row r="30" spans="1:10" x14ac:dyDescent="0.2">
      <c r="A30" s="23" t="s">
        <v>65</v>
      </c>
      <c r="B30" s="24">
        <v>45982</v>
      </c>
      <c r="C30" s="23" t="s">
        <v>15</v>
      </c>
      <c r="D30" s="23" t="s">
        <v>98</v>
      </c>
      <c r="E30" s="23" t="s">
        <v>98</v>
      </c>
      <c r="F30" s="10">
        <v>11</v>
      </c>
      <c r="G30" s="10">
        <v>2025</v>
      </c>
      <c r="H30" s="23" t="s">
        <v>84</v>
      </c>
      <c r="I30" s="23" t="s">
        <v>99</v>
      </c>
      <c r="J30" s="23" t="s">
        <v>68</v>
      </c>
    </row>
    <row r="31" spans="1:10" x14ac:dyDescent="0.2">
      <c r="A31" s="21" t="s">
        <v>65</v>
      </c>
      <c r="B31" s="22">
        <v>45982</v>
      </c>
      <c r="C31" s="21" t="s">
        <v>15</v>
      </c>
      <c r="D31" s="21" t="s">
        <v>100</v>
      </c>
      <c r="E31" s="21" t="s">
        <v>100</v>
      </c>
      <c r="F31" s="10">
        <v>11</v>
      </c>
      <c r="G31" s="10">
        <v>2025</v>
      </c>
      <c r="H31" s="21" t="s">
        <v>84</v>
      </c>
      <c r="I31" s="21" t="s">
        <v>101</v>
      </c>
      <c r="J31" s="21" t="s">
        <v>68</v>
      </c>
    </row>
    <row r="32" spans="1:10" x14ac:dyDescent="0.2">
      <c r="A32" s="23" t="s">
        <v>65</v>
      </c>
      <c r="B32" s="24">
        <v>45982</v>
      </c>
      <c r="C32" s="23" t="s">
        <v>15</v>
      </c>
      <c r="D32" s="23" t="s">
        <v>102</v>
      </c>
      <c r="E32" s="23" t="s">
        <v>102</v>
      </c>
      <c r="F32" s="10">
        <v>11</v>
      </c>
      <c r="G32" s="10">
        <v>2025</v>
      </c>
      <c r="H32" s="23" t="s">
        <v>84</v>
      </c>
      <c r="I32" s="23" t="s">
        <v>103</v>
      </c>
      <c r="J32" s="23" t="s">
        <v>68</v>
      </c>
    </row>
    <row r="33" spans="1:10" x14ac:dyDescent="0.2">
      <c r="A33" s="21" t="s">
        <v>14</v>
      </c>
      <c r="B33" s="22">
        <v>45980</v>
      </c>
      <c r="C33" s="21" t="s">
        <v>21</v>
      </c>
      <c r="D33" s="21" t="s">
        <v>104</v>
      </c>
      <c r="E33" s="21" t="s">
        <v>105</v>
      </c>
      <c r="F33" s="10">
        <v>11</v>
      </c>
      <c r="G33" s="10">
        <v>2025</v>
      </c>
      <c r="H33" s="21" t="s">
        <v>84</v>
      </c>
      <c r="I33" s="21" t="s">
        <v>106</v>
      </c>
      <c r="J33" s="21" t="s">
        <v>55</v>
      </c>
    </row>
    <row r="34" spans="1:10" x14ac:dyDescent="0.2">
      <c r="A34" s="23" t="s">
        <v>14</v>
      </c>
      <c r="B34" s="24">
        <v>45979</v>
      </c>
      <c r="C34" s="23" t="s">
        <v>21</v>
      </c>
      <c r="D34" s="23" t="s">
        <v>107</v>
      </c>
      <c r="E34" s="23" t="s">
        <v>108</v>
      </c>
      <c r="F34" s="10">
        <v>11</v>
      </c>
      <c r="G34" s="10">
        <v>2025</v>
      </c>
      <c r="H34" s="23" t="s">
        <v>84</v>
      </c>
      <c r="I34" s="23" t="s">
        <v>109</v>
      </c>
      <c r="J34" s="23" t="s">
        <v>55</v>
      </c>
    </row>
    <row r="35" spans="1:10" x14ac:dyDescent="0.2">
      <c r="A35" s="21" t="s">
        <v>14</v>
      </c>
      <c r="B35" s="22">
        <v>45974</v>
      </c>
      <c r="C35" s="21" t="s">
        <v>21</v>
      </c>
      <c r="D35" s="21" t="s">
        <v>110</v>
      </c>
      <c r="E35" s="21" t="s">
        <v>111</v>
      </c>
      <c r="F35" s="10">
        <v>11</v>
      </c>
      <c r="G35" s="10">
        <v>2025</v>
      </c>
      <c r="H35" s="21" t="s">
        <v>84</v>
      </c>
      <c r="I35" s="21" t="s">
        <v>112</v>
      </c>
      <c r="J35" s="21" t="s">
        <v>55</v>
      </c>
    </row>
    <row r="36" spans="1:10" x14ac:dyDescent="0.2">
      <c r="A36" s="23" t="s">
        <v>14</v>
      </c>
      <c r="B36" s="24">
        <v>45964</v>
      </c>
      <c r="C36" s="23" t="s">
        <v>21</v>
      </c>
      <c r="D36" s="23" t="s">
        <v>113</v>
      </c>
      <c r="E36" s="23" t="s">
        <v>114</v>
      </c>
      <c r="F36" s="10">
        <v>11</v>
      </c>
      <c r="G36" s="10">
        <v>2025</v>
      </c>
      <c r="H36" s="23" t="s">
        <v>84</v>
      </c>
      <c r="I36" s="23" t="s">
        <v>115</v>
      </c>
      <c r="J36" s="23" t="s">
        <v>55</v>
      </c>
    </row>
    <row r="37" spans="1:10" x14ac:dyDescent="0.2">
      <c r="A37" s="21" t="s">
        <v>14</v>
      </c>
      <c r="B37" s="22">
        <v>45954</v>
      </c>
      <c r="C37" s="21" t="s">
        <v>21</v>
      </c>
      <c r="D37" s="21" t="s">
        <v>116</v>
      </c>
      <c r="E37" s="21" t="s">
        <v>117</v>
      </c>
      <c r="F37" s="10">
        <v>10</v>
      </c>
      <c r="G37" s="10">
        <v>2025</v>
      </c>
      <c r="H37" s="21" t="s">
        <v>118</v>
      </c>
      <c r="I37" s="21" t="s">
        <v>119</v>
      </c>
      <c r="J37" s="21" t="s">
        <v>55</v>
      </c>
    </row>
    <row r="38" spans="1:10" x14ac:dyDescent="0.2">
      <c r="A38" s="23" t="s">
        <v>14</v>
      </c>
      <c r="B38" s="24">
        <v>45937</v>
      </c>
      <c r="C38" s="23" t="s">
        <v>21</v>
      </c>
      <c r="D38" s="23" t="s">
        <v>120</v>
      </c>
      <c r="E38" s="23" t="s">
        <v>121</v>
      </c>
      <c r="F38" s="10">
        <v>10</v>
      </c>
      <c r="G38" s="10">
        <v>2025</v>
      </c>
      <c r="H38" s="23" t="s">
        <v>118</v>
      </c>
      <c r="I38" s="23" t="s">
        <v>122</v>
      </c>
      <c r="J38" s="23" t="s">
        <v>55</v>
      </c>
    </row>
    <row r="39" spans="1:10" x14ac:dyDescent="0.2">
      <c r="A39" s="21" t="s">
        <v>14</v>
      </c>
      <c r="B39" s="22">
        <v>45930</v>
      </c>
      <c r="C39" s="21" t="s">
        <v>21</v>
      </c>
      <c r="D39" s="21" t="s">
        <v>123</v>
      </c>
      <c r="E39" s="21" t="s">
        <v>124</v>
      </c>
      <c r="F39" s="10">
        <v>9</v>
      </c>
      <c r="G39" s="10">
        <v>2025</v>
      </c>
      <c r="H39" s="21" t="s">
        <v>125</v>
      </c>
      <c r="I39" s="21" t="s">
        <v>126</v>
      </c>
      <c r="J39" s="21" t="s">
        <v>55</v>
      </c>
    </row>
    <row r="40" spans="1:10" x14ac:dyDescent="0.2">
      <c r="A40" s="23" t="s">
        <v>65</v>
      </c>
      <c r="B40" s="24">
        <v>45926</v>
      </c>
      <c r="C40" s="23" t="s">
        <v>15</v>
      </c>
      <c r="D40" s="23" t="s">
        <v>127</v>
      </c>
      <c r="E40" s="23" t="s">
        <v>127</v>
      </c>
      <c r="F40" s="10">
        <v>9</v>
      </c>
      <c r="G40" s="10">
        <v>2025</v>
      </c>
      <c r="H40" s="23" t="s">
        <v>125</v>
      </c>
      <c r="I40" s="23" t="s">
        <v>128</v>
      </c>
      <c r="J40" s="23" t="s">
        <v>68</v>
      </c>
    </row>
    <row r="41" spans="1:10" x14ac:dyDescent="0.2">
      <c r="A41" s="21" t="s">
        <v>14</v>
      </c>
      <c r="B41" s="22">
        <v>45925</v>
      </c>
      <c r="C41" s="21" t="s">
        <v>21</v>
      </c>
      <c r="D41" s="21" t="s">
        <v>129</v>
      </c>
      <c r="E41" s="21" t="s">
        <v>130</v>
      </c>
      <c r="F41" s="10">
        <v>9</v>
      </c>
      <c r="G41" s="10">
        <v>2025</v>
      </c>
      <c r="H41" s="21" t="s">
        <v>125</v>
      </c>
      <c r="I41" s="21" t="s">
        <v>131</v>
      </c>
      <c r="J41" s="21" t="s">
        <v>55</v>
      </c>
    </row>
    <row r="42" spans="1:10" x14ac:dyDescent="0.2">
      <c r="A42" s="23" t="s">
        <v>14</v>
      </c>
      <c r="B42" s="24">
        <v>45925</v>
      </c>
      <c r="C42" s="23" t="s">
        <v>21</v>
      </c>
      <c r="D42" s="23" t="s">
        <v>132</v>
      </c>
      <c r="E42" s="23" t="s">
        <v>133</v>
      </c>
      <c r="F42" s="10">
        <v>9</v>
      </c>
      <c r="G42" s="10">
        <v>2025</v>
      </c>
      <c r="H42" s="23" t="s">
        <v>125</v>
      </c>
      <c r="I42" s="23" t="s">
        <v>134</v>
      </c>
      <c r="J42" s="23" t="s">
        <v>55</v>
      </c>
    </row>
    <row r="43" spans="1:10" x14ac:dyDescent="0.2">
      <c r="A43" s="21" t="s">
        <v>14</v>
      </c>
      <c r="B43" s="22">
        <v>45919</v>
      </c>
      <c r="C43" s="21" t="s">
        <v>15</v>
      </c>
      <c r="D43" s="21" t="s">
        <v>135</v>
      </c>
      <c r="E43" s="21" t="s">
        <v>136</v>
      </c>
      <c r="F43" s="10">
        <v>9</v>
      </c>
      <c r="G43" s="10">
        <v>2025</v>
      </c>
      <c r="H43" s="21" t="s">
        <v>125</v>
      </c>
      <c r="I43" s="21" t="s">
        <v>137</v>
      </c>
      <c r="J43" s="21" t="s">
        <v>55</v>
      </c>
    </row>
    <row r="44" spans="1:10" x14ac:dyDescent="0.2">
      <c r="A44" s="23" t="s">
        <v>14</v>
      </c>
      <c r="B44" s="24">
        <v>45919</v>
      </c>
      <c r="C44" s="23" t="s">
        <v>21</v>
      </c>
      <c r="D44" s="23" t="s">
        <v>138</v>
      </c>
      <c r="E44" s="23" t="s">
        <v>139</v>
      </c>
      <c r="F44" s="10">
        <v>9</v>
      </c>
      <c r="G44" s="10">
        <v>2025</v>
      </c>
      <c r="H44" s="23" t="s">
        <v>125</v>
      </c>
      <c r="I44" s="23" t="s">
        <v>140</v>
      </c>
      <c r="J44" s="23" t="s">
        <v>55</v>
      </c>
    </row>
    <row r="45" spans="1:10" x14ac:dyDescent="0.2">
      <c r="A45" s="21" t="s">
        <v>14</v>
      </c>
      <c r="B45" s="22">
        <v>45898</v>
      </c>
      <c r="C45" s="21" t="s">
        <v>21</v>
      </c>
      <c r="D45" s="21" t="s">
        <v>141</v>
      </c>
      <c r="E45" s="21" t="s">
        <v>142</v>
      </c>
      <c r="F45" s="10">
        <v>8</v>
      </c>
      <c r="G45" s="10">
        <v>2025</v>
      </c>
      <c r="H45" s="21" t="s">
        <v>143</v>
      </c>
      <c r="I45" s="21" t="s">
        <v>144</v>
      </c>
      <c r="J45" s="21" t="s">
        <v>55</v>
      </c>
    </row>
    <row r="46" spans="1:10" x14ac:dyDescent="0.2">
      <c r="A46" s="23" t="s">
        <v>14</v>
      </c>
      <c r="B46" s="24">
        <v>45890</v>
      </c>
      <c r="C46" s="23" t="s">
        <v>21</v>
      </c>
      <c r="D46" s="23" t="s">
        <v>145</v>
      </c>
      <c r="E46" s="23" t="s">
        <v>146</v>
      </c>
      <c r="F46" s="10">
        <v>8</v>
      </c>
      <c r="G46" s="10">
        <v>2025</v>
      </c>
      <c r="H46" s="23" t="s">
        <v>143</v>
      </c>
      <c r="I46" s="23" t="s">
        <v>147</v>
      </c>
      <c r="J46" s="23" t="s">
        <v>55</v>
      </c>
    </row>
    <row r="47" spans="1:10" x14ac:dyDescent="0.2">
      <c r="A47" s="21" t="s">
        <v>65</v>
      </c>
      <c r="B47" s="22">
        <v>45883</v>
      </c>
      <c r="C47" s="21" t="s">
        <v>15</v>
      </c>
      <c r="D47" s="21" t="s">
        <v>148</v>
      </c>
      <c r="E47" s="21" t="s">
        <v>148</v>
      </c>
      <c r="F47" s="10">
        <v>8</v>
      </c>
      <c r="G47" s="10">
        <v>2025</v>
      </c>
      <c r="H47" s="21" t="s">
        <v>143</v>
      </c>
      <c r="I47" s="21" t="s">
        <v>149</v>
      </c>
      <c r="J47" s="21" t="s">
        <v>68</v>
      </c>
    </row>
    <row r="48" spans="1:10" x14ac:dyDescent="0.2">
      <c r="A48" s="23" t="s">
        <v>14</v>
      </c>
      <c r="B48" s="24">
        <v>45881</v>
      </c>
      <c r="C48" s="23" t="s">
        <v>21</v>
      </c>
      <c r="D48" s="23" t="s">
        <v>150</v>
      </c>
      <c r="E48" s="23" t="s">
        <v>151</v>
      </c>
      <c r="F48" s="10">
        <v>8</v>
      </c>
      <c r="G48" s="10">
        <v>2025</v>
      </c>
      <c r="H48" s="23" t="s">
        <v>143</v>
      </c>
      <c r="I48" s="23" t="s">
        <v>152</v>
      </c>
      <c r="J48" s="23" t="s">
        <v>55</v>
      </c>
    </row>
    <row r="49" spans="1:10" x14ac:dyDescent="0.2">
      <c r="A49" s="21" t="s">
        <v>14</v>
      </c>
      <c r="B49" s="22">
        <v>45877</v>
      </c>
      <c r="C49" s="21" t="s">
        <v>21</v>
      </c>
      <c r="D49" s="21" t="s">
        <v>153</v>
      </c>
      <c r="E49" s="21" t="s">
        <v>154</v>
      </c>
      <c r="F49" s="10">
        <v>8</v>
      </c>
      <c r="G49" s="10">
        <v>2025</v>
      </c>
      <c r="H49" s="21" t="s">
        <v>143</v>
      </c>
      <c r="I49" s="21" t="s">
        <v>155</v>
      </c>
      <c r="J49" s="21" t="s">
        <v>55</v>
      </c>
    </row>
    <row r="50" spans="1:10" x14ac:dyDescent="0.2">
      <c r="A50" s="23" t="s">
        <v>14</v>
      </c>
      <c r="B50" s="24">
        <v>45875</v>
      </c>
      <c r="C50" s="23" t="s">
        <v>21</v>
      </c>
      <c r="D50" s="23" t="s">
        <v>156</v>
      </c>
      <c r="E50" s="23" t="s">
        <v>157</v>
      </c>
      <c r="F50" s="10">
        <v>8</v>
      </c>
      <c r="G50" s="10">
        <v>2025</v>
      </c>
      <c r="H50" s="23" t="s">
        <v>143</v>
      </c>
      <c r="I50" s="23" t="s">
        <v>158</v>
      </c>
      <c r="J50" s="23" t="s">
        <v>55</v>
      </c>
    </row>
    <row r="51" spans="1:10" x14ac:dyDescent="0.2">
      <c r="A51" s="21" t="s">
        <v>14</v>
      </c>
      <c r="B51" s="22">
        <v>45869</v>
      </c>
      <c r="C51" s="21" t="s">
        <v>21</v>
      </c>
      <c r="D51" s="21" t="s">
        <v>159</v>
      </c>
      <c r="E51" s="21" t="s">
        <v>160</v>
      </c>
      <c r="F51" s="10">
        <v>7</v>
      </c>
      <c r="G51" s="10">
        <v>2025</v>
      </c>
      <c r="H51" s="21" t="s">
        <v>161</v>
      </c>
      <c r="I51" s="21" t="s">
        <v>162</v>
      </c>
      <c r="J51" s="21" t="s">
        <v>55</v>
      </c>
    </row>
    <row r="52" spans="1:10" x14ac:dyDescent="0.2">
      <c r="A52" s="23" t="s">
        <v>14</v>
      </c>
      <c r="B52" s="24">
        <v>45866</v>
      </c>
      <c r="C52" s="23" t="s">
        <v>21</v>
      </c>
      <c r="D52" s="23" t="s">
        <v>163</v>
      </c>
      <c r="E52" s="23" t="s">
        <v>164</v>
      </c>
      <c r="F52" s="10">
        <v>7</v>
      </c>
      <c r="G52" s="10">
        <v>2025</v>
      </c>
      <c r="H52" s="23" t="s">
        <v>161</v>
      </c>
      <c r="I52" s="23" t="s">
        <v>165</v>
      </c>
      <c r="J52" s="23" t="s">
        <v>55</v>
      </c>
    </row>
    <row r="53" spans="1:10" x14ac:dyDescent="0.2">
      <c r="A53" s="21" t="s">
        <v>14</v>
      </c>
      <c r="B53" s="22">
        <v>45861</v>
      </c>
      <c r="C53" s="21" t="s">
        <v>21</v>
      </c>
      <c r="D53" s="21" t="s">
        <v>166</v>
      </c>
      <c r="E53" s="21" t="s">
        <v>167</v>
      </c>
      <c r="F53" s="10">
        <v>7</v>
      </c>
      <c r="G53" s="10">
        <v>2025</v>
      </c>
      <c r="H53" s="21" t="s">
        <v>161</v>
      </c>
      <c r="I53" s="21" t="s">
        <v>168</v>
      </c>
      <c r="J53" s="21" t="s">
        <v>55</v>
      </c>
    </row>
    <row r="54" spans="1:10" x14ac:dyDescent="0.2">
      <c r="A54" s="23" t="s">
        <v>14</v>
      </c>
      <c r="B54" s="24">
        <v>45841</v>
      </c>
      <c r="C54" s="23" t="s">
        <v>21</v>
      </c>
      <c r="D54" s="23" t="s">
        <v>169</v>
      </c>
      <c r="E54" s="23" t="s">
        <v>170</v>
      </c>
      <c r="F54" s="10">
        <v>7</v>
      </c>
      <c r="G54" s="10">
        <v>2025</v>
      </c>
      <c r="H54" s="23" t="s">
        <v>161</v>
      </c>
      <c r="I54" s="23" t="s">
        <v>171</v>
      </c>
      <c r="J54" s="23" t="s">
        <v>55</v>
      </c>
    </row>
    <row r="55" spans="1:10" x14ac:dyDescent="0.2">
      <c r="A55" s="21" t="s">
        <v>14</v>
      </c>
      <c r="B55" s="22">
        <v>45840</v>
      </c>
      <c r="C55" s="21" t="s">
        <v>15</v>
      </c>
      <c r="D55" s="21" t="s">
        <v>172</v>
      </c>
      <c r="E55" s="21" t="s">
        <v>173</v>
      </c>
      <c r="F55" s="10">
        <v>7</v>
      </c>
      <c r="G55" s="10">
        <v>2025</v>
      </c>
      <c r="H55" s="21" t="s">
        <v>161</v>
      </c>
      <c r="I55" s="21" t="s">
        <v>174</v>
      </c>
      <c r="J55" s="21" t="s">
        <v>55</v>
      </c>
    </row>
    <row r="56" spans="1:10" x14ac:dyDescent="0.2">
      <c r="A56" s="23" t="s">
        <v>14</v>
      </c>
      <c r="B56" s="24">
        <v>45840</v>
      </c>
      <c r="C56" s="23" t="s">
        <v>21</v>
      </c>
      <c r="D56" s="23" t="s">
        <v>175</v>
      </c>
      <c r="E56" s="23" t="s">
        <v>176</v>
      </c>
      <c r="F56" s="10">
        <v>7</v>
      </c>
      <c r="G56" s="10">
        <v>2025</v>
      </c>
      <c r="H56" s="23" t="s">
        <v>161</v>
      </c>
      <c r="I56" s="23" t="s">
        <v>177</v>
      </c>
      <c r="J56" s="23" t="s">
        <v>55</v>
      </c>
    </row>
    <row r="57" spans="1:10" x14ac:dyDescent="0.2">
      <c r="A57" s="21" t="s">
        <v>14</v>
      </c>
      <c r="B57" s="22">
        <v>45824</v>
      </c>
      <c r="C57" s="21" t="s">
        <v>15</v>
      </c>
      <c r="D57" s="21" t="s">
        <v>178</v>
      </c>
      <c r="E57" s="21" t="s">
        <v>179</v>
      </c>
      <c r="F57" s="10">
        <v>6</v>
      </c>
      <c r="G57" s="10">
        <v>2025</v>
      </c>
      <c r="H57" s="21" t="s">
        <v>180</v>
      </c>
      <c r="I57" s="21" t="s">
        <v>147</v>
      </c>
      <c r="J57" s="21" t="s">
        <v>55</v>
      </c>
    </row>
    <row r="58" spans="1:10" x14ac:dyDescent="0.2">
      <c r="A58" s="23" t="s">
        <v>14</v>
      </c>
      <c r="B58" s="24">
        <v>45819</v>
      </c>
      <c r="C58" s="23" t="s">
        <v>21</v>
      </c>
      <c r="D58" s="23" t="s">
        <v>181</v>
      </c>
      <c r="E58" s="23" t="s">
        <v>182</v>
      </c>
      <c r="F58" s="10">
        <v>6</v>
      </c>
      <c r="G58" s="10">
        <v>2025</v>
      </c>
      <c r="H58" s="23" t="s">
        <v>180</v>
      </c>
      <c r="I58" s="23" t="s">
        <v>183</v>
      </c>
      <c r="J58" s="23" t="s">
        <v>55</v>
      </c>
    </row>
    <row r="59" spans="1:10" x14ac:dyDescent="0.2">
      <c r="A59" s="21" t="s">
        <v>14</v>
      </c>
      <c r="B59" s="22">
        <v>45817</v>
      </c>
      <c r="C59" s="21" t="s">
        <v>15</v>
      </c>
      <c r="D59" s="21" t="s">
        <v>184</v>
      </c>
      <c r="E59" s="21" t="s">
        <v>185</v>
      </c>
      <c r="F59" s="10">
        <v>6</v>
      </c>
      <c r="G59" s="10">
        <v>2025</v>
      </c>
      <c r="H59" s="21" t="s">
        <v>180</v>
      </c>
      <c r="I59" s="21" t="s">
        <v>186</v>
      </c>
      <c r="J59" s="21" t="s">
        <v>55</v>
      </c>
    </row>
    <row r="60" spans="1:10" x14ac:dyDescent="0.2">
      <c r="A60" s="23" t="s">
        <v>65</v>
      </c>
      <c r="B60" s="24">
        <v>45807</v>
      </c>
      <c r="C60" s="23" t="s">
        <v>15</v>
      </c>
      <c r="D60" s="23" t="s">
        <v>187</v>
      </c>
      <c r="E60" s="23" t="s">
        <v>187</v>
      </c>
      <c r="F60" s="10">
        <v>5</v>
      </c>
      <c r="G60" s="10">
        <v>2025</v>
      </c>
      <c r="H60" s="23" t="s">
        <v>188</v>
      </c>
      <c r="I60" s="23" t="s">
        <v>189</v>
      </c>
      <c r="J60" s="23" t="s">
        <v>68</v>
      </c>
    </row>
    <row r="61" spans="1:10" x14ac:dyDescent="0.2">
      <c r="A61" s="21" t="s">
        <v>14</v>
      </c>
      <c r="B61" s="22">
        <v>45805</v>
      </c>
      <c r="C61" s="21" t="s">
        <v>21</v>
      </c>
      <c r="D61" s="21" t="s">
        <v>190</v>
      </c>
      <c r="E61" s="21" t="s">
        <v>191</v>
      </c>
      <c r="F61" s="10">
        <v>5</v>
      </c>
      <c r="G61" s="10">
        <v>2025</v>
      </c>
      <c r="H61" s="21" t="s">
        <v>188</v>
      </c>
      <c r="I61" s="21" t="s">
        <v>192</v>
      </c>
      <c r="J61" s="21" t="s">
        <v>55</v>
      </c>
    </row>
    <row r="62" spans="1:10" x14ac:dyDescent="0.2">
      <c r="A62" s="23" t="s">
        <v>65</v>
      </c>
      <c r="B62" s="24">
        <v>45793</v>
      </c>
      <c r="C62" s="23" t="s">
        <v>15</v>
      </c>
      <c r="D62" s="23" t="s">
        <v>193</v>
      </c>
      <c r="E62" s="23" t="s">
        <v>193</v>
      </c>
      <c r="F62" s="10">
        <v>5</v>
      </c>
      <c r="G62" s="10">
        <v>2025</v>
      </c>
      <c r="H62" s="23" t="s">
        <v>188</v>
      </c>
      <c r="I62" s="23" t="s">
        <v>194</v>
      </c>
      <c r="J62" s="23" t="s">
        <v>68</v>
      </c>
    </row>
    <row r="63" spans="1:10" x14ac:dyDescent="0.2">
      <c r="A63" s="21" t="s">
        <v>14</v>
      </c>
      <c r="B63" s="22">
        <v>45791</v>
      </c>
      <c r="C63" s="21" t="s">
        <v>15</v>
      </c>
      <c r="D63" s="21" t="s">
        <v>195</v>
      </c>
      <c r="E63" s="21" t="s">
        <v>196</v>
      </c>
      <c r="F63" s="10">
        <v>5</v>
      </c>
      <c r="G63" s="10">
        <v>2025</v>
      </c>
      <c r="H63" s="21" t="s">
        <v>188</v>
      </c>
      <c r="I63" s="21" t="s">
        <v>197</v>
      </c>
      <c r="J63" s="21" t="s">
        <v>55</v>
      </c>
    </row>
    <row r="64" spans="1:10" x14ac:dyDescent="0.2">
      <c r="A64" s="23" t="s">
        <v>14</v>
      </c>
      <c r="B64" s="24">
        <v>45785</v>
      </c>
      <c r="C64" s="23" t="s">
        <v>21</v>
      </c>
      <c r="D64" s="23" t="s">
        <v>198</v>
      </c>
      <c r="E64" s="23" t="s">
        <v>199</v>
      </c>
      <c r="F64" s="10">
        <v>5</v>
      </c>
      <c r="G64" s="10">
        <v>2025</v>
      </c>
      <c r="H64" s="23" t="s">
        <v>188</v>
      </c>
      <c r="I64" s="23" t="s">
        <v>200</v>
      </c>
      <c r="J64" s="23" t="s">
        <v>55</v>
      </c>
    </row>
    <row r="65" spans="1:10" x14ac:dyDescent="0.2">
      <c r="A65" s="21" t="s">
        <v>14</v>
      </c>
      <c r="B65" s="22">
        <v>45776</v>
      </c>
      <c r="C65" s="21" t="s">
        <v>15</v>
      </c>
      <c r="D65" s="21" t="s">
        <v>201</v>
      </c>
      <c r="E65" s="21" t="s">
        <v>202</v>
      </c>
      <c r="F65" s="10">
        <v>4</v>
      </c>
      <c r="G65" s="10">
        <v>2025</v>
      </c>
      <c r="H65" s="21" t="s">
        <v>203</v>
      </c>
      <c r="I65" s="21" t="s">
        <v>204</v>
      </c>
      <c r="J65" s="21" t="s">
        <v>55</v>
      </c>
    </row>
    <row r="66" spans="1:10" x14ac:dyDescent="0.2">
      <c r="A66" s="23" t="s">
        <v>65</v>
      </c>
      <c r="B66" s="24">
        <v>45775</v>
      </c>
      <c r="C66" s="23" t="s">
        <v>15</v>
      </c>
      <c r="D66" s="23" t="s">
        <v>205</v>
      </c>
      <c r="E66" s="23" t="s">
        <v>205</v>
      </c>
      <c r="F66" s="10">
        <v>4</v>
      </c>
      <c r="G66" s="10">
        <v>2025</v>
      </c>
      <c r="H66" s="23" t="s">
        <v>203</v>
      </c>
      <c r="I66" s="23" t="s">
        <v>206</v>
      </c>
      <c r="J66" s="23" t="s">
        <v>68</v>
      </c>
    </row>
    <row r="67" spans="1:10" x14ac:dyDescent="0.2">
      <c r="A67" s="21" t="s">
        <v>14</v>
      </c>
      <c r="B67" s="22">
        <v>45770</v>
      </c>
      <c r="C67" s="21" t="s">
        <v>15</v>
      </c>
      <c r="D67" s="21" t="s">
        <v>207</v>
      </c>
      <c r="E67" s="21" t="s">
        <v>207</v>
      </c>
      <c r="F67" s="10">
        <v>4</v>
      </c>
      <c r="G67" s="10">
        <v>2025</v>
      </c>
      <c r="H67" s="21" t="s">
        <v>203</v>
      </c>
      <c r="I67" s="21" t="s">
        <v>208</v>
      </c>
      <c r="J67" s="21" t="s">
        <v>55</v>
      </c>
    </row>
    <row r="68" spans="1:10" x14ac:dyDescent="0.2">
      <c r="A68" s="23" t="s">
        <v>14</v>
      </c>
      <c r="B68" s="24">
        <v>45749</v>
      </c>
      <c r="C68" s="23" t="s">
        <v>21</v>
      </c>
      <c r="D68" s="23" t="s">
        <v>209</v>
      </c>
      <c r="E68" s="23" t="s">
        <v>210</v>
      </c>
      <c r="F68" s="10">
        <v>4</v>
      </c>
      <c r="G68" s="10">
        <v>2025</v>
      </c>
      <c r="H68" s="23" t="s">
        <v>203</v>
      </c>
      <c r="I68" s="23" t="s">
        <v>211</v>
      </c>
      <c r="J68" s="23" t="s">
        <v>55</v>
      </c>
    </row>
    <row r="69" spans="1:10" x14ac:dyDescent="0.2">
      <c r="A69" s="21" t="s">
        <v>14</v>
      </c>
      <c r="B69" s="22">
        <v>45744</v>
      </c>
      <c r="C69" s="21" t="s">
        <v>21</v>
      </c>
      <c r="D69" s="21" t="s">
        <v>212</v>
      </c>
      <c r="E69" s="21" t="s">
        <v>213</v>
      </c>
      <c r="F69" s="10">
        <v>3</v>
      </c>
      <c r="G69" s="10">
        <v>2025</v>
      </c>
      <c r="H69" s="21" t="s">
        <v>214</v>
      </c>
      <c r="I69" s="21" t="s">
        <v>215</v>
      </c>
      <c r="J69" s="21" t="s">
        <v>55</v>
      </c>
    </row>
    <row r="70" spans="1:10" x14ac:dyDescent="0.2">
      <c r="A70" s="23" t="s">
        <v>14</v>
      </c>
      <c r="B70" s="24">
        <v>45741</v>
      </c>
      <c r="C70" s="23" t="s">
        <v>21</v>
      </c>
      <c r="D70" s="23" t="s">
        <v>216</v>
      </c>
      <c r="E70" s="23" t="s">
        <v>217</v>
      </c>
      <c r="F70" s="10">
        <v>3</v>
      </c>
      <c r="G70" s="10">
        <v>2025</v>
      </c>
      <c r="H70" s="23" t="s">
        <v>214</v>
      </c>
      <c r="I70" s="23" t="s">
        <v>218</v>
      </c>
      <c r="J70" s="23" t="s">
        <v>55</v>
      </c>
    </row>
    <row r="71" spans="1:10" x14ac:dyDescent="0.2">
      <c r="A71" s="21" t="s">
        <v>65</v>
      </c>
      <c r="B71" s="22">
        <v>45721</v>
      </c>
      <c r="C71" s="21" t="s">
        <v>15</v>
      </c>
      <c r="D71" s="21" t="s">
        <v>219</v>
      </c>
      <c r="E71" s="21" t="s">
        <v>219</v>
      </c>
      <c r="F71" s="10">
        <v>3</v>
      </c>
      <c r="G71" s="10">
        <v>2025</v>
      </c>
      <c r="H71" s="21" t="s">
        <v>214</v>
      </c>
      <c r="I71" s="21" t="s">
        <v>220</v>
      </c>
      <c r="J71" s="21" t="s">
        <v>68</v>
      </c>
    </row>
    <row r="72" spans="1:10" x14ac:dyDescent="0.2">
      <c r="A72" s="23" t="s">
        <v>65</v>
      </c>
      <c r="B72" s="24">
        <v>45702</v>
      </c>
      <c r="C72" s="23" t="s">
        <v>15</v>
      </c>
      <c r="D72" s="23" t="s">
        <v>221</v>
      </c>
      <c r="E72" s="23" t="s">
        <v>221</v>
      </c>
      <c r="F72" s="10">
        <v>2</v>
      </c>
      <c r="G72" s="10">
        <v>2025</v>
      </c>
      <c r="H72" s="23" t="s">
        <v>222</v>
      </c>
      <c r="I72" s="23" t="s">
        <v>223</v>
      </c>
      <c r="J72" s="23" t="s">
        <v>68</v>
      </c>
    </row>
    <row r="73" spans="1:10" x14ac:dyDescent="0.2">
      <c r="A73" s="21" t="s">
        <v>14</v>
      </c>
      <c r="B73" s="22">
        <v>45702</v>
      </c>
      <c r="C73" s="21" t="s">
        <v>21</v>
      </c>
      <c r="D73" s="21" t="s">
        <v>224</v>
      </c>
      <c r="E73" s="21" t="s">
        <v>225</v>
      </c>
      <c r="F73" s="10">
        <v>2</v>
      </c>
      <c r="G73" s="10">
        <v>2025</v>
      </c>
      <c r="H73" s="21" t="s">
        <v>222</v>
      </c>
      <c r="I73" s="21" t="s">
        <v>226</v>
      </c>
      <c r="J73" s="21" t="s">
        <v>55</v>
      </c>
    </row>
    <row r="74" spans="1:10" x14ac:dyDescent="0.2">
      <c r="A74" s="23" t="s">
        <v>65</v>
      </c>
      <c r="B74" s="24">
        <v>45702</v>
      </c>
      <c r="C74" s="23" t="s">
        <v>15</v>
      </c>
      <c r="D74" s="23" t="s">
        <v>227</v>
      </c>
      <c r="E74" s="23" t="s">
        <v>227</v>
      </c>
      <c r="F74" s="10">
        <v>2</v>
      </c>
      <c r="G74" s="10">
        <v>2025</v>
      </c>
      <c r="H74" s="23" t="s">
        <v>222</v>
      </c>
      <c r="I74" s="23" t="s">
        <v>228</v>
      </c>
      <c r="J74" s="23" t="s">
        <v>68</v>
      </c>
    </row>
    <row r="75" spans="1:10" x14ac:dyDescent="0.2">
      <c r="A75" s="21" t="s">
        <v>14</v>
      </c>
      <c r="B75" s="22">
        <v>45699</v>
      </c>
      <c r="C75" s="21" t="s">
        <v>21</v>
      </c>
      <c r="D75" s="21" t="s">
        <v>229</v>
      </c>
      <c r="E75" s="21" t="s">
        <v>230</v>
      </c>
      <c r="F75" s="10">
        <v>2</v>
      </c>
      <c r="G75" s="10">
        <v>2025</v>
      </c>
      <c r="H75" s="21" t="s">
        <v>222</v>
      </c>
      <c r="I75" s="21" t="s">
        <v>231</v>
      </c>
      <c r="J75" s="21" t="s">
        <v>55</v>
      </c>
    </row>
    <row r="76" spans="1:10" x14ac:dyDescent="0.2">
      <c r="A76" s="23" t="s">
        <v>14</v>
      </c>
      <c r="B76" s="24">
        <v>45687</v>
      </c>
      <c r="C76" s="23" t="s">
        <v>21</v>
      </c>
      <c r="D76" s="23" t="s">
        <v>232</v>
      </c>
      <c r="E76" s="23" t="s">
        <v>233</v>
      </c>
      <c r="F76" s="10">
        <v>1</v>
      </c>
      <c r="G76" s="10">
        <v>2025</v>
      </c>
      <c r="H76" s="23" t="s">
        <v>234</v>
      </c>
      <c r="I76" s="23" t="s">
        <v>235</v>
      </c>
      <c r="J76" s="23" t="s">
        <v>55</v>
      </c>
    </row>
    <row r="77" spans="1:10" x14ac:dyDescent="0.2">
      <c r="A77" s="21" t="s">
        <v>14</v>
      </c>
      <c r="B77" s="22">
        <v>45678</v>
      </c>
      <c r="C77" s="21" t="s">
        <v>21</v>
      </c>
      <c r="D77" s="21" t="s">
        <v>236</v>
      </c>
      <c r="E77" s="21" t="s">
        <v>237</v>
      </c>
      <c r="F77" s="10">
        <v>1</v>
      </c>
      <c r="G77" s="10">
        <v>2025</v>
      </c>
      <c r="H77" s="21" t="s">
        <v>234</v>
      </c>
      <c r="I77" s="21" t="s">
        <v>238</v>
      </c>
      <c r="J77" s="21" t="s">
        <v>55</v>
      </c>
    </row>
    <row r="78" spans="1:10" x14ac:dyDescent="0.2">
      <c r="A78" s="23" t="s">
        <v>14</v>
      </c>
      <c r="B78" s="24">
        <v>45674</v>
      </c>
      <c r="C78" s="23" t="s">
        <v>15</v>
      </c>
      <c r="D78" s="23" t="s">
        <v>239</v>
      </c>
      <c r="E78" s="23" t="s">
        <v>240</v>
      </c>
      <c r="F78" s="10">
        <v>1</v>
      </c>
      <c r="G78" s="10">
        <v>2025</v>
      </c>
      <c r="H78" s="23" t="s">
        <v>234</v>
      </c>
      <c r="I78" s="23" t="s">
        <v>241</v>
      </c>
      <c r="J78" s="23" t="s">
        <v>55</v>
      </c>
    </row>
    <row r="79" spans="1:10" x14ac:dyDescent="0.2">
      <c r="A79" s="21" t="s">
        <v>65</v>
      </c>
      <c r="B79" s="22">
        <v>45665</v>
      </c>
      <c r="C79" s="21" t="s">
        <v>15</v>
      </c>
      <c r="D79" s="21" t="s">
        <v>242</v>
      </c>
      <c r="E79" s="21" t="s">
        <v>242</v>
      </c>
      <c r="F79" s="10">
        <v>1</v>
      </c>
      <c r="G79" s="10">
        <v>2025</v>
      </c>
      <c r="H79" s="21" t="s">
        <v>234</v>
      </c>
      <c r="I79" s="21" t="s">
        <v>243</v>
      </c>
      <c r="J79" s="21" t="s">
        <v>68</v>
      </c>
    </row>
    <row r="80" spans="1:10" x14ac:dyDescent="0.2">
      <c r="A80" s="23" t="s">
        <v>14</v>
      </c>
      <c r="B80" s="24">
        <v>45646</v>
      </c>
      <c r="C80" s="23" t="s">
        <v>15</v>
      </c>
      <c r="D80" s="23" t="s">
        <v>244</v>
      </c>
      <c r="E80" s="23" t="s">
        <v>245</v>
      </c>
      <c r="F80" s="10">
        <v>12</v>
      </c>
      <c r="G80" s="10">
        <v>2024</v>
      </c>
      <c r="H80" s="23" t="s">
        <v>246</v>
      </c>
      <c r="I80" s="23"/>
      <c r="J80" s="23" t="s">
        <v>247</v>
      </c>
    </row>
    <row r="81" spans="1:10" x14ac:dyDescent="0.2">
      <c r="A81" s="21" t="s">
        <v>14</v>
      </c>
      <c r="B81" s="22">
        <v>45646</v>
      </c>
      <c r="C81" s="21" t="s">
        <v>21</v>
      </c>
      <c r="D81" s="21" t="s">
        <v>248</v>
      </c>
      <c r="E81" s="21" t="s">
        <v>249</v>
      </c>
      <c r="F81" s="10">
        <v>12</v>
      </c>
      <c r="G81" s="10">
        <v>2024</v>
      </c>
      <c r="H81" s="21" t="s">
        <v>246</v>
      </c>
      <c r="I81" s="21"/>
      <c r="J81" s="21" t="s">
        <v>247</v>
      </c>
    </row>
    <row r="82" spans="1:10" x14ac:dyDescent="0.2">
      <c r="A82" s="23" t="s">
        <v>65</v>
      </c>
      <c r="B82" s="24">
        <v>45645</v>
      </c>
      <c r="C82" s="23" t="s">
        <v>15</v>
      </c>
      <c r="D82" s="23" t="s">
        <v>250</v>
      </c>
      <c r="E82" s="23" t="s">
        <v>250</v>
      </c>
      <c r="F82" s="10">
        <v>12</v>
      </c>
      <c r="G82" s="10">
        <v>2024</v>
      </c>
      <c r="H82" s="23" t="s">
        <v>246</v>
      </c>
      <c r="I82" s="23" t="s">
        <v>251</v>
      </c>
      <c r="J82" s="23" t="s">
        <v>252</v>
      </c>
    </row>
    <row r="83" spans="1:10" x14ac:dyDescent="0.2">
      <c r="A83" s="21" t="s">
        <v>14</v>
      </c>
      <c r="B83" s="22">
        <v>45645</v>
      </c>
      <c r="C83" s="21" t="s">
        <v>21</v>
      </c>
      <c r="D83" s="21" t="s">
        <v>253</v>
      </c>
      <c r="E83" s="21" t="s">
        <v>254</v>
      </c>
      <c r="F83" s="10">
        <v>12</v>
      </c>
      <c r="G83" s="10">
        <v>2024</v>
      </c>
      <c r="H83" s="21" t="s">
        <v>246</v>
      </c>
      <c r="I83" s="21"/>
      <c r="J83" s="21" t="s">
        <v>247</v>
      </c>
    </row>
    <row r="84" spans="1:10" x14ac:dyDescent="0.2">
      <c r="A84" s="23" t="s">
        <v>65</v>
      </c>
      <c r="B84" s="24">
        <v>45644</v>
      </c>
      <c r="C84" s="23" t="s">
        <v>15</v>
      </c>
      <c r="D84" s="23" t="s">
        <v>255</v>
      </c>
      <c r="E84" s="23" t="s">
        <v>255</v>
      </c>
      <c r="F84" s="10">
        <v>12</v>
      </c>
      <c r="G84" s="10">
        <v>2024</v>
      </c>
      <c r="H84" s="23" t="s">
        <v>246</v>
      </c>
      <c r="I84" s="23" t="s">
        <v>256</v>
      </c>
      <c r="J84" s="23" t="s">
        <v>252</v>
      </c>
    </row>
    <row r="85" spans="1:10" x14ac:dyDescent="0.2">
      <c r="A85" s="21" t="s">
        <v>14</v>
      </c>
      <c r="B85" s="22">
        <v>45644</v>
      </c>
      <c r="C85" s="21" t="s">
        <v>21</v>
      </c>
      <c r="D85" s="21" t="s">
        <v>257</v>
      </c>
      <c r="E85" s="21" t="s">
        <v>258</v>
      </c>
      <c r="F85" s="10">
        <v>12</v>
      </c>
      <c r="G85" s="10">
        <v>2024</v>
      </c>
      <c r="H85" s="21" t="s">
        <v>246</v>
      </c>
      <c r="I85" s="21"/>
      <c r="J85" s="21" t="s">
        <v>247</v>
      </c>
    </row>
    <row r="86" spans="1:10" x14ac:dyDescent="0.2">
      <c r="A86" s="23" t="s">
        <v>14</v>
      </c>
      <c r="B86" s="24">
        <v>45639</v>
      </c>
      <c r="C86" s="23" t="s">
        <v>21</v>
      </c>
      <c r="D86" s="23" t="s">
        <v>259</v>
      </c>
      <c r="E86" s="23" t="s">
        <v>260</v>
      </c>
      <c r="F86" s="10">
        <v>12</v>
      </c>
      <c r="G86" s="10">
        <v>2024</v>
      </c>
      <c r="H86" s="23" t="s">
        <v>246</v>
      </c>
      <c r="I86" s="23"/>
      <c r="J86" s="23" t="s">
        <v>247</v>
      </c>
    </row>
    <row r="87" spans="1:10" x14ac:dyDescent="0.2">
      <c r="A87" s="21" t="s">
        <v>14</v>
      </c>
      <c r="B87" s="22">
        <v>45639</v>
      </c>
      <c r="C87" s="21" t="s">
        <v>15</v>
      </c>
      <c r="D87" s="21" t="s">
        <v>261</v>
      </c>
      <c r="E87" s="21" t="s">
        <v>262</v>
      </c>
      <c r="F87" s="10">
        <v>12</v>
      </c>
      <c r="G87" s="10">
        <v>2024</v>
      </c>
      <c r="H87" s="21" t="s">
        <v>246</v>
      </c>
      <c r="I87" s="21"/>
      <c r="J87" s="21" t="s">
        <v>247</v>
      </c>
    </row>
    <row r="88" spans="1:10" x14ac:dyDescent="0.2">
      <c r="A88" s="23" t="s">
        <v>14</v>
      </c>
      <c r="B88" s="24">
        <v>45630</v>
      </c>
      <c r="C88" s="23" t="s">
        <v>15</v>
      </c>
      <c r="D88" s="23" t="s">
        <v>263</v>
      </c>
      <c r="E88" s="23" t="s">
        <v>264</v>
      </c>
      <c r="F88" s="10">
        <v>12</v>
      </c>
      <c r="G88" s="10">
        <v>2024</v>
      </c>
      <c r="H88" s="23" t="s">
        <v>246</v>
      </c>
      <c r="I88" s="23"/>
      <c r="J88" s="23" t="s">
        <v>247</v>
      </c>
    </row>
    <row r="89" spans="1:10" x14ac:dyDescent="0.2">
      <c r="A89" s="21" t="s">
        <v>14</v>
      </c>
      <c r="B89" s="22">
        <v>45623</v>
      </c>
      <c r="C89" s="21" t="s">
        <v>21</v>
      </c>
      <c r="D89" s="21" t="s">
        <v>265</v>
      </c>
      <c r="E89" s="21" t="s">
        <v>266</v>
      </c>
      <c r="F89" s="10">
        <v>11</v>
      </c>
      <c r="G89" s="10">
        <v>2024</v>
      </c>
      <c r="H89" s="21" t="s">
        <v>267</v>
      </c>
      <c r="I89" s="21"/>
      <c r="J89" s="21" t="s">
        <v>247</v>
      </c>
    </row>
    <row r="90" spans="1:10" x14ac:dyDescent="0.2">
      <c r="A90" s="23" t="s">
        <v>14</v>
      </c>
      <c r="B90" s="24">
        <v>45618</v>
      </c>
      <c r="C90" s="23" t="s">
        <v>21</v>
      </c>
      <c r="D90" s="23" t="s">
        <v>268</v>
      </c>
      <c r="E90" s="23" t="s">
        <v>269</v>
      </c>
      <c r="F90" s="10">
        <v>11</v>
      </c>
      <c r="G90" s="10">
        <v>2024</v>
      </c>
      <c r="H90" s="23" t="s">
        <v>267</v>
      </c>
      <c r="I90" s="23"/>
      <c r="J90" s="23" t="s">
        <v>247</v>
      </c>
    </row>
    <row r="91" spans="1:10" x14ac:dyDescent="0.2">
      <c r="A91" s="21" t="s">
        <v>14</v>
      </c>
      <c r="B91" s="22">
        <v>45618</v>
      </c>
      <c r="C91" s="21" t="s">
        <v>21</v>
      </c>
      <c r="D91" s="21" t="s">
        <v>270</v>
      </c>
      <c r="E91" s="21" t="s">
        <v>271</v>
      </c>
      <c r="F91" s="10">
        <v>11</v>
      </c>
      <c r="G91" s="10">
        <v>2024</v>
      </c>
      <c r="H91" s="21" t="s">
        <v>267</v>
      </c>
      <c r="I91" s="21"/>
      <c r="J91" s="21" t="s">
        <v>247</v>
      </c>
    </row>
    <row r="92" spans="1:10" x14ac:dyDescent="0.2">
      <c r="A92" s="23" t="s">
        <v>14</v>
      </c>
      <c r="B92" s="24">
        <v>45616</v>
      </c>
      <c r="C92" s="23" t="s">
        <v>15</v>
      </c>
      <c r="D92" s="23" t="s">
        <v>272</v>
      </c>
      <c r="E92" s="23" t="s">
        <v>273</v>
      </c>
      <c r="F92" s="10">
        <v>11</v>
      </c>
      <c r="G92" s="10">
        <v>2024</v>
      </c>
      <c r="H92" s="23" t="s">
        <v>267</v>
      </c>
      <c r="I92" s="23"/>
      <c r="J92" s="23" t="s">
        <v>247</v>
      </c>
    </row>
    <row r="93" spans="1:10" x14ac:dyDescent="0.2">
      <c r="A93" s="21" t="s">
        <v>14</v>
      </c>
      <c r="B93" s="22">
        <v>45611</v>
      </c>
      <c r="C93" s="21" t="s">
        <v>21</v>
      </c>
      <c r="D93" s="21" t="s">
        <v>274</v>
      </c>
      <c r="E93" s="21" t="s">
        <v>275</v>
      </c>
      <c r="F93" s="10">
        <v>11</v>
      </c>
      <c r="G93" s="10">
        <v>2024</v>
      </c>
      <c r="H93" s="21" t="s">
        <v>267</v>
      </c>
      <c r="I93" s="21"/>
      <c r="J93" s="21" t="s">
        <v>247</v>
      </c>
    </row>
    <row r="94" spans="1:10" x14ac:dyDescent="0.2">
      <c r="A94" s="23" t="s">
        <v>65</v>
      </c>
      <c r="B94" s="24">
        <v>45609</v>
      </c>
      <c r="C94" s="23" t="s">
        <v>15</v>
      </c>
      <c r="D94" s="23" t="s">
        <v>276</v>
      </c>
      <c r="E94" s="23" t="s">
        <v>276</v>
      </c>
      <c r="F94" s="10">
        <v>11</v>
      </c>
      <c r="G94" s="10">
        <v>2024</v>
      </c>
      <c r="H94" s="23" t="s">
        <v>267</v>
      </c>
      <c r="I94" s="23" t="s">
        <v>277</v>
      </c>
      <c r="J94" s="23" t="s">
        <v>252</v>
      </c>
    </row>
    <row r="95" spans="1:10" x14ac:dyDescent="0.2">
      <c r="A95" s="21" t="s">
        <v>65</v>
      </c>
      <c r="B95" s="22">
        <v>45604</v>
      </c>
      <c r="C95" s="21" t="s">
        <v>15</v>
      </c>
      <c r="D95" s="21" t="s">
        <v>278</v>
      </c>
      <c r="E95" s="21" t="s">
        <v>278</v>
      </c>
      <c r="F95" s="10">
        <v>11</v>
      </c>
      <c r="G95" s="10">
        <v>2024</v>
      </c>
      <c r="H95" s="21" t="s">
        <v>267</v>
      </c>
      <c r="I95" s="21" t="s">
        <v>279</v>
      </c>
      <c r="J95" s="21" t="s">
        <v>252</v>
      </c>
    </row>
    <row r="96" spans="1:10" x14ac:dyDescent="0.2">
      <c r="A96" s="23" t="s">
        <v>14</v>
      </c>
      <c r="B96" s="24">
        <v>45590</v>
      </c>
      <c r="C96" s="23" t="s">
        <v>21</v>
      </c>
      <c r="D96" s="23" t="s">
        <v>280</v>
      </c>
      <c r="E96" s="23" t="s">
        <v>281</v>
      </c>
      <c r="F96" s="10">
        <v>10</v>
      </c>
      <c r="G96" s="10">
        <v>2024</v>
      </c>
      <c r="H96" s="23" t="s">
        <v>282</v>
      </c>
      <c r="I96" s="23"/>
      <c r="J96" s="23" t="s">
        <v>247</v>
      </c>
    </row>
    <row r="97" spans="1:10" x14ac:dyDescent="0.2">
      <c r="A97" s="21" t="s">
        <v>14</v>
      </c>
      <c r="B97" s="22">
        <v>45583</v>
      </c>
      <c r="C97" s="21" t="s">
        <v>15</v>
      </c>
      <c r="D97" s="21" t="s">
        <v>283</v>
      </c>
      <c r="E97" s="21" t="s">
        <v>284</v>
      </c>
      <c r="F97" s="10">
        <v>10</v>
      </c>
      <c r="G97" s="10">
        <v>2024</v>
      </c>
      <c r="H97" s="21" t="s">
        <v>282</v>
      </c>
      <c r="I97" s="21"/>
      <c r="J97" s="21" t="s">
        <v>247</v>
      </c>
    </row>
    <row r="98" spans="1:10" x14ac:dyDescent="0.2">
      <c r="A98" s="23" t="s">
        <v>14</v>
      </c>
      <c r="B98" s="24">
        <v>45576</v>
      </c>
      <c r="C98" s="23" t="s">
        <v>15</v>
      </c>
      <c r="D98" s="23" t="s">
        <v>285</v>
      </c>
      <c r="E98" s="23" t="s">
        <v>286</v>
      </c>
      <c r="F98" s="10">
        <v>10</v>
      </c>
      <c r="G98" s="10">
        <v>2024</v>
      </c>
      <c r="H98" s="23" t="s">
        <v>282</v>
      </c>
      <c r="I98" s="23"/>
      <c r="J98" s="23" t="s">
        <v>247</v>
      </c>
    </row>
    <row r="99" spans="1:10" x14ac:dyDescent="0.2">
      <c r="A99" s="21" t="s">
        <v>14</v>
      </c>
      <c r="B99" s="22">
        <v>45575</v>
      </c>
      <c r="C99" s="21" t="s">
        <v>21</v>
      </c>
      <c r="D99" s="21" t="s">
        <v>287</v>
      </c>
      <c r="E99" s="21" t="s">
        <v>288</v>
      </c>
      <c r="F99" s="10">
        <v>10</v>
      </c>
      <c r="G99" s="10">
        <v>2024</v>
      </c>
      <c r="H99" s="21" t="s">
        <v>282</v>
      </c>
      <c r="I99" s="21"/>
      <c r="J99" s="21" t="s">
        <v>247</v>
      </c>
    </row>
    <row r="100" spans="1:10" x14ac:dyDescent="0.2">
      <c r="A100" s="23" t="s">
        <v>14</v>
      </c>
      <c r="B100" s="24">
        <v>45562</v>
      </c>
      <c r="C100" s="23" t="s">
        <v>21</v>
      </c>
      <c r="D100" s="23" t="s">
        <v>289</v>
      </c>
      <c r="E100" s="23" t="s">
        <v>290</v>
      </c>
      <c r="F100" s="10">
        <v>9</v>
      </c>
      <c r="G100" s="10">
        <v>2024</v>
      </c>
      <c r="H100" s="23" t="s">
        <v>291</v>
      </c>
      <c r="I100" s="23"/>
      <c r="J100" s="23" t="s">
        <v>247</v>
      </c>
    </row>
    <row r="101" spans="1:10" x14ac:dyDescent="0.2">
      <c r="A101" s="21" t="s">
        <v>14</v>
      </c>
      <c r="B101" s="22">
        <v>45561</v>
      </c>
      <c r="C101" s="21" t="s">
        <v>21</v>
      </c>
      <c r="D101" s="21" t="s">
        <v>292</v>
      </c>
      <c r="E101" s="21" t="s">
        <v>293</v>
      </c>
      <c r="F101" s="10">
        <v>9</v>
      </c>
      <c r="G101" s="10">
        <v>2024</v>
      </c>
      <c r="H101" s="21" t="s">
        <v>291</v>
      </c>
      <c r="I101" s="21"/>
      <c r="J101" s="21" t="s">
        <v>247</v>
      </c>
    </row>
    <row r="102" spans="1:10" x14ac:dyDescent="0.2">
      <c r="A102" s="23" t="s">
        <v>14</v>
      </c>
      <c r="B102" s="24">
        <v>45559</v>
      </c>
      <c r="C102" s="23" t="s">
        <v>21</v>
      </c>
      <c r="D102" s="23" t="s">
        <v>294</v>
      </c>
      <c r="E102" s="23" t="s">
        <v>295</v>
      </c>
      <c r="F102" s="10">
        <v>9</v>
      </c>
      <c r="G102" s="10">
        <v>2024</v>
      </c>
      <c r="H102" s="23" t="s">
        <v>291</v>
      </c>
      <c r="I102" s="23"/>
      <c r="J102" s="23" t="s">
        <v>247</v>
      </c>
    </row>
    <row r="103" spans="1:10" x14ac:dyDescent="0.2">
      <c r="A103" s="21" t="s">
        <v>14</v>
      </c>
      <c r="B103" s="22">
        <v>45555</v>
      </c>
      <c r="C103" s="21" t="s">
        <v>21</v>
      </c>
      <c r="D103" s="21" t="s">
        <v>296</v>
      </c>
      <c r="E103" s="21" t="s">
        <v>297</v>
      </c>
      <c r="F103" s="10">
        <v>9</v>
      </c>
      <c r="G103" s="10">
        <v>2024</v>
      </c>
      <c r="H103" s="21" t="s">
        <v>291</v>
      </c>
      <c r="I103" s="21"/>
      <c r="J103" s="21" t="s">
        <v>247</v>
      </c>
    </row>
    <row r="104" spans="1:10" x14ac:dyDescent="0.2">
      <c r="A104" s="23" t="s">
        <v>14</v>
      </c>
      <c r="B104" s="24">
        <v>45548</v>
      </c>
      <c r="C104" s="23" t="s">
        <v>15</v>
      </c>
      <c r="D104" s="23" t="s">
        <v>298</v>
      </c>
      <c r="E104" s="23" t="s">
        <v>299</v>
      </c>
      <c r="F104" s="10">
        <v>9</v>
      </c>
      <c r="G104" s="10">
        <v>2024</v>
      </c>
      <c r="H104" s="23" t="s">
        <v>291</v>
      </c>
      <c r="I104" s="23"/>
      <c r="J104" s="23" t="s">
        <v>247</v>
      </c>
    </row>
    <row r="105" spans="1:10" x14ac:dyDescent="0.2">
      <c r="A105" s="21" t="s">
        <v>14</v>
      </c>
      <c r="B105" s="22">
        <v>45523</v>
      </c>
      <c r="C105" s="21" t="s">
        <v>21</v>
      </c>
      <c r="D105" s="21" t="s">
        <v>300</v>
      </c>
      <c r="E105" s="21" t="s">
        <v>301</v>
      </c>
      <c r="F105" s="10">
        <v>8</v>
      </c>
      <c r="G105" s="10">
        <v>2024</v>
      </c>
      <c r="H105" s="21" t="s">
        <v>302</v>
      </c>
      <c r="I105" s="21"/>
      <c r="J105" s="21" t="s">
        <v>247</v>
      </c>
    </row>
    <row r="106" spans="1:10" x14ac:dyDescent="0.2">
      <c r="A106" s="23" t="s">
        <v>14</v>
      </c>
      <c r="B106" s="24">
        <v>45518</v>
      </c>
      <c r="C106" s="23" t="s">
        <v>21</v>
      </c>
      <c r="D106" s="23" t="s">
        <v>303</v>
      </c>
      <c r="E106" s="23" t="s">
        <v>304</v>
      </c>
      <c r="F106" s="10">
        <v>8</v>
      </c>
      <c r="G106" s="10">
        <v>2024</v>
      </c>
      <c r="H106" s="23" t="s">
        <v>302</v>
      </c>
      <c r="I106" s="23"/>
      <c r="J106" s="23" t="s">
        <v>247</v>
      </c>
    </row>
    <row r="107" spans="1:10" x14ac:dyDescent="0.2">
      <c r="A107" s="21" t="s">
        <v>14</v>
      </c>
      <c r="B107" s="22">
        <v>45518</v>
      </c>
      <c r="C107" s="21" t="s">
        <v>15</v>
      </c>
      <c r="D107" s="21" t="s">
        <v>305</v>
      </c>
      <c r="E107" s="21" t="s">
        <v>306</v>
      </c>
      <c r="F107" s="10">
        <v>8</v>
      </c>
      <c r="G107" s="10">
        <v>2024</v>
      </c>
      <c r="H107" s="21" t="s">
        <v>302</v>
      </c>
      <c r="I107" s="21"/>
      <c r="J107" s="21" t="s">
        <v>247</v>
      </c>
    </row>
    <row r="108" spans="1:10" x14ac:dyDescent="0.2">
      <c r="A108" s="23" t="s">
        <v>14</v>
      </c>
      <c r="B108" s="24">
        <v>45516</v>
      </c>
      <c r="C108" s="23" t="s">
        <v>15</v>
      </c>
      <c r="D108" s="23" t="s">
        <v>307</v>
      </c>
      <c r="E108" s="23" t="s">
        <v>308</v>
      </c>
      <c r="F108" s="10">
        <v>8</v>
      </c>
      <c r="G108" s="10">
        <v>2024</v>
      </c>
      <c r="H108" s="23" t="s">
        <v>302</v>
      </c>
      <c r="I108" s="23"/>
      <c r="J108" s="23" t="s">
        <v>247</v>
      </c>
    </row>
    <row r="109" spans="1:10" x14ac:dyDescent="0.2">
      <c r="A109" s="21" t="s">
        <v>14</v>
      </c>
      <c r="B109" s="22">
        <v>45513</v>
      </c>
      <c r="C109" s="21" t="s">
        <v>21</v>
      </c>
      <c r="D109" s="21" t="s">
        <v>309</v>
      </c>
      <c r="E109" s="21" t="s">
        <v>310</v>
      </c>
      <c r="F109" s="10">
        <v>8</v>
      </c>
      <c r="G109" s="10">
        <v>2024</v>
      </c>
      <c r="H109" s="21" t="s">
        <v>302</v>
      </c>
      <c r="I109" s="21"/>
      <c r="J109" s="21" t="s">
        <v>247</v>
      </c>
    </row>
    <row r="110" spans="1:10" x14ac:dyDescent="0.2">
      <c r="A110" s="23" t="s">
        <v>14</v>
      </c>
      <c r="B110" s="24">
        <v>45510</v>
      </c>
      <c r="C110" s="23" t="s">
        <v>21</v>
      </c>
      <c r="D110" s="23" t="s">
        <v>311</v>
      </c>
      <c r="E110" s="23" t="s">
        <v>312</v>
      </c>
      <c r="F110" s="10">
        <v>8</v>
      </c>
      <c r="G110" s="10">
        <v>2024</v>
      </c>
      <c r="H110" s="23" t="s">
        <v>302</v>
      </c>
      <c r="I110" s="23"/>
      <c r="J110" s="23" t="s">
        <v>247</v>
      </c>
    </row>
    <row r="111" spans="1:10" x14ac:dyDescent="0.2">
      <c r="A111" s="21" t="s">
        <v>65</v>
      </c>
      <c r="B111" s="22">
        <v>45505</v>
      </c>
      <c r="C111" s="21" t="s">
        <v>15</v>
      </c>
      <c r="D111" s="21" t="s">
        <v>313</v>
      </c>
      <c r="E111" s="21" t="s">
        <v>313</v>
      </c>
      <c r="F111" s="10">
        <v>8</v>
      </c>
      <c r="G111" s="10">
        <v>2024</v>
      </c>
      <c r="H111" s="21" t="s">
        <v>302</v>
      </c>
      <c r="I111" s="21" t="s">
        <v>314</v>
      </c>
      <c r="J111" s="21" t="s">
        <v>252</v>
      </c>
    </row>
    <row r="112" spans="1:10" x14ac:dyDescent="0.2">
      <c r="A112" s="23" t="s">
        <v>14</v>
      </c>
      <c r="B112" s="24">
        <v>45498</v>
      </c>
      <c r="C112" s="23" t="s">
        <v>21</v>
      </c>
      <c r="D112" s="23" t="s">
        <v>315</v>
      </c>
      <c r="E112" s="23" t="s">
        <v>316</v>
      </c>
      <c r="F112" s="10">
        <v>7</v>
      </c>
      <c r="G112" s="10">
        <v>2024</v>
      </c>
      <c r="H112" s="23" t="s">
        <v>317</v>
      </c>
      <c r="I112" s="23"/>
      <c r="J112" s="23" t="s">
        <v>247</v>
      </c>
    </row>
    <row r="113" spans="1:10" x14ac:dyDescent="0.2">
      <c r="A113" s="21" t="s">
        <v>14</v>
      </c>
      <c r="B113" s="22">
        <v>45475</v>
      </c>
      <c r="C113" s="21" t="s">
        <v>15</v>
      </c>
      <c r="D113" s="21" t="s">
        <v>318</v>
      </c>
      <c r="E113" s="21" t="s">
        <v>319</v>
      </c>
      <c r="F113" s="10">
        <v>7</v>
      </c>
      <c r="G113" s="10">
        <v>2024</v>
      </c>
      <c r="H113" s="21" t="s">
        <v>317</v>
      </c>
      <c r="I113" s="21"/>
      <c r="J113" s="21" t="s">
        <v>247</v>
      </c>
    </row>
    <row r="114" spans="1:10" x14ac:dyDescent="0.2">
      <c r="A114" s="23" t="s">
        <v>14</v>
      </c>
      <c r="B114" s="24">
        <v>45469</v>
      </c>
      <c r="C114" s="23" t="s">
        <v>21</v>
      </c>
      <c r="D114" s="23" t="s">
        <v>320</v>
      </c>
      <c r="E114" s="23" t="s">
        <v>321</v>
      </c>
      <c r="F114" s="10">
        <v>6</v>
      </c>
      <c r="G114" s="10">
        <v>2024</v>
      </c>
      <c r="H114" s="23" t="s">
        <v>322</v>
      </c>
      <c r="I114" s="23"/>
      <c r="J114" s="23" t="s">
        <v>247</v>
      </c>
    </row>
    <row r="115" spans="1:10" x14ac:dyDescent="0.2">
      <c r="A115" s="21" t="s">
        <v>14</v>
      </c>
      <c r="B115" s="22">
        <v>45463</v>
      </c>
      <c r="C115" s="21" t="s">
        <v>15</v>
      </c>
      <c r="D115" s="21" t="s">
        <v>323</v>
      </c>
      <c r="E115" s="21" t="s">
        <v>324</v>
      </c>
      <c r="F115" s="10">
        <v>6</v>
      </c>
      <c r="G115" s="10">
        <v>2024</v>
      </c>
      <c r="H115" s="21" t="s">
        <v>322</v>
      </c>
      <c r="I115" s="21"/>
      <c r="J115" s="21" t="s">
        <v>247</v>
      </c>
    </row>
    <row r="116" spans="1:10" x14ac:dyDescent="0.2">
      <c r="A116" s="23" t="s">
        <v>14</v>
      </c>
      <c r="B116" s="24">
        <v>45461</v>
      </c>
      <c r="C116" s="23" t="s">
        <v>21</v>
      </c>
      <c r="D116" s="23" t="s">
        <v>325</v>
      </c>
      <c r="E116" s="23" t="s">
        <v>326</v>
      </c>
      <c r="F116" s="10">
        <v>6</v>
      </c>
      <c r="G116" s="10">
        <v>2024</v>
      </c>
      <c r="H116" s="23" t="s">
        <v>322</v>
      </c>
      <c r="I116" s="23"/>
      <c r="J116" s="23" t="s">
        <v>247</v>
      </c>
    </row>
    <row r="117" spans="1:10" x14ac:dyDescent="0.2">
      <c r="A117" s="21" t="s">
        <v>65</v>
      </c>
      <c r="B117" s="22">
        <v>45460</v>
      </c>
      <c r="C117" s="21" t="s">
        <v>15</v>
      </c>
      <c r="D117" s="21" t="s">
        <v>327</v>
      </c>
      <c r="E117" s="21" t="s">
        <v>327</v>
      </c>
      <c r="F117" s="10">
        <v>6</v>
      </c>
      <c r="G117" s="10">
        <v>2024</v>
      </c>
      <c r="H117" s="21" t="s">
        <v>322</v>
      </c>
      <c r="I117" s="21" t="s">
        <v>328</v>
      </c>
      <c r="J117" s="21" t="s">
        <v>252</v>
      </c>
    </row>
    <row r="118" spans="1:10" x14ac:dyDescent="0.2">
      <c r="A118" s="23" t="s">
        <v>65</v>
      </c>
      <c r="B118" s="24">
        <v>45456</v>
      </c>
      <c r="C118" s="23" t="s">
        <v>15</v>
      </c>
      <c r="D118" s="23" t="s">
        <v>329</v>
      </c>
      <c r="E118" s="23" t="s">
        <v>329</v>
      </c>
      <c r="F118" s="10">
        <v>6</v>
      </c>
      <c r="G118" s="10">
        <v>2024</v>
      </c>
      <c r="H118" s="23" t="s">
        <v>322</v>
      </c>
      <c r="I118" s="23" t="s">
        <v>330</v>
      </c>
      <c r="J118" s="23" t="s">
        <v>252</v>
      </c>
    </row>
    <row r="119" spans="1:10" x14ac:dyDescent="0.2">
      <c r="A119" s="21" t="s">
        <v>14</v>
      </c>
      <c r="B119" s="22">
        <v>45453</v>
      </c>
      <c r="C119" s="21" t="s">
        <v>21</v>
      </c>
      <c r="D119" s="21" t="s">
        <v>331</v>
      </c>
      <c r="E119" s="21" t="s">
        <v>332</v>
      </c>
      <c r="F119" s="10">
        <v>6</v>
      </c>
      <c r="G119" s="10">
        <v>2024</v>
      </c>
      <c r="H119" s="21" t="s">
        <v>322</v>
      </c>
      <c r="I119" s="21"/>
      <c r="J119" s="21" t="s">
        <v>247</v>
      </c>
    </row>
    <row r="120" spans="1:10" x14ac:dyDescent="0.2">
      <c r="A120" s="23" t="s">
        <v>14</v>
      </c>
      <c r="B120" s="24">
        <v>45449</v>
      </c>
      <c r="C120" s="23" t="s">
        <v>21</v>
      </c>
      <c r="D120" s="23" t="s">
        <v>333</v>
      </c>
      <c r="E120" s="23" t="s">
        <v>334</v>
      </c>
      <c r="F120" s="10">
        <v>6</v>
      </c>
      <c r="G120" s="10">
        <v>2024</v>
      </c>
      <c r="H120" s="23" t="s">
        <v>322</v>
      </c>
      <c r="I120" s="23"/>
      <c r="J120" s="23" t="s">
        <v>247</v>
      </c>
    </row>
    <row r="121" spans="1:10" x14ac:dyDescent="0.2">
      <c r="A121" s="21" t="s">
        <v>65</v>
      </c>
      <c r="B121" s="22">
        <v>45443</v>
      </c>
      <c r="C121" s="21" t="s">
        <v>15</v>
      </c>
      <c r="D121" s="21" t="s">
        <v>335</v>
      </c>
      <c r="E121" s="21" t="s">
        <v>335</v>
      </c>
      <c r="F121" s="10">
        <v>5</v>
      </c>
      <c r="G121" s="10">
        <v>2024</v>
      </c>
      <c r="H121" s="21" t="s">
        <v>336</v>
      </c>
      <c r="I121" s="21" t="s">
        <v>337</v>
      </c>
      <c r="J121" s="21" t="s">
        <v>252</v>
      </c>
    </row>
    <row r="122" spans="1:10" x14ac:dyDescent="0.2">
      <c r="A122" s="23" t="s">
        <v>14</v>
      </c>
      <c r="B122" s="24">
        <v>45428</v>
      </c>
      <c r="C122" s="23" t="s">
        <v>15</v>
      </c>
      <c r="D122" s="23" t="s">
        <v>338</v>
      </c>
      <c r="E122" s="23" t="s">
        <v>339</v>
      </c>
      <c r="F122" s="10">
        <v>5</v>
      </c>
      <c r="G122" s="10">
        <v>2024</v>
      </c>
      <c r="H122" s="23" t="s">
        <v>336</v>
      </c>
      <c r="I122" s="23"/>
      <c r="J122" s="23" t="s">
        <v>247</v>
      </c>
    </row>
    <row r="123" spans="1:10" x14ac:dyDescent="0.2">
      <c r="A123" s="21" t="s">
        <v>14</v>
      </c>
      <c r="B123" s="22">
        <v>45408</v>
      </c>
      <c r="C123" s="21" t="s">
        <v>21</v>
      </c>
      <c r="D123" s="21" t="s">
        <v>340</v>
      </c>
      <c r="E123" s="21" t="s">
        <v>341</v>
      </c>
      <c r="F123" s="10">
        <v>4</v>
      </c>
      <c r="G123" s="10">
        <v>2024</v>
      </c>
      <c r="H123" s="21" t="s">
        <v>342</v>
      </c>
      <c r="I123" s="21"/>
      <c r="J123" s="21" t="s">
        <v>247</v>
      </c>
    </row>
    <row r="124" spans="1:10" x14ac:dyDescent="0.2">
      <c r="A124" s="23" t="s">
        <v>65</v>
      </c>
      <c r="B124" s="24">
        <v>45407</v>
      </c>
      <c r="C124" s="23" t="s">
        <v>15</v>
      </c>
      <c r="D124" s="23" t="s">
        <v>343</v>
      </c>
      <c r="E124" s="23" t="s">
        <v>343</v>
      </c>
      <c r="F124" s="10">
        <v>4</v>
      </c>
      <c r="G124" s="10">
        <v>2024</v>
      </c>
      <c r="H124" s="23" t="s">
        <v>342</v>
      </c>
      <c r="I124" s="23" t="s">
        <v>344</v>
      </c>
      <c r="J124" s="23" t="s">
        <v>252</v>
      </c>
    </row>
    <row r="125" spans="1:10" x14ac:dyDescent="0.2">
      <c r="A125" s="21" t="s">
        <v>14</v>
      </c>
      <c r="B125" s="22">
        <v>45405</v>
      </c>
      <c r="C125" s="21" t="s">
        <v>21</v>
      </c>
      <c r="D125" s="21" t="s">
        <v>345</v>
      </c>
      <c r="E125" s="21" t="s">
        <v>346</v>
      </c>
      <c r="F125" s="10">
        <v>4</v>
      </c>
      <c r="G125" s="10">
        <v>2024</v>
      </c>
      <c r="H125" s="21" t="s">
        <v>342</v>
      </c>
      <c r="I125" s="21"/>
      <c r="J125" s="21" t="s">
        <v>247</v>
      </c>
    </row>
    <row r="126" spans="1:10" x14ac:dyDescent="0.2">
      <c r="A126" s="23" t="s">
        <v>14</v>
      </c>
      <c r="B126" s="24">
        <v>45404</v>
      </c>
      <c r="C126" s="23" t="s">
        <v>15</v>
      </c>
      <c r="D126" s="23" t="s">
        <v>347</v>
      </c>
      <c r="E126" s="23" t="s">
        <v>348</v>
      </c>
      <c r="F126" s="10">
        <v>4</v>
      </c>
      <c r="G126" s="10">
        <v>2024</v>
      </c>
      <c r="H126" s="23" t="s">
        <v>342</v>
      </c>
      <c r="I126" s="23"/>
      <c r="J126" s="23" t="s">
        <v>247</v>
      </c>
    </row>
    <row r="127" spans="1:10" x14ac:dyDescent="0.2">
      <c r="A127" s="21" t="s">
        <v>14</v>
      </c>
      <c r="B127" s="22">
        <v>45399</v>
      </c>
      <c r="C127" s="21" t="s">
        <v>21</v>
      </c>
      <c r="D127" s="21" t="s">
        <v>349</v>
      </c>
      <c r="E127" s="21" t="s">
        <v>350</v>
      </c>
      <c r="F127" s="10">
        <v>4</v>
      </c>
      <c r="G127" s="10">
        <v>2024</v>
      </c>
      <c r="H127" s="21" t="s">
        <v>342</v>
      </c>
      <c r="I127" s="21"/>
      <c r="J127" s="21" t="s">
        <v>247</v>
      </c>
    </row>
    <row r="128" spans="1:10" x14ac:dyDescent="0.2">
      <c r="A128" s="23" t="s">
        <v>14</v>
      </c>
      <c r="B128" s="24">
        <v>45385</v>
      </c>
      <c r="C128" s="23" t="s">
        <v>21</v>
      </c>
      <c r="D128" s="23" t="s">
        <v>351</v>
      </c>
      <c r="E128" s="23" t="s">
        <v>352</v>
      </c>
      <c r="F128" s="10">
        <v>4</v>
      </c>
      <c r="G128" s="10">
        <v>2024</v>
      </c>
      <c r="H128" s="23" t="s">
        <v>342</v>
      </c>
      <c r="I128" s="23"/>
      <c r="J128" s="23" t="s">
        <v>247</v>
      </c>
    </row>
    <row r="129" spans="1:10" x14ac:dyDescent="0.2">
      <c r="A129" s="21" t="s">
        <v>14</v>
      </c>
      <c r="B129" s="22">
        <v>45380</v>
      </c>
      <c r="C129" s="21" t="s">
        <v>21</v>
      </c>
      <c r="D129" s="21" t="s">
        <v>353</v>
      </c>
      <c r="E129" s="21" t="s">
        <v>354</v>
      </c>
      <c r="F129" s="10">
        <v>3</v>
      </c>
      <c r="G129" s="10">
        <v>2024</v>
      </c>
      <c r="H129" s="21" t="s">
        <v>355</v>
      </c>
      <c r="I129" s="21"/>
      <c r="J129" s="21" t="s">
        <v>247</v>
      </c>
    </row>
    <row r="130" spans="1:10" x14ac:dyDescent="0.2">
      <c r="A130" s="23" t="s">
        <v>14</v>
      </c>
      <c r="B130" s="24">
        <v>45378</v>
      </c>
      <c r="C130" s="23" t="s">
        <v>21</v>
      </c>
      <c r="D130" s="23" t="s">
        <v>356</v>
      </c>
      <c r="E130" s="23" t="s">
        <v>357</v>
      </c>
      <c r="F130" s="10">
        <v>3</v>
      </c>
      <c r="G130" s="10">
        <v>2024</v>
      </c>
      <c r="H130" s="23" t="s">
        <v>355</v>
      </c>
      <c r="I130" s="23"/>
      <c r="J130" s="23" t="s">
        <v>247</v>
      </c>
    </row>
    <row r="131" spans="1:10" x14ac:dyDescent="0.2">
      <c r="A131" s="21" t="s">
        <v>14</v>
      </c>
      <c r="B131" s="22">
        <v>45377</v>
      </c>
      <c r="C131" s="21" t="s">
        <v>15</v>
      </c>
      <c r="D131" s="21" t="s">
        <v>358</v>
      </c>
      <c r="E131" s="21" t="s">
        <v>359</v>
      </c>
      <c r="F131" s="10">
        <v>3</v>
      </c>
      <c r="G131" s="10">
        <v>2024</v>
      </c>
      <c r="H131" s="21" t="s">
        <v>355</v>
      </c>
      <c r="I131" s="21"/>
      <c r="J131" s="21" t="s">
        <v>247</v>
      </c>
    </row>
    <row r="132" spans="1:10" x14ac:dyDescent="0.2">
      <c r="A132" s="23" t="s">
        <v>14</v>
      </c>
      <c r="B132" s="24">
        <v>45372</v>
      </c>
      <c r="C132" s="23" t="s">
        <v>21</v>
      </c>
      <c r="D132" s="23" t="s">
        <v>360</v>
      </c>
      <c r="E132" s="23" t="s">
        <v>361</v>
      </c>
      <c r="F132" s="10">
        <v>3</v>
      </c>
      <c r="G132" s="10">
        <v>2024</v>
      </c>
      <c r="H132" s="23" t="s">
        <v>355</v>
      </c>
      <c r="I132" s="23"/>
      <c r="J132" s="23" t="s">
        <v>247</v>
      </c>
    </row>
    <row r="133" spans="1:10" x14ac:dyDescent="0.2">
      <c r="A133" s="21" t="s">
        <v>14</v>
      </c>
      <c r="B133" s="22">
        <v>45370</v>
      </c>
      <c r="C133" s="21" t="s">
        <v>21</v>
      </c>
      <c r="D133" s="21" t="s">
        <v>362</v>
      </c>
      <c r="E133" s="21" t="s">
        <v>363</v>
      </c>
      <c r="F133" s="10">
        <v>3</v>
      </c>
      <c r="G133" s="10">
        <v>2024</v>
      </c>
      <c r="H133" s="21" t="s">
        <v>355</v>
      </c>
      <c r="I133" s="21"/>
      <c r="J133" s="21" t="s">
        <v>247</v>
      </c>
    </row>
    <row r="134" spans="1:10" x14ac:dyDescent="0.2">
      <c r="A134" s="23" t="s">
        <v>65</v>
      </c>
      <c r="B134" s="24">
        <v>45370</v>
      </c>
      <c r="C134" s="23" t="s">
        <v>15</v>
      </c>
      <c r="D134" s="23" t="s">
        <v>364</v>
      </c>
      <c r="E134" s="23" t="s">
        <v>364</v>
      </c>
      <c r="F134" s="10">
        <v>3</v>
      </c>
      <c r="G134" s="10">
        <v>2024</v>
      </c>
      <c r="H134" s="23" t="s">
        <v>355</v>
      </c>
      <c r="I134" s="23" t="s">
        <v>365</v>
      </c>
      <c r="J134" s="23" t="s">
        <v>252</v>
      </c>
    </row>
    <row r="135" spans="1:10" x14ac:dyDescent="0.2">
      <c r="A135" s="21" t="s">
        <v>65</v>
      </c>
      <c r="B135" s="22">
        <v>45369</v>
      </c>
      <c r="C135" s="21" t="s">
        <v>15</v>
      </c>
      <c r="D135" s="21" t="s">
        <v>366</v>
      </c>
      <c r="E135" s="21" t="s">
        <v>366</v>
      </c>
      <c r="F135" s="10">
        <v>3</v>
      </c>
      <c r="G135" s="10">
        <v>2024</v>
      </c>
      <c r="H135" s="21" t="s">
        <v>355</v>
      </c>
      <c r="I135" s="21" t="s">
        <v>367</v>
      </c>
      <c r="J135" s="21" t="s">
        <v>252</v>
      </c>
    </row>
    <row r="136" spans="1:10" x14ac:dyDescent="0.2">
      <c r="A136" s="23" t="s">
        <v>14</v>
      </c>
      <c r="B136" s="24">
        <v>45365</v>
      </c>
      <c r="C136" s="23" t="s">
        <v>21</v>
      </c>
      <c r="D136" s="23" t="s">
        <v>368</v>
      </c>
      <c r="E136" s="23" t="s">
        <v>369</v>
      </c>
      <c r="F136" s="10">
        <v>3</v>
      </c>
      <c r="G136" s="10">
        <v>2024</v>
      </c>
      <c r="H136" s="23" t="s">
        <v>355</v>
      </c>
      <c r="I136" s="23"/>
      <c r="J136" s="23" t="s">
        <v>247</v>
      </c>
    </row>
    <row r="137" spans="1:10" x14ac:dyDescent="0.2">
      <c r="A137" s="21" t="s">
        <v>14</v>
      </c>
      <c r="B137" s="22">
        <v>45364</v>
      </c>
      <c r="C137" s="21" t="s">
        <v>15</v>
      </c>
      <c r="D137" s="21" t="s">
        <v>370</v>
      </c>
      <c r="E137" s="21" t="s">
        <v>371</v>
      </c>
      <c r="F137" s="10">
        <v>3</v>
      </c>
      <c r="G137" s="10">
        <v>2024</v>
      </c>
      <c r="H137" s="21" t="s">
        <v>355</v>
      </c>
      <c r="I137" s="21"/>
      <c r="J137" s="21" t="s">
        <v>247</v>
      </c>
    </row>
    <row r="138" spans="1:10" x14ac:dyDescent="0.2">
      <c r="A138" s="23" t="s">
        <v>14</v>
      </c>
      <c r="B138" s="24">
        <v>45351</v>
      </c>
      <c r="C138" s="23" t="s">
        <v>15</v>
      </c>
      <c r="D138" s="23" t="s">
        <v>372</v>
      </c>
      <c r="E138" s="23" t="s">
        <v>373</v>
      </c>
      <c r="F138" s="10">
        <v>2</v>
      </c>
      <c r="G138" s="10">
        <v>2024</v>
      </c>
      <c r="H138" s="23" t="s">
        <v>374</v>
      </c>
      <c r="I138" s="23"/>
      <c r="J138" s="23" t="s">
        <v>247</v>
      </c>
    </row>
    <row r="139" spans="1:10" x14ac:dyDescent="0.2">
      <c r="A139" s="21" t="s">
        <v>65</v>
      </c>
      <c r="B139" s="22">
        <v>45350</v>
      </c>
      <c r="C139" s="21" t="s">
        <v>15</v>
      </c>
      <c r="D139" s="21" t="s">
        <v>375</v>
      </c>
      <c r="E139" s="21" t="s">
        <v>375</v>
      </c>
      <c r="F139" s="10">
        <v>2</v>
      </c>
      <c r="G139" s="10">
        <v>2024</v>
      </c>
      <c r="H139" s="21" t="s">
        <v>374</v>
      </c>
      <c r="I139" s="21" t="s">
        <v>376</v>
      </c>
      <c r="J139" s="21" t="s">
        <v>252</v>
      </c>
    </row>
    <row r="140" spans="1:10" x14ac:dyDescent="0.2">
      <c r="A140" s="23" t="s">
        <v>65</v>
      </c>
      <c r="B140" s="24">
        <v>45349</v>
      </c>
      <c r="C140" s="23" t="s">
        <v>15</v>
      </c>
      <c r="D140" s="23" t="s">
        <v>377</v>
      </c>
      <c r="E140" s="23" t="s">
        <v>377</v>
      </c>
      <c r="F140" s="10">
        <v>2</v>
      </c>
      <c r="G140" s="10">
        <v>2024</v>
      </c>
      <c r="H140" s="23" t="s">
        <v>374</v>
      </c>
      <c r="I140" s="23" t="s">
        <v>378</v>
      </c>
      <c r="J140" s="23" t="s">
        <v>252</v>
      </c>
    </row>
    <row r="141" spans="1:10" x14ac:dyDescent="0.2">
      <c r="A141" s="21" t="s">
        <v>14</v>
      </c>
      <c r="B141" s="22">
        <v>45344</v>
      </c>
      <c r="C141" s="21" t="s">
        <v>21</v>
      </c>
      <c r="D141" s="21" t="s">
        <v>379</v>
      </c>
      <c r="E141" s="21" t="s">
        <v>380</v>
      </c>
      <c r="F141" s="10">
        <v>2</v>
      </c>
      <c r="G141" s="10">
        <v>2024</v>
      </c>
      <c r="H141" s="21" t="s">
        <v>374</v>
      </c>
      <c r="I141" s="21"/>
      <c r="J141" s="21" t="s">
        <v>247</v>
      </c>
    </row>
    <row r="142" spans="1:10" x14ac:dyDescent="0.2">
      <c r="A142" s="23" t="s">
        <v>65</v>
      </c>
      <c r="B142" s="24">
        <v>45343</v>
      </c>
      <c r="C142" s="23" t="s">
        <v>15</v>
      </c>
      <c r="D142" s="23" t="s">
        <v>381</v>
      </c>
      <c r="E142" s="23" t="s">
        <v>381</v>
      </c>
      <c r="F142" s="10">
        <v>2</v>
      </c>
      <c r="G142" s="10">
        <v>2024</v>
      </c>
      <c r="H142" s="23" t="s">
        <v>374</v>
      </c>
      <c r="I142" s="23" t="s">
        <v>382</v>
      </c>
      <c r="J142" s="23" t="s">
        <v>252</v>
      </c>
    </row>
    <row r="143" spans="1:10" x14ac:dyDescent="0.2">
      <c r="A143" s="21" t="s">
        <v>65</v>
      </c>
      <c r="B143" s="22">
        <v>45338</v>
      </c>
      <c r="C143" s="21" t="s">
        <v>15</v>
      </c>
      <c r="D143" s="21" t="s">
        <v>383</v>
      </c>
      <c r="E143" s="21" t="s">
        <v>383</v>
      </c>
      <c r="F143" s="10">
        <v>2</v>
      </c>
      <c r="G143" s="10">
        <v>2024</v>
      </c>
      <c r="H143" s="21" t="s">
        <v>374</v>
      </c>
      <c r="I143" s="21" t="s">
        <v>384</v>
      </c>
      <c r="J143" s="21" t="s">
        <v>252</v>
      </c>
    </row>
    <row r="144" spans="1:10" x14ac:dyDescent="0.2">
      <c r="A144" s="23" t="s">
        <v>65</v>
      </c>
      <c r="B144" s="24">
        <v>45327</v>
      </c>
      <c r="C144" s="23" t="s">
        <v>15</v>
      </c>
      <c r="D144" s="23" t="s">
        <v>385</v>
      </c>
      <c r="E144" s="23" t="s">
        <v>385</v>
      </c>
      <c r="F144" s="10">
        <v>2</v>
      </c>
      <c r="G144" s="10">
        <v>2024</v>
      </c>
      <c r="H144" s="23" t="s">
        <v>374</v>
      </c>
      <c r="I144" s="23" t="s">
        <v>386</v>
      </c>
      <c r="J144" s="23" t="s">
        <v>252</v>
      </c>
    </row>
    <row r="145" spans="1:10" x14ac:dyDescent="0.2">
      <c r="A145" s="21" t="s">
        <v>65</v>
      </c>
      <c r="B145" s="22">
        <v>45321</v>
      </c>
      <c r="C145" s="21" t="s">
        <v>15</v>
      </c>
      <c r="D145" s="21" t="s">
        <v>387</v>
      </c>
      <c r="E145" s="21" t="s">
        <v>387</v>
      </c>
      <c r="F145" s="10">
        <v>1</v>
      </c>
      <c r="G145" s="10">
        <v>2024</v>
      </c>
      <c r="H145" s="21" t="s">
        <v>388</v>
      </c>
      <c r="I145" s="21" t="s">
        <v>389</v>
      </c>
      <c r="J145" s="21" t="s">
        <v>252</v>
      </c>
    </row>
    <row r="146" spans="1:10" x14ac:dyDescent="0.2">
      <c r="A146" s="23" t="s">
        <v>65</v>
      </c>
      <c r="B146" s="24">
        <v>45307</v>
      </c>
      <c r="C146" s="23" t="s">
        <v>15</v>
      </c>
      <c r="D146" s="23" t="s">
        <v>390</v>
      </c>
      <c r="E146" s="23" t="s">
        <v>390</v>
      </c>
      <c r="F146" s="10">
        <v>1</v>
      </c>
      <c r="G146" s="10">
        <v>2024</v>
      </c>
      <c r="H146" s="23" t="s">
        <v>388</v>
      </c>
      <c r="I146" s="23" t="s">
        <v>391</v>
      </c>
      <c r="J146" s="23" t="s">
        <v>252</v>
      </c>
    </row>
    <row r="147" spans="1:10" x14ac:dyDescent="0.2">
      <c r="A147" s="21" t="s">
        <v>14</v>
      </c>
      <c r="B147" s="22">
        <v>45296</v>
      </c>
      <c r="C147" s="21" t="s">
        <v>21</v>
      </c>
      <c r="D147" s="21" t="s">
        <v>392</v>
      </c>
      <c r="E147" s="21" t="s">
        <v>393</v>
      </c>
      <c r="F147" s="10">
        <v>1</v>
      </c>
      <c r="G147" s="10">
        <v>2024</v>
      </c>
      <c r="H147" s="21" t="s">
        <v>388</v>
      </c>
      <c r="I147" s="21"/>
      <c r="J147" s="21" t="s">
        <v>247</v>
      </c>
    </row>
    <row r="148" spans="1:10" x14ac:dyDescent="0.2">
      <c r="A148" s="23" t="s">
        <v>14</v>
      </c>
      <c r="B148" s="24">
        <v>45281</v>
      </c>
      <c r="C148" s="23" t="s">
        <v>21</v>
      </c>
      <c r="D148" s="23" t="s">
        <v>394</v>
      </c>
      <c r="E148" s="23" t="s">
        <v>395</v>
      </c>
      <c r="F148" s="10">
        <v>12</v>
      </c>
      <c r="G148" s="10">
        <v>2023</v>
      </c>
      <c r="H148" s="23" t="s">
        <v>396</v>
      </c>
      <c r="I148" s="23"/>
      <c r="J148" s="23" t="s">
        <v>247</v>
      </c>
    </row>
    <row r="149" spans="1:10" x14ac:dyDescent="0.2">
      <c r="A149" s="21" t="s">
        <v>14</v>
      </c>
      <c r="B149" s="22">
        <v>45278</v>
      </c>
      <c r="C149" s="21" t="s">
        <v>21</v>
      </c>
      <c r="D149" s="21" t="s">
        <v>397</v>
      </c>
      <c r="E149" s="21" t="s">
        <v>398</v>
      </c>
      <c r="F149" s="10">
        <v>12</v>
      </c>
      <c r="G149" s="10">
        <v>2023</v>
      </c>
      <c r="H149" s="21" t="s">
        <v>396</v>
      </c>
      <c r="I149" s="21"/>
      <c r="J149" s="21" t="s">
        <v>247</v>
      </c>
    </row>
    <row r="150" spans="1:10" x14ac:dyDescent="0.2">
      <c r="A150" s="23" t="s">
        <v>65</v>
      </c>
      <c r="B150" s="24">
        <v>45275</v>
      </c>
      <c r="C150" s="23" t="s">
        <v>15</v>
      </c>
      <c r="D150" s="23" t="s">
        <v>399</v>
      </c>
      <c r="E150" s="23" t="s">
        <v>399</v>
      </c>
      <c r="F150" s="10">
        <v>12</v>
      </c>
      <c r="G150" s="10">
        <v>2023</v>
      </c>
      <c r="H150" s="23" t="s">
        <v>396</v>
      </c>
      <c r="I150" s="23" t="s">
        <v>400</v>
      </c>
      <c r="J150" s="23" t="s">
        <v>401</v>
      </c>
    </row>
    <row r="151" spans="1:10" x14ac:dyDescent="0.2">
      <c r="A151" s="21" t="s">
        <v>65</v>
      </c>
      <c r="B151" s="22">
        <v>45268</v>
      </c>
      <c r="C151" s="21" t="s">
        <v>15</v>
      </c>
      <c r="D151" s="21" t="s">
        <v>402</v>
      </c>
      <c r="E151" s="21" t="s">
        <v>402</v>
      </c>
      <c r="F151" s="10">
        <v>12</v>
      </c>
      <c r="G151" s="10">
        <v>2023</v>
      </c>
      <c r="H151" s="21" t="s">
        <v>396</v>
      </c>
      <c r="I151" s="21" t="s">
        <v>403</v>
      </c>
      <c r="J151" s="21" t="s">
        <v>401</v>
      </c>
    </row>
    <row r="152" spans="1:10" x14ac:dyDescent="0.2">
      <c r="A152" s="23" t="s">
        <v>65</v>
      </c>
      <c r="B152" s="24">
        <v>45268</v>
      </c>
      <c r="C152" s="23" t="s">
        <v>15</v>
      </c>
      <c r="D152" s="23" t="s">
        <v>404</v>
      </c>
      <c r="E152" s="23" t="s">
        <v>404</v>
      </c>
      <c r="F152" s="10">
        <v>12</v>
      </c>
      <c r="G152" s="10">
        <v>2023</v>
      </c>
      <c r="H152" s="23" t="s">
        <v>396</v>
      </c>
      <c r="I152" s="23" t="s">
        <v>405</v>
      </c>
      <c r="J152" s="23" t="s">
        <v>401</v>
      </c>
    </row>
    <row r="153" spans="1:10" x14ac:dyDescent="0.2">
      <c r="A153" s="21" t="s">
        <v>14</v>
      </c>
      <c r="B153" s="22">
        <v>45265</v>
      </c>
      <c r="C153" s="21" t="s">
        <v>21</v>
      </c>
      <c r="D153" s="21" t="s">
        <v>406</v>
      </c>
      <c r="E153" s="21" t="s">
        <v>407</v>
      </c>
      <c r="F153" s="10">
        <v>12</v>
      </c>
      <c r="G153" s="10">
        <v>2023</v>
      </c>
      <c r="H153" s="21" t="s">
        <v>396</v>
      </c>
      <c r="I153" s="21"/>
      <c r="J153" s="21" t="s">
        <v>247</v>
      </c>
    </row>
    <row r="154" spans="1:10" x14ac:dyDescent="0.2">
      <c r="A154" s="23" t="s">
        <v>14</v>
      </c>
      <c r="B154" s="24">
        <v>45257</v>
      </c>
      <c r="C154" s="23" t="s">
        <v>21</v>
      </c>
      <c r="D154" s="23" t="s">
        <v>408</v>
      </c>
      <c r="E154" s="23" t="s">
        <v>409</v>
      </c>
      <c r="F154" s="10">
        <v>11</v>
      </c>
      <c r="G154" s="10">
        <v>2023</v>
      </c>
      <c r="H154" s="23" t="s">
        <v>410</v>
      </c>
      <c r="I154" s="23"/>
      <c r="J154" s="23" t="s">
        <v>247</v>
      </c>
    </row>
    <row r="155" spans="1:10" x14ac:dyDescent="0.2">
      <c r="A155" s="21" t="s">
        <v>14</v>
      </c>
      <c r="B155" s="22">
        <v>45246</v>
      </c>
      <c r="C155" s="21" t="s">
        <v>15</v>
      </c>
      <c r="D155" s="21" t="s">
        <v>411</v>
      </c>
      <c r="E155" s="21" t="s">
        <v>412</v>
      </c>
      <c r="F155" s="10">
        <v>11</v>
      </c>
      <c r="G155" s="10">
        <v>2023</v>
      </c>
      <c r="H155" s="21" t="s">
        <v>410</v>
      </c>
      <c r="I155" s="21"/>
      <c r="J155" s="21" t="s">
        <v>247</v>
      </c>
    </row>
    <row r="156" spans="1:10" x14ac:dyDescent="0.2">
      <c r="A156" s="23" t="s">
        <v>14</v>
      </c>
      <c r="B156" s="24">
        <v>45246</v>
      </c>
      <c r="C156" s="23" t="s">
        <v>21</v>
      </c>
      <c r="D156" s="23" t="s">
        <v>413</v>
      </c>
      <c r="E156" s="23" t="s">
        <v>414</v>
      </c>
      <c r="F156" s="10">
        <v>11</v>
      </c>
      <c r="G156" s="10">
        <v>2023</v>
      </c>
      <c r="H156" s="23" t="s">
        <v>410</v>
      </c>
      <c r="I156" s="23"/>
      <c r="J156" s="23" t="s">
        <v>247</v>
      </c>
    </row>
    <row r="157" spans="1:10" x14ac:dyDescent="0.2">
      <c r="A157" s="21" t="s">
        <v>14</v>
      </c>
      <c r="B157" s="22">
        <v>45245</v>
      </c>
      <c r="C157" s="21" t="s">
        <v>21</v>
      </c>
      <c r="D157" s="21" t="s">
        <v>415</v>
      </c>
      <c r="E157" s="21" t="s">
        <v>416</v>
      </c>
      <c r="F157" s="10">
        <v>11</v>
      </c>
      <c r="G157" s="10">
        <v>2023</v>
      </c>
      <c r="H157" s="21" t="s">
        <v>410</v>
      </c>
      <c r="I157" s="21"/>
      <c r="J157" s="21" t="s">
        <v>247</v>
      </c>
    </row>
    <row r="158" spans="1:10" x14ac:dyDescent="0.2">
      <c r="A158" s="23" t="s">
        <v>14</v>
      </c>
      <c r="B158" s="24">
        <v>45245</v>
      </c>
      <c r="C158" s="23" t="s">
        <v>21</v>
      </c>
      <c r="D158" s="23" t="s">
        <v>417</v>
      </c>
      <c r="E158" s="23" t="s">
        <v>418</v>
      </c>
      <c r="F158" s="10">
        <v>11</v>
      </c>
      <c r="G158" s="10">
        <v>2023</v>
      </c>
      <c r="H158" s="23" t="s">
        <v>410</v>
      </c>
      <c r="I158" s="23"/>
      <c r="J158" s="23" t="s">
        <v>247</v>
      </c>
    </row>
    <row r="159" spans="1:10" x14ac:dyDescent="0.2">
      <c r="A159" s="21" t="s">
        <v>65</v>
      </c>
      <c r="B159" s="22">
        <v>45239</v>
      </c>
      <c r="C159" s="21" t="s">
        <v>15</v>
      </c>
      <c r="D159" s="21" t="s">
        <v>419</v>
      </c>
      <c r="E159" s="21" t="s">
        <v>419</v>
      </c>
      <c r="F159" s="10">
        <v>11</v>
      </c>
      <c r="G159" s="10">
        <v>2023</v>
      </c>
      <c r="H159" s="21" t="s">
        <v>410</v>
      </c>
      <c r="I159" s="21" t="s">
        <v>420</v>
      </c>
      <c r="J159" s="21" t="s">
        <v>401</v>
      </c>
    </row>
    <row r="160" spans="1:10" x14ac:dyDescent="0.2">
      <c r="A160" s="23" t="s">
        <v>65</v>
      </c>
      <c r="B160" s="24">
        <v>45239</v>
      </c>
      <c r="C160" s="23" t="s">
        <v>15</v>
      </c>
      <c r="D160" s="23" t="s">
        <v>421</v>
      </c>
      <c r="E160" s="23" t="s">
        <v>421</v>
      </c>
      <c r="F160" s="10">
        <v>11</v>
      </c>
      <c r="G160" s="10">
        <v>2023</v>
      </c>
      <c r="H160" s="23" t="s">
        <v>410</v>
      </c>
      <c r="I160" s="23" t="s">
        <v>422</v>
      </c>
      <c r="J160" s="23" t="s">
        <v>401</v>
      </c>
    </row>
    <row r="161" spans="1:10" x14ac:dyDescent="0.2">
      <c r="A161" s="21" t="s">
        <v>14</v>
      </c>
      <c r="B161" s="22">
        <v>45238</v>
      </c>
      <c r="C161" s="21" t="s">
        <v>21</v>
      </c>
      <c r="D161" s="21" t="s">
        <v>423</v>
      </c>
      <c r="E161" s="21" t="s">
        <v>424</v>
      </c>
      <c r="F161" s="10">
        <v>11</v>
      </c>
      <c r="G161" s="10">
        <v>2023</v>
      </c>
      <c r="H161" s="21" t="s">
        <v>410</v>
      </c>
      <c r="I161" s="21"/>
      <c r="J161" s="21" t="s">
        <v>247</v>
      </c>
    </row>
    <row r="162" spans="1:10" x14ac:dyDescent="0.2">
      <c r="A162" s="23" t="s">
        <v>14</v>
      </c>
      <c r="B162" s="24">
        <v>45226</v>
      </c>
      <c r="C162" s="23" t="s">
        <v>15</v>
      </c>
      <c r="D162" s="23" t="s">
        <v>425</v>
      </c>
      <c r="E162" s="23" t="s">
        <v>426</v>
      </c>
      <c r="F162" s="10">
        <v>10</v>
      </c>
      <c r="G162" s="10">
        <v>2023</v>
      </c>
      <c r="H162" s="23" t="s">
        <v>427</v>
      </c>
      <c r="I162" s="23"/>
      <c r="J162" s="23" t="s">
        <v>247</v>
      </c>
    </row>
    <row r="163" spans="1:10" x14ac:dyDescent="0.2">
      <c r="A163" s="21" t="s">
        <v>14</v>
      </c>
      <c r="B163" s="22">
        <v>45225</v>
      </c>
      <c r="C163" s="21" t="s">
        <v>21</v>
      </c>
      <c r="D163" s="21" t="s">
        <v>428</v>
      </c>
      <c r="E163" s="21" t="s">
        <v>429</v>
      </c>
      <c r="F163" s="10">
        <v>10</v>
      </c>
      <c r="G163" s="10">
        <v>2023</v>
      </c>
      <c r="H163" s="21" t="s">
        <v>427</v>
      </c>
      <c r="I163" s="21"/>
      <c r="J163" s="21" t="s">
        <v>247</v>
      </c>
    </row>
    <row r="164" spans="1:10" x14ac:dyDescent="0.2">
      <c r="A164" s="23" t="s">
        <v>14</v>
      </c>
      <c r="B164" s="24">
        <v>45225</v>
      </c>
      <c r="C164" s="23" t="s">
        <v>15</v>
      </c>
      <c r="D164" s="23" t="s">
        <v>430</v>
      </c>
      <c r="E164" s="23" t="s">
        <v>431</v>
      </c>
      <c r="F164" s="10">
        <v>10</v>
      </c>
      <c r="G164" s="10">
        <v>2023</v>
      </c>
      <c r="H164" s="23" t="s">
        <v>427</v>
      </c>
      <c r="I164" s="23"/>
      <c r="J164" s="23" t="s">
        <v>247</v>
      </c>
    </row>
    <row r="165" spans="1:10" x14ac:dyDescent="0.2">
      <c r="A165" s="21" t="s">
        <v>65</v>
      </c>
      <c r="B165" s="22">
        <v>45219</v>
      </c>
      <c r="C165" s="21" t="s">
        <v>15</v>
      </c>
      <c r="D165" s="21" t="s">
        <v>432</v>
      </c>
      <c r="E165" s="21" t="s">
        <v>432</v>
      </c>
      <c r="F165" s="10">
        <v>10</v>
      </c>
      <c r="G165" s="10">
        <v>2023</v>
      </c>
      <c r="H165" s="21" t="s">
        <v>427</v>
      </c>
      <c r="I165" s="21" t="s">
        <v>433</v>
      </c>
      <c r="J165" s="21" t="s">
        <v>401</v>
      </c>
    </row>
    <row r="166" spans="1:10" x14ac:dyDescent="0.2">
      <c r="A166" s="23" t="s">
        <v>14</v>
      </c>
      <c r="B166" s="24">
        <v>45216</v>
      </c>
      <c r="C166" s="23" t="s">
        <v>21</v>
      </c>
      <c r="D166" s="23" t="s">
        <v>434</v>
      </c>
      <c r="E166" s="23" t="s">
        <v>435</v>
      </c>
      <c r="F166" s="10">
        <v>10</v>
      </c>
      <c r="G166" s="10">
        <v>2023</v>
      </c>
      <c r="H166" s="23" t="s">
        <v>427</v>
      </c>
      <c r="I166" s="23"/>
      <c r="J166" s="23" t="s">
        <v>247</v>
      </c>
    </row>
    <row r="167" spans="1:10" x14ac:dyDescent="0.2">
      <c r="A167" s="21" t="s">
        <v>65</v>
      </c>
      <c r="B167" s="22">
        <v>45216</v>
      </c>
      <c r="C167" s="21" t="s">
        <v>15</v>
      </c>
      <c r="D167" s="21" t="s">
        <v>436</v>
      </c>
      <c r="E167" s="21" t="s">
        <v>436</v>
      </c>
      <c r="F167" s="10">
        <v>10</v>
      </c>
      <c r="G167" s="10">
        <v>2023</v>
      </c>
      <c r="H167" s="21" t="s">
        <v>427</v>
      </c>
      <c r="I167" s="21" t="s">
        <v>437</v>
      </c>
      <c r="J167" s="21" t="s">
        <v>401</v>
      </c>
    </row>
    <row r="168" spans="1:10" x14ac:dyDescent="0.2">
      <c r="A168" s="23" t="s">
        <v>14</v>
      </c>
      <c r="B168" s="24">
        <v>45216</v>
      </c>
      <c r="C168" s="23" t="s">
        <v>15</v>
      </c>
      <c r="D168" s="23" t="s">
        <v>438</v>
      </c>
      <c r="E168" s="23" t="s">
        <v>439</v>
      </c>
      <c r="F168" s="10">
        <v>10</v>
      </c>
      <c r="G168" s="10">
        <v>2023</v>
      </c>
      <c r="H168" s="23" t="s">
        <v>427</v>
      </c>
      <c r="I168" s="23"/>
      <c r="J168" s="23" t="s">
        <v>247</v>
      </c>
    </row>
    <row r="169" spans="1:10" x14ac:dyDescent="0.2">
      <c r="A169" s="21" t="s">
        <v>14</v>
      </c>
      <c r="B169" s="22">
        <v>45211</v>
      </c>
      <c r="C169" s="21" t="s">
        <v>21</v>
      </c>
      <c r="D169" s="21" t="s">
        <v>440</v>
      </c>
      <c r="E169" s="21" t="s">
        <v>441</v>
      </c>
      <c r="F169" s="10">
        <v>10</v>
      </c>
      <c r="G169" s="10">
        <v>2023</v>
      </c>
      <c r="H169" s="21" t="s">
        <v>427</v>
      </c>
      <c r="I169" s="21"/>
      <c r="J169" s="21" t="s">
        <v>247</v>
      </c>
    </row>
    <row r="170" spans="1:10" x14ac:dyDescent="0.2">
      <c r="A170" s="23" t="s">
        <v>14</v>
      </c>
      <c r="B170" s="24">
        <v>45198</v>
      </c>
      <c r="C170" s="23" t="s">
        <v>21</v>
      </c>
      <c r="D170" s="23" t="s">
        <v>442</v>
      </c>
      <c r="E170" s="23" t="s">
        <v>443</v>
      </c>
      <c r="F170" s="10">
        <v>9</v>
      </c>
      <c r="G170" s="10">
        <v>2023</v>
      </c>
      <c r="H170" s="23" t="s">
        <v>444</v>
      </c>
      <c r="I170" s="23"/>
      <c r="J170" s="23" t="s">
        <v>247</v>
      </c>
    </row>
    <row r="171" spans="1:10" x14ac:dyDescent="0.2">
      <c r="A171" s="21" t="s">
        <v>14</v>
      </c>
      <c r="B171" s="22">
        <v>45197</v>
      </c>
      <c r="C171" s="21" t="s">
        <v>15</v>
      </c>
      <c r="D171" s="21" t="s">
        <v>445</v>
      </c>
      <c r="E171" s="21" t="s">
        <v>446</v>
      </c>
      <c r="F171" s="10">
        <v>9</v>
      </c>
      <c r="G171" s="10">
        <v>2023</v>
      </c>
      <c r="H171" s="21" t="s">
        <v>444</v>
      </c>
      <c r="I171" s="21"/>
      <c r="J171" s="21" t="s">
        <v>247</v>
      </c>
    </row>
    <row r="172" spans="1:10" x14ac:dyDescent="0.2">
      <c r="A172" s="23" t="s">
        <v>14</v>
      </c>
      <c r="B172" s="24">
        <v>45191</v>
      </c>
      <c r="C172" s="23" t="s">
        <v>21</v>
      </c>
      <c r="D172" s="23" t="s">
        <v>447</v>
      </c>
      <c r="E172" s="23" t="s">
        <v>448</v>
      </c>
      <c r="F172" s="10">
        <v>9</v>
      </c>
      <c r="G172" s="10">
        <v>2023</v>
      </c>
      <c r="H172" s="23" t="s">
        <v>444</v>
      </c>
      <c r="I172" s="23"/>
      <c r="J172" s="23" t="s">
        <v>247</v>
      </c>
    </row>
    <row r="173" spans="1:10" x14ac:dyDescent="0.2">
      <c r="A173" s="21" t="s">
        <v>14</v>
      </c>
      <c r="B173" s="22">
        <v>45184</v>
      </c>
      <c r="C173" s="21" t="s">
        <v>21</v>
      </c>
      <c r="D173" s="21" t="s">
        <v>449</v>
      </c>
      <c r="E173" s="21" t="s">
        <v>450</v>
      </c>
      <c r="F173" s="10">
        <v>9</v>
      </c>
      <c r="G173" s="10">
        <v>2023</v>
      </c>
      <c r="H173" s="21" t="s">
        <v>444</v>
      </c>
      <c r="I173" s="21"/>
      <c r="J173" s="21" t="s">
        <v>247</v>
      </c>
    </row>
    <row r="174" spans="1:10" x14ac:dyDescent="0.2">
      <c r="A174" s="23" t="s">
        <v>65</v>
      </c>
      <c r="B174" s="24">
        <v>45182</v>
      </c>
      <c r="C174" s="23" t="s">
        <v>15</v>
      </c>
      <c r="D174" s="23" t="s">
        <v>387</v>
      </c>
      <c r="E174" s="23" t="s">
        <v>387</v>
      </c>
      <c r="F174" s="10">
        <v>9</v>
      </c>
      <c r="G174" s="10">
        <v>2023</v>
      </c>
      <c r="H174" s="23" t="s">
        <v>444</v>
      </c>
      <c r="I174" s="23" t="s">
        <v>451</v>
      </c>
      <c r="J174" s="23" t="s">
        <v>401</v>
      </c>
    </row>
    <row r="175" spans="1:10" x14ac:dyDescent="0.2">
      <c r="A175" s="21" t="s">
        <v>14</v>
      </c>
      <c r="B175" s="22">
        <v>45177</v>
      </c>
      <c r="C175" s="21" t="s">
        <v>21</v>
      </c>
      <c r="D175" s="21" t="s">
        <v>452</v>
      </c>
      <c r="E175" s="21" t="s">
        <v>453</v>
      </c>
      <c r="F175" s="10">
        <v>9</v>
      </c>
      <c r="G175" s="10">
        <v>2023</v>
      </c>
      <c r="H175" s="21" t="s">
        <v>444</v>
      </c>
      <c r="I175" s="21"/>
      <c r="J175" s="21" t="s">
        <v>247</v>
      </c>
    </row>
    <row r="176" spans="1:10" x14ac:dyDescent="0.2">
      <c r="A176" s="23" t="s">
        <v>65</v>
      </c>
      <c r="B176" s="24">
        <v>45159</v>
      </c>
      <c r="C176" s="23" t="s">
        <v>15</v>
      </c>
      <c r="D176" s="23" t="s">
        <v>454</v>
      </c>
      <c r="E176" s="23" t="s">
        <v>454</v>
      </c>
      <c r="F176" s="10">
        <v>8</v>
      </c>
      <c r="G176" s="10">
        <v>2023</v>
      </c>
      <c r="H176" s="23" t="s">
        <v>455</v>
      </c>
      <c r="I176" s="23" t="s">
        <v>456</v>
      </c>
      <c r="J176" s="23" t="s">
        <v>401</v>
      </c>
    </row>
    <row r="177" spans="1:10" x14ac:dyDescent="0.2">
      <c r="A177" s="21" t="s">
        <v>14</v>
      </c>
      <c r="B177" s="22">
        <v>45156</v>
      </c>
      <c r="C177" s="21" t="s">
        <v>15</v>
      </c>
      <c r="D177" s="21" t="s">
        <v>457</v>
      </c>
      <c r="E177" s="21" t="s">
        <v>458</v>
      </c>
      <c r="F177" s="10">
        <v>8</v>
      </c>
      <c r="G177" s="10">
        <v>2023</v>
      </c>
      <c r="H177" s="21" t="s">
        <v>455</v>
      </c>
      <c r="I177" s="21"/>
      <c r="J177" s="21" t="s">
        <v>247</v>
      </c>
    </row>
    <row r="178" spans="1:10" x14ac:dyDescent="0.2">
      <c r="A178" s="23" t="s">
        <v>14</v>
      </c>
      <c r="B178" s="24">
        <v>45154</v>
      </c>
      <c r="C178" s="23" t="s">
        <v>21</v>
      </c>
      <c r="D178" s="23" t="s">
        <v>459</v>
      </c>
      <c r="E178" s="23" t="s">
        <v>460</v>
      </c>
      <c r="F178" s="10">
        <v>8</v>
      </c>
      <c r="G178" s="10">
        <v>2023</v>
      </c>
      <c r="H178" s="23" t="s">
        <v>455</v>
      </c>
      <c r="I178" s="23"/>
      <c r="J178" s="23" t="s">
        <v>247</v>
      </c>
    </row>
    <row r="179" spans="1:10" x14ac:dyDescent="0.2">
      <c r="A179" s="21" t="s">
        <v>14</v>
      </c>
      <c r="B179" s="22">
        <v>45152</v>
      </c>
      <c r="C179" s="21" t="s">
        <v>15</v>
      </c>
      <c r="D179" s="21" t="s">
        <v>461</v>
      </c>
      <c r="E179" s="21" t="s">
        <v>462</v>
      </c>
      <c r="F179" s="10">
        <v>8</v>
      </c>
      <c r="G179" s="10">
        <v>2023</v>
      </c>
      <c r="H179" s="21" t="s">
        <v>455</v>
      </c>
      <c r="I179" s="21"/>
      <c r="J179" s="21" t="s">
        <v>247</v>
      </c>
    </row>
    <row r="180" spans="1:10" x14ac:dyDescent="0.2">
      <c r="A180" s="23" t="s">
        <v>14</v>
      </c>
      <c r="B180" s="24">
        <v>45147</v>
      </c>
      <c r="C180" s="23" t="s">
        <v>15</v>
      </c>
      <c r="D180" s="23" t="s">
        <v>463</v>
      </c>
      <c r="E180" s="23" t="s">
        <v>464</v>
      </c>
      <c r="F180" s="10">
        <v>8</v>
      </c>
      <c r="G180" s="10">
        <v>2023</v>
      </c>
      <c r="H180" s="23" t="s">
        <v>455</v>
      </c>
      <c r="I180" s="23"/>
      <c r="J180" s="23" t="s">
        <v>247</v>
      </c>
    </row>
    <row r="181" spans="1:10" x14ac:dyDescent="0.2">
      <c r="A181" s="21" t="s">
        <v>14</v>
      </c>
      <c r="B181" s="22">
        <v>45142</v>
      </c>
      <c r="C181" s="21" t="s">
        <v>21</v>
      </c>
      <c r="D181" s="21" t="s">
        <v>465</v>
      </c>
      <c r="E181" s="21" t="s">
        <v>466</v>
      </c>
      <c r="F181" s="10">
        <v>8</v>
      </c>
      <c r="G181" s="10">
        <v>2023</v>
      </c>
      <c r="H181" s="21" t="s">
        <v>455</v>
      </c>
      <c r="I181" s="21"/>
      <c r="J181" s="21" t="s">
        <v>247</v>
      </c>
    </row>
    <row r="182" spans="1:10" x14ac:dyDescent="0.2">
      <c r="A182" s="23" t="s">
        <v>14</v>
      </c>
      <c r="B182" s="24">
        <v>45142</v>
      </c>
      <c r="C182" s="23" t="s">
        <v>21</v>
      </c>
      <c r="D182" s="23" t="s">
        <v>467</v>
      </c>
      <c r="E182" s="23" t="s">
        <v>468</v>
      </c>
      <c r="F182" s="10">
        <v>8</v>
      </c>
      <c r="G182" s="10">
        <v>2023</v>
      </c>
      <c r="H182" s="23" t="s">
        <v>455</v>
      </c>
      <c r="I182" s="23"/>
      <c r="J182" s="23" t="s">
        <v>247</v>
      </c>
    </row>
    <row r="183" spans="1:10" x14ac:dyDescent="0.2">
      <c r="A183" s="21" t="s">
        <v>14</v>
      </c>
      <c r="B183" s="22">
        <v>45131</v>
      </c>
      <c r="C183" s="21" t="s">
        <v>21</v>
      </c>
      <c r="D183" s="21" t="s">
        <v>469</v>
      </c>
      <c r="E183" s="21" t="s">
        <v>470</v>
      </c>
      <c r="F183" s="10">
        <v>7</v>
      </c>
      <c r="G183" s="10">
        <v>2023</v>
      </c>
      <c r="H183" s="21" t="s">
        <v>471</v>
      </c>
      <c r="I183" s="21"/>
      <c r="J183" s="21" t="s">
        <v>247</v>
      </c>
    </row>
    <row r="184" spans="1:10" x14ac:dyDescent="0.2">
      <c r="A184" s="23" t="s">
        <v>65</v>
      </c>
      <c r="B184" s="24">
        <v>45128</v>
      </c>
      <c r="C184" s="23" t="s">
        <v>15</v>
      </c>
      <c r="D184" s="23" t="s">
        <v>472</v>
      </c>
      <c r="E184" s="23" t="s">
        <v>472</v>
      </c>
      <c r="F184" s="10">
        <v>7</v>
      </c>
      <c r="G184" s="10">
        <v>2023</v>
      </c>
      <c r="H184" s="23" t="s">
        <v>471</v>
      </c>
      <c r="I184" s="23" t="s">
        <v>473</v>
      </c>
      <c r="J184" s="23" t="s">
        <v>401</v>
      </c>
    </row>
    <row r="185" spans="1:10" x14ac:dyDescent="0.2">
      <c r="A185" s="21" t="s">
        <v>14</v>
      </c>
      <c r="B185" s="22">
        <v>45127</v>
      </c>
      <c r="C185" s="21" t="s">
        <v>21</v>
      </c>
      <c r="D185" s="21" t="s">
        <v>474</v>
      </c>
      <c r="E185" s="21" t="s">
        <v>475</v>
      </c>
      <c r="F185" s="10">
        <v>7</v>
      </c>
      <c r="G185" s="10">
        <v>2023</v>
      </c>
      <c r="H185" s="21" t="s">
        <v>471</v>
      </c>
      <c r="I185" s="21"/>
      <c r="J185" s="21" t="s">
        <v>247</v>
      </c>
    </row>
    <row r="186" spans="1:10" x14ac:dyDescent="0.2">
      <c r="A186" s="23" t="s">
        <v>65</v>
      </c>
      <c r="B186" s="24">
        <v>45127</v>
      </c>
      <c r="C186" s="23" t="s">
        <v>15</v>
      </c>
      <c r="D186" s="23" t="s">
        <v>476</v>
      </c>
      <c r="E186" s="23" t="s">
        <v>476</v>
      </c>
      <c r="F186" s="10">
        <v>7</v>
      </c>
      <c r="G186" s="10">
        <v>2023</v>
      </c>
      <c r="H186" s="23" t="s">
        <v>471</v>
      </c>
      <c r="I186" s="23" t="s">
        <v>477</v>
      </c>
      <c r="J186" s="23" t="s">
        <v>401</v>
      </c>
    </row>
    <row r="187" spans="1:10" x14ac:dyDescent="0.2">
      <c r="A187" s="21" t="s">
        <v>14</v>
      </c>
      <c r="B187" s="22">
        <v>45124</v>
      </c>
      <c r="C187" s="21" t="s">
        <v>15</v>
      </c>
      <c r="D187" s="21" t="s">
        <v>478</v>
      </c>
      <c r="E187" s="21" t="s">
        <v>479</v>
      </c>
      <c r="F187" s="10">
        <v>7</v>
      </c>
      <c r="G187" s="10">
        <v>2023</v>
      </c>
      <c r="H187" s="21" t="s">
        <v>471</v>
      </c>
      <c r="I187" s="21"/>
      <c r="J187" s="21" t="s">
        <v>247</v>
      </c>
    </row>
    <row r="188" spans="1:10" x14ac:dyDescent="0.2">
      <c r="A188" s="23" t="s">
        <v>65</v>
      </c>
      <c r="B188" s="24">
        <v>45106</v>
      </c>
      <c r="C188" s="23" t="s">
        <v>15</v>
      </c>
      <c r="D188" s="23" t="s">
        <v>480</v>
      </c>
      <c r="E188" s="23" t="s">
        <v>480</v>
      </c>
      <c r="F188" s="10">
        <v>6</v>
      </c>
      <c r="G188" s="10">
        <v>2023</v>
      </c>
      <c r="H188" s="23" t="s">
        <v>481</v>
      </c>
      <c r="I188" s="23" t="s">
        <v>482</v>
      </c>
      <c r="J188" s="23" t="s">
        <v>401</v>
      </c>
    </row>
    <row r="189" spans="1:10" x14ac:dyDescent="0.2">
      <c r="A189" s="21" t="s">
        <v>65</v>
      </c>
      <c r="B189" s="22">
        <v>45105</v>
      </c>
      <c r="C189" s="21" t="s">
        <v>15</v>
      </c>
      <c r="D189" s="21" t="s">
        <v>483</v>
      </c>
      <c r="E189" s="21" t="s">
        <v>483</v>
      </c>
      <c r="F189" s="10">
        <v>6</v>
      </c>
      <c r="G189" s="10">
        <v>2023</v>
      </c>
      <c r="H189" s="21" t="s">
        <v>481</v>
      </c>
      <c r="I189" s="21" t="s">
        <v>484</v>
      </c>
      <c r="J189" s="21" t="s">
        <v>401</v>
      </c>
    </row>
    <row r="190" spans="1:10" x14ac:dyDescent="0.2">
      <c r="A190" s="23" t="s">
        <v>14</v>
      </c>
      <c r="B190" s="24">
        <v>45104</v>
      </c>
      <c r="C190" s="23" t="s">
        <v>15</v>
      </c>
      <c r="D190" s="23" t="s">
        <v>485</v>
      </c>
      <c r="E190" s="23" t="s">
        <v>486</v>
      </c>
      <c r="F190" s="10">
        <v>6</v>
      </c>
      <c r="G190" s="10">
        <v>2023</v>
      </c>
      <c r="H190" s="23" t="s">
        <v>481</v>
      </c>
      <c r="I190" s="23"/>
      <c r="J190" s="23" t="s">
        <v>247</v>
      </c>
    </row>
    <row r="191" spans="1:10" x14ac:dyDescent="0.2">
      <c r="A191" s="21" t="s">
        <v>14</v>
      </c>
      <c r="B191" s="22">
        <v>45103</v>
      </c>
      <c r="C191" s="21" t="s">
        <v>15</v>
      </c>
      <c r="D191" s="21" t="s">
        <v>487</v>
      </c>
      <c r="E191" s="21" t="s">
        <v>488</v>
      </c>
      <c r="F191" s="10">
        <v>6</v>
      </c>
      <c r="G191" s="10">
        <v>2023</v>
      </c>
      <c r="H191" s="21" t="s">
        <v>481</v>
      </c>
      <c r="I191" s="21"/>
      <c r="J191" s="21" t="s">
        <v>247</v>
      </c>
    </row>
    <row r="192" spans="1:10" x14ac:dyDescent="0.2">
      <c r="A192" s="23" t="s">
        <v>14</v>
      </c>
      <c r="B192" s="24">
        <v>45100</v>
      </c>
      <c r="C192" s="23" t="s">
        <v>21</v>
      </c>
      <c r="D192" s="23" t="s">
        <v>489</v>
      </c>
      <c r="E192" s="23" t="s">
        <v>490</v>
      </c>
      <c r="F192" s="10">
        <v>6</v>
      </c>
      <c r="G192" s="10">
        <v>2023</v>
      </c>
      <c r="H192" s="23" t="s">
        <v>481</v>
      </c>
      <c r="I192" s="23"/>
      <c r="J192" s="23" t="s">
        <v>247</v>
      </c>
    </row>
    <row r="193" spans="1:10" x14ac:dyDescent="0.2">
      <c r="A193" s="21" t="s">
        <v>65</v>
      </c>
      <c r="B193" s="22">
        <v>45099</v>
      </c>
      <c r="C193" s="21" t="s">
        <v>15</v>
      </c>
      <c r="D193" s="21" t="s">
        <v>491</v>
      </c>
      <c r="E193" s="21" t="s">
        <v>491</v>
      </c>
      <c r="F193" s="10">
        <v>6</v>
      </c>
      <c r="G193" s="10">
        <v>2023</v>
      </c>
      <c r="H193" s="21" t="s">
        <v>481</v>
      </c>
      <c r="I193" s="21" t="s">
        <v>492</v>
      </c>
      <c r="J193" s="21" t="s">
        <v>401</v>
      </c>
    </row>
    <row r="194" spans="1:10" x14ac:dyDescent="0.2">
      <c r="A194" s="23" t="s">
        <v>14</v>
      </c>
      <c r="B194" s="24">
        <v>45092</v>
      </c>
      <c r="C194" s="23" t="s">
        <v>15</v>
      </c>
      <c r="D194" s="23" t="s">
        <v>493</v>
      </c>
      <c r="E194" s="23" t="s">
        <v>494</v>
      </c>
      <c r="F194" s="10">
        <v>6</v>
      </c>
      <c r="G194" s="10">
        <v>2023</v>
      </c>
      <c r="H194" s="23" t="s">
        <v>481</v>
      </c>
      <c r="I194" s="23"/>
      <c r="J194" s="23" t="s">
        <v>247</v>
      </c>
    </row>
    <row r="195" spans="1:10" x14ac:dyDescent="0.2">
      <c r="A195" s="21" t="s">
        <v>65</v>
      </c>
      <c r="B195" s="22">
        <v>45090</v>
      </c>
      <c r="C195" s="21" t="s">
        <v>15</v>
      </c>
      <c r="D195" s="21" t="s">
        <v>495</v>
      </c>
      <c r="E195" s="21" t="s">
        <v>495</v>
      </c>
      <c r="F195" s="10">
        <v>6</v>
      </c>
      <c r="G195" s="10">
        <v>2023</v>
      </c>
      <c r="H195" s="21" t="s">
        <v>481</v>
      </c>
      <c r="I195" s="21" t="s">
        <v>496</v>
      </c>
      <c r="J195" s="21" t="s">
        <v>401</v>
      </c>
    </row>
    <row r="196" spans="1:10" x14ac:dyDescent="0.2">
      <c r="A196" s="23" t="s">
        <v>65</v>
      </c>
      <c r="B196" s="24">
        <v>45077</v>
      </c>
      <c r="C196" s="23" t="s">
        <v>15</v>
      </c>
      <c r="D196" s="23" t="s">
        <v>454</v>
      </c>
      <c r="E196" s="23" t="s">
        <v>454</v>
      </c>
      <c r="F196" s="10">
        <v>5</v>
      </c>
      <c r="G196" s="10">
        <v>2023</v>
      </c>
      <c r="H196" s="23" t="s">
        <v>497</v>
      </c>
      <c r="I196" s="23" t="s">
        <v>337</v>
      </c>
      <c r="J196" s="23" t="s">
        <v>401</v>
      </c>
    </row>
    <row r="197" spans="1:10" x14ac:dyDescent="0.2">
      <c r="A197" s="21" t="s">
        <v>14</v>
      </c>
      <c r="B197" s="22">
        <v>45072</v>
      </c>
      <c r="C197" s="21" t="s">
        <v>21</v>
      </c>
      <c r="D197" s="21" t="s">
        <v>498</v>
      </c>
      <c r="E197" s="21" t="s">
        <v>499</v>
      </c>
      <c r="F197" s="10">
        <v>5</v>
      </c>
      <c r="G197" s="10">
        <v>2023</v>
      </c>
      <c r="H197" s="21" t="s">
        <v>497</v>
      </c>
      <c r="I197" s="21"/>
      <c r="J197" s="21" t="s">
        <v>247</v>
      </c>
    </row>
    <row r="198" spans="1:10" x14ac:dyDescent="0.2">
      <c r="A198" s="23" t="s">
        <v>14</v>
      </c>
      <c r="B198" s="24">
        <v>45071</v>
      </c>
      <c r="C198" s="23" t="s">
        <v>21</v>
      </c>
      <c r="D198" s="23" t="s">
        <v>500</v>
      </c>
      <c r="E198" s="23" t="s">
        <v>501</v>
      </c>
      <c r="F198" s="10">
        <v>5</v>
      </c>
      <c r="G198" s="10">
        <v>2023</v>
      </c>
      <c r="H198" s="23" t="s">
        <v>497</v>
      </c>
      <c r="I198" s="23"/>
      <c r="J198" s="23" t="s">
        <v>247</v>
      </c>
    </row>
    <row r="199" spans="1:10" x14ac:dyDescent="0.2">
      <c r="A199" s="21" t="s">
        <v>14</v>
      </c>
      <c r="B199" s="22">
        <v>45071</v>
      </c>
      <c r="C199" s="21" t="s">
        <v>21</v>
      </c>
      <c r="D199" s="21" t="s">
        <v>502</v>
      </c>
      <c r="E199" s="21" t="s">
        <v>503</v>
      </c>
      <c r="F199" s="10">
        <v>5</v>
      </c>
      <c r="G199" s="10">
        <v>2023</v>
      </c>
      <c r="H199" s="21" t="s">
        <v>497</v>
      </c>
      <c r="I199" s="21"/>
      <c r="J199" s="21" t="s">
        <v>247</v>
      </c>
    </row>
    <row r="200" spans="1:10" x14ac:dyDescent="0.2">
      <c r="A200" s="23" t="s">
        <v>14</v>
      </c>
      <c r="B200" s="24">
        <v>45069</v>
      </c>
      <c r="C200" s="23" t="s">
        <v>21</v>
      </c>
      <c r="D200" s="23" t="s">
        <v>504</v>
      </c>
      <c r="E200" s="23" t="s">
        <v>505</v>
      </c>
      <c r="F200" s="10">
        <v>5</v>
      </c>
      <c r="G200" s="10">
        <v>2023</v>
      </c>
      <c r="H200" s="23" t="s">
        <v>497</v>
      </c>
      <c r="I200" s="23"/>
      <c r="J200" s="23" t="s">
        <v>247</v>
      </c>
    </row>
    <row r="201" spans="1:10" x14ac:dyDescent="0.2">
      <c r="A201" s="21" t="s">
        <v>14</v>
      </c>
      <c r="B201" s="22">
        <v>45065</v>
      </c>
      <c r="C201" s="21" t="s">
        <v>15</v>
      </c>
      <c r="D201" s="21" t="s">
        <v>506</v>
      </c>
      <c r="E201" s="21" t="s">
        <v>507</v>
      </c>
      <c r="F201" s="10">
        <v>5</v>
      </c>
      <c r="G201" s="10">
        <v>2023</v>
      </c>
      <c r="H201" s="21" t="s">
        <v>497</v>
      </c>
      <c r="I201" s="21"/>
      <c r="J201" s="21" t="s">
        <v>247</v>
      </c>
    </row>
    <row r="202" spans="1:10" x14ac:dyDescent="0.2">
      <c r="A202" s="23" t="s">
        <v>65</v>
      </c>
      <c r="B202" s="24">
        <v>45065</v>
      </c>
      <c r="C202" s="23" t="s">
        <v>15</v>
      </c>
      <c r="D202" s="23" t="s">
        <v>508</v>
      </c>
      <c r="E202" s="23" t="s">
        <v>508</v>
      </c>
      <c r="F202" s="10">
        <v>5</v>
      </c>
      <c r="G202" s="10">
        <v>2023</v>
      </c>
      <c r="H202" s="23" t="s">
        <v>497</v>
      </c>
      <c r="I202" s="23" t="s">
        <v>509</v>
      </c>
      <c r="J202" s="23" t="s">
        <v>401</v>
      </c>
    </row>
    <row r="203" spans="1:10" x14ac:dyDescent="0.2">
      <c r="A203" s="21" t="s">
        <v>14</v>
      </c>
      <c r="B203" s="22">
        <v>45064</v>
      </c>
      <c r="C203" s="21" t="s">
        <v>21</v>
      </c>
      <c r="D203" s="21" t="s">
        <v>510</v>
      </c>
      <c r="E203" s="21" t="s">
        <v>511</v>
      </c>
      <c r="F203" s="10">
        <v>5</v>
      </c>
      <c r="G203" s="10">
        <v>2023</v>
      </c>
      <c r="H203" s="21" t="s">
        <v>497</v>
      </c>
      <c r="I203" s="21"/>
      <c r="J203" s="21" t="s">
        <v>247</v>
      </c>
    </row>
    <row r="204" spans="1:10" x14ac:dyDescent="0.2">
      <c r="A204" s="23" t="s">
        <v>14</v>
      </c>
      <c r="B204" s="24">
        <v>45058</v>
      </c>
      <c r="C204" s="23" t="s">
        <v>21</v>
      </c>
      <c r="D204" s="23" t="s">
        <v>512</v>
      </c>
      <c r="E204" s="23" t="s">
        <v>513</v>
      </c>
      <c r="F204" s="10">
        <v>5</v>
      </c>
      <c r="G204" s="10">
        <v>2023</v>
      </c>
      <c r="H204" s="23" t="s">
        <v>497</v>
      </c>
      <c r="I204" s="23"/>
      <c r="J204" s="23" t="s">
        <v>247</v>
      </c>
    </row>
    <row r="205" spans="1:10" x14ac:dyDescent="0.2">
      <c r="A205" s="21" t="s">
        <v>14</v>
      </c>
      <c r="B205" s="22">
        <v>45055</v>
      </c>
      <c r="C205" s="21" t="s">
        <v>15</v>
      </c>
      <c r="D205" s="21" t="s">
        <v>514</v>
      </c>
      <c r="E205" s="21" t="s">
        <v>515</v>
      </c>
      <c r="F205" s="10">
        <v>5</v>
      </c>
      <c r="G205" s="10">
        <v>2023</v>
      </c>
      <c r="H205" s="21" t="s">
        <v>497</v>
      </c>
      <c r="I205" s="21"/>
      <c r="J205" s="21" t="s">
        <v>247</v>
      </c>
    </row>
    <row r="206" spans="1:10" x14ac:dyDescent="0.2">
      <c r="A206" s="23" t="s">
        <v>65</v>
      </c>
      <c r="B206" s="24">
        <v>45049</v>
      </c>
      <c r="C206" s="23" t="s">
        <v>15</v>
      </c>
      <c r="D206" s="23" t="s">
        <v>516</v>
      </c>
      <c r="E206" s="23" t="s">
        <v>516</v>
      </c>
      <c r="F206" s="10">
        <v>5</v>
      </c>
      <c r="G206" s="10">
        <v>2023</v>
      </c>
      <c r="H206" s="23" t="s">
        <v>497</v>
      </c>
      <c r="I206" s="23" t="s">
        <v>517</v>
      </c>
      <c r="J206" s="23" t="s">
        <v>401</v>
      </c>
    </row>
    <row r="207" spans="1:10" x14ac:dyDescent="0.2">
      <c r="A207" s="21" t="s">
        <v>65</v>
      </c>
      <c r="B207" s="22">
        <v>45042</v>
      </c>
      <c r="C207" s="21" t="s">
        <v>15</v>
      </c>
      <c r="D207" s="21" t="s">
        <v>518</v>
      </c>
      <c r="E207" s="21" t="s">
        <v>518</v>
      </c>
      <c r="F207" s="10">
        <v>4</v>
      </c>
      <c r="G207" s="10">
        <v>2023</v>
      </c>
      <c r="H207" s="21" t="s">
        <v>519</v>
      </c>
      <c r="I207" s="21" t="s">
        <v>520</v>
      </c>
      <c r="J207" s="21" t="s">
        <v>401</v>
      </c>
    </row>
    <row r="208" spans="1:10" x14ac:dyDescent="0.2">
      <c r="A208" s="23" t="s">
        <v>14</v>
      </c>
      <c r="B208" s="24">
        <v>45041</v>
      </c>
      <c r="C208" s="23" t="s">
        <v>21</v>
      </c>
      <c r="D208" s="23" t="s">
        <v>521</v>
      </c>
      <c r="E208" s="23" t="s">
        <v>522</v>
      </c>
      <c r="F208" s="10">
        <v>4</v>
      </c>
      <c r="G208" s="10">
        <v>2023</v>
      </c>
      <c r="H208" s="23" t="s">
        <v>519</v>
      </c>
      <c r="I208" s="23"/>
      <c r="J208" s="23" t="s">
        <v>247</v>
      </c>
    </row>
    <row r="209" spans="1:10" x14ac:dyDescent="0.2">
      <c r="A209" s="21" t="s">
        <v>65</v>
      </c>
      <c r="B209" s="22">
        <v>45033</v>
      </c>
      <c r="C209" s="21" t="s">
        <v>15</v>
      </c>
      <c r="D209" s="21" t="s">
        <v>523</v>
      </c>
      <c r="E209" s="21" t="s">
        <v>523</v>
      </c>
      <c r="F209" s="10">
        <v>4</v>
      </c>
      <c r="G209" s="10">
        <v>2023</v>
      </c>
      <c r="H209" s="21" t="s">
        <v>519</v>
      </c>
      <c r="I209" s="21" t="s">
        <v>524</v>
      </c>
      <c r="J209" s="21" t="s">
        <v>401</v>
      </c>
    </row>
    <row r="210" spans="1:10" x14ac:dyDescent="0.2">
      <c r="A210" s="23" t="s">
        <v>14</v>
      </c>
      <c r="B210" s="24">
        <v>45009</v>
      </c>
      <c r="C210" s="23" t="s">
        <v>21</v>
      </c>
      <c r="D210" s="23" t="s">
        <v>525</v>
      </c>
      <c r="E210" s="23" t="s">
        <v>526</v>
      </c>
      <c r="F210" s="10">
        <v>3</v>
      </c>
      <c r="G210" s="10">
        <v>2023</v>
      </c>
      <c r="H210" s="23" t="s">
        <v>527</v>
      </c>
      <c r="I210" s="23"/>
      <c r="J210" s="23" t="s">
        <v>247</v>
      </c>
    </row>
    <row r="211" spans="1:10" x14ac:dyDescent="0.2">
      <c r="A211" s="21" t="s">
        <v>14</v>
      </c>
      <c r="B211" s="22">
        <v>45007</v>
      </c>
      <c r="C211" s="21" t="s">
        <v>15</v>
      </c>
      <c r="D211" s="21" t="s">
        <v>528</v>
      </c>
      <c r="E211" s="21" t="s">
        <v>529</v>
      </c>
      <c r="F211" s="10">
        <v>3</v>
      </c>
      <c r="G211" s="10">
        <v>2023</v>
      </c>
      <c r="H211" s="21" t="s">
        <v>527</v>
      </c>
      <c r="I211" s="21"/>
      <c r="J211" s="21" t="s">
        <v>247</v>
      </c>
    </row>
    <row r="212" spans="1:10" x14ac:dyDescent="0.2">
      <c r="A212" s="23" t="s">
        <v>14</v>
      </c>
      <c r="B212" s="24">
        <v>45007</v>
      </c>
      <c r="C212" s="23" t="s">
        <v>21</v>
      </c>
      <c r="D212" s="23" t="s">
        <v>530</v>
      </c>
      <c r="E212" s="23" t="s">
        <v>531</v>
      </c>
      <c r="F212" s="10">
        <v>3</v>
      </c>
      <c r="G212" s="10">
        <v>2023</v>
      </c>
      <c r="H212" s="23" t="s">
        <v>527</v>
      </c>
      <c r="I212" s="23"/>
      <c r="J212" s="23" t="s">
        <v>247</v>
      </c>
    </row>
    <row r="213" spans="1:10" x14ac:dyDescent="0.2">
      <c r="A213" s="21" t="s">
        <v>14</v>
      </c>
      <c r="B213" s="22">
        <v>44995</v>
      </c>
      <c r="C213" s="21" t="s">
        <v>21</v>
      </c>
      <c r="D213" s="21" t="s">
        <v>532</v>
      </c>
      <c r="E213" s="21" t="s">
        <v>533</v>
      </c>
      <c r="F213" s="10">
        <v>3</v>
      </c>
      <c r="G213" s="10">
        <v>2023</v>
      </c>
      <c r="H213" s="21" t="s">
        <v>527</v>
      </c>
      <c r="I213" s="21"/>
      <c r="J213" s="21" t="s">
        <v>247</v>
      </c>
    </row>
    <row r="214" spans="1:10" x14ac:dyDescent="0.2">
      <c r="A214" s="23" t="s">
        <v>14</v>
      </c>
      <c r="B214" s="24">
        <v>44994</v>
      </c>
      <c r="C214" s="23" t="s">
        <v>21</v>
      </c>
      <c r="D214" s="23" t="s">
        <v>534</v>
      </c>
      <c r="E214" s="23" t="s">
        <v>535</v>
      </c>
      <c r="F214" s="10">
        <v>3</v>
      </c>
      <c r="G214" s="10">
        <v>2023</v>
      </c>
      <c r="H214" s="23" t="s">
        <v>527</v>
      </c>
      <c r="I214" s="23"/>
      <c r="J214" s="23" t="s">
        <v>247</v>
      </c>
    </row>
    <row r="215" spans="1:10" x14ac:dyDescent="0.2">
      <c r="A215" s="21" t="s">
        <v>14</v>
      </c>
      <c r="B215" s="22">
        <v>44985</v>
      </c>
      <c r="C215" s="21" t="s">
        <v>21</v>
      </c>
      <c r="D215" s="21" t="s">
        <v>536</v>
      </c>
      <c r="E215" s="21" t="s">
        <v>537</v>
      </c>
      <c r="F215" s="10">
        <v>2</v>
      </c>
      <c r="G215" s="10">
        <v>2023</v>
      </c>
      <c r="H215" s="21" t="s">
        <v>538</v>
      </c>
      <c r="I215" s="21"/>
      <c r="J215" s="21" t="s">
        <v>247</v>
      </c>
    </row>
    <row r="216" spans="1:10" x14ac:dyDescent="0.2">
      <c r="A216" s="23" t="s">
        <v>65</v>
      </c>
      <c r="B216" s="24">
        <v>44980</v>
      </c>
      <c r="C216" s="23" t="s">
        <v>15</v>
      </c>
      <c r="D216" s="23" t="s">
        <v>387</v>
      </c>
      <c r="E216" s="23" t="s">
        <v>387</v>
      </c>
      <c r="F216" s="10">
        <v>2</v>
      </c>
      <c r="G216" s="10">
        <v>2023</v>
      </c>
      <c r="H216" s="23" t="s">
        <v>538</v>
      </c>
      <c r="I216" s="23" t="s">
        <v>451</v>
      </c>
      <c r="J216" s="23" t="s">
        <v>401</v>
      </c>
    </row>
    <row r="217" spans="1:10" x14ac:dyDescent="0.2">
      <c r="A217" s="21" t="s">
        <v>65</v>
      </c>
      <c r="B217" s="22">
        <v>44979</v>
      </c>
      <c r="C217" s="21" t="s">
        <v>15</v>
      </c>
      <c r="D217" s="21" t="s">
        <v>539</v>
      </c>
      <c r="E217" s="21" t="s">
        <v>539</v>
      </c>
      <c r="F217" s="10">
        <v>2</v>
      </c>
      <c r="G217" s="10">
        <v>2023</v>
      </c>
      <c r="H217" s="21" t="s">
        <v>538</v>
      </c>
      <c r="I217" s="21" t="s">
        <v>540</v>
      </c>
      <c r="J217" s="21" t="s">
        <v>401</v>
      </c>
    </row>
    <row r="218" spans="1:10" x14ac:dyDescent="0.2">
      <c r="A218" s="23" t="s">
        <v>14</v>
      </c>
      <c r="B218" s="24">
        <v>44974</v>
      </c>
      <c r="C218" s="23" t="s">
        <v>21</v>
      </c>
      <c r="D218" s="23" t="s">
        <v>541</v>
      </c>
      <c r="E218" s="23" t="s">
        <v>542</v>
      </c>
      <c r="F218" s="10">
        <v>2</v>
      </c>
      <c r="G218" s="10">
        <v>2023</v>
      </c>
      <c r="H218" s="23" t="s">
        <v>538</v>
      </c>
      <c r="I218" s="23"/>
      <c r="J218" s="23" t="s">
        <v>247</v>
      </c>
    </row>
    <row r="219" spans="1:10" x14ac:dyDescent="0.2">
      <c r="A219" s="21" t="s">
        <v>14</v>
      </c>
      <c r="B219" s="22">
        <v>44973</v>
      </c>
      <c r="C219" s="21" t="s">
        <v>15</v>
      </c>
      <c r="D219" s="21" t="s">
        <v>543</v>
      </c>
      <c r="E219" s="21" t="s">
        <v>544</v>
      </c>
      <c r="F219" s="10">
        <v>2</v>
      </c>
      <c r="G219" s="10">
        <v>2023</v>
      </c>
      <c r="H219" s="21" t="s">
        <v>538</v>
      </c>
      <c r="I219" s="21"/>
      <c r="J219" s="21" t="s">
        <v>247</v>
      </c>
    </row>
    <row r="220" spans="1:10" x14ac:dyDescent="0.2">
      <c r="A220" s="23" t="s">
        <v>14</v>
      </c>
      <c r="B220" s="24">
        <v>44958</v>
      </c>
      <c r="C220" s="23" t="s">
        <v>21</v>
      </c>
      <c r="D220" s="23" t="s">
        <v>545</v>
      </c>
      <c r="E220" s="23" t="s">
        <v>546</v>
      </c>
      <c r="F220" s="10">
        <v>2</v>
      </c>
      <c r="G220" s="10">
        <v>2023</v>
      </c>
      <c r="H220" s="23" t="s">
        <v>538</v>
      </c>
      <c r="I220" s="23"/>
      <c r="J220" s="23" t="s">
        <v>247</v>
      </c>
    </row>
    <row r="221" spans="1:10" x14ac:dyDescent="0.2">
      <c r="A221" s="21" t="s">
        <v>14</v>
      </c>
      <c r="B221" s="22">
        <v>44953</v>
      </c>
      <c r="C221" s="21" t="s">
        <v>21</v>
      </c>
      <c r="D221" s="21" t="s">
        <v>547</v>
      </c>
      <c r="E221" s="21" t="s">
        <v>548</v>
      </c>
      <c r="F221" s="10">
        <v>1</v>
      </c>
      <c r="G221" s="10">
        <v>2023</v>
      </c>
      <c r="H221" s="21" t="s">
        <v>549</v>
      </c>
      <c r="I221" s="21"/>
      <c r="J221" s="21" t="s">
        <v>247</v>
      </c>
    </row>
    <row r="222" spans="1:10" x14ac:dyDescent="0.2">
      <c r="A222" s="23" t="s">
        <v>14</v>
      </c>
      <c r="B222" s="24">
        <v>44953</v>
      </c>
      <c r="C222" s="23" t="s">
        <v>21</v>
      </c>
      <c r="D222" s="23" t="s">
        <v>550</v>
      </c>
      <c r="E222" s="23" t="s">
        <v>551</v>
      </c>
      <c r="F222" s="10">
        <v>1</v>
      </c>
      <c r="G222" s="10">
        <v>2023</v>
      </c>
      <c r="H222" s="23" t="s">
        <v>549</v>
      </c>
      <c r="I222" s="23"/>
      <c r="J222" s="23" t="s">
        <v>247</v>
      </c>
    </row>
    <row r="223" spans="1:10" x14ac:dyDescent="0.2">
      <c r="A223" s="21" t="s">
        <v>65</v>
      </c>
      <c r="B223" s="22">
        <v>44951</v>
      </c>
      <c r="C223" s="21" t="s">
        <v>15</v>
      </c>
      <c r="D223" s="21" t="s">
        <v>387</v>
      </c>
      <c r="E223" s="21" t="s">
        <v>387</v>
      </c>
      <c r="F223" s="10">
        <v>1</v>
      </c>
      <c r="G223" s="10">
        <v>2023</v>
      </c>
      <c r="H223" s="21" t="s">
        <v>549</v>
      </c>
      <c r="I223" s="21" t="s">
        <v>552</v>
      </c>
      <c r="J223" s="21" t="s">
        <v>401</v>
      </c>
    </row>
    <row r="224" spans="1:10" x14ac:dyDescent="0.2">
      <c r="A224" s="23" t="s">
        <v>14</v>
      </c>
      <c r="B224" s="24">
        <v>44946</v>
      </c>
      <c r="C224" s="23" t="s">
        <v>21</v>
      </c>
      <c r="D224" s="23" t="s">
        <v>553</v>
      </c>
      <c r="E224" s="23" t="s">
        <v>554</v>
      </c>
      <c r="F224" s="10">
        <v>1</v>
      </c>
      <c r="G224" s="10">
        <v>2023</v>
      </c>
      <c r="H224" s="23" t="s">
        <v>549</v>
      </c>
      <c r="I224" s="23"/>
      <c r="J224" s="23" t="s">
        <v>247</v>
      </c>
    </row>
    <row r="225" spans="1:10" x14ac:dyDescent="0.2">
      <c r="A225" s="21" t="s">
        <v>65</v>
      </c>
      <c r="B225" s="22">
        <v>44945</v>
      </c>
      <c r="C225" s="21" t="s">
        <v>15</v>
      </c>
      <c r="D225" s="21" t="s">
        <v>387</v>
      </c>
      <c r="E225" s="21" t="s">
        <v>387</v>
      </c>
      <c r="F225" s="10">
        <v>1</v>
      </c>
      <c r="G225" s="10">
        <v>2023</v>
      </c>
      <c r="H225" s="21" t="s">
        <v>549</v>
      </c>
      <c r="I225" s="21" t="s">
        <v>555</v>
      </c>
      <c r="J225" s="21" t="s">
        <v>401</v>
      </c>
    </row>
    <row r="226" spans="1:10" x14ac:dyDescent="0.2">
      <c r="A226" s="23" t="s">
        <v>65</v>
      </c>
      <c r="B226" s="24">
        <v>44943</v>
      </c>
      <c r="C226" s="23" t="s">
        <v>15</v>
      </c>
      <c r="D226" s="23" t="s">
        <v>387</v>
      </c>
      <c r="E226" s="23" t="s">
        <v>387</v>
      </c>
      <c r="F226" s="10">
        <v>1</v>
      </c>
      <c r="G226" s="10">
        <v>2023</v>
      </c>
      <c r="H226" s="23" t="s">
        <v>549</v>
      </c>
      <c r="I226" s="23" t="s">
        <v>552</v>
      </c>
      <c r="J226" s="23" t="s">
        <v>401</v>
      </c>
    </row>
    <row r="227" spans="1:10" x14ac:dyDescent="0.2">
      <c r="A227" s="21" t="s">
        <v>14</v>
      </c>
      <c r="B227" s="22">
        <v>44932</v>
      </c>
      <c r="C227" s="21" t="s">
        <v>15</v>
      </c>
      <c r="D227" s="21" t="s">
        <v>556</v>
      </c>
      <c r="E227" s="21" t="s">
        <v>557</v>
      </c>
      <c r="F227" s="10">
        <v>1</v>
      </c>
      <c r="G227" s="10">
        <v>2023</v>
      </c>
      <c r="H227" s="21" t="s">
        <v>549</v>
      </c>
      <c r="I227" s="21"/>
      <c r="J227" s="21" t="s">
        <v>247</v>
      </c>
    </row>
    <row r="228" spans="1:10" x14ac:dyDescent="0.2">
      <c r="A228" s="23" t="s">
        <v>14</v>
      </c>
      <c r="B228" s="24">
        <v>44923</v>
      </c>
      <c r="C228" s="23" t="s">
        <v>15</v>
      </c>
      <c r="D228" s="23" t="s">
        <v>558</v>
      </c>
      <c r="E228" s="23" t="s">
        <v>559</v>
      </c>
      <c r="F228" s="10">
        <v>12</v>
      </c>
      <c r="G228" s="10">
        <v>2022</v>
      </c>
      <c r="H228" s="23" t="s">
        <v>560</v>
      </c>
      <c r="I228" s="23"/>
      <c r="J228" s="23" t="s">
        <v>247</v>
      </c>
    </row>
    <row r="229" spans="1:10" x14ac:dyDescent="0.2">
      <c r="A229" s="21" t="s">
        <v>14</v>
      </c>
      <c r="B229" s="22">
        <v>44923</v>
      </c>
      <c r="C229" s="21" t="s">
        <v>15</v>
      </c>
      <c r="D229" s="21" t="s">
        <v>561</v>
      </c>
      <c r="E229" s="21" t="s">
        <v>562</v>
      </c>
      <c r="F229" s="10">
        <v>12</v>
      </c>
      <c r="G229" s="10">
        <v>2022</v>
      </c>
      <c r="H229" s="21" t="s">
        <v>560</v>
      </c>
      <c r="I229" s="21"/>
      <c r="J229" s="21" t="s">
        <v>247</v>
      </c>
    </row>
    <row r="230" spans="1:10" x14ac:dyDescent="0.2">
      <c r="A230" s="23" t="s">
        <v>65</v>
      </c>
      <c r="B230" s="24">
        <v>44918</v>
      </c>
      <c r="C230" s="23" t="s">
        <v>15</v>
      </c>
      <c r="D230" s="23" t="s">
        <v>563</v>
      </c>
      <c r="E230" s="23" t="s">
        <v>563</v>
      </c>
      <c r="F230" s="10">
        <v>12</v>
      </c>
      <c r="G230" s="10">
        <v>2022</v>
      </c>
      <c r="H230" s="23" t="s">
        <v>560</v>
      </c>
      <c r="I230" s="23" t="s">
        <v>564</v>
      </c>
      <c r="J230" s="23" t="s">
        <v>565</v>
      </c>
    </row>
    <row r="231" spans="1:10" x14ac:dyDescent="0.2">
      <c r="A231" s="21" t="s">
        <v>14</v>
      </c>
      <c r="B231" s="22">
        <v>44918</v>
      </c>
      <c r="C231" s="21" t="s">
        <v>21</v>
      </c>
      <c r="D231" s="21" t="s">
        <v>566</v>
      </c>
      <c r="E231" s="21" t="s">
        <v>567</v>
      </c>
      <c r="F231" s="10">
        <v>12</v>
      </c>
      <c r="G231" s="10">
        <v>2022</v>
      </c>
      <c r="H231" s="21" t="s">
        <v>560</v>
      </c>
      <c r="I231" s="21"/>
      <c r="J231" s="21" t="s">
        <v>247</v>
      </c>
    </row>
    <row r="232" spans="1:10" x14ac:dyDescent="0.2">
      <c r="A232" s="23" t="s">
        <v>14</v>
      </c>
      <c r="B232" s="24">
        <v>44917</v>
      </c>
      <c r="C232" s="23" t="s">
        <v>15</v>
      </c>
      <c r="D232" s="23" t="s">
        <v>568</v>
      </c>
      <c r="E232" s="23" t="s">
        <v>569</v>
      </c>
      <c r="F232" s="10">
        <v>12</v>
      </c>
      <c r="G232" s="10">
        <v>2022</v>
      </c>
      <c r="H232" s="23" t="s">
        <v>560</v>
      </c>
      <c r="I232" s="23"/>
      <c r="J232" s="23" t="s">
        <v>247</v>
      </c>
    </row>
    <row r="233" spans="1:10" x14ac:dyDescent="0.2">
      <c r="A233" s="21" t="s">
        <v>14</v>
      </c>
      <c r="B233" s="22">
        <v>44917</v>
      </c>
      <c r="C233" s="21" t="s">
        <v>21</v>
      </c>
      <c r="D233" s="21" t="s">
        <v>570</v>
      </c>
      <c r="E233" s="21" t="s">
        <v>571</v>
      </c>
      <c r="F233" s="10">
        <v>12</v>
      </c>
      <c r="G233" s="10">
        <v>2022</v>
      </c>
      <c r="H233" s="21" t="s">
        <v>560</v>
      </c>
      <c r="I233" s="21"/>
      <c r="J233" s="21" t="s">
        <v>247</v>
      </c>
    </row>
    <row r="234" spans="1:10" x14ac:dyDescent="0.2">
      <c r="A234" s="23" t="s">
        <v>65</v>
      </c>
      <c r="B234" s="24">
        <v>44911</v>
      </c>
      <c r="C234" s="23" t="s">
        <v>15</v>
      </c>
      <c r="D234" s="23" t="s">
        <v>572</v>
      </c>
      <c r="E234" s="23" t="s">
        <v>572</v>
      </c>
      <c r="F234" s="10">
        <v>12</v>
      </c>
      <c r="G234" s="10">
        <v>2022</v>
      </c>
      <c r="H234" s="23" t="s">
        <v>560</v>
      </c>
      <c r="I234" s="23" t="s">
        <v>573</v>
      </c>
      <c r="J234" s="23" t="s">
        <v>565</v>
      </c>
    </row>
    <row r="235" spans="1:10" x14ac:dyDescent="0.2">
      <c r="A235" s="21" t="s">
        <v>14</v>
      </c>
      <c r="B235" s="22">
        <v>44907</v>
      </c>
      <c r="C235" s="21" t="s">
        <v>21</v>
      </c>
      <c r="D235" s="21" t="s">
        <v>574</v>
      </c>
      <c r="E235" s="21" t="s">
        <v>575</v>
      </c>
      <c r="F235" s="10">
        <v>12</v>
      </c>
      <c r="G235" s="10">
        <v>2022</v>
      </c>
      <c r="H235" s="21" t="s">
        <v>560</v>
      </c>
      <c r="I235" s="21"/>
      <c r="J235" s="21" t="s">
        <v>247</v>
      </c>
    </row>
    <row r="236" spans="1:10" x14ac:dyDescent="0.2">
      <c r="A236" s="23" t="s">
        <v>14</v>
      </c>
      <c r="B236" s="24">
        <v>44896</v>
      </c>
      <c r="C236" s="23" t="s">
        <v>21</v>
      </c>
      <c r="D236" s="23" t="s">
        <v>576</v>
      </c>
      <c r="E236" s="23" t="s">
        <v>577</v>
      </c>
      <c r="F236" s="10">
        <v>12</v>
      </c>
      <c r="G236" s="10">
        <v>2022</v>
      </c>
      <c r="H236" s="23" t="s">
        <v>560</v>
      </c>
      <c r="I236" s="23"/>
      <c r="J236" s="23" t="s">
        <v>247</v>
      </c>
    </row>
    <row r="237" spans="1:10" x14ac:dyDescent="0.2">
      <c r="A237" s="21" t="s">
        <v>65</v>
      </c>
      <c r="B237" s="22">
        <v>44895</v>
      </c>
      <c r="C237" s="21" t="s">
        <v>15</v>
      </c>
      <c r="D237" s="21" t="s">
        <v>578</v>
      </c>
      <c r="E237" s="21" t="s">
        <v>578</v>
      </c>
      <c r="F237" s="10">
        <v>11</v>
      </c>
      <c r="G237" s="10">
        <v>2022</v>
      </c>
      <c r="H237" s="21" t="s">
        <v>579</v>
      </c>
      <c r="I237" s="21" t="s">
        <v>580</v>
      </c>
      <c r="J237" s="21" t="s">
        <v>565</v>
      </c>
    </row>
    <row r="238" spans="1:10" x14ac:dyDescent="0.2">
      <c r="A238" s="23" t="s">
        <v>65</v>
      </c>
      <c r="B238" s="24">
        <v>44887</v>
      </c>
      <c r="C238" s="23" t="s">
        <v>15</v>
      </c>
      <c r="D238" s="23" t="s">
        <v>581</v>
      </c>
      <c r="E238" s="23" t="s">
        <v>581</v>
      </c>
      <c r="F238" s="10">
        <v>11</v>
      </c>
      <c r="G238" s="10">
        <v>2022</v>
      </c>
      <c r="H238" s="23" t="s">
        <v>579</v>
      </c>
      <c r="I238" s="23" t="s">
        <v>582</v>
      </c>
      <c r="J238" s="23" t="s">
        <v>565</v>
      </c>
    </row>
    <row r="239" spans="1:10" x14ac:dyDescent="0.2">
      <c r="A239" s="21" t="s">
        <v>14</v>
      </c>
      <c r="B239" s="22">
        <v>44882</v>
      </c>
      <c r="C239" s="21" t="s">
        <v>15</v>
      </c>
      <c r="D239" s="21" t="s">
        <v>583</v>
      </c>
      <c r="E239" s="21" t="s">
        <v>584</v>
      </c>
      <c r="F239" s="10">
        <v>11</v>
      </c>
      <c r="G239" s="10">
        <v>2022</v>
      </c>
      <c r="H239" s="21" t="s">
        <v>579</v>
      </c>
      <c r="I239" s="21"/>
      <c r="J239" s="21" t="s">
        <v>247</v>
      </c>
    </row>
    <row r="240" spans="1:10" x14ac:dyDescent="0.2">
      <c r="A240" s="23" t="s">
        <v>14</v>
      </c>
      <c r="B240" s="24">
        <v>44879</v>
      </c>
      <c r="C240" s="23" t="s">
        <v>15</v>
      </c>
      <c r="D240" s="23" t="s">
        <v>585</v>
      </c>
      <c r="E240" s="23" t="s">
        <v>586</v>
      </c>
      <c r="F240" s="10">
        <v>11</v>
      </c>
      <c r="G240" s="10">
        <v>2022</v>
      </c>
      <c r="H240" s="23" t="s">
        <v>579</v>
      </c>
      <c r="I240" s="23"/>
      <c r="J240" s="23" t="s">
        <v>247</v>
      </c>
    </row>
    <row r="241" spans="1:10" x14ac:dyDescent="0.2">
      <c r="A241" s="21" t="s">
        <v>14</v>
      </c>
      <c r="B241" s="22">
        <v>44859</v>
      </c>
      <c r="C241" s="21" t="s">
        <v>15</v>
      </c>
      <c r="D241" s="21" t="s">
        <v>587</v>
      </c>
      <c r="E241" s="21" t="s">
        <v>588</v>
      </c>
      <c r="F241" s="10">
        <v>10</v>
      </c>
      <c r="G241" s="10">
        <v>2022</v>
      </c>
      <c r="H241" s="21" t="s">
        <v>589</v>
      </c>
      <c r="I241" s="21"/>
      <c r="J241" s="21" t="s">
        <v>247</v>
      </c>
    </row>
    <row r="242" spans="1:10" x14ac:dyDescent="0.2">
      <c r="A242" s="23" t="s">
        <v>14</v>
      </c>
      <c r="B242" s="24">
        <v>44855</v>
      </c>
      <c r="C242" s="23" t="s">
        <v>15</v>
      </c>
      <c r="D242" s="23" t="s">
        <v>590</v>
      </c>
      <c r="E242" s="23" t="s">
        <v>591</v>
      </c>
      <c r="F242" s="10">
        <v>10</v>
      </c>
      <c r="G242" s="10">
        <v>2022</v>
      </c>
      <c r="H242" s="23" t="s">
        <v>589</v>
      </c>
      <c r="I242" s="23"/>
      <c r="J242" s="23" t="s">
        <v>247</v>
      </c>
    </row>
    <row r="243" spans="1:10" x14ac:dyDescent="0.2">
      <c r="A243" s="21" t="s">
        <v>14</v>
      </c>
      <c r="B243" s="22">
        <v>44834</v>
      </c>
      <c r="C243" s="21" t="s">
        <v>21</v>
      </c>
      <c r="D243" s="21" t="s">
        <v>592</v>
      </c>
      <c r="E243" s="21" t="s">
        <v>593</v>
      </c>
      <c r="F243" s="10">
        <v>9</v>
      </c>
      <c r="G243" s="10">
        <v>2022</v>
      </c>
      <c r="H243" s="21" t="s">
        <v>594</v>
      </c>
      <c r="I243" s="21"/>
      <c r="J243" s="21" t="s">
        <v>247</v>
      </c>
    </row>
    <row r="244" spans="1:10" x14ac:dyDescent="0.2">
      <c r="A244" s="23" t="s">
        <v>14</v>
      </c>
      <c r="B244" s="24">
        <v>44833</v>
      </c>
      <c r="C244" s="23" t="s">
        <v>21</v>
      </c>
      <c r="D244" s="23" t="s">
        <v>595</v>
      </c>
      <c r="E244" s="23" t="s">
        <v>596</v>
      </c>
      <c r="F244" s="10">
        <v>9</v>
      </c>
      <c r="G244" s="10">
        <v>2022</v>
      </c>
      <c r="H244" s="23" t="s">
        <v>594</v>
      </c>
      <c r="I244" s="23"/>
      <c r="J244" s="23" t="s">
        <v>247</v>
      </c>
    </row>
    <row r="245" spans="1:10" x14ac:dyDescent="0.2">
      <c r="A245" s="21" t="s">
        <v>14</v>
      </c>
      <c r="B245" s="22">
        <v>44826</v>
      </c>
      <c r="C245" s="21" t="s">
        <v>21</v>
      </c>
      <c r="D245" s="21" t="s">
        <v>597</v>
      </c>
      <c r="E245" s="21" t="s">
        <v>598</v>
      </c>
      <c r="F245" s="10">
        <v>9</v>
      </c>
      <c r="G245" s="10">
        <v>2022</v>
      </c>
      <c r="H245" s="21" t="s">
        <v>594</v>
      </c>
      <c r="I245" s="21"/>
      <c r="J245" s="21" t="s">
        <v>247</v>
      </c>
    </row>
    <row r="246" spans="1:10" x14ac:dyDescent="0.2">
      <c r="A246" s="23" t="s">
        <v>14</v>
      </c>
      <c r="B246" s="24">
        <v>44825</v>
      </c>
      <c r="C246" s="23" t="s">
        <v>21</v>
      </c>
      <c r="D246" s="23" t="s">
        <v>599</v>
      </c>
      <c r="E246" s="23" t="s">
        <v>600</v>
      </c>
      <c r="F246" s="10">
        <v>9</v>
      </c>
      <c r="G246" s="10">
        <v>2022</v>
      </c>
      <c r="H246" s="23" t="s">
        <v>594</v>
      </c>
      <c r="I246" s="23"/>
      <c r="J246" s="23" t="s">
        <v>247</v>
      </c>
    </row>
    <row r="247" spans="1:10" x14ac:dyDescent="0.2">
      <c r="A247" s="21" t="s">
        <v>65</v>
      </c>
      <c r="B247" s="22">
        <v>44820</v>
      </c>
      <c r="C247" s="21" t="s">
        <v>15</v>
      </c>
      <c r="D247" s="21" t="s">
        <v>601</v>
      </c>
      <c r="E247" s="21" t="s">
        <v>601</v>
      </c>
      <c r="F247" s="10">
        <v>9</v>
      </c>
      <c r="G247" s="10">
        <v>2022</v>
      </c>
      <c r="H247" s="21" t="s">
        <v>594</v>
      </c>
      <c r="I247" s="21" t="s">
        <v>602</v>
      </c>
      <c r="J247" s="21" t="s">
        <v>565</v>
      </c>
    </row>
    <row r="248" spans="1:10" x14ac:dyDescent="0.2">
      <c r="A248" s="23" t="s">
        <v>14</v>
      </c>
      <c r="B248" s="24">
        <v>44818</v>
      </c>
      <c r="C248" s="23" t="s">
        <v>21</v>
      </c>
      <c r="D248" s="23" t="s">
        <v>603</v>
      </c>
      <c r="E248" s="23" t="s">
        <v>604</v>
      </c>
      <c r="F248" s="10">
        <v>9</v>
      </c>
      <c r="G248" s="10">
        <v>2022</v>
      </c>
      <c r="H248" s="23" t="s">
        <v>594</v>
      </c>
      <c r="I248" s="23"/>
      <c r="J248" s="23" t="s">
        <v>247</v>
      </c>
    </row>
    <row r="249" spans="1:10" x14ac:dyDescent="0.2">
      <c r="A249" s="21" t="s">
        <v>14</v>
      </c>
      <c r="B249" s="22">
        <v>44813</v>
      </c>
      <c r="C249" s="21" t="s">
        <v>21</v>
      </c>
      <c r="D249" s="21" t="s">
        <v>605</v>
      </c>
      <c r="E249" s="21" t="s">
        <v>606</v>
      </c>
      <c r="F249" s="10">
        <v>9</v>
      </c>
      <c r="G249" s="10">
        <v>2022</v>
      </c>
      <c r="H249" s="21" t="s">
        <v>594</v>
      </c>
      <c r="I249" s="21"/>
      <c r="J249" s="21" t="s">
        <v>247</v>
      </c>
    </row>
    <row r="250" spans="1:10" x14ac:dyDescent="0.2">
      <c r="A250" s="23" t="s">
        <v>14</v>
      </c>
      <c r="B250" s="24">
        <v>44813</v>
      </c>
      <c r="C250" s="23" t="s">
        <v>15</v>
      </c>
      <c r="D250" s="23" t="s">
        <v>607</v>
      </c>
      <c r="E250" s="23" t="s">
        <v>608</v>
      </c>
      <c r="F250" s="10">
        <v>9</v>
      </c>
      <c r="G250" s="10">
        <v>2022</v>
      </c>
      <c r="H250" s="23" t="s">
        <v>594</v>
      </c>
      <c r="I250" s="23"/>
      <c r="J250" s="23" t="s">
        <v>247</v>
      </c>
    </row>
    <row r="251" spans="1:10" x14ac:dyDescent="0.2">
      <c r="A251" s="21" t="s">
        <v>14</v>
      </c>
      <c r="B251" s="22">
        <v>44811</v>
      </c>
      <c r="C251" s="21" t="s">
        <v>15</v>
      </c>
      <c r="D251" s="21" t="s">
        <v>609</v>
      </c>
      <c r="E251" s="21" t="s">
        <v>610</v>
      </c>
      <c r="F251" s="10">
        <v>9</v>
      </c>
      <c r="G251" s="10">
        <v>2022</v>
      </c>
      <c r="H251" s="21" t="s">
        <v>594</v>
      </c>
      <c r="I251" s="21"/>
      <c r="J251" s="21" t="s">
        <v>247</v>
      </c>
    </row>
    <row r="252" spans="1:10" x14ac:dyDescent="0.2">
      <c r="A252" s="23" t="s">
        <v>14</v>
      </c>
      <c r="B252" s="24">
        <v>44805</v>
      </c>
      <c r="C252" s="23" t="s">
        <v>15</v>
      </c>
      <c r="D252" s="23" t="s">
        <v>611</v>
      </c>
      <c r="E252" s="23" t="s">
        <v>612</v>
      </c>
      <c r="F252" s="10">
        <v>9</v>
      </c>
      <c r="G252" s="10">
        <v>2022</v>
      </c>
      <c r="H252" s="23" t="s">
        <v>594</v>
      </c>
      <c r="I252" s="23"/>
      <c r="J252" s="23" t="s">
        <v>247</v>
      </c>
    </row>
    <row r="253" spans="1:10" x14ac:dyDescent="0.2">
      <c r="A253" s="21" t="s">
        <v>14</v>
      </c>
      <c r="B253" s="22">
        <v>44804</v>
      </c>
      <c r="C253" s="21" t="s">
        <v>15</v>
      </c>
      <c r="D253" s="21" t="s">
        <v>613</v>
      </c>
      <c r="E253" s="21" t="s">
        <v>614</v>
      </c>
      <c r="F253" s="10">
        <v>8</v>
      </c>
      <c r="G253" s="10">
        <v>2022</v>
      </c>
      <c r="H253" s="21" t="s">
        <v>615</v>
      </c>
      <c r="I253" s="21"/>
      <c r="J253" s="21" t="s">
        <v>247</v>
      </c>
    </row>
    <row r="254" spans="1:10" x14ac:dyDescent="0.2">
      <c r="A254" s="23" t="s">
        <v>65</v>
      </c>
      <c r="B254" s="24">
        <v>44790</v>
      </c>
      <c r="C254" s="23" t="s">
        <v>15</v>
      </c>
      <c r="D254" s="23" t="s">
        <v>616</v>
      </c>
      <c r="E254" s="23" t="s">
        <v>616</v>
      </c>
      <c r="F254" s="10">
        <v>8</v>
      </c>
      <c r="G254" s="10">
        <v>2022</v>
      </c>
      <c r="H254" s="23" t="s">
        <v>615</v>
      </c>
      <c r="I254" s="23" t="s">
        <v>617</v>
      </c>
      <c r="J254" s="23" t="s">
        <v>565</v>
      </c>
    </row>
    <row r="255" spans="1:10" x14ac:dyDescent="0.2">
      <c r="A255" s="21" t="s">
        <v>65</v>
      </c>
      <c r="B255" s="22">
        <v>44757</v>
      </c>
      <c r="C255" s="21" t="s">
        <v>15</v>
      </c>
      <c r="D255" s="21" t="s">
        <v>618</v>
      </c>
      <c r="E255" s="21" t="s">
        <v>618</v>
      </c>
      <c r="F255" s="10">
        <v>7</v>
      </c>
      <c r="G255" s="10">
        <v>2022</v>
      </c>
      <c r="H255" s="21" t="s">
        <v>619</v>
      </c>
      <c r="I255" s="21" t="s">
        <v>620</v>
      </c>
      <c r="J255" s="21" t="s">
        <v>565</v>
      </c>
    </row>
    <row r="256" spans="1:10" x14ac:dyDescent="0.2">
      <c r="A256" s="23" t="s">
        <v>14</v>
      </c>
      <c r="B256" s="24">
        <v>44725</v>
      </c>
      <c r="C256" s="23" t="s">
        <v>21</v>
      </c>
      <c r="D256" s="23" t="s">
        <v>621</v>
      </c>
      <c r="E256" s="23" t="s">
        <v>622</v>
      </c>
      <c r="F256" s="10">
        <v>6</v>
      </c>
      <c r="G256" s="10">
        <v>2022</v>
      </c>
      <c r="H256" s="23" t="s">
        <v>623</v>
      </c>
      <c r="I256" s="23"/>
      <c r="J256" s="23" t="s">
        <v>247</v>
      </c>
    </row>
    <row r="257" spans="1:10" x14ac:dyDescent="0.2">
      <c r="A257" s="21" t="s">
        <v>65</v>
      </c>
      <c r="B257" s="22">
        <v>44715</v>
      </c>
      <c r="C257" s="21" t="s">
        <v>15</v>
      </c>
      <c r="D257" s="21" t="s">
        <v>624</v>
      </c>
      <c r="E257" s="21" t="s">
        <v>624</v>
      </c>
      <c r="F257" s="10">
        <v>6</v>
      </c>
      <c r="G257" s="10">
        <v>2022</v>
      </c>
      <c r="H257" s="21" t="s">
        <v>623</v>
      </c>
      <c r="I257" s="21" t="s">
        <v>625</v>
      </c>
      <c r="J257" s="21" t="s">
        <v>565</v>
      </c>
    </row>
    <row r="258" spans="1:10" x14ac:dyDescent="0.2">
      <c r="A258" s="23" t="s">
        <v>14</v>
      </c>
      <c r="B258" s="24">
        <v>44704</v>
      </c>
      <c r="C258" s="23" t="s">
        <v>21</v>
      </c>
      <c r="D258" s="23" t="s">
        <v>626</v>
      </c>
      <c r="E258" s="23" t="s">
        <v>627</v>
      </c>
      <c r="F258" s="10">
        <v>5</v>
      </c>
      <c r="G258" s="10">
        <v>2022</v>
      </c>
      <c r="H258" s="23" t="s">
        <v>628</v>
      </c>
      <c r="I258" s="23"/>
      <c r="J258" s="23" t="s">
        <v>247</v>
      </c>
    </row>
    <row r="259" spans="1:10" x14ac:dyDescent="0.2">
      <c r="A259" s="21" t="s">
        <v>65</v>
      </c>
      <c r="B259" s="22">
        <v>44701</v>
      </c>
      <c r="C259" s="21" t="s">
        <v>15</v>
      </c>
      <c r="D259" s="21" t="s">
        <v>629</v>
      </c>
      <c r="E259" s="21" t="s">
        <v>629</v>
      </c>
      <c r="F259" s="10">
        <v>5</v>
      </c>
      <c r="G259" s="10">
        <v>2022</v>
      </c>
      <c r="H259" s="21" t="s">
        <v>628</v>
      </c>
      <c r="I259" s="21" t="s">
        <v>630</v>
      </c>
      <c r="J259" s="21" t="s">
        <v>565</v>
      </c>
    </row>
    <row r="260" spans="1:10" x14ac:dyDescent="0.2">
      <c r="A260" s="23" t="s">
        <v>65</v>
      </c>
      <c r="B260" s="24">
        <v>44701</v>
      </c>
      <c r="C260" s="23" t="s">
        <v>15</v>
      </c>
      <c r="D260" s="23" t="s">
        <v>631</v>
      </c>
      <c r="E260" s="23" t="s">
        <v>631</v>
      </c>
      <c r="F260" s="10">
        <v>5</v>
      </c>
      <c r="G260" s="10">
        <v>2022</v>
      </c>
      <c r="H260" s="23" t="s">
        <v>628</v>
      </c>
      <c r="I260" s="23" t="s">
        <v>632</v>
      </c>
      <c r="J260" s="23" t="s">
        <v>565</v>
      </c>
    </row>
    <row r="261" spans="1:10" x14ac:dyDescent="0.2">
      <c r="A261" s="21" t="s">
        <v>65</v>
      </c>
      <c r="B261" s="22">
        <v>44701</v>
      </c>
      <c r="C261" s="21" t="s">
        <v>15</v>
      </c>
      <c r="D261" s="21" t="s">
        <v>633</v>
      </c>
      <c r="E261" s="21" t="s">
        <v>633</v>
      </c>
      <c r="F261" s="10">
        <v>5</v>
      </c>
      <c r="G261" s="10">
        <v>2022</v>
      </c>
      <c r="H261" s="21" t="s">
        <v>628</v>
      </c>
      <c r="I261" s="21" t="s">
        <v>634</v>
      </c>
      <c r="J261" s="21" t="s">
        <v>565</v>
      </c>
    </row>
    <row r="262" spans="1:10" x14ac:dyDescent="0.2">
      <c r="A262" s="23" t="s">
        <v>14</v>
      </c>
      <c r="B262" s="24">
        <v>44694</v>
      </c>
      <c r="C262" s="23" t="s">
        <v>21</v>
      </c>
      <c r="D262" s="23" t="s">
        <v>635</v>
      </c>
      <c r="E262" s="23" t="s">
        <v>636</v>
      </c>
      <c r="F262" s="10">
        <v>5</v>
      </c>
      <c r="G262" s="10">
        <v>2022</v>
      </c>
      <c r="H262" s="23" t="s">
        <v>628</v>
      </c>
      <c r="I262" s="23"/>
      <c r="J262" s="23" t="s">
        <v>247</v>
      </c>
    </row>
    <row r="263" spans="1:10" x14ac:dyDescent="0.2">
      <c r="A263" s="21" t="s">
        <v>14</v>
      </c>
      <c r="B263" s="22">
        <v>44684</v>
      </c>
      <c r="C263" s="21" t="s">
        <v>21</v>
      </c>
      <c r="D263" s="21" t="s">
        <v>637</v>
      </c>
      <c r="E263" s="21" t="s">
        <v>638</v>
      </c>
      <c r="F263" s="10">
        <v>5</v>
      </c>
      <c r="G263" s="10">
        <v>2022</v>
      </c>
      <c r="H263" s="21" t="s">
        <v>628</v>
      </c>
      <c r="I263" s="21"/>
      <c r="J263" s="21" t="s">
        <v>247</v>
      </c>
    </row>
    <row r="264" spans="1:10" x14ac:dyDescent="0.2">
      <c r="A264" s="23" t="s">
        <v>14</v>
      </c>
      <c r="B264" s="24">
        <v>44679</v>
      </c>
      <c r="C264" s="23" t="s">
        <v>21</v>
      </c>
      <c r="D264" s="23" t="s">
        <v>639</v>
      </c>
      <c r="E264" s="23" t="s">
        <v>640</v>
      </c>
      <c r="F264" s="10">
        <v>4</v>
      </c>
      <c r="G264" s="10">
        <v>2022</v>
      </c>
      <c r="H264" s="23" t="s">
        <v>641</v>
      </c>
      <c r="I264" s="23"/>
      <c r="J264" s="23" t="s">
        <v>247</v>
      </c>
    </row>
    <row r="265" spans="1:10" x14ac:dyDescent="0.2">
      <c r="A265" s="21" t="s">
        <v>14</v>
      </c>
      <c r="B265" s="22">
        <v>44677</v>
      </c>
      <c r="C265" s="21" t="s">
        <v>21</v>
      </c>
      <c r="D265" s="21" t="s">
        <v>642</v>
      </c>
      <c r="E265" s="21" t="s">
        <v>643</v>
      </c>
      <c r="F265" s="10">
        <v>4</v>
      </c>
      <c r="G265" s="10">
        <v>2022</v>
      </c>
      <c r="H265" s="21" t="s">
        <v>641</v>
      </c>
      <c r="I265" s="21"/>
      <c r="J265" s="21" t="s">
        <v>247</v>
      </c>
    </row>
    <row r="266" spans="1:10" x14ac:dyDescent="0.2">
      <c r="A266" s="23" t="s">
        <v>14</v>
      </c>
      <c r="B266" s="24">
        <v>44643</v>
      </c>
      <c r="C266" s="23" t="s">
        <v>21</v>
      </c>
      <c r="D266" s="23" t="s">
        <v>644</v>
      </c>
      <c r="E266" s="23" t="s">
        <v>645</v>
      </c>
      <c r="F266" s="10">
        <v>3</v>
      </c>
      <c r="G266" s="10">
        <v>2022</v>
      </c>
      <c r="H266" s="23" t="s">
        <v>646</v>
      </c>
      <c r="I266" s="23"/>
      <c r="J266" s="23" t="s">
        <v>247</v>
      </c>
    </row>
    <row r="267" spans="1:10" x14ac:dyDescent="0.2">
      <c r="A267" s="21" t="s">
        <v>14</v>
      </c>
      <c r="B267" s="22">
        <v>44638</v>
      </c>
      <c r="C267" s="21" t="s">
        <v>15</v>
      </c>
      <c r="D267" s="21" t="s">
        <v>647</v>
      </c>
      <c r="E267" s="21" t="s">
        <v>648</v>
      </c>
      <c r="F267" s="10">
        <v>3</v>
      </c>
      <c r="G267" s="10">
        <v>2022</v>
      </c>
      <c r="H267" s="21" t="s">
        <v>646</v>
      </c>
      <c r="I267" s="21"/>
      <c r="J267" s="21" t="s">
        <v>247</v>
      </c>
    </row>
    <row r="268" spans="1:10" x14ac:dyDescent="0.2">
      <c r="A268" s="23" t="s">
        <v>14</v>
      </c>
      <c r="B268" s="24">
        <v>44638</v>
      </c>
      <c r="C268" s="23" t="s">
        <v>21</v>
      </c>
      <c r="D268" s="23" t="s">
        <v>649</v>
      </c>
      <c r="E268" s="23" t="s">
        <v>650</v>
      </c>
      <c r="F268" s="10">
        <v>3</v>
      </c>
      <c r="G268" s="10">
        <v>2022</v>
      </c>
      <c r="H268" s="23" t="s">
        <v>646</v>
      </c>
      <c r="I268" s="23"/>
      <c r="J268" s="23" t="s">
        <v>247</v>
      </c>
    </row>
    <row r="269" spans="1:10" x14ac:dyDescent="0.2">
      <c r="A269" s="21" t="s">
        <v>14</v>
      </c>
      <c r="B269" s="22">
        <v>44620</v>
      </c>
      <c r="C269" s="21" t="s">
        <v>21</v>
      </c>
      <c r="D269" s="21" t="s">
        <v>651</v>
      </c>
      <c r="E269" s="21" t="s">
        <v>652</v>
      </c>
      <c r="F269" s="10">
        <v>2</v>
      </c>
      <c r="G269" s="10">
        <v>2022</v>
      </c>
      <c r="H269" s="21" t="s">
        <v>653</v>
      </c>
      <c r="I269" s="21"/>
      <c r="J269" s="21" t="s">
        <v>247</v>
      </c>
    </row>
    <row r="270" spans="1:10" x14ac:dyDescent="0.2">
      <c r="A270" s="23" t="s">
        <v>65</v>
      </c>
      <c r="B270" s="24">
        <v>44620</v>
      </c>
      <c r="C270" s="23" t="s">
        <v>15</v>
      </c>
      <c r="D270" s="23" t="s">
        <v>654</v>
      </c>
      <c r="E270" s="23" t="s">
        <v>654</v>
      </c>
      <c r="F270" s="10">
        <v>2</v>
      </c>
      <c r="G270" s="10">
        <v>2022</v>
      </c>
      <c r="H270" s="23" t="s">
        <v>653</v>
      </c>
      <c r="I270" s="23" t="s">
        <v>655</v>
      </c>
      <c r="J270" s="23" t="s">
        <v>565</v>
      </c>
    </row>
    <row r="271" spans="1:10" x14ac:dyDescent="0.2">
      <c r="A271" s="21" t="s">
        <v>14</v>
      </c>
      <c r="B271" s="22">
        <v>44609</v>
      </c>
      <c r="C271" s="21" t="s">
        <v>21</v>
      </c>
      <c r="D271" s="21" t="s">
        <v>656</v>
      </c>
      <c r="E271" s="21" t="s">
        <v>657</v>
      </c>
      <c r="F271" s="10">
        <v>2</v>
      </c>
      <c r="G271" s="10">
        <v>2022</v>
      </c>
      <c r="H271" s="21" t="s">
        <v>653</v>
      </c>
      <c r="I271" s="21"/>
      <c r="J271" s="21" t="s">
        <v>247</v>
      </c>
    </row>
    <row r="272" spans="1:10" x14ac:dyDescent="0.2">
      <c r="A272" s="23" t="s">
        <v>14</v>
      </c>
      <c r="B272" s="24">
        <v>44596</v>
      </c>
      <c r="C272" s="23" t="s">
        <v>15</v>
      </c>
      <c r="D272" s="23" t="s">
        <v>658</v>
      </c>
      <c r="E272" s="23" t="s">
        <v>659</v>
      </c>
      <c r="F272" s="10">
        <v>2</v>
      </c>
      <c r="G272" s="10">
        <v>2022</v>
      </c>
      <c r="H272" s="23" t="s">
        <v>653</v>
      </c>
      <c r="I272" s="23"/>
      <c r="J272" s="23" t="s">
        <v>247</v>
      </c>
    </row>
    <row r="273" spans="1:10" x14ac:dyDescent="0.2">
      <c r="A273" s="21" t="s">
        <v>65</v>
      </c>
      <c r="B273" s="22">
        <v>44592</v>
      </c>
      <c r="C273" s="21" t="s">
        <v>15</v>
      </c>
      <c r="D273" s="21" t="s">
        <v>660</v>
      </c>
      <c r="E273" s="21" t="s">
        <v>660</v>
      </c>
      <c r="F273" s="10">
        <v>1</v>
      </c>
      <c r="G273" s="10">
        <v>2022</v>
      </c>
      <c r="H273" s="21" t="s">
        <v>661</v>
      </c>
      <c r="I273" s="21" t="s">
        <v>662</v>
      </c>
      <c r="J273" s="21" t="s">
        <v>565</v>
      </c>
    </row>
    <row r="274" spans="1:10" x14ac:dyDescent="0.2">
      <c r="A274" s="23" t="s">
        <v>14</v>
      </c>
      <c r="B274" s="24">
        <v>44589</v>
      </c>
      <c r="C274" s="23" t="s">
        <v>15</v>
      </c>
      <c r="D274" s="23" t="s">
        <v>663</v>
      </c>
      <c r="E274" s="23" t="s">
        <v>664</v>
      </c>
      <c r="F274" s="10">
        <v>1</v>
      </c>
      <c r="G274" s="10">
        <v>2022</v>
      </c>
      <c r="H274" s="23" t="s">
        <v>661</v>
      </c>
      <c r="I274" s="23"/>
      <c r="J274" s="23" t="s">
        <v>247</v>
      </c>
    </row>
    <row r="275" spans="1:10" x14ac:dyDescent="0.2">
      <c r="A275" s="21" t="s">
        <v>14</v>
      </c>
      <c r="B275" s="22">
        <v>44586</v>
      </c>
      <c r="C275" s="21" t="s">
        <v>15</v>
      </c>
      <c r="D275" s="21" t="s">
        <v>665</v>
      </c>
      <c r="E275" s="21" t="s">
        <v>666</v>
      </c>
      <c r="F275" s="10">
        <v>1</v>
      </c>
      <c r="G275" s="10">
        <v>2022</v>
      </c>
      <c r="H275" s="21" t="s">
        <v>661</v>
      </c>
      <c r="I275" s="21"/>
      <c r="J275" s="21" t="s">
        <v>247</v>
      </c>
    </row>
    <row r="276" spans="1:10" x14ac:dyDescent="0.2">
      <c r="A276" s="23" t="s">
        <v>14</v>
      </c>
      <c r="B276" s="24">
        <v>44575</v>
      </c>
      <c r="C276" s="23" t="s">
        <v>21</v>
      </c>
      <c r="D276" s="23" t="s">
        <v>667</v>
      </c>
      <c r="E276" s="23" t="s">
        <v>668</v>
      </c>
      <c r="F276" s="10">
        <v>1</v>
      </c>
      <c r="G276" s="10">
        <v>2022</v>
      </c>
      <c r="H276" s="23" t="s">
        <v>661</v>
      </c>
      <c r="I276" s="23"/>
      <c r="J276" s="23" t="s">
        <v>247</v>
      </c>
    </row>
    <row r="277" spans="1:10" x14ac:dyDescent="0.2">
      <c r="A277" s="21" t="s">
        <v>14</v>
      </c>
      <c r="B277" s="22">
        <v>44568</v>
      </c>
      <c r="C277" s="21" t="s">
        <v>21</v>
      </c>
      <c r="D277" s="21" t="s">
        <v>669</v>
      </c>
      <c r="E277" s="21" t="s">
        <v>670</v>
      </c>
      <c r="F277" s="10">
        <v>1</v>
      </c>
      <c r="G277" s="10">
        <v>2022</v>
      </c>
      <c r="H277" s="21" t="s">
        <v>661</v>
      </c>
      <c r="I277" s="21"/>
      <c r="J277" s="21" t="s">
        <v>247</v>
      </c>
    </row>
    <row r="278" spans="1:10" x14ac:dyDescent="0.2">
      <c r="A278" s="23" t="s">
        <v>14</v>
      </c>
      <c r="B278" s="24">
        <v>44557</v>
      </c>
      <c r="C278" s="23" t="s">
        <v>15</v>
      </c>
      <c r="D278" s="23" t="s">
        <v>671</v>
      </c>
      <c r="E278" s="23" t="s">
        <v>672</v>
      </c>
      <c r="F278" s="10">
        <v>12</v>
      </c>
      <c r="G278" s="10">
        <v>2021</v>
      </c>
      <c r="H278" s="23" t="s">
        <v>673</v>
      </c>
      <c r="I278" s="23"/>
      <c r="J278" s="23" t="s">
        <v>247</v>
      </c>
    </row>
    <row r="279" spans="1:10" x14ac:dyDescent="0.2">
      <c r="A279" s="21" t="s">
        <v>14</v>
      </c>
      <c r="B279" s="22">
        <v>44552</v>
      </c>
      <c r="C279" s="21" t="s">
        <v>21</v>
      </c>
      <c r="D279" s="21" t="s">
        <v>674</v>
      </c>
      <c r="E279" s="21" t="s">
        <v>675</v>
      </c>
      <c r="F279" s="10">
        <v>12</v>
      </c>
      <c r="G279" s="10">
        <v>2021</v>
      </c>
      <c r="H279" s="21" t="s">
        <v>673</v>
      </c>
      <c r="I279" s="21"/>
      <c r="J279" s="21" t="s">
        <v>247</v>
      </c>
    </row>
    <row r="280" spans="1:10" x14ac:dyDescent="0.2">
      <c r="A280" s="23" t="s">
        <v>14</v>
      </c>
      <c r="B280" s="24">
        <v>44547</v>
      </c>
      <c r="C280" s="23" t="s">
        <v>15</v>
      </c>
      <c r="D280" s="23" t="s">
        <v>676</v>
      </c>
      <c r="E280" s="23" t="s">
        <v>677</v>
      </c>
      <c r="F280" s="10">
        <v>12</v>
      </c>
      <c r="G280" s="10">
        <v>2021</v>
      </c>
      <c r="H280" s="23" t="s">
        <v>673</v>
      </c>
      <c r="I280" s="23"/>
      <c r="J280" s="23" t="s">
        <v>247</v>
      </c>
    </row>
    <row r="281" spans="1:10" x14ac:dyDescent="0.2">
      <c r="A281" s="21" t="s">
        <v>14</v>
      </c>
      <c r="B281" s="22">
        <v>44547</v>
      </c>
      <c r="C281" s="21" t="s">
        <v>15</v>
      </c>
      <c r="D281" s="21" t="s">
        <v>678</v>
      </c>
      <c r="E281" s="21" t="s">
        <v>679</v>
      </c>
      <c r="F281" s="10">
        <v>12</v>
      </c>
      <c r="G281" s="10">
        <v>2021</v>
      </c>
      <c r="H281" s="21" t="s">
        <v>673</v>
      </c>
      <c r="I281" s="21"/>
      <c r="J281" s="21" t="s">
        <v>247</v>
      </c>
    </row>
    <row r="282" spans="1:10" x14ac:dyDescent="0.2">
      <c r="A282" s="23" t="s">
        <v>65</v>
      </c>
      <c r="B282" s="24">
        <v>44530</v>
      </c>
      <c r="C282" s="23" t="s">
        <v>15</v>
      </c>
      <c r="D282" s="23" t="s">
        <v>680</v>
      </c>
      <c r="E282" s="23" t="s">
        <v>680</v>
      </c>
      <c r="F282" s="10">
        <v>11</v>
      </c>
      <c r="G282" s="10">
        <v>2021</v>
      </c>
      <c r="H282" s="23" t="s">
        <v>681</v>
      </c>
      <c r="I282" s="23" t="s">
        <v>682</v>
      </c>
      <c r="J282" s="23" t="s">
        <v>683</v>
      </c>
    </row>
    <row r="283" spans="1:10" x14ac:dyDescent="0.2">
      <c r="A283" s="21" t="s">
        <v>14</v>
      </c>
      <c r="B283" s="22">
        <v>44529</v>
      </c>
      <c r="C283" s="21" t="s">
        <v>21</v>
      </c>
      <c r="D283" s="21" t="s">
        <v>684</v>
      </c>
      <c r="E283" s="21" t="s">
        <v>685</v>
      </c>
      <c r="F283" s="10">
        <v>11</v>
      </c>
      <c r="G283" s="10">
        <v>2021</v>
      </c>
      <c r="H283" s="21" t="s">
        <v>681</v>
      </c>
      <c r="I283" s="21"/>
      <c r="J283" s="21" t="s">
        <v>247</v>
      </c>
    </row>
    <row r="284" spans="1:10" x14ac:dyDescent="0.2">
      <c r="A284" s="23" t="s">
        <v>14</v>
      </c>
      <c r="B284" s="24">
        <v>44523</v>
      </c>
      <c r="C284" s="23" t="s">
        <v>21</v>
      </c>
      <c r="D284" s="23" t="s">
        <v>686</v>
      </c>
      <c r="E284" s="23" t="s">
        <v>687</v>
      </c>
      <c r="F284" s="10">
        <v>11</v>
      </c>
      <c r="G284" s="10">
        <v>2021</v>
      </c>
      <c r="H284" s="23" t="s">
        <v>681</v>
      </c>
      <c r="I284" s="23"/>
      <c r="J284" s="23" t="s">
        <v>247</v>
      </c>
    </row>
    <row r="285" spans="1:10" x14ac:dyDescent="0.2">
      <c r="A285" s="21" t="s">
        <v>14</v>
      </c>
      <c r="B285" s="22">
        <v>44519</v>
      </c>
      <c r="C285" s="21" t="s">
        <v>21</v>
      </c>
      <c r="D285" s="21" t="s">
        <v>688</v>
      </c>
      <c r="E285" s="21" t="s">
        <v>689</v>
      </c>
      <c r="F285" s="10">
        <v>11</v>
      </c>
      <c r="G285" s="10">
        <v>2021</v>
      </c>
      <c r="H285" s="21" t="s">
        <v>681</v>
      </c>
      <c r="I285" s="21"/>
      <c r="J285" s="21" t="s">
        <v>247</v>
      </c>
    </row>
    <row r="286" spans="1:10" x14ac:dyDescent="0.2">
      <c r="A286" s="23" t="s">
        <v>14</v>
      </c>
      <c r="B286" s="24">
        <v>44512</v>
      </c>
      <c r="C286" s="23" t="s">
        <v>15</v>
      </c>
      <c r="D286" s="23" t="s">
        <v>690</v>
      </c>
      <c r="E286" s="23" t="s">
        <v>691</v>
      </c>
      <c r="F286" s="10">
        <v>11</v>
      </c>
      <c r="G286" s="10">
        <v>2021</v>
      </c>
      <c r="H286" s="23" t="s">
        <v>681</v>
      </c>
      <c r="I286" s="23"/>
      <c r="J286" s="23" t="s">
        <v>247</v>
      </c>
    </row>
    <row r="287" spans="1:10" x14ac:dyDescent="0.2">
      <c r="A287" s="21" t="s">
        <v>14</v>
      </c>
      <c r="B287" s="22">
        <v>44498</v>
      </c>
      <c r="C287" s="21" t="s">
        <v>21</v>
      </c>
      <c r="D287" s="21" t="s">
        <v>692</v>
      </c>
      <c r="E287" s="21" t="s">
        <v>693</v>
      </c>
      <c r="F287" s="10">
        <v>10</v>
      </c>
      <c r="G287" s="10">
        <v>2021</v>
      </c>
      <c r="H287" s="21" t="s">
        <v>694</v>
      </c>
      <c r="I287" s="21"/>
      <c r="J287" s="21" t="s">
        <v>247</v>
      </c>
    </row>
    <row r="288" spans="1:10" x14ac:dyDescent="0.2">
      <c r="A288" s="23" t="s">
        <v>65</v>
      </c>
      <c r="B288" s="24">
        <v>44477</v>
      </c>
      <c r="C288" s="23" t="s">
        <v>15</v>
      </c>
      <c r="D288" s="23" t="s">
        <v>695</v>
      </c>
      <c r="E288" s="23" t="s">
        <v>695</v>
      </c>
      <c r="F288" s="10">
        <v>10</v>
      </c>
      <c r="G288" s="10">
        <v>2021</v>
      </c>
      <c r="H288" s="23" t="s">
        <v>694</v>
      </c>
      <c r="I288" s="23" t="s">
        <v>696</v>
      </c>
      <c r="J288" s="23" t="s">
        <v>683</v>
      </c>
    </row>
    <row r="289" spans="1:10" x14ac:dyDescent="0.2">
      <c r="A289" s="21" t="s">
        <v>14</v>
      </c>
      <c r="B289" s="22">
        <v>44476</v>
      </c>
      <c r="C289" s="21" t="s">
        <v>21</v>
      </c>
      <c r="D289" s="21" t="s">
        <v>697</v>
      </c>
      <c r="E289" s="21" t="s">
        <v>698</v>
      </c>
      <c r="F289" s="10">
        <v>10</v>
      </c>
      <c r="G289" s="10">
        <v>2021</v>
      </c>
      <c r="H289" s="21" t="s">
        <v>694</v>
      </c>
      <c r="I289" s="21"/>
      <c r="J289" s="21" t="s">
        <v>247</v>
      </c>
    </row>
    <row r="290" spans="1:10" x14ac:dyDescent="0.2">
      <c r="A290" s="23" t="s">
        <v>14</v>
      </c>
      <c r="B290" s="24">
        <v>44468</v>
      </c>
      <c r="C290" s="23" t="s">
        <v>21</v>
      </c>
      <c r="D290" s="23" t="s">
        <v>699</v>
      </c>
      <c r="E290" s="23" t="s">
        <v>700</v>
      </c>
      <c r="F290" s="10">
        <v>9</v>
      </c>
      <c r="G290" s="10">
        <v>2021</v>
      </c>
      <c r="H290" s="23" t="s">
        <v>701</v>
      </c>
      <c r="I290" s="23"/>
      <c r="J290" s="23" t="s">
        <v>247</v>
      </c>
    </row>
    <row r="291" spans="1:10" x14ac:dyDescent="0.2">
      <c r="A291" s="21" t="s">
        <v>14</v>
      </c>
      <c r="B291" s="22">
        <v>44467</v>
      </c>
      <c r="C291" s="21" t="s">
        <v>21</v>
      </c>
      <c r="D291" s="21" t="s">
        <v>702</v>
      </c>
      <c r="E291" s="21" t="s">
        <v>703</v>
      </c>
      <c r="F291" s="10">
        <v>9</v>
      </c>
      <c r="G291" s="10">
        <v>2021</v>
      </c>
      <c r="H291" s="21" t="s">
        <v>701</v>
      </c>
      <c r="I291" s="21"/>
      <c r="J291" s="21" t="s">
        <v>247</v>
      </c>
    </row>
    <row r="292" spans="1:10" x14ac:dyDescent="0.2">
      <c r="A292" s="23" t="s">
        <v>65</v>
      </c>
      <c r="B292" s="24">
        <v>44463</v>
      </c>
      <c r="C292" s="23" t="s">
        <v>15</v>
      </c>
      <c r="D292" s="23" t="s">
        <v>387</v>
      </c>
      <c r="E292" s="23" t="s">
        <v>387</v>
      </c>
      <c r="F292" s="10">
        <v>9</v>
      </c>
      <c r="G292" s="10">
        <v>2021</v>
      </c>
      <c r="H292" s="23" t="s">
        <v>701</v>
      </c>
      <c r="I292" s="23" t="s">
        <v>704</v>
      </c>
      <c r="J292" s="23" t="s">
        <v>683</v>
      </c>
    </row>
    <row r="293" spans="1:10" x14ac:dyDescent="0.2">
      <c r="A293" s="21" t="s">
        <v>14</v>
      </c>
      <c r="B293" s="22">
        <v>44459</v>
      </c>
      <c r="C293" s="21" t="s">
        <v>15</v>
      </c>
      <c r="D293" s="21" t="s">
        <v>705</v>
      </c>
      <c r="E293" s="21" t="s">
        <v>706</v>
      </c>
      <c r="F293" s="10">
        <v>9</v>
      </c>
      <c r="G293" s="10">
        <v>2021</v>
      </c>
      <c r="H293" s="21" t="s">
        <v>701</v>
      </c>
      <c r="I293" s="21"/>
      <c r="J293" s="21" t="s">
        <v>247</v>
      </c>
    </row>
    <row r="294" spans="1:10" x14ac:dyDescent="0.2">
      <c r="A294" s="23" t="s">
        <v>14</v>
      </c>
      <c r="B294" s="24">
        <v>44454</v>
      </c>
      <c r="C294" s="23" t="s">
        <v>21</v>
      </c>
      <c r="D294" s="23" t="s">
        <v>707</v>
      </c>
      <c r="E294" s="23" t="s">
        <v>708</v>
      </c>
      <c r="F294" s="10">
        <v>9</v>
      </c>
      <c r="G294" s="10">
        <v>2021</v>
      </c>
      <c r="H294" s="23" t="s">
        <v>701</v>
      </c>
      <c r="I294" s="23"/>
      <c r="J294" s="23" t="s">
        <v>247</v>
      </c>
    </row>
    <row r="295" spans="1:10" x14ac:dyDescent="0.2">
      <c r="A295" s="21" t="s">
        <v>14</v>
      </c>
      <c r="B295" s="22">
        <v>44433</v>
      </c>
      <c r="C295" s="21" t="s">
        <v>15</v>
      </c>
      <c r="D295" s="21" t="s">
        <v>709</v>
      </c>
      <c r="E295" s="21" t="s">
        <v>710</v>
      </c>
      <c r="F295" s="10">
        <v>8</v>
      </c>
      <c r="G295" s="10">
        <v>2021</v>
      </c>
      <c r="H295" s="21" t="s">
        <v>711</v>
      </c>
      <c r="I295" s="21"/>
      <c r="J295" s="21" t="s">
        <v>247</v>
      </c>
    </row>
    <row r="296" spans="1:10" x14ac:dyDescent="0.2">
      <c r="A296" s="23" t="s">
        <v>65</v>
      </c>
      <c r="B296" s="24">
        <v>44431</v>
      </c>
      <c r="C296" s="23" t="s">
        <v>15</v>
      </c>
      <c r="D296" s="23" t="s">
        <v>712</v>
      </c>
      <c r="E296" s="23" t="s">
        <v>712</v>
      </c>
      <c r="F296" s="10">
        <v>8</v>
      </c>
      <c r="G296" s="10">
        <v>2021</v>
      </c>
      <c r="H296" s="23" t="s">
        <v>711</v>
      </c>
      <c r="I296" s="23" t="s">
        <v>713</v>
      </c>
      <c r="J296" s="23" t="s">
        <v>683</v>
      </c>
    </row>
    <row r="297" spans="1:10" x14ac:dyDescent="0.2">
      <c r="A297" s="21" t="s">
        <v>14</v>
      </c>
      <c r="B297" s="22">
        <v>44431</v>
      </c>
      <c r="C297" s="21" t="s">
        <v>21</v>
      </c>
      <c r="D297" s="21" t="s">
        <v>714</v>
      </c>
      <c r="E297" s="21" t="s">
        <v>715</v>
      </c>
      <c r="F297" s="10">
        <v>8</v>
      </c>
      <c r="G297" s="10">
        <v>2021</v>
      </c>
      <c r="H297" s="21" t="s">
        <v>711</v>
      </c>
      <c r="I297" s="21"/>
      <c r="J297" s="21" t="s">
        <v>247</v>
      </c>
    </row>
    <row r="298" spans="1:10" x14ac:dyDescent="0.2">
      <c r="A298" s="23" t="s">
        <v>65</v>
      </c>
      <c r="B298" s="24">
        <v>44428</v>
      </c>
      <c r="C298" s="23" t="s">
        <v>15</v>
      </c>
      <c r="D298" s="23" t="s">
        <v>387</v>
      </c>
      <c r="E298" s="23" t="s">
        <v>387</v>
      </c>
      <c r="F298" s="10">
        <v>8</v>
      </c>
      <c r="G298" s="10">
        <v>2021</v>
      </c>
      <c r="H298" s="23" t="s">
        <v>711</v>
      </c>
      <c r="I298" s="23" t="s">
        <v>716</v>
      </c>
      <c r="J298" s="23" t="s">
        <v>683</v>
      </c>
    </row>
    <row r="299" spans="1:10" x14ac:dyDescent="0.2">
      <c r="A299" s="21" t="s">
        <v>14</v>
      </c>
      <c r="B299" s="22">
        <v>44421</v>
      </c>
      <c r="C299" s="21" t="s">
        <v>21</v>
      </c>
      <c r="D299" s="21" t="s">
        <v>717</v>
      </c>
      <c r="E299" s="21" t="s">
        <v>718</v>
      </c>
      <c r="F299" s="10">
        <v>8</v>
      </c>
      <c r="G299" s="10">
        <v>2021</v>
      </c>
      <c r="H299" s="21" t="s">
        <v>711</v>
      </c>
      <c r="I299" s="21"/>
      <c r="J299" s="21" t="s">
        <v>247</v>
      </c>
    </row>
    <row r="300" spans="1:10" x14ac:dyDescent="0.2">
      <c r="A300" s="23" t="s">
        <v>65</v>
      </c>
      <c r="B300" s="24">
        <v>44421</v>
      </c>
      <c r="C300" s="23" t="s">
        <v>15</v>
      </c>
      <c r="D300" s="23" t="s">
        <v>719</v>
      </c>
      <c r="E300" s="23" t="s">
        <v>719</v>
      </c>
      <c r="F300" s="10">
        <v>8</v>
      </c>
      <c r="G300" s="10">
        <v>2021</v>
      </c>
      <c r="H300" s="23" t="s">
        <v>711</v>
      </c>
      <c r="I300" s="23" t="s">
        <v>720</v>
      </c>
      <c r="J300" s="23" t="s">
        <v>683</v>
      </c>
    </row>
    <row r="301" spans="1:10" x14ac:dyDescent="0.2">
      <c r="A301" s="21" t="s">
        <v>14</v>
      </c>
      <c r="B301" s="22">
        <v>44414</v>
      </c>
      <c r="C301" s="21" t="s">
        <v>15</v>
      </c>
      <c r="D301" s="21" t="s">
        <v>721</v>
      </c>
      <c r="E301" s="21" t="s">
        <v>722</v>
      </c>
      <c r="F301" s="10">
        <v>8</v>
      </c>
      <c r="G301" s="10">
        <v>2021</v>
      </c>
      <c r="H301" s="21" t="s">
        <v>711</v>
      </c>
      <c r="I301" s="21"/>
      <c r="J301" s="21" t="s">
        <v>247</v>
      </c>
    </row>
    <row r="302" spans="1:10" x14ac:dyDescent="0.2">
      <c r="A302" s="23" t="s">
        <v>14</v>
      </c>
      <c r="B302" s="24">
        <v>44407</v>
      </c>
      <c r="C302" s="23" t="s">
        <v>15</v>
      </c>
      <c r="D302" s="23" t="s">
        <v>723</v>
      </c>
      <c r="E302" s="23" t="s">
        <v>724</v>
      </c>
      <c r="F302" s="10">
        <v>7</v>
      </c>
      <c r="G302" s="10">
        <v>2021</v>
      </c>
      <c r="H302" s="23" t="s">
        <v>725</v>
      </c>
      <c r="I302" s="23"/>
      <c r="J302" s="23" t="s">
        <v>247</v>
      </c>
    </row>
    <row r="303" spans="1:10" x14ac:dyDescent="0.2">
      <c r="A303" s="21" t="s">
        <v>14</v>
      </c>
      <c r="B303" s="22">
        <v>44397</v>
      </c>
      <c r="C303" s="21" t="s">
        <v>21</v>
      </c>
      <c r="D303" s="21" t="s">
        <v>726</v>
      </c>
      <c r="E303" s="21" t="s">
        <v>727</v>
      </c>
      <c r="F303" s="10">
        <v>7</v>
      </c>
      <c r="G303" s="10">
        <v>2021</v>
      </c>
      <c r="H303" s="21" t="s">
        <v>725</v>
      </c>
      <c r="I303" s="21"/>
      <c r="J303" s="21" t="s">
        <v>247</v>
      </c>
    </row>
    <row r="304" spans="1:10" x14ac:dyDescent="0.2">
      <c r="A304" s="23" t="s">
        <v>14</v>
      </c>
      <c r="B304" s="24">
        <v>44393</v>
      </c>
      <c r="C304" s="23" t="s">
        <v>21</v>
      </c>
      <c r="D304" s="23" t="s">
        <v>728</v>
      </c>
      <c r="E304" s="23" t="s">
        <v>729</v>
      </c>
      <c r="F304" s="10">
        <v>7</v>
      </c>
      <c r="G304" s="10">
        <v>2021</v>
      </c>
      <c r="H304" s="23" t="s">
        <v>725</v>
      </c>
      <c r="I304" s="23"/>
      <c r="J304" s="23" t="s">
        <v>247</v>
      </c>
    </row>
    <row r="305" spans="1:10" x14ac:dyDescent="0.2">
      <c r="A305" s="21" t="s">
        <v>65</v>
      </c>
      <c r="B305" s="22">
        <v>44393</v>
      </c>
      <c r="C305" s="21" t="s">
        <v>15</v>
      </c>
      <c r="D305" s="21" t="s">
        <v>730</v>
      </c>
      <c r="E305" s="21" t="s">
        <v>730</v>
      </c>
      <c r="F305" s="10">
        <v>7</v>
      </c>
      <c r="G305" s="10">
        <v>2021</v>
      </c>
      <c r="H305" s="21" t="s">
        <v>725</v>
      </c>
      <c r="I305" s="21" t="s">
        <v>731</v>
      </c>
      <c r="J305" s="21" t="s">
        <v>683</v>
      </c>
    </row>
    <row r="306" spans="1:10" x14ac:dyDescent="0.2">
      <c r="A306" s="23" t="s">
        <v>14</v>
      </c>
      <c r="B306" s="24">
        <v>44393</v>
      </c>
      <c r="C306" s="23" t="s">
        <v>21</v>
      </c>
      <c r="D306" s="23" t="s">
        <v>732</v>
      </c>
      <c r="E306" s="23" t="s">
        <v>733</v>
      </c>
      <c r="F306" s="10">
        <v>7</v>
      </c>
      <c r="G306" s="10">
        <v>2021</v>
      </c>
      <c r="H306" s="23" t="s">
        <v>725</v>
      </c>
      <c r="I306" s="23"/>
      <c r="J306" s="23" t="s">
        <v>247</v>
      </c>
    </row>
    <row r="307" spans="1:10" x14ac:dyDescent="0.2">
      <c r="A307" s="21" t="s">
        <v>14</v>
      </c>
      <c r="B307" s="22">
        <v>44386</v>
      </c>
      <c r="C307" s="21" t="s">
        <v>21</v>
      </c>
      <c r="D307" s="21" t="s">
        <v>734</v>
      </c>
      <c r="E307" s="21" t="s">
        <v>735</v>
      </c>
      <c r="F307" s="10">
        <v>7</v>
      </c>
      <c r="G307" s="10">
        <v>2021</v>
      </c>
      <c r="H307" s="21" t="s">
        <v>725</v>
      </c>
      <c r="I307" s="21"/>
      <c r="J307" s="21" t="s">
        <v>247</v>
      </c>
    </row>
    <row r="308" spans="1:10" x14ac:dyDescent="0.2">
      <c r="A308" s="23" t="s">
        <v>14</v>
      </c>
      <c r="B308" s="24">
        <v>44377</v>
      </c>
      <c r="C308" s="23" t="s">
        <v>15</v>
      </c>
      <c r="D308" s="23" t="s">
        <v>736</v>
      </c>
      <c r="E308" s="23" t="s">
        <v>737</v>
      </c>
      <c r="F308" s="10">
        <v>6</v>
      </c>
      <c r="G308" s="10">
        <v>2021</v>
      </c>
      <c r="H308" s="23" t="s">
        <v>738</v>
      </c>
      <c r="I308" s="23"/>
      <c r="J308" s="23" t="s">
        <v>247</v>
      </c>
    </row>
    <row r="309" spans="1:10" x14ac:dyDescent="0.2">
      <c r="A309" s="21" t="s">
        <v>65</v>
      </c>
      <c r="B309" s="22">
        <v>44372</v>
      </c>
      <c r="C309" s="21" t="s">
        <v>15</v>
      </c>
      <c r="D309" s="21" t="s">
        <v>387</v>
      </c>
      <c r="E309" s="21" t="s">
        <v>387</v>
      </c>
      <c r="F309" s="10">
        <v>6</v>
      </c>
      <c r="G309" s="10">
        <v>2021</v>
      </c>
      <c r="H309" s="21" t="s">
        <v>738</v>
      </c>
      <c r="I309" s="21" t="s">
        <v>739</v>
      </c>
      <c r="J309" s="21" t="s">
        <v>683</v>
      </c>
    </row>
    <row r="310" spans="1:10" x14ac:dyDescent="0.2">
      <c r="A310" s="23" t="s">
        <v>65</v>
      </c>
      <c r="B310" s="24">
        <v>44362</v>
      </c>
      <c r="C310" s="23" t="s">
        <v>15</v>
      </c>
      <c r="D310" s="23" t="s">
        <v>740</v>
      </c>
      <c r="E310" s="23" t="s">
        <v>740</v>
      </c>
      <c r="F310" s="10">
        <v>6</v>
      </c>
      <c r="G310" s="10">
        <v>2021</v>
      </c>
      <c r="H310" s="23" t="s">
        <v>738</v>
      </c>
      <c r="I310" s="23" t="s">
        <v>741</v>
      </c>
      <c r="J310" s="23" t="s">
        <v>683</v>
      </c>
    </row>
    <row r="311" spans="1:10" x14ac:dyDescent="0.2">
      <c r="A311" s="21" t="s">
        <v>65</v>
      </c>
      <c r="B311" s="22">
        <v>44355</v>
      </c>
      <c r="C311" s="21" t="s">
        <v>15</v>
      </c>
      <c r="D311" s="21" t="s">
        <v>742</v>
      </c>
      <c r="E311" s="21" t="s">
        <v>742</v>
      </c>
      <c r="F311" s="10">
        <v>6</v>
      </c>
      <c r="G311" s="10">
        <v>2021</v>
      </c>
      <c r="H311" s="21" t="s">
        <v>738</v>
      </c>
      <c r="I311" s="21" t="s">
        <v>743</v>
      </c>
      <c r="J311" s="21" t="s">
        <v>683</v>
      </c>
    </row>
    <row r="312" spans="1:10" x14ac:dyDescent="0.2">
      <c r="A312" s="23" t="s">
        <v>14</v>
      </c>
      <c r="B312" s="24">
        <v>44354</v>
      </c>
      <c r="C312" s="23" t="s">
        <v>15</v>
      </c>
      <c r="D312" s="23" t="s">
        <v>744</v>
      </c>
      <c r="E312" s="23" t="s">
        <v>745</v>
      </c>
      <c r="F312" s="10">
        <v>6</v>
      </c>
      <c r="G312" s="10">
        <v>2021</v>
      </c>
      <c r="H312" s="23" t="s">
        <v>738</v>
      </c>
      <c r="I312" s="23"/>
      <c r="J312" s="23" t="s">
        <v>247</v>
      </c>
    </row>
    <row r="313" spans="1:10" x14ac:dyDescent="0.2">
      <c r="A313" s="21" t="s">
        <v>65</v>
      </c>
      <c r="B313" s="22">
        <v>44351</v>
      </c>
      <c r="C313" s="21" t="s">
        <v>15</v>
      </c>
      <c r="D313" s="21" t="s">
        <v>746</v>
      </c>
      <c r="E313" s="21" t="s">
        <v>746</v>
      </c>
      <c r="F313" s="10">
        <v>6</v>
      </c>
      <c r="G313" s="10">
        <v>2021</v>
      </c>
      <c r="H313" s="21" t="s">
        <v>738</v>
      </c>
      <c r="I313" s="21" t="s">
        <v>747</v>
      </c>
      <c r="J313" s="21" t="s">
        <v>683</v>
      </c>
    </row>
    <row r="314" spans="1:10" x14ac:dyDescent="0.2">
      <c r="A314" s="23" t="s">
        <v>14</v>
      </c>
      <c r="B314" s="24">
        <v>44348</v>
      </c>
      <c r="C314" s="23" t="s">
        <v>21</v>
      </c>
      <c r="D314" s="23" t="s">
        <v>748</v>
      </c>
      <c r="E314" s="23" t="s">
        <v>749</v>
      </c>
      <c r="F314" s="10">
        <v>6</v>
      </c>
      <c r="G314" s="10">
        <v>2021</v>
      </c>
      <c r="H314" s="23" t="s">
        <v>738</v>
      </c>
      <c r="I314" s="23"/>
      <c r="J314" s="23" t="s">
        <v>247</v>
      </c>
    </row>
    <row r="315" spans="1:10" x14ac:dyDescent="0.2">
      <c r="A315" s="21" t="s">
        <v>14</v>
      </c>
      <c r="B315" s="22">
        <v>44344</v>
      </c>
      <c r="C315" s="21" t="s">
        <v>21</v>
      </c>
      <c r="D315" s="21" t="s">
        <v>750</v>
      </c>
      <c r="E315" s="21" t="s">
        <v>751</v>
      </c>
      <c r="F315" s="10">
        <v>5</v>
      </c>
      <c r="G315" s="10">
        <v>2021</v>
      </c>
      <c r="H315" s="21" t="s">
        <v>752</v>
      </c>
      <c r="I315" s="21"/>
      <c r="J315" s="21" t="s">
        <v>247</v>
      </c>
    </row>
    <row r="316" spans="1:10" x14ac:dyDescent="0.2">
      <c r="A316" s="23" t="s">
        <v>14</v>
      </c>
      <c r="B316" s="24">
        <v>44344</v>
      </c>
      <c r="C316" s="23" t="s">
        <v>21</v>
      </c>
      <c r="D316" s="23" t="s">
        <v>753</v>
      </c>
      <c r="E316" s="23" t="s">
        <v>754</v>
      </c>
      <c r="F316" s="10">
        <v>5</v>
      </c>
      <c r="G316" s="10">
        <v>2021</v>
      </c>
      <c r="H316" s="23" t="s">
        <v>752</v>
      </c>
      <c r="I316" s="23"/>
      <c r="J316" s="23" t="s">
        <v>247</v>
      </c>
    </row>
    <row r="317" spans="1:10" x14ac:dyDescent="0.2">
      <c r="A317" s="21" t="s">
        <v>14</v>
      </c>
      <c r="B317" s="22">
        <v>44344</v>
      </c>
      <c r="C317" s="21" t="s">
        <v>21</v>
      </c>
      <c r="D317" s="21" t="s">
        <v>755</v>
      </c>
      <c r="E317" s="21" t="s">
        <v>756</v>
      </c>
      <c r="F317" s="10">
        <v>5</v>
      </c>
      <c r="G317" s="10">
        <v>2021</v>
      </c>
      <c r="H317" s="21" t="s">
        <v>752</v>
      </c>
      <c r="I317" s="21"/>
      <c r="J317" s="21" t="s">
        <v>247</v>
      </c>
    </row>
    <row r="318" spans="1:10" x14ac:dyDescent="0.2">
      <c r="A318" s="23" t="s">
        <v>14</v>
      </c>
      <c r="B318" s="24">
        <v>44342</v>
      </c>
      <c r="C318" s="23" t="s">
        <v>21</v>
      </c>
      <c r="D318" s="23" t="s">
        <v>757</v>
      </c>
      <c r="E318" s="23" t="s">
        <v>758</v>
      </c>
      <c r="F318" s="10">
        <v>5</v>
      </c>
      <c r="G318" s="10">
        <v>2021</v>
      </c>
      <c r="H318" s="23" t="s">
        <v>752</v>
      </c>
      <c r="I318" s="23"/>
      <c r="J318" s="23" t="s">
        <v>247</v>
      </c>
    </row>
    <row r="319" spans="1:10" x14ac:dyDescent="0.2">
      <c r="A319" s="21" t="s">
        <v>14</v>
      </c>
      <c r="B319" s="22">
        <v>44337</v>
      </c>
      <c r="C319" s="21" t="s">
        <v>15</v>
      </c>
      <c r="D319" s="21" t="s">
        <v>759</v>
      </c>
      <c r="E319" s="21" t="s">
        <v>760</v>
      </c>
      <c r="F319" s="10">
        <v>5</v>
      </c>
      <c r="G319" s="10">
        <v>2021</v>
      </c>
      <c r="H319" s="21" t="s">
        <v>752</v>
      </c>
      <c r="I319" s="21"/>
      <c r="J319" s="21" t="s">
        <v>247</v>
      </c>
    </row>
    <row r="320" spans="1:10" x14ac:dyDescent="0.2">
      <c r="A320" s="23" t="s">
        <v>14</v>
      </c>
      <c r="B320" s="24">
        <v>44330</v>
      </c>
      <c r="C320" s="23" t="s">
        <v>21</v>
      </c>
      <c r="D320" s="23" t="s">
        <v>761</v>
      </c>
      <c r="E320" s="23" t="s">
        <v>762</v>
      </c>
      <c r="F320" s="10">
        <v>5</v>
      </c>
      <c r="G320" s="10">
        <v>2021</v>
      </c>
      <c r="H320" s="23" t="s">
        <v>752</v>
      </c>
      <c r="I320" s="23"/>
      <c r="J320" s="23" t="s">
        <v>247</v>
      </c>
    </row>
    <row r="321" spans="1:10" x14ac:dyDescent="0.2">
      <c r="A321" s="21" t="s">
        <v>14</v>
      </c>
      <c r="B321" s="22">
        <v>44309</v>
      </c>
      <c r="C321" s="21" t="s">
        <v>15</v>
      </c>
      <c r="D321" s="21" t="s">
        <v>763</v>
      </c>
      <c r="E321" s="21" t="s">
        <v>764</v>
      </c>
      <c r="F321" s="10">
        <v>4</v>
      </c>
      <c r="G321" s="10">
        <v>2021</v>
      </c>
      <c r="H321" s="21" t="s">
        <v>765</v>
      </c>
      <c r="I321" s="21"/>
      <c r="J321" s="21" t="s">
        <v>247</v>
      </c>
    </row>
    <row r="322" spans="1:10" x14ac:dyDescent="0.2">
      <c r="A322" s="23" t="s">
        <v>14</v>
      </c>
      <c r="B322" s="24">
        <v>44308</v>
      </c>
      <c r="C322" s="23" t="s">
        <v>15</v>
      </c>
      <c r="D322" s="23" t="s">
        <v>766</v>
      </c>
      <c r="E322" s="23" t="s">
        <v>767</v>
      </c>
      <c r="F322" s="10">
        <v>4</v>
      </c>
      <c r="G322" s="10">
        <v>2021</v>
      </c>
      <c r="H322" s="23" t="s">
        <v>765</v>
      </c>
      <c r="I322" s="23"/>
      <c r="J322" s="23" t="s">
        <v>247</v>
      </c>
    </row>
    <row r="323" spans="1:10" x14ac:dyDescent="0.2">
      <c r="A323" s="21" t="s">
        <v>14</v>
      </c>
      <c r="B323" s="22">
        <v>44301</v>
      </c>
      <c r="C323" s="21" t="s">
        <v>21</v>
      </c>
      <c r="D323" s="21" t="s">
        <v>768</v>
      </c>
      <c r="E323" s="21" t="s">
        <v>769</v>
      </c>
      <c r="F323" s="10">
        <v>4</v>
      </c>
      <c r="G323" s="10">
        <v>2021</v>
      </c>
      <c r="H323" s="21" t="s">
        <v>765</v>
      </c>
      <c r="I323" s="21"/>
      <c r="J323" s="21" t="s">
        <v>247</v>
      </c>
    </row>
    <row r="324" spans="1:10" x14ac:dyDescent="0.2">
      <c r="A324" s="23" t="s">
        <v>14</v>
      </c>
      <c r="B324" s="24">
        <v>44288</v>
      </c>
      <c r="C324" s="23" t="s">
        <v>21</v>
      </c>
      <c r="D324" s="23" t="s">
        <v>770</v>
      </c>
      <c r="E324" s="23" t="s">
        <v>771</v>
      </c>
      <c r="F324" s="10">
        <v>4</v>
      </c>
      <c r="G324" s="10">
        <v>2021</v>
      </c>
      <c r="H324" s="23" t="s">
        <v>765</v>
      </c>
      <c r="I324" s="23"/>
      <c r="J324" s="23" t="s">
        <v>247</v>
      </c>
    </row>
    <row r="325" spans="1:10" x14ac:dyDescent="0.2">
      <c r="A325" s="21" t="s">
        <v>65</v>
      </c>
      <c r="B325" s="22">
        <v>44281</v>
      </c>
      <c r="C325" s="21" t="s">
        <v>15</v>
      </c>
      <c r="D325" s="21" t="s">
        <v>772</v>
      </c>
      <c r="E325" s="21" t="s">
        <v>772</v>
      </c>
      <c r="F325" s="10">
        <v>3</v>
      </c>
      <c r="G325" s="10">
        <v>2021</v>
      </c>
      <c r="H325" s="21" t="s">
        <v>773</v>
      </c>
      <c r="I325" s="21" t="s">
        <v>774</v>
      </c>
      <c r="J325" s="21" t="s">
        <v>683</v>
      </c>
    </row>
    <row r="326" spans="1:10" x14ac:dyDescent="0.2">
      <c r="A326" s="23" t="s">
        <v>14</v>
      </c>
      <c r="B326" s="24">
        <v>44277</v>
      </c>
      <c r="C326" s="23" t="s">
        <v>21</v>
      </c>
      <c r="D326" s="23" t="s">
        <v>775</v>
      </c>
      <c r="E326" s="23" t="s">
        <v>776</v>
      </c>
      <c r="F326" s="10">
        <v>3</v>
      </c>
      <c r="G326" s="10">
        <v>2021</v>
      </c>
      <c r="H326" s="23" t="s">
        <v>773</v>
      </c>
      <c r="I326" s="23"/>
      <c r="J326" s="23" t="s">
        <v>247</v>
      </c>
    </row>
    <row r="327" spans="1:10" x14ac:dyDescent="0.2">
      <c r="A327" s="21" t="s">
        <v>14</v>
      </c>
      <c r="B327" s="22">
        <v>44273</v>
      </c>
      <c r="C327" s="21" t="s">
        <v>21</v>
      </c>
      <c r="D327" s="21" t="s">
        <v>777</v>
      </c>
      <c r="E327" s="21" t="s">
        <v>778</v>
      </c>
      <c r="F327" s="10">
        <v>3</v>
      </c>
      <c r="G327" s="10">
        <v>2021</v>
      </c>
      <c r="H327" s="21" t="s">
        <v>773</v>
      </c>
      <c r="I327" s="21"/>
      <c r="J327" s="21" t="s">
        <v>247</v>
      </c>
    </row>
    <row r="328" spans="1:10" x14ac:dyDescent="0.2">
      <c r="A328" s="23" t="s">
        <v>14</v>
      </c>
      <c r="B328" s="24">
        <v>44265</v>
      </c>
      <c r="C328" s="23" t="s">
        <v>21</v>
      </c>
      <c r="D328" s="23" t="s">
        <v>779</v>
      </c>
      <c r="E328" s="23" t="s">
        <v>780</v>
      </c>
      <c r="F328" s="10">
        <v>3</v>
      </c>
      <c r="G328" s="10">
        <v>2021</v>
      </c>
      <c r="H328" s="23" t="s">
        <v>773</v>
      </c>
      <c r="I328" s="23"/>
      <c r="J328" s="23" t="s">
        <v>247</v>
      </c>
    </row>
    <row r="329" spans="1:10" x14ac:dyDescent="0.2">
      <c r="A329" s="21" t="s">
        <v>14</v>
      </c>
      <c r="B329" s="22">
        <v>44257</v>
      </c>
      <c r="C329" s="21" t="s">
        <v>21</v>
      </c>
      <c r="D329" s="21" t="s">
        <v>781</v>
      </c>
      <c r="E329" s="21" t="s">
        <v>782</v>
      </c>
      <c r="F329" s="10">
        <v>3</v>
      </c>
      <c r="G329" s="10">
        <v>2021</v>
      </c>
      <c r="H329" s="21" t="s">
        <v>773</v>
      </c>
      <c r="I329" s="21"/>
      <c r="J329" s="21" t="s">
        <v>247</v>
      </c>
    </row>
    <row r="330" spans="1:10" x14ac:dyDescent="0.2">
      <c r="A330" s="23" t="s">
        <v>14</v>
      </c>
      <c r="B330" s="24">
        <v>44253</v>
      </c>
      <c r="C330" s="23" t="s">
        <v>21</v>
      </c>
      <c r="D330" s="23" t="s">
        <v>783</v>
      </c>
      <c r="E330" s="23" t="s">
        <v>784</v>
      </c>
      <c r="F330" s="10">
        <v>2</v>
      </c>
      <c r="G330" s="10">
        <v>2021</v>
      </c>
      <c r="H330" s="23" t="s">
        <v>785</v>
      </c>
      <c r="I330" s="23"/>
      <c r="J330" s="23" t="s">
        <v>247</v>
      </c>
    </row>
    <row r="331" spans="1:10" x14ac:dyDescent="0.2">
      <c r="A331" s="21" t="s">
        <v>14</v>
      </c>
      <c r="B331" s="22">
        <v>44253</v>
      </c>
      <c r="C331" s="21" t="s">
        <v>21</v>
      </c>
      <c r="D331" s="21" t="s">
        <v>786</v>
      </c>
      <c r="E331" s="21" t="s">
        <v>787</v>
      </c>
      <c r="F331" s="10">
        <v>2</v>
      </c>
      <c r="G331" s="10">
        <v>2021</v>
      </c>
      <c r="H331" s="21" t="s">
        <v>785</v>
      </c>
      <c r="I331" s="21"/>
      <c r="J331" s="21" t="s">
        <v>247</v>
      </c>
    </row>
    <row r="332" spans="1:10" x14ac:dyDescent="0.2">
      <c r="A332" s="23" t="s">
        <v>14</v>
      </c>
      <c r="B332" s="24">
        <v>44252</v>
      </c>
      <c r="C332" s="23" t="s">
        <v>21</v>
      </c>
      <c r="D332" s="23" t="s">
        <v>788</v>
      </c>
      <c r="E332" s="23" t="s">
        <v>789</v>
      </c>
      <c r="F332" s="10">
        <v>2</v>
      </c>
      <c r="G332" s="10">
        <v>2021</v>
      </c>
      <c r="H332" s="23" t="s">
        <v>785</v>
      </c>
      <c r="I332" s="23"/>
      <c r="J332" s="23" t="s">
        <v>247</v>
      </c>
    </row>
    <row r="333" spans="1:10" x14ac:dyDescent="0.2">
      <c r="A333" s="21" t="s">
        <v>14</v>
      </c>
      <c r="B333" s="22">
        <v>44239</v>
      </c>
      <c r="C333" s="21" t="s">
        <v>21</v>
      </c>
      <c r="D333" s="21" t="s">
        <v>790</v>
      </c>
      <c r="E333" s="21" t="s">
        <v>791</v>
      </c>
      <c r="F333" s="10">
        <v>2</v>
      </c>
      <c r="G333" s="10">
        <v>2021</v>
      </c>
      <c r="H333" s="21" t="s">
        <v>785</v>
      </c>
      <c r="I333" s="21"/>
      <c r="J333" s="21" t="s">
        <v>247</v>
      </c>
    </row>
    <row r="334" spans="1:10" x14ac:dyDescent="0.2">
      <c r="A334" s="23" t="s">
        <v>14</v>
      </c>
      <c r="B334" s="24">
        <v>44238</v>
      </c>
      <c r="C334" s="23" t="s">
        <v>15</v>
      </c>
      <c r="D334" s="23" t="s">
        <v>792</v>
      </c>
      <c r="E334" s="23" t="s">
        <v>793</v>
      </c>
      <c r="F334" s="10">
        <v>2</v>
      </c>
      <c r="G334" s="10">
        <v>2021</v>
      </c>
      <c r="H334" s="23" t="s">
        <v>785</v>
      </c>
      <c r="I334" s="23"/>
      <c r="J334" s="23" t="s">
        <v>247</v>
      </c>
    </row>
    <row r="335" spans="1:10" x14ac:dyDescent="0.2">
      <c r="A335" s="21" t="s">
        <v>14</v>
      </c>
      <c r="B335" s="22">
        <v>44232</v>
      </c>
      <c r="C335" s="21" t="s">
        <v>21</v>
      </c>
      <c r="D335" s="21" t="s">
        <v>794</v>
      </c>
      <c r="E335" s="21" t="s">
        <v>795</v>
      </c>
      <c r="F335" s="10">
        <v>2</v>
      </c>
      <c r="G335" s="10">
        <v>2021</v>
      </c>
      <c r="H335" s="21" t="s">
        <v>785</v>
      </c>
      <c r="I335" s="21"/>
      <c r="J335" s="21" t="s">
        <v>247</v>
      </c>
    </row>
    <row r="336" spans="1:10" x14ac:dyDescent="0.2">
      <c r="A336" s="23" t="s">
        <v>65</v>
      </c>
      <c r="B336" s="24">
        <v>44232</v>
      </c>
      <c r="C336" s="23" t="s">
        <v>15</v>
      </c>
      <c r="D336" s="23" t="s">
        <v>796</v>
      </c>
      <c r="E336" s="23" t="s">
        <v>796</v>
      </c>
      <c r="F336" s="10">
        <v>2</v>
      </c>
      <c r="G336" s="10">
        <v>2021</v>
      </c>
      <c r="H336" s="23" t="s">
        <v>785</v>
      </c>
      <c r="I336" s="23" t="s">
        <v>797</v>
      </c>
      <c r="J336" s="23" t="s">
        <v>683</v>
      </c>
    </row>
    <row r="337" spans="1:10" x14ac:dyDescent="0.2">
      <c r="A337" s="21" t="s">
        <v>14</v>
      </c>
      <c r="B337" s="22">
        <v>44230</v>
      </c>
      <c r="C337" s="21" t="s">
        <v>21</v>
      </c>
      <c r="D337" s="21" t="s">
        <v>798</v>
      </c>
      <c r="E337" s="21" t="s">
        <v>799</v>
      </c>
      <c r="F337" s="10">
        <v>2</v>
      </c>
      <c r="G337" s="10">
        <v>2021</v>
      </c>
      <c r="H337" s="21" t="s">
        <v>785</v>
      </c>
      <c r="I337" s="21"/>
      <c r="J337" s="21" t="s">
        <v>247</v>
      </c>
    </row>
    <row r="338" spans="1:10" x14ac:dyDescent="0.2">
      <c r="A338" s="23" t="s">
        <v>14</v>
      </c>
      <c r="B338" s="24">
        <v>44218</v>
      </c>
      <c r="C338" s="23" t="s">
        <v>21</v>
      </c>
      <c r="D338" s="23" t="s">
        <v>800</v>
      </c>
      <c r="E338" s="23" t="s">
        <v>801</v>
      </c>
      <c r="F338" s="10">
        <v>1</v>
      </c>
      <c r="G338" s="10">
        <v>2021</v>
      </c>
      <c r="H338" s="23" t="s">
        <v>802</v>
      </c>
      <c r="I338" s="23"/>
      <c r="J338" s="23" t="s">
        <v>247</v>
      </c>
    </row>
    <row r="339" spans="1:10" x14ac:dyDescent="0.2">
      <c r="A339" s="21" t="s">
        <v>14</v>
      </c>
      <c r="B339" s="22">
        <v>44217</v>
      </c>
      <c r="C339" s="21" t="s">
        <v>21</v>
      </c>
      <c r="D339" s="21" t="s">
        <v>803</v>
      </c>
      <c r="E339" s="21" t="s">
        <v>804</v>
      </c>
      <c r="F339" s="10">
        <v>1</v>
      </c>
      <c r="G339" s="10">
        <v>2021</v>
      </c>
      <c r="H339" s="21" t="s">
        <v>802</v>
      </c>
      <c r="I339" s="21"/>
      <c r="J339" s="21" t="s">
        <v>247</v>
      </c>
    </row>
    <row r="340" spans="1:10" x14ac:dyDescent="0.2">
      <c r="A340" s="23" t="s">
        <v>14</v>
      </c>
      <c r="B340" s="24">
        <v>44215</v>
      </c>
      <c r="C340" s="23" t="s">
        <v>21</v>
      </c>
      <c r="D340" s="23" t="s">
        <v>805</v>
      </c>
      <c r="E340" s="23" t="s">
        <v>806</v>
      </c>
      <c r="F340" s="10">
        <v>1</v>
      </c>
      <c r="G340" s="10">
        <v>2021</v>
      </c>
      <c r="H340" s="23" t="s">
        <v>802</v>
      </c>
      <c r="I340" s="23"/>
      <c r="J340" s="23" t="s">
        <v>247</v>
      </c>
    </row>
    <row r="341" spans="1:10" x14ac:dyDescent="0.2">
      <c r="A341" s="21" t="s">
        <v>14</v>
      </c>
      <c r="B341" s="22">
        <v>44188</v>
      </c>
      <c r="C341" s="21" t="s">
        <v>21</v>
      </c>
      <c r="D341" s="21" t="s">
        <v>807</v>
      </c>
      <c r="E341" s="21" t="s">
        <v>808</v>
      </c>
      <c r="F341" s="10">
        <v>12</v>
      </c>
      <c r="G341" s="10">
        <v>2020</v>
      </c>
      <c r="H341" s="21" t="s">
        <v>809</v>
      </c>
      <c r="I341" s="21"/>
      <c r="J341" s="21" t="s">
        <v>247</v>
      </c>
    </row>
    <row r="342" spans="1:10" x14ac:dyDescent="0.2">
      <c r="A342" s="23" t="s">
        <v>14</v>
      </c>
      <c r="B342" s="24">
        <v>44186</v>
      </c>
      <c r="C342" s="23" t="s">
        <v>15</v>
      </c>
      <c r="D342" s="23" t="s">
        <v>810</v>
      </c>
      <c r="E342" s="23" t="s">
        <v>811</v>
      </c>
      <c r="F342" s="10">
        <v>12</v>
      </c>
      <c r="G342" s="10">
        <v>2020</v>
      </c>
      <c r="H342" s="23" t="s">
        <v>809</v>
      </c>
      <c r="I342" s="23"/>
      <c r="J342" s="23" t="s">
        <v>247</v>
      </c>
    </row>
    <row r="343" spans="1:10" x14ac:dyDescent="0.2">
      <c r="A343" s="21" t="s">
        <v>14</v>
      </c>
      <c r="B343" s="22">
        <v>44183</v>
      </c>
      <c r="C343" s="21" t="s">
        <v>21</v>
      </c>
      <c r="D343" s="21" t="s">
        <v>812</v>
      </c>
      <c r="E343" s="21" t="s">
        <v>813</v>
      </c>
      <c r="F343" s="10">
        <v>12</v>
      </c>
      <c r="G343" s="10">
        <v>2020</v>
      </c>
      <c r="H343" s="21" t="s">
        <v>809</v>
      </c>
      <c r="I343" s="21"/>
      <c r="J343" s="21" t="s">
        <v>247</v>
      </c>
    </row>
    <row r="344" spans="1:10" x14ac:dyDescent="0.2">
      <c r="A344" s="23" t="s">
        <v>14</v>
      </c>
      <c r="B344" s="24">
        <v>44181</v>
      </c>
      <c r="C344" s="23" t="s">
        <v>15</v>
      </c>
      <c r="D344" s="23" t="s">
        <v>814</v>
      </c>
      <c r="E344" s="23" t="s">
        <v>815</v>
      </c>
      <c r="F344" s="10">
        <v>12</v>
      </c>
      <c r="G344" s="10">
        <v>2020</v>
      </c>
      <c r="H344" s="23" t="s">
        <v>809</v>
      </c>
      <c r="I344" s="23"/>
      <c r="J344" s="23" t="s">
        <v>247</v>
      </c>
    </row>
    <row r="345" spans="1:10" x14ac:dyDescent="0.2">
      <c r="A345" s="21" t="s">
        <v>14</v>
      </c>
      <c r="B345" s="22">
        <v>44179</v>
      </c>
      <c r="C345" s="21" t="s">
        <v>21</v>
      </c>
      <c r="D345" s="21" t="s">
        <v>816</v>
      </c>
      <c r="E345" s="21" t="s">
        <v>817</v>
      </c>
      <c r="F345" s="10">
        <v>12</v>
      </c>
      <c r="G345" s="10">
        <v>2020</v>
      </c>
      <c r="H345" s="21" t="s">
        <v>809</v>
      </c>
      <c r="I345" s="21"/>
      <c r="J345" s="21" t="s">
        <v>247</v>
      </c>
    </row>
    <row r="346" spans="1:10" x14ac:dyDescent="0.2">
      <c r="A346" s="23" t="s">
        <v>14</v>
      </c>
      <c r="B346" s="24">
        <v>44168</v>
      </c>
      <c r="C346" s="23" t="s">
        <v>21</v>
      </c>
      <c r="D346" s="23" t="s">
        <v>818</v>
      </c>
      <c r="E346" s="23" t="s">
        <v>819</v>
      </c>
      <c r="F346" s="10">
        <v>12</v>
      </c>
      <c r="G346" s="10">
        <v>2020</v>
      </c>
      <c r="H346" s="23" t="s">
        <v>809</v>
      </c>
      <c r="I346" s="23"/>
      <c r="J346" s="23" t="s">
        <v>247</v>
      </c>
    </row>
    <row r="347" spans="1:10" x14ac:dyDescent="0.2">
      <c r="A347" s="21" t="s">
        <v>14</v>
      </c>
      <c r="B347" s="22">
        <v>44166</v>
      </c>
      <c r="C347" s="21" t="s">
        <v>21</v>
      </c>
      <c r="D347" s="21" t="s">
        <v>728</v>
      </c>
      <c r="E347" s="21" t="s">
        <v>820</v>
      </c>
      <c r="F347" s="10">
        <v>12</v>
      </c>
      <c r="G347" s="10">
        <v>2020</v>
      </c>
      <c r="H347" s="21" t="s">
        <v>809</v>
      </c>
      <c r="I347" s="21"/>
      <c r="J347" s="21" t="s">
        <v>247</v>
      </c>
    </row>
    <row r="348" spans="1:10" x14ac:dyDescent="0.2">
      <c r="A348" s="23" t="s">
        <v>14</v>
      </c>
      <c r="B348" s="24">
        <v>44160</v>
      </c>
      <c r="C348" s="23" t="s">
        <v>21</v>
      </c>
      <c r="D348" s="23" t="s">
        <v>821</v>
      </c>
      <c r="E348" s="23" t="s">
        <v>822</v>
      </c>
      <c r="F348" s="10">
        <v>11</v>
      </c>
      <c r="G348" s="10">
        <v>2020</v>
      </c>
      <c r="H348" s="23" t="s">
        <v>823</v>
      </c>
      <c r="I348" s="23"/>
      <c r="J348" s="23" t="s">
        <v>247</v>
      </c>
    </row>
    <row r="349" spans="1:10" x14ac:dyDescent="0.2">
      <c r="A349" s="21" t="s">
        <v>14</v>
      </c>
      <c r="B349" s="22">
        <v>44160</v>
      </c>
      <c r="C349" s="21" t="s">
        <v>15</v>
      </c>
      <c r="D349" s="21" t="s">
        <v>824</v>
      </c>
      <c r="E349" s="21" t="s">
        <v>825</v>
      </c>
      <c r="F349" s="10">
        <v>11</v>
      </c>
      <c r="G349" s="10">
        <v>2020</v>
      </c>
      <c r="H349" s="21" t="s">
        <v>823</v>
      </c>
      <c r="I349" s="21"/>
      <c r="J349" s="21" t="s">
        <v>247</v>
      </c>
    </row>
    <row r="350" spans="1:10" x14ac:dyDescent="0.2">
      <c r="A350" s="23" t="s">
        <v>14</v>
      </c>
      <c r="B350" s="24">
        <v>44158</v>
      </c>
      <c r="C350" s="23" t="s">
        <v>21</v>
      </c>
      <c r="D350" s="23" t="s">
        <v>826</v>
      </c>
      <c r="E350" s="23" t="s">
        <v>827</v>
      </c>
      <c r="F350" s="10">
        <v>11</v>
      </c>
      <c r="G350" s="10">
        <v>2020</v>
      </c>
      <c r="H350" s="23" t="s">
        <v>823</v>
      </c>
      <c r="I350" s="23"/>
      <c r="J350" s="23" t="s">
        <v>247</v>
      </c>
    </row>
    <row r="351" spans="1:10" x14ac:dyDescent="0.2">
      <c r="A351" s="21" t="s">
        <v>14</v>
      </c>
      <c r="B351" s="22">
        <v>44155</v>
      </c>
      <c r="C351" s="21" t="s">
        <v>21</v>
      </c>
      <c r="D351" s="21" t="s">
        <v>828</v>
      </c>
      <c r="E351" s="21" t="s">
        <v>829</v>
      </c>
      <c r="F351" s="10">
        <v>11</v>
      </c>
      <c r="G351" s="10">
        <v>2020</v>
      </c>
      <c r="H351" s="21" t="s">
        <v>823</v>
      </c>
      <c r="I351" s="21"/>
      <c r="J351" s="21" t="s">
        <v>247</v>
      </c>
    </row>
    <row r="352" spans="1:10" x14ac:dyDescent="0.2">
      <c r="A352" s="23" t="s">
        <v>14</v>
      </c>
      <c r="B352" s="24">
        <v>44126</v>
      </c>
      <c r="C352" s="23" t="s">
        <v>21</v>
      </c>
      <c r="D352" s="23" t="s">
        <v>830</v>
      </c>
      <c r="E352" s="23" t="s">
        <v>831</v>
      </c>
      <c r="F352" s="10">
        <v>10</v>
      </c>
      <c r="G352" s="10">
        <v>2020</v>
      </c>
      <c r="H352" s="23" t="s">
        <v>832</v>
      </c>
      <c r="I352" s="23"/>
      <c r="J352" s="23" t="s">
        <v>247</v>
      </c>
    </row>
    <row r="353" spans="1:10" x14ac:dyDescent="0.2">
      <c r="A353" s="21" t="s">
        <v>14</v>
      </c>
      <c r="B353" s="22">
        <v>44118</v>
      </c>
      <c r="C353" s="21" t="s">
        <v>15</v>
      </c>
      <c r="D353" s="21" t="s">
        <v>833</v>
      </c>
      <c r="E353" s="21" t="s">
        <v>834</v>
      </c>
      <c r="F353" s="10">
        <v>10</v>
      </c>
      <c r="G353" s="10">
        <v>2020</v>
      </c>
      <c r="H353" s="21" t="s">
        <v>832</v>
      </c>
      <c r="I353" s="21"/>
      <c r="J353" s="21" t="s">
        <v>247</v>
      </c>
    </row>
    <row r="354" spans="1:10" x14ac:dyDescent="0.2">
      <c r="A354" s="23" t="s">
        <v>14</v>
      </c>
      <c r="B354" s="24">
        <v>44078</v>
      </c>
      <c r="C354" s="23" t="s">
        <v>21</v>
      </c>
      <c r="D354" s="23" t="s">
        <v>835</v>
      </c>
      <c r="E354" s="23" t="s">
        <v>836</v>
      </c>
      <c r="F354" s="10">
        <v>9</v>
      </c>
      <c r="G354" s="10">
        <v>2020</v>
      </c>
      <c r="H354" s="23" t="s">
        <v>837</v>
      </c>
      <c r="I354" s="23"/>
      <c r="J354" s="23" t="s">
        <v>247</v>
      </c>
    </row>
    <row r="355" spans="1:10" x14ac:dyDescent="0.2">
      <c r="A355" s="21" t="s">
        <v>14</v>
      </c>
      <c r="B355" s="22">
        <v>44077</v>
      </c>
      <c r="C355" s="21" t="s">
        <v>21</v>
      </c>
      <c r="D355" s="21" t="s">
        <v>838</v>
      </c>
      <c r="E355" s="21" t="s">
        <v>839</v>
      </c>
      <c r="F355" s="10">
        <v>9</v>
      </c>
      <c r="G355" s="10">
        <v>2020</v>
      </c>
      <c r="H355" s="21" t="s">
        <v>837</v>
      </c>
      <c r="I355" s="21"/>
      <c r="J355" s="21" t="s">
        <v>247</v>
      </c>
    </row>
    <row r="356" spans="1:10" x14ac:dyDescent="0.2">
      <c r="A356" s="23" t="s">
        <v>14</v>
      </c>
      <c r="B356" s="24">
        <v>44071</v>
      </c>
      <c r="C356" s="23" t="s">
        <v>15</v>
      </c>
      <c r="D356" s="23" t="s">
        <v>840</v>
      </c>
      <c r="E356" s="23" t="s">
        <v>841</v>
      </c>
      <c r="F356" s="10">
        <v>8</v>
      </c>
      <c r="G356" s="10">
        <v>2020</v>
      </c>
      <c r="H356" s="23" t="s">
        <v>842</v>
      </c>
      <c r="I356" s="23"/>
      <c r="J356" s="23" t="s">
        <v>247</v>
      </c>
    </row>
    <row r="357" spans="1:10" x14ac:dyDescent="0.2">
      <c r="A357" s="21" t="s">
        <v>14</v>
      </c>
      <c r="B357" s="22">
        <v>44069</v>
      </c>
      <c r="C357" s="21" t="s">
        <v>21</v>
      </c>
      <c r="D357" s="21" t="s">
        <v>843</v>
      </c>
      <c r="E357" s="21" t="s">
        <v>844</v>
      </c>
      <c r="F357" s="10">
        <v>8</v>
      </c>
      <c r="G357" s="10">
        <v>2020</v>
      </c>
      <c r="H357" s="21" t="s">
        <v>842</v>
      </c>
      <c r="I357" s="21"/>
      <c r="J357" s="21" t="s">
        <v>247</v>
      </c>
    </row>
    <row r="358" spans="1:10" x14ac:dyDescent="0.2">
      <c r="A358" s="23" t="s">
        <v>14</v>
      </c>
      <c r="B358" s="24">
        <v>44057</v>
      </c>
      <c r="C358" s="23" t="s">
        <v>15</v>
      </c>
      <c r="D358" s="23" t="s">
        <v>845</v>
      </c>
      <c r="E358" s="23" t="s">
        <v>846</v>
      </c>
      <c r="F358" s="10">
        <v>8</v>
      </c>
      <c r="G358" s="10">
        <v>2020</v>
      </c>
      <c r="H358" s="23" t="s">
        <v>842</v>
      </c>
      <c r="I358" s="23"/>
      <c r="J358" s="23" t="s">
        <v>247</v>
      </c>
    </row>
    <row r="359" spans="1:10" x14ac:dyDescent="0.2">
      <c r="A359" s="21" t="s">
        <v>14</v>
      </c>
      <c r="B359" s="22">
        <v>44055</v>
      </c>
      <c r="C359" s="21" t="s">
        <v>21</v>
      </c>
      <c r="D359" s="21" t="s">
        <v>847</v>
      </c>
      <c r="E359" s="21" t="s">
        <v>848</v>
      </c>
      <c r="F359" s="10">
        <v>8</v>
      </c>
      <c r="G359" s="10">
        <v>2020</v>
      </c>
      <c r="H359" s="21" t="s">
        <v>842</v>
      </c>
      <c r="I359" s="21"/>
      <c r="J359" s="21" t="s">
        <v>247</v>
      </c>
    </row>
    <row r="360" spans="1:10" x14ac:dyDescent="0.2">
      <c r="A360" s="23" t="s">
        <v>14</v>
      </c>
      <c r="B360" s="24">
        <v>44050</v>
      </c>
      <c r="C360" s="23" t="s">
        <v>21</v>
      </c>
      <c r="D360" s="23" t="s">
        <v>849</v>
      </c>
      <c r="E360" s="23" t="s">
        <v>850</v>
      </c>
      <c r="F360" s="10">
        <v>8</v>
      </c>
      <c r="G360" s="10">
        <v>2020</v>
      </c>
      <c r="H360" s="23" t="s">
        <v>842</v>
      </c>
      <c r="I360" s="23"/>
      <c r="J360" s="23" t="s">
        <v>247</v>
      </c>
    </row>
    <row r="361" spans="1:10" x14ac:dyDescent="0.2">
      <c r="A361" s="21" t="s">
        <v>14</v>
      </c>
      <c r="B361" s="22">
        <v>44050</v>
      </c>
      <c r="C361" s="21" t="s">
        <v>21</v>
      </c>
      <c r="D361" s="21" t="s">
        <v>851</v>
      </c>
      <c r="E361" s="21" t="s">
        <v>852</v>
      </c>
      <c r="F361" s="10">
        <v>8</v>
      </c>
      <c r="G361" s="10">
        <v>2020</v>
      </c>
      <c r="H361" s="21" t="s">
        <v>842</v>
      </c>
      <c r="I361" s="21"/>
      <c r="J361" s="21" t="s">
        <v>247</v>
      </c>
    </row>
    <row r="362" spans="1:10" x14ac:dyDescent="0.2">
      <c r="A362" s="23" t="s">
        <v>14</v>
      </c>
      <c r="B362" s="24">
        <v>44049</v>
      </c>
      <c r="C362" s="23" t="s">
        <v>21</v>
      </c>
      <c r="D362" s="23" t="s">
        <v>853</v>
      </c>
      <c r="E362" s="23" t="s">
        <v>854</v>
      </c>
      <c r="F362" s="10">
        <v>8</v>
      </c>
      <c r="G362" s="10">
        <v>2020</v>
      </c>
      <c r="H362" s="23" t="s">
        <v>842</v>
      </c>
      <c r="I362" s="23"/>
      <c r="J362" s="23" t="s">
        <v>247</v>
      </c>
    </row>
    <row r="363" spans="1:10" x14ac:dyDescent="0.2">
      <c r="A363" s="21" t="s">
        <v>14</v>
      </c>
      <c r="B363" s="22">
        <v>44048</v>
      </c>
      <c r="C363" s="21" t="s">
        <v>15</v>
      </c>
      <c r="D363" s="21" t="s">
        <v>855</v>
      </c>
      <c r="E363" s="21" t="s">
        <v>856</v>
      </c>
      <c r="F363" s="10">
        <v>8</v>
      </c>
      <c r="G363" s="10">
        <v>2020</v>
      </c>
      <c r="H363" s="21" t="s">
        <v>842</v>
      </c>
      <c r="I363" s="21"/>
      <c r="J363" s="21" t="s">
        <v>247</v>
      </c>
    </row>
    <row r="364" spans="1:10" x14ac:dyDescent="0.2">
      <c r="A364" s="23" t="s">
        <v>14</v>
      </c>
      <c r="B364" s="24">
        <v>44043</v>
      </c>
      <c r="C364" s="23" t="s">
        <v>15</v>
      </c>
      <c r="D364" s="23" t="s">
        <v>857</v>
      </c>
      <c r="E364" s="23" t="s">
        <v>858</v>
      </c>
      <c r="F364" s="10">
        <v>7</v>
      </c>
      <c r="G364" s="10">
        <v>2020</v>
      </c>
      <c r="H364" s="23" t="s">
        <v>859</v>
      </c>
      <c r="I364" s="23"/>
      <c r="J364" s="23" t="s">
        <v>247</v>
      </c>
    </row>
    <row r="365" spans="1:10" x14ac:dyDescent="0.2">
      <c r="A365" s="21" t="s">
        <v>14</v>
      </c>
      <c r="B365" s="22">
        <v>44036</v>
      </c>
      <c r="C365" s="21" t="s">
        <v>21</v>
      </c>
      <c r="D365" s="21" t="s">
        <v>860</v>
      </c>
      <c r="E365" s="21" t="s">
        <v>861</v>
      </c>
      <c r="F365" s="10">
        <v>7</v>
      </c>
      <c r="G365" s="10">
        <v>2020</v>
      </c>
      <c r="H365" s="21" t="s">
        <v>859</v>
      </c>
      <c r="I365" s="21"/>
      <c r="J365" s="21" t="s">
        <v>247</v>
      </c>
    </row>
    <row r="366" spans="1:10" x14ac:dyDescent="0.2">
      <c r="A366" s="23" t="s">
        <v>14</v>
      </c>
      <c r="B366" s="24">
        <v>44019</v>
      </c>
      <c r="C366" s="23" t="s">
        <v>21</v>
      </c>
      <c r="D366" s="23" t="s">
        <v>862</v>
      </c>
      <c r="E366" s="23" t="s">
        <v>863</v>
      </c>
      <c r="F366" s="10">
        <v>7</v>
      </c>
      <c r="G366" s="10">
        <v>2020</v>
      </c>
      <c r="H366" s="23" t="s">
        <v>859</v>
      </c>
      <c r="I366" s="23"/>
      <c r="J366" s="23" t="s">
        <v>247</v>
      </c>
    </row>
    <row r="367" spans="1:10" x14ac:dyDescent="0.2">
      <c r="A367" s="21" t="s">
        <v>14</v>
      </c>
      <c r="B367" s="22">
        <v>44014</v>
      </c>
      <c r="C367" s="21" t="s">
        <v>21</v>
      </c>
      <c r="D367" s="21" t="s">
        <v>864</v>
      </c>
      <c r="E367" s="21" t="s">
        <v>865</v>
      </c>
      <c r="F367" s="10">
        <v>7</v>
      </c>
      <c r="G367" s="10">
        <v>2020</v>
      </c>
      <c r="H367" s="21" t="s">
        <v>859</v>
      </c>
      <c r="I367" s="21"/>
      <c r="J367" s="21" t="s">
        <v>247</v>
      </c>
    </row>
    <row r="368" spans="1:10" x14ac:dyDescent="0.2">
      <c r="A368" s="23" t="s">
        <v>14</v>
      </c>
      <c r="B368" s="24">
        <v>44014</v>
      </c>
      <c r="C368" s="23" t="s">
        <v>21</v>
      </c>
      <c r="D368" s="23" t="s">
        <v>866</v>
      </c>
      <c r="E368" s="23" t="s">
        <v>867</v>
      </c>
      <c r="F368" s="10">
        <v>7</v>
      </c>
      <c r="G368" s="10">
        <v>2020</v>
      </c>
      <c r="H368" s="23" t="s">
        <v>859</v>
      </c>
      <c r="I368" s="23"/>
      <c r="J368" s="23" t="s">
        <v>247</v>
      </c>
    </row>
    <row r="369" spans="1:10" x14ac:dyDescent="0.2">
      <c r="A369" s="21" t="s">
        <v>14</v>
      </c>
      <c r="B369" s="22">
        <v>44012</v>
      </c>
      <c r="C369" s="21" t="s">
        <v>21</v>
      </c>
      <c r="D369" s="21" t="s">
        <v>868</v>
      </c>
      <c r="E369" s="21" t="s">
        <v>869</v>
      </c>
      <c r="F369" s="10">
        <v>6</v>
      </c>
      <c r="G369" s="10">
        <v>2020</v>
      </c>
      <c r="H369" s="21" t="s">
        <v>870</v>
      </c>
      <c r="I369" s="21"/>
      <c r="J369" s="21" t="s">
        <v>247</v>
      </c>
    </row>
    <row r="370" spans="1:10" x14ac:dyDescent="0.2">
      <c r="A370" s="23" t="s">
        <v>14</v>
      </c>
      <c r="B370" s="24">
        <v>43997</v>
      </c>
      <c r="C370" s="23" t="s">
        <v>21</v>
      </c>
      <c r="D370" s="23" t="s">
        <v>871</v>
      </c>
      <c r="E370" s="23" t="s">
        <v>872</v>
      </c>
      <c r="F370" s="10">
        <v>6</v>
      </c>
      <c r="G370" s="10">
        <v>2020</v>
      </c>
      <c r="H370" s="23" t="s">
        <v>870</v>
      </c>
      <c r="I370" s="23"/>
      <c r="J370" s="23" t="s">
        <v>247</v>
      </c>
    </row>
    <row r="371" spans="1:10" x14ac:dyDescent="0.2">
      <c r="A371" s="21" t="s">
        <v>14</v>
      </c>
      <c r="B371" s="22">
        <v>43993</v>
      </c>
      <c r="C371" s="21" t="s">
        <v>15</v>
      </c>
      <c r="D371" s="21" t="s">
        <v>873</v>
      </c>
      <c r="E371" s="21" t="s">
        <v>874</v>
      </c>
      <c r="F371" s="10">
        <v>6</v>
      </c>
      <c r="G371" s="10">
        <v>2020</v>
      </c>
      <c r="H371" s="21" t="s">
        <v>870</v>
      </c>
      <c r="I371" s="21"/>
      <c r="J371" s="21" t="s">
        <v>247</v>
      </c>
    </row>
    <row r="372" spans="1:10" x14ac:dyDescent="0.2">
      <c r="A372" s="23" t="s">
        <v>14</v>
      </c>
      <c r="B372" s="24">
        <v>43979</v>
      </c>
      <c r="C372" s="23" t="s">
        <v>21</v>
      </c>
      <c r="D372" s="23" t="s">
        <v>875</v>
      </c>
      <c r="E372" s="23" t="s">
        <v>876</v>
      </c>
      <c r="F372" s="10">
        <v>5</v>
      </c>
      <c r="G372" s="10">
        <v>2020</v>
      </c>
      <c r="H372" s="23" t="s">
        <v>877</v>
      </c>
      <c r="I372" s="23"/>
      <c r="J372" s="23" t="s">
        <v>247</v>
      </c>
    </row>
    <row r="373" spans="1:10" x14ac:dyDescent="0.2">
      <c r="A373" s="21" t="s">
        <v>14</v>
      </c>
      <c r="B373" s="22">
        <v>43977</v>
      </c>
      <c r="C373" s="21" t="s">
        <v>21</v>
      </c>
      <c r="D373" s="21" t="s">
        <v>728</v>
      </c>
      <c r="E373" s="21" t="s">
        <v>878</v>
      </c>
      <c r="F373" s="10">
        <v>5</v>
      </c>
      <c r="G373" s="10">
        <v>2020</v>
      </c>
      <c r="H373" s="21" t="s">
        <v>877</v>
      </c>
      <c r="I373" s="21"/>
      <c r="J373" s="21" t="s">
        <v>247</v>
      </c>
    </row>
    <row r="374" spans="1:10" x14ac:dyDescent="0.2">
      <c r="A374" s="23" t="s">
        <v>14</v>
      </c>
      <c r="B374" s="24">
        <v>43971</v>
      </c>
      <c r="C374" s="23" t="s">
        <v>21</v>
      </c>
      <c r="D374" s="23" t="s">
        <v>879</v>
      </c>
      <c r="E374" s="23" t="s">
        <v>880</v>
      </c>
      <c r="F374" s="10">
        <v>5</v>
      </c>
      <c r="G374" s="10">
        <v>2020</v>
      </c>
      <c r="H374" s="23" t="s">
        <v>877</v>
      </c>
      <c r="I374" s="23"/>
      <c r="J374" s="23" t="s">
        <v>247</v>
      </c>
    </row>
    <row r="375" spans="1:10" x14ac:dyDescent="0.2">
      <c r="A375" s="21" t="s">
        <v>14</v>
      </c>
      <c r="B375" s="22">
        <v>43966</v>
      </c>
      <c r="C375" s="21" t="s">
        <v>21</v>
      </c>
      <c r="D375" s="21" t="s">
        <v>881</v>
      </c>
      <c r="E375" s="21" t="s">
        <v>882</v>
      </c>
      <c r="F375" s="10">
        <v>5</v>
      </c>
      <c r="G375" s="10">
        <v>2020</v>
      </c>
      <c r="H375" s="21" t="s">
        <v>877</v>
      </c>
      <c r="I375" s="21"/>
      <c r="J375" s="21" t="s">
        <v>247</v>
      </c>
    </row>
    <row r="376" spans="1:10" x14ac:dyDescent="0.2">
      <c r="A376" s="23" t="s">
        <v>14</v>
      </c>
      <c r="B376" s="24">
        <v>43959</v>
      </c>
      <c r="C376" s="23" t="s">
        <v>21</v>
      </c>
      <c r="D376" s="23" t="s">
        <v>883</v>
      </c>
      <c r="E376" s="23" t="s">
        <v>884</v>
      </c>
      <c r="F376" s="10">
        <v>5</v>
      </c>
      <c r="G376" s="10">
        <v>2020</v>
      </c>
      <c r="H376" s="23" t="s">
        <v>877</v>
      </c>
      <c r="I376" s="23"/>
      <c r="J376" s="23" t="s">
        <v>247</v>
      </c>
    </row>
    <row r="377" spans="1:10" x14ac:dyDescent="0.2">
      <c r="A377" s="21" t="s">
        <v>14</v>
      </c>
      <c r="B377" s="22">
        <v>43957</v>
      </c>
      <c r="C377" s="21" t="s">
        <v>21</v>
      </c>
      <c r="D377" s="21" t="s">
        <v>885</v>
      </c>
      <c r="E377" s="21" t="s">
        <v>886</v>
      </c>
      <c r="F377" s="10">
        <v>5</v>
      </c>
      <c r="G377" s="10">
        <v>2020</v>
      </c>
      <c r="H377" s="21" t="s">
        <v>877</v>
      </c>
      <c r="I377" s="21"/>
      <c r="J377" s="21" t="s">
        <v>247</v>
      </c>
    </row>
    <row r="378" spans="1:10" x14ac:dyDescent="0.2">
      <c r="A378" s="23" t="s">
        <v>14</v>
      </c>
      <c r="B378" s="24">
        <v>43945</v>
      </c>
      <c r="C378" s="23" t="s">
        <v>21</v>
      </c>
      <c r="D378" s="23" t="s">
        <v>887</v>
      </c>
      <c r="E378" s="23" t="s">
        <v>888</v>
      </c>
      <c r="F378" s="10">
        <v>4</v>
      </c>
      <c r="G378" s="10">
        <v>2020</v>
      </c>
      <c r="H378" s="23" t="s">
        <v>889</v>
      </c>
      <c r="I378" s="23"/>
      <c r="J378" s="23" t="s">
        <v>247</v>
      </c>
    </row>
    <row r="379" spans="1:10" x14ac:dyDescent="0.2">
      <c r="A379" s="21" t="s">
        <v>14</v>
      </c>
      <c r="B379" s="22">
        <v>43943</v>
      </c>
      <c r="C379" s="21" t="s">
        <v>15</v>
      </c>
      <c r="D379" s="21" t="s">
        <v>890</v>
      </c>
      <c r="E379" s="21" t="s">
        <v>891</v>
      </c>
      <c r="F379" s="10">
        <v>4</v>
      </c>
      <c r="G379" s="10">
        <v>2020</v>
      </c>
      <c r="H379" s="21" t="s">
        <v>889</v>
      </c>
      <c r="I379" s="21"/>
      <c r="J379" s="21" t="s">
        <v>247</v>
      </c>
    </row>
    <row r="380" spans="1:10" x14ac:dyDescent="0.2">
      <c r="A380" s="23" t="s">
        <v>14</v>
      </c>
      <c r="B380" s="24">
        <v>43938</v>
      </c>
      <c r="C380" s="23" t="s">
        <v>21</v>
      </c>
      <c r="D380" s="23" t="s">
        <v>892</v>
      </c>
      <c r="E380" s="23" t="s">
        <v>893</v>
      </c>
      <c r="F380" s="10">
        <v>4</v>
      </c>
      <c r="G380" s="10">
        <v>2020</v>
      </c>
      <c r="H380" s="23" t="s">
        <v>889</v>
      </c>
      <c r="I380" s="23"/>
      <c r="J380" s="23" t="s">
        <v>247</v>
      </c>
    </row>
    <row r="381" spans="1:10" x14ac:dyDescent="0.2">
      <c r="A381" s="21" t="s">
        <v>14</v>
      </c>
      <c r="B381" s="22">
        <v>43938</v>
      </c>
      <c r="C381" s="21" t="s">
        <v>21</v>
      </c>
      <c r="D381" s="21" t="s">
        <v>894</v>
      </c>
      <c r="E381" s="21" t="s">
        <v>895</v>
      </c>
      <c r="F381" s="10">
        <v>4</v>
      </c>
      <c r="G381" s="10">
        <v>2020</v>
      </c>
      <c r="H381" s="21" t="s">
        <v>889</v>
      </c>
      <c r="I381" s="21"/>
      <c r="J381" s="21" t="s">
        <v>247</v>
      </c>
    </row>
    <row r="382" spans="1:10" x14ac:dyDescent="0.2">
      <c r="A382" s="23" t="s">
        <v>14</v>
      </c>
      <c r="B382" s="24">
        <v>43931</v>
      </c>
      <c r="C382" s="23" t="s">
        <v>21</v>
      </c>
      <c r="D382" s="23" t="s">
        <v>896</v>
      </c>
      <c r="E382" s="23" t="s">
        <v>897</v>
      </c>
      <c r="F382" s="10">
        <v>4</v>
      </c>
      <c r="G382" s="10">
        <v>2020</v>
      </c>
      <c r="H382" s="23" t="s">
        <v>889</v>
      </c>
      <c r="I382" s="23"/>
      <c r="J382" s="23" t="s">
        <v>247</v>
      </c>
    </row>
    <row r="383" spans="1:10" x14ac:dyDescent="0.2">
      <c r="A383" s="21" t="s">
        <v>14</v>
      </c>
      <c r="B383" s="22">
        <v>43915</v>
      </c>
      <c r="C383" s="21" t="s">
        <v>21</v>
      </c>
      <c r="D383" s="21" t="s">
        <v>898</v>
      </c>
      <c r="E383" s="21" t="s">
        <v>899</v>
      </c>
      <c r="F383" s="10">
        <v>3</v>
      </c>
      <c r="G383" s="10">
        <v>2020</v>
      </c>
      <c r="H383" s="21" t="s">
        <v>900</v>
      </c>
      <c r="I383" s="21"/>
      <c r="J383" s="21" t="s">
        <v>247</v>
      </c>
    </row>
    <row r="384" spans="1:10" x14ac:dyDescent="0.2">
      <c r="A384" s="23" t="s">
        <v>14</v>
      </c>
      <c r="B384" s="24">
        <v>43896</v>
      </c>
      <c r="C384" s="23" t="s">
        <v>21</v>
      </c>
      <c r="D384" s="23" t="s">
        <v>901</v>
      </c>
      <c r="E384" s="23" t="s">
        <v>902</v>
      </c>
      <c r="F384" s="10">
        <v>3</v>
      </c>
      <c r="G384" s="10">
        <v>2020</v>
      </c>
      <c r="H384" s="23" t="s">
        <v>900</v>
      </c>
      <c r="I384" s="23"/>
      <c r="J384" s="23" t="s">
        <v>247</v>
      </c>
    </row>
    <row r="385" spans="1:10" x14ac:dyDescent="0.2">
      <c r="A385" s="21" t="s">
        <v>14</v>
      </c>
      <c r="B385" s="22">
        <v>43892</v>
      </c>
      <c r="C385" s="21" t="s">
        <v>15</v>
      </c>
      <c r="D385" s="21" t="s">
        <v>903</v>
      </c>
      <c r="E385" s="21" t="s">
        <v>904</v>
      </c>
      <c r="F385" s="10">
        <v>3</v>
      </c>
      <c r="G385" s="10">
        <v>2020</v>
      </c>
      <c r="H385" s="21" t="s">
        <v>900</v>
      </c>
      <c r="I385" s="21"/>
      <c r="J385" s="21" t="s">
        <v>247</v>
      </c>
    </row>
    <row r="386" spans="1:10" x14ac:dyDescent="0.2">
      <c r="A386" s="23" t="s">
        <v>14</v>
      </c>
      <c r="B386" s="24">
        <v>43888</v>
      </c>
      <c r="C386" s="23" t="s">
        <v>21</v>
      </c>
      <c r="D386" s="23" t="s">
        <v>905</v>
      </c>
      <c r="E386" s="23" t="s">
        <v>906</v>
      </c>
      <c r="F386" s="10">
        <v>2</v>
      </c>
      <c r="G386" s="10">
        <v>2020</v>
      </c>
      <c r="H386" s="23" t="s">
        <v>907</v>
      </c>
      <c r="I386" s="23"/>
      <c r="J386" s="23" t="s">
        <v>247</v>
      </c>
    </row>
    <row r="387" spans="1:10" x14ac:dyDescent="0.2">
      <c r="A387" s="21" t="s">
        <v>14</v>
      </c>
      <c r="B387" s="22">
        <v>43887</v>
      </c>
      <c r="C387" s="21" t="s">
        <v>21</v>
      </c>
      <c r="D387" s="21" t="s">
        <v>908</v>
      </c>
      <c r="E387" s="21" t="s">
        <v>909</v>
      </c>
      <c r="F387" s="10">
        <v>2</v>
      </c>
      <c r="G387" s="10">
        <v>2020</v>
      </c>
      <c r="H387" s="21" t="s">
        <v>907</v>
      </c>
      <c r="I387" s="21"/>
      <c r="J387" s="21" t="s">
        <v>247</v>
      </c>
    </row>
    <row r="388" spans="1:10" x14ac:dyDescent="0.2">
      <c r="A388" s="23" t="s">
        <v>14</v>
      </c>
      <c r="B388" s="24">
        <v>43882</v>
      </c>
      <c r="C388" s="23" t="s">
        <v>21</v>
      </c>
      <c r="D388" s="23" t="s">
        <v>910</v>
      </c>
      <c r="E388" s="23" t="s">
        <v>911</v>
      </c>
      <c r="F388" s="10">
        <v>2</v>
      </c>
      <c r="G388" s="10">
        <v>2020</v>
      </c>
      <c r="H388" s="23" t="s">
        <v>907</v>
      </c>
      <c r="I388" s="23"/>
      <c r="J388" s="23" t="s">
        <v>247</v>
      </c>
    </row>
    <row r="389" spans="1:10" x14ac:dyDescent="0.2">
      <c r="A389" s="21" t="s">
        <v>14</v>
      </c>
      <c r="B389" s="22">
        <v>43882</v>
      </c>
      <c r="C389" s="21" t="s">
        <v>15</v>
      </c>
      <c r="D389" s="21" t="s">
        <v>912</v>
      </c>
      <c r="E389" s="21" t="s">
        <v>913</v>
      </c>
      <c r="F389" s="10">
        <v>2</v>
      </c>
      <c r="G389" s="10">
        <v>2020</v>
      </c>
      <c r="H389" s="21" t="s">
        <v>907</v>
      </c>
      <c r="I389" s="21"/>
      <c r="J389" s="21" t="s">
        <v>247</v>
      </c>
    </row>
    <row r="390" spans="1:10" x14ac:dyDescent="0.2">
      <c r="A390" s="23" t="s">
        <v>14</v>
      </c>
      <c r="B390" s="24">
        <v>43873</v>
      </c>
      <c r="C390" s="23" t="s">
        <v>21</v>
      </c>
      <c r="D390" s="23" t="s">
        <v>914</v>
      </c>
      <c r="E390" s="23" t="s">
        <v>915</v>
      </c>
      <c r="F390" s="10">
        <v>2</v>
      </c>
      <c r="G390" s="10">
        <v>2020</v>
      </c>
      <c r="H390" s="23" t="s">
        <v>907</v>
      </c>
      <c r="I390" s="23"/>
      <c r="J390" s="23" t="s">
        <v>247</v>
      </c>
    </row>
    <row r="391" spans="1:10" x14ac:dyDescent="0.2">
      <c r="A391" s="21" t="s">
        <v>14</v>
      </c>
      <c r="B391" s="22">
        <v>43853</v>
      </c>
      <c r="C391" s="21" t="s">
        <v>21</v>
      </c>
      <c r="D391" s="21" t="s">
        <v>916</v>
      </c>
      <c r="E391" s="21" t="s">
        <v>917</v>
      </c>
      <c r="F391" s="10">
        <v>1</v>
      </c>
      <c r="G391" s="10">
        <v>2020</v>
      </c>
      <c r="H391" s="21" t="s">
        <v>918</v>
      </c>
      <c r="I391" s="21"/>
      <c r="J391" s="21" t="s">
        <v>247</v>
      </c>
    </row>
    <row r="392" spans="1:10" x14ac:dyDescent="0.2">
      <c r="A392" s="23" t="s">
        <v>14</v>
      </c>
      <c r="B392" s="24">
        <v>43851</v>
      </c>
      <c r="C392" s="23" t="s">
        <v>15</v>
      </c>
      <c r="D392" s="23" t="s">
        <v>919</v>
      </c>
      <c r="E392" s="23" t="s">
        <v>920</v>
      </c>
      <c r="F392" s="10">
        <v>1</v>
      </c>
      <c r="G392" s="10">
        <v>2020</v>
      </c>
      <c r="H392" s="23" t="s">
        <v>918</v>
      </c>
      <c r="I392" s="23"/>
      <c r="J392" s="23" t="s">
        <v>247</v>
      </c>
    </row>
    <row r="393" spans="1:10" x14ac:dyDescent="0.2">
      <c r="A393" s="21" t="s">
        <v>14</v>
      </c>
      <c r="B393" s="22">
        <v>43839</v>
      </c>
      <c r="C393" s="21" t="s">
        <v>21</v>
      </c>
      <c r="D393" s="21" t="s">
        <v>921</v>
      </c>
      <c r="E393" s="21" t="s">
        <v>922</v>
      </c>
      <c r="F393" s="10">
        <v>1</v>
      </c>
      <c r="G393" s="10">
        <v>2020</v>
      </c>
      <c r="H393" s="21" t="s">
        <v>918</v>
      </c>
      <c r="I393" s="21"/>
      <c r="J393" s="21" t="s">
        <v>247</v>
      </c>
    </row>
    <row r="394" spans="1:10" x14ac:dyDescent="0.2">
      <c r="A394" s="23" t="s">
        <v>14</v>
      </c>
      <c r="B394" s="24">
        <v>43822</v>
      </c>
      <c r="C394" s="23" t="s">
        <v>21</v>
      </c>
      <c r="D394" s="23" t="s">
        <v>923</v>
      </c>
      <c r="E394" s="23" t="s">
        <v>924</v>
      </c>
      <c r="F394" s="10">
        <v>12</v>
      </c>
      <c r="G394" s="10">
        <v>2019</v>
      </c>
      <c r="H394" s="23" t="s">
        <v>925</v>
      </c>
      <c r="I394" s="23"/>
      <c r="J394" s="23" t="s">
        <v>247</v>
      </c>
    </row>
    <row r="395" spans="1:10" x14ac:dyDescent="0.2">
      <c r="A395" s="21" t="s">
        <v>14</v>
      </c>
      <c r="B395" s="22">
        <v>43819</v>
      </c>
      <c r="C395" s="21" t="s">
        <v>21</v>
      </c>
      <c r="D395" s="21" t="s">
        <v>926</v>
      </c>
      <c r="E395" s="21" t="s">
        <v>927</v>
      </c>
      <c r="F395" s="10">
        <v>12</v>
      </c>
      <c r="G395" s="10">
        <v>2019</v>
      </c>
      <c r="H395" s="21" t="s">
        <v>925</v>
      </c>
      <c r="I395" s="21"/>
      <c r="J395" s="21" t="s">
        <v>247</v>
      </c>
    </row>
    <row r="396" spans="1:10" x14ac:dyDescent="0.2">
      <c r="A396" s="23" t="s">
        <v>14</v>
      </c>
      <c r="B396" s="24">
        <v>43819</v>
      </c>
      <c r="C396" s="23" t="s">
        <v>15</v>
      </c>
      <c r="D396" s="23" t="s">
        <v>928</v>
      </c>
      <c r="E396" s="23" t="s">
        <v>929</v>
      </c>
      <c r="F396" s="10">
        <v>12</v>
      </c>
      <c r="G396" s="10">
        <v>2019</v>
      </c>
      <c r="H396" s="23" t="s">
        <v>925</v>
      </c>
      <c r="I396" s="23"/>
      <c r="J396" s="23" t="s">
        <v>247</v>
      </c>
    </row>
    <row r="397" spans="1:10" x14ac:dyDescent="0.2">
      <c r="A397" s="21" t="s">
        <v>14</v>
      </c>
      <c r="B397" s="22">
        <v>43819</v>
      </c>
      <c r="C397" s="21" t="s">
        <v>21</v>
      </c>
      <c r="D397" s="21" t="s">
        <v>930</v>
      </c>
      <c r="E397" s="21" t="s">
        <v>931</v>
      </c>
      <c r="F397" s="10">
        <v>12</v>
      </c>
      <c r="G397" s="10">
        <v>2019</v>
      </c>
      <c r="H397" s="21" t="s">
        <v>925</v>
      </c>
      <c r="I397" s="21"/>
      <c r="J397" s="21" t="s">
        <v>247</v>
      </c>
    </row>
    <row r="398" spans="1:10" x14ac:dyDescent="0.2">
      <c r="A398" s="23" t="s">
        <v>14</v>
      </c>
      <c r="B398" s="24">
        <v>43819</v>
      </c>
      <c r="C398" s="23" t="s">
        <v>21</v>
      </c>
      <c r="D398" s="23" t="s">
        <v>932</v>
      </c>
      <c r="E398" s="23" t="s">
        <v>933</v>
      </c>
      <c r="F398" s="10">
        <v>12</v>
      </c>
      <c r="G398" s="10">
        <v>2019</v>
      </c>
      <c r="H398" s="23" t="s">
        <v>925</v>
      </c>
      <c r="I398" s="23"/>
      <c r="J398" s="23" t="s">
        <v>247</v>
      </c>
    </row>
    <row r="399" spans="1:10" x14ac:dyDescent="0.2">
      <c r="A399" s="21" t="s">
        <v>14</v>
      </c>
      <c r="B399" s="22">
        <v>43817</v>
      </c>
      <c r="C399" s="21" t="s">
        <v>15</v>
      </c>
      <c r="D399" s="21" t="s">
        <v>934</v>
      </c>
      <c r="E399" s="21" t="s">
        <v>935</v>
      </c>
      <c r="F399" s="10">
        <v>12</v>
      </c>
      <c r="G399" s="10">
        <v>2019</v>
      </c>
      <c r="H399" s="21" t="s">
        <v>925</v>
      </c>
      <c r="I399" s="21"/>
      <c r="J399" s="21" t="s">
        <v>247</v>
      </c>
    </row>
    <row r="400" spans="1:10" x14ac:dyDescent="0.2">
      <c r="A400" s="23" t="s">
        <v>14</v>
      </c>
      <c r="B400" s="24">
        <v>43811</v>
      </c>
      <c r="C400" s="23" t="s">
        <v>21</v>
      </c>
      <c r="D400" s="23" t="s">
        <v>936</v>
      </c>
      <c r="E400" s="23" t="s">
        <v>937</v>
      </c>
      <c r="F400" s="10">
        <v>12</v>
      </c>
      <c r="G400" s="10">
        <v>2019</v>
      </c>
      <c r="H400" s="23" t="s">
        <v>925</v>
      </c>
      <c r="I400" s="23"/>
      <c r="J400" s="23" t="s">
        <v>247</v>
      </c>
    </row>
    <row r="401" spans="1:10" x14ac:dyDescent="0.2">
      <c r="A401" s="21" t="s">
        <v>14</v>
      </c>
      <c r="B401" s="22">
        <v>43794</v>
      </c>
      <c r="C401" s="21" t="s">
        <v>21</v>
      </c>
      <c r="D401" s="21" t="s">
        <v>938</v>
      </c>
      <c r="E401" s="21" t="s">
        <v>939</v>
      </c>
      <c r="F401" s="10">
        <v>11</v>
      </c>
      <c r="G401" s="10">
        <v>2019</v>
      </c>
      <c r="H401" s="21" t="s">
        <v>940</v>
      </c>
      <c r="I401" s="21"/>
      <c r="J401" s="21" t="s">
        <v>247</v>
      </c>
    </row>
    <row r="402" spans="1:10" x14ac:dyDescent="0.2">
      <c r="A402" s="23" t="s">
        <v>14</v>
      </c>
      <c r="B402" s="24">
        <v>43790</v>
      </c>
      <c r="C402" s="23" t="s">
        <v>21</v>
      </c>
      <c r="D402" s="23" t="s">
        <v>941</v>
      </c>
      <c r="E402" s="23" t="s">
        <v>942</v>
      </c>
      <c r="F402" s="10">
        <v>11</v>
      </c>
      <c r="G402" s="10">
        <v>2019</v>
      </c>
      <c r="H402" s="23" t="s">
        <v>940</v>
      </c>
      <c r="I402" s="23"/>
      <c r="J402" s="23" t="s">
        <v>247</v>
      </c>
    </row>
    <row r="403" spans="1:10" x14ac:dyDescent="0.2">
      <c r="A403" s="21" t="s">
        <v>14</v>
      </c>
      <c r="B403" s="22">
        <v>43789</v>
      </c>
      <c r="C403" s="21" t="s">
        <v>21</v>
      </c>
      <c r="D403" s="21" t="s">
        <v>943</v>
      </c>
      <c r="E403" s="21" t="s">
        <v>944</v>
      </c>
      <c r="F403" s="10">
        <v>11</v>
      </c>
      <c r="G403" s="10">
        <v>2019</v>
      </c>
      <c r="H403" s="21" t="s">
        <v>940</v>
      </c>
      <c r="I403" s="21"/>
      <c r="J403" s="21" t="s">
        <v>247</v>
      </c>
    </row>
    <row r="404" spans="1:10" x14ac:dyDescent="0.2">
      <c r="A404" s="23" t="s">
        <v>14</v>
      </c>
      <c r="B404" s="24">
        <v>43784</v>
      </c>
      <c r="C404" s="23" t="s">
        <v>15</v>
      </c>
      <c r="D404" s="23" t="s">
        <v>945</v>
      </c>
      <c r="E404" s="23" t="s">
        <v>946</v>
      </c>
      <c r="F404" s="10">
        <v>11</v>
      </c>
      <c r="G404" s="10">
        <v>2019</v>
      </c>
      <c r="H404" s="23" t="s">
        <v>940</v>
      </c>
      <c r="I404" s="23"/>
      <c r="J404" s="23" t="s">
        <v>247</v>
      </c>
    </row>
    <row r="405" spans="1:10" x14ac:dyDescent="0.2">
      <c r="A405" s="21" t="s">
        <v>14</v>
      </c>
      <c r="B405" s="22">
        <v>43783</v>
      </c>
      <c r="C405" s="21" t="s">
        <v>21</v>
      </c>
      <c r="D405" s="21" t="s">
        <v>947</v>
      </c>
      <c r="E405" s="21" t="s">
        <v>948</v>
      </c>
      <c r="F405" s="10">
        <v>11</v>
      </c>
      <c r="G405" s="10">
        <v>2019</v>
      </c>
      <c r="H405" s="21" t="s">
        <v>940</v>
      </c>
      <c r="I405" s="21"/>
      <c r="J405" s="21" t="s">
        <v>247</v>
      </c>
    </row>
    <row r="406" spans="1:10" x14ac:dyDescent="0.2">
      <c r="A406" s="23" t="s">
        <v>14</v>
      </c>
      <c r="B406" s="24">
        <v>43783</v>
      </c>
      <c r="C406" s="23" t="s">
        <v>21</v>
      </c>
      <c r="D406" s="23" t="s">
        <v>949</v>
      </c>
      <c r="E406" s="23" t="s">
        <v>950</v>
      </c>
      <c r="F406" s="10">
        <v>11</v>
      </c>
      <c r="G406" s="10">
        <v>2019</v>
      </c>
      <c r="H406" s="23" t="s">
        <v>940</v>
      </c>
      <c r="I406" s="23"/>
      <c r="J406" s="23" t="s">
        <v>247</v>
      </c>
    </row>
    <row r="407" spans="1:10" x14ac:dyDescent="0.2">
      <c r="A407" s="21" t="s">
        <v>14</v>
      </c>
      <c r="B407" s="22">
        <v>43777</v>
      </c>
      <c r="C407" s="21" t="s">
        <v>15</v>
      </c>
      <c r="D407" s="21" t="s">
        <v>951</v>
      </c>
      <c r="E407" s="21" t="s">
        <v>952</v>
      </c>
      <c r="F407" s="10">
        <v>11</v>
      </c>
      <c r="G407" s="10">
        <v>2019</v>
      </c>
      <c r="H407" s="21" t="s">
        <v>940</v>
      </c>
      <c r="I407" s="21"/>
      <c r="J407" s="21" t="s">
        <v>247</v>
      </c>
    </row>
    <row r="408" spans="1:10" x14ac:dyDescent="0.2">
      <c r="A408" s="23" t="s">
        <v>14</v>
      </c>
      <c r="B408" s="24">
        <v>43776</v>
      </c>
      <c r="C408" s="23" t="s">
        <v>21</v>
      </c>
      <c r="D408" s="23" t="s">
        <v>953</v>
      </c>
      <c r="E408" s="23" t="s">
        <v>954</v>
      </c>
      <c r="F408" s="10">
        <v>11</v>
      </c>
      <c r="G408" s="10">
        <v>2019</v>
      </c>
      <c r="H408" s="23" t="s">
        <v>940</v>
      </c>
      <c r="I408" s="23"/>
      <c r="J408" s="23" t="s">
        <v>247</v>
      </c>
    </row>
    <row r="409" spans="1:10" x14ac:dyDescent="0.2">
      <c r="A409" s="21" t="s">
        <v>14</v>
      </c>
      <c r="B409" s="22">
        <v>43759</v>
      </c>
      <c r="C409" s="21" t="s">
        <v>21</v>
      </c>
      <c r="D409" s="21" t="s">
        <v>955</v>
      </c>
      <c r="E409" s="21" t="s">
        <v>956</v>
      </c>
      <c r="F409" s="10">
        <v>10</v>
      </c>
      <c r="G409" s="10">
        <v>2019</v>
      </c>
      <c r="H409" s="21" t="s">
        <v>957</v>
      </c>
      <c r="I409" s="21"/>
      <c r="J409" s="21" t="s">
        <v>247</v>
      </c>
    </row>
    <row r="410" spans="1:10" x14ac:dyDescent="0.2">
      <c r="A410" s="23" t="s">
        <v>14</v>
      </c>
      <c r="B410" s="24">
        <v>43749</v>
      </c>
      <c r="C410" s="23" t="s">
        <v>21</v>
      </c>
      <c r="D410" s="23" t="s">
        <v>958</v>
      </c>
      <c r="E410" s="23" t="s">
        <v>959</v>
      </c>
      <c r="F410" s="10">
        <v>10</v>
      </c>
      <c r="G410" s="10">
        <v>2019</v>
      </c>
      <c r="H410" s="23" t="s">
        <v>957</v>
      </c>
      <c r="I410" s="23"/>
      <c r="J410" s="23" t="s">
        <v>247</v>
      </c>
    </row>
    <row r="411" spans="1:10" x14ac:dyDescent="0.2">
      <c r="A411" s="21" t="s">
        <v>14</v>
      </c>
      <c r="B411" s="22">
        <v>43748</v>
      </c>
      <c r="C411" s="21" t="s">
        <v>21</v>
      </c>
      <c r="D411" s="21" t="s">
        <v>728</v>
      </c>
      <c r="E411" s="21" t="s">
        <v>960</v>
      </c>
      <c r="F411" s="10">
        <v>10</v>
      </c>
      <c r="G411" s="10">
        <v>2019</v>
      </c>
      <c r="H411" s="21" t="s">
        <v>957</v>
      </c>
      <c r="I411" s="21"/>
      <c r="J411" s="21" t="s">
        <v>247</v>
      </c>
    </row>
    <row r="412" spans="1:10" x14ac:dyDescent="0.2">
      <c r="A412" s="23" t="s">
        <v>14</v>
      </c>
      <c r="B412" s="24">
        <v>43746</v>
      </c>
      <c r="C412" s="23" t="s">
        <v>21</v>
      </c>
      <c r="D412" s="23" t="s">
        <v>961</v>
      </c>
      <c r="E412" s="23" t="s">
        <v>962</v>
      </c>
      <c r="F412" s="10">
        <v>10</v>
      </c>
      <c r="G412" s="10">
        <v>2019</v>
      </c>
      <c r="H412" s="23" t="s">
        <v>957</v>
      </c>
      <c r="I412" s="23"/>
      <c r="J412" s="23" t="s">
        <v>247</v>
      </c>
    </row>
    <row r="413" spans="1:10" x14ac:dyDescent="0.2">
      <c r="A413" s="21" t="s">
        <v>14</v>
      </c>
      <c r="B413" s="22">
        <v>43745</v>
      </c>
      <c r="C413" s="21" t="s">
        <v>15</v>
      </c>
      <c r="D413" s="21" t="s">
        <v>963</v>
      </c>
      <c r="E413" s="21" t="s">
        <v>964</v>
      </c>
      <c r="F413" s="10">
        <v>10</v>
      </c>
      <c r="G413" s="10">
        <v>2019</v>
      </c>
      <c r="H413" s="21" t="s">
        <v>957</v>
      </c>
      <c r="I413" s="21"/>
      <c r="J413" s="21" t="s">
        <v>247</v>
      </c>
    </row>
    <row r="414" spans="1:10" x14ac:dyDescent="0.2">
      <c r="A414" s="23" t="s">
        <v>14</v>
      </c>
      <c r="B414" s="24">
        <v>43742</v>
      </c>
      <c r="C414" s="23" t="s">
        <v>21</v>
      </c>
      <c r="D414" s="23" t="s">
        <v>965</v>
      </c>
      <c r="E414" s="23" t="s">
        <v>966</v>
      </c>
      <c r="F414" s="10">
        <v>10</v>
      </c>
      <c r="G414" s="10">
        <v>2019</v>
      </c>
      <c r="H414" s="23" t="s">
        <v>957</v>
      </c>
      <c r="I414" s="23"/>
      <c r="J414" s="23" t="s">
        <v>247</v>
      </c>
    </row>
    <row r="415" spans="1:10" x14ac:dyDescent="0.2">
      <c r="A415" s="21" t="s">
        <v>14</v>
      </c>
      <c r="B415" s="22">
        <v>43720</v>
      </c>
      <c r="C415" s="21" t="s">
        <v>21</v>
      </c>
      <c r="D415" s="21" t="s">
        <v>967</v>
      </c>
      <c r="E415" s="21" t="s">
        <v>968</v>
      </c>
      <c r="F415" s="10">
        <v>9</v>
      </c>
      <c r="G415" s="10">
        <v>2019</v>
      </c>
      <c r="H415" s="21" t="s">
        <v>969</v>
      </c>
      <c r="I415" s="21"/>
      <c r="J415" s="21" t="s">
        <v>247</v>
      </c>
    </row>
    <row r="416" spans="1:10" x14ac:dyDescent="0.2">
      <c r="A416" s="23" t="s">
        <v>14</v>
      </c>
      <c r="B416" s="24">
        <v>43704</v>
      </c>
      <c r="C416" s="23" t="s">
        <v>21</v>
      </c>
      <c r="D416" s="23" t="s">
        <v>970</v>
      </c>
      <c r="E416" s="23" t="s">
        <v>971</v>
      </c>
      <c r="F416" s="10">
        <v>8</v>
      </c>
      <c r="G416" s="10">
        <v>2019</v>
      </c>
      <c r="H416" s="23" t="s">
        <v>972</v>
      </c>
      <c r="I416" s="23"/>
      <c r="J416" s="23" t="s">
        <v>247</v>
      </c>
    </row>
    <row r="417" spans="1:10" x14ac:dyDescent="0.2">
      <c r="A417" s="21" t="s">
        <v>14</v>
      </c>
      <c r="B417" s="22">
        <v>43698</v>
      </c>
      <c r="C417" s="21" t="s">
        <v>21</v>
      </c>
      <c r="D417" s="21" t="s">
        <v>728</v>
      </c>
      <c r="E417" s="21" t="s">
        <v>973</v>
      </c>
      <c r="F417" s="10">
        <v>8</v>
      </c>
      <c r="G417" s="10">
        <v>2019</v>
      </c>
      <c r="H417" s="21" t="s">
        <v>972</v>
      </c>
      <c r="I417" s="21"/>
      <c r="J417" s="21" t="s">
        <v>247</v>
      </c>
    </row>
    <row r="418" spans="1:10" x14ac:dyDescent="0.2">
      <c r="A418" s="23" t="s">
        <v>14</v>
      </c>
      <c r="B418" s="24">
        <v>43696</v>
      </c>
      <c r="C418" s="23" t="s">
        <v>21</v>
      </c>
      <c r="D418" s="23" t="s">
        <v>974</v>
      </c>
      <c r="E418" s="23" t="s">
        <v>975</v>
      </c>
      <c r="F418" s="10">
        <v>8</v>
      </c>
      <c r="G418" s="10">
        <v>2019</v>
      </c>
      <c r="H418" s="23" t="s">
        <v>972</v>
      </c>
      <c r="I418" s="23"/>
      <c r="J418" s="23" t="s">
        <v>247</v>
      </c>
    </row>
    <row r="419" spans="1:10" x14ac:dyDescent="0.2">
      <c r="A419" s="21" t="s">
        <v>14</v>
      </c>
      <c r="B419" s="22">
        <v>43693</v>
      </c>
      <c r="C419" s="21" t="s">
        <v>21</v>
      </c>
      <c r="D419" s="21" t="s">
        <v>976</v>
      </c>
      <c r="E419" s="21" t="s">
        <v>977</v>
      </c>
      <c r="F419" s="10">
        <v>8</v>
      </c>
      <c r="G419" s="10">
        <v>2019</v>
      </c>
      <c r="H419" s="21" t="s">
        <v>972</v>
      </c>
      <c r="I419" s="21"/>
      <c r="J419" s="21" t="s">
        <v>247</v>
      </c>
    </row>
    <row r="420" spans="1:10" x14ac:dyDescent="0.2">
      <c r="A420" s="23" t="s">
        <v>14</v>
      </c>
      <c r="B420" s="24">
        <v>43693</v>
      </c>
      <c r="C420" s="23" t="s">
        <v>21</v>
      </c>
      <c r="D420" s="23" t="s">
        <v>978</v>
      </c>
      <c r="E420" s="23" t="s">
        <v>979</v>
      </c>
      <c r="F420" s="10">
        <v>8</v>
      </c>
      <c r="G420" s="10">
        <v>2019</v>
      </c>
      <c r="H420" s="23" t="s">
        <v>972</v>
      </c>
      <c r="I420" s="23"/>
      <c r="J420" s="23" t="s">
        <v>247</v>
      </c>
    </row>
    <row r="421" spans="1:10" x14ac:dyDescent="0.2">
      <c r="A421" s="21" t="s">
        <v>14</v>
      </c>
      <c r="B421" s="22">
        <v>43692</v>
      </c>
      <c r="C421" s="21" t="s">
        <v>21</v>
      </c>
      <c r="D421" s="21" t="s">
        <v>980</v>
      </c>
      <c r="E421" s="21" t="s">
        <v>981</v>
      </c>
      <c r="F421" s="10">
        <v>8</v>
      </c>
      <c r="G421" s="10">
        <v>2019</v>
      </c>
      <c r="H421" s="21" t="s">
        <v>972</v>
      </c>
      <c r="I421" s="21"/>
      <c r="J421" s="21" t="s">
        <v>247</v>
      </c>
    </row>
    <row r="422" spans="1:10" x14ac:dyDescent="0.2">
      <c r="A422" s="23" t="s">
        <v>14</v>
      </c>
      <c r="B422" s="24">
        <v>43691</v>
      </c>
      <c r="C422" s="23" t="s">
        <v>21</v>
      </c>
      <c r="D422" s="23" t="s">
        <v>728</v>
      </c>
      <c r="E422" s="23" t="s">
        <v>982</v>
      </c>
      <c r="F422" s="10">
        <v>8</v>
      </c>
      <c r="G422" s="10">
        <v>2019</v>
      </c>
      <c r="H422" s="23" t="s">
        <v>972</v>
      </c>
      <c r="I422" s="23"/>
      <c r="J422" s="23" t="s">
        <v>247</v>
      </c>
    </row>
    <row r="423" spans="1:10" x14ac:dyDescent="0.2">
      <c r="A423" s="21" t="s">
        <v>14</v>
      </c>
      <c r="B423" s="22">
        <v>43691</v>
      </c>
      <c r="C423" s="21" t="s">
        <v>21</v>
      </c>
      <c r="D423" s="21" t="s">
        <v>983</v>
      </c>
      <c r="E423" s="21" t="s">
        <v>984</v>
      </c>
      <c r="F423" s="10">
        <v>8</v>
      </c>
      <c r="G423" s="10">
        <v>2019</v>
      </c>
      <c r="H423" s="21" t="s">
        <v>972</v>
      </c>
      <c r="I423" s="21"/>
      <c r="J423" s="21" t="s">
        <v>247</v>
      </c>
    </row>
    <row r="424" spans="1:10" x14ac:dyDescent="0.2">
      <c r="A424" s="23" t="s">
        <v>14</v>
      </c>
      <c r="B424" s="24">
        <v>43679</v>
      </c>
      <c r="C424" s="23" t="s">
        <v>21</v>
      </c>
      <c r="D424" s="23" t="s">
        <v>985</v>
      </c>
      <c r="E424" s="23" t="s">
        <v>986</v>
      </c>
      <c r="F424" s="10">
        <v>8</v>
      </c>
      <c r="G424" s="10">
        <v>2019</v>
      </c>
      <c r="H424" s="23" t="s">
        <v>972</v>
      </c>
      <c r="I424" s="23"/>
      <c r="J424" s="23" t="s">
        <v>247</v>
      </c>
    </row>
    <row r="425" spans="1:10" x14ac:dyDescent="0.2">
      <c r="A425" s="21" t="s">
        <v>14</v>
      </c>
      <c r="B425" s="22">
        <v>43676</v>
      </c>
      <c r="C425" s="21" t="s">
        <v>21</v>
      </c>
      <c r="D425" s="21" t="s">
        <v>987</v>
      </c>
      <c r="E425" s="21" t="s">
        <v>988</v>
      </c>
      <c r="F425" s="10">
        <v>7</v>
      </c>
      <c r="G425" s="10">
        <v>2019</v>
      </c>
      <c r="H425" s="21" t="s">
        <v>989</v>
      </c>
      <c r="I425" s="21"/>
      <c r="J425" s="21" t="s">
        <v>247</v>
      </c>
    </row>
    <row r="426" spans="1:10" x14ac:dyDescent="0.2">
      <c r="A426" s="23" t="s">
        <v>14</v>
      </c>
      <c r="B426" s="24">
        <v>43671</v>
      </c>
      <c r="C426" s="23" t="s">
        <v>21</v>
      </c>
      <c r="D426" s="23" t="s">
        <v>990</v>
      </c>
      <c r="E426" s="23" t="s">
        <v>991</v>
      </c>
      <c r="F426" s="10">
        <v>7</v>
      </c>
      <c r="G426" s="10">
        <v>2019</v>
      </c>
      <c r="H426" s="23" t="s">
        <v>989</v>
      </c>
      <c r="I426" s="23"/>
      <c r="J426" s="23" t="s">
        <v>247</v>
      </c>
    </row>
    <row r="427" spans="1:10" x14ac:dyDescent="0.2">
      <c r="A427" s="21" t="s">
        <v>14</v>
      </c>
      <c r="B427" s="22">
        <v>43662</v>
      </c>
      <c r="C427" s="21" t="s">
        <v>21</v>
      </c>
      <c r="D427" s="21" t="s">
        <v>992</v>
      </c>
      <c r="E427" s="21" t="s">
        <v>993</v>
      </c>
      <c r="F427" s="10">
        <v>7</v>
      </c>
      <c r="G427" s="10">
        <v>2019</v>
      </c>
      <c r="H427" s="21" t="s">
        <v>989</v>
      </c>
      <c r="I427" s="21"/>
      <c r="J427" s="21" t="s">
        <v>247</v>
      </c>
    </row>
    <row r="428" spans="1:10" x14ac:dyDescent="0.2">
      <c r="A428" s="23" t="s">
        <v>14</v>
      </c>
      <c r="B428" s="24">
        <v>43649</v>
      </c>
      <c r="C428" s="23" t="s">
        <v>21</v>
      </c>
      <c r="D428" s="23" t="s">
        <v>994</v>
      </c>
      <c r="E428" s="23" t="s">
        <v>995</v>
      </c>
      <c r="F428" s="10">
        <v>7</v>
      </c>
      <c r="G428" s="10">
        <v>2019</v>
      </c>
      <c r="H428" s="23" t="s">
        <v>989</v>
      </c>
      <c r="I428" s="23"/>
      <c r="J428" s="23" t="s">
        <v>247</v>
      </c>
    </row>
    <row r="429" spans="1:10" x14ac:dyDescent="0.2">
      <c r="A429" s="21" t="s">
        <v>14</v>
      </c>
      <c r="B429" s="22">
        <v>43637</v>
      </c>
      <c r="C429" s="21" t="s">
        <v>21</v>
      </c>
      <c r="D429" s="21" t="s">
        <v>996</v>
      </c>
      <c r="E429" s="21" t="s">
        <v>997</v>
      </c>
      <c r="F429" s="10">
        <v>6</v>
      </c>
      <c r="G429" s="10">
        <v>2019</v>
      </c>
      <c r="H429" s="21" t="s">
        <v>998</v>
      </c>
      <c r="I429" s="21"/>
      <c r="J429" s="21" t="s">
        <v>247</v>
      </c>
    </row>
    <row r="430" spans="1:10" x14ac:dyDescent="0.2">
      <c r="A430" s="23" t="s">
        <v>14</v>
      </c>
      <c r="B430" s="24">
        <v>43626</v>
      </c>
      <c r="C430" s="23" t="s">
        <v>15</v>
      </c>
      <c r="D430" s="23" t="s">
        <v>999</v>
      </c>
      <c r="E430" s="23" t="s">
        <v>1000</v>
      </c>
      <c r="F430" s="10">
        <v>6</v>
      </c>
      <c r="G430" s="10">
        <v>2019</v>
      </c>
      <c r="H430" s="23" t="s">
        <v>998</v>
      </c>
      <c r="I430" s="23"/>
      <c r="J430" s="23" t="s">
        <v>247</v>
      </c>
    </row>
    <row r="431" spans="1:10" x14ac:dyDescent="0.2">
      <c r="A431" s="21" t="s">
        <v>14</v>
      </c>
      <c r="B431" s="22">
        <v>43609</v>
      </c>
      <c r="C431" s="21" t="s">
        <v>21</v>
      </c>
      <c r="D431" s="21" t="s">
        <v>1001</v>
      </c>
      <c r="E431" s="21" t="s">
        <v>1002</v>
      </c>
      <c r="F431" s="10">
        <v>5</v>
      </c>
      <c r="G431" s="10">
        <v>2019</v>
      </c>
      <c r="H431" s="21" t="s">
        <v>1003</v>
      </c>
      <c r="I431" s="21"/>
      <c r="J431" s="21" t="s">
        <v>247</v>
      </c>
    </row>
    <row r="432" spans="1:10" x14ac:dyDescent="0.2">
      <c r="A432" s="23" t="s">
        <v>14</v>
      </c>
      <c r="B432" s="24">
        <v>43588</v>
      </c>
      <c r="C432" s="23" t="s">
        <v>21</v>
      </c>
      <c r="D432" s="23" t="s">
        <v>1004</v>
      </c>
      <c r="E432" s="23" t="s">
        <v>1005</v>
      </c>
      <c r="F432" s="10">
        <v>5</v>
      </c>
      <c r="G432" s="10">
        <v>2019</v>
      </c>
      <c r="H432" s="23" t="s">
        <v>1003</v>
      </c>
      <c r="I432" s="23"/>
      <c r="J432" s="23" t="s">
        <v>247</v>
      </c>
    </row>
    <row r="433" spans="1:10" x14ac:dyDescent="0.2">
      <c r="A433" s="21" t="s">
        <v>14</v>
      </c>
      <c r="B433" s="22">
        <v>43578</v>
      </c>
      <c r="C433" s="21" t="s">
        <v>15</v>
      </c>
      <c r="D433" s="21" t="s">
        <v>1006</v>
      </c>
      <c r="E433" s="21" t="s">
        <v>1007</v>
      </c>
      <c r="F433" s="10">
        <v>4</v>
      </c>
      <c r="G433" s="10">
        <v>2019</v>
      </c>
      <c r="H433" s="21" t="s">
        <v>1008</v>
      </c>
      <c r="I433" s="21"/>
      <c r="J433" s="21" t="s">
        <v>247</v>
      </c>
    </row>
    <row r="434" spans="1:10" x14ac:dyDescent="0.2">
      <c r="A434" s="23" t="s">
        <v>14</v>
      </c>
      <c r="B434" s="24">
        <v>43567</v>
      </c>
      <c r="C434" s="23" t="s">
        <v>21</v>
      </c>
      <c r="D434" s="23" t="s">
        <v>1009</v>
      </c>
      <c r="E434" s="23" t="s">
        <v>1010</v>
      </c>
      <c r="F434" s="10">
        <v>4</v>
      </c>
      <c r="G434" s="10">
        <v>2019</v>
      </c>
      <c r="H434" s="23" t="s">
        <v>1008</v>
      </c>
      <c r="I434" s="23"/>
      <c r="J434" s="23" t="s">
        <v>247</v>
      </c>
    </row>
    <row r="435" spans="1:10" x14ac:dyDescent="0.2">
      <c r="A435" s="21" t="s">
        <v>14</v>
      </c>
      <c r="B435" s="22">
        <v>43564</v>
      </c>
      <c r="C435" s="21" t="s">
        <v>15</v>
      </c>
      <c r="D435" s="21" t="s">
        <v>1011</v>
      </c>
      <c r="E435" s="21" t="s">
        <v>1012</v>
      </c>
      <c r="F435" s="10">
        <v>4</v>
      </c>
      <c r="G435" s="10">
        <v>2019</v>
      </c>
      <c r="H435" s="21" t="s">
        <v>1008</v>
      </c>
      <c r="I435" s="21"/>
      <c r="J435" s="21" t="s">
        <v>247</v>
      </c>
    </row>
    <row r="436" spans="1:10" x14ac:dyDescent="0.2">
      <c r="A436" s="23" t="s">
        <v>14</v>
      </c>
      <c r="B436" s="24">
        <v>43550</v>
      </c>
      <c r="C436" s="23" t="s">
        <v>21</v>
      </c>
      <c r="D436" s="23" t="s">
        <v>1013</v>
      </c>
      <c r="E436" s="23" t="s">
        <v>1014</v>
      </c>
      <c r="F436" s="10">
        <v>3</v>
      </c>
      <c r="G436" s="10">
        <v>2019</v>
      </c>
      <c r="H436" s="23" t="s">
        <v>1015</v>
      </c>
      <c r="I436" s="23"/>
      <c r="J436" s="23" t="s">
        <v>247</v>
      </c>
    </row>
    <row r="437" spans="1:10" x14ac:dyDescent="0.2">
      <c r="A437" s="21" t="s">
        <v>14</v>
      </c>
      <c r="B437" s="22">
        <v>43544</v>
      </c>
      <c r="C437" s="21" t="s">
        <v>21</v>
      </c>
      <c r="D437" s="21" t="s">
        <v>1016</v>
      </c>
      <c r="E437" s="21" t="s">
        <v>1017</v>
      </c>
      <c r="F437" s="10">
        <v>3</v>
      </c>
      <c r="G437" s="10">
        <v>2019</v>
      </c>
      <c r="H437" s="21" t="s">
        <v>1015</v>
      </c>
      <c r="I437" s="21"/>
      <c r="J437" s="21" t="s">
        <v>247</v>
      </c>
    </row>
    <row r="438" spans="1:10" x14ac:dyDescent="0.2">
      <c r="A438" s="23" t="s">
        <v>14</v>
      </c>
      <c r="B438" s="24">
        <v>43543</v>
      </c>
      <c r="C438" s="23" t="s">
        <v>21</v>
      </c>
      <c r="D438" s="23" t="s">
        <v>1018</v>
      </c>
      <c r="E438" s="23" t="s">
        <v>1019</v>
      </c>
      <c r="F438" s="10">
        <v>3</v>
      </c>
      <c r="G438" s="10">
        <v>2019</v>
      </c>
      <c r="H438" s="23" t="s">
        <v>1015</v>
      </c>
      <c r="I438" s="23"/>
      <c r="J438" s="23" t="s">
        <v>247</v>
      </c>
    </row>
    <row r="439" spans="1:10" x14ac:dyDescent="0.2">
      <c r="A439" s="21" t="s">
        <v>14</v>
      </c>
      <c r="B439" s="22">
        <v>43509</v>
      </c>
      <c r="C439" s="21" t="s">
        <v>21</v>
      </c>
      <c r="D439" s="21" t="s">
        <v>1020</v>
      </c>
      <c r="E439" s="21" t="s">
        <v>1021</v>
      </c>
      <c r="F439" s="10">
        <v>2</v>
      </c>
      <c r="G439" s="10">
        <v>2019</v>
      </c>
      <c r="H439" s="21" t="s">
        <v>1022</v>
      </c>
      <c r="I439" s="21"/>
      <c r="J439" s="21" t="s">
        <v>247</v>
      </c>
    </row>
    <row r="440" spans="1:10" x14ac:dyDescent="0.2">
      <c r="A440" s="23" t="s">
        <v>14</v>
      </c>
      <c r="B440" s="24">
        <v>43502</v>
      </c>
      <c r="C440" s="23" t="s">
        <v>15</v>
      </c>
      <c r="D440" s="23" t="s">
        <v>1023</v>
      </c>
      <c r="E440" s="23" t="s">
        <v>1024</v>
      </c>
      <c r="F440" s="10">
        <v>2</v>
      </c>
      <c r="G440" s="10">
        <v>2019</v>
      </c>
      <c r="H440" s="23" t="s">
        <v>1022</v>
      </c>
      <c r="I440" s="23"/>
      <c r="J440" s="23" t="s">
        <v>247</v>
      </c>
    </row>
    <row r="441" spans="1:10" x14ac:dyDescent="0.2">
      <c r="A441" s="21" t="s">
        <v>14</v>
      </c>
      <c r="B441" s="22">
        <v>43497</v>
      </c>
      <c r="C441" s="21" t="s">
        <v>15</v>
      </c>
      <c r="D441" s="21" t="s">
        <v>1025</v>
      </c>
      <c r="E441" s="21" t="s">
        <v>1026</v>
      </c>
      <c r="F441" s="10">
        <v>2</v>
      </c>
      <c r="G441" s="10">
        <v>2019</v>
      </c>
      <c r="H441" s="21" t="s">
        <v>1022</v>
      </c>
      <c r="I441" s="21"/>
      <c r="J441" s="21" t="s">
        <v>247</v>
      </c>
    </row>
    <row r="442" spans="1:10" x14ac:dyDescent="0.2">
      <c r="A442" s="23" t="s">
        <v>14</v>
      </c>
      <c r="B442" s="24">
        <v>43455</v>
      </c>
      <c r="C442" s="23" t="s">
        <v>15</v>
      </c>
      <c r="D442" s="23" t="s">
        <v>1027</v>
      </c>
      <c r="E442" s="23" t="s">
        <v>1028</v>
      </c>
      <c r="F442" s="10">
        <v>12</v>
      </c>
      <c r="G442" s="10">
        <v>2018</v>
      </c>
      <c r="H442" s="23" t="s">
        <v>1029</v>
      </c>
      <c r="I442" s="23"/>
      <c r="J442" s="23" t="s">
        <v>247</v>
      </c>
    </row>
    <row r="443" spans="1:10" x14ac:dyDescent="0.2">
      <c r="A443" s="21" t="s">
        <v>14</v>
      </c>
      <c r="B443" s="22">
        <v>43455</v>
      </c>
      <c r="C443" s="21" t="s">
        <v>15</v>
      </c>
      <c r="D443" s="21" t="s">
        <v>1030</v>
      </c>
      <c r="E443" s="21" t="s">
        <v>1031</v>
      </c>
      <c r="F443" s="10">
        <v>12</v>
      </c>
      <c r="G443" s="10">
        <v>2018</v>
      </c>
      <c r="H443" s="21" t="s">
        <v>1029</v>
      </c>
      <c r="I443" s="21"/>
      <c r="J443" s="21" t="s">
        <v>247</v>
      </c>
    </row>
    <row r="444" spans="1:10" x14ac:dyDescent="0.2">
      <c r="A444" s="23" t="s">
        <v>14</v>
      </c>
      <c r="B444" s="24">
        <v>43454</v>
      </c>
      <c r="C444" s="23" t="s">
        <v>15</v>
      </c>
      <c r="D444" s="23" t="s">
        <v>1032</v>
      </c>
      <c r="E444" s="23" t="s">
        <v>1033</v>
      </c>
      <c r="F444" s="10">
        <v>12</v>
      </c>
      <c r="G444" s="10">
        <v>2018</v>
      </c>
      <c r="H444" s="23" t="s">
        <v>1029</v>
      </c>
      <c r="I444" s="23"/>
      <c r="J444" s="23" t="s">
        <v>247</v>
      </c>
    </row>
    <row r="445" spans="1:10" x14ac:dyDescent="0.2">
      <c r="A445" s="21" t="s">
        <v>14</v>
      </c>
      <c r="B445" s="22">
        <v>43448</v>
      </c>
      <c r="C445" s="21" t="s">
        <v>21</v>
      </c>
      <c r="D445" s="21" t="s">
        <v>1034</v>
      </c>
      <c r="E445" s="21" t="s">
        <v>1035</v>
      </c>
      <c r="F445" s="10">
        <v>12</v>
      </c>
      <c r="G445" s="10">
        <v>2018</v>
      </c>
      <c r="H445" s="21" t="s">
        <v>1029</v>
      </c>
      <c r="I445" s="21"/>
      <c r="J445" s="21" t="s">
        <v>247</v>
      </c>
    </row>
    <row r="446" spans="1:10" x14ac:dyDescent="0.2">
      <c r="A446" s="23" t="s">
        <v>14</v>
      </c>
      <c r="B446" s="24">
        <v>43432</v>
      </c>
      <c r="C446" s="23" t="s">
        <v>21</v>
      </c>
      <c r="D446" s="23" t="s">
        <v>1036</v>
      </c>
      <c r="E446" s="23" t="s">
        <v>1037</v>
      </c>
      <c r="F446" s="10">
        <v>11</v>
      </c>
      <c r="G446" s="10">
        <v>2018</v>
      </c>
      <c r="H446" s="23" t="s">
        <v>1038</v>
      </c>
      <c r="I446" s="23"/>
      <c r="J446" s="23" t="s">
        <v>247</v>
      </c>
    </row>
    <row r="447" spans="1:10" x14ac:dyDescent="0.2">
      <c r="A447" s="21" t="s">
        <v>14</v>
      </c>
      <c r="B447" s="22">
        <v>43432</v>
      </c>
      <c r="C447" s="21" t="s">
        <v>21</v>
      </c>
      <c r="D447" s="21" t="s">
        <v>1039</v>
      </c>
      <c r="E447" s="21" t="s">
        <v>1040</v>
      </c>
      <c r="F447" s="10">
        <v>11</v>
      </c>
      <c r="G447" s="10">
        <v>2018</v>
      </c>
      <c r="H447" s="21" t="s">
        <v>1038</v>
      </c>
      <c r="I447" s="21"/>
      <c r="J447" s="21" t="s">
        <v>247</v>
      </c>
    </row>
    <row r="448" spans="1:10" x14ac:dyDescent="0.2">
      <c r="A448" s="23" t="s">
        <v>14</v>
      </c>
      <c r="B448" s="24">
        <v>43430</v>
      </c>
      <c r="C448" s="23" t="s">
        <v>21</v>
      </c>
      <c r="D448" s="23" t="s">
        <v>1041</v>
      </c>
      <c r="E448" s="23" t="s">
        <v>1042</v>
      </c>
      <c r="F448" s="10">
        <v>11</v>
      </c>
      <c r="G448" s="10">
        <v>2018</v>
      </c>
      <c r="H448" s="23" t="s">
        <v>1038</v>
      </c>
      <c r="I448" s="23"/>
      <c r="J448" s="23" t="s">
        <v>247</v>
      </c>
    </row>
    <row r="449" spans="1:10" x14ac:dyDescent="0.2">
      <c r="A449" s="21" t="s">
        <v>14</v>
      </c>
      <c r="B449" s="22">
        <v>43425</v>
      </c>
      <c r="C449" s="21" t="s">
        <v>21</v>
      </c>
      <c r="D449" s="21" t="s">
        <v>1043</v>
      </c>
      <c r="E449" s="21" t="s">
        <v>1044</v>
      </c>
      <c r="F449" s="10">
        <v>11</v>
      </c>
      <c r="G449" s="10">
        <v>2018</v>
      </c>
      <c r="H449" s="21" t="s">
        <v>1038</v>
      </c>
      <c r="I449" s="21"/>
      <c r="J449" s="21" t="s">
        <v>247</v>
      </c>
    </row>
    <row r="450" spans="1:10" x14ac:dyDescent="0.2">
      <c r="A450" s="23" t="s">
        <v>14</v>
      </c>
      <c r="B450" s="24">
        <v>43424</v>
      </c>
      <c r="C450" s="23" t="s">
        <v>15</v>
      </c>
      <c r="D450" s="23" t="s">
        <v>1045</v>
      </c>
      <c r="E450" s="23" t="s">
        <v>1046</v>
      </c>
      <c r="F450" s="10">
        <v>11</v>
      </c>
      <c r="G450" s="10">
        <v>2018</v>
      </c>
      <c r="H450" s="23" t="s">
        <v>1038</v>
      </c>
      <c r="I450" s="23"/>
      <c r="J450" s="23" t="s">
        <v>247</v>
      </c>
    </row>
    <row r="451" spans="1:10" x14ac:dyDescent="0.2">
      <c r="A451" s="21" t="s">
        <v>14</v>
      </c>
      <c r="B451" s="22">
        <v>43420</v>
      </c>
      <c r="C451" s="21" t="s">
        <v>21</v>
      </c>
      <c r="D451" s="21" t="s">
        <v>1047</v>
      </c>
      <c r="E451" s="21" t="s">
        <v>1048</v>
      </c>
      <c r="F451" s="10">
        <v>11</v>
      </c>
      <c r="G451" s="10">
        <v>2018</v>
      </c>
      <c r="H451" s="21" t="s">
        <v>1038</v>
      </c>
      <c r="I451" s="21"/>
      <c r="J451" s="21" t="s">
        <v>247</v>
      </c>
    </row>
    <row r="452" spans="1:10" x14ac:dyDescent="0.2">
      <c r="A452" s="23" t="s">
        <v>14</v>
      </c>
      <c r="B452" s="24">
        <v>43413</v>
      </c>
      <c r="C452" s="23" t="s">
        <v>21</v>
      </c>
      <c r="D452" s="23" t="s">
        <v>1049</v>
      </c>
      <c r="E452" s="23" t="s">
        <v>1050</v>
      </c>
      <c r="F452" s="10">
        <v>11</v>
      </c>
      <c r="G452" s="10">
        <v>2018</v>
      </c>
      <c r="H452" s="23" t="s">
        <v>1038</v>
      </c>
      <c r="I452" s="23"/>
      <c r="J452" s="23" t="s">
        <v>247</v>
      </c>
    </row>
    <row r="453" spans="1:10" x14ac:dyDescent="0.2">
      <c r="A453" s="21" t="s">
        <v>14</v>
      </c>
      <c r="B453" s="22">
        <v>43406</v>
      </c>
      <c r="C453" s="21" t="s">
        <v>21</v>
      </c>
      <c r="D453" s="21" t="s">
        <v>1051</v>
      </c>
      <c r="E453" s="21" t="s">
        <v>1052</v>
      </c>
      <c r="F453" s="10">
        <v>11</v>
      </c>
      <c r="G453" s="10">
        <v>2018</v>
      </c>
      <c r="H453" s="21" t="s">
        <v>1038</v>
      </c>
      <c r="I453" s="21"/>
      <c r="J453" s="21" t="s">
        <v>247</v>
      </c>
    </row>
    <row r="454" spans="1:10" x14ac:dyDescent="0.2">
      <c r="A454" s="23" t="s">
        <v>14</v>
      </c>
      <c r="B454" s="24">
        <v>43397</v>
      </c>
      <c r="C454" s="23" t="s">
        <v>21</v>
      </c>
      <c r="D454" s="23" t="s">
        <v>1053</v>
      </c>
      <c r="E454" s="23" t="s">
        <v>1054</v>
      </c>
      <c r="F454" s="10">
        <v>10</v>
      </c>
      <c r="G454" s="10">
        <v>2018</v>
      </c>
      <c r="H454" s="23" t="s">
        <v>1055</v>
      </c>
      <c r="I454" s="23"/>
      <c r="J454" s="23" t="s">
        <v>247</v>
      </c>
    </row>
    <row r="455" spans="1:10" x14ac:dyDescent="0.2">
      <c r="A455" s="21" t="s">
        <v>14</v>
      </c>
      <c r="B455" s="22">
        <v>43389</v>
      </c>
      <c r="C455" s="21" t="s">
        <v>21</v>
      </c>
      <c r="D455" s="21" t="s">
        <v>1056</v>
      </c>
      <c r="E455" s="21" t="s">
        <v>1057</v>
      </c>
      <c r="F455" s="10">
        <v>10</v>
      </c>
      <c r="G455" s="10">
        <v>2018</v>
      </c>
      <c r="H455" s="21" t="s">
        <v>1055</v>
      </c>
      <c r="I455" s="21"/>
      <c r="J455" s="21" t="s">
        <v>247</v>
      </c>
    </row>
    <row r="456" spans="1:10" x14ac:dyDescent="0.2">
      <c r="A456" s="23" t="s">
        <v>14</v>
      </c>
      <c r="B456" s="24">
        <v>43378</v>
      </c>
      <c r="C456" s="23" t="s">
        <v>15</v>
      </c>
      <c r="D456" s="23" t="s">
        <v>1058</v>
      </c>
      <c r="E456" s="23" t="s">
        <v>1059</v>
      </c>
      <c r="F456" s="10">
        <v>10</v>
      </c>
      <c r="G456" s="10">
        <v>2018</v>
      </c>
      <c r="H456" s="23" t="s">
        <v>1055</v>
      </c>
      <c r="I456" s="23"/>
      <c r="J456" s="23" t="s">
        <v>247</v>
      </c>
    </row>
    <row r="457" spans="1:10" x14ac:dyDescent="0.2">
      <c r="A457" s="21" t="s">
        <v>14</v>
      </c>
      <c r="B457" s="22">
        <v>43378</v>
      </c>
      <c r="C457" s="21" t="s">
        <v>21</v>
      </c>
      <c r="D457" s="21" t="s">
        <v>1060</v>
      </c>
      <c r="E457" s="21" t="s">
        <v>1061</v>
      </c>
      <c r="F457" s="10">
        <v>10</v>
      </c>
      <c r="G457" s="10">
        <v>2018</v>
      </c>
      <c r="H457" s="21" t="s">
        <v>1055</v>
      </c>
      <c r="I457" s="21"/>
      <c r="J457" s="21" t="s">
        <v>247</v>
      </c>
    </row>
    <row r="458" spans="1:10" x14ac:dyDescent="0.2">
      <c r="A458" s="23" t="s">
        <v>14</v>
      </c>
      <c r="B458" s="24">
        <v>43375</v>
      </c>
      <c r="C458" s="23" t="s">
        <v>21</v>
      </c>
      <c r="D458" s="23" t="s">
        <v>1062</v>
      </c>
      <c r="E458" s="23" t="s">
        <v>1063</v>
      </c>
      <c r="F458" s="10">
        <v>10</v>
      </c>
      <c r="G458" s="10">
        <v>2018</v>
      </c>
      <c r="H458" s="23" t="s">
        <v>1055</v>
      </c>
      <c r="I458" s="23"/>
      <c r="J458" s="23" t="s">
        <v>247</v>
      </c>
    </row>
    <row r="459" spans="1:10" x14ac:dyDescent="0.2">
      <c r="A459" s="21" t="s">
        <v>14</v>
      </c>
      <c r="B459" s="22">
        <v>43374</v>
      </c>
      <c r="C459" s="21" t="s">
        <v>21</v>
      </c>
      <c r="D459" s="21" t="s">
        <v>1064</v>
      </c>
      <c r="E459" s="21" t="s">
        <v>1065</v>
      </c>
      <c r="F459" s="10">
        <v>10</v>
      </c>
      <c r="G459" s="10">
        <v>2018</v>
      </c>
      <c r="H459" s="21" t="s">
        <v>1055</v>
      </c>
      <c r="I459" s="21"/>
      <c r="J459" s="21" t="s">
        <v>247</v>
      </c>
    </row>
    <row r="460" spans="1:10" x14ac:dyDescent="0.2">
      <c r="A460" s="23" t="s">
        <v>14</v>
      </c>
      <c r="B460" s="24">
        <v>43371</v>
      </c>
      <c r="C460" s="23" t="s">
        <v>15</v>
      </c>
      <c r="D460" s="23" t="s">
        <v>1066</v>
      </c>
      <c r="E460" s="23" t="s">
        <v>1067</v>
      </c>
      <c r="F460" s="10">
        <v>9</v>
      </c>
      <c r="G460" s="10">
        <v>2018</v>
      </c>
      <c r="H460" s="23" t="s">
        <v>1068</v>
      </c>
      <c r="I460" s="23"/>
      <c r="J460" s="23" t="s">
        <v>247</v>
      </c>
    </row>
    <row r="461" spans="1:10" x14ac:dyDescent="0.2">
      <c r="A461" s="21" t="s">
        <v>14</v>
      </c>
      <c r="B461" s="22">
        <v>43370</v>
      </c>
      <c r="C461" s="21" t="s">
        <v>21</v>
      </c>
      <c r="D461" s="21" t="s">
        <v>1069</v>
      </c>
      <c r="E461" s="21" t="s">
        <v>1070</v>
      </c>
      <c r="F461" s="10">
        <v>9</v>
      </c>
      <c r="G461" s="10">
        <v>2018</v>
      </c>
      <c r="H461" s="21" t="s">
        <v>1068</v>
      </c>
      <c r="I461" s="21"/>
      <c r="J461" s="21" t="s">
        <v>247</v>
      </c>
    </row>
    <row r="462" spans="1:10" x14ac:dyDescent="0.2">
      <c r="A462" s="23" t="s">
        <v>14</v>
      </c>
      <c r="B462" s="24">
        <v>43370</v>
      </c>
      <c r="C462" s="23" t="s">
        <v>15</v>
      </c>
      <c r="D462" s="23" t="s">
        <v>1071</v>
      </c>
      <c r="E462" s="23" t="s">
        <v>1072</v>
      </c>
      <c r="F462" s="10">
        <v>9</v>
      </c>
      <c r="G462" s="10">
        <v>2018</v>
      </c>
      <c r="H462" s="23" t="s">
        <v>1068</v>
      </c>
      <c r="I462" s="23"/>
      <c r="J462" s="23" t="s">
        <v>247</v>
      </c>
    </row>
    <row r="463" spans="1:10" x14ac:dyDescent="0.2">
      <c r="A463" s="21" t="s">
        <v>14</v>
      </c>
      <c r="B463" s="22">
        <v>43367</v>
      </c>
      <c r="C463" s="21" t="s">
        <v>21</v>
      </c>
      <c r="D463" s="21" t="s">
        <v>1073</v>
      </c>
      <c r="E463" s="21" t="s">
        <v>1074</v>
      </c>
      <c r="F463" s="10">
        <v>9</v>
      </c>
      <c r="G463" s="10">
        <v>2018</v>
      </c>
      <c r="H463" s="21" t="s">
        <v>1068</v>
      </c>
      <c r="I463" s="21"/>
      <c r="J463" s="21" t="s">
        <v>247</v>
      </c>
    </row>
    <row r="464" spans="1:10" x14ac:dyDescent="0.2">
      <c r="A464" s="23" t="s">
        <v>14</v>
      </c>
      <c r="B464" s="24">
        <v>43357</v>
      </c>
      <c r="C464" s="23" t="s">
        <v>15</v>
      </c>
      <c r="D464" s="23" t="s">
        <v>1075</v>
      </c>
      <c r="E464" s="23" t="s">
        <v>1076</v>
      </c>
      <c r="F464" s="10">
        <v>9</v>
      </c>
      <c r="G464" s="10">
        <v>2018</v>
      </c>
      <c r="H464" s="23" t="s">
        <v>1068</v>
      </c>
      <c r="I464" s="23"/>
      <c r="J464" s="23" t="s">
        <v>247</v>
      </c>
    </row>
    <row r="465" spans="1:10" x14ac:dyDescent="0.2">
      <c r="A465" s="21" t="s">
        <v>14</v>
      </c>
      <c r="B465" s="22">
        <v>43356</v>
      </c>
      <c r="C465" s="21" t="s">
        <v>15</v>
      </c>
      <c r="D465" s="21" t="s">
        <v>1077</v>
      </c>
      <c r="E465" s="21" t="s">
        <v>1078</v>
      </c>
      <c r="F465" s="10">
        <v>9</v>
      </c>
      <c r="G465" s="10">
        <v>2018</v>
      </c>
      <c r="H465" s="21" t="s">
        <v>1068</v>
      </c>
      <c r="I465" s="21"/>
      <c r="J465" s="21" t="s">
        <v>247</v>
      </c>
    </row>
    <row r="466" spans="1:10" x14ac:dyDescent="0.2">
      <c r="A466" s="23" t="s">
        <v>14</v>
      </c>
      <c r="B466" s="24">
        <v>43342</v>
      </c>
      <c r="C466" s="23" t="s">
        <v>21</v>
      </c>
      <c r="D466" s="23" t="s">
        <v>1079</v>
      </c>
      <c r="E466" s="23" t="s">
        <v>1080</v>
      </c>
      <c r="F466" s="10">
        <v>8</v>
      </c>
      <c r="G466" s="10">
        <v>2018</v>
      </c>
      <c r="H466" s="23" t="s">
        <v>1081</v>
      </c>
      <c r="I466" s="23"/>
      <c r="J466" s="23" t="s">
        <v>247</v>
      </c>
    </row>
    <row r="467" spans="1:10" x14ac:dyDescent="0.2">
      <c r="A467" s="21" t="s">
        <v>14</v>
      </c>
      <c r="B467" s="22">
        <v>43339</v>
      </c>
      <c r="C467" s="21" t="s">
        <v>21</v>
      </c>
      <c r="D467" s="21" t="s">
        <v>1082</v>
      </c>
      <c r="E467" s="21" t="s">
        <v>1083</v>
      </c>
      <c r="F467" s="10">
        <v>8</v>
      </c>
      <c r="G467" s="10">
        <v>2018</v>
      </c>
      <c r="H467" s="21" t="s">
        <v>1081</v>
      </c>
      <c r="I467" s="21"/>
      <c r="J467" s="21" t="s">
        <v>247</v>
      </c>
    </row>
    <row r="468" spans="1:10" x14ac:dyDescent="0.2">
      <c r="A468" s="23" t="s">
        <v>14</v>
      </c>
      <c r="B468" s="24">
        <v>43335</v>
      </c>
      <c r="C468" s="23" t="s">
        <v>15</v>
      </c>
      <c r="D468" s="23" t="s">
        <v>1084</v>
      </c>
      <c r="E468" s="23" t="s">
        <v>1085</v>
      </c>
      <c r="F468" s="10">
        <v>8</v>
      </c>
      <c r="G468" s="10">
        <v>2018</v>
      </c>
      <c r="H468" s="23" t="s">
        <v>1081</v>
      </c>
      <c r="I468" s="23"/>
      <c r="J468" s="23" t="s">
        <v>247</v>
      </c>
    </row>
    <row r="469" spans="1:10" x14ac:dyDescent="0.2">
      <c r="A469" s="21" t="s">
        <v>14</v>
      </c>
      <c r="B469" s="22">
        <v>43334</v>
      </c>
      <c r="C469" s="21" t="s">
        <v>15</v>
      </c>
      <c r="D469" s="21" t="s">
        <v>1086</v>
      </c>
      <c r="E469" s="21" t="s">
        <v>1087</v>
      </c>
      <c r="F469" s="10">
        <v>8</v>
      </c>
      <c r="G469" s="10">
        <v>2018</v>
      </c>
      <c r="H469" s="21" t="s">
        <v>1081</v>
      </c>
      <c r="I469" s="21"/>
      <c r="J469" s="21" t="s">
        <v>247</v>
      </c>
    </row>
    <row r="470" spans="1:10" x14ac:dyDescent="0.2">
      <c r="A470" s="23" t="s">
        <v>14</v>
      </c>
      <c r="B470" s="24">
        <v>43332</v>
      </c>
      <c r="C470" s="23" t="s">
        <v>21</v>
      </c>
      <c r="D470" s="23" t="s">
        <v>1088</v>
      </c>
      <c r="E470" s="23" t="s">
        <v>1089</v>
      </c>
      <c r="F470" s="10">
        <v>8</v>
      </c>
      <c r="G470" s="10">
        <v>2018</v>
      </c>
      <c r="H470" s="23" t="s">
        <v>1081</v>
      </c>
      <c r="I470" s="23"/>
      <c r="J470" s="23" t="s">
        <v>247</v>
      </c>
    </row>
    <row r="471" spans="1:10" x14ac:dyDescent="0.2">
      <c r="A471" s="21" t="s">
        <v>14</v>
      </c>
      <c r="B471" s="22">
        <v>43322</v>
      </c>
      <c r="C471" s="21" t="s">
        <v>21</v>
      </c>
      <c r="D471" s="21" t="s">
        <v>1090</v>
      </c>
      <c r="E471" s="21" t="s">
        <v>1091</v>
      </c>
      <c r="F471" s="10">
        <v>8</v>
      </c>
      <c r="G471" s="10">
        <v>2018</v>
      </c>
      <c r="H471" s="21" t="s">
        <v>1081</v>
      </c>
      <c r="I471" s="21"/>
      <c r="J471" s="21" t="s">
        <v>247</v>
      </c>
    </row>
    <row r="472" spans="1:10" x14ac:dyDescent="0.2">
      <c r="A472" s="23" t="s">
        <v>14</v>
      </c>
      <c r="B472" s="24">
        <v>43322</v>
      </c>
      <c r="C472" s="23" t="s">
        <v>21</v>
      </c>
      <c r="D472" s="23" t="s">
        <v>1092</v>
      </c>
      <c r="E472" s="23" t="s">
        <v>1093</v>
      </c>
      <c r="F472" s="10">
        <v>8</v>
      </c>
      <c r="G472" s="10">
        <v>2018</v>
      </c>
      <c r="H472" s="23" t="s">
        <v>1081</v>
      </c>
      <c r="I472" s="23"/>
      <c r="J472" s="23" t="s">
        <v>247</v>
      </c>
    </row>
    <row r="473" spans="1:10" x14ac:dyDescent="0.2">
      <c r="A473" s="21" t="s">
        <v>14</v>
      </c>
      <c r="B473" s="22">
        <v>43322</v>
      </c>
      <c r="C473" s="21" t="s">
        <v>21</v>
      </c>
      <c r="D473" s="21" t="s">
        <v>1094</v>
      </c>
      <c r="E473" s="21" t="s">
        <v>1095</v>
      </c>
      <c r="F473" s="10">
        <v>8</v>
      </c>
      <c r="G473" s="10">
        <v>2018</v>
      </c>
      <c r="H473" s="21" t="s">
        <v>1081</v>
      </c>
      <c r="I473" s="21"/>
      <c r="J473" s="21" t="s">
        <v>247</v>
      </c>
    </row>
    <row r="474" spans="1:10" x14ac:dyDescent="0.2">
      <c r="A474" s="23" t="s">
        <v>14</v>
      </c>
      <c r="B474" s="24">
        <v>43320</v>
      </c>
      <c r="C474" s="23" t="s">
        <v>15</v>
      </c>
      <c r="D474" s="23" t="s">
        <v>1096</v>
      </c>
      <c r="E474" s="23" t="s">
        <v>1097</v>
      </c>
      <c r="F474" s="10">
        <v>8</v>
      </c>
      <c r="G474" s="10">
        <v>2018</v>
      </c>
      <c r="H474" s="23" t="s">
        <v>1081</v>
      </c>
      <c r="I474" s="23"/>
      <c r="J474" s="23" t="s">
        <v>247</v>
      </c>
    </row>
    <row r="475" spans="1:10" x14ac:dyDescent="0.2">
      <c r="A475" s="21" t="s">
        <v>14</v>
      </c>
      <c r="B475" s="22">
        <v>43312</v>
      </c>
      <c r="C475" s="21" t="s">
        <v>21</v>
      </c>
      <c r="D475" s="21" t="s">
        <v>1098</v>
      </c>
      <c r="E475" s="21" t="s">
        <v>1099</v>
      </c>
      <c r="F475" s="10">
        <v>7</v>
      </c>
      <c r="G475" s="10">
        <v>2018</v>
      </c>
      <c r="H475" s="21" t="s">
        <v>1100</v>
      </c>
      <c r="I475" s="21"/>
      <c r="J475" s="21" t="s">
        <v>247</v>
      </c>
    </row>
    <row r="476" spans="1:10" x14ac:dyDescent="0.2">
      <c r="A476" s="23" t="s">
        <v>14</v>
      </c>
      <c r="B476" s="24">
        <v>43308</v>
      </c>
      <c r="C476" s="23" t="s">
        <v>21</v>
      </c>
      <c r="D476" s="23" t="s">
        <v>1101</v>
      </c>
      <c r="E476" s="23" t="s">
        <v>1102</v>
      </c>
      <c r="F476" s="10">
        <v>7</v>
      </c>
      <c r="G476" s="10">
        <v>2018</v>
      </c>
      <c r="H476" s="23" t="s">
        <v>1100</v>
      </c>
      <c r="I476" s="23"/>
      <c r="J476" s="23" t="s">
        <v>247</v>
      </c>
    </row>
    <row r="477" spans="1:10" x14ac:dyDescent="0.2">
      <c r="A477" s="21" t="s">
        <v>14</v>
      </c>
      <c r="B477" s="22">
        <v>43304</v>
      </c>
      <c r="C477" s="21" t="s">
        <v>21</v>
      </c>
      <c r="D477" s="21" t="s">
        <v>1103</v>
      </c>
      <c r="E477" s="21" t="s">
        <v>1104</v>
      </c>
      <c r="F477" s="10">
        <v>7</v>
      </c>
      <c r="G477" s="10">
        <v>2018</v>
      </c>
      <c r="H477" s="21" t="s">
        <v>1100</v>
      </c>
      <c r="I477" s="21"/>
      <c r="J477" s="21" t="s">
        <v>247</v>
      </c>
    </row>
    <row r="478" spans="1:10" x14ac:dyDescent="0.2">
      <c r="A478" s="23" t="s">
        <v>14</v>
      </c>
      <c r="B478" s="24">
        <v>43301</v>
      </c>
      <c r="C478" s="23" t="s">
        <v>21</v>
      </c>
      <c r="D478" s="23" t="s">
        <v>1105</v>
      </c>
      <c r="E478" s="23" t="s">
        <v>1106</v>
      </c>
      <c r="F478" s="10">
        <v>7</v>
      </c>
      <c r="G478" s="10">
        <v>2018</v>
      </c>
      <c r="H478" s="23" t="s">
        <v>1100</v>
      </c>
      <c r="I478" s="23"/>
      <c r="J478" s="23" t="s">
        <v>247</v>
      </c>
    </row>
    <row r="479" spans="1:10" x14ac:dyDescent="0.2">
      <c r="A479" s="21" t="s">
        <v>14</v>
      </c>
      <c r="B479" s="22">
        <v>43301</v>
      </c>
      <c r="C479" s="21" t="s">
        <v>21</v>
      </c>
      <c r="D479" s="21" t="s">
        <v>1107</v>
      </c>
      <c r="E479" s="21" t="s">
        <v>1108</v>
      </c>
      <c r="F479" s="10">
        <v>7</v>
      </c>
      <c r="G479" s="10">
        <v>2018</v>
      </c>
      <c r="H479" s="21" t="s">
        <v>1100</v>
      </c>
      <c r="I479" s="21"/>
      <c r="J479" s="21" t="s">
        <v>247</v>
      </c>
    </row>
    <row r="480" spans="1:10" x14ac:dyDescent="0.2">
      <c r="A480" s="23" t="s">
        <v>14</v>
      </c>
      <c r="B480" s="24">
        <v>43294</v>
      </c>
      <c r="C480" s="23" t="s">
        <v>21</v>
      </c>
      <c r="D480" s="23" t="s">
        <v>1109</v>
      </c>
      <c r="E480" s="23" t="s">
        <v>1110</v>
      </c>
      <c r="F480" s="10">
        <v>7</v>
      </c>
      <c r="G480" s="10">
        <v>2018</v>
      </c>
      <c r="H480" s="23" t="s">
        <v>1100</v>
      </c>
      <c r="I480" s="23"/>
      <c r="J480" s="23" t="s">
        <v>247</v>
      </c>
    </row>
    <row r="481" spans="1:10" x14ac:dyDescent="0.2">
      <c r="A481" s="21" t="s">
        <v>14</v>
      </c>
      <c r="B481" s="22">
        <v>43278</v>
      </c>
      <c r="C481" s="21" t="s">
        <v>21</v>
      </c>
      <c r="D481" s="21" t="s">
        <v>1111</v>
      </c>
      <c r="E481" s="21" t="s">
        <v>1112</v>
      </c>
      <c r="F481" s="10">
        <v>6</v>
      </c>
      <c r="G481" s="10">
        <v>2018</v>
      </c>
      <c r="H481" s="21" t="s">
        <v>1113</v>
      </c>
      <c r="I481" s="21"/>
      <c r="J481" s="21" t="s">
        <v>247</v>
      </c>
    </row>
    <row r="482" spans="1:10" x14ac:dyDescent="0.2">
      <c r="A482" s="23" t="s">
        <v>14</v>
      </c>
      <c r="B482" s="24">
        <v>43278</v>
      </c>
      <c r="C482" s="23" t="s">
        <v>21</v>
      </c>
      <c r="D482" s="23" t="s">
        <v>1114</v>
      </c>
      <c r="E482" s="23" t="s">
        <v>1115</v>
      </c>
      <c r="F482" s="10">
        <v>6</v>
      </c>
      <c r="G482" s="10">
        <v>2018</v>
      </c>
      <c r="H482" s="23" t="s">
        <v>1113</v>
      </c>
      <c r="I482" s="23"/>
      <c r="J482" s="23" t="s">
        <v>247</v>
      </c>
    </row>
    <row r="483" spans="1:10" x14ac:dyDescent="0.2">
      <c r="A483" s="21" t="s">
        <v>14</v>
      </c>
      <c r="B483" s="22">
        <v>43276</v>
      </c>
      <c r="C483" s="21" t="s">
        <v>21</v>
      </c>
      <c r="D483" s="21" t="s">
        <v>1116</v>
      </c>
      <c r="E483" s="21" t="s">
        <v>1117</v>
      </c>
      <c r="F483" s="10">
        <v>6</v>
      </c>
      <c r="G483" s="10">
        <v>2018</v>
      </c>
      <c r="H483" s="21" t="s">
        <v>1113</v>
      </c>
      <c r="I483" s="21"/>
      <c r="J483" s="21" t="s">
        <v>247</v>
      </c>
    </row>
    <row r="484" spans="1:10" x14ac:dyDescent="0.2">
      <c r="A484" s="23" t="s">
        <v>14</v>
      </c>
      <c r="B484" s="24">
        <v>43276</v>
      </c>
      <c r="C484" s="23" t="s">
        <v>21</v>
      </c>
      <c r="D484" s="23" t="s">
        <v>1118</v>
      </c>
      <c r="E484" s="23" t="s">
        <v>1119</v>
      </c>
      <c r="F484" s="10">
        <v>6</v>
      </c>
      <c r="G484" s="10">
        <v>2018</v>
      </c>
      <c r="H484" s="23" t="s">
        <v>1113</v>
      </c>
      <c r="I484" s="23"/>
      <c r="J484" s="23" t="s">
        <v>247</v>
      </c>
    </row>
    <row r="485" spans="1:10" x14ac:dyDescent="0.2">
      <c r="A485" s="21" t="s">
        <v>14</v>
      </c>
      <c r="B485" s="22">
        <v>43264</v>
      </c>
      <c r="C485" s="21" t="s">
        <v>21</v>
      </c>
      <c r="D485" s="21" t="s">
        <v>728</v>
      </c>
      <c r="E485" s="21" t="s">
        <v>1120</v>
      </c>
      <c r="F485" s="10">
        <v>6</v>
      </c>
      <c r="G485" s="10">
        <v>2018</v>
      </c>
      <c r="H485" s="21" t="s">
        <v>1113</v>
      </c>
      <c r="I485" s="21"/>
      <c r="J485" s="21" t="s">
        <v>247</v>
      </c>
    </row>
    <row r="486" spans="1:10" x14ac:dyDescent="0.2">
      <c r="A486" s="23" t="s">
        <v>14</v>
      </c>
      <c r="B486" s="24">
        <v>43251</v>
      </c>
      <c r="C486" s="23" t="s">
        <v>21</v>
      </c>
      <c r="D486" s="23" t="s">
        <v>1121</v>
      </c>
      <c r="E486" s="23" t="s">
        <v>1122</v>
      </c>
      <c r="F486" s="10">
        <v>5</v>
      </c>
      <c r="G486" s="10">
        <v>2018</v>
      </c>
      <c r="H486" s="23" t="s">
        <v>1123</v>
      </c>
      <c r="I486" s="23"/>
      <c r="J486" s="23" t="s">
        <v>247</v>
      </c>
    </row>
    <row r="487" spans="1:10" x14ac:dyDescent="0.2">
      <c r="A487" s="21" t="s">
        <v>14</v>
      </c>
      <c r="B487" s="22">
        <v>43244</v>
      </c>
      <c r="C487" s="21" t="s">
        <v>15</v>
      </c>
      <c r="D487" s="21" t="s">
        <v>1124</v>
      </c>
      <c r="E487" s="21" t="s">
        <v>1125</v>
      </c>
      <c r="F487" s="10">
        <v>5</v>
      </c>
      <c r="G487" s="10">
        <v>2018</v>
      </c>
      <c r="H487" s="21" t="s">
        <v>1123</v>
      </c>
      <c r="I487" s="21"/>
      <c r="J487" s="21" t="s">
        <v>247</v>
      </c>
    </row>
    <row r="488" spans="1:10" x14ac:dyDescent="0.2">
      <c r="A488" s="23" t="s">
        <v>14</v>
      </c>
      <c r="B488" s="24">
        <v>43241</v>
      </c>
      <c r="C488" s="23" t="s">
        <v>21</v>
      </c>
      <c r="D488" s="23" t="s">
        <v>1126</v>
      </c>
      <c r="E488" s="23" t="s">
        <v>1127</v>
      </c>
      <c r="F488" s="10">
        <v>5</v>
      </c>
      <c r="G488" s="10">
        <v>2018</v>
      </c>
      <c r="H488" s="23" t="s">
        <v>1123</v>
      </c>
      <c r="I488" s="23"/>
      <c r="J488" s="23" t="s">
        <v>247</v>
      </c>
    </row>
    <row r="489" spans="1:10" x14ac:dyDescent="0.2">
      <c r="A489" s="21" t="s">
        <v>14</v>
      </c>
      <c r="B489" s="22">
        <v>43238</v>
      </c>
      <c r="C489" s="21" t="s">
        <v>21</v>
      </c>
      <c r="D489" s="21" t="s">
        <v>1128</v>
      </c>
      <c r="E489" s="21" t="s">
        <v>1129</v>
      </c>
      <c r="F489" s="10">
        <v>5</v>
      </c>
      <c r="G489" s="10">
        <v>2018</v>
      </c>
      <c r="H489" s="21" t="s">
        <v>1123</v>
      </c>
      <c r="I489" s="21"/>
      <c r="J489" s="21" t="s">
        <v>247</v>
      </c>
    </row>
    <row r="490" spans="1:10" x14ac:dyDescent="0.2">
      <c r="A490" s="23" t="s">
        <v>14</v>
      </c>
      <c r="B490" s="24">
        <v>43237</v>
      </c>
      <c r="C490" s="23" t="s">
        <v>15</v>
      </c>
      <c r="D490" s="23" t="s">
        <v>1130</v>
      </c>
      <c r="E490" s="23" t="s">
        <v>1131</v>
      </c>
      <c r="F490" s="10">
        <v>5</v>
      </c>
      <c r="G490" s="10">
        <v>2018</v>
      </c>
      <c r="H490" s="23" t="s">
        <v>1123</v>
      </c>
      <c r="I490" s="23"/>
      <c r="J490" s="23" t="s">
        <v>247</v>
      </c>
    </row>
    <row r="491" spans="1:10" x14ac:dyDescent="0.2">
      <c r="A491" s="21" t="s">
        <v>14</v>
      </c>
      <c r="B491" s="22">
        <v>43236</v>
      </c>
      <c r="C491" s="21" t="s">
        <v>21</v>
      </c>
      <c r="D491" s="21" t="s">
        <v>1132</v>
      </c>
      <c r="E491" s="21" t="s">
        <v>1133</v>
      </c>
      <c r="F491" s="10">
        <v>5</v>
      </c>
      <c r="G491" s="10">
        <v>2018</v>
      </c>
      <c r="H491" s="21" t="s">
        <v>1123</v>
      </c>
      <c r="I491" s="21"/>
      <c r="J491" s="21" t="s">
        <v>247</v>
      </c>
    </row>
    <row r="492" spans="1:10" x14ac:dyDescent="0.2">
      <c r="A492" s="23" t="s">
        <v>14</v>
      </c>
      <c r="B492" s="24">
        <v>43209</v>
      </c>
      <c r="C492" s="23" t="s">
        <v>21</v>
      </c>
      <c r="D492" s="23" t="s">
        <v>1134</v>
      </c>
      <c r="E492" s="23" t="s">
        <v>1135</v>
      </c>
      <c r="F492" s="10">
        <v>4</v>
      </c>
      <c r="G492" s="10">
        <v>2018</v>
      </c>
      <c r="H492" s="23" t="s">
        <v>1136</v>
      </c>
      <c r="I492" s="23"/>
      <c r="J492" s="23" t="s">
        <v>247</v>
      </c>
    </row>
    <row r="493" spans="1:10" x14ac:dyDescent="0.2">
      <c r="A493" s="21" t="s">
        <v>14</v>
      </c>
      <c r="B493" s="22">
        <v>43207</v>
      </c>
      <c r="C493" s="21" t="s">
        <v>15</v>
      </c>
      <c r="D493" s="21" t="s">
        <v>1137</v>
      </c>
      <c r="E493" s="21" t="s">
        <v>1138</v>
      </c>
      <c r="F493" s="10">
        <v>4</v>
      </c>
      <c r="G493" s="10">
        <v>2018</v>
      </c>
      <c r="H493" s="21" t="s">
        <v>1136</v>
      </c>
      <c r="I493" s="21"/>
      <c r="J493" s="21" t="s">
        <v>247</v>
      </c>
    </row>
    <row r="494" spans="1:10" x14ac:dyDescent="0.2">
      <c r="A494" s="23" t="s">
        <v>14</v>
      </c>
      <c r="B494" s="24">
        <v>43207</v>
      </c>
      <c r="C494" s="23" t="s">
        <v>21</v>
      </c>
      <c r="D494" s="23" t="s">
        <v>1139</v>
      </c>
      <c r="E494" s="23" t="s">
        <v>1140</v>
      </c>
      <c r="F494" s="10">
        <v>4</v>
      </c>
      <c r="G494" s="10">
        <v>2018</v>
      </c>
      <c r="H494" s="23" t="s">
        <v>1136</v>
      </c>
      <c r="I494" s="23"/>
      <c r="J494" s="23" t="s">
        <v>247</v>
      </c>
    </row>
    <row r="495" spans="1:10" x14ac:dyDescent="0.2">
      <c r="A495" s="21" t="s">
        <v>14</v>
      </c>
      <c r="B495" s="22">
        <v>43179</v>
      </c>
      <c r="C495" s="21" t="s">
        <v>15</v>
      </c>
      <c r="D495" s="21" t="s">
        <v>1141</v>
      </c>
      <c r="E495" s="21" t="s">
        <v>1142</v>
      </c>
      <c r="F495" s="10">
        <v>3</v>
      </c>
      <c r="G495" s="10">
        <v>2018</v>
      </c>
      <c r="H495" s="21" t="s">
        <v>1143</v>
      </c>
      <c r="I495" s="21"/>
      <c r="J495" s="21" t="s">
        <v>247</v>
      </c>
    </row>
    <row r="496" spans="1:10" x14ac:dyDescent="0.2">
      <c r="A496" s="23" t="s">
        <v>14</v>
      </c>
      <c r="B496" s="24">
        <v>43165</v>
      </c>
      <c r="C496" s="23" t="s">
        <v>15</v>
      </c>
      <c r="D496" s="23" t="s">
        <v>1144</v>
      </c>
      <c r="E496" s="23" t="s">
        <v>1145</v>
      </c>
      <c r="F496" s="10">
        <v>3</v>
      </c>
      <c r="G496" s="10">
        <v>2018</v>
      </c>
      <c r="H496" s="23" t="s">
        <v>1143</v>
      </c>
      <c r="I496" s="23"/>
      <c r="J496" s="23" t="s">
        <v>247</v>
      </c>
    </row>
    <row r="497" spans="1:10" x14ac:dyDescent="0.2">
      <c r="A497" s="21" t="s">
        <v>14</v>
      </c>
      <c r="B497" s="22">
        <v>43145</v>
      </c>
      <c r="C497" s="21" t="s">
        <v>21</v>
      </c>
      <c r="D497" s="21" t="s">
        <v>1146</v>
      </c>
      <c r="E497" s="21" t="s">
        <v>1147</v>
      </c>
      <c r="F497" s="10">
        <v>2</v>
      </c>
      <c r="G497" s="10">
        <v>2018</v>
      </c>
      <c r="H497" s="21" t="s">
        <v>1148</v>
      </c>
      <c r="I497" s="21"/>
      <c r="J497" s="21" t="s">
        <v>247</v>
      </c>
    </row>
    <row r="498" spans="1:10" x14ac:dyDescent="0.2">
      <c r="A498" s="23" t="s">
        <v>14</v>
      </c>
      <c r="B498" s="24">
        <v>43143</v>
      </c>
      <c r="C498" s="23" t="s">
        <v>21</v>
      </c>
      <c r="D498" s="23" t="s">
        <v>1149</v>
      </c>
      <c r="E498" s="23" t="s">
        <v>1150</v>
      </c>
      <c r="F498" s="10">
        <v>2</v>
      </c>
      <c r="G498" s="10">
        <v>2018</v>
      </c>
      <c r="H498" s="23" t="s">
        <v>1148</v>
      </c>
      <c r="I498" s="23"/>
      <c r="J498" s="23" t="s">
        <v>247</v>
      </c>
    </row>
    <row r="499" spans="1:10" x14ac:dyDescent="0.2">
      <c r="A499" s="21" t="s">
        <v>14</v>
      </c>
      <c r="B499" s="22">
        <v>43138</v>
      </c>
      <c r="C499" s="21" t="s">
        <v>21</v>
      </c>
      <c r="D499" s="21" t="s">
        <v>1151</v>
      </c>
      <c r="E499" s="21" t="s">
        <v>1152</v>
      </c>
      <c r="F499" s="10">
        <v>2</v>
      </c>
      <c r="G499" s="10">
        <v>2018</v>
      </c>
      <c r="H499" s="21" t="s">
        <v>1148</v>
      </c>
      <c r="I499" s="21"/>
      <c r="J499" s="21" t="s">
        <v>247</v>
      </c>
    </row>
    <row r="500" spans="1:10" x14ac:dyDescent="0.2">
      <c r="A500" s="23" t="s">
        <v>14</v>
      </c>
      <c r="B500" s="24">
        <v>43126</v>
      </c>
      <c r="C500" s="23" t="s">
        <v>21</v>
      </c>
      <c r="D500" s="23" t="s">
        <v>1153</v>
      </c>
      <c r="E500" s="23" t="s">
        <v>1154</v>
      </c>
      <c r="F500" s="10">
        <v>1</v>
      </c>
      <c r="G500" s="10">
        <v>2018</v>
      </c>
      <c r="H500" s="23" t="s">
        <v>1155</v>
      </c>
      <c r="I500" s="23"/>
      <c r="J500" s="23" t="s">
        <v>247</v>
      </c>
    </row>
    <row r="501" spans="1:10" x14ac:dyDescent="0.2">
      <c r="A501" s="21" t="s">
        <v>14</v>
      </c>
      <c r="B501" s="22">
        <v>43090</v>
      </c>
      <c r="C501" s="21" t="s">
        <v>21</v>
      </c>
      <c r="D501" s="21" t="s">
        <v>1156</v>
      </c>
      <c r="E501" s="21" t="s">
        <v>1157</v>
      </c>
      <c r="F501" s="10">
        <v>12</v>
      </c>
      <c r="G501" s="10">
        <v>2017</v>
      </c>
      <c r="H501" s="21" t="s">
        <v>1158</v>
      </c>
      <c r="I501" s="21"/>
      <c r="J501" s="21" t="s">
        <v>247</v>
      </c>
    </row>
    <row r="502" spans="1:10" x14ac:dyDescent="0.2">
      <c r="A502" s="23" t="s">
        <v>14</v>
      </c>
      <c r="B502" s="24">
        <v>43089</v>
      </c>
      <c r="C502" s="23" t="s">
        <v>21</v>
      </c>
      <c r="D502" s="23" t="s">
        <v>1159</v>
      </c>
      <c r="E502" s="23" t="s">
        <v>1160</v>
      </c>
      <c r="F502" s="10">
        <v>12</v>
      </c>
      <c r="G502" s="10">
        <v>2017</v>
      </c>
      <c r="H502" s="23" t="s">
        <v>1158</v>
      </c>
      <c r="I502" s="23"/>
      <c r="J502" s="23" t="s">
        <v>247</v>
      </c>
    </row>
    <row r="503" spans="1:10" x14ac:dyDescent="0.2">
      <c r="A503" s="21" t="s">
        <v>14</v>
      </c>
      <c r="B503" s="22">
        <v>43088</v>
      </c>
      <c r="C503" s="21" t="s">
        <v>21</v>
      </c>
      <c r="D503" s="21" t="s">
        <v>1161</v>
      </c>
      <c r="E503" s="21" t="s">
        <v>1162</v>
      </c>
      <c r="F503" s="10">
        <v>12</v>
      </c>
      <c r="G503" s="10">
        <v>2017</v>
      </c>
      <c r="H503" s="21" t="s">
        <v>1158</v>
      </c>
      <c r="I503" s="21"/>
      <c r="J503" s="21" t="s">
        <v>247</v>
      </c>
    </row>
    <row r="504" spans="1:10" x14ac:dyDescent="0.2">
      <c r="A504" s="23" t="s">
        <v>14</v>
      </c>
      <c r="B504" s="24">
        <v>43087</v>
      </c>
      <c r="C504" s="23" t="s">
        <v>21</v>
      </c>
      <c r="D504" s="23" t="s">
        <v>1163</v>
      </c>
      <c r="E504" s="23" t="s">
        <v>1164</v>
      </c>
      <c r="F504" s="10">
        <v>12</v>
      </c>
      <c r="G504" s="10">
        <v>2017</v>
      </c>
      <c r="H504" s="23" t="s">
        <v>1158</v>
      </c>
      <c r="I504" s="23"/>
      <c r="J504" s="23" t="s">
        <v>247</v>
      </c>
    </row>
    <row r="505" spans="1:10" x14ac:dyDescent="0.2">
      <c r="A505" s="21" t="s">
        <v>14</v>
      </c>
      <c r="B505" s="22">
        <v>43080</v>
      </c>
      <c r="C505" s="21" t="s">
        <v>21</v>
      </c>
      <c r="D505" s="21" t="s">
        <v>1165</v>
      </c>
      <c r="E505" s="21" t="s">
        <v>1166</v>
      </c>
      <c r="F505" s="10">
        <v>12</v>
      </c>
      <c r="G505" s="10">
        <v>2017</v>
      </c>
      <c r="H505" s="21" t="s">
        <v>1158</v>
      </c>
      <c r="I505" s="21"/>
      <c r="J505" s="21" t="s">
        <v>247</v>
      </c>
    </row>
    <row r="506" spans="1:10" x14ac:dyDescent="0.2">
      <c r="A506" s="23" t="s">
        <v>14</v>
      </c>
      <c r="B506" s="24">
        <v>43074</v>
      </c>
      <c r="C506" s="23" t="s">
        <v>21</v>
      </c>
      <c r="D506" s="23" t="s">
        <v>1167</v>
      </c>
      <c r="E506" s="23" t="s">
        <v>1168</v>
      </c>
      <c r="F506" s="10">
        <v>12</v>
      </c>
      <c r="G506" s="10">
        <v>2017</v>
      </c>
      <c r="H506" s="23" t="s">
        <v>1158</v>
      </c>
      <c r="I506" s="23"/>
      <c r="J506" s="23" t="s">
        <v>247</v>
      </c>
    </row>
    <row r="507" spans="1:10" x14ac:dyDescent="0.2">
      <c r="A507" s="21" t="s">
        <v>14</v>
      </c>
      <c r="B507" s="22">
        <v>43055</v>
      </c>
      <c r="C507" s="21" t="s">
        <v>15</v>
      </c>
      <c r="D507" s="21" t="s">
        <v>1169</v>
      </c>
      <c r="E507" s="21" t="s">
        <v>1170</v>
      </c>
      <c r="F507" s="10">
        <v>11</v>
      </c>
      <c r="G507" s="10">
        <v>2017</v>
      </c>
      <c r="H507" s="21" t="s">
        <v>1171</v>
      </c>
      <c r="I507" s="21"/>
      <c r="J507" s="21" t="s">
        <v>247</v>
      </c>
    </row>
    <row r="508" spans="1:10" x14ac:dyDescent="0.2">
      <c r="A508" s="23" t="s">
        <v>14</v>
      </c>
      <c r="B508" s="24">
        <v>43054</v>
      </c>
      <c r="C508" s="23" t="s">
        <v>15</v>
      </c>
      <c r="D508" s="23" t="s">
        <v>1172</v>
      </c>
      <c r="E508" s="23" t="s">
        <v>1173</v>
      </c>
      <c r="F508" s="10">
        <v>11</v>
      </c>
      <c r="G508" s="10">
        <v>2017</v>
      </c>
      <c r="H508" s="23" t="s">
        <v>1171</v>
      </c>
      <c r="I508" s="23"/>
      <c r="J508" s="23" t="s">
        <v>247</v>
      </c>
    </row>
    <row r="509" spans="1:10" x14ac:dyDescent="0.2">
      <c r="A509" s="21" t="s">
        <v>14</v>
      </c>
      <c r="B509" s="22">
        <v>43053</v>
      </c>
      <c r="C509" s="21" t="s">
        <v>15</v>
      </c>
      <c r="D509" s="21" t="s">
        <v>1174</v>
      </c>
      <c r="E509" s="21" t="s">
        <v>1175</v>
      </c>
      <c r="F509" s="10">
        <v>11</v>
      </c>
      <c r="G509" s="10">
        <v>2017</v>
      </c>
      <c r="H509" s="21" t="s">
        <v>1171</v>
      </c>
      <c r="I509" s="21"/>
      <c r="J509" s="21" t="s">
        <v>247</v>
      </c>
    </row>
    <row r="510" spans="1:10" x14ac:dyDescent="0.2">
      <c r="A510" s="23" t="s">
        <v>14</v>
      </c>
      <c r="B510" s="24">
        <v>43047</v>
      </c>
      <c r="C510" s="23" t="s">
        <v>21</v>
      </c>
      <c r="D510" s="23" t="s">
        <v>1176</v>
      </c>
      <c r="E510" s="23" t="s">
        <v>1177</v>
      </c>
      <c r="F510" s="10">
        <v>11</v>
      </c>
      <c r="G510" s="10">
        <v>2017</v>
      </c>
      <c r="H510" s="23" t="s">
        <v>1171</v>
      </c>
      <c r="I510" s="23"/>
      <c r="J510" s="23" t="s">
        <v>247</v>
      </c>
    </row>
    <row r="511" spans="1:10" x14ac:dyDescent="0.2">
      <c r="A511" s="21" t="s">
        <v>14</v>
      </c>
      <c r="B511" s="22">
        <v>43041</v>
      </c>
      <c r="C511" s="21" t="s">
        <v>21</v>
      </c>
      <c r="D511" s="21" t="s">
        <v>1178</v>
      </c>
      <c r="E511" s="21" t="s">
        <v>1179</v>
      </c>
      <c r="F511" s="10">
        <v>11</v>
      </c>
      <c r="G511" s="10">
        <v>2017</v>
      </c>
      <c r="H511" s="21" t="s">
        <v>1171</v>
      </c>
      <c r="I511" s="21"/>
      <c r="J511" s="21" t="s">
        <v>247</v>
      </c>
    </row>
    <row r="512" spans="1:10" x14ac:dyDescent="0.2">
      <c r="A512" s="23" t="s">
        <v>14</v>
      </c>
      <c r="B512" s="24">
        <v>43039</v>
      </c>
      <c r="C512" s="23" t="s">
        <v>21</v>
      </c>
      <c r="D512" s="23" t="s">
        <v>1180</v>
      </c>
      <c r="E512" s="23" t="s">
        <v>1181</v>
      </c>
      <c r="F512" s="10">
        <v>10</v>
      </c>
      <c r="G512" s="10">
        <v>2017</v>
      </c>
      <c r="H512" s="23" t="s">
        <v>1182</v>
      </c>
      <c r="I512" s="23"/>
      <c r="J512" s="23" t="s">
        <v>247</v>
      </c>
    </row>
    <row r="513" spans="1:10" x14ac:dyDescent="0.2">
      <c r="A513" s="21" t="s">
        <v>14</v>
      </c>
      <c r="B513" s="22">
        <v>43006</v>
      </c>
      <c r="C513" s="21" t="s">
        <v>21</v>
      </c>
      <c r="D513" s="21" t="s">
        <v>1183</v>
      </c>
      <c r="E513" s="21" t="s">
        <v>1184</v>
      </c>
      <c r="F513" s="10">
        <v>9</v>
      </c>
      <c r="G513" s="10">
        <v>2017</v>
      </c>
      <c r="H513" s="21" t="s">
        <v>1185</v>
      </c>
      <c r="I513" s="21"/>
      <c r="J513" s="21" t="s">
        <v>247</v>
      </c>
    </row>
    <row r="514" spans="1:10" x14ac:dyDescent="0.2">
      <c r="A514" s="23" t="s">
        <v>14</v>
      </c>
      <c r="B514" s="24">
        <v>42993</v>
      </c>
      <c r="C514" s="23" t="s">
        <v>21</v>
      </c>
      <c r="D514" s="23" t="s">
        <v>1186</v>
      </c>
      <c r="E514" s="23" t="s">
        <v>1187</v>
      </c>
      <c r="F514" s="10">
        <v>9</v>
      </c>
      <c r="G514" s="10">
        <v>2017</v>
      </c>
      <c r="H514" s="23" t="s">
        <v>1185</v>
      </c>
      <c r="I514" s="23"/>
      <c r="J514" s="23" t="s">
        <v>247</v>
      </c>
    </row>
    <row r="515" spans="1:10" x14ac:dyDescent="0.2">
      <c r="A515" s="21" t="s">
        <v>14</v>
      </c>
      <c r="B515" s="22">
        <v>42992</v>
      </c>
      <c r="C515" s="21" t="s">
        <v>21</v>
      </c>
      <c r="D515" s="21" t="s">
        <v>1188</v>
      </c>
      <c r="E515" s="21" t="s">
        <v>1189</v>
      </c>
      <c r="F515" s="10">
        <v>9</v>
      </c>
      <c r="G515" s="10">
        <v>2017</v>
      </c>
      <c r="H515" s="21" t="s">
        <v>1185</v>
      </c>
      <c r="I515" s="21"/>
      <c r="J515" s="21" t="s">
        <v>247</v>
      </c>
    </row>
    <row r="516" spans="1:10" x14ac:dyDescent="0.2">
      <c r="A516" s="23" t="s">
        <v>14</v>
      </c>
      <c r="B516" s="24">
        <v>42976</v>
      </c>
      <c r="C516" s="23" t="s">
        <v>21</v>
      </c>
      <c r="D516" s="23" t="s">
        <v>728</v>
      </c>
      <c r="E516" s="23" t="s">
        <v>1190</v>
      </c>
      <c r="F516" s="10">
        <v>8</v>
      </c>
      <c r="G516" s="10">
        <v>2017</v>
      </c>
      <c r="H516" s="23" t="s">
        <v>1191</v>
      </c>
      <c r="I516" s="23"/>
      <c r="J516" s="23" t="s">
        <v>247</v>
      </c>
    </row>
    <row r="517" spans="1:10" x14ac:dyDescent="0.2">
      <c r="A517" s="21" t="s">
        <v>14</v>
      </c>
      <c r="B517" s="22">
        <v>42976</v>
      </c>
      <c r="C517" s="21" t="s">
        <v>21</v>
      </c>
      <c r="D517" s="21" t="s">
        <v>1192</v>
      </c>
      <c r="E517" s="21" t="s">
        <v>1193</v>
      </c>
      <c r="F517" s="10">
        <v>8</v>
      </c>
      <c r="G517" s="10">
        <v>2017</v>
      </c>
      <c r="H517" s="21" t="s">
        <v>1191</v>
      </c>
      <c r="I517" s="21"/>
      <c r="J517" s="21" t="s">
        <v>247</v>
      </c>
    </row>
    <row r="518" spans="1:10" x14ac:dyDescent="0.2">
      <c r="A518" s="23" t="s">
        <v>14</v>
      </c>
      <c r="B518" s="24">
        <v>42964</v>
      </c>
      <c r="C518" s="23" t="s">
        <v>15</v>
      </c>
      <c r="D518" s="23" t="s">
        <v>1194</v>
      </c>
      <c r="E518" s="23" t="s">
        <v>1195</v>
      </c>
      <c r="F518" s="10">
        <v>8</v>
      </c>
      <c r="G518" s="10">
        <v>2017</v>
      </c>
      <c r="H518" s="23" t="s">
        <v>1191</v>
      </c>
      <c r="I518" s="23"/>
      <c r="J518" s="23" t="s">
        <v>247</v>
      </c>
    </row>
    <row r="519" spans="1:10" x14ac:dyDescent="0.2">
      <c r="A519" s="21" t="s">
        <v>14</v>
      </c>
      <c r="B519" s="22">
        <v>42950</v>
      </c>
      <c r="C519" s="21" t="s">
        <v>21</v>
      </c>
      <c r="D519" s="21" t="s">
        <v>1196</v>
      </c>
      <c r="E519" s="21" t="s">
        <v>1197</v>
      </c>
      <c r="F519" s="10">
        <v>8</v>
      </c>
      <c r="G519" s="10">
        <v>2017</v>
      </c>
      <c r="H519" s="21" t="s">
        <v>1191</v>
      </c>
      <c r="I519" s="21"/>
      <c r="J519" s="21" t="s">
        <v>247</v>
      </c>
    </row>
    <row r="520" spans="1:10" x14ac:dyDescent="0.2">
      <c r="A520" s="23" t="s">
        <v>14</v>
      </c>
      <c r="B520" s="24">
        <v>42948</v>
      </c>
      <c r="C520" s="23" t="s">
        <v>21</v>
      </c>
      <c r="D520" s="23" t="s">
        <v>1198</v>
      </c>
      <c r="E520" s="23" t="s">
        <v>1199</v>
      </c>
      <c r="F520" s="10">
        <v>8</v>
      </c>
      <c r="G520" s="10">
        <v>2017</v>
      </c>
      <c r="H520" s="23" t="s">
        <v>1191</v>
      </c>
      <c r="I520" s="23"/>
      <c r="J520" s="23" t="s">
        <v>247</v>
      </c>
    </row>
    <row r="521" spans="1:10" x14ac:dyDescent="0.2">
      <c r="A521" s="21" t="s">
        <v>14</v>
      </c>
      <c r="B521" s="22">
        <v>42934</v>
      </c>
      <c r="C521" s="21" t="s">
        <v>21</v>
      </c>
      <c r="D521" s="21" t="s">
        <v>1200</v>
      </c>
      <c r="E521" s="21" t="s">
        <v>1201</v>
      </c>
      <c r="F521" s="10">
        <v>7</v>
      </c>
      <c r="G521" s="10">
        <v>2017</v>
      </c>
      <c r="H521" s="21" t="s">
        <v>1202</v>
      </c>
      <c r="I521" s="21"/>
      <c r="J521" s="21" t="s">
        <v>247</v>
      </c>
    </row>
    <row r="522" spans="1:10" x14ac:dyDescent="0.2">
      <c r="A522" s="23" t="s">
        <v>14</v>
      </c>
      <c r="B522" s="24">
        <v>42933</v>
      </c>
      <c r="C522" s="23" t="s">
        <v>21</v>
      </c>
      <c r="D522" s="23" t="s">
        <v>1203</v>
      </c>
      <c r="E522" s="23" t="s">
        <v>1204</v>
      </c>
      <c r="F522" s="10">
        <v>7</v>
      </c>
      <c r="G522" s="10">
        <v>2017</v>
      </c>
      <c r="H522" s="23" t="s">
        <v>1202</v>
      </c>
      <c r="I522" s="23"/>
      <c r="J522" s="23" t="s">
        <v>247</v>
      </c>
    </row>
    <row r="523" spans="1:10" x14ac:dyDescent="0.2">
      <c r="A523" s="21" t="s">
        <v>14</v>
      </c>
      <c r="B523" s="22">
        <v>42929</v>
      </c>
      <c r="C523" s="21" t="s">
        <v>15</v>
      </c>
      <c r="D523" s="21" t="s">
        <v>1205</v>
      </c>
      <c r="E523" s="21" t="s">
        <v>1206</v>
      </c>
      <c r="F523" s="10">
        <v>7</v>
      </c>
      <c r="G523" s="10">
        <v>2017</v>
      </c>
      <c r="H523" s="21" t="s">
        <v>1202</v>
      </c>
      <c r="I523" s="21"/>
      <c r="J523" s="21" t="s">
        <v>247</v>
      </c>
    </row>
    <row r="524" spans="1:10" x14ac:dyDescent="0.2">
      <c r="A524" s="23" t="s">
        <v>14</v>
      </c>
      <c r="B524" s="24">
        <v>42909</v>
      </c>
      <c r="C524" s="23" t="s">
        <v>21</v>
      </c>
      <c r="D524" s="23" t="s">
        <v>1207</v>
      </c>
      <c r="E524" s="23" t="s">
        <v>1208</v>
      </c>
      <c r="F524" s="10">
        <v>6</v>
      </c>
      <c r="G524" s="10">
        <v>2017</v>
      </c>
      <c r="H524" s="23" t="s">
        <v>1209</v>
      </c>
      <c r="I524" s="23"/>
      <c r="J524" s="23" t="s">
        <v>247</v>
      </c>
    </row>
    <row r="525" spans="1:10" x14ac:dyDescent="0.2">
      <c r="A525" s="21" t="s">
        <v>14</v>
      </c>
      <c r="B525" s="22">
        <v>42905</v>
      </c>
      <c r="C525" s="21" t="s">
        <v>21</v>
      </c>
      <c r="D525" s="21" t="s">
        <v>1210</v>
      </c>
      <c r="E525" s="21" t="s">
        <v>1211</v>
      </c>
      <c r="F525" s="10">
        <v>6</v>
      </c>
      <c r="G525" s="10">
        <v>2017</v>
      </c>
      <c r="H525" s="21" t="s">
        <v>1209</v>
      </c>
      <c r="I525" s="21"/>
      <c r="J525" s="21" t="s">
        <v>247</v>
      </c>
    </row>
    <row r="526" spans="1:10" x14ac:dyDescent="0.2">
      <c r="A526" s="23" t="s">
        <v>14</v>
      </c>
      <c r="B526" s="24">
        <v>42877</v>
      </c>
      <c r="C526" s="23" t="s">
        <v>15</v>
      </c>
      <c r="D526" s="23" t="s">
        <v>1212</v>
      </c>
      <c r="E526" s="23" t="s">
        <v>1213</v>
      </c>
      <c r="F526" s="10">
        <v>5</v>
      </c>
      <c r="G526" s="10">
        <v>2017</v>
      </c>
      <c r="H526" s="23" t="s">
        <v>1214</v>
      </c>
      <c r="I526" s="23"/>
      <c r="J526" s="23" t="s">
        <v>247</v>
      </c>
    </row>
    <row r="527" spans="1:10" x14ac:dyDescent="0.2">
      <c r="A527" s="21" t="s">
        <v>14</v>
      </c>
      <c r="B527" s="22">
        <v>42860</v>
      </c>
      <c r="C527" s="21" t="s">
        <v>21</v>
      </c>
      <c r="D527" s="21" t="s">
        <v>1215</v>
      </c>
      <c r="E527" s="21" t="s">
        <v>1216</v>
      </c>
      <c r="F527" s="10">
        <v>5</v>
      </c>
      <c r="G527" s="10">
        <v>2017</v>
      </c>
      <c r="H527" s="21" t="s">
        <v>1214</v>
      </c>
      <c r="I527" s="21"/>
      <c r="J527" s="21" t="s">
        <v>247</v>
      </c>
    </row>
    <row r="528" spans="1:10" x14ac:dyDescent="0.2">
      <c r="A528" s="23" t="s">
        <v>14</v>
      </c>
      <c r="B528" s="24">
        <v>42856</v>
      </c>
      <c r="C528" s="23" t="s">
        <v>15</v>
      </c>
      <c r="D528" s="23" t="s">
        <v>1217</v>
      </c>
      <c r="E528" s="23" t="s">
        <v>1218</v>
      </c>
      <c r="F528" s="10">
        <v>5</v>
      </c>
      <c r="G528" s="10">
        <v>2017</v>
      </c>
      <c r="H528" s="23" t="s">
        <v>1214</v>
      </c>
      <c r="I528" s="23"/>
      <c r="J528" s="23" t="s">
        <v>247</v>
      </c>
    </row>
    <row r="529" spans="1:10" x14ac:dyDescent="0.2">
      <c r="A529" s="21" t="s">
        <v>14</v>
      </c>
      <c r="B529" s="22">
        <v>42853</v>
      </c>
      <c r="C529" s="21" t="s">
        <v>21</v>
      </c>
      <c r="D529" s="21" t="s">
        <v>1219</v>
      </c>
      <c r="E529" s="21" t="s">
        <v>1220</v>
      </c>
      <c r="F529" s="10">
        <v>4</v>
      </c>
      <c r="G529" s="10">
        <v>2017</v>
      </c>
      <c r="H529" s="21" t="s">
        <v>1221</v>
      </c>
      <c r="I529" s="21"/>
      <c r="J529" s="21" t="s">
        <v>247</v>
      </c>
    </row>
    <row r="530" spans="1:10" x14ac:dyDescent="0.2">
      <c r="A530" s="23" t="s">
        <v>14</v>
      </c>
      <c r="B530" s="24">
        <v>42853</v>
      </c>
      <c r="C530" s="23" t="s">
        <v>21</v>
      </c>
      <c r="D530" s="23" t="s">
        <v>1222</v>
      </c>
      <c r="E530" s="23" t="s">
        <v>1223</v>
      </c>
      <c r="F530" s="10">
        <v>4</v>
      </c>
      <c r="G530" s="10">
        <v>2017</v>
      </c>
      <c r="H530" s="23" t="s">
        <v>1221</v>
      </c>
      <c r="I530" s="23"/>
      <c r="J530" s="23" t="s">
        <v>247</v>
      </c>
    </row>
    <row r="531" spans="1:10" x14ac:dyDescent="0.2">
      <c r="A531" s="21" t="s">
        <v>14</v>
      </c>
      <c r="B531" s="22">
        <v>42853</v>
      </c>
      <c r="C531" s="21" t="s">
        <v>21</v>
      </c>
      <c r="D531" s="21" t="s">
        <v>1224</v>
      </c>
      <c r="E531" s="21" t="s">
        <v>1225</v>
      </c>
      <c r="F531" s="10">
        <v>4</v>
      </c>
      <c r="G531" s="10">
        <v>2017</v>
      </c>
      <c r="H531" s="21" t="s">
        <v>1221</v>
      </c>
      <c r="I531" s="21"/>
      <c r="J531" s="21" t="s">
        <v>247</v>
      </c>
    </row>
    <row r="532" spans="1:10" x14ac:dyDescent="0.2">
      <c r="A532" s="23" t="s">
        <v>14</v>
      </c>
      <c r="B532" s="24">
        <v>42852</v>
      </c>
      <c r="C532" s="23" t="s">
        <v>15</v>
      </c>
      <c r="D532" s="23" t="s">
        <v>1226</v>
      </c>
      <c r="E532" s="23" t="s">
        <v>1227</v>
      </c>
      <c r="F532" s="10">
        <v>4</v>
      </c>
      <c r="G532" s="10">
        <v>2017</v>
      </c>
      <c r="H532" s="23" t="s">
        <v>1221</v>
      </c>
      <c r="I532" s="23"/>
      <c r="J532" s="23" t="s">
        <v>247</v>
      </c>
    </row>
    <row r="533" spans="1:10" x14ac:dyDescent="0.2">
      <c r="A533" s="21" t="s">
        <v>14</v>
      </c>
      <c r="B533" s="22">
        <v>42836</v>
      </c>
      <c r="C533" s="21" t="s">
        <v>21</v>
      </c>
      <c r="D533" s="21" t="s">
        <v>1228</v>
      </c>
      <c r="E533" s="21" t="s">
        <v>1229</v>
      </c>
      <c r="F533" s="10">
        <v>4</v>
      </c>
      <c r="G533" s="10">
        <v>2017</v>
      </c>
      <c r="H533" s="21" t="s">
        <v>1221</v>
      </c>
      <c r="I533" s="21"/>
      <c r="J533" s="21" t="s">
        <v>247</v>
      </c>
    </row>
    <row r="534" spans="1:10" x14ac:dyDescent="0.2">
      <c r="A534" s="23" t="s">
        <v>14</v>
      </c>
      <c r="B534" s="24">
        <v>42828</v>
      </c>
      <c r="C534" s="23" t="s">
        <v>21</v>
      </c>
      <c r="D534" s="23" t="s">
        <v>1230</v>
      </c>
      <c r="E534" s="23" t="s">
        <v>1231</v>
      </c>
      <c r="F534" s="10">
        <v>4</v>
      </c>
      <c r="G534" s="10">
        <v>2017</v>
      </c>
      <c r="H534" s="23" t="s">
        <v>1221</v>
      </c>
      <c r="I534" s="23"/>
      <c r="J534" s="23" t="s">
        <v>247</v>
      </c>
    </row>
    <row r="535" spans="1:10" x14ac:dyDescent="0.2">
      <c r="A535" s="21" t="s">
        <v>14</v>
      </c>
      <c r="B535" s="22">
        <v>42822</v>
      </c>
      <c r="C535" s="21" t="s">
        <v>15</v>
      </c>
      <c r="D535" s="21" t="s">
        <v>1232</v>
      </c>
      <c r="E535" s="21" t="s">
        <v>1233</v>
      </c>
      <c r="F535" s="10">
        <v>3</v>
      </c>
      <c r="G535" s="10">
        <v>2017</v>
      </c>
      <c r="H535" s="21" t="s">
        <v>1234</v>
      </c>
      <c r="I535" s="21"/>
      <c r="J535" s="21" t="s">
        <v>247</v>
      </c>
    </row>
    <row r="536" spans="1:10" x14ac:dyDescent="0.2">
      <c r="A536" s="23" t="s">
        <v>14</v>
      </c>
      <c r="B536" s="24">
        <v>42822</v>
      </c>
      <c r="C536" s="23" t="s">
        <v>15</v>
      </c>
      <c r="D536" s="23" t="s">
        <v>1235</v>
      </c>
      <c r="E536" s="23" t="s">
        <v>1236</v>
      </c>
      <c r="F536" s="10">
        <v>3</v>
      </c>
      <c r="G536" s="10">
        <v>2017</v>
      </c>
      <c r="H536" s="23" t="s">
        <v>1234</v>
      </c>
      <c r="I536" s="23"/>
      <c r="J536" s="23" t="s">
        <v>247</v>
      </c>
    </row>
    <row r="537" spans="1:10" x14ac:dyDescent="0.2">
      <c r="A537" s="21" t="s">
        <v>14</v>
      </c>
      <c r="B537" s="22">
        <v>42821</v>
      </c>
      <c r="C537" s="21" t="s">
        <v>21</v>
      </c>
      <c r="D537" s="21" t="s">
        <v>1237</v>
      </c>
      <c r="E537" s="21" t="s">
        <v>1238</v>
      </c>
      <c r="F537" s="10">
        <v>3</v>
      </c>
      <c r="G537" s="10">
        <v>2017</v>
      </c>
      <c r="H537" s="21" t="s">
        <v>1234</v>
      </c>
      <c r="I537" s="21"/>
      <c r="J537" s="21" t="s">
        <v>247</v>
      </c>
    </row>
    <row r="538" spans="1:10" x14ac:dyDescent="0.2">
      <c r="A538" s="23" t="s">
        <v>14</v>
      </c>
      <c r="B538" s="24">
        <v>42817</v>
      </c>
      <c r="C538" s="23" t="s">
        <v>15</v>
      </c>
      <c r="D538" s="23" t="s">
        <v>1239</v>
      </c>
      <c r="E538" s="23" t="s">
        <v>1240</v>
      </c>
      <c r="F538" s="10">
        <v>3</v>
      </c>
      <c r="G538" s="10">
        <v>2017</v>
      </c>
      <c r="H538" s="23" t="s">
        <v>1234</v>
      </c>
      <c r="I538" s="23"/>
      <c r="J538" s="23" t="s">
        <v>247</v>
      </c>
    </row>
    <row r="539" spans="1:10" x14ac:dyDescent="0.2">
      <c r="A539" s="21" t="s">
        <v>14</v>
      </c>
      <c r="B539" s="22">
        <v>42817</v>
      </c>
      <c r="C539" s="21" t="s">
        <v>21</v>
      </c>
      <c r="D539" s="21" t="s">
        <v>1241</v>
      </c>
      <c r="E539" s="21" t="s">
        <v>1242</v>
      </c>
      <c r="F539" s="10">
        <v>3</v>
      </c>
      <c r="G539" s="10">
        <v>2017</v>
      </c>
      <c r="H539" s="21" t="s">
        <v>1234</v>
      </c>
      <c r="I539" s="21"/>
      <c r="J539" s="21" t="s">
        <v>247</v>
      </c>
    </row>
    <row r="540" spans="1:10" x14ac:dyDescent="0.2">
      <c r="A540" s="23" t="s">
        <v>14</v>
      </c>
      <c r="B540" s="24">
        <v>42815</v>
      </c>
      <c r="C540" s="23" t="s">
        <v>21</v>
      </c>
      <c r="D540" s="23" t="s">
        <v>1243</v>
      </c>
      <c r="E540" s="23" t="s">
        <v>1244</v>
      </c>
      <c r="F540" s="10">
        <v>3</v>
      </c>
      <c r="G540" s="10">
        <v>2017</v>
      </c>
      <c r="H540" s="23" t="s">
        <v>1234</v>
      </c>
      <c r="I540" s="23"/>
      <c r="J540" s="23" t="s">
        <v>247</v>
      </c>
    </row>
    <row r="541" spans="1:10" x14ac:dyDescent="0.2">
      <c r="A541" s="21" t="s">
        <v>14</v>
      </c>
      <c r="B541" s="22">
        <v>42807</v>
      </c>
      <c r="C541" s="21" t="s">
        <v>21</v>
      </c>
      <c r="D541" s="21" t="s">
        <v>1245</v>
      </c>
      <c r="E541" s="21" t="s">
        <v>1246</v>
      </c>
      <c r="F541" s="10">
        <v>3</v>
      </c>
      <c r="G541" s="10">
        <v>2017</v>
      </c>
      <c r="H541" s="21" t="s">
        <v>1234</v>
      </c>
      <c r="I541" s="21"/>
      <c r="J541" s="21" t="s">
        <v>247</v>
      </c>
    </row>
    <row r="542" spans="1:10" x14ac:dyDescent="0.2">
      <c r="A542" s="23" t="s">
        <v>14</v>
      </c>
      <c r="B542" s="24">
        <v>42794</v>
      </c>
      <c r="C542" s="23" t="s">
        <v>21</v>
      </c>
      <c r="D542" s="23" t="s">
        <v>1247</v>
      </c>
      <c r="E542" s="23" t="s">
        <v>1248</v>
      </c>
      <c r="F542" s="10">
        <v>2</v>
      </c>
      <c r="G542" s="10">
        <v>2017</v>
      </c>
      <c r="H542" s="23" t="s">
        <v>1249</v>
      </c>
      <c r="I542" s="23"/>
      <c r="J542" s="23" t="s">
        <v>247</v>
      </c>
    </row>
    <row r="543" spans="1:10" x14ac:dyDescent="0.2">
      <c r="A543" s="21" t="s">
        <v>14</v>
      </c>
      <c r="B543" s="22">
        <v>42781</v>
      </c>
      <c r="C543" s="21" t="s">
        <v>15</v>
      </c>
      <c r="D543" s="21" t="s">
        <v>1250</v>
      </c>
      <c r="E543" s="21" t="s">
        <v>1251</v>
      </c>
      <c r="F543" s="10">
        <v>2</v>
      </c>
      <c r="G543" s="10">
        <v>2017</v>
      </c>
      <c r="H543" s="21" t="s">
        <v>1249</v>
      </c>
      <c r="I543" s="21"/>
      <c r="J543" s="21" t="s">
        <v>247</v>
      </c>
    </row>
    <row r="544" spans="1:10" x14ac:dyDescent="0.2">
      <c r="A544" s="23" t="s">
        <v>14</v>
      </c>
      <c r="B544" s="24">
        <v>42775</v>
      </c>
      <c r="C544" s="23" t="s">
        <v>21</v>
      </c>
      <c r="D544" s="23" t="s">
        <v>1252</v>
      </c>
      <c r="E544" s="23" t="s">
        <v>1253</v>
      </c>
      <c r="F544" s="10">
        <v>2</v>
      </c>
      <c r="G544" s="10">
        <v>2017</v>
      </c>
      <c r="H544" s="23" t="s">
        <v>1249</v>
      </c>
      <c r="I544" s="23"/>
      <c r="J544" s="23" t="s">
        <v>247</v>
      </c>
    </row>
    <row r="545" spans="1:10" x14ac:dyDescent="0.2">
      <c r="A545" s="21" t="s">
        <v>14</v>
      </c>
      <c r="B545" s="22">
        <v>42773</v>
      </c>
      <c r="C545" s="21" t="s">
        <v>21</v>
      </c>
      <c r="D545" s="21" t="s">
        <v>1254</v>
      </c>
      <c r="E545" s="21" t="s">
        <v>1255</v>
      </c>
      <c r="F545" s="10">
        <v>2</v>
      </c>
      <c r="G545" s="10">
        <v>2017</v>
      </c>
      <c r="H545" s="21" t="s">
        <v>1249</v>
      </c>
      <c r="I545" s="21"/>
      <c r="J545" s="21" t="s">
        <v>247</v>
      </c>
    </row>
    <row r="546" spans="1:10" x14ac:dyDescent="0.2">
      <c r="A546" s="23" t="s">
        <v>14</v>
      </c>
      <c r="B546" s="24">
        <v>42754</v>
      </c>
      <c r="C546" s="23" t="s">
        <v>21</v>
      </c>
      <c r="D546" s="23" t="s">
        <v>1256</v>
      </c>
      <c r="E546" s="23" t="s">
        <v>1257</v>
      </c>
      <c r="F546" s="10">
        <v>1</v>
      </c>
      <c r="G546" s="10">
        <v>2017</v>
      </c>
      <c r="H546" s="23" t="s">
        <v>1258</v>
      </c>
      <c r="I546" s="23"/>
      <c r="J546" s="23" t="s">
        <v>247</v>
      </c>
    </row>
    <row r="547" spans="1:10" x14ac:dyDescent="0.2">
      <c r="A547" s="21" t="s">
        <v>14</v>
      </c>
      <c r="B547" s="22">
        <v>42727</v>
      </c>
      <c r="C547" s="21" t="s">
        <v>21</v>
      </c>
      <c r="D547" s="21" t="s">
        <v>1259</v>
      </c>
      <c r="E547" s="21" t="s">
        <v>1260</v>
      </c>
      <c r="F547" s="10">
        <v>12</v>
      </c>
      <c r="G547" s="10">
        <v>2016</v>
      </c>
      <c r="H547" s="21" t="s">
        <v>1261</v>
      </c>
      <c r="I547" s="21"/>
      <c r="J547" s="21" t="s">
        <v>247</v>
      </c>
    </row>
    <row r="548" spans="1:10" x14ac:dyDescent="0.2">
      <c r="A548" s="23" t="s">
        <v>14</v>
      </c>
      <c r="B548" s="24">
        <v>42723</v>
      </c>
      <c r="C548" s="23" t="s">
        <v>21</v>
      </c>
      <c r="D548" s="23" t="s">
        <v>1262</v>
      </c>
      <c r="E548" s="23" t="s">
        <v>1263</v>
      </c>
      <c r="F548" s="10">
        <v>12</v>
      </c>
      <c r="G548" s="10">
        <v>2016</v>
      </c>
      <c r="H548" s="23" t="s">
        <v>1261</v>
      </c>
      <c r="I548" s="23"/>
      <c r="J548" s="23" t="s">
        <v>247</v>
      </c>
    </row>
    <row r="549" spans="1:10" x14ac:dyDescent="0.2">
      <c r="A549" s="21" t="s">
        <v>14</v>
      </c>
      <c r="B549" s="22">
        <v>42718</v>
      </c>
      <c r="C549" s="21" t="s">
        <v>21</v>
      </c>
      <c r="D549" s="21" t="s">
        <v>1264</v>
      </c>
      <c r="E549" s="21" t="s">
        <v>1265</v>
      </c>
      <c r="F549" s="10">
        <v>12</v>
      </c>
      <c r="G549" s="10">
        <v>2016</v>
      </c>
      <c r="H549" s="21" t="s">
        <v>1261</v>
      </c>
      <c r="I549" s="21"/>
      <c r="J549" s="21" t="s">
        <v>247</v>
      </c>
    </row>
    <row r="550" spans="1:10" x14ac:dyDescent="0.2">
      <c r="A550" s="23" t="s">
        <v>65</v>
      </c>
      <c r="B550" s="24">
        <v>42717</v>
      </c>
      <c r="C550" s="23" t="s">
        <v>15</v>
      </c>
      <c r="D550" s="23" t="s">
        <v>1266</v>
      </c>
      <c r="E550" s="23" t="s">
        <v>1266</v>
      </c>
      <c r="F550" s="10">
        <v>12</v>
      </c>
      <c r="G550" s="10">
        <v>2016</v>
      </c>
      <c r="H550" s="23" t="s">
        <v>1261</v>
      </c>
      <c r="I550" s="23" t="s">
        <v>1267</v>
      </c>
      <c r="J550" s="23" t="s">
        <v>1268</v>
      </c>
    </row>
    <row r="551" spans="1:10" x14ac:dyDescent="0.2">
      <c r="A551" s="21" t="s">
        <v>65</v>
      </c>
      <c r="B551" s="22">
        <v>42676</v>
      </c>
      <c r="C551" s="21" t="s">
        <v>15</v>
      </c>
      <c r="D551" s="21" t="s">
        <v>1269</v>
      </c>
      <c r="E551" s="21" t="s">
        <v>1269</v>
      </c>
      <c r="F551" s="10">
        <v>11</v>
      </c>
      <c r="G551" s="10">
        <v>2016</v>
      </c>
      <c r="H551" s="21" t="s">
        <v>1270</v>
      </c>
      <c r="I551" s="21" t="s">
        <v>1271</v>
      </c>
      <c r="J551" s="21" t="s">
        <v>1268</v>
      </c>
    </row>
    <row r="552" spans="1:10" x14ac:dyDescent="0.2">
      <c r="A552" s="23" t="s">
        <v>65</v>
      </c>
      <c r="B552" s="24">
        <v>42664</v>
      </c>
      <c r="C552" s="23" t="s">
        <v>15</v>
      </c>
      <c r="D552" s="23" t="s">
        <v>1272</v>
      </c>
      <c r="E552" s="23" t="s">
        <v>1272</v>
      </c>
      <c r="F552" s="10">
        <v>10</v>
      </c>
      <c r="G552" s="10">
        <v>2016</v>
      </c>
      <c r="H552" s="23" t="s">
        <v>1273</v>
      </c>
      <c r="I552" s="23" t="s">
        <v>1274</v>
      </c>
      <c r="J552" s="23" t="s">
        <v>1268</v>
      </c>
    </row>
    <row r="553" spans="1:10" x14ac:dyDescent="0.2">
      <c r="A553" s="21" t="s">
        <v>14</v>
      </c>
      <c r="B553" s="22">
        <v>42664</v>
      </c>
      <c r="C553" s="21" t="s">
        <v>15</v>
      </c>
      <c r="D553" s="21" t="s">
        <v>1275</v>
      </c>
      <c r="E553" s="21" t="s">
        <v>1276</v>
      </c>
      <c r="F553" s="10">
        <v>10</v>
      </c>
      <c r="G553" s="10">
        <v>2016</v>
      </c>
      <c r="H553" s="21" t="s">
        <v>1273</v>
      </c>
      <c r="I553" s="21"/>
      <c r="J553" s="21" t="s">
        <v>247</v>
      </c>
    </row>
    <row r="554" spans="1:10" x14ac:dyDescent="0.2">
      <c r="A554" s="23" t="s">
        <v>65</v>
      </c>
      <c r="B554" s="24">
        <v>42664</v>
      </c>
      <c r="C554" s="23" t="s">
        <v>15</v>
      </c>
      <c r="D554" s="23" t="s">
        <v>1277</v>
      </c>
      <c r="E554" s="23" t="s">
        <v>1277</v>
      </c>
      <c r="F554" s="10">
        <v>10</v>
      </c>
      <c r="G554" s="10">
        <v>2016</v>
      </c>
      <c r="H554" s="23" t="s">
        <v>1273</v>
      </c>
      <c r="I554" s="23" t="s">
        <v>1278</v>
      </c>
      <c r="J554" s="23" t="s">
        <v>1268</v>
      </c>
    </row>
    <row r="555" spans="1:10" x14ac:dyDescent="0.2">
      <c r="A555" s="21" t="s">
        <v>65</v>
      </c>
      <c r="B555" s="22">
        <v>42664</v>
      </c>
      <c r="C555" s="21" t="s">
        <v>15</v>
      </c>
      <c r="D555" s="21" t="s">
        <v>1279</v>
      </c>
      <c r="E555" s="21" t="s">
        <v>1279</v>
      </c>
      <c r="F555" s="10">
        <v>10</v>
      </c>
      <c r="G555" s="10">
        <v>2016</v>
      </c>
      <c r="H555" s="21" t="s">
        <v>1273</v>
      </c>
      <c r="I555" s="21" t="s">
        <v>1280</v>
      </c>
      <c r="J555" s="21" t="s">
        <v>1268</v>
      </c>
    </row>
    <row r="556" spans="1:10" x14ac:dyDescent="0.2">
      <c r="A556" s="23" t="s">
        <v>65</v>
      </c>
      <c r="B556" s="24">
        <v>42664</v>
      </c>
      <c r="C556" s="23" t="s">
        <v>15</v>
      </c>
      <c r="D556" s="23" t="s">
        <v>1281</v>
      </c>
      <c r="E556" s="23" t="s">
        <v>1281</v>
      </c>
      <c r="F556" s="10">
        <v>10</v>
      </c>
      <c r="G556" s="10">
        <v>2016</v>
      </c>
      <c r="H556" s="23" t="s">
        <v>1273</v>
      </c>
      <c r="I556" s="23" t="s">
        <v>1282</v>
      </c>
      <c r="J556" s="23" t="s">
        <v>1268</v>
      </c>
    </row>
    <row r="557" spans="1:10" x14ac:dyDescent="0.2">
      <c r="A557" s="21" t="s">
        <v>65</v>
      </c>
      <c r="B557" s="22">
        <v>42664</v>
      </c>
      <c r="C557" s="21" t="s">
        <v>15</v>
      </c>
      <c r="D557" s="21" t="s">
        <v>1283</v>
      </c>
      <c r="E557" s="21" t="s">
        <v>1283</v>
      </c>
      <c r="F557" s="10">
        <v>10</v>
      </c>
      <c r="G557" s="10">
        <v>2016</v>
      </c>
      <c r="H557" s="21" t="s">
        <v>1273</v>
      </c>
      <c r="I557" s="21" t="s">
        <v>1284</v>
      </c>
      <c r="J557" s="21" t="s">
        <v>1268</v>
      </c>
    </row>
    <row r="558" spans="1:10" x14ac:dyDescent="0.2">
      <c r="A558" s="23" t="s">
        <v>65</v>
      </c>
      <c r="B558" s="24">
        <v>42663</v>
      </c>
      <c r="C558" s="23" t="s">
        <v>15</v>
      </c>
      <c r="D558" s="23" t="s">
        <v>1285</v>
      </c>
      <c r="E558" s="23" t="s">
        <v>1285</v>
      </c>
      <c r="F558" s="10">
        <v>10</v>
      </c>
      <c r="G558" s="10">
        <v>2016</v>
      </c>
      <c r="H558" s="23" t="s">
        <v>1273</v>
      </c>
      <c r="I558" s="23" t="s">
        <v>1286</v>
      </c>
      <c r="J558" s="23" t="s">
        <v>1268</v>
      </c>
    </row>
    <row r="559" spans="1:10" x14ac:dyDescent="0.2">
      <c r="A559" s="21" t="s">
        <v>14</v>
      </c>
      <c r="B559" s="22">
        <v>42662</v>
      </c>
      <c r="C559" s="21" t="s">
        <v>15</v>
      </c>
      <c r="D559" s="21" t="s">
        <v>1287</v>
      </c>
      <c r="E559" s="21" t="s">
        <v>1288</v>
      </c>
      <c r="F559" s="10">
        <v>10</v>
      </c>
      <c r="G559" s="10">
        <v>2016</v>
      </c>
      <c r="H559" s="21" t="s">
        <v>1273</v>
      </c>
      <c r="I559" s="21"/>
      <c r="J559" s="21" t="s">
        <v>247</v>
      </c>
    </row>
    <row r="560" spans="1:10" x14ac:dyDescent="0.2">
      <c r="A560" s="23" t="s">
        <v>14</v>
      </c>
      <c r="B560" s="24">
        <v>42632</v>
      </c>
      <c r="C560" s="23" t="s">
        <v>21</v>
      </c>
      <c r="D560" s="23" t="s">
        <v>1289</v>
      </c>
      <c r="E560" s="23" t="s">
        <v>1290</v>
      </c>
      <c r="F560" s="10">
        <v>9</v>
      </c>
      <c r="G560" s="10">
        <v>2016</v>
      </c>
      <c r="H560" s="23" t="s">
        <v>1291</v>
      </c>
      <c r="I560" s="23"/>
      <c r="J560" s="23" t="s">
        <v>247</v>
      </c>
    </row>
    <row r="561" spans="1:10" x14ac:dyDescent="0.2">
      <c r="A561" s="21" t="s">
        <v>65</v>
      </c>
      <c r="B561" s="22">
        <v>42626</v>
      </c>
      <c r="C561" s="21" t="s">
        <v>15</v>
      </c>
      <c r="D561" s="21" t="s">
        <v>1292</v>
      </c>
      <c r="E561" s="21" t="s">
        <v>1292</v>
      </c>
      <c r="F561" s="10">
        <v>9</v>
      </c>
      <c r="G561" s="10">
        <v>2016</v>
      </c>
      <c r="H561" s="21" t="s">
        <v>1291</v>
      </c>
      <c r="I561" s="21" t="s">
        <v>1293</v>
      </c>
      <c r="J561" s="21" t="s">
        <v>1268</v>
      </c>
    </row>
    <row r="562" spans="1:10" x14ac:dyDescent="0.2">
      <c r="A562" s="23" t="s">
        <v>65</v>
      </c>
      <c r="B562" s="24">
        <v>42614</v>
      </c>
      <c r="C562" s="23" t="s">
        <v>15</v>
      </c>
      <c r="D562" s="23" t="s">
        <v>1294</v>
      </c>
      <c r="E562" s="23" t="s">
        <v>1294</v>
      </c>
      <c r="F562" s="10">
        <v>9</v>
      </c>
      <c r="G562" s="10">
        <v>2016</v>
      </c>
      <c r="H562" s="23" t="s">
        <v>1291</v>
      </c>
      <c r="I562" s="23" t="s">
        <v>1295</v>
      </c>
      <c r="J562" s="23" t="s">
        <v>1268</v>
      </c>
    </row>
    <row r="563" spans="1:10" x14ac:dyDescent="0.2">
      <c r="A563" s="21" t="s">
        <v>14</v>
      </c>
      <c r="B563" s="22">
        <v>42578</v>
      </c>
      <c r="C563" s="21" t="s">
        <v>15</v>
      </c>
      <c r="D563" s="21" t="s">
        <v>1296</v>
      </c>
      <c r="E563" s="21" t="s">
        <v>1297</v>
      </c>
      <c r="F563" s="10">
        <v>7</v>
      </c>
      <c r="G563" s="10">
        <v>2016</v>
      </c>
      <c r="H563" s="21" t="s">
        <v>1298</v>
      </c>
      <c r="I563" s="21"/>
      <c r="J563" s="21" t="s">
        <v>247</v>
      </c>
    </row>
    <row r="564" spans="1:10" x14ac:dyDescent="0.2">
      <c r="A564" s="23" t="s">
        <v>14</v>
      </c>
      <c r="B564" s="24">
        <v>42562</v>
      </c>
      <c r="C564" s="23" t="s">
        <v>21</v>
      </c>
      <c r="D564" s="23" t="s">
        <v>1299</v>
      </c>
      <c r="E564" s="23" t="s">
        <v>1300</v>
      </c>
      <c r="F564" s="10">
        <v>7</v>
      </c>
      <c r="G564" s="10">
        <v>2016</v>
      </c>
      <c r="H564" s="23" t="s">
        <v>1298</v>
      </c>
      <c r="I564" s="23"/>
      <c r="J564" s="23" t="s">
        <v>247</v>
      </c>
    </row>
    <row r="565" spans="1:10" x14ac:dyDescent="0.2">
      <c r="A565" s="21" t="s">
        <v>14</v>
      </c>
      <c r="B565" s="22">
        <v>42549</v>
      </c>
      <c r="C565" s="21" t="s">
        <v>21</v>
      </c>
      <c r="D565" s="21" t="s">
        <v>1301</v>
      </c>
      <c r="E565" s="21" t="s">
        <v>1302</v>
      </c>
      <c r="F565" s="10">
        <v>6</v>
      </c>
      <c r="G565" s="10">
        <v>2016</v>
      </c>
      <c r="H565" s="21" t="s">
        <v>1303</v>
      </c>
      <c r="I565" s="21"/>
      <c r="J565" s="21" t="s">
        <v>247</v>
      </c>
    </row>
    <row r="566" spans="1:10" x14ac:dyDescent="0.2">
      <c r="A566" s="23" t="s">
        <v>65</v>
      </c>
      <c r="B566" s="24">
        <v>42531</v>
      </c>
      <c r="C566" s="23" t="s">
        <v>15</v>
      </c>
      <c r="D566" s="23" t="s">
        <v>1304</v>
      </c>
      <c r="E566" s="23" t="s">
        <v>1304</v>
      </c>
      <c r="F566" s="10">
        <v>6</v>
      </c>
      <c r="G566" s="10">
        <v>2016</v>
      </c>
      <c r="H566" s="23" t="s">
        <v>1303</v>
      </c>
      <c r="I566" s="23" t="s">
        <v>1305</v>
      </c>
      <c r="J566" s="23" t="s">
        <v>1268</v>
      </c>
    </row>
    <row r="567" spans="1:10" x14ac:dyDescent="0.2">
      <c r="A567" s="21" t="s">
        <v>14</v>
      </c>
      <c r="B567" s="22">
        <v>42522</v>
      </c>
      <c r="C567" s="21" t="s">
        <v>21</v>
      </c>
      <c r="D567" s="21" t="s">
        <v>1306</v>
      </c>
      <c r="E567" s="21" t="s">
        <v>1307</v>
      </c>
      <c r="F567" s="10">
        <v>6</v>
      </c>
      <c r="G567" s="10">
        <v>2016</v>
      </c>
      <c r="H567" s="21" t="s">
        <v>1303</v>
      </c>
      <c r="I567" s="21"/>
      <c r="J567" s="21" t="s">
        <v>247</v>
      </c>
    </row>
    <row r="568" spans="1:10" x14ac:dyDescent="0.2">
      <c r="A568" s="23" t="s">
        <v>14</v>
      </c>
      <c r="B568" s="24">
        <v>42517</v>
      </c>
      <c r="C568" s="23" t="s">
        <v>21</v>
      </c>
      <c r="D568" s="23" t="s">
        <v>1308</v>
      </c>
      <c r="E568" s="23" t="s">
        <v>1309</v>
      </c>
      <c r="F568" s="10">
        <v>5</v>
      </c>
      <c r="G568" s="10">
        <v>2016</v>
      </c>
      <c r="H568" s="23" t="s">
        <v>1310</v>
      </c>
      <c r="I568" s="23"/>
      <c r="J568" s="23" t="s">
        <v>247</v>
      </c>
    </row>
    <row r="569" spans="1:10" x14ac:dyDescent="0.2">
      <c r="A569" s="21" t="s">
        <v>14</v>
      </c>
      <c r="B569" s="22">
        <v>42517</v>
      </c>
      <c r="C569" s="21" t="s">
        <v>15</v>
      </c>
      <c r="D569" s="21" t="s">
        <v>1311</v>
      </c>
      <c r="E569" s="21" t="s">
        <v>1312</v>
      </c>
      <c r="F569" s="10">
        <v>5</v>
      </c>
      <c r="G569" s="10">
        <v>2016</v>
      </c>
      <c r="H569" s="21" t="s">
        <v>1310</v>
      </c>
      <c r="I569" s="21"/>
      <c r="J569" s="21" t="s">
        <v>247</v>
      </c>
    </row>
    <row r="570" spans="1:10" x14ac:dyDescent="0.2">
      <c r="A570" s="23" t="s">
        <v>14</v>
      </c>
      <c r="B570" s="24">
        <v>42517</v>
      </c>
      <c r="C570" s="23" t="s">
        <v>21</v>
      </c>
      <c r="D570" s="23" t="s">
        <v>1313</v>
      </c>
      <c r="E570" s="23" t="s">
        <v>1314</v>
      </c>
      <c r="F570" s="10">
        <v>5</v>
      </c>
      <c r="G570" s="10">
        <v>2016</v>
      </c>
      <c r="H570" s="23" t="s">
        <v>1310</v>
      </c>
      <c r="I570" s="23"/>
      <c r="J570" s="23" t="s">
        <v>247</v>
      </c>
    </row>
    <row r="571" spans="1:10" x14ac:dyDescent="0.2">
      <c r="A571" s="21" t="s">
        <v>65</v>
      </c>
      <c r="B571" s="22">
        <v>42515</v>
      </c>
      <c r="C571" s="21" t="s">
        <v>15</v>
      </c>
      <c r="D571" s="21" t="s">
        <v>1315</v>
      </c>
      <c r="E571" s="21" t="s">
        <v>1315</v>
      </c>
      <c r="F571" s="10">
        <v>5</v>
      </c>
      <c r="G571" s="10">
        <v>2016</v>
      </c>
      <c r="H571" s="21" t="s">
        <v>1310</v>
      </c>
      <c r="I571" s="21" t="s">
        <v>1316</v>
      </c>
      <c r="J571" s="21" t="s">
        <v>1268</v>
      </c>
    </row>
    <row r="572" spans="1:10" x14ac:dyDescent="0.2">
      <c r="A572" s="23" t="s">
        <v>14</v>
      </c>
      <c r="B572" s="24">
        <v>42508</v>
      </c>
      <c r="C572" s="23" t="s">
        <v>15</v>
      </c>
      <c r="D572" s="23" t="s">
        <v>1317</v>
      </c>
      <c r="E572" s="23" t="s">
        <v>1318</v>
      </c>
      <c r="F572" s="10">
        <v>5</v>
      </c>
      <c r="G572" s="10">
        <v>2016</v>
      </c>
      <c r="H572" s="23" t="s">
        <v>1310</v>
      </c>
      <c r="I572" s="23"/>
      <c r="J572" s="23" t="s">
        <v>247</v>
      </c>
    </row>
    <row r="573" spans="1:10" x14ac:dyDescent="0.2">
      <c r="A573" s="21" t="s">
        <v>14</v>
      </c>
      <c r="B573" s="22">
        <v>42489</v>
      </c>
      <c r="C573" s="21" t="s">
        <v>21</v>
      </c>
      <c r="D573" s="21" t="s">
        <v>1319</v>
      </c>
      <c r="E573" s="21" t="s">
        <v>1320</v>
      </c>
      <c r="F573" s="10">
        <v>4</v>
      </c>
      <c r="G573" s="10">
        <v>2016</v>
      </c>
      <c r="H573" s="21" t="s">
        <v>1321</v>
      </c>
      <c r="I573" s="21"/>
      <c r="J573" s="21" t="s">
        <v>247</v>
      </c>
    </row>
    <row r="574" spans="1:10" x14ac:dyDescent="0.2">
      <c r="A574" s="23" t="s">
        <v>14</v>
      </c>
      <c r="B574" s="24">
        <v>42471</v>
      </c>
      <c r="C574" s="23" t="s">
        <v>21</v>
      </c>
      <c r="D574" s="23" t="s">
        <v>1322</v>
      </c>
      <c r="E574" s="23" t="s">
        <v>1323</v>
      </c>
      <c r="F574" s="10">
        <v>4</v>
      </c>
      <c r="G574" s="10">
        <v>2016</v>
      </c>
      <c r="H574" s="23" t="s">
        <v>1321</v>
      </c>
      <c r="I574" s="23"/>
      <c r="J574" s="23" t="s">
        <v>247</v>
      </c>
    </row>
    <row r="575" spans="1:10" x14ac:dyDescent="0.2">
      <c r="A575" s="21" t="s">
        <v>14</v>
      </c>
      <c r="B575" s="22">
        <v>42459</v>
      </c>
      <c r="C575" s="21" t="s">
        <v>21</v>
      </c>
      <c r="D575" s="21" t="s">
        <v>1324</v>
      </c>
      <c r="E575" s="21" t="s">
        <v>1325</v>
      </c>
      <c r="F575" s="10">
        <v>3</v>
      </c>
      <c r="G575" s="10">
        <v>2016</v>
      </c>
      <c r="H575" s="21" t="s">
        <v>1326</v>
      </c>
      <c r="I575" s="21"/>
      <c r="J575" s="21" t="s">
        <v>247</v>
      </c>
    </row>
    <row r="576" spans="1:10" x14ac:dyDescent="0.2">
      <c r="A576" s="23" t="s">
        <v>14</v>
      </c>
      <c r="B576" s="24">
        <v>42452</v>
      </c>
      <c r="C576" s="23" t="s">
        <v>15</v>
      </c>
      <c r="D576" s="23" t="s">
        <v>1327</v>
      </c>
      <c r="E576" s="23" t="s">
        <v>1328</v>
      </c>
      <c r="F576" s="10">
        <v>3</v>
      </c>
      <c r="G576" s="10">
        <v>2016</v>
      </c>
      <c r="H576" s="23" t="s">
        <v>1326</v>
      </c>
      <c r="I576" s="23"/>
      <c r="J576" s="23" t="s">
        <v>247</v>
      </c>
    </row>
    <row r="577" spans="1:10" x14ac:dyDescent="0.2">
      <c r="A577" s="21" t="s">
        <v>14</v>
      </c>
      <c r="B577" s="22">
        <v>42451</v>
      </c>
      <c r="C577" s="21" t="s">
        <v>15</v>
      </c>
      <c r="D577" s="21" t="s">
        <v>1329</v>
      </c>
      <c r="E577" s="21" t="s">
        <v>1330</v>
      </c>
      <c r="F577" s="10">
        <v>3</v>
      </c>
      <c r="G577" s="10">
        <v>2016</v>
      </c>
      <c r="H577" s="21" t="s">
        <v>1326</v>
      </c>
      <c r="I577" s="21"/>
      <c r="J577" s="21" t="s">
        <v>247</v>
      </c>
    </row>
    <row r="578" spans="1:10" x14ac:dyDescent="0.2">
      <c r="A578" s="23" t="s">
        <v>14</v>
      </c>
      <c r="B578" s="24">
        <v>42447</v>
      </c>
      <c r="C578" s="23" t="s">
        <v>15</v>
      </c>
      <c r="D578" s="23" t="s">
        <v>1331</v>
      </c>
      <c r="E578" s="23" t="s">
        <v>1332</v>
      </c>
      <c r="F578" s="10">
        <v>3</v>
      </c>
      <c r="G578" s="10">
        <v>2016</v>
      </c>
      <c r="H578" s="23" t="s">
        <v>1326</v>
      </c>
      <c r="I578" s="23"/>
      <c r="J578" s="23" t="s">
        <v>247</v>
      </c>
    </row>
    <row r="579" spans="1:10" x14ac:dyDescent="0.2">
      <c r="A579" s="21" t="s">
        <v>65</v>
      </c>
      <c r="B579" s="22">
        <v>42445</v>
      </c>
      <c r="C579" s="21" t="s">
        <v>15</v>
      </c>
      <c r="D579" s="21" t="s">
        <v>1333</v>
      </c>
      <c r="E579" s="21" t="s">
        <v>1333</v>
      </c>
      <c r="F579" s="10">
        <v>3</v>
      </c>
      <c r="G579" s="10">
        <v>2016</v>
      </c>
      <c r="H579" s="21" t="s">
        <v>1326</v>
      </c>
      <c r="I579" s="21" t="s">
        <v>1334</v>
      </c>
      <c r="J579" s="21" t="s">
        <v>1268</v>
      </c>
    </row>
    <row r="580" spans="1:10" x14ac:dyDescent="0.2">
      <c r="A580" s="23" t="s">
        <v>65</v>
      </c>
      <c r="B580" s="24">
        <v>42433</v>
      </c>
      <c r="C580" s="23" t="s">
        <v>15</v>
      </c>
      <c r="D580" s="23" t="s">
        <v>1335</v>
      </c>
      <c r="E580" s="23" t="s">
        <v>1335</v>
      </c>
      <c r="F580" s="10">
        <v>3</v>
      </c>
      <c r="G580" s="10">
        <v>2016</v>
      </c>
      <c r="H580" s="23" t="s">
        <v>1326</v>
      </c>
      <c r="I580" s="23" t="s">
        <v>1336</v>
      </c>
      <c r="J580" s="23" t="s">
        <v>1268</v>
      </c>
    </row>
    <row r="581" spans="1:10" x14ac:dyDescent="0.2">
      <c r="A581" s="21" t="s">
        <v>14</v>
      </c>
      <c r="B581" s="22">
        <v>42418</v>
      </c>
      <c r="C581" s="21" t="s">
        <v>21</v>
      </c>
      <c r="D581" s="21" t="s">
        <v>1337</v>
      </c>
      <c r="E581" s="21" t="s">
        <v>1338</v>
      </c>
      <c r="F581" s="10">
        <v>2</v>
      </c>
      <c r="G581" s="10">
        <v>2016</v>
      </c>
      <c r="H581" s="21" t="s">
        <v>1339</v>
      </c>
      <c r="I581" s="21"/>
      <c r="J581" s="21" t="s">
        <v>247</v>
      </c>
    </row>
    <row r="582" spans="1:10" x14ac:dyDescent="0.2">
      <c r="A582" s="23" t="s">
        <v>65</v>
      </c>
      <c r="B582" s="24">
        <v>42397</v>
      </c>
      <c r="C582" s="23" t="s">
        <v>15</v>
      </c>
      <c r="D582" s="23" t="s">
        <v>1340</v>
      </c>
      <c r="E582" s="23" t="s">
        <v>1340</v>
      </c>
      <c r="F582" s="10">
        <v>1</v>
      </c>
      <c r="G582" s="10">
        <v>2016</v>
      </c>
      <c r="H582" s="23" t="s">
        <v>1341</v>
      </c>
      <c r="I582" s="23" t="s">
        <v>1342</v>
      </c>
      <c r="J582" s="23" t="s">
        <v>1268</v>
      </c>
    </row>
    <row r="583" spans="1:10" x14ac:dyDescent="0.2">
      <c r="A583" s="21" t="s">
        <v>14</v>
      </c>
      <c r="B583" s="22">
        <v>42397</v>
      </c>
      <c r="C583" s="21" t="s">
        <v>21</v>
      </c>
      <c r="D583" s="21" t="s">
        <v>1343</v>
      </c>
      <c r="E583" s="21" t="s">
        <v>1344</v>
      </c>
      <c r="F583" s="10">
        <v>1</v>
      </c>
      <c r="G583" s="10">
        <v>2016</v>
      </c>
      <c r="H583" s="21" t="s">
        <v>1341</v>
      </c>
      <c r="I583" s="21"/>
      <c r="J583" s="21" t="s">
        <v>247</v>
      </c>
    </row>
    <row r="584" spans="1:10" x14ac:dyDescent="0.2">
      <c r="A584" s="23" t="s">
        <v>14</v>
      </c>
      <c r="B584" s="24">
        <v>42360</v>
      </c>
      <c r="C584" s="23" t="s">
        <v>21</v>
      </c>
      <c r="D584" s="23" t="s">
        <v>1345</v>
      </c>
      <c r="E584" s="23" t="s">
        <v>1346</v>
      </c>
      <c r="F584" s="10">
        <v>12</v>
      </c>
      <c r="G584" s="10">
        <v>2015</v>
      </c>
      <c r="H584" s="23" t="s">
        <v>1347</v>
      </c>
      <c r="I584" s="23"/>
      <c r="J584" s="23" t="s">
        <v>247</v>
      </c>
    </row>
    <row r="585" spans="1:10" x14ac:dyDescent="0.2">
      <c r="A585" s="21" t="s">
        <v>14</v>
      </c>
      <c r="B585" s="22">
        <v>42359</v>
      </c>
      <c r="C585" s="21" t="s">
        <v>21</v>
      </c>
      <c r="D585" s="21" t="s">
        <v>1348</v>
      </c>
      <c r="E585" s="21" t="s">
        <v>1349</v>
      </c>
      <c r="F585" s="10">
        <v>12</v>
      </c>
      <c r="G585" s="10">
        <v>2015</v>
      </c>
      <c r="H585" s="21" t="s">
        <v>1347</v>
      </c>
      <c r="I585" s="21"/>
      <c r="J585" s="21" t="s">
        <v>247</v>
      </c>
    </row>
    <row r="586" spans="1:10" x14ac:dyDescent="0.2">
      <c r="A586" s="23" t="s">
        <v>14</v>
      </c>
      <c r="B586" s="24">
        <v>42353</v>
      </c>
      <c r="C586" s="23" t="s">
        <v>21</v>
      </c>
      <c r="D586" s="23" t="s">
        <v>1350</v>
      </c>
      <c r="E586" s="23" t="s">
        <v>1351</v>
      </c>
      <c r="F586" s="10">
        <v>12</v>
      </c>
      <c r="G586" s="10">
        <v>2015</v>
      </c>
      <c r="H586" s="23" t="s">
        <v>1347</v>
      </c>
      <c r="I586" s="23"/>
      <c r="J586" s="23" t="s">
        <v>247</v>
      </c>
    </row>
    <row r="587" spans="1:10" x14ac:dyDescent="0.2">
      <c r="A587" s="21" t="s">
        <v>14</v>
      </c>
      <c r="B587" s="22">
        <v>42349</v>
      </c>
      <c r="C587" s="21" t="s">
        <v>21</v>
      </c>
      <c r="D587" s="21" t="s">
        <v>1352</v>
      </c>
      <c r="E587" s="21" t="s">
        <v>1353</v>
      </c>
      <c r="F587" s="10">
        <v>12</v>
      </c>
      <c r="G587" s="10">
        <v>2015</v>
      </c>
      <c r="H587" s="21" t="s">
        <v>1347</v>
      </c>
      <c r="I587" s="21"/>
      <c r="J587" s="21" t="s">
        <v>247</v>
      </c>
    </row>
    <row r="588" spans="1:10" x14ac:dyDescent="0.2">
      <c r="A588" s="23" t="s">
        <v>14</v>
      </c>
      <c r="B588" s="24">
        <v>42346</v>
      </c>
      <c r="C588" s="23" t="s">
        <v>15</v>
      </c>
      <c r="D588" s="23" t="s">
        <v>1354</v>
      </c>
      <c r="E588" s="23" t="s">
        <v>1355</v>
      </c>
      <c r="F588" s="10">
        <v>12</v>
      </c>
      <c r="G588" s="10">
        <v>2015</v>
      </c>
      <c r="H588" s="23" t="s">
        <v>1347</v>
      </c>
      <c r="I588" s="23"/>
      <c r="J588" s="23" t="s">
        <v>247</v>
      </c>
    </row>
    <row r="589" spans="1:10" x14ac:dyDescent="0.2">
      <c r="A589" s="21" t="s">
        <v>14</v>
      </c>
      <c r="B589" s="22">
        <v>42338</v>
      </c>
      <c r="C589" s="21" t="s">
        <v>15</v>
      </c>
      <c r="D589" s="21" t="s">
        <v>1356</v>
      </c>
      <c r="E589" s="21" t="s">
        <v>1357</v>
      </c>
      <c r="F589" s="10">
        <v>11</v>
      </c>
      <c r="G589" s="10">
        <v>2015</v>
      </c>
      <c r="H589" s="21" t="s">
        <v>1358</v>
      </c>
      <c r="I589" s="21"/>
      <c r="J589" s="21" t="s">
        <v>247</v>
      </c>
    </row>
    <row r="590" spans="1:10" x14ac:dyDescent="0.2">
      <c r="A590" s="23" t="s">
        <v>14</v>
      </c>
      <c r="B590" s="24">
        <v>42332</v>
      </c>
      <c r="C590" s="23" t="s">
        <v>15</v>
      </c>
      <c r="D590" s="23" t="s">
        <v>1359</v>
      </c>
      <c r="E590" s="23" t="s">
        <v>1360</v>
      </c>
      <c r="F590" s="10">
        <v>11</v>
      </c>
      <c r="G590" s="10">
        <v>2015</v>
      </c>
      <c r="H590" s="23" t="s">
        <v>1358</v>
      </c>
      <c r="I590" s="23"/>
      <c r="J590" s="23" t="s">
        <v>247</v>
      </c>
    </row>
    <row r="591" spans="1:10" x14ac:dyDescent="0.2">
      <c r="A591" s="21" t="s">
        <v>14</v>
      </c>
      <c r="B591" s="22">
        <v>42328</v>
      </c>
      <c r="C591" s="21" t="s">
        <v>21</v>
      </c>
      <c r="D591" s="21" t="s">
        <v>1361</v>
      </c>
      <c r="E591" s="21" t="s">
        <v>1362</v>
      </c>
      <c r="F591" s="10">
        <v>11</v>
      </c>
      <c r="G591" s="10">
        <v>2015</v>
      </c>
      <c r="H591" s="21" t="s">
        <v>1358</v>
      </c>
      <c r="I591" s="21"/>
      <c r="J591" s="21" t="s">
        <v>247</v>
      </c>
    </row>
    <row r="592" spans="1:10" x14ac:dyDescent="0.2">
      <c r="A592" s="23" t="s">
        <v>14</v>
      </c>
      <c r="B592" s="24">
        <v>42324</v>
      </c>
      <c r="C592" s="23" t="s">
        <v>15</v>
      </c>
      <c r="D592" s="23" t="s">
        <v>1363</v>
      </c>
      <c r="E592" s="23" t="s">
        <v>1364</v>
      </c>
      <c r="F592" s="10">
        <v>11</v>
      </c>
      <c r="G592" s="10">
        <v>2015</v>
      </c>
      <c r="H592" s="23" t="s">
        <v>1358</v>
      </c>
      <c r="I592" s="23"/>
      <c r="J592" s="23" t="s">
        <v>247</v>
      </c>
    </row>
    <row r="593" spans="1:10" x14ac:dyDescent="0.2">
      <c r="A593" s="21" t="s">
        <v>14</v>
      </c>
      <c r="B593" s="22">
        <v>42321</v>
      </c>
      <c r="C593" s="21" t="s">
        <v>21</v>
      </c>
      <c r="D593" s="21" t="s">
        <v>1365</v>
      </c>
      <c r="E593" s="21" t="s">
        <v>1366</v>
      </c>
      <c r="F593" s="10">
        <v>11</v>
      </c>
      <c r="G593" s="10">
        <v>2015</v>
      </c>
      <c r="H593" s="21" t="s">
        <v>1358</v>
      </c>
      <c r="I593" s="21"/>
      <c r="J593" s="21" t="s">
        <v>247</v>
      </c>
    </row>
    <row r="594" spans="1:10" x14ac:dyDescent="0.2">
      <c r="A594" s="23" t="s">
        <v>14</v>
      </c>
      <c r="B594" s="24">
        <v>42318</v>
      </c>
      <c r="C594" s="23" t="s">
        <v>21</v>
      </c>
      <c r="D594" s="23" t="s">
        <v>1367</v>
      </c>
      <c r="E594" s="23" t="s">
        <v>1368</v>
      </c>
      <c r="F594" s="10">
        <v>11</v>
      </c>
      <c r="G594" s="10">
        <v>2015</v>
      </c>
      <c r="H594" s="23" t="s">
        <v>1358</v>
      </c>
      <c r="I594" s="23"/>
      <c r="J594" s="23" t="s">
        <v>247</v>
      </c>
    </row>
    <row r="595" spans="1:10" x14ac:dyDescent="0.2">
      <c r="A595" s="21" t="s">
        <v>14</v>
      </c>
      <c r="B595" s="22">
        <v>42313</v>
      </c>
      <c r="C595" s="21" t="s">
        <v>21</v>
      </c>
      <c r="D595" s="21" t="s">
        <v>1369</v>
      </c>
      <c r="E595" s="21" t="s">
        <v>1370</v>
      </c>
      <c r="F595" s="10">
        <v>11</v>
      </c>
      <c r="G595" s="10">
        <v>2015</v>
      </c>
      <c r="H595" s="21" t="s">
        <v>1358</v>
      </c>
      <c r="I595" s="21"/>
      <c r="J595" s="21" t="s">
        <v>247</v>
      </c>
    </row>
    <row r="596" spans="1:10" x14ac:dyDescent="0.2">
      <c r="A596" s="23" t="s">
        <v>14</v>
      </c>
      <c r="B596" s="24">
        <v>42312</v>
      </c>
      <c r="C596" s="23" t="s">
        <v>15</v>
      </c>
      <c r="D596" s="23" t="s">
        <v>1371</v>
      </c>
      <c r="E596" s="23" t="s">
        <v>1372</v>
      </c>
      <c r="F596" s="10">
        <v>11</v>
      </c>
      <c r="G596" s="10">
        <v>2015</v>
      </c>
      <c r="H596" s="23" t="s">
        <v>1358</v>
      </c>
      <c r="I596" s="23"/>
      <c r="J596" s="23" t="s">
        <v>247</v>
      </c>
    </row>
    <row r="597" spans="1:10" x14ac:dyDescent="0.2">
      <c r="A597" s="21" t="s">
        <v>14</v>
      </c>
      <c r="B597" s="22">
        <v>42300</v>
      </c>
      <c r="C597" s="21" t="s">
        <v>21</v>
      </c>
      <c r="D597" s="21" t="s">
        <v>1373</v>
      </c>
      <c r="E597" s="21" t="s">
        <v>1374</v>
      </c>
      <c r="F597" s="10">
        <v>10</v>
      </c>
      <c r="G597" s="10">
        <v>2015</v>
      </c>
      <c r="H597" s="21" t="s">
        <v>1375</v>
      </c>
      <c r="I597" s="21"/>
      <c r="J597" s="21" t="s">
        <v>247</v>
      </c>
    </row>
    <row r="598" spans="1:10" x14ac:dyDescent="0.2">
      <c r="A598" s="23" t="s">
        <v>14</v>
      </c>
      <c r="B598" s="24">
        <v>42300</v>
      </c>
      <c r="C598" s="23" t="s">
        <v>15</v>
      </c>
      <c r="D598" s="23" t="s">
        <v>1376</v>
      </c>
      <c r="E598" s="23" t="s">
        <v>1377</v>
      </c>
      <c r="F598" s="10">
        <v>10</v>
      </c>
      <c r="G598" s="10">
        <v>2015</v>
      </c>
      <c r="H598" s="23" t="s">
        <v>1375</v>
      </c>
      <c r="I598" s="23"/>
      <c r="J598" s="23" t="s">
        <v>247</v>
      </c>
    </row>
    <row r="599" spans="1:10" x14ac:dyDescent="0.2">
      <c r="A599" s="21" t="s">
        <v>14</v>
      </c>
      <c r="B599" s="22">
        <v>42298</v>
      </c>
      <c r="C599" s="21" t="s">
        <v>21</v>
      </c>
      <c r="D599" s="21" t="s">
        <v>1378</v>
      </c>
      <c r="E599" s="21" t="s">
        <v>1379</v>
      </c>
      <c r="F599" s="10">
        <v>10</v>
      </c>
      <c r="G599" s="10">
        <v>2015</v>
      </c>
      <c r="H599" s="21" t="s">
        <v>1375</v>
      </c>
      <c r="I599" s="21"/>
      <c r="J599" s="21" t="s">
        <v>247</v>
      </c>
    </row>
    <row r="600" spans="1:10" x14ac:dyDescent="0.2">
      <c r="A600" s="23" t="s">
        <v>14</v>
      </c>
      <c r="B600" s="24">
        <v>42293</v>
      </c>
      <c r="C600" s="23" t="s">
        <v>15</v>
      </c>
      <c r="D600" s="23" t="s">
        <v>1380</v>
      </c>
      <c r="E600" s="23" t="s">
        <v>1381</v>
      </c>
      <c r="F600" s="10">
        <v>10</v>
      </c>
      <c r="G600" s="10">
        <v>2015</v>
      </c>
      <c r="H600" s="23" t="s">
        <v>1375</v>
      </c>
      <c r="I600" s="23"/>
      <c r="J600" s="23" t="s">
        <v>247</v>
      </c>
    </row>
    <row r="601" spans="1:10" x14ac:dyDescent="0.2">
      <c r="A601" s="21" t="s">
        <v>14</v>
      </c>
      <c r="B601" s="22">
        <v>42282</v>
      </c>
      <c r="C601" s="21" t="s">
        <v>21</v>
      </c>
      <c r="D601" s="21" t="s">
        <v>1382</v>
      </c>
      <c r="E601" s="21" t="s">
        <v>1383</v>
      </c>
      <c r="F601" s="10">
        <v>10</v>
      </c>
      <c r="G601" s="10">
        <v>2015</v>
      </c>
      <c r="H601" s="21" t="s">
        <v>1375</v>
      </c>
      <c r="I601" s="21"/>
      <c r="J601" s="21" t="s">
        <v>247</v>
      </c>
    </row>
    <row r="602" spans="1:10" x14ac:dyDescent="0.2">
      <c r="A602" s="23" t="s">
        <v>14</v>
      </c>
      <c r="B602" s="24">
        <v>42272</v>
      </c>
      <c r="C602" s="23" t="s">
        <v>15</v>
      </c>
      <c r="D602" s="23" t="s">
        <v>1384</v>
      </c>
      <c r="E602" s="23" t="s">
        <v>1385</v>
      </c>
      <c r="F602" s="10">
        <v>9</v>
      </c>
      <c r="G602" s="10">
        <v>2015</v>
      </c>
      <c r="H602" s="23" t="s">
        <v>1386</v>
      </c>
      <c r="I602" s="23"/>
      <c r="J602" s="23" t="s">
        <v>247</v>
      </c>
    </row>
    <row r="603" spans="1:10" x14ac:dyDescent="0.2">
      <c r="A603" s="21" t="s">
        <v>14</v>
      </c>
      <c r="B603" s="22">
        <v>42269</v>
      </c>
      <c r="C603" s="21" t="s">
        <v>21</v>
      </c>
      <c r="D603" s="21" t="s">
        <v>1387</v>
      </c>
      <c r="E603" s="21" t="s">
        <v>1388</v>
      </c>
      <c r="F603" s="10">
        <v>9</v>
      </c>
      <c r="G603" s="10">
        <v>2015</v>
      </c>
      <c r="H603" s="21" t="s">
        <v>1386</v>
      </c>
      <c r="I603" s="21"/>
      <c r="J603" s="21" t="s">
        <v>247</v>
      </c>
    </row>
    <row r="604" spans="1:10" x14ac:dyDescent="0.2">
      <c r="A604" s="23" t="s">
        <v>14</v>
      </c>
      <c r="B604" s="24">
        <v>42264</v>
      </c>
      <c r="C604" s="23" t="s">
        <v>21</v>
      </c>
      <c r="D604" s="23" t="s">
        <v>1389</v>
      </c>
      <c r="E604" s="23" t="s">
        <v>1390</v>
      </c>
      <c r="F604" s="10">
        <v>9</v>
      </c>
      <c r="G604" s="10">
        <v>2015</v>
      </c>
      <c r="H604" s="23" t="s">
        <v>1386</v>
      </c>
      <c r="I604" s="23"/>
      <c r="J604" s="23" t="s">
        <v>247</v>
      </c>
    </row>
    <row r="605" spans="1:10" x14ac:dyDescent="0.2">
      <c r="A605" s="21" t="s">
        <v>14</v>
      </c>
      <c r="B605" s="22">
        <v>42251</v>
      </c>
      <c r="C605" s="21" t="s">
        <v>21</v>
      </c>
      <c r="D605" s="21" t="s">
        <v>1391</v>
      </c>
      <c r="E605" s="21" t="s">
        <v>1392</v>
      </c>
      <c r="F605" s="10">
        <v>9</v>
      </c>
      <c r="G605" s="10">
        <v>2015</v>
      </c>
      <c r="H605" s="21" t="s">
        <v>1386</v>
      </c>
      <c r="I605" s="21"/>
      <c r="J605" s="21" t="s">
        <v>247</v>
      </c>
    </row>
    <row r="606" spans="1:10" x14ac:dyDescent="0.2">
      <c r="A606" s="23" t="s">
        <v>14</v>
      </c>
      <c r="B606" s="24">
        <v>42248</v>
      </c>
      <c r="C606" s="23" t="s">
        <v>21</v>
      </c>
      <c r="D606" s="23" t="s">
        <v>1393</v>
      </c>
      <c r="E606" s="23" t="s">
        <v>1394</v>
      </c>
      <c r="F606" s="10">
        <v>9</v>
      </c>
      <c r="G606" s="10">
        <v>2015</v>
      </c>
      <c r="H606" s="23" t="s">
        <v>1386</v>
      </c>
      <c r="I606" s="23"/>
      <c r="J606" s="23" t="s">
        <v>247</v>
      </c>
    </row>
    <row r="607" spans="1:10" x14ac:dyDescent="0.2">
      <c r="A607" s="21" t="s">
        <v>14</v>
      </c>
      <c r="B607" s="22">
        <v>42243</v>
      </c>
      <c r="C607" s="21" t="s">
        <v>15</v>
      </c>
      <c r="D607" s="21" t="s">
        <v>1395</v>
      </c>
      <c r="E607" s="21" t="s">
        <v>1396</v>
      </c>
      <c r="F607" s="10">
        <v>8</v>
      </c>
      <c r="G607" s="10">
        <v>2015</v>
      </c>
      <c r="H607" s="21" t="s">
        <v>1397</v>
      </c>
      <c r="I607" s="21"/>
      <c r="J607" s="21" t="s">
        <v>247</v>
      </c>
    </row>
    <row r="608" spans="1:10" x14ac:dyDescent="0.2">
      <c r="A608" s="23" t="s">
        <v>14</v>
      </c>
      <c r="B608" s="24">
        <v>42234</v>
      </c>
      <c r="C608" s="23" t="s">
        <v>21</v>
      </c>
      <c r="D608" s="23" t="s">
        <v>1398</v>
      </c>
      <c r="E608" s="23" t="s">
        <v>1399</v>
      </c>
      <c r="F608" s="10">
        <v>8</v>
      </c>
      <c r="G608" s="10">
        <v>2015</v>
      </c>
      <c r="H608" s="23" t="s">
        <v>1397</v>
      </c>
      <c r="I608" s="23"/>
      <c r="J608" s="23" t="s">
        <v>247</v>
      </c>
    </row>
    <row r="609" spans="1:10" x14ac:dyDescent="0.2">
      <c r="A609" s="21" t="s">
        <v>14</v>
      </c>
      <c r="B609" s="22">
        <v>42209</v>
      </c>
      <c r="C609" s="21" t="s">
        <v>15</v>
      </c>
      <c r="D609" s="21" t="s">
        <v>1400</v>
      </c>
      <c r="E609" s="21" t="s">
        <v>1401</v>
      </c>
      <c r="F609" s="10">
        <v>7</v>
      </c>
      <c r="G609" s="10">
        <v>2015</v>
      </c>
      <c r="H609" s="21" t="s">
        <v>1402</v>
      </c>
      <c r="I609" s="21"/>
      <c r="J609" s="21" t="s">
        <v>247</v>
      </c>
    </row>
    <row r="610" spans="1:10" x14ac:dyDescent="0.2">
      <c r="A610" s="23" t="s">
        <v>14</v>
      </c>
      <c r="B610" s="24">
        <v>42209</v>
      </c>
      <c r="C610" s="23" t="s">
        <v>21</v>
      </c>
      <c r="D610" s="23" t="s">
        <v>1403</v>
      </c>
      <c r="E610" s="23" t="s">
        <v>1404</v>
      </c>
      <c r="F610" s="10">
        <v>7</v>
      </c>
      <c r="G610" s="10">
        <v>2015</v>
      </c>
      <c r="H610" s="23" t="s">
        <v>1402</v>
      </c>
      <c r="I610" s="23"/>
      <c r="J610" s="23" t="s">
        <v>247</v>
      </c>
    </row>
    <row r="611" spans="1:10" x14ac:dyDescent="0.2">
      <c r="A611" s="21" t="s">
        <v>14</v>
      </c>
      <c r="B611" s="22">
        <v>42209</v>
      </c>
      <c r="C611" s="21" t="s">
        <v>21</v>
      </c>
      <c r="D611" s="21" t="s">
        <v>1405</v>
      </c>
      <c r="E611" s="21" t="s">
        <v>1406</v>
      </c>
      <c r="F611" s="10">
        <v>7</v>
      </c>
      <c r="G611" s="10">
        <v>2015</v>
      </c>
      <c r="H611" s="21" t="s">
        <v>1402</v>
      </c>
      <c r="I611" s="21"/>
      <c r="J611" s="21" t="s">
        <v>247</v>
      </c>
    </row>
    <row r="612" spans="1:10" x14ac:dyDescent="0.2">
      <c r="A612" s="23" t="s">
        <v>14</v>
      </c>
      <c r="B612" s="24">
        <v>42195</v>
      </c>
      <c r="C612" s="23" t="s">
        <v>21</v>
      </c>
      <c r="D612" s="23" t="s">
        <v>1407</v>
      </c>
      <c r="E612" s="23" t="s">
        <v>1408</v>
      </c>
      <c r="F612" s="10">
        <v>7</v>
      </c>
      <c r="G612" s="10">
        <v>2015</v>
      </c>
      <c r="H612" s="23" t="s">
        <v>1402</v>
      </c>
      <c r="I612" s="23"/>
      <c r="J612" s="23" t="s">
        <v>247</v>
      </c>
    </row>
    <row r="613" spans="1:10" x14ac:dyDescent="0.2">
      <c r="A613" s="21" t="s">
        <v>14</v>
      </c>
      <c r="B613" s="22">
        <v>42192</v>
      </c>
      <c r="C613" s="21" t="s">
        <v>21</v>
      </c>
      <c r="D613" s="21" t="s">
        <v>1409</v>
      </c>
      <c r="E613" s="21" t="s">
        <v>1410</v>
      </c>
      <c r="F613" s="10">
        <v>7</v>
      </c>
      <c r="G613" s="10">
        <v>2015</v>
      </c>
      <c r="H613" s="21" t="s">
        <v>1402</v>
      </c>
      <c r="I613" s="21"/>
      <c r="J613" s="21" t="s">
        <v>247</v>
      </c>
    </row>
    <row r="614" spans="1:10" x14ac:dyDescent="0.2">
      <c r="A614" s="23" t="s">
        <v>14</v>
      </c>
      <c r="B614" s="24">
        <v>42187</v>
      </c>
      <c r="C614" s="23" t="s">
        <v>21</v>
      </c>
      <c r="D614" s="23" t="s">
        <v>1411</v>
      </c>
      <c r="E614" s="23" t="s">
        <v>1412</v>
      </c>
      <c r="F614" s="10">
        <v>7</v>
      </c>
      <c r="G614" s="10">
        <v>2015</v>
      </c>
      <c r="H614" s="23" t="s">
        <v>1402</v>
      </c>
      <c r="I614" s="23"/>
      <c r="J614" s="23" t="s">
        <v>247</v>
      </c>
    </row>
    <row r="615" spans="1:10" x14ac:dyDescent="0.2">
      <c r="A615" s="21" t="s">
        <v>14</v>
      </c>
      <c r="B615" s="22">
        <v>42177</v>
      </c>
      <c r="C615" s="21" t="s">
        <v>21</v>
      </c>
      <c r="D615" s="21" t="s">
        <v>1413</v>
      </c>
      <c r="E615" s="21" t="s">
        <v>1414</v>
      </c>
      <c r="F615" s="10">
        <v>6</v>
      </c>
      <c r="G615" s="10">
        <v>2015</v>
      </c>
      <c r="H615" s="21" t="s">
        <v>1415</v>
      </c>
      <c r="I615" s="21"/>
      <c r="J615" s="21" t="s">
        <v>247</v>
      </c>
    </row>
    <row r="616" spans="1:10" x14ac:dyDescent="0.2">
      <c r="A616" s="23" t="s">
        <v>14</v>
      </c>
      <c r="B616" s="24">
        <v>42151</v>
      </c>
      <c r="C616" s="23" t="s">
        <v>21</v>
      </c>
      <c r="D616" s="23" t="s">
        <v>1416</v>
      </c>
      <c r="E616" s="23" t="s">
        <v>1417</v>
      </c>
      <c r="F616" s="10">
        <v>5</v>
      </c>
      <c r="G616" s="10">
        <v>2015</v>
      </c>
      <c r="H616" s="23" t="s">
        <v>1418</v>
      </c>
      <c r="I616" s="23"/>
      <c r="J616" s="23" t="s">
        <v>247</v>
      </c>
    </row>
    <row r="617" spans="1:10" x14ac:dyDescent="0.2">
      <c r="A617" s="21" t="s">
        <v>14</v>
      </c>
      <c r="B617" s="22">
        <v>42123</v>
      </c>
      <c r="C617" s="21" t="s">
        <v>21</v>
      </c>
      <c r="D617" s="21" t="s">
        <v>1419</v>
      </c>
      <c r="E617" s="21" t="s">
        <v>1420</v>
      </c>
      <c r="F617" s="10">
        <v>4</v>
      </c>
      <c r="G617" s="10">
        <v>2015</v>
      </c>
      <c r="H617" s="21" t="s">
        <v>1421</v>
      </c>
      <c r="I617" s="21"/>
      <c r="J617" s="21" t="s">
        <v>247</v>
      </c>
    </row>
    <row r="618" spans="1:10" x14ac:dyDescent="0.2">
      <c r="A618" s="23" t="s">
        <v>14</v>
      </c>
      <c r="B618" s="24">
        <v>42109</v>
      </c>
      <c r="C618" s="23" t="s">
        <v>21</v>
      </c>
      <c r="D618" s="23" t="s">
        <v>1422</v>
      </c>
      <c r="E618" s="23" t="s">
        <v>1423</v>
      </c>
      <c r="F618" s="10">
        <v>4</v>
      </c>
      <c r="G618" s="10">
        <v>2015</v>
      </c>
      <c r="H618" s="23" t="s">
        <v>1421</v>
      </c>
      <c r="I618" s="23"/>
      <c r="J618" s="23" t="s">
        <v>247</v>
      </c>
    </row>
    <row r="619" spans="1:10" x14ac:dyDescent="0.2">
      <c r="A619" s="21" t="s">
        <v>14</v>
      </c>
      <c r="B619" s="22">
        <v>42080</v>
      </c>
      <c r="C619" s="21" t="s">
        <v>21</v>
      </c>
      <c r="D619" s="21" t="s">
        <v>1424</v>
      </c>
      <c r="E619" s="21" t="s">
        <v>1425</v>
      </c>
      <c r="F619" s="10">
        <v>3</v>
      </c>
      <c r="G619" s="10">
        <v>2015</v>
      </c>
      <c r="H619" s="21" t="s">
        <v>1426</v>
      </c>
      <c r="I619" s="21"/>
      <c r="J619" s="21" t="s">
        <v>247</v>
      </c>
    </row>
    <row r="620" spans="1:10" x14ac:dyDescent="0.2">
      <c r="A620" s="23" t="s">
        <v>14</v>
      </c>
      <c r="B620" s="24">
        <v>42073</v>
      </c>
      <c r="C620" s="23" t="s">
        <v>15</v>
      </c>
      <c r="D620" s="23" t="s">
        <v>1427</v>
      </c>
      <c r="E620" s="23" t="s">
        <v>1428</v>
      </c>
      <c r="F620" s="10">
        <v>3</v>
      </c>
      <c r="G620" s="10">
        <v>2015</v>
      </c>
      <c r="H620" s="23" t="s">
        <v>1426</v>
      </c>
      <c r="I620" s="23"/>
      <c r="J620" s="23" t="s">
        <v>247</v>
      </c>
    </row>
    <row r="621" spans="1:10" x14ac:dyDescent="0.2">
      <c r="A621" s="21" t="s">
        <v>14</v>
      </c>
      <c r="B621" s="22">
        <v>42069</v>
      </c>
      <c r="C621" s="21" t="s">
        <v>21</v>
      </c>
      <c r="D621" s="21" t="s">
        <v>1429</v>
      </c>
      <c r="E621" s="21" t="s">
        <v>1430</v>
      </c>
      <c r="F621" s="10">
        <v>3</v>
      </c>
      <c r="G621" s="10">
        <v>2015</v>
      </c>
      <c r="H621" s="21" t="s">
        <v>1426</v>
      </c>
      <c r="I621" s="21"/>
      <c r="J621" s="21" t="s">
        <v>247</v>
      </c>
    </row>
    <row r="622" spans="1:10" x14ac:dyDescent="0.2">
      <c r="A622" s="23" t="s">
        <v>14</v>
      </c>
      <c r="B622" s="24">
        <v>42060</v>
      </c>
      <c r="C622" s="23" t="s">
        <v>21</v>
      </c>
      <c r="D622" s="23" t="s">
        <v>1431</v>
      </c>
      <c r="E622" s="23" t="s">
        <v>1432</v>
      </c>
      <c r="F622" s="10">
        <v>2</v>
      </c>
      <c r="G622" s="10">
        <v>2015</v>
      </c>
      <c r="H622" s="23" t="s">
        <v>1433</v>
      </c>
      <c r="I622" s="23"/>
      <c r="J622" s="23" t="s">
        <v>247</v>
      </c>
    </row>
    <row r="623" spans="1:10" x14ac:dyDescent="0.2">
      <c r="A623" s="21" t="s">
        <v>14</v>
      </c>
      <c r="B623" s="22">
        <v>42058</v>
      </c>
      <c r="C623" s="21" t="s">
        <v>21</v>
      </c>
      <c r="D623" s="21" t="s">
        <v>1434</v>
      </c>
      <c r="E623" s="21" t="s">
        <v>1435</v>
      </c>
      <c r="F623" s="10">
        <v>2</v>
      </c>
      <c r="G623" s="10">
        <v>2015</v>
      </c>
      <c r="H623" s="21" t="s">
        <v>1433</v>
      </c>
      <c r="I623" s="21"/>
      <c r="J623" s="21" t="s">
        <v>247</v>
      </c>
    </row>
    <row r="624" spans="1:10" x14ac:dyDescent="0.2">
      <c r="A624" s="23" t="s">
        <v>14</v>
      </c>
      <c r="B624" s="24">
        <v>42048</v>
      </c>
      <c r="C624" s="23" t="s">
        <v>21</v>
      </c>
      <c r="D624" s="23" t="s">
        <v>1436</v>
      </c>
      <c r="E624" s="23" t="s">
        <v>1437</v>
      </c>
      <c r="F624" s="10">
        <v>2</v>
      </c>
      <c r="G624" s="10">
        <v>2015</v>
      </c>
      <c r="H624" s="23" t="s">
        <v>1433</v>
      </c>
      <c r="I624" s="23"/>
      <c r="J624" s="23" t="s">
        <v>247</v>
      </c>
    </row>
    <row r="625" spans="1:10" x14ac:dyDescent="0.2">
      <c r="A625" s="21" t="s">
        <v>14</v>
      </c>
      <c r="B625" s="22">
        <v>42038</v>
      </c>
      <c r="C625" s="21" t="s">
        <v>21</v>
      </c>
      <c r="D625" s="21" t="s">
        <v>1438</v>
      </c>
      <c r="E625" s="21" t="s">
        <v>1439</v>
      </c>
      <c r="F625" s="10">
        <v>2</v>
      </c>
      <c r="G625" s="10">
        <v>2015</v>
      </c>
      <c r="H625" s="21" t="s">
        <v>1433</v>
      </c>
      <c r="I625" s="21"/>
      <c r="J625" s="21" t="s">
        <v>247</v>
      </c>
    </row>
    <row r="626" spans="1:10" x14ac:dyDescent="0.2">
      <c r="A626" s="23" t="s">
        <v>14</v>
      </c>
      <c r="B626" s="24">
        <v>42027</v>
      </c>
      <c r="C626" s="23" t="s">
        <v>15</v>
      </c>
      <c r="D626" s="23" t="s">
        <v>1440</v>
      </c>
      <c r="E626" s="23" t="s">
        <v>1441</v>
      </c>
      <c r="F626" s="10">
        <v>1</v>
      </c>
      <c r="G626" s="10">
        <v>2015</v>
      </c>
      <c r="H626" s="23" t="s">
        <v>1442</v>
      </c>
      <c r="I626" s="23"/>
      <c r="J626" s="23" t="s">
        <v>247</v>
      </c>
    </row>
    <row r="627" spans="1:10" x14ac:dyDescent="0.2">
      <c r="A627" s="21" t="s">
        <v>14</v>
      </c>
      <c r="B627" s="22">
        <v>42025</v>
      </c>
      <c r="C627" s="21" t="s">
        <v>15</v>
      </c>
      <c r="D627" s="21" t="s">
        <v>1443</v>
      </c>
      <c r="E627" s="21" t="s">
        <v>1444</v>
      </c>
      <c r="F627" s="10">
        <v>1</v>
      </c>
      <c r="G627" s="10">
        <v>2015</v>
      </c>
      <c r="H627" s="21" t="s">
        <v>1442</v>
      </c>
      <c r="I627" s="21"/>
      <c r="J627" s="21" t="s">
        <v>247</v>
      </c>
    </row>
    <row r="628" spans="1:10" x14ac:dyDescent="0.2">
      <c r="A628" s="23" t="s">
        <v>14</v>
      </c>
      <c r="B628" s="24">
        <v>42012</v>
      </c>
      <c r="C628" s="23" t="s">
        <v>21</v>
      </c>
      <c r="D628" s="23" t="s">
        <v>1445</v>
      </c>
      <c r="E628" s="23" t="s">
        <v>1446</v>
      </c>
      <c r="F628" s="10">
        <v>1</v>
      </c>
      <c r="G628" s="10">
        <v>2015</v>
      </c>
      <c r="H628" s="23" t="s">
        <v>1442</v>
      </c>
      <c r="I628" s="23"/>
      <c r="J628" s="23" t="s">
        <v>247</v>
      </c>
    </row>
    <row r="629" spans="1:10" x14ac:dyDescent="0.2">
      <c r="A629" s="21" t="s">
        <v>14</v>
      </c>
      <c r="B629" s="22">
        <v>41995</v>
      </c>
      <c r="C629" s="21" t="s">
        <v>15</v>
      </c>
      <c r="D629" s="21" t="s">
        <v>1447</v>
      </c>
      <c r="E629" s="21" t="s">
        <v>1448</v>
      </c>
      <c r="F629" s="10">
        <v>12</v>
      </c>
      <c r="G629" s="10">
        <v>2014</v>
      </c>
      <c r="H629" s="21" t="s">
        <v>1449</v>
      </c>
      <c r="I629" s="21"/>
      <c r="J629" s="21" t="s">
        <v>247</v>
      </c>
    </row>
    <row r="630" spans="1:10" x14ac:dyDescent="0.2">
      <c r="A630" s="23" t="s">
        <v>14</v>
      </c>
      <c r="B630" s="24">
        <v>41992</v>
      </c>
      <c r="C630" s="23" t="s">
        <v>21</v>
      </c>
      <c r="D630" s="23" t="s">
        <v>1450</v>
      </c>
      <c r="E630" s="23" t="s">
        <v>1451</v>
      </c>
      <c r="F630" s="10">
        <v>12</v>
      </c>
      <c r="G630" s="10">
        <v>2014</v>
      </c>
      <c r="H630" s="23" t="s">
        <v>1449</v>
      </c>
      <c r="I630" s="23"/>
      <c r="J630" s="23" t="s">
        <v>247</v>
      </c>
    </row>
    <row r="631" spans="1:10" x14ac:dyDescent="0.2">
      <c r="A631" s="21" t="s">
        <v>14</v>
      </c>
      <c r="B631" s="22">
        <v>41992</v>
      </c>
      <c r="C631" s="21" t="s">
        <v>21</v>
      </c>
      <c r="D631" s="21" t="s">
        <v>1452</v>
      </c>
      <c r="E631" s="21" t="s">
        <v>1453</v>
      </c>
      <c r="F631" s="10">
        <v>12</v>
      </c>
      <c r="G631" s="10">
        <v>2014</v>
      </c>
      <c r="H631" s="21" t="s">
        <v>1449</v>
      </c>
      <c r="I631" s="21"/>
      <c r="J631" s="21" t="s">
        <v>247</v>
      </c>
    </row>
    <row r="632" spans="1:10" x14ac:dyDescent="0.2">
      <c r="A632" s="23" t="s">
        <v>14</v>
      </c>
      <c r="B632" s="24">
        <v>41992</v>
      </c>
      <c r="C632" s="23" t="s">
        <v>21</v>
      </c>
      <c r="D632" s="23" t="s">
        <v>1454</v>
      </c>
      <c r="E632" s="23" t="s">
        <v>1455</v>
      </c>
      <c r="F632" s="10">
        <v>12</v>
      </c>
      <c r="G632" s="10">
        <v>2014</v>
      </c>
      <c r="H632" s="23" t="s">
        <v>1449</v>
      </c>
      <c r="I632" s="23"/>
      <c r="J632" s="23" t="s">
        <v>247</v>
      </c>
    </row>
    <row r="633" spans="1:10" x14ac:dyDescent="0.2">
      <c r="A633" s="21" t="s">
        <v>14</v>
      </c>
      <c r="B633" s="22">
        <v>41992</v>
      </c>
      <c r="C633" s="21" t="s">
        <v>21</v>
      </c>
      <c r="D633" s="21" t="s">
        <v>1456</v>
      </c>
      <c r="E633" s="21" t="s">
        <v>1457</v>
      </c>
      <c r="F633" s="10">
        <v>12</v>
      </c>
      <c r="G633" s="10">
        <v>2014</v>
      </c>
      <c r="H633" s="21" t="s">
        <v>1449</v>
      </c>
      <c r="I633" s="21"/>
      <c r="J633" s="21" t="s">
        <v>247</v>
      </c>
    </row>
    <row r="634" spans="1:10" x14ac:dyDescent="0.2">
      <c r="A634" s="23" t="s">
        <v>14</v>
      </c>
      <c r="B634" s="24">
        <v>41990</v>
      </c>
      <c r="C634" s="23" t="s">
        <v>21</v>
      </c>
      <c r="D634" s="23" t="s">
        <v>1458</v>
      </c>
      <c r="E634" s="23" t="s">
        <v>1459</v>
      </c>
      <c r="F634" s="10">
        <v>12</v>
      </c>
      <c r="G634" s="10">
        <v>2014</v>
      </c>
      <c r="H634" s="23" t="s">
        <v>1449</v>
      </c>
      <c r="I634" s="23"/>
      <c r="J634" s="23" t="s">
        <v>247</v>
      </c>
    </row>
    <row r="635" spans="1:10" x14ac:dyDescent="0.2">
      <c r="A635" s="21" t="s">
        <v>14</v>
      </c>
      <c r="B635" s="22">
        <v>41976</v>
      </c>
      <c r="C635" s="21" t="s">
        <v>15</v>
      </c>
      <c r="D635" s="21" t="s">
        <v>1460</v>
      </c>
      <c r="E635" s="21" t="s">
        <v>1461</v>
      </c>
      <c r="F635" s="10">
        <v>12</v>
      </c>
      <c r="G635" s="10">
        <v>2014</v>
      </c>
      <c r="H635" s="21" t="s">
        <v>1449</v>
      </c>
      <c r="I635" s="21"/>
      <c r="J635" s="21" t="s">
        <v>247</v>
      </c>
    </row>
    <row r="636" spans="1:10" x14ac:dyDescent="0.2">
      <c r="A636" s="23" t="s">
        <v>14</v>
      </c>
      <c r="B636" s="24">
        <v>41927</v>
      </c>
      <c r="C636" s="23" t="s">
        <v>21</v>
      </c>
      <c r="D636" s="23" t="s">
        <v>1462</v>
      </c>
      <c r="E636" s="23" t="s">
        <v>1463</v>
      </c>
      <c r="F636" s="10">
        <v>10</v>
      </c>
      <c r="G636" s="10">
        <v>2014</v>
      </c>
      <c r="H636" s="23" t="s">
        <v>1464</v>
      </c>
      <c r="I636" s="23"/>
      <c r="J636" s="23" t="s">
        <v>247</v>
      </c>
    </row>
    <row r="637" spans="1:10" x14ac:dyDescent="0.2">
      <c r="A637" s="21" t="s">
        <v>14</v>
      </c>
      <c r="B637" s="22">
        <v>41927</v>
      </c>
      <c r="C637" s="21" t="s">
        <v>21</v>
      </c>
      <c r="D637" s="21" t="s">
        <v>1465</v>
      </c>
      <c r="E637" s="21" t="s">
        <v>1466</v>
      </c>
      <c r="F637" s="10">
        <v>10</v>
      </c>
      <c r="G637" s="10">
        <v>2014</v>
      </c>
      <c r="H637" s="21" t="s">
        <v>1464</v>
      </c>
      <c r="I637" s="21"/>
      <c r="J637" s="21" t="s">
        <v>247</v>
      </c>
    </row>
    <row r="638" spans="1:10" x14ac:dyDescent="0.2">
      <c r="A638" s="23" t="s">
        <v>14</v>
      </c>
      <c r="B638" s="24">
        <v>41922</v>
      </c>
      <c r="C638" s="23" t="s">
        <v>21</v>
      </c>
      <c r="D638" s="23" t="s">
        <v>1134</v>
      </c>
      <c r="E638" s="23" t="s">
        <v>1467</v>
      </c>
      <c r="F638" s="10">
        <v>10</v>
      </c>
      <c r="G638" s="10">
        <v>2014</v>
      </c>
      <c r="H638" s="23" t="s">
        <v>1464</v>
      </c>
      <c r="I638" s="23"/>
      <c r="J638" s="23" t="s">
        <v>247</v>
      </c>
    </row>
    <row r="639" spans="1:10" x14ac:dyDescent="0.2">
      <c r="A639" s="21" t="s">
        <v>14</v>
      </c>
      <c r="B639" s="22">
        <v>41922</v>
      </c>
      <c r="C639" s="21" t="s">
        <v>21</v>
      </c>
      <c r="D639" s="21" t="s">
        <v>1468</v>
      </c>
      <c r="E639" s="21" t="s">
        <v>1469</v>
      </c>
      <c r="F639" s="10">
        <v>10</v>
      </c>
      <c r="G639" s="10">
        <v>2014</v>
      </c>
      <c r="H639" s="21" t="s">
        <v>1464</v>
      </c>
      <c r="I639" s="21"/>
      <c r="J639" s="21" t="s">
        <v>247</v>
      </c>
    </row>
    <row r="640" spans="1:10" x14ac:dyDescent="0.2">
      <c r="A640" s="23" t="s">
        <v>14</v>
      </c>
      <c r="B640" s="24">
        <v>41922</v>
      </c>
      <c r="C640" s="23" t="s">
        <v>21</v>
      </c>
      <c r="D640" s="23" t="s">
        <v>1470</v>
      </c>
      <c r="E640" s="23" t="s">
        <v>1471</v>
      </c>
      <c r="F640" s="10">
        <v>10</v>
      </c>
      <c r="G640" s="10">
        <v>2014</v>
      </c>
      <c r="H640" s="23" t="s">
        <v>1464</v>
      </c>
      <c r="I640" s="23"/>
      <c r="J640" s="23" t="s">
        <v>247</v>
      </c>
    </row>
    <row r="641" spans="1:10" x14ac:dyDescent="0.2">
      <c r="A641" s="21" t="s">
        <v>14</v>
      </c>
      <c r="B641" s="22">
        <v>41900</v>
      </c>
      <c r="C641" s="21" t="s">
        <v>15</v>
      </c>
      <c r="D641" s="21" t="s">
        <v>1472</v>
      </c>
      <c r="E641" s="21" t="s">
        <v>1473</v>
      </c>
      <c r="F641" s="10">
        <v>9</v>
      </c>
      <c r="G641" s="10">
        <v>2014</v>
      </c>
      <c r="H641" s="21" t="s">
        <v>1474</v>
      </c>
      <c r="I641" s="21"/>
      <c r="J641" s="21" t="s">
        <v>247</v>
      </c>
    </row>
    <row r="642" spans="1:10" x14ac:dyDescent="0.2">
      <c r="A642" s="23" t="s">
        <v>14</v>
      </c>
      <c r="B642" s="24">
        <v>41898</v>
      </c>
      <c r="C642" s="23" t="s">
        <v>21</v>
      </c>
      <c r="D642" s="23" t="s">
        <v>1475</v>
      </c>
      <c r="E642" s="23" t="s">
        <v>1476</v>
      </c>
      <c r="F642" s="10">
        <v>9</v>
      </c>
      <c r="G642" s="10">
        <v>2014</v>
      </c>
      <c r="H642" s="23" t="s">
        <v>1474</v>
      </c>
      <c r="I642" s="23"/>
      <c r="J642" s="23" t="s">
        <v>247</v>
      </c>
    </row>
    <row r="643" spans="1:10" x14ac:dyDescent="0.2">
      <c r="A643" s="21" t="s">
        <v>14</v>
      </c>
      <c r="B643" s="22">
        <v>41886</v>
      </c>
      <c r="C643" s="21" t="s">
        <v>15</v>
      </c>
      <c r="D643" s="21" t="s">
        <v>1477</v>
      </c>
      <c r="E643" s="21" t="s">
        <v>1478</v>
      </c>
      <c r="F643" s="10">
        <v>9</v>
      </c>
      <c r="G643" s="10">
        <v>2014</v>
      </c>
      <c r="H643" s="21" t="s">
        <v>1474</v>
      </c>
      <c r="I643" s="21"/>
      <c r="J643" s="21" t="s">
        <v>247</v>
      </c>
    </row>
    <row r="644" spans="1:10" x14ac:dyDescent="0.2">
      <c r="A644" s="23" t="s">
        <v>14</v>
      </c>
      <c r="B644" s="24">
        <v>41870</v>
      </c>
      <c r="C644" s="23" t="s">
        <v>21</v>
      </c>
      <c r="D644" s="23" t="s">
        <v>1479</v>
      </c>
      <c r="E644" s="23" t="s">
        <v>1480</v>
      </c>
      <c r="F644" s="10">
        <v>8</v>
      </c>
      <c r="G644" s="10">
        <v>2014</v>
      </c>
      <c r="H644" s="23" t="s">
        <v>1481</v>
      </c>
      <c r="I644" s="23"/>
      <c r="J644" s="23" t="s">
        <v>247</v>
      </c>
    </row>
    <row r="645" spans="1:10" x14ac:dyDescent="0.2">
      <c r="A645" s="21" t="s">
        <v>14</v>
      </c>
      <c r="B645" s="22">
        <v>41866</v>
      </c>
      <c r="C645" s="21" t="s">
        <v>15</v>
      </c>
      <c r="D645" s="21" t="s">
        <v>1482</v>
      </c>
      <c r="E645" s="21" t="s">
        <v>1483</v>
      </c>
      <c r="F645" s="10">
        <v>8</v>
      </c>
      <c r="G645" s="10">
        <v>2014</v>
      </c>
      <c r="H645" s="21" t="s">
        <v>1481</v>
      </c>
      <c r="I645" s="21"/>
      <c r="J645" s="21" t="s">
        <v>247</v>
      </c>
    </row>
    <row r="646" spans="1:10" x14ac:dyDescent="0.2">
      <c r="A646" s="23" t="s">
        <v>14</v>
      </c>
      <c r="B646" s="24">
        <v>41864</v>
      </c>
      <c r="C646" s="23" t="s">
        <v>21</v>
      </c>
      <c r="D646" s="23" t="s">
        <v>1484</v>
      </c>
      <c r="E646" s="23" t="s">
        <v>1485</v>
      </c>
      <c r="F646" s="10">
        <v>8</v>
      </c>
      <c r="G646" s="10">
        <v>2014</v>
      </c>
      <c r="H646" s="23" t="s">
        <v>1481</v>
      </c>
      <c r="I646" s="23"/>
      <c r="J646" s="23" t="s">
        <v>247</v>
      </c>
    </row>
    <row r="647" spans="1:10" x14ac:dyDescent="0.2">
      <c r="A647" s="21" t="s">
        <v>14</v>
      </c>
      <c r="B647" s="22">
        <v>41857</v>
      </c>
      <c r="C647" s="21" t="s">
        <v>21</v>
      </c>
      <c r="D647" s="21" t="s">
        <v>1486</v>
      </c>
      <c r="E647" s="21" t="s">
        <v>1487</v>
      </c>
      <c r="F647" s="10">
        <v>8</v>
      </c>
      <c r="G647" s="10">
        <v>2014</v>
      </c>
      <c r="H647" s="21" t="s">
        <v>1481</v>
      </c>
      <c r="I647" s="21"/>
      <c r="J647" s="21" t="s">
        <v>247</v>
      </c>
    </row>
    <row r="648" spans="1:10" x14ac:dyDescent="0.2">
      <c r="A648" s="23" t="s">
        <v>14</v>
      </c>
      <c r="B648" s="24">
        <v>41852</v>
      </c>
      <c r="C648" s="23" t="s">
        <v>21</v>
      </c>
      <c r="D648" s="23" t="s">
        <v>1488</v>
      </c>
      <c r="E648" s="23" t="s">
        <v>1489</v>
      </c>
      <c r="F648" s="10">
        <v>8</v>
      </c>
      <c r="G648" s="10">
        <v>2014</v>
      </c>
      <c r="H648" s="23" t="s">
        <v>1481</v>
      </c>
      <c r="I648" s="23"/>
      <c r="J648" s="23" t="s">
        <v>247</v>
      </c>
    </row>
    <row r="649" spans="1:10" x14ac:dyDescent="0.2">
      <c r="A649" s="21" t="s">
        <v>14</v>
      </c>
      <c r="B649" s="22">
        <v>41851</v>
      </c>
      <c r="C649" s="21" t="s">
        <v>21</v>
      </c>
      <c r="D649" s="21" t="s">
        <v>1490</v>
      </c>
      <c r="E649" s="21" t="s">
        <v>1491</v>
      </c>
      <c r="F649" s="10">
        <v>7</v>
      </c>
      <c r="G649" s="10">
        <v>2014</v>
      </c>
      <c r="H649" s="21" t="s">
        <v>1492</v>
      </c>
      <c r="I649" s="21"/>
      <c r="J649" s="21" t="s">
        <v>247</v>
      </c>
    </row>
    <row r="650" spans="1:10" x14ac:dyDescent="0.2">
      <c r="A650" s="23" t="s">
        <v>14</v>
      </c>
      <c r="B650" s="24">
        <v>41843</v>
      </c>
      <c r="C650" s="23" t="s">
        <v>21</v>
      </c>
      <c r="D650" s="23" t="s">
        <v>1493</v>
      </c>
      <c r="E650" s="23" t="s">
        <v>1494</v>
      </c>
      <c r="F650" s="10">
        <v>7</v>
      </c>
      <c r="G650" s="10">
        <v>2014</v>
      </c>
      <c r="H650" s="23" t="s">
        <v>1492</v>
      </c>
      <c r="I650" s="23"/>
      <c r="J650" s="23" t="s">
        <v>247</v>
      </c>
    </row>
    <row r="651" spans="1:10" x14ac:dyDescent="0.2">
      <c r="A651" s="21" t="s">
        <v>14</v>
      </c>
      <c r="B651" s="22">
        <v>41827</v>
      </c>
      <c r="C651" s="21" t="s">
        <v>21</v>
      </c>
      <c r="D651" s="21" t="s">
        <v>1495</v>
      </c>
      <c r="E651" s="21" t="s">
        <v>1496</v>
      </c>
      <c r="F651" s="10">
        <v>7</v>
      </c>
      <c r="G651" s="10">
        <v>2014</v>
      </c>
      <c r="H651" s="21" t="s">
        <v>1492</v>
      </c>
      <c r="I651" s="21"/>
      <c r="J651" s="21" t="s">
        <v>247</v>
      </c>
    </row>
    <row r="652" spans="1:10" x14ac:dyDescent="0.2">
      <c r="A652" s="23" t="s">
        <v>14</v>
      </c>
      <c r="B652" s="24">
        <v>41823</v>
      </c>
      <c r="C652" s="23" t="s">
        <v>21</v>
      </c>
      <c r="D652" s="23" t="s">
        <v>1497</v>
      </c>
      <c r="E652" s="23" t="s">
        <v>1498</v>
      </c>
      <c r="F652" s="10">
        <v>7</v>
      </c>
      <c r="G652" s="10">
        <v>2014</v>
      </c>
      <c r="H652" s="23" t="s">
        <v>1492</v>
      </c>
      <c r="I652" s="23"/>
      <c r="J652" s="23" t="s">
        <v>247</v>
      </c>
    </row>
    <row r="653" spans="1:10" x14ac:dyDescent="0.2">
      <c r="A653" s="21" t="s">
        <v>14</v>
      </c>
      <c r="B653" s="22">
        <v>41810</v>
      </c>
      <c r="C653" s="21" t="s">
        <v>21</v>
      </c>
      <c r="D653" s="21" t="s">
        <v>1499</v>
      </c>
      <c r="E653" s="21" t="s">
        <v>1500</v>
      </c>
      <c r="F653" s="10">
        <v>6</v>
      </c>
      <c r="G653" s="10">
        <v>2014</v>
      </c>
      <c r="H653" s="21" t="s">
        <v>1501</v>
      </c>
      <c r="I653" s="21"/>
      <c r="J653" s="21" t="s">
        <v>247</v>
      </c>
    </row>
    <row r="654" spans="1:10" x14ac:dyDescent="0.2">
      <c r="A654" s="23" t="s">
        <v>14</v>
      </c>
      <c r="B654" s="24">
        <v>41796</v>
      </c>
      <c r="C654" s="23" t="s">
        <v>21</v>
      </c>
      <c r="D654" s="23" t="s">
        <v>1502</v>
      </c>
      <c r="E654" s="23" t="s">
        <v>1503</v>
      </c>
      <c r="F654" s="10">
        <v>6</v>
      </c>
      <c r="G654" s="10">
        <v>2014</v>
      </c>
      <c r="H654" s="23" t="s">
        <v>1501</v>
      </c>
      <c r="I654" s="23"/>
      <c r="J654" s="23" t="s">
        <v>247</v>
      </c>
    </row>
    <row r="655" spans="1:10" x14ac:dyDescent="0.2">
      <c r="A655" s="21" t="s">
        <v>14</v>
      </c>
      <c r="B655" s="22">
        <v>41782</v>
      </c>
      <c r="C655" s="21" t="s">
        <v>21</v>
      </c>
      <c r="D655" s="21" t="s">
        <v>1504</v>
      </c>
      <c r="E655" s="21" t="s">
        <v>1505</v>
      </c>
      <c r="F655" s="10">
        <v>5</v>
      </c>
      <c r="G655" s="10">
        <v>2014</v>
      </c>
      <c r="H655" s="21" t="s">
        <v>1506</v>
      </c>
      <c r="I655" s="21"/>
      <c r="J655" s="21" t="s">
        <v>247</v>
      </c>
    </row>
    <row r="656" spans="1:10" x14ac:dyDescent="0.2">
      <c r="A656" s="23" t="s">
        <v>14</v>
      </c>
      <c r="B656" s="24">
        <v>41779</v>
      </c>
      <c r="C656" s="23" t="s">
        <v>15</v>
      </c>
      <c r="D656" s="23" t="s">
        <v>1507</v>
      </c>
      <c r="E656" s="23" t="s">
        <v>1508</v>
      </c>
      <c r="F656" s="10">
        <v>5</v>
      </c>
      <c r="G656" s="10">
        <v>2014</v>
      </c>
      <c r="H656" s="23" t="s">
        <v>1506</v>
      </c>
      <c r="I656" s="23"/>
      <c r="J656" s="23" t="s">
        <v>247</v>
      </c>
    </row>
    <row r="657" spans="1:10" x14ac:dyDescent="0.2">
      <c r="A657" s="21" t="s">
        <v>14</v>
      </c>
      <c r="B657" s="22">
        <v>41767</v>
      </c>
      <c r="C657" s="21" t="s">
        <v>21</v>
      </c>
      <c r="D657" s="21" t="s">
        <v>1509</v>
      </c>
      <c r="E657" s="21" t="s">
        <v>1510</v>
      </c>
      <c r="F657" s="10">
        <v>5</v>
      </c>
      <c r="G657" s="10">
        <v>2014</v>
      </c>
      <c r="H657" s="21" t="s">
        <v>1506</v>
      </c>
      <c r="I657" s="21"/>
      <c r="J657" s="21" t="s">
        <v>247</v>
      </c>
    </row>
    <row r="658" spans="1:10" x14ac:dyDescent="0.2">
      <c r="A658" s="23" t="s">
        <v>14</v>
      </c>
      <c r="B658" s="24">
        <v>41758</v>
      </c>
      <c r="C658" s="23" t="s">
        <v>21</v>
      </c>
      <c r="D658" s="23" t="s">
        <v>1511</v>
      </c>
      <c r="E658" s="23" t="s">
        <v>1512</v>
      </c>
      <c r="F658" s="10">
        <v>4</v>
      </c>
      <c r="G658" s="10">
        <v>2014</v>
      </c>
      <c r="H658" s="23" t="s">
        <v>1513</v>
      </c>
      <c r="I658" s="23"/>
      <c r="J658" s="23" t="s">
        <v>247</v>
      </c>
    </row>
    <row r="659" spans="1:10" x14ac:dyDescent="0.2">
      <c r="A659" s="21" t="s">
        <v>14</v>
      </c>
      <c r="B659" s="22">
        <v>41752</v>
      </c>
      <c r="C659" s="21" t="s">
        <v>15</v>
      </c>
      <c r="D659" s="21" t="s">
        <v>1514</v>
      </c>
      <c r="E659" s="21" t="s">
        <v>1515</v>
      </c>
      <c r="F659" s="10">
        <v>4</v>
      </c>
      <c r="G659" s="10">
        <v>2014</v>
      </c>
      <c r="H659" s="21" t="s">
        <v>1513</v>
      </c>
      <c r="I659" s="21"/>
      <c r="J659" s="21" t="s">
        <v>247</v>
      </c>
    </row>
    <row r="660" spans="1:10" x14ac:dyDescent="0.2">
      <c r="A660" s="23" t="s">
        <v>14</v>
      </c>
      <c r="B660" s="24">
        <v>41750</v>
      </c>
      <c r="C660" s="23" t="s">
        <v>15</v>
      </c>
      <c r="D660" s="23" t="s">
        <v>1516</v>
      </c>
      <c r="E660" s="23" t="s">
        <v>1517</v>
      </c>
      <c r="F660" s="10">
        <v>4</v>
      </c>
      <c r="G660" s="10">
        <v>2014</v>
      </c>
      <c r="H660" s="23" t="s">
        <v>1513</v>
      </c>
      <c r="I660" s="23"/>
      <c r="J660" s="23" t="s">
        <v>247</v>
      </c>
    </row>
    <row r="661" spans="1:10" x14ac:dyDescent="0.2">
      <c r="A661" s="21" t="s">
        <v>14</v>
      </c>
      <c r="B661" s="22">
        <v>41744</v>
      </c>
      <c r="C661" s="21" t="s">
        <v>15</v>
      </c>
      <c r="D661" s="21" t="s">
        <v>1518</v>
      </c>
      <c r="E661" s="21" t="s">
        <v>1519</v>
      </c>
      <c r="F661" s="10">
        <v>4</v>
      </c>
      <c r="G661" s="10">
        <v>2014</v>
      </c>
      <c r="H661" s="21" t="s">
        <v>1513</v>
      </c>
      <c r="I661" s="21"/>
      <c r="J661" s="21" t="s">
        <v>247</v>
      </c>
    </row>
    <row r="662" spans="1:10" x14ac:dyDescent="0.2">
      <c r="A662" s="23" t="s">
        <v>14</v>
      </c>
      <c r="B662" s="24">
        <v>41719</v>
      </c>
      <c r="C662" s="23" t="s">
        <v>21</v>
      </c>
      <c r="D662" s="23" t="s">
        <v>1520</v>
      </c>
      <c r="E662" s="23" t="s">
        <v>1521</v>
      </c>
      <c r="F662" s="10">
        <v>3</v>
      </c>
      <c r="G662" s="10">
        <v>2014</v>
      </c>
      <c r="H662" s="23" t="s">
        <v>1522</v>
      </c>
      <c r="I662" s="23"/>
      <c r="J662" s="23" t="s">
        <v>247</v>
      </c>
    </row>
    <row r="663" spans="1:10" x14ac:dyDescent="0.2">
      <c r="A663" s="21" t="s">
        <v>14</v>
      </c>
      <c r="B663" s="22">
        <v>41717</v>
      </c>
      <c r="C663" s="21" t="s">
        <v>21</v>
      </c>
      <c r="D663" s="21" t="s">
        <v>1523</v>
      </c>
      <c r="E663" s="21" t="s">
        <v>1524</v>
      </c>
      <c r="F663" s="10">
        <v>3</v>
      </c>
      <c r="G663" s="10">
        <v>2014</v>
      </c>
      <c r="H663" s="21" t="s">
        <v>1522</v>
      </c>
      <c r="I663" s="21"/>
      <c r="J663" s="21" t="s">
        <v>247</v>
      </c>
    </row>
    <row r="664" spans="1:10" x14ac:dyDescent="0.2">
      <c r="A664" s="23" t="s">
        <v>14</v>
      </c>
      <c r="B664" s="24">
        <v>41717</v>
      </c>
      <c r="C664" s="23" t="s">
        <v>21</v>
      </c>
      <c r="D664" s="23" t="s">
        <v>1525</v>
      </c>
      <c r="E664" s="23" t="s">
        <v>1526</v>
      </c>
      <c r="F664" s="10">
        <v>3</v>
      </c>
      <c r="G664" s="10">
        <v>2014</v>
      </c>
      <c r="H664" s="23" t="s">
        <v>1522</v>
      </c>
      <c r="I664" s="23"/>
      <c r="J664" s="23" t="s">
        <v>247</v>
      </c>
    </row>
    <row r="665" spans="1:10" x14ac:dyDescent="0.2">
      <c r="A665" s="21" t="s">
        <v>14</v>
      </c>
      <c r="B665" s="22">
        <v>41694</v>
      </c>
      <c r="C665" s="21" t="s">
        <v>15</v>
      </c>
      <c r="D665" s="21" t="s">
        <v>1527</v>
      </c>
      <c r="E665" s="21" t="s">
        <v>1528</v>
      </c>
      <c r="F665" s="10">
        <v>2</v>
      </c>
      <c r="G665" s="10">
        <v>2014</v>
      </c>
      <c r="H665" s="21" t="s">
        <v>1529</v>
      </c>
      <c r="I665" s="21"/>
      <c r="J665" s="21" t="s">
        <v>247</v>
      </c>
    </row>
    <row r="666" spans="1:10" x14ac:dyDescent="0.2">
      <c r="A666" s="23" t="s">
        <v>14</v>
      </c>
      <c r="B666" s="24">
        <v>41688</v>
      </c>
      <c r="C666" s="23" t="s">
        <v>21</v>
      </c>
      <c r="D666" s="23" t="s">
        <v>1530</v>
      </c>
      <c r="E666" s="23" t="s">
        <v>1531</v>
      </c>
      <c r="F666" s="10">
        <v>2</v>
      </c>
      <c r="G666" s="10">
        <v>2014</v>
      </c>
      <c r="H666" s="23" t="s">
        <v>1529</v>
      </c>
      <c r="I666" s="23"/>
      <c r="J666" s="23" t="s">
        <v>247</v>
      </c>
    </row>
    <row r="667" spans="1:10" x14ac:dyDescent="0.2">
      <c r="A667" s="21" t="s">
        <v>14</v>
      </c>
      <c r="B667" s="22">
        <v>41684</v>
      </c>
      <c r="C667" s="21" t="s">
        <v>15</v>
      </c>
      <c r="D667" s="21" t="s">
        <v>1532</v>
      </c>
      <c r="E667" s="21" t="s">
        <v>1533</v>
      </c>
      <c r="F667" s="10">
        <v>2</v>
      </c>
      <c r="G667" s="10">
        <v>2014</v>
      </c>
      <c r="H667" s="21" t="s">
        <v>1529</v>
      </c>
      <c r="I667" s="21"/>
      <c r="J667" s="21" t="s">
        <v>247</v>
      </c>
    </row>
    <row r="668" spans="1:10" x14ac:dyDescent="0.2">
      <c r="A668" s="23" t="s">
        <v>14</v>
      </c>
      <c r="B668" s="24">
        <v>41670</v>
      </c>
      <c r="C668" s="23" t="s">
        <v>21</v>
      </c>
      <c r="D668" s="23" t="s">
        <v>1534</v>
      </c>
      <c r="E668" s="23" t="s">
        <v>1535</v>
      </c>
      <c r="F668" s="10">
        <v>1</v>
      </c>
      <c r="G668" s="10">
        <v>2014</v>
      </c>
      <c r="H668" s="23" t="s">
        <v>1536</v>
      </c>
      <c r="I668" s="23"/>
      <c r="J668" s="23" t="s">
        <v>247</v>
      </c>
    </row>
    <row r="669" spans="1:10" x14ac:dyDescent="0.2">
      <c r="A669" s="21" t="s">
        <v>14</v>
      </c>
      <c r="B669" s="22">
        <v>41647</v>
      </c>
      <c r="C669" s="21" t="s">
        <v>21</v>
      </c>
      <c r="D669" s="21" t="s">
        <v>1537</v>
      </c>
      <c r="E669" s="21" t="s">
        <v>1538</v>
      </c>
      <c r="F669" s="10">
        <v>1</v>
      </c>
      <c r="G669" s="10">
        <v>2014</v>
      </c>
      <c r="H669" s="21" t="s">
        <v>1536</v>
      </c>
      <c r="I669" s="21"/>
      <c r="J669" s="21" t="s">
        <v>247</v>
      </c>
    </row>
    <row r="670" spans="1:10" x14ac:dyDescent="0.2">
      <c r="A670" s="23" t="s">
        <v>14</v>
      </c>
      <c r="B670" s="24">
        <v>41626</v>
      </c>
      <c r="C670" s="23" t="s">
        <v>21</v>
      </c>
      <c r="D670" s="23" t="s">
        <v>1539</v>
      </c>
      <c r="E670" s="23" t="s">
        <v>1540</v>
      </c>
      <c r="F670" s="10">
        <v>12</v>
      </c>
      <c r="G670" s="10">
        <v>2013</v>
      </c>
      <c r="H670" s="23" t="s">
        <v>1541</v>
      </c>
      <c r="I670" s="23"/>
      <c r="J670" s="23" t="s">
        <v>247</v>
      </c>
    </row>
    <row r="671" spans="1:10" x14ac:dyDescent="0.2">
      <c r="A671" s="21" t="s">
        <v>14</v>
      </c>
      <c r="B671" s="22">
        <v>41614</v>
      </c>
      <c r="C671" s="21" t="s">
        <v>21</v>
      </c>
      <c r="D671" s="21" t="s">
        <v>1542</v>
      </c>
      <c r="E671" s="21" t="s">
        <v>1543</v>
      </c>
      <c r="F671" s="10">
        <v>12</v>
      </c>
      <c r="G671" s="10">
        <v>2013</v>
      </c>
      <c r="H671" s="21" t="s">
        <v>1541</v>
      </c>
      <c r="I671" s="21"/>
      <c r="J671" s="21" t="s">
        <v>247</v>
      </c>
    </row>
    <row r="672" spans="1:10" x14ac:dyDescent="0.2">
      <c r="A672" s="23" t="s">
        <v>14</v>
      </c>
      <c r="B672" s="24">
        <v>41600</v>
      </c>
      <c r="C672" s="23" t="s">
        <v>21</v>
      </c>
      <c r="D672" s="23" t="s">
        <v>1544</v>
      </c>
      <c r="E672" s="23" t="s">
        <v>1545</v>
      </c>
      <c r="F672" s="10">
        <v>11</v>
      </c>
      <c r="G672" s="10">
        <v>2013</v>
      </c>
      <c r="H672" s="23" t="s">
        <v>1546</v>
      </c>
      <c r="I672" s="23"/>
      <c r="J672" s="23" t="s">
        <v>247</v>
      </c>
    </row>
    <row r="673" spans="1:10" x14ac:dyDescent="0.2">
      <c r="A673" s="21" t="s">
        <v>14</v>
      </c>
      <c r="B673" s="22">
        <v>41592</v>
      </c>
      <c r="C673" s="21" t="s">
        <v>21</v>
      </c>
      <c r="D673" s="21" t="s">
        <v>1547</v>
      </c>
      <c r="E673" s="21" t="s">
        <v>1548</v>
      </c>
      <c r="F673" s="10">
        <v>11</v>
      </c>
      <c r="G673" s="10">
        <v>2013</v>
      </c>
      <c r="H673" s="21" t="s">
        <v>1546</v>
      </c>
      <c r="I673" s="21"/>
      <c r="J673" s="21" t="s">
        <v>247</v>
      </c>
    </row>
    <row r="674" spans="1:10" x14ac:dyDescent="0.2">
      <c r="A674" s="23" t="s">
        <v>14</v>
      </c>
      <c r="B674" s="24">
        <v>41591</v>
      </c>
      <c r="C674" s="23" t="s">
        <v>21</v>
      </c>
      <c r="D674" s="23" t="s">
        <v>1549</v>
      </c>
      <c r="E674" s="23" t="s">
        <v>1550</v>
      </c>
      <c r="F674" s="10">
        <v>11</v>
      </c>
      <c r="G674" s="10">
        <v>2013</v>
      </c>
      <c r="H674" s="23" t="s">
        <v>1546</v>
      </c>
      <c r="I674" s="23"/>
      <c r="J674" s="23" t="s">
        <v>247</v>
      </c>
    </row>
    <row r="675" spans="1:10" x14ac:dyDescent="0.2">
      <c r="A675" s="21" t="s">
        <v>14</v>
      </c>
      <c r="B675" s="22">
        <v>41586</v>
      </c>
      <c r="C675" s="21" t="s">
        <v>21</v>
      </c>
      <c r="D675" s="21" t="s">
        <v>1551</v>
      </c>
      <c r="E675" s="21" t="s">
        <v>1552</v>
      </c>
      <c r="F675" s="10">
        <v>11</v>
      </c>
      <c r="G675" s="10">
        <v>2013</v>
      </c>
      <c r="H675" s="21" t="s">
        <v>1546</v>
      </c>
      <c r="I675" s="21"/>
      <c r="J675" s="21" t="s">
        <v>247</v>
      </c>
    </row>
    <row r="676" spans="1:10" x14ac:dyDescent="0.2">
      <c r="A676" s="23" t="s">
        <v>14</v>
      </c>
      <c r="B676" s="24">
        <v>41579</v>
      </c>
      <c r="C676" s="23" t="s">
        <v>15</v>
      </c>
      <c r="D676" s="23" t="s">
        <v>1553</v>
      </c>
      <c r="E676" s="23" t="s">
        <v>1554</v>
      </c>
      <c r="F676" s="10">
        <v>11</v>
      </c>
      <c r="G676" s="10">
        <v>2013</v>
      </c>
      <c r="H676" s="23" t="s">
        <v>1546</v>
      </c>
      <c r="I676" s="23"/>
      <c r="J676" s="23" t="s">
        <v>247</v>
      </c>
    </row>
    <row r="677" spans="1:10" x14ac:dyDescent="0.2">
      <c r="A677" s="21" t="s">
        <v>14</v>
      </c>
      <c r="B677" s="22">
        <v>41572</v>
      </c>
      <c r="C677" s="21" t="s">
        <v>21</v>
      </c>
      <c r="D677" s="21" t="s">
        <v>1555</v>
      </c>
      <c r="E677" s="21" t="s">
        <v>1556</v>
      </c>
      <c r="F677" s="10">
        <v>10</v>
      </c>
      <c r="G677" s="10">
        <v>2013</v>
      </c>
      <c r="H677" s="21" t="s">
        <v>1557</v>
      </c>
      <c r="I677" s="21"/>
      <c r="J677" s="21" t="s">
        <v>247</v>
      </c>
    </row>
    <row r="678" spans="1:10" x14ac:dyDescent="0.2">
      <c r="A678" s="23" t="s">
        <v>14</v>
      </c>
      <c r="B678" s="24">
        <v>41565</v>
      </c>
      <c r="C678" s="23" t="s">
        <v>21</v>
      </c>
      <c r="D678" s="23" t="s">
        <v>1558</v>
      </c>
      <c r="E678" s="23" t="s">
        <v>1559</v>
      </c>
      <c r="F678" s="10">
        <v>10</v>
      </c>
      <c r="G678" s="10">
        <v>2013</v>
      </c>
      <c r="H678" s="23" t="s">
        <v>1557</v>
      </c>
      <c r="I678" s="23"/>
      <c r="J678" s="23" t="s">
        <v>247</v>
      </c>
    </row>
    <row r="679" spans="1:10" x14ac:dyDescent="0.2">
      <c r="A679" s="21" t="s">
        <v>14</v>
      </c>
      <c r="B679" s="22">
        <v>41555</v>
      </c>
      <c r="C679" s="21" t="s">
        <v>21</v>
      </c>
      <c r="D679" s="21" t="s">
        <v>1560</v>
      </c>
      <c r="E679" s="21" t="s">
        <v>1561</v>
      </c>
      <c r="F679" s="10">
        <v>10</v>
      </c>
      <c r="G679" s="10">
        <v>2013</v>
      </c>
      <c r="H679" s="21" t="s">
        <v>1557</v>
      </c>
      <c r="I679" s="21"/>
      <c r="J679" s="21" t="s">
        <v>247</v>
      </c>
    </row>
    <row r="680" spans="1:10" x14ac:dyDescent="0.2">
      <c r="A680" s="23" t="s">
        <v>14</v>
      </c>
      <c r="B680" s="24">
        <v>41550</v>
      </c>
      <c r="C680" s="23" t="s">
        <v>21</v>
      </c>
      <c r="D680" s="23" t="s">
        <v>1562</v>
      </c>
      <c r="E680" s="23" t="s">
        <v>1563</v>
      </c>
      <c r="F680" s="10">
        <v>10</v>
      </c>
      <c r="G680" s="10">
        <v>2013</v>
      </c>
      <c r="H680" s="23" t="s">
        <v>1557</v>
      </c>
      <c r="I680" s="23"/>
      <c r="J680" s="23" t="s">
        <v>247</v>
      </c>
    </row>
    <row r="681" spans="1:10" x14ac:dyDescent="0.2">
      <c r="A681" s="21" t="s">
        <v>14</v>
      </c>
      <c r="B681" s="22">
        <v>41547</v>
      </c>
      <c r="C681" s="21" t="s">
        <v>21</v>
      </c>
      <c r="D681" s="21" t="s">
        <v>1564</v>
      </c>
      <c r="E681" s="21" t="s">
        <v>1565</v>
      </c>
      <c r="F681" s="10">
        <v>9</v>
      </c>
      <c r="G681" s="10">
        <v>2013</v>
      </c>
      <c r="H681" s="21" t="s">
        <v>1566</v>
      </c>
      <c r="I681" s="21"/>
      <c r="J681" s="21" t="s">
        <v>247</v>
      </c>
    </row>
    <row r="682" spans="1:10" x14ac:dyDescent="0.2">
      <c r="A682" s="23" t="s">
        <v>14</v>
      </c>
      <c r="B682" s="24">
        <v>41498</v>
      </c>
      <c r="C682" s="23" t="s">
        <v>21</v>
      </c>
      <c r="D682" s="23" t="s">
        <v>1567</v>
      </c>
      <c r="E682" s="23" t="s">
        <v>1568</v>
      </c>
      <c r="F682" s="10">
        <v>8</v>
      </c>
      <c r="G682" s="10">
        <v>2013</v>
      </c>
      <c r="H682" s="23" t="s">
        <v>1569</v>
      </c>
      <c r="I682" s="23"/>
      <c r="J682" s="23" t="s">
        <v>247</v>
      </c>
    </row>
    <row r="683" spans="1:10" x14ac:dyDescent="0.2">
      <c r="A683" s="21" t="s">
        <v>14</v>
      </c>
      <c r="B683" s="22">
        <v>41467</v>
      </c>
      <c r="C683" s="21" t="s">
        <v>21</v>
      </c>
      <c r="D683" s="21" t="s">
        <v>1570</v>
      </c>
      <c r="E683" s="21" t="s">
        <v>1571</v>
      </c>
      <c r="F683" s="10">
        <v>7</v>
      </c>
      <c r="G683" s="10">
        <v>2013</v>
      </c>
      <c r="H683" s="21" t="s">
        <v>1572</v>
      </c>
      <c r="I683" s="21"/>
      <c r="J683" s="21" t="s">
        <v>247</v>
      </c>
    </row>
    <row r="684" spans="1:10" x14ac:dyDescent="0.2">
      <c r="A684" s="23" t="s">
        <v>14</v>
      </c>
      <c r="B684" s="24">
        <v>41423</v>
      </c>
      <c r="C684" s="23" t="s">
        <v>21</v>
      </c>
      <c r="D684" s="23" t="s">
        <v>1573</v>
      </c>
      <c r="E684" s="23" t="s">
        <v>1574</v>
      </c>
      <c r="F684" s="10">
        <v>5</v>
      </c>
      <c r="G684" s="10">
        <v>2013</v>
      </c>
      <c r="H684" s="23" t="s">
        <v>1575</v>
      </c>
      <c r="I684" s="23"/>
      <c r="J684" s="23" t="s">
        <v>247</v>
      </c>
    </row>
    <row r="685" spans="1:10" x14ac:dyDescent="0.2">
      <c r="A685" s="21" t="s">
        <v>14</v>
      </c>
      <c r="B685" s="22">
        <v>41423</v>
      </c>
      <c r="C685" s="21" t="s">
        <v>21</v>
      </c>
      <c r="D685" s="21" t="s">
        <v>1576</v>
      </c>
      <c r="E685" s="21" t="s">
        <v>1577</v>
      </c>
      <c r="F685" s="10">
        <v>5</v>
      </c>
      <c r="G685" s="10">
        <v>2013</v>
      </c>
      <c r="H685" s="21" t="s">
        <v>1575</v>
      </c>
      <c r="I685" s="21"/>
      <c r="J685" s="21" t="s">
        <v>247</v>
      </c>
    </row>
    <row r="686" spans="1:10" x14ac:dyDescent="0.2">
      <c r="A686" s="23" t="s">
        <v>14</v>
      </c>
      <c r="B686" s="24">
        <v>41409</v>
      </c>
      <c r="C686" s="23" t="s">
        <v>21</v>
      </c>
      <c r="D686" s="23" t="s">
        <v>1578</v>
      </c>
      <c r="E686" s="23" t="s">
        <v>1579</v>
      </c>
      <c r="F686" s="10">
        <v>5</v>
      </c>
      <c r="G686" s="10">
        <v>2013</v>
      </c>
      <c r="H686" s="23" t="s">
        <v>1575</v>
      </c>
      <c r="I686" s="23"/>
      <c r="J686" s="23" t="s">
        <v>247</v>
      </c>
    </row>
    <row r="687" spans="1:10" x14ac:dyDescent="0.2">
      <c r="A687" s="21" t="s">
        <v>14</v>
      </c>
      <c r="B687" s="22">
        <v>41404</v>
      </c>
      <c r="C687" s="21" t="s">
        <v>21</v>
      </c>
      <c r="D687" s="21" t="s">
        <v>1580</v>
      </c>
      <c r="E687" s="21" t="s">
        <v>1581</v>
      </c>
      <c r="F687" s="10">
        <v>5</v>
      </c>
      <c r="G687" s="10">
        <v>2013</v>
      </c>
      <c r="H687" s="21" t="s">
        <v>1575</v>
      </c>
      <c r="I687" s="21"/>
      <c r="J687" s="21" t="s">
        <v>247</v>
      </c>
    </row>
    <row r="688" spans="1:10" x14ac:dyDescent="0.2">
      <c r="A688" s="23" t="s">
        <v>14</v>
      </c>
      <c r="B688" s="24">
        <v>41362</v>
      </c>
      <c r="C688" s="23" t="s">
        <v>21</v>
      </c>
      <c r="D688" s="23" t="s">
        <v>1582</v>
      </c>
      <c r="E688" s="23" t="s">
        <v>1583</v>
      </c>
      <c r="F688" s="10">
        <v>3</v>
      </c>
      <c r="G688" s="10">
        <v>2013</v>
      </c>
      <c r="H688" s="23" t="s">
        <v>1584</v>
      </c>
      <c r="I688" s="23"/>
      <c r="J688" s="23" t="s">
        <v>247</v>
      </c>
    </row>
    <row r="689" spans="1:10" x14ac:dyDescent="0.2">
      <c r="A689" s="21" t="s">
        <v>14</v>
      </c>
      <c r="B689" s="22">
        <v>41360</v>
      </c>
      <c r="C689" s="21" t="s">
        <v>21</v>
      </c>
      <c r="D689" s="21" t="s">
        <v>1585</v>
      </c>
      <c r="E689" s="21" t="s">
        <v>1586</v>
      </c>
      <c r="F689" s="10">
        <v>3</v>
      </c>
      <c r="G689" s="10">
        <v>2013</v>
      </c>
      <c r="H689" s="21" t="s">
        <v>1584</v>
      </c>
      <c r="I689" s="21"/>
      <c r="J689" s="21" t="s">
        <v>247</v>
      </c>
    </row>
    <row r="690" spans="1:10" x14ac:dyDescent="0.2">
      <c r="A690" s="23" t="s">
        <v>14</v>
      </c>
      <c r="B690" s="24">
        <v>41353</v>
      </c>
      <c r="C690" s="23" t="s">
        <v>21</v>
      </c>
      <c r="D690" s="23" t="s">
        <v>1587</v>
      </c>
      <c r="E690" s="23" t="s">
        <v>1588</v>
      </c>
      <c r="F690" s="10">
        <v>3</v>
      </c>
      <c r="G690" s="10">
        <v>2013</v>
      </c>
      <c r="H690" s="23" t="s">
        <v>1584</v>
      </c>
      <c r="I690" s="23"/>
      <c r="J690" s="23" t="s">
        <v>247</v>
      </c>
    </row>
    <row r="691" spans="1:10" x14ac:dyDescent="0.2">
      <c r="A691" s="21" t="s">
        <v>14</v>
      </c>
      <c r="B691" s="22">
        <v>41346</v>
      </c>
      <c r="C691" s="21" t="s">
        <v>21</v>
      </c>
      <c r="D691" s="21" t="s">
        <v>1589</v>
      </c>
      <c r="E691" s="21" t="s">
        <v>1590</v>
      </c>
      <c r="F691" s="10">
        <v>3</v>
      </c>
      <c r="G691" s="10">
        <v>2013</v>
      </c>
      <c r="H691" s="21" t="s">
        <v>1584</v>
      </c>
      <c r="I691" s="21"/>
      <c r="J691" s="21" t="s">
        <v>247</v>
      </c>
    </row>
    <row r="692" spans="1:10" x14ac:dyDescent="0.2">
      <c r="A692" s="23" t="s">
        <v>14</v>
      </c>
      <c r="B692" s="24">
        <v>41331</v>
      </c>
      <c r="C692" s="23" t="s">
        <v>21</v>
      </c>
      <c r="D692" s="23" t="s">
        <v>1591</v>
      </c>
      <c r="E692" s="23" t="s">
        <v>1592</v>
      </c>
      <c r="F692" s="10">
        <v>2</v>
      </c>
      <c r="G692" s="10">
        <v>2013</v>
      </c>
      <c r="H692" s="23" t="s">
        <v>1593</v>
      </c>
      <c r="I692" s="23"/>
      <c r="J692" s="23" t="s">
        <v>247</v>
      </c>
    </row>
    <row r="693" spans="1:10" x14ac:dyDescent="0.2">
      <c r="A693" s="21" t="s">
        <v>14</v>
      </c>
      <c r="B693" s="22">
        <v>41327</v>
      </c>
      <c r="C693" s="21" t="s">
        <v>15</v>
      </c>
      <c r="D693" s="21" t="s">
        <v>1594</v>
      </c>
      <c r="E693" s="21" t="s">
        <v>1595</v>
      </c>
      <c r="F693" s="10">
        <v>2</v>
      </c>
      <c r="G693" s="10">
        <v>2013</v>
      </c>
      <c r="H693" s="21" t="s">
        <v>1593</v>
      </c>
      <c r="I693" s="21"/>
      <c r="J693" s="21" t="s">
        <v>247</v>
      </c>
    </row>
    <row r="694" spans="1:10" x14ac:dyDescent="0.2">
      <c r="A694" s="23" t="s">
        <v>14</v>
      </c>
      <c r="B694" s="24">
        <v>41313</v>
      </c>
      <c r="C694" s="23" t="s">
        <v>21</v>
      </c>
      <c r="D694" s="23" t="s">
        <v>1596</v>
      </c>
      <c r="E694" s="23" t="s">
        <v>1597</v>
      </c>
      <c r="F694" s="10">
        <v>2</v>
      </c>
      <c r="G694" s="10">
        <v>2013</v>
      </c>
      <c r="H694" s="23" t="s">
        <v>1593</v>
      </c>
      <c r="I694" s="23"/>
      <c r="J694" s="23" t="s">
        <v>247</v>
      </c>
    </row>
    <row r="695" spans="1:10" x14ac:dyDescent="0.2">
      <c r="A695" s="21" t="s">
        <v>14</v>
      </c>
      <c r="B695" s="22">
        <v>41303</v>
      </c>
      <c r="C695" s="21" t="s">
        <v>21</v>
      </c>
      <c r="D695" s="21" t="s">
        <v>1598</v>
      </c>
      <c r="E695" s="21" t="s">
        <v>1599</v>
      </c>
      <c r="F695" s="10">
        <v>1</v>
      </c>
      <c r="G695" s="10">
        <v>2013</v>
      </c>
      <c r="H695" s="21" t="s">
        <v>1600</v>
      </c>
      <c r="I695" s="21"/>
      <c r="J695" s="21" t="s">
        <v>247</v>
      </c>
    </row>
    <row r="696" spans="1:10" x14ac:dyDescent="0.2">
      <c r="A696" s="23" t="s">
        <v>14</v>
      </c>
      <c r="B696" s="24">
        <v>41299</v>
      </c>
      <c r="C696" s="23" t="s">
        <v>21</v>
      </c>
      <c r="D696" s="23" t="s">
        <v>1601</v>
      </c>
      <c r="E696" s="23" t="s">
        <v>1602</v>
      </c>
      <c r="F696" s="10">
        <v>1</v>
      </c>
      <c r="G696" s="10">
        <v>2013</v>
      </c>
      <c r="H696" s="23" t="s">
        <v>1600</v>
      </c>
      <c r="I696" s="23"/>
      <c r="J696" s="23" t="s">
        <v>247</v>
      </c>
    </row>
    <row r="697" spans="1:10" x14ac:dyDescent="0.2">
      <c r="A697" s="21" t="s">
        <v>14</v>
      </c>
      <c r="B697" s="22">
        <v>41274</v>
      </c>
      <c r="C697" s="21" t="s">
        <v>21</v>
      </c>
      <c r="D697" s="21" t="s">
        <v>1603</v>
      </c>
      <c r="E697" s="21" t="s">
        <v>1604</v>
      </c>
      <c r="F697" s="10">
        <v>12</v>
      </c>
      <c r="G697" s="10">
        <v>2012</v>
      </c>
      <c r="H697" s="21" t="s">
        <v>1605</v>
      </c>
      <c r="I697" s="21"/>
      <c r="J697" s="21" t="s">
        <v>247</v>
      </c>
    </row>
    <row r="698" spans="1:10" x14ac:dyDescent="0.2">
      <c r="A698" s="23" t="s">
        <v>14</v>
      </c>
      <c r="B698" s="24">
        <v>41271</v>
      </c>
      <c r="C698" s="23" t="s">
        <v>21</v>
      </c>
      <c r="D698" s="23" t="s">
        <v>1606</v>
      </c>
      <c r="E698" s="23" t="s">
        <v>1607</v>
      </c>
      <c r="F698" s="10">
        <v>12</v>
      </c>
      <c r="G698" s="10">
        <v>2012</v>
      </c>
      <c r="H698" s="23" t="s">
        <v>1605</v>
      </c>
      <c r="I698" s="23"/>
      <c r="J698" s="23" t="s">
        <v>247</v>
      </c>
    </row>
    <row r="699" spans="1:10" x14ac:dyDescent="0.2">
      <c r="A699" s="21" t="s">
        <v>14</v>
      </c>
      <c r="B699" s="22">
        <v>41271</v>
      </c>
      <c r="C699" s="21" t="s">
        <v>21</v>
      </c>
      <c r="D699" s="21" t="s">
        <v>1608</v>
      </c>
      <c r="E699" s="21" t="s">
        <v>1609</v>
      </c>
      <c r="F699" s="10">
        <v>12</v>
      </c>
      <c r="G699" s="10">
        <v>2012</v>
      </c>
      <c r="H699" s="21" t="s">
        <v>1605</v>
      </c>
      <c r="I699" s="21"/>
      <c r="J699" s="21" t="s">
        <v>247</v>
      </c>
    </row>
    <row r="700" spans="1:10" x14ac:dyDescent="0.2">
      <c r="A700" s="23" t="s">
        <v>14</v>
      </c>
      <c r="B700" s="24">
        <v>41264</v>
      </c>
      <c r="C700" s="23" t="s">
        <v>21</v>
      </c>
      <c r="D700" s="23" t="s">
        <v>1610</v>
      </c>
      <c r="E700" s="23" t="s">
        <v>1611</v>
      </c>
      <c r="F700" s="10">
        <v>12</v>
      </c>
      <c r="G700" s="10">
        <v>2012</v>
      </c>
      <c r="H700" s="23" t="s">
        <v>1605</v>
      </c>
      <c r="I700" s="23"/>
      <c r="J700" s="23" t="s">
        <v>247</v>
      </c>
    </row>
    <row r="701" spans="1:10" x14ac:dyDescent="0.2">
      <c r="A701" s="21" t="s">
        <v>14</v>
      </c>
      <c r="B701" s="22">
        <v>41264</v>
      </c>
      <c r="C701" s="21" t="s">
        <v>21</v>
      </c>
      <c r="D701" s="21" t="s">
        <v>1612</v>
      </c>
      <c r="E701" s="21" t="s">
        <v>1613</v>
      </c>
      <c r="F701" s="10">
        <v>12</v>
      </c>
      <c r="G701" s="10">
        <v>2012</v>
      </c>
      <c r="H701" s="21" t="s">
        <v>1605</v>
      </c>
      <c r="I701" s="21"/>
      <c r="J701" s="21" t="s">
        <v>247</v>
      </c>
    </row>
    <row r="702" spans="1:10" x14ac:dyDescent="0.2">
      <c r="A702" s="23" t="s">
        <v>14</v>
      </c>
      <c r="B702" s="24">
        <v>41257</v>
      </c>
      <c r="C702" s="23" t="s">
        <v>21</v>
      </c>
      <c r="D702" s="23" t="s">
        <v>1614</v>
      </c>
      <c r="E702" s="23" t="s">
        <v>1615</v>
      </c>
      <c r="F702" s="10">
        <v>12</v>
      </c>
      <c r="G702" s="10">
        <v>2012</v>
      </c>
      <c r="H702" s="23" t="s">
        <v>1605</v>
      </c>
      <c r="I702" s="23"/>
      <c r="J702" s="23" t="s">
        <v>247</v>
      </c>
    </row>
    <row r="703" spans="1:10" x14ac:dyDescent="0.2">
      <c r="A703" s="21" t="s">
        <v>14</v>
      </c>
      <c r="B703" s="22">
        <v>41257</v>
      </c>
      <c r="C703" s="21" t="s">
        <v>21</v>
      </c>
      <c r="D703" s="21" t="s">
        <v>1616</v>
      </c>
      <c r="E703" s="21" t="s">
        <v>1617</v>
      </c>
      <c r="F703" s="10">
        <v>12</v>
      </c>
      <c r="G703" s="10">
        <v>2012</v>
      </c>
      <c r="H703" s="21" t="s">
        <v>1605</v>
      </c>
      <c r="I703" s="21"/>
      <c r="J703" s="21" t="s">
        <v>247</v>
      </c>
    </row>
    <row r="704" spans="1:10" x14ac:dyDescent="0.2">
      <c r="A704" s="23" t="s">
        <v>14</v>
      </c>
      <c r="B704" s="24">
        <v>41257</v>
      </c>
      <c r="C704" s="23" t="s">
        <v>15</v>
      </c>
      <c r="D704" s="23" t="s">
        <v>728</v>
      </c>
      <c r="E704" s="23" t="s">
        <v>1618</v>
      </c>
      <c r="F704" s="10">
        <v>12</v>
      </c>
      <c r="G704" s="10">
        <v>2012</v>
      </c>
      <c r="H704" s="23" t="s">
        <v>1605</v>
      </c>
      <c r="I704" s="23"/>
      <c r="J704" s="23" t="s">
        <v>247</v>
      </c>
    </row>
    <row r="705" spans="1:10" x14ac:dyDescent="0.2">
      <c r="A705" s="21" t="s">
        <v>14</v>
      </c>
      <c r="B705" s="22">
        <v>41242</v>
      </c>
      <c r="C705" s="21" t="s">
        <v>21</v>
      </c>
      <c r="D705" s="21" t="s">
        <v>1619</v>
      </c>
      <c r="E705" s="21" t="s">
        <v>1620</v>
      </c>
      <c r="F705" s="10">
        <v>11</v>
      </c>
      <c r="G705" s="10">
        <v>2012</v>
      </c>
      <c r="H705" s="21" t="s">
        <v>1621</v>
      </c>
      <c r="I705" s="21"/>
      <c r="J705" s="21" t="s">
        <v>247</v>
      </c>
    </row>
    <row r="706" spans="1:10" x14ac:dyDescent="0.2">
      <c r="A706" s="23" t="s">
        <v>14</v>
      </c>
      <c r="B706" s="24">
        <v>41219</v>
      </c>
      <c r="C706" s="23" t="s">
        <v>21</v>
      </c>
      <c r="D706" s="23" t="s">
        <v>1622</v>
      </c>
      <c r="E706" s="23" t="s">
        <v>1623</v>
      </c>
      <c r="F706" s="10">
        <v>11</v>
      </c>
      <c r="G706" s="10">
        <v>2012</v>
      </c>
      <c r="H706" s="23" t="s">
        <v>1621</v>
      </c>
      <c r="I706" s="23"/>
      <c r="J706" s="23" t="s">
        <v>247</v>
      </c>
    </row>
    <row r="707" spans="1:10" x14ac:dyDescent="0.2">
      <c r="A707" s="21" t="s">
        <v>14</v>
      </c>
      <c r="B707" s="22">
        <v>41208</v>
      </c>
      <c r="C707" s="21" t="s">
        <v>21</v>
      </c>
      <c r="D707" s="21" t="s">
        <v>1624</v>
      </c>
      <c r="E707" s="21" t="s">
        <v>1625</v>
      </c>
      <c r="F707" s="10">
        <v>10</v>
      </c>
      <c r="G707" s="10">
        <v>2012</v>
      </c>
      <c r="H707" s="21" t="s">
        <v>1626</v>
      </c>
      <c r="I707" s="21"/>
      <c r="J707" s="21" t="s">
        <v>247</v>
      </c>
    </row>
    <row r="708" spans="1:10" x14ac:dyDescent="0.2">
      <c r="A708" s="23" t="s">
        <v>14</v>
      </c>
      <c r="B708" s="24">
        <v>41204</v>
      </c>
      <c r="C708" s="23" t="s">
        <v>21</v>
      </c>
      <c r="D708" s="23" t="s">
        <v>1627</v>
      </c>
      <c r="E708" s="23" t="s">
        <v>1628</v>
      </c>
      <c r="F708" s="10">
        <v>10</v>
      </c>
      <c r="G708" s="10">
        <v>2012</v>
      </c>
      <c r="H708" s="23" t="s">
        <v>1626</v>
      </c>
      <c r="I708" s="23"/>
      <c r="J708" s="23" t="s">
        <v>247</v>
      </c>
    </row>
    <row r="709" spans="1:10" x14ac:dyDescent="0.2">
      <c r="A709" s="21" t="s">
        <v>14</v>
      </c>
      <c r="B709" s="22">
        <v>41199</v>
      </c>
      <c r="C709" s="21" t="s">
        <v>15</v>
      </c>
      <c r="D709" s="21" t="s">
        <v>1629</v>
      </c>
      <c r="E709" s="21" t="s">
        <v>1630</v>
      </c>
      <c r="F709" s="10">
        <v>10</v>
      </c>
      <c r="G709" s="10">
        <v>2012</v>
      </c>
      <c r="H709" s="21" t="s">
        <v>1626</v>
      </c>
      <c r="I709" s="21"/>
      <c r="J709" s="21" t="s">
        <v>247</v>
      </c>
    </row>
    <row r="710" spans="1:10" x14ac:dyDescent="0.2">
      <c r="A710" s="23" t="s">
        <v>14</v>
      </c>
      <c r="B710" s="24">
        <v>41179</v>
      </c>
      <c r="C710" s="23" t="s">
        <v>21</v>
      </c>
      <c r="D710" s="23" t="s">
        <v>1631</v>
      </c>
      <c r="E710" s="23" t="s">
        <v>1632</v>
      </c>
      <c r="F710" s="10">
        <v>9</v>
      </c>
      <c r="G710" s="10">
        <v>2012</v>
      </c>
      <c r="H710" s="23" t="s">
        <v>1633</v>
      </c>
      <c r="I710" s="23"/>
      <c r="J710" s="23" t="s">
        <v>247</v>
      </c>
    </row>
    <row r="711" spans="1:10" x14ac:dyDescent="0.2">
      <c r="A711" s="21" t="s">
        <v>14</v>
      </c>
      <c r="B711" s="22">
        <v>41164</v>
      </c>
      <c r="C711" s="21" t="s">
        <v>21</v>
      </c>
      <c r="D711" s="21" t="s">
        <v>728</v>
      </c>
      <c r="E711" s="21" t="s">
        <v>1634</v>
      </c>
      <c r="F711" s="10">
        <v>9</v>
      </c>
      <c r="G711" s="10">
        <v>2012</v>
      </c>
      <c r="H711" s="21" t="s">
        <v>1633</v>
      </c>
      <c r="I711" s="21"/>
      <c r="J711" s="21" t="s">
        <v>247</v>
      </c>
    </row>
    <row r="712" spans="1:10" x14ac:dyDescent="0.2">
      <c r="A712" s="23" t="s">
        <v>14</v>
      </c>
      <c r="B712" s="24">
        <v>41164</v>
      </c>
      <c r="C712" s="23" t="s">
        <v>21</v>
      </c>
      <c r="D712" s="23" t="s">
        <v>1635</v>
      </c>
      <c r="E712" s="23" t="s">
        <v>1636</v>
      </c>
      <c r="F712" s="10">
        <v>9</v>
      </c>
      <c r="G712" s="10">
        <v>2012</v>
      </c>
      <c r="H712" s="23" t="s">
        <v>1633</v>
      </c>
      <c r="I712" s="23"/>
      <c r="J712" s="23" t="s">
        <v>247</v>
      </c>
    </row>
    <row r="713" spans="1:10" x14ac:dyDescent="0.2">
      <c r="A713" s="21" t="s">
        <v>14</v>
      </c>
      <c r="B713" s="22">
        <v>41156</v>
      </c>
      <c r="C713" s="21" t="s">
        <v>21</v>
      </c>
      <c r="D713" s="21" t="s">
        <v>1637</v>
      </c>
      <c r="E713" s="21" t="s">
        <v>1638</v>
      </c>
      <c r="F713" s="10">
        <v>9</v>
      </c>
      <c r="G713" s="10">
        <v>2012</v>
      </c>
      <c r="H713" s="21" t="s">
        <v>1633</v>
      </c>
      <c r="I713" s="21"/>
      <c r="J713" s="21" t="s">
        <v>247</v>
      </c>
    </row>
    <row r="714" spans="1:10" x14ac:dyDescent="0.2">
      <c r="A714" s="23" t="s">
        <v>14</v>
      </c>
      <c r="B714" s="24">
        <v>41152</v>
      </c>
      <c r="C714" s="23" t="s">
        <v>21</v>
      </c>
      <c r="D714" s="23" t="s">
        <v>1639</v>
      </c>
      <c r="E714" s="23" t="s">
        <v>1640</v>
      </c>
      <c r="F714" s="10">
        <v>8</v>
      </c>
      <c r="G714" s="10">
        <v>2012</v>
      </c>
      <c r="H714" s="23" t="s">
        <v>1641</v>
      </c>
      <c r="I714" s="23"/>
      <c r="J714" s="23" t="s">
        <v>247</v>
      </c>
    </row>
    <row r="715" spans="1:10" x14ac:dyDescent="0.2">
      <c r="A715" s="21" t="s">
        <v>14</v>
      </c>
      <c r="B715" s="22">
        <v>41151</v>
      </c>
      <c r="C715" s="21" t="s">
        <v>21</v>
      </c>
      <c r="D715" s="21" t="s">
        <v>1642</v>
      </c>
      <c r="E715" s="21" t="s">
        <v>1643</v>
      </c>
      <c r="F715" s="10">
        <v>8</v>
      </c>
      <c r="G715" s="10">
        <v>2012</v>
      </c>
      <c r="H715" s="21" t="s">
        <v>1641</v>
      </c>
      <c r="I715" s="21"/>
      <c r="J715" s="21" t="s">
        <v>247</v>
      </c>
    </row>
    <row r="716" spans="1:10" x14ac:dyDescent="0.2">
      <c r="A716" s="23" t="s">
        <v>14</v>
      </c>
      <c r="B716" s="24">
        <v>41150</v>
      </c>
      <c r="C716" s="23" t="s">
        <v>15</v>
      </c>
      <c r="D716" s="23" t="s">
        <v>1644</v>
      </c>
      <c r="E716" s="23" t="s">
        <v>1645</v>
      </c>
      <c r="F716" s="10">
        <v>8</v>
      </c>
      <c r="G716" s="10">
        <v>2012</v>
      </c>
      <c r="H716" s="23" t="s">
        <v>1641</v>
      </c>
      <c r="I716" s="23"/>
      <c r="J716" s="23" t="s">
        <v>247</v>
      </c>
    </row>
    <row r="717" spans="1:10" x14ac:dyDescent="0.2">
      <c r="A717" s="21" t="s">
        <v>14</v>
      </c>
      <c r="B717" s="22">
        <v>41148</v>
      </c>
      <c r="C717" s="21" t="s">
        <v>21</v>
      </c>
      <c r="D717" s="21" t="s">
        <v>1646</v>
      </c>
      <c r="E717" s="21" t="s">
        <v>1647</v>
      </c>
      <c r="F717" s="10">
        <v>8</v>
      </c>
      <c r="G717" s="10">
        <v>2012</v>
      </c>
      <c r="H717" s="21" t="s">
        <v>1641</v>
      </c>
      <c r="I717" s="21"/>
      <c r="J717" s="21" t="s">
        <v>247</v>
      </c>
    </row>
    <row r="718" spans="1:10" x14ac:dyDescent="0.2">
      <c r="A718" s="23" t="s">
        <v>14</v>
      </c>
      <c r="B718" s="24">
        <v>41124</v>
      </c>
      <c r="C718" s="23" t="s">
        <v>15</v>
      </c>
      <c r="D718" s="23" t="s">
        <v>1648</v>
      </c>
      <c r="E718" s="23" t="s">
        <v>1649</v>
      </c>
      <c r="F718" s="10">
        <v>8</v>
      </c>
      <c r="G718" s="10">
        <v>2012</v>
      </c>
      <c r="H718" s="23" t="s">
        <v>1641</v>
      </c>
      <c r="I718" s="23"/>
      <c r="J718" s="23" t="s">
        <v>247</v>
      </c>
    </row>
    <row r="719" spans="1:10" x14ac:dyDescent="0.2">
      <c r="A719" s="21" t="s">
        <v>14</v>
      </c>
      <c r="B719" s="22">
        <v>41113</v>
      </c>
      <c r="C719" s="21" t="s">
        <v>21</v>
      </c>
      <c r="D719" s="21" t="s">
        <v>1650</v>
      </c>
      <c r="E719" s="21" t="s">
        <v>1651</v>
      </c>
      <c r="F719" s="10">
        <v>7</v>
      </c>
      <c r="G719" s="10">
        <v>2012</v>
      </c>
      <c r="H719" s="21" t="s">
        <v>1652</v>
      </c>
      <c r="I719" s="21"/>
      <c r="J719" s="21" t="s">
        <v>247</v>
      </c>
    </row>
    <row r="720" spans="1:10" x14ac:dyDescent="0.2">
      <c r="A720" s="23" t="s">
        <v>14</v>
      </c>
      <c r="B720" s="24">
        <v>41110</v>
      </c>
      <c r="C720" s="23" t="s">
        <v>21</v>
      </c>
      <c r="D720" s="23" t="s">
        <v>1653</v>
      </c>
      <c r="E720" s="23" t="s">
        <v>1654</v>
      </c>
      <c r="F720" s="10">
        <v>7</v>
      </c>
      <c r="G720" s="10">
        <v>2012</v>
      </c>
      <c r="H720" s="23" t="s">
        <v>1652</v>
      </c>
      <c r="I720" s="23"/>
      <c r="J720" s="23" t="s">
        <v>247</v>
      </c>
    </row>
    <row r="721" spans="1:10" x14ac:dyDescent="0.2">
      <c r="A721" s="21" t="s">
        <v>14</v>
      </c>
      <c r="B721" s="22">
        <v>41106</v>
      </c>
      <c r="C721" s="21" t="s">
        <v>21</v>
      </c>
      <c r="D721" s="21" t="s">
        <v>1655</v>
      </c>
      <c r="E721" s="21" t="s">
        <v>1656</v>
      </c>
      <c r="F721" s="10">
        <v>7</v>
      </c>
      <c r="G721" s="10">
        <v>2012</v>
      </c>
      <c r="H721" s="21" t="s">
        <v>1652</v>
      </c>
      <c r="I721" s="21"/>
      <c r="J721" s="21" t="s">
        <v>247</v>
      </c>
    </row>
    <row r="722" spans="1:10" x14ac:dyDescent="0.2">
      <c r="A722" s="23" t="s">
        <v>14</v>
      </c>
      <c r="B722" s="24">
        <v>41088</v>
      </c>
      <c r="C722" s="23" t="s">
        <v>21</v>
      </c>
      <c r="D722" s="23" t="s">
        <v>1657</v>
      </c>
      <c r="E722" s="23" t="s">
        <v>1658</v>
      </c>
      <c r="F722" s="10">
        <v>6</v>
      </c>
      <c r="G722" s="10">
        <v>2012</v>
      </c>
      <c r="H722" s="23" t="s">
        <v>1659</v>
      </c>
      <c r="I722" s="23"/>
      <c r="J722" s="23" t="s">
        <v>247</v>
      </c>
    </row>
    <row r="723" spans="1:10" x14ac:dyDescent="0.2">
      <c r="A723" s="21" t="s">
        <v>14</v>
      </c>
      <c r="B723" s="22">
        <v>41087</v>
      </c>
      <c r="C723" s="21" t="s">
        <v>21</v>
      </c>
      <c r="D723" s="21" t="s">
        <v>1660</v>
      </c>
      <c r="E723" s="21" t="s">
        <v>1661</v>
      </c>
      <c r="F723" s="10">
        <v>6</v>
      </c>
      <c r="G723" s="10">
        <v>2012</v>
      </c>
      <c r="H723" s="21" t="s">
        <v>1659</v>
      </c>
      <c r="I723" s="21"/>
      <c r="J723" s="21" t="s">
        <v>247</v>
      </c>
    </row>
    <row r="724" spans="1:10" x14ac:dyDescent="0.2">
      <c r="A724" s="23" t="s">
        <v>14</v>
      </c>
      <c r="B724" s="24">
        <v>41068</v>
      </c>
      <c r="C724" s="23" t="s">
        <v>15</v>
      </c>
      <c r="D724" s="23" t="s">
        <v>1662</v>
      </c>
      <c r="E724" s="23" t="s">
        <v>1663</v>
      </c>
      <c r="F724" s="10">
        <v>6</v>
      </c>
      <c r="G724" s="10">
        <v>2012</v>
      </c>
      <c r="H724" s="23" t="s">
        <v>1659</v>
      </c>
      <c r="I724" s="23"/>
      <c r="J724" s="23" t="s">
        <v>247</v>
      </c>
    </row>
    <row r="725" spans="1:10" x14ac:dyDescent="0.2">
      <c r="A725" s="21" t="s">
        <v>14</v>
      </c>
      <c r="B725" s="22">
        <v>41030</v>
      </c>
      <c r="C725" s="21" t="s">
        <v>15</v>
      </c>
      <c r="D725" s="21" t="s">
        <v>1664</v>
      </c>
      <c r="E725" s="21" t="s">
        <v>1665</v>
      </c>
      <c r="F725" s="10">
        <v>5</v>
      </c>
      <c r="G725" s="10">
        <v>2012</v>
      </c>
      <c r="H725" s="21" t="s">
        <v>1666</v>
      </c>
      <c r="I725" s="21"/>
      <c r="J725" s="21" t="s">
        <v>247</v>
      </c>
    </row>
    <row r="726" spans="1:10" x14ac:dyDescent="0.2">
      <c r="A726" s="23" t="s">
        <v>14</v>
      </c>
      <c r="B726" s="24">
        <v>41026</v>
      </c>
      <c r="C726" s="23" t="s">
        <v>21</v>
      </c>
      <c r="D726" s="23" t="s">
        <v>1667</v>
      </c>
      <c r="E726" s="23" t="s">
        <v>1668</v>
      </c>
      <c r="F726" s="10">
        <v>4</v>
      </c>
      <c r="G726" s="10">
        <v>2012</v>
      </c>
      <c r="H726" s="23" t="s">
        <v>1669</v>
      </c>
      <c r="I726" s="23"/>
      <c r="J726" s="23" t="s">
        <v>247</v>
      </c>
    </row>
    <row r="727" spans="1:10" x14ac:dyDescent="0.2">
      <c r="A727" s="21" t="s">
        <v>14</v>
      </c>
      <c r="B727" s="22">
        <v>41005</v>
      </c>
      <c r="C727" s="21" t="s">
        <v>21</v>
      </c>
      <c r="D727" s="21" t="s">
        <v>1670</v>
      </c>
      <c r="E727" s="21" t="s">
        <v>1671</v>
      </c>
      <c r="F727" s="10">
        <v>4</v>
      </c>
      <c r="G727" s="10">
        <v>2012</v>
      </c>
      <c r="H727" s="21" t="s">
        <v>1669</v>
      </c>
      <c r="I727" s="21"/>
      <c r="J727" s="21" t="s">
        <v>247</v>
      </c>
    </row>
    <row r="728" spans="1:10" x14ac:dyDescent="0.2">
      <c r="A728" s="23" t="s">
        <v>14</v>
      </c>
      <c r="B728" s="24">
        <v>40995</v>
      </c>
      <c r="C728" s="23" t="s">
        <v>21</v>
      </c>
      <c r="D728" s="23" t="s">
        <v>1672</v>
      </c>
      <c r="E728" s="23" t="s">
        <v>1673</v>
      </c>
      <c r="F728" s="10">
        <v>3</v>
      </c>
      <c r="G728" s="10">
        <v>2012</v>
      </c>
      <c r="H728" s="23" t="s">
        <v>1674</v>
      </c>
      <c r="I728" s="23"/>
      <c r="J728" s="23" t="s">
        <v>247</v>
      </c>
    </row>
    <row r="729" spans="1:10" x14ac:dyDescent="0.2">
      <c r="A729" s="21" t="s">
        <v>14</v>
      </c>
      <c r="B729" s="22">
        <v>40974</v>
      </c>
      <c r="C729" s="21" t="s">
        <v>21</v>
      </c>
      <c r="D729" s="21" t="s">
        <v>1675</v>
      </c>
      <c r="E729" s="21" t="s">
        <v>1676</v>
      </c>
      <c r="F729" s="10">
        <v>3</v>
      </c>
      <c r="G729" s="10">
        <v>2012</v>
      </c>
      <c r="H729" s="21" t="s">
        <v>1674</v>
      </c>
      <c r="I729" s="21"/>
      <c r="J729" s="21" t="s">
        <v>247</v>
      </c>
    </row>
    <row r="730" spans="1:10" x14ac:dyDescent="0.2">
      <c r="A730" s="23" t="s">
        <v>14</v>
      </c>
      <c r="B730" s="24">
        <v>40949</v>
      </c>
      <c r="C730" s="23" t="s">
        <v>21</v>
      </c>
      <c r="D730" s="23" t="s">
        <v>1677</v>
      </c>
      <c r="E730" s="23" t="s">
        <v>1678</v>
      </c>
      <c r="F730" s="10">
        <v>2</v>
      </c>
      <c r="G730" s="10">
        <v>2012</v>
      </c>
      <c r="H730" s="23" t="s">
        <v>1679</v>
      </c>
      <c r="I730" s="23"/>
      <c r="J730" s="23" t="s">
        <v>247</v>
      </c>
    </row>
    <row r="731" spans="1:10" x14ac:dyDescent="0.2">
      <c r="A731" s="21" t="s">
        <v>14</v>
      </c>
      <c r="B731" s="22">
        <v>40939</v>
      </c>
      <c r="C731" s="21" t="s">
        <v>21</v>
      </c>
      <c r="D731" s="21" t="s">
        <v>1680</v>
      </c>
      <c r="E731" s="21" t="s">
        <v>1681</v>
      </c>
      <c r="F731" s="10">
        <v>1</v>
      </c>
      <c r="G731" s="10">
        <v>2012</v>
      </c>
      <c r="H731" s="21" t="s">
        <v>1682</v>
      </c>
      <c r="I731" s="21"/>
      <c r="J731" s="21" t="s">
        <v>247</v>
      </c>
    </row>
    <row r="732" spans="1:10" x14ac:dyDescent="0.2">
      <c r="A732" s="23" t="s">
        <v>14</v>
      </c>
      <c r="B732" s="24">
        <v>40938</v>
      </c>
      <c r="C732" s="23" t="s">
        <v>21</v>
      </c>
      <c r="D732" s="23" t="s">
        <v>1683</v>
      </c>
      <c r="E732" s="23" t="s">
        <v>1684</v>
      </c>
      <c r="F732" s="10">
        <v>1</v>
      </c>
      <c r="G732" s="10">
        <v>2012</v>
      </c>
      <c r="H732" s="23" t="s">
        <v>1682</v>
      </c>
      <c r="I732" s="23"/>
      <c r="J732" s="23" t="s">
        <v>247</v>
      </c>
    </row>
    <row r="733" spans="1:10" x14ac:dyDescent="0.2">
      <c r="A733" s="21" t="s">
        <v>14</v>
      </c>
      <c r="B733" s="22">
        <v>40935</v>
      </c>
      <c r="C733" s="21" t="s">
        <v>21</v>
      </c>
      <c r="D733" s="21" t="s">
        <v>1685</v>
      </c>
      <c r="E733" s="21" t="s">
        <v>1686</v>
      </c>
      <c r="F733" s="10">
        <v>1</v>
      </c>
      <c r="G733" s="10">
        <v>2012</v>
      </c>
      <c r="H733" s="21" t="s">
        <v>1682</v>
      </c>
      <c r="I733" s="21"/>
      <c r="J733" s="21" t="s">
        <v>247</v>
      </c>
    </row>
    <row r="734" spans="1:10" x14ac:dyDescent="0.2">
      <c r="A734" s="23" t="s">
        <v>14</v>
      </c>
      <c r="B734" s="24">
        <v>40931</v>
      </c>
      <c r="C734" s="23" t="s">
        <v>21</v>
      </c>
      <c r="D734" s="23" t="s">
        <v>1687</v>
      </c>
      <c r="E734" s="23" t="s">
        <v>1688</v>
      </c>
      <c r="F734" s="10">
        <v>1</v>
      </c>
      <c r="G734" s="10">
        <v>2012</v>
      </c>
      <c r="H734" s="23" t="s">
        <v>1682</v>
      </c>
      <c r="I734" s="23"/>
      <c r="J734" s="23" t="s">
        <v>247</v>
      </c>
    </row>
    <row r="735" spans="1:10" x14ac:dyDescent="0.2">
      <c r="A735" s="21" t="s">
        <v>14</v>
      </c>
      <c r="B735" s="22">
        <v>40925</v>
      </c>
      <c r="C735" s="21" t="s">
        <v>15</v>
      </c>
      <c r="D735" s="21" t="s">
        <v>1689</v>
      </c>
      <c r="E735" s="21" t="s">
        <v>1690</v>
      </c>
      <c r="F735" s="10">
        <v>1</v>
      </c>
      <c r="G735" s="10">
        <v>2012</v>
      </c>
      <c r="H735" s="21" t="s">
        <v>1682</v>
      </c>
      <c r="I735" s="21"/>
      <c r="J735" s="21" t="s">
        <v>247</v>
      </c>
    </row>
    <row r="736" spans="1:10" x14ac:dyDescent="0.2">
      <c r="A736" s="23" t="s">
        <v>14</v>
      </c>
      <c r="B736" s="24">
        <v>40865</v>
      </c>
      <c r="C736" s="23" t="s">
        <v>15</v>
      </c>
      <c r="D736" s="23" t="s">
        <v>1691</v>
      </c>
      <c r="E736" s="23" t="s">
        <v>1692</v>
      </c>
      <c r="F736" s="10">
        <v>11</v>
      </c>
      <c r="G736" s="10">
        <v>2011</v>
      </c>
      <c r="H736" s="23" t="s">
        <v>1693</v>
      </c>
      <c r="I736" s="23"/>
      <c r="J736" s="23" t="s">
        <v>247</v>
      </c>
    </row>
    <row r="737" spans="1:10" x14ac:dyDescent="0.2">
      <c r="A737" s="21" t="s">
        <v>14</v>
      </c>
      <c r="B737" s="22">
        <v>40865</v>
      </c>
      <c r="C737" s="21" t="s">
        <v>15</v>
      </c>
      <c r="D737" s="21" t="s">
        <v>1694</v>
      </c>
      <c r="E737" s="21" t="s">
        <v>1695</v>
      </c>
      <c r="F737" s="10">
        <v>11</v>
      </c>
      <c r="G737" s="10">
        <v>2011</v>
      </c>
      <c r="H737" s="21" t="s">
        <v>1693</v>
      </c>
      <c r="I737" s="21"/>
      <c r="J737" s="21" t="s">
        <v>247</v>
      </c>
    </row>
    <row r="738" spans="1:10" x14ac:dyDescent="0.2">
      <c r="A738" s="23" t="s">
        <v>14</v>
      </c>
      <c r="B738" s="24">
        <v>40863</v>
      </c>
      <c r="C738" s="23" t="s">
        <v>21</v>
      </c>
      <c r="D738" s="23" t="s">
        <v>1696</v>
      </c>
      <c r="E738" s="23" t="s">
        <v>1697</v>
      </c>
      <c r="F738" s="10">
        <v>11</v>
      </c>
      <c r="G738" s="10">
        <v>2011</v>
      </c>
      <c r="H738" s="23" t="s">
        <v>1693</v>
      </c>
      <c r="I738" s="23"/>
      <c r="J738" s="23" t="s">
        <v>247</v>
      </c>
    </row>
    <row r="739" spans="1:10" x14ac:dyDescent="0.2">
      <c r="A739" s="21" t="s">
        <v>14</v>
      </c>
      <c r="B739" s="22">
        <v>40837</v>
      </c>
      <c r="C739" s="21" t="s">
        <v>21</v>
      </c>
      <c r="D739" s="21" t="s">
        <v>1698</v>
      </c>
      <c r="E739" s="21" t="s">
        <v>1699</v>
      </c>
      <c r="F739" s="10">
        <v>10</v>
      </c>
      <c r="G739" s="10">
        <v>2011</v>
      </c>
      <c r="H739" s="21" t="s">
        <v>1700</v>
      </c>
      <c r="I739" s="21"/>
      <c r="J739" s="21" t="s">
        <v>247</v>
      </c>
    </row>
    <row r="740" spans="1:10" x14ac:dyDescent="0.2">
      <c r="A740" s="23" t="s">
        <v>14</v>
      </c>
      <c r="B740" s="24">
        <v>40830</v>
      </c>
      <c r="C740" s="23" t="s">
        <v>21</v>
      </c>
      <c r="D740" s="23" t="s">
        <v>1701</v>
      </c>
      <c r="E740" s="23" t="s">
        <v>1702</v>
      </c>
      <c r="F740" s="10">
        <v>10</v>
      </c>
      <c r="G740" s="10">
        <v>2011</v>
      </c>
      <c r="H740" s="23" t="s">
        <v>1700</v>
      </c>
      <c r="I740" s="23"/>
      <c r="J740" s="23" t="s">
        <v>247</v>
      </c>
    </row>
    <row r="741" spans="1:10" x14ac:dyDescent="0.2">
      <c r="A741" s="21" t="s">
        <v>14</v>
      </c>
      <c r="B741" s="22">
        <v>40781</v>
      </c>
      <c r="C741" s="21" t="s">
        <v>21</v>
      </c>
      <c r="D741" s="21" t="s">
        <v>1703</v>
      </c>
      <c r="E741" s="21" t="s">
        <v>1704</v>
      </c>
      <c r="F741" s="10">
        <v>8</v>
      </c>
      <c r="G741" s="10">
        <v>2011</v>
      </c>
      <c r="H741" s="21" t="s">
        <v>1705</v>
      </c>
      <c r="I741" s="21"/>
      <c r="J741" s="21" t="s">
        <v>247</v>
      </c>
    </row>
    <row r="742" spans="1:10" x14ac:dyDescent="0.2">
      <c r="A742" s="23" t="s">
        <v>14</v>
      </c>
      <c r="B742" s="24">
        <v>40780</v>
      </c>
      <c r="C742" s="23" t="s">
        <v>21</v>
      </c>
      <c r="D742" s="23" t="s">
        <v>1706</v>
      </c>
      <c r="E742" s="23" t="s">
        <v>1707</v>
      </c>
      <c r="F742" s="10">
        <v>8</v>
      </c>
      <c r="G742" s="10">
        <v>2011</v>
      </c>
      <c r="H742" s="23" t="s">
        <v>1705</v>
      </c>
      <c r="I742" s="23"/>
      <c r="J742" s="23" t="s">
        <v>247</v>
      </c>
    </row>
    <row r="743" spans="1:10" x14ac:dyDescent="0.2">
      <c r="A743" s="21" t="s">
        <v>14</v>
      </c>
      <c r="B743" s="22">
        <v>40774</v>
      </c>
      <c r="C743" s="21" t="s">
        <v>15</v>
      </c>
      <c r="D743" s="21" t="s">
        <v>1708</v>
      </c>
      <c r="E743" s="21" t="s">
        <v>1709</v>
      </c>
      <c r="F743" s="10">
        <v>8</v>
      </c>
      <c r="G743" s="10">
        <v>2011</v>
      </c>
      <c r="H743" s="21" t="s">
        <v>1705</v>
      </c>
      <c r="I743" s="21"/>
      <c r="J743" s="21" t="s">
        <v>247</v>
      </c>
    </row>
    <row r="744" spans="1:10" x14ac:dyDescent="0.2">
      <c r="A744" s="23" t="s">
        <v>14</v>
      </c>
      <c r="B744" s="24">
        <v>40772</v>
      </c>
      <c r="C744" s="23" t="s">
        <v>21</v>
      </c>
      <c r="D744" s="23" t="s">
        <v>1710</v>
      </c>
      <c r="E744" s="23" t="s">
        <v>1711</v>
      </c>
      <c r="F744" s="10">
        <v>8</v>
      </c>
      <c r="G744" s="10">
        <v>2011</v>
      </c>
      <c r="H744" s="23" t="s">
        <v>1705</v>
      </c>
      <c r="I744" s="23"/>
      <c r="J744" s="23" t="s">
        <v>247</v>
      </c>
    </row>
    <row r="745" spans="1:10" x14ac:dyDescent="0.2">
      <c r="A745" s="21" t="s">
        <v>14</v>
      </c>
      <c r="B745" s="22">
        <v>40744</v>
      </c>
      <c r="C745" s="21" t="s">
        <v>21</v>
      </c>
      <c r="D745" s="21" t="s">
        <v>1712</v>
      </c>
      <c r="E745" s="21" t="s">
        <v>1713</v>
      </c>
      <c r="F745" s="10">
        <v>7</v>
      </c>
      <c r="G745" s="10">
        <v>2011</v>
      </c>
      <c r="H745" s="21" t="s">
        <v>1714</v>
      </c>
      <c r="I745" s="21"/>
      <c r="J745" s="21" t="s">
        <v>247</v>
      </c>
    </row>
    <row r="746" spans="1:10" x14ac:dyDescent="0.2">
      <c r="A746" s="23" t="s">
        <v>14</v>
      </c>
      <c r="B746" s="24">
        <v>40725</v>
      </c>
      <c r="C746" s="23" t="s">
        <v>21</v>
      </c>
      <c r="D746" s="23" t="s">
        <v>1715</v>
      </c>
      <c r="E746" s="23" t="s">
        <v>1716</v>
      </c>
      <c r="F746" s="10">
        <v>7</v>
      </c>
      <c r="G746" s="10">
        <v>2011</v>
      </c>
      <c r="H746" s="23" t="s">
        <v>1714</v>
      </c>
      <c r="I746" s="23"/>
      <c r="J746" s="23" t="s">
        <v>247</v>
      </c>
    </row>
    <row r="747" spans="1:10" x14ac:dyDescent="0.2">
      <c r="A747" s="21" t="s">
        <v>14</v>
      </c>
      <c r="B747" s="22">
        <v>40725</v>
      </c>
      <c r="C747" s="21" t="s">
        <v>21</v>
      </c>
      <c r="D747" s="21" t="s">
        <v>1717</v>
      </c>
      <c r="E747" s="21" t="s">
        <v>1718</v>
      </c>
      <c r="F747" s="10">
        <v>7</v>
      </c>
      <c r="G747" s="10">
        <v>2011</v>
      </c>
      <c r="H747" s="21" t="s">
        <v>1714</v>
      </c>
      <c r="I747" s="21"/>
      <c r="J747" s="21" t="s">
        <v>247</v>
      </c>
    </row>
    <row r="748" spans="1:10" x14ac:dyDescent="0.2">
      <c r="A748" s="23" t="s">
        <v>14</v>
      </c>
      <c r="B748" s="24">
        <v>40709</v>
      </c>
      <c r="C748" s="23" t="s">
        <v>15</v>
      </c>
      <c r="D748" s="23" t="s">
        <v>1719</v>
      </c>
      <c r="E748" s="23" t="s">
        <v>1720</v>
      </c>
      <c r="F748" s="10">
        <v>6</v>
      </c>
      <c r="G748" s="10">
        <v>2011</v>
      </c>
      <c r="H748" s="23" t="s">
        <v>1721</v>
      </c>
      <c r="I748" s="23"/>
      <c r="J748" s="23" t="s">
        <v>247</v>
      </c>
    </row>
    <row r="749" spans="1:10" x14ac:dyDescent="0.2">
      <c r="A749" s="21" t="s">
        <v>14</v>
      </c>
      <c r="B749" s="22">
        <v>40704</v>
      </c>
      <c r="C749" s="21" t="s">
        <v>21</v>
      </c>
      <c r="D749" s="21" t="s">
        <v>1722</v>
      </c>
      <c r="E749" s="21" t="s">
        <v>1723</v>
      </c>
      <c r="F749" s="10">
        <v>6</v>
      </c>
      <c r="G749" s="10">
        <v>2011</v>
      </c>
      <c r="H749" s="21" t="s">
        <v>1721</v>
      </c>
      <c r="I749" s="21"/>
      <c r="J749" s="21" t="s">
        <v>247</v>
      </c>
    </row>
    <row r="750" spans="1:10" x14ac:dyDescent="0.2">
      <c r="A750" s="23" t="s">
        <v>14</v>
      </c>
      <c r="B750" s="24">
        <v>40690</v>
      </c>
      <c r="C750" s="23" t="s">
        <v>21</v>
      </c>
      <c r="D750" s="23" t="s">
        <v>1724</v>
      </c>
      <c r="E750" s="23" t="s">
        <v>1725</v>
      </c>
      <c r="F750" s="10">
        <v>5</v>
      </c>
      <c r="G750" s="10">
        <v>2011</v>
      </c>
      <c r="H750" s="23" t="s">
        <v>1726</v>
      </c>
      <c r="I750" s="23"/>
      <c r="J750" s="23" t="s">
        <v>247</v>
      </c>
    </row>
    <row r="751" spans="1:10" x14ac:dyDescent="0.2">
      <c r="A751" s="21" t="s">
        <v>14</v>
      </c>
      <c r="B751" s="22">
        <v>40686</v>
      </c>
      <c r="C751" s="21" t="s">
        <v>21</v>
      </c>
      <c r="D751" s="21" t="s">
        <v>1727</v>
      </c>
      <c r="E751" s="21" t="s">
        <v>1728</v>
      </c>
      <c r="F751" s="10">
        <v>5</v>
      </c>
      <c r="G751" s="10">
        <v>2011</v>
      </c>
      <c r="H751" s="21" t="s">
        <v>1726</v>
      </c>
      <c r="I751" s="21"/>
      <c r="J751" s="21" t="s">
        <v>247</v>
      </c>
    </row>
    <row r="752" spans="1:10" x14ac:dyDescent="0.2">
      <c r="A752" s="23" t="s">
        <v>14</v>
      </c>
      <c r="B752" s="24">
        <v>40683</v>
      </c>
      <c r="C752" s="23" t="s">
        <v>21</v>
      </c>
      <c r="D752" s="23" t="s">
        <v>1729</v>
      </c>
      <c r="E752" s="23" t="s">
        <v>1730</v>
      </c>
      <c r="F752" s="10">
        <v>5</v>
      </c>
      <c r="G752" s="10">
        <v>2011</v>
      </c>
      <c r="H752" s="23" t="s">
        <v>1726</v>
      </c>
      <c r="I752" s="23"/>
      <c r="J752" s="23" t="s">
        <v>247</v>
      </c>
    </row>
    <row r="753" spans="1:10" x14ac:dyDescent="0.2">
      <c r="A753" s="21" t="s">
        <v>14</v>
      </c>
      <c r="B753" s="22">
        <v>40676</v>
      </c>
      <c r="C753" s="21" t="s">
        <v>21</v>
      </c>
      <c r="D753" s="21" t="s">
        <v>1731</v>
      </c>
      <c r="E753" s="21" t="s">
        <v>1732</v>
      </c>
      <c r="F753" s="10">
        <v>5</v>
      </c>
      <c r="G753" s="10">
        <v>2011</v>
      </c>
      <c r="H753" s="21" t="s">
        <v>1726</v>
      </c>
      <c r="I753" s="21"/>
      <c r="J753" s="21" t="s">
        <v>247</v>
      </c>
    </row>
    <row r="754" spans="1:10" x14ac:dyDescent="0.2">
      <c r="A754" s="23" t="s">
        <v>14</v>
      </c>
      <c r="B754" s="24">
        <v>40665</v>
      </c>
      <c r="C754" s="23" t="s">
        <v>21</v>
      </c>
      <c r="D754" s="23" t="s">
        <v>1733</v>
      </c>
      <c r="E754" s="23" t="s">
        <v>1734</v>
      </c>
      <c r="F754" s="10">
        <v>5</v>
      </c>
      <c r="G754" s="10">
        <v>2011</v>
      </c>
      <c r="H754" s="23" t="s">
        <v>1726</v>
      </c>
      <c r="I754" s="23"/>
      <c r="J754" s="23" t="s">
        <v>247</v>
      </c>
    </row>
    <row r="755" spans="1:10" x14ac:dyDescent="0.2">
      <c r="A755" s="21" t="s">
        <v>14</v>
      </c>
      <c r="B755" s="22">
        <v>40661</v>
      </c>
      <c r="C755" s="21" t="s">
        <v>21</v>
      </c>
      <c r="D755" s="21" t="s">
        <v>1735</v>
      </c>
      <c r="E755" s="21" t="s">
        <v>1736</v>
      </c>
      <c r="F755" s="10">
        <v>4</v>
      </c>
      <c r="G755" s="10">
        <v>2011</v>
      </c>
      <c r="H755" s="21" t="s">
        <v>1737</v>
      </c>
      <c r="I755" s="21"/>
      <c r="J755" s="21" t="s">
        <v>247</v>
      </c>
    </row>
    <row r="756" spans="1:10" x14ac:dyDescent="0.2">
      <c r="A756" s="23" t="s">
        <v>14</v>
      </c>
      <c r="B756" s="24">
        <v>40639</v>
      </c>
      <c r="C756" s="23" t="s">
        <v>21</v>
      </c>
      <c r="D756" s="23" t="s">
        <v>1738</v>
      </c>
      <c r="E756" s="23" t="s">
        <v>1739</v>
      </c>
      <c r="F756" s="10">
        <v>4</v>
      </c>
      <c r="G756" s="10">
        <v>2011</v>
      </c>
      <c r="H756" s="23" t="s">
        <v>1737</v>
      </c>
      <c r="I756" s="23"/>
      <c r="J756" s="23" t="s">
        <v>247</v>
      </c>
    </row>
    <row r="757" spans="1:10" x14ac:dyDescent="0.2">
      <c r="A757" s="21" t="s">
        <v>14</v>
      </c>
      <c r="B757" s="22">
        <v>40639</v>
      </c>
      <c r="C757" s="21" t="s">
        <v>21</v>
      </c>
      <c r="D757" s="21" t="s">
        <v>1740</v>
      </c>
      <c r="E757" s="21" t="s">
        <v>1741</v>
      </c>
      <c r="F757" s="10">
        <v>4</v>
      </c>
      <c r="G757" s="10">
        <v>2011</v>
      </c>
      <c r="H757" s="21" t="s">
        <v>1737</v>
      </c>
      <c r="I757" s="21"/>
      <c r="J757" s="21" t="s">
        <v>247</v>
      </c>
    </row>
    <row r="758" spans="1:10" x14ac:dyDescent="0.2">
      <c r="A758" s="23" t="s">
        <v>14</v>
      </c>
      <c r="B758" s="24">
        <v>40627</v>
      </c>
      <c r="C758" s="23" t="s">
        <v>15</v>
      </c>
      <c r="D758" s="23" t="s">
        <v>1742</v>
      </c>
      <c r="E758" s="23" t="s">
        <v>1743</v>
      </c>
      <c r="F758" s="10">
        <v>3</v>
      </c>
      <c r="G758" s="10">
        <v>2011</v>
      </c>
      <c r="H758" s="23" t="s">
        <v>1744</v>
      </c>
      <c r="I758" s="23"/>
      <c r="J758" s="23" t="s">
        <v>247</v>
      </c>
    </row>
    <row r="759" spans="1:10" x14ac:dyDescent="0.2">
      <c r="A759" s="21" t="s">
        <v>14</v>
      </c>
      <c r="B759" s="22">
        <v>40616</v>
      </c>
      <c r="C759" s="21" t="s">
        <v>21</v>
      </c>
      <c r="D759" s="21" t="s">
        <v>1745</v>
      </c>
      <c r="E759" s="21" t="s">
        <v>1746</v>
      </c>
      <c r="F759" s="10">
        <v>3</v>
      </c>
      <c r="G759" s="10">
        <v>2011</v>
      </c>
      <c r="H759" s="21" t="s">
        <v>1744</v>
      </c>
      <c r="I759" s="21"/>
      <c r="J759" s="21" t="s">
        <v>247</v>
      </c>
    </row>
    <row r="760" spans="1:10" x14ac:dyDescent="0.2">
      <c r="A760" s="23" t="s">
        <v>14</v>
      </c>
      <c r="B760" s="24">
        <v>40611</v>
      </c>
      <c r="C760" s="23" t="s">
        <v>15</v>
      </c>
      <c r="D760" s="23" t="s">
        <v>1747</v>
      </c>
      <c r="E760" s="23" t="s">
        <v>1748</v>
      </c>
      <c r="F760" s="10">
        <v>3</v>
      </c>
      <c r="G760" s="10">
        <v>2011</v>
      </c>
      <c r="H760" s="23" t="s">
        <v>1744</v>
      </c>
      <c r="I760" s="23"/>
      <c r="J760" s="23" t="s">
        <v>247</v>
      </c>
    </row>
    <row r="761" spans="1:10" x14ac:dyDescent="0.2">
      <c r="A761" s="21" t="s">
        <v>14</v>
      </c>
      <c r="B761" s="22">
        <v>40602</v>
      </c>
      <c r="C761" s="21" t="s">
        <v>21</v>
      </c>
      <c r="D761" s="21" t="s">
        <v>1749</v>
      </c>
      <c r="E761" s="21" t="s">
        <v>1750</v>
      </c>
      <c r="F761" s="10">
        <v>2</v>
      </c>
      <c r="G761" s="10">
        <v>2011</v>
      </c>
      <c r="H761" s="21" t="s">
        <v>1751</v>
      </c>
      <c r="I761" s="21"/>
      <c r="J761" s="21" t="s">
        <v>247</v>
      </c>
    </row>
    <row r="762" spans="1:10" x14ac:dyDescent="0.2">
      <c r="A762" s="23" t="s">
        <v>14</v>
      </c>
      <c r="B762" s="24">
        <v>40599</v>
      </c>
      <c r="C762" s="23" t="s">
        <v>21</v>
      </c>
      <c r="D762" s="23" t="s">
        <v>1752</v>
      </c>
      <c r="E762" s="23" t="s">
        <v>1753</v>
      </c>
      <c r="F762" s="10">
        <v>2</v>
      </c>
      <c r="G762" s="10">
        <v>2011</v>
      </c>
      <c r="H762" s="23" t="s">
        <v>1751</v>
      </c>
      <c r="I762" s="23"/>
      <c r="J762" s="23" t="s">
        <v>247</v>
      </c>
    </row>
    <row r="763" spans="1:10" x14ac:dyDescent="0.2">
      <c r="A763" s="21" t="s">
        <v>14</v>
      </c>
      <c r="B763" s="22">
        <v>40564</v>
      </c>
      <c r="C763" s="21" t="s">
        <v>21</v>
      </c>
      <c r="D763" s="21" t="s">
        <v>1754</v>
      </c>
      <c r="E763" s="21" t="s">
        <v>1755</v>
      </c>
      <c r="F763" s="10">
        <v>1</v>
      </c>
      <c r="G763" s="10">
        <v>2011</v>
      </c>
      <c r="H763" s="21" t="s">
        <v>1756</v>
      </c>
      <c r="I763" s="21"/>
      <c r="J763" s="21" t="s">
        <v>247</v>
      </c>
    </row>
    <row r="764" spans="1:10" x14ac:dyDescent="0.2">
      <c r="A764" s="23" t="s">
        <v>14</v>
      </c>
      <c r="B764" s="24">
        <v>40561</v>
      </c>
      <c r="C764" s="23" t="s">
        <v>21</v>
      </c>
      <c r="D764" s="23" t="s">
        <v>1757</v>
      </c>
      <c r="E764" s="23" t="s">
        <v>1758</v>
      </c>
      <c r="F764" s="10">
        <v>1</v>
      </c>
      <c r="G764" s="10">
        <v>2011</v>
      </c>
      <c r="H764" s="23" t="s">
        <v>1756</v>
      </c>
      <c r="I764" s="23"/>
      <c r="J764" s="23" t="s">
        <v>247</v>
      </c>
    </row>
    <row r="765" spans="1:10" x14ac:dyDescent="0.2">
      <c r="A765" s="21" t="s">
        <v>14</v>
      </c>
      <c r="B765" s="22">
        <v>40557</v>
      </c>
      <c r="C765" s="21" t="s">
        <v>21</v>
      </c>
      <c r="D765" s="21" t="s">
        <v>1759</v>
      </c>
      <c r="E765" s="21" t="s">
        <v>1760</v>
      </c>
      <c r="F765" s="10">
        <v>1</v>
      </c>
      <c r="G765" s="10">
        <v>2011</v>
      </c>
      <c r="H765" s="21" t="s">
        <v>1756</v>
      </c>
      <c r="I765" s="21"/>
      <c r="J765" s="21" t="s">
        <v>247</v>
      </c>
    </row>
    <row r="766" spans="1:10" x14ac:dyDescent="0.2">
      <c r="A766" s="23" t="s">
        <v>14</v>
      </c>
      <c r="B766" s="24">
        <v>40497</v>
      </c>
      <c r="C766" s="23" t="s">
        <v>21</v>
      </c>
      <c r="D766" s="23" t="s">
        <v>1761</v>
      </c>
      <c r="E766" s="23" t="s">
        <v>1762</v>
      </c>
      <c r="F766" s="10">
        <v>11</v>
      </c>
      <c r="G766" s="10">
        <v>2010</v>
      </c>
      <c r="H766" s="23" t="s">
        <v>1763</v>
      </c>
      <c r="I766" s="23"/>
      <c r="J766" s="23" t="s">
        <v>247</v>
      </c>
    </row>
    <row r="767" spans="1:10" x14ac:dyDescent="0.2">
      <c r="A767" s="21" t="s">
        <v>14</v>
      </c>
      <c r="B767" s="22">
        <v>40492</v>
      </c>
      <c r="C767" s="21" t="s">
        <v>15</v>
      </c>
      <c r="D767" s="21" t="s">
        <v>1764</v>
      </c>
      <c r="E767" s="21" t="s">
        <v>1765</v>
      </c>
      <c r="F767" s="10">
        <v>11</v>
      </c>
      <c r="G767" s="10">
        <v>2010</v>
      </c>
      <c r="H767" s="21" t="s">
        <v>1763</v>
      </c>
      <c r="I767" s="21"/>
      <c r="J767" s="21" t="s">
        <v>247</v>
      </c>
    </row>
    <row r="768" spans="1:10" x14ac:dyDescent="0.2">
      <c r="A768" s="23" t="s">
        <v>14</v>
      </c>
      <c r="B768" s="24">
        <v>40480</v>
      </c>
      <c r="C768" s="23" t="s">
        <v>21</v>
      </c>
      <c r="D768" s="23" t="s">
        <v>1766</v>
      </c>
      <c r="E768" s="23" t="s">
        <v>1767</v>
      </c>
      <c r="F768" s="10">
        <v>10</v>
      </c>
      <c r="G768" s="10">
        <v>2010</v>
      </c>
      <c r="H768" s="23" t="s">
        <v>1768</v>
      </c>
      <c r="I768" s="23"/>
      <c r="J768" s="23" t="s">
        <v>247</v>
      </c>
    </row>
    <row r="769" spans="1:10" x14ac:dyDescent="0.2">
      <c r="A769" s="21" t="s">
        <v>14</v>
      </c>
      <c r="B769" s="22">
        <v>40479</v>
      </c>
      <c r="C769" s="21" t="s">
        <v>21</v>
      </c>
      <c r="D769" s="21" t="s">
        <v>1769</v>
      </c>
      <c r="E769" s="21" t="s">
        <v>1770</v>
      </c>
      <c r="F769" s="10">
        <v>10</v>
      </c>
      <c r="G769" s="10">
        <v>2010</v>
      </c>
      <c r="H769" s="21" t="s">
        <v>1768</v>
      </c>
      <c r="I769" s="21"/>
      <c r="J769" s="21" t="s">
        <v>247</v>
      </c>
    </row>
    <row r="770" spans="1:10" x14ac:dyDescent="0.2">
      <c r="A770" s="23" t="s">
        <v>14</v>
      </c>
      <c r="B770" s="24">
        <v>40470</v>
      </c>
      <c r="C770" s="23" t="s">
        <v>21</v>
      </c>
      <c r="D770" s="23" t="s">
        <v>1771</v>
      </c>
      <c r="E770" s="23" t="s">
        <v>1772</v>
      </c>
      <c r="F770" s="10">
        <v>10</v>
      </c>
      <c r="G770" s="10">
        <v>2010</v>
      </c>
      <c r="H770" s="23" t="s">
        <v>1768</v>
      </c>
      <c r="I770" s="23"/>
      <c r="J770" s="23" t="s">
        <v>247</v>
      </c>
    </row>
    <row r="771" spans="1:10" x14ac:dyDescent="0.2">
      <c r="A771" s="21" t="s">
        <v>14</v>
      </c>
      <c r="B771" s="22">
        <v>40442</v>
      </c>
      <c r="C771" s="21" t="s">
        <v>21</v>
      </c>
      <c r="D771" s="21" t="s">
        <v>1773</v>
      </c>
      <c r="E771" s="21" t="s">
        <v>1774</v>
      </c>
      <c r="F771" s="10">
        <v>9</v>
      </c>
      <c r="G771" s="10">
        <v>2010</v>
      </c>
      <c r="H771" s="21" t="s">
        <v>1775</v>
      </c>
      <c r="I771" s="21"/>
      <c r="J771" s="21" t="s">
        <v>247</v>
      </c>
    </row>
    <row r="772" spans="1:10" x14ac:dyDescent="0.2">
      <c r="A772" s="23" t="s">
        <v>14</v>
      </c>
      <c r="B772" s="24">
        <v>40435</v>
      </c>
      <c r="C772" s="23" t="s">
        <v>15</v>
      </c>
      <c r="D772" s="23" t="s">
        <v>1776</v>
      </c>
      <c r="E772" s="23" t="s">
        <v>1777</v>
      </c>
      <c r="F772" s="10">
        <v>9</v>
      </c>
      <c r="G772" s="10">
        <v>2010</v>
      </c>
      <c r="H772" s="23" t="s">
        <v>1775</v>
      </c>
      <c r="I772" s="23"/>
      <c r="J772" s="23" t="s">
        <v>247</v>
      </c>
    </row>
    <row r="773" spans="1:10" x14ac:dyDescent="0.2">
      <c r="A773" s="21" t="s">
        <v>14</v>
      </c>
      <c r="B773" s="22">
        <v>40403</v>
      </c>
      <c r="C773" s="21" t="s">
        <v>21</v>
      </c>
      <c r="D773" s="21" t="s">
        <v>1778</v>
      </c>
      <c r="E773" s="21" t="s">
        <v>1779</v>
      </c>
      <c r="F773" s="10">
        <v>8</v>
      </c>
      <c r="G773" s="10">
        <v>2010</v>
      </c>
      <c r="H773" s="21" t="s">
        <v>1780</v>
      </c>
      <c r="I773" s="21"/>
      <c r="J773" s="21" t="s">
        <v>247</v>
      </c>
    </row>
    <row r="774" spans="1:10" x14ac:dyDescent="0.2">
      <c r="A774" s="23" t="s">
        <v>14</v>
      </c>
      <c r="B774" s="24">
        <v>40389</v>
      </c>
      <c r="C774" s="23" t="s">
        <v>15</v>
      </c>
      <c r="D774" s="23" t="s">
        <v>1781</v>
      </c>
      <c r="E774" s="23" t="s">
        <v>1782</v>
      </c>
      <c r="F774" s="10">
        <v>7</v>
      </c>
      <c r="G774" s="10">
        <v>2010</v>
      </c>
      <c r="H774" s="23" t="s">
        <v>1783</v>
      </c>
      <c r="I774" s="23"/>
      <c r="J774" s="23" t="s">
        <v>247</v>
      </c>
    </row>
    <row r="775" spans="1:10" x14ac:dyDescent="0.2">
      <c r="A775" s="21" t="s">
        <v>14</v>
      </c>
      <c r="B775" s="22">
        <v>40387</v>
      </c>
      <c r="C775" s="21" t="s">
        <v>21</v>
      </c>
      <c r="D775" s="21" t="s">
        <v>1784</v>
      </c>
      <c r="E775" s="21" t="s">
        <v>1785</v>
      </c>
      <c r="F775" s="10">
        <v>7</v>
      </c>
      <c r="G775" s="10">
        <v>2010</v>
      </c>
      <c r="H775" s="21" t="s">
        <v>1783</v>
      </c>
      <c r="I775" s="21"/>
      <c r="J775" s="21" t="s">
        <v>247</v>
      </c>
    </row>
    <row r="776" spans="1:10" x14ac:dyDescent="0.2">
      <c r="A776" s="23" t="s">
        <v>14</v>
      </c>
      <c r="B776" s="24">
        <v>40346</v>
      </c>
      <c r="C776" s="23" t="s">
        <v>21</v>
      </c>
      <c r="D776" s="23" t="s">
        <v>1786</v>
      </c>
      <c r="E776" s="23" t="s">
        <v>1787</v>
      </c>
      <c r="F776" s="10">
        <v>6</v>
      </c>
      <c r="G776" s="10">
        <v>2010</v>
      </c>
      <c r="H776" s="23" t="s">
        <v>1788</v>
      </c>
      <c r="I776" s="23"/>
      <c r="J776" s="23" t="s">
        <v>247</v>
      </c>
    </row>
    <row r="777" spans="1:10" x14ac:dyDescent="0.2">
      <c r="A777" s="21" t="s">
        <v>14</v>
      </c>
      <c r="B777" s="22">
        <v>40330</v>
      </c>
      <c r="C777" s="21" t="s">
        <v>15</v>
      </c>
      <c r="D777" s="21" t="s">
        <v>1789</v>
      </c>
      <c r="E777" s="21" t="s">
        <v>1790</v>
      </c>
      <c r="F777" s="10">
        <v>6</v>
      </c>
      <c r="G777" s="10">
        <v>2010</v>
      </c>
      <c r="H777" s="21" t="s">
        <v>1788</v>
      </c>
      <c r="I777" s="21"/>
      <c r="J777" s="21" t="s">
        <v>247</v>
      </c>
    </row>
    <row r="778" spans="1:10" x14ac:dyDescent="0.2">
      <c r="A778" s="23" t="s">
        <v>14</v>
      </c>
      <c r="B778" s="24">
        <v>40322</v>
      </c>
      <c r="C778" s="23" t="s">
        <v>15</v>
      </c>
      <c r="D778" s="23" t="s">
        <v>1791</v>
      </c>
      <c r="E778" s="23" t="s">
        <v>1792</v>
      </c>
      <c r="F778" s="10">
        <v>5</v>
      </c>
      <c r="G778" s="10">
        <v>2010</v>
      </c>
      <c r="H778" s="23" t="s">
        <v>1793</v>
      </c>
      <c r="I778" s="23"/>
      <c r="J778" s="23" t="s">
        <v>247</v>
      </c>
    </row>
    <row r="779" spans="1:10" x14ac:dyDescent="0.2">
      <c r="A779" s="21" t="s">
        <v>14</v>
      </c>
      <c r="B779" s="22">
        <v>40304</v>
      </c>
      <c r="C779" s="21" t="s">
        <v>21</v>
      </c>
      <c r="D779" s="21" t="s">
        <v>1794</v>
      </c>
      <c r="E779" s="21" t="s">
        <v>1795</v>
      </c>
      <c r="F779" s="10">
        <v>5</v>
      </c>
      <c r="G779" s="10">
        <v>2010</v>
      </c>
      <c r="H779" s="21" t="s">
        <v>1793</v>
      </c>
      <c r="I779" s="21"/>
      <c r="J779" s="21" t="s">
        <v>247</v>
      </c>
    </row>
    <row r="780" spans="1:10" x14ac:dyDescent="0.2">
      <c r="A780" s="23" t="s">
        <v>14</v>
      </c>
      <c r="B780" s="24">
        <v>40267</v>
      </c>
      <c r="C780" s="23" t="s">
        <v>21</v>
      </c>
      <c r="D780" s="23" t="s">
        <v>1796</v>
      </c>
      <c r="E780" s="23" t="s">
        <v>1797</v>
      </c>
      <c r="F780" s="10">
        <v>3</v>
      </c>
      <c r="G780" s="10">
        <v>2010</v>
      </c>
      <c r="H780" s="23" t="s">
        <v>1798</v>
      </c>
      <c r="I780" s="23"/>
      <c r="J780" s="23" t="s">
        <v>247</v>
      </c>
    </row>
    <row r="781" spans="1:10" x14ac:dyDescent="0.2">
      <c r="A781" s="21" t="s">
        <v>14</v>
      </c>
      <c r="B781" s="22">
        <v>40255</v>
      </c>
      <c r="C781" s="21" t="s">
        <v>21</v>
      </c>
      <c r="D781" s="21" t="s">
        <v>1799</v>
      </c>
      <c r="E781" s="21" t="s">
        <v>1800</v>
      </c>
      <c r="F781" s="10">
        <v>3</v>
      </c>
      <c r="G781" s="10">
        <v>2010</v>
      </c>
      <c r="H781" s="21" t="s">
        <v>1798</v>
      </c>
      <c r="I781" s="21"/>
      <c r="J781" s="21" t="s">
        <v>247</v>
      </c>
    </row>
    <row r="782" spans="1:10" x14ac:dyDescent="0.2">
      <c r="A782" s="23" t="s">
        <v>14</v>
      </c>
      <c r="B782" s="24">
        <v>40235</v>
      </c>
      <c r="C782" s="23" t="s">
        <v>15</v>
      </c>
      <c r="D782" s="23" t="s">
        <v>1801</v>
      </c>
      <c r="E782" s="23" t="s">
        <v>1802</v>
      </c>
      <c r="F782" s="10">
        <v>2</v>
      </c>
      <c r="G782" s="10">
        <v>2010</v>
      </c>
      <c r="H782" s="23" t="s">
        <v>1803</v>
      </c>
      <c r="I782" s="23"/>
      <c r="J782" s="23" t="s">
        <v>247</v>
      </c>
    </row>
    <row r="783" spans="1:10" x14ac:dyDescent="0.2">
      <c r="A783" s="21" t="s">
        <v>14</v>
      </c>
      <c r="B783" s="22">
        <v>40211</v>
      </c>
      <c r="C783" s="21" t="s">
        <v>15</v>
      </c>
      <c r="D783" s="21" t="s">
        <v>1804</v>
      </c>
      <c r="E783" s="21" t="s">
        <v>1805</v>
      </c>
      <c r="F783" s="10">
        <v>2</v>
      </c>
      <c r="G783" s="10">
        <v>2010</v>
      </c>
      <c r="H783" s="21" t="s">
        <v>1803</v>
      </c>
      <c r="I783" s="21"/>
      <c r="J783" s="21" t="s">
        <v>247</v>
      </c>
    </row>
    <row r="784" spans="1:10" x14ac:dyDescent="0.2">
      <c r="A784" s="23" t="s">
        <v>14</v>
      </c>
      <c r="B784" s="24">
        <v>40203</v>
      </c>
      <c r="C784" s="23" t="s">
        <v>21</v>
      </c>
      <c r="D784" s="23" t="s">
        <v>1806</v>
      </c>
      <c r="E784" s="23" t="s">
        <v>1807</v>
      </c>
      <c r="F784" s="10">
        <v>1</v>
      </c>
      <c r="G784" s="10">
        <v>2010</v>
      </c>
      <c r="H784" s="23" t="s">
        <v>1808</v>
      </c>
      <c r="I784" s="23"/>
      <c r="J784" s="23" t="s">
        <v>247</v>
      </c>
    </row>
    <row r="785" spans="1:10" x14ac:dyDescent="0.2">
      <c r="A785" s="21" t="s">
        <v>14</v>
      </c>
      <c r="B785" s="22">
        <v>40200</v>
      </c>
      <c r="C785" s="21" t="s">
        <v>21</v>
      </c>
      <c r="D785" s="21" t="s">
        <v>1809</v>
      </c>
      <c r="E785" s="21" t="s">
        <v>1810</v>
      </c>
      <c r="F785" s="10">
        <v>1</v>
      </c>
      <c r="G785" s="10">
        <v>2010</v>
      </c>
      <c r="H785" s="21" t="s">
        <v>1808</v>
      </c>
      <c r="I785" s="21"/>
      <c r="J785" s="21" t="s">
        <v>247</v>
      </c>
    </row>
    <row r="786" spans="1:10" x14ac:dyDescent="0.2">
      <c r="A786" s="23" t="s">
        <v>14</v>
      </c>
      <c r="B786" s="24">
        <v>40186</v>
      </c>
      <c r="C786" s="23" t="s">
        <v>15</v>
      </c>
      <c r="D786" s="23" t="s">
        <v>1811</v>
      </c>
      <c r="E786" s="23" t="s">
        <v>1812</v>
      </c>
      <c r="F786" s="10">
        <v>1</v>
      </c>
      <c r="G786" s="10">
        <v>2010</v>
      </c>
      <c r="H786" s="23" t="s">
        <v>1808</v>
      </c>
      <c r="I786" s="23"/>
      <c r="J786" s="23" t="s">
        <v>247</v>
      </c>
    </row>
    <row r="787" spans="1:10" x14ac:dyDescent="0.2">
      <c r="A787" s="21" t="s">
        <v>14</v>
      </c>
      <c r="B787" s="22">
        <v>40148</v>
      </c>
      <c r="C787" s="21" t="s">
        <v>15</v>
      </c>
      <c r="D787" s="21" t="s">
        <v>1813</v>
      </c>
      <c r="E787" s="21" t="s">
        <v>1814</v>
      </c>
      <c r="F787" s="10">
        <v>12</v>
      </c>
      <c r="G787" s="10">
        <v>2009</v>
      </c>
      <c r="H787" s="21" t="s">
        <v>1815</v>
      </c>
      <c r="I787" s="21"/>
      <c r="J787" s="21" t="s">
        <v>247</v>
      </c>
    </row>
    <row r="788" spans="1:10" x14ac:dyDescent="0.2">
      <c r="A788" s="23" t="s">
        <v>14</v>
      </c>
      <c r="B788" s="24">
        <v>40133</v>
      </c>
      <c r="C788" s="23" t="s">
        <v>21</v>
      </c>
      <c r="D788" s="23" t="s">
        <v>1816</v>
      </c>
      <c r="E788" s="23" t="s">
        <v>1817</v>
      </c>
      <c r="F788" s="10">
        <v>11</v>
      </c>
      <c r="G788" s="10">
        <v>2009</v>
      </c>
      <c r="H788" s="23" t="s">
        <v>1818</v>
      </c>
      <c r="I788" s="23"/>
      <c r="J788" s="23" t="s">
        <v>247</v>
      </c>
    </row>
    <row r="789" spans="1:10" x14ac:dyDescent="0.2">
      <c r="A789" s="21" t="s">
        <v>14</v>
      </c>
      <c r="B789" s="22">
        <v>40122</v>
      </c>
      <c r="C789" s="21" t="s">
        <v>21</v>
      </c>
      <c r="D789" s="21" t="s">
        <v>1819</v>
      </c>
      <c r="E789" s="21" t="s">
        <v>1820</v>
      </c>
      <c r="F789" s="10">
        <v>11</v>
      </c>
      <c r="G789" s="10">
        <v>2009</v>
      </c>
      <c r="H789" s="21" t="s">
        <v>1818</v>
      </c>
      <c r="I789" s="21"/>
      <c r="J789" s="21" t="s">
        <v>247</v>
      </c>
    </row>
    <row r="790" spans="1:10" x14ac:dyDescent="0.2">
      <c r="A790" s="23" t="s">
        <v>14</v>
      </c>
      <c r="B790" s="24">
        <v>40112</v>
      </c>
      <c r="C790" s="23" t="s">
        <v>15</v>
      </c>
      <c r="D790" s="23" t="s">
        <v>1821</v>
      </c>
      <c r="E790" s="23" t="s">
        <v>1822</v>
      </c>
      <c r="F790" s="10">
        <v>10</v>
      </c>
      <c r="G790" s="10">
        <v>2009</v>
      </c>
      <c r="H790" s="23" t="s">
        <v>1823</v>
      </c>
      <c r="I790" s="23"/>
      <c r="J790" s="23" t="s">
        <v>247</v>
      </c>
    </row>
    <row r="791" spans="1:10" x14ac:dyDescent="0.2">
      <c r="A791" s="21" t="s">
        <v>14</v>
      </c>
      <c r="B791" s="22">
        <v>40105</v>
      </c>
      <c r="C791" s="21" t="s">
        <v>21</v>
      </c>
      <c r="D791" s="21" t="s">
        <v>1824</v>
      </c>
      <c r="E791" s="21" t="s">
        <v>1825</v>
      </c>
      <c r="F791" s="10">
        <v>10</v>
      </c>
      <c r="G791" s="10">
        <v>2009</v>
      </c>
      <c r="H791" s="21" t="s">
        <v>1823</v>
      </c>
      <c r="I791" s="21"/>
      <c r="J791" s="21" t="s">
        <v>247</v>
      </c>
    </row>
    <row r="792" spans="1:10" x14ac:dyDescent="0.2">
      <c r="A792" s="23" t="s">
        <v>14</v>
      </c>
      <c r="B792" s="24">
        <v>40081</v>
      </c>
      <c r="C792" s="23" t="s">
        <v>15</v>
      </c>
      <c r="D792" s="23" t="s">
        <v>1826</v>
      </c>
      <c r="E792" s="23" t="s">
        <v>1827</v>
      </c>
      <c r="F792" s="10">
        <v>9</v>
      </c>
      <c r="G792" s="10">
        <v>2009</v>
      </c>
      <c r="H792" s="23" t="s">
        <v>1828</v>
      </c>
      <c r="I792" s="23"/>
      <c r="J792" s="23" t="s">
        <v>247</v>
      </c>
    </row>
    <row r="793" spans="1:10" x14ac:dyDescent="0.2">
      <c r="A793" s="21" t="s">
        <v>14</v>
      </c>
      <c r="B793" s="22">
        <v>40080</v>
      </c>
      <c r="C793" s="21" t="s">
        <v>21</v>
      </c>
      <c r="D793" s="21" t="s">
        <v>1829</v>
      </c>
      <c r="E793" s="21" t="s">
        <v>1830</v>
      </c>
      <c r="F793" s="10">
        <v>9</v>
      </c>
      <c r="G793" s="10">
        <v>2009</v>
      </c>
      <c r="H793" s="21" t="s">
        <v>1828</v>
      </c>
      <c r="I793" s="21"/>
      <c r="J793" s="21" t="s">
        <v>247</v>
      </c>
    </row>
    <row r="794" spans="1:10" x14ac:dyDescent="0.2">
      <c r="A794" s="23" t="s">
        <v>14</v>
      </c>
      <c r="B794" s="24">
        <v>40067</v>
      </c>
      <c r="C794" s="23" t="s">
        <v>21</v>
      </c>
      <c r="D794" s="23" t="s">
        <v>1831</v>
      </c>
      <c r="E794" s="23" t="s">
        <v>1832</v>
      </c>
      <c r="F794" s="10">
        <v>9</v>
      </c>
      <c r="G794" s="10">
        <v>2009</v>
      </c>
      <c r="H794" s="23" t="s">
        <v>1828</v>
      </c>
      <c r="I794" s="23"/>
      <c r="J794" s="23" t="s">
        <v>247</v>
      </c>
    </row>
    <row r="795" spans="1:10" x14ac:dyDescent="0.2">
      <c r="A795" s="21" t="s">
        <v>14</v>
      </c>
      <c r="B795" s="22">
        <v>40064</v>
      </c>
      <c r="C795" s="21" t="s">
        <v>21</v>
      </c>
      <c r="D795" s="21" t="s">
        <v>1833</v>
      </c>
      <c r="E795" s="21" t="s">
        <v>1834</v>
      </c>
      <c r="F795" s="10">
        <v>9</v>
      </c>
      <c r="G795" s="10">
        <v>2009</v>
      </c>
      <c r="H795" s="21" t="s">
        <v>1828</v>
      </c>
      <c r="I795" s="21"/>
      <c r="J795" s="21" t="s">
        <v>247</v>
      </c>
    </row>
    <row r="796" spans="1:10" x14ac:dyDescent="0.2">
      <c r="A796" s="23" t="s">
        <v>14</v>
      </c>
      <c r="B796" s="24">
        <v>40046</v>
      </c>
      <c r="C796" s="23" t="s">
        <v>21</v>
      </c>
      <c r="D796" s="23" t="s">
        <v>1835</v>
      </c>
      <c r="E796" s="23" t="s">
        <v>1836</v>
      </c>
      <c r="F796" s="10">
        <v>8</v>
      </c>
      <c r="G796" s="10">
        <v>2009</v>
      </c>
      <c r="H796" s="23" t="s">
        <v>1837</v>
      </c>
      <c r="I796" s="23"/>
      <c r="J796" s="23" t="s">
        <v>247</v>
      </c>
    </row>
    <row r="797" spans="1:10" x14ac:dyDescent="0.2">
      <c r="A797" s="21" t="s">
        <v>14</v>
      </c>
      <c r="B797" s="22">
        <v>40038</v>
      </c>
      <c r="C797" s="21" t="s">
        <v>21</v>
      </c>
      <c r="D797" s="21" t="s">
        <v>1838</v>
      </c>
      <c r="E797" s="21" t="s">
        <v>1839</v>
      </c>
      <c r="F797" s="10">
        <v>8</v>
      </c>
      <c r="G797" s="10">
        <v>2009</v>
      </c>
      <c r="H797" s="21" t="s">
        <v>1837</v>
      </c>
      <c r="I797" s="21"/>
      <c r="J797" s="21" t="s">
        <v>247</v>
      </c>
    </row>
    <row r="798" spans="1:10" x14ac:dyDescent="0.2">
      <c r="A798" s="23" t="s">
        <v>14</v>
      </c>
      <c r="B798" s="24">
        <v>40028</v>
      </c>
      <c r="C798" s="23" t="s">
        <v>21</v>
      </c>
      <c r="D798" s="23" t="s">
        <v>1840</v>
      </c>
      <c r="E798" s="23" t="s">
        <v>1841</v>
      </c>
      <c r="F798" s="10">
        <v>8</v>
      </c>
      <c r="G798" s="10">
        <v>2009</v>
      </c>
      <c r="H798" s="23" t="s">
        <v>1837</v>
      </c>
      <c r="I798" s="23"/>
      <c r="J798" s="23" t="s">
        <v>247</v>
      </c>
    </row>
    <row r="799" spans="1:10" x14ac:dyDescent="0.2">
      <c r="A799" s="21" t="s">
        <v>14</v>
      </c>
      <c r="B799" s="22">
        <v>40025</v>
      </c>
      <c r="C799" s="21" t="s">
        <v>21</v>
      </c>
      <c r="D799" s="21" t="s">
        <v>1842</v>
      </c>
      <c r="E799" s="21" t="s">
        <v>1843</v>
      </c>
      <c r="F799" s="10">
        <v>7</v>
      </c>
      <c r="G799" s="10">
        <v>2009</v>
      </c>
      <c r="H799" s="21" t="s">
        <v>1844</v>
      </c>
      <c r="I799" s="21"/>
      <c r="J799" s="21" t="s">
        <v>247</v>
      </c>
    </row>
    <row r="800" spans="1:10" x14ac:dyDescent="0.2">
      <c r="A800" s="23" t="s">
        <v>14</v>
      </c>
      <c r="B800" s="24">
        <v>40004</v>
      </c>
      <c r="C800" s="23" t="s">
        <v>21</v>
      </c>
      <c r="D800" s="23" t="s">
        <v>1845</v>
      </c>
      <c r="E800" s="23" t="s">
        <v>1846</v>
      </c>
      <c r="F800" s="10">
        <v>7</v>
      </c>
      <c r="G800" s="10">
        <v>2009</v>
      </c>
      <c r="H800" s="23" t="s">
        <v>1844</v>
      </c>
      <c r="I800" s="23"/>
      <c r="J800" s="23" t="s">
        <v>247</v>
      </c>
    </row>
    <row r="801" spans="1:10" x14ac:dyDescent="0.2">
      <c r="A801" s="21" t="s">
        <v>14</v>
      </c>
      <c r="B801" s="22">
        <v>39995</v>
      </c>
      <c r="C801" s="21" t="s">
        <v>21</v>
      </c>
      <c r="D801" s="21" t="s">
        <v>1847</v>
      </c>
      <c r="E801" s="21" t="s">
        <v>1848</v>
      </c>
      <c r="F801" s="10">
        <v>7</v>
      </c>
      <c r="G801" s="10">
        <v>2009</v>
      </c>
      <c r="H801" s="21" t="s">
        <v>1844</v>
      </c>
      <c r="I801" s="21"/>
      <c r="J801" s="21" t="s">
        <v>247</v>
      </c>
    </row>
    <row r="802" spans="1:10" x14ac:dyDescent="0.2">
      <c r="A802" s="23" t="s">
        <v>14</v>
      </c>
      <c r="B802" s="24">
        <v>39981</v>
      </c>
      <c r="C802" s="23" t="s">
        <v>15</v>
      </c>
      <c r="D802" s="23" t="s">
        <v>1849</v>
      </c>
      <c r="E802" s="23" t="s">
        <v>1850</v>
      </c>
      <c r="F802" s="10">
        <v>6</v>
      </c>
      <c r="G802" s="10">
        <v>2009</v>
      </c>
      <c r="H802" s="23" t="s">
        <v>1851</v>
      </c>
      <c r="I802" s="23"/>
      <c r="J802" s="23" t="s">
        <v>247</v>
      </c>
    </row>
    <row r="803" spans="1:10" x14ac:dyDescent="0.2">
      <c r="A803" s="21" t="s">
        <v>14</v>
      </c>
      <c r="B803" s="22">
        <v>39961</v>
      </c>
      <c r="C803" s="21" t="s">
        <v>21</v>
      </c>
      <c r="D803" s="21" t="s">
        <v>1852</v>
      </c>
      <c r="E803" s="21" t="s">
        <v>1853</v>
      </c>
      <c r="F803" s="10">
        <v>5</v>
      </c>
      <c r="G803" s="10">
        <v>2009</v>
      </c>
      <c r="H803" s="21" t="s">
        <v>1854</v>
      </c>
      <c r="I803" s="21"/>
      <c r="J803" s="21" t="s">
        <v>247</v>
      </c>
    </row>
    <row r="804" spans="1:10" x14ac:dyDescent="0.2">
      <c r="A804" s="23" t="s">
        <v>14</v>
      </c>
      <c r="B804" s="24">
        <v>39952</v>
      </c>
      <c r="C804" s="23" t="s">
        <v>21</v>
      </c>
      <c r="D804" s="23" t="s">
        <v>1855</v>
      </c>
      <c r="E804" s="23" t="s">
        <v>1856</v>
      </c>
      <c r="F804" s="10">
        <v>5</v>
      </c>
      <c r="G804" s="10">
        <v>2009</v>
      </c>
      <c r="H804" s="23" t="s">
        <v>1854</v>
      </c>
      <c r="I804" s="23"/>
      <c r="J804" s="23" t="s">
        <v>247</v>
      </c>
    </row>
    <row r="805" spans="1:10" x14ac:dyDescent="0.2">
      <c r="A805" s="21" t="s">
        <v>14</v>
      </c>
      <c r="B805" s="22">
        <v>39939</v>
      </c>
      <c r="C805" s="21" t="s">
        <v>21</v>
      </c>
      <c r="D805" s="21" t="s">
        <v>1857</v>
      </c>
      <c r="E805" s="21" t="s">
        <v>1858</v>
      </c>
      <c r="F805" s="10">
        <v>5</v>
      </c>
      <c r="G805" s="10">
        <v>2009</v>
      </c>
      <c r="H805" s="21" t="s">
        <v>1854</v>
      </c>
      <c r="I805" s="21"/>
      <c r="J805" s="21" t="s">
        <v>247</v>
      </c>
    </row>
    <row r="806" spans="1:10" x14ac:dyDescent="0.2">
      <c r="A806" s="23" t="s">
        <v>14</v>
      </c>
      <c r="B806" s="24">
        <v>39932</v>
      </c>
      <c r="C806" s="23" t="s">
        <v>15</v>
      </c>
      <c r="D806" s="23" t="s">
        <v>1859</v>
      </c>
      <c r="E806" s="23" t="s">
        <v>1860</v>
      </c>
      <c r="F806" s="10">
        <v>4</v>
      </c>
      <c r="G806" s="10">
        <v>2009</v>
      </c>
      <c r="H806" s="23" t="s">
        <v>1861</v>
      </c>
      <c r="I806" s="23"/>
      <c r="J806" s="23" t="s">
        <v>247</v>
      </c>
    </row>
    <row r="807" spans="1:10" x14ac:dyDescent="0.2">
      <c r="A807" s="21" t="s">
        <v>14</v>
      </c>
      <c r="B807" s="22">
        <v>39927</v>
      </c>
      <c r="C807" s="21" t="s">
        <v>15</v>
      </c>
      <c r="D807" s="21" t="s">
        <v>1862</v>
      </c>
      <c r="E807" s="21" t="s">
        <v>1863</v>
      </c>
      <c r="F807" s="10">
        <v>4</v>
      </c>
      <c r="G807" s="10">
        <v>2009</v>
      </c>
      <c r="H807" s="21" t="s">
        <v>1861</v>
      </c>
      <c r="I807" s="21"/>
      <c r="J807" s="21" t="s">
        <v>247</v>
      </c>
    </row>
    <row r="808" spans="1:10" x14ac:dyDescent="0.2">
      <c r="A808" s="23" t="s">
        <v>14</v>
      </c>
      <c r="B808" s="24">
        <v>39912</v>
      </c>
      <c r="C808" s="23" t="s">
        <v>21</v>
      </c>
      <c r="D808" s="23" t="s">
        <v>1864</v>
      </c>
      <c r="E808" s="23" t="s">
        <v>1865</v>
      </c>
      <c r="F808" s="10">
        <v>4</v>
      </c>
      <c r="G808" s="10">
        <v>2009</v>
      </c>
      <c r="H808" s="23" t="s">
        <v>1861</v>
      </c>
      <c r="I808" s="23"/>
      <c r="J808" s="23" t="s">
        <v>247</v>
      </c>
    </row>
    <row r="809" spans="1:10" x14ac:dyDescent="0.2">
      <c r="A809" s="21" t="s">
        <v>14</v>
      </c>
      <c r="B809" s="22">
        <v>39910</v>
      </c>
      <c r="C809" s="21" t="s">
        <v>21</v>
      </c>
      <c r="D809" s="21" t="s">
        <v>1866</v>
      </c>
      <c r="E809" s="21" t="s">
        <v>1867</v>
      </c>
      <c r="F809" s="10">
        <v>4</v>
      </c>
      <c r="G809" s="10">
        <v>2009</v>
      </c>
      <c r="H809" s="21" t="s">
        <v>1861</v>
      </c>
      <c r="I809" s="21"/>
      <c r="J809" s="21" t="s">
        <v>247</v>
      </c>
    </row>
    <row r="810" spans="1:10" x14ac:dyDescent="0.2">
      <c r="A810" s="23" t="s">
        <v>14</v>
      </c>
      <c r="B810" s="24">
        <v>39902</v>
      </c>
      <c r="C810" s="23" t="s">
        <v>21</v>
      </c>
      <c r="D810" s="23" t="s">
        <v>1868</v>
      </c>
      <c r="E810" s="23" t="s">
        <v>1869</v>
      </c>
      <c r="F810" s="10">
        <v>3</v>
      </c>
      <c r="G810" s="10">
        <v>2009</v>
      </c>
      <c r="H810" s="23" t="s">
        <v>1870</v>
      </c>
      <c r="I810" s="23"/>
      <c r="J810" s="23" t="s">
        <v>247</v>
      </c>
    </row>
    <row r="811" spans="1:10" x14ac:dyDescent="0.2">
      <c r="A811" s="21" t="s">
        <v>14</v>
      </c>
      <c r="B811" s="22">
        <v>39857</v>
      </c>
      <c r="C811" s="21" t="s">
        <v>21</v>
      </c>
      <c r="D811" s="21" t="s">
        <v>1871</v>
      </c>
      <c r="E811" s="21" t="s">
        <v>1872</v>
      </c>
      <c r="F811" s="10">
        <v>2</v>
      </c>
      <c r="G811" s="10">
        <v>2009</v>
      </c>
      <c r="H811" s="21" t="s">
        <v>1873</v>
      </c>
      <c r="I811" s="21"/>
      <c r="J811" s="21" t="s">
        <v>247</v>
      </c>
    </row>
    <row r="812" spans="1:10" x14ac:dyDescent="0.2">
      <c r="A812" s="23" t="s">
        <v>14</v>
      </c>
      <c r="B812" s="24">
        <v>39827</v>
      </c>
      <c r="C812" s="23" t="s">
        <v>21</v>
      </c>
      <c r="D812" s="23" t="s">
        <v>1874</v>
      </c>
      <c r="E812" s="23" t="s">
        <v>1875</v>
      </c>
      <c r="F812" s="10">
        <v>1</v>
      </c>
      <c r="G812" s="10">
        <v>2009</v>
      </c>
      <c r="H812" s="23" t="s">
        <v>1876</v>
      </c>
      <c r="I812" s="23"/>
      <c r="J812" s="23" t="s">
        <v>247</v>
      </c>
    </row>
    <row r="813" spans="1:10" x14ac:dyDescent="0.2">
      <c r="A813" s="21" t="s">
        <v>14</v>
      </c>
      <c r="B813" s="22">
        <v>39806</v>
      </c>
      <c r="C813" s="21" t="s">
        <v>21</v>
      </c>
      <c r="D813" s="21" t="s">
        <v>1877</v>
      </c>
      <c r="E813" s="21" t="s">
        <v>1878</v>
      </c>
      <c r="F813" s="10">
        <v>12</v>
      </c>
      <c r="G813" s="10">
        <v>2008</v>
      </c>
      <c r="H813" s="21" t="s">
        <v>1879</v>
      </c>
      <c r="I813" s="21"/>
      <c r="J813" s="21" t="s">
        <v>247</v>
      </c>
    </row>
    <row r="814" spans="1:10" x14ac:dyDescent="0.2">
      <c r="A814" s="23" t="s">
        <v>14</v>
      </c>
      <c r="B814" s="24">
        <v>39804</v>
      </c>
      <c r="C814" s="23" t="s">
        <v>21</v>
      </c>
      <c r="D814" s="23" t="s">
        <v>1880</v>
      </c>
      <c r="E814" s="23" t="s">
        <v>1881</v>
      </c>
      <c r="F814" s="10">
        <v>12</v>
      </c>
      <c r="G814" s="10">
        <v>2008</v>
      </c>
      <c r="H814" s="23" t="s">
        <v>1879</v>
      </c>
      <c r="I814" s="23"/>
      <c r="J814" s="23" t="s">
        <v>247</v>
      </c>
    </row>
    <row r="815" spans="1:10" x14ac:dyDescent="0.2">
      <c r="A815" s="21" t="s">
        <v>14</v>
      </c>
      <c r="B815" s="22">
        <v>39797</v>
      </c>
      <c r="C815" s="21" t="s">
        <v>21</v>
      </c>
      <c r="D815" s="21" t="s">
        <v>1882</v>
      </c>
      <c r="E815" s="21" t="s">
        <v>1883</v>
      </c>
      <c r="F815" s="10">
        <v>12</v>
      </c>
      <c r="G815" s="10">
        <v>2008</v>
      </c>
      <c r="H815" s="21" t="s">
        <v>1879</v>
      </c>
      <c r="I815" s="21"/>
      <c r="J815" s="21" t="s">
        <v>247</v>
      </c>
    </row>
    <row r="816" spans="1:10" x14ac:dyDescent="0.2">
      <c r="A816" s="23" t="s">
        <v>14</v>
      </c>
      <c r="B816" s="24">
        <v>39794</v>
      </c>
      <c r="C816" s="23" t="s">
        <v>21</v>
      </c>
      <c r="D816" s="23" t="s">
        <v>1884</v>
      </c>
      <c r="E816" s="23" t="s">
        <v>1885</v>
      </c>
      <c r="F816" s="10">
        <v>12</v>
      </c>
      <c r="G816" s="10">
        <v>2008</v>
      </c>
      <c r="H816" s="23" t="s">
        <v>1879</v>
      </c>
      <c r="I816" s="23"/>
      <c r="J816" s="23" t="s">
        <v>247</v>
      </c>
    </row>
    <row r="817" spans="1:10" x14ac:dyDescent="0.2">
      <c r="A817" s="21" t="s">
        <v>14</v>
      </c>
      <c r="B817" s="22">
        <v>39772</v>
      </c>
      <c r="C817" s="21" t="s">
        <v>21</v>
      </c>
      <c r="D817" s="21" t="s">
        <v>1886</v>
      </c>
      <c r="E817" s="21" t="s">
        <v>1887</v>
      </c>
      <c r="F817" s="10">
        <v>11</v>
      </c>
      <c r="G817" s="10">
        <v>2008</v>
      </c>
      <c r="H817" s="21" t="s">
        <v>1888</v>
      </c>
      <c r="I817" s="21"/>
      <c r="J817" s="21" t="s">
        <v>247</v>
      </c>
    </row>
    <row r="818" spans="1:10" x14ac:dyDescent="0.2">
      <c r="A818" s="23" t="s">
        <v>14</v>
      </c>
      <c r="B818" s="24">
        <v>39772</v>
      </c>
      <c r="C818" s="23" t="s">
        <v>21</v>
      </c>
      <c r="D818" s="23" t="s">
        <v>1889</v>
      </c>
      <c r="E818" s="23" t="s">
        <v>1890</v>
      </c>
      <c r="F818" s="10">
        <v>11</v>
      </c>
      <c r="G818" s="10">
        <v>2008</v>
      </c>
      <c r="H818" s="23" t="s">
        <v>1888</v>
      </c>
      <c r="I818" s="23"/>
      <c r="J818" s="23" t="s">
        <v>247</v>
      </c>
    </row>
    <row r="819" spans="1:10" x14ac:dyDescent="0.2">
      <c r="A819" s="21" t="s">
        <v>14</v>
      </c>
      <c r="B819" s="22">
        <v>39766</v>
      </c>
      <c r="C819" s="21" t="s">
        <v>21</v>
      </c>
      <c r="D819" s="21" t="s">
        <v>1891</v>
      </c>
      <c r="E819" s="21" t="s">
        <v>1892</v>
      </c>
      <c r="F819" s="10">
        <v>11</v>
      </c>
      <c r="G819" s="10">
        <v>2008</v>
      </c>
      <c r="H819" s="21" t="s">
        <v>1888</v>
      </c>
      <c r="I819" s="21"/>
      <c r="J819" s="21" t="s">
        <v>247</v>
      </c>
    </row>
    <row r="820" spans="1:10" x14ac:dyDescent="0.2">
      <c r="A820" s="23" t="s">
        <v>14</v>
      </c>
      <c r="B820" s="24">
        <v>39752</v>
      </c>
      <c r="C820" s="23" t="s">
        <v>21</v>
      </c>
      <c r="D820" s="23" t="s">
        <v>1893</v>
      </c>
      <c r="E820" s="23" t="s">
        <v>1894</v>
      </c>
      <c r="F820" s="10">
        <v>10</v>
      </c>
      <c r="G820" s="10">
        <v>2008</v>
      </c>
      <c r="H820" s="23" t="s">
        <v>1895</v>
      </c>
      <c r="I820" s="23"/>
      <c r="J820" s="23" t="s">
        <v>247</v>
      </c>
    </row>
    <row r="821" spans="1:10" x14ac:dyDescent="0.2">
      <c r="A821" s="21" t="s">
        <v>14</v>
      </c>
      <c r="B821" s="22">
        <v>39749</v>
      </c>
      <c r="C821" s="21" t="s">
        <v>21</v>
      </c>
      <c r="D821" s="21" t="s">
        <v>1896</v>
      </c>
      <c r="E821" s="21" t="s">
        <v>1897</v>
      </c>
      <c r="F821" s="10">
        <v>10</v>
      </c>
      <c r="G821" s="10">
        <v>2008</v>
      </c>
      <c r="H821" s="21" t="s">
        <v>1895</v>
      </c>
      <c r="I821" s="21"/>
      <c r="J821" s="21" t="s">
        <v>247</v>
      </c>
    </row>
    <row r="822" spans="1:10" x14ac:dyDescent="0.2">
      <c r="A822" s="23" t="s">
        <v>14</v>
      </c>
      <c r="B822" s="24">
        <v>39729</v>
      </c>
      <c r="C822" s="23" t="s">
        <v>21</v>
      </c>
      <c r="D822" s="23" t="s">
        <v>1898</v>
      </c>
      <c r="E822" s="23" t="s">
        <v>1899</v>
      </c>
      <c r="F822" s="10">
        <v>10</v>
      </c>
      <c r="G822" s="10">
        <v>2008</v>
      </c>
      <c r="H822" s="23" t="s">
        <v>1895</v>
      </c>
      <c r="I822" s="23"/>
      <c r="J822" s="23" t="s">
        <v>247</v>
      </c>
    </row>
    <row r="823" spans="1:10" x14ac:dyDescent="0.2">
      <c r="A823" s="21" t="s">
        <v>14</v>
      </c>
      <c r="B823" s="22">
        <v>39710</v>
      </c>
      <c r="C823" s="21" t="s">
        <v>21</v>
      </c>
      <c r="D823" s="21" t="s">
        <v>1900</v>
      </c>
      <c r="E823" s="21" t="s">
        <v>1901</v>
      </c>
      <c r="F823" s="10">
        <v>9</v>
      </c>
      <c r="G823" s="10">
        <v>2008</v>
      </c>
      <c r="H823" s="21" t="s">
        <v>1902</v>
      </c>
      <c r="I823" s="21"/>
      <c r="J823" s="21" t="s">
        <v>247</v>
      </c>
    </row>
    <row r="824" spans="1:10" x14ac:dyDescent="0.2">
      <c r="A824" s="23" t="s">
        <v>14</v>
      </c>
      <c r="B824" s="24">
        <v>39682</v>
      </c>
      <c r="C824" s="23" t="s">
        <v>15</v>
      </c>
      <c r="D824" s="23" t="s">
        <v>1903</v>
      </c>
      <c r="E824" s="23" t="s">
        <v>1904</v>
      </c>
      <c r="F824" s="10">
        <v>8</v>
      </c>
      <c r="G824" s="10">
        <v>2008</v>
      </c>
      <c r="H824" s="23" t="s">
        <v>1905</v>
      </c>
      <c r="I824" s="23"/>
      <c r="J824" s="23" t="s">
        <v>247</v>
      </c>
    </row>
    <row r="825" spans="1:10" x14ac:dyDescent="0.2">
      <c r="A825" s="21" t="s">
        <v>14</v>
      </c>
      <c r="B825" s="22">
        <v>39675</v>
      </c>
      <c r="C825" s="21" t="s">
        <v>21</v>
      </c>
      <c r="D825" s="21" t="s">
        <v>1906</v>
      </c>
      <c r="E825" s="21" t="s">
        <v>1907</v>
      </c>
      <c r="F825" s="10">
        <v>8</v>
      </c>
      <c r="G825" s="10">
        <v>2008</v>
      </c>
      <c r="H825" s="21" t="s">
        <v>1905</v>
      </c>
      <c r="I825" s="21"/>
      <c r="J825" s="21" t="s">
        <v>247</v>
      </c>
    </row>
    <row r="826" spans="1:10" x14ac:dyDescent="0.2">
      <c r="A826" s="23" t="s">
        <v>14</v>
      </c>
      <c r="B826" s="24">
        <v>39661</v>
      </c>
      <c r="C826" s="23" t="s">
        <v>21</v>
      </c>
      <c r="D826" s="23" t="s">
        <v>1908</v>
      </c>
      <c r="E826" s="23" t="s">
        <v>1909</v>
      </c>
      <c r="F826" s="10">
        <v>8</v>
      </c>
      <c r="G826" s="10">
        <v>2008</v>
      </c>
      <c r="H826" s="23" t="s">
        <v>1905</v>
      </c>
      <c r="I826" s="23"/>
      <c r="J826" s="23" t="s">
        <v>247</v>
      </c>
    </row>
    <row r="827" spans="1:10" x14ac:dyDescent="0.2">
      <c r="A827" s="21" t="s">
        <v>14</v>
      </c>
      <c r="B827" s="22">
        <v>39632</v>
      </c>
      <c r="C827" s="21" t="s">
        <v>21</v>
      </c>
      <c r="D827" s="21" t="s">
        <v>1910</v>
      </c>
      <c r="E827" s="21" t="s">
        <v>1911</v>
      </c>
      <c r="F827" s="10">
        <v>7</v>
      </c>
      <c r="G827" s="10">
        <v>2008</v>
      </c>
      <c r="H827" s="21" t="s">
        <v>1912</v>
      </c>
      <c r="I827" s="21"/>
      <c r="J827" s="21" t="s">
        <v>247</v>
      </c>
    </row>
    <row r="828" spans="1:10" x14ac:dyDescent="0.2">
      <c r="A828" s="23" t="s">
        <v>14</v>
      </c>
      <c r="B828" s="24">
        <v>39622</v>
      </c>
      <c r="C828" s="23" t="s">
        <v>21</v>
      </c>
      <c r="D828" s="23" t="s">
        <v>1913</v>
      </c>
      <c r="E828" s="23" t="s">
        <v>1914</v>
      </c>
      <c r="F828" s="10">
        <v>6</v>
      </c>
      <c r="G828" s="10">
        <v>2008</v>
      </c>
      <c r="H828" s="23" t="s">
        <v>1915</v>
      </c>
      <c r="I828" s="23"/>
      <c r="J828" s="23" t="s">
        <v>247</v>
      </c>
    </row>
    <row r="829" spans="1:10" x14ac:dyDescent="0.2">
      <c r="A829" s="21" t="s">
        <v>14</v>
      </c>
      <c r="B829" s="22">
        <v>39588</v>
      </c>
      <c r="C829" s="21" t="s">
        <v>21</v>
      </c>
      <c r="D829" s="21" t="s">
        <v>1916</v>
      </c>
      <c r="E829" s="21" t="s">
        <v>1917</v>
      </c>
      <c r="F829" s="10">
        <v>5</v>
      </c>
      <c r="G829" s="10">
        <v>2008</v>
      </c>
      <c r="H829" s="21" t="s">
        <v>1918</v>
      </c>
      <c r="I829" s="21"/>
      <c r="J829" s="21" t="s">
        <v>247</v>
      </c>
    </row>
    <row r="830" spans="1:10" x14ac:dyDescent="0.2">
      <c r="A830" s="23" t="s">
        <v>14</v>
      </c>
      <c r="B830" s="24">
        <v>39562</v>
      </c>
      <c r="C830" s="23" t="s">
        <v>21</v>
      </c>
      <c r="D830" s="23" t="s">
        <v>1919</v>
      </c>
      <c r="E830" s="23" t="s">
        <v>1920</v>
      </c>
      <c r="F830" s="10">
        <v>4</v>
      </c>
      <c r="G830" s="10">
        <v>2008</v>
      </c>
      <c r="H830" s="23" t="s">
        <v>1921</v>
      </c>
      <c r="I830" s="23"/>
      <c r="J830" s="23" t="s">
        <v>247</v>
      </c>
    </row>
    <row r="831" spans="1:10" x14ac:dyDescent="0.2">
      <c r="A831" s="21" t="s">
        <v>14</v>
      </c>
      <c r="B831" s="22">
        <v>39560</v>
      </c>
      <c r="C831" s="21" t="s">
        <v>15</v>
      </c>
      <c r="D831" s="21" t="s">
        <v>1922</v>
      </c>
      <c r="E831" s="21" t="s">
        <v>1923</v>
      </c>
      <c r="F831" s="10">
        <v>4</v>
      </c>
      <c r="G831" s="10">
        <v>2008</v>
      </c>
      <c r="H831" s="21" t="s">
        <v>1921</v>
      </c>
      <c r="I831" s="21"/>
      <c r="J831" s="21" t="s">
        <v>247</v>
      </c>
    </row>
    <row r="832" spans="1:10" x14ac:dyDescent="0.2">
      <c r="A832" s="23" t="s">
        <v>14</v>
      </c>
      <c r="B832" s="24">
        <v>39548</v>
      </c>
      <c r="C832" s="23" t="s">
        <v>21</v>
      </c>
      <c r="D832" s="23" t="s">
        <v>1924</v>
      </c>
      <c r="E832" s="23" t="s">
        <v>1925</v>
      </c>
      <c r="F832" s="10">
        <v>4</v>
      </c>
      <c r="G832" s="10">
        <v>2008</v>
      </c>
      <c r="H832" s="23" t="s">
        <v>1921</v>
      </c>
      <c r="I832" s="23"/>
      <c r="J832" s="23" t="s">
        <v>247</v>
      </c>
    </row>
    <row r="833" spans="1:10" x14ac:dyDescent="0.2">
      <c r="A833" s="21" t="s">
        <v>14</v>
      </c>
      <c r="B833" s="22">
        <v>39527</v>
      </c>
      <c r="C833" s="21" t="s">
        <v>21</v>
      </c>
      <c r="D833" s="21" t="s">
        <v>1926</v>
      </c>
      <c r="E833" s="21" t="s">
        <v>1927</v>
      </c>
      <c r="F833" s="10">
        <v>3</v>
      </c>
      <c r="G833" s="10">
        <v>2008</v>
      </c>
      <c r="H833" s="21" t="s">
        <v>1928</v>
      </c>
      <c r="I833" s="21"/>
      <c r="J833" s="21" t="s">
        <v>247</v>
      </c>
    </row>
    <row r="834" spans="1:10" x14ac:dyDescent="0.2">
      <c r="A834" s="23" t="s">
        <v>14</v>
      </c>
      <c r="B834" s="24">
        <v>39507</v>
      </c>
      <c r="C834" s="23" t="s">
        <v>21</v>
      </c>
      <c r="D834" s="23" t="s">
        <v>1929</v>
      </c>
      <c r="E834" s="23" t="s">
        <v>1930</v>
      </c>
      <c r="F834" s="10">
        <v>2</v>
      </c>
      <c r="G834" s="10">
        <v>2008</v>
      </c>
      <c r="H834" s="23" t="s">
        <v>1931</v>
      </c>
      <c r="I834" s="23"/>
      <c r="J834" s="23" t="s">
        <v>247</v>
      </c>
    </row>
    <row r="835" spans="1:10" x14ac:dyDescent="0.2">
      <c r="A835" s="21" t="s">
        <v>14</v>
      </c>
      <c r="B835" s="22">
        <v>39505</v>
      </c>
      <c r="C835" s="21" t="s">
        <v>15</v>
      </c>
      <c r="D835" s="21" t="s">
        <v>1932</v>
      </c>
      <c r="E835" s="21" t="s">
        <v>1933</v>
      </c>
      <c r="F835" s="10">
        <v>2</v>
      </c>
      <c r="G835" s="10">
        <v>2008</v>
      </c>
      <c r="H835" s="21" t="s">
        <v>1931</v>
      </c>
      <c r="I835" s="21"/>
      <c r="J835" s="21" t="s">
        <v>247</v>
      </c>
    </row>
    <row r="836" spans="1:10" x14ac:dyDescent="0.2">
      <c r="A836" s="23" t="s">
        <v>14</v>
      </c>
      <c r="B836" s="24">
        <v>39472</v>
      </c>
      <c r="C836" s="23" t="s">
        <v>21</v>
      </c>
      <c r="D836" s="23" t="s">
        <v>1934</v>
      </c>
      <c r="E836" s="23" t="s">
        <v>1935</v>
      </c>
      <c r="F836" s="10">
        <v>1</v>
      </c>
      <c r="G836" s="10">
        <v>2008</v>
      </c>
      <c r="H836" s="23" t="s">
        <v>1936</v>
      </c>
      <c r="I836" s="23"/>
      <c r="J836" s="23" t="s">
        <v>247</v>
      </c>
    </row>
    <row r="837" spans="1:10" x14ac:dyDescent="0.2">
      <c r="A837" s="21" t="s">
        <v>14</v>
      </c>
      <c r="B837" s="22">
        <v>39465</v>
      </c>
      <c r="C837" s="21" t="s">
        <v>21</v>
      </c>
      <c r="D837" s="21" t="s">
        <v>1937</v>
      </c>
      <c r="E837" s="21" t="s">
        <v>1938</v>
      </c>
      <c r="F837" s="10">
        <v>1</v>
      </c>
      <c r="G837" s="10">
        <v>2008</v>
      </c>
      <c r="H837" s="21" t="s">
        <v>1936</v>
      </c>
      <c r="I837" s="21"/>
      <c r="J837" s="21" t="s">
        <v>247</v>
      </c>
    </row>
    <row r="838" spans="1:10" x14ac:dyDescent="0.2">
      <c r="A838" s="23" t="s">
        <v>14</v>
      </c>
      <c r="B838" s="24">
        <v>39433</v>
      </c>
      <c r="C838" s="23" t="s">
        <v>21</v>
      </c>
      <c r="D838" s="23" t="s">
        <v>1939</v>
      </c>
      <c r="E838" s="23" t="s">
        <v>1940</v>
      </c>
      <c r="F838" s="10">
        <v>12</v>
      </c>
      <c r="G838" s="10">
        <v>2007</v>
      </c>
      <c r="H838" s="23" t="s">
        <v>1941</v>
      </c>
      <c r="I838" s="23"/>
      <c r="J838" s="23" t="s">
        <v>247</v>
      </c>
    </row>
    <row r="839" spans="1:10" x14ac:dyDescent="0.2">
      <c r="A839" s="21" t="s">
        <v>14</v>
      </c>
      <c r="B839" s="22">
        <v>39429</v>
      </c>
      <c r="C839" s="21" t="s">
        <v>21</v>
      </c>
      <c r="D839" s="21" t="s">
        <v>1942</v>
      </c>
      <c r="E839" s="21" t="s">
        <v>1943</v>
      </c>
      <c r="F839" s="10">
        <v>12</v>
      </c>
      <c r="G839" s="10">
        <v>2007</v>
      </c>
      <c r="H839" s="21" t="s">
        <v>1941</v>
      </c>
      <c r="I839" s="21"/>
      <c r="J839" s="21" t="s">
        <v>247</v>
      </c>
    </row>
    <row r="840" spans="1:10" x14ac:dyDescent="0.2">
      <c r="A840" s="23" t="s">
        <v>14</v>
      </c>
      <c r="B840" s="24">
        <v>39400</v>
      </c>
      <c r="C840" s="23" t="s">
        <v>15</v>
      </c>
      <c r="D840" s="23" t="s">
        <v>1944</v>
      </c>
      <c r="E840" s="23" t="s">
        <v>1945</v>
      </c>
      <c r="F840" s="10">
        <v>11</v>
      </c>
      <c r="G840" s="10">
        <v>2007</v>
      </c>
      <c r="H840" s="23" t="s">
        <v>1946</v>
      </c>
      <c r="I840" s="23"/>
      <c r="J840" s="23" t="s">
        <v>247</v>
      </c>
    </row>
    <row r="841" spans="1:10" x14ac:dyDescent="0.2">
      <c r="A841" s="21" t="s">
        <v>14</v>
      </c>
      <c r="B841" s="22">
        <v>39384</v>
      </c>
      <c r="C841" s="21" t="s">
        <v>21</v>
      </c>
      <c r="D841" s="21" t="s">
        <v>1947</v>
      </c>
      <c r="E841" s="21" t="s">
        <v>1948</v>
      </c>
      <c r="F841" s="10">
        <v>10</v>
      </c>
      <c r="G841" s="10">
        <v>2007</v>
      </c>
      <c r="H841" s="21" t="s">
        <v>1949</v>
      </c>
      <c r="I841" s="21"/>
      <c r="J841" s="21" t="s">
        <v>247</v>
      </c>
    </row>
    <row r="842" spans="1:10" x14ac:dyDescent="0.2">
      <c r="A842" s="23" t="s">
        <v>14</v>
      </c>
      <c r="B842" s="24">
        <v>39371</v>
      </c>
      <c r="C842" s="23" t="s">
        <v>21</v>
      </c>
      <c r="D842" s="23" t="s">
        <v>1950</v>
      </c>
      <c r="E842" s="23" t="s">
        <v>1951</v>
      </c>
      <c r="F842" s="10">
        <v>10</v>
      </c>
      <c r="G842" s="10">
        <v>2007</v>
      </c>
      <c r="H842" s="23" t="s">
        <v>1949</v>
      </c>
      <c r="I842" s="23"/>
      <c r="J842" s="23" t="s">
        <v>247</v>
      </c>
    </row>
    <row r="843" spans="1:10" x14ac:dyDescent="0.2">
      <c r="A843" s="21" t="s">
        <v>14</v>
      </c>
      <c r="B843" s="22">
        <v>39367</v>
      </c>
      <c r="C843" s="21" t="s">
        <v>21</v>
      </c>
      <c r="D843" s="21" t="s">
        <v>1952</v>
      </c>
      <c r="E843" s="21" t="s">
        <v>1953</v>
      </c>
      <c r="F843" s="10">
        <v>10</v>
      </c>
      <c r="G843" s="10">
        <v>2007</v>
      </c>
      <c r="H843" s="21" t="s">
        <v>1949</v>
      </c>
      <c r="I843" s="21"/>
      <c r="J843" s="21" t="s">
        <v>247</v>
      </c>
    </row>
    <row r="844" spans="1:10" x14ac:dyDescent="0.2">
      <c r="A844" s="23" t="s">
        <v>14</v>
      </c>
      <c r="B844" s="24">
        <v>39367</v>
      </c>
      <c r="C844" s="23" t="s">
        <v>21</v>
      </c>
      <c r="D844" s="23" t="s">
        <v>1954</v>
      </c>
      <c r="E844" s="23" t="s">
        <v>1955</v>
      </c>
      <c r="F844" s="10">
        <v>10</v>
      </c>
      <c r="G844" s="10">
        <v>2007</v>
      </c>
      <c r="H844" s="23" t="s">
        <v>1949</v>
      </c>
      <c r="I844" s="23"/>
      <c r="J844" s="23" t="s">
        <v>247</v>
      </c>
    </row>
    <row r="845" spans="1:10" x14ac:dyDescent="0.2">
      <c r="A845" s="21" t="s">
        <v>14</v>
      </c>
      <c r="B845" s="22">
        <v>39324</v>
      </c>
      <c r="C845" s="21" t="s">
        <v>21</v>
      </c>
      <c r="D845" s="21" t="s">
        <v>1956</v>
      </c>
      <c r="E845" s="21" t="s">
        <v>1957</v>
      </c>
      <c r="F845" s="10">
        <v>8</v>
      </c>
      <c r="G845" s="10">
        <v>2007</v>
      </c>
      <c r="H845" s="21" t="s">
        <v>1958</v>
      </c>
      <c r="I845" s="21" t="s">
        <v>1959</v>
      </c>
      <c r="J845" s="21" t="s">
        <v>247</v>
      </c>
    </row>
    <row r="846" spans="1:10" x14ac:dyDescent="0.2">
      <c r="A846" s="23" t="s">
        <v>14</v>
      </c>
      <c r="B846" s="24">
        <v>39317</v>
      </c>
      <c r="C846" s="23" t="s">
        <v>21</v>
      </c>
      <c r="D846" s="23" t="s">
        <v>728</v>
      </c>
      <c r="E846" s="23" t="s">
        <v>1960</v>
      </c>
      <c r="F846" s="10">
        <v>8</v>
      </c>
      <c r="G846" s="10">
        <v>2007</v>
      </c>
      <c r="H846" s="23" t="s">
        <v>1958</v>
      </c>
      <c r="I846" s="23" t="s">
        <v>1961</v>
      </c>
      <c r="J846" s="23" t="s">
        <v>247</v>
      </c>
    </row>
    <row r="847" spans="1:10" x14ac:dyDescent="0.2">
      <c r="A847" s="21" t="s">
        <v>14</v>
      </c>
      <c r="B847" s="22">
        <v>39300</v>
      </c>
      <c r="C847" s="21" t="s">
        <v>21</v>
      </c>
      <c r="D847" s="21" t="s">
        <v>1962</v>
      </c>
      <c r="E847" s="21" t="s">
        <v>1963</v>
      </c>
      <c r="F847" s="10">
        <v>8</v>
      </c>
      <c r="G847" s="10">
        <v>2007</v>
      </c>
      <c r="H847" s="21" t="s">
        <v>1958</v>
      </c>
      <c r="I847" s="21" t="s">
        <v>1964</v>
      </c>
      <c r="J847" s="21" t="s">
        <v>247</v>
      </c>
    </row>
    <row r="848" spans="1:10" x14ac:dyDescent="0.2">
      <c r="A848" s="23" t="s">
        <v>14</v>
      </c>
      <c r="B848" s="24">
        <v>39248</v>
      </c>
      <c r="C848" s="23" t="s">
        <v>21</v>
      </c>
      <c r="D848" s="23" t="s">
        <v>1965</v>
      </c>
      <c r="E848" s="23" t="s">
        <v>1966</v>
      </c>
      <c r="F848" s="10">
        <v>6</v>
      </c>
      <c r="G848" s="10">
        <v>2007</v>
      </c>
      <c r="H848" s="23" t="s">
        <v>1967</v>
      </c>
      <c r="I848" s="23" t="s">
        <v>1968</v>
      </c>
      <c r="J848" s="23" t="s">
        <v>247</v>
      </c>
    </row>
    <row r="849" spans="1:10" x14ac:dyDescent="0.2">
      <c r="A849" s="21" t="s">
        <v>14</v>
      </c>
      <c r="B849" s="22">
        <v>39232</v>
      </c>
      <c r="C849" s="21" t="s">
        <v>21</v>
      </c>
      <c r="D849" s="21" t="s">
        <v>1969</v>
      </c>
      <c r="E849" s="21" t="s">
        <v>1970</v>
      </c>
      <c r="F849" s="10">
        <v>5</v>
      </c>
      <c r="G849" s="10">
        <v>2007</v>
      </c>
      <c r="H849" s="21" t="s">
        <v>1971</v>
      </c>
      <c r="I849" s="21" t="s">
        <v>1972</v>
      </c>
      <c r="J849" s="21" t="s">
        <v>247</v>
      </c>
    </row>
    <row r="850" spans="1:10" x14ac:dyDescent="0.2">
      <c r="A850" s="23" t="s">
        <v>14</v>
      </c>
      <c r="B850" s="24">
        <v>39211</v>
      </c>
      <c r="C850" s="23" t="s">
        <v>21</v>
      </c>
      <c r="D850" s="23" t="s">
        <v>1973</v>
      </c>
      <c r="E850" s="23" t="s">
        <v>1974</v>
      </c>
      <c r="F850" s="10">
        <v>5</v>
      </c>
      <c r="G850" s="10">
        <v>2007</v>
      </c>
      <c r="H850" s="23" t="s">
        <v>1971</v>
      </c>
      <c r="I850" s="23" t="s">
        <v>1975</v>
      </c>
      <c r="J850" s="23" t="s">
        <v>247</v>
      </c>
    </row>
    <row r="851" spans="1:10" x14ac:dyDescent="0.2">
      <c r="A851" s="21" t="s">
        <v>14</v>
      </c>
      <c r="B851" s="22">
        <v>39184</v>
      </c>
      <c r="C851" s="21" t="s">
        <v>21</v>
      </c>
      <c r="D851" s="21" t="s">
        <v>1976</v>
      </c>
      <c r="E851" s="21" t="s">
        <v>1977</v>
      </c>
      <c r="F851" s="10">
        <v>4</v>
      </c>
      <c r="G851" s="10">
        <v>2007</v>
      </c>
      <c r="H851" s="21" t="s">
        <v>1978</v>
      </c>
      <c r="I851" s="21" t="s">
        <v>1979</v>
      </c>
      <c r="J851" s="21" t="s">
        <v>247</v>
      </c>
    </row>
    <row r="852" spans="1:10" x14ac:dyDescent="0.2">
      <c r="A852" s="23" t="s">
        <v>14</v>
      </c>
      <c r="B852" s="24">
        <v>39157</v>
      </c>
      <c r="C852" s="23" t="s">
        <v>15</v>
      </c>
      <c r="D852" s="23" t="s">
        <v>1980</v>
      </c>
      <c r="E852" s="23" t="s">
        <v>1981</v>
      </c>
      <c r="F852" s="10">
        <v>3</v>
      </c>
      <c r="G852" s="10">
        <v>2007</v>
      </c>
      <c r="H852" s="23" t="s">
        <v>1982</v>
      </c>
      <c r="I852" s="23" t="s">
        <v>1983</v>
      </c>
      <c r="J852" s="23" t="s">
        <v>247</v>
      </c>
    </row>
    <row r="853" spans="1:10" x14ac:dyDescent="0.2">
      <c r="A853" s="21" t="s">
        <v>14</v>
      </c>
      <c r="B853" s="22">
        <v>39154</v>
      </c>
      <c r="C853" s="21" t="s">
        <v>21</v>
      </c>
      <c r="D853" s="21" t="s">
        <v>1984</v>
      </c>
      <c r="E853" s="21" t="s">
        <v>1985</v>
      </c>
      <c r="F853" s="10">
        <v>3</v>
      </c>
      <c r="G853" s="10">
        <v>2007</v>
      </c>
      <c r="H853" s="21" t="s">
        <v>1982</v>
      </c>
      <c r="I853" s="21" t="s">
        <v>1986</v>
      </c>
      <c r="J853" s="21" t="s">
        <v>247</v>
      </c>
    </row>
    <row r="854" spans="1:10" x14ac:dyDescent="0.2">
      <c r="A854" s="23" t="s">
        <v>14</v>
      </c>
      <c r="B854" s="24">
        <v>39146</v>
      </c>
      <c r="C854" s="23" t="s">
        <v>21</v>
      </c>
      <c r="D854" s="23" t="s">
        <v>1987</v>
      </c>
      <c r="E854" s="23" t="s">
        <v>1988</v>
      </c>
      <c r="F854" s="10">
        <v>3</v>
      </c>
      <c r="G854" s="10">
        <v>2007</v>
      </c>
      <c r="H854" s="23" t="s">
        <v>1982</v>
      </c>
      <c r="I854" s="23" t="s">
        <v>1989</v>
      </c>
      <c r="J854" s="23" t="s">
        <v>247</v>
      </c>
    </row>
    <row r="855" spans="1:10" x14ac:dyDescent="0.2">
      <c r="A855" s="21" t="s">
        <v>14</v>
      </c>
      <c r="B855" s="22">
        <v>39136</v>
      </c>
      <c r="C855" s="21" t="s">
        <v>21</v>
      </c>
      <c r="D855" s="21" t="s">
        <v>1990</v>
      </c>
      <c r="E855" s="21" t="s">
        <v>1991</v>
      </c>
      <c r="F855" s="10">
        <v>2</v>
      </c>
      <c r="G855" s="10">
        <v>2007</v>
      </c>
      <c r="H855" s="21" t="s">
        <v>1992</v>
      </c>
      <c r="I855" s="21" t="s">
        <v>1993</v>
      </c>
      <c r="J855" s="21" t="s">
        <v>247</v>
      </c>
    </row>
    <row r="856" spans="1:10" x14ac:dyDescent="0.2">
      <c r="A856" s="23" t="s">
        <v>14</v>
      </c>
      <c r="B856" s="24">
        <v>39070</v>
      </c>
      <c r="C856" s="23" t="s">
        <v>21</v>
      </c>
      <c r="D856" s="23" t="s">
        <v>1994</v>
      </c>
      <c r="E856" s="23" t="s">
        <v>1995</v>
      </c>
      <c r="F856" s="10">
        <v>12</v>
      </c>
      <c r="G856" s="10">
        <v>2006</v>
      </c>
      <c r="H856" s="23" t="s">
        <v>1996</v>
      </c>
      <c r="I856" s="23" t="s">
        <v>1997</v>
      </c>
      <c r="J856" s="23" t="s">
        <v>247</v>
      </c>
    </row>
    <row r="857" spans="1:10" x14ac:dyDescent="0.2">
      <c r="A857" s="21" t="s">
        <v>14</v>
      </c>
      <c r="B857" s="22">
        <v>39021</v>
      </c>
      <c r="C857" s="21" t="s">
        <v>21</v>
      </c>
      <c r="D857" s="21" t="s">
        <v>1998</v>
      </c>
      <c r="E857" s="21" t="s">
        <v>1999</v>
      </c>
      <c r="F857" s="10">
        <v>10</v>
      </c>
      <c r="G857" s="10">
        <v>2006</v>
      </c>
      <c r="H857" s="21" t="s">
        <v>2000</v>
      </c>
      <c r="I857" s="21" t="s">
        <v>2001</v>
      </c>
      <c r="J857" s="21" t="s">
        <v>247</v>
      </c>
    </row>
    <row r="858" spans="1:10" x14ac:dyDescent="0.2">
      <c r="A858" s="23" t="s">
        <v>14</v>
      </c>
      <c r="B858" s="24">
        <v>39015</v>
      </c>
      <c r="C858" s="23" t="s">
        <v>21</v>
      </c>
      <c r="D858" s="23" t="s">
        <v>2002</v>
      </c>
      <c r="E858" s="23" t="s">
        <v>2003</v>
      </c>
      <c r="F858" s="10">
        <v>10</v>
      </c>
      <c r="G858" s="10">
        <v>2006</v>
      </c>
      <c r="H858" s="23" t="s">
        <v>2000</v>
      </c>
      <c r="I858" s="23" t="s">
        <v>2004</v>
      </c>
      <c r="J858" s="23" t="s">
        <v>247</v>
      </c>
    </row>
    <row r="859" spans="1:10" x14ac:dyDescent="0.2">
      <c r="A859" s="21" t="s">
        <v>14</v>
      </c>
      <c r="B859" s="22">
        <v>39010</v>
      </c>
      <c r="C859" s="21" t="s">
        <v>21</v>
      </c>
      <c r="D859" s="21" t="s">
        <v>2005</v>
      </c>
      <c r="E859" s="21" t="s">
        <v>2006</v>
      </c>
      <c r="F859" s="10">
        <v>10</v>
      </c>
      <c r="G859" s="10">
        <v>2006</v>
      </c>
      <c r="H859" s="21" t="s">
        <v>2000</v>
      </c>
      <c r="I859" s="21" t="s">
        <v>2007</v>
      </c>
      <c r="J859" s="21" t="s">
        <v>247</v>
      </c>
    </row>
    <row r="860" spans="1:10" x14ac:dyDescent="0.2">
      <c r="A860" s="23" t="s">
        <v>14</v>
      </c>
      <c r="B860" s="24">
        <v>39006</v>
      </c>
      <c r="C860" s="23" t="s">
        <v>21</v>
      </c>
      <c r="D860" s="23" t="s">
        <v>2008</v>
      </c>
      <c r="E860" s="23" t="s">
        <v>2009</v>
      </c>
      <c r="F860" s="10">
        <v>10</v>
      </c>
      <c r="G860" s="10">
        <v>2006</v>
      </c>
      <c r="H860" s="23" t="s">
        <v>2000</v>
      </c>
      <c r="I860" s="23" t="s">
        <v>2010</v>
      </c>
      <c r="J860" s="23" t="s">
        <v>247</v>
      </c>
    </row>
    <row r="861" spans="1:10" x14ac:dyDescent="0.2">
      <c r="A861" s="21" t="s">
        <v>14</v>
      </c>
      <c r="B861" s="22">
        <v>38996</v>
      </c>
      <c r="C861" s="21" t="s">
        <v>21</v>
      </c>
      <c r="D861" s="21" t="s">
        <v>2011</v>
      </c>
      <c r="E861" s="21" t="s">
        <v>2012</v>
      </c>
      <c r="F861" s="10">
        <v>10</v>
      </c>
      <c r="G861" s="10">
        <v>2006</v>
      </c>
      <c r="H861" s="21" t="s">
        <v>2000</v>
      </c>
      <c r="I861" s="21" t="s">
        <v>2013</v>
      </c>
      <c r="J861" s="21" t="s">
        <v>247</v>
      </c>
    </row>
    <row r="862" spans="1:10" x14ac:dyDescent="0.2">
      <c r="A862" s="23" t="s">
        <v>14</v>
      </c>
      <c r="B862" s="24">
        <v>38988</v>
      </c>
      <c r="C862" s="23" t="s">
        <v>21</v>
      </c>
      <c r="D862" s="23" t="s">
        <v>2014</v>
      </c>
      <c r="E862" s="23" t="s">
        <v>2015</v>
      </c>
      <c r="F862" s="10">
        <v>9</v>
      </c>
      <c r="G862" s="10">
        <v>2006</v>
      </c>
      <c r="H862" s="23" t="s">
        <v>2016</v>
      </c>
      <c r="I862" s="23" t="s">
        <v>2017</v>
      </c>
      <c r="J862" s="23" t="s">
        <v>247</v>
      </c>
    </row>
    <row r="863" spans="1:10" x14ac:dyDescent="0.2">
      <c r="A863" s="21" t="s">
        <v>14</v>
      </c>
      <c r="B863" s="22">
        <v>38987</v>
      </c>
      <c r="C863" s="21" t="s">
        <v>15</v>
      </c>
      <c r="D863" s="21" t="s">
        <v>2018</v>
      </c>
      <c r="E863" s="21" t="s">
        <v>2019</v>
      </c>
      <c r="F863" s="10">
        <v>9</v>
      </c>
      <c r="G863" s="10">
        <v>2006</v>
      </c>
      <c r="H863" s="21" t="s">
        <v>2016</v>
      </c>
      <c r="I863" s="21" t="s">
        <v>2020</v>
      </c>
      <c r="J863" s="21" t="s">
        <v>247</v>
      </c>
    </row>
    <row r="864" spans="1:10" x14ac:dyDescent="0.2">
      <c r="A864" s="23" t="s">
        <v>14</v>
      </c>
      <c r="B864" s="24">
        <v>38975</v>
      </c>
      <c r="C864" s="23" t="s">
        <v>21</v>
      </c>
      <c r="D864" s="23" t="s">
        <v>2021</v>
      </c>
      <c r="E864" s="23" t="s">
        <v>2022</v>
      </c>
      <c r="F864" s="10">
        <v>9</v>
      </c>
      <c r="G864" s="10">
        <v>2006</v>
      </c>
      <c r="H864" s="23" t="s">
        <v>2016</v>
      </c>
      <c r="I864" s="23" t="s">
        <v>2023</v>
      </c>
      <c r="J864" s="23" t="s">
        <v>247</v>
      </c>
    </row>
    <row r="865" spans="1:10" x14ac:dyDescent="0.2">
      <c r="A865" s="21" t="s">
        <v>14</v>
      </c>
      <c r="B865" s="22">
        <v>38922</v>
      </c>
      <c r="C865" s="21" t="s">
        <v>15</v>
      </c>
      <c r="D865" s="21" t="s">
        <v>2024</v>
      </c>
      <c r="E865" s="21" t="s">
        <v>2025</v>
      </c>
      <c r="F865" s="10">
        <v>7</v>
      </c>
      <c r="G865" s="10">
        <v>2006</v>
      </c>
      <c r="H865" s="21" t="s">
        <v>2026</v>
      </c>
      <c r="I865" s="21" t="s">
        <v>2027</v>
      </c>
      <c r="J865" s="21" t="s">
        <v>247</v>
      </c>
    </row>
    <row r="866" spans="1:10" x14ac:dyDescent="0.2">
      <c r="A866" s="23" t="s">
        <v>14</v>
      </c>
      <c r="B866" s="24">
        <v>38919</v>
      </c>
      <c r="C866" s="23" t="s">
        <v>21</v>
      </c>
      <c r="D866" s="23" t="s">
        <v>2028</v>
      </c>
      <c r="E866" s="23" t="s">
        <v>2029</v>
      </c>
      <c r="F866" s="10">
        <v>7</v>
      </c>
      <c r="G866" s="10">
        <v>2006</v>
      </c>
      <c r="H866" s="23" t="s">
        <v>2026</v>
      </c>
      <c r="I866" s="23" t="s">
        <v>2030</v>
      </c>
      <c r="J866" s="23" t="s">
        <v>247</v>
      </c>
    </row>
    <row r="867" spans="1:10" x14ac:dyDescent="0.2">
      <c r="A867" s="21" t="s">
        <v>14</v>
      </c>
      <c r="B867" s="22">
        <v>38898</v>
      </c>
      <c r="C867" s="21" t="s">
        <v>15</v>
      </c>
      <c r="D867" s="21" t="s">
        <v>2031</v>
      </c>
      <c r="E867" s="21" t="s">
        <v>2032</v>
      </c>
      <c r="F867" s="10">
        <v>6</v>
      </c>
      <c r="G867" s="10">
        <v>2006</v>
      </c>
      <c r="H867" s="21" t="s">
        <v>2033</v>
      </c>
      <c r="I867" s="21" t="s">
        <v>2034</v>
      </c>
      <c r="J867" s="21" t="s">
        <v>247</v>
      </c>
    </row>
    <row r="868" spans="1:10" x14ac:dyDescent="0.2">
      <c r="A868" s="23" t="s">
        <v>14</v>
      </c>
      <c r="B868" s="24">
        <v>38896</v>
      </c>
      <c r="C868" s="23" t="s">
        <v>21</v>
      </c>
      <c r="D868" s="23" t="s">
        <v>2035</v>
      </c>
      <c r="E868" s="23" t="s">
        <v>2036</v>
      </c>
      <c r="F868" s="10">
        <v>6</v>
      </c>
      <c r="G868" s="10">
        <v>2006</v>
      </c>
      <c r="H868" s="23" t="s">
        <v>2033</v>
      </c>
      <c r="I868" s="23" t="s">
        <v>2037</v>
      </c>
      <c r="J868" s="23" t="s">
        <v>247</v>
      </c>
    </row>
    <row r="869" spans="1:10" x14ac:dyDescent="0.2">
      <c r="A869" s="21" t="s">
        <v>14</v>
      </c>
      <c r="B869" s="22">
        <v>38891</v>
      </c>
      <c r="C869" s="21" t="s">
        <v>21</v>
      </c>
      <c r="D869" s="21" t="s">
        <v>2038</v>
      </c>
      <c r="E869" s="21" t="s">
        <v>2039</v>
      </c>
      <c r="F869" s="10">
        <v>6</v>
      </c>
      <c r="G869" s="10">
        <v>2006</v>
      </c>
      <c r="H869" s="21" t="s">
        <v>2033</v>
      </c>
      <c r="I869" s="21" t="s">
        <v>2040</v>
      </c>
      <c r="J869" s="21" t="s">
        <v>247</v>
      </c>
    </row>
    <row r="870" spans="1:10" x14ac:dyDescent="0.2">
      <c r="A870" s="23" t="s">
        <v>14</v>
      </c>
      <c r="B870" s="24">
        <v>38853</v>
      </c>
      <c r="C870" s="23" t="s">
        <v>21</v>
      </c>
      <c r="D870" s="23" t="s">
        <v>2041</v>
      </c>
      <c r="E870" s="23" t="s">
        <v>2042</v>
      </c>
      <c r="F870" s="10">
        <v>5</v>
      </c>
      <c r="G870" s="10">
        <v>2006</v>
      </c>
      <c r="H870" s="23" t="s">
        <v>2043</v>
      </c>
      <c r="I870" s="23" t="s">
        <v>2044</v>
      </c>
      <c r="J870" s="23" t="s">
        <v>247</v>
      </c>
    </row>
    <row r="871" spans="1:10" x14ac:dyDescent="0.2">
      <c r="A871" s="21" t="s">
        <v>14</v>
      </c>
      <c r="B871" s="22">
        <v>38847</v>
      </c>
      <c r="C871" s="21" t="s">
        <v>21</v>
      </c>
      <c r="D871" s="21" t="s">
        <v>2045</v>
      </c>
      <c r="E871" s="21" t="s">
        <v>2046</v>
      </c>
      <c r="F871" s="10">
        <v>5</v>
      </c>
      <c r="G871" s="10">
        <v>2006</v>
      </c>
      <c r="H871" s="21" t="s">
        <v>2043</v>
      </c>
      <c r="I871" s="21" t="s">
        <v>2047</v>
      </c>
      <c r="J871" s="21" t="s">
        <v>247</v>
      </c>
    </row>
    <row r="872" spans="1:10" x14ac:dyDescent="0.2">
      <c r="A872" s="23" t="s">
        <v>14</v>
      </c>
      <c r="B872" s="24">
        <v>38839</v>
      </c>
      <c r="C872" s="23" t="s">
        <v>21</v>
      </c>
      <c r="D872" s="23" t="s">
        <v>2048</v>
      </c>
      <c r="E872" s="23" t="s">
        <v>2049</v>
      </c>
      <c r="F872" s="10">
        <v>5</v>
      </c>
      <c r="G872" s="10">
        <v>2006</v>
      </c>
      <c r="H872" s="23" t="s">
        <v>2043</v>
      </c>
      <c r="I872" s="23" t="s">
        <v>2050</v>
      </c>
      <c r="J872" s="23" t="s">
        <v>247</v>
      </c>
    </row>
    <row r="873" spans="1:10" x14ac:dyDescent="0.2">
      <c r="A873" s="21" t="s">
        <v>14</v>
      </c>
      <c r="B873" s="22">
        <v>38835</v>
      </c>
      <c r="C873" s="21" t="s">
        <v>15</v>
      </c>
      <c r="D873" s="21" t="s">
        <v>2051</v>
      </c>
      <c r="E873" s="21" t="s">
        <v>1792</v>
      </c>
      <c r="F873" s="10">
        <v>4</v>
      </c>
      <c r="G873" s="10">
        <v>2006</v>
      </c>
      <c r="H873" s="21" t="s">
        <v>2052</v>
      </c>
      <c r="I873" s="21" t="s">
        <v>2053</v>
      </c>
      <c r="J873" s="21" t="s">
        <v>247</v>
      </c>
    </row>
    <row r="874" spans="1:10" x14ac:dyDescent="0.2">
      <c r="A874" s="23" t="s">
        <v>14</v>
      </c>
      <c r="B874" s="24">
        <v>38765</v>
      </c>
      <c r="C874" s="23" t="s">
        <v>21</v>
      </c>
      <c r="D874" s="23" t="s">
        <v>2054</v>
      </c>
      <c r="E874" s="23" t="s">
        <v>2055</v>
      </c>
      <c r="F874" s="10">
        <v>2</v>
      </c>
      <c r="G874" s="10">
        <v>2006</v>
      </c>
      <c r="H874" s="23" t="s">
        <v>2056</v>
      </c>
      <c r="I874" s="23" t="s">
        <v>2057</v>
      </c>
      <c r="J874" s="23" t="s">
        <v>247</v>
      </c>
    </row>
    <row r="875" spans="1:10" x14ac:dyDescent="0.2">
      <c r="A875" s="21" t="s">
        <v>14</v>
      </c>
      <c r="B875" s="22">
        <v>38748</v>
      </c>
      <c r="C875" s="21" t="s">
        <v>21</v>
      </c>
      <c r="D875" s="21" t="s">
        <v>2058</v>
      </c>
      <c r="E875" s="21" t="s">
        <v>2059</v>
      </c>
      <c r="F875" s="10">
        <v>1</v>
      </c>
      <c r="G875" s="10">
        <v>2006</v>
      </c>
      <c r="H875" s="21" t="s">
        <v>2060</v>
      </c>
      <c r="I875" s="21" t="s">
        <v>2061</v>
      </c>
      <c r="J875" s="21" t="s">
        <v>247</v>
      </c>
    </row>
    <row r="876" spans="1:10" x14ac:dyDescent="0.2">
      <c r="A876" s="23" t="s">
        <v>14</v>
      </c>
      <c r="B876" s="24">
        <v>38744</v>
      </c>
      <c r="C876" s="23" t="s">
        <v>21</v>
      </c>
      <c r="D876" s="23" t="s">
        <v>2062</v>
      </c>
      <c r="E876" s="23" t="s">
        <v>2063</v>
      </c>
      <c r="F876" s="10">
        <v>1</v>
      </c>
      <c r="G876" s="10">
        <v>2006</v>
      </c>
      <c r="H876" s="23" t="s">
        <v>2060</v>
      </c>
      <c r="I876" s="23" t="s">
        <v>2064</v>
      </c>
      <c r="J876" s="23" t="s">
        <v>247</v>
      </c>
    </row>
    <row r="877" spans="1:10" x14ac:dyDescent="0.2">
      <c r="A877" s="21" t="s">
        <v>14</v>
      </c>
      <c r="B877" s="22">
        <v>38743</v>
      </c>
      <c r="C877" s="21" t="s">
        <v>21</v>
      </c>
      <c r="D877" s="21" t="s">
        <v>2065</v>
      </c>
      <c r="E877" s="21" t="s">
        <v>2066</v>
      </c>
      <c r="F877" s="10">
        <v>1</v>
      </c>
      <c r="G877" s="10">
        <v>2006</v>
      </c>
      <c r="H877" s="21" t="s">
        <v>2060</v>
      </c>
      <c r="I877" s="21" t="s">
        <v>2067</v>
      </c>
      <c r="J877" s="21" t="s">
        <v>247</v>
      </c>
    </row>
    <row r="878" spans="1:10" x14ac:dyDescent="0.2">
      <c r="A878" s="23" t="s">
        <v>14</v>
      </c>
      <c r="B878" s="24">
        <v>38715</v>
      </c>
      <c r="C878" s="23" t="s">
        <v>21</v>
      </c>
      <c r="D878" s="23" t="s">
        <v>2068</v>
      </c>
      <c r="E878" s="23" t="s">
        <v>2069</v>
      </c>
      <c r="F878" s="10">
        <v>12</v>
      </c>
      <c r="G878" s="10">
        <v>2005</v>
      </c>
      <c r="H878" s="23" t="s">
        <v>2070</v>
      </c>
      <c r="I878" s="23" t="s">
        <v>2071</v>
      </c>
      <c r="J878" s="23" t="s">
        <v>247</v>
      </c>
    </row>
    <row r="879" spans="1:10" x14ac:dyDescent="0.2">
      <c r="A879" s="21" t="s">
        <v>14</v>
      </c>
      <c r="B879" s="22">
        <v>38713</v>
      </c>
      <c r="C879" s="21" t="s">
        <v>21</v>
      </c>
      <c r="D879" s="21" t="s">
        <v>2072</v>
      </c>
      <c r="E879" s="21" t="s">
        <v>2073</v>
      </c>
      <c r="F879" s="10">
        <v>12</v>
      </c>
      <c r="G879" s="10">
        <v>2005</v>
      </c>
      <c r="H879" s="21" t="s">
        <v>2070</v>
      </c>
      <c r="I879" s="21" t="s">
        <v>2074</v>
      </c>
      <c r="J879" s="21" t="s">
        <v>247</v>
      </c>
    </row>
    <row r="880" spans="1:10" x14ac:dyDescent="0.2">
      <c r="A880" s="23" t="s">
        <v>14</v>
      </c>
      <c r="B880" s="24">
        <v>38709</v>
      </c>
      <c r="C880" s="23" t="s">
        <v>15</v>
      </c>
      <c r="D880" s="23" t="s">
        <v>2075</v>
      </c>
      <c r="E880" s="23" t="s">
        <v>2076</v>
      </c>
      <c r="F880" s="10">
        <v>12</v>
      </c>
      <c r="G880" s="10">
        <v>2005</v>
      </c>
      <c r="H880" s="23" t="s">
        <v>2070</v>
      </c>
      <c r="I880" s="23" t="s">
        <v>2077</v>
      </c>
      <c r="J880" s="23" t="s">
        <v>247</v>
      </c>
    </row>
    <row r="881" spans="1:10" x14ac:dyDescent="0.2">
      <c r="A881" s="21" t="s">
        <v>14</v>
      </c>
      <c r="B881" s="22">
        <v>38706</v>
      </c>
      <c r="C881" s="21" t="s">
        <v>21</v>
      </c>
      <c r="D881" s="21" t="s">
        <v>2078</v>
      </c>
      <c r="E881" s="21" t="s">
        <v>2079</v>
      </c>
      <c r="F881" s="10">
        <v>12</v>
      </c>
      <c r="G881" s="10">
        <v>2005</v>
      </c>
      <c r="H881" s="21" t="s">
        <v>2070</v>
      </c>
      <c r="I881" s="21" t="s">
        <v>2080</v>
      </c>
      <c r="J881" s="21" t="s">
        <v>247</v>
      </c>
    </row>
    <row r="882" spans="1:10" x14ac:dyDescent="0.2">
      <c r="A882" s="23" t="s">
        <v>14</v>
      </c>
      <c r="B882" s="24">
        <v>38698</v>
      </c>
      <c r="C882" s="23" t="s">
        <v>15</v>
      </c>
      <c r="D882" s="23" t="s">
        <v>2081</v>
      </c>
      <c r="E882" s="23" t="s">
        <v>2082</v>
      </c>
      <c r="F882" s="10">
        <v>12</v>
      </c>
      <c r="G882" s="10">
        <v>2005</v>
      </c>
      <c r="H882" s="23" t="s">
        <v>2070</v>
      </c>
      <c r="I882" s="23" t="s">
        <v>2083</v>
      </c>
      <c r="J882" s="23" t="s">
        <v>247</v>
      </c>
    </row>
    <row r="883" spans="1:10" x14ac:dyDescent="0.2">
      <c r="A883" s="21" t="s">
        <v>14</v>
      </c>
      <c r="B883" s="22">
        <v>38688</v>
      </c>
      <c r="C883" s="21" t="s">
        <v>15</v>
      </c>
      <c r="D883" s="21" t="s">
        <v>2084</v>
      </c>
      <c r="E883" s="21" t="s">
        <v>2085</v>
      </c>
      <c r="F883" s="10">
        <v>12</v>
      </c>
      <c r="G883" s="10">
        <v>2005</v>
      </c>
      <c r="H883" s="21" t="s">
        <v>2070</v>
      </c>
      <c r="I883" s="21" t="s">
        <v>2086</v>
      </c>
      <c r="J883" s="21" t="s">
        <v>247</v>
      </c>
    </row>
    <row r="884" spans="1:10" x14ac:dyDescent="0.2">
      <c r="A884" s="23" t="s">
        <v>65</v>
      </c>
      <c r="B884" s="24">
        <v>38687</v>
      </c>
      <c r="C884" s="23" t="s">
        <v>15</v>
      </c>
      <c r="D884" s="23" t="s">
        <v>2087</v>
      </c>
      <c r="E884" s="23" t="s">
        <v>2087</v>
      </c>
      <c r="F884" s="10">
        <v>12</v>
      </c>
      <c r="G884" s="10">
        <v>2005</v>
      </c>
      <c r="H884" s="23" t="s">
        <v>2070</v>
      </c>
      <c r="I884" s="23" t="s">
        <v>2088</v>
      </c>
      <c r="J884" s="23" t="s">
        <v>2089</v>
      </c>
    </row>
    <row r="885" spans="1:10" x14ac:dyDescent="0.2">
      <c r="A885" s="21" t="s">
        <v>14</v>
      </c>
      <c r="B885" s="22">
        <v>38658</v>
      </c>
      <c r="C885" s="21" t="s">
        <v>21</v>
      </c>
      <c r="D885" s="21" t="s">
        <v>2090</v>
      </c>
      <c r="E885" s="21" t="s">
        <v>2091</v>
      </c>
      <c r="F885" s="10">
        <v>11</v>
      </c>
      <c r="G885" s="10">
        <v>2005</v>
      </c>
      <c r="H885" s="21" t="s">
        <v>2092</v>
      </c>
      <c r="I885" s="21" t="s">
        <v>2093</v>
      </c>
      <c r="J885" s="21" t="s">
        <v>247</v>
      </c>
    </row>
    <row r="886" spans="1:10" x14ac:dyDescent="0.2">
      <c r="A886" s="23" t="s">
        <v>14</v>
      </c>
      <c r="B886" s="24">
        <v>38653</v>
      </c>
      <c r="C886" s="23" t="s">
        <v>21</v>
      </c>
      <c r="D886" s="23" t="s">
        <v>2094</v>
      </c>
      <c r="E886" s="23" t="s">
        <v>2095</v>
      </c>
      <c r="F886" s="10">
        <v>10</v>
      </c>
      <c r="G886" s="10">
        <v>2005</v>
      </c>
      <c r="H886" s="23" t="s">
        <v>2096</v>
      </c>
      <c r="I886" s="23" t="s">
        <v>2097</v>
      </c>
      <c r="J886" s="23" t="s">
        <v>247</v>
      </c>
    </row>
    <row r="887" spans="1:10" x14ac:dyDescent="0.2">
      <c r="A887" s="21" t="s">
        <v>14</v>
      </c>
      <c r="B887" s="22">
        <v>38650</v>
      </c>
      <c r="C887" s="21" t="s">
        <v>15</v>
      </c>
      <c r="D887" s="21" t="s">
        <v>2098</v>
      </c>
      <c r="E887" s="21" t="s">
        <v>2099</v>
      </c>
      <c r="F887" s="10">
        <v>10</v>
      </c>
      <c r="G887" s="10">
        <v>2005</v>
      </c>
      <c r="H887" s="21" t="s">
        <v>2096</v>
      </c>
      <c r="I887" s="21" t="s">
        <v>2086</v>
      </c>
      <c r="J887" s="21" t="s">
        <v>247</v>
      </c>
    </row>
    <row r="888" spans="1:10" x14ac:dyDescent="0.2">
      <c r="A888" s="23" t="s">
        <v>65</v>
      </c>
      <c r="B888" s="24">
        <v>38638</v>
      </c>
      <c r="C888" s="23" t="s">
        <v>15</v>
      </c>
      <c r="D888" s="23" t="s">
        <v>2100</v>
      </c>
      <c r="E888" s="23" t="s">
        <v>2100</v>
      </c>
      <c r="F888" s="10">
        <v>10</v>
      </c>
      <c r="G888" s="10">
        <v>2005</v>
      </c>
      <c r="H888" s="23" t="s">
        <v>2096</v>
      </c>
      <c r="I888" s="23" t="s">
        <v>2101</v>
      </c>
      <c r="J888" s="23" t="s">
        <v>2089</v>
      </c>
    </row>
    <row r="889" spans="1:10" x14ac:dyDescent="0.2">
      <c r="A889" s="21" t="s">
        <v>65</v>
      </c>
      <c r="B889" s="22">
        <v>38601</v>
      </c>
      <c r="C889" s="21" t="s">
        <v>15</v>
      </c>
      <c r="D889" s="21" t="s">
        <v>2102</v>
      </c>
      <c r="E889" s="21" t="s">
        <v>2102</v>
      </c>
      <c r="F889" s="10">
        <v>9</v>
      </c>
      <c r="G889" s="10">
        <v>2005</v>
      </c>
      <c r="H889" s="21" t="s">
        <v>2103</v>
      </c>
      <c r="I889" s="21" t="s">
        <v>2104</v>
      </c>
      <c r="J889" s="21" t="s">
        <v>2089</v>
      </c>
    </row>
    <row r="890" spans="1:10" x14ac:dyDescent="0.2">
      <c r="A890" s="23" t="s">
        <v>65</v>
      </c>
      <c r="B890" s="24">
        <v>38595</v>
      </c>
      <c r="C890" s="23" t="s">
        <v>15</v>
      </c>
      <c r="D890" s="23" t="s">
        <v>2105</v>
      </c>
      <c r="E890" s="23" t="s">
        <v>2105</v>
      </c>
      <c r="F890" s="10">
        <v>8</v>
      </c>
      <c r="G890" s="10">
        <v>2005</v>
      </c>
      <c r="H890" s="23" t="s">
        <v>2106</v>
      </c>
      <c r="I890" s="23" t="s">
        <v>2107</v>
      </c>
      <c r="J890" s="23" t="s">
        <v>2089</v>
      </c>
    </row>
    <row r="891" spans="1:10" x14ac:dyDescent="0.2">
      <c r="A891" s="21" t="s">
        <v>14</v>
      </c>
      <c r="B891" s="22">
        <v>38594</v>
      </c>
      <c r="C891" s="21" t="s">
        <v>15</v>
      </c>
      <c r="D891" s="21" t="s">
        <v>2108</v>
      </c>
      <c r="E891" s="21" t="s">
        <v>2109</v>
      </c>
      <c r="F891" s="10">
        <v>8</v>
      </c>
      <c r="G891" s="10">
        <v>2005</v>
      </c>
      <c r="H891" s="21" t="s">
        <v>2106</v>
      </c>
      <c r="I891" s="21" t="s">
        <v>2110</v>
      </c>
      <c r="J891" s="21" t="s">
        <v>247</v>
      </c>
    </row>
    <row r="892" spans="1:10" x14ac:dyDescent="0.2">
      <c r="A892" s="23" t="s">
        <v>14</v>
      </c>
      <c r="B892" s="24">
        <v>38583</v>
      </c>
      <c r="C892" s="23" t="s">
        <v>21</v>
      </c>
      <c r="D892" s="23" t="s">
        <v>2111</v>
      </c>
      <c r="E892" s="23" t="s">
        <v>2112</v>
      </c>
      <c r="F892" s="10">
        <v>8</v>
      </c>
      <c r="G892" s="10">
        <v>2005</v>
      </c>
      <c r="H892" s="23" t="s">
        <v>2106</v>
      </c>
      <c r="I892" s="23" t="s">
        <v>2113</v>
      </c>
      <c r="J892" s="23" t="s">
        <v>247</v>
      </c>
    </row>
    <row r="893" spans="1:10" x14ac:dyDescent="0.2">
      <c r="A893" s="21" t="s">
        <v>65</v>
      </c>
      <c r="B893" s="22">
        <v>38559</v>
      </c>
      <c r="C893" s="21" t="s">
        <v>15</v>
      </c>
      <c r="D893" s="21" t="s">
        <v>2114</v>
      </c>
      <c r="E893" s="21" t="s">
        <v>2114</v>
      </c>
      <c r="F893" s="10">
        <v>7</v>
      </c>
      <c r="G893" s="10">
        <v>2005</v>
      </c>
      <c r="H893" s="21" t="s">
        <v>2115</v>
      </c>
      <c r="I893" s="21" t="s">
        <v>2116</v>
      </c>
      <c r="J893" s="21" t="s">
        <v>2089</v>
      </c>
    </row>
    <row r="894" spans="1:10" x14ac:dyDescent="0.2">
      <c r="A894" s="23" t="s">
        <v>65</v>
      </c>
      <c r="B894" s="24">
        <v>38559</v>
      </c>
      <c r="C894" s="23" t="s">
        <v>15</v>
      </c>
      <c r="D894" s="23" t="s">
        <v>2117</v>
      </c>
      <c r="E894" s="23" t="s">
        <v>2117</v>
      </c>
      <c r="F894" s="10">
        <v>7</v>
      </c>
      <c r="G894" s="10">
        <v>2005</v>
      </c>
      <c r="H894" s="23" t="s">
        <v>2115</v>
      </c>
      <c r="I894" s="23" t="s">
        <v>2118</v>
      </c>
      <c r="J894" s="23" t="s">
        <v>2089</v>
      </c>
    </row>
    <row r="895" spans="1:10" x14ac:dyDescent="0.2">
      <c r="A895" s="21" t="s">
        <v>14</v>
      </c>
      <c r="B895" s="22">
        <v>38555</v>
      </c>
      <c r="C895" s="21" t="s">
        <v>21</v>
      </c>
      <c r="D895" s="21" t="s">
        <v>2119</v>
      </c>
      <c r="E895" s="21" t="s">
        <v>2120</v>
      </c>
      <c r="F895" s="10">
        <v>7</v>
      </c>
      <c r="G895" s="10">
        <v>2005</v>
      </c>
      <c r="H895" s="21" t="s">
        <v>2115</v>
      </c>
      <c r="I895" s="21" t="s">
        <v>2121</v>
      </c>
      <c r="J895" s="21" t="s">
        <v>247</v>
      </c>
    </row>
    <row r="896" spans="1:10" x14ac:dyDescent="0.2">
      <c r="A896" s="23" t="s">
        <v>14</v>
      </c>
      <c r="B896" s="24">
        <v>38525</v>
      </c>
      <c r="C896" s="23" t="s">
        <v>21</v>
      </c>
      <c r="D896" s="23" t="s">
        <v>2122</v>
      </c>
      <c r="E896" s="23" t="s">
        <v>2123</v>
      </c>
      <c r="F896" s="10">
        <v>6</v>
      </c>
      <c r="G896" s="10">
        <v>2005</v>
      </c>
      <c r="H896" s="23" t="s">
        <v>2124</v>
      </c>
      <c r="I896" s="23" t="s">
        <v>2125</v>
      </c>
      <c r="J896" s="23" t="s">
        <v>247</v>
      </c>
    </row>
    <row r="897" spans="1:10" x14ac:dyDescent="0.2">
      <c r="A897" s="21" t="s">
        <v>14</v>
      </c>
      <c r="B897" s="22">
        <v>38519</v>
      </c>
      <c r="C897" s="21" t="s">
        <v>15</v>
      </c>
      <c r="D897" s="21" t="s">
        <v>2126</v>
      </c>
      <c r="E897" s="21" t="s">
        <v>2127</v>
      </c>
      <c r="F897" s="10">
        <v>6</v>
      </c>
      <c r="G897" s="10">
        <v>2005</v>
      </c>
      <c r="H897" s="21" t="s">
        <v>2124</v>
      </c>
      <c r="I897" s="21" t="s">
        <v>2128</v>
      </c>
      <c r="J897" s="21" t="s">
        <v>247</v>
      </c>
    </row>
    <row r="898" spans="1:10" x14ac:dyDescent="0.2">
      <c r="A898" s="23" t="s">
        <v>14</v>
      </c>
      <c r="B898" s="24">
        <v>38518</v>
      </c>
      <c r="C898" s="23" t="s">
        <v>21</v>
      </c>
      <c r="D898" s="23" t="s">
        <v>2129</v>
      </c>
      <c r="E898" s="23" t="s">
        <v>2130</v>
      </c>
      <c r="F898" s="10">
        <v>6</v>
      </c>
      <c r="G898" s="10">
        <v>2005</v>
      </c>
      <c r="H898" s="23" t="s">
        <v>2124</v>
      </c>
      <c r="I898" s="23" t="s">
        <v>2131</v>
      </c>
      <c r="J898" s="23" t="s">
        <v>247</v>
      </c>
    </row>
    <row r="899" spans="1:10" x14ac:dyDescent="0.2">
      <c r="A899" s="21" t="s">
        <v>65</v>
      </c>
      <c r="B899" s="22">
        <v>38513</v>
      </c>
      <c r="C899" s="21" t="s">
        <v>15</v>
      </c>
      <c r="D899" s="21" t="s">
        <v>2132</v>
      </c>
      <c r="E899" s="21" t="s">
        <v>2132</v>
      </c>
      <c r="F899" s="10">
        <v>6</v>
      </c>
      <c r="G899" s="10">
        <v>2005</v>
      </c>
      <c r="H899" s="21" t="s">
        <v>2124</v>
      </c>
      <c r="I899" s="21" t="s">
        <v>2133</v>
      </c>
      <c r="J899" s="21" t="s">
        <v>2089</v>
      </c>
    </row>
    <row r="900" spans="1:10" x14ac:dyDescent="0.2">
      <c r="A900" s="23" t="s">
        <v>14</v>
      </c>
      <c r="B900" s="24">
        <v>38503</v>
      </c>
      <c r="C900" s="23" t="s">
        <v>15</v>
      </c>
      <c r="D900" s="23" t="s">
        <v>2134</v>
      </c>
      <c r="E900" s="23" t="s">
        <v>2135</v>
      </c>
      <c r="F900" s="10">
        <v>5</v>
      </c>
      <c r="G900" s="10">
        <v>2005</v>
      </c>
      <c r="H900" s="23" t="s">
        <v>2136</v>
      </c>
      <c r="I900" s="23" t="s">
        <v>2137</v>
      </c>
      <c r="J900" s="23" t="s">
        <v>247</v>
      </c>
    </row>
    <row r="901" spans="1:10" x14ac:dyDescent="0.2">
      <c r="A901" s="21" t="s">
        <v>65</v>
      </c>
      <c r="B901" s="22">
        <v>38475</v>
      </c>
      <c r="C901" s="21" t="s">
        <v>15</v>
      </c>
      <c r="D901" s="21" t="s">
        <v>2138</v>
      </c>
      <c r="E901" s="21" t="s">
        <v>2138</v>
      </c>
      <c r="F901" s="10">
        <v>5</v>
      </c>
      <c r="G901" s="10">
        <v>2005</v>
      </c>
      <c r="H901" s="21" t="s">
        <v>2136</v>
      </c>
      <c r="I901" s="21" t="s">
        <v>2139</v>
      </c>
      <c r="J901" s="21" t="s">
        <v>2089</v>
      </c>
    </row>
    <row r="902" spans="1:10" x14ac:dyDescent="0.2">
      <c r="A902" s="23" t="s">
        <v>65</v>
      </c>
      <c r="B902" s="24">
        <v>38475</v>
      </c>
      <c r="C902" s="23" t="s">
        <v>15</v>
      </c>
      <c r="D902" s="23" t="s">
        <v>2140</v>
      </c>
      <c r="E902" s="23" t="s">
        <v>2140</v>
      </c>
      <c r="F902" s="10">
        <v>5</v>
      </c>
      <c r="G902" s="10">
        <v>2005</v>
      </c>
      <c r="H902" s="23" t="s">
        <v>2136</v>
      </c>
      <c r="I902" s="23" t="s">
        <v>2141</v>
      </c>
      <c r="J902" s="23" t="s">
        <v>2089</v>
      </c>
    </row>
    <row r="903" spans="1:10" x14ac:dyDescent="0.2">
      <c r="A903" s="21" t="s">
        <v>65</v>
      </c>
      <c r="B903" s="22">
        <v>38474</v>
      </c>
      <c r="C903" s="21" t="s">
        <v>15</v>
      </c>
      <c r="D903" s="21" t="s">
        <v>2142</v>
      </c>
      <c r="E903" s="21" t="s">
        <v>2142</v>
      </c>
      <c r="F903" s="10">
        <v>5</v>
      </c>
      <c r="G903" s="10">
        <v>2005</v>
      </c>
      <c r="H903" s="21" t="s">
        <v>2136</v>
      </c>
      <c r="I903" s="21" t="s">
        <v>2143</v>
      </c>
      <c r="J903" s="21" t="s">
        <v>2089</v>
      </c>
    </row>
    <row r="904" spans="1:10" x14ac:dyDescent="0.2">
      <c r="A904" s="23" t="s">
        <v>14</v>
      </c>
      <c r="B904" s="24">
        <v>38470</v>
      </c>
      <c r="C904" s="23" t="s">
        <v>21</v>
      </c>
      <c r="D904" s="23" t="s">
        <v>2144</v>
      </c>
      <c r="E904" s="23" t="s">
        <v>2145</v>
      </c>
      <c r="F904" s="10">
        <v>4</v>
      </c>
      <c r="G904" s="10">
        <v>2005</v>
      </c>
      <c r="H904" s="23" t="s">
        <v>2146</v>
      </c>
      <c r="I904" s="23" t="s">
        <v>2147</v>
      </c>
      <c r="J904" s="23" t="s">
        <v>247</v>
      </c>
    </row>
    <row r="905" spans="1:10" x14ac:dyDescent="0.2">
      <c r="A905" s="21" t="s">
        <v>65</v>
      </c>
      <c r="B905" s="22">
        <v>38469</v>
      </c>
      <c r="C905" s="21" t="s">
        <v>15</v>
      </c>
      <c r="D905" s="21" t="s">
        <v>2148</v>
      </c>
      <c r="E905" s="21" t="s">
        <v>2148</v>
      </c>
      <c r="F905" s="10">
        <v>4</v>
      </c>
      <c r="G905" s="10">
        <v>2005</v>
      </c>
      <c r="H905" s="21" t="s">
        <v>2146</v>
      </c>
      <c r="I905" s="21" t="s">
        <v>2149</v>
      </c>
      <c r="J905" s="21" t="s">
        <v>2089</v>
      </c>
    </row>
    <row r="906" spans="1:10" x14ac:dyDescent="0.2">
      <c r="A906" s="23" t="s">
        <v>65</v>
      </c>
      <c r="B906" s="24">
        <v>38463</v>
      </c>
      <c r="C906" s="23" t="s">
        <v>15</v>
      </c>
      <c r="D906" s="23" t="s">
        <v>2150</v>
      </c>
      <c r="E906" s="23" t="s">
        <v>2150</v>
      </c>
      <c r="F906" s="10">
        <v>4</v>
      </c>
      <c r="G906" s="10">
        <v>2005</v>
      </c>
      <c r="H906" s="23" t="s">
        <v>2146</v>
      </c>
      <c r="I906" s="23" t="s">
        <v>2151</v>
      </c>
      <c r="J906" s="23" t="s">
        <v>2089</v>
      </c>
    </row>
    <row r="907" spans="1:10" x14ac:dyDescent="0.2">
      <c r="A907" s="21" t="s">
        <v>14</v>
      </c>
      <c r="B907" s="22">
        <v>38440</v>
      </c>
      <c r="C907" s="21" t="s">
        <v>21</v>
      </c>
      <c r="D907" s="21" t="s">
        <v>2152</v>
      </c>
      <c r="E907" s="21" t="s">
        <v>2153</v>
      </c>
      <c r="F907" s="10">
        <v>3</v>
      </c>
      <c r="G907" s="10">
        <v>2005</v>
      </c>
      <c r="H907" s="21" t="s">
        <v>2154</v>
      </c>
      <c r="I907" s="21" t="s">
        <v>2155</v>
      </c>
      <c r="J907" s="21" t="s">
        <v>247</v>
      </c>
    </row>
    <row r="908" spans="1:10" x14ac:dyDescent="0.2">
      <c r="A908" s="23" t="s">
        <v>14</v>
      </c>
      <c r="B908" s="24">
        <v>38427</v>
      </c>
      <c r="C908" s="23" t="s">
        <v>21</v>
      </c>
      <c r="D908" s="23" t="s">
        <v>2156</v>
      </c>
      <c r="E908" s="23" t="s">
        <v>2157</v>
      </c>
      <c r="F908" s="10">
        <v>3</v>
      </c>
      <c r="G908" s="10">
        <v>2005</v>
      </c>
      <c r="H908" s="23" t="s">
        <v>2154</v>
      </c>
      <c r="I908" s="23" t="s">
        <v>2158</v>
      </c>
      <c r="J908" s="23" t="s">
        <v>247</v>
      </c>
    </row>
    <row r="909" spans="1:10" x14ac:dyDescent="0.2">
      <c r="A909" s="21" t="s">
        <v>14</v>
      </c>
      <c r="B909" s="22">
        <v>38427</v>
      </c>
      <c r="C909" s="21" t="s">
        <v>21</v>
      </c>
      <c r="D909" s="21" t="s">
        <v>2159</v>
      </c>
      <c r="E909" s="21" t="s">
        <v>2160</v>
      </c>
      <c r="F909" s="10">
        <v>3</v>
      </c>
      <c r="G909" s="10">
        <v>2005</v>
      </c>
      <c r="H909" s="21" t="s">
        <v>2154</v>
      </c>
      <c r="I909" s="21" t="s">
        <v>2161</v>
      </c>
      <c r="J909" s="21" t="s">
        <v>247</v>
      </c>
    </row>
    <row r="910" spans="1:10" x14ac:dyDescent="0.2">
      <c r="A910" s="23" t="s">
        <v>65</v>
      </c>
      <c r="B910" s="24">
        <v>38401</v>
      </c>
      <c r="C910" s="23" t="s">
        <v>15</v>
      </c>
      <c r="D910" s="23" t="s">
        <v>2162</v>
      </c>
      <c r="E910" s="23" t="s">
        <v>2162</v>
      </c>
      <c r="F910" s="10">
        <v>2</v>
      </c>
      <c r="G910" s="10">
        <v>2005</v>
      </c>
      <c r="H910" s="23" t="s">
        <v>2163</v>
      </c>
      <c r="I910" s="23" t="s">
        <v>2164</v>
      </c>
      <c r="J910" s="23" t="s">
        <v>2089</v>
      </c>
    </row>
    <row r="911" spans="1:10" x14ac:dyDescent="0.2">
      <c r="A911" s="21" t="s">
        <v>65</v>
      </c>
      <c r="B911" s="22">
        <v>38401</v>
      </c>
      <c r="C911" s="21" t="s">
        <v>15</v>
      </c>
      <c r="D911" s="21" t="s">
        <v>2142</v>
      </c>
      <c r="E911" s="21" t="s">
        <v>2142</v>
      </c>
      <c r="F911" s="10">
        <v>2</v>
      </c>
      <c r="G911" s="10">
        <v>2005</v>
      </c>
      <c r="H911" s="21" t="s">
        <v>2163</v>
      </c>
      <c r="I911" s="21" t="s">
        <v>2165</v>
      </c>
      <c r="J911" s="21" t="s">
        <v>2089</v>
      </c>
    </row>
    <row r="912" spans="1:10" x14ac:dyDescent="0.2">
      <c r="A912" s="23" t="s">
        <v>65</v>
      </c>
      <c r="B912" s="24">
        <v>38366</v>
      </c>
      <c r="C912" s="23" t="s">
        <v>15</v>
      </c>
      <c r="D912" s="23" t="s">
        <v>2166</v>
      </c>
      <c r="E912" s="23" t="s">
        <v>2166</v>
      </c>
      <c r="F912" s="10">
        <v>1</v>
      </c>
      <c r="G912" s="10">
        <v>2005</v>
      </c>
      <c r="H912" s="23" t="s">
        <v>2167</v>
      </c>
      <c r="I912" s="23" t="s">
        <v>2168</v>
      </c>
      <c r="J912" s="23" t="s">
        <v>2089</v>
      </c>
    </row>
    <row r="913" spans="1:10" x14ac:dyDescent="0.2">
      <c r="A913" s="21" t="s">
        <v>14</v>
      </c>
      <c r="B913" s="22">
        <v>38351</v>
      </c>
      <c r="C913" s="21" t="s">
        <v>21</v>
      </c>
      <c r="D913" s="21" t="s">
        <v>2169</v>
      </c>
      <c r="E913" s="21" t="s">
        <v>2170</v>
      </c>
      <c r="F913" s="10">
        <v>12</v>
      </c>
      <c r="G913" s="10">
        <v>2004</v>
      </c>
      <c r="H913" s="21" t="s">
        <v>2171</v>
      </c>
      <c r="I913" s="21" t="s">
        <v>2172</v>
      </c>
      <c r="J913" s="21" t="s">
        <v>247</v>
      </c>
    </row>
    <row r="914" spans="1:10" x14ac:dyDescent="0.2">
      <c r="A914" s="23" t="s">
        <v>14</v>
      </c>
      <c r="B914" s="24">
        <v>38350</v>
      </c>
      <c r="C914" s="23" t="s">
        <v>21</v>
      </c>
      <c r="D914" s="23" t="s">
        <v>2173</v>
      </c>
      <c r="E914" s="23" t="s">
        <v>2174</v>
      </c>
      <c r="F914" s="10">
        <v>12</v>
      </c>
      <c r="G914" s="10">
        <v>2004</v>
      </c>
      <c r="H914" s="23" t="s">
        <v>2171</v>
      </c>
      <c r="I914" s="23" t="s">
        <v>2175</v>
      </c>
      <c r="J914" s="23" t="s">
        <v>247</v>
      </c>
    </row>
    <row r="915" spans="1:10" x14ac:dyDescent="0.2">
      <c r="A915" s="21" t="s">
        <v>14</v>
      </c>
      <c r="B915" s="22">
        <v>38349</v>
      </c>
      <c r="C915" s="21" t="s">
        <v>21</v>
      </c>
      <c r="D915" s="21" t="s">
        <v>2176</v>
      </c>
      <c r="E915" s="21" t="s">
        <v>2177</v>
      </c>
      <c r="F915" s="10">
        <v>12</v>
      </c>
      <c r="G915" s="10">
        <v>2004</v>
      </c>
      <c r="H915" s="21" t="s">
        <v>2171</v>
      </c>
      <c r="I915" s="21" t="s">
        <v>2178</v>
      </c>
      <c r="J915" s="21" t="s">
        <v>247</v>
      </c>
    </row>
    <row r="916" spans="1:10" x14ac:dyDescent="0.2">
      <c r="A916" s="23" t="s">
        <v>14</v>
      </c>
      <c r="B916" s="24">
        <v>38349</v>
      </c>
      <c r="C916" s="23" t="s">
        <v>21</v>
      </c>
      <c r="D916" s="23" t="s">
        <v>2179</v>
      </c>
      <c r="E916" s="23" t="s">
        <v>2180</v>
      </c>
      <c r="F916" s="10">
        <v>12</v>
      </c>
      <c r="G916" s="10">
        <v>2004</v>
      </c>
      <c r="H916" s="23" t="s">
        <v>2171</v>
      </c>
      <c r="I916" s="23" t="s">
        <v>2181</v>
      </c>
      <c r="J916" s="23" t="s">
        <v>247</v>
      </c>
    </row>
    <row r="917" spans="1:10" x14ac:dyDescent="0.2">
      <c r="A917" s="21" t="s">
        <v>14</v>
      </c>
      <c r="B917" s="22">
        <v>38343</v>
      </c>
      <c r="C917" s="21" t="s">
        <v>21</v>
      </c>
      <c r="D917" s="21" t="s">
        <v>2182</v>
      </c>
      <c r="E917" s="21" t="s">
        <v>2183</v>
      </c>
      <c r="F917" s="10">
        <v>12</v>
      </c>
      <c r="G917" s="10">
        <v>2004</v>
      </c>
      <c r="H917" s="21" t="s">
        <v>2171</v>
      </c>
      <c r="I917" s="21" t="s">
        <v>2184</v>
      </c>
      <c r="J917" s="21" t="s">
        <v>247</v>
      </c>
    </row>
    <row r="918" spans="1:10" x14ac:dyDescent="0.2">
      <c r="A918" s="23" t="s">
        <v>14</v>
      </c>
      <c r="B918" s="24">
        <v>38338</v>
      </c>
      <c r="C918" s="23" t="s">
        <v>21</v>
      </c>
      <c r="D918" s="23" t="s">
        <v>2185</v>
      </c>
      <c r="E918" s="23" t="s">
        <v>2186</v>
      </c>
      <c r="F918" s="10">
        <v>12</v>
      </c>
      <c r="G918" s="10">
        <v>2004</v>
      </c>
      <c r="H918" s="23" t="s">
        <v>2171</v>
      </c>
      <c r="I918" s="23" t="s">
        <v>2187</v>
      </c>
      <c r="J918" s="23" t="s">
        <v>247</v>
      </c>
    </row>
    <row r="919" spans="1:10" x14ac:dyDescent="0.2">
      <c r="A919" s="21" t="s">
        <v>14</v>
      </c>
      <c r="B919" s="22">
        <v>38337</v>
      </c>
      <c r="C919" s="21" t="s">
        <v>21</v>
      </c>
      <c r="D919" s="21" t="s">
        <v>2188</v>
      </c>
      <c r="E919" s="21" t="s">
        <v>2189</v>
      </c>
      <c r="F919" s="10">
        <v>12</v>
      </c>
      <c r="G919" s="10">
        <v>2004</v>
      </c>
      <c r="H919" s="21" t="s">
        <v>2171</v>
      </c>
      <c r="I919" s="21" t="s">
        <v>2190</v>
      </c>
      <c r="J919" s="21" t="s">
        <v>247</v>
      </c>
    </row>
    <row r="920" spans="1:10" x14ac:dyDescent="0.2">
      <c r="A920" s="23" t="s">
        <v>14</v>
      </c>
      <c r="B920" s="24">
        <v>38336</v>
      </c>
      <c r="C920" s="23" t="s">
        <v>21</v>
      </c>
      <c r="D920" s="23" t="s">
        <v>2191</v>
      </c>
      <c r="E920" s="23" t="s">
        <v>2192</v>
      </c>
      <c r="F920" s="10">
        <v>12</v>
      </c>
      <c r="G920" s="10">
        <v>2004</v>
      </c>
      <c r="H920" s="23" t="s">
        <v>2171</v>
      </c>
      <c r="I920" s="23" t="s">
        <v>2193</v>
      </c>
      <c r="J920" s="23" t="s">
        <v>247</v>
      </c>
    </row>
    <row r="921" spans="1:10" x14ac:dyDescent="0.2">
      <c r="A921" s="21" t="s">
        <v>14</v>
      </c>
      <c r="B921" s="22">
        <v>38336</v>
      </c>
      <c r="C921" s="21" t="s">
        <v>15</v>
      </c>
      <c r="D921" s="21" t="s">
        <v>2194</v>
      </c>
      <c r="E921" s="21" t="s">
        <v>2195</v>
      </c>
      <c r="F921" s="10">
        <v>12</v>
      </c>
      <c r="G921" s="10">
        <v>2004</v>
      </c>
      <c r="H921" s="21" t="s">
        <v>2171</v>
      </c>
      <c r="I921" s="21" t="s">
        <v>2196</v>
      </c>
      <c r="J921" s="21" t="s">
        <v>247</v>
      </c>
    </row>
    <row r="922" spans="1:10" x14ac:dyDescent="0.2">
      <c r="A922" s="23" t="s">
        <v>14</v>
      </c>
      <c r="B922" s="24">
        <v>38314</v>
      </c>
      <c r="C922" s="23" t="s">
        <v>15</v>
      </c>
      <c r="D922" s="23" t="s">
        <v>2197</v>
      </c>
      <c r="E922" s="23" t="s">
        <v>2198</v>
      </c>
      <c r="F922" s="10">
        <v>11</v>
      </c>
      <c r="G922" s="10">
        <v>2004</v>
      </c>
      <c r="H922" s="23" t="s">
        <v>2199</v>
      </c>
      <c r="I922" s="23" t="s">
        <v>2200</v>
      </c>
      <c r="J922" s="23" t="s">
        <v>247</v>
      </c>
    </row>
    <row r="923" spans="1:10" x14ac:dyDescent="0.2">
      <c r="A923" s="21" t="s">
        <v>14</v>
      </c>
      <c r="B923" s="22">
        <v>38314</v>
      </c>
      <c r="C923" s="21" t="s">
        <v>21</v>
      </c>
      <c r="D923" s="21" t="s">
        <v>2201</v>
      </c>
      <c r="E923" s="21" t="s">
        <v>2202</v>
      </c>
      <c r="F923" s="10">
        <v>11</v>
      </c>
      <c r="G923" s="10">
        <v>2004</v>
      </c>
      <c r="H923" s="21" t="s">
        <v>2199</v>
      </c>
      <c r="I923" s="21" t="s">
        <v>2203</v>
      </c>
      <c r="J923" s="21" t="s">
        <v>247</v>
      </c>
    </row>
    <row r="924" spans="1:10" x14ac:dyDescent="0.2">
      <c r="A924" s="23" t="s">
        <v>14</v>
      </c>
      <c r="B924" s="24">
        <v>38310</v>
      </c>
      <c r="C924" s="23" t="s">
        <v>21</v>
      </c>
      <c r="D924" s="23" t="s">
        <v>2204</v>
      </c>
      <c r="E924" s="23" t="s">
        <v>2205</v>
      </c>
      <c r="F924" s="10">
        <v>11</v>
      </c>
      <c r="G924" s="10">
        <v>2004</v>
      </c>
      <c r="H924" s="23" t="s">
        <v>2199</v>
      </c>
      <c r="I924" s="23" t="s">
        <v>2206</v>
      </c>
      <c r="J924" s="23" t="s">
        <v>247</v>
      </c>
    </row>
    <row r="925" spans="1:10" x14ac:dyDescent="0.2">
      <c r="A925" s="21" t="s">
        <v>14</v>
      </c>
      <c r="B925" s="22">
        <v>38309</v>
      </c>
      <c r="C925" s="21" t="s">
        <v>21</v>
      </c>
      <c r="D925" s="21" t="s">
        <v>2207</v>
      </c>
      <c r="E925" s="21" t="s">
        <v>2208</v>
      </c>
      <c r="F925" s="10">
        <v>11</v>
      </c>
      <c r="G925" s="10">
        <v>2004</v>
      </c>
      <c r="H925" s="21" t="s">
        <v>2199</v>
      </c>
      <c r="I925" s="21" t="s">
        <v>2209</v>
      </c>
      <c r="J925" s="21" t="s">
        <v>247</v>
      </c>
    </row>
    <row r="926" spans="1:10" x14ac:dyDescent="0.2">
      <c r="A926" s="23" t="s">
        <v>14</v>
      </c>
      <c r="B926" s="24">
        <v>38301</v>
      </c>
      <c r="C926" s="23" t="s">
        <v>21</v>
      </c>
      <c r="D926" s="23" t="s">
        <v>2210</v>
      </c>
      <c r="E926" s="23" t="s">
        <v>2211</v>
      </c>
      <c r="F926" s="10">
        <v>11</v>
      </c>
      <c r="G926" s="10">
        <v>2004</v>
      </c>
      <c r="H926" s="23" t="s">
        <v>2199</v>
      </c>
      <c r="I926" s="23" t="s">
        <v>2212</v>
      </c>
      <c r="J926" s="23" t="s">
        <v>247</v>
      </c>
    </row>
    <row r="927" spans="1:10" x14ac:dyDescent="0.2">
      <c r="A927" s="21" t="s">
        <v>14</v>
      </c>
      <c r="B927" s="22">
        <v>38286</v>
      </c>
      <c r="C927" s="21" t="s">
        <v>15</v>
      </c>
      <c r="D927" s="21" t="s">
        <v>2213</v>
      </c>
      <c r="E927" s="21" t="s">
        <v>2099</v>
      </c>
      <c r="F927" s="10">
        <v>10</v>
      </c>
      <c r="G927" s="10">
        <v>2004</v>
      </c>
      <c r="H927" s="21" t="s">
        <v>2214</v>
      </c>
      <c r="I927" s="21" t="s">
        <v>2086</v>
      </c>
      <c r="J927" s="21" t="s">
        <v>247</v>
      </c>
    </row>
    <row r="928" spans="1:10" x14ac:dyDescent="0.2">
      <c r="A928" s="23" t="s">
        <v>14</v>
      </c>
      <c r="B928" s="24">
        <v>38286</v>
      </c>
      <c r="C928" s="23" t="s">
        <v>21</v>
      </c>
      <c r="D928" s="23" t="s">
        <v>2215</v>
      </c>
      <c r="E928" s="23" t="s">
        <v>2216</v>
      </c>
      <c r="F928" s="10">
        <v>10</v>
      </c>
      <c r="G928" s="10">
        <v>2004</v>
      </c>
      <c r="H928" s="23" t="s">
        <v>2214</v>
      </c>
      <c r="I928" s="23" t="s">
        <v>2217</v>
      </c>
      <c r="J928" s="23" t="s">
        <v>247</v>
      </c>
    </row>
    <row r="929" spans="1:10" x14ac:dyDescent="0.2">
      <c r="A929" s="21" t="s">
        <v>14</v>
      </c>
      <c r="B929" s="22">
        <v>38210</v>
      </c>
      <c r="C929" s="21" t="s">
        <v>21</v>
      </c>
      <c r="D929" s="21" t="s">
        <v>728</v>
      </c>
      <c r="E929" s="21" t="s">
        <v>2218</v>
      </c>
      <c r="F929" s="10">
        <v>8</v>
      </c>
      <c r="G929" s="10">
        <v>2004</v>
      </c>
      <c r="H929" s="21" t="s">
        <v>2219</v>
      </c>
      <c r="I929" s="21" t="s">
        <v>2220</v>
      </c>
      <c r="J929" s="21" t="s">
        <v>247</v>
      </c>
    </row>
    <row r="930" spans="1:10" x14ac:dyDescent="0.2">
      <c r="A930" s="23" t="s">
        <v>14</v>
      </c>
      <c r="B930" s="24">
        <v>38202</v>
      </c>
      <c r="C930" s="23" t="s">
        <v>21</v>
      </c>
      <c r="D930" s="23" t="s">
        <v>2221</v>
      </c>
      <c r="E930" s="23" t="s">
        <v>2222</v>
      </c>
      <c r="F930" s="10">
        <v>8</v>
      </c>
      <c r="G930" s="10">
        <v>2004</v>
      </c>
      <c r="H930" s="23" t="s">
        <v>2219</v>
      </c>
      <c r="I930" s="23" t="s">
        <v>2223</v>
      </c>
      <c r="J930" s="23" t="s">
        <v>247</v>
      </c>
    </row>
    <row r="931" spans="1:10" x14ac:dyDescent="0.2">
      <c r="A931" s="21" t="s">
        <v>14</v>
      </c>
      <c r="B931" s="22">
        <v>38197</v>
      </c>
      <c r="C931" s="21" t="s">
        <v>21</v>
      </c>
      <c r="D931" s="21" t="s">
        <v>2224</v>
      </c>
      <c r="E931" s="21" t="s">
        <v>2225</v>
      </c>
      <c r="F931" s="10">
        <v>7</v>
      </c>
      <c r="G931" s="10">
        <v>2004</v>
      </c>
      <c r="H931" s="21" t="s">
        <v>2226</v>
      </c>
      <c r="I931" s="21" t="s">
        <v>2227</v>
      </c>
      <c r="J931" s="21" t="s">
        <v>247</v>
      </c>
    </row>
    <row r="932" spans="1:10" x14ac:dyDescent="0.2">
      <c r="A932" s="23" t="s">
        <v>14</v>
      </c>
      <c r="B932" s="24">
        <v>38170</v>
      </c>
      <c r="C932" s="23" t="s">
        <v>15</v>
      </c>
      <c r="D932" s="23" t="s">
        <v>2228</v>
      </c>
      <c r="E932" s="23" t="s">
        <v>2229</v>
      </c>
      <c r="F932" s="10">
        <v>7</v>
      </c>
      <c r="G932" s="10">
        <v>2004</v>
      </c>
      <c r="H932" s="23" t="s">
        <v>2226</v>
      </c>
      <c r="I932" s="23" t="s">
        <v>2230</v>
      </c>
      <c r="J932" s="23" t="s">
        <v>247</v>
      </c>
    </row>
    <row r="933" spans="1:10" x14ac:dyDescent="0.2">
      <c r="A933" s="21" t="s">
        <v>14</v>
      </c>
      <c r="B933" s="22">
        <v>38148</v>
      </c>
      <c r="C933" s="21" t="s">
        <v>21</v>
      </c>
      <c r="D933" s="21" t="s">
        <v>2231</v>
      </c>
      <c r="E933" s="21" t="s">
        <v>2232</v>
      </c>
      <c r="F933" s="10">
        <v>6</v>
      </c>
      <c r="G933" s="10">
        <v>2004</v>
      </c>
      <c r="H933" s="21" t="s">
        <v>2233</v>
      </c>
      <c r="I933" s="21" t="s">
        <v>2234</v>
      </c>
      <c r="J933" s="21" t="s">
        <v>247</v>
      </c>
    </row>
    <row r="934" spans="1:10" x14ac:dyDescent="0.2">
      <c r="A934" s="23" t="s">
        <v>14</v>
      </c>
      <c r="B934" s="24">
        <v>38135</v>
      </c>
      <c r="C934" s="23" t="s">
        <v>21</v>
      </c>
      <c r="D934" s="23" t="s">
        <v>2235</v>
      </c>
      <c r="E934" s="23" t="s">
        <v>2236</v>
      </c>
      <c r="F934" s="10">
        <v>5</v>
      </c>
      <c r="G934" s="10">
        <v>2004</v>
      </c>
      <c r="H934" s="23" t="s">
        <v>2237</v>
      </c>
      <c r="I934" s="23" t="s">
        <v>2238</v>
      </c>
      <c r="J934" s="23" t="s">
        <v>247</v>
      </c>
    </row>
    <row r="935" spans="1:10" x14ac:dyDescent="0.2">
      <c r="A935" s="21" t="s">
        <v>14</v>
      </c>
      <c r="B935" s="22">
        <v>38132</v>
      </c>
      <c r="C935" s="21" t="s">
        <v>21</v>
      </c>
      <c r="D935" s="21" t="s">
        <v>2239</v>
      </c>
      <c r="E935" s="21" t="s">
        <v>2240</v>
      </c>
      <c r="F935" s="10">
        <v>5</v>
      </c>
      <c r="G935" s="10">
        <v>2004</v>
      </c>
      <c r="H935" s="21" t="s">
        <v>2237</v>
      </c>
      <c r="I935" s="21" t="s">
        <v>2241</v>
      </c>
      <c r="J935" s="21" t="s">
        <v>247</v>
      </c>
    </row>
    <row r="936" spans="1:10" x14ac:dyDescent="0.2">
      <c r="A936" s="23" t="s">
        <v>14</v>
      </c>
      <c r="B936" s="24">
        <v>38126</v>
      </c>
      <c r="C936" s="23" t="s">
        <v>21</v>
      </c>
      <c r="D936" s="23" t="s">
        <v>2242</v>
      </c>
      <c r="E936" s="23" t="s">
        <v>2243</v>
      </c>
      <c r="F936" s="10">
        <v>5</v>
      </c>
      <c r="G936" s="10">
        <v>2004</v>
      </c>
      <c r="H936" s="23" t="s">
        <v>2237</v>
      </c>
      <c r="I936" s="23" t="s">
        <v>2244</v>
      </c>
      <c r="J936" s="23" t="s">
        <v>247</v>
      </c>
    </row>
    <row r="937" spans="1:10" x14ac:dyDescent="0.2">
      <c r="A937" s="21" t="s">
        <v>14</v>
      </c>
      <c r="B937" s="22">
        <v>38124</v>
      </c>
      <c r="C937" s="21" t="s">
        <v>21</v>
      </c>
      <c r="D937" s="21" t="s">
        <v>2245</v>
      </c>
      <c r="E937" s="21" t="s">
        <v>2246</v>
      </c>
      <c r="F937" s="10">
        <v>5</v>
      </c>
      <c r="G937" s="10">
        <v>2004</v>
      </c>
      <c r="H937" s="21" t="s">
        <v>2237</v>
      </c>
      <c r="I937" s="21" t="s">
        <v>2247</v>
      </c>
      <c r="J937" s="21" t="s">
        <v>247</v>
      </c>
    </row>
    <row r="938" spans="1:10" x14ac:dyDescent="0.2">
      <c r="A938" s="23" t="s">
        <v>14</v>
      </c>
      <c r="B938" s="24">
        <v>38112</v>
      </c>
      <c r="C938" s="23" t="s">
        <v>15</v>
      </c>
      <c r="D938" s="23" t="s">
        <v>2248</v>
      </c>
      <c r="E938" s="23" t="s">
        <v>2249</v>
      </c>
      <c r="F938" s="10">
        <v>5</v>
      </c>
      <c r="G938" s="10">
        <v>2004</v>
      </c>
      <c r="H938" s="23" t="s">
        <v>2237</v>
      </c>
      <c r="I938" s="23" t="s">
        <v>2086</v>
      </c>
      <c r="J938" s="23" t="s">
        <v>247</v>
      </c>
    </row>
    <row r="939" spans="1:10" x14ac:dyDescent="0.2">
      <c r="A939" s="21" t="s">
        <v>14</v>
      </c>
      <c r="B939" s="22">
        <v>38097</v>
      </c>
      <c r="C939" s="21" t="s">
        <v>21</v>
      </c>
      <c r="D939" s="21" t="s">
        <v>2250</v>
      </c>
      <c r="E939" s="21" t="s">
        <v>2251</v>
      </c>
      <c r="F939" s="10">
        <v>4</v>
      </c>
      <c r="G939" s="10">
        <v>2004</v>
      </c>
      <c r="H939" s="21" t="s">
        <v>2252</v>
      </c>
      <c r="I939" s="21" t="s">
        <v>2253</v>
      </c>
      <c r="J939" s="21" t="s">
        <v>247</v>
      </c>
    </row>
    <row r="940" spans="1:10" x14ac:dyDescent="0.2">
      <c r="A940" s="23" t="s">
        <v>14</v>
      </c>
      <c r="B940" s="24">
        <v>38093</v>
      </c>
      <c r="C940" s="23" t="s">
        <v>15</v>
      </c>
      <c r="D940" s="23" t="s">
        <v>2254</v>
      </c>
      <c r="E940" s="23" t="s">
        <v>2255</v>
      </c>
      <c r="F940" s="10">
        <v>4</v>
      </c>
      <c r="G940" s="10">
        <v>2004</v>
      </c>
      <c r="H940" s="23" t="s">
        <v>2252</v>
      </c>
      <c r="I940" s="23" t="s">
        <v>2256</v>
      </c>
      <c r="J940" s="23" t="s">
        <v>247</v>
      </c>
    </row>
    <row r="941" spans="1:10" x14ac:dyDescent="0.2">
      <c r="A941" s="21" t="s">
        <v>14</v>
      </c>
      <c r="B941" s="22">
        <v>38086</v>
      </c>
      <c r="C941" s="21" t="s">
        <v>21</v>
      </c>
      <c r="D941" s="21" t="s">
        <v>2257</v>
      </c>
      <c r="E941" s="21" t="s">
        <v>2258</v>
      </c>
      <c r="F941" s="10">
        <v>4</v>
      </c>
      <c r="G941" s="10">
        <v>2004</v>
      </c>
      <c r="H941" s="21" t="s">
        <v>2252</v>
      </c>
      <c r="I941" s="21" t="s">
        <v>2259</v>
      </c>
      <c r="J941" s="21" t="s">
        <v>247</v>
      </c>
    </row>
    <row r="942" spans="1:10" x14ac:dyDescent="0.2">
      <c r="A942" s="23" t="s">
        <v>14</v>
      </c>
      <c r="B942" s="24">
        <v>38078</v>
      </c>
      <c r="C942" s="23" t="s">
        <v>21</v>
      </c>
      <c r="D942" s="23" t="s">
        <v>2260</v>
      </c>
      <c r="E942" s="23" t="s">
        <v>2261</v>
      </c>
      <c r="F942" s="10">
        <v>4</v>
      </c>
      <c r="G942" s="10">
        <v>2004</v>
      </c>
      <c r="H942" s="23" t="s">
        <v>2252</v>
      </c>
      <c r="I942" s="23" t="s">
        <v>2262</v>
      </c>
      <c r="J942" s="23" t="s">
        <v>247</v>
      </c>
    </row>
    <row r="943" spans="1:10" x14ac:dyDescent="0.2">
      <c r="A943" s="21" t="s">
        <v>14</v>
      </c>
      <c r="B943" s="22">
        <v>38054</v>
      </c>
      <c r="C943" s="21" t="s">
        <v>21</v>
      </c>
      <c r="D943" s="21" t="s">
        <v>2263</v>
      </c>
      <c r="E943" s="21" t="s">
        <v>2264</v>
      </c>
      <c r="F943" s="10">
        <v>3</v>
      </c>
      <c r="G943" s="10">
        <v>2004</v>
      </c>
      <c r="H943" s="21" t="s">
        <v>2265</v>
      </c>
      <c r="I943" s="21" t="s">
        <v>2266</v>
      </c>
      <c r="J943" s="21" t="s">
        <v>247</v>
      </c>
    </row>
    <row r="944" spans="1:10" x14ac:dyDescent="0.2">
      <c r="A944" s="23" t="s">
        <v>14</v>
      </c>
      <c r="B944" s="24">
        <v>38043</v>
      </c>
      <c r="C944" s="23" t="s">
        <v>15</v>
      </c>
      <c r="D944" s="23" t="s">
        <v>2267</v>
      </c>
      <c r="E944" s="23" t="s">
        <v>2268</v>
      </c>
      <c r="F944" s="10">
        <v>2</v>
      </c>
      <c r="G944" s="10">
        <v>2004</v>
      </c>
      <c r="H944" s="23" t="s">
        <v>2269</v>
      </c>
      <c r="I944" s="23" t="s">
        <v>2270</v>
      </c>
      <c r="J944" s="23" t="s">
        <v>247</v>
      </c>
    </row>
    <row r="945" spans="1:10" x14ac:dyDescent="0.2">
      <c r="A945" s="21" t="s">
        <v>14</v>
      </c>
      <c r="B945" s="22">
        <v>38029</v>
      </c>
      <c r="C945" s="21" t="s">
        <v>15</v>
      </c>
      <c r="D945" s="21" t="s">
        <v>2271</v>
      </c>
      <c r="E945" s="21" t="s">
        <v>2272</v>
      </c>
      <c r="F945" s="10">
        <v>2</v>
      </c>
      <c r="G945" s="10">
        <v>2004</v>
      </c>
      <c r="H945" s="21" t="s">
        <v>2269</v>
      </c>
      <c r="I945" s="21" t="s">
        <v>2273</v>
      </c>
      <c r="J945" s="21" t="s">
        <v>247</v>
      </c>
    </row>
    <row r="946" spans="1:10" x14ac:dyDescent="0.2">
      <c r="A946" s="23" t="s">
        <v>14</v>
      </c>
      <c r="B946" s="24">
        <v>38021</v>
      </c>
      <c r="C946" s="23" t="s">
        <v>21</v>
      </c>
      <c r="D946" s="23" t="s">
        <v>2274</v>
      </c>
      <c r="E946" s="23" t="s">
        <v>2275</v>
      </c>
      <c r="F946" s="10">
        <v>2</v>
      </c>
      <c r="G946" s="10">
        <v>2004</v>
      </c>
      <c r="H946" s="23" t="s">
        <v>2269</v>
      </c>
      <c r="I946" s="23" t="s">
        <v>2276</v>
      </c>
      <c r="J946" s="23" t="s">
        <v>247</v>
      </c>
    </row>
    <row r="947" spans="1:10" x14ac:dyDescent="0.2">
      <c r="A947" s="21" t="s">
        <v>14</v>
      </c>
      <c r="B947" s="22">
        <v>38016</v>
      </c>
      <c r="C947" s="21" t="s">
        <v>21</v>
      </c>
      <c r="D947" s="21" t="s">
        <v>2277</v>
      </c>
      <c r="E947" s="21" t="s">
        <v>2278</v>
      </c>
      <c r="F947" s="10">
        <v>1</v>
      </c>
      <c r="G947" s="10">
        <v>2004</v>
      </c>
      <c r="H947" s="21" t="s">
        <v>2279</v>
      </c>
      <c r="I947" s="21" t="s">
        <v>2280</v>
      </c>
      <c r="J947" s="21" t="s">
        <v>247</v>
      </c>
    </row>
    <row r="948" spans="1:10" x14ac:dyDescent="0.2">
      <c r="A948" s="23" t="s">
        <v>14</v>
      </c>
      <c r="B948" s="24">
        <v>37965</v>
      </c>
      <c r="C948" s="23" t="s">
        <v>21</v>
      </c>
      <c r="D948" s="23" t="s">
        <v>2281</v>
      </c>
      <c r="E948" s="23" t="s">
        <v>2282</v>
      </c>
      <c r="F948" s="10">
        <v>12</v>
      </c>
      <c r="G948" s="10">
        <v>2003</v>
      </c>
      <c r="H948" s="23" t="s">
        <v>2283</v>
      </c>
      <c r="I948" s="23" t="s">
        <v>2284</v>
      </c>
      <c r="J948" s="23" t="s">
        <v>247</v>
      </c>
    </row>
    <row r="949" spans="1:10" x14ac:dyDescent="0.2">
      <c r="A949" s="21" t="s">
        <v>14</v>
      </c>
      <c r="B949" s="22">
        <v>37950</v>
      </c>
      <c r="C949" s="21" t="s">
        <v>21</v>
      </c>
      <c r="D949" s="21" t="s">
        <v>2285</v>
      </c>
      <c r="E949" s="21" t="s">
        <v>2286</v>
      </c>
      <c r="F949" s="10">
        <v>11</v>
      </c>
      <c r="G949" s="10">
        <v>2003</v>
      </c>
      <c r="H949" s="21" t="s">
        <v>2287</v>
      </c>
      <c r="I949" s="21" t="s">
        <v>2288</v>
      </c>
      <c r="J949" s="21" t="s">
        <v>247</v>
      </c>
    </row>
    <row r="950" spans="1:10" x14ac:dyDescent="0.2">
      <c r="A950" s="23" t="s">
        <v>14</v>
      </c>
      <c r="B950" s="24">
        <v>37946</v>
      </c>
      <c r="C950" s="23" t="s">
        <v>21</v>
      </c>
      <c r="D950" s="23" t="s">
        <v>2289</v>
      </c>
      <c r="E950" s="23" t="s">
        <v>2290</v>
      </c>
      <c r="F950" s="10">
        <v>11</v>
      </c>
      <c r="G950" s="10">
        <v>2003</v>
      </c>
      <c r="H950" s="23" t="s">
        <v>2287</v>
      </c>
      <c r="I950" s="23" t="s">
        <v>2291</v>
      </c>
      <c r="J950" s="23" t="s">
        <v>247</v>
      </c>
    </row>
    <row r="951" spans="1:10" x14ac:dyDescent="0.2">
      <c r="A951" s="21" t="s">
        <v>14</v>
      </c>
      <c r="B951" s="22">
        <v>37921</v>
      </c>
      <c r="C951" s="21" t="s">
        <v>15</v>
      </c>
      <c r="D951" s="21" t="s">
        <v>2292</v>
      </c>
      <c r="E951" s="21" t="s">
        <v>2293</v>
      </c>
      <c r="F951" s="10">
        <v>10</v>
      </c>
      <c r="G951" s="10">
        <v>2003</v>
      </c>
      <c r="H951" s="21" t="s">
        <v>2294</v>
      </c>
      <c r="I951" s="21" t="s">
        <v>2295</v>
      </c>
      <c r="J951" s="21" t="s">
        <v>247</v>
      </c>
    </row>
    <row r="952" spans="1:10" x14ac:dyDescent="0.2">
      <c r="A952" s="23" t="s">
        <v>14</v>
      </c>
      <c r="B952" s="24">
        <v>37910</v>
      </c>
      <c r="C952" s="23" t="s">
        <v>21</v>
      </c>
      <c r="D952" s="23" t="s">
        <v>2296</v>
      </c>
      <c r="E952" s="23" t="s">
        <v>2297</v>
      </c>
      <c r="F952" s="10">
        <v>10</v>
      </c>
      <c r="G952" s="10">
        <v>2003</v>
      </c>
      <c r="H952" s="23" t="s">
        <v>2294</v>
      </c>
      <c r="I952" s="23" t="s">
        <v>2298</v>
      </c>
      <c r="J952" s="23" t="s">
        <v>247</v>
      </c>
    </row>
    <row r="953" spans="1:10" x14ac:dyDescent="0.2">
      <c r="A953" s="21" t="s">
        <v>14</v>
      </c>
      <c r="B953" s="22">
        <v>37910</v>
      </c>
      <c r="C953" s="21" t="s">
        <v>21</v>
      </c>
      <c r="D953" s="21" t="s">
        <v>2299</v>
      </c>
      <c r="E953" s="21" t="s">
        <v>2300</v>
      </c>
      <c r="F953" s="10">
        <v>10</v>
      </c>
      <c r="G953" s="10">
        <v>2003</v>
      </c>
      <c r="H953" s="21" t="s">
        <v>2294</v>
      </c>
      <c r="I953" s="21" t="s">
        <v>2301</v>
      </c>
      <c r="J953" s="21" t="s">
        <v>247</v>
      </c>
    </row>
    <row r="954" spans="1:10" x14ac:dyDescent="0.2">
      <c r="A954" s="23" t="s">
        <v>14</v>
      </c>
      <c r="B954" s="24">
        <v>37896</v>
      </c>
      <c r="C954" s="23" t="s">
        <v>21</v>
      </c>
      <c r="D954" s="23" t="s">
        <v>2302</v>
      </c>
      <c r="E954" s="23" t="s">
        <v>2303</v>
      </c>
      <c r="F954" s="10">
        <v>10</v>
      </c>
      <c r="G954" s="10">
        <v>2003</v>
      </c>
      <c r="H954" s="23" t="s">
        <v>2294</v>
      </c>
      <c r="I954" s="23" t="s">
        <v>2304</v>
      </c>
      <c r="J954" s="23" t="s">
        <v>247</v>
      </c>
    </row>
    <row r="955" spans="1:10" x14ac:dyDescent="0.2">
      <c r="A955" s="21" t="s">
        <v>14</v>
      </c>
      <c r="B955" s="22">
        <v>37876</v>
      </c>
      <c r="C955" s="21" t="s">
        <v>21</v>
      </c>
      <c r="D955" s="21" t="s">
        <v>2305</v>
      </c>
      <c r="E955" s="21" t="s">
        <v>2306</v>
      </c>
      <c r="F955" s="10">
        <v>9</v>
      </c>
      <c r="G955" s="10">
        <v>2003</v>
      </c>
      <c r="H955" s="21" t="s">
        <v>2307</v>
      </c>
      <c r="I955" s="21" t="s">
        <v>2308</v>
      </c>
      <c r="J955" s="21" t="s">
        <v>247</v>
      </c>
    </row>
    <row r="956" spans="1:10" x14ac:dyDescent="0.2">
      <c r="A956" s="23" t="s">
        <v>14</v>
      </c>
      <c r="B956" s="24">
        <v>37852</v>
      </c>
      <c r="C956" s="23" t="s">
        <v>21</v>
      </c>
      <c r="D956" s="23" t="s">
        <v>2309</v>
      </c>
      <c r="E956" s="23" t="s">
        <v>2310</v>
      </c>
      <c r="F956" s="10">
        <v>8</v>
      </c>
      <c r="G956" s="10">
        <v>2003</v>
      </c>
      <c r="H956" s="23" t="s">
        <v>2311</v>
      </c>
      <c r="I956" s="23" t="s">
        <v>2291</v>
      </c>
      <c r="J956" s="23" t="s">
        <v>247</v>
      </c>
    </row>
    <row r="957" spans="1:10" x14ac:dyDescent="0.2">
      <c r="A957" s="21" t="s">
        <v>14</v>
      </c>
      <c r="B957" s="22">
        <v>37845</v>
      </c>
      <c r="C957" s="21" t="s">
        <v>21</v>
      </c>
      <c r="D957" s="21" t="s">
        <v>2312</v>
      </c>
      <c r="E957" s="21" t="s">
        <v>2313</v>
      </c>
      <c r="F957" s="10">
        <v>8</v>
      </c>
      <c r="G957" s="10">
        <v>2003</v>
      </c>
      <c r="H957" s="21" t="s">
        <v>2311</v>
      </c>
      <c r="I957" s="21" t="s">
        <v>2314</v>
      </c>
      <c r="J957" s="21" t="s">
        <v>247</v>
      </c>
    </row>
    <row r="958" spans="1:10" x14ac:dyDescent="0.2">
      <c r="A958" s="23" t="s">
        <v>14</v>
      </c>
      <c r="B958" s="24">
        <v>37833</v>
      </c>
      <c r="C958" s="23" t="s">
        <v>21</v>
      </c>
      <c r="D958" s="23" t="s">
        <v>2315</v>
      </c>
      <c r="E958" s="23" t="s">
        <v>2316</v>
      </c>
      <c r="F958" s="10">
        <v>7</v>
      </c>
      <c r="G958" s="10">
        <v>2003</v>
      </c>
      <c r="H958" s="23" t="s">
        <v>2317</v>
      </c>
      <c r="I958" s="23" t="s">
        <v>2318</v>
      </c>
      <c r="J958" s="23" t="s">
        <v>247</v>
      </c>
    </row>
    <row r="959" spans="1:10" x14ac:dyDescent="0.2">
      <c r="A959" s="21" t="s">
        <v>14</v>
      </c>
      <c r="B959" s="22">
        <v>37827</v>
      </c>
      <c r="C959" s="21" t="s">
        <v>21</v>
      </c>
      <c r="D959" s="21" t="s">
        <v>2319</v>
      </c>
      <c r="E959" s="21" t="s">
        <v>2320</v>
      </c>
      <c r="F959" s="10">
        <v>7</v>
      </c>
      <c r="G959" s="10">
        <v>2003</v>
      </c>
      <c r="H959" s="21" t="s">
        <v>2317</v>
      </c>
      <c r="I959" s="21" t="s">
        <v>2321</v>
      </c>
      <c r="J959" s="21" t="s">
        <v>247</v>
      </c>
    </row>
    <row r="960" spans="1:10" x14ac:dyDescent="0.2">
      <c r="A960" s="23" t="s">
        <v>14</v>
      </c>
      <c r="B960" s="24">
        <v>37804</v>
      </c>
      <c r="C960" s="23" t="s">
        <v>21</v>
      </c>
      <c r="D960" s="23" t="s">
        <v>2322</v>
      </c>
      <c r="E960" s="23" t="s">
        <v>2323</v>
      </c>
      <c r="F960" s="10">
        <v>7</v>
      </c>
      <c r="G960" s="10">
        <v>2003</v>
      </c>
      <c r="H960" s="23" t="s">
        <v>2317</v>
      </c>
      <c r="I960" s="23" t="s">
        <v>2324</v>
      </c>
      <c r="J960" s="23" t="s">
        <v>247</v>
      </c>
    </row>
    <row r="961" spans="1:10" x14ac:dyDescent="0.2">
      <c r="A961" s="21" t="s">
        <v>14</v>
      </c>
      <c r="B961" s="22">
        <v>37799</v>
      </c>
      <c r="C961" s="21" t="s">
        <v>15</v>
      </c>
      <c r="D961" s="21" t="s">
        <v>2325</v>
      </c>
      <c r="E961" s="21" t="s">
        <v>2326</v>
      </c>
      <c r="F961" s="10">
        <v>6</v>
      </c>
      <c r="G961" s="10">
        <v>2003</v>
      </c>
      <c r="H961" s="21" t="s">
        <v>2327</v>
      </c>
      <c r="I961" s="21" t="s">
        <v>2328</v>
      </c>
      <c r="J961" s="21" t="s">
        <v>247</v>
      </c>
    </row>
    <row r="962" spans="1:10" x14ac:dyDescent="0.2">
      <c r="A962" s="23" t="s">
        <v>14</v>
      </c>
      <c r="B962" s="24">
        <v>37792</v>
      </c>
      <c r="C962" s="23" t="s">
        <v>21</v>
      </c>
      <c r="D962" s="23" t="s">
        <v>2329</v>
      </c>
      <c r="E962" s="23" t="s">
        <v>2330</v>
      </c>
      <c r="F962" s="10">
        <v>6</v>
      </c>
      <c r="G962" s="10">
        <v>2003</v>
      </c>
      <c r="H962" s="23" t="s">
        <v>2327</v>
      </c>
      <c r="I962" s="23" t="s">
        <v>2331</v>
      </c>
      <c r="J962" s="23" t="s">
        <v>247</v>
      </c>
    </row>
    <row r="963" spans="1:10" x14ac:dyDescent="0.2">
      <c r="A963" s="21" t="s">
        <v>14</v>
      </c>
      <c r="B963" s="22">
        <v>37792</v>
      </c>
      <c r="C963" s="21" t="s">
        <v>15</v>
      </c>
      <c r="D963" s="21" t="s">
        <v>2332</v>
      </c>
      <c r="E963" s="21" t="s">
        <v>2333</v>
      </c>
      <c r="F963" s="10">
        <v>6</v>
      </c>
      <c r="G963" s="10">
        <v>2003</v>
      </c>
      <c r="H963" s="21" t="s">
        <v>2327</v>
      </c>
      <c r="I963" s="21" t="s">
        <v>2334</v>
      </c>
      <c r="J963" s="21" t="s">
        <v>247</v>
      </c>
    </row>
    <row r="964" spans="1:10" x14ac:dyDescent="0.2">
      <c r="A964" s="23" t="s">
        <v>14</v>
      </c>
      <c r="B964" s="24">
        <v>37784</v>
      </c>
      <c r="C964" s="23" t="s">
        <v>21</v>
      </c>
      <c r="D964" s="23" t="s">
        <v>2335</v>
      </c>
      <c r="E964" s="23" t="s">
        <v>2336</v>
      </c>
      <c r="F964" s="10">
        <v>6</v>
      </c>
      <c r="G964" s="10">
        <v>2003</v>
      </c>
      <c r="H964" s="23" t="s">
        <v>2327</v>
      </c>
      <c r="I964" s="23" t="s">
        <v>2337</v>
      </c>
      <c r="J964" s="23" t="s">
        <v>247</v>
      </c>
    </row>
    <row r="965" spans="1:10" x14ac:dyDescent="0.2">
      <c r="A965" s="21" t="s">
        <v>14</v>
      </c>
      <c r="B965" s="22">
        <v>37757</v>
      </c>
      <c r="C965" s="21" t="s">
        <v>21</v>
      </c>
      <c r="D965" s="21" t="s">
        <v>2338</v>
      </c>
      <c r="E965" s="21" t="s">
        <v>2339</v>
      </c>
      <c r="F965" s="10">
        <v>5</v>
      </c>
      <c r="G965" s="10">
        <v>2003</v>
      </c>
      <c r="H965" s="21" t="s">
        <v>2340</v>
      </c>
      <c r="I965" s="21" t="s">
        <v>2341</v>
      </c>
      <c r="J965" s="21" t="s">
        <v>247</v>
      </c>
    </row>
    <row r="966" spans="1:10" x14ac:dyDescent="0.2">
      <c r="A966" s="23" t="s">
        <v>14</v>
      </c>
      <c r="B966" s="24">
        <v>37754</v>
      </c>
      <c r="C966" s="23" t="s">
        <v>21</v>
      </c>
      <c r="D966" s="23" t="s">
        <v>2342</v>
      </c>
      <c r="E966" s="23" t="s">
        <v>2343</v>
      </c>
      <c r="F966" s="10">
        <v>5</v>
      </c>
      <c r="G966" s="10">
        <v>2003</v>
      </c>
      <c r="H966" s="23" t="s">
        <v>2340</v>
      </c>
      <c r="I966" s="23" t="s">
        <v>2344</v>
      </c>
      <c r="J966" s="23" t="s">
        <v>247</v>
      </c>
    </row>
    <row r="967" spans="1:10" x14ac:dyDescent="0.2">
      <c r="A967" s="21" t="s">
        <v>14</v>
      </c>
      <c r="B967" s="22">
        <v>37746</v>
      </c>
      <c r="C967" s="21" t="s">
        <v>21</v>
      </c>
      <c r="D967" s="21" t="s">
        <v>2345</v>
      </c>
      <c r="E967" s="21" t="s">
        <v>2346</v>
      </c>
      <c r="F967" s="10">
        <v>5</v>
      </c>
      <c r="G967" s="10">
        <v>2003</v>
      </c>
      <c r="H967" s="21" t="s">
        <v>2340</v>
      </c>
      <c r="I967" s="21" t="s">
        <v>2347</v>
      </c>
      <c r="J967" s="21" t="s">
        <v>247</v>
      </c>
    </row>
    <row r="968" spans="1:10" x14ac:dyDescent="0.2">
      <c r="A968" s="23" t="s">
        <v>14</v>
      </c>
      <c r="B968" s="24">
        <v>37741</v>
      </c>
      <c r="C968" s="23" t="s">
        <v>15</v>
      </c>
      <c r="D968" s="23" t="s">
        <v>2348</v>
      </c>
      <c r="E968" s="23" t="s">
        <v>2349</v>
      </c>
      <c r="F968" s="10">
        <v>4</v>
      </c>
      <c r="G968" s="10">
        <v>2003</v>
      </c>
      <c r="H968" s="23" t="s">
        <v>2350</v>
      </c>
      <c r="I968" s="23" t="s">
        <v>2351</v>
      </c>
      <c r="J968" s="23" t="s">
        <v>247</v>
      </c>
    </row>
    <row r="969" spans="1:10" x14ac:dyDescent="0.2">
      <c r="A969" s="21" t="s">
        <v>14</v>
      </c>
      <c r="B969" s="22">
        <v>37735</v>
      </c>
      <c r="C969" s="21" t="s">
        <v>15</v>
      </c>
      <c r="D969" s="21" t="s">
        <v>2352</v>
      </c>
      <c r="E969" s="21" t="s">
        <v>2353</v>
      </c>
      <c r="F969" s="10">
        <v>4</v>
      </c>
      <c r="G969" s="10">
        <v>2003</v>
      </c>
      <c r="H969" s="21" t="s">
        <v>2350</v>
      </c>
      <c r="I969" s="21" t="s">
        <v>2354</v>
      </c>
      <c r="J969" s="21" t="s">
        <v>247</v>
      </c>
    </row>
    <row r="970" spans="1:10" x14ac:dyDescent="0.2">
      <c r="A970" s="23" t="s">
        <v>14</v>
      </c>
      <c r="B970" s="24">
        <v>37715</v>
      </c>
      <c r="C970" s="23" t="s">
        <v>21</v>
      </c>
      <c r="D970" s="23" t="s">
        <v>2355</v>
      </c>
      <c r="E970" s="23" t="s">
        <v>2356</v>
      </c>
      <c r="F970" s="10">
        <v>4</v>
      </c>
      <c r="G970" s="10">
        <v>2003</v>
      </c>
      <c r="H970" s="23" t="s">
        <v>2350</v>
      </c>
      <c r="I970" s="23" t="s">
        <v>2357</v>
      </c>
      <c r="J970" s="23" t="s">
        <v>247</v>
      </c>
    </row>
    <row r="971" spans="1:10" x14ac:dyDescent="0.2">
      <c r="A971" s="21" t="s">
        <v>14</v>
      </c>
      <c r="B971" s="22">
        <v>37706</v>
      </c>
      <c r="C971" s="21" t="s">
        <v>21</v>
      </c>
      <c r="D971" s="21" t="s">
        <v>1934</v>
      </c>
      <c r="E971" s="21" t="s">
        <v>2358</v>
      </c>
      <c r="F971" s="10">
        <v>3</v>
      </c>
      <c r="G971" s="10">
        <v>2003</v>
      </c>
      <c r="H971" s="21" t="s">
        <v>2359</v>
      </c>
      <c r="I971" s="21" t="s">
        <v>2360</v>
      </c>
      <c r="J971" s="21" t="s">
        <v>247</v>
      </c>
    </row>
    <row r="972" spans="1:10" x14ac:dyDescent="0.2">
      <c r="A972" s="23" t="s">
        <v>14</v>
      </c>
      <c r="B972" s="24">
        <v>37705</v>
      </c>
      <c r="C972" s="23" t="s">
        <v>15</v>
      </c>
      <c r="D972" s="23" t="s">
        <v>2361</v>
      </c>
      <c r="E972" s="23" t="s">
        <v>2362</v>
      </c>
      <c r="F972" s="10">
        <v>3</v>
      </c>
      <c r="G972" s="10">
        <v>2003</v>
      </c>
      <c r="H972" s="23" t="s">
        <v>2359</v>
      </c>
      <c r="I972" s="23" t="s">
        <v>2363</v>
      </c>
      <c r="J972" s="23" t="s">
        <v>247</v>
      </c>
    </row>
    <row r="973" spans="1:10" x14ac:dyDescent="0.2">
      <c r="A973" s="21" t="s">
        <v>14</v>
      </c>
      <c r="B973" s="22">
        <v>37693</v>
      </c>
      <c r="C973" s="21" t="s">
        <v>21</v>
      </c>
      <c r="D973" s="21" t="s">
        <v>2364</v>
      </c>
      <c r="E973" s="21" t="s">
        <v>2365</v>
      </c>
      <c r="F973" s="10">
        <v>3</v>
      </c>
      <c r="G973" s="10">
        <v>2003</v>
      </c>
      <c r="H973" s="21" t="s">
        <v>2359</v>
      </c>
      <c r="I973" s="21" t="s">
        <v>2366</v>
      </c>
      <c r="J973" s="21" t="s">
        <v>247</v>
      </c>
    </row>
    <row r="974" spans="1:10" x14ac:dyDescent="0.2">
      <c r="A974" s="23" t="s">
        <v>14</v>
      </c>
      <c r="B974" s="24">
        <v>37651</v>
      </c>
      <c r="C974" s="23" t="s">
        <v>15</v>
      </c>
      <c r="D974" s="23" t="s">
        <v>2367</v>
      </c>
      <c r="E974" s="23" t="s">
        <v>2368</v>
      </c>
      <c r="F974" s="10">
        <v>1</v>
      </c>
      <c r="G974" s="10">
        <v>2003</v>
      </c>
      <c r="H974" s="23" t="s">
        <v>2369</v>
      </c>
      <c r="I974" s="23" t="s">
        <v>2370</v>
      </c>
      <c r="J974" s="23" t="s">
        <v>247</v>
      </c>
    </row>
    <row r="975" spans="1:10" x14ac:dyDescent="0.2">
      <c r="A975" s="21" t="s">
        <v>14</v>
      </c>
      <c r="B975" s="22">
        <v>37621</v>
      </c>
      <c r="C975" s="21" t="s">
        <v>15</v>
      </c>
      <c r="D975" s="21" t="s">
        <v>2371</v>
      </c>
      <c r="E975" s="21" t="s">
        <v>2372</v>
      </c>
      <c r="F975" s="10">
        <v>12</v>
      </c>
      <c r="G975" s="10">
        <v>2002</v>
      </c>
      <c r="H975" s="21" t="s">
        <v>2373</v>
      </c>
      <c r="I975" s="21" t="s">
        <v>2374</v>
      </c>
      <c r="J975" s="21" t="s">
        <v>247</v>
      </c>
    </row>
    <row r="976" spans="1:10" x14ac:dyDescent="0.2">
      <c r="A976" s="23" t="s">
        <v>14</v>
      </c>
      <c r="B976" s="24">
        <v>37616</v>
      </c>
      <c r="C976" s="23" t="s">
        <v>21</v>
      </c>
      <c r="D976" s="23" t="s">
        <v>2375</v>
      </c>
      <c r="E976" s="23" t="s">
        <v>2376</v>
      </c>
      <c r="F976" s="10">
        <v>12</v>
      </c>
      <c r="G976" s="10">
        <v>2002</v>
      </c>
      <c r="H976" s="23" t="s">
        <v>2373</v>
      </c>
      <c r="I976" s="23" t="s">
        <v>2377</v>
      </c>
      <c r="J976" s="23" t="s">
        <v>247</v>
      </c>
    </row>
    <row r="977" spans="1:10" x14ac:dyDescent="0.2">
      <c r="A977" s="21" t="s">
        <v>14</v>
      </c>
      <c r="B977" s="22">
        <v>37610</v>
      </c>
      <c r="C977" s="21" t="s">
        <v>21</v>
      </c>
      <c r="D977" s="21" t="s">
        <v>2378</v>
      </c>
      <c r="E977" s="21" t="s">
        <v>2379</v>
      </c>
      <c r="F977" s="10">
        <v>12</v>
      </c>
      <c r="G977" s="10">
        <v>2002</v>
      </c>
      <c r="H977" s="21" t="s">
        <v>2373</v>
      </c>
      <c r="I977" s="21" t="s">
        <v>2380</v>
      </c>
      <c r="J977" s="21" t="s">
        <v>247</v>
      </c>
    </row>
    <row r="978" spans="1:10" x14ac:dyDescent="0.2">
      <c r="A978" s="23" t="s">
        <v>14</v>
      </c>
      <c r="B978" s="24">
        <v>37586</v>
      </c>
      <c r="C978" s="23" t="s">
        <v>21</v>
      </c>
      <c r="D978" s="23" t="s">
        <v>2381</v>
      </c>
      <c r="E978" s="23" t="s">
        <v>2382</v>
      </c>
      <c r="F978" s="10">
        <v>11</v>
      </c>
      <c r="G978" s="10">
        <v>2002</v>
      </c>
      <c r="H978" s="23" t="s">
        <v>2383</v>
      </c>
      <c r="I978" s="23" t="s">
        <v>2384</v>
      </c>
      <c r="J978" s="23" t="s">
        <v>247</v>
      </c>
    </row>
    <row r="979" spans="1:10" x14ac:dyDescent="0.2">
      <c r="A979" s="21" t="s">
        <v>14</v>
      </c>
      <c r="B979" s="22">
        <v>37582</v>
      </c>
      <c r="C979" s="21" t="s">
        <v>21</v>
      </c>
      <c r="D979" s="21" t="s">
        <v>2385</v>
      </c>
      <c r="E979" s="21" t="s">
        <v>2386</v>
      </c>
      <c r="F979" s="10">
        <v>11</v>
      </c>
      <c r="G979" s="10">
        <v>2002</v>
      </c>
      <c r="H979" s="21" t="s">
        <v>2383</v>
      </c>
      <c r="I979" s="21" t="s">
        <v>2387</v>
      </c>
      <c r="J979" s="21" t="s">
        <v>247</v>
      </c>
    </row>
    <row r="980" spans="1:10" x14ac:dyDescent="0.2">
      <c r="A980" s="23" t="s">
        <v>14</v>
      </c>
      <c r="B980" s="24">
        <v>37575</v>
      </c>
      <c r="C980" s="23" t="s">
        <v>21</v>
      </c>
      <c r="D980" s="23" t="s">
        <v>2388</v>
      </c>
      <c r="E980" s="23" t="s">
        <v>2389</v>
      </c>
      <c r="F980" s="10">
        <v>11</v>
      </c>
      <c r="G980" s="10">
        <v>2002</v>
      </c>
      <c r="H980" s="23" t="s">
        <v>2383</v>
      </c>
      <c r="I980" s="23" t="s">
        <v>1997</v>
      </c>
      <c r="J980" s="23" t="s">
        <v>247</v>
      </c>
    </row>
    <row r="981" spans="1:10" x14ac:dyDescent="0.2">
      <c r="A981" s="21" t="s">
        <v>14</v>
      </c>
      <c r="B981" s="22">
        <v>37554</v>
      </c>
      <c r="C981" s="21" t="s">
        <v>21</v>
      </c>
      <c r="D981" s="21" t="s">
        <v>2390</v>
      </c>
      <c r="E981" s="21" t="s">
        <v>2391</v>
      </c>
      <c r="F981" s="10">
        <v>10</v>
      </c>
      <c r="G981" s="10">
        <v>2002</v>
      </c>
      <c r="H981" s="21" t="s">
        <v>2392</v>
      </c>
      <c r="I981" s="21" t="s">
        <v>2393</v>
      </c>
      <c r="J981" s="21" t="s">
        <v>247</v>
      </c>
    </row>
    <row r="982" spans="1:10" x14ac:dyDescent="0.2">
      <c r="A982" s="23" t="s">
        <v>14</v>
      </c>
      <c r="B982" s="24">
        <v>37545</v>
      </c>
      <c r="C982" s="23" t="s">
        <v>15</v>
      </c>
      <c r="D982" s="23" t="s">
        <v>2394</v>
      </c>
      <c r="E982" s="23" t="s">
        <v>2395</v>
      </c>
      <c r="F982" s="10">
        <v>10</v>
      </c>
      <c r="G982" s="10">
        <v>2002</v>
      </c>
      <c r="H982" s="23" t="s">
        <v>2392</v>
      </c>
      <c r="I982" s="23" t="s">
        <v>2396</v>
      </c>
      <c r="J982" s="23" t="s">
        <v>247</v>
      </c>
    </row>
    <row r="983" spans="1:10" x14ac:dyDescent="0.2">
      <c r="A983" s="21" t="s">
        <v>14</v>
      </c>
      <c r="B983" s="22">
        <v>37526</v>
      </c>
      <c r="C983" s="21" t="s">
        <v>21</v>
      </c>
      <c r="D983" s="21" t="s">
        <v>2397</v>
      </c>
      <c r="E983" s="21" t="s">
        <v>2398</v>
      </c>
      <c r="F983" s="10">
        <v>9</v>
      </c>
      <c r="G983" s="10">
        <v>2002</v>
      </c>
      <c r="H983" s="21" t="s">
        <v>2399</v>
      </c>
      <c r="I983" s="21" t="s">
        <v>2400</v>
      </c>
      <c r="J983" s="21" t="s">
        <v>247</v>
      </c>
    </row>
    <row r="984" spans="1:10" x14ac:dyDescent="0.2">
      <c r="A984" s="23" t="s">
        <v>14</v>
      </c>
      <c r="B984" s="24">
        <v>37519</v>
      </c>
      <c r="C984" s="23" t="s">
        <v>21</v>
      </c>
      <c r="D984" s="23" t="s">
        <v>2401</v>
      </c>
      <c r="E984" s="23" t="s">
        <v>2402</v>
      </c>
      <c r="F984" s="10">
        <v>9</v>
      </c>
      <c r="G984" s="10">
        <v>2002</v>
      </c>
      <c r="H984" s="23" t="s">
        <v>2399</v>
      </c>
      <c r="I984" s="23" t="s">
        <v>2403</v>
      </c>
      <c r="J984" s="23" t="s">
        <v>247</v>
      </c>
    </row>
    <row r="985" spans="1:10" x14ac:dyDescent="0.2">
      <c r="A985" s="21" t="s">
        <v>14</v>
      </c>
      <c r="B985" s="22">
        <v>37477</v>
      </c>
      <c r="C985" s="21" t="s">
        <v>21</v>
      </c>
      <c r="D985" s="21" t="s">
        <v>2404</v>
      </c>
      <c r="E985" s="21" t="s">
        <v>2405</v>
      </c>
      <c r="F985" s="10">
        <v>8</v>
      </c>
      <c r="G985" s="10">
        <v>2002</v>
      </c>
      <c r="H985" s="21" t="s">
        <v>2406</v>
      </c>
      <c r="I985" s="21" t="s">
        <v>2407</v>
      </c>
      <c r="J985" s="21" t="s">
        <v>247</v>
      </c>
    </row>
    <row r="986" spans="1:10" x14ac:dyDescent="0.2">
      <c r="A986" s="23" t="s">
        <v>14</v>
      </c>
      <c r="B986" s="24">
        <v>37461</v>
      </c>
      <c r="C986" s="23" t="s">
        <v>21</v>
      </c>
      <c r="D986" s="23" t="s">
        <v>2408</v>
      </c>
      <c r="E986" s="23" t="s">
        <v>2409</v>
      </c>
      <c r="F986" s="10">
        <v>7</v>
      </c>
      <c r="G986" s="10">
        <v>2002</v>
      </c>
      <c r="H986" s="23" t="s">
        <v>2410</v>
      </c>
      <c r="I986" s="23" t="s">
        <v>2411</v>
      </c>
      <c r="J986" s="23" t="s">
        <v>247</v>
      </c>
    </row>
    <row r="987" spans="1:10" x14ac:dyDescent="0.2">
      <c r="A987" s="21" t="s">
        <v>14</v>
      </c>
      <c r="B987" s="22">
        <v>37454</v>
      </c>
      <c r="C987" s="21" t="s">
        <v>21</v>
      </c>
      <c r="D987" s="21" t="s">
        <v>2412</v>
      </c>
      <c r="E987" s="21" t="s">
        <v>2413</v>
      </c>
      <c r="F987" s="10">
        <v>7</v>
      </c>
      <c r="G987" s="10">
        <v>2002</v>
      </c>
      <c r="H987" s="21" t="s">
        <v>2410</v>
      </c>
      <c r="I987" s="21" t="s">
        <v>2414</v>
      </c>
      <c r="J987" s="21" t="s">
        <v>247</v>
      </c>
    </row>
    <row r="988" spans="1:10" x14ac:dyDescent="0.2">
      <c r="A988" s="23" t="s">
        <v>14</v>
      </c>
      <c r="B988" s="24">
        <v>37449</v>
      </c>
      <c r="C988" s="23" t="s">
        <v>15</v>
      </c>
      <c r="D988" s="23" t="s">
        <v>2415</v>
      </c>
      <c r="E988" s="23" t="s">
        <v>2416</v>
      </c>
      <c r="F988" s="10">
        <v>7</v>
      </c>
      <c r="G988" s="10">
        <v>2002</v>
      </c>
      <c r="H988" s="23" t="s">
        <v>2410</v>
      </c>
      <c r="I988" s="23" t="s">
        <v>2417</v>
      </c>
      <c r="J988" s="23" t="s">
        <v>247</v>
      </c>
    </row>
    <row r="989" spans="1:10" x14ac:dyDescent="0.2">
      <c r="A989" s="21" t="s">
        <v>14</v>
      </c>
      <c r="B989" s="22">
        <v>37407</v>
      </c>
      <c r="C989" s="21" t="s">
        <v>21</v>
      </c>
      <c r="D989" s="21" t="s">
        <v>2418</v>
      </c>
      <c r="E989" s="21" t="s">
        <v>2419</v>
      </c>
      <c r="F989" s="10">
        <v>5</v>
      </c>
      <c r="G989" s="10">
        <v>2002</v>
      </c>
      <c r="H989" s="21" t="s">
        <v>2420</v>
      </c>
      <c r="I989" s="21" t="s">
        <v>2421</v>
      </c>
      <c r="J989" s="21" t="s">
        <v>247</v>
      </c>
    </row>
    <row r="990" spans="1:10" x14ac:dyDescent="0.2">
      <c r="A990" s="23" t="s">
        <v>14</v>
      </c>
      <c r="B990" s="24">
        <v>37400</v>
      </c>
      <c r="C990" s="23" t="s">
        <v>21</v>
      </c>
      <c r="D990" s="23" t="s">
        <v>2422</v>
      </c>
      <c r="E990" s="23" t="s">
        <v>2423</v>
      </c>
      <c r="F990" s="10">
        <v>5</v>
      </c>
      <c r="G990" s="10">
        <v>2002</v>
      </c>
      <c r="H990" s="23" t="s">
        <v>2420</v>
      </c>
      <c r="I990" s="23" t="s">
        <v>2424</v>
      </c>
      <c r="J990" s="23" t="s">
        <v>247</v>
      </c>
    </row>
    <row r="991" spans="1:10" x14ac:dyDescent="0.2">
      <c r="A991" s="21" t="s">
        <v>14</v>
      </c>
      <c r="B991" s="22">
        <v>37397</v>
      </c>
      <c r="C991" s="21" t="s">
        <v>21</v>
      </c>
      <c r="D991" s="21" t="s">
        <v>2425</v>
      </c>
      <c r="E991" s="21" t="s">
        <v>2426</v>
      </c>
      <c r="F991" s="10">
        <v>5</v>
      </c>
      <c r="G991" s="10">
        <v>2002</v>
      </c>
      <c r="H991" s="21" t="s">
        <v>2420</v>
      </c>
      <c r="I991" s="21" t="s">
        <v>2427</v>
      </c>
      <c r="J991" s="21" t="s">
        <v>247</v>
      </c>
    </row>
    <row r="992" spans="1:10" x14ac:dyDescent="0.2">
      <c r="A992" s="23" t="s">
        <v>14</v>
      </c>
      <c r="B992" s="24">
        <v>37371</v>
      </c>
      <c r="C992" s="23" t="s">
        <v>21</v>
      </c>
      <c r="D992" s="23" t="s">
        <v>2428</v>
      </c>
      <c r="E992" s="23" t="s">
        <v>2429</v>
      </c>
      <c r="F992" s="10">
        <v>4</v>
      </c>
      <c r="G992" s="10">
        <v>2002</v>
      </c>
      <c r="H992" s="23" t="s">
        <v>2430</v>
      </c>
      <c r="I992" s="23" t="s">
        <v>2431</v>
      </c>
      <c r="J992" s="23" t="s">
        <v>247</v>
      </c>
    </row>
    <row r="993" spans="1:10" x14ac:dyDescent="0.2">
      <c r="A993" s="21" t="s">
        <v>14</v>
      </c>
      <c r="B993" s="22">
        <v>37371</v>
      </c>
      <c r="C993" s="21" t="s">
        <v>21</v>
      </c>
      <c r="D993" s="21" t="s">
        <v>2432</v>
      </c>
      <c r="E993" s="21" t="s">
        <v>2433</v>
      </c>
      <c r="F993" s="10">
        <v>4</v>
      </c>
      <c r="G993" s="10">
        <v>2002</v>
      </c>
      <c r="H993" s="21" t="s">
        <v>2430</v>
      </c>
      <c r="I993" s="21" t="s">
        <v>1989</v>
      </c>
      <c r="J993" s="21" t="s">
        <v>247</v>
      </c>
    </row>
    <row r="994" spans="1:10" x14ac:dyDescent="0.2">
      <c r="A994" s="23" t="s">
        <v>14</v>
      </c>
      <c r="B994" s="24">
        <v>37322</v>
      </c>
      <c r="C994" s="23" t="s">
        <v>15</v>
      </c>
      <c r="D994" s="23" t="s">
        <v>2434</v>
      </c>
      <c r="E994" s="23" t="s">
        <v>2435</v>
      </c>
      <c r="F994" s="10">
        <v>3</v>
      </c>
      <c r="G994" s="10">
        <v>2002</v>
      </c>
      <c r="H994" s="23" t="s">
        <v>2436</v>
      </c>
      <c r="I994" s="23" t="s">
        <v>2437</v>
      </c>
      <c r="J994" s="23" t="s">
        <v>247</v>
      </c>
    </row>
    <row r="995" spans="1:10" x14ac:dyDescent="0.2">
      <c r="A995" s="21" t="s">
        <v>14</v>
      </c>
      <c r="B995" s="22">
        <v>37306</v>
      </c>
      <c r="C995" s="21" t="s">
        <v>15</v>
      </c>
      <c r="D995" s="21" t="s">
        <v>2438</v>
      </c>
      <c r="E995" s="21" t="s">
        <v>2439</v>
      </c>
      <c r="F995" s="10">
        <v>2</v>
      </c>
      <c r="G995" s="10">
        <v>2002</v>
      </c>
      <c r="H995" s="21" t="s">
        <v>2440</v>
      </c>
      <c r="I995" s="21" t="s">
        <v>2441</v>
      </c>
      <c r="J995" s="21" t="s">
        <v>247</v>
      </c>
    </row>
    <row r="996" spans="1:10" x14ac:dyDescent="0.2">
      <c r="A996" s="23" t="s">
        <v>14</v>
      </c>
      <c r="B996" s="24">
        <v>37287</v>
      </c>
      <c r="C996" s="23" t="s">
        <v>15</v>
      </c>
      <c r="D996" s="23" t="s">
        <v>2442</v>
      </c>
      <c r="E996" s="23" t="s">
        <v>2443</v>
      </c>
      <c r="F996" s="10">
        <v>1</v>
      </c>
      <c r="G996" s="10">
        <v>2002</v>
      </c>
      <c r="H996" s="23" t="s">
        <v>2444</v>
      </c>
      <c r="I996" s="23" t="s">
        <v>2445</v>
      </c>
      <c r="J996" s="23" t="s">
        <v>247</v>
      </c>
    </row>
    <row r="997" spans="1:10" x14ac:dyDescent="0.2">
      <c r="A997" s="21" t="s">
        <v>14</v>
      </c>
      <c r="B997" s="22">
        <v>37274</v>
      </c>
      <c r="C997" s="21" t="s">
        <v>21</v>
      </c>
      <c r="D997" s="21" t="s">
        <v>2446</v>
      </c>
      <c r="E997" s="21" t="s">
        <v>2447</v>
      </c>
      <c r="F997" s="10">
        <v>1</v>
      </c>
      <c r="G997" s="10">
        <v>2002</v>
      </c>
      <c r="H997" s="21" t="s">
        <v>2444</v>
      </c>
      <c r="I997" s="21" t="s">
        <v>2448</v>
      </c>
      <c r="J997" s="21" t="s">
        <v>247</v>
      </c>
    </row>
    <row r="998" spans="1:10" x14ac:dyDescent="0.2">
      <c r="A998" s="23" t="s">
        <v>14</v>
      </c>
      <c r="B998" s="24">
        <v>37246</v>
      </c>
      <c r="C998" s="23" t="s">
        <v>21</v>
      </c>
      <c r="D998" s="23" t="s">
        <v>2449</v>
      </c>
      <c r="E998" s="23" t="s">
        <v>2450</v>
      </c>
      <c r="F998" s="10">
        <v>12</v>
      </c>
      <c r="G998" s="10">
        <v>2001</v>
      </c>
      <c r="H998" s="23" t="s">
        <v>2451</v>
      </c>
      <c r="I998" s="23" t="s">
        <v>2452</v>
      </c>
      <c r="J998" s="23" t="s">
        <v>247</v>
      </c>
    </row>
    <row r="999" spans="1:10" x14ac:dyDescent="0.2">
      <c r="A999" s="21" t="s">
        <v>14</v>
      </c>
      <c r="B999" s="22">
        <v>37238</v>
      </c>
      <c r="C999" s="21" t="s">
        <v>21</v>
      </c>
      <c r="D999" s="21" t="s">
        <v>2453</v>
      </c>
      <c r="E999" s="21" t="s">
        <v>2454</v>
      </c>
      <c r="F999" s="10">
        <v>12</v>
      </c>
      <c r="G999" s="10">
        <v>2001</v>
      </c>
      <c r="H999" s="21" t="s">
        <v>2451</v>
      </c>
      <c r="I999" s="21" t="s">
        <v>2455</v>
      </c>
      <c r="J999" s="21" t="s">
        <v>247</v>
      </c>
    </row>
    <row r="1000" spans="1:10" x14ac:dyDescent="0.2">
      <c r="A1000" s="23" t="s">
        <v>14</v>
      </c>
      <c r="B1000" s="24">
        <v>37232</v>
      </c>
      <c r="C1000" s="23" t="s">
        <v>21</v>
      </c>
      <c r="D1000" s="23" t="s">
        <v>2456</v>
      </c>
      <c r="E1000" s="23" t="s">
        <v>2457</v>
      </c>
      <c r="F1000" s="10">
        <v>12</v>
      </c>
      <c r="G1000" s="10">
        <v>2001</v>
      </c>
      <c r="H1000" s="23" t="s">
        <v>2451</v>
      </c>
      <c r="I1000" s="23" t="s">
        <v>2458</v>
      </c>
      <c r="J1000" s="23" t="s">
        <v>247</v>
      </c>
    </row>
    <row r="1001" spans="1:10" x14ac:dyDescent="0.2">
      <c r="A1001" s="21" t="s">
        <v>14</v>
      </c>
      <c r="B1001" s="22">
        <v>37216</v>
      </c>
      <c r="C1001" s="21" t="s">
        <v>21</v>
      </c>
      <c r="D1001" s="21" t="s">
        <v>2459</v>
      </c>
      <c r="E1001" s="21" t="s">
        <v>2460</v>
      </c>
      <c r="F1001" s="10">
        <v>11</v>
      </c>
      <c r="G1001" s="10">
        <v>2001</v>
      </c>
      <c r="H1001" s="21" t="s">
        <v>2461</v>
      </c>
      <c r="I1001" s="21" t="s">
        <v>2462</v>
      </c>
      <c r="J1001" s="21" t="s">
        <v>247</v>
      </c>
    </row>
    <row r="1002" spans="1:10" x14ac:dyDescent="0.2">
      <c r="A1002" s="23" t="s">
        <v>14</v>
      </c>
      <c r="B1002" s="24">
        <v>37216</v>
      </c>
      <c r="C1002" s="23" t="s">
        <v>15</v>
      </c>
      <c r="D1002" s="23" t="s">
        <v>2463</v>
      </c>
      <c r="E1002" s="23" t="s">
        <v>2464</v>
      </c>
      <c r="F1002" s="10">
        <v>11</v>
      </c>
      <c r="G1002" s="10">
        <v>2001</v>
      </c>
      <c r="H1002" s="23" t="s">
        <v>2461</v>
      </c>
      <c r="I1002" s="23" t="s">
        <v>2465</v>
      </c>
      <c r="J1002" s="23" t="s">
        <v>247</v>
      </c>
    </row>
    <row r="1003" spans="1:10" x14ac:dyDescent="0.2">
      <c r="A1003" s="21" t="s">
        <v>14</v>
      </c>
      <c r="B1003" s="22">
        <v>37215</v>
      </c>
      <c r="C1003" s="21" t="s">
        <v>21</v>
      </c>
      <c r="D1003" s="21" t="s">
        <v>2466</v>
      </c>
      <c r="E1003" s="21" t="s">
        <v>2467</v>
      </c>
      <c r="F1003" s="10">
        <v>11</v>
      </c>
      <c r="G1003" s="10">
        <v>2001</v>
      </c>
      <c r="H1003" s="21" t="s">
        <v>2461</v>
      </c>
      <c r="I1003" s="21" t="s">
        <v>2468</v>
      </c>
      <c r="J1003" s="21" t="s">
        <v>247</v>
      </c>
    </row>
    <row r="1004" spans="1:10" x14ac:dyDescent="0.2">
      <c r="A1004" s="23" t="s">
        <v>14</v>
      </c>
      <c r="B1004" s="24">
        <v>37215</v>
      </c>
      <c r="C1004" s="23" t="s">
        <v>21</v>
      </c>
      <c r="D1004" s="23" t="s">
        <v>2469</v>
      </c>
      <c r="E1004" s="23" t="s">
        <v>2470</v>
      </c>
      <c r="F1004" s="10">
        <v>11</v>
      </c>
      <c r="G1004" s="10">
        <v>2001</v>
      </c>
      <c r="H1004" s="23" t="s">
        <v>2461</v>
      </c>
      <c r="I1004" s="23" t="s">
        <v>2471</v>
      </c>
      <c r="J1004" s="23" t="s">
        <v>247</v>
      </c>
    </row>
    <row r="1005" spans="1:10" x14ac:dyDescent="0.2">
      <c r="A1005" s="21" t="s">
        <v>14</v>
      </c>
      <c r="B1005" s="22">
        <v>37215</v>
      </c>
      <c r="C1005" s="21" t="s">
        <v>21</v>
      </c>
      <c r="D1005" s="21" t="s">
        <v>2472</v>
      </c>
      <c r="E1005" s="21" t="s">
        <v>2473</v>
      </c>
      <c r="F1005" s="10">
        <v>11</v>
      </c>
      <c r="G1005" s="10">
        <v>2001</v>
      </c>
      <c r="H1005" s="21" t="s">
        <v>2461</v>
      </c>
      <c r="I1005" s="21" t="s">
        <v>2474</v>
      </c>
      <c r="J1005" s="21" t="s">
        <v>247</v>
      </c>
    </row>
    <row r="1006" spans="1:10" x14ac:dyDescent="0.2">
      <c r="A1006" s="23" t="s">
        <v>14</v>
      </c>
      <c r="B1006" s="24">
        <v>37211</v>
      </c>
      <c r="C1006" s="23" t="s">
        <v>21</v>
      </c>
      <c r="D1006" s="23" t="s">
        <v>2475</v>
      </c>
      <c r="E1006" s="23" t="s">
        <v>2476</v>
      </c>
      <c r="F1006" s="10">
        <v>11</v>
      </c>
      <c r="G1006" s="10">
        <v>2001</v>
      </c>
      <c r="H1006" s="23" t="s">
        <v>2461</v>
      </c>
      <c r="I1006" s="23" t="s">
        <v>2477</v>
      </c>
      <c r="J1006" s="23" t="s">
        <v>247</v>
      </c>
    </row>
    <row r="1007" spans="1:10" x14ac:dyDescent="0.2">
      <c r="A1007" s="21" t="s">
        <v>14</v>
      </c>
      <c r="B1007" s="22">
        <v>37209</v>
      </c>
      <c r="C1007" s="21" t="s">
        <v>15</v>
      </c>
      <c r="D1007" s="21" t="s">
        <v>2478</v>
      </c>
      <c r="E1007" s="21" t="s">
        <v>2479</v>
      </c>
      <c r="F1007" s="10">
        <v>11</v>
      </c>
      <c r="G1007" s="10">
        <v>2001</v>
      </c>
      <c r="H1007" s="21" t="s">
        <v>2461</v>
      </c>
      <c r="I1007" s="21" t="s">
        <v>2480</v>
      </c>
      <c r="J1007" s="21" t="s">
        <v>247</v>
      </c>
    </row>
    <row r="1008" spans="1:10" x14ac:dyDescent="0.2">
      <c r="A1008" s="23" t="s">
        <v>14</v>
      </c>
      <c r="B1008" s="24">
        <v>37203</v>
      </c>
      <c r="C1008" s="23" t="s">
        <v>21</v>
      </c>
      <c r="D1008" s="23" t="s">
        <v>2481</v>
      </c>
      <c r="E1008" s="23" t="s">
        <v>2482</v>
      </c>
      <c r="F1008" s="10">
        <v>11</v>
      </c>
      <c r="G1008" s="10">
        <v>2001</v>
      </c>
      <c r="H1008" s="23" t="s">
        <v>2461</v>
      </c>
      <c r="I1008" s="23" t="s">
        <v>2377</v>
      </c>
      <c r="J1008" s="23" t="s">
        <v>247</v>
      </c>
    </row>
    <row r="1009" spans="1:10" x14ac:dyDescent="0.2">
      <c r="A1009" s="21" t="s">
        <v>14</v>
      </c>
      <c r="B1009" s="22">
        <v>37190</v>
      </c>
      <c r="C1009" s="21" t="s">
        <v>21</v>
      </c>
      <c r="D1009" s="21" t="s">
        <v>2483</v>
      </c>
      <c r="E1009" s="21" t="s">
        <v>2484</v>
      </c>
      <c r="F1009" s="10">
        <v>10</v>
      </c>
      <c r="G1009" s="10">
        <v>2001</v>
      </c>
      <c r="H1009" s="21" t="s">
        <v>2485</v>
      </c>
      <c r="I1009" s="21" t="s">
        <v>2331</v>
      </c>
      <c r="J1009" s="21" t="s">
        <v>247</v>
      </c>
    </row>
    <row r="1010" spans="1:10" x14ac:dyDescent="0.2">
      <c r="A1010" s="23" t="s">
        <v>14</v>
      </c>
      <c r="B1010" s="24">
        <v>37167</v>
      </c>
      <c r="C1010" s="23" t="s">
        <v>21</v>
      </c>
      <c r="D1010" s="23" t="s">
        <v>2486</v>
      </c>
      <c r="E1010" s="23" t="s">
        <v>2487</v>
      </c>
      <c r="F1010" s="10">
        <v>10</v>
      </c>
      <c r="G1010" s="10">
        <v>2001</v>
      </c>
      <c r="H1010" s="23" t="s">
        <v>2485</v>
      </c>
      <c r="I1010" s="23" t="s">
        <v>2488</v>
      </c>
      <c r="J1010" s="23" t="s">
        <v>247</v>
      </c>
    </row>
    <row r="1011" spans="1:10" x14ac:dyDescent="0.2">
      <c r="A1011" s="21" t="s">
        <v>14</v>
      </c>
      <c r="B1011" s="22">
        <v>37151</v>
      </c>
      <c r="C1011" s="21" t="s">
        <v>15</v>
      </c>
      <c r="D1011" s="21" t="s">
        <v>2489</v>
      </c>
      <c r="E1011" s="21" t="s">
        <v>2490</v>
      </c>
      <c r="F1011" s="10">
        <v>9</v>
      </c>
      <c r="G1011" s="10">
        <v>2001</v>
      </c>
      <c r="H1011" s="21" t="s">
        <v>2491</v>
      </c>
      <c r="I1011" s="21" t="s">
        <v>2492</v>
      </c>
      <c r="J1011" s="21" t="s">
        <v>247</v>
      </c>
    </row>
    <row r="1012" spans="1:10" x14ac:dyDescent="0.2">
      <c r="A1012" s="23" t="s">
        <v>14</v>
      </c>
      <c r="B1012" s="24">
        <v>37132</v>
      </c>
      <c r="C1012" s="23" t="s">
        <v>21</v>
      </c>
      <c r="D1012" s="23" t="s">
        <v>2493</v>
      </c>
      <c r="E1012" s="23" t="s">
        <v>2494</v>
      </c>
      <c r="F1012" s="10">
        <v>8</v>
      </c>
      <c r="G1012" s="10">
        <v>2001</v>
      </c>
      <c r="H1012" s="23" t="s">
        <v>2495</v>
      </c>
      <c r="I1012" s="23" t="s">
        <v>2496</v>
      </c>
      <c r="J1012" s="23" t="s">
        <v>247</v>
      </c>
    </row>
    <row r="1013" spans="1:10" x14ac:dyDescent="0.2">
      <c r="A1013" s="21" t="s">
        <v>14</v>
      </c>
      <c r="B1013" s="22">
        <v>37123</v>
      </c>
      <c r="C1013" s="21" t="s">
        <v>21</v>
      </c>
      <c r="D1013" s="21" t="s">
        <v>2497</v>
      </c>
      <c r="E1013" s="21" t="s">
        <v>2498</v>
      </c>
      <c r="F1013" s="10">
        <v>8</v>
      </c>
      <c r="G1013" s="10">
        <v>2001</v>
      </c>
      <c r="H1013" s="21" t="s">
        <v>2495</v>
      </c>
      <c r="I1013" s="21" t="s">
        <v>2499</v>
      </c>
      <c r="J1013" s="21" t="s">
        <v>247</v>
      </c>
    </row>
    <row r="1014" spans="1:10" x14ac:dyDescent="0.2">
      <c r="A1014" s="23" t="s">
        <v>14</v>
      </c>
      <c r="B1014" s="24">
        <v>37113</v>
      </c>
      <c r="C1014" s="23" t="s">
        <v>21</v>
      </c>
      <c r="D1014" s="23" t="s">
        <v>2500</v>
      </c>
      <c r="E1014" s="23" t="s">
        <v>2501</v>
      </c>
      <c r="F1014" s="10">
        <v>8</v>
      </c>
      <c r="G1014" s="10">
        <v>2001</v>
      </c>
      <c r="H1014" s="23" t="s">
        <v>2495</v>
      </c>
      <c r="I1014" s="23" t="s">
        <v>2502</v>
      </c>
      <c r="J1014" s="23" t="s">
        <v>247</v>
      </c>
    </row>
    <row r="1015" spans="1:10" x14ac:dyDescent="0.2">
      <c r="A1015" s="21" t="s">
        <v>14</v>
      </c>
      <c r="B1015" s="22">
        <v>37103</v>
      </c>
      <c r="C1015" s="21" t="s">
        <v>21</v>
      </c>
      <c r="D1015" s="21" t="s">
        <v>2503</v>
      </c>
      <c r="E1015" s="21" t="s">
        <v>2504</v>
      </c>
      <c r="F1015" s="10">
        <v>7</v>
      </c>
      <c r="G1015" s="10">
        <v>2001</v>
      </c>
      <c r="H1015" s="21" t="s">
        <v>2505</v>
      </c>
      <c r="I1015" s="21" t="s">
        <v>2506</v>
      </c>
      <c r="J1015" s="21" t="s">
        <v>247</v>
      </c>
    </row>
    <row r="1016" spans="1:10" x14ac:dyDescent="0.2">
      <c r="A1016" s="23" t="s">
        <v>14</v>
      </c>
      <c r="B1016" s="24">
        <v>37022</v>
      </c>
      <c r="C1016" s="23" t="s">
        <v>21</v>
      </c>
      <c r="D1016" s="23" t="s">
        <v>2507</v>
      </c>
      <c r="E1016" s="23" t="s">
        <v>2508</v>
      </c>
      <c r="F1016" s="10">
        <v>5</v>
      </c>
      <c r="G1016" s="10">
        <v>2001</v>
      </c>
      <c r="H1016" s="23" t="s">
        <v>2509</v>
      </c>
      <c r="I1016" s="23" t="s">
        <v>2510</v>
      </c>
      <c r="J1016" s="23" t="s">
        <v>247</v>
      </c>
    </row>
    <row r="1017" spans="1:10" x14ac:dyDescent="0.2">
      <c r="A1017" s="21" t="s">
        <v>14</v>
      </c>
      <c r="B1017" s="22">
        <v>37021</v>
      </c>
      <c r="C1017" s="21" t="s">
        <v>21</v>
      </c>
      <c r="D1017" s="21" t="s">
        <v>2511</v>
      </c>
      <c r="E1017" s="21" t="s">
        <v>2512</v>
      </c>
      <c r="F1017" s="10">
        <v>5</v>
      </c>
      <c r="G1017" s="10">
        <v>2001</v>
      </c>
      <c r="H1017" s="21" t="s">
        <v>2509</v>
      </c>
      <c r="I1017" s="21" t="s">
        <v>2513</v>
      </c>
      <c r="J1017" s="21" t="s">
        <v>247</v>
      </c>
    </row>
    <row r="1018" spans="1:10" x14ac:dyDescent="0.2">
      <c r="A1018" s="23" t="s">
        <v>14</v>
      </c>
      <c r="B1018" s="24">
        <v>37018</v>
      </c>
      <c r="C1018" s="23" t="s">
        <v>15</v>
      </c>
      <c r="D1018" s="23" t="s">
        <v>2514</v>
      </c>
      <c r="E1018" s="23" t="s">
        <v>2515</v>
      </c>
      <c r="F1018" s="10">
        <v>5</v>
      </c>
      <c r="G1018" s="10">
        <v>2001</v>
      </c>
      <c r="H1018" s="23" t="s">
        <v>2509</v>
      </c>
      <c r="I1018" s="23" t="s">
        <v>2516</v>
      </c>
      <c r="J1018" s="23" t="s">
        <v>247</v>
      </c>
    </row>
    <row r="1019" spans="1:10" x14ac:dyDescent="0.2">
      <c r="A1019" s="21" t="s">
        <v>14</v>
      </c>
      <c r="B1019" s="22">
        <v>37018</v>
      </c>
      <c r="C1019" s="21" t="s">
        <v>21</v>
      </c>
      <c r="D1019" s="21" t="s">
        <v>2517</v>
      </c>
      <c r="E1019" s="21" t="s">
        <v>2518</v>
      </c>
      <c r="F1019" s="10">
        <v>5</v>
      </c>
      <c r="G1019" s="10">
        <v>2001</v>
      </c>
      <c r="H1019" s="21" t="s">
        <v>2509</v>
      </c>
      <c r="I1019" s="21" t="s">
        <v>2519</v>
      </c>
      <c r="J1019" s="21" t="s">
        <v>247</v>
      </c>
    </row>
    <row r="1020" spans="1:10" x14ac:dyDescent="0.2">
      <c r="A1020" s="23" t="s">
        <v>14</v>
      </c>
      <c r="B1020" s="24">
        <v>36966</v>
      </c>
      <c r="C1020" s="23" t="s">
        <v>21</v>
      </c>
      <c r="D1020" s="23" t="s">
        <v>2520</v>
      </c>
      <c r="E1020" s="23" t="s">
        <v>2521</v>
      </c>
      <c r="F1020" s="10">
        <v>3</v>
      </c>
      <c r="G1020" s="10">
        <v>2001</v>
      </c>
      <c r="H1020" s="23" t="s">
        <v>2522</v>
      </c>
      <c r="I1020" s="23" t="s">
        <v>2523</v>
      </c>
      <c r="J1020" s="23" t="s">
        <v>247</v>
      </c>
    </row>
    <row r="1021" spans="1:10" x14ac:dyDescent="0.2">
      <c r="A1021" s="21" t="s">
        <v>14</v>
      </c>
      <c r="B1021" s="22">
        <v>36966</v>
      </c>
      <c r="C1021" s="21" t="s">
        <v>21</v>
      </c>
      <c r="D1021" s="21" t="s">
        <v>2524</v>
      </c>
      <c r="E1021" s="21" t="s">
        <v>2525</v>
      </c>
      <c r="F1021" s="10">
        <v>3</v>
      </c>
      <c r="G1021" s="10">
        <v>2001</v>
      </c>
      <c r="H1021" s="21" t="s">
        <v>2522</v>
      </c>
      <c r="I1021" s="21" t="s">
        <v>2526</v>
      </c>
      <c r="J1021" s="21" t="s">
        <v>247</v>
      </c>
    </row>
    <row r="1022" spans="1:10" x14ac:dyDescent="0.2">
      <c r="A1022" s="23" t="s">
        <v>14</v>
      </c>
      <c r="B1022" s="24">
        <v>36950</v>
      </c>
      <c r="C1022" s="23" t="s">
        <v>21</v>
      </c>
      <c r="D1022" s="23" t="s">
        <v>2527</v>
      </c>
      <c r="E1022" s="23" t="s">
        <v>2528</v>
      </c>
      <c r="F1022" s="10">
        <v>2</v>
      </c>
      <c r="G1022" s="10">
        <v>2001</v>
      </c>
      <c r="H1022" s="23" t="s">
        <v>2529</v>
      </c>
      <c r="I1022" s="23" t="s">
        <v>2530</v>
      </c>
      <c r="J1022" s="23" t="s">
        <v>247</v>
      </c>
    </row>
    <row r="1023" spans="1:10" x14ac:dyDescent="0.2">
      <c r="A1023" s="21" t="s">
        <v>14</v>
      </c>
      <c r="B1023" s="22">
        <v>36938</v>
      </c>
      <c r="C1023" s="21" t="s">
        <v>21</v>
      </c>
      <c r="D1023" s="21" t="s">
        <v>2531</v>
      </c>
      <c r="E1023" s="21" t="s">
        <v>2532</v>
      </c>
      <c r="F1023" s="10">
        <v>2</v>
      </c>
      <c r="G1023" s="10">
        <v>2001</v>
      </c>
      <c r="H1023" s="21" t="s">
        <v>2529</v>
      </c>
      <c r="I1023" s="21" t="s">
        <v>2533</v>
      </c>
      <c r="J1023" s="21" t="s">
        <v>247</v>
      </c>
    </row>
    <row r="1024" spans="1:10" x14ac:dyDescent="0.2">
      <c r="A1024" s="23" t="s">
        <v>14</v>
      </c>
      <c r="B1024" s="24">
        <v>36927</v>
      </c>
      <c r="C1024" s="23" t="s">
        <v>21</v>
      </c>
      <c r="D1024" s="23" t="s">
        <v>2534</v>
      </c>
      <c r="E1024" s="23" t="s">
        <v>2535</v>
      </c>
      <c r="F1024" s="10">
        <v>2</v>
      </c>
      <c r="G1024" s="10">
        <v>2001</v>
      </c>
      <c r="H1024" s="23" t="s">
        <v>2529</v>
      </c>
      <c r="I1024" s="23" t="s">
        <v>1997</v>
      </c>
      <c r="J1024" s="23" t="s">
        <v>247</v>
      </c>
    </row>
    <row r="1025" spans="1:10" x14ac:dyDescent="0.2">
      <c r="A1025" s="21" t="s">
        <v>14</v>
      </c>
      <c r="B1025" s="22">
        <v>36917</v>
      </c>
      <c r="C1025" s="21" t="s">
        <v>21</v>
      </c>
      <c r="D1025" s="21" t="s">
        <v>2536</v>
      </c>
      <c r="E1025" s="21" t="s">
        <v>2537</v>
      </c>
      <c r="F1025" s="10">
        <v>1</v>
      </c>
      <c r="G1025" s="10">
        <v>2001</v>
      </c>
      <c r="H1025" s="21" t="s">
        <v>2538</v>
      </c>
      <c r="I1025" s="21" t="s">
        <v>2539</v>
      </c>
      <c r="J1025" s="21" t="s">
        <v>247</v>
      </c>
    </row>
    <row r="1026" spans="1:10" x14ac:dyDescent="0.2">
      <c r="A1026" s="23" t="s">
        <v>14</v>
      </c>
      <c r="B1026" s="24">
        <v>36910</v>
      </c>
      <c r="C1026" s="23" t="s">
        <v>15</v>
      </c>
      <c r="D1026" s="23" t="s">
        <v>2540</v>
      </c>
      <c r="E1026" s="23" t="s">
        <v>2541</v>
      </c>
      <c r="F1026" s="10">
        <v>1</v>
      </c>
      <c r="G1026" s="10">
        <v>2001</v>
      </c>
      <c r="H1026" s="23" t="s">
        <v>2538</v>
      </c>
      <c r="I1026" s="23" t="s">
        <v>2542</v>
      </c>
      <c r="J1026" s="23" t="s">
        <v>247</v>
      </c>
    </row>
    <row r="1027" spans="1:10" x14ac:dyDescent="0.2">
      <c r="A1027" s="21" t="s">
        <v>14</v>
      </c>
      <c r="B1027" s="22">
        <v>36882</v>
      </c>
      <c r="C1027" s="21" t="s">
        <v>21</v>
      </c>
      <c r="D1027" s="21" t="s">
        <v>2543</v>
      </c>
      <c r="E1027" s="21" t="s">
        <v>2544</v>
      </c>
      <c r="F1027" s="10">
        <v>12</v>
      </c>
      <c r="G1027" s="10">
        <v>2000</v>
      </c>
      <c r="H1027" s="21" t="s">
        <v>2545</v>
      </c>
      <c r="I1027" s="21" t="s">
        <v>2546</v>
      </c>
      <c r="J1027" s="21" t="s">
        <v>247</v>
      </c>
    </row>
    <row r="1028" spans="1:10" x14ac:dyDescent="0.2">
      <c r="A1028" s="23" t="s">
        <v>14</v>
      </c>
      <c r="B1028" s="24">
        <v>36875</v>
      </c>
      <c r="C1028" s="23" t="s">
        <v>21</v>
      </c>
      <c r="D1028" s="23" t="s">
        <v>2547</v>
      </c>
      <c r="E1028" s="23" t="s">
        <v>2548</v>
      </c>
      <c r="F1028" s="10">
        <v>12</v>
      </c>
      <c r="G1028" s="10">
        <v>2000</v>
      </c>
      <c r="H1028" s="23" t="s">
        <v>2545</v>
      </c>
      <c r="I1028" s="23" t="s">
        <v>2549</v>
      </c>
      <c r="J1028" s="23" t="s">
        <v>247</v>
      </c>
    </row>
    <row r="1029" spans="1:10" x14ac:dyDescent="0.2">
      <c r="A1029" s="21" t="s">
        <v>14</v>
      </c>
      <c r="B1029" s="22">
        <v>36868</v>
      </c>
      <c r="C1029" s="21" t="s">
        <v>15</v>
      </c>
      <c r="D1029" s="21" t="s">
        <v>2550</v>
      </c>
      <c r="E1029" s="21" t="s">
        <v>2551</v>
      </c>
      <c r="F1029" s="10">
        <v>12</v>
      </c>
      <c r="G1029" s="10">
        <v>2000</v>
      </c>
      <c r="H1029" s="21" t="s">
        <v>2545</v>
      </c>
      <c r="I1029" s="21" t="s">
        <v>2552</v>
      </c>
      <c r="J1029" s="21" t="s">
        <v>247</v>
      </c>
    </row>
    <row r="1030" spans="1:10" x14ac:dyDescent="0.2">
      <c r="A1030" s="23" t="s">
        <v>14</v>
      </c>
      <c r="B1030" s="24">
        <v>36797</v>
      </c>
      <c r="C1030" s="23" t="s">
        <v>21</v>
      </c>
      <c r="D1030" s="23" t="s">
        <v>2553</v>
      </c>
      <c r="E1030" s="23" t="s">
        <v>2554</v>
      </c>
      <c r="F1030" s="10">
        <v>9</v>
      </c>
      <c r="G1030" s="10">
        <v>2000</v>
      </c>
      <c r="H1030" s="23" t="s">
        <v>2555</v>
      </c>
      <c r="I1030" s="23" t="s">
        <v>2556</v>
      </c>
      <c r="J1030" s="23" t="s">
        <v>247</v>
      </c>
    </row>
    <row r="1031" spans="1:10" x14ac:dyDescent="0.2">
      <c r="A1031" s="21" t="s">
        <v>14</v>
      </c>
      <c r="B1031" s="22">
        <v>36794</v>
      </c>
      <c r="C1031" s="21" t="s">
        <v>21</v>
      </c>
      <c r="D1031" s="21" t="s">
        <v>2557</v>
      </c>
      <c r="E1031" s="21" t="s">
        <v>2558</v>
      </c>
      <c r="F1031" s="10">
        <v>9</v>
      </c>
      <c r="G1031" s="10">
        <v>2000</v>
      </c>
      <c r="H1031" s="21" t="s">
        <v>2555</v>
      </c>
      <c r="I1031" s="21" t="s">
        <v>2559</v>
      </c>
      <c r="J1031" s="21" t="s">
        <v>247</v>
      </c>
    </row>
    <row r="1032" spans="1:10" x14ac:dyDescent="0.2">
      <c r="A1032" s="23" t="s">
        <v>14</v>
      </c>
      <c r="B1032" s="24">
        <v>36784</v>
      </c>
      <c r="C1032" s="23" t="s">
        <v>21</v>
      </c>
      <c r="D1032" s="23" t="s">
        <v>2560</v>
      </c>
      <c r="E1032" s="23" t="s">
        <v>2561</v>
      </c>
      <c r="F1032" s="10">
        <v>9</v>
      </c>
      <c r="G1032" s="10">
        <v>2000</v>
      </c>
      <c r="H1032" s="23" t="s">
        <v>2555</v>
      </c>
      <c r="I1032" s="23" t="s">
        <v>2562</v>
      </c>
      <c r="J1032" s="23" t="s">
        <v>247</v>
      </c>
    </row>
    <row r="1033" spans="1:10" x14ac:dyDescent="0.2">
      <c r="A1033" s="21" t="s">
        <v>14</v>
      </c>
      <c r="B1033" s="22">
        <v>36749</v>
      </c>
      <c r="C1033" s="21" t="s">
        <v>21</v>
      </c>
      <c r="D1033" s="21" t="s">
        <v>2563</v>
      </c>
      <c r="E1033" s="21" t="s">
        <v>2564</v>
      </c>
      <c r="F1033" s="10">
        <v>8</v>
      </c>
      <c r="G1033" s="10">
        <v>2000</v>
      </c>
      <c r="H1033" s="21" t="s">
        <v>2565</v>
      </c>
      <c r="I1033" s="21" t="s">
        <v>2566</v>
      </c>
      <c r="J1033" s="21" t="s">
        <v>247</v>
      </c>
    </row>
    <row r="1034" spans="1:10" x14ac:dyDescent="0.2">
      <c r="A1034" s="23" t="s">
        <v>14</v>
      </c>
      <c r="B1034" s="24">
        <v>36741</v>
      </c>
      <c r="C1034" s="23" t="s">
        <v>21</v>
      </c>
      <c r="D1034" s="23" t="s">
        <v>2567</v>
      </c>
      <c r="E1034" s="23" t="s">
        <v>2568</v>
      </c>
      <c r="F1034" s="10">
        <v>8</v>
      </c>
      <c r="G1034" s="10">
        <v>2000</v>
      </c>
      <c r="H1034" s="23" t="s">
        <v>2565</v>
      </c>
      <c r="I1034" s="23" t="s">
        <v>2569</v>
      </c>
      <c r="J1034" s="23" t="s">
        <v>247</v>
      </c>
    </row>
    <row r="1035" spans="1:10" x14ac:dyDescent="0.2">
      <c r="A1035" s="21" t="s">
        <v>14</v>
      </c>
      <c r="B1035" s="22">
        <v>36732</v>
      </c>
      <c r="C1035" s="21" t="s">
        <v>21</v>
      </c>
      <c r="D1035" s="21" t="s">
        <v>2570</v>
      </c>
      <c r="E1035" s="21" t="s">
        <v>2571</v>
      </c>
      <c r="F1035" s="10">
        <v>7</v>
      </c>
      <c r="G1035" s="10">
        <v>2000</v>
      </c>
      <c r="H1035" s="21" t="s">
        <v>2572</v>
      </c>
      <c r="I1035" s="21" t="s">
        <v>2573</v>
      </c>
      <c r="J1035" s="21" t="s">
        <v>247</v>
      </c>
    </row>
    <row r="1036" spans="1:10" x14ac:dyDescent="0.2">
      <c r="A1036" s="23" t="s">
        <v>14</v>
      </c>
      <c r="B1036" s="24">
        <v>36725</v>
      </c>
      <c r="C1036" s="23" t="s">
        <v>21</v>
      </c>
      <c r="D1036" s="23" t="s">
        <v>2574</v>
      </c>
      <c r="E1036" s="23" t="s">
        <v>2575</v>
      </c>
      <c r="F1036" s="10">
        <v>7</v>
      </c>
      <c r="G1036" s="10">
        <v>2000</v>
      </c>
      <c r="H1036" s="23" t="s">
        <v>2572</v>
      </c>
      <c r="I1036" s="23" t="s">
        <v>2576</v>
      </c>
      <c r="J1036" s="23" t="s">
        <v>247</v>
      </c>
    </row>
    <row r="1037" spans="1:10" x14ac:dyDescent="0.2">
      <c r="A1037" s="21" t="s">
        <v>14</v>
      </c>
      <c r="B1037" s="22">
        <v>36721</v>
      </c>
      <c r="C1037" s="21" t="s">
        <v>21</v>
      </c>
      <c r="D1037" s="21" t="s">
        <v>2577</v>
      </c>
      <c r="E1037" s="21" t="s">
        <v>2578</v>
      </c>
      <c r="F1037" s="10">
        <v>7</v>
      </c>
      <c r="G1037" s="10">
        <v>2000</v>
      </c>
      <c r="H1037" s="21" t="s">
        <v>2572</v>
      </c>
      <c r="I1037" s="21" t="s">
        <v>2579</v>
      </c>
      <c r="J1037" s="21" t="s">
        <v>247</v>
      </c>
    </row>
    <row r="1038" spans="1:10" x14ac:dyDescent="0.2">
      <c r="A1038" s="23" t="s">
        <v>14</v>
      </c>
      <c r="B1038" s="24">
        <v>36707</v>
      </c>
      <c r="C1038" s="23" t="s">
        <v>21</v>
      </c>
      <c r="D1038" s="23" t="s">
        <v>2580</v>
      </c>
      <c r="E1038" s="23" t="s">
        <v>2581</v>
      </c>
      <c r="F1038" s="10">
        <v>6</v>
      </c>
      <c r="G1038" s="10">
        <v>2000</v>
      </c>
      <c r="H1038" s="23" t="s">
        <v>2582</v>
      </c>
      <c r="I1038" s="23" t="s">
        <v>2583</v>
      </c>
      <c r="J1038" s="23" t="s">
        <v>247</v>
      </c>
    </row>
    <row r="1039" spans="1:10" x14ac:dyDescent="0.2">
      <c r="A1039" s="21" t="s">
        <v>14</v>
      </c>
      <c r="B1039" s="22">
        <v>36692</v>
      </c>
      <c r="C1039" s="21" t="s">
        <v>21</v>
      </c>
      <c r="D1039" s="21" t="s">
        <v>2584</v>
      </c>
      <c r="E1039" s="21" t="s">
        <v>2585</v>
      </c>
      <c r="F1039" s="10">
        <v>6</v>
      </c>
      <c r="G1039" s="10">
        <v>2000</v>
      </c>
      <c r="H1039" s="21" t="s">
        <v>2582</v>
      </c>
      <c r="I1039" s="21" t="s">
        <v>2586</v>
      </c>
      <c r="J1039" s="21" t="s">
        <v>247</v>
      </c>
    </row>
    <row r="1040" spans="1:10" x14ac:dyDescent="0.2">
      <c r="A1040" s="23" t="s">
        <v>14</v>
      </c>
      <c r="B1040" s="24">
        <v>36684</v>
      </c>
      <c r="C1040" s="23" t="s">
        <v>15</v>
      </c>
      <c r="D1040" s="23" t="s">
        <v>2587</v>
      </c>
      <c r="E1040" s="23" t="s">
        <v>2588</v>
      </c>
      <c r="F1040" s="10">
        <v>6</v>
      </c>
      <c r="G1040" s="10">
        <v>2000</v>
      </c>
      <c r="H1040" s="23" t="s">
        <v>2582</v>
      </c>
      <c r="I1040" s="23" t="s">
        <v>2589</v>
      </c>
      <c r="J1040" s="23" t="s">
        <v>247</v>
      </c>
    </row>
    <row r="1041" spans="1:10" x14ac:dyDescent="0.2">
      <c r="A1041" s="21" t="s">
        <v>14</v>
      </c>
      <c r="B1041" s="22">
        <v>36679</v>
      </c>
      <c r="C1041" s="21" t="s">
        <v>15</v>
      </c>
      <c r="D1041" s="21" t="s">
        <v>2590</v>
      </c>
      <c r="E1041" s="21" t="s">
        <v>2591</v>
      </c>
      <c r="F1041" s="10">
        <v>6</v>
      </c>
      <c r="G1041" s="10">
        <v>2000</v>
      </c>
      <c r="H1041" s="21" t="s">
        <v>2582</v>
      </c>
      <c r="I1041" s="21" t="s">
        <v>2592</v>
      </c>
      <c r="J1041" s="21" t="s">
        <v>247</v>
      </c>
    </row>
    <row r="1042" spans="1:10" x14ac:dyDescent="0.2">
      <c r="A1042" s="23" t="s">
        <v>14</v>
      </c>
      <c r="B1042" s="24">
        <v>36672</v>
      </c>
      <c r="C1042" s="23" t="s">
        <v>21</v>
      </c>
      <c r="D1042" s="23" t="s">
        <v>2593</v>
      </c>
      <c r="E1042" s="23" t="s">
        <v>2594</v>
      </c>
      <c r="F1042" s="10">
        <v>5</v>
      </c>
      <c r="G1042" s="10">
        <v>2000</v>
      </c>
      <c r="H1042" s="23" t="s">
        <v>2595</v>
      </c>
      <c r="I1042" s="23" t="s">
        <v>2596</v>
      </c>
      <c r="J1042" s="23" t="s">
        <v>247</v>
      </c>
    </row>
    <row r="1043" spans="1:10" x14ac:dyDescent="0.2">
      <c r="A1043" s="21" t="s">
        <v>14</v>
      </c>
      <c r="B1043" s="22">
        <v>36663</v>
      </c>
      <c r="C1043" s="21" t="s">
        <v>21</v>
      </c>
      <c r="D1043" s="21" t="s">
        <v>2597</v>
      </c>
      <c r="E1043" s="21" t="s">
        <v>2598</v>
      </c>
      <c r="F1043" s="10">
        <v>5</v>
      </c>
      <c r="G1043" s="10">
        <v>2000</v>
      </c>
      <c r="H1043" s="21" t="s">
        <v>2595</v>
      </c>
      <c r="I1043" s="21" t="s">
        <v>2599</v>
      </c>
      <c r="J1043" s="21" t="s">
        <v>247</v>
      </c>
    </row>
    <row r="1044" spans="1:10" x14ac:dyDescent="0.2">
      <c r="A1044" s="23" t="s">
        <v>14</v>
      </c>
      <c r="B1044" s="24">
        <v>36637</v>
      </c>
      <c r="C1044" s="23" t="s">
        <v>21</v>
      </c>
      <c r="D1044" s="23" t="s">
        <v>2600</v>
      </c>
      <c r="E1044" s="23" t="s">
        <v>2601</v>
      </c>
      <c r="F1044" s="10">
        <v>4</v>
      </c>
      <c r="G1044" s="10">
        <v>2000</v>
      </c>
      <c r="H1044" s="23" t="s">
        <v>2602</v>
      </c>
      <c r="I1044" s="23" t="s">
        <v>2603</v>
      </c>
      <c r="J1044" s="23" t="s">
        <v>247</v>
      </c>
    </row>
    <row r="1045" spans="1:10" x14ac:dyDescent="0.2">
      <c r="A1045" s="21" t="s">
        <v>14</v>
      </c>
      <c r="B1045" s="22">
        <v>36636</v>
      </c>
      <c r="C1045" s="21" t="s">
        <v>15</v>
      </c>
      <c r="D1045" s="21" t="s">
        <v>2604</v>
      </c>
      <c r="E1045" s="21" t="s">
        <v>2605</v>
      </c>
      <c r="F1045" s="10">
        <v>4</v>
      </c>
      <c r="G1045" s="10">
        <v>2000</v>
      </c>
      <c r="H1045" s="21" t="s">
        <v>2602</v>
      </c>
      <c r="I1045" s="21" t="s">
        <v>2606</v>
      </c>
      <c r="J1045" s="21" t="s">
        <v>247</v>
      </c>
    </row>
    <row r="1046" spans="1:10" x14ac:dyDescent="0.2">
      <c r="A1046" s="23" t="s">
        <v>14</v>
      </c>
      <c r="B1046" s="24">
        <v>36634</v>
      </c>
      <c r="C1046" s="23" t="s">
        <v>21</v>
      </c>
      <c r="D1046" s="23" t="s">
        <v>2607</v>
      </c>
      <c r="E1046" s="23" t="s">
        <v>2608</v>
      </c>
      <c r="F1046" s="10">
        <v>4</v>
      </c>
      <c r="G1046" s="10">
        <v>2000</v>
      </c>
      <c r="H1046" s="23" t="s">
        <v>2602</v>
      </c>
      <c r="I1046" s="23" t="s">
        <v>2609</v>
      </c>
      <c r="J1046" s="23" t="s">
        <v>247</v>
      </c>
    </row>
    <row r="1047" spans="1:10" x14ac:dyDescent="0.2">
      <c r="A1047" s="21" t="s">
        <v>14</v>
      </c>
      <c r="B1047" s="22">
        <v>36629</v>
      </c>
      <c r="C1047" s="21" t="s">
        <v>21</v>
      </c>
      <c r="D1047" s="21" t="s">
        <v>2610</v>
      </c>
      <c r="E1047" s="21" t="s">
        <v>2611</v>
      </c>
      <c r="F1047" s="10">
        <v>4</v>
      </c>
      <c r="G1047" s="10">
        <v>2000</v>
      </c>
      <c r="H1047" s="21" t="s">
        <v>2602</v>
      </c>
      <c r="I1047" s="21" t="s">
        <v>2612</v>
      </c>
      <c r="J1047" s="21" t="s">
        <v>247</v>
      </c>
    </row>
    <row r="1048" spans="1:10" x14ac:dyDescent="0.2">
      <c r="A1048" s="23" t="s">
        <v>14</v>
      </c>
      <c r="B1048" s="24">
        <v>36628</v>
      </c>
      <c r="C1048" s="23" t="s">
        <v>21</v>
      </c>
      <c r="D1048" s="23" t="s">
        <v>2613</v>
      </c>
      <c r="E1048" s="23" t="s">
        <v>2614</v>
      </c>
      <c r="F1048" s="10">
        <v>4</v>
      </c>
      <c r="G1048" s="10">
        <v>2000</v>
      </c>
      <c r="H1048" s="23" t="s">
        <v>2602</v>
      </c>
      <c r="I1048" s="23" t="s">
        <v>2615</v>
      </c>
      <c r="J1048" s="23" t="s">
        <v>247</v>
      </c>
    </row>
    <row r="1049" spans="1:10" x14ac:dyDescent="0.2">
      <c r="A1049" s="21" t="s">
        <v>14</v>
      </c>
      <c r="B1049" s="22">
        <v>36619</v>
      </c>
      <c r="C1049" s="21" t="s">
        <v>21</v>
      </c>
      <c r="D1049" s="21" t="s">
        <v>2616</v>
      </c>
      <c r="E1049" s="21" t="s">
        <v>2617</v>
      </c>
      <c r="F1049" s="10">
        <v>4</v>
      </c>
      <c r="G1049" s="10">
        <v>2000</v>
      </c>
      <c r="H1049" s="21" t="s">
        <v>2602</v>
      </c>
      <c r="I1049" s="21" t="s">
        <v>2618</v>
      </c>
      <c r="J1049" s="21" t="s">
        <v>247</v>
      </c>
    </row>
    <row r="1050" spans="1:10" x14ac:dyDescent="0.2">
      <c r="A1050" s="23" t="s">
        <v>14</v>
      </c>
      <c r="B1050" s="24">
        <v>36612</v>
      </c>
      <c r="C1050" s="23" t="s">
        <v>21</v>
      </c>
      <c r="D1050" s="23" t="s">
        <v>2619</v>
      </c>
      <c r="E1050" s="23" t="s">
        <v>2620</v>
      </c>
      <c r="F1050" s="10">
        <v>3</v>
      </c>
      <c r="G1050" s="10">
        <v>2000</v>
      </c>
      <c r="H1050" s="23" t="s">
        <v>2621</v>
      </c>
      <c r="I1050" s="23" t="s">
        <v>2622</v>
      </c>
      <c r="J1050" s="23" t="s">
        <v>247</v>
      </c>
    </row>
    <row r="1051" spans="1:10" x14ac:dyDescent="0.2">
      <c r="A1051" s="21" t="s">
        <v>14</v>
      </c>
      <c r="B1051" s="22">
        <v>36573</v>
      </c>
      <c r="C1051" s="21" t="s">
        <v>21</v>
      </c>
      <c r="D1051" s="21" t="s">
        <v>2623</v>
      </c>
      <c r="E1051" s="21" t="s">
        <v>2624</v>
      </c>
      <c r="F1051" s="10">
        <v>2</v>
      </c>
      <c r="G1051" s="10">
        <v>2000</v>
      </c>
      <c r="H1051" s="21" t="s">
        <v>2625</v>
      </c>
      <c r="I1051" s="21" t="s">
        <v>2626</v>
      </c>
      <c r="J1051" s="21" t="s">
        <v>247</v>
      </c>
    </row>
    <row r="1052" spans="1:10" x14ac:dyDescent="0.2">
      <c r="A1052" s="23" t="s">
        <v>14</v>
      </c>
      <c r="B1052" s="24">
        <v>36565</v>
      </c>
      <c r="C1052" s="23" t="s">
        <v>21</v>
      </c>
      <c r="D1052" s="23" t="s">
        <v>2627</v>
      </c>
      <c r="E1052" s="23" t="s">
        <v>2628</v>
      </c>
      <c r="F1052" s="10">
        <v>2</v>
      </c>
      <c r="G1052" s="10">
        <v>2000</v>
      </c>
      <c r="H1052" s="23" t="s">
        <v>2625</v>
      </c>
      <c r="I1052" s="23" t="s">
        <v>2629</v>
      </c>
      <c r="J1052" s="23" t="s">
        <v>247</v>
      </c>
    </row>
    <row r="1053" spans="1:10" x14ac:dyDescent="0.2">
      <c r="A1053" s="21" t="s">
        <v>14</v>
      </c>
      <c r="B1053" s="22">
        <v>36558</v>
      </c>
      <c r="C1053" s="21" t="s">
        <v>21</v>
      </c>
      <c r="D1053" s="21" t="s">
        <v>2630</v>
      </c>
      <c r="E1053" s="21" t="s">
        <v>2631</v>
      </c>
      <c r="F1053" s="10">
        <v>2</v>
      </c>
      <c r="G1053" s="10">
        <v>2000</v>
      </c>
      <c r="H1053" s="21" t="s">
        <v>2625</v>
      </c>
      <c r="I1053" s="21" t="s">
        <v>2632</v>
      </c>
      <c r="J1053" s="21" t="s">
        <v>247</v>
      </c>
    </row>
    <row r="1054" spans="1:10" x14ac:dyDescent="0.2">
      <c r="A1054" s="23" t="s">
        <v>14</v>
      </c>
      <c r="B1054" s="24">
        <v>36539</v>
      </c>
      <c r="C1054" s="23" t="s">
        <v>21</v>
      </c>
      <c r="D1054" s="23" t="s">
        <v>2633</v>
      </c>
      <c r="E1054" s="23" t="s">
        <v>2634</v>
      </c>
      <c r="F1054" s="10">
        <v>1</v>
      </c>
      <c r="G1054" s="10">
        <v>2000</v>
      </c>
      <c r="H1054" s="23" t="s">
        <v>2635</v>
      </c>
      <c r="I1054" s="23" t="s">
        <v>2636</v>
      </c>
      <c r="J1054" s="23" t="s">
        <v>247</v>
      </c>
    </row>
    <row r="1055" spans="1:10" x14ac:dyDescent="0.2">
      <c r="A1055" s="21" t="s">
        <v>14</v>
      </c>
      <c r="B1055" s="22">
        <v>36536</v>
      </c>
      <c r="C1055" s="21" t="s">
        <v>21</v>
      </c>
      <c r="D1055" s="21" t="s">
        <v>2637</v>
      </c>
      <c r="E1055" s="21" t="s">
        <v>2638</v>
      </c>
      <c r="F1055" s="10">
        <v>1</v>
      </c>
      <c r="G1055" s="10">
        <v>2000</v>
      </c>
      <c r="H1055" s="21" t="s">
        <v>2635</v>
      </c>
      <c r="I1055" s="21" t="s">
        <v>2639</v>
      </c>
      <c r="J1055" s="21" t="s">
        <v>247</v>
      </c>
    </row>
    <row r="1056" spans="1:10" x14ac:dyDescent="0.2">
      <c r="A1056" s="23" t="s">
        <v>14</v>
      </c>
      <c r="B1056" s="24">
        <v>36523</v>
      </c>
      <c r="C1056" s="23" t="s">
        <v>21</v>
      </c>
      <c r="D1056" s="23" t="s">
        <v>2640</v>
      </c>
      <c r="E1056" s="23" t="s">
        <v>2641</v>
      </c>
      <c r="F1056" s="10">
        <v>12</v>
      </c>
      <c r="G1056" s="10">
        <v>1999</v>
      </c>
      <c r="H1056" s="23" t="s">
        <v>2642</v>
      </c>
      <c r="I1056" s="23" t="s">
        <v>2643</v>
      </c>
      <c r="J1056" s="23" t="s">
        <v>247</v>
      </c>
    </row>
    <row r="1057" spans="1:10" x14ac:dyDescent="0.2">
      <c r="A1057" s="21" t="s">
        <v>14</v>
      </c>
      <c r="B1057" s="22">
        <v>36517</v>
      </c>
      <c r="C1057" s="21" t="s">
        <v>21</v>
      </c>
      <c r="D1057" s="21" t="s">
        <v>2644</v>
      </c>
      <c r="E1057" s="21" t="s">
        <v>2645</v>
      </c>
      <c r="F1057" s="10">
        <v>12</v>
      </c>
      <c r="G1057" s="10">
        <v>1999</v>
      </c>
      <c r="H1057" s="21" t="s">
        <v>2642</v>
      </c>
      <c r="I1057" s="21" t="s">
        <v>2646</v>
      </c>
      <c r="J1057" s="21" t="s">
        <v>247</v>
      </c>
    </row>
    <row r="1058" spans="1:10" x14ac:dyDescent="0.2">
      <c r="A1058" s="23" t="s">
        <v>14</v>
      </c>
      <c r="B1058" s="24">
        <v>36511</v>
      </c>
      <c r="C1058" s="23" t="s">
        <v>21</v>
      </c>
      <c r="D1058" s="23" t="s">
        <v>2647</v>
      </c>
      <c r="E1058" s="23" t="s">
        <v>2648</v>
      </c>
      <c r="F1058" s="10">
        <v>12</v>
      </c>
      <c r="G1058" s="10">
        <v>1999</v>
      </c>
      <c r="H1058" s="23" t="s">
        <v>2642</v>
      </c>
      <c r="I1058" s="23" t="s">
        <v>2649</v>
      </c>
      <c r="J1058" s="23" t="s">
        <v>247</v>
      </c>
    </row>
    <row r="1059" spans="1:10" x14ac:dyDescent="0.2">
      <c r="A1059" s="21" t="s">
        <v>14</v>
      </c>
      <c r="B1059" s="22">
        <v>36511</v>
      </c>
      <c r="C1059" s="21" t="s">
        <v>21</v>
      </c>
      <c r="D1059" s="21" t="s">
        <v>2650</v>
      </c>
      <c r="E1059" s="21" t="s">
        <v>2651</v>
      </c>
      <c r="F1059" s="10">
        <v>12</v>
      </c>
      <c r="G1059" s="10">
        <v>1999</v>
      </c>
      <c r="H1059" s="21" t="s">
        <v>2642</v>
      </c>
      <c r="I1059" s="21" t="s">
        <v>2652</v>
      </c>
      <c r="J1059" s="21" t="s">
        <v>247</v>
      </c>
    </row>
    <row r="1060" spans="1:10" x14ac:dyDescent="0.2">
      <c r="A1060" s="23" t="s">
        <v>14</v>
      </c>
      <c r="B1060" s="24">
        <v>36504</v>
      </c>
      <c r="C1060" s="23" t="s">
        <v>21</v>
      </c>
      <c r="D1060" s="23" t="s">
        <v>2653</v>
      </c>
      <c r="E1060" s="23" t="s">
        <v>2654</v>
      </c>
      <c r="F1060" s="10">
        <v>12</v>
      </c>
      <c r="G1060" s="10">
        <v>1999</v>
      </c>
      <c r="H1060" s="23" t="s">
        <v>2642</v>
      </c>
      <c r="I1060" s="23" t="s">
        <v>2655</v>
      </c>
      <c r="J1060" s="23" t="s">
        <v>247</v>
      </c>
    </row>
    <row r="1061" spans="1:10" x14ac:dyDescent="0.2">
      <c r="A1061" s="21" t="s">
        <v>14</v>
      </c>
      <c r="B1061" s="22">
        <v>36504</v>
      </c>
      <c r="C1061" s="21" t="s">
        <v>21</v>
      </c>
      <c r="D1061" s="21" t="s">
        <v>2656</v>
      </c>
      <c r="E1061" s="21" t="s">
        <v>2657</v>
      </c>
      <c r="F1061" s="10">
        <v>12</v>
      </c>
      <c r="G1061" s="10">
        <v>1999</v>
      </c>
      <c r="H1061" s="21" t="s">
        <v>2642</v>
      </c>
      <c r="I1061" s="21" t="s">
        <v>2658</v>
      </c>
      <c r="J1061" s="21" t="s">
        <v>247</v>
      </c>
    </row>
    <row r="1062" spans="1:10" x14ac:dyDescent="0.2">
      <c r="A1062" s="23" t="s">
        <v>14</v>
      </c>
      <c r="B1062" s="24">
        <v>36502</v>
      </c>
      <c r="C1062" s="23" t="s">
        <v>21</v>
      </c>
      <c r="D1062" s="23" t="s">
        <v>2659</v>
      </c>
      <c r="E1062" s="23" t="s">
        <v>2660</v>
      </c>
      <c r="F1062" s="10">
        <v>12</v>
      </c>
      <c r="G1062" s="10">
        <v>1999</v>
      </c>
      <c r="H1062" s="23" t="s">
        <v>2642</v>
      </c>
      <c r="I1062" s="23" t="s">
        <v>2661</v>
      </c>
      <c r="J1062" s="23" t="s">
        <v>247</v>
      </c>
    </row>
    <row r="1063" spans="1:10" x14ac:dyDescent="0.2">
      <c r="A1063" s="21" t="s">
        <v>14</v>
      </c>
      <c r="B1063" s="22">
        <v>36497</v>
      </c>
      <c r="C1063" s="21" t="s">
        <v>21</v>
      </c>
      <c r="D1063" s="21" t="s">
        <v>2662</v>
      </c>
      <c r="E1063" s="21" t="s">
        <v>2663</v>
      </c>
      <c r="F1063" s="10">
        <v>12</v>
      </c>
      <c r="G1063" s="10">
        <v>1999</v>
      </c>
      <c r="H1063" s="21" t="s">
        <v>2642</v>
      </c>
      <c r="I1063" s="21" t="s">
        <v>2664</v>
      </c>
      <c r="J1063" s="21" t="s">
        <v>247</v>
      </c>
    </row>
    <row r="1064" spans="1:10" x14ac:dyDescent="0.2">
      <c r="A1064" s="23" t="s">
        <v>14</v>
      </c>
      <c r="B1064" s="24">
        <v>36494</v>
      </c>
      <c r="C1064" s="23" t="s">
        <v>21</v>
      </c>
      <c r="D1064" s="23" t="s">
        <v>2665</v>
      </c>
      <c r="E1064" s="23" t="s">
        <v>2666</v>
      </c>
      <c r="F1064" s="10">
        <v>11</v>
      </c>
      <c r="G1064" s="10">
        <v>1999</v>
      </c>
      <c r="H1064" s="23" t="s">
        <v>2667</v>
      </c>
      <c r="I1064" s="23" t="s">
        <v>2668</v>
      </c>
      <c r="J1064" s="23" t="s">
        <v>247</v>
      </c>
    </row>
    <row r="1065" spans="1:10" x14ac:dyDescent="0.2">
      <c r="A1065" s="21" t="s">
        <v>14</v>
      </c>
      <c r="B1065" s="22">
        <v>36482</v>
      </c>
      <c r="C1065" s="21" t="s">
        <v>15</v>
      </c>
      <c r="D1065" s="21" t="s">
        <v>2669</v>
      </c>
      <c r="E1065" s="21" t="s">
        <v>2670</v>
      </c>
      <c r="F1065" s="10">
        <v>11</v>
      </c>
      <c r="G1065" s="10">
        <v>1999</v>
      </c>
      <c r="H1065" s="21" t="s">
        <v>2667</v>
      </c>
      <c r="I1065" s="21" t="s">
        <v>2671</v>
      </c>
      <c r="J1065" s="21" t="s">
        <v>247</v>
      </c>
    </row>
    <row r="1066" spans="1:10" x14ac:dyDescent="0.2">
      <c r="A1066" s="23" t="s">
        <v>14</v>
      </c>
      <c r="B1066" s="24">
        <v>36460</v>
      </c>
      <c r="C1066" s="23" t="s">
        <v>21</v>
      </c>
      <c r="D1066" s="23" t="s">
        <v>2672</v>
      </c>
      <c r="E1066" s="23" t="s">
        <v>2673</v>
      </c>
      <c r="F1066" s="10">
        <v>10</v>
      </c>
      <c r="G1066" s="10">
        <v>1999</v>
      </c>
      <c r="H1066" s="23" t="s">
        <v>2674</v>
      </c>
      <c r="I1066" s="23" t="s">
        <v>2675</v>
      </c>
      <c r="J1066" s="23" t="s">
        <v>247</v>
      </c>
    </row>
    <row r="1067" spans="1:10" x14ac:dyDescent="0.2">
      <c r="A1067" s="21" t="s">
        <v>14</v>
      </c>
      <c r="B1067" s="22">
        <v>36454</v>
      </c>
      <c r="C1067" s="21" t="s">
        <v>21</v>
      </c>
      <c r="D1067" s="21" t="s">
        <v>2676</v>
      </c>
      <c r="E1067" s="21" t="s">
        <v>2677</v>
      </c>
      <c r="F1067" s="10">
        <v>10</v>
      </c>
      <c r="G1067" s="10">
        <v>1999</v>
      </c>
      <c r="H1067" s="21" t="s">
        <v>2674</v>
      </c>
      <c r="I1067" s="21" t="s">
        <v>2678</v>
      </c>
      <c r="J1067" s="21" t="s">
        <v>247</v>
      </c>
    </row>
    <row r="1068" spans="1:10" x14ac:dyDescent="0.2">
      <c r="A1068" s="23" t="s">
        <v>14</v>
      </c>
      <c r="B1068" s="24">
        <v>36452</v>
      </c>
      <c r="C1068" s="23" t="s">
        <v>21</v>
      </c>
      <c r="D1068" s="23" t="s">
        <v>2679</v>
      </c>
      <c r="E1068" s="23" t="s">
        <v>2680</v>
      </c>
      <c r="F1068" s="10">
        <v>10</v>
      </c>
      <c r="G1068" s="10">
        <v>1999</v>
      </c>
      <c r="H1068" s="23" t="s">
        <v>2674</v>
      </c>
      <c r="I1068" s="23" t="s">
        <v>2681</v>
      </c>
      <c r="J1068" s="23" t="s">
        <v>247</v>
      </c>
    </row>
    <row r="1069" spans="1:10" x14ac:dyDescent="0.2">
      <c r="A1069" s="21" t="s">
        <v>14</v>
      </c>
      <c r="B1069" s="22">
        <v>36434</v>
      </c>
      <c r="C1069" s="21" t="s">
        <v>21</v>
      </c>
      <c r="D1069" s="21" t="s">
        <v>2682</v>
      </c>
      <c r="E1069" s="21" t="s">
        <v>2683</v>
      </c>
      <c r="F1069" s="10">
        <v>10</v>
      </c>
      <c r="G1069" s="10">
        <v>1999</v>
      </c>
      <c r="H1069" s="21" t="s">
        <v>2674</v>
      </c>
      <c r="I1069" s="21" t="s">
        <v>2684</v>
      </c>
      <c r="J1069" s="21" t="s">
        <v>247</v>
      </c>
    </row>
    <row r="1070" spans="1:10" x14ac:dyDescent="0.2">
      <c r="A1070" s="23" t="s">
        <v>14</v>
      </c>
      <c r="B1070" s="24">
        <v>36427</v>
      </c>
      <c r="C1070" s="23" t="s">
        <v>21</v>
      </c>
      <c r="D1070" s="23" t="s">
        <v>2685</v>
      </c>
      <c r="E1070" s="23" t="s">
        <v>2686</v>
      </c>
      <c r="F1070" s="10">
        <v>9</v>
      </c>
      <c r="G1070" s="10">
        <v>1999</v>
      </c>
      <c r="H1070" s="23" t="s">
        <v>2687</v>
      </c>
      <c r="I1070" s="23" t="s">
        <v>2688</v>
      </c>
      <c r="J1070" s="23" t="s">
        <v>247</v>
      </c>
    </row>
    <row r="1071" spans="1:10" x14ac:dyDescent="0.2">
      <c r="A1071" s="21" t="s">
        <v>14</v>
      </c>
      <c r="B1071" s="22">
        <v>36424</v>
      </c>
      <c r="C1071" s="21" t="s">
        <v>21</v>
      </c>
      <c r="D1071" s="21" t="s">
        <v>2689</v>
      </c>
      <c r="E1071" s="21" t="s">
        <v>2690</v>
      </c>
      <c r="F1071" s="10">
        <v>9</v>
      </c>
      <c r="G1071" s="10">
        <v>1999</v>
      </c>
      <c r="H1071" s="21" t="s">
        <v>2687</v>
      </c>
      <c r="I1071" s="21" t="s">
        <v>2691</v>
      </c>
      <c r="J1071" s="21" t="s">
        <v>247</v>
      </c>
    </row>
    <row r="1072" spans="1:10" x14ac:dyDescent="0.2">
      <c r="A1072" s="23" t="s">
        <v>14</v>
      </c>
      <c r="B1072" s="24">
        <v>36418</v>
      </c>
      <c r="C1072" s="23" t="s">
        <v>21</v>
      </c>
      <c r="D1072" s="23" t="s">
        <v>2692</v>
      </c>
      <c r="E1072" s="23" t="s">
        <v>2693</v>
      </c>
      <c r="F1072" s="10">
        <v>9</v>
      </c>
      <c r="G1072" s="10">
        <v>1999</v>
      </c>
      <c r="H1072" s="23" t="s">
        <v>2687</v>
      </c>
      <c r="I1072" s="23" t="s">
        <v>2694</v>
      </c>
      <c r="J1072" s="23" t="s">
        <v>247</v>
      </c>
    </row>
    <row r="1073" spans="1:10" x14ac:dyDescent="0.2">
      <c r="A1073" s="21" t="s">
        <v>14</v>
      </c>
      <c r="B1073" s="22">
        <v>36418</v>
      </c>
      <c r="C1073" s="21" t="s">
        <v>21</v>
      </c>
      <c r="D1073" s="21" t="s">
        <v>2695</v>
      </c>
      <c r="E1073" s="21" t="s">
        <v>2696</v>
      </c>
      <c r="F1073" s="10">
        <v>9</v>
      </c>
      <c r="G1073" s="10">
        <v>1999</v>
      </c>
      <c r="H1073" s="21" t="s">
        <v>2687</v>
      </c>
      <c r="I1073" s="21" t="s">
        <v>2697</v>
      </c>
      <c r="J1073" s="21" t="s">
        <v>247</v>
      </c>
    </row>
    <row r="1074" spans="1:10" x14ac:dyDescent="0.2">
      <c r="A1074" s="23" t="s">
        <v>14</v>
      </c>
      <c r="B1074" s="24">
        <v>36391</v>
      </c>
      <c r="C1074" s="23" t="s">
        <v>21</v>
      </c>
      <c r="D1074" s="23" t="s">
        <v>2698</v>
      </c>
      <c r="E1074" s="23" t="s">
        <v>2699</v>
      </c>
      <c r="F1074" s="10">
        <v>8</v>
      </c>
      <c r="G1074" s="10">
        <v>1999</v>
      </c>
      <c r="H1074" s="23" t="s">
        <v>2700</v>
      </c>
      <c r="I1074" s="23" t="s">
        <v>2701</v>
      </c>
      <c r="J1074" s="23" t="s">
        <v>247</v>
      </c>
    </row>
    <row r="1075" spans="1:10" x14ac:dyDescent="0.2">
      <c r="A1075" s="21" t="s">
        <v>14</v>
      </c>
      <c r="B1075" s="22">
        <v>36390</v>
      </c>
      <c r="C1075" s="21" t="s">
        <v>21</v>
      </c>
      <c r="D1075" s="21" t="s">
        <v>2702</v>
      </c>
      <c r="E1075" s="21" t="s">
        <v>2703</v>
      </c>
      <c r="F1075" s="10">
        <v>8</v>
      </c>
      <c r="G1075" s="10">
        <v>1999</v>
      </c>
      <c r="H1075" s="21" t="s">
        <v>2700</v>
      </c>
      <c r="I1075" s="21" t="s">
        <v>2704</v>
      </c>
      <c r="J1075" s="21" t="s">
        <v>247</v>
      </c>
    </row>
    <row r="1076" spans="1:10" x14ac:dyDescent="0.2">
      <c r="A1076" s="23" t="s">
        <v>14</v>
      </c>
      <c r="B1076" s="24">
        <v>36385</v>
      </c>
      <c r="C1076" s="23" t="s">
        <v>21</v>
      </c>
      <c r="D1076" s="23" t="s">
        <v>2705</v>
      </c>
      <c r="E1076" s="23" t="s">
        <v>2706</v>
      </c>
      <c r="F1076" s="10">
        <v>8</v>
      </c>
      <c r="G1076" s="10">
        <v>1999</v>
      </c>
      <c r="H1076" s="23" t="s">
        <v>2700</v>
      </c>
      <c r="I1076" s="23" t="s">
        <v>2707</v>
      </c>
      <c r="J1076" s="23" t="s">
        <v>247</v>
      </c>
    </row>
    <row r="1077" spans="1:10" x14ac:dyDescent="0.2">
      <c r="A1077" s="21" t="s">
        <v>14</v>
      </c>
      <c r="B1077" s="22">
        <v>36383</v>
      </c>
      <c r="C1077" s="21" t="s">
        <v>21</v>
      </c>
      <c r="D1077" s="21" t="s">
        <v>2708</v>
      </c>
      <c r="E1077" s="21" t="s">
        <v>2709</v>
      </c>
      <c r="F1077" s="10">
        <v>8</v>
      </c>
      <c r="G1077" s="10">
        <v>1999</v>
      </c>
      <c r="H1077" s="21" t="s">
        <v>2700</v>
      </c>
      <c r="I1077" s="21" t="s">
        <v>2710</v>
      </c>
      <c r="J1077" s="21" t="s">
        <v>247</v>
      </c>
    </row>
    <row r="1078" spans="1:10" x14ac:dyDescent="0.2">
      <c r="A1078" s="23" t="s">
        <v>14</v>
      </c>
      <c r="B1078" s="24">
        <v>36375</v>
      </c>
      <c r="C1078" s="23" t="s">
        <v>21</v>
      </c>
      <c r="D1078" s="23" t="s">
        <v>2711</v>
      </c>
      <c r="E1078" s="23" t="s">
        <v>2712</v>
      </c>
      <c r="F1078" s="10">
        <v>8</v>
      </c>
      <c r="G1078" s="10">
        <v>1999</v>
      </c>
      <c r="H1078" s="23" t="s">
        <v>2700</v>
      </c>
      <c r="I1078" s="23" t="s">
        <v>2713</v>
      </c>
      <c r="J1078" s="23" t="s">
        <v>247</v>
      </c>
    </row>
    <row r="1079" spans="1:10" x14ac:dyDescent="0.2">
      <c r="A1079" s="21" t="s">
        <v>14</v>
      </c>
      <c r="B1079" s="22">
        <v>36370</v>
      </c>
      <c r="C1079" s="21" t="s">
        <v>21</v>
      </c>
      <c r="D1079" s="21" t="s">
        <v>2714</v>
      </c>
      <c r="E1079" s="21" t="s">
        <v>2715</v>
      </c>
      <c r="F1079" s="10">
        <v>7</v>
      </c>
      <c r="G1079" s="10">
        <v>1999</v>
      </c>
      <c r="H1079" s="21" t="s">
        <v>2716</v>
      </c>
      <c r="I1079" s="21" t="s">
        <v>2717</v>
      </c>
      <c r="J1079" s="21" t="s">
        <v>247</v>
      </c>
    </row>
    <row r="1080" spans="1:10" x14ac:dyDescent="0.2">
      <c r="A1080" s="23" t="s">
        <v>14</v>
      </c>
      <c r="B1080" s="24">
        <v>36367</v>
      </c>
      <c r="C1080" s="23" t="s">
        <v>21</v>
      </c>
      <c r="D1080" s="23" t="s">
        <v>2718</v>
      </c>
      <c r="E1080" s="23" t="s">
        <v>2719</v>
      </c>
      <c r="F1080" s="10">
        <v>7</v>
      </c>
      <c r="G1080" s="10">
        <v>1999</v>
      </c>
      <c r="H1080" s="23" t="s">
        <v>2716</v>
      </c>
      <c r="I1080" s="23" t="s">
        <v>2720</v>
      </c>
      <c r="J1080" s="23" t="s">
        <v>247</v>
      </c>
    </row>
    <row r="1081" spans="1:10" x14ac:dyDescent="0.2">
      <c r="A1081" s="21" t="s">
        <v>14</v>
      </c>
      <c r="B1081" s="22">
        <v>36356</v>
      </c>
      <c r="C1081" s="21" t="s">
        <v>21</v>
      </c>
      <c r="D1081" s="21" t="s">
        <v>2721</v>
      </c>
      <c r="E1081" s="21" t="s">
        <v>2722</v>
      </c>
      <c r="F1081" s="10">
        <v>7</v>
      </c>
      <c r="G1081" s="10">
        <v>1999</v>
      </c>
      <c r="H1081" s="21" t="s">
        <v>2716</v>
      </c>
      <c r="I1081" s="21" t="s">
        <v>2723</v>
      </c>
      <c r="J1081" s="21" t="s">
        <v>247</v>
      </c>
    </row>
    <row r="1082" spans="1:10" x14ac:dyDescent="0.2">
      <c r="A1082" s="23" t="s">
        <v>14</v>
      </c>
      <c r="B1082" s="24">
        <v>36343</v>
      </c>
      <c r="C1082" s="23" t="s">
        <v>21</v>
      </c>
      <c r="D1082" s="23" t="s">
        <v>2724</v>
      </c>
      <c r="E1082" s="23" t="s">
        <v>2725</v>
      </c>
      <c r="F1082" s="10">
        <v>7</v>
      </c>
      <c r="G1082" s="10">
        <v>1999</v>
      </c>
      <c r="H1082" s="23" t="s">
        <v>2716</v>
      </c>
      <c r="I1082" s="23" t="s">
        <v>2688</v>
      </c>
      <c r="J1082" s="23" t="s">
        <v>247</v>
      </c>
    </row>
    <row r="1083" spans="1:10" x14ac:dyDescent="0.2">
      <c r="A1083" s="21" t="s">
        <v>14</v>
      </c>
      <c r="B1083" s="22">
        <v>36320</v>
      </c>
      <c r="C1083" s="21" t="s">
        <v>21</v>
      </c>
      <c r="D1083" s="21" t="s">
        <v>2726</v>
      </c>
      <c r="E1083" s="21" t="s">
        <v>2727</v>
      </c>
      <c r="F1083" s="10">
        <v>6</v>
      </c>
      <c r="G1083" s="10">
        <v>1999</v>
      </c>
      <c r="H1083" s="21" t="s">
        <v>2728</v>
      </c>
      <c r="I1083" s="21" t="s">
        <v>2729</v>
      </c>
      <c r="J1083" s="21" t="s">
        <v>247</v>
      </c>
    </row>
    <row r="1084" spans="1:10" x14ac:dyDescent="0.2">
      <c r="A1084" s="23" t="s">
        <v>14</v>
      </c>
      <c r="B1084" s="24">
        <v>36305</v>
      </c>
      <c r="C1084" s="23" t="s">
        <v>21</v>
      </c>
      <c r="D1084" s="23" t="s">
        <v>2730</v>
      </c>
      <c r="E1084" s="23" t="s">
        <v>2731</v>
      </c>
      <c r="F1084" s="10">
        <v>5</v>
      </c>
      <c r="G1084" s="10">
        <v>1999</v>
      </c>
      <c r="H1084" s="23" t="s">
        <v>2732</v>
      </c>
      <c r="I1084" s="23" t="s">
        <v>2733</v>
      </c>
      <c r="J1084" s="23" t="s">
        <v>247</v>
      </c>
    </row>
    <row r="1085" spans="1:10" x14ac:dyDescent="0.2">
      <c r="A1085" s="21" t="s">
        <v>14</v>
      </c>
      <c r="B1085" s="22">
        <v>36300</v>
      </c>
      <c r="C1085" s="21" t="s">
        <v>21</v>
      </c>
      <c r="D1085" s="21" t="s">
        <v>2734</v>
      </c>
      <c r="E1085" s="21" t="s">
        <v>2735</v>
      </c>
      <c r="F1085" s="10">
        <v>5</v>
      </c>
      <c r="G1085" s="10">
        <v>1999</v>
      </c>
      <c r="H1085" s="21" t="s">
        <v>2732</v>
      </c>
      <c r="I1085" s="21" t="s">
        <v>2736</v>
      </c>
      <c r="J1085" s="21" t="s">
        <v>247</v>
      </c>
    </row>
    <row r="1086" spans="1:10" x14ac:dyDescent="0.2">
      <c r="A1086" s="23" t="s">
        <v>14</v>
      </c>
      <c r="B1086" s="24">
        <v>36273</v>
      </c>
      <c r="C1086" s="23" t="s">
        <v>21</v>
      </c>
      <c r="D1086" s="23" t="s">
        <v>2737</v>
      </c>
      <c r="E1086" s="23" t="s">
        <v>2738</v>
      </c>
      <c r="F1086" s="10">
        <v>4</v>
      </c>
      <c r="G1086" s="10">
        <v>1999</v>
      </c>
      <c r="H1086" s="23" t="s">
        <v>2739</v>
      </c>
      <c r="I1086" s="23" t="s">
        <v>2740</v>
      </c>
      <c r="J1086" s="23" t="s">
        <v>247</v>
      </c>
    </row>
    <row r="1087" spans="1:10" x14ac:dyDescent="0.2">
      <c r="A1087" s="21" t="s">
        <v>14</v>
      </c>
      <c r="B1087" s="22">
        <v>36265</v>
      </c>
      <c r="C1087" s="21" t="s">
        <v>21</v>
      </c>
      <c r="D1087" s="21" t="s">
        <v>2741</v>
      </c>
      <c r="E1087" s="21" t="s">
        <v>2742</v>
      </c>
      <c r="F1087" s="10">
        <v>4</v>
      </c>
      <c r="G1087" s="10">
        <v>1999</v>
      </c>
      <c r="H1087" s="21" t="s">
        <v>2739</v>
      </c>
      <c r="I1087" s="21" t="s">
        <v>2743</v>
      </c>
      <c r="J1087" s="21" t="s">
        <v>247</v>
      </c>
    </row>
    <row r="1088" spans="1:10" x14ac:dyDescent="0.2">
      <c r="A1088" s="23" t="s">
        <v>14</v>
      </c>
      <c r="B1088" s="24">
        <v>36244</v>
      </c>
      <c r="C1088" s="23" t="s">
        <v>15</v>
      </c>
      <c r="D1088" s="23" t="s">
        <v>2744</v>
      </c>
      <c r="E1088" s="23" t="s">
        <v>2745</v>
      </c>
      <c r="F1088" s="10">
        <v>3</v>
      </c>
      <c r="G1088" s="10">
        <v>1999</v>
      </c>
      <c r="H1088" s="23" t="s">
        <v>2746</v>
      </c>
      <c r="I1088" s="23" t="s">
        <v>2747</v>
      </c>
      <c r="J1088" s="23" t="s">
        <v>247</v>
      </c>
    </row>
    <row r="1089" spans="1:10" x14ac:dyDescent="0.2">
      <c r="A1089" s="21" t="s">
        <v>14</v>
      </c>
      <c r="B1089" s="22">
        <v>36209</v>
      </c>
      <c r="C1089" s="21" t="s">
        <v>21</v>
      </c>
      <c r="D1089" s="21" t="s">
        <v>2748</v>
      </c>
      <c r="E1089" s="21" t="s">
        <v>2749</v>
      </c>
      <c r="F1089" s="10">
        <v>2</v>
      </c>
      <c r="G1089" s="10">
        <v>1999</v>
      </c>
      <c r="H1089" s="21" t="s">
        <v>2750</v>
      </c>
      <c r="I1089" s="21" t="s">
        <v>2751</v>
      </c>
      <c r="J1089" s="21" t="s">
        <v>247</v>
      </c>
    </row>
    <row r="1090" spans="1:10" x14ac:dyDescent="0.2">
      <c r="A1090" s="23" t="s">
        <v>14</v>
      </c>
      <c r="B1090" s="24">
        <v>36196</v>
      </c>
      <c r="C1090" s="23" t="s">
        <v>15</v>
      </c>
      <c r="D1090" s="23" t="s">
        <v>2752</v>
      </c>
      <c r="E1090" s="23" t="s">
        <v>2753</v>
      </c>
      <c r="F1090" s="10">
        <v>2</v>
      </c>
      <c r="G1090" s="10">
        <v>1999</v>
      </c>
      <c r="H1090" s="23" t="s">
        <v>2750</v>
      </c>
      <c r="I1090" s="23" t="s">
        <v>2754</v>
      </c>
      <c r="J1090" s="23" t="s">
        <v>247</v>
      </c>
    </row>
    <row r="1091" spans="1:10" x14ac:dyDescent="0.2">
      <c r="A1091" s="21" t="s">
        <v>14</v>
      </c>
      <c r="B1091" s="22">
        <v>36193</v>
      </c>
      <c r="C1091" s="21" t="s">
        <v>21</v>
      </c>
      <c r="D1091" s="21" t="s">
        <v>2755</v>
      </c>
      <c r="E1091" s="21" t="s">
        <v>2756</v>
      </c>
      <c r="F1091" s="10">
        <v>2</v>
      </c>
      <c r="G1091" s="10">
        <v>1999</v>
      </c>
      <c r="H1091" s="21" t="s">
        <v>2750</v>
      </c>
      <c r="I1091" s="21" t="s">
        <v>2757</v>
      </c>
      <c r="J1091" s="21" t="s">
        <v>247</v>
      </c>
    </row>
    <row r="1092" spans="1:10" x14ac:dyDescent="0.2">
      <c r="A1092" s="23" t="s">
        <v>14</v>
      </c>
      <c r="B1092" s="24">
        <v>36175</v>
      </c>
      <c r="C1092" s="23" t="s">
        <v>21</v>
      </c>
      <c r="D1092" s="23" t="s">
        <v>2758</v>
      </c>
      <c r="E1092" s="23" t="s">
        <v>2759</v>
      </c>
      <c r="F1092" s="10">
        <v>1</v>
      </c>
      <c r="G1092" s="10">
        <v>1999</v>
      </c>
      <c r="H1092" s="23" t="s">
        <v>2760</v>
      </c>
      <c r="I1092" s="23" t="s">
        <v>2761</v>
      </c>
      <c r="J1092" s="23" t="s">
        <v>247</v>
      </c>
    </row>
    <row r="1093" spans="1:10" x14ac:dyDescent="0.2">
      <c r="A1093" s="21" t="s">
        <v>14</v>
      </c>
      <c r="B1093" s="22">
        <v>36160</v>
      </c>
      <c r="C1093" s="21" t="s">
        <v>21</v>
      </c>
      <c r="D1093" s="21" t="s">
        <v>2762</v>
      </c>
      <c r="E1093" s="21" t="s">
        <v>2763</v>
      </c>
      <c r="F1093" s="10">
        <v>12</v>
      </c>
      <c r="G1093" s="10">
        <v>1998</v>
      </c>
      <c r="H1093" s="21" t="s">
        <v>2764</v>
      </c>
      <c r="I1093" s="21" t="s">
        <v>2765</v>
      </c>
      <c r="J1093" s="21" t="s">
        <v>247</v>
      </c>
    </row>
    <row r="1094" spans="1:10" x14ac:dyDescent="0.2">
      <c r="A1094" s="23" t="s">
        <v>65</v>
      </c>
      <c r="B1094" s="24">
        <v>36159</v>
      </c>
      <c r="C1094" s="23" t="s">
        <v>15</v>
      </c>
      <c r="D1094" s="23" t="s">
        <v>2766</v>
      </c>
      <c r="E1094" s="23" t="s">
        <v>2766</v>
      </c>
      <c r="F1094" s="10">
        <v>12</v>
      </c>
      <c r="G1094" s="10">
        <v>1998</v>
      </c>
      <c r="H1094" s="23" t="s">
        <v>2764</v>
      </c>
      <c r="I1094" s="23" t="s">
        <v>2767</v>
      </c>
      <c r="J1094" s="23" t="s">
        <v>2768</v>
      </c>
    </row>
    <row r="1095" spans="1:10" x14ac:dyDescent="0.2">
      <c r="A1095" s="21" t="s">
        <v>65</v>
      </c>
      <c r="B1095" s="22">
        <v>36153</v>
      </c>
      <c r="C1095" s="21" t="s">
        <v>15</v>
      </c>
      <c r="D1095" s="21" t="s">
        <v>563</v>
      </c>
      <c r="E1095" s="21" t="s">
        <v>563</v>
      </c>
      <c r="F1095" s="10">
        <v>12</v>
      </c>
      <c r="G1095" s="10">
        <v>1998</v>
      </c>
      <c r="H1095" s="21" t="s">
        <v>2764</v>
      </c>
      <c r="I1095" s="21" t="s">
        <v>2769</v>
      </c>
      <c r="J1095" s="21" t="s">
        <v>2768</v>
      </c>
    </row>
    <row r="1096" spans="1:10" x14ac:dyDescent="0.2">
      <c r="A1096" s="23" t="s">
        <v>65</v>
      </c>
      <c r="B1096" s="24">
        <v>36153</v>
      </c>
      <c r="C1096" s="23" t="s">
        <v>15</v>
      </c>
      <c r="D1096" s="23" t="s">
        <v>2770</v>
      </c>
      <c r="E1096" s="23" t="s">
        <v>2770</v>
      </c>
      <c r="F1096" s="10">
        <v>12</v>
      </c>
      <c r="G1096" s="10">
        <v>1998</v>
      </c>
      <c r="H1096" s="23" t="s">
        <v>2764</v>
      </c>
      <c r="I1096" s="23" t="s">
        <v>2769</v>
      </c>
      <c r="J1096" s="23" t="s">
        <v>2768</v>
      </c>
    </row>
    <row r="1097" spans="1:10" x14ac:dyDescent="0.2">
      <c r="A1097" s="21" t="s">
        <v>65</v>
      </c>
      <c r="B1097" s="22">
        <v>36153</v>
      </c>
      <c r="C1097" s="21" t="s">
        <v>15</v>
      </c>
      <c r="D1097" s="21" t="s">
        <v>2771</v>
      </c>
      <c r="E1097" s="21" t="s">
        <v>2771</v>
      </c>
      <c r="F1097" s="10">
        <v>12</v>
      </c>
      <c r="G1097" s="10">
        <v>1998</v>
      </c>
      <c r="H1097" s="21" t="s">
        <v>2764</v>
      </c>
      <c r="I1097" s="21" t="s">
        <v>2769</v>
      </c>
      <c r="J1097" s="21" t="s">
        <v>2768</v>
      </c>
    </row>
    <row r="1098" spans="1:10" x14ac:dyDescent="0.2">
      <c r="A1098" s="23" t="s">
        <v>65</v>
      </c>
      <c r="B1098" s="24">
        <v>36153</v>
      </c>
      <c r="C1098" s="23" t="s">
        <v>15</v>
      </c>
      <c r="D1098" s="23" t="s">
        <v>2772</v>
      </c>
      <c r="E1098" s="23" t="s">
        <v>2772</v>
      </c>
      <c r="F1098" s="10">
        <v>12</v>
      </c>
      <c r="G1098" s="10">
        <v>1998</v>
      </c>
      <c r="H1098" s="23" t="s">
        <v>2764</v>
      </c>
      <c r="I1098" s="23" t="s">
        <v>2769</v>
      </c>
      <c r="J1098" s="23" t="s">
        <v>2768</v>
      </c>
    </row>
    <row r="1099" spans="1:10" x14ac:dyDescent="0.2">
      <c r="A1099" s="21" t="s">
        <v>14</v>
      </c>
      <c r="B1099" s="22">
        <v>36153</v>
      </c>
      <c r="C1099" s="21" t="s">
        <v>21</v>
      </c>
      <c r="D1099" s="21" t="s">
        <v>2773</v>
      </c>
      <c r="E1099" s="21" t="s">
        <v>2774</v>
      </c>
      <c r="F1099" s="10">
        <v>12</v>
      </c>
      <c r="G1099" s="10">
        <v>1998</v>
      </c>
      <c r="H1099" s="21" t="s">
        <v>2764</v>
      </c>
      <c r="I1099" s="21" t="s">
        <v>2775</v>
      </c>
      <c r="J1099" s="21" t="s">
        <v>247</v>
      </c>
    </row>
    <row r="1100" spans="1:10" x14ac:dyDescent="0.2">
      <c r="A1100" s="23" t="s">
        <v>65</v>
      </c>
      <c r="B1100" s="24">
        <v>36150</v>
      </c>
      <c r="C1100" s="23" t="s">
        <v>15</v>
      </c>
      <c r="D1100" s="23" t="s">
        <v>2776</v>
      </c>
      <c r="E1100" s="23" t="s">
        <v>2776</v>
      </c>
      <c r="F1100" s="10">
        <v>12</v>
      </c>
      <c r="G1100" s="10">
        <v>1998</v>
      </c>
      <c r="H1100" s="23" t="s">
        <v>2764</v>
      </c>
      <c r="I1100" s="23" t="s">
        <v>2777</v>
      </c>
      <c r="J1100" s="23" t="s">
        <v>2768</v>
      </c>
    </row>
    <row r="1101" spans="1:10" x14ac:dyDescent="0.2">
      <c r="A1101" s="21" t="s">
        <v>65</v>
      </c>
      <c r="B1101" s="22">
        <v>36146</v>
      </c>
      <c r="C1101" s="21" t="s">
        <v>15</v>
      </c>
      <c r="D1101" s="21" t="s">
        <v>2770</v>
      </c>
      <c r="E1101" s="21" t="s">
        <v>2770</v>
      </c>
      <c r="F1101" s="10">
        <v>12</v>
      </c>
      <c r="G1101" s="10">
        <v>1998</v>
      </c>
      <c r="H1101" s="21" t="s">
        <v>2764</v>
      </c>
      <c r="I1101" s="21" t="s">
        <v>2769</v>
      </c>
      <c r="J1101" s="21" t="s">
        <v>2768</v>
      </c>
    </row>
    <row r="1102" spans="1:10" x14ac:dyDescent="0.2">
      <c r="A1102" s="23" t="s">
        <v>65</v>
      </c>
      <c r="B1102" s="24">
        <v>36146</v>
      </c>
      <c r="C1102" s="23" t="s">
        <v>15</v>
      </c>
      <c r="D1102" s="23" t="s">
        <v>2771</v>
      </c>
      <c r="E1102" s="23" t="s">
        <v>2771</v>
      </c>
      <c r="F1102" s="10">
        <v>12</v>
      </c>
      <c r="G1102" s="10">
        <v>1998</v>
      </c>
      <c r="H1102" s="23" t="s">
        <v>2764</v>
      </c>
      <c r="I1102" s="23" t="s">
        <v>2769</v>
      </c>
      <c r="J1102" s="23" t="s">
        <v>2768</v>
      </c>
    </row>
    <row r="1103" spans="1:10" x14ac:dyDescent="0.2">
      <c r="A1103" s="21" t="s">
        <v>65</v>
      </c>
      <c r="B1103" s="22">
        <v>36146</v>
      </c>
      <c r="C1103" s="21" t="s">
        <v>15</v>
      </c>
      <c r="D1103" s="21" t="s">
        <v>563</v>
      </c>
      <c r="E1103" s="21" t="s">
        <v>563</v>
      </c>
      <c r="F1103" s="10">
        <v>12</v>
      </c>
      <c r="G1103" s="10">
        <v>1998</v>
      </c>
      <c r="H1103" s="21" t="s">
        <v>2764</v>
      </c>
      <c r="I1103" s="21" t="s">
        <v>2769</v>
      </c>
      <c r="J1103" s="21" t="s">
        <v>2768</v>
      </c>
    </row>
    <row r="1104" spans="1:10" x14ac:dyDescent="0.2">
      <c r="A1104" s="23" t="s">
        <v>14</v>
      </c>
      <c r="B1104" s="24">
        <v>36146</v>
      </c>
      <c r="C1104" s="23" t="s">
        <v>21</v>
      </c>
      <c r="D1104" s="23" t="s">
        <v>2778</v>
      </c>
      <c r="E1104" s="23" t="s">
        <v>2779</v>
      </c>
      <c r="F1104" s="10">
        <v>12</v>
      </c>
      <c r="G1104" s="10">
        <v>1998</v>
      </c>
      <c r="H1104" s="23" t="s">
        <v>2764</v>
      </c>
      <c r="I1104" s="23" t="s">
        <v>2743</v>
      </c>
      <c r="J1104" s="23" t="s">
        <v>247</v>
      </c>
    </row>
    <row r="1105" spans="1:10" x14ac:dyDescent="0.2">
      <c r="A1105" s="21" t="s">
        <v>14</v>
      </c>
      <c r="B1105" s="22">
        <v>36129</v>
      </c>
      <c r="C1105" s="21" t="s">
        <v>15</v>
      </c>
      <c r="D1105" s="21" t="s">
        <v>2780</v>
      </c>
      <c r="E1105" s="21" t="s">
        <v>2781</v>
      </c>
      <c r="F1105" s="10">
        <v>11</v>
      </c>
      <c r="G1105" s="10">
        <v>1998</v>
      </c>
      <c r="H1105" s="21" t="s">
        <v>2782</v>
      </c>
      <c r="I1105" s="21" t="s">
        <v>2783</v>
      </c>
      <c r="J1105" s="21" t="s">
        <v>247</v>
      </c>
    </row>
    <row r="1106" spans="1:10" x14ac:dyDescent="0.2">
      <c r="A1106" s="23" t="s">
        <v>14</v>
      </c>
      <c r="B1106" s="24">
        <v>36109</v>
      </c>
      <c r="C1106" s="23" t="s">
        <v>21</v>
      </c>
      <c r="D1106" s="23" t="s">
        <v>2784</v>
      </c>
      <c r="E1106" s="23" t="s">
        <v>2785</v>
      </c>
      <c r="F1106" s="10">
        <v>11</v>
      </c>
      <c r="G1106" s="10">
        <v>1998</v>
      </c>
      <c r="H1106" s="23" t="s">
        <v>2782</v>
      </c>
      <c r="I1106" s="23" t="s">
        <v>1989</v>
      </c>
      <c r="J1106" s="23" t="s">
        <v>247</v>
      </c>
    </row>
    <row r="1107" spans="1:10" x14ac:dyDescent="0.2">
      <c r="A1107" s="21" t="s">
        <v>65</v>
      </c>
      <c r="B1107" s="22">
        <v>36103</v>
      </c>
      <c r="C1107" s="21" t="s">
        <v>15</v>
      </c>
      <c r="D1107" s="21" t="s">
        <v>387</v>
      </c>
      <c r="E1107" s="21" t="s">
        <v>387</v>
      </c>
      <c r="F1107" s="10">
        <v>11</v>
      </c>
      <c r="G1107" s="10">
        <v>1998</v>
      </c>
      <c r="H1107" s="21" t="s">
        <v>2782</v>
      </c>
      <c r="I1107" s="21" t="s">
        <v>2786</v>
      </c>
      <c r="J1107" s="21" t="s">
        <v>2768</v>
      </c>
    </row>
    <row r="1108" spans="1:10" x14ac:dyDescent="0.2">
      <c r="A1108" s="23" t="s">
        <v>14</v>
      </c>
      <c r="B1108" s="24">
        <v>36101</v>
      </c>
      <c r="C1108" s="23" t="s">
        <v>15</v>
      </c>
      <c r="D1108" s="23" t="s">
        <v>2787</v>
      </c>
      <c r="E1108" s="23" t="s">
        <v>2788</v>
      </c>
      <c r="F1108" s="10">
        <v>11</v>
      </c>
      <c r="G1108" s="10">
        <v>1998</v>
      </c>
      <c r="H1108" s="23" t="s">
        <v>2782</v>
      </c>
      <c r="I1108" s="23" t="s">
        <v>2789</v>
      </c>
      <c r="J1108" s="23" t="s">
        <v>247</v>
      </c>
    </row>
    <row r="1109" spans="1:10" x14ac:dyDescent="0.2">
      <c r="A1109" s="21" t="s">
        <v>14</v>
      </c>
      <c r="B1109" s="22">
        <v>36098</v>
      </c>
      <c r="C1109" s="21" t="s">
        <v>21</v>
      </c>
      <c r="D1109" s="21" t="s">
        <v>2790</v>
      </c>
      <c r="E1109" s="21" t="s">
        <v>2791</v>
      </c>
      <c r="F1109" s="10">
        <v>10</v>
      </c>
      <c r="G1109" s="10">
        <v>1998</v>
      </c>
      <c r="H1109" s="21" t="s">
        <v>2792</v>
      </c>
      <c r="I1109" s="21" t="s">
        <v>2793</v>
      </c>
      <c r="J1109" s="21" t="s">
        <v>247</v>
      </c>
    </row>
    <row r="1110" spans="1:10" x14ac:dyDescent="0.2">
      <c r="A1110" s="23" t="s">
        <v>65</v>
      </c>
      <c r="B1110" s="24">
        <v>36076</v>
      </c>
      <c r="C1110" s="23" t="s">
        <v>15</v>
      </c>
      <c r="D1110" s="23" t="s">
        <v>2771</v>
      </c>
      <c r="E1110" s="23" t="s">
        <v>2771</v>
      </c>
      <c r="F1110" s="10">
        <v>10</v>
      </c>
      <c r="G1110" s="10">
        <v>1998</v>
      </c>
      <c r="H1110" s="23" t="s">
        <v>2792</v>
      </c>
      <c r="I1110" s="23" t="s">
        <v>2769</v>
      </c>
      <c r="J1110" s="23" t="s">
        <v>2768</v>
      </c>
    </row>
    <row r="1111" spans="1:10" x14ac:dyDescent="0.2">
      <c r="A1111" s="21" t="s">
        <v>14</v>
      </c>
      <c r="B1111" s="22">
        <v>36063</v>
      </c>
      <c r="C1111" s="21" t="s">
        <v>15</v>
      </c>
      <c r="D1111" s="21" t="s">
        <v>2794</v>
      </c>
      <c r="E1111" s="21" t="s">
        <v>2795</v>
      </c>
      <c r="F1111" s="10">
        <v>9</v>
      </c>
      <c r="G1111" s="10">
        <v>1998</v>
      </c>
      <c r="H1111" s="21" t="s">
        <v>2796</v>
      </c>
      <c r="I1111" s="21" t="s">
        <v>2797</v>
      </c>
      <c r="J1111" s="21" t="s">
        <v>247</v>
      </c>
    </row>
    <row r="1112" spans="1:10" x14ac:dyDescent="0.2">
      <c r="A1112" s="23" t="s">
        <v>14</v>
      </c>
      <c r="B1112" s="24">
        <v>36063</v>
      </c>
      <c r="C1112" s="23" t="s">
        <v>21</v>
      </c>
      <c r="D1112" s="23" t="s">
        <v>2798</v>
      </c>
      <c r="E1112" s="23" t="s">
        <v>2799</v>
      </c>
      <c r="F1112" s="10">
        <v>9</v>
      </c>
      <c r="G1112" s="10">
        <v>1998</v>
      </c>
      <c r="H1112" s="23" t="s">
        <v>2796</v>
      </c>
      <c r="I1112" s="23" t="s">
        <v>2800</v>
      </c>
      <c r="J1112" s="23" t="s">
        <v>247</v>
      </c>
    </row>
    <row r="1113" spans="1:10" x14ac:dyDescent="0.2">
      <c r="A1113" s="21" t="s">
        <v>14</v>
      </c>
      <c r="B1113" s="22">
        <v>36055</v>
      </c>
      <c r="C1113" s="21" t="s">
        <v>21</v>
      </c>
      <c r="D1113" s="21" t="s">
        <v>2801</v>
      </c>
      <c r="E1113" s="21" t="s">
        <v>2802</v>
      </c>
      <c r="F1113" s="10">
        <v>9</v>
      </c>
      <c r="G1113" s="10">
        <v>1998</v>
      </c>
      <c r="H1113" s="21" t="s">
        <v>2796</v>
      </c>
      <c r="I1113" s="21" t="s">
        <v>2803</v>
      </c>
      <c r="J1113" s="21" t="s">
        <v>247</v>
      </c>
    </row>
    <row r="1114" spans="1:10" x14ac:dyDescent="0.2">
      <c r="A1114" s="23" t="s">
        <v>14</v>
      </c>
      <c r="B1114" s="24">
        <v>36052</v>
      </c>
      <c r="C1114" s="23" t="s">
        <v>21</v>
      </c>
      <c r="D1114" s="23" t="s">
        <v>2804</v>
      </c>
      <c r="E1114" s="23" t="s">
        <v>2805</v>
      </c>
      <c r="F1114" s="10">
        <v>9</v>
      </c>
      <c r="G1114" s="10">
        <v>1998</v>
      </c>
      <c r="H1114" s="23" t="s">
        <v>2796</v>
      </c>
      <c r="I1114" s="23" t="s">
        <v>2806</v>
      </c>
      <c r="J1114" s="23" t="s">
        <v>247</v>
      </c>
    </row>
    <row r="1115" spans="1:10" x14ac:dyDescent="0.2">
      <c r="A1115" s="21" t="s">
        <v>14</v>
      </c>
      <c r="B1115" s="22">
        <v>36048</v>
      </c>
      <c r="C1115" s="21" t="s">
        <v>21</v>
      </c>
      <c r="D1115" s="21" t="s">
        <v>2807</v>
      </c>
      <c r="E1115" s="21" t="s">
        <v>2808</v>
      </c>
      <c r="F1115" s="10">
        <v>9</v>
      </c>
      <c r="G1115" s="10">
        <v>1998</v>
      </c>
      <c r="H1115" s="21" t="s">
        <v>2796</v>
      </c>
      <c r="I1115" s="21" t="s">
        <v>2809</v>
      </c>
      <c r="J1115" s="21" t="s">
        <v>247</v>
      </c>
    </row>
    <row r="1116" spans="1:10" x14ac:dyDescent="0.2">
      <c r="A1116" s="23" t="s">
        <v>65</v>
      </c>
      <c r="B1116" s="24">
        <v>36039</v>
      </c>
      <c r="C1116" s="23" t="s">
        <v>15</v>
      </c>
      <c r="D1116" s="23" t="s">
        <v>2810</v>
      </c>
      <c r="E1116" s="23" t="s">
        <v>2810</v>
      </c>
      <c r="F1116" s="10">
        <v>9</v>
      </c>
      <c r="G1116" s="10">
        <v>1998</v>
      </c>
      <c r="H1116" s="23" t="s">
        <v>2796</v>
      </c>
      <c r="I1116" s="23" t="s">
        <v>2769</v>
      </c>
      <c r="J1116" s="23" t="s">
        <v>2768</v>
      </c>
    </row>
    <row r="1117" spans="1:10" x14ac:dyDescent="0.2">
      <c r="A1117" s="21" t="s">
        <v>65</v>
      </c>
      <c r="B1117" s="22">
        <v>36038</v>
      </c>
      <c r="C1117" s="21" t="s">
        <v>15</v>
      </c>
      <c r="D1117" s="21" t="s">
        <v>2811</v>
      </c>
      <c r="E1117" s="21" t="s">
        <v>2811</v>
      </c>
      <c r="F1117" s="10">
        <v>8</v>
      </c>
      <c r="G1117" s="10">
        <v>1998</v>
      </c>
      <c r="H1117" s="21" t="s">
        <v>2812</v>
      </c>
      <c r="I1117" s="21" t="s">
        <v>2813</v>
      </c>
      <c r="J1117" s="21" t="s">
        <v>2768</v>
      </c>
    </row>
    <row r="1118" spans="1:10" x14ac:dyDescent="0.2">
      <c r="A1118" s="23" t="s">
        <v>14</v>
      </c>
      <c r="B1118" s="24">
        <v>36033</v>
      </c>
      <c r="C1118" s="23" t="s">
        <v>21</v>
      </c>
      <c r="D1118" s="23" t="s">
        <v>2814</v>
      </c>
      <c r="E1118" s="23" t="s">
        <v>2815</v>
      </c>
      <c r="F1118" s="10">
        <v>8</v>
      </c>
      <c r="G1118" s="10">
        <v>1998</v>
      </c>
      <c r="H1118" s="23" t="s">
        <v>2812</v>
      </c>
      <c r="I1118" s="23" t="s">
        <v>2816</v>
      </c>
      <c r="J1118" s="23" t="s">
        <v>247</v>
      </c>
    </row>
    <row r="1119" spans="1:10" x14ac:dyDescent="0.2">
      <c r="A1119" s="21" t="s">
        <v>14</v>
      </c>
      <c r="B1119" s="22">
        <v>36031</v>
      </c>
      <c r="C1119" s="21" t="s">
        <v>15</v>
      </c>
      <c r="D1119" s="21" t="s">
        <v>2817</v>
      </c>
      <c r="E1119" s="21" t="s">
        <v>2818</v>
      </c>
      <c r="F1119" s="10">
        <v>8</v>
      </c>
      <c r="G1119" s="10">
        <v>1998</v>
      </c>
      <c r="H1119" s="21" t="s">
        <v>2812</v>
      </c>
      <c r="I1119" s="21" t="s">
        <v>2819</v>
      </c>
      <c r="J1119" s="21" t="s">
        <v>247</v>
      </c>
    </row>
    <row r="1120" spans="1:10" x14ac:dyDescent="0.2">
      <c r="A1120" s="23" t="s">
        <v>65</v>
      </c>
      <c r="B1120" s="24">
        <v>36026</v>
      </c>
      <c r="C1120" s="23" t="s">
        <v>15</v>
      </c>
      <c r="D1120" s="23" t="s">
        <v>387</v>
      </c>
      <c r="E1120" s="23" t="s">
        <v>387</v>
      </c>
      <c r="F1120" s="10">
        <v>8</v>
      </c>
      <c r="G1120" s="10">
        <v>1998</v>
      </c>
      <c r="H1120" s="23" t="s">
        <v>2812</v>
      </c>
      <c r="I1120" s="23" t="s">
        <v>2786</v>
      </c>
      <c r="J1120" s="23" t="s">
        <v>2768</v>
      </c>
    </row>
    <row r="1121" spans="1:10" x14ac:dyDescent="0.2">
      <c r="A1121" s="21" t="s">
        <v>65</v>
      </c>
      <c r="B1121" s="22">
        <v>36005</v>
      </c>
      <c r="C1121" s="21" t="s">
        <v>15</v>
      </c>
      <c r="D1121" s="21" t="s">
        <v>2820</v>
      </c>
      <c r="E1121" s="21" t="s">
        <v>2820</v>
      </c>
      <c r="F1121" s="10">
        <v>7</v>
      </c>
      <c r="G1121" s="10">
        <v>1998</v>
      </c>
      <c r="H1121" s="21" t="s">
        <v>2821</v>
      </c>
      <c r="I1121" s="21" t="s">
        <v>2822</v>
      </c>
      <c r="J1121" s="21" t="s">
        <v>2768</v>
      </c>
    </row>
    <row r="1122" spans="1:10" x14ac:dyDescent="0.2">
      <c r="A1122" s="23" t="s">
        <v>65</v>
      </c>
      <c r="B1122" s="24">
        <v>36005</v>
      </c>
      <c r="C1122" s="23" t="s">
        <v>15</v>
      </c>
      <c r="D1122" s="23" t="s">
        <v>2823</v>
      </c>
      <c r="E1122" s="23" t="s">
        <v>2823</v>
      </c>
      <c r="F1122" s="10">
        <v>7</v>
      </c>
      <c r="G1122" s="10">
        <v>1998</v>
      </c>
      <c r="H1122" s="23" t="s">
        <v>2821</v>
      </c>
      <c r="I1122" s="23" t="s">
        <v>2824</v>
      </c>
      <c r="J1122" s="23" t="s">
        <v>2768</v>
      </c>
    </row>
    <row r="1123" spans="1:10" x14ac:dyDescent="0.2">
      <c r="A1123" s="21" t="s">
        <v>65</v>
      </c>
      <c r="B1123" s="22">
        <v>36005</v>
      </c>
      <c r="C1123" s="21" t="s">
        <v>15</v>
      </c>
      <c r="D1123" s="21" t="s">
        <v>2140</v>
      </c>
      <c r="E1123" s="21" t="s">
        <v>2140</v>
      </c>
      <c r="F1123" s="10">
        <v>7</v>
      </c>
      <c r="G1123" s="10">
        <v>1998</v>
      </c>
      <c r="H1123" s="21" t="s">
        <v>2821</v>
      </c>
      <c r="I1123" s="21" t="s">
        <v>2824</v>
      </c>
      <c r="J1123" s="21" t="s">
        <v>2768</v>
      </c>
    </row>
    <row r="1124" spans="1:10" x14ac:dyDescent="0.2">
      <c r="A1124" s="23" t="s">
        <v>14</v>
      </c>
      <c r="B1124" s="24">
        <v>35993</v>
      </c>
      <c r="C1124" s="23" t="s">
        <v>21</v>
      </c>
      <c r="D1124" s="23" t="s">
        <v>2825</v>
      </c>
      <c r="E1124" s="23" t="s">
        <v>2826</v>
      </c>
      <c r="F1124" s="10">
        <v>7</v>
      </c>
      <c r="G1124" s="10">
        <v>1998</v>
      </c>
      <c r="H1124" s="23" t="s">
        <v>2821</v>
      </c>
      <c r="I1124" s="23" t="s">
        <v>2827</v>
      </c>
      <c r="J1124" s="23" t="s">
        <v>247</v>
      </c>
    </row>
    <row r="1125" spans="1:10" x14ac:dyDescent="0.2">
      <c r="A1125" s="21" t="s">
        <v>14</v>
      </c>
      <c r="B1125" s="22">
        <v>35992</v>
      </c>
      <c r="C1125" s="21" t="s">
        <v>21</v>
      </c>
      <c r="D1125" s="21" t="s">
        <v>2828</v>
      </c>
      <c r="E1125" s="21" t="s">
        <v>2829</v>
      </c>
      <c r="F1125" s="10">
        <v>7</v>
      </c>
      <c r="G1125" s="10">
        <v>1998</v>
      </c>
      <c r="H1125" s="21" t="s">
        <v>2821</v>
      </c>
      <c r="I1125" s="21" t="s">
        <v>2830</v>
      </c>
      <c r="J1125" s="21" t="s">
        <v>247</v>
      </c>
    </row>
    <row r="1126" spans="1:10" x14ac:dyDescent="0.2">
      <c r="A1126" s="23" t="s">
        <v>14</v>
      </c>
      <c r="B1126" s="24">
        <v>35977</v>
      </c>
      <c r="C1126" s="23" t="s">
        <v>15</v>
      </c>
      <c r="D1126" s="23" t="s">
        <v>2831</v>
      </c>
      <c r="E1126" s="23" t="s">
        <v>2832</v>
      </c>
      <c r="F1126" s="10">
        <v>7</v>
      </c>
      <c r="G1126" s="10">
        <v>1998</v>
      </c>
      <c r="H1126" s="23" t="s">
        <v>2821</v>
      </c>
      <c r="I1126" s="23" t="s">
        <v>2833</v>
      </c>
      <c r="J1126" s="23" t="s">
        <v>247</v>
      </c>
    </row>
    <row r="1127" spans="1:10" x14ac:dyDescent="0.2">
      <c r="A1127" s="21" t="s">
        <v>14</v>
      </c>
      <c r="B1127" s="22">
        <v>35975</v>
      </c>
      <c r="C1127" s="21" t="s">
        <v>21</v>
      </c>
      <c r="D1127" s="21" t="s">
        <v>2834</v>
      </c>
      <c r="E1127" s="21" t="s">
        <v>2835</v>
      </c>
      <c r="F1127" s="10">
        <v>6</v>
      </c>
      <c r="G1127" s="10">
        <v>1998</v>
      </c>
      <c r="H1127" s="21" t="s">
        <v>2836</v>
      </c>
      <c r="I1127" s="21" t="s">
        <v>2837</v>
      </c>
      <c r="J1127" s="21" t="s">
        <v>247</v>
      </c>
    </row>
    <row r="1128" spans="1:10" x14ac:dyDescent="0.2">
      <c r="A1128" s="23" t="s">
        <v>65</v>
      </c>
      <c r="B1128" s="24">
        <v>35972</v>
      </c>
      <c r="C1128" s="23" t="s">
        <v>15</v>
      </c>
      <c r="D1128" s="23" t="s">
        <v>2838</v>
      </c>
      <c r="E1128" s="23" t="s">
        <v>2838</v>
      </c>
      <c r="F1128" s="10">
        <v>6</v>
      </c>
      <c r="G1128" s="10">
        <v>1998</v>
      </c>
      <c r="H1128" s="23" t="s">
        <v>2836</v>
      </c>
      <c r="I1128" s="23" t="s">
        <v>2786</v>
      </c>
      <c r="J1128" s="23" t="s">
        <v>2768</v>
      </c>
    </row>
    <row r="1129" spans="1:10" x14ac:dyDescent="0.2">
      <c r="A1129" s="21" t="s">
        <v>14</v>
      </c>
      <c r="B1129" s="22">
        <v>35968</v>
      </c>
      <c r="C1129" s="21" t="s">
        <v>21</v>
      </c>
      <c r="D1129" s="21" t="s">
        <v>2839</v>
      </c>
      <c r="E1129" s="21" t="s">
        <v>2840</v>
      </c>
      <c r="F1129" s="10">
        <v>6</v>
      </c>
      <c r="G1129" s="10">
        <v>1998</v>
      </c>
      <c r="H1129" s="21" t="s">
        <v>2836</v>
      </c>
      <c r="I1129" s="21" t="s">
        <v>2841</v>
      </c>
      <c r="J1129" s="21" t="s">
        <v>247</v>
      </c>
    </row>
    <row r="1130" spans="1:10" x14ac:dyDescent="0.2">
      <c r="A1130" s="23" t="s">
        <v>14</v>
      </c>
      <c r="B1130" s="24">
        <v>35965</v>
      </c>
      <c r="C1130" s="23" t="s">
        <v>15</v>
      </c>
      <c r="D1130" s="23" t="s">
        <v>2842</v>
      </c>
      <c r="E1130" s="23" t="s">
        <v>2843</v>
      </c>
      <c r="F1130" s="10">
        <v>6</v>
      </c>
      <c r="G1130" s="10">
        <v>1998</v>
      </c>
      <c r="H1130" s="23" t="s">
        <v>2836</v>
      </c>
      <c r="I1130" s="23" t="s">
        <v>2844</v>
      </c>
      <c r="J1130" s="23" t="s">
        <v>247</v>
      </c>
    </row>
    <row r="1131" spans="1:10" x14ac:dyDescent="0.2">
      <c r="A1131" s="21" t="s">
        <v>14</v>
      </c>
      <c r="B1131" s="22">
        <v>35950</v>
      </c>
      <c r="C1131" s="21" t="s">
        <v>21</v>
      </c>
      <c r="D1131" s="21" t="s">
        <v>2845</v>
      </c>
      <c r="E1131" s="21" t="s">
        <v>2846</v>
      </c>
      <c r="F1131" s="10">
        <v>6</v>
      </c>
      <c r="G1131" s="10">
        <v>1998</v>
      </c>
      <c r="H1131" s="21" t="s">
        <v>2836</v>
      </c>
      <c r="I1131" s="21" t="s">
        <v>1989</v>
      </c>
      <c r="J1131" s="21" t="s">
        <v>247</v>
      </c>
    </row>
    <row r="1132" spans="1:10" x14ac:dyDescent="0.2">
      <c r="A1132" s="23" t="s">
        <v>65</v>
      </c>
      <c r="B1132" s="24">
        <v>35942</v>
      </c>
      <c r="C1132" s="23" t="s">
        <v>15</v>
      </c>
      <c r="D1132" s="23" t="s">
        <v>387</v>
      </c>
      <c r="E1132" s="23" t="s">
        <v>387</v>
      </c>
      <c r="F1132" s="10">
        <v>5</v>
      </c>
      <c r="G1132" s="10">
        <v>1998</v>
      </c>
      <c r="H1132" s="23" t="s">
        <v>2847</v>
      </c>
      <c r="I1132" s="23" t="s">
        <v>2786</v>
      </c>
      <c r="J1132" s="23" t="s">
        <v>2768</v>
      </c>
    </row>
    <row r="1133" spans="1:10" x14ac:dyDescent="0.2">
      <c r="A1133" s="21" t="s">
        <v>14</v>
      </c>
      <c r="B1133" s="22">
        <v>35933</v>
      </c>
      <c r="C1133" s="21" t="s">
        <v>21</v>
      </c>
      <c r="D1133" s="21" t="s">
        <v>2848</v>
      </c>
      <c r="E1133" s="21" t="s">
        <v>2849</v>
      </c>
      <c r="F1133" s="10">
        <v>5</v>
      </c>
      <c r="G1133" s="10">
        <v>1998</v>
      </c>
      <c r="H1133" s="21" t="s">
        <v>2847</v>
      </c>
      <c r="I1133" s="21" t="s">
        <v>2850</v>
      </c>
      <c r="J1133" s="21" t="s">
        <v>247</v>
      </c>
    </row>
    <row r="1134" spans="1:10" x14ac:dyDescent="0.2">
      <c r="A1134" s="23" t="s">
        <v>14</v>
      </c>
      <c r="B1134" s="24">
        <v>35929</v>
      </c>
      <c r="C1134" s="23" t="s">
        <v>21</v>
      </c>
      <c r="D1134" s="23" t="s">
        <v>2851</v>
      </c>
      <c r="E1134" s="23" t="s">
        <v>2852</v>
      </c>
      <c r="F1134" s="10">
        <v>5</v>
      </c>
      <c r="G1134" s="10">
        <v>1998</v>
      </c>
      <c r="H1134" s="23" t="s">
        <v>2847</v>
      </c>
      <c r="I1134" s="23" t="s">
        <v>2853</v>
      </c>
      <c r="J1134" s="23" t="s">
        <v>247</v>
      </c>
    </row>
    <row r="1135" spans="1:10" x14ac:dyDescent="0.2">
      <c r="A1135" s="21" t="s">
        <v>14</v>
      </c>
      <c r="B1135" s="22">
        <v>35927</v>
      </c>
      <c r="C1135" s="21" t="s">
        <v>15</v>
      </c>
      <c r="D1135" s="21" t="s">
        <v>2854</v>
      </c>
      <c r="E1135" s="21" t="s">
        <v>2855</v>
      </c>
      <c r="F1135" s="10">
        <v>5</v>
      </c>
      <c r="G1135" s="10">
        <v>1998</v>
      </c>
      <c r="H1135" s="21" t="s">
        <v>2847</v>
      </c>
      <c r="I1135" s="21" t="s">
        <v>2856</v>
      </c>
      <c r="J1135" s="21" t="s">
        <v>247</v>
      </c>
    </row>
    <row r="1136" spans="1:10" x14ac:dyDescent="0.2">
      <c r="A1136" s="23" t="s">
        <v>65</v>
      </c>
      <c r="B1136" s="24">
        <v>35927</v>
      </c>
      <c r="C1136" s="23" t="s">
        <v>15</v>
      </c>
      <c r="D1136" s="23" t="s">
        <v>387</v>
      </c>
      <c r="E1136" s="23" t="s">
        <v>387</v>
      </c>
      <c r="F1136" s="10">
        <v>5</v>
      </c>
      <c r="G1136" s="10">
        <v>1998</v>
      </c>
      <c r="H1136" s="23" t="s">
        <v>2847</v>
      </c>
      <c r="I1136" s="23" t="s">
        <v>2786</v>
      </c>
      <c r="J1136" s="23" t="s">
        <v>2768</v>
      </c>
    </row>
    <row r="1137" spans="1:10" x14ac:dyDescent="0.2">
      <c r="A1137" s="21" t="s">
        <v>65</v>
      </c>
      <c r="B1137" s="22">
        <v>35921</v>
      </c>
      <c r="C1137" s="21" t="s">
        <v>15</v>
      </c>
      <c r="D1137" s="21" t="s">
        <v>2857</v>
      </c>
      <c r="E1137" s="21" t="s">
        <v>2857</v>
      </c>
      <c r="F1137" s="10">
        <v>5</v>
      </c>
      <c r="G1137" s="10">
        <v>1998</v>
      </c>
      <c r="H1137" s="21" t="s">
        <v>2847</v>
      </c>
      <c r="I1137" s="21" t="s">
        <v>2858</v>
      </c>
      <c r="J1137" s="21" t="s">
        <v>2768</v>
      </c>
    </row>
    <row r="1138" spans="1:10" x14ac:dyDescent="0.2">
      <c r="A1138" s="23" t="s">
        <v>65</v>
      </c>
      <c r="B1138" s="24">
        <v>35916</v>
      </c>
      <c r="C1138" s="23" t="s">
        <v>15</v>
      </c>
      <c r="D1138" s="23" t="s">
        <v>2859</v>
      </c>
      <c r="E1138" s="23" t="s">
        <v>2859</v>
      </c>
      <c r="F1138" s="10">
        <v>5</v>
      </c>
      <c r="G1138" s="10">
        <v>1998</v>
      </c>
      <c r="H1138" s="23" t="s">
        <v>2847</v>
      </c>
      <c r="I1138" s="23" t="s">
        <v>2860</v>
      </c>
      <c r="J1138" s="23" t="s">
        <v>2768</v>
      </c>
    </row>
    <row r="1139" spans="1:10" x14ac:dyDescent="0.2">
      <c r="A1139" s="21" t="s">
        <v>14</v>
      </c>
      <c r="B1139" s="22">
        <v>35915</v>
      </c>
      <c r="C1139" s="21" t="s">
        <v>21</v>
      </c>
      <c r="D1139" s="21" t="s">
        <v>2861</v>
      </c>
      <c r="E1139" s="21" t="s">
        <v>2862</v>
      </c>
      <c r="F1139" s="10">
        <v>4</v>
      </c>
      <c r="G1139" s="10">
        <v>1998</v>
      </c>
      <c r="H1139" s="21" t="s">
        <v>2863</v>
      </c>
      <c r="I1139" s="21" t="s">
        <v>2864</v>
      </c>
      <c r="J1139" s="21" t="s">
        <v>247</v>
      </c>
    </row>
    <row r="1140" spans="1:10" x14ac:dyDescent="0.2">
      <c r="A1140" s="23" t="s">
        <v>14</v>
      </c>
      <c r="B1140" s="24">
        <v>35902</v>
      </c>
      <c r="C1140" s="23" t="s">
        <v>21</v>
      </c>
      <c r="D1140" s="23" t="s">
        <v>2865</v>
      </c>
      <c r="E1140" s="23" t="s">
        <v>2866</v>
      </c>
      <c r="F1140" s="10">
        <v>4</v>
      </c>
      <c r="G1140" s="10">
        <v>1998</v>
      </c>
      <c r="H1140" s="23" t="s">
        <v>2863</v>
      </c>
      <c r="I1140" s="23" t="s">
        <v>2867</v>
      </c>
      <c r="J1140" s="23" t="s">
        <v>247</v>
      </c>
    </row>
    <row r="1141" spans="1:10" x14ac:dyDescent="0.2">
      <c r="A1141" s="21" t="s">
        <v>14</v>
      </c>
      <c r="B1141" s="22">
        <v>35894</v>
      </c>
      <c r="C1141" s="21" t="s">
        <v>15</v>
      </c>
      <c r="D1141" s="21" t="s">
        <v>2868</v>
      </c>
      <c r="E1141" s="21" t="s">
        <v>2869</v>
      </c>
      <c r="F1141" s="10">
        <v>4</v>
      </c>
      <c r="G1141" s="10">
        <v>1998</v>
      </c>
      <c r="H1141" s="21" t="s">
        <v>2863</v>
      </c>
      <c r="I1141" s="21" t="s">
        <v>2870</v>
      </c>
      <c r="J1141" s="21" t="s">
        <v>247</v>
      </c>
    </row>
    <row r="1142" spans="1:10" x14ac:dyDescent="0.2">
      <c r="A1142" s="23" t="s">
        <v>14</v>
      </c>
      <c r="B1142" s="24">
        <v>35886</v>
      </c>
      <c r="C1142" s="23" t="s">
        <v>21</v>
      </c>
      <c r="D1142" s="23" t="s">
        <v>2871</v>
      </c>
      <c r="E1142" s="23" t="s">
        <v>2872</v>
      </c>
      <c r="F1142" s="10">
        <v>4</v>
      </c>
      <c r="G1142" s="10">
        <v>1998</v>
      </c>
      <c r="H1142" s="23" t="s">
        <v>2863</v>
      </c>
      <c r="I1142" s="23" t="s">
        <v>2873</v>
      </c>
      <c r="J1142" s="23" t="s">
        <v>247</v>
      </c>
    </row>
    <row r="1143" spans="1:10" x14ac:dyDescent="0.2">
      <c r="A1143" s="21" t="s">
        <v>14</v>
      </c>
      <c r="B1143" s="22">
        <v>35881</v>
      </c>
      <c r="C1143" s="21" t="s">
        <v>21</v>
      </c>
      <c r="D1143" s="21" t="s">
        <v>2874</v>
      </c>
      <c r="E1143" s="21" t="s">
        <v>2875</v>
      </c>
      <c r="F1143" s="10">
        <v>3</v>
      </c>
      <c r="G1143" s="10">
        <v>1998</v>
      </c>
      <c r="H1143" s="21" t="s">
        <v>2876</v>
      </c>
      <c r="I1143" s="21" t="s">
        <v>2291</v>
      </c>
      <c r="J1143" s="21" t="s">
        <v>247</v>
      </c>
    </row>
    <row r="1144" spans="1:10" x14ac:dyDescent="0.2">
      <c r="A1144" s="23" t="s">
        <v>14</v>
      </c>
      <c r="B1144" s="24">
        <v>35881</v>
      </c>
      <c r="C1144" s="23" t="s">
        <v>21</v>
      </c>
      <c r="D1144" s="23" t="s">
        <v>2877</v>
      </c>
      <c r="E1144" s="23" t="s">
        <v>2878</v>
      </c>
      <c r="F1144" s="10">
        <v>3</v>
      </c>
      <c r="G1144" s="10">
        <v>1998</v>
      </c>
      <c r="H1144" s="23" t="s">
        <v>2876</v>
      </c>
      <c r="I1144" s="23" t="s">
        <v>2879</v>
      </c>
      <c r="J1144" s="23" t="s">
        <v>247</v>
      </c>
    </row>
    <row r="1145" spans="1:10" x14ac:dyDescent="0.2">
      <c r="A1145" s="21" t="s">
        <v>14</v>
      </c>
      <c r="B1145" s="22">
        <v>35879</v>
      </c>
      <c r="C1145" s="21" t="s">
        <v>21</v>
      </c>
      <c r="D1145" s="21" t="s">
        <v>2880</v>
      </c>
      <c r="E1145" s="21" t="s">
        <v>2881</v>
      </c>
      <c r="F1145" s="10">
        <v>3</v>
      </c>
      <c r="G1145" s="10">
        <v>1998</v>
      </c>
      <c r="H1145" s="21" t="s">
        <v>2876</v>
      </c>
      <c r="I1145" s="21" t="s">
        <v>2882</v>
      </c>
      <c r="J1145" s="21" t="s">
        <v>247</v>
      </c>
    </row>
    <row r="1146" spans="1:10" x14ac:dyDescent="0.2">
      <c r="A1146" s="23" t="s">
        <v>65</v>
      </c>
      <c r="B1146" s="24">
        <v>35873</v>
      </c>
      <c r="C1146" s="23" t="s">
        <v>15</v>
      </c>
      <c r="D1146" s="23" t="s">
        <v>2770</v>
      </c>
      <c r="E1146" s="23" t="s">
        <v>2770</v>
      </c>
      <c r="F1146" s="10">
        <v>3</v>
      </c>
      <c r="G1146" s="10">
        <v>1998</v>
      </c>
      <c r="H1146" s="23" t="s">
        <v>2876</v>
      </c>
      <c r="I1146" s="23" t="s">
        <v>2769</v>
      </c>
      <c r="J1146" s="23" t="s">
        <v>2768</v>
      </c>
    </row>
    <row r="1147" spans="1:10" x14ac:dyDescent="0.2">
      <c r="A1147" s="21" t="s">
        <v>14</v>
      </c>
      <c r="B1147" s="22">
        <v>35863</v>
      </c>
      <c r="C1147" s="21" t="s">
        <v>21</v>
      </c>
      <c r="D1147" s="21" t="s">
        <v>2883</v>
      </c>
      <c r="E1147" s="21" t="s">
        <v>2884</v>
      </c>
      <c r="F1147" s="10">
        <v>3</v>
      </c>
      <c r="G1147" s="10">
        <v>1998</v>
      </c>
      <c r="H1147" s="21" t="s">
        <v>2876</v>
      </c>
      <c r="I1147" s="21" t="s">
        <v>2885</v>
      </c>
      <c r="J1147" s="21" t="s">
        <v>247</v>
      </c>
    </row>
    <row r="1148" spans="1:10" x14ac:dyDescent="0.2">
      <c r="A1148" s="23" t="s">
        <v>14</v>
      </c>
      <c r="B1148" s="24">
        <v>35860</v>
      </c>
      <c r="C1148" s="23" t="s">
        <v>21</v>
      </c>
      <c r="D1148" s="23" t="s">
        <v>2886</v>
      </c>
      <c r="E1148" s="23" t="s">
        <v>2887</v>
      </c>
      <c r="F1148" s="10">
        <v>3</v>
      </c>
      <c r="G1148" s="10">
        <v>1998</v>
      </c>
      <c r="H1148" s="23" t="s">
        <v>2876</v>
      </c>
      <c r="I1148" s="23" t="s">
        <v>2888</v>
      </c>
      <c r="J1148" s="23" t="s">
        <v>247</v>
      </c>
    </row>
    <row r="1149" spans="1:10" x14ac:dyDescent="0.2">
      <c r="A1149" s="21" t="s">
        <v>14</v>
      </c>
      <c r="B1149" s="22">
        <v>35846</v>
      </c>
      <c r="C1149" s="21" t="s">
        <v>21</v>
      </c>
      <c r="D1149" s="21" t="s">
        <v>2889</v>
      </c>
      <c r="E1149" s="21" t="s">
        <v>2890</v>
      </c>
      <c r="F1149" s="10">
        <v>2</v>
      </c>
      <c r="G1149" s="10">
        <v>1998</v>
      </c>
      <c r="H1149" s="21" t="s">
        <v>2891</v>
      </c>
      <c r="I1149" s="21" t="s">
        <v>2892</v>
      </c>
      <c r="J1149" s="21" t="s">
        <v>247</v>
      </c>
    </row>
    <row r="1150" spans="1:10" x14ac:dyDescent="0.2">
      <c r="A1150" s="23" t="s">
        <v>14</v>
      </c>
      <c r="B1150" s="24">
        <v>35836</v>
      </c>
      <c r="C1150" s="23" t="s">
        <v>21</v>
      </c>
      <c r="D1150" s="23" t="s">
        <v>2893</v>
      </c>
      <c r="E1150" s="23" t="s">
        <v>2894</v>
      </c>
      <c r="F1150" s="10">
        <v>2</v>
      </c>
      <c r="G1150" s="10">
        <v>1998</v>
      </c>
      <c r="H1150" s="23" t="s">
        <v>2891</v>
      </c>
      <c r="I1150" s="23" t="s">
        <v>2837</v>
      </c>
      <c r="J1150" s="23" t="s">
        <v>247</v>
      </c>
    </row>
    <row r="1151" spans="1:10" x14ac:dyDescent="0.2">
      <c r="A1151" s="21" t="s">
        <v>14</v>
      </c>
      <c r="B1151" s="22">
        <v>35824</v>
      </c>
      <c r="C1151" s="21" t="s">
        <v>21</v>
      </c>
      <c r="D1151" s="21" t="s">
        <v>2895</v>
      </c>
      <c r="E1151" s="21" t="s">
        <v>2896</v>
      </c>
      <c r="F1151" s="10">
        <v>1</v>
      </c>
      <c r="G1151" s="10">
        <v>1998</v>
      </c>
      <c r="H1151" s="21" t="s">
        <v>2897</v>
      </c>
      <c r="I1151" s="21" t="s">
        <v>2898</v>
      </c>
      <c r="J1151" s="21" t="s">
        <v>247</v>
      </c>
    </row>
    <row r="1152" spans="1:10" x14ac:dyDescent="0.2">
      <c r="A1152" s="23" t="s">
        <v>65</v>
      </c>
      <c r="B1152" s="24">
        <v>35812</v>
      </c>
      <c r="C1152" s="23" t="s">
        <v>15</v>
      </c>
      <c r="D1152" s="23" t="s">
        <v>2899</v>
      </c>
      <c r="E1152" s="23" t="s">
        <v>2899</v>
      </c>
      <c r="F1152" s="10">
        <v>1</v>
      </c>
      <c r="G1152" s="10">
        <v>1998</v>
      </c>
      <c r="H1152" s="23" t="s">
        <v>2897</v>
      </c>
      <c r="I1152" s="23" t="s">
        <v>2900</v>
      </c>
      <c r="J1152" s="23" t="s">
        <v>2768</v>
      </c>
    </row>
    <row r="1153" spans="1:10" x14ac:dyDescent="0.2">
      <c r="A1153" s="21" t="s">
        <v>65</v>
      </c>
      <c r="B1153" s="22">
        <v>35812</v>
      </c>
      <c r="C1153" s="21" t="s">
        <v>15</v>
      </c>
      <c r="D1153" s="21" t="s">
        <v>2901</v>
      </c>
      <c r="E1153" s="21" t="s">
        <v>2901</v>
      </c>
      <c r="F1153" s="10">
        <v>1</v>
      </c>
      <c r="G1153" s="10">
        <v>1998</v>
      </c>
      <c r="H1153" s="21" t="s">
        <v>2897</v>
      </c>
      <c r="I1153" s="21" t="s">
        <v>2902</v>
      </c>
      <c r="J1153" s="21" t="s">
        <v>2768</v>
      </c>
    </row>
    <row r="1154" spans="1:10" x14ac:dyDescent="0.2">
      <c r="A1154" s="23" t="s">
        <v>65</v>
      </c>
      <c r="B1154" s="24">
        <v>35811</v>
      </c>
      <c r="C1154" s="23" t="s">
        <v>15</v>
      </c>
      <c r="D1154" s="23" t="s">
        <v>387</v>
      </c>
      <c r="E1154" s="23" t="s">
        <v>387</v>
      </c>
      <c r="F1154" s="10">
        <v>1</v>
      </c>
      <c r="G1154" s="10">
        <v>1998</v>
      </c>
      <c r="H1154" s="23" t="s">
        <v>2897</v>
      </c>
      <c r="I1154" s="23" t="s">
        <v>2786</v>
      </c>
      <c r="J1154" s="23" t="s">
        <v>2768</v>
      </c>
    </row>
    <row r="1155" spans="1:10" x14ac:dyDescent="0.2">
      <c r="A1155" s="21" t="s">
        <v>65</v>
      </c>
      <c r="B1155" s="22">
        <v>35801</v>
      </c>
      <c r="C1155" s="21" t="s">
        <v>15</v>
      </c>
      <c r="D1155" s="21" t="s">
        <v>387</v>
      </c>
      <c r="E1155" s="21" t="s">
        <v>387</v>
      </c>
      <c r="F1155" s="10">
        <v>1</v>
      </c>
      <c r="G1155" s="10">
        <v>1998</v>
      </c>
      <c r="H1155" s="21" t="s">
        <v>2897</v>
      </c>
      <c r="I1155" s="21" t="s">
        <v>2786</v>
      </c>
      <c r="J1155" s="21" t="s">
        <v>2768</v>
      </c>
    </row>
    <row r="1156" spans="1:10" x14ac:dyDescent="0.2">
      <c r="A1156" s="23" t="s">
        <v>14</v>
      </c>
      <c r="B1156" s="24">
        <v>35793</v>
      </c>
      <c r="C1156" s="23" t="s">
        <v>21</v>
      </c>
      <c r="D1156" s="23" t="s">
        <v>2903</v>
      </c>
      <c r="E1156" s="23" t="s">
        <v>2904</v>
      </c>
      <c r="F1156" s="10">
        <v>12</v>
      </c>
      <c r="G1156" s="10">
        <v>1997</v>
      </c>
      <c r="H1156" s="23" t="s">
        <v>2905</v>
      </c>
      <c r="I1156" s="23" t="s">
        <v>2906</v>
      </c>
      <c r="J1156" s="23" t="s">
        <v>247</v>
      </c>
    </row>
    <row r="1157" spans="1:10" x14ac:dyDescent="0.2">
      <c r="A1157" s="21" t="s">
        <v>14</v>
      </c>
      <c r="B1157" s="22">
        <v>35788</v>
      </c>
      <c r="C1157" s="21" t="s">
        <v>21</v>
      </c>
      <c r="D1157" s="21" t="s">
        <v>2907</v>
      </c>
      <c r="E1157" s="21" t="s">
        <v>2908</v>
      </c>
      <c r="F1157" s="10">
        <v>12</v>
      </c>
      <c r="G1157" s="10">
        <v>1997</v>
      </c>
      <c r="H1157" s="21" t="s">
        <v>2905</v>
      </c>
      <c r="I1157" s="21" t="s">
        <v>2909</v>
      </c>
      <c r="J1157" s="21" t="s">
        <v>247</v>
      </c>
    </row>
    <row r="1158" spans="1:10" x14ac:dyDescent="0.2">
      <c r="A1158" s="23" t="s">
        <v>14</v>
      </c>
      <c r="B1158" s="24">
        <v>35786</v>
      </c>
      <c r="C1158" s="23" t="s">
        <v>21</v>
      </c>
      <c r="D1158" s="23" t="s">
        <v>2910</v>
      </c>
      <c r="E1158" s="23" t="s">
        <v>2911</v>
      </c>
      <c r="F1158" s="10">
        <v>12</v>
      </c>
      <c r="G1158" s="10">
        <v>1997</v>
      </c>
      <c r="H1158" s="23" t="s">
        <v>2905</v>
      </c>
      <c r="I1158" s="23" t="s">
        <v>2912</v>
      </c>
      <c r="J1158" s="23" t="s">
        <v>247</v>
      </c>
    </row>
    <row r="1159" spans="1:10" x14ac:dyDescent="0.2">
      <c r="A1159" s="21" t="s">
        <v>14</v>
      </c>
      <c r="B1159" s="22">
        <v>35786</v>
      </c>
      <c r="C1159" s="21" t="s">
        <v>21</v>
      </c>
      <c r="D1159" s="21" t="s">
        <v>2913</v>
      </c>
      <c r="E1159" s="21" t="s">
        <v>2914</v>
      </c>
      <c r="F1159" s="10">
        <v>12</v>
      </c>
      <c r="G1159" s="10">
        <v>1997</v>
      </c>
      <c r="H1159" s="21" t="s">
        <v>2905</v>
      </c>
      <c r="I1159" s="21" t="s">
        <v>1989</v>
      </c>
      <c r="J1159" s="21" t="s">
        <v>247</v>
      </c>
    </row>
    <row r="1160" spans="1:10" x14ac:dyDescent="0.2">
      <c r="A1160" s="23" t="s">
        <v>14</v>
      </c>
      <c r="B1160" s="24">
        <v>35782</v>
      </c>
      <c r="C1160" s="23" t="s">
        <v>21</v>
      </c>
      <c r="D1160" s="23" t="s">
        <v>2915</v>
      </c>
      <c r="E1160" s="23" t="s">
        <v>2916</v>
      </c>
      <c r="F1160" s="10">
        <v>12</v>
      </c>
      <c r="G1160" s="10">
        <v>1997</v>
      </c>
      <c r="H1160" s="23" t="s">
        <v>2905</v>
      </c>
      <c r="I1160" s="23" t="s">
        <v>2917</v>
      </c>
      <c r="J1160" s="23" t="s">
        <v>247</v>
      </c>
    </row>
    <row r="1161" spans="1:10" x14ac:dyDescent="0.2">
      <c r="A1161" s="21" t="s">
        <v>14</v>
      </c>
      <c r="B1161" s="22">
        <v>35780</v>
      </c>
      <c r="C1161" s="21" t="s">
        <v>15</v>
      </c>
      <c r="D1161" s="21" t="s">
        <v>2918</v>
      </c>
      <c r="E1161" s="21" t="s">
        <v>2919</v>
      </c>
      <c r="F1161" s="10">
        <v>12</v>
      </c>
      <c r="G1161" s="10">
        <v>1997</v>
      </c>
      <c r="H1161" s="21" t="s">
        <v>2905</v>
      </c>
      <c r="I1161" s="21" t="s">
        <v>2920</v>
      </c>
      <c r="J1161" s="21" t="s">
        <v>247</v>
      </c>
    </row>
    <row r="1162" spans="1:10" x14ac:dyDescent="0.2">
      <c r="A1162" s="23" t="s">
        <v>14</v>
      </c>
      <c r="B1162" s="24">
        <v>35774</v>
      </c>
      <c r="C1162" s="23" t="s">
        <v>15</v>
      </c>
      <c r="D1162" s="23" t="s">
        <v>2921</v>
      </c>
      <c r="E1162" s="23" t="s">
        <v>1312</v>
      </c>
      <c r="F1162" s="10">
        <v>12</v>
      </c>
      <c r="G1162" s="10">
        <v>1997</v>
      </c>
      <c r="H1162" s="23" t="s">
        <v>2905</v>
      </c>
      <c r="I1162" s="23" t="s">
        <v>2922</v>
      </c>
      <c r="J1162" s="23" t="s">
        <v>247</v>
      </c>
    </row>
    <row r="1163" spans="1:10" x14ac:dyDescent="0.2">
      <c r="A1163" s="21" t="s">
        <v>14</v>
      </c>
      <c r="B1163" s="22">
        <v>35773</v>
      </c>
      <c r="C1163" s="21" t="s">
        <v>21</v>
      </c>
      <c r="D1163" s="21" t="s">
        <v>2923</v>
      </c>
      <c r="E1163" s="21" t="s">
        <v>2924</v>
      </c>
      <c r="F1163" s="10">
        <v>12</v>
      </c>
      <c r="G1163" s="10">
        <v>1997</v>
      </c>
      <c r="H1163" s="21" t="s">
        <v>2905</v>
      </c>
      <c r="I1163" s="21" t="s">
        <v>2925</v>
      </c>
      <c r="J1163" s="21" t="s">
        <v>247</v>
      </c>
    </row>
    <row r="1164" spans="1:10" x14ac:dyDescent="0.2">
      <c r="A1164" s="23" t="s">
        <v>14</v>
      </c>
      <c r="B1164" s="24">
        <v>35768</v>
      </c>
      <c r="C1164" s="23" t="s">
        <v>21</v>
      </c>
      <c r="D1164" s="23" t="s">
        <v>2926</v>
      </c>
      <c r="E1164" s="23" t="s">
        <v>2927</v>
      </c>
      <c r="F1164" s="10">
        <v>12</v>
      </c>
      <c r="G1164" s="10">
        <v>1997</v>
      </c>
      <c r="H1164" s="23" t="s">
        <v>2905</v>
      </c>
      <c r="I1164" s="23" t="s">
        <v>2928</v>
      </c>
      <c r="J1164" s="23" t="s">
        <v>247</v>
      </c>
    </row>
    <row r="1165" spans="1:10" x14ac:dyDescent="0.2">
      <c r="A1165" s="21" t="s">
        <v>14</v>
      </c>
      <c r="B1165" s="22">
        <v>35768</v>
      </c>
      <c r="C1165" s="21" t="s">
        <v>21</v>
      </c>
      <c r="D1165" s="21" t="s">
        <v>2929</v>
      </c>
      <c r="E1165" s="21" t="s">
        <v>2930</v>
      </c>
      <c r="F1165" s="10">
        <v>12</v>
      </c>
      <c r="G1165" s="10">
        <v>1997</v>
      </c>
      <c r="H1165" s="21" t="s">
        <v>2905</v>
      </c>
      <c r="I1165" s="21" t="s">
        <v>2931</v>
      </c>
      <c r="J1165" s="21" t="s">
        <v>247</v>
      </c>
    </row>
    <row r="1166" spans="1:10" x14ac:dyDescent="0.2">
      <c r="A1166" s="23" t="s">
        <v>14</v>
      </c>
      <c r="B1166" s="24">
        <v>35760</v>
      </c>
      <c r="C1166" s="23" t="s">
        <v>15</v>
      </c>
      <c r="D1166" s="23" t="s">
        <v>2932</v>
      </c>
      <c r="E1166" s="23" t="s">
        <v>2933</v>
      </c>
      <c r="F1166" s="10">
        <v>11</v>
      </c>
      <c r="G1166" s="10">
        <v>1997</v>
      </c>
      <c r="H1166" s="23" t="s">
        <v>2934</v>
      </c>
      <c r="I1166" s="23" t="s">
        <v>2935</v>
      </c>
      <c r="J1166" s="23" t="s">
        <v>247</v>
      </c>
    </row>
    <row r="1167" spans="1:10" x14ac:dyDescent="0.2">
      <c r="A1167" s="21" t="s">
        <v>14</v>
      </c>
      <c r="B1167" s="22">
        <v>35760</v>
      </c>
      <c r="C1167" s="21" t="s">
        <v>21</v>
      </c>
      <c r="D1167" s="21" t="s">
        <v>2936</v>
      </c>
      <c r="E1167" s="21" t="s">
        <v>2937</v>
      </c>
      <c r="F1167" s="10">
        <v>11</v>
      </c>
      <c r="G1167" s="10">
        <v>1997</v>
      </c>
      <c r="H1167" s="21" t="s">
        <v>2934</v>
      </c>
      <c r="I1167" s="21" t="s">
        <v>2938</v>
      </c>
      <c r="J1167" s="21" t="s">
        <v>247</v>
      </c>
    </row>
    <row r="1168" spans="1:10" x14ac:dyDescent="0.2">
      <c r="A1168" s="23" t="s">
        <v>14</v>
      </c>
      <c r="B1168" s="24">
        <v>35759</v>
      </c>
      <c r="C1168" s="23" t="s">
        <v>21</v>
      </c>
      <c r="D1168" s="23" t="s">
        <v>2939</v>
      </c>
      <c r="E1168" s="23" t="s">
        <v>2940</v>
      </c>
      <c r="F1168" s="10">
        <v>11</v>
      </c>
      <c r="G1168" s="10">
        <v>1997</v>
      </c>
      <c r="H1168" s="23" t="s">
        <v>2934</v>
      </c>
      <c r="I1168" s="23" t="s">
        <v>2941</v>
      </c>
      <c r="J1168" s="23" t="s">
        <v>247</v>
      </c>
    </row>
    <row r="1169" spans="1:10" x14ac:dyDescent="0.2">
      <c r="A1169" s="21" t="s">
        <v>14</v>
      </c>
      <c r="B1169" s="22">
        <v>35759</v>
      </c>
      <c r="C1169" s="21" t="s">
        <v>15</v>
      </c>
      <c r="D1169" s="21" t="s">
        <v>2942</v>
      </c>
      <c r="E1169" s="21" t="s">
        <v>2943</v>
      </c>
      <c r="F1169" s="10">
        <v>11</v>
      </c>
      <c r="G1169" s="10">
        <v>1997</v>
      </c>
      <c r="H1169" s="21" t="s">
        <v>2934</v>
      </c>
      <c r="I1169" s="21" t="s">
        <v>2944</v>
      </c>
      <c r="J1169" s="21" t="s">
        <v>247</v>
      </c>
    </row>
    <row r="1170" spans="1:10" x14ac:dyDescent="0.2">
      <c r="A1170" s="23" t="s">
        <v>14</v>
      </c>
      <c r="B1170" s="24">
        <v>35756</v>
      </c>
      <c r="C1170" s="23" t="s">
        <v>21</v>
      </c>
      <c r="D1170" s="23" t="s">
        <v>2945</v>
      </c>
      <c r="E1170" s="23" t="s">
        <v>2946</v>
      </c>
      <c r="F1170" s="10">
        <v>11</v>
      </c>
      <c r="G1170" s="10">
        <v>1997</v>
      </c>
      <c r="H1170" s="23" t="s">
        <v>2934</v>
      </c>
      <c r="I1170" s="23" t="s">
        <v>2947</v>
      </c>
      <c r="J1170" s="23" t="s">
        <v>247</v>
      </c>
    </row>
    <row r="1171" spans="1:10" x14ac:dyDescent="0.2">
      <c r="A1171" s="21" t="s">
        <v>14</v>
      </c>
      <c r="B1171" s="22">
        <v>35751</v>
      </c>
      <c r="C1171" s="21" t="s">
        <v>21</v>
      </c>
      <c r="D1171" s="21" t="s">
        <v>2948</v>
      </c>
      <c r="E1171" s="21" t="s">
        <v>2949</v>
      </c>
      <c r="F1171" s="10">
        <v>11</v>
      </c>
      <c r="G1171" s="10">
        <v>1997</v>
      </c>
      <c r="H1171" s="21" t="s">
        <v>2934</v>
      </c>
      <c r="I1171" s="21" t="s">
        <v>2950</v>
      </c>
      <c r="J1171" s="21" t="s">
        <v>247</v>
      </c>
    </row>
    <row r="1172" spans="1:10" x14ac:dyDescent="0.2">
      <c r="A1172" s="23" t="s">
        <v>14</v>
      </c>
      <c r="B1172" s="24">
        <v>35740</v>
      </c>
      <c r="C1172" s="23" t="s">
        <v>21</v>
      </c>
      <c r="D1172" s="23" t="s">
        <v>2951</v>
      </c>
      <c r="E1172" s="23" t="s">
        <v>2952</v>
      </c>
      <c r="F1172" s="10">
        <v>11</v>
      </c>
      <c r="G1172" s="10">
        <v>1997</v>
      </c>
      <c r="H1172" s="23" t="s">
        <v>2934</v>
      </c>
      <c r="I1172" s="23" t="s">
        <v>2953</v>
      </c>
      <c r="J1172" s="23" t="s">
        <v>247</v>
      </c>
    </row>
    <row r="1173" spans="1:10" x14ac:dyDescent="0.2">
      <c r="A1173" s="21" t="s">
        <v>14</v>
      </c>
      <c r="B1173" s="22">
        <v>35709</v>
      </c>
      <c r="C1173" s="21" t="s">
        <v>15</v>
      </c>
      <c r="D1173" s="21" t="s">
        <v>2954</v>
      </c>
      <c r="E1173" s="21" t="s">
        <v>2955</v>
      </c>
      <c r="F1173" s="10">
        <v>10</v>
      </c>
      <c r="G1173" s="10">
        <v>1997</v>
      </c>
      <c r="H1173" s="21" t="s">
        <v>2956</v>
      </c>
      <c r="I1173" s="21" t="s">
        <v>2957</v>
      </c>
      <c r="J1173" s="21" t="s">
        <v>247</v>
      </c>
    </row>
    <row r="1174" spans="1:10" x14ac:dyDescent="0.2">
      <c r="A1174" s="23" t="s">
        <v>14</v>
      </c>
      <c r="B1174" s="24">
        <v>35703</v>
      </c>
      <c r="C1174" s="23" t="s">
        <v>21</v>
      </c>
      <c r="D1174" s="23" t="s">
        <v>2958</v>
      </c>
      <c r="E1174" s="23" t="s">
        <v>2959</v>
      </c>
      <c r="F1174" s="10">
        <v>9</v>
      </c>
      <c r="G1174" s="10">
        <v>1997</v>
      </c>
      <c r="H1174" s="23" t="s">
        <v>2960</v>
      </c>
      <c r="I1174" s="23" t="s">
        <v>2961</v>
      </c>
      <c r="J1174" s="23" t="s">
        <v>247</v>
      </c>
    </row>
    <row r="1175" spans="1:10" x14ac:dyDescent="0.2">
      <c r="A1175" s="21" t="s">
        <v>14</v>
      </c>
      <c r="B1175" s="22">
        <v>35703</v>
      </c>
      <c r="C1175" s="21" t="s">
        <v>21</v>
      </c>
      <c r="D1175" s="21" t="s">
        <v>2962</v>
      </c>
      <c r="E1175" s="21" t="s">
        <v>2963</v>
      </c>
      <c r="F1175" s="10">
        <v>9</v>
      </c>
      <c r="G1175" s="10">
        <v>1997</v>
      </c>
      <c r="H1175" s="21" t="s">
        <v>2960</v>
      </c>
      <c r="I1175" s="21" t="s">
        <v>1989</v>
      </c>
      <c r="J1175" s="21" t="s">
        <v>247</v>
      </c>
    </row>
    <row r="1176" spans="1:10" x14ac:dyDescent="0.2">
      <c r="A1176" s="23" t="s">
        <v>14</v>
      </c>
      <c r="B1176" s="24">
        <v>35699</v>
      </c>
      <c r="C1176" s="23" t="s">
        <v>21</v>
      </c>
      <c r="D1176" s="23" t="s">
        <v>2964</v>
      </c>
      <c r="E1176" s="23" t="s">
        <v>2965</v>
      </c>
      <c r="F1176" s="10">
        <v>9</v>
      </c>
      <c r="G1176" s="10">
        <v>1997</v>
      </c>
      <c r="H1176" s="23" t="s">
        <v>2960</v>
      </c>
      <c r="I1176" s="23" t="s">
        <v>2966</v>
      </c>
      <c r="J1176" s="23" t="s">
        <v>247</v>
      </c>
    </row>
    <row r="1177" spans="1:10" x14ac:dyDescent="0.2">
      <c r="A1177" s="21" t="s">
        <v>14</v>
      </c>
      <c r="B1177" s="22">
        <v>35696</v>
      </c>
      <c r="C1177" s="21" t="s">
        <v>21</v>
      </c>
      <c r="D1177" s="21" t="s">
        <v>2967</v>
      </c>
      <c r="E1177" s="21" t="s">
        <v>2968</v>
      </c>
      <c r="F1177" s="10">
        <v>9</v>
      </c>
      <c r="G1177" s="10">
        <v>1997</v>
      </c>
      <c r="H1177" s="21" t="s">
        <v>2960</v>
      </c>
      <c r="I1177" s="21" t="s">
        <v>2969</v>
      </c>
      <c r="J1177" s="21" t="s">
        <v>247</v>
      </c>
    </row>
    <row r="1178" spans="1:10" x14ac:dyDescent="0.2">
      <c r="A1178" s="23" t="s">
        <v>14</v>
      </c>
      <c r="B1178" s="24">
        <v>35692</v>
      </c>
      <c r="C1178" s="23" t="s">
        <v>21</v>
      </c>
      <c r="D1178" s="23" t="s">
        <v>2970</v>
      </c>
      <c r="E1178" s="23" t="s">
        <v>2971</v>
      </c>
      <c r="F1178" s="10">
        <v>9</v>
      </c>
      <c r="G1178" s="10">
        <v>1997</v>
      </c>
      <c r="H1178" s="23" t="s">
        <v>2960</v>
      </c>
      <c r="I1178" s="23" t="s">
        <v>2972</v>
      </c>
      <c r="J1178" s="23" t="s">
        <v>247</v>
      </c>
    </row>
    <row r="1179" spans="1:10" x14ac:dyDescent="0.2">
      <c r="A1179" s="21" t="s">
        <v>14</v>
      </c>
      <c r="B1179" s="22">
        <v>35685</v>
      </c>
      <c r="C1179" s="21" t="s">
        <v>21</v>
      </c>
      <c r="D1179" s="21" t="s">
        <v>2973</v>
      </c>
      <c r="E1179" s="21" t="s">
        <v>2974</v>
      </c>
      <c r="F1179" s="10">
        <v>9</v>
      </c>
      <c r="G1179" s="10">
        <v>1997</v>
      </c>
      <c r="H1179" s="21" t="s">
        <v>2960</v>
      </c>
      <c r="I1179" s="21" t="s">
        <v>2975</v>
      </c>
      <c r="J1179" s="21" t="s">
        <v>247</v>
      </c>
    </row>
    <row r="1180" spans="1:10" x14ac:dyDescent="0.2">
      <c r="A1180" s="23" t="s">
        <v>14</v>
      </c>
      <c r="B1180" s="24">
        <v>35684</v>
      </c>
      <c r="C1180" s="23" t="s">
        <v>21</v>
      </c>
      <c r="D1180" s="23" t="s">
        <v>2976</v>
      </c>
      <c r="E1180" s="23" t="s">
        <v>2977</v>
      </c>
      <c r="F1180" s="10">
        <v>9</v>
      </c>
      <c r="G1180" s="10">
        <v>1997</v>
      </c>
      <c r="H1180" s="23" t="s">
        <v>2960</v>
      </c>
      <c r="I1180" s="23" t="s">
        <v>2978</v>
      </c>
      <c r="J1180" s="23" t="s">
        <v>247</v>
      </c>
    </row>
    <row r="1181" spans="1:10" x14ac:dyDescent="0.2">
      <c r="A1181" s="21" t="s">
        <v>14</v>
      </c>
      <c r="B1181" s="22">
        <v>35636</v>
      </c>
      <c r="C1181" s="21" t="s">
        <v>21</v>
      </c>
      <c r="D1181" s="21" t="s">
        <v>2979</v>
      </c>
      <c r="E1181" s="21" t="s">
        <v>2980</v>
      </c>
      <c r="F1181" s="10">
        <v>7</v>
      </c>
      <c r="G1181" s="10">
        <v>1997</v>
      </c>
      <c r="H1181" s="21" t="s">
        <v>2981</v>
      </c>
      <c r="I1181" s="21" t="s">
        <v>2982</v>
      </c>
      <c r="J1181" s="21" t="s">
        <v>247</v>
      </c>
    </row>
    <row r="1182" spans="1:10" x14ac:dyDescent="0.2">
      <c r="A1182" s="23" t="s">
        <v>14</v>
      </c>
      <c r="B1182" s="24">
        <v>35626</v>
      </c>
      <c r="C1182" s="23" t="s">
        <v>21</v>
      </c>
      <c r="D1182" s="23" t="s">
        <v>2983</v>
      </c>
      <c r="E1182" s="23" t="s">
        <v>2984</v>
      </c>
      <c r="F1182" s="10">
        <v>7</v>
      </c>
      <c r="G1182" s="10">
        <v>1997</v>
      </c>
      <c r="H1182" s="23" t="s">
        <v>2981</v>
      </c>
      <c r="I1182" s="23" t="s">
        <v>2985</v>
      </c>
      <c r="J1182" s="23" t="s">
        <v>247</v>
      </c>
    </row>
    <row r="1183" spans="1:10" x14ac:dyDescent="0.2">
      <c r="A1183" s="21" t="s">
        <v>14</v>
      </c>
      <c r="B1183" s="22">
        <v>35612</v>
      </c>
      <c r="C1183" s="21" t="s">
        <v>21</v>
      </c>
      <c r="D1183" s="21" t="s">
        <v>2986</v>
      </c>
      <c r="E1183" s="21" t="s">
        <v>2987</v>
      </c>
      <c r="F1183" s="10">
        <v>7</v>
      </c>
      <c r="G1183" s="10">
        <v>1997</v>
      </c>
      <c r="H1183" s="21" t="s">
        <v>2981</v>
      </c>
      <c r="I1183" s="21" t="s">
        <v>2972</v>
      </c>
      <c r="J1183" s="21" t="s">
        <v>247</v>
      </c>
    </row>
    <row r="1184" spans="1:10" x14ac:dyDescent="0.2">
      <c r="A1184" s="23" t="s">
        <v>14</v>
      </c>
      <c r="B1184" s="24">
        <v>35607</v>
      </c>
      <c r="C1184" s="23" t="s">
        <v>21</v>
      </c>
      <c r="D1184" s="23" t="s">
        <v>2988</v>
      </c>
      <c r="E1184" s="23" t="s">
        <v>2989</v>
      </c>
      <c r="F1184" s="10">
        <v>6</v>
      </c>
      <c r="G1184" s="10">
        <v>1997</v>
      </c>
      <c r="H1184" s="23" t="s">
        <v>2990</v>
      </c>
      <c r="I1184" s="23" t="s">
        <v>2991</v>
      </c>
      <c r="J1184" s="23" t="s">
        <v>247</v>
      </c>
    </row>
    <row r="1185" spans="1:10" x14ac:dyDescent="0.2">
      <c r="A1185" s="21" t="s">
        <v>14</v>
      </c>
      <c r="B1185" s="22">
        <v>35601</v>
      </c>
      <c r="C1185" s="21" t="s">
        <v>21</v>
      </c>
      <c r="D1185" s="21" t="s">
        <v>2992</v>
      </c>
      <c r="E1185" s="21" t="s">
        <v>2993</v>
      </c>
      <c r="F1185" s="10">
        <v>6</v>
      </c>
      <c r="G1185" s="10">
        <v>1997</v>
      </c>
      <c r="H1185" s="21" t="s">
        <v>2990</v>
      </c>
      <c r="I1185" s="21" t="s">
        <v>2994</v>
      </c>
      <c r="J1185" s="21" t="s">
        <v>247</v>
      </c>
    </row>
    <row r="1186" spans="1:10" x14ac:dyDescent="0.2">
      <c r="A1186" s="23" t="s">
        <v>14</v>
      </c>
      <c r="B1186" s="24">
        <v>35594</v>
      </c>
      <c r="C1186" s="23" t="s">
        <v>21</v>
      </c>
      <c r="D1186" s="23" t="s">
        <v>2995</v>
      </c>
      <c r="E1186" s="23" t="s">
        <v>2996</v>
      </c>
      <c r="F1186" s="10">
        <v>6</v>
      </c>
      <c r="G1186" s="10">
        <v>1997</v>
      </c>
      <c r="H1186" s="23" t="s">
        <v>2990</v>
      </c>
      <c r="I1186" s="23" t="s">
        <v>2997</v>
      </c>
      <c r="J1186" s="23" t="s">
        <v>247</v>
      </c>
    </row>
    <row r="1187" spans="1:10" x14ac:dyDescent="0.2">
      <c r="A1187" s="21" t="s">
        <v>14</v>
      </c>
      <c r="B1187" s="22">
        <v>35579</v>
      </c>
      <c r="C1187" s="21" t="s">
        <v>21</v>
      </c>
      <c r="D1187" s="21" t="s">
        <v>2998</v>
      </c>
      <c r="E1187" s="21" t="s">
        <v>2999</v>
      </c>
      <c r="F1187" s="10">
        <v>5</v>
      </c>
      <c r="G1187" s="10">
        <v>1997</v>
      </c>
      <c r="H1187" s="21" t="s">
        <v>3000</v>
      </c>
      <c r="I1187" s="21" t="s">
        <v>3001</v>
      </c>
      <c r="J1187" s="21" t="s">
        <v>247</v>
      </c>
    </row>
    <row r="1188" spans="1:10" x14ac:dyDescent="0.2">
      <c r="A1188" s="23" t="s">
        <v>14</v>
      </c>
      <c r="B1188" s="24">
        <v>35573</v>
      </c>
      <c r="C1188" s="23" t="s">
        <v>21</v>
      </c>
      <c r="D1188" s="23" t="s">
        <v>3002</v>
      </c>
      <c r="E1188" s="23" t="s">
        <v>3003</v>
      </c>
      <c r="F1188" s="10">
        <v>5</v>
      </c>
      <c r="G1188" s="10">
        <v>1997</v>
      </c>
      <c r="H1188" s="23" t="s">
        <v>3000</v>
      </c>
      <c r="I1188" s="23" t="s">
        <v>3004</v>
      </c>
      <c r="J1188" s="23" t="s">
        <v>247</v>
      </c>
    </row>
    <row r="1189" spans="1:10" x14ac:dyDescent="0.2">
      <c r="A1189" s="21" t="s">
        <v>14</v>
      </c>
      <c r="B1189" s="22">
        <v>35559</v>
      </c>
      <c r="C1189" s="21" t="s">
        <v>21</v>
      </c>
      <c r="D1189" s="21" t="s">
        <v>3005</v>
      </c>
      <c r="E1189" s="21" t="s">
        <v>3006</v>
      </c>
      <c r="F1189" s="10">
        <v>5</v>
      </c>
      <c r="G1189" s="10">
        <v>1997</v>
      </c>
      <c r="H1189" s="21" t="s">
        <v>3000</v>
      </c>
      <c r="I1189" s="21" t="s">
        <v>3007</v>
      </c>
      <c r="J1189" s="21" t="s">
        <v>247</v>
      </c>
    </row>
    <row r="1190" spans="1:10" x14ac:dyDescent="0.2">
      <c r="A1190" s="23" t="s">
        <v>14</v>
      </c>
      <c r="B1190" s="24">
        <v>35535</v>
      </c>
      <c r="C1190" s="23" t="s">
        <v>21</v>
      </c>
      <c r="D1190" s="23" t="s">
        <v>3008</v>
      </c>
      <c r="E1190" s="23" t="s">
        <v>3009</v>
      </c>
      <c r="F1190" s="10">
        <v>4</v>
      </c>
      <c r="G1190" s="10">
        <v>1997</v>
      </c>
      <c r="H1190" s="23" t="s">
        <v>3010</v>
      </c>
      <c r="I1190" s="23" t="s">
        <v>3011</v>
      </c>
      <c r="J1190" s="23" t="s">
        <v>247</v>
      </c>
    </row>
    <row r="1191" spans="1:10" x14ac:dyDescent="0.2">
      <c r="A1191" s="21" t="s">
        <v>14</v>
      </c>
      <c r="B1191" s="22">
        <v>35524</v>
      </c>
      <c r="C1191" s="21" t="s">
        <v>21</v>
      </c>
      <c r="D1191" s="21" t="s">
        <v>3012</v>
      </c>
      <c r="E1191" s="21" t="s">
        <v>3013</v>
      </c>
      <c r="F1191" s="10">
        <v>4</v>
      </c>
      <c r="G1191" s="10">
        <v>1997</v>
      </c>
      <c r="H1191" s="21" t="s">
        <v>3010</v>
      </c>
      <c r="I1191" s="21" t="s">
        <v>3014</v>
      </c>
      <c r="J1191" s="21" t="s">
        <v>247</v>
      </c>
    </row>
    <row r="1192" spans="1:10" x14ac:dyDescent="0.2">
      <c r="A1192" s="23" t="s">
        <v>14</v>
      </c>
      <c r="B1192" s="24">
        <v>35517</v>
      </c>
      <c r="C1192" s="23" t="s">
        <v>21</v>
      </c>
      <c r="D1192" s="23" t="s">
        <v>3015</v>
      </c>
      <c r="E1192" s="23" t="s">
        <v>3016</v>
      </c>
      <c r="F1192" s="10">
        <v>3</v>
      </c>
      <c r="G1192" s="10">
        <v>1997</v>
      </c>
      <c r="H1192" s="23" t="s">
        <v>3017</v>
      </c>
      <c r="I1192" s="23" t="s">
        <v>3018</v>
      </c>
      <c r="J1192" s="23" t="s">
        <v>247</v>
      </c>
    </row>
    <row r="1193" spans="1:10" x14ac:dyDescent="0.2">
      <c r="A1193" s="21" t="s">
        <v>14</v>
      </c>
      <c r="B1193" s="22">
        <v>35503</v>
      </c>
      <c r="C1193" s="21" t="s">
        <v>21</v>
      </c>
      <c r="D1193" s="21" t="s">
        <v>3019</v>
      </c>
      <c r="E1193" s="21" t="s">
        <v>3020</v>
      </c>
      <c r="F1193" s="10">
        <v>3</v>
      </c>
      <c r="G1193" s="10">
        <v>1997</v>
      </c>
      <c r="H1193" s="21" t="s">
        <v>3017</v>
      </c>
      <c r="I1193" s="21" t="s">
        <v>3021</v>
      </c>
      <c r="J1193" s="21" t="s">
        <v>247</v>
      </c>
    </row>
    <row r="1194" spans="1:10" x14ac:dyDescent="0.2">
      <c r="A1194" s="23" t="s">
        <v>14</v>
      </c>
      <c r="B1194" s="24">
        <v>35503</v>
      </c>
      <c r="C1194" s="23" t="s">
        <v>21</v>
      </c>
      <c r="D1194" s="23" t="s">
        <v>3022</v>
      </c>
      <c r="E1194" s="23" t="s">
        <v>3023</v>
      </c>
      <c r="F1194" s="10">
        <v>3</v>
      </c>
      <c r="G1194" s="10">
        <v>1997</v>
      </c>
      <c r="H1194" s="23" t="s">
        <v>3017</v>
      </c>
      <c r="I1194" s="23" t="s">
        <v>3024</v>
      </c>
      <c r="J1194" s="23" t="s">
        <v>247</v>
      </c>
    </row>
    <row r="1195" spans="1:10" x14ac:dyDescent="0.2">
      <c r="A1195" s="21" t="s">
        <v>14</v>
      </c>
      <c r="B1195" s="22">
        <v>35496</v>
      </c>
      <c r="C1195" s="21" t="s">
        <v>21</v>
      </c>
      <c r="D1195" s="21" t="s">
        <v>3025</v>
      </c>
      <c r="E1195" s="21" t="s">
        <v>3026</v>
      </c>
      <c r="F1195" s="10">
        <v>3</v>
      </c>
      <c r="G1195" s="10">
        <v>1997</v>
      </c>
      <c r="H1195" s="21" t="s">
        <v>3017</v>
      </c>
      <c r="I1195" s="21" t="s">
        <v>3027</v>
      </c>
      <c r="J1195" s="21" t="s">
        <v>247</v>
      </c>
    </row>
    <row r="1196" spans="1:10" x14ac:dyDescent="0.2">
      <c r="A1196" s="23" t="s">
        <v>14</v>
      </c>
      <c r="B1196" s="24">
        <v>35488</v>
      </c>
      <c r="C1196" s="23" t="s">
        <v>21</v>
      </c>
      <c r="D1196" s="23" t="s">
        <v>3028</v>
      </c>
      <c r="E1196" s="23" t="s">
        <v>3029</v>
      </c>
      <c r="F1196" s="10">
        <v>2</v>
      </c>
      <c r="G1196" s="10">
        <v>1997</v>
      </c>
      <c r="H1196" s="23" t="s">
        <v>3030</v>
      </c>
      <c r="I1196" s="23" t="s">
        <v>3031</v>
      </c>
      <c r="J1196" s="23" t="s">
        <v>247</v>
      </c>
    </row>
    <row r="1197" spans="1:10" x14ac:dyDescent="0.2">
      <c r="A1197" s="21" t="s">
        <v>14</v>
      </c>
      <c r="B1197" s="22">
        <v>35459</v>
      </c>
      <c r="C1197" s="21" t="s">
        <v>21</v>
      </c>
      <c r="D1197" s="21" t="s">
        <v>3032</v>
      </c>
      <c r="E1197" s="21" t="s">
        <v>3033</v>
      </c>
      <c r="F1197" s="10">
        <v>1</v>
      </c>
      <c r="G1197" s="10">
        <v>1997</v>
      </c>
      <c r="H1197" s="21" t="s">
        <v>3034</v>
      </c>
      <c r="I1197" s="21" t="s">
        <v>3035</v>
      </c>
      <c r="J1197" s="21" t="s">
        <v>247</v>
      </c>
    </row>
    <row r="1198" spans="1:10" x14ac:dyDescent="0.2">
      <c r="A1198" s="23" t="s">
        <v>65</v>
      </c>
      <c r="B1198" s="24">
        <v>35425</v>
      </c>
      <c r="C1198" s="23" t="s">
        <v>15</v>
      </c>
      <c r="D1198" s="23" t="s">
        <v>387</v>
      </c>
      <c r="E1198" s="23" t="s">
        <v>387</v>
      </c>
      <c r="F1198" s="10">
        <v>12</v>
      </c>
      <c r="G1198" s="10">
        <v>1996</v>
      </c>
      <c r="H1198" s="23" t="s">
        <v>3036</v>
      </c>
      <c r="I1198" s="23" t="s">
        <v>2786</v>
      </c>
      <c r="J1198" s="23" t="s">
        <v>3037</v>
      </c>
    </row>
    <row r="1199" spans="1:10" x14ac:dyDescent="0.2">
      <c r="A1199" s="21" t="s">
        <v>65</v>
      </c>
      <c r="B1199" s="22">
        <v>35425</v>
      </c>
      <c r="C1199" s="21" t="s">
        <v>15</v>
      </c>
      <c r="D1199" s="21" t="s">
        <v>2810</v>
      </c>
      <c r="E1199" s="21" t="s">
        <v>2810</v>
      </c>
      <c r="F1199" s="10">
        <v>12</v>
      </c>
      <c r="G1199" s="10">
        <v>1996</v>
      </c>
      <c r="H1199" s="21" t="s">
        <v>3036</v>
      </c>
      <c r="I1199" s="21" t="s">
        <v>2769</v>
      </c>
      <c r="J1199" s="21" t="s">
        <v>3037</v>
      </c>
    </row>
    <row r="1200" spans="1:10" x14ac:dyDescent="0.2">
      <c r="A1200" s="23" t="s">
        <v>14</v>
      </c>
      <c r="B1200" s="24">
        <v>35423</v>
      </c>
      <c r="C1200" s="23" t="s">
        <v>21</v>
      </c>
      <c r="D1200" s="23" t="s">
        <v>3038</v>
      </c>
      <c r="E1200" s="23" t="s">
        <v>3039</v>
      </c>
      <c r="F1200" s="10">
        <v>12</v>
      </c>
      <c r="G1200" s="10">
        <v>1996</v>
      </c>
      <c r="H1200" s="23" t="s">
        <v>3036</v>
      </c>
      <c r="I1200" s="23" t="s">
        <v>3040</v>
      </c>
      <c r="J1200" s="23" t="s">
        <v>247</v>
      </c>
    </row>
    <row r="1201" spans="1:10" x14ac:dyDescent="0.2">
      <c r="A1201" s="21" t="s">
        <v>14</v>
      </c>
      <c r="B1201" s="22">
        <v>35423</v>
      </c>
      <c r="C1201" s="21" t="s">
        <v>21</v>
      </c>
      <c r="D1201" s="21" t="s">
        <v>3041</v>
      </c>
      <c r="E1201" s="21" t="s">
        <v>3042</v>
      </c>
      <c r="F1201" s="10">
        <v>12</v>
      </c>
      <c r="G1201" s="10">
        <v>1996</v>
      </c>
      <c r="H1201" s="21" t="s">
        <v>3036</v>
      </c>
      <c r="I1201" s="21" t="s">
        <v>3043</v>
      </c>
      <c r="J1201" s="21" t="s">
        <v>247</v>
      </c>
    </row>
    <row r="1202" spans="1:10" x14ac:dyDescent="0.2">
      <c r="A1202" s="23" t="s">
        <v>14</v>
      </c>
      <c r="B1202" s="24">
        <v>35422</v>
      </c>
      <c r="C1202" s="23" t="s">
        <v>21</v>
      </c>
      <c r="D1202" s="23" t="s">
        <v>3044</v>
      </c>
      <c r="E1202" s="23" t="s">
        <v>3045</v>
      </c>
      <c r="F1202" s="10">
        <v>12</v>
      </c>
      <c r="G1202" s="10">
        <v>1996</v>
      </c>
      <c r="H1202" s="23" t="s">
        <v>3036</v>
      </c>
      <c r="I1202" s="23" t="s">
        <v>3046</v>
      </c>
      <c r="J1202" s="23" t="s">
        <v>247</v>
      </c>
    </row>
    <row r="1203" spans="1:10" x14ac:dyDescent="0.2">
      <c r="A1203" s="21" t="s">
        <v>14</v>
      </c>
      <c r="B1203" s="22">
        <v>35422</v>
      </c>
      <c r="C1203" s="21" t="s">
        <v>21</v>
      </c>
      <c r="D1203" s="21" t="s">
        <v>3047</v>
      </c>
      <c r="E1203" s="21" t="s">
        <v>3048</v>
      </c>
      <c r="F1203" s="10">
        <v>12</v>
      </c>
      <c r="G1203" s="10">
        <v>1996</v>
      </c>
      <c r="H1203" s="21" t="s">
        <v>3036</v>
      </c>
      <c r="I1203" s="21" t="s">
        <v>1989</v>
      </c>
      <c r="J1203" s="21" t="s">
        <v>247</v>
      </c>
    </row>
    <row r="1204" spans="1:10" x14ac:dyDescent="0.2">
      <c r="A1204" s="23" t="s">
        <v>14</v>
      </c>
      <c r="B1204" s="24">
        <v>35419</v>
      </c>
      <c r="C1204" s="23" t="s">
        <v>21</v>
      </c>
      <c r="D1204" s="23" t="s">
        <v>3049</v>
      </c>
      <c r="E1204" s="23" t="s">
        <v>3050</v>
      </c>
      <c r="F1204" s="10">
        <v>12</v>
      </c>
      <c r="G1204" s="10">
        <v>1996</v>
      </c>
      <c r="H1204" s="23" t="s">
        <v>3036</v>
      </c>
      <c r="I1204" s="23" t="s">
        <v>3051</v>
      </c>
      <c r="J1204" s="23" t="s">
        <v>247</v>
      </c>
    </row>
    <row r="1205" spans="1:10" x14ac:dyDescent="0.2">
      <c r="A1205" s="21" t="s">
        <v>65</v>
      </c>
      <c r="B1205" s="22">
        <v>35419</v>
      </c>
      <c r="C1205" s="21" t="s">
        <v>15</v>
      </c>
      <c r="D1205" s="21" t="s">
        <v>3052</v>
      </c>
      <c r="E1205" s="21" t="s">
        <v>3052</v>
      </c>
      <c r="F1205" s="10">
        <v>12</v>
      </c>
      <c r="G1205" s="10">
        <v>1996</v>
      </c>
      <c r="H1205" s="21" t="s">
        <v>3036</v>
      </c>
      <c r="I1205" s="21" t="s">
        <v>3053</v>
      </c>
      <c r="J1205" s="21" t="s">
        <v>3037</v>
      </c>
    </row>
    <row r="1206" spans="1:10" x14ac:dyDescent="0.2">
      <c r="A1206" s="23" t="s">
        <v>14</v>
      </c>
      <c r="B1206" s="24">
        <v>35418</v>
      </c>
      <c r="C1206" s="23" t="s">
        <v>21</v>
      </c>
      <c r="D1206" s="23" t="s">
        <v>3054</v>
      </c>
      <c r="E1206" s="23" t="s">
        <v>3055</v>
      </c>
      <c r="F1206" s="10">
        <v>12</v>
      </c>
      <c r="G1206" s="10">
        <v>1996</v>
      </c>
      <c r="H1206" s="23" t="s">
        <v>3036</v>
      </c>
      <c r="I1206" s="23" t="s">
        <v>3056</v>
      </c>
      <c r="J1206" s="23" t="s">
        <v>247</v>
      </c>
    </row>
    <row r="1207" spans="1:10" x14ac:dyDescent="0.2">
      <c r="A1207" s="21" t="s">
        <v>14</v>
      </c>
      <c r="B1207" s="22">
        <v>35418</v>
      </c>
      <c r="C1207" s="21" t="s">
        <v>21</v>
      </c>
      <c r="D1207" s="21" t="s">
        <v>3057</v>
      </c>
      <c r="E1207" s="21" t="s">
        <v>3058</v>
      </c>
      <c r="F1207" s="10">
        <v>12</v>
      </c>
      <c r="G1207" s="10">
        <v>1996</v>
      </c>
      <c r="H1207" s="21" t="s">
        <v>3036</v>
      </c>
      <c r="I1207" s="21" t="s">
        <v>3059</v>
      </c>
      <c r="J1207" s="21" t="s">
        <v>247</v>
      </c>
    </row>
    <row r="1208" spans="1:10" x14ac:dyDescent="0.2">
      <c r="A1208" s="23" t="s">
        <v>14</v>
      </c>
      <c r="B1208" s="24">
        <v>35417</v>
      </c>
      <c r="C1208" s="23" t="s">
        <v>21</v>
      </c>
      <c r="D1208" s="23" t="s">
        <v>3060</v>
      </c>
      <c r="E1208" s="23" t="s">
        <v>3061</v>
      </c>
      <c r="F1208" s="10">
        <v>12</v>
      </c>
      <c r="G1208" s="10">
        <v>1996</v>
      </c>
      <c r="H1208" s="23" t="s">
        <v>3036</v>
      </c>
      <c r="I1208" s="23" t="s">
        <v>3062</v>
      </c>
      <c r="J1208" s="23" t="s">
        <v>247</v>
      </c>
    </row>
    <row r="1209" spans="1:10" x14ac:dyDescent="0.2">
      <c r="A1209" s="21" t="s">
        <v>14</v>
      </c>
      <c r="B1209" s="22">
        <v>35417</v>
      </c>
      <c r="C1209" s="21" t="s">
        <v>21</v>
      </c>
      <c r="D1209" s="21" t="s">
        <v>3063</v>
      </c>
      <c r="E1209" s="21" t="s">
        <v>3064</v>
      </c>
      <c r="F1209" s="10">
        <v>12</v>
      </c>
      <c r="G1209" s="10">
        <v>1996</v>
      </c>
      <c r="H1209" s="21" t="s">
        <v>3036</v>
      </c>
      <c r="I1209" s="21" t="s">
        <v>3065</v>
      </c>
      <c r="J1209" s="21" t="s">
        <v>247</v>
      </c>
    </row>
    <row r="1210" spans="1:10" x14ac:dyDescent="0.2">
      <c r="A1210" s="23" t="s">
        <v>14</v>
      </c>
      <c r="B1210" s="24">
        <v>35416</v>
      </c>
      <c r="C1210" s="23" t="s">
        <v>21</v>
      </c>
      <c r="D1210" s="23" t="s">
        <v>3066</v>
      </c>
      <c r="E1210" s="23" t="s">
        <v>3067</v>
      </c>
      <c r="F1210" s="10">
        <v>12</v>
      </c>
      <c r="G1210" s="10">
        <v>1996</v>
      </c>
      <c r="H1210" s="23" t="s">
        <v>3036</v>
      </c>
      <c r="I1210" s="23" t="s">
        <v>3068</v>
      </c>
      <c r="J1210" s="23" t="s">
        <v>247</v>
      </c>
    </row>
    <row r="1211" spans="1:10" x14ac:dyDescent="0.2">
      <c r="A1211" s="21" t="s">
        <v>14</v>
      </c>
      <c r="B1211" s="22">
        <v>35416</v>
      </c>
      <c r="C1211" s="21" t="s">
        <v>21</v>
      </c>
      <c r="D1211" s="21" t="s">
        <v>3069</v>
      </c>
      <c r="E1211" s="21" t="s">
        <v>3070</v>
      </c>
      <c r="F1211" s="10">
        <v>12</v>
      </c>
      <c r="G1211" s="10">
        <v>1996</v>
      </c>
      <c r="H1211" s="21" t="s">
        <v>3036</v>
      </c>
      <c r="I1211" s="21" t="s">
        <v>3071</v>
      </c>
      <c r="J1211" s="21" t="s">
        <v>247</v>
      </c>
    </row>
    <row r="1212" spans="1:10" x14ac:dyDescent="0.2">
      <c r="A1212" s="23" t="s">
        <v>65</v>
      </c>
      <c r="B1212" s="24">
        <v>35410</v>
      </c>
      <c r="C1212" s="23" t="s">
        <v>15</v>
      </c>
      <c r="D1212" s="23" t="s">
        <v>387</v>
      </c>
      <c r="E1212" s="23" t="s">
        <v>387</v>
      </c>
      <c r="F1212" s="10">
        <v>12</v>
      </c>
      <c r="G1212" s="10">
        <v>1996</v>
      </c>
      <c r="H1212" s="23" t="s">
        <v>3036</v>
      </c>
      <c r="I1212" s="23" t="s">
        <v>2786</v>
      </c>
      <c r="J1212" s="23" t="s">
        <v>3037</v>
      </c>
    </row>
    <row r="1213" spans="1:10" x14ac:dyDescent="0.2">
      <c r="A1213" s="21" t="s">
        <v>14</v>
      </c>
      <c r="B1213" s="22">
        <v>35408</v>
      </c>
      <c r="C1213" s="21" t="s">
        <v>21</v>
      </c>
      <c r="D1213" s="21" t="s">
        <v>3072</v>
      </c>
      <c r="E1213" s="21" t="s">
        <v>3073</v>
      </c>
      <c r="F1213" s="10">
        <v>12</v>
      </c>
      <c r="G1213" s="10">
        <v>1996</v>
      </c>
      <c r="H1213" s="21" t="s">
        <v>3036</v>
      </c>
      <c r="I1213" s="21" t="s">
        <v>3074</v>
      </c>
      <c r="J1213" s="21" t="s">
        <v>247</v>
      </c>
    </row>
    <row r="1214" spans="1:10" x14ac:dyDescent="0.2">
      <c r="A1214" s="23" t="s">
        <v>14</v>
      </c>
      <c r="B1214" s="24">
        <v>35405</v>
      </c>
      <c r="C1214" s="23" t="s">
        <v>21</v>
      </c>
      <c r="D1214" s="23" t="s">
        <v>3075</v>
      </c>
      <c r="E1214" s="23" t="s">
        <v>3076</v>
      </c>
      <c r="F1214" s="10">
        <v>12</v>
      </c>
      <c r="G1214" s="10">
        <v>1996</v>
      </c>
      <c r="H1214" s="23" t="s">
        <v>3036</v>
      </c>
      <c r="I1214" s="23" t="s">
        <v>3077</v>
      </c>
      <c r="J1214" s="23" t="s">
        <v>247</v>
      </c>
    </row>
    <row r="1215" spans="1:10" x14ac:dyDescent="0.2">
      <c r="A1215" s="21" t="s">
        <v>14</v>
      </c>
      <c r="B1215" s="22">
        <v>35396</v>
      </c>
      <c r="C1215" s="21" t="s">
        <v>21</v>
      </c>
      <c r="D1215" s="21" t="s">
        <v>3078</v>
      </c>
      <c r="E1215" s="21" t="s">
        <v>3079</v>
      </c>
      <c r="F1215" s="10">
        <v>11</v>
      </c>
      <c r="G1215" s="10">
        <v>1996</v>
      </c>
      <c r="H1215" s="21" t="s">
        <v>3080</v>
      </c>
      <c r="I1215" s="21" t="s">
        <v>3081</v>
      </c>
      <c r="J1215" s="21" t="s">
        <v>247</v>
      </c>
    </row>
    <row r="1216" spans="1:10" x14ac:dyDescent="0.2">
      <c r="A1216" s="23" t="s">
        <v>14</v>
      </c>
      <c r="B1216" s="24">
        <v>35394</v>
      </c>
      <c r="C1216" s="23" t="s">
        <v>21</v>
      </c>
      <c r="D1216" s="23" t="s">
        <v>3082</v>
      </c>
      <c r="E1216" s="23" t="s">
        <v>3083</v>
      </c>
      <c r="F1216" s="10">
        <v>11</v>
      </c>
      <c r="G1216" s="10">
        <v>1996</v>
      </c>
      <c r="H1216" s="23" t="s">
        <v>3080</v>
      </c>
      <c r="I1216" s="23" t="s">
        <v>2530</v>
      </c>
      <c r="J1216" s="23" t="s">
        <v>247</v>
      </c>
    </row>
    <row r="1217" spans="1:10" x14ac:dyDescent="0.2">
      <c r="A1217" s="21" t="s">
        <v>14</v>
      </c>
      <c r="B1217" s="22">
        <v>35391</v>
      </c>
      <c r="C1217" s="21" t="s">
        <v>21</v>
      </c>
      <c r="D1217" s="21" t="s">
        <v>3084</v>
      </c>
      <c r="E1217" s="21" t="s">
        <v>3085</v>
      </c>
      <c r="F1217" s="10">
        <v>11</v>
      </c>
      <c r="G1217" s="10">
        <v>1996</v>
      </c>
      <c r="H1217" s="21" t="s">
        <v>3080</v>
      </c>
      <c r="I1217" s="21" t="s">
        <v>3086</v>
      </c>
      <c r="J1217" s="21" t="s">
        <v>247</v>
      </c>
    </row>
    <row r="1218" spans="1:10" x14ac:dyDescent="0.2">
      <c r="A1218" s="23" t="s">
        <v>65</v>
      </c>
      <c r="B1218" s="24">
        <v>35390</v>
      </c>
      <c r="C1218" s="23" t="s">
        <v>15</v>
      </c>
      <c r="D1218" s="23" t="s">
        <v>2772</v>
      </c>
      <c r="E1218" s="23" t="s">
        <v>2772</v>
      </c>
      <c r="F1218" s="10">
        <v>11</v>
      </c>
      <c r="G1218" s="10">
        <v>1996</v>
      </c>
      <c r="H1218" s="23" t="s">
        <v>3080</v>
      </c>
      <c r="I1218" s="23" t="s">
        <v>2769</v>
      </c>
      <c r="J1218" s="23" t="s">
        <v>3037</v>
      </c>
    </row>
    <row r="1219" spans="1:10" x14ac:dyDescent="0.2">
      <c r="A1219" s="21" t="s">
        <v>65</v>
      </c>
      <c r="B1219" s="22">
        <v>35382</v>
      </c>
      <c r="C1219" s="21" t="s">
        <v>15</v>
      </c>
      <c r="D1219" s="21" t="s">
        <v>2838</v>
      </c>
      <c r="E1219" s="21" t="s">
        <v>2838</v>
      </c>
      <c r="F1219" s="10">
        <v>11</v>
      </c>
      <c r="G1219" s="10">
        <v>1996</v>
      </c>
      <c r="H1219" s="21" t="s">
        <v>3080</v>
      </c>
      <c r="I1219" s="21" t="s">
        <v>2769</v>
      </c>
      <c r="J1219" s="21" t="s">
        <v>3037</v>
      </c>
    </row>
    <row r="1220" spans="1:10" x14ac:dyDescent="0.2">
      <c r="A1220" s="23" t="s">
        <v>14</v>
      </c>
      <c r="B1220" s="24">
        <v>35370</v>
      </c>
      <c r="C1220" s="23" t="s">
        <v>21</v>
      </c>
      <c r="D1220" s="23" t="s">
        <v>3087</v>
      </c>
      <c r="E1220" s="23" t="s">
        <v>3088</v>
      </c>
      <c r="F1220" s="10">
        <v>11</v>
      </c>
      <c r="G1220" s="10">
        <v>1996</v>
      </c>
      <c r="H1220" s="23" t="s">
        <v>3080</v>
      </c>
      <c r="I1220" s="23" t="s">
        <v>3089</v>
      </c>
      <c r="J1220" s="23" t="s">
        <v>247</v>
      </c>
    </row>
    <row r="1221" spans="1:10" x14ac:dyDescent="0.2">
      <c r="A1221" s="21" t="s">
        <v>14</v>
      </c>
      <c r="B1221" s="22">
        <v>35368</v>
      </c>
      <c r="C1221" s="21" t="s">
        <v>15</v>
      </c>
      <c r="D1221" s="21" t="s">
        <v>3090</v>
      </c>
      <c r="E1221" s="21" t="s">
        <v>3091</v>
      </c>
      <c r="F1221" s="10">
        <v>10</v>
      </c>
      <c r="G1221" s="10">
        <v>1996</v>
      </c>
      <c r="H1221" s="21" t="s">
        <v>3092</v>
      </c>
      <c r="I1221" s="21" t="s">
        <v>3093</v>
      </c>
      <c r="J1221" s="21" t="s">
        <v>247</v>
      </c>
    </row>
    <row r="1222" spans="1:10" x14ac:dyDescent="0.2">
      <c r="A1222" s="23" t="s">
        <v>14</v>
      </c>
      <c r="B1222" s="24">
        <v>35366</v>
      </c>
      <c r="C1222" s="23" t="s">
        <v>15</v>
      </c>
      <c r="D1222" s="23" t="s">
        <v>3094</v>
      </c>
      <c r="E1222" s="23" t="s">
        <v>3095</v>
      </c>
      <c r="F1222" s="10">
        <v>10</v>
      </c>
      <c r="G1222" s="10">
        <v>1996</v>
      </c>
      <c r="H1222" s="23" t="s">
        <v>3092</v>
      </c>
      <c r="I1222" s="23" t="s">
        <v>3096</v>
      </c>
      <c r="J1222" s="23" t="s">
        <v>247</v>
      </c>
    </row>
    <row r="1223" spans="1:10" x14ac:dyDescent="0.2">
      <c r="A1223" s="21" t="s">
        <v>14</v>
      </c>
      <c r="B1223" s="22">
        <v>35363</v>
      </c>
      <c r="C1223" s="21" t="s">
        <v>21</v>
      </c>
      <c r="D1223" s="21" t="s">
        <v>3097</v>
      </c>
      <c r="E1223" s="21" t="s">
        <v>3098</v>
      </c>
      <c r="F1223" s="10">
        <v>10</v>
      </c>
      <c r="G1223" s="10">
        <v>1996</v>
      </c>
      <c r="H1223" s="21" t="s">
        <v>3092</v>
      </c>
      <c r="I1223" s="21" t="s">
        <v>3099</v>
      </c>
      <c r="J1223" s="21" t="s">
        <v>247</v>
      </c>
    </row>
    <row r="1224" spans="1:10" x14ac:dyDescent="0.2">
      <c r="A1224" s="23" t="s">
        <v>65</v>
      </c>
      <c r="B1224" s="24">
        <v>35359</v>
      </c>
      <c r="C1224" s="23" t="s">
        <v>15</v>
      </c>
      <c r="D1224" s="23" t="s">
        <v>387</v>
      </c>
      <c r="E1224" s="23" t="s">
        <v>387</v>
      </c>
      <c r="F1224" s="10">
        <v>10</v>
      </c>
      <c r="G1224" s="10">
        <v>1996</v>
      </c>
      <c r="H1224" s="23" t="s">
        <v>3092</v>
      </c>
      <c r="I1224" s="23" t="s">
        <v>3100</v>
      </c>
      <c r="J1224" s="23" t="s">
        <v>3037</v>
      </c>
    </row>
    <row r="1225" spans="1:10" x14ac:dyDescent="0.2">
      <c r="A1225" s="21" t="s">
        <v>14</v>
      </c>
      <c r="B1225" s="22">
        <v>35356</v>
      </c>
      <c r="C1225" s="21" t="s">
        <v>21</v>
      </c>
      <c r="D1225" s="21" t="s">
        <v>3101</v>
      </c>
      <c r="E1225" s="21" t="s">
        <v>3102</v>
      </c>
      <c r="F1225" s="10">
        <v>10</v>
      </c>
      <c r="G1225" s="10">
        <v>1996</v>
      </c>
      <c r="H1225" s="21" t="s">
        <v>3092</v>
      </c>
      <c r="I1225" s="21" t="s">
        <v>3103</v>
      </c>
      <c r="J1225" s="21" t="s">
        <v>247</v>
      </c>
    </row>
    <row r="1226" spans="1:10" x14ac:dyDescent="0.2">
      <c r="A1226" s="23" t="s">
        <v>65</v>
      </c>
      <c r="B1226" s="24">
        <v>35348</v>
      </c>
      <c r="C1226" s="23" t="s">
        <v>15</v>
      </c>
      <c r="D1226" s="23" t="s">
        <v>2770</v>
      </c>
      <c r="E1226" s="23" t="s">
        <v>2770</v>
      </c>
      <c r="F1226" s="10">
        <v>10</v>
      </c>
      <c r="G1226" s="10">
        <v>1996</v>
      </c>
      <c r="H1226" s="23" t="s">
        <v>3092</v>
      </c>
      <c r="I1226" s="23" t="s">
        <v>2769</v>
      </c>
      <c r="J1226" s="23" t="s">
        <v>3037</v>
      </c>
    </row>
    <row r="1227" spans="1:10" x14ac:dyDescent="0.2">
      <c r="A1227" s="21" t="s">
        <v>65</v>
      </c>
      <c r="B1227" s="22">
        <v>35348</v>
      </c>
      <c r="C1227" s="21" t="s">
        <v>15</v>
      </c>
      <c r="D1227" s="21" t="s">
        <v>2771</v>
      </c>
      <c r="E1227" s="21" t="s">
        <v>2771</v>
      </c>
      <c r="F1227" s="10">
        <v>10</v>
      </c>
      <c r="G1227" s="10">
        <v>1996</v>
      </c>
      <c r="H1227" s="21" t="s">
        <v>3092</v>
      </c>
      <c r="I1227" s="21" t="s">
        <v>2769</v>
      </c>
      <c r="J1227" s="21" t="s">
        <v>3037</v>
      </c>
    </row>
    <row r="1228" spans="1:10" x14ac:dyDescent="0.2">
      <c r="A1228" s="23" t="s">
        <v>65</v>
      </c>
      <c r="B1228" s="24">
        <v>35341</v>
      </c>
      <c r="C1228" s="23" t="s">
        <v>15</v>
      </c>
      <c r="D1228" s="23" t="s">
        <v>2810</v>
      </c>
      <c r="E1228" s="23" t="s">
        <v>2810</v>
      </c>
      <c r="F1228" s="10">
        <v>10</v>
      </c>
      <c r="G1228" s="10">
        <v>1996</v>
      </c>
      <c r="H1228" s="23" t="s">
        <v>3092</v>
      </c>
      <c r="I1228" s="23" t="s">
        <v>3104</v>
      </c>
      <c r="J1228" s="23" t="s">
        <v>3037</v>
      </c>
    </row>
    <row r="1229" spans="1:10" x14ac:dyDescent="0.2">
      <c r="A1229" s="21" t="s">
        <v>65</v>
      </c>
      <c r="B1229" s="22">
        <v>35340</v>
      </c>
      <c r="C1229" s="21" t="s">
        <v>15</v>
      </c>
      <c r="D1229" s="21" t="s">
        <v>3105</v>
      </c>
      <c r="E1229" s="21" t="s">
        <v>3105</v>
      </c>
      <c r="F1229" s="10">
        <v>10</v>
      </c>
      <c r="G1229" s="10">
        <v>1996</v>
      </c>
      <c r="H1229" s="21" t="s">
        <v>3092</v>
      </c>
      <c r="I1229" s="21" t="s">
        <v>3106</v>
      </c>
      <c r="J1229" s="21" t="s">
        <v>3037</v>
      </c>
    </row>
    <row r="1230" spans="1:10" x14ac:dyDescent="0.2">
      <c r="A1230" s="23" t="s">
        <v>14</v>
      </c>
      <c r="B1230" s="24">
        <v>35338</v>
      </c>
      <c r="C1230" s="23" t="s">
        <v>21</v>
      </c>
      <c r="D1230" s="23" t="s">
        <v>3107</v>
      </c>
      <c r="E1230" s="23" t="s">
        <v>3108</v>
      </c>
      <c r="F1230" s="10">
        <v>9</v>
      </c>
      <c r="G1230" s="10">
        <v>1996</v>
      </c>
      <c r="H1230" s="23" t="s">
        <v>3109</v>
      </c>
      <c r="I1230" s="23" t="s">
        <v>2966</v>
      </c>
      <c r="J1230" s="23" t="s">
        <v>247</v>
      </c>
    </row>
    <row r="1231" spans="1:10" x14ac:dyDescent="0.2">
      <c r="A1231" s="21" t="s">
        <v>14</v>
      </c>
      <c r="B1231" s="22">
        <v>35334</v>
      </c>
      <c r="C1231" s="21" t="s">
        <v>21</v>
      </c>
      <c r="D1231" s="21" t="s">
        <v>3110</v>
      </c>
      <c r="E1231" s="21" t="s">
        <v>3111</v>
      </c>
      <c r="F1231" s="10">
        <v>9</v>
      </c>
      <c r="G1231" s="10">
        <v>1996</v>
      </c>
      <c r="H1231" s="21" t="s">
        <v>3109</v>
      </c>
      <c r="I1231" s="21" t="s">
        <v>3074</v>
      </c>
      <c r="J1231" s="21" t="s">
        <v>247</v>
      </c>
    </row>
    <row r="1232" spans="1:10" x14ac:dyDescent="0.2">
      <c r="A1232" s="23" t="s">
        <v>14</v>
      </c>
      <c r="B1232" s="24">
        <v>35334</v>
      </c>
      <c r="C1232" s="23" t="s">
        <v>21</v>
      </c>
      <c r="D1232" s="23" t="s">
        <v>3112</v>
      </c>
      <c r="E1232" s="23" t="s">
        <v>3113</v>
      </c>
      <c r="F1232" s="10">
        <v>9</v>
      </c>
      <c r="G1232" s="10">
        <v>1996</v>
      </c>
      <c r="H1232" s="23" t="s">
        <v>3109</v>
      </c>
      <c r="I1232" s="23" t="s">
        <v>3114</v>
      </c>
      <c r="J1232" s="23" t="s">
        <v>247</v>
      </c>
    </row>
    <row r="1233" spans="1:10" x14ac:dyDescent="0.2">
      <c r="A1233" s="21" t="s">
        <v>14</v>
      </c>
      <c r="B1233" s="22">
        <v>35332</v>
      </c>
      <c r="C1233" s="21" t="s">
        <v>21</v>
      </c>
      <c r="D1233" s="21" t="s">
        <v>3115</v>
      </c>
      <c r="E1233" s="21" t="s">
        <v>3116</v>
      </c>
      <c r="F1233" s="10">
        <v>9</v>
      </c>
      <c r="G1233" s="10">
        <v>1996</v>
      </c>
      <c r="H1233" s="21" t="s">
        <v>3109</v>
      </c>
      <c r="I1233" s="21" t="s">
        <v>3117</v>
      </c>
      <c r="J1233" s="21" t="s">
        <v>247</v>
      </c>
    </row>
    <row r="1234" spans="1:10" x14ac:dyDescent="0.2">
      <c r="A1234" s="23" t="s">
        <v>14</v>
      </c>
      <c r="B1234" s="24">
        <v>35332</v>
      </c>
      <c r="C1234" s="23" t="s">
        <v>21</v>
      </c>
      <c r="D1234" s="23" t="s">
        <v>3118</v>
      </c>
      <c r="E1234" s="23" t="s">
        <v>3119</v>
      </c>
      <c r="F1234" s="10">
        <v>9</v>
      </c>
      <c r="G1234" s="10">
        <v>1996</v>
      </c>
      <c r="H1234" s="23" t="s">
        <v>3109</v>
      </c>
      <c r="I1234" s="23" t="s">
        <v>3120</v>
      </c>
      <c r="J1234" s="23" t="s">
        <v>247</v>
      </c>
    </row>
    <row r="1235" spans="1:10" x14ac:dyDescent="0.2">
      <c r="A1235" s="21" t="s">
        <v>14</v>
      </c>
      <c r="B1235" s="22">
        <v>35327</v>
      </c>
      <c r="C1235" s="21" t="s">
        <v>21</v>
      </c>
      <c r="D1235" s="21" t="s">
        <v>3121</v>
      </c>
      <c r="E1235" s="21" t="s">
        <v>3122</v>
      </c>
      <c r="F1235" s="10">
        <v>9</v>
      </c>
      <c r="G1235" s="10">
        <v>1996</v>
      </c>
      <c r="H1235" s="21" t="s">
        <v>3109</v>
      </c>
      <c r="I1235" s="21" t="s">
        <v>3123</v>
      </c>
      <c r="J1235" s="21" t="s">
        <v>247</v>
      </c>
    </row>
    <row r="1236" spans="1:10" x14ac:dyDescent="0.2">
      <c r="A1236" s="23" t="s">
        <v>14</v>
      </c>
      <c r="B1236" s="24">
        <v>35325</v>
      </c>
      <c r="C1236" s="23" t="s">
        <v>21</v>
      </c>
      <c r="D1236" s="23" t="s">
        <v>3124</v>
      </c>
      <c r="E1236" s="23" t="s">
        <v>3125</v>
      </c>
      <c r="F1236" s="10">
        <v>9</v>
      </c>
      <c r="G1236" s="10">
        <v>1996</v>
      </c>
      <c r="H1236" s="23" t="s">
        <v>3109</v>
      </c>
      <c r="I1236" s="23" t="s">
        <v>3126</v>
      </c>
      <c r="J1236" s="23" t="s">
        <v>247</v>
      </c>
    </row>
    <row r="1237" spans="1:10" x14ac:dyDescent="0.2">
      <c r="A1237" s="21" t="s">
        <v>65</v>
      </c>
      <c r="B1237" s="22">
        <v>35318</v>
      </c>
      <c r="C1237" s="21" t="s">
        <v>15</v>
      </c>
      <c r="D1237" s="21" t="s">
        <v>3127</v>
      </c>
      <c r="E1237" s="21" t="s">
        <v>3127</v>
      </c>
      <c r="F1237" s="10">
        <v>9</v>
      </c>
      <c r="G1237" s="10">
        <v>1996</v>
      </c>
      <c r="H1237" s="21" t="s">
        <v>3109</v>
      </c>
      <c r="I1237" s="21" t="s">
        <v>3128</v>
      </c>
      <c r="J1237" s="21" t="s">
        <v>3037</v>
      </c>
    </row>
    <row r="1238" spans="1:10" x14ac:dyDescent="0.2">
      <c r="A1238" s="23" t="s">
        <v>14</v>
      </c>
      <c r="B1238" s="24">
        <v>35314</v>
      </c>
      <c r="C1238" s="23" t="s">
        <v>21</v>
      </c>
      <c r="D1238" s="23" t="s">
        <v>3129</v>
      </c>
      <c r="E1238" s="23" t="s">
        <v>3130</v>
      </c>
      <c r="F1238" s="10">
        <v>9</v>
      </c>
      <c r="G1238" s="10">
        <v>1996</v>
      </c>
      <c r="H1238" s="23" t="s">
        <v>3109</v>
      </c>
      <c r="I1238" s="23" t="s">
        <v>3131</v>
      </c>
      <c r="J1238" s="23" t="s">
        <v>247</v>
      </c>
    </row>
    <row r="1239" spans="1:10" x14ac:dyDescent="0.2">
      <c r="A1239" s="21" t="s">
        <v>14</v>
      </c>
      <c r="B1239" s="22">
        <v>35314</v>
      </c>
      <c r="C1239" s="21" t="s">
        <v>21</v>
      </c>
      <c r="D1239" s="21" t="s">
        <v>3132</v>
      </c>
      <c r="E1239" s="21" t="s">
        <v>3133</v>
      </c>
      <c r="F1239" s="10">
        <v>9</v>
      </c>
      <c r="G1239" s="10">
        <v>1996</v>
      </c>
      <c r="H1239" s="21" t="s">
        <v>3109</v>
      </c>
      <c r="I1239" s="21" t="s">
        <v>3134</v>
      </c>
      <c r="J1239" s="21" t="s">
        <v>247</v>
      </c>
    </row>
    <row r="1240" spans="1:10" x14ac:dyDescent="0.2">
      <c r="A1240" s="23" t="s">
        <v>65</v>
      </c>
      <c r="B1240" s="24">
        <v>35311</v>
      </c>
      <c r="C1240" s="23" t="s">
        <v>15</v>
      </c>
      <c r="D1240" s="23" t="s">
        <v>3135</v>
      </c>
      <c r="E1240" s="23" t="s">
        <v>3135</v>
      </c>
      <c r="F1240" s="10">
        <v>9</v>
      </c>
      <c r="G1240" s="10">
        <v>1996</v>
      </c>
      <c r="H1240" s="23" t="s">
        <v>3109</v>
      </c>
      <c r="I1240" s="23" t="s">
        <v>3136</v>
      </c>
      <c r="J1240" s="23" t="s">
        <v>3037</v>
      </c>
    </row>
    <row r="1241" spans="1:10" x14ac:dyDescent="0.2">
      <c r="A1241" s="21" t="s">
        <v>65</v>
      </c>
      <c r="B1241" s="22">
        <v>35311</v>
      </c>
      <c r="C1241" s="21" t="s">
        <v>15</v>
      </c>
      <c r="D1241" s="21" t="s">
        <v>2770</v>
      </c>
      <c r="E1241" s="21" t="s">
        <v>2770</v>
      </c>
      <c r="F1241" s="10">
        <v>9</v>
      </c>
      <c r="G1241" s="10">
        <v>1996</v>
      </c>
      <c r="H1241" s="21" t="s">
        <v>3109</v>
      </c>
      <c r="I1241" s="21" t="s">
        <v>2769</v>
      </c>
      <c r="J1241" s="21" t="s">
        <v>3037</v>
      </c>
    </row>
    <row r="1242" spans="1:10" x14ac:dyDescent="0.2">
      <c r="A1242" s="23" t="s">
        <v>14</v>
      </c>
      <c r="B1242" s="24">
        <v>35307</v>
      </c>
      <c r="C1242" s="23" t="s">
        <v>21</v>
      </c>
      <c r="D1242" s="23" t="s">
        <v>3137</v>
      </c>
      <c r="E1242" s="23" t="s">
        <v>3138</v>
      </c>
      <c r="F1242" s="10">
        <v>8</v>
      </c>
      <c r="G1242" s="10">
        <v>1996</v>
      </c>
      <c r="H1242" s="23" t="s">
        <v>3139</v>
      </c>
      <c r="I1242" s="23" t="s">
        <v>3140</v>
      </c>
      <c r="J1242" s="23" t="s">
        <v>247</v>
      </c>
    </row>
    <row r="1243" spans="1:10" x14ac:dyDescent="0.2">
      <c r="A1243" s="21" t="s">
        <v>14</v>
      </c>
      <c r="B1243" s="22">
        <v>35303</v>
      </c>
      <c r="C1243" s="21" t="s">
        <v>21</v>
      </c>
      <c r="D1243" s="21" t="s">
        <v>3141</v>
      </c>
      <c r="E1243" s="21" t="s">
        <v>3142</v>
      </c>
      <c r="F1243" s="10">
        <v>8</v>
      </c>
      <c r="G1243" s="10">
        <v>1996</v>
      </c>
      <c r="H1243" s="21" t="s">
        <v>3139</v>
      </c>
      <c r="I1243" s="21" t="s">
        <v>3143</v>
      </c>
      <c r="J1243" s="21" t="s">
        <v>247</v>
      </c>
    </row>
    <row r="1244" spans="1:10" x14ac:dyDescent="0.2">
      <c r="A1244" s="23" t="s">
        <v>65</v>
      </c>
      <c r="B1244" s="24">
        <v>35299</v>
      </c>
      <c r="C1244" s="23" t="s">
        <v>15</v>
      </c>
      <c r="D1244" s="23" t="s">
        <v>2772</v>
      </c>
      <c r="E1244" s="23" t="s">
        <v>2772</v>
      </c>
      <c r="F1244" s="10">
        <v>8</v>
      </c>
      <c r="G1244" s="10">
        <v>1996</v>
      </c>
      <c r="H1244" s="23" t="s">
        <v>3139</v>
      </c>
      <c r="I1244" s="23" t="s">
        <v>2769</v>
      </c>
      <c r="J1244" s="23" t="s">
        <v>3037</v>
      </c>
    </row>
    <row r="1245" spans="1:10" x14ac:dyDescent="0.2">
      <c r="A1245" s="21" t="s">
        <v>65</v>
      </c>
      <c r="B1245" s="22">
        <v>35299</v>
      </c>
      <c r="C1245" s="21" t="s">
        <v>15</v>
      </c>
      <c r="D1245" s="21" t="s">
        <v>3144</v>
      </c>
      <c r="E1245" s="21" t="s">
        <v>3144</v>
      </c>
      <c r="F1245" s="10">
        <v>8</v>
      </c>
      <c r="G1245" s="10">
        <v>1996</v>
      </c>
      <c r="H1245" s="21" t="s">
        <v>3139</v>
      </c>
      <c r="I1245" s="21" t="s">
        <v>3145</v>
      </c>
      <c r="J1245" s="21" t="s">
        <v>3037</v>
      </c>
    </row>
    <row r="1246" spans="1:10" x14ac:dyDescent="0.2">
      <c r="A1246" s="23" t="s">
        <v>14</v>
      </c>
      <c r="B1246" s="24">
        <v>35297</v>
      </c>
      <c r="C1246" s="23" t="s">
        <v>15</v>
      </c>
      <c r="D1246" s="23" t="s">
        <v>3146</v>
      </c>
      <c r="E1246" s="23" t="s">
        <v>3147</v>
      </c>
      <c r="F1246" s="10">
        <v>8</v>
      </c>
      <c r="G1246" s="10">
        <v>1996</v>
      </c>
      <c r="H1246" s="23" t="s">
        <v>3139</v>
      </c>
      <c r="I1246" s="23" t="s">
        <v>3148</v>
      </c>
      <c r="J1246" s="23" t="s">
        <v>247</v>
      </c>
    </row>
    <row r="1247" spans="1:10" x14ac:dyDescent="0.2">
      <c r="A1247" s="21" t="s">
        <v>65</v>
      </c>
      <c r="B1247" s="22">
        <v>35283</v>
      </c>
      <c r="C1247" s="21" t="s">
        <v>15</v>
      </c>
      <c r="D1247" s="21" t="s">
        <v>2772</v>
      </c>
      <c r="E1247" s="21" t="s">
        <v>2772</v>
      </c>
      <c r="F1247" s="10">
        <v>8</v>
      </c>
      <c r="G1247" s="10">
        <v>1996</v>
      </c>
      <c r="H1247" s="21" t="s">
        <v>3139</v>
      </c>
      <c r="I1247" s="21" t="s">
        <v>2769</v>
      </c>
      <c r="J1247" s="21" t="s">
        <v>3037</v>
      </c>
    </row>
    <row r="1248" spans="1:10" x14ac:dyDescent="0.2">
      <c r="A1248" s="23" t="s">
        <v>65</v>
      </c>
      <c r="B1248" s="24">
        <v>35283</v>
      </c>
      <c r="C1248" s="23" t="s">
        <v>15</v>
      </c>
      <c r="D1248" s="23" t="s">
        <v>3149</v>
      </c>
      <c r="E1248" s="23" t="s">
        <v>3149</v>
      </c>
      <c r="F1248" s="10">
        <v>8</v>
      </c>
      <c r="G1248" s="10">
        <v>1996</v>
      </c>
      <c r="H1248" s="23" t="s">
        <v>3139</v>
      </c>
      <c r="I1248" s="23" t="s">
        <v>3150</v>
      </c>
      <c r="J1248" s="23" t="s">
        <v>3037</v>
      </c>
    </row>
    <row r="1249" spans="1:10" x14ac:dyDescent="0.2">
      <c r="A1249" s="21" t="s">
        <v>14</v>
      </c>
      <c r="B1249" s="22">
        <v>35282</v>
      </c>
      <c r="C1249" s="21" t="s">
        <v>21</v>
      </c>
      <c r="D1249" s="21" t="s">
        <v>3151</v>
      </c>
      <c r="E1249" s="21" t="s">
        <v>3152</v>
      </c>
      <c r="F1249" s="10">
        <v>8</v>
      </c>
      <c r="G1249" s="10">
        <v>1996</v>
      </c>
      <c r="H1249" s="21" t="s">
        <v>3139</v>
      </c>
      <c r="I1249" s="21" t="s">
        <v>3153</v>
      </c>
      <c r="J1249" s="21" t="s">
        <v>247</v>
      </c>
    </row>
    <row r="1250" spans="1:10" x14ac:dyDescent="0.2">
      <c r="A1250" s="23" t="s">
        <v>14</v>
      </c>
      <c r="B1250" s="24">
        <v>35271</v>
      </c>
      <c r="C1250" s="23" t="s">
        <v>21</v>
      </c>
      <c r="D1250" s="23" t="s">
        <v>3154</v>
      </c>
      <c r="E1250" s="23" t="s">
        <v>3155</v>
      </c>
      <c r="F1250" s="10">
        <v>7</v>
      </c>
      <c r="G1250" s="10">
        <v>1996</v>
      </c>
      <c r="H1250" s="23" t="s">
        <v>3156</v>
      </c>
      <c r="I1250" s="23" t="s">
        <v>3157</v>
      </c>
      <c r="J1250" s="23" t="s">
        <v>247</v>
      </c>
    </row>
    <row r="1251" spans="1:10" x14ac:dyDescent="0.2">
      <c r="A1251" s="21" t="s">
        <v>14</v>
      </c>
      <c r="B1251" s="22">
        <v>35258</v>
      </c>
      <c r="C1251" s="21" t="s">
        <v>21</v>
      </c>
      <c r="D1251" s="21" t="s">
        <v>3158</v>
      </c>
      <c r="E1251" s="21" t="s">
        <v>3159</v>
      </c>
      <c r="F1251" s="10">
        <v>7</v>
      </c>
      <c r="G1251" s="10">
        <v>1996</v>
      </c>
      <c r="H1251" s="21" t="s">
        <v>3156</v>
      </c>
      <c r="I1251" s="21" t="s">
        <v>3160</v>
      </c>
      <c r="J1251" s="21" t="s">
        <v>247</v>
      </c>
    </row>
    <row r="1252" spans="1:10" x14ac:dyDescent="0.2">
      <c r="A1252" s="23" t="s">
        <v>14</v>
      </c>
      <c r="B1252" s="24">
        <v>35249</v>
      </c>
      <c r="C1252" s="23" t="s">
        <v>15</v>
      </c>
      <c r="D1252" s="23" t="s">
        <v>3161</v>
      </c>
      <c r="E1252" s="23" t="s">
        <v>3162</v>
      </c>
      <c r="F1252" s="10">
        <v>7</v>
      </c>
      <c r="G1252" s="10">
        <v>1996</v>
      </c>
      <c r="H1252" s="23" t="s">
        <v>3156</v>
      </c>
      <c r="I1252" s="23" t="s">
        <v>3163</v>
      </c>
      <c r="J1252" s="23" t="s">
        <v>247</v>
      </c>
    </row>
    <row r="1253" spans="1:10" x14ac:dyDescent="0.2">
      <c r="A1253" s="21" t="s">
        <v>65</v>
      </c>
      <c r="B1253" s="22">
        <v>35244</v>
      </c>
      <c r="C1253" s="21" t="s">
        <v>15</v>
      </c>
      <c r="D1253" s="21" t="s">
        <v>3164</v>
      </c>
      <c r="E1253" s="21" t="s">
        <v>3164</v>
      </c>
      <c r="F1253" s="10">
        <v>6</v>
      </c>
      <c r="G1253" s="10">
        <v>1996</v>
      </c>
      <c r="H1253" s="21" t="s">
        <v>3165</v>
      </c>
      <c r="I1253" s="21" t="s">
        <v>3166</v>
      </c>
      <c r="J1253" s="21" t="s">
        <v>3037</v>
      </c>
    </row>
    <row r="1254" spans="1:10" x14ac:dyDescent="0.2">
      <c r="A1254" s="23" t="s">
        <v>14</v>
      </c>
      <c r="B1254" s="24">
        <v>35244</v>
      </c>
      <c r="C1254" s="23" t="s">
        <v>15</v>
      </c>
      <c r="D1254" s="23" t="s">
        <v>3167</v>
      </c>
      <c r="E1254" s="23" t="s">
        <v>3168</v>
      </c>
      <c r="F1254" s="10">
        <v>6</v>
      </c>
      <c r="G1254" s="10">
        <v>1996</v>
      </c>
      <c r="H1254" s="23" t="s">
        <v>3165</v>
      </c>
      <c r="I1254" s="23" t="s">
        <v>3169</v>
      </c>
      <c r="J1254" s="23" t="s">
        <v>247</v>
      </c>
    </row>
    <row r="1255" spans="1:10" x14ac:dyDescent="0.2">
      <c r="A1255" s="21" t="s">
        <v>14</v>
      </c>
      <c r="B1255" s="22">
        <v>35242</v>
      </c>
      <c r="C1255" s="21" t="s">
        <v>21</v>
      </c>
      <c r="D1255" s="21" t="s">
        <v>3170</v>
      </c>
      <c r="E1255" s="21" t="s">
        <v>3171</v>
      </c>
      <c r="F1255" s="10">
        <v>6</v>
      </c>
      <c r="G1255" s="10">
        <v>1996</v>
      </c>
      <c r="H1255" s="21" t="s">
        <v>3165</v>
      </c>
      <c r="I1255" s="21" t="s">
        <v>3172</v>
      </c>
      <c r="J1255" s="21" t="s">
        <v>247</v>
      </c>
    </row>
    <row r="1256" spans="1:10" x14ac:dyDescent="0.2">
      <c r="A1256" s="23" t="s">
        <v>65</v>
      </c>
      <c r="B1256" s="24">
        <v>35242</v>
      </c>
      <c r="C1256" s="23" t="s">
        <v>15</v>
      </c>
      <c r="D1256" s="23" t="s">
        <v>2810</v>
      </c>
      <c r="E1256" s="23" t="s">
        <v>2810</v>
      </c>
      <c r="F1256" s="10">
        <v>6</v>
      </c>
      <c r="G1256" s="10">
        <v>1996</v>
      </c>
      <c r="H1256" s="23" t="s">
        <v>3165</v>
      </c>
      <c r="I1256" s="23" t="s">
        <v>2769</v>
      </c>
      <c r="J1256" s="23" t="s">
        <v>3037</v>
      </c>
    </row>
    <row r="1257" spans="1:10" x14ac:dyDescent="0.2">
      <c r="A1257" s="21" t="s">
        <v>14</v>
      </c>
      <c r="B1257" s="22">
        <v>35237</v>
      </c>
      <c r="C1257" s="21" t="s">
        <v>21</v>
      </c>
      <c r="D1257" s="21" t="s">
        <v>3173</v>
      </c>
      <c r="E1257" s="21" t="s">
        <v>3174</v>
      </c>
      <c r="F1257" s="10">
        <v>6</v>
      </c>
      <c r="G1257" s="10">
        <v>1996</v>
      </c>
      <c r="H1257" s="21" t="s">
        <v>3165</v>
      </c>
      <c r="I1257" s="21" t="s">
        <v>3175</v>
      </c>
      <c r="J1257" s="21" t="s">
        <v>247</v>
      </c>
    </row>
    <row r="1258" spans="1:10" x14ac:dyDescent="0.2">
      <c r="A1258" s="23" t="s">
        <v>14</v>
      </c>
      <c r="B1258" s="24">
        <v>35237</v>
      </c>
      <c r="C1258" s="23" t="s">
        <v>21</v>
      </c>
      <c r="D1258" s="23" t="s">
        <v>3176</v>
      </c>
      <c r="E1258" s="23" t="s">
        <v>3177</v>
      </c>
      <c r="F1258" s="10">
        <v>6</v>
      </c>
      <c r="G1258" s="10">
        <v>1996</v>
      </c>
      <c r="H1258" s="23" t="s">
        <v>3165</v>
      </c>
      <c r="I1258" s="23" t="s">
        <v>3178</v>
      </c>
      <c r="J1258" s="23" t="s">
        <v>247</v>
      </c>
    </row>
    <row r="1259" spans="1:10" x14ac:dyDescent="0.2">
      <c r="A1259" s="21" t="s">
        <v>14</v>
      </c>
      <c r="B1259" s="22">
        <v>35230</v>
      </c>
      <c r="C1259" s="21" t="s">
        <v>15</v>
      </c>
      <c r="D1259" s="21" t="s">
        <v>3179</v>
      </c>
      <c r="E1259" s="21" t="s">
        <v>3180</v>
      </c>
      <c r="F1259" s="10">
        <v>6</v>
      </c>
      <c r="G1259" s="10">
        <v>1996</v>
      </c>
      <c r="H1259" s="21" t="s">
        <v>3165</v>
      </c>
      <c r="I1259" s="21" t="s">
        <v>3181</v>
      </c>
      <c r="J1259" s="21" t="s">
        <v>247</v>
      </c>
    </row>
    <row r="1260" spans="1:10" x14ac:dyDescent="0.2">
      <c r="A1260" s="23" t="s">
        <v>14</v>
      </c>
      <c r="B1260" s="24">
        <v>35230</v>
      </c>
      <c r="C1260" s="23" t="s">
        <v>21</v>
      </c>
      <c r="D1260" s="23" t="s">
        <v>3182</v>
      </c>
      <c r="E1260" s="23" t="s">
        <v>3183</v>
      </c>
      <c r="F1260" s="10">
        <v>6</v>
      </c>
      <c r="G1260" s="10">
        <v>1996</v>
      </c>
      <c r="H1260" s="23" t="s">
        <v>3165</v>
      </c>
      <c r="I1260" s="23" t="s">
        <v>3184</v>
      </c>
      <c r="J1260" s="23" t="s">
        <v>247</v>
      </c>
    </row>
    <row r="1261" spans="1:10" x14ac:dyDescent="0.2">
      <c r="A1261" s="21" t="s">
        <v>14</v>
      </c>
      <c r="B1261" s="22">
        <v>35230</v>
      </c>
      <c r="C1261" s="21" t="s">
        <v>21</v>
      </c>
      <c r="D1261" s="21" t="s">
        <v>3185</v>
      </c>
      <c r="E1261" s="21" t="s">
        <v>3186</v>
      </c>
      <c r="F1261" s="10">
        <v>6</v>
      </c>
      <c r="G1261" s="10">
        <v>1996</v>
      </c>
      <c r="H1261" s="21" t="s">
        <v>3165</v>
      </c>
      <c r="I1261" s="21" t="s">
        <v>2827</v>
      </c>
      <c r="J1261" s="21" t="s">
        <v>247</v>
      </c>
    </row>
    <row r="1262" spans="1:10" x14ac:dyDescent="0.2">
      <c r="A1262" s="23" t="s">
        <v>14</v>
      </c>
      <c r="B1262" s="24">
        <v>35227</v>
      </c>
      <c r="C1262" s="23" t="s">
        <v>21</v>
      </c>
      <c r="D1262" s="23" t="s">
        <v>3187</v>
      </c>
      <c r="E1262" s="23" t="s">
        <v>3188</v>
      </c>
      <c r="F1262" s="10">
        <v>6</v>
      </c>
      <c r="G1262" s="10">
        <v>1996</v>
      </c>
      <c r="H1262" s="23" t="s">
        <v>3165</v>
      </c>
      <c r="I1262" s="23" t="s">
        <v>3189</v>
      </c>
      <c r="J1262" s="23" t="s">
        <v>247</v>
      </c>
    </row>
    <row r="1263" spans="1:10" x14ac:dyDescent="0.2">
      <c r="A1263" s="21" t="s">
        <v>14</v>
      </c>
      <c r="B1263" s="22">
        <v>35221</v>
      </c>
      <c r="C1263" s="21" t="s">
        <v>21</v>
      </c>
      <c r="D1263" s="21" t="s">
        <v>3190</v>
      </c>
      <c r="E1263" s="21" t="s">
        <v>3191</v>
      </c>
      <c r="F1263" s="10">
        <v>6</v>
      </c>
      <c r="G1263" s="10">
        <v>1996</v>
      </c>
      <c r="H1263" s="21" t="s">
        <v>3165</v>
      </c>
      <c r="I1263" s="21" t="s">
        <v>3192</v>
      </c>
      <c r="J1263" s="21" t="s">
        <v>247</v>
      </c>
    </row>
    <row r="1264" spans="1:10" x14ac:dyDescent="0.2">
      <c r="A1264" s="23" t="s">
        <v>14</v>
      </c>
      <c r="B1264" s="24">
        <v>35216</v>
      </c>
      <c r="C1264" s="23" t="s">
        <v>21</v>
      </c>
      <c r="D1264" s="23" t="s">
        <v>3193</v>
      </c>
      <c r="E1264" s="23" t="s">
        <v>3194</v>
      </c>
      <c r="F1264" s="10">
        <v>5</v>
      </c>
      <c r="G1264" s="10">
        <v>1996</v>
      </c>
      <c r="H1264" s="23" t="s">
        <v>3195</v>
      </c>
      <c r="I1264" s="23" t="s">
        <v>3196</v>
      </c>
      <c r="J1264" s="23" t="s">
        <v>247</v>
      </c>
    </row>
    <row r="1265" spans="1:10" x14ac:dyDescent="0.2">
      <c r="A1265" s="21" t="s">
        <v>14</v>
      </c>
      <c r="B1265" s="22">
        <v>35213</v>
      </c>
      <c r="C1265" s="21" t="s">
        <v>21</v>
      </c>
      <c r="D1265" s="21" t="s">
        <v>3197</v>
      </c>
      <c r="E1265" s="21" t="s">
        <v>3198</v>
      </c>
      <c r="F1265" s="10">
        <v>5</v>
      </c>
      <c r="G1265" s="10">
        <v>1996</v>
      </c>
      <c r="H1265" s="21" t="s">
        <v>3195</v>
      </c>
      <c r="I1265" s="21" t="s">
        <v>3199</v>
      </c>
      <c r="J1265" s="21" t="s">
        <v>247</v>
      </c>
    </row>
    <row r="1266" spans="1:10" x14ac:dyDescent="0.2">
      <c r="A1266" s="23" t="s">
        <v>14</v>
      </c>
      <c r="B1266" s="24">
        <v>35208</v>
      </c>
      <c r="C1266" s="23" t="s">
        <v>15</v>
      </c>
      <c r="D1266" s="23" t="s">
        <v>3200</v>
      </c>
      <c r="E1266" s="23" t="s">
        <v>3201</v>
      </c>
      <c r="F1266" s="10">
        <v>5</v>
      </c>
      <c r="G1266" s="10">
        <v>1996</v>
      </c>
      <c r="H1266" s="23" t="s">
        <v>3195</v>
      </c>
      <c r="I1266" s="23" t="s">
        <v>3202</v>
      </c>
      <c r="J1266" s="23" t="s">
        <v>247</v>
      </c>
    </row>
    <row r="1267" spans="1:10" x14ac:dyDescent="0.2">
      <c r="A1267" s="21" t="s">
        <v>14</v>
      </c>
      <c r="B1267" s="22">
        <v>35202</v>
      </c>
      <c r="C1267" s="21" t="s">
        <v>15</v>
      </c>
      <c r="D1267" s="21" t="s">
        <v>3203</v>
      </c>
      <c r="E1267" s="21" t="s">
        <v>2435</v>
      </c>
      <c r="F1267" s="10">
        <v>5</v>
      </c>
      <c r="G1267" s="10">
        <v>1996</v>
      </c>
      <c r="H1267" s="21" t="s">
        <v>3195</v>
      </c>
      <c r="I1267" s="21" t="s">
        <v>3204</v>
      </c>
      <c r="J1267" s="21" t="s">
        <v>247</v>
      </c>
    </row>
    <row r="1268" spans="1:10" x14ac:dyDescent="0.2">
      <c r="A1268" s="23" t="s">
        <v>14</v>
      </c>
      <c r="B1268" s="24">
        <v>35200</v>
      </c>
      <c r="C1268" s="23" t="s">
        <v>21</v>
      </c>
      <c r="D1268" s="23" t="s">
        <v>3205</v>
      </c>
      <c r="E1268" s="23" t="s">
        <v>3206</v>
      </c>
      <c r="F1268" s="10">
        <v>5</v>
      </c>
      <c r="G1268" s="10">
        <v>1996</v>
      </c>
      <c r="H1268" s="23" t="s">
        <v>3195</v>
      </c>
      <c r="I1268" s="23" t="s">
        <v>3207</v>
      </c>
      <c r="J1268" s="23" t="s">
        <v>247</v>
      </c>
    </row>
    <row r="1269" spans="1:10" x14ac:dyDescent="0.2">
      <c r="A1269" s="21" t="s">
        <v>14</v>
      </c>
      <c r="B1269" s="22">
        <v>35199</v>
      </c>
      <c r="C1269" s="21" t="s">
        <v>21</v>
      </c>
      <c r="D1269" s="21" t="s">
        <v>3208</v>
      </c>
      <c r="E1269" s="21" t="s">
        <v>3209</v>
      </c>
      <c r="F1269" s="10">
        <v>5</v>
      </c>
      <c r="G1269" s="10">
        <v>1996</v>
      </c>
      <c r="H1269" s="21" t="s">
        <v>3195</v>
      </c>
      <c r="I1269" s="21" t="s">
        <v>3210</v>
      </c>
      <c r="J1269" s="21" t="s">
        <v>247</v>
      </c>
    </row>
    <row r="1270" spans="1:10" x14ac:dyDescent="0.2">
      <c r="A1270" s="23" t="s">
        <v>65</v>
      </c>
      <c r="B1270" s="24">
        <v>35191</v>
      </c>
      <c r="C1270" s="23" t="s">
        <v>15</v>
      </c>
      <c r="D1270" s="23" t="s">
        <v>2838</v>
      </c>
      <c r="E1270" s="23" t="s">
        <v>2838</v>
      </c>
      <c r="F1270" s="10">
        <v>5</v>
      </c>
      <c r="G1270" s="10">
        <v>1996</v>
      </c>
      <c r="H1270" s="23" t="s">
        <v>3195</v>
      </c>
      <c r="I1270" s="23" t="s">
        <v>2769</v>
      </c>
      <c r="J1270" s="23" t="s">
        <v>3037</v>
      </c>
    </row>
    <row r="1271" spans="1:10" x14ac:dyDescent="0.2">
      <c r="A1271" s="21" t="s">
        <v>65</v>
      </c>
      <c r="B1271" s="22">
        <v>35191</v>
      </c>
      <c r="C1271" s="21" t="s">
        <v>15</v>
      </c>
      <c r="D1271" s="21" t="s">
        <v>387</v>
      </c>
      <c r="E1271" s="21" t="s">
        <v>387</v>
      </c>
      <c r="F1271" s="10">
        <v>5</v>
      </c>
      <c r="G1271" s="10">
        <v>1996</v>
      </c>
      <c r="H1271" s="21" t="s">
        <v>3195</v>
      </c>
      <c r="I1271" s="21" t="s">
        <v>2786</v>
      </c>
      <c r="J1271" s="21" t="s">
        <v>3037</v>
      </c>
    </row>
    <row r="1272" spans="1:10" x14ac:dyDescent="0.2">
      <c r="A1272" s="23" t="s">
        <v>14</v>
      </c>
      <c r="B1272" s="24">
        <v>35185</v>
      </c>
      <c r="C1272" s="23" t="s">
        <v>21</v>
      </c>
      <c r="D1272" s="23" t="s">
        <v>3211</v>
      </c>
      <c r="E1272" s="23" t="s">
        <v>3212</v>
      </c>
      <c r="F1272" s="10">
        <v>4</v>
      </c>
      <c r="G1272" s="10">
        <v>1996</v>
      </c>
      <c r="H1272" s="23" t="s">
        <v>3213</v>
      </c>
      <c r="I1272" s="23" t="s">
        <v>3214</v>
      </c>
      <c r="J1272" s="23" t="s">
        <v>247</v>
      </c>
    </row>
    <row r="1273" spans="1:10" x14ac:dyDescent="0.2">
      <c r="A1273" s="21" t="s">
        <v>14</v>
      </c>
      <c r="B1273" s="22">
        <v>35181</v>
      </c>
      <c r="C1273" s="21" t="s">
        <v>21</v>
      </c>
      <c r="D1273" s="21" t="s">
        <v>3215</v>
      </c>
      <c r="E1273" s="21" t="s">
        <v>3216</v>
      </c>
      <c r="F1273" s="10">
        <v>4</v>
      </c>
      <c r="G1273" s="10">
        <v>1996</v>
      </c>
      <c r="H1273" s="21" t="s">
        <v>3213</v>
      </c>
      <c r="I1273" s="21" t="s">
        <v>1989</v>
      </c>
      <c r="J1273" s="21" t="s">
        <v>247</v>
      </c>
    </row>
    <row r="1274" spans="1:10" x14ac:dyDescent="0.2">
      <c r="A1274" s="23" t="s">
        <v>65</v>
      </c>
      <c r="B1274" s="24">
        <v>35180</v>
      </c>
      <c r="C1274" s="23" t="s">
        <v>15</v>
      </c>
      <c r="D1274" s="23" t="s">
        <v>563</v>
      </c>
      <c r="E1274" s="23" t="s">
        <v>563</v>
      </c>
      <c r="F1274" s="10">
        <v>4</v>
      </c>
      <c r="G1274" s="10">
        <v>1996</v>
      </c>
      <c r="H1274" s="23" t="s">
        <v>3213</v>
      </c>
      <c r="I1274" s="23" t="s">
        <v>2769</v>
      </c>
      <c r="J1274" s="23" t="s">
        <v>3037</v>
      </c>
    </row>
    <row r="1275" spans="1:10" x14ac:dyDescent="0.2">
      <c r="A1275" s="21" t="s">
        <v>65</v>
      </c>
      <c r="B1275" s="22">
        <v>35158</v>
      </c>
      <c r="C1275" s="21" t="s">
        <v>15</v>
      </c>
      <c r="D1275" s="21" t="s">
        <v>3217</v>
      </c>
      <c r="E1275" s="21" t="s">
        <v>3217</v>
      </c>
      <c r="F1275" s="10">
        <v>4</v>
      </c>
      <c r="G1275" s="10">
        <v>1996</v>
      </c>
      <c r="H1275" s="21" t="s">
        <v>3213</v>
      </c>
      <c r="I1275" s="21" t="s">
        <v>3218</v>
      </c>
      <c r="J1275" s="21" t="s">
        <v>3037</v>
      </c>
    </row>
    <row r="1276" spans="1:10" x14ac:dyDescent="0.2">
      <c r="A1276" s="23" t="s">
        <v>65</v>
      </c>
      <c r="B1276" s="24">
        <v>35153</v>
      </c>
      <c r="C1276" s="23" t="s">
        <v>15</v>
      </c>
      <c r="D1276" s="23" t="s">
        <v>3219</v>
      </c>
      <c r="E1276" s="23" t="s">
        <v>3219</v>
      </c>
      <c r="F1276" s="10">
        <v>3</v>
      </c>
      <c r="G1276" s="10">
        <v>1996</v>
      </c>
      <c r="H1276" s="23" t="s">
        <v>3220</v>
      </c>
      <c r="I1276" s="23" t="s">
        <v>3221</v>
      </c>
      <c r="J1276" s="23" t="s">
        <v>3037</v>
      </c>
    </row>
    <row r="1277" spans="1:10" x14ac:dyDescent="0.2">
      <c r="A1277" s="21" t="s">
        <v>14</v>
      </c>
      <c r="B1277" s="22">
        <v>35146</v>
      </c>
      <c r="C1277" s="21" t="s">
        <v>21</v>
      </c>
      <c r="D1277" s="21" t="s">
        <v>3222</v>
      </c>
      <c r="E1277" s="21" t="s">
        <v>3223</v>
      </c>
      <c r="F1277" s="10">
        <v>3</v>
      </c>
      <c r="G1277" s="10">
        <v>1996</v>
      </c>
      <c r="H1277" s="21" t="s">
        <v>3220</v>
      </c>
      <c r="I1277" s="21" t="s">
        <v>3224</v>
      </c>
      <c r="J1277" s="21" t="s">
        <v>247</v>
      </c>
    </row>
    <row r="1278" spans="1:10" x14ac:dyDescent="0.2">
      <c r="A1278" s="23" t="s">
        <v>65</v>
      </c>
      <c r="B1278" s="24">
        <v>35139</v>
      </c>
      <c r="C1278" s="23" t="s">
        <v>15</v>
      </c>
      <c r="D1278" s="23" t="s">
        <v>2772</v>
      </c>
      <c r="E1278" s="23" t="s">
        <v>2772</v>
      </c>
      <c r="F1278" s="10">
        <v>3</v>
      </c>
      <c r="G1278" s="10">
        <v>1996</v>
      </c>
      <c r="H1278" s="23" t="s">
        <v>3220</v>
      </c>
      <c r="I1278" s="23" t="s">
        <v>2769</v>
      </c>
      <c r="J1278" s="23" t="s">
        <v>3037</v>
      </c>
    </row>
    <row r="1279" spans="1:10" x14ac:dyDescent="0.2">
      <c r="A1279" s="21" t="s">
        <v>65</v>
      </c>
      <c r="B1279" s="22">
        <v>35138</v>
      </c>
      <c r="C1279" s="21" t="s">
        <v>15</v>
      </c>
      <c r="D1279" s="21" t="s">
        <v>3225</v>
      </c>
      <c r="E1279" s="21" t="s">
        <v>3225</v>
      </c>
      <c r="F1279" s="10">
        <v>3</v>
      </c>
      <c r="G1279" s="10">
        <v>1996</v>
      </c>
      <c r="H1279" s="21" t="s">
        <v>3220</v>
      </c>
      <c r="I1279" s="21" t="s">
        <v>3226</v>
      </c>
      <c r="J1279" s="21" t="s">
        <v>3037</v>
      </c>
    </row>
    <row r="1280" spans="1:10" x14ac:dyDescent="0.2">
      <c r="A1280" s="23" t="s">
        <v>14</v>
      </c>
      <c r="B1280" s="24">
        <v>35137</v>
      </c>
      <c r="C1280" s="23" t="s">
        <v>21</v>
      </c>
      <c r="D1280" s="23" t="s">
        <v>3227</v>
      </c>
      <c r="E1280" s="23" t="s">
        <v>3228</v>
      </c>
      <c r="F1280" s="10">
        <v>3</v>
      </c>
      <c r="G1280" s="10">
        <v>1996</v>
      </c>
      <c r="H1280" s="23" t="s">
        <v>3220</v>
      </c>
      <c r="I1280" s="23" t="s">
        <v>3229</v>
      </c>
      <c r="J1280" s="23" t="s">
        <v>247</v>
      </c>
    </row>
    <row r="1281" spans="1:10" x14ac:dyDescent="0.2">
      <c r="A1281" s="21" t="s">
        <v>65</v>
      </c>
      <c r="B1281" s="22">
        <v>35129</v>
      </c>
      <c r="C1281" s="21" t="s">
        <v>15</v>
      </c>
      <c r="D1281" s="21" t="s">
        <v>2772</v>
      </c>
      <c r="E1281" s="21" t="s">
        <v>2772</v>
      </c>
      <c r="F1281" s="10">
        <v>3</v>
      </c>
      <c r="G1281" s="10">
        <v>1996</v>
      </c>
      <c r="H1281" s="21" t="s">
        <v>3220</v>
      </c>
      <c r="I1281" s="21" t="s">
        <v>2769</v>
      </c>
      <c r="J1281" s="21" t="s">
        <v>3037</v>
      </c>
    </row>
    <row r="1282" spans="1:10" x14ac:dyDescent="0.2">
      <c r="A1282" s="23" t="s">
        <v>65</v>
      </c>
      <c r="B1282" s="24">
        <v>35129</v>
      </c>
      <c r="C1282" s="23" t="s">
        <v>15</v>
      </c>
      <c r="D1282" s="23" t="s">
        <v>2771</v>
      </c>
      <c r="E1282" s="23" t="s">
        <v>2771</v>
      </c>
      <c r="F1282" s="10">
        <v>3</v>
      </c>
      <c r="G1282" s="10">
        <v>1996</v>
      </c>
      <c r="H1282" s="23" t="s">
        <v>3220</v>
      </c>
      <c r="I1282" s="23" t="s">
        <v>2769</v>
      </c>
      <c r="J1282" s="23" t="s">
        <v>3037</v>
      </c>
    </row>
    <row r="1283" spans="1:10" x14ac:dyDescent="0.2">
      <c r="A1283" s="21" t="s">
        <v>14</v>
      </c>
      <c r="B1283" s="22">
        <v>35125</v>
      </c>
      <c r="C1283" s="21" t="s">
        <v>21</v>
      </c>
      <c r="D1283" s="21" t="s">
        <v>3230</v>
      </c>
      <c r="E1283" s="21" t="s">
        <v>3231</v>
      </c>
      <c r="F1283" s="10">
        <v>3</v>
      </c>
      <c r="G1283" s="10">
        <v>1996</v>
      </c>
      <c r="H1283" s="21" t="s">
        <v>3220</v>
      </c>
      <c r="I1283" s="21" t="s">
        <v>3232</v>
      </c>
      <c r="J1283" s="21" t="s">
        <v>247</v>
      </c>
    </row>
    <row r="1284" spans="1:10" x14ac:dyDescent="0.2">
      <c r="A1284" s="23" t="s">
        <v>14</v>
      </c>
      <c r="B1284" s="24">
        <v>35104</v>
      </c>
      <c r="C1284" s="23" t="s">
        <v>21</v>
      </c>
      <c r="D1284" s="23" t="s">
        <v>3233</v>
      </c>
      <c r="E1284" s="23" t="s">
        <v>3234</v>
      </c>
      <c r="F1284" s="10">
        <v>2</v>
      </c>
      <c r="G1284" s="10">
        <v>1996</v>
      </c>
      <c r="H1284" s="23" t="s">
        <v>3235</v>
      </c>
      <c r="I1284" s="23" t="s">
        <v>3236</v>
      </c>
      <c r="J1284" s="23" t="s">
        <v>247</v>
      </c>
    </row>
    <row r="1285" spans="1:10" x14ac:dyDescent="0.2">
      <c r="A1285" s="21" t="s">
        <v>65</v>
      </c>
      <c r="B1285" s="22">
        <v>35100</v>
      </c>
      <c r="C1285" s="21" t="s">
        <v>15</v>
      </c>
      <c r="D1285" s="21" t="s">
        <v>387</v>
      </c>
      <c r="E1285" s="21" t="s">
        <v>387</v>
      </c>
      <c r="F1285" s="10">
        <v>2</v>
      </c>
      <c r="G1285" s="10">
        <v>1996</v>
      </c>
      <c r="H1285" s="21" t="s">
        <v>3235</v>
      </c>
      <c r="I1285" s="21" t="s">
        <v>2786</v>
      </c>
      <c r="J1285" s="21" t="s">
        <v>3037</v>
      </c>
    </row>
    <row r="1286" spans="1:10" x14ac:dyDescent="0.2">
      <c r="A1286" s="23" t="s">
        <v>65</v>
      </c>
      <c r="B1286" s="24">
        <v>35082</v>
      </c>
      <c r="C1286" s="23" t="s">
        <v>15</v>
      </c>
      <c r="D1286" s="23" t="s">
        <v>3237</v>
      </c>
      <c r="E1286" s="23" t="s">
        <v>3237</v>
      </c>
      <c r="F1286" s="10">
        <v>1</v>
      </c>
      <c r="G1286" s="10">
        <v>1996</v>
      </c>
      <c r="H1286" s="23" t="s">
        <v>3238</v>
      </c>
      <c r="I1286" s="23" t="s">
        <v>3239</v>
      </c>
      <c r="J1286" s="23" t="s">
        <v>3037</v>
      </c>
    </row>
    <row r="1287" spans="1:10" x14ac:dyDescent="0.2">
      <c r="A1287" s="21" t="s">
        <v>14</v>
      </c>
      <c r="B1287" s="22">
        <v>35082</v>
      </c>
      <c r="C1287" s="21" t="s">
        <v>21</v>
      </c>
      <c r="D1287" s="21" t="s">
        <v>3240</v>
      </c>
      <c r="E1287" s="21" t="s">
        <v>3241</v>
      </c>
      <c r="F1287" s="10">
        <v>1</v>
      </c>
      <c r="G1287" s="10">
        <v>1996</v>
      </c>
      <c r="H1287" s="21" t="s">
        <v>3238</v>
      </c>
      <c r="I1287" s="21" t="s">
        <v>3242</v>
      </c>
      <c r="J1287" s="21" t="s">
        <v>247</v>
      </c>
    </row>
    <row r="1288" spans="1:10" x14ac:dyDescent="0.2">
      <c r="A1288" s="23" t="s">
        <v>65</v>
      </c>
      <c r="B1288" s="24">
        <v>35067</v>
      </c>
      <c r="C1288" s="23" t="s">
        <v>15</v>
      </c>
      <c r="D1288" s="23" t="s">
        <v>3243</v>
      </c>
      <c r="E1288" s="23" t="s">
        <v>3243</v>
      </c>
      <c r="F1288" s="10">
        <v>1</v>
      </c>
      <c r="G1288" s="10">
        <v>1996</v>
      </c>
      <c r="H1288" s="23" t="s">
        <v>3238</v>
      </c>
      <c r="I1288" s="23" t="s">
        <v>3244</v>
      </c>
      <c r="J1288" s="23" t="s">
        <v>3037</v>
      </c>
    </row>
    <row r="1289" spans="1:10" x14ac:dyDescent="0.2">
      <c r="A1289" s="21" t="s">
        <v>14</v>
      </c>
      <c r="B1289" s="22">
        <v>35061</v>
      </c>
      <c r="C1289" s="21" t="s">
        <v>21</v>
      </c>
      <c r="D1289" s="21" t="s">
        <v>3245</v>
      </c>
      <c r="E1289" s="21" t="s">
        <v>3246</v>
      </c>
      <c r="F1289" s="10">
        <v>12</v>
      </c>
      <c r="G1289" s="10">
        <v>1995</v>
      </c>
      <c r="H1289" s="21" t="s">
        <v>3247</v>
      </c>
      <c r="I1289" s="21" t="s">
        <v>3248</v>
      </c>
      <c r="J1289" s="21" t="s">
        <v>247</v>
      </c>
    </row>
    <row r="1290" spans="1:10" x14ac:dyDescent="0.2">
      <c r="A1290" s="23" t="s">
        <v>14</v>
      </c>
      <c r="B1290" s="24">
        <v>35060</v>
      </c>
      <c r="C1290" s="23" t="s">
        <v>21</v>
      </c>
      <c r="D1290" s="23" t="s">
        <v>3249</v>
      </c>
      <c r="E1290" s="23" t="s">
        <v>3250</v>
      </c>
      <c r="F1290" s="10">
        <v>12</v>
      </c>
      <c r="G1290" s="10">
        <v>1995</v>
      </c>
      <c r="H1290" s="23" t="s">
        <v>3247</v>
      </c>
      <c r="I1290" s="23" t="s">
        <v>3251</v>
      </c>
      <c r="J1290" s="23" t="s">
        <v>247</v>
      </c>
    </row>
    <row r="1291" spans="1:10" x14ac:dyDescent="0.2">
      <c r="A1291" s="21" t="s">
        <v>14</v>
      </c>
      <c r="B1291" s="22">
        <v>35060</v>
      </c>
      <c r="C1291" s="21" t="s">
        <v>21</v>
      </c>
      <c r="D1291" s="21" t="s">
        <v>3252</v>
      </c>
      <c r="E1291" s="21" t="s">
        <v>3253</v>
      </c>
      <c r="F1291" s="10">
        <v>12</v>
      </c>
      <c r="G1291" s="10">
        <v>1995</v>
      </c>
      <c r="H1291" s="21" t="s">
        <v>3247</v>
      </c>
      <c r="I1291" s="21" t="s">
        <v>3254</v>
      </c>
      <c r="J1291" s="21" t="s">
        <v>247</v>
      </c>
    </row>
    <row r="1292" spans="1:10" x14ac:dyDescent="0.2">
      <c r="A1292" s="23" t="s">
        <v>14</v>
      </c>
      <c r="B1292" s="24">
        <v>35054</v>
      </c>
      <c r="C1292" s="23" t="s">
        <v>21</v>
      </c>
      <c r="D1292" s="23" t="s">
        <v>3255</v>
      </c>
      <c r="E1292" s="23" t="s">
        <v>3256</v>
      </c>
      <c r="F1292" s="10">
        <v>12</v>
      </c>
      <c r="G1292" s="10">
        <v>1995</v>
      </c>
      <c r="H1292" s="23" t="s">
        <v>3247</v>
      </c>
      <c r="I1292" s="23" t="s">
        <v>3257</v>
      </c>
      <c r="J1292" s="23" t="s">
        <v>247</v>
      </c>
    </row>
    <row r="1293" spans="1:10" x14ac:dyDescent="0.2">
      <c r="A1293" s="21" t="s">
        <v>14</v>
      </c>
      <c r="B1293" s="22">
        <v>35053</v>
      </c>
      <c r="C1293" s="21" t="s">
        <v>21</v>
      </c>
      <c r="D1293" s="21" t="s">
        <v>3258</v>
      </c>
      <c r="E1293" s="21" t="s">
        <v>3259</v>
      </c>
      <c r="F1293" s="10">
        <v>12</v>
      </c>
      <c r="G1293" s="10">
        <v>1995</v>
      </c>
      <c r="H1293" s="21" t="s">
        <v>3247</v>
      </c>
      <c r="I1293" s="21" t="s">
        <v>3260</v>
      </c>
      <c r="J1293" s="21" t="s">
        <v>247</v>
      </c>
    </row>
    <row r="1294" spans="1:10" x14ac:dyDescent="0.2">
      <c r="A1294" s="23" t="s">
        <v>14</v>
      </c>
      <c r="B1294" s="24">
        <v>35045</v>
      </c>
      <c r="C1294" s="23" t="s">
        <v>21</v>
      </c>
      <c r="D1294" s="23" t="s">
        <v>3261</v>
      </c>
      <c r="E1294" s="23" t="s">
        <v>3262</v>
      </c>
      <c r="F1294" s="10">
        <v>12</v>
      </c>
      <c r="G1294" s="10">
        <v>1995</v>
      </c>
      <c r="H1294" s="23" t="s">
        <v>3247</v>
      </c>
      <c r="I1294" s="23" t="s">
        <v>3263</v>
      </c>
      <c r="J1294" s="23" t="s">
        <v>247</v>
      </c>
    </row>
    <row r="1295" spans="1:10" x14ac:dyDescent="0.2">
      <c r="A1295" s="21" t="s">
        <v>14</v>
      </c>
      <c r="B1295" s="22">
        <v>35041</v>
      </c>
      <c r="C1295" s="21" t="s">
        <v>21</v>
      </c>
      <c r="D1295" s="21" t="s">
        <v>3264</v>
      </c>
      <c r="E1295" s="21" t="s">
        <v>3265</v>
      </c>
      <c r="F1295" s="10">
        <v>12</v>
      </c>
      <c r="G1295" s="10">
        <v>1995</v>
      </c>
      <c r="H1295" s="21" t="s">
        <v>3247</v>
      </c>
      <c r="I1295" s="21" t="s">
        <v>3266</v>
      </c>
      <c r="J1295" s="21" t="s">
        <v>247</v>
      </c>
    </row>
    <row r="1296" spans="1:10" x14ac:dyDescent="0.2">
      <c r="A1296" s="23" t="s">
        <v>14</v>
      </c>
      <c r="B1296" s="24">
        <v>35041</v>
      </c>
      <c r="C1296" s="23" t="s">
        <v>21</v>
      </c>
      <c r="D1296" s="23" t="s">
        <v>3267</v>
      </c>
      <c r="E1296" s="23" t="s">
        <v>3268</v>
      </c>
      <c r="F1296" s="10">
        <v>12</v>
      </c>
      <c r="G1296" s="10">
        <v>1995</v>
      </c>
      <c r="H1296" s="23" t="s">
        <v>3247</v>
      </c>
      <c r="I1296" s="23" t="s">
        <v>3269</v>
      </c>
      <c r="J1296" s="23" t="s">
        <v>247</v>
      </c>
    </row>
    <row r="1297" spans="1:10" x14ac:dyDescent="0.2">
      <c r="A1297" s="21" t="s">
        <v>14</v>
      </c>
      <c r="B1297" s="22">
        <v>35039</v>
      </c>
      <c r="C1297" s="21" t="s">
        <v>21</v>
      </c>
      <c r="D1297" s="21" t="s">
        <v>3270</v>
      </c>
      <c r="E1297" s="21" t="s">
        <v>3271</v>
      </c>
      <c r="F1297" s="10">
        <v>12</v>
      </c>
      <c r="G1297" s="10">
        <v>1995</v>
      </c>
      <c r="H1297" s="21" t="s">
        <v>3247</v>
      </c>
      <c r="I1297" s="21" t="s">
        <v>3272</v>
      </c>
      <c r="J1297" s="21" t="s">
        <v>247</v>
      </c>
    </row>
    <row r="1298" spans="1:10" x14ac:dyDescent="0.2">
      <c r="A1298" s="23" t="s">
        <v>14</v>
      </c>
      <c r="B1298" s="24">
        <v>35033</v>
      </c>
      <c r="C1298" s="23" t="s">
        <v>21</v>
      </c>
      <c r="D1298" s="23" t="s">
        <v>3273</v>
      </c>
      <c r="E1298" s="23" t="s">
        <v>3274</v>
      </c>
      <c r="F1298" s="10">
        <v>11</v>
      </c>
      <c r="G1298" s="10">
        <v>1995</v>
      </c>
      <c r="H1298" s="23" t="s">
        <v>3275</v>
      </c>
      <c r="I1298" s="23" t="s">
        <v>3276</v>
      </c>
      <c r="J1298" s="23" t="s">
        <v>247</v>
      </c>
    </row>
    <row r="1299" spans="1:10" x14ac:dyDescent="0.2">
      <c r="A1299" s="21" t="s">
        <v>14</v>
      </c>
      <c r="B1299" s="22">
        <v>35020</v>
      </c>
      <c r="C1299" s="21" t="s">
        <v>21</v>
      </c>
      <c r="D1299" s="21" t="s">
        <v>3277</v>
      </c>
      <c r="E1299" s="21" t="s">
        <v>3278</v>
      </c>
      <c r="F1299" s="10">
        <v>11</v>
      </c>
      <c r="G1299" s="10">
        <v>1995</v>
      </c>
      <c r="H1299" s="21" t="s">
        <v>3275</v>
      </c>
      <c r="I1299" s="21" t="s">
        <v>3279</v>
      </c>
      <c r="J1299" s="21" t="s">
        <v>247</v>
      </c>
    </row>
    <row r="1300" spans="1:10" x14ac:dyDescent="0.2">
      <c r="A1300" s="23" t="s">
        <v>14</v>
      </c>
      <c r="B1300" s="24">
        <v>34976</v>
      </c>
      <c r="C1300" s="23" t="s">
        <v>21</v>
      </c>
      <c r="D1300" s="23" t="s">
        <v>3280</v>
      </c>
      <c r="E1300" s="23" t="s">
        <v>3281</v>
      </c>
      <c r="F1300" s="10">
        <v>10</v>
      </c>
      <c r="G1300" s="10">
        <v>1995</v>
      </c>
      <c r="H1300" s="23" t="s">
        <v>3282</v>
      </c>
      <c r="I1300" s="23" t="s">
        <v>3283</v>
      </c>
      <c r="J1300" s="23" t="s">
        <v>247</v>
      </c>
    </row>
    <row r="1301" spans="1:10" x14ac:dyDescent="0.2">
      <c r="A1301" s="21" t="s">
        <v>14</v>
      </c>
      <c r="B1301" s="22">
        <v>34971</v>
      </c>
      <c r="C1301" s="21" t="s">
        <v>15</v>
      </c>
      <c r="D1301" s="21" t="s">
        <v>3284</v>
      </c>
      <c r="E1301" s="21" t="s">
        <v>3285</v>
      </c>
      <c r="F1301" s="10">
        <v>9</v>
      </c>
      <c r="G1301" s="10">
        <v>1995</v>
      </c>
      <c r="H1301" s="21" t="s">
        <v>3286</v>
      </c>
      <c r="I1301" s="21" t="s">
        <v>3287</v>
      </c>
      <c r="J1301" s="21" t="s">
        <v>247</v>
      </c>
    </row>
    <row r="1302" spans="1:10" x14ac:dyDescent="0.2">
      <c r="A1302" s="23" t="s">
        <v>14</v>
      </c>
      <c r="B1302" s="24">
        <v>34971</v>
      </c>
      <c r="C1302" s="23" t="s">
        <v>21</v>
      </c>
      <c r="D1302" s="23" t="s">
        <v>3288</v>
      </c>
      <c r="E1302" s="23" t="s">
        <v>3289</v>
      </c>
      <c r="F1302" s="10">
        <v>9</v>
      </c>
      <c r="G1302" s="10">
        <v>1995</v>
      </c>
      <c r="H1302" s="23" t="s">
        <v>3286</v>
      </c>
      <c r="I1302" s="23" t="s">
        <v>3290</v>
      </c>
      <c r="J1302" s="23" t="s">
        <v>247</v>
      </c>
    </row>
    <row r="1303" spans="1:10" x14ac:dyDescent="0.2">
      <c r="A1303" s="21" t="s">
        <v>14</v>
      </c>
      <c r="B1303" s="22">
        <v>34962</v>
      </c>
      <c r="C1303" s="21" t="s">
        <v>21</v>
      </c>
      <c r="D1303" s="21" t="s">
        <v>3291</v>
      </c>
      <c r="E1303" s="21" t="s">
        <v>3292</v>
      </c>
      <c r="F1303" s="10">
        <v>9</v>
      </c>
      <c r="G1303" s="10">
        <v>1995</v>
      </c>
      <c r="H1303" s="21" t="s">
        <v>3286</v>
      </c>
      <c r="I1303" s="21" t="s">
        <v>3293</v>
      </c>
      <c r="J1303" s="21" t="s">
        <v>247</v>
      </c>
    </row>
    <row r="1304" spans="1:10" x14ac:dyDescent="0.2">
      <c r="A1304" s="23" t="s">
        <v>14</v>
      </c>
      <c r="B1304" s="24">
        <v>34956</v>
      </c>
      <c r="C1304" s="23" t="s">
        <v>21</v>
      </c>
      <c r="D1304" s="23" t="s">
        <v>3294</v>
      </c>
      <c r="E1304" s="23" t="s">
        <v>3295</v>
      </c>
      <c r="F1304" s="10">
        <v>9</v>
      </c>
      <c r="G1304" s="10">
        <v>1995</v>
      </c>
      <c r="H1304" s="23" t="s">
        <v>3286</v>
      </c>
      <c r="I1304" s="23" t="s">
        <v>1989</v>
      </c>
      <c r="J1304" s="23" t="s">
        <v>247</v>
      </c>
    </row>
    <row r="1305" spans="1:10" x14ac:dyDescent="0.2">
      <c r="A1305" s="21" t="s">
        <v>14</v>
      </c>
      <c r="B1305" s="22">
        <v>34955</v>
      </c>
      <c r="C1305" s="21" t="s">
        <v>21</v>
      </c>
      <c r="D1305" s="21" t="s">
        <v>3296</v>
      </c>
      <c r="E1305" s="21" t="s">
        <v>3297</v>
      </c>
      <c r="F1305" s="10">
        <v>9</v>
      </c>
      <c r="G1305" s="10">
        <v>1995</v>
      </c>
      <c r="H1305" s="21" t="s">
        <v>3286</v>
      </c>
      <c r="I1305" s="21" t="s">
        <v>3298</v>
      </c>
      <c r="J1305" s="21" t="s">
        <v>247</v>
      </c>
    </row>
    <row r="1306" spans="1:10" x14ac:dyDescent="0.2">
      <c r="A1306" s="23" t="s">
        <v>14</v>
      </c>
      <c r="B1306" s="24">
        <v>34948</v>
      </c>
      <c r="C1306" s="23" t="s">
        <v>21</v>
      </c>
      <c r="D1306" s="23" t="s">
        <v>3299</v>
      </c>
      <c r="E1306" s="23" t="s">
        <v>3300</v>
      </c>
      <c r="F1306" s="10">
        <v>9</v>
      </c>
      <c r="G1306" s="10">
        <v>1995</v>
      </c>
      <c r="H1306" s="23" t="s">
        <v>3286</v>
      </c>
      <c r="I1306" s="23" t="s">
        <v>3301</v>
      </c>
      <c r="J1306" s="23" t="s">
        <v>247</v>
      </c>
    </row>
    <row r="1307" spans="1:10" x14ac:dyDescent="0.2">
      <c r="A1307" s="21" t="s">
        <v>14</v>
      </c>
      <c r="B1307" s="22">
        <v>34869</v>
      </c>
      <c r="C1307" s="21" t="s">
        <v>21</v>
      </c>
      <c r="D1307" s="21" t="s">
        <v>3302</v>
      </c>
      <c r="E1307" s="21" t="s">
        <v>3303</v>
      </c>
      <c r="F1307" s="10">
        <v>6</v>
      </c>
      <c r="G1307" s="10">
        <v>1995</v>
      </c>
      <c r="H1307" s="21" t="s">
        <v>3304</v>
      </c>
      <c r="I1307" s="21" t="s">
        <v>3305</v>
      </c>
      <c r="J1307" s="21" t="s">
        <v>247</v>
      </c>
    </row>
    <row r="1308" spans="1:10" x14ac:dyDescent="0.2">
      <c r="A1308" s="23" t="s">
        <v>14</v>
      </c>
      <c r="B1308" s="24">
        <v>34857</v>
      </c>
      <c r="C1308" s="23" t="s">
        <v>21</v>
      </c>
      <c r="D1308" s="23" t="s">
        <v>3306</v>
      </c>
      <c r="E1308" s="23" t="s">
        <v>3307</v>
      </c>
      <c r="F1308" s="10">
        <v>6</v>
      </c>
      <c r="G1308" s="10">
        <v>1995</v>
      </c>
      <c r="H1308" s="23" t="s">
        <v>3304</v>
      </c>
      <c r="I1308" s="23" t="s">
        <v>3308</v>
      </c>
      <c r="J1308" s="23" t="s">
        <v>247</v>
      </c>
    </row>
    <row r="1309" spans="1:10" x14ac:dyDescent="0.2">
      <c r="A1309" s="21" t="s">
        <v>14</v>
      </c>
      <c r="B1309" s="22">
        <v>34845</v>
      </c>
      <c r="C1309" s="21" t="s">
        <v>21</v>
      </c>
      <c r="D1309" s="21" t="s">
        <v>3309</v>
      </c>
      <c r="E1309" s="21" t="s">
        <v>3310</v>
      </c>
      <c r="F1309" s="10">
        <v>5</v>
      </c>
      <c r="G1309" s="10">
        <v>1995</v>
      </c>
      <c r="H1309" s="21" t="s">
        <v>3311</v>
      </c>
      <c r="I1309" s="21" t="s">
        <v>3312</v>
      </c>
      <c r="J1309" s="21" t="s">
        <v>247</v>
      </c>
    </row>
    <row r="1310" spans="1:10" x14ac:dyDescent="0.2">
      <c r="A1310" s="23" t="s">
        <v>14</v>
      </c>
      <c r="B1310" s="24">
        <v>34829</v>
      </c>
      <c r="C1310" s="23" t="s">
        <v>21</v>
      </c>
      <c r="D1310" s="23" t="s">
        <v>3313</v>
      </c>
      <c r="E1310" s="23" t="s">
        <v>3314</v>
      </c>
      <c r="F1310" s="10">
        <v>5</v>
      </c>
      <c r="G1310" s="10">
        <v>1995</v>
      </c>
      <c r="H1310" s="23" t="s">
        <v>3311</v>
      </c>
      <c r="I1310" s="23" t="s">
        <v>3315</v>
      </c>
      <c r="J1310" s="23" t="s">
        <v>247</v>
      </c>
    </row>
    <row r="1311" spans="1:10" x14ac:dyDescent="0.2">
      <c r="A1311" s="21" t="s">
        <v>14</v>
      </c>
      <c r="B1311" s="22">
        <v>34829</v>
      </c>
      <c r="C1311" s="21" t="s">
        <v>21</v>
      </c>
      <c r="D1311" s="21" t="s">
        <v>3316</v>
      </c>
      <c r="E1311" s="21" t="s">
        <v>3317</v>
      </c>
      <c r="F1311" s="10">
        <v>5</v>
      </c>
      <c r="G1311" s="10">
        <v>1995</v>
      </c>
      <c r="H1311" s="21" t="s">
        <v>3311</v>
      </c>
      <c r="I1311" s="21" t="s">
        <v>3318</v>
      </c>
      <c r="J1311" s="21" t="s">
        <v>247</v>
      </c>
    </row>
    <row r="1312" spans="1:10" x14ac:dyDescent="0.2">
      <c r="A1312" s="23" t="s">
        <v>14</v>
      </c>
      <c r="B1312" s="24">
        <v>34822</v>
      </c>
      <c r="C1312" s="23" t="s">
        <v>21</v>
      </c>
      <c r="D1312" s="23" t="s">
        <v>3319</v>
      </c>
      <c r="E1312" s="23" t="s">
        <v>3320</v>
      </c>
      <c r="F1312" s="10">
        <v>5</v>
      </c>
      <c r="G1312" s="10">
        <v>1995</v>
      </c>
      <c r="H1312" s="23" t="s">
        <v>3311</v>
      </c>
      <c r="I1312" s="23" t="s">
        <v>3321</v>
      </c>
      <c r="J1312" s="23" t="s">
        <v>247</v>
      </c>
    </row>
    <row r="1313" spans="1:10" x14ac:dyDescent="0.2">
      <c r="A1313" s="21" t="s">
        <v>14</v>
      </c>
      <c r="B1313" s="22">
        <v>34808</v>
      </c>
      <c r="C1313" s="21" t="s">
        <v>21</v>
      </c>
      <c r="D1313" s="21" t="s">
        <v>3322</v>
      </c>
      <c r="E1313" s="21" t="s">
        <v>3323</v>
      </c>
      <c r="F1313" s="10">
        <v>4</v>
      </c>
      <c r="G1313" s="10">
        <v>1995</v>
      </c>
      <c r="H1313" s="21" t="s">
        <v>3324</v>
      </c>
      <c r="I1313" s="21" t="s">
        <v>1989</v>
      </c>
      <c r="J1313" s="21" t="s">
        <v>247</v>
      </c>
    </row>
    <row r="1314" spans="1:10" x14ac:dyDescent="0.2">
      <c r="A1314" s="23" t="s">
        <v>14</v>
      </c>
      <c r="B1314" s="24">
        <v>34806</v>
      </c>
      <c r="C1314" s="23" t="s">
        <v>21</v>
      </c>
      <c r="D1314" s="23" t="s">
        <v>3325</v>
      </c>
      <c r="E1314" s="23" t="s">
        <v>3326</v>
      </c>
      <c r="F1314" s="10">
        <v>4</v>
      </c>
      <c r="G1314" s="10">
        <v>1995</v>
      </c>
      <c r="H1314" s="23" t="s">
        <v>3324</v>
      </c>
      <c r="I1314" s="23" t="s">
        <v>3327</v>
      </c>
      <c r="J1314" s="23" t="s">
        <v>247</v>
      </c>
    </row>
    <row r="1315" spans="1:10" x14ac:dyDescent="0.2">
      <c r="A1315" s="21" t="s">
        <v>14</v>
      </c>
      <c r="B1315" s="22">
        <v>34803</v>
      </c>
      <c r="C1315" s="21" t="s">
        <v>21</v>
      </c>
      <c r="D1315" s="21" t="s">
        <v>3328</v>
      </c>
      <c r="E1315" s="21" t="s">
        <v>3329</v>
      </c>
      <c r="F1315" s="10">
        <v>4</v>
      </c>
      <c r="G1315" s="10">
        <v>1995</v>
      </c>
      <c r="H1315" s="21" t="s">
        <v>3324</v>
      </c>
      <c r="I1315" s="21" t="s">
        <v>1989</v>
      </c>
      <c r="J1315" s="21" t="s">
        <v>247</v>
      </c>
    </row>
    <row r="1316" spans="1:10" x14ac:dyDescent="0.2">
      <c r="A1316" s="23" t="s">
        <v>14</v>
      </c>
      <c r="B1316" s="24">
        <v>34761</v>
      </c>
      <c r="C1316" s="23" t="s">
        <v>21</v>
      </c>
      <c r="D1316" s="23" t="s">
        <v>3330</v>
      </c>
      <c r="E1316" s="23" t="s">
        <v>3331</v>
      </c>
      <c r="F1316" s="10">
        <v>3</v>
      </c>
      <c r="G1316" s="10">
        <v>1995</v>
      </c>
      <c r="H1316" s="23" t="s">
        <v>3332</v>
      </c>
      <c r="I1316" s="23" t="s">
        <v>3333</v>
      </c>
      <c r="J1316" s="23" t="s">
        <v>247</v>
      </c>
    </row>
    <row r="1317" spans="1:10" x14ac:dyDescent="0.2">
      <c r="A1317" s="21" t="s">
        <v>14</v>
      </c>
      <c r="B1317" s="22">
        <v>34761</v>
      </c>
      <c r="C1317" s="21" t="s">
        <v>21</v>
      </c>
      <c r="D1317" s="21" t="s">
        <v>3334</v>
      </c>
      <c r="E1317" s="21" t="s">
        <v>3335</v>
      </c>
      <c r="F1317" s="10">
        <v>3</v>
      </c>
      <c r="G1317" s="10">
        <v>1995</v>
      </c>
      <c r="H1317" s="21" t="s">
        <v>3332</v>
      </c>
      <c r="I1317" s="21" t="s">
        <v>3336</v>
      </c>
      <c r="J1317" s="21" t="s">
        <v>247</v>
      </c>
    </row>
    <row r="1318" spans="1:10" x14ac:dyDescent="0.2">
      <c r="A1318" s="23" t="s">
        <v>14</v>
      </c>
      <c r="B1318" s="24">
        <v>34732</v>
      </c>
      <c r="C1318" s="23" t="s">
        <v>21</v>
      </c>
      <c r="D1318" s="23" t="s">
        <v>3337</v>
      </c>
      <c r="E1318" s="23" t="s">
        <v>3338</v>
      </c>
      <c r="F1318" s="10">
        <v>2</v>
      </c>
      <c r="G1318" s="10">
        <v>1995</v>
      </c>
      <c r="H1318" s="23" t="s">
        <v>3339</v>
      </c>
      <c r="I1318" s="23" t="s">
        <v>1989</v>
      </c>
      <c r="J1318" s="23" t="s">
        <v>247</v>
      </c>
    </row>
    <row r="1319" spans="1:10" x14ac:dyDescent="0.2">
      <c r="A1319" s="21" t="s">
        <v>14</v>
      </c>
      <c r="B1319" s="22">
        <v>34698</v>
      </c>
      <c r="C1319" s="21" t="s">
        <v>21</v>
      </c>
      <c r="D1319" s="21" t="s">
        <v>3340</v>
      </c>
      <c r="E1319" s="21" t="s">
        <v>3341</v>
      </c>
      <c r="F1319" s="10">
        <v>12</v>
      </c>
      <c r="G1319" s="10">
        <v>1994</v>
      </c>
      <c r="H1319" s="21" t="s">
        <v>3342</v>
      </c>
      <c r="I1319" s="21" t="s">
        <v>3343</v>
      </c>
      <c r="J1319" s="21" t="s">
        <v>247</v>
      </c>
    </row>
    <row r="1320" spans="1:10" x14ac:dyDescent="0.2">
      <c r="A1320" s="23" t="s">
        <v>14</v>
      </c>
      <c r="B1320" s="24">
        <v>34697</v>
      </c>
      <c r="C1320" s="23" t="s">
        <v>21</v>
      </c>
      <c r="D1320" s="23" t="s">
        <v>3344</v>
      </c>
      <c r="E1320" s="23" t="s">
        <v>3345</v>
      </c>
      <c r="F1320" s="10">
        <v>12</v>
      </c>
      <c r="G1320" s="10">
        <v>1994</v>
      </c>
      <c r="H1320" s="23" t="s">
        <v>3342</v>
      </c>
      <c r="I1320" s="23" t="s">
        <v>1989</v>
      </c>
      <c r="J1320" s="23" t="s">
        <v>247</v>
      </c>
    </row>
    <row r="1321" spans="1:10" x14ac:dyDescent="0.2">
      <c r="A1321" s="21" t="s">
        <v>14</v>
      </c>
      <c r="B1321" s="22">
        <v>34695</v>
      </c>
      <c r="C1321" s="21" t="s">
        <v>21</v>
      </c>
      <c r="D1321" s="21" t="s">
        <v>3346</v>
      </c>
      <c r="E1321" s="21" t="s">
        <v>3347</v>
      </c>
      <c r="F1321" s="10">
        <v>12</v>
      </c>
      <c r="G1321" s="10">
        <v>1994</v>
      </c>
      <c r="H1321" s="21" t="s">
        <v>3342</v>
      </c>
      <c r="I1321" s="21" t="s">
        <v>3348</v>
      </c>
      <c r="J1321" s="21" t="s">
        <v>247</v>
      </c>
    </row>
    <row r="1322" spans="1:10" x14ac:dyDescent="0.2">
      <c r="A1322" s="23" t="s">
        <v>14</v>
      </c>
      <c r="B1322" s="24">
        <v>34691</v>
      </c>
      <c r="C1322" s="23" t="s">
        <v>21</v>
      </c>
      <c r="D1322" s="23" t="s">
        <v>3349</v>
      </c>
      <c r="E1322" s="23" t="s">
        <v>3350</v>
      </c>
      <c r="F1322" s="10">
        <v>12</v>
      </c>
      <c r="G1322" s="10">
        <v>1994</v>
      </c>
      <c r="H1322" s="23" t="s">
        <v>3342</v>
      </c>
      <c r="I1322" s="23" t="s">
        <v>3351</v>
      </c>
      <c r="J1322" s="23" t="s">
        <v>247</v>
      </c>
    </row>
    <row r="1323" spans="1:10" x14ac:dyDescent="0.2">
      <c r="A1323" s="21" t="s">
        <v>14</v>
      </c>
      <c r="B1323" s="22">
        <v>34690</v>
      </c>
      <c r="C1323" s="21" t="s">
        <v>21</v>
      </c>
      <c r="D1323" s="21" t="s">
        <v>3352</v>
      </c>
      <c r="E1323" s="21" t="s">
        <v>3353</v>
      </c>
      <c r="F1323" s="10">
        <v>12</v>
      </c>
      <c r="G1323" s="10">
        <v>1994</v>
      </c>
      <c r="H1323" s="21" t="s">
        <v>3342</v>
      </c>
      <c r="I1323" s="21" t="s">
        <v>2827</v>
      </c>
      <c r="J1323" s="21" t="s">
        <v>247</v>
      </c>
    </row>
    <row r="1324" spans="1:10" x14ac:dyDescent="0.2">
      <c r="A1324" s="23" t="s">
        <v>14</v>
      </c>
      <c r="B1324" s="24">
        <v>34690</v>
      </c>
      <c r="C1324" s="23" t="s">
        <v>15</v>
      </c>
      <c r="D1324" s="23" t="s">
        <v>3354</v>
      </c>
      <c r="E1324" s="23" t="s">
        <v>3355</v>
      </c>
      <c r="F1324" s="10">
        <v>12</v>
      </c>
      <c r="G1324" s="10">
        <v>1994</v>
      </c>
      <c r="H1324" s="23" t="s">
        <v>3342</v>
      </c>
      <c r="I1324" s="23" t="s">
        <v>3356</v>
      </c>
      <c r="J1324" s="23" t="s">
        <v>247</v>
      </c>
    </row>
    <row r="1325" spans="1:10" x14ac:dyDescent="0.2">
      <c r="A1325" s="21" t="s">
        <v>14</v>
      </c>
      <c r="B1325" s="22">
        <v>34690</v>
      </c>
      <c r="C1325" s="21" t="s">
        <v>21</v>
      </c>
      <c r="D1325" s="21" t="s">
        <v>3357</v>
      </c>
      <c r="E1325" s="21" t="s">
        <v>3358</v>
      </c>
      <c r="F1325" s="10">
        <v>12</v>
      </c>
      <c r="G1325" s="10">
        <v>1994</v>
      </c>
      <c r="H1325" s="21" t="s">
        <v>3342</v>
      </c>
      <c r="I1325" s="21" t="s">
        <v>3359</v>
      </c>
      <c r="J1325" s="21" t="s">
        <v>247</v>
      </c>
    </row>
    <row r="1326" spans="1:10" x14ac:dyDescent="0.2">
      <c r="A1326" s="23" t="s">
        <v>14</v>
      </c>
      <c r="B1326" s="24">
        <v>34677</v>
      </c>
      <c r="C1326" s="23" t="s">
        <v>21</v>
      </c>
      <c r="D1326" s="23" t="s">
        <v>3360</v>
      </c>
      <c r="E1326" s="23" t="s">
        <v>3361</v>
      </c>
      <c r="F1326" s="10">
        <v>12</v>
      </c>
      <c r="G1326" s="10">
        <v>1994</v>
      </c>
      <c r="H1326" s="23" t="s">
        <v>3342</v>
      </c>
      <c r="I1326" s="23" t="s">
        <v>3362</v>
      </c>
      <c r="J1326" s="23" t="s">
        <v>247</v>
      </c>
    </row>
    <row r="1327" spans="1:10" x14ac:dyDescent="0.2">
      <c r="A1327" s="21" t="s">
        <v>14</v>
      </c>
      <c r="B1327" s="22">
        <v>34673</v>
      </c>
      <c r="C1327" s="21" t="s">
        <v>21</v>
      </c>
      <c r="D1327" s="21" t="s">
        <v>3363</v>
      </c>
      <c r="E1327" s="21" t="s">
        <v>3364</v>
      </c>
      <c r="F1327" s="10">
        <v>12</v>
      </c>
      <c r="G1327" s="10">
        <v>1994</v>
      </c>
      <c r="H1327" s="21" t="s">
        <v>3342</v>
      </c>
      <c r="I1327" s="21" t="s">
        <v>3365</v>
      </c>
      <c r="J1327" s="21" t="s">
        <v>247</v>
      </c>
    </row>
    <row r="1328" spans="1:10" x14ac:dyDescent="0.2">
      <c r="A1328" s="23" t="s">
        <v>14</v>
      </c>
      <c r="B1328" s="24">
        <v>34661</v>
      </c>
      <c r="C1328" s="23" t="s">
        <v>21</v>
      </c>
      <c r="D1328" s="23" t="s">
        <v>3366</v>
      </c>
      <c r="E1328" s="23" t="s">
        <v>3367</v>
      </c>
      <c r="F1328" s="10">
        <v>11</v>
      </c>
      <c r="G1328" s="10">
        <v>1994</v>
      </c>
      <c r="H1328" s="23" t="s">
        <v>3368</v>
      </c>
      <c r="I1328" s="23" t="s">
        <v>3369</v>
      </c>
      <c r="J1328" s="23" t="s">
        <v>247</v>
      </c>
    </row>
    <row r="1329" spans="1:10" x14ac:dyDescent="0.2">
      <c r="A1329" s="21" t="s">
        <v>14</v>
      </c>
      <c r="B1329" s="22">
        <v>34565</v>
      </c>
      <c r="C1329" s="21" t="s">
        <v>21</v>
      </c>
      <c r="D1329" s="21" t="s">
        <v>728</v>
      </c>
      <c r="E1329" s="21" t="s">
        <v>3370</v>
      </c>
      <c r="F1329" s="10">
        <v>8</v>
      </c>
      <c r="G1329" s="10">
        <v>1994</v>
      </c>
      <c r="H1329" s="21" t="s">
        <v>3371</v>
      </c>
      <c r="I1329" s="21" t="s">
        <v>3372</v>
      </c>
      <c r="J1329" s="21" t="s">
        <v>247</v>
      </c>
    </row>
    <row r="1330" spans="1:10" x14ac:dyDescent="0.2">
      <c r="A1330" s="23" t="s">
        <v>14</v>
      </c>
      <c r="B1330" s="24">
        <v>34561</v>
      </c>
      <c r="C1330" s="23" t="s">
        <v>21</v>
      </c>
      <c r="D1330" s="23" t="s">
        <v>3373</v>
      </c>
      <c r="E1330" s="23" t="s">
        <v>3374</v>
      </c>
      <c r="F1330" s="10">
        <v>8</v>
      </c>
      <c r="G1330" s="10">
        <v>1994</v>
      </c>
      <c r="H1330" s="23" t="s">
        <v>3371</v>
      </c>
      <c r="I1330" s="23" t="s">
        <v>3375</v>
      </c>
      <c r="J1330" s="23" t="s">
        <v>247</v>
      </c>
    </row>
    <row r="1331" spans="1:10" x14ac:dyDescent="0.2">
      <c r="A1331" s="21" t="s">
        <v>14</v>
      </c>
      <c r="B1331" s="22">
        <v>34514</v>
      </c>
      <c r="C1331" s="21" t="s">
        <v>21</v>
      </c>
      <c r="D1331" s="21" t="s">
        <v>3376</v>
      </c>
      <c r="E1331" s="21" t="s">
        <v>3377</v>
      </c>
      <c r="F1331" s="10">
        <v>6</v>
      </c>
      <c r="G1331" s="10">
        <v>1994</v>
      </c>
      <c r="H1331" s="21" t="s">
        <v>3378</v>
      </c>
      <c r="I1331" s="21" t="s">
        <v>3379</v>
      </c>
      <c r="J1331" s="21" t="s">
        <v>247</v>
      </c>
    </row>
    <row r="1332" spans="1:10" x14ac:dyDescent="0.2">
      <c r="A1332" s="23" t="s">
        <v>14</v>
      </c>
      <c r="B1332" s="24">
        <v>34509</v>
      </c>
      <c r="C1332" s="23" t="s">
        <v>21</v>
      </c>
      <c r="D1332" s="23" t="s">
        <v>3380</v>
      </c>
      <c r="E1332" s="23" t="s">
        <v>3381</v>
      </c>
      <c r="F1332" s="10">
        <v>6</v>
      </c>
      <c r="G1332" s="10">
        <v>1994</v>
      </c>
      <c r="H1332" s="23" t="s">
        <v>3378</v>
      </c>
      <c r="I1332" s="23" t="s">
        <v>3382</v>
      </c>
      <c r="J1332" s="23" t="s">
        <v>247</v>
      </c>
    </row>
    <row r="1333" spans="1:10" x14ac:dyDescent="0.2">
      <c r="A1333" s="21" t="s">
        <v>14</v>
      </c>
      <c r="B1333" s="22">
        <v>34487</v>
      </c>
      <c r="C1333" s="21" t="s">
        <v>21</v>
      </c>
      <c r="D1333" s="21" t="s">
        <v>3383</v>
      </c>
      <c r="E1333" s="21" t="s">
        <v>3384</v>
      </c>
      <c r="F1333" s="10">
        <v>6</v>
      </c>
      <c r="G1333" s="10">
        <v>1994</v>
      </c>
      <c r="H1333" s="21" t="s">
        <v>3378</v>
      </c>
      <c r="I1333" s="21" t="s">
        <v>3385</v>
      </c>
      <c r="J1333" s="21" t="s">
        <v>247</v>
      </c>
    </row>
    <row r="1334" spans="1:10" x14ac:dyDescent="0.2">
      <c r="A1334" s="23" t="s">
        <v>14</v>
      </c>
      <c r="B1334" s="24">
        <v>34477</v>
      </c>
      <c r="C1334" s="23" t="s">
        <v>15</v>
      </c>
      <c r="D1334" s="23" t="s">
        <v>3386</v>
      </c>
      <c r="E1334" s="23" t="s">
        <v>3387</v>
      </c>
      <c r="F1334" s="10">
        <v>5</v>
      </c>
      <c r="G1334" s="10">
        <v>1994</v>
      </c>
      <c r="H1334" s="23" t="s">
        <v>3388</v>
      </c>
      <c r="I1334" s="23" t="s">
        <v>3389</v>
      </c>
      <c r="J1334" s="23" t="s">
        <v>247</v>
      </c>
    </row>
    <row r="1335" spans="1:10" x14ac:dyDescent="0.2">
      <c r="A1335" s="21" t="s">
        <v>14</v>
      </c>
      <c r="B1335" s="22">
        <v>34432</v>
      </c>
      <c r="C1335" s="21" t="s">
        <v>21</v>
      </c>
      <c r="D1335" s="21" t="s">
        <v>3390</v>
      </c>
      <c r="E1335" s="21" t="s">
        <v>3391</v>
      </c>
      <c r="F1335" s="10">
        <v>4</v>
      </c>
      <c r="G1335" s="10">
        <v>1994</v>
      </c>
      <c r="H1335" s="21" t="s">
        <v>3392</v>
      </c>
      <c r="I1335" s="21" t="s">
        <v>3393</v>
      </c>
      <c r="J1335" s="21" t="s">
        <v>247</v>
      </c>
    </row>
    <row r="1336" spans="1:10" x14ac:dyDescent="0.2">
      <c r="A1336" s="23" t="s">
        <v>14</v>
      </c>
      <c r="B1336" s="24">
        <v>34418</v>
      </c>
      <c r="C1336" s="23" t="s">
        <v>21</v>
      </c>
      <c r="D1336" s="23" t="s">
        <v>3394</v>
      </c>
      <c r="E1336" s="23" t="s">
        <v>3395</v>
      </c>
      <c r="F1336" s="10">
        <v>3</v>
      </c>
      <c r="G1336" s="10">
        <v>1994</v>
      </c>
      <c r="H1336" s="23" t="s">
        <v>3396</v>
      </c>
      <c r="I1336" s="23" t="s">
        <v>3397</v>
      </c>
      <c r="J1336" s="23" t="s">
        <v>247</v>
      </c>
    </row>
    <row r="1337" spans="1:10" x14ac:dyDescent="0.2">
      <c r="A1337" s="21" t="s">
        <v>14</v>
      </c>
      <c r="B1337" s="22">
        <v>34418</v>
      </c>
      <c r="C1337" s="21" t="s">
        <v>21</v>
      </c>
      <c r="D1337" s="21" t="s">
        <v>728</v>
      </c>
      <c r="E1337" s="21" t="s">
        <v>3398</v>
      </c>
      <c r="F1337" s="10">
        <v>3</v>
      </c>
      <c r="G1337" s="10">
        <v>1994</v>
      </c>
      <c r="H1337" s="21" t="s">
        <v>3396</v>
      </c>
      <c r="I1337" s="21" t="s">
        <v>3399</v>
      </c>
      <c r="J1337" s="21" t="s">
        <v>247</v>
      </c>
    </row>
    <row r="1338" spans="1:10" x14ac:dyDescent="0.2">
      <c r="A1338" s="23" t="s">
        <v>14</v>
      </c>
      <c r="B1338" s="24">
        <v>34410</v>
      </c>
      <c r="C1338" s="23" t="s">
        <v>21</v>
      </c>
      <c r="D1338" s="23" t="s">
        <v>3400</v>
      </c>
      <c r="E1338" s="23" t="s">
        <v>3401</v>
      </c>
      <c r="F1338" s="10">
        <v>3</v>
      </c>
      <c r="G1338" s="10">
        <v>1994</v>
      </c>
      <c r="H1338" s="23" t="s">
        <v>3396</v>
      </c>
      <c r="I1338" s="23" t="s">
        <v>3402</v>
      </c>
      <c r="J1338" s="23" t="s">
        <v>247</v>
      </c>
    </row>
    <row r="1339" spans="1:10" x14ac:dyDescent="0.2">
      <c r="A1339" s="21" t="s">
        <v>14</v>
      </c>
      <c r="B1339" s="22">
        <v>34379</v>
      </c>
      <c r="C1339" s="21" t="s">
        <v>21</v>
      </c>
      <c r="D1339" s="21" t="s">
        <v>3403</v>
      </c>
      <c r="E1339" s="21" t="s">
        <v>3404</v>
      </c>
      <c r="F1339" s="10">
        <v>2</v>
      </c>
      <c r="G1339" s="10">
        <v>1994</v>
      </c>
      <c r="H1339" s="21" t="s">
        <v>3405</v>
      </c>
      <c r="I1339" s="21" t="s">
        <v>3406</v>
      </c>
      <c r="J1339" s="21" t="s">
        <v>247</v>
      </c>
    </row>
    <row r="1340" spans="1:10" x14ac:dyDescent="0.2">
      <c r="A1340" s="23" t="s">
        <v>14</v>
      </c>
      <c r="B1340" s="24">
        <v>34369</v>
      </c>
      <c r="C1340" s="23" t="s">
        <v>21</v>
      </c>
      <c r="D1340" s="23" t="s">
        <v>3407</v>
      </c>
      <c r="E1340" s="23" t="s">
        <v>3408</v>
      </c>
      <c r="F1340" s="10">
        <v>2</v>
      </c>
      <c r="G1340" s="10">
        <v>1994</v>
      </c>
      <c r="H1340" s="23" t="s">
        <v>3405</v>
      </c>
      <c r="I1340" s="23" t="s">
        <v>3409</v>
      </c>
      <c r="J1340" s="23" t="s">
        <v>247</v>
      </c>
    </row>
    <row r="1341" spans="1:10" x14ac:dyDescent="0.2">
      <c r="A1341" s="21" t="s">
        <v>14</v>
      </c>
      <c r="B1341" s="22">
        <v>34366</v>
      </c>
      <c r="C1341" s="21" t="s">
        <v>15</v>
      </c>
      <c r="D1341" s="21" t="s">
        <v>3410</v>
      </c>
      <c r="E1341" s="21" t="s">
        <v>3411</v>
      </c>
      <c r="F1341" s="10">
        <v>2</v>
      </c>
      <c r="G1341" s="10">
        <v>1994</v>
      </c>
      <c r="H1341" s="21" t="s">
        <v>3405</v>
      </c>
      <c r="I1341" s="21" t="s">
        <v>3412</v>
      </c>
      <c r="J1341" s="21" t="s">
        <v>247</v>
      </c>
    </row>
    <row r="1342" spans="1:10" x14ac:dyDescent="0.2">
      <c r="A1342" s="23" t="s">
        <v>14</v>
      </c>
      <c r="B1342" s="24">
        <v>34334</v>
      </c>
      <c r="C1342" s="23" t="s">
        <v>21</v>
      </c>
      <c r="D1342" s="23" t="s">
        <v>3413</v>
      </c>
      <c r="E1342" s="23" t="s">
        <v>3414</v>
      </c>
      <c r="F1342" s="10">
        <v>12</v>
      </c>
      <c r="G1342" s="10">
        <v>1993</v>
      </c>
      <c r="H1342" s="23" t="s">
        <v>3415</v>
      </c>
      <c r="I1342" s="23" t="s">
        <v>3416</v>
      </c>
      <c r="J1342" s="23" t="s">
        <v>247</v>
      </c>
    </row>
    <row r="1343" spans="1:10" x14ac:dyDescent="0.2">
      <c r="A1343" s="21" t="s">
        <v>14</v>
      </c>
      <c r="B1343" s="22">
        <v>34334</v>
      </c>
      <c r="C1343" s="21" t="s">
        <v>21</v>
      </c>
      <c r="D1343" s="21" t="s">
        <v>3417</v>
      </c>
      <c r="E1343" s="21" t="s">
        <v>3418</v>
      </c>
      <c r="F1343" s="10">
        <v>12</v>
      </c>
      <c r="G1343" s="10">
        <v>1993</v>
      </c>
      <c r="H1343" s="21" t="s">
        <v>3415</v>
      </c>
      <c r="I1343" s="21" t="s">
        <v>3419</v>
      </c>
      <c r="J1343" s="21" t="s">
        <v>247</v>
      </c>
    </row>
    <row r="1344" spans="1:10" x14ac:dyDescent="0.2">
      <c r="A1344" s="23" t="s">
        <v>14</v>
      </c>
      <c r="B1344" s="24">
        <v>34333</v>
      </c>
      <c r="C1344" s="23" t="s">
        <v>21</v>
      </c>
      <c r="D1344" s="23" t="s">
        <v>3420</v>
      </c>
      <c r="E1344" s="23" t="s">
        <v>3421</v>
      </c>
      <c r="F1344" s="10">
        <v>12</v>
      </c>
      <c r="G1344" s="10">
        <v>1993</v>
      </c>
      <c r="H1344" s="23" t="s">
        <v>3415</v>
      </c>
      <c r="I1344" s="23" t="s">
        <v>3422</v>
      </c>
      <c r="J1344" s="23" t="s">
        <v>247</v>
      </c>
    </row>
    <row r="1345" spans="1:10" x14ac:dyDescent="0.2">
      <c r="A1345" s="21" t="s">
        <v>14</v>
      </c>
      <c r="B1345" s="22">
        <v>34333</v>
      </c>
      <c r="C1345" s="21" t="s">
        <v>21</v>
      </c>
      <c r="D1345" s="21" t="s">
        <v>3423</v>
      </c>
      <c r="E1345" s="21" t="s">
        <v>3424</v>
      </c>
      <c r="F1345" s="10">
        <v>12</v>
      </c>
      <c r="G1345" s="10">
        <v>1993</v>
      </c>
      <c r="H1345" s="21" t="s">
        <v>3415</v>
      </c>
      <c r="I1345" s="21" t="s">
        <v>3425</v>
      </c>
      <c r="J1345" s="21" t="s">
        <v>247</v>
      </c>
    </row>
    <row r="1346" spans="1:10" x14ac:dyDescent="0.2">
      <c r="A1346" s="23" t="s">
        <v>14</v>
      </c>
      <c r="B1346" s="24">
        <v>34333</v>
      </c>
      <c r="C1346" s="23" t="s">
        <v>15</v>
      </c>
      <c r="D1346" s="23" t="s">
        <v>3426</v>
      </c>
      <c r="E1346" s="23" t="s">
        <v>3427</v>
      </c>
      <c r="F1346" s="10">
        <v>12</v>
      </c>
      <c r="G1346" s="10">
        <v>1993</v>
      </c>
      <c r="H1346" s="23" t="s">
        <v>3415</v>
      </c>
      <c r="I1346" s="23" t="s">
        <v>3428</v>
      </c>
      <c r="J1346" s="23" t="s">
        <v>247</v>
      </c>
    </row>
    <row r="1347" spans="1:10" x14ac:dyDescent="0.2">
      <c r="A1347" s="21" t="s">
        <v>14</v>
      </c>
      <c r="B1347" s="22">
        <v>34332</v>
      </c>
      <c r="C1347" s="21" t="s">
        <v>21</v>
      </c>
      <c r="D1347" s="21" t="s">
        <v>3429</v>
      </c>
      <c r="E1347" s="21" t="s">
        <v>3430</v>
      </c>
      <c r="F1347" s="10">
        <v>12</v>
      </c>
      <c r="G1347" s="10">
        <v>1993</v>
      </c>
      <c r="H1347" s="21" t="s">
        <v>3415</v>
      </c>
      <c r="I1347" s="21" t="s">
        <v>3431</v>
      </c>
      <c r="J1347" s="21" t="s">
        <v>247</v>
      </c>
    </row>
    <row r="1348" spans="1:10" x14ac:dyDescent="0.2">
      <c r="A1348" s="23" t="s">
        <v>14</v>
      </c>
      <c r="B1348" s="24">
        <v>34332</v>
      </c>
      <c r="C1348" s="23" t="s">
        <v>15</v>
      </c>
      <c r="D1348" s="23" t="s">
        <v>3432</v>
      </c>
      <c r="E1348" s="23" t="s">
        <v>3433</v>
      </c>
      <c r="F1348" s="10">
        <v>12</v>
      </c>
      <c r="G1348" s="10">
        <v>1993</v>
      </c>
      <c r="H1348" s="23" t="s">
        <v>3415</v>
      </c>
      <c r="I1348" s="23" t="s">
        <v>3434</v>
      </c>
      <c r="J1348" s="23" t="s">
        <v>247</v>
      </c>
    </row>
    <row r="1349" spans="1:10" x14ac:dyDescent="0.2">
      <c r="A1349" s="21" t="s">
        <v>14</v>
      </c>
      <c r="B1349" s="22">
        <v>34332</v>
      </c>
      <c r="C1349" s="21" t="s">
        <v>21</v>
      </c>
      <c r="D1349" s="21" t="s">
        <v>3435</v>
      </c>
      <c r="E1349" s="21" t="s">
        <v>3436</v>
      </c>
      <c r="F1349" s="10">
        <v>12</v>
      </c>
      <c r="G1349" s="10">
        <v>1993</v>
      </c>
      <c r="H1349" s="21" t="s">
        <v>3415</v>
      </c>
      <c r="I1349" s="21" t="s">
        <v>3437</v>
      </c>
      <c r="J1349" s="21" t="s">
        <v>247</v>
      </c>
    </row>
    <row r="1350" spans="1:10" x14ac:dyDescent="0.2">
      <c r="A1350" s="23" t="s">
        <v>14</v>
      </c>
      <c r="B1350" s="24">
        <v>34332</v>
      </c>
      <c r="C1350" s="23" t="s">
        <v>21</v>
      </c>
      <c r="D1350" s="23" t="s">
        <v>3438</v>
      </c>
      <c r="E1350" s="23" t="s">
        <v>3439</v>
      </c>
      <c r="F1350" s="10">
        <v>12</v>
      </c>
      <c r="G1350" s="10">
        <v>1993</v>
      </c>
      <c r="H1350" s="23" t="s">
        <v>3415</v>
      </c>
      <c r="I1350" s="23" t="s">
        <v>3440</v>
      </c>
      <c r="J1350" s="23" t="s">
        <v>247</v>
      </c>
    </row>
    <row r="1351" spans="1:10" x14ac:dyDescent="0.2">
      <c r="A1351" s="21" t="s">
        <v>14</v>
      </c>
      <c r="B1351" s="22">
        <v>34331</v>
      </c>
      <c r="C1351" s="21" t="s">
        <v>21</v>
      </c>
      <c r="D1351" s="21" t="s">
        <v>3441</v>
      </c>
      <c r="E1351" s="21" t="s">
        <v>3442</v>
      </c>
      <c r="F1351" s="10">
        <v>12</v>
      </c>
      <c r="G1351" s="10">
        <v>1993</v>
      </c>
      <c r="H1351" s="21" t="s">
        <v>3415</v>
      </c>
      <c r="I1351" s="21" t="s">
        <v>2827</v>
      </c>
      <c r="J1351" s="21" t="s">
        <v>247</v>
      </c>
    </row>
    <row r="1352" spans="1:10" x14ac:dyDescent="0.2">
      <c r="A1352" s="23" t="s">
        <v>14</v>
      </c>
      <c r="B1352" s="24">
        <v>34320</v>
      </c>
      <c r="C1352" s="23" t="s">
        <v>21</v>
      </c>
      <c r="D1352" s="23" t="s">
        <v>3443</v>
      </c>
      <c r="E1352" s="23" t="s">
        <v>3444</v>
      </c>
      <c r="F1352" s="10">
        <v>12</v>
      </c>
      <c r="G1352" s="10">
        <v>1993</v>
      </c>
      <c r="H1352" s="23" t="s">
        <v>3415</v>
      </c>
      <c r="I1352" s="23" t="s">
        <v>3445</v>
      </c>
      <c r="J1352" s="23" t="s">
        <v>247</v>
      </c>
    </row>
    <row r="1353" spans="1:10" x14ac:dyDescent="0.2">
      <c r="A1353" s="21" t="s">
        <v>14</v>
      </c>
      <c r="B1353" s="22">
        <v>34283</v>
      </c>
      <c r="C1353" s="21" t="s">
        <v>21</v>
      </c>
      <c r="D1353" s="21" t="s">
        <v>3446</v>
      </c>
      <c r="E1353" s="21" t="s">
        <v>3447</v>
      </c>
      <c r="F1353" s="10">
        <v>11</v>
      </c>
      <c r="G1353" s="10">
        <v>1993</v>
      </c>
      <c r="H1353" s="21" t="s">
        <v>3448</v>
      </c>
      <c r="I1353" s="21" t="s">
        <v>3449</v>
      </c>
      <c r="J1353" s="21" t="s">
        <v>247</v>
      </c>
    </row>
    <row r="1354" spans="1:10" x14ac:dyDescent="0.2">
      <c r="A1354" s="23" t="s">
        <v>14</v>
      </c>
      <c r="B1354" s="24">
        <v>34264</v>
      </c>
      <c r="C1354" s="23" t="s">
        <v>21</v>
      </c>
      <c r="D1354" s="23" t="s">
        <v>3450</v>
      </c>
      <c r="E1354" s="23" t="s">
        <v>3451</v>
      </c>
      <c r="F1354" s="10">
        <v>10</v>
      </c>
      <c r="G1354" s="10">
        <v>1993</v>
      </c>
      <c r="H1354" s="23" t="s">
        <v>3452</v>
      </c>
      <c r="I1354" s="23" t="s">
        <v>3453</v>
      </c>
      <c r="J1354" s="23" t="s">
        <v>247</v>
      </c>
    </row>
    <row r="1355" spans="1:10" x14ac:dyDescent="0.2">
      <c r="A1355" s="21" t="s">
        <v>14</v>
      </c>
      <c r="B1355" s="22">
        <v>34235</v>
      </c>
      <c r="C1355" s="21" t="s">
        <v>21</v>
      </c>
      <c r="D1355" s="21" t="s">
        <v>3454</v>
      </c>
      <c r="E1355" s="21" t="s">
        <v>3455</v>
      </c>
      <c r="F1355" s="10">
        <v>9</v>
      </c>
      <c r="G1355" s="10">
        <v>1993</v>
      </c>
      <c r="H1355" s="21" t="s">
        <v>3456</v>
      </c>
      <c r="I1355" s="21" t="s">
        <v>3457</v>
      </c>
      <c r="J1355" s="21" t="s">
        <v>247</v>
      </c>
    </row>
    <row r="1356" spans="1:10" x14ac:dyDescent="0.2">
      <c r="A1356" s="23" t="s">
        <v>14</v>
      </c>
      <c r="B1356" s="24">
        <v>34229</v>
      </c>
      <c r="C1356" s="23" t="s">
        <v>21</v>
      </c>
      <c r="D1356" s="23" t="s">
        <v>3458</v>
      </c>
      <c r="E1356" s="23" t="s">
        <v>3459</v>
      </c>
      <c r="F1356" s="10">
        <v>9</v>
      </c>
      <c r="G1356" s="10">
        <v>1993</v>
      </c>
      <c r="H1356" s="23" t="s">
        <v>3456</v>
      </c>
      <c r="I1356" s="23" t="s">
        <v>3460</v>
      </c>
      <c r="J1356" s="23" t="s">
        <v>247</v>
      </c>
    </row>
    <row r="1357" spans="1:10" x14ac:dyDescent="0.2">
      <c r="A1357" s="21" t="s">
        <v>14</v>
      </c>
      <c r="B1357" s="22">
        <v>34221</v>
      </c>
      <c r="C1357" s="21" t="s">
        <v>21</v>
      </c>
      <c r="D1357" s="21" t="s">
        <v>3461</v>
      </c>
      <c r="E1357" s="21" t="s">
        <v>3462</v>
      </c>
      <c r="F1357" s="10">
        <v>9</v>
      </c>
      <c r="G1357" s="10">
        <v>1993</v>
      </c>
      <c r="H1357" s="21" t="s">
        <v>3456</v>
      </c>
      <c r="I1357" s="21" t="s">
        <v>2530</v>
      </c>
      <c r="J1357" s="21" t="s">
        <v>247</v>
      </c>
    </row>
    <row r="1358" spans="1:10" x14ac:dyDescent="0.2">
      <c r="A1358" s="23" t="s">
        <v>14</v>
      </c>
      <c r="B1358" s="24">
        <v>34204</v>
      </c>
      <c r="C1358" s="23" t="s">
        <v>21</v>
      </c>
      <c r="D1358" s="23" t="s">
        <v>3463</v>
      </c>
      <c r="E1358" s="23" t="s">
        <v>3464</v>
      </c>
      <c r="F1358" s="10">
        <v>8</v>
      </c>
      <c r="G1358" s="10">
        <v>1993</v>
      </c>
      <c r="H1358" s="23" t="s">
        <v>3465</v>
      </c>
      <c r="I1358" s="23" t="s">
        <v>3466</v>
      </c>
      <c r="J1358" s="23" t="s">
        <v>247</v>
      </c>
    </row>
    <row r="1359" spans="1:10" x14ac:dyDescent="0.2">
      <c r="A1359" s="21" t="s">
        <v>14</v>
      </c>
      <c r="B1359" s="22">
        <v>34194</v>
      </c>
      <c r="C1359" s="21" t="s">
        <v>21</v>
      </c>
      <c r="D1359" s="21" t="s">
        <v>3467</v>
      </c>
      <c r="E1359" s="21" t="s">
        <v>3468</v>
      </c>
      <c r="F1359" s="10">
        <v>8</v>
      </c>
      <c r="G1359" s="10">
        <v>1993</v>
      </c>
      <c r="H1359" s="21" t="s">
        <v>3465</v>
      </c>
      <c r="I1359" s="21" t="s">
        <v>3469</v>
      </c>
      <c r="J1359" s="21" t="s">
        <v>247</v>
      </c>
    </row>
    <row r="1360" spans="1:10" x14ac:dyDescent="0.2">
      <c r="A1360" s="23" t="s">
        <v>14</v>
      </c>
      <c r="B1360" s="24">
        <v>34179</v>
      </c>
      <c r="C1360" s="23" t="s">
        <v>21</v>
      </c>
      <c r="D1360" s="23" t="s">
        <v>3470</v>
      </c>
      <c r="E1360" s="23" t="s">
        <v>3471</v>
      </c>
      <c r="F1360" s="10">
        <v>7</v>
      </c>
      <c r="G1360" s="10">
        <v>1993</v>
      </c>
      <c r="H1360" s="23" t="s">
        <v>3472</v>
      </c>
      <c r="I1360" s="23" t="s">
        <v>3473</v>
      </c>
      <c r="J1360" s="23" t="s">
        <v>247</v>
      </c>
    </row>
    <row r="1361" spans="1:10" x14ac:dyDescent="0.2">
      <c r="A1361" s="21" t="s">
        <v>14</v>
      </c>
      <c r="B1361" s="22">
        <v>34179</v>
      </c>
      <c r="C1361" s="21" t="s">
        <v>21</v>
      </c>
      <c r="D1361" s="21" t="s">
        <v>3474</v>
      </c>
      <c r="E1361" s="21" t="s">
        <v>3475</v>
      </c>
      <c r="F1361" s="10">
        <v>7</v>
      </c>
      <c r="G1361" s="10">
        <v>1993</v>
      </c>
      <c r="H1361" s="21" t="s">
        <v>3472</v>
      </c>
      <c r="I1361" s="21" t="s">
        <v>3476</v>
      </c>
      <c r="J1361" s="21" t="s">
        <v>247</v>
      </c>
    </row>
    <row r="1362" spans="1:10" x14ac:dyDescent="0.2">
      <c r="A1362" s="23" t="s">
        <v>14</v>
      </c>
      <c r="B1362" s="24">
        <v>34173</v>
      </c>
      <c r="C1362" s="23" t="s">
        <v>15</v>
      </c>
      <c r="D1362" s="23" t="s">
        <v>3477</v>
      </c>
      <c r="E1362" s="23" t="s">
        <v>3478</v>
      </c>
      <c r="F1362" s="10">
        <v>7</v>
      </c>
      <c r="G1362" s="10">
        <v>1993</v>
      </c>
      <c r="H1362" s="23" t="s">
        <v>3472</v>
      </c>
      <c r="I1362" s="23" t="s">
        <v>3479</v>
      </c>
      <c r="J1362" s="23" t="s">
        <v>247</v>
      </c>
    </row>
    <row r="1363" spans="1:10" x14ac:dyDescent="0.2">
      <c r="A1363" s="21" t="s">
        <v>14</v>
      </c>
      <c r="B1363" s="22">
        <v>34159</v>
      </c>
      <c r="C1363" s="21" t="s">
        <v>21</v>
      </c>
      <c r="D1363" s="21" t="s">
        <v>3480</v>
      </c>
      <c r="E1363" s="21" t="s">
        <v>3481</v>
      </c>
      <c r="F1363" s="10">
        <v>7</v>
      </c>
      <c r="G1363" s="10">
        <v>1993</v>
      </c>
      <c r="H1363" s="21" t="s">
        <v>3472</v>
      </c>
      <c r="I1363" s="21" t="s">
        <v>3482</v>
      </c>
      <c r="J1363" s="21" t="s">
        <v>247</v>
      </c>
    </row>
    <row r="1364" spans="1:10" x14ac:dyDescent="0.2">
      <c r="A1364" s="23" t="s">
        <v>14</v>
      </c>
      <c r="B1364" s="24">
        <v>34138</v>
      </c>
      <c r="C1364" s="23" t="s">
        <v>21</v>
      </c>
      <c r="D1364" s="23" t="s">
        <v>3483</v>
      </c>
      <c r="E1364" s="23" t="s">
        <v>3484</v>
      </c>
      <c r="F1364" s="10">
        <v>6</v>
      </c>
      <c r="G1364" s="10">
        <v>1993</v>
      </c>
      <c r="H1364" s="23" t="s">
        <v>3485</v>
      </c>
      <c r="I1364" s="23" t="s">
        <v>3486</v>
      </c>
      <c r="J1364" s="23" t="s">
        <v>247</v>
      </c>
    </row>
    <row r="1365" spans="1:10" x14ac:dyDescent="0.2">
      <c r="A1365" s="21" t="s">
        <v>14</v>
      </c>
      <c r="B1365" s="22">
        <v>34071</v>
      </c>
      <c r="C1365" s="21" t="s">
        <v>21</v>
      </c>
      <c r="D1365" s="21" t="s">
        <v>3487</v>
      </c>
      <c r="E1365" s="21" t="s">
        <v>3488</v>
      </c>
      <c r="F1365" s="10">
        <v>4</v>
      </c>
      <c r="G1365" s="10">
        <v>1993</v>
      </c>
      <c r="H1365" s="21" t="s">
        <v>3489</v>
      </c>
      <c r="I1365" s="21" t="s">
        <v>3490</v>
      </c>
      <c r="J1365" s="21" t="s">
        <v>247</v>
      </c>
    </row>
    <row r="1366" spans="1:10" x14ac:dyDescent="0.2">
      <c r="A1366" s="23" t="s">
        <v>14</v>
      </c>
      <c r="B1366" s="24">
        <v>34057</v>
      </c>
      <c r="C1366" s="23" t="s">
        <v>21</v>
      </c>
      <c r="D1366" s="23" t="s">
        <v>3491</v>
      </c>
      <c r="E1366" s="23" t="s">
        <v>3492</v>
      </c>
      <c r="F1366" s="10">
        <v>3</v>
      </c>
      <c r="G1366" s="10">
        <v>1993</v>
      </c>
      <c r="H1366" s="23" t="s">
        <v>3493</v>
      </c>
      <c r="I1366" s="23" t="s">
        <v>3494</v>
      </c>
      <c r="J1366" s="23" t="s">
        <v>247</v>
      </c>
    </row>
    <row r="1367" spans="1:10" x14ac:dyDescent="0.2">
      <c r="A1367" s="21" t="s">
        <v>14</v>
      </c>
      <c r="B1367" s="22">
        <v>34026</v>
      </c>
      <c r="C1367" s="21" t="s">
        <v>21</v>
      </c>
      <c r="D1367" s="21" t="s">
        <v>3495</v>
      </c>
      <c r="E1367" s="21" t="s">
        <v>3496</v>
      </c>
      <c r="F1367" s="10">
        <v>2</v>
      </c>
      <c r="G1367" s="10">
        <v>1993</v>
      </c>
      <c r="H1367" s="21" t="s">
        <v>3497</v>
      </c>
      <c r="I1367" s="21" t="s">
        <v>3498</v>
      </c>
      <c r="J1367" s="21" t="s">
        <v>247</v>
      </c>
    </row>
    <row r="1368" spans="1:10" x14ac:dyDescent="0.2">
      <c r="A1368" s="23" t="s">
        <v>14</v>
      </c>
      <c r="B1368" s="24">
        <v>33977</v>
      </c>
      <c r="C1368" s="23" t="s">
        <v>21</v>
      </c>
      <c r="D1368" s="23" t="s">
        <v>3499</v>
      </c>
      <c r="E1368" s="23" t="s">
        <v>3500</v>
      </c>
      <c r="F1368" s="10">
        <v>1</v>
      </c>
      <c r="G1368" s="10">
        <v>1993</v>
      </c>
      <c r="H1368" s="23" t="s">
        <v>3501</v>
      </c>
      <c r="I1368" s="23" t="s">
        <v>3502</v>
      </c>
      <c r="J1368" s="23" t="s">
        <v>247</v>
      </c>
    </row>
    <row r="1369" spans="1:10" x14ac:dyDescent="0.2">
      <c r="A1369" s="21" t="s">
        <v>14</v>
      </c>
      <c r="B1369" s="22">
        <v>33968</v>
      </c>
      <c r="C1369" s="21" t="s">
        <v>21</v>
      </c>
      <c r="D1369" s="21" t="s">
        <v>3503</v>
      </c>
      <c r="E1369" s="21" t="s">
        <v>3504</v>
      </c>
      <c r="F1369" s="10">
        <v>12</v>
      </c>
      <c r="G1369" s="10">
        <v>1992</v>
      </c>
      <c r="H1369" s="21" t="s">
        <v>3505</v>
      </c>
      <c r="I1369" s="21" t="s">
        <v>3506</v>
      </c>
      <c r="J1369" s="21" t="s">
        <v>247</v>
      </c>
    </row>
    <row r="1370" spans="1:10" x14ac:dyDescent="0.2">
      <c r="A1370" s="23" t="s">
        <v>14</v>
      </c>
      <c r="B1370" s="24">
        <v>33968</v>
      </c>
      <c r="C1370" s="23" t="s">
        <v>21</v>
      </c>
      <c r="D1370" s="23" t="s">
        <v>3507</v>
      </c>
      <c r="E1370" s="23" t="s">
        <v>3508</v>
      </c>
      <c r="F1370" s="10">
        <v>12</v>
      </c>
      <c r="G1370" s="10">
        <v>1992</v>
      </c>
      <c r="H1370" s="23" t="s">
        <v>3505</v>
      </c>
      <c r="I1370" s="23" t="s">
        <v>3509</v>
      </c>
      <c r="J1370" s="23" t="s">
        <v>247</v>
      </c>
    </row>
    <row r="1371" spans="1:10" x14ac:dyDescent="0.2">
      <c r="A1371" s="21" t="s">
        <v>14</v>
      </c>
      <c r="B1371" s="22">
        <v>33968</v>
      </c>
      <c r="C1371" s="21" t="s">
        <v>21</v>
      </c>
      <c r="D1371" s="21" t="s">
        <v>3510</v>
      </c>
      <c r="E1371" s="21" t="s">
        <v>3511</v>
      </c>
      <c r="F1371" s="10">
        <v>12</v>
      </c>
      <c r="G1371" s="10">
        <v>1992</v>
      </c>
      <c r="H1371" s="21" t="s">
        <v>3505</v>
      </c>
      <c r="I1371" s="21" t="s">
        <v>3512</v>
      </c>
      <c r="J1371" s="21" t="s">
        <v>247</v>
      </c>
    </row>
    <row r="1372" spans="1:10" x14ac:dyDescent="0.2">
      <c r="A1372" s="23" t="s">
        <v>14</v>
      </c>
      <c r="B1372" s="24">
        <v>33967</v>
      </c>
      <c r="C1372" s="23" t="s">
        <v>21</v>
      </c>
      <c r="D1372" s="23" t="s">
        <v>3513</v>
      </c>
      <c r="E1372" s="23" t="s">
        <v>3514</v>
      </c>
      <c r="F1372" s="10">
        <v>12</v>
      </c>
      <c r="G1372" s="10">
        <v>1992</v>
      </c>
      <c r="H1372" s="23" t="s">
        <v>3505</v>
      </c>
      <c r="I1372" s="23" t="s">
        <v>3515</v>
      </c>
      <c r="J1372" s="23" t="s">
        <v>247</v>
      </c>
    </row>
    <row r="1373" spans="1:10" x14ac:dyDescent="0.2">
      <c r="A1373" s="21" t="s">
        <v>14</v>
      </c>
      <c r="B1373" s="22">
        <v>33967</v>
      </c>
      <c r="C1373" s="21" t="s">
        <v>21</v>
      </c>
      <c r="D1373" s="21" t="s">
        <v>3516</v>
      </c>
      <c r="E1373" s="21" t="s">
        <v>3517</v>
      </c>
      <c r="F1373" s="10">
        <v>12</v>
      </c>
      <c r="G1373" s="10">
        <v>1992</v>
      </c>
      <c r="H1373" s="21" t="s">
        <v>3505</v>
      </c>
      <c r="I1373" s="21" t="s">
        <v>3518</v>
      </c>
      <c r="J1373" s="21" t="s">
        <v>247</v>
      </c>
    </row>
    <row r="1374" spans="1:10" x14ac:dyDescent="0.2">
      <c r="A1374" s="23" t="s">
        <v>14</v>
      </c>
      <c r="B1374" s="24">
        <v>33967</v>
      </c>
      <c r="C1374" s="23" t="s">
        <v>15</v>
      </c>
      <c r="D1374" s="23" t="s">
        <v>3519</v>
      </c>
      <c r="E1374" s="23" t="s">
        <v>3520</v>
      </c>
      <c r="F1374" s="10">
        <v>12</v>
      </c>
      <c r="G1374" s="10">
        <v>1992</v>
      </c>
      <c r="H1374" s="23" t="s">
        <v>3505</v>
      </c>
      <c r="I1374" s="23" t="s">
        <v>3521</v>
      </c>
      <c r="J1374" s="23" t="s">
        <v>247</v>
      </c>
    </row>
    <row r="1375" spans="1:10" x14ac:dyDescent="0.2">
      <c r="A1375" s="21" t="s">
        <v>14</v>
      </c>
      <c r="B1375" s="22">
        <v>33967</v>
      </c>
      <c r="C1375" s="21" t="s">
        <v>21</v>
      </c>
      <c r="D1375" s="21" t="s">
        <v>3522</v>
      </c>
      <c r="E1375" s="21" t="s">
        <v>3523</v>
      </c>
      <c r="F1375" s="10">
        <v>12</v>
      </c>
      <c r="G1375" s="10">
        <v>1992</v>
      </c>
      <c r="H1375" s="21" t="s">
        <v>3505</v>
      </c>
      <c r="I1375" s="21" t="s">
        <v>2827</v>
      </c>
      <c r="J1375" s="21" t="s">
        <v>247</v>
      </c>
    </row>
    <row r="1376" spans="1:10" x14ac:dyDescent="0.2">
      <c r="A1376" s="23" t="s">
        <v>14</v>
      </c>
      <c r="B1376" s="24">
        <v>33966</v>
      </c>
      <c r="C1376" s="23" t="s">
        <v>21</v>
      </c>
      <c r="D1376" s="23" t="s">
        <v>3524</v>
      </c>
      <c r="E1376" s="23" t="s">
        <v>3525</v>
      </c>
      <c r="F1376" s="10">
        <v>12</v>
      </c>
      <c r="G1376" s="10">
        <v>1992</v>
      </c>
      <c r="H1376" s="23" t="s">
        <v>3505</v>
      </c>
      <c r="I1376" s="23" t="s">
        <v>3526</v>
      </c>
      <c r="J1376" s="23" t="s">
        <v>247</v>
      </c>
    </row>
    <row r="1377" spans="1:10" x14ac:dyDescent="0.2">
      <c r="A1377" s="21" t="s">
        <v>14</v>
      </c>
      <c r="B1377" s="22">
        <v>33961</v>
      </c>
      <c r="C1377" s="21" t="s">
        <v>21</v>
      </c>
      <c r="D1377" s="21" t="s">
        <v>3527</v>
      </c>
      <c r="E1377" s="21" t="s">
        <v>3528</v>
      </c>
      <c r="F1377" s="10">
        <v>12</v>
      </c>
      <c r="G1377" s="10">
        <v>1992</v>
      </c>
      <c r="H1377" s="21" t="s">
        <v>3505</v>
      </c>
      <c r="I1377" s="21" t="s">
        <v>3529</v>
      </c>
      <c r="J1377" s="21" t="s">
        <v>247</v>
      </c>
    </row>
    <row r="1378" spans="1:10" x14ac:dyDescent="0.2">
      <c r="A1378" s="23" t="s">
        <v>14</v>
      </c>
      <c r="B1378" s="24">
        <v>33954</v>
      </c>
      <c r="C1378" s="23" t="s">
        <v>21</v>
      </c>
      <c r="D1378" s="23" t="s">
        <v>3530</v>
      </c>
      <c r="E1378" s="23" t="s">
        <v>3531</v>
      </c>
      <c r="F1378" s="10">
        <v>12</v>
      </c>
      <c r="G1378" s="10">
        <v>1992</v>
      </c>
      <c r="H1378" s="23" t="s">
        <v>3505</v>
      </c>
      <c r="I1378" s="23" t="s">
        <v>2707</v>
      </c>
      <c r="J1378" s="23" t="s">
        <v>247</v>
      </c>
    </row>
    <row r="1379" spans="1:10" x14ac:dyDescent="0.2">
      <c r="A1379" s="21" t="s">
        <v>14</v>
      </c>
      <c r="B1379" s="22">
        <v>33948</v>
      </c>
      <c r="C1379" s="21" t="s">
        <v>21</v>
      </c>
      <c r="D1379" s="21" t="s">
        <v>3532</v>
      </c>
      <c r="E1379" s="21" t="s">
        <v>3533</v>
      </c>
      <c r="F1379" s="10">
        <v>12</v>
      </c>
      <c r="G1379" s="10">
        <v>1992</v>
      </c>
      <c r="H1379" s="21" t="s">
        <v>3505</v>
      </c>
      <c r="I1379" s="21" t="s">
        <v>3534</v>
      </c>
      <c r="J1379" s="21" t="s">
        <v>247</v>
      </c>
    </row>
    <row r="1380" spans="1:10" x14ac:dyDescent="0.2">
      <c r="A1380" s="23" t="s">
        <v>14</v>
      </c>
      <c r="B1380" s="24">
        <v>33933</v>
      </c>
      <c r="C1380" s="23" t="s">
        <v>21</v>
      </c>
      <c r="D1380" s="23" t="s">
        <v>3535</v>
      </c>
      <c r="E1380" s="23" t="s">
        <v>3536</v>
      </c>
      <c r="F1380" s="10">
        <v>11</v>
      </c>
      <c r="G1380" s="10">
        <v>1992</v>
      </c>
      <c r="H1380" s="23" t="s">
        <v>3537</v>
      </c>
      <c r="I1380" s="23" t="s">
        <v>3538</v>
      </c>
      <c r="J1380" s="23" t="s">
        <v>247</v>
      </c>
    </row>
    <row r="1381" spans="1:10" x14ac:dyDescent="0.2">
      <c r="A1381" s="21" t="s">
        <v>14</v>
      </c>
      <c r="B1381" s="22">
        <v>33924</v>
      </c>
      <c r="C1381" s="21" t="s">
        <v>21</v>
      </c>
      <c r="D1381" s="21" t="s">
        <v>3539</v>
      </c>
      <c r="E1381" s="21" t="s">
        <v>3540</v>
      </c>
      <c r="F1381" s="10">
        <v>11</v>
      </c>
      <c r="G1381" s="10">
        <v>1992</v>
      </c>
      <c r="H1381" s="21" t="s">
        <v>3537</v>
      </c>
      <c r="I1381" s="21" t="s">
        <v>3541</v>
      </c>
      <c r="J1381" s="21" t="s">
        <v>247</v>
      </c>
    </row>
    <row r="1382" spans="1:10" x14ac:dyDescent="0.2">
      <c r="A1382" s="23" t="s">
        <v>14</v>
      </c>
      <c r="B1382" s="24">
        <v>33907</v>
      </c>
      <c r="C1382" s="23" t="s">
        <v>21</v>
      </c>
      <c r="D1382" s="23" t="s">
        <v>3542</v>
      </c>
      <c r="E1382" s="23" t="s">
        <v>3543</v>
      </c>
      <c r="F1382" s="10">
        <v>10</v>
      </c>
      <c r="G1382" s="10">
        <v>1992</v>
      </c>
      <c r="H1382" s="23" t="s">
        <v>3544</v>
      </c>
      <c r="I1382" s="23" t="s">
        <v>3545</v>
      </c>
      <c r="J1382" s="23" t="s">
        <v>247</v>
      </c>
    </row>
    <row r="1383" spans="1:10" x14ac:dyDescent="0.2">
      <c r="A1383" s="21" t="s">
        <v>14</v>
      </c>
      <c r="B1383" s="22">
        <v>33906</v>
      </c>
      <c r="C1383" s="21" t="s">
        <v>21</v>
      </c>
      <c r="D1383" s="21" t="s">
        <v>3546</v>
      </c>
      <c r="E1383" s="21" t="s">
        <v>3547</v>
      </c>
      <c r="F1383" s="10">
        <v>10</v>
      </c>
      <c r="G1383" s="10">
        <v>1992</v>
      </c>
      <c r="H1383" s="21" t="s">
        <v>3544</v>
      </c>
      <c r="I1383" s="21" t="s">
        <v>3548</v>
      </c>
      <c r="J1383" s="21" t="s">
        <v>247</v>
      </c>
    </row>
    <row r="1384" spans="1:10" x14ac:dyDescent="0.2">
      <c r="A1384" s="23" t="s">
        <v>14</v>
      </c>
      <c r="B1384" s="24">
        <v>33865</v>
      </c>
      <c r="C1384" s="23" t="s">
        <v>21</v>
      </c>
      <c r="D1384" s="23" t="s">
        <v>3549</v>
      </c>
      <c r="E1384" s="23" t="s">
        <v>3550</v>
      </c>
      <c r="F1384" s="10">
        <v>9</v>
      </c>
      <c r="G1384" s="10">
        <v>1992</v>
      </c>
      <c r="H1384" s="23" t="s">
        <v>3551</v>
      </c>
      <c r="I1384" s="23" t="s">
        <v>3552</v>
      </c>
      <c r="J1384" s="23" t="s">
        <v>247</v>
      </c>
    </row>
    <row r="1385" spans="1:10" x14ac:dyDescent="0.2">
      <c r="A1385" s="21" t="s">
        <v>14</v>
      </c>
      <c r="B1385" s="22">
        <v>33858</v>
      </c>
      <c r="C1385" s="21" t="s">
        <v>21</v>
      </c>
      <c r="D1385" s="21" t="s">
        <v>3553</v>
      </c>
      <c r="E1385" s="21" t="s">
        <v>3554</v>
      </c>
      <c r="F1385" s="10">
        <v>9</v>
      </c>
      <c r="G1385" s="10">
        <v>1992</v>
      </c>
      <c r="H1385" s="21" t="s">
        <v>3551</v>
      </c>
      <c r="I1385" s="21" t="s">
        <v>3555</v>
      </c>
      <c r="J1385" s="21" t="s">
        <v>247</v>
      </c>
    </row>
    <row r="1386" spans="1:10" x14ac:dyDescent="0.2">
      <c r="A1386" s="23" t="s">
        <v>14</v>
      </c>
      <c r="B1386" s="24">
        <v>33851</v>
      </c>
      <c r="C1386" s="23" t="s">
        <v>21</v>
      </c>
      <c r="D1386" s="23" t="s">
        <v>3556</v>
      </c>
      <c r="E1386" s="23" t="s">
        <v>3557</v>
      </c>
      <c r="F1386" s="10">
        <v>9</v>
      </c>
      <c r="G1386" s="10">
        <v>1992</v>
      </c>
      <c r="H1386" s="23" t="s">
        <v>3551</v>
      </c>
      <c r="I1386" s="23" t="s">
        <v>3558</v>
      </c>
      <c r="J1386" s="23" t="s">
        <v>247</v>
      </c>
    </row>
    <row r="1387" spans="1:10" x14ac:dyDescent="0.2">
      <c r="A1387" s="21" t="s">
        <v>14</v>
      </c>
      <c r="B1387" s="22">
        <v>33823</v>
      </c>
      <c r="C1387" s="21" t="s">
        <v>21</v>
      </c>
      <c r="D1387" s="21" t="s">
        <v>3559</v>
      </c>
      <c r="E1387" s="21" t="s">
        <v>3560</v>
      </c>
      <c r="F1387" s="10">
        <v>8</v>
      </c>
      <c r="G1387" s="10">
        <v>1992</v>
      </c>
      <c r="H1387" s="21" t="s">
        <v>3561</v>
      </c>
      <c r="I1387" s="21" t="s">
        <v>3562</v>
      </c>
      <c r="J1387" s="21" t="s">
        <v>247</v>
      </c>
    </row>
    <row r="1388" spans="1:10" x14ac:dyDescent="0.2">
      <c r="A1388" s="23" t="s">
        <v>14</v>
      </c>
      <c r="B1388" s="24">
        <v>33816</v>
      </c>
      <c r="C1388" s="23" t="s">
        <v>21</v>
      </c>
      <c r="D1388" s="23" t="s">
        <v>3563</v>
      </c>
      <c r="E1388" s="23" t="s">
        <v>3564</v>
      </c>
      <c r="F1388" s="10">
        <v>7</v>
      </c>
      <c r="G1388" s="10">
        <v>1992</v>
      </c>
      <c r="H1388" s="23" t="s">
        <v>3565</v>
      </c>
      <c r="I1388" s="23" t="s">
        <v>3566</v>
      </c>
      <c r="J1388" s="23" t="s">
        <v>247</v>
      </c>
    </row>
    <row r="1389" spans="1:10" x14ac:dyDescent="0.2">
      <c r="A1389" s="21" t="s">
        <v>14</v>
      </c>
      <c r="B1389" s="22">
        <v>33816</v>
      </c>
      <c r="C1389" s="21" t="s">
        <v>21</v>
      </c>
      <c r="D1389" s="21" t="s">
        <v>3567</v>
      </c>
      <c r="E1389" s="21" t="s">
        <v>3568</v>
      </c>
      <c r="F1389" s="10">
        <v>7</v>
      </c>
      <c r="G1389" s="10">
        <v>1992</v>
      </c>
      <c r="H1389" s="21" t="s">
        <v>3565</v>
      </c>
      <c r="I1389" s="21" t="s">
        <v>3569</v>
      </c>
      <c r="J1389" s="21" t="s">
        <v>247</v>
      </c>
    </row>
    <row r="1390" spans="1:10" x14ac:dyDescent="0.2">
      <c r="A1390" s="23" t="s">
        <v>14</v>
      </c>
      <c r="B1390" s="24">
        <v>33809</v>
      </c>
      <c r="C1390" s="23" t="s">
        <v>21</v>
      </c>
      <c r="D1390" s="23" t="s">
        <v>3570</v>
      </c>
      <c r="E1390" s="23" t="s">
        <v>3571</v>
      </c>
      <c r="F1390" s="10">
        <v>7</v>
      </c>
      <c r="G1390" s="10">
        <v>1992</v>
      </c>
      <c r="H1390" s="23" t="s">
        <v>3565</v>
      </c>
      <c r="I1390" s="23" t="s">
        <v>3572</v>
      </c>
      <c r="J1390" s="23" t="s">
        <v>247</v>
      </c>
    </row>
    <row r="1391" spans="1:10" x14ac:dyDescent="0.2">
      <c r="A1391" s="21" t="s">
        <v>14</v>
      </c>
      <c r="B1391" s="22">
        <v>33799</v>
      </c>
      <c r="C1391" s="21" t="s">
        <v>21</v>
      </c>
      <c r="D1391" s="21" t="s">
        <v>3573</v>
      </c>
      <c r="E1391" s="21" t="s">
        <v>3574</v>
      </c>
      <c r="F1391" s="10">
        <v>7</v>
      </c>
      <c r="G1391" s="10">
        <v>1992</v>
      </c>
      <c r="H1391" s="21" t="s">
        <v>3565</v>
      </c>
      <c r="I1391" s="21" t="s">
        <v>3575</v>
      </c>
      <c r="J1391" s="21" t="s">
        <v>247</v>
      </c>
    </row>
    <row r="1392" spans="1:10" x14ac:dyDescent="0.2">
      <c r="A1392" s="23" t="s">
        <v>14</v>
      </c>
      <c r="B1392" s="24">
        <v>33774</v>
      </c>
      <c r="C1392" s="23" t="s">
        <v>21</v>
      </c>
      <c r="D1392" s="23" t="s">
        <v>3576</v>
      </c>
      <c r="E1392" s="23" t="s">
        <v>3577</v>
      </c>
      <c r="F1392" s="10">
        <v>6</v>
      </c>
      <c r="G1392" s="10">
        <v>1992</v>
      </c>
      <c r="H1392" s="23" t="s">
        <v>3578</v>
      </c>
      <c r="I1392" s="23" t="s">
        <v>3579</v>
      </c>
      <c r="J1392" s="23" t="s">
        <v>247</v>
      </c>
    </row>
    <row r="1393" spans="1:10" x14ac:dyDescent="0.2">
      <c r="A1393" s="21" t="s">
        <v>14</v>
      </c>
      <c r="B1393" s="22">
        <v>33774</v>
      </c>
      <c r="C1393" s="21" t="s">
        <v>21</v>
      </c>
      <c r="D1393" s="21" t="s">
        <v>3580</v>
      </c>
      <c r="E1393" s="21" t="s">
        <v>3581</v>
      </c>
      <c r="F1393" s="10">
        <v>6</v>
      </c>
      <c r="G1393" s="10">
        <v>1992</v>
      </c>
      <c r="H1393" s="21" t="s">
        <v>3578</v>
      </c>
      <c r="I1393" s="21" t="s">
        <v>3582</v>
      </c>
      <c r="J1393" s="21" t="s">
        <v>247</v>
      </c>
    </row>
    <row r="1394" spans="1:10" x14ac:dyDescent="0.2">
      <c r="A1394" s="23" t="s">
        <v>14</v>
      </c>
      <c r="B1394" s="24">
        <v>33729</v>
      </c>
      <c r="C1394" s="23" t="s">
        <v>15</v>
      </c>
      <c r="D1394" s="23" t="s">
        <v>3583</v>
      </c>
      <c r="E1394" s="23" t="s">
        <v>3584</v>
      </c>
      <c r="F1394" s="10">
        <v>5</v>
      </c>
      <c r="G1394" s="10">
        <v>1992</v>
      </c>
      <c r="H1394" s="23" t="s">
        <v>3585</v>
      </c>
      <c r="I1394" s="23" t="s">
        <v>3586</v>
      </c>
      <c r="J1394" s="23" t="s">
        <v>247</v>
      </c>
    </row>
    <row r="1395" spans="1:10" x14ac:dyDescent="0.2">
      <c r="A1395" s="21" t="s">
        <v>14</v>
      </c>
      <c r="B1395" s="22">
        <v>33655</v>
      </c>
      <c r="C1395" s="21" t="s">
        <v>21</v>
      </c>
      <c r="D1395" s="21" t="s">
        <v>3587</v>
      </c>
      <c r="E1395" s="21" t="s">
        <v>3588</v>
      </c>
      <c r="F1395" s="10">
        <v>2</v>
      </c>
      <c r="G1395" s="10">
        <v>1992</v>
      </c>
      <c r="H1395" s="21" t="s">
        <v>3589</v>
      </c>
      <c r="I1395" s="21" t="s">
        <v>3590</v>
      </c>
      <c r="J1395" s="21" t="s">
        <v>247</v>
      </c>
    </row>
    <row r="1396" spans="1:10" x14ac:dyDescent="0.2">
      <c r="A1396" s="23" t="s">
        <v>14</v>
      </c>
      <c r="B1396" s="24">
        <v>33633</v>
      </c>
      <c r="C1396" s="23" t="s">
        <v>21</v>
      </c>
      <c r="D1396" s="23" t="s">
        <v>3591</v>
      </c>
      <c r="E1396" s="23" t="s">
        <v>3592</v>
      </c>
      <c r="F1396" s="10">
        <v>1</v>
      </c>
      <c r="G1396" s="10">
        <v>1992</v>
      </c>
      <c r="H1396" s="23" t="s">
        <v>3593</v>
      </c>
      <c r="I1396" s="23" t="s">
        <v>3594</v>
      </c>
      <c r="J1396" s="23" t="s">
        <v>247</v>
      </c>
    </row>
    <row r="1397" spans="1:10" x14ac:dyDescent="0.2">
      <c r="A1397" s="21" t="s">
        <v>14</v>
      </c>
      <c r="B1397" s="22">
        <v>33625</v>
      </c>
      <c r="C1397" s="21" t="s">
        <v>21</v>
      </c>
      <c r="D1397" s="21" t="s">
        <v>3595</v>
      </c>
      <c r="E1397" s="21" t="s">
        <v>3596</v>
      </c>
      <c r="F1397" s="10">
        <v>1</v>
      </c>
      <c r="G1397" s="10">
        <v>1992</v>
      </c>
      <c r="H1397" s="21" t="s">
        <v>3593</v>
      </c>
      <c r="I1397" s="21" t="s">
        <v>3597</v>
      </c>
      <c r="J1397" s="21" t="s">
        <v>247</v>
      </c>
    </row>
    <row r="1398" spans="1:10" x14ac:dyDescent="0.2">
      <c r="A1398" s="23" t="s">
        <v>14</v>
      </c>
      <c r="B1398" s="24">
        <v>33603</v>
      </c>
      <c r="C1398" s="23" t="s">
        <v>21</v>
      </c>
      <c r="D1398" s="23" t="s">
        <v>3598</v>
      </c>
      <c r="E1398" s="23" t="s">
        <v>3599</v>
      </c>
      <c r="F1398" s="10">
        <v>12</v>
      </c>
      <c r="G1398" s="10">
        <v>1991</v>
      </c>
      <c r="H1398" s="23" t="s">
        <v>3600</v>
      </c>
      <c r="I1398" s="23" t="s">
        <v>3601</v>
      </c>
      <c r="J1398" s="23" t="s">
        <v>247</v>
      </c>
    </row>
    <row r="1399" spans="1:10" x14ac:dyDescent="0.2">
      <c r="A1399" s="21" t="s">
        <v>14</v>
      </c>
      <c r="B1399" s="22">
        <v>33603</v>
      </c>
      <c r="C1399" s="21" t="s">
        <v>21</v>
      </c>
      <c r="D1399" s="21" t="s">
        <v>3602</v>
      </c>
      <c r="E1399" s="21" t="s">
        <v>3603</v>
      </c>
      <c r="F1399" s="10">
        <v>12</v>
      </c>
      <c r="G1399" s="10">
        <v>1991</v>
      </c>
      <c r="H1399" s="21" t="s">
        <v>3600</v>
      </c>
      <c r="I1399" s="21" t="s">
        <v>3604</v>
      </c>
      <c r="J1399" s="21" t="s">
        <v>247</v>
      </c>
    </row>
    <row r="1400" spans="1:10" x14ac:dyDescent="0.2">
      <c r="A1400" s="23" t="s">
        <v>14</v>
      </c>
      <c r="B1400" s="24">
        <v>33602</v>
      </c>
      <c r="C1400" s="23" t="s">
        <v>21</v>
      </c>
      <c r="D1400" s="23" t="s">
        <v>3605</v>
      </c>
      <c r="E1400" s="23" t="s">
        <v>3606</v>
      </c>
      <c r="F1400" s="10">
        <v>12</v>
      </c>
      <c r="G1400" s="10">
        <v>1991</v>
      </c>
      <c r="H1400" s="23" t="s">
        <v>3600</v>
      </c>
      <c r="I1400" s="23" t="s">
        <v>2827</v>
      </c>
      <c r="J1400" s="23" t="s">
        <v>247</v>
      </c>
    </row>
    <row r="1401" spans="1:10" x14ac:dyDescent="0.2">
      <c r="A1401" s="21" t="s">
        <v>14</v>
      </c>
      <c r="B1401" s="22">
        <v>33602</v>
      </c>
      <c r="C1401" s="21" t="s">
        <v>21</v>
      </c>
      <c r="D1401" s="21" t="s">
        <v>3607</v>
      </c>
      <c r="E1401" s="21" t="s">
        <v>3608</v>
      </c>
      <c r="F1401" s="10">
        <v>12</v>
      </c>
      <c r="G1401" s="10">
        <v>1991</v>
      </c>
      <c r="H1401" s="21" t="s">
        <v>3600</v>
      </c>
      <c r="I1401" s="21" t="s">
        <v>3609</v>
      </c>
      <c r="J1401" s="21" t="s">
        <v>247</v>
      </c>
    </row>
    <row r="1402" spans="1:10" x14ac:dyDescent="0.2">
      <c r="A1402" s="23" t="s">
        <v>14</v>
      </c>
      <c r="B1402" s="24">
        <v>33596</v>
      </c>
      <c r="C1402" s="23" t="s">
        <v>21</v>
      </c>
      <c r="D1402" s="23" t="s">
        <v>3610</v>
      </c>
      <c r="E1402" s="23" t="s">
        <v>3611</v>
      </c>
      <c r="F1402" s="10">
        <v>12</v>
      </c>
      <c r="G1402" s="10">
        <v>1991</v>
      </c>
      <c r="H1402" s="23" t="s">
        <v>3600</v>
      </c>
      <c r="I1402" s="23" t="s">
        <v>3612</v>
      </c>
      <c r="J1402" s="23" t="s">
        <v>247</v>
      </c>
    </row>
    <row r="1403" spans="1:10" x14ac:dyDescent="0.2">
      <c r="A1403" s="21" t="s">
        <v>14</v>
      </c>
      <c r="B1403" s="22">
        <v>33596</v>
      </c>
      <c r="C1403" s="21" t="s">
        <v>21</v>
      </c>
      <c r="D1403" s="21" t="s">
        <v>3613</v>
      </c>
      <c r="E1403" s="21" t="s">
        <v>3614</v>
      </c>
      <c r="F1403" s="10">
        <v>12</v>
      </c>
      <c r="G1403" s="10">
        <v>1991</v>
      </c>
      <c r="H1403" s="21" t="s">
        <v>3600</v>
      </c>
      <c r="I1403" s="21" t="s">
        <v>3615</v>
      </c>
      <c r="J1403" s="21" t="s">
        <v>247</v>
      </c>
    </row>
    <row r="1404" spans="1:10" x14ac:dyDescent="0.2">
      <c r="A1404" s="23" t="s">
        <v>14</v>
      </c>
      <c r="B1404" s="24">
        <v>33595</v>
      </c>
      <c r="C1404" s="23" t="s">
        <v>21</v>
      </c>
      <c r="D1404" s="23" t="s">
        <v>3616</v>
      </c>
      <c r="E1404" s="23" t="s">
        <v>3617</v>
      </c>
      <c r="F1404" s="10">
        <v>12</v>
      </c>
      <c r="G1404" s="10">
        <v>1991</v>
      </c>
      <c r="H1404" s="23" t="s">
        <v>3600</v>
      </c>
      <c r="I1404" s="23" t="s">
        <v>3618</v>
      </c>
      <c r="J1404" s="23" t="s">
        <v>247</v>
      </c>
    </row>
    <row r="1405" spans="1:10" x14ac:dyDescent="0.2">
      <c r="A1405" s="21" t="s">
        <v>14</v>
      </c>
      <c r="B1405" s="22">
        <v>33595</v>
      </c>
      <c r="C1405" s="21" t="s">
        <v>21</v>
      </c>
      <c r="D1405" s="21" t="s">
        <v>3619</v>
      </c>
      <c r="E1405" s="21" t="s">
        <v>3620</v>
      </c>
      <c r="F1405" s="10">
        <v>12</v>
      </c>
      <c r="G1405" s="10">
        <v>1991</v>
      </c>
      <c r="H1405" s="21" t="s">
        <v>3600</v>
      </c>
      <c r="I1405" s="21" t="s">
        <v>3621</v>
      </c>
      <c r="J1405" s="21" t="s">
        <v>247</v>
      </c>
    </row>
    <row r="1406" spans="1:10" x14ac:dyDescent="0.2">
      <c r="A1406" s="23" t="s">
        <v>14</v>
      </c>
      <c r="B1406" s="24">
        <v>33592</v>
      </c>
      <c r="C1406" s="23" t="s">
        <v>21</v>
      </c>
      <c r="D1406" s="23" t="s">
        <v>3622</v>
      </c>
      <c r="E1406" s="23" t="s">
        <v>3623</v>
      </c>
      <c r="F1406" s="10">
        <v>12</v>
      </c>
      <c r="G1406" s="10">
        <v>1991</v>
      </c>
      <c r="H1406" s="23" t="s">
        <v>3600</v>
      </c>
      <c r="I1406" s="23" t="s">
        <v>3624</v>
      </c>
      <c r="J1406" s="23" t="s">
        <v>247</v>
      </c>
    </row>
    <row r="1407" spans="1:10" x14ac:dyDescent="0.2">
      <c r="A1407" s="21" t="s">
        <v>14</v>
      </c>
      <c r="B1407" s="22">
        <v>33561</v>
      </c>
      <c r="C1407" s="21" t="s">
        <v>21</v>
      </c>
      <c r="D1407" s="21" t="s">
        <v>3625</v>
      </c>
      <c r="E1407" s="21" t="s">
        <v>3626</v>
      </c>
      <c r="F1407" s="10">
        <v>11</v>
      </c>
      <c r="G1407" s="10">
        <v>1991</v>
      </c>
      <c r="H1407" s="21" t="s">
        <v>3627</v>
      </c>
      <c r="I1407" s="21" t="s">
        <v>1989</v>
      </c>
      <c r="J1407" s="21" t="s">
        <v>247</v>
      </c>
    </row>
    <row r="1408" spans="1:10" x14ac:dyDescent="0.2">
      <c r="A1408" s="23" t="s">
        <v>14</v>
      </c>
      <c r="B1408" s="24">
        <v>33543</v>
      </c>
      <c r="C1408" s="23" t="s">
        <v>21</v>
      </c>
      <c r="D1408" s="23" t="s">
        <v>3628</v>
      </c>
      <c r="E1408" s="23" t="s">
        <v>3629</v>
      </c>
      <c r="F1408" s="10">
        <v>11</v>
      </c>
      <c r="G1408" s="10">
        <v>1991</v>
      </c>
      <c r="H1408" s="23" t="s">
        <v>3627</v>
      </c>
      <c r="I1408" s="23" t="s">
        <v>3630</v>
      </c>
      <c r="J1408" s="23" t="s">
        <v>247</v>
      </c>
    </row>
    <row r="1409" spans="1:10" x14ac:dyDescent="0.2">
      <c r="A1409" s="21" t="s">
        <v>14</v>
      </c>
      <c r="B1409" s="22">
        <v>33542</v>
      </c>
      <c r="C1409" s="21" t="s">
        <v>21</v>
      </c>
      <c r="D1409" s="21" t="s">
        <v>3631</v>
      </c>
      <c r="E1409" s="21" t="s">
        <v>3632</v>
      </c>
      <c r="F1409" s="10">
        <v>10</v>
      </c>
      <c r="G1409" s="10">
        <v>1991</v>
      </c>
      <c r="H1409" s="21" t="s">
        <v>3633</v>
      </c>
      <c r="I1409" s="21" t="s">
        <v>3634</v>
      </c>
      <c r="J1409" s="21" t="s">
        <v>247</v>
      </c>
    </row>
    <row r="1410" spans="1:10" x14ac:dyDescent="0.2">
      <c r="A1410" s="23" t="s">
        <v>14</v>
      </c>
      <c r="B1410" s="24">
        <v>33542</v>
      </c>
      <c r="C1410" s="23" t="s">
        <v>21</v>
      </c>
      <c r="D1410" s="23" t="s">
        <v>3635</v>
      </c>
      <c r="E1410" s="23" t="s">
        <v>3636</v>
      </c>
      <c r="F1410" s="10">
        <v>10</v>
      </c>
      <c r="G1410" s="10">
        <v>1991</v>
      </c>
      <c r="H1410" s="23" t="s">
        <v>3633</v>
      </c>
      <c r="I1410" s="23" t="s">
        <v>3637</v>
      </c>
      <c r="J1410" s="23" t="s">
        <v>247</v>
      </c>
    </row>
    <row r="1411" spans="1:10" x14ac:dyDescent="0.2">
      <c r="A1411" s="21" t="s">
        <v>14</v>
      </c>
      <c r="B1411" s="22">
        <v>33542</v>
      </c>
      <c r="C1411" s="21" t="s">
        <v>21</v>
      </c>
      <c r="D1411" s="21" t="s">
        <v>3638</v>
      </c>
      <c r="E1411" s="21" t="s">
        <v>3639</v>
      </c>
      <c r="F1411" s="10">
        <v>10</v>
      </c>
      <c r="G1411" s="10">
        <v>1991</v>
      </c>
      <c r="H1411" s="21" t="s">
        <v>3633</v>
      </c>
      <c r="I1411" s="21" t="s">
        <v>3640</v>
      </c>
      <c r="J1411" s="21" t="s">
        <v>247</v>
      </c>
    </row>
    <row r="1412" spans="1:10" x14ac:dyDescent="0.2">
      <c r="A1412" s="23" t="s">
        <v>14</v>
      </c>
      <c r="B1412" s="24">
        <v>33542</v>
      </c>
      <c r="C1412" s="23" t="s">
        <v>21</v>
      </c>
      <c r="D1412" s="23" t="s">
        <v>3641</v>
      </c>
      <c r="E1412" s="23" t="s">
        <v>3642</v>
      </c>
      <c r="F1412" s="10">
        <v>10</v>
      </c>
      <c r="G1412" s="10">
        <v>1991</v>
      </c>
      <c r="H1412" s="23" t="s">
        <v>3633</v>
      </c>
      <c r="I1412" s="23" t="s">
        <v>3643</v>
      </c>
      <c r="J1412" s="23" t="s">
        <v>247</v>
      </c>
    </row>
    <row r="1413" spans="1:10" x14ac:dyDescent="0.2">
      <c r="A1413" s="21" t="s">
        <v>14</v>
      </c>
      <c r="B1413" s="22">
        <v>33522</v>
      </c>
      <c r="C1413" s="21" t="s">
        <v>21</v>
      </c>
      <c r="D1413" s="21" t="s">
        <v>3644</v>
      </c>
      <c r="E1413" s="21" t="s">
        <v>3645</v>
      </c>
      <c r="F1413" s="10">
        <v>10</v>
      </c>
      <c r="G1413" s="10">
        <v>1991</v>
      </c>
      <c r="H1413" s="21" t="s">
        <v>3633</v>
      </c>
      <c r="I1413" s="21" t="s">
        <v>3646</v>
      </c>
      <c r="J1413" s="21" t="s">
        <v>247</v>
      </c>
    </row>
    <row r="1414" spans="1:10" x14ac:dyDescent="0.2">
      <c r="A1414" s="23" t="s">
        <v>14</v>
      </c>
      <c r="B1414" s="24">
        <v>33520</v>
      </c>
      <c r="C1414" s="23" t="s">
        <v>21</v>
      </c>
      <c r="D1414" s="23" t="s">
        <v>3647</v>
      </c>
      <c r="E1414" s="23" t="s">
        <v>3648</v>
      </c>
      <c r="F1414" s="10">
        <v>10</v>
      </c>
      <c r="G1414" s="10">
        <v>1991</v>
      </c>
      <c r="H1414" s="23" t="s">
        <v>3633</v>
      </c>
      <c r="I1414" s="23" t="s">
        <v>3649</v>
      </c>
      <c r="J1414" s="23" t="s">
        <v>247</v>
      </c>
    </row>
    <row r="1415" spans="1:10" x14ac:dyDescent="0.2">
      <c r="A1415" s="21" t="s">
        <v>14</v>
      </c>
      <c r="B1415" s="22">
        <v>33508</v>
      </c>
      <c r="C1415" s="21" t="s">
        <v>21</v>
      </c>
      <c r="D1415" s="21" t="s">
        <v>3650</v>
      </c>
      <c r="E1415" s="21" t="s">
        <v>3651</v>
      </c>
      <c r="F1415" s="10">
        <v>9</v>
      </c>
      <c r="G1415" s="10">
        <v>1991</v>
      </c>
      <c r="H1415" s="21" t="s">
        <v>3652</v>
      </c>
      <c r="I1415" s="21" t="s">
        <v>3653</v>
      </c>
      <c r="J1415" s="21" t="s">
        <v>247</v>
      </c>
    </row>
    <row r="1416" spans="1:10" x14ac:dyDescent="0.2">
      <c r="A1416" s="23" t="s">
        <v>14</v>
      </c>
      <c r="B1416" s="24">
        <v>33444</v>
      </c>
      <c r="C1416" s="23" t="s">
        <v>21</v>
      </c>
      <c r="D1416" s="23" t="s">
        <v>3654</v>
      </c>
      <c r="E1416" s="23" t="s">
        <v>3655</v>
      </c>
      <c r="F1416" s="10">
        <v>7</v>
      </c>
      <c r="G1416" s="10">
        <v>1991</v>
      </c>
      <c r="H1416" s="23" t="s">
        <v>3656</v>
      </c>
      <c r="I1416" s="23" t="s">
        <v>1989</v>
      </c>
      <c r="J1416" s="23" t="s">
        <v>247</v>
      </c>
    </row>
    <row r="1417" spans="1:10" x14ac:dyDescent="0.2">
      <c r="A1417" s="21" t="s">
        <v>14</v>
      </c>
      <c r="B1417" s="22">
        <v>33420</v>
      </c>
      <c r="C1417" s="21" t="s">
        <v>15</v>
      </c>
      <c r="D1417" s="21" t="s">
        <v>3657</v>
      </c>
      <c r="E1417" s="21" t="s">
        <v>3658</v>
      </c>
      <c r="F1417" s="10">
        <v>7</v>
      </c>
      <c r="G1417" s="10">
        <v>1991</v>
      </c>
      <c r="H1417" s="21" t="s">
        <v>3656</v>
      </c>
      <c r="I1417" s="21" t="s">
        <v>3659</v>
      </c>
      <c r="J1417" s="21" t="s">
        <v>247</v>
      </c>
    </row>
    <row r="1418" spans="1:10" x14ac:dyDescent="0.2">
      <c r="A1418" s="23" t="s">
        <v>14</v>
      </c>
      <c r="B1418" s="24">
        <v>33414</v>
      </c>
      <c r="C1418" s="23" t="s">
        <v>21</v>
      </c>
      <c r="D1418" s="23" t="s">
        <v>3660</v>
      </c>
      <c r="E1418" s="23" t="s">
        <v>3661</v>
      </c>
      <c r="F1418" s="10">
        <v>6</v>
      </c>
      <c r="G1418" s="10">
        <v>1991</v>
      </c>
      <c r="H1418" s="23" t="s">
        <v>3662</v>
      </c>
      <c r="I1418" s="23" t="s">
        <v>1989</v>
      </c>
      <c r="J1418" s="23" t="s">
        <v>247</v>
      </c>
    </row>
    <row r="1419" spans="1:10" x14ac:dyDescent="0.2">
      <c r="A1419" s="21" t="s">
        <v>14</v>
      </c>
      <c r="B1419" s="22">
        <v>33374</v>
      </c>
      <c r="C1419" s="21" t="s">
        <v>21</v>
      </c>
      <c r="D1419" s="21" t="s">
        <v>3663</v>
      </c>
      <c r="E1419" s="21" t="s">
        <v>3664</v>
      </c>
      <c r="F1419" s="10">
        <v>5</v>
      </c>
      <c r="G1419" s="10">
        <v>1991</v>
      </c>
      <c r="H1419" s="21" t="s">
        <v>3665</v>
      </c>
      <c r="I1419" s="21" t="s">
        <v>1989</v>
      </c>
      <c r="J1419" s="21" t="s">
        <v>247</v>
      </c>
    </row>
    <row r="1420" spans="1:10" x14ac:dyDescent="0.2">
      <c r="A1420" s="23" t="s">
        <v>14</v>
      </c>
      <c r="B1420" s="24">
        <v>33346</v>
      </c>
      <c r="C1420" s="23" t="s">
        <v>21</v>
      </c>
      <c r="D1420" s="23" t="s">
        <v>3666</v>
      </c>
      <c r="E1420" s="23" t="s">
        <v>3667</v>
      </c>
      <c r="F1420" s="10">
        <v>4</v>
      </c>
      <c r="G1420" s="10">
        <v>1991</v>
      </c>
      <c r="H1420" s="23" t="s">
        <v>3668</v>
      </c>
      <c r="I1420" s="23" t="s">
        <v>3669</v>
      </c>
      <c r="J1420" s="23" t="s">
        <v>247</v>
      </c>
    </row>
    <row r="1421" spans="1:10" x14ac:dyDescent="0.2">
      <c r="A1421" s="21" t="s">
        <v>14</v>
      </c>
      <c r="B1421" s="22">
        <v>33333</v>
      </c>
      <c r="C1421" s="21" t="s">
        <v>21</v>
      </c>
      <c r="D1421" s="21" t="s">
        <v>3670</v>
      </c>
      <c r="E1421" s="21" t="s">
        <v>3671</v>
      </c>
      <c r="F1421" s="10">
        <v>4</v>
      </c>
      <c r="G1421" s="10">
        <v>1991</v>
      </c>
      <c r="H1421" s="21" t="s">
        <v>3668</v>
      </c>
      <c r="I1421" s="21" t="s">
        <v>3672</v>
      </c>
      <c r="J1421" s="21" t="s">
        <v>247</v>
      </c>
    </row>
    <row r="1422" spans="1:10" x14ac:dyDescent="0.2">
      <c r="A1422" s="23" t="s">
        <v>14</v>
      </c>
      <c r="B1422" s="24">
        <v>33304</v>
      </c>
      <c r="C1422" s="23" t="s">
        <v>21</v>
      </c>
      <c r="D1422" s="23" t="s">
        <v>3673</v>
      </c>
      <c r="E1422" s="23" t="s">
        <v>3674</v>
      </c>
      <c r="F1422" s="10">
        <v>3</v>
      </c>
      <c r="G1422" s="10">
        <v>1991</v>
      </c>
      <c r="H1422" s="23" t="s">
        <v>3675</v>
      </c>
      <c r="I1422" s="23" t="s">
        <v>3676</v>
      </c>
      <c r="J1422" s="23" t="s">
        <v>247</v>
      </c>
    </row>
    <row r="1423" spans="1:10" x14ac:dyDescent="0.2">
      <c r="A1423" s="21" t="s">
        <v>14</v>
      </c>
      <c r="B1423" s="22">
        <v>33302</v>
      </c>
      <c r="C1423" s="21" t="s">
        <v>15</v>
      </c>
      <c r="D1423" s="21" t="s">
        <v>3677</v>
      </c>
      <c r="E1423" s="21" t="s">
        <v>3678</v>
      </c>
      <c r="F1423" s="10">
        <v>3</v>
      </c>
      <c r="G1423" s="10">
        <v>1991</v>
      </c>
      <c r="H1423" s="21" t="s">
        <v>3675</v>
      </c>
      <c r="I1423" s="21" t="s">
        <v>3679</v>
      </c>
      <c r="J1423" s="21" t="s">
        <v>247</v>
      </c>
    </row>
    <row r="1424" spans="1:10" x14ac:dyDescent="0.2">
      <c r="A1424" s="23" t="s">
        <v>14</v>
      </c>
      <c r="B1424" s="24">
        <v>33289</v>
      </c>
      <c r="C1424" s="23" t="s">
        <v>15</v>
      </c>
      <c r="D1424" s="23" t="s">
        <v>3680</v>
      </c>
      <c r="E1424" s="23" t="s">
        <v>3681</v>
      </c>
      <c r="F1424" s="10">
        <v>2</v>
      </c>
      <c r="G1424" s="10">
        <v>1991</v>
      </c>
      <c r="H1424" s="23" t="s">
        <v>3682</v>
      </c>
      <c r="I1424" s="23" t="s">
        <v>3683</v>
      </c>
      <c r="J1424" s="23" t="s">
        <v>247</v>
      </c>
    </row>
    <row r="1425" spans="1:10" x14ac:dyDescent="0.2">
      <c r="A1425" s="21" t="s">
        <v>14</v>
      </c>
      <c r="B1425" s="22">
        <v>33269</v>
      </c>
      <c r="C1425" s="21" t="s">
        <v>21</v>
      </c>
      <c r="D1425" s="21" t="s">
        <v>3684</v>
      </c>
      <c r="E1425" s="21" t="s">
        <v>3685</v>
      </c>
      <c r="F1425" s="10">
        <v>1</v>
      </c>
      <c r="G1425" s="10">
        <v>1991</v>
      </c>
      <c r="H1425" s="21" t="s">
        <v>3686</v>
      </c>
      <c r="I1425" s="21" t="s">
        <v>3687</v>
      </c>
      <c r="J1425" s="21" t="s">
        <v>247</v>
      </c>
    </row>
    <row r="1426" spans="1:10" x14ac:dyDescent="0.2">
      <c r="A1426" s="23" t="s">
        <v>14</v>
      </c>
      <c r="B1426" s="24">
        <v>33268</v>
      </c>
      <c r="C1426" s="23" t="s">
        <v>21</v>
      </c>
      <c r="D1426" s="23" t="s">
        <v>3688</v>
      </c>
      <c r="E1426" s="23" t="s">
        <v>3689</v>
      </c>
      <c r="F1426" s="10">
        <v>1</v>
      </c>
      <c r="G1426" s="10">
        <v>1991</v>
      </c>
      <c r="H1426" s="23" t="s">
        <v>3686</v>
      </c>
      <c r="I1426" s="23" t="s">
        <v>3690</v>
      </c>
      <c r="J1426" s="23" t="s">
        <v>247</v>
      </c>
    </row>
    <row r="1427" spans="1:10" x14ac:dyDescent="0.2">
      <c r="A1427" s="21" t="s">
        <v>14</v>
      </c>
      <c r="B1427" s="22">
        <v>33266</v>
      </c>
      <c r="C1427" s="21" t="s">
        <v>21</v>
      </c>
      <c r="D1427" s="21" t="s">
        <v>3691</v>
      </c>
      <c r="E1427" s="21" t="s">
        <v>3692</v>
      </c>
      <c r="F1427" s="10">
        <v>1</v>
      </c>
      <c r="G1427" s="10">
        <v>1991</v>
      </c>
      <c r="H1427" s="21" t="s">
        <v>3686</v>
      </c>
      <c r="I1427" s="21" t="s">
        <v>3693</v>
      </c>
      <c r="J1427" s="21" t="s">
        <v>247</v>
      </c>
    </row>
    <row r="1428" spans="1:10" x14ac:dyDescent="0.2">
      <c r="A1428" s="23" t="s">
        <v>14</v>
      </c>
      <c r="B1428" s="24">
        <v>33255</v>
      </c>
      <c r="C1428" s="23" t="s">
        <v>21</v>
      </c>
      <c r="D1428" s="23" t="s">
        <v>3694</v>
      </c>
      <c r="E1428" s="23" t="s">
        <v>3695</v>
      </c>
      <c r="F1428" s="10">
        <v>1</v>
      </c>
      <c r="G1428" s="10">
        <v>1991</v>
      </c>
      <c r="H1428" s="23" t="s">
        <v>3686</v>
      </c>
      <c r="I1428" s="23" t="s">
        <v>3696</v>
      </c>
      <c r="J1428" s="23" t="s">
        <v>247</v>
      </c>
    </row>
    <row r="1429" spans="1:10" x14ac:dyDescent="0.2">
      <c r="A1429" s="21" t="s">
        <v>14</v>
      </c>
      <c r="B1429" s="22">
        <v>33242</v>
      </c>
      <c r="C1429" s="21" t="s">
        <v>21</v>
      </c>
      <c r="D1429" s="21" t="s">
        <v>3697</v>
      </c>
      <c r="E1429" s="21" t="s">
        <v>3698</v>
      </c>
      <c r="F1429" s="10">
        <v>1</v>
      </c>
      <c r="G1429" s="10">
        <v>1991</v>
      </c>
      <c r="H1429" s="21" t="s">
        <v>3686</v>
      </c>
      <c r="I1429" s="21" t="s">
        <v>3699</v>
      </c>
      <c r="J1429" s="21" t="s">
        <v>247</v>
      </c>
    </row>
    <row r="1430" spans="1:10" x14ac:dyDescent="0.2">
      <c r="A1430" s="23" t="s">
        <v>14</v>
      </c>
      <c r="B1430" s="24">
        <v>33238</v>
      </c>
      <c r="C1430" s="23" t="s">
        <v>21</v>
      </c>
      <c r="D1430" s="23" t="s">
        <v>3700</v>
      </c>
      <c r="E1430" s="23" t="s">
        <v>3701</v>
      </c>
      <c r="F1430" s="10">
        <v>12</v>
      </c>
      <c r="G1430" s="10">
        <v>1990</v>
      </c>
      <c r="H1430" s="23" t="s">
        <v>3702</v>
      </c>
      <c r="I1430" s="23" t="s">
        <v>3703</v>
      </c>
      <c r="J1430" s="23" t="s">
        <v>247</v>
      </c>
    </row>
    <row r="1431" spans="1:10" x14ac:dyDescent="0.2">
      <c r="A1431" s="21" t="s">
        <v>14</v>
      </c>
      <c r="B1431" s="22">
        <v>33235</v>
      </c>
      <c r="C1431" s="21" t="s">
        <v>21</v>
      </c>
      <c r="D1431" s="21" t="s">
        <v>3704</v>
      </c>
      <c r="E1431" s="21" t="s">
        <v>3705</v>
      </c>
      <c r="F1431" s="10">
        <v>12</v>
      </c>
      <c r="G1431" s="10">
        <v>1990</v>
      </c>
      <c r="H1431" s="21" t="s">
        <v>3702</v>
      </c>
      <c r="I1431" s="21" t="s">
        <v>3706</v>
      </c>
      <c r="J1431" s="21" t="s">
        <v>247</v>
      </c>
    </row>
    <row r="1432" spans="1:10" x14ac:dyDescent="0.2">
      <c r="A1432" s="23" t="s">
        <v>14</v>
      </c>
      <c r="B1432" s="24">
        <v>33235</v>
      </c>
      <c r="C1432" s="23" t="s">
        <v>21</v>
      </c>
      <c r="D1432" s="23" t="s">
        <v>3707</v>
      </c>
      <c r="E1432" s="23" t="s">
        <v>3708</v>
      </c>
      <c r="F1432" s="10">
        <v>12</v>
      </c>
      <c r="G1432" s="10">
        <v>1990</v>
      </c>
      <c r="H1432" s="23" t="s">
        <v>3702</v>
      </c>
      <c r="I1432" s="23" t="s">
        <v>3709</v>
      </c>
      <c r="J1432" s="23" t="s">
        <v>247</v>
      </c>
    </row>
    <row r="1433" spans="1:10" x14ac:dyDescent="0.2">
      <c r="A1433" s="21" t="s">
        <v>14</v>
      </c>
      <c r="B1433" s="22">
        <v>33235</v>
      </c>
      <c r="C1433" s="21" t="s">
        <v>21</v>
      </c>
      <c r="D1433" s="21" t="s">
        <v>3710</v>
      </c>
      <c r="E1433" s="21" t="s">
        <v>3711</v>
      </c>
      <c r="F1433" s="10">
        <v>12</v>
      </c>
      <c r="G1433" s="10">
        <v>1990</v>
      </c>
      <c r="H1433" s="21" t="s">
        <v>3702</v>
      </c>
      <c r="I1433" s="21" t="s">
        <v>3712</v>
      </c>
      <c r="J1433" s="21" t="s">
        <v>247</v>
      </c>
    </row>
    <row r="1434" spans="1:10" x14ac:dyDescent="0.2">
      <c r="A1434" s="23" t="s">
        <v>14</v>
      </c>
      <c r="B1434" s="24">
        <v>33233</v>
      </c>
      <c r="C1434" s="23" t="s">
        <v>21</v>
      </c>
      <c r="D1434" s="23" t="s">
        <v>3713</v>
      </c>
      <c r="E1434" s="23" t="s">
        <v>3714</v>
      </c>
      <c r="F1434" s="10">
        <v>12</v>
      </c>
      <c r="G1434" s="10">
        <v>1990</v>
      </c>
      <c r="H1434" s="23" t="s">
        <v>3702</v>
      </c>
      <c r="I1434" s="23" t="s">
        <v>3715</v>
      </c>
      <c r="J1434" s="23" t="s">
        <v>247</v>
      </c>
    </row>
    <row r="1435" spans="1:10" x14ac:dyDescent="0.2">
      <c r="A1435" s="21" t="s">
        <v>14</v>
      </c>
      <c r="B1435" s="22">
        <v>33233</v>
      </c>
      <c r="C1435" s="21" t="s">
        <v>21</v>
      </c>
      <c r="D1435" s="21" t="s">
        <v>3716</v>
      </c>
      <c r="E1435" s="21" t="s">
        <v>3717</v>
      </c>
      <c r="F1435" s="10">
        <v>12</v>
      </c>
      <c r="G1435" s="10">
        <v>1990</v>
      </c>
      <c r="H1435" s="21" t="s">
        <v>3702</v>
      </c>
      <c r="I1435" s="21" t="s">
        <v>3718</v>
      </c>
      <c r="J1435" s="21" t="s">
        <v>247</v>
      </c>
    </row>
    <row r="1436" spans="1:10" x14ac:dyDescent="0.2">
      <c r="A1436" s="23" t="s">
        <v>14</v>
      </c>
      <c r="B1436" s="24">
        <v>33228</v>
      </c>
      <c r="C1436" s="23" t="s">
        <v>21</v>
      </c>
      <c r="D1436" s="23" t="s">
        <v>3719</v>
      </c>
      <c r="E1436" s="23" t="s">
        <v>3720</v>
      </c>
      <c r="F1436" s="10">
        <v>12</v>
      </c>
      <c r="G1436" s="10">
        <v>1990</v>
      </c>
      <c r="H1436" s="23" t="s">
        <v>3702</v>
      </c>
      <c r="I1436" s="23" t="s">
        <v>3721</v>
      </c>
      <c r="J1436" s="23" t="s">
        <v>247</v>
      </c>
    </row>
    <row r="1437" spans="1:10" x14ac:dyDescent="0.2">
      <c r="A1437" s="21" t="s">
        <v>14</v>
      </c>
      <c r="B1437" s="22">
        <v>33227</v>
      </c>
      <c r="C1437" s="21" t="s">
        <v>21</v>
      </c>
      <c r="D1437" s="21" t="s">
        <v>3722</v>
      </c>
      <c r="E1437" s="21" t="s">
        <v>3723</v>
      </c>
      <c r="F1437" s="10">
        <v>12</v>
      </c>
      <c r="G1437" s="10">
        <v>1990</v>
      </c>
      <c r="H1437" s="21" t="s">
        <v>3702</v>
      </c>
      <c r="I1437" s="21" t="s">
        <v>3724</v>
      </c>
      <c r="J1437" s="21" t="s">
        <v>247</v>
      </c>
    </row>
    <row r="1438" spans="1:10" x14ac:dyDescent="0.2">
      <c r="A1438" s="23" t="s">
        <v>14</v>
      </c>
      <c r="B1438" s="24">
        <v>33227</v>
      </c>
      <c r="C1438" s="23" t="s">
        <v>15</v>
      </c>
      <c r="D1438" s="23" t="s">
        <v>3725</v>
      </c>
      <c r="E1438" s="23" t="s">
        <v>3726</v>
      </c>
      <c r="F1438" s="10">
        <v>12</v>
      </c>
      <c r="G1438" s="10">
        <v>1990</v>
      </c>
      <c r="H1438" s="23" t="s">
        <v>3702</v>
      </c>
      <c r="I1438" s="23" t="s">
        <v>3727</v>
      </c>
      <c r="J1438" s="23" t="s">
        <v>247</v>
      </c>
    </row>
    <row r="1439" spans="1:10" x14ac:dyDescent="0.2">
      <c r="A1439" s="21" t="s">
        <v>14</v>
      </c>
      <c r="B1439" s="22">
        <v>33226</v>
      </c>
      <c r="C1439" s="21" t="s">
        <v>21</v>
      </c>
      <c r="D1439" s="21" t="s">
        <v>3728</v>
      </c>
      <c r="E1439" s="21" t="s">
        <v>3729</v>
      </c>
      <c r="F1439" s="10">
        <v>12</v>
      </c>
      <c r="G1439" s="10">
        <v>1990</v>
      </c>
      <c r="H1439" s="21" t="s">
        <v>3702</v>
      </c>
      <c r="I1439" s="21" t="s">
        <v>3730</v>
      </c>
      <c r="J1439" s="21" t="s">
        <v>247</v>
      </c>
    </row>
    <row r="1440" spans="1:10" x14ac:dyDescent="0.2">
      <c r="A1440" s="23" t="s">
        <v>14</v>
      </c>
      <c r="B1440" s="24">
        <v>33224</v>
      </c>
      <c r="C1440" s="23" t="s">
        <v>21</v>
      </c>
      <c r="D1440" s="23" t="s">
        <v>3731</v>
      </c>
      <c r="E1440" s="23" t="s">
        <v>3732</v>
      </c>
      <c r="F1440" s="10">
        <v>12</v>
      </c>
      <c r="G1440" s="10">
        <v>1990</v>
      </c>
      <c r="H1440" s="23" t="s">
        <v>3702</v>
      </c>
      <c r="I1440" s="23" t="s">
        <v>3733</v>
      </c>
      <c r="J1440" s="23" t="s">
        <v>247</v>
      </c>
    </row>
    <row r="1441" spans="1:10" x14ac:dyDescent="0.2">
      <c r="A1441" s="21" t="s">
        <v>14</v>
      </c>
      <c r="B1441" s="22">
        <v>33221</v>
      </c>
      <c r="C1441" s="21" t="s">
        <v>21</v>
      </c>
      <c r="D1441" s="21" t="s">
        <v>3734</v>
      </c>
      <c r="E1441" s="21" t="s">
        <v>3735</v>
      </c>
      <c r="F1441" s="10">
        <v>12</v>
      </c>
      <c r="G1441" s="10">
        <v>1990</v>
      </c>
      <c r="H1441" s="21" t="s">
        <v>3702</v>
      </c>
      <c r="I1441" s="21" t="s">
        <v>3733</v>
      </c>
      <c r="J1441" s="21" t="s">
        <v>247</v>
      </c>
    </row>
    <row r="1442" spans="1:10" x14ac:dyDescent="0.2">
      <c r="A1442" s="23" t="s">
        <v>14</v>
      </c>
      <c r="B1442" s="24">
        <v>33205</v>
      </c>
      <c r="C1442" s="23" t="s">
        <v>21</v>
      </c>
      <c r="D1442" s="23" t="s">
        <v>3736</v>
      </c>
      <c r="E1442" s="23" t="s">
        <v>3737</v>
      </c>
      <c r="F1442" s="10">
        <v>11</v>
      </c>
      <c r="G1442" s="10">
        <v>1990</v>
      </c>
      <c r="H1442" s="23" t="s">
        <v>3738</v>
      </c>
      <c r="I1442" s="23" t="s">
        <v>3739</v>
      </c>
      <c r="J1442" s="23" t="s">
        <v>247</v>
      </c>
    </row>
    <row r="1443" spans="1:10" x14ac:dyDescent="0.2">
      <c r="A1443" s="21" t="s">
        <v>14</v>
      </c>
      <c r="B1443" s="22">
        <v>33179</v>
      </c>
      <c r="C1443" s="21" t="s">
        <v>21</v>
      </c>
      <c r="D1443" s="21" t="s">
        <v>3740</v>
      </c>
      <c r="E1443" s="21" t="s">
        <v>3741</v>
      </c>
      <c r="F1443" s="10">
        <v>11</v>
      </c>
      <c r="G1443" s="10">
        <v>1990</v>
      </c>
      <c r="H1443" s="21" t="s">
        <v>3738</v>
      </c>
      <c r="I1443" s="21" t="s">
        <v>1989</v>
      </c>
      <c r="J1443" s="21" t="s">
        <v>247</v>
      </c>
    </row>
    <row r="1444" spans="1:10" x14ac:dyDescent="0.2">
      <c r="A1444" s="23" t="s">
        <v>14</v>
      </c>
      <c r="B1444" s="24">
        <v>33143</v>
      </c>
      <c r="C1444" s="23" t="s">
        <v>21</v>
      </c>
      <c r="D1444" s="23" t="s">
        <v>3742</v>
      </c>
      <c r="E1444" s="23" t="s">
        <v>3743</v>
      </c>
      <c r="F1444" s="10">
        <v>9</v>
      </c>
      <c r="G1444" s="10">
        <v>1990</v>
      </c>
      <c r="H1444" s="23" t="s">
        <v>3744</v>
      </c>
      <c r="I1444" s="23" t="s">
        <v>3745</v>
      </c>
      <c r="J1444" s="23" t="s">
        <v>247</v>
      </c>
    </row>
    <row r="1445" spans="1:10" x14ac:dyDescent="0.2">
      <c r="A1445" s="21" t="s">
        <v>14</v>
      </c>
      <c r="B1445" s="22">
        <v>33087</v>
      </c>
      <c r="C1445" s="21" t="s">
        <v>21</v>
      </c>
      <c r="D1445" s="21" t="s">
        <v>3746</v>
      </c>
      <c r="E1445" s="21" t="s">
        <v>3747</v>
      </c>
      <c r="F1445" s="10">
        <v>8</v>
      </c>
      <c r="G1445" s="10">
        <v>1990</v>
      </c>
      <c r="H1445" s="21" t="s">
        <v>3748</v>
      </c>
      <c r="I1445" s="21" t="s">
        <v>3749</v>
      </c>
      <c r="J1445" s="21" t="s">
        <v>247</v>
      </c>
    </row>
    <row r="1446" spans="1:10" x14ac:dyDescent="0.2">
      <c r="A1446" s="23" t="s">
        <v>14</v>
      </c>
      <c r="B1446" s="24">
        <v>33085</v>
      </c>
      <c r="C1446" s="23" t="s">
        <v>21</v>
      </c>
      <c r="D1446" s="23" t="s">
        <v>3750</v>
      </c>
      <c r="E1446" s="23" t="s">
        <v>3751</v>
      </c>
      <c r="F1446" s="10">
        <v>7</v>
      </c>
      <c r="G1446" s="10">
        <v>1990</v>
      </c>
      <c r="H1446" s="23" t="s">
        <v>3752</v>
      </c>
      <c r="I1446" s="23" t="s">
        <v>3753</v>
      </c>
      <c r="J1446" s="23" t="s">
        <v>247</v>
      </c>
    </row>
    <row r="1447" spans="1:10" x14ac:dyDescent="0.2">
      <c r="A1447" s="21" t="s">
        <v>14</v>
      </c>
      <c r="B1447" s="22">
        <v>33050</v>
      </c>
      <c r="C1447" s="21" t="s">
        <v>21</v>
      </c>
      <c r="D1447" s="21" t="s">
        <v>3754</v>
      </c>
      <c r="E1447" s="21" t="s">
        <v>3755</v>
      </c>
      <c r="F1447" s="10">
        <v>6</v>
      </c>
      <c r="G1447" s="10">
        <v>1990</v>
      </c>
      <c r="H1447" s="21" t="s">
        <v>3756</v>
      </c>
      <c r="I1447" s="21" t="s">
        <v>3757</v>
      </c>
      <c r="J1447" s="21" t="s">
        <v>247</v>
      </c>
    </row>
    <row r="1448" spans="1:10" x14ac:dyDescent="0.2">
      <c r="A1448" s="23" t="s">
        <v>14</v>
      </c>
      <c r="B1448" s="24">
        <v>33043</v>
      </c>
      <c r="C1448" s="23" t="s">
        <v>21</v>
      </c>
      <c r="D1448" s="23" t="s">
        <v>3758</v>
      </c>
      <c r="E1448" s="23" t="s">
        <v>3759</v>
      </c>
      <c r="F1448" s="10">
        <v>6</v>
      </c>
      <c r="G1448" s="10">
        <v>1990</v>
      </c>
      <c r="H1448" s="23" t="s">
        <v>3756</v>
      </c>
      <c r="I1448" s="23" t="s">
        <v>3760</v>
      </c>
      <c r="J1448" s="23" t="s">
        <v>247</v>
      </c>
    </row>
    <row r="1449" spans="1:10" x14ac:dyDescent="0.2">
      <c r="A1449" s="21" t="s">
        <v>14</v>
      </c>
      <c r="B1449" s="22">
        <v>33042</v>
      </c>
      <c r="C1449" s="21" t="s">
        <v>21</v>
      </c>
      <c r="D1449" s="21" t="s">
        <v>3761</v>
      </c>
      <c r="E1449" s="21" t="s">
        <v>3762</v>
      </c>
      <c r="F1449" s="10">
        <v>6</v>
      </c>
      <c r="G1449" s="10">
        <v>1990</v>
      </c>
      <c r="H1449" s="21" t="s">
        <v>3756</v>
      </c>
      <c r="I1449" s="21" t="s">
        <v>3763</v>
      </c>
      <c r="J1449" s="21" t="s">
        <v>247</v>
      </c>
    </row>
    <row r="1450" spans="1:10" x14ac:dyDescent="0.2">
      <c r="A1450" s="23" t="s">
        <v>14</v>
      </c>
      <c r="B1450" s="24">
        <v>33039</v>
      </c>
      <c r="C1450" s="23" t="s">
        <v>21</v>
      </c>
      <c r="D1450" s="23" t="s">
        <v>3764</v>
      </c>
      <c r="E1450" s="23" t="s">
        <v>3765</v>
      </c>
      <c r="F1450" s="10">
        <v>6</v>
      </c>
      <c r="G1450" s="10">
        <v>1990</v>
      </c>
      <c r="H1450" s="23" t="s">
        <v>3756</v>
      </c>
      <c r="I1450" s="23" t="s">
        <v>3766</v>
      </c>
      <c r="J1450" s="23" t="s">
        <v>247</v>
      </c>
    </row>
    <row r="1451" spans="1:10" x14ac:dyDescent="0.2">
      <c r="A1451" s="21" t="s">
        <v>14</v>
      </c>
      <c r="B1451" s="22">
        <v>32953</v>
      </c>
      <c r="C1451" s="21" t="s">
        <v>15</v>
      </c>
      <c r="D1451" s="21" t="s">
        <v>3767</v>
      </c>
      <c r="E1451" s="21" t="s">
        <v>3768</v>
      </c>
      <c r="F1451" s="10">
        <v>3</v>
      </c>
      <c r="G1451" s="10">
        <v>1990</v>
      </c>
      <c r="H1451" s="21" t="s">
        <v>3769</v>
      </c>
      <c r="I1451" s="21" t="s">
        <v>3770</v>
      </c>
      <c r="J1451" s="21" t="s">
        <v>247</v>
      </c>
    </row>
    <row r="1452" spans="1:10" x14ac:dyDescent="0.2">
      <c r="A1452" s="23" t="s">
        <v>14</v>
      </c>
      <c r="B1452" s="24">
        <v>32917</v>
      </c>
      <c r="C1452" s="23" t="s">
        <v>21</v>
      </c>
      <c r="D1452" s="23" t="s">
        <v>3771</v>
      </c>
      <c r="E1452" s="23" t="s">
        <v>3772</v>
      </c>
      <c r="F1452" s="10">
        <v>2</v>
      </c>
      <c r="G1452" s="10">
        <v>1990</v>
      </c>
      <c r="H1452" s="23" t="s">
        <v>3773</v>
      </c>
      <c r="I1452" s="23" t="s">
        <v>3774</v>
      </c>
      <c r="J1452" s="23" t="s">
        <v>247</v>
      </c>
    </row>
    <row r="1453" spans="1:10" x14ac:dyDescent="0.2">
      <c r="A1453" s="21" t="s">
        <v>14</v>
      </c>
      <c r="B1453" s="22">
        <v>32902</v>
      </c>
      <c r="C1453" s="21" t="s">
        <v>21</v>
      </c>
      <c r="D1453" s="21" t="s">
        <v>3775</v>
      </c>
      <c r="E1453" s="21" t="s">
        <v>3776</v>
      </c>
      <c r="F1453" s="10">
        <v>1</v>
      </c>
      <c r="G1453" s="10">
        <v>1990</v>
      </c>
      <c r="H1453" s="21" t="s">
        <v>3777</v>
      </c>
      <c r="I1453" s="21" t="s">
        <v>3778</v>
      </c>
      <c r="J1453" s="21" t="s">
        <v>247</v>
      </c>
    </row>
    <row r="1454" spans="1:10" x14ac:dyDescent="0.2">
      <c r="A1454" s="23" t="s">
        <v>14</v>
      </c>
      <c r="B1454" s="24">
        <v>32871</v>
      </c>
      <c r="C1454" s="23" t="s">
        <v>21</v>
      </c>
      <c r="D1454" s="23" t="s">
        <v>3779</v>
      </c>
      <c r="E1454" s="23" t="s">
        <v>3780</v>
      </c>
      <c r="F1454" s="10">
        <v>12</v>
      </c>
      <c r="G1454" s="10">
        <v>1989</v>
      </c>
      <c r="H1454" s="23" t="s">
        <v>3781</v>
      </c>
      <c r="I1454" s="23" t="s">
        <v>3534</v>
      </c>
      <c r="J1454" s="23" t="s">
        <v>247</v>
      </c>
    </row>
    <row r="1455" spans="1:10" x14ac:dyDescent="0.2">
      <c r="A1455" s="21" t="s">
        <v>14</v>
      </c>
      <c r="B1455" s="22">
        <v>32871</v>
      </c>
      <c r="C1455" s="21" t="s">
        <v>21</v>
      </c>
      <c r="D1455" s="21" t="s">
        <v>3782</v>
      </c>
      <c r="E1455" s="21" t="s">
        <v>3783</v>
      </c>
      <c r="F1455" s="10">
        <v>12</v>
      </c>
      <c r="G1455" s="10">
        <v>1989</v>
      </c>
      <c r="H1455" s="21" t="s">
        <v>3781</v>
      </c>
      <c r="I1455" s="21" t="s">
        <v>3784</v>
      </c>
      <c r="J1455" s="21" t="s">
        <v>247</v>
      </c>
    </row>
    <row r="1456" spans="1:10" x14ac:dyDescent="0.2">
      <c r="A1456" s="23" t="s">
        <v>14</v>
      </c>
      <c r="B1456" s="24">
        <v>32871</v>
      </c>
      <c r="C1456" s="23" t="s">
        <v>21</v>
      </c>
      <c r="D1456" s="23" t="s">
        <v>3785</v>
      </c>
      <c r="E1456" s="23" t="s">
        <v>3786</v>
      </c>
      <c r="F1456" s="10">
        <v>12</v>
      </c>
      <c r="G1456" s="10">
        <v>1989</v>
      </c>
      <c r="H1456" s="23" t="s">
        <v>3781</v>
      </c>
      <c r="I1456" s="23" t="s">
        <v>3787</v>
      </c>
      <c r="J1456" s="23" t="s">
        <v>247</v>
      </c>
    </row>
    <row r="1457" spans="1:10" x14ac:dyDescent="0.2">
      <c r="A1457" s="21" t="s">
        <v>14</v>
      </c>
      <c r="B1457" s="22">
        <v>32871</v>
      </c>
      <c r="C1457" s="21" t="s">
        <v>21</v>
      </c>
      <c r="D1457" s="21" t="s">
        <v>3788</v>
      </c>
      <c r="E1457" s="21" t="s">
        <v>3789</v>
      </c>
      <c r="F1457" s="10">
        <v>12</v>
      </c>
      <c r="G1457" s="10">
        <v>1989</v>
      </c>
      <c r="H1457" s="21" t="s">
        <v>3781</v>
      </c>
      <c r="I1457" s="21" t="s">
        <v>3790</v>
      </c>
      <c r="J1457" s="21" t="s">
        <v>247</v>
      </c>
    </row>
    <row r="1458" spans="1:10" x14ac:dyDescent="0.2">
      <c r="A1458" s="23" t="s">
        <v>14</v>
      </c>
      <c r="B1458" s="24">
        <v>32871</v>
      </c>
      <c r="C1458" s="23" t="s">
        <v>21</v>
      </c>
      <c r="D1458" s="23" t="s">
        <v>3791</v>
      </c>
      <c r="E1458" s="23" t="s">
        <v>3792</v>
      </c>
      <c r="F1458" s="10">
        <v>12</v>
      </c>
      <c r="G1458" s="10">
        <v>1989</v>
      </c>
      <c r="H1458" s="23" t="s">
        <v>3781</v>
      </c>
      <c r="I1458" s="23" t="s">
        <v>3793</v>
      </c>
      <c r="J1458" s="23" t="s">
        <v>247</v>
      </c>
    </row>
    <row r="1459" spans="1:10" x14ac:dyDescent="0.2">
      <c r="A1459" s="21" t="s">
        <v>14</v>
      </c>
      <c r="B1459" s="22">
        <v>32871</v>
      </c>
      <c r="C1459" s="21" t="s">
        <v>21</v>
      </c>
      <c r="D1459" s="21" t="s">
        <v>3794</v>
      </c>
      <c r="E1459" s="21" t="s">
        <v>3795</v>
      </c>
      <c r="F1459" s="10">
        <v>12</v>
      </c>
      <c r="G1459" s="10">
        <v>1989</v>
      </c>
      <c r="H1459" s="21" t="s">
        <v>3781</v>
      </c>
      <c r="I1459" s="21" t="s">
        <v>3796</v>
      </c>
      <c r="J1459" s="21" t="s">
        <v>247</v>
      </c>
    </row>
    <row r="1460" spans="1:10" x14ac:dyDescent="0.2">
      <c r="A1460" s="23" t="s">
        <v>14</v>
      </c>
      <c r="B1460" s="24">
        <v>32871</v>
      </c>
      <c r="C1460" s="23" t="s">
        <v>21</v>
      </c>
      <c r="D1460" s="23" t="s">
        <v>3797</v>
      </c>
      <c r="E1460" s="23" t="s">
        <v>3798</v>
      </c>
      <c r="F1460" s="10">
        <v>12</v>
      </c>
      <c r="G1460" s="10">
        <v>1989</v>
      </c>
      <c r="H1460" s="23" t="s">
        <v>3781</v>
      </c>
      <c r="I1460" s="23" t="s">
        <v>3799</v>
      </c>
      <c r="J1460" s="23" t="s">
        <v>247</v>
      </c>
    </row>
    <row r="1461" spans="1:10" x14ac:dyDescent="0.2">
      <c r="A1461" s="21" t="s">
        <v>14</v>
      </c>
      <c r="B1461" s="22">
        <v>32870</v>
      </c>
      <c r="C1461" s="21" t="s">
        <v>21</v>
      </c>
      <c r="D1461" s="21" t="s">
        <v>3800</v>
      </c>
      <c r="E1461" s="21" t="s">
        <v>3801</v>
      </c>
      <c r="F1461" s="10">
        <v>12</v>
      </c>
      <c r="G1461" s="10">
        <v>1989</v>
      </c>
      <c r="H1461" s="21" t="s">
        <v>3781</v>
      </c>
      <c r="I1461" s="21" t="s">
        <v>1989</v>
      </c>
      <c r="J1461" s="21" t="s">
        <v>247</v>
      </c>
    </row>
    <row r="1462" spans="1:10" x14ac:dyDescent="0.2">
      <c r="A1462" s="23" t="s">
        <v>14</v>
      </c>
      <c r="B1462" s="24">
        <v>32853</v>
      </c>
      <c r="C1462" s="23" t="s">
        <v>21</v>
      </c>
      <c r="D1462" s="23" t="s">
        <v>3802</v>
      </c>
      <c r="E1462" s="23" t="s">
        <v>3803</v>
      </c>
      <c r="F1462" s="10">
        <v>12</v>
      </c>
      <c r="G1462" s="10">
        <v>1989</v>
      </c>
      <c r="H1462" s="23" t="s">
        <v>3781</v>
      </c>
      <c r="I1462" s="23" t="s">
        <v>3804</v>
      </c>
      <c r="J1462" s="23" t="s">
        <v>247</v>
      </c>
    </row>
    <row r="1463" spans="1:10" x14ac:dyDescent="0.2">
      <c r="A1463" s="21" t="s">
        <v>14</v>
      </c>
      <c r="B1463" s="22">
        <v>32851</v>
      </c>
      <c r="C1463" s="21" t="s">
        <v>15</v>
      </c>
      <c r="D1463" s="21" t="s">
        <v>3805</v>
      </c>
      <c r="E1463" s="21" t="s">
        <v>3806</v>
      </c>
      <c r="F1463" s="10">
        <v>12</v>
      </c>
      <c r="G1463" s="10">
        <v>1989</v>
      </c>
      <c r="H1463" s="21" t="s">
        <v>3781</v>
      </c>
      <c r="I1463" s="21" t="s">
        <v>3807</v>
      </c>
      <c r="J1463" s="21" t="s">
        <v>247</v>
      </c>
    </row>
    <row r="1464" spans="1:10" x14ac:dyDescent="0.2">
      <c r="A1464" s="23" t="s">
        <v>14</v>
      </c>
      <c r="B1464" s="24">
        <v>32849</v>
      </c>
      <c r="C1464" s="23" t="s">
        <v>21</v>
      </c>
      <c r="D1464" s="23" t="s">
        <v>3808</v>
      </c>
      <c r="E1464" s="23" t="s">
        <v>3809</v>
      </c>
      <c r="F1464" s="10">
        <v>12</v>
      </c>
      <c r="G1464" s="10">
        <v>1989</v>
      </c>
      <c r="H1464" s="23" t="s">
        <v>3781</v>
      </c>
      <c r="I1464" s="23" t="s">
        <v>3810</v>
      </c>
      <c r="J1464" s="23" t="s">
        <v>247</v>
      </c>
    </row>
    <row r="1465" spans="1:10" x14ac:dyDescent="0.2">
      <c r="A1465" s="21" t="s">
        <v>14</v>
      </c>
      <c r="B1465" s="22">
        <v>32842</v>
      </c>
      <c r="C1465" s="21" t="s">
        <v>21</v>
      </c>
      <c r="D1465" s="21" t="s">
        <v>3811</v>
      </c>
      <c r="E1465" s="21" t="s">
        <v>3812</v>
      </c>
      <c r="F1465" s="10">
        <v>11</v>
      </c>
      <c r="G1465" s="10">
        <v>1989</v>
      </c>
      <c r="H1465" s="21" t="s">
        <v>3813</v>
      </c>
      <c r="I1465" s="21" t="s">
        <v>3814</v>
      </c>
      <c r="J1465" s="21" t="s">
        <v>247</v>
      </c>
    </row>
    <row r="1466" spans="1:10" x14ac:dyDescent="0.2">
      <c r="A1466" s="23" t="s">
        <v>14</v>
      </c>
      <c r="B1466" s="24">
        <v>32839</v>
      </c>
      <c r="C1466" s="23" t="s">
        <v>15</v>
      </c>
      <c r="D1466" s="23" t="s">
        <v>3815</v>
      </c>
      <c r="E1466" s="23" t="s">
        <v>3816</v>
      </c>
      <c r="F1466" s="10">
        <v>11</v>
      </c>
      <c r="G1466" s="10">
        <v>1989</v>
      </c>
      <c r="H1466" s="23" t="s">
        <v>3813</v>
      </c>
      <c r="I1466" s="23" t="s">
        <v>3817</v>
      </c>
      <c r="J1466" s="23" t="s">
        <v>247</v>
      </c>
    </row>
    <row r="1467" spans="1:10" x14ac:dyDescent="0.2">
      <c r="A1467" s="21" t="s">
        <v>14</v>
      </c>
      <c r="B1467" s="22">
        <v>32839</v>
      </c>
      <c r="C1467" s="21" t="s">
        <v>21</v>
      </c>
      <c r="D1467" s="21" t="s">
        <v>3818</v>
      </c>
      <c r="E1467" s="21" t="s">
        <v>3819</v>
      </c>
      <c r="F1467" s="10">
        <v>11</v>
      </c>
      <c r="G1467" s="10">
        <v>1989</v>
      </c>
      <c r="H1467" s="21" t="s">
        <v>3813</v>
      </c>
      <c r="I1467" s="21" t="s">
        <v>3784</v>
      </c>
      <c r="J1467" s="21" t="s">
        <v>247</v>
      </c>
    </row>
    <row r="1468" spans="1:10" x14ac:dyDescent="0.2">
      <c r="A1468" s="23" t="s">
        <v>14</v>
      </c>
      <c r="B1468" s="24">
        <v>32811</v>
      </c>
      <c r="C1468" s="23" t="s">
        <v>21</v>
      </c>
      <c r="D1468" s="23" t="s">
        <v>3820</v>
      </c>
      <c r="E1468" s="23" t="s">
        <v>3821</v>
      </c>
      <c r="F1468" s="10">
        <v>10</v>
      </c>
      <c r="G1468" s="10">
        <v>1989</v>
      </c>
      <c r="H1468" s="23" t="s">
        <v>3822</v>
      </c>
      <c r="I1468" s="23" t="s">
        <v>3823</v>
      </c>
      <c r="J1468" s="23" t="s">
        <v>247</v>
      </c>
    </row>
    <row r="1469" spans="1:10" x14ac:dyDescent="0.2">
      <c r="A1469" s="21" t="s">
        <v>14</v>
      </c>
      <c r="B1469" s="22">
        <v>32791</v>
      </c>
      <c r="C1469" s="21" t="s">
        <v>15</v>
      </c>
      <c r="D1469" s="21" t="s">
        <v>3824</v>
      </c>
      <c r="E1469" s="21" t="s">
        <v>3825</v>
      </c>
      <c r="F1469" s="10">
        <v>10</v>
      </c>
      <c r="G1469" s="10">
        <v>1989</v>
      </c>
      <c r="H1469" s="21" t="s">
        <v>3822</v>
      </c>
      <c r="I1469" s="21" t="s">
        <v>3826</v>
      </c>
      <c r="J1469" s="21" t="s">
        <v>247</v>
      </c>
    </row>
    <row r="1470" spans="1:10" x14ac:dyDescent="0.2">
      <c r="A1470" s="23" t="s">
        <v>14</v>
      </c>
      <c r="B1470" s="24">
        <v>32783</v>
      </c>
      <c r="C1470" s="23" t="s">
        <v>21</v>
      </c>
      <c r="D1470" s="23" t="s">
        <v>3827</v>
      </c>
      <c r="E1470" s="23" t="s">
        <v>3828</v>
      </c>
      <c r="F1470" s="10">
        <v>10</v>
      </c>
      <c r="G1470" s="10">
        <v>1989</v>
      </c>
      <c r="H1470" s="23" t="s">
        <v>3822</v>
      </c>
      <c r="I1470" s="23" t="s">
        <v>3829</v>
      </c>
      <c r="J1470" s="23" t="s">
        <v>247</v>
      </c>
    </row>
    <row r="1471" spans="1:10" x14ac:dyDescent="0.2">
      <c r="A1471" s="21" t="s">
        <v>14</v>
      </c>
      <c r="B1471" s="22">
        <v>32777</v>
      </c>
      <c r="C1471" s="21" t="s">
        <v>21</v>
      </c>
      <c r="D1471" s="21" t="s">
        <v>3830</v>
      </c>
      <c r="E1471" s="21" t="s">
        <v>3831</v>
      </c>
      <c r="F1471" s="10">
        <v>9</v>
      </c>
      <c r="G1471" s="10">
        <v>1989</v>
      </c>
      <c r="H1471" s="21" t="s">
        <v>3832</v>
      </c>
      <c r="I1471" s="21" t="s">
        <v>3833</v>
      </c>
      <c r="J1471" s="21" t="s">
        <v>247</v>
      </c>
    </row>
    <row r="1472" spans="1:10" x14ac:dyDescent="0.2">
      <c r="A1472" s="23" t="s">
        <v>14</v>
      </c>
      <c r="B1472" s="24">
        <v>32765</v>
      </c>
      <c r="C1472" s="23" t="s">
        <v>21</v>
      </c>
      <c r="D1472" s="23" t="s">
        <v>3834</v>
      </c>
      <c r="E1472" s="23" t="s">
        <v>3835</v>
      </c>
      <c r="F1472" s="10">
        <v>9</v>
      </c>
      <c r="G1472" s="10">
        <v>1989</v>
      </c>
      <c r="H1472" s="23" t="s">
        <v>3832</v>
      </c>
      <c r="I1472" s="23" t="s">
        <v>3836</v>
      </c>
      <c r="J1472" s="23" t="s">
        <v>247</v>
      </c>
    </row>
    <row r="1473" spans="1:10" x14ac:dyDescent="0.2">
      <c r="A1473" s="21" t="s">
        <v>14</v>
      </c>
      <c r="B1473" s="22">
        <v>32682</v>
      </c>
      <c r="C1473" s="21" t="s">
        <v>21</v>
      </c>
      <c r="D1473" s="21" t="s">
        <v>3837</v>
      </c>
      <c r="E1473" s="21" t="s">
        <v>3838</v>
      </c>
      <c r="F1473" s="10">
        <v>6</v>
      </c>
      <c r="G1473" s="10">
        <v>1989</v>
      </c>
      <c r="H1473" s="21" t="s">
        <v>3839</v>
      </c>
      <c r="I1473" s="21" t="s">
        <v>3840</v>
      </c>
      <c r="J1473" s="21" t="s">
        <v>247</v>
      </c>
    </row>
    <row r="1474" spans="1:10" x14ac:dyDescent="0.2">
      <c r="A1474" s="23" t="s">
        <v>14</v>
      </c>
      <c r="B1474" s="24">
        <v>32664</v>
      </c>
      <c r="C1474" s="23" t="s">
        <v>21</v>
      </c>
      <c r="D1474" s="23" t="s">
        <v>3841</v>
      </c>
      <c r="E1474" s="23" t="s">
        <v>3842</v>
      </c>
      <c r="F1474" s="10">
        <v>6</v>
      </c>
      <c r="G1474" s="10">
        <v>1989</v>
      </c>
      <c r="H1474" s="23" t="s">
        <v>3839</v>
      </c>
      <c r="I1474" s="23" t="s">
        <v>3843</v>
      </c>
      <c r="J1474" s="23" t="s">
        <v>247</v>
      </c>
    </row>
    <row r="1475" spans="1:10" x14ac:dyDescent="0.2">
      <c r="A1475" s="21" t="s">
        <v>14</v>
      </c>
      <c r="B1475" s="22">
        <v>32660</v>
      </c>
      <c r="C1475" s="21" t="s">
        <v>15</v>
      </c>
      <c r="D1475" s="21" t="s">
        <v>3844</v>
      </c>
      <c r="E1475" s="21" t="s">
        <v>3285</v>
      </c>
      <c r="F1475" s="10">
        <v>6</v>
      </c>
      <c r="G1475" s="10">
        <v>1989</v>
      </c>
      <c r="H1475" s="21" t="s">
        <v>3839</v>
      </c>
      <c r="I1475" s="21" t="s">
        <v>3845</v>
      </c>
      <c r="J1475" s="21" t="s">
        <v>247</v>
      </c>
    </row>
    <row r="1476" spans="1:10" x14ac:dyDescent="0.2">
      <c r="A1476" s="23" t="s">
        <v>14</v>
      </c>
      <c r="B1476" s="24">
        <v>32630</v>
      </c>
      <c r="C1476" s="23" t="s">
        <v>21</v>
      </c>
      <c r="D1476" s="23" t="s">
        <v>3846</v>
      </c>
      <c r="E1476" s="23" t="s">
        <v>3847</v>
      </c>
      <c r="F1476" s="10">
        <v>5</v>
      </c>
      <c r="G1476" s="10">
        <v>1989</v>
      </c>
      <c r="H1476" s="23" t="s">
        <v>3848</v>
      </c>
      <c r="I1476" s="23" t="s">
        <v>3849</v>
      </c>
      <c r="J1476" s="23" t="s">
        <v>247</v>
      </c>
    </row>
    <row r="1477" spans="1:10" x14ac:dyDescent="0.2">
      <c r="A1477" s="21" t="s">
        <v>14</v>
      </c>
      <c r="B1477" s="22">
        <v>32626</v>
      </c>
      <c r="C1477" s="21" t="s">
        <v>21</v>
      </c>
      <c r="D1477" s="21" t="s">
        <v>3850</v>
      </c>
      <c r="E1477" s="21" t="s">
        <v>3851</v>
      </c>
      <c r="F1477" s="10">
        <v>4</v>
      </c>
      <c r="G1477" s="10">
        <v>1989</v>
      </c>
      <c r="H1477" s="21" t="s">
        <v>3852</v>
      </c>
      <c r="I1477" s="21" t="s">
        <v>3853</v>
      </c>
      <c r="J1477" s="21" t="s">
        <v>247</v>
      </c>
    </row>
    <row r="1478" spans="1:10" x14ac:dyDescent="0.2">
      <c r="A1478" s="23" t="s">
        <v>14</v>
      </c>
      <c r="B1478" s="24">
        <v>32570</v>
      </c>
      <c r="C1478" s="23" t="s">
        <v>21</v>
      </c>
      <c r="D1478" s="23" t="s">
        <v>3854</v>
      </c>
      <c r="E1478" s="23" t="s">
        <v>3855</v>
      </c>
      <c r="F1478" s="10">
        <v>3</v>
      </c>
      <c r="G1478" s="10">
        <v>1989</v>
      </c>
      <c r="H1478" s="23" t="s">
        <v>3856</v>
      </c>
      <c r="I1478" s="23" t="s">
        <v>3857</v>
      </c>
      <c r="J1478" s="23" t="s">
        <v>247</v>
      </c>
    </row>
    <row r="1479" spans="1:10" x14ac:dyDescent="0.2">
      <c r="A1479" s="21" t="s">
        <v>14</v>
      </c>
      <c r="B1479" s="22">
        <v>32539</v>
      </c>
      <c r="C1479" s="21" t="s">
        <v>21</v>
      </c>
      <c r="D1479" s="21" t="s">
        <v>3858</v>
      </c>
      <c r="E1479" s="21" t="s">
        <v>3859</v>
      </c>
      <c r="F1479" s="10">
        <v>1</v>
      </c>
      <c r="G1479" s="10">
        <v>1989</v>
      </c>
      <c r="H1479" s="21" t="s">
        <v>3860</v>
      </c>
      <c r="I1479" s="21" t="s">
        <v>3861</v>
      </c>
      <c r="J1479" s="21" t="s">
        <v>247</v>
      </c>
    </row>
    <row r="1480" spans="1:10" x14ac:dyDescent="0.2">
      <c r="A1480" s="23" t="s">
        <v>14</v>
      </c>
      <c r="B1480" s="24">
        <v>32535</v>
      </c>
      <c r="C1480" s="23" t="s">
        <v>21</v>
      </c>
      <c r="D1480" s="23" t="s">
        <v>3862</v>
      </c>
      <c r="E1480" s="23" t="s">
        <v>3863</v>
      </c>
      <c r="F1480" s="10">
        <v>1</v>
      </c>
      <c r="G1480" s="10">
        <v>1989</v>
      </c>
      <c r="H1480" s="23" t="s">
        <v>3860</v>
      </c>
      <c r="I1480" s="23" t="s">
        <v>3864</v>
      </c>
      <c r="J1480" s="23" t="s">
        <v>247</v>
      </c>
    </row>
    <row r="1481" spans="1:10" x14ac:dyDescent="0.2">
      <c r="A1481" s="21" t="s">
        <v>14</v>
      </c>
      <c r="B1481" s="22">
        <v>32507</v>
      </c>
      <c r="C1481" s="21" t="s">
        <v>21</v>
      </c>
      <c r="D1481" s="21" t="s">
        <v>3865</v>
      </c>
      <c r="E1481" s="21" t="s">
        <v>3866</v>
      </c>
      <c r="F1481" s="10">
        <v>12</v>
      </c>
      <c r="G1481" s="10">
        <v>1988</v>
      </c>
      <c r="H1481" s="21" t="s">
        <v>3867</v>
      </c>
      <c r="I1481" s="21" t="s">
        <v>3868</v>
      </c>
      <c r="J1481" s="21" t="s">
        <v>247</v>
      </c>
    </row>
    <row r="1482" spans="1:10" x14ac:dyDescent="0.2">
      <c r="A1482" s="23" t="s">
        <v>14</v>
      </c>
      <c r="B1482" s="24">
        <v>32507</v>
      </c>
      <c r="C1482" s="23" t="s">
        <v>21</v>
      </c>
      <c r="D1482" s="23" t="s">
        <v>3869</v>
      </c>
      <c r="E1482" s="23" t="s">
        <v>3870</v>
      </c>
      <c r="F1482" s="10">
        <v>12</v>
      </c>
      <c r="G1482" s="10">
        <v>1988</v>
      </c>
      <c r="H1482" s="23" t="s">
        <v>3867</v>
      </c>
      <c r="I1482" s="23" t="s">
        <v>3871</v>
      </c>
      <c r="J1482" s="23" t="s">
        <v>247</v>
      </c>
    </row>
    <row r="1483" spans="1:10" x14ac:dyDescent="0.2">
      <c r="A1483" s="21" t="s">
        <v>14</v>
      </c>
      <c r="B1483" s="22">
        <v>32507</v>
      </c>
      <c r="C1483" s="21" t="s">
        <v>21</v>
      </c>
      <c r="D1483" s="21" t="s">
        <v>3872</v>
      </c>
      <c r="E1483" s="21" t="s">
        <v>3873</v>
      </c>
      <c r="F1483" s="10">
        <v>12</v>
      </c>
      <c r="G1483" s="10">
        <v>1988</v>
      </c>
      <c r="H1483" s="21" t="s">
        <v>3867</v>
      </c>
      <c r="I1483" s="21" t="s">
        <v>3874</v>
      </c>
      <c r="J1483" s="21" t="s">
        <v>247</v>
      </c>
    </row>
    <row r="1484" spans="1:10" x14ac:dyDescent="0.2">
      <c r="A1484" s="23" t="s">
        <v>14</v>
      </c>
      <c r="B1484" s="24">
        <v>32507</v>
      </c>
      <c r="C1484" s="23" t="s">
        <v>21</v>
      </c>
      <c r="D1484" s="23" t="s">
        <v>3875</v>
      </c>
      <c r="E1484" s="23" t="s">
        <v>3876</v>
      </c>
      <c r="F1484" s="10">
        <v>12</v>
      </c>
      <c r="G1484" s="10">
        <v>1988</v>
      </c>
      <c r="H1484" s="23" t="s">
        <v>3867</v>
      </c>
      <c r="I1484" s="23" t="s">
        <v>3877</v>
      </c>
      <c r="J1484" s="23" t="s">
        <v>247</v>
      </c>
    </row>
    <row r="1485" spans="1:10" x14ac:dyDescent="0.2">
      <c r="A1485" s="21" t="s">
        <v>14</v>
      </c>
      <c r="B1485" s="22">
        <v>32507</v>
      </c>
      <c r="C1485" s="21" t="s">
        <v>21</v>
      </c>
      <c r="D1485" s="21" t="s">
        <v>3878</v>
      </c>
      <c r="E1485" s="21" t="s">
        <v>3879</v>
      </c>
      <c r="F1485" s="10">
        <v>12</v>
      </c>
      <c r="G1485" s="10">
        <v>1988</v>
      </c>
      <c r="H1485" s="21" t="s">
        <v>3867</v>
      </c>
      <c r="I1485" s="21" t="s">
        <v>3880</v>
      </c>
      <c r="J1485" s="21" t="s">
        <v>247</v>
      </c>
    </row>
    <row r="1486" spans="1:10" x14ac:dyDescent="0.2">
      <c r="A1486" s="23" t="s">
        <v>14</v>
      </c>
      <c r="B1486" s="24">
        <v>32507</v>
      </c>
      <c r="C1486" s="23" t="s">
        <v>21</v>
      </c>
      <c r="D1486" s="23" t="s">
        <v>3881</v>
      </c>
      <c r="E1486" s="23" t="s">
        <v>3882</v>
      </c>
      <c r="F1486" s="10">
        <v>12</v>
      </c>
      <c r="G1486" s="10">
        <v>1988</v>
      </c>
      <c r="H1486" s="23" t="s">
        <v>3867</v>
      </c>
      <c r="I1486" s="23" t="s">
        <v>3883</v>
      </c>
      <c r="J1486" s="23" t="s">
        <v>247</v>
      </c>
    </row>
    <row r="1487" spans="1:10" x14ac:dyDescent="0.2">
      <c r="A1487" s="21" t="s">
        <v>14</v>
      </c>
      <c r="B1487" s="22">
        <v>32507</v>
      </c>
      <c r="C1487" s="21" t="s">
        <v>21</v>
      </c>
      <c r="D1487" s="21" t="s">
        <v>3884</v>
      </c>
      <c r="E1487" s="21" t="s">
        <v>3885</v>
      </c>
      <c r="F1487" s="10">
        <v>12</v>
      </c>
      <c r="G1487" s="10">
        <v>1988</v>
      </c>
      <c r="H1487" s="21" t="s">
        <v>3867</v>
      </c>
      <c r="I1487" s="21" t="s">
        <v>3886</v>
      </c>
      <c r="J1487" s="21" t="s">
        <v>247</v>
      </c>
    </row>
    <row r="1488" spans="1:10" x14ac:dyDescent="0.2">
      <c r="A1488" s="23" t="s">
        <v>14</v>
      </c>
      <c r="B1488" s="24">
        <v>32506</v>
      </c>
      <c r="C1488" s="23" t="s">
        <v>21</v>
      </c>
      <c r="D1488" s="23" t="s">
        <v>3887</v>
      </c>
      <c r="E1488" s="23" t="s">
        <v>3888</v>
      </c>
      <c r="F1488" s="10">
        <v>12</v>
      </c>
      <c r="G1488" s="10">
        <v>1988</v>
      </c>
      <c r="H1488" s="23" t="s">
        <v>3867</v>
      </c>
      <c r="I1488" s="23" t="s">
        <v>3889</v>
      </c>
      <c r="J1488" s="23" t="s">
        <v>247</v>
      </c>
    </row>
    <row r="1489" spans="1:10" x14ac:dyDescent="0.2">
      <c r="A1489" s="21" t="s">
        <v>14</v>
      </c>
      <c r="B1489" s="22">
        <v>32505</v>
      </c>
      <c r="C1489" s="21" t="s">
        <v>21</v>
      </c>
      <c r="D1489" s="21" t="s">
        <v>3890</v>
      </c>
      <c r="E1489" s="21" t="s">
        <v>3891</v>
      </c>
      <c r="F1489" s="10">
        <v>12</v>
      </c>
      <c r="G1489" s="10">
        <v>1988</v>
      </c>
      <c r="H1489" s="21" t="s">
        <v>3867</v>
      </c>
      <c r="I1489" s="21" t="s">
        <v>3566</v>
      </c>
      <c r="J1489" s="21" t="s">
        <v>247</v>
      </c>
    </row>
    <row r="1490" spans="1:10" x14ac:dyDescent="0.2">
      <c r="A1490" s="23" t="s">
        <v>14</v>
      </c>
      <c r="B1490" s="24">
        <v>32505</v>
      </c>
      <c r="C1490" s="23" t="s">
        <v>21</v>
      </c>
      <c r="D1490" s="23" t="s">
        <v>3892</v>
      </c>
      <c r="E1490" s="23" t="s">
        <v>3893</v>
      </c>
      <c r="F1490" s="10">
        <v>12</v>
      </c>
      <c r="G1490" s="10">
        <v>1988</v>
      </c>
      <c r="H1490" s="23" t="s">
        <v>3867</v>
      </c>
      <c r="I1490" s="23" t="s">
        <v>3894</v>
      </c>
      <c r="J1490" s="23" t="s">
        <v>247</v>
      </c>
    </row>
    <row r="1491" spans="1:10" x14ac:dyDescent="0.2">
      <c r="A1491" s="21" t="s">
        <v>14</v>
      </c>
      <c r="B1491" s="22">
        <v>32504</v>
      </c>
      <c r="C1491" s="21" t="s">
        <v>21</v>
      </c>
      <c r="D1491" s="21" t="s">
        <v>3895</v>
      </c>
      <c r="E1491" s="21" t="s">
        <v>3896</v>
      </c>
      <c r="F1491" s="10">
        <v>12</v>
      </c>
      <c r="G1491" s="10">
        <v>1988</v>
      </c>
      <c r="H1491" s="21" t="s">
        <v>3867</v>
      </c>
      <c r="I1491" s="21" t="s">
        <v>3897</v>
      </c>
      <c r="J1491" s="21" t="s">
        <v>247</v>
      </c>
    </row>
    <row r="1492" spans="1:10" x14ac:dyDescent="0.2">
      <c r="A1492" s="23" t="s">
        <v>14</v>
      </c>
      <c r="B1492" s="24">
        <v>32499</v>
      </c>
      <c r="C1492" s="23" t="s">
        <v>21</v>
      </c>
      <c r="D1492" s="23" t="s">
        <v>3898</v>
      </c>
      <c r="E1492" s="23" t="s">
        <v>3899</v>
      </c>
      <c r="F1492" s="10">
        <v>12</v>
      </c>
      <c r="G1492" s="10">
        <v>1988</v>
      </c>
      <c r="H1492" s="23" t="s">
        <v>3867</v>
      </c>
      <c r="I1492" s="23" t="s">
        <v>3900</v>
      </c>
      <c r="J1492" s="23" t="s">
        <v>247</v>
      </c>
    </row>
    <row r="1493" spans="1:10" x14ac:dyDescent="0.2">
      <c r="A1493" s="21" t="s">
        <v>14</v>
      </c>
      <c r="B1493" s="22">
        <v>32498</v>
      </c>
      <c r="C1493" s="21" t="s">
        <v>21</v>
      </c>
      <c r="D1493" s="21" t="s">
        <v>3901</v>
      </c>
      <c r="E1493" s="21" t="s">
        <v>3902</v>
      </c>
      <c r="F1493" s="10">
        <v>12</v>
      </c>
      <c r="G1493" s="10">
        <v>1988</v>
      </c>
      <c r="H1493" s="21" t="s">
        <v>3867</v>
      </c>
      <c r="I1493" s="21" t="s">
        <v>3903</v>
      </c>
      <c r="J1493" s="21" t="s">
        <v>247</v>
      </c>
    </row>
    <row r="1494" spans="1:10" x14ac:dyDescent="0.2">
      <c r="A1494" s="23" t="s">
        <v>14</v>
      </c>
      <c r="B1494" s="24">
        <v>32437</v>
      </c>
      <c r="C1494" s="23" t="s">
        <v>21</v>
      </c>
      <c r="D1494" s="23" t="s">
        <v>3904</v>
      </c>
      <c r="E1494" s="23" t="s">
        <v>3905</v>
      </c>
      <c r="F1494" s="10">
        <v>10</v>
      </c>
      <c r="G1494" s="10">
        <v>1988</v>
      </c>
      <c r="H1494" s="23" t="s">
        <v>3906</v>
      </c>
      <c r="I1494" s="23" t="s">
        <v>3907</v>
      </c>
      <c r="J1494" s="23" t="s">
        <v>247</v>
      </c>
    </row>
    <row r="1495" spans="1:10" x14ac:dyDescent="0.2">
      <c r="A1495" s="21" t="s">
        <v>14</v>
      </c>
      <c r="B1495" s="22">
        <v>32416</v>
      </c>
      <c r="C1495" s="21" t="s">
        <v>21</v>
      </c>
      <c r="D1495" s="21" t="s">
        <v>3908</v>
      </c>
      <c r="E1495" s="21" t="s">
        <v>3909</v>
      </c>
      <c r="F1495" s="10">
        <v>9</v>
      </c>
      <c r="G1495" s="10">
        <v>1988</v>
      </c>
      <c r="H1495" s="21" t="s">
        <v>3910</v>
      </c>
      <c r="I1495" s="21" t="s">
        <v>3911</v>
      </c>
      <c r="J1495" s="21" t="s">
        <v>247</v>
      </c>
    </row>
    <row r="1496" spans="1:10" x14ac:dyDescent="0.2">
      <c r="A1496" s="23" t="s">
        <v>14</v>
      </c>
      <c r="B1496" s="24">
        <v>32366</v>
      </c>
      <c r="C1496" s="23" t="s">
        <v>21</v>
      </c>
      <c r="D1496" s="23" t="s">
        <v>3912</v>
      </c>
      <c r="E1496" s="23" t="s">
        <v>3913</v>
      </c>
      <c r="F1496" s="10">
        <v>8</v>
      </c>
      <c r="G1496" s="10">
        <v>1988</v>
      </c>
      <c r="H1496" s="23" t="s">
        <v>3914</v>
      </c>
      <c r="I1496" s="23" t="s">
        <v>3915</v>
      </c>
      <c r="J1496" s="23" t="s">
        <v>247</v>
      </c>
    </row>
    <row r="1497" spans="1:10" x14ac:dyDescent="0.2">
      <c r="A1497" s="21" t="s">
        <v>14</v>
      </c>
      <c r="B1497" s="22">
        <v>32352</v>
      </c>
      <c r="C1497" s="21" t="s">
        <v>21</v>
      </c>
      <c r="D1497" s="21" t="s">
        <v>3916</v>
      </c>
      <c r="E1497" s="21" t="s">
        <v>3917</v>
      </c>
      <c r="F1497" s="10">
        <v>7</v>
      </c>
      <c r="G1497" s="10">
        <v>1988</v>
      </c>
      <c r="H1497" s="21" t="s">
        <v>3918</v>
      </c>
      <c r="I1497" s="21" t="s">
        <v>3919</v>
      </c>
      <c r="J1497" s="21" t="s">
        <v>247</v>
      </c>
    </row>
    <row r="1498" spans="1:10" x14ac:dyDescent="0.2">
      <c r="A1498" s="23" t="s">
        <v>14</v>
      </c>
      <c r="B1498" s="24">
        <v>32296</v>
      </c>
      <c r="C1498" s="23" t="s">
        <v>21</v>
      </c>
      <c r="D1498" s="23" t="s">
        <v>3920</v>
      </c>
      <c r="E1498" s="23" t="s">
        <v>3921</v>
      </c>
      <c r="F1498" s="10">
        <v>6</v>
      </c>
      <c r="G1498" s="10">
        <v>1988</v>
      </c>
      <c r="H1498" s="23" t="s">
        <v>3922</v>
      </c>
      <c r="I1498" s="23" t="s">
        <v>3923</v>
      </c>
      <c r="J1498" s="23" t="s">
        <v>247</v>
      </c>
    </row>
    <row r="1499" spans="1:10" x14ac:dyDescent="0.2">
      <c r="A1499" s="21" t="s">
        <v>14</v>
      </c>
      <c r="B1499" s="22">
        <v>32245</v>
      </c>
      <c r="C1499" s="21" t="s">
        <v>21</v>
      </c>
      <c r="D1499" s="21" t="s">
        <v>3924</v>
      </c>
      <c r="E1499" s="21" t="s">
        <v>3925</v>
      </c>
      <c r="F1499" s="10">
        <v>4</v>
      </c>
      <c r="G1499" s="10">
        <v>1988</v>
      </c>
      <c r="H1499" s="21" t="s">
        <v>3926</v>
      </c>
      <c r="I1499" s="21" t="s">
        <v>3927</v>
      </c>
      <c r="J1499" s="21" t="s">
        <v>247</v>
      </c>
    </row>
    <row r="1500" spans="1:10" x14ac:dyDescent="0.2">
      <c r="A1500" s="23" t="s">
        <v>14</v>
      </c>
      <c r="B1500" s="24">
        <v>32202</v>
      </c>
      <c r="C1500" s="23" t="s">
        <v>21</v>
      </c>
      <c r="D1500" s="23" t="s">
        <v>3928</v>
      </c>
      <c r="E1500" s="23" t="s">
        <v>3929</v>
      </c>
      <c r="F1500" s="10">
        <v>2</v>
      </c>
      <c r="G1500" s="10">
        <v>1988</v>
      </c>
      <c r="H1500" s="23" t="s">
        <v>3930</v>
      </c>
      <c r="I1500" s="23" t="s">
        <v>3931</v>
      </c>
      <c r="J1500" s="23" t="s">
        <v>247</v>
      </c>
    </row>
    <row r="1501" spans="1:10" x14ac:dyDescent="0.2">
      <c r="A1501" s="21" t="s">
        <v>14</v>
      </c>
      <c r="B1501" s="22">
        <v>32142</v>
      </c>
      <c r="C1501" s="21" t="s">
        <v>21</v>
      </c>
      <c r="D1501" s="21" t="s">
        <v>3932</v>
      </c>
      <c r="E1501" s="21" t="s">
        <v>3933</v>
      </c>
      <c r="F1501" s="10">
        <v>12</v>
      </c>
      <c r="G1501" s="10">
        <v>1987</v>
      </c>
      <c r="H1501" s="21" t="s">
        <v>3934</v>
      </c>
      <c r="I1501" s="21" t="s">
        <v>3935</v>
      </c>
      <c r="J1501" s="21" t="s">
        <v>247</v>
      </c>
    </row>
    <row r="1502" spans="1:10" x14ac:dyDescent="0.2">
      <c r="A1502" s="23" t="s">
        <v>14</v>
      </c>
      <c r="B1502" s="24">
        <v>32142</v>
      </c>
      <c r="C1502" s="23" t="s">
        <v>21</v>
      </c>
      <c r="D1502" s="23" t="s">
        <v>3936</v>
      </c>
      <c r="E1502" s="23" t="s">
        <v>3937</v>
      </c>
      <c r="F1502" s="10">
        <v>12</v>
      </c>
      <c r="G1502" s="10">
        <v>1987</v>
      </c>
      <c r="H1502" s="23" t="s">
        <v>3934</v>
      </c>
      <c r="I1502" s="23" t="s">
        <v>3938</v>
      </c>
      <c r="J1502" s="23" t="s">
        <v>247</v>
      </c>
    </row>
    <row r="1503" spans="1:10" x14ac:dyDescent="0.2">
      <c r="A1503" s="21" t="s">
        <v>14</v>
      </c>
      <c r="B1503" s="22">
        <v>32142</v>
      </c>
      <c r="C1503" s="21" t="s">
        <v>21</v>
      </c>
      <c r="D1503" s="21" t="s">
        <v>3939</v>
      </c>
      <c r="E1503" s="21" t="s">
        <v>3940</v>
      </c>
      <c r="F1503" s="10">
        <v>12</v>
      </c>
      <c r="G1503" s="10">
        <v>1987</v>
      </c>
      <c r="H1503" s="21" t="s">
        <v>3934</v>
      </c>
      <c r="I1503" s="21" t="s">
        <v>3941</v>
      </c>
      <c r="J1503" s="21" t="s">
        <v>247</v>
      </c>
    </row>
    <row r="1504" spans="1:10" x14ac:dyDescent="0.2">
      <c r="A1504" s="23" t="s">
        <v>14</v>
      </c>
      <c r="B1504" s="24">
        <v>32142</v>
      </c>
      <c r="C1504" s="23" t="s">
        <v>21</v>
      </c>
      <c r="D1504" s="23" t="s">
        <v>3942</v>
      </c>
      <c r="E1504" s="23" t="s">
        <v>3943</v>
      </c>
      <c r="F1504" s="10">
        <v>12</v>
      </c>
      <c r="G1504" s="10">
        <v>1987</v>
      </c>
      <c r="H1504" s="23" t="s">
        <v>3934</v>
      </c>
      <c r="I1504" s="23" t="s">
        <v>3944</v>
      </c>
      <c r="J1504" s="23" t="s">
        <v>247</v>
      </c>
    </row>
    <row r="1505" spans="1:10" x14ac:dyDescent="0.2">
      <c r="A1505" s="21" t="s">
        <v>14</v>
      </c>
      <c r="B1505" s="22">
        <v>32142</v>
      </c>
      <c r="C1505" s="21" t="s">
        <v>21</v>
      </c>
      <c r="D1505" s="21" t="s">
        <v>3945</v>
      </c>
      <c r="E1505" s="21" t="s">
        <v>3946</v>
      </c>
      <c r="F1505" s="10">
        <v>12</v>
      </c>
      <c r="G1505" s="10">
        <v>1987</v>
      </c>
      <c r="H1505" s="21" t="s">
        <v>3934</v>
      </c>
      <c r="I1505" s="21" t="s">
        <v>3947</v>
      </c>
      <c r="J1505" s="21" t="s">
        <v>247</v>
      </c>
    </row>
    <row r="1506" spans="1:10" x14ac:dyDescent="0.2">
      <c r="A1506" s="23" t="s">
        <v>14</v>
      </c>
      <c r="B1506" s="24">
        <v>32142</v>
      </c>
      <c r="C1506" s="23" t="s">
        <v>21</v>
      </c>
      <c r="D1506" s="23" t="s">
        <v>3948</v>
      </c>
      <c r="E1506" s="23" t="s">
        <v>3949</v>
      </c>
      <c r="F1506" s="10">
        <v>12</v>
      </c>
      <c r="G1506" s="10">
        <v>1987</v>
      </c>
      <c r="H1506" s="23" t="s">
        <v>3934</v>
      </c>
      <c r="I1506" s="23" t="s">
        <v>3950</v>
      </c>
      <c r="J1506" s="23" t="s">
        <v>247</v>
      </c>
    </row>
    <row r="1507" spans="1:10" x14ac:dyDescent="0.2">
      <c r="A1507" s="21" t="s">
        <v>14</v>
      </c>
      <c r="B1507" s="22">
        <v>32141</v>
      </c>
      <c r="C1507" s="21" t="s">
        <v>21</v>
      </c>
      <c r="D1507" s="21" t="s">
        <v>3951</v>
      </c>
      <c r="E1507" s="21" t="s">
        <v>3952</v>
      </c>
      <c r="F1507" s="10">
        <v>12</v>
      </c>
      <c r="G1507" s="10">
        <v>1987</v>
      </c>
      <c r="H1507" s="21" t="s">
        <v>3934</v>
      </c>
      <c r="I1507" s="21" t="s">
        <v>3953</v>
      </c>
      <c r="J1507" s="21" t="s">
        <v>247</v>
      </c>
    </row>
    <row r="1508" spans="1:10" x14ac:dyDescent="0.2">
      <c r="A1508" s="23" t="s">
        <v>14</v>
      </c>
      <c r="B1508" s="24">
        <v>32141</v>
      </c>
      <c r="C1508" s="23" t="s">
        <v>21</v>
      </c>
      <c r="D1508" s="23" t="s">
        <v>3954</v>
      </c>
      <c r="E1508" s="23" t="s">
        <v>3955</v>
      </c>
      <c r="F1508" s="10">
        <v>12</v>
      </c>
      <c r="G1508" s="10">
        <v>1987</v>
      </c>
      <c r="H1508" s="23" t="s">
        <v>3934</v>
      </c>
      <c r="I1508" s="23" t="s">
        <v>3956</v>
      </c>
      <c r="J1508" s="23" t="s">
        <v>247</v>
      </c>
    </row>
    <row r="1509" spans="1:10" x14ac:dyDescent="0.2">
      <c r="A1509" s="21" t="s">
        <v>14</v>
      </c>
      <c r="B1509" s="22">
        <v>32140</v>
      </c>
      <c r="C1509" s="21" t="s">
        <v>21</v>
      </c>
      <c r="D1509" s="21" t="s">
        <v>3957</v>
      </c>
      <c r="E1509" s="21" t="s">
        <v>3958</v>
      </c>
      <c r="F1509" s="10">
        <v>12</v>
      </c>
      <c r="G1509" s="10">
        <v>1987</v>
      </c>
      <c r="H1509" s="21" t="s">
        <v>3934</v>
      </c>
      <c r="I1509" s="21" t="s">
        <v>1989</v>
      </c>
      <c r="J1509" s="21" t="s">
        <v>247</v>
      </c>
    </row>
    <row r="1510" spans="1:10" x14ac:dyDescent="0.2">
      <c r="A1510" s="23" t="s">
        <v>14</v>
      </c>
      <c r="B1510" s="24">
        <v>32140</v>
      </c>
      <c r="C1510" s="23" t="s">
        <v>21</v>
      </c>
      <c r="D1510" s="23" t="s">
        <v>3959</v>
      </c>
      <c r="E1510" s="23" t="s">
        <v>3960</v>
      </c>
      <c r="F1510" s="10">
        <v>12</v>
      </c>
      <c r="G1510" s="10">
        <v>1987</v>
      </c>
      <c r="H1510" s="23" t="s">
        <v>3934</v>
      </c>
      <c r="I1510" s="23" t="s">
        <v>2827</v>
      </c>
      <c r="J1510" s="23" t="s">
        <v>247</v>
      </c>
    </row>
    <row r="1511" spans="1:10" x14ac:dyDescent="0.2">
      <c r="A1511" s="21" t="s">
        <v>14</v>
      </c>
      <c r="B1511" s="22">
        <v>32135</v>
      </c>
      <c r="C1511" s="21" t="s">
        <v>21</v>
      </c>
      <c r="D1511" s="21" t="s">
        <v>3961</v>
      </c>
      <c r="E1511" s="21" t="s">
        <v>3962</v>
      </c>
      <c r="F1511" s="10">
        <v>12</v>
      </c>
      <c r="G1511" s="10">
        <v>1987</v>
      </c>
      <c r="H1511" s="21" t="s">
        <v>3934</v>
      </c>
      <c r="I1511" s="21" t="s">
        <v>3963</v>
      </c>
      <c r="J1511" s="21" t="s">
        <v>247</v>
      </c>
    </row>
    <row r="1512" spans="1:10" x14ac:dyDescent="0.2">
      <c r="A1512" s="23" t="s">
        <v>14</v>
      </c>
      <c r="B1512" s="24">
        <v>32135</v>
      </c>
      <c r="C1512" s="23" t="s">
        <v>21</v>
      </c>
      <c r="D1512" s="23" t="s">
        <v>3964</v>
      </c>
      <c r="E1512" s="23" t="s">
        <v>3965</v>
      </c>
      <c r="F1512" s="10">
        <v>12</v>
      </c>
      <c r="G1512" s="10">
        <v>1987</v>
      </c>
      <c r="H1512" s="23" t="s">
        <v>3934</v>
      </c>
      <c r="I1512" s="23" t="s">
        <v>3966</v>
      </c>
      <c r="J1512" s="23" t="s">
        <v>247</v>
      </c>
    </row>
    <row r="1513" spans="1:10" x14ac:dyDescent="0.2">
      <c r="A1513" s="21" t="s">
        <v>14</v>
      </c>
      <c r="B1513" s="22">
        <v>32134</v>
      </c>
      <c r="C1513" s="21" t="s">
        <v>21</v>
      </c>
      <c r="D1513" s="21" t="s">
        <v>3967</v>
      </c>
      <c r="E1513" s="21" t="s">
        <v>3968</v>
      </c>
      <c r="F1513" s="10">
        <v>12</v>
      </c>
      <c r="G1513" s="10">
        <v>1987</v>
      </c>
      <c r="H1513" s="21" t="s">
        <v>3934</v>
      </c>
      <c r="I1513" s="21" t="s">
        <v>3969</v>
      </c>
      <c r="J1513" s="21" t="s">
        <v>247</v>
      </c>
    </row>
    <row r="1514" spans="1:10" x14ac:dyDescent="0.2">
      <c r="A1514" s="23" t="s">
        <v>14</v>
      </c>
      <c r="B1514" s="24">
        <v>32134</v>
      </c>
      <c r="C1514" s="23" t="s">
        <v>21</v>
      </c>
      <c r="D1514" s="23" t="s">
        <v>3970</v>
      </c>
      <c r="E1514" s="23" t="s">
        <v>3971</v>
      </c>
      <c r="F1514" s="10">
        <v>12</v>
      </c>
      <c r="G1514" s="10">
        <v>1987</v>
      </c>
      <c r="H1514" s="23" t="s">
        <v>3934</v>
      </c>
      <c r="I1514" s="23" t="s">
        <v>3972</v>
      </c>
      <c r="J1514" s="23" t="s">
        <v>247</v>
      </c>
    </row>
    <row r="1515" spans="1:10" x14ac:dyDescent="0.2">
      <c r="A1515" s="21" t="s">
        <v>14</v>
      </c>
      <c r="B1515" s="22">
        <v>32134</v>
      </c>
      <c r="C1515" s="21" t="s">
        <v>21</v>
      </c>
      <c r="D1515" s="21" t="s">
        <v>3973</v>
      </c>
      <c r="E1515" s="21" t="s">
        <v>3974</v>
      </c>
      <c r="F1515" s="10">
        <v>12</v>
      </c>
      <c r="G1515" s="10">
        <v>1987</v>
      </c>
      <c r="H1515" s="21" t="s">
        <v>3934</v>
      </c>
      <c r="I1515" s="21" t="s">
        <v>3975</v>
      </c>
      <c r="J1515" s="21" t="s">
        <v>247</v>
      </c>
    </row>
    <row r="1516" spans="1:10" x14ac:dyDescent="0.2">
      <c r="A1516" s="23" t="s">
        <v>14</v>
      </c>
      <c r="B1516" s="24">
        <v>32094</v>
      </c>
      <c r="C1516" s="23" t="s">
        <v>15</v>
      </c>
      <c r="D1516" s="23" t="s">
        <v>3976</v>
      </c>
      <c r="E1516" s="23" t="s">
        <v>3977</v>
      </c>
      <c r="F1516" s="10">
        <v>11</v>
      </c>
      <c r="G1516" s="10">
        <v>1987</v>
      </c>
      <c r="H1516" s="23" t="s">
        <v>3978</v>
      </c>
      <c r="I1516" s="23" t="s">
        <v>3979</v>
      </c>
      <c r="J1516" s="23" t="s">
        <v>247</v>
      </c>
    </row>
    <row r="1517" spans="1:10" x14ac:dyDescent="0.2">
      <c r="A1517" s="21" t="s">
        <v>14</v>
      </c>
      <c r="B1517" s="22">
        <v>32072</v>
      </c>
      <c r="C1517" s="21" t="s">
        <v>21</v>
      </c>
      <c r="D1517" s="21" t="s">
        <v>3980</v>
      </c>
      <c r="E1517" s="21" t="s">
        <v>3981</v>
      </c>
      <c r="F1517" s="10">
        <v>10</v>
      </c>
      <c r="G1517" s="10">
        <v>1987</v>
      </c>
      <c r="H1517" s="21" t="s">
        <v>3982</v>
      </c>
      <c r="I1517" s="21" t="s">
        <v>3983</v>
      </c>
      <c r="J1517" s="21" t="s">
        <v>247</v>
      </c>
    </row>
    <row r="1518" spans="1:10" x14ac:dyDescent="0.2">
      <c r="A1518" s="23" t="s">
        <v>14</v>
      </c>
      <c r="B1518" s="24">
        <v>32020</v>
      </c>
      <c r="C1518" s="23" t="s">
        <v>21</v>
      </c>
      <c r="D1518" s="23" t="s">
        <v>3984</v>
      </c>
      <c r="E1518" s="23" t="s">
        <v>3985</v>
      </c>
      <c r="F1518" s="10">
        <v>8</v>
      </c>
      <c r="G1518" s="10">
        <v>1987</v>
      </c>
      <c r="H1518" s="23" t="s">
        <v>3986</v>
      </c>
      <c r="I1518" s="23" t="s">
        <v>3987</v>
      </c>
      <c r="J1518" s="23" t="s">
        <v>247</v>
      </c>
    </row>
    <row r="1519" spans="1:10" x14ac:dyDescent="0.2">
      <c r="A1519" s="21" t="s">
        <v>14</v>
      </c>
      <c r="B1519" s="22">
        <v>31996</v>
      </c>
      <c r="C1519" s="21" t="s">
        <v>21</v>
      </c>
      <c r="D1519" s="21" t="s">
        <v>3988</v>
      </c>
      <c r="E1519" s="21" t="s">
        <v>3989</v>
      </c>
      <c r="F1519" s="10">
        <v>8</v>
      </c>
      <c r="G1519" s="10">
        <v>1987</v>
      </c>
      <c r="H1519" s="21" t="s">
        <v>3986</v>
      </c>
      <c r="I1519" s="21" t="s">
        <v>1989</v>
      </c>
      <c r="J1519" s="21" t="s">
        <v>247</v>
      </c>
    </row>
    <row r="1520" spans="1:10" x14ac:dyDescent="0.2">
      <c r="A1520" s="23" t="s">
        <v>14</v>
      </c>
      <c r="B1520" s="24">
        <v>31897</v>
      </c>
      <c r="C1520" s="23" t="s">
        <v>21</v>
      </c>
      <c r="D1520" s="23" t="s">
        <v>3990</v>
      </c>
      <c r="E1520" s="23" t="s">
        <v>3991</v>
      </c>
      <c r="F1520" s="10">
        <v>4</v>
      </c>
      <c r="G1520" s="10">
        <v>1987</v>
      </c>
      <c r="H1520" s="23" t="s">
        <v>3992</v>
      </c>
      <c r="I1520" s="23" t="s">
        <v>3733</v>
      </c>
      <c r="J1520" s="23" t="s">
        <v>247</v>
      </c>
    </row>
    <row r="1521" spans="1:10" x14ac:dyDescent="0.2">
      <c r="A1521" s="21" t="s">
        <v>14</v>
      </c>
      <c r="B1521" s="22">
        <v>31855</v>
      </c>
      <c r="C1521" s="21" t="s">
        <v>21</v>
      </c>
      <c r="D1521" s="21" t="s">
        <v>3993</v>
      </c>
      <c r="E1521" s="21" t="s">
        <v>3994</v>
      </c>
      <c r="F1521" s="10">
        <v>3</v>
      </c>
      <c r="G1521" s="10">
        <v>1987</v>
      </c>
      <c r="H1521" s="21" t="s">
        <v>3995</v>
      </c>
      <c r="I1521" s="21" t="s">
        <v>3996</v>
      </c>
      <c r="J1521" s="21" t="s">
        <v>247</v>
      </c>
    </row>
    <row r="1522" spans="1:10" x14ac:dyDescent="0.2">
      <c r="A1522" s="23" t="s">
        <v>14</v>
      </c>
      <c r="B1522" s="24">
        <v>31798</v>
      </c>
      <c r="C1522" s="23" t="s">
        <v>21</v>
      </c>
      <c r="D1522" s="23" t="s">
        <v>3997</v>
      </c>
      <c r="E1522" s="23" t="s">
        <v>3998</v>
      </c>
      <c r="F1522" s="10">
        <v>1</v>
      </c>
      <c r="G1522" s="10">
        <v>1987</v>
      </c>
      <c r="H1522" s="23" t="s">
        <v>3999</v>
      </c>
      <c r="I1522" s="23" t="s">
        <v>4000</v>
      </c>
      <c r="J1522" s="23" t="s">
        <v>247</v>
      </c>
    </row>
    <row r="1523" spans="1:10" x14ac:dyDescent="0.2">
      <c r="A1523" s="21" t="s">
        <v>14</v>
      </c>
      <c r="B1523" s="22">
        <v>31777</v>
      </c>
      <c r="C1523" s="21" t="s">
        <v>21</v>
      </c>
      <c r="D1523" s="21" t="s">
        <v>4001</v>
      </c>
      <c r="E1523" s="21" t="s">
        <v>4002</v>
      </c>
      <c r="F1523" s="10">
        <v>12</v>
      </c>
      <c r="G1523" s="10">
        <v>1986</v>
      </c>
      <c r="H1523" s="21" t="s">
        <v>4003</v>
      </c>
      <c r="I1523" s="21" t="s">
        <v>4004</v>
      </c>
      <c r="J1523" s="21" t="s">
        <v>247</v>
      </c>
    </row>
    <row r="1524" spans="1:10" x14ac:dyDescent="0.2">
      <c r="A1524" s="23" t="s">
        <v>14</v>
      </c>
      <c r="B1524" s="24">
        <v>31777</v>
      </c>
      <c r="C1524" s="23" t="s">
        <v>21</v>
      </c>
      <c r="D1524" s="23" t="s">
        <v>4005</v>
      </c>
      <c r="E1524" s="23" t="s">
        <v>4006</v>
      </c>
      <c r="F1524" s="10">
        <v>12</v>
      </c>
      <c r="G1524" s="10">
        <v>1986</v>
      </c>
      <c r="H1524" s="23" t="s">
        <v>4003</v>
      </c>
      <c r="I1524" s="23" t="s">
        <v>4007</v>
      </c>
      <c r="J1524" s="23" t="s">
        <v>247</v>
      </c>
    </row>
    <row r="1525" spans="1:10" x14ac:dyDescent="0.2">
      <c r="A1525" s="21" t="s">
        <v>14</v>
      </c>
      <c r="B1525" s="22">
        <v>31777</v>
      </c>
      <c r="C1525" s="21" t="s">
        <v>21</v>
      </c>
      <c r="D1525" s="21" t="s">
        <v>4008</v>
      </c>
      <c r="E1525" s="21" t="s">
        <v>4009</v>
      </c>
      <c r="F1525" s="10">
        <v>12</v>
      </c>
      <c r="G1525" s="10">
        <v>1986</v>
      </c>
      <c r="H1525" s="21" t="s">
        <v>4003</v>
      </c>
      <c r="I1525" s="21" t="s">
        <v>4010</v>
      </c>
      <c r="J1525" s="21" t="s">
        <v>247</v>
      </c>
    </row>
    <row r="1526" spans="1:10" x14ac:dyDescent="0.2">
      <c r="A1526" s="23" t="s">
        <v>14</v>
      </c>
      <c r="B1526" s="24">
        <v>31777</v>
      </c>
      <c r="C1526" s="23" t="s">
        <v>21</v>
      </c>
      <c r="D1526" s="23" t="s">
        <v>4011</v>
      </c>
      <c r="E1526" s="23" t="s">
        <v>4012</v>
      </c>
      <c r="F1526" s="10">
        <v>12</v>
      </c>
      <c r="G1526" s="10">
        <v>1986</v>
      </c>
      <c r="H1526" s="23" t="s">
        <v>4003</v>
      </c>
      <c r="I1526" s="23" t="s">
        <v>4013</v>
      </c>
      <c r="J1526" s="23" t="s">
        <v>247</v>
      </c>
    </row>
    <row r="1527" spans="1:10" x14ac:dyDescent="0.2">
      <c r="A1527" s="21" t="s">
        <v>14</v>
      </c>
      <c r="B1527" s="22">
        <v>31776</v>
      </c>
      <c r="C1527" s="21" t="s">
        <v>21</v>
      </c>
      <c r="D1527" s="21" t="s">
        <v>4014</v>
      </c>
      <c r="E1527" s="21" t="s">
        <v>4015</v>
      </c>
      <c r="F1527" s="10">
        <v>12</v>
      </c>
      <c r="G1527" s="10">
        <v>1986</v>
      </c>
      <c r="H1527" s="21" t="s">
        <v>4003</v>
      </c>
      <c r="I1527" s="21" t="s">
        <v>4016</v>
      </c>
      <c r="J1527" s="21" t="s">
        <v>247</v>
      </c>
    </row>
    <row r="1528" spans="1:10" x14ac:dyDescent="0.2">
      <c r="A1528" s="23" t="s">
        <v>14</v>
      </c>
      <c r="B1528" s="24">
        <v>31776</v>
      </c>
      <c r="C1528" s="23" t="s">
        <v>21</v>
      </c>
      <c r="D1528" s="23" t="s">
        <v>4017</v>
      </c>
      <c r="E1528" s="23" t="s">
        <v>4018</v>
      </c>
      <c r="F1528" s="10">
        <v>12</v>
      </c>
      <c r="G1528" s="10">
        <v>1986</v>
      </c>
      <c r="H1528" s="23" t="s">
        <v>4003</v>
      </c>
      <c r="I1528" s="23" t="s">
        <v>4019</v>
      </c>
      <c r="J1528" s="23" t="s">
        <v>247</v>
      </c>
    </row>
    <row r="1529" spans="1:10" x14ac:dyDescent="0.2">
      <c r="A1529" s="21" t="s">
        <v>14</v>
      </c>
      <c r="B1529" s="22">
        <v>31775</v>
      </c>
      <c r="C1529" s="21" t="s">
        <v>21</v>
      </c>
      <c r="D1529" s="21" t="s">
        <v>4020</v>
      </c>
      <c r="E1529" s="21" t="s">
        <v>4021</v>
      </c>
      <c r="F1529" s="10">
        <v>12</v>
      </c>
      <c r="G1529" s="10">
        <v>1986</v>
      </c>
      <c r="H1529" s="21" t="s">
        <v>4003</v>
      </c>
      <c r="I1529" s="21" t="s">
        <v>4022</v>
      </c>
      <c r="J1529" s="21" t="s">
        <v>247</v>
      </c>
    </row>
    <row r="1530" spans="1:10" x14ac:dyDescent="0.2">
      <c r="A1530" s="23" t="s">
        <v>14</v>
      </c>
      <c r="B1530" s="24">
        <v>31775</v>
      </c>
      <c r="C1530" s="23" t="s">
        <v>21</v>
      </c>
      <c r="D1530" s="23" t="s">
        <v>4023</v>
      </c>
      <c r="E1530" s="23" t="s">
        <v>4024</v>
      </c>
      <c r="F1530" s="10">
        <v>12</v>
      </c>
      <c r="G1530" s="10">
        <v>1986</v>
      </c>
      <c r="H1530" s="23" t="s">
        <v>4003</v>
      </c>
      <c r="I1530" s="23" t="s">
        <v>4025</v>
      </c>
      <c r="J1530" s="23" t="s">
        <v>247</v>
      </c>
    </row>
    <row r="1531" spans="1:10" x14ac:dyDescent="0.2">
      <c r="A1531" s="21" t="s">
        <v>14</v>
      </c>
      <c r="B1531" s="22">
        <v>31770</v>
      </c>
      <c r="C1531" s="21" t="s">
        <v>21</v>
      </c>
      <c r="D1531" s="21" t="s">
        <v>4026</v>
      </c>
      <c r="E1531" s="21" t="s">
        <v>4027</v>
      </c>
      <c r="F1531" s="10">
        <v>12</v>
      </c>
      <c r="G1531" s="10">
        <v>1986</v>
      </c>
      <c r="H1531" s="21" t="s">
        <v>4003</v>
      </c>
      <c r="I1531" s="21" t="s">
        <v>4028</v>
      </c>
      <c r="J1531" s="21" t="s">
        <v>247</v>
      </c>
    </row>
    <row r="1532" spans="1:10" x14ac:dyDescent="0.2">
      <c r="A1532" s="23" t="s">
        <v>14</v>
      </c>
      <c r="B1532" s="24">
        <v>31761</v>
      </c>
      <c r="C1532" s="23" t="s">
        <v>21</v>
      </c>
      <c r="D1532" s="23" t="s">
        <v>4029</v>
      </c>
      <c r="E1532" s="23" t="s">
        <v>4030</v>
      </c>
      <c r="F1532" s="10">
        <v>12</v>
      </c>
      <c r="G1532" s="10">
        <v>1986</v>
      </c>
      <c r="H1532" s="23" t="s">
        <v>4003</v>
      </c>
      <c r="I1532" s="23" t="s">
        <v>4031</v>
      </c>
      <c r="J1532" s="23" t="s">
        <v>247</v>
      </c>
    </row>
    <row r="1533" spans="1:10" x14ac:dyDescent="0.2">
      <c r="A1533" s="21" t="s">
        <v>14</v>
      </c>
      <c r="B1533" s="22">
        <v>31716</v>
      </c>
      <c r="C1533" s="21" t="s">
        <v>21</v>
      </c>
      <c r="D1533" s="21" t="s">
        <v>4032</v>
      </c>
      <c r="E1533" s="21" t="s">
        <v>4033</v>
      </c>
      <c r="F1533" s="10">
        <v>10</v>
      </c>
      <c r="G1533" s="10">
        <v>1986</v>
      </c>
      <c r="H1533" s="21" t="s">
        <v>4034</v>
      </c>
      <c r="I1533" s="21" t="s">
        <v>4035</v>
      </c>
      <c r="J1533" s="21" t="s">
        <v>247</v>
      </c>
    </row>
    <row r="1534" spans="1:10" x14ac:dyDescent="0.2">
      <c r="A1534" s="23" t="s">
        <v>14</v>
      </c>
      <c r="B1534" s="24">
        <v>31716</v>
      </c>
      <c r="C1534" s="23" t="s">
        <v>21</v>
      </c>
      <c r="D1534" s="23" t="s">
        <v>4036</v>
      </c>
      <c r="E1534" s="23" t="s">
        <v>4037</v>
      </c>
      <c r="F1534" s="10">
        <v>10</v>
      </c>
      <c r="G1534" s="10">
        <v>1986</v>
      </c>
      <c r="H1534" s="23" t="s">
        <v>4034</v>
      </c>
      <c r="I1534" s="23" t="s">
        <v>4000</v>
      </c>
      <c r="J1534" s="23" t="s">
        <v>247</v>
      </c>
    </row>
    <row r="1535" spans="1:10" x14ac:dyDescent="0.2">
      <c r="A1535" s="21" t="s">
        <v>14</v>
      </c>
      <c r="B1535" s="22">
        <v>31716</v>
      </c>
      <c r="C1535" s="21" t="s">
        <v>21</v>
      </c>
      <c r="D1535" s="21" t="s">
        <v>4038</v>
      </c>
      <c r="E1535" s="21" t="s">
        <v>4039</v>
      </c>
      <c r="F1535" s="10">
        <v>10</v>
      </c>
      <c r="G1535" s="10">
        <v>1986</v>
      </c>
      <c r="H1535" s="21" t="s">
        <v>4034</v>
      </c>
      <c r="I1535" s="21" t="s">
        <v>4040</v>
      </c>
      <c r="J1535" s="21" t="s">
        <v>247</v>
      </c>
    </row>
    <row r="1536" spans="1:10" x14ac:dyDescent="0.2">
      <c r="A1536" s="23" t="s">
        <v>14</v>
      </c>
      <c r="B1536" s="24">
        <v>31716</v>
      </c>
      <c r="C1536" s="23" t="s">
        <v>21</v>
      </c>
      <c r="D1536" s="23" t="s">
        <v>4041</v>
      </c>
      <c r="E1536" s="23" t="s">
        <v>4042</v>
      </c>
      <c r="F1536" s="10">
        <v>10</v>
      </c>
      <c r="G1536" s="10">
        <v>1986</v>
      </c>
      <c r="H1536" s="23" t="s">
        <v>4034</v>
      </c>
      <c r="I1536" s="23" t="s">
        <v>4043</v>
      </c>
      <c r="J1536" s="23" t="s">
        <v>247</v>
      </c>
    </row>
    <row r="1537" spans="1:10" x14ac:dyDescent="0.2">
      <c r="A1537" s="21" t="s">
        <v>14</v>
      </c>
      <c r="B1537" s="22">
        <v>31712</v>
      </c>
      <c r="C1537" s="21" t="s">
        <v>21</v>
      </c>
      <c r="D1537" s="21" t="s">
        <v>4044</v>
      </c>
      <c r="E1537" s="21" t="s">
        <v>4045</v>
      </c>
      <c r="F1537" s="10">
        <v>10</v>
      </c>
      <c r="G1537" s="10">
        <v>1986</v>
      </c>
      <c r="H1537" s="21" t="s">
        <v>4034</v>
      </c>
      <c r="I1537" s="21" t="s">
        <v>4046</v>
      </c>
      <c r="J1537" s="21" t="s">
        <v>247</v>
      </c>
    </row>
    <row r="1538" spans="1:10" x14ac:dyDescent="0.2">
      <c r="A1538" s="23" t="s">
        <v>14</v>
      </c>
      <c r="B1538" s="24">
        <v>31700</v>
      </c>
      <c r="C1538" s="23" t="s">
        <v>21</v>
      </c>
      <c r="D1538" s="23" t="s">
        <v>4047</v>
      </c>
      <c r="E1538" s="23" t="s">
        <v>4048</v>
      </c>
      <c r="F1538" s="10">
        <v>10</v>
      </c>
      <c r="G1538" s="10">
        <v>1986</v>
      </c>
      <c r="H1538" s="23" t="s">
        <v>4034</v>
      </c>
      <c r="I1538" s="23" t="s">
        <v>4049</v>
      </c>
      <c r="J1538" s="23" t="s">
        <v>247</v>
      </c>
    </row>
    <row r="1539" spans="1:10" x14ac:dyDescent="0.2">
      <c r="A1539" s="21" t="s">
        <v>14</v>
      </c>
      <c r="B1539" s="22">
        <v>31685</v>
      </c>
      <c r="C1539" s="21" t="s">
        <v>21</v>
      </c>
      <c r="D1539" s="21" t="s">
        <v>4050</v>
      </c>
      <c r="E1539" s="21" t="s">
        <v>4051</v>
      </c>
      <c r="F1539" s="10">
        <v>9</v>
      </c>
      <c r="G1539" s="10">
        <v>1986</v>
      </c>
      <c r="H1539" s="21" t="s">
        <v>4052</v>
      </c>
      <c r="I1539" s="21" t="s">
        <v>4053</v>
      </c>
      <c r="J1539" s="21" t="s">
        <v>247</v>
      </c>
    </row>
    <row r="1540" spans="1:10" x14ac:dyDescent="0.2">
      <c r="A1540" s="23" t="s">
        <v>14</v>
      </c>
      <c r="B1540" s="24">
        <v>31684</v>
      </c>
      <c r="C1540" s="23" t="s">
        <v>21</v>
      </c>
      <c r="D1540" s="23" t="s">
        <v>4054</v>
      </c>
      <c r="E1540" s="23" t="s">
        <v>4055</v>
      </c>
      <c r="F1540" s="10">
        <v>9</v>
      </c>
      <c r="G1540" s="10">
        <v>1986</v>
      </c>
      <c r="H1540" s="23" t="s">
        <v>4052</v>
      </c>
      <c r="I1540" s="23" t="s">
        <v>4056</v>
      </c>
      <c r="J1540" s="23" t="s">
        <v>247</v>
      </c>
    </row>
    <row r="1541" spans="1:10" x14ac:dyDescent="0.2">
      <c r="A1541" s="21" t="s">
        <v>14</v>
      </c>
      <c r="B1541" s="22">
        <v>31582</v>
      </c>
      <c r="C1541" s="21" t="s">
        <v>15</v>
      </c>
      <c r="D1541" s="21" t="s">
        <v>4057</v>
      </c>
      <c r="E1541" s="21" t="s">
        <v>4058</v>
      </c>
      <c r="F1541" s="10">
        <v>6</v>
      </c>
      <c r="G1541" s="10">
        <v>1986</v>
      </c>
      <c r="H1541" s="21" t="s">
        <v>4059</v>
      </c>
      <c r="I1541" s="21" t="s">
        <v>4060</v>
      </c>
      <c r="J1541" s="21" t="s">
        <v>247</v>
      </c>
    </row>
    <row r="1542" spans="1:10" x14ac:dyDescent="0.2">
      <c r="A1542" s="23" t="s">
        <v>14</v>
      </c>
      <c r="B1542" s="24">
        <v>31567</v>
      </c>
      <c r="C1542" s="23" t="s">
        <v>15</v>
      </c>
      <c r="D1542" s="23" t="s">
        <v>4061</v>
      </c>
      <c r="E1542" s="23" t="s">
        <v>4062</v>
      </c>
      <c r="F1542" s="10">
        <v>6</v>
      </c>
      <c r="G1542" s="10">
        <v>1986</v>
      </c>
      <c r="H1542" s="23" t="s">
        <v>4059</v>
      </c>
      <c r="I1542" s="23" t="s">
        <v>4063</v>
      </c>
      <c r="J1542" s="23" t="s">
        <v>247</v>
      </c>
    </row>
    <row r="1543" spans="1:10" x14ac:dyDescent="0.2">
      <c r="A1543" s="21" t="s">
        <v>14</v>
      </c>
      <c r="B1543" s="22">
        <v>31567</v>
      </c>
      <c r="C1543" s="21" t="s">
        <v>15</v>
      </c>
      <c r="D1543" s="21" t="s">
        <v>4064</v>
      </c>
      <c r="E1543" s="21" t="s">
        <v>4065</v>
      </c>
      <c r="F1543" s="10">
        <v>6</v>
      </c>
      <c r="G1543" s="10">
        <v>1986</v>
      </c>
      <c r="H1543" s="21" t="s">
        <v>4059</v>
      </c>
      <c r="I1543" s="21" t="s">
        <v>4063</v>
      </c>
      <c r="J1543" s="21" t="s">
        <v>247</v>
      </c>
    </row>
    <row r="1544" spans="1:10" x14ac:dyDescent="0.2">
      <c r="A1544" s="23" t="s">
        <v>14</v>
      </c>
      <c r="B1544" s="24">
        <v>31502</v>
      </c>
      <c r="C1544" s="23" t="s">
        <v>21</v>
      </c>
      <c r="D1544" s="23" t="s">
        <v>4066</v>
      </c>
      <c r="E1544" s="23" t="s">
        <v>4067</v>
      </c>
      <c r="F1544" s="10">
        <v>3</v>
      </c>
      <c r="G1544" s="10">
        <v>1986</v>
      </c>
      <c r="H1544" s="23" t="s">
        <v>4068</v>
      </c>
      <c r="I1544" s="23" t="s">
        <v>4069</v>
      </c>
      <c r="J1544" s="23" t="s">
        <v>247</v>
      </c>
    </row>
    <row r="1545" spans="1:10" x14ac:dyDescent="0.2">
      <c r="A1545" s="21" t="s">
        <v>14</v>
      </c>
      <c r="B1545" s="22">
        <v>31421</v>
      </c>
      <c r="C1545" s="21" t="s">
        <v>21</v>
      </c>
      <c r="D1545" s="21" t="s">
        <v>4070</v>
      </c>
      <c r="E1545" s="21" t="s">
        <v>4071</v>
      </c>
      <c r="F1545" s="10">
        <v>1</v>
      </c>
      <c r="G1545" s="10">
        <v>1986</v>
      </c>
      <c r="H1545" s="21" t="s">
        <v>4072</v>
      </c>
      <c r="I1545" s="21" t="s">
        <v>4073</v>
      </c>
      <c r="J1545" s="21" t="s">
        <v>247</v>
      </c>
    </row>
    <row r="1546" spans="1:10" x14ac:dyDescent="0.2">
      <c r="A1546" s="23" t="s">
        <v>14</v>
      </c>
      <c r="B1546" s="24">
        <v>31412</v>
      </c>
      <c r="C1546" s="23" t="s">
        <v>21</v>
      </c>
      <c r="D1546" s="23" t="s">
        <v>4074</v>
      </c>
      <c r="E1546" s="23" t="s">
        <v>4075</v>
      </c>
      <c r="F1546" s="10">
        <v>12</v>
      </c>
      <c r="G1546" s="10">
        <v>1985</v>
      </c>
      <c r="H1546" s="23" t="s">
        <v>4076</v>
      </c>
      <c r="I1546" s="23" t="s">
        <v>4077</v>
      </c>
      <c r="J1546" s="23" t="s">
        <v>247</v>
      </c>
    </row>
    <row r="1547" spans="1:10" x14ac:dyDescent="0.2">
      <c r="A1547" s="21" t="s">
        <v>14</v>
      </c>
      <c r="B1547" s="22">
        <v>31412</v>
      </c>
      <c r="C1547" s="21" t="s">
        <v>21</v>
      </c>
      <c r="D1547" s="21" t="s">
        <v>4078</v>
      </c>
      <c r="E1547" s="21" t="s">
        <v>4079</v>
      </c>
      <c r="F1547" s="10">
        <v>12</v>
      </c>
      <c r="G1547" s="10">
        <v>1985</v>
      </c>
      <c r="H1547" s="21" t="s">
        <v>4076</v>
      </c>
      <c r="I1547" s="21" t="s">
        <v>4080</v>
      </c>
      <c r="J1547" s="21" t="s">
        <v>247</v>
      </c>
    </row>
    <row r="1548" spans="1:10" x14ac:dyDescent="0.2">
      <c r="A1548" s="23" t="s">
        <v>14</v>
      </c>
      <c r="B1548" s="24">
        <v>31411</v>
      </c>
      <c r="C1548" s="23" t="s">
        <v>21</v>
      </c>
      <c r="D1548" s="23" t="s">
        <v>4081</v>
      </c>
      <c r="E1548" s="23" t="s">
        <v>4082</v>
      </c>
      <c r="F1548" s="10">
        <v>12</v>
      </c>
      <c r="G1548" s="10">
        <v>1985</v>
      </c>
      <c r="H1548" s="23" t="s">
        <v>4076</v>
      </c>
      <c r="I1548" s="23" t="s">
        <v>4083</v>
      </c>
      <c r="J1548" s="23" t="s">
        <v>247</v>
      </c>
    </row>
    <row r="1549" spans="1:10" x14ac:dyDescent="0.2">
      <c r="A1549" s="21" t="s">
        <v>14</v>
      </c>
      <c r="B1549" s="22">
        <v>31411</v>
      </c>
      <c r="C1549" s="21" t="s">
        <v>21</v>
      </c>
      <c r="D1549" s="21" t="s">
        <v>4084</v>
      </c>
      <c r="E1549" s="21" t="s">
        <v>4085</v>
      </c>
      <c r="F1549" s="10">
        <v>12</v>
      </c>
      <c r="G1549" s="10">
        <v>1985</v>
      </c>
      <c r="H1549" s="21" t="s">
        <v>4076</v>
      </c>
      <c r="I1549" s="21" t="s">
        <v>4086</v>
      </c>
      <c r="J1549" s="21" t="s">
        <v>247</v>
      </c>
    </row>
    <row r="1550" spans="1:10" x14ac:dyDescent="0.2">
      <c r="A1550" s="23" t="s">
        <v>14</v>
      </c>
      <c r="B1550" s="24">
        <v>31408</v>
      </c>
      <c r="C1550" s="23" t="s">
        <v>21</v>
      </c>
      <c r="D1550" s="23" t="s">
        <v>4087</v>
      </c>
      <c r="E1550" s="23" t="s">
        <v>4088</v>
      </c>
      <c r="F1550" s="10">
        <v>12</v>
      </c>
      <c r="G1550" s="10">
        <v>1985</v>
      </c>
      <c r="H1550" s="23" t="s">
        <v>4076</v>
      </c>
      <c r="I1550" s="23" t="s">
        <v>4089</v>
      </c>
      <c r="J1550" s="23" t="s">
        <v>247</v>
      </c>
    </row>
    <row r="1551" spans="1:10" x14ac:dyDescent="0.2">
      <c r="A1551" s="21" t="s">
        <v>14</v>
      </c>
      <c r="B1551" s="22">
        <v>31408</v>
      </c>
      <c r="C1551" s="21" t="s">
        <v>21</v>
      </c>
      <c r="D1551" s="21" t="s">
        <v>4090</v>
      </c>
      <c r="E1551" s="21" t="s">
        <v>4091</v>
      </c>
      <c r="F1551" s="10">
        <v>12</v>
      </c>
      <c r="G1551" s="10">
        <v>1985</v>
      </c>
      <c r="H1551" s="21" t="s">
        <v>4076</v>
      </c>
      <c r="I1551" s="21" t="s">
        <v>4092</v>
      </c>
      <c r="J1551" s="21" t="s">
        <v>247</v>
      </c>
    </row>
    <row r="1552" spans="1:10" x14ac:dyDescent="0.2">
      <c r="A1552" s="23" t="s">
        <v>14</v>
      </c>
      <c r="B1552" s="24">
        <v>31408</v>
      </c>
      <c r="C1552" s="23" t="s">
        <v>21</v>
      </c>
      <c r="D1552" s="23" t="s">
        <v>4093</v>
      </c>
      <c r="E1552" s="23" t="s">
        <v>4094</v>
      </c>
      <c r="F1552" s="10">
        <v>12</v>
      </c>
      <c r="G1552" s="10">
        <v>1985</v>
      </c>
      <c r="H1552" s="23" t="s">
        <v>4076</v>
      </c>
      <c r="I1552" s="23" t="s">
        <v>4095</v>
      </c>
      <c r="J1552" s="23" t="s">
        <v>247</v>
      </c>
    </row>
    <row r="1553" spans="1:10" x14ac:dyDescent="0.2">
      <c r="A1553" s="21" t="s">
        <v>14</v>
      </c>
      <c r="B1553" s="22">
        <v>31408</v>
      </c>
      <c r="C1553" s="21" t="s">
        <v>21</v>
      </c>
      <c r="D1553" s="21" t="s">
        <v>4096</v>
      </c>
      <c r="E1553" s="21" t="s">
        <v>4097</v>
      </c>
      <c r="F1553" s="10">
        <v>12</v>
      </c>
      <c r="G1553" s="10">
        <v>1985</v>
      </c>
      <c r="H1553" s="21" t="s">
        <v>4076</v>
      </c>
      <c r="I1553" s="21" t="s">
        <v>4098</v>
      </c>
      <c r="J1553" s="21" t="s">
        <v>247</v>
      </c>
    </row>
    <row r="1554" spans="1:10" x14ac:dyDescent="0.2">
      <c r="A1554" s="23" t="s">
        <v>14</v>
      </c>
      <c r="B1554" s="24">
        <v>31407</v>
      </c>
      <c r="C1554" s="23" t="s">
        <v>21</v>
      </c>
      <c r="D1554" s="23" t="s">
        <v>4099</v>
      </c>
      <c r="E1554" s="23" t="s">
        <v>4100</v>
      </c>
      <c r="F1554" s="10">
        <v>12</v>
      </c>
      <c r="G1554" s="10">
        <v>1985</v>
      </c>
      <c r="H1554" s="23" t="s">
        <v>4076</v>
      </c>
      <c r="I1554" s="23" t="s">
        <v>4101</v>
      </c>
      <c r="J1554" s="23" t="s">
        <v>247</v>
      </c>
    </row>
    <row r="1555" spans="1:10" x14ac:dyDescent="0.2">
      <c r="A1555" s="21" t="s">
        <v>14</v>
      </c>
      <c r="B1555" s="22">
        <v>31407</v>
      </c>
      <c r="C1555" s="21" t="s">
        <v>21</v>
      </c>
      <c r="D1555" s="21" t="s">
        <v>4102</v>
      </c>
      <c r="E1555" s="21" t="s">
        <v>4103</v>
      </c>
      <c r="F1555" s="10">
        <v>12</v>
      </c>
      <c r="G1555" s="10">
        <v>1985</v>
      </c>
      <c r="H1555" s="21" t="s">
        <v>4076</v>
      </c>
      <c r="I1555" s="21" t="s">
        <v>4104</v>
      </c>
      <c r="J1555" s="21" t="s">
        <v>247</v>
      </c>
    </row>
    <row r="1556" spans="1:10" x14ac:dyDescent="0.2">
      <c r="A1556" s="23" t="s">
        <v>14</v>
      </c>
      <c r="B1556" s="24">
        <v>31405</v>
      </c>
      <c r="C1556" s="23" t="s">
        <v>21</v>
      </c>
      <c r="D1556" s="23" t="s">
        <v>4105</v>
      </c>
      <c r="E1556" s="23" t="s">
        <v>4106</v>
      </c>
      <c r="F1556" s="10">
        <v>12</v>
      </c>
      <c r="G1556" s="10">
        <v>1985</v>
      </c>
      <c r="H1556" s="23" t="s">
        <v>4076</v>
      </c>
      <c r="I1556" s="23" t="s">
        <v>4107</v>
      </c>
      <c r="J1556" s="23" t="s">
        <v>247</v>
      </c>
    </row>
    <row r="1557" spans="1:10" x14ac:dyDescent="0.2">
      <c r="A1557" s="21" t="s">
        <v>14</v>
      </c>
      <c r="B1557" s="22">
        <v>31405</v>
      </c>
      <c r="C1557" s="21" t="s">
        <v>21</v>
      </c>
      <c r="D1557" s="21" t="s">
        <v>4108</v>
      </c>
      <c r="E1557" s="21" t="s">
        <v>4109</v>
      </c>
      <c r="F1557" s="10">
        <v>12</v>
      </c>
      <c r="G1557" s="10">
        <v>1985</v>
      </c>
      <c r="H1557" s="21" t="s">
        <v>4076</v>
      </c>
      <c r="I1557" s="21" t="s">
        <v>1989</v>
      </c>
      <c r="J1557" s="21" t="s">
        <v>247</v>
      </c>
    </row>
    <row r="1558" spans="1:10" x14ac:dyDescent="0.2">
      <c r="A1558" s="23" t="s">
        <v>14</v>
      </c>
      <c r="B1558" s="24">
        <v>31405</v>
      </c>
      <c r="C1558" s="23" t="s">
        <v>21</v>
      </c>
      <c r="D1558" s="23" t="s">
        <v>4110</v>
      </c>
      <c r="E1558" s="23" t="s">
        <v>4111</v>
      </c>
      <c r="F1558" s="10">
        <v>12</v>
      </c>
      <c r="G1558" s="10">
        <v>1985</v>
      </c>
      <c r="H1558" s="23" t="s">
        <v>4076</v>
      </c>
      <c r="I1558" s="23" t="s">
        <v>4112</v>
      </c>
      <c r="J1558" s="23" t="s">
        <v>247</v>
      </c>
    </row>
    <row r="1559" spans="1:10" x14ac:dyDescent="0.2">
      <c r="A1559" s="21" t="s">
        <v>14</v>
      </c>
      <c r="B1559" s="22">
        <v>31405</v>
      </c>
      <c r="C1559" s="21" t="s">
        <v>21</v>
      </c>
      <c r="D1559" s="21" t="s">
        <v>728</v>
      </c>
      <c r="E1559" s="21" t="s">
        <v>4113</v>
      </c>
      <c r="F1559" s="10">
        <v>12</v>
      </c>
      <c r="G1559" s="10">
        <v>1985</v>
      </c>
      <c r="H1559" s="21" t="s">
        <v>4076</v>
      </c>
      <c r="I1559" s="21" t="s">
        <v>4114</v>
      </c>
      <c r="J1559" s="21" t="s">
        <v>247</v>
      </c>
    </row>
    <row r="1560" spans="1:10" x14ac:dyDescent="0.2">
      <c r="A1560" s="23" t="s">
        <v>14</v>
      </c>
      <c r="B1560" s="24">
        <v>31401</v>
      </c>
      <c r="C1560" s="23" t="s">
        <v>21</v>
      </c>
      <c r="D1560" s="23" t="s">
        <v>4115</v>
      </c>
      <c r="E1560" s="23" t="s">
        <v>4116</v>
      </c>
      <c r="F1560" s="10">
        <v>12</v>
      </c>
      <c r="G1560" s="10">
        <v>1985</v>
      </c>
      <c r="H1560" s="23" t="s">
        <v>4076</v>
      </c>
      <c r="I1560" s="23" t="s">
        <v>4117</v>
      </c>
      <c r="J1560" s="23" t="s">
        <v>247</v>
      </c>
    </row>
    <row r="1561" spans="1:10" x14ac:dyDescent="0.2">
      <c r="A1561" s="21" t="s">
        <v>14</v>
      </c>
      <c r="B1561" s="22">
        <v>31400</v>
      </c>
      <c r="C1561" s="21" t="s">
        <v>21</v>
      </c>
      <c r="D1561" s="21" t="s">
        <v>4118</v>
      </c>
      <c r="E1561" s="21" t="s">
        <v>4119</v>
      </c>
      <c r="F1561" s="10">
        <v>12</v>
      </c>
      <c r="G1561" s="10">
        <v>1985</v>
      </c>
      <c r="H1561" s="21" t="s">
        <v>4076</v>
      </c>
      <c r="I1561" s="21" t="s">
        <v>4120</v>
      </c>
      <c r="J1561" s="21" t="s">
        <v>247</v>
      </c>
    </row>
    <row r="1562" spans="1:10" x14ac:dyDescent="0.2">
      <c r="A1562" s="23" t="s">
        <v>14</v>
      </c>
      <c r="B1562" s="24">
        <v>31377</v>
      </c>
      <c r="C1562" s="23" t="s">
        <v>21</v>
      </c>
      <c r="D1562" s="23" t="s">
        <v>4121</v>
      </c>
      <c r="E1562" s="23" t="s">
        <v>4122</v>
      </c>
      <c r="F1562" s="10">
        <v>11</v>
      </c>
      <c r="G1562" s="10">
        <v>1985</v>
      </c>
      <c r="H1562" s="23" t="s">
        <v>4123</v>
      </c>
      <c r="I1562" s="23" t="s">
        <v>4124</v>
      </c>
      <c r="J1562" s="23" t="s">
        <v>247</v>
      </c>
    </row>
    <row r="1563" spans="1:10" x14ac:dyDescent="0.2">
      <c r="A1563" s="21" t="s">
        <v>14</v>
      </c>
      <c r="B1563" s="22">
        <v>31376</v>
      </c>
      <c r="C1563" s="21" t="s">
        <v>21</v>
      </c>
      <c r="D1563" s="21" t="s">
        <v>4125</v>
      </c>
      <c r="E1563" s="21" t="s">
        <v>4126</v>
      </c>
      <c r="F1563" s="10">
        <v>11</v>
      </c>
      <c r="G1563" s="10">
        <v>1985</v>
      </c>
      <c r="H1563" s="21" t="s">
        <v>4123</v>
      </c>
      <c r="I1563" s="21" t="s">
        <v>4127</v>
      </c>
      <c r="J1563" s="21" t="s">
        <v>247</v>
      </c>
    </row>
    <row r="1564" spans="1:10" x14ac:dyDescent="0.2">
      <c r="A1564" s="23" t="s">
        <v>14</v>
      </c>
      <c r="B1564" s="24">
        <v>31359</v>
      </c>
      <c r="C1564" s="23" t="s">
        <v>21</v>
      </c>
      <c r="D1564" s="23" t="s">
        <v>4128</v>
      </c>
      <c r="E1564" s="23" t="s">
        <v>4129</v>
      </c>
      <c r="F1564" s="10">
        <v>11</v>
      </c>
      <c r="G1564" s="10">
        <v>1985</v>
      </c>
      <c r="H1564" s="23" t="s">
        <v>4123</v>
      </c>
      <c r="I1564" s="23" t="s">
        <v>4130</v>
      </c>
      <c r="J1564" s="23" t="s">
        <v>247</v>
      </c>
    </row>
    <row r="1565" spans="1:10" x14ac:dyDescent="0.2">
      <c r="A1565" s="21" t="s">
        <v>14</v>
      </c>
      <c r="B1565" s="22">
        <v>31351</v>
      </c>
      <c r="C1565" s="21" t="s">
        <v>21</v>
      </c>
      <c r="D1565" s="21" t="s">
        <v>4131</v>
      </c>
      <c r="E1565" s="21" t="s">
        <v>4132</v>
      </c>
      <c r="F1565" s="10">
        <v>10</v>
      </c>
      <c r="G1565" s="10">
        <v>1985</v>
      </c>
      <c r="H1565" s="21" t="s">
        <v>4133</v>
      </c>
      <c r="I1565" s="21" t="s">
        <v>4134</v>
      </c>
      <c r="J1565" s="21" t="s">
        <v>247</v>
      </c>
    </row>
    <row r="1566" spans="1:10" x14ac:dyDescent="0.2">
      <c r="A1566" s="23" t="s">
        <v>14</v>
      </c>
      <c r="B1566" s="24">
        <v>31349</v>
      </c>
      <c r="C1566" s="23" t="s">
        <v>21</v>
      </c>
      <c r="D1566" s="23" t="s">
        <v>4135</v>
      </c>
      <c r="E1566" s="23" t="s">
        <v>4136</v>
      </c>
      <c r="F1566" s="10">
        <v>10</v>
      </c>
      <c r="G1566" s="10">
        <v>1985</v>
      </c>
      <c r="H1566" s="23" t="s">
        <v>4133</v>
      </c>
      <c r="I1566" s="23" t="s">
        <v>4137</v>
      </c>
      <c r="J1566" s="23" t="s">
        <v>247</v>
      </c>
    </row>
    <row r="1567" spans="1:10" x14ac:dyDescent="0.2">
      <c r="A1567" s="21" t="s">
        <v>14</v>
      </c>
      <c r="B1567" s="22">
        <v>31337</v>
      </c>
      <c r="C1567" s="21" t="s">
        <v>21</v>
      </c>
      <c r="D1567" s="21" t="s">
        <v>4138</v>
      </c>
      <c r="E1567" s="21" t="s">
        <v>4139</v>
      </c>
      <c r="F1567" s="10">
        <v>10</v>
      </c>
      <c r="G1567" s="10">
        <v>1985</v>
      </c>
      <c r="H1567" s="21" t="s">
        <v>4133</v>
      </c>
      <c r="I1567" s="21" t="s">
        <v>4140</v>
      </c>
      <c r="J1567" s="21" t="s">
        <v>247</v>
      </c>
    </row>
    <row r="1568" spans="1:10" x14ac:dyDescent="0.2">
      <c r="A1568" s="23" t="s">
        <v>14</v>
      </c>
      <c r="B1568" s="24">
        <v>31289</v>
      </c>
      <c r="C1568" s="23" t="s">
        <v>21</v>
      </c>
      <c r="D1568" s="23" t="s">
        <v>4141</v>
      </c>
      <c r="E1568" s="23" t="s">
        <v>4142</v>
      </c>
      <c r="F1568" s="10">
        <v>8</v>
      </c>
      <c r="G1568" s="10">
        <v>1985</v>
      </c>
      <c r="H1568" s="23" t="s">
        <v>4143</v>
      </c>
      <c r="I1568" s="23" t="s">
        <v>4144</v>
      </c>
      <c r="J1568" s="23" t="s">
        <v>247</v>
      </c>
    </row>
    <row r="1569" spans="1:10" x14ac:dyDescent="0.2">
      <c r="A1569" s="21" t="s">
        <v>14</v>
      </c>
      <c r="B1569" s="22">
        <v>31289</v>
      </c>
      <c r="C1569" s="21" t="s">
        <v>21</v>
      </c>
      <c r="D1569" s="21" t="s">
        <v>4145</v>
      </c>
      <c r="E1569" s="21" t="s">
        <v>4146</v>
      </c>
      <c r="F1569" s="10">
        <v>8</v>
      </c>
      <c r="G1569" s="10">
        <v>1985</v>
      </c>
      <c r="H1569" s="21" t="s">
        <v>4143</v>
      </c>
      <c r="I1569" s="21" t="s">
        <v>4147</v>
      </c>
      <c r="J1569" s="21" t="s">
        <v>247</v>
      </c>
    </row>
    <row r="1570" spans="1:10" x14ac:dyDescent="0.2">
      <c r="A1570" s="23" t="s">
        <v>14</v>
      </c>
      <c r="B1570" s="24">
        <v>31266</v>
      </c>
      <c r="C1570" s="23" t="s">
        <v>21</v>
      </c>
      <c r="D1570" s="23" t="s">
        <v>4148</v>
      </c>
      <c r="E1570" s="23" t="s">
        <v>4149</v>
      </c>
      <c r="F1570" s="10">
        <v>8</v>
      </c>
      <c r="G1570" s="10">
        <v>1985</v>
      </c>
      <c r="H1570" s="23" t="s">
        <v>4143</v>
      </c>
      <c r="I1570" s="23" t="s">
        <v>4150</v>
      </c>
      <c r="J1570" s="23" t="s">
        <v>247</v>
      </c>
    </row>
    <row r="1571" spans="1:10" x14ac:dyDescent="0.2">
      <c r="A1571" s="21" t="s">
        <v>14</v>
      </c>
      <c r="B1571" s="22">
        <v>31254</v>
      </c>
      <c r="C1571" s="21" t="s">
        <v>21</v>
      </c>
      <c r="D1571" s="21" t="s">
        <v>4151</v>
      </c>
      <c r="E1571" s="21" t="s">
        <v>4152</v>
      </c>
      <c r="F1571" s="10">
        <v>7</v>
      </c>
      <c r="G1571" s="10">
        <v>1985</v>
      </c>
      <c r="H1571" s="21" t="s">
        <v>4153</v>
      </c>
      <c r="I1571" s="21" t="s">
        <v>4154</v>
      </c>
      <c r="J1571" s="21" t="s">
        <v>247</v>
      </c>
    </row>
    <row r="1572" spans="1:10" x14ac:dyDescent="0.2">
      <c r="A1572" s="23" t="s">
        <v>14</v>
      </c>
      <c r="B1572" s="24">
        <v>31247</v>
      </c>
      <c r="C1572" s="23" t="s">
        <v>21</v>
      </c>
      <c r="D1572" s="23" t="s">
        <v>4155</v>
      </c>
      <c r="E1572" s="23" t="s">
        <v>4156</v>
      </c>
      <c r="F1572" s="10">
        <v>7</v>
      </c>
      <c r="G1572" s="10">
        <v>1985</v>
      </c>
      <c r="H1572" s="23" t="s">
        <v>4153</v>
      </c>
      <c r="I1572" s="23" t="s">
        <v>4157</v>
      </c>
      <c r="J1572" s="23" t="s">
        <v>247</v>
      </c>
    </row>
    <row r="1573" spans="1:10" x14ac:dyDescent="0.2">
      <c r="A1573" s="21" t="s">
        <v>14</v>
      </c>
      <c r="B1573" s="22">
        <v>31198</v>
      </c>
      <c r="C1573" s="21" t="s">
        <v>21</v>
      </c>
      <c r="D1573" s="21" t="s">
        <v>4158</v>
      </c>
      <c r="E1573" s="21" t="s">
        <v>4159</v>
      </c>
      <c r="F1573" s="10">
        <v>5</v>
      </c>
      <c r="G1573" s="10">
        <v>1985</v>
      </c>
      <c r="H1573" s="21" t="s">
        <v>4160</v>
      </c>
      <c r="I1573" s="21" t="s">
        <v>4161</v>
      </c>
      <c r="J1573" s="21" t="s">
        <v>247</v>
      </c>
    </row>
    <row r="1574" spans="1:10" x14ac:dyDescent="0.2">
      <c r="A1574" s="23" t="s">
        <v>14</v>
      </c>
      <c r="B1574" s="24">
        <v>31191</v>
      </c>
      <c r="C1574" s="23" t="s">
        <v>21</v>
      </c>
      <c r="D1574" s="23" t="s">
        <v>4162</v>
      </c>
      <c r="E1574" s="23" t="s">
        <v>4163</v>
      </c>
      <c r="F1574" s="10">
        <v>5</v>
      </c>
      <c r="G1574" s="10">
        <v>1985</v>
      </c>
      <c r="H1574" s="23" t="s">
        <v>4160</v>
      </c>
      <c r="I1574" s="23" t="s">
        <v>4164</v>
      </c>
      <c r="J1574" s="23" t="s">
        <v>247</v>
      </c>
    </row>
    <row r="1575" spans="1:10" x14ac:dyDescent="0.2">
      <c r="A1575" s="21" t="s">
        <v>14</v>
      </c>
      <c r="B1575" s="22">
        <v>31175</v>
      </c>
      <c r="C1575" s="21" t="s">
        <v>21</v>
      </c>
      <c r="D1575" s="21" t="s">
        <v>4165</v>
      </c>
      <c r="E1575" s="21" t="s">
        <v>4166</v>
      </c>
      <c r="F1575" s="10">
        <v>5</v>
      </c>
      <c r="G1575" s="10">
        <v>1985</v>
      </c>
      <c r="H1575" s="21" t="s">
        <v>4160</v>
      </c>
      <c r="I1575" s="21" t="s">
        <v>4167</v>
      </c>
      <c r="J1575" s="21" t="s">
        <v>247</v>
      </c>
    </row>
    <row r="1576" spans="1:10" x14ac:dyDescent="0.2">
      <c r="A1576" s="23" t="s">
        <v>14</v>
      </c>
      <c r="B1576" s="24">
        <v>31146</v>
      </c>
      <c r="C1576" s="23" t="s">
        <v>21</v>
      </c>
      <c r="D1576" s="23" t="s">
        <v>4168</v>
      </c>
      <c r="E1576" s="23" t="s">
        <v>4169</v>
      </c>
      <c r="F1576" s="10">
        <v>4</v>
      </c>
      <c r="G1576" s="10">
        <v>1985</v>
      </c>
      <c r="H1576" s="23" t="s">
        <v>4170</v>
      </c>
      <c r="I1576" s="23" t="s">
        <v>4171</v>
      </c>
      <c r="J1576" s="23" t="s">
        <v>247</v>
      </c>
    </row>
  </sheetData>
  <autoFilter ref="A2:J1576" xr:uid="{00000000-0009-0000-0000-000006000000}"/>
  <hyperlinks>
    <hyperlink ref="J3" r:id="rId1" xr:uid="{00000000-0004-0000-0600-000000000000}"/>
    <hyperlink ref="J4" r:id="rId2" xr:uid="{00000000-0004-0000-0600-000001000000}"/>
    <hyperlink ref="J5" r:id="rId3" xr:uid="{00000000-0004-0000-0600-000002000000}"/>
    <hyperlink ref="J6" r:id="rId4" xr:uid="{00000000-0004-0000-0600-000003000000}"/>
    <hyperlink ref="J7" r:id="rId5" xr:uid="{00000000-0004-0000-0600-000004000000}"/>
    <hyperlink ref="J8" r:id="rId6" xr:uid="{00000000-0004-0000-0600-000005000000}"/>
    <hyperlink ref="J9" r:id="rId7" xr:uid="{00000000-0004-0000-0600-000006000000}"/>
    <hyperlink ref="J10" r:id="rId8" xr:uid="{00000000-0004-0000-0600-000007000000}"/>
    <hyperlink ref="J11" r:id="rId9" xr:uid="{00000000-0004-0000-0600-000008000000}"/>
    <hyperlink ref="J12" r:id="rId10" xr:uid="{00000000-0004-0000-0600-000009000000}"/>
    <hyperlink ref="J13" r:id="rId11" xr:uid="{00000000-0004-0000-0600-00000A000000}"/>
    <hyperlink ref="J14" r:id="rId12" xr:uid="{00000000-0004-0000-0600-00000B000000}"/>
    <hyperlink ref="J15" r:id="rId13" xr:uid="{00000000-0004-0000-0600-00000C000000}"/>
    <hyperlink ref="J16" r:id="rId14" xr:uid="{00000000-0004-0000-0600-00000D000000}"/>
    <hyperlink ref="J17" r:id="rId15" xr:uid="{00000000-0004-0000-0600-00000E000000}"/>
    <hyperlink ref="J18" r:id="rId16" xr:uid="{00000000-0004-0000-0600-00000F000000}"/>
    <hyperlink ref="J19" r:id="rId17" xr:uid="{00000000-0004-0000-0600-000010000000}"/>
    <hyperlink ref="J20" r:id="rId18" xr:uid="{00000000-0004-0000-0600-000011000000}"/>
    <hyperlink ref="J21" r:id="rId19" xr:uid="{00000000-0004-0000-0600-000012000000}"/>
    <hyperlink ref="J22" r:id="rId20" xr:uid="{00000000-0004-0000-0600-000013000000}"/>
    <hyperlink ref="J23" r:id="rId21" xr:uid="{00000000-0004-0000-0600-000014000000}"/>
    <hyperlink ref="J24" r:id="rId22" xr:uid="{00000000-0004-0000-0600-000015000000}"/>
    <hyperlink ref="J25" r:id="rId23" xr:uid="{00000000-0004-0000-0600-000016000000}"/>
    <hyperlink ref="J26" r:id="rId24" xr:uid="{00000000-0004-0000-0600-000017000000}"/>
    <hyperlink ref="J27" r:id="rId25" xr:uid="{00000000-0004-0000-0600-000018000000}"/>
    <hyperlink ref="J28" r:id="rId26" xr:uid="{00000000-0004-0000-0600-000019000000}"/>
    <hyperlink ref="J29" r:id="rId27" xr:uid="{00000000-0004-0000-0600-00001A000000}"/>
    <hyperlink ref="J30" r:id="rId28" xr:uid="{00000000-0004-0000-0600-00001B000000}"/>
    <hyperlink ref="J31" r:id="rId29" xr:uid="{00000000-0004-0000-0600-00001C000000}"/>
    <hyperlink ref="J32" r:id="rId30" xr:uid="{00000000-0004-0000-0600-00001D000000}"/>
    <hyperlink ref="J33" r:id="rId31" xr:uid="{00000000-0004-0000-0600-00001E000000}"/>
    <hyperlink ref="J34" r:id="rId32" xr:uid="{00000000-0004-0000-0600-00001F000000}"/>
    <hyperlink ref="J35" r:id="rId33" xr:uid="{00000000-0004-0000-0600-000020000000}"/>
    <hyperlink ref="J36" r:id="rId34" xr:uid="{00000000-0004-0000-0600-000021000000}"/>
    <hyperlink ref="J37" r:id="rId35" xr:uid="{00000000-0004-0000-0600-000022000000}"/>
    <hyperlink ref="J38" r:id="rId36" xr:uid="{00000000-0004-0000-0600-000023000000}"/>
    <hyperlink ref="J39" r:id="rId37" xr:uid="{00000000-0004-0000-0600-000024000000}"/>
    <hyperlink ref="J40" r:id="rId38" xr:uid="{00000000-0004-0000-0600-000025000000}"/>
    <hyperlink ref="J41" r:id="rId39" xr:uid="{00000000-0004-0000-0600-000026000000}"/>
    <hyperlink ref="J42" r:id="rId40" xr:uid="{00000000-0004-0000-0600-000027000000}"/>
    <hyperlink ref="J43" r:id="rId41" xr:uid="{00000000-0004-0000-0600-000028000000}"/>
    <hyperlink ref="J44" r:id="rId42" xr:uid="{00000000-0004-0000-0600-000029000000}"/>
    <hyperlink ref="J45" r:id="rId43" xr:uid="{00000000-0004-0000-0600-00002A000000}"/>
    <hyperlink ref="J46" r:id="rId44" xr:uid="{00000000-0004-0000-0600-00002B000000}"/>
    <hyperlink ref="J47" r:id="rId45" xr:uid="{00000000-0004-0000-0600-00002C000000}"/>
    <hyperlink ref="J48" r:id="rId46" xr:uid="{00000000-0004-0000-0600-00002D000000}"/>
    <hyperlink ref="J49" r:id="rId47" xr:uid="{00000000-0004-0000-0600-00002E000000}"/>
    <hyperlink ref="J50" r:id="rId48" xr:uid="{00000000-0004-0000-0600-00002F000000}"/>
    <hyperlink ref="J51" r:id="rId49" xr:uid="{00000000-0004-0000-0600-000030000000}"/>
    <hyperlink ref="J52" r:id="rId50" xr:uid="{00000000-0004-0000-0600-000031000000}"/>
    <hyperlink ref="J53" r:id="rId51" xr:uid="{00000000-0004-0000-0600-000032000000}"/>
    <hyperlink ref="J54" r:id="rId52" xr:uid="{00000000-0004-0000-0600-000033000000}"/>
    <hyperlink ref="J55" r:id="rId53" xr:uid="{00000000-0004-0000-0600-000034000000}"/>
    <hyperlink ref="J56" r:id="rId54" xr:uid="{00000000-0004-0000-0600-000035000000}"/>
    <hyperlink ref="J57" r:id="rId55" xr:uid="{00000000-0004-0000-0600-000036000000}"/>
    <hyperlink ref="J58" r:id="rId56" xr:uid="{00000000-0004-0000-0600-000037000000}"/>
    <hyperlink ref="J59" r:id="rId57" xr:uid="{00000000-0004-0000-0600-000038000000}"/>
    <hyperlink ref="J60" r:id="rId58" xr:uid="{00000000-0004-0000-0600-000039000000}"/>
    <hyperlink ref="J61" r:id="rId59" xr:uid="{00000000-0004-0000-0600-00003A000000}"/>
    <hyperlink ref="J62" r:id="rId60" xr:uid="{00000000-0004-0000-0600-00003B000000}"/>
    <hyperlink ref="J63" r:id="rId61" xr:uid="{00000000-0004-0000-0600-00003C000000}"/>
    <hyperlink ref="J64" r:id="rId62" xr:uid="{00000000-0004-0000-0600-00003D000000}"/>
    <hyperlink ref="J65" r:id="rId63" xr:uid="{00000000-0004-0000-0600-00003E000000}"/>
    <hyperlink ref="J66" r:id="rId64" xr:uid="{00000000-0004-0000-0600-00003F000000}"/>
    <hyperlink ref="J67" r:id="rId65" xr:uid="{00000000-0004-0000-0600-000040000000}"/>
    <hyperlink ref="J68" r:id="rId66" xr:uid="{00000000-0004-0000-0600-000041000000}"/>
    <hyperlink ref="J69" r:id="rId67" xr:uid="{00000000-0004-0000-0600-000042000000}"/>
    <hyperlink ref="J70" r:id="rId68" xr:uid="{00000000-0004-0000-0600-000043000000}"/>
    <hyperlink ref="J71" r:id="rId69" xr:uid="{00000000-0004-0000-0600-000044000000}"/>
    <hyperlink ref="J72" r:id="rId70" xr:uid="{00000000-0004-0000-0600-000045000000}"/>
    <hyperlink ref="J73" r:id="rId71" xr:uid="{00000000-0004-0000-0600-000046000000}"/>
    <hyperlink ref="J74" r:id="rId72" xr:uid="{00000000-0004-0000-0600-000047000000}"/>
    <hyperlink ref="J75" r:id="rId73" xr:uid="{00000000-0004-0000-0600-000048000000}"/>
    <hyperlink ref="J76" r:id="rId74" xr:uid="{00000000-0004-0000-0600-000049000000}"/>
    <hyperlink ref="J77" r:id="rId75" xr:uid="{00000000-0004-0000-0600-00004A000000}"/>
    <hyperlink ref="J78" r:id="rId76" xr:uid="{00000000-0004-0000-0600-00004B000000}"/>
    <hyperlink ref="J79" r:id="rId77" xr:uid="{00000000-0004-0000-0600-00004C000000}"/>
    <hyperlink ref="J82" r:id="rId78" xr:uid="{00000000-0004-0000-0600-00004D000000}"/>
    <hyperlink ref="J84" r:id="rId79" xr:uid="{00000000-0004-0000-0600-00004E000000}"/>
    <hyperlink ref="J94" r:id="rId80" xr:uid="{00000000-0004-0000-0600-00004F000000}"/>
    <hyperlink ref="J95" r:id="rId81" xr:uid="{00000000-0004-0000-0600-000050000000}"/>
    <hyperlink ref="J111" r:id="rId82" xr:uid="{00000000-0004-0000-0600-000051000000}"/>
    <hyperlink ref="J117" r:id="rId83" xr:uid="{00000000-0004-0000-0600-000052000000}"/>
    <hyperlink ref="J118" r:id="rId84" xr:uid="{00000000-0004-0000-0600-000053000000}"/>
    <hyperlink ref="J121" r:id="rId85" xr:uid="{00000000-0004-0000-0600-000054000000}"/>
    <hyperlink ref="J124" r:id="rId86" xr:uid="{00000000-0004-0000-0600-000055000000}"/>
    <hyperlink ref="J134" r:id="rId87" xr:uid="{00000000-0004-0000-0600-000056000000}"/>
    <hyperlink ref="J135" r:id="rId88" xr:uid="{00000000-0004-0000-0600-000057000000}"/>
    <hyperlink ref="J139" r:id="rId89" xr:uid="{00000000-0004-0000-0600-000058000000}"/>
    <hyperlink ref="J140" r:id="rId90" xr:uid="{00000000-0004-0000-0600-000059000000}"/>
    <hyperlink ref="J142" r:id="rId91" xr:uid="{00000000-0004-0000-0600-00005A000000}"/>
    <hyperlink ref="J143" r:id="rId92" xr:uid="{00000000-0004-0000-0600-00005B000000}"/>
    <hyperlink ref="J144" r:id="rId93" xr:uid="{00000000-0004-0000-0600-00005C000000}"/>
    <hyperlink ref="J145" r:id="rId94" xr:uid="{00000000-0004-0000-0600-00005D000000}"/>
    <hyperlink ref="J146" r:id="rId95" xr:uid="{00000000-0004-0000-0600-00005E000000}"/>
    <hyperlink ref="J150" r:id="rId96" xr:uid="{00000000-0004-0000-0600-00005F000000}"/>
    <hyperlink ref="J151" r:id="rId97" xr:uid="{00000000-0004-0000-0600-000060000000}"/>
    <hyperlink ref="J152" r:id="rId98" xr:uid="{00000000-0004-0000-0600-000061000000}"/>
    <hyperlink ref="J159" r:id="rId99" xr:uid="{00000000-0004-0000-0600-000062000000}"/>
    <hyperlink ref="J160" r:id="rId100" xr:uid="{00000000-0004-0000-0600-000063000000}"/>
    <hyperlink ref="J165" r:id="rId101" xr:uid="{00000000-0004-0000-0600-000064000000}"/>
    <hyperlink ref="J167" r:id="rId102" xr:uid="{00000000-0004-0000-0600-000065000000}"/>
    <hyperlink ref="J174" r:id="rId103" xr:uid="{00000000-0004-0000-0600-000066000000}"/>
    <hyperlink ref="J176" r:id="rId104" xr:uid="{00000000-0004-0000-0600-000067000000}"/>
    <hyperlink ref="J184" r:id="rId105" xr:uid="{00000000-0004-0000-0600-000068000000}"/>
    <hyperlink ref="J186" r:id="rId106" xr:uid="{00000000-0004-0000-0600-000069000000}"/>
    <hyperlink ref="J188" r:id="rId107" xr:uid="{00000000-0004-0000-0600-00006A000000}"/>
    <hyperlink ref="J189" r:id="rId108" xr:uid="{00000000-0004-0000-0600-00006B000000}"/>
    <hyperlink ref="J193" r:id="rId109" xr:uid="{00000000-0004-0000-0600-00006C000000}"/>
    <hyperlink ref="J195" r:id="rId110" xr:uid="{00000000-0004-0000-0600-00006D000000}"/>
    <hyperlink ref="J196" r:id="rId111" xr:uid="{00000000-0004-0000-0600-00006E000000}"/>
    <hyperlink ref="J202" r:id="rId112" xr:uid="{00000000-0004-0000-0600-00006F000000}"/>
    <hyperlink ref="J206" r:id="rId113" xr:uid="{00000000-0004-0000-0600-000070000000}"/>
    <hyperlink ref="J207" r:id="rId114" xr:uid="{00000000-0004-0000-0600-000071000000}"/>
    <hyperlink ref="J209" r:id="rId115" xr:uid="{00000000-0004-0000-0600-000072000000}"/>
    <hyperlink ref="J216" r:id="rId116" xr:uid="{00000000-0004-0000-0600-000073000000}"/>
    <hyperlink ref="J217" r:id="rId117" xr:uid="{00000000-0004-0000-0600-000074000000}"/>
    <hyperlink ref="J223" r:id="rId118" xr:uid="{00000000-0004-0000-0600-000075000000}"/>
    <hyperlink ref="J225" r:id="rId119" xr:uid="{00000000-0004-0000-0600-000076000000}"/>
    <hyperlink ref="J226" r:id="rId120" xr:uid="{00000000-0004-0000-0600-000077000000}"/>
    <hyperlink ref="J230" r:id="rId121" xr:uid="{00000000-0004-0000-0600-000078000000}"/>
    <hyperlink ref="J234" r:id="rId122" xr:uid="{00000000-0004-0000-0600-000079000000}"/>
    <hyperlink ref="J237" r:id="rId123" xr:uid="{00000000-0004-0000-0600-00007A000000}"/>
    <hyperlink ref="J238" r:id="rId124" xr:uid="{00000000-0004-0000-0600-00007B000000}"/>
    <hyperlink ref="J247" r:id="rId125" xr:uid="{00000000-0004-0000-0600-00007C000000}"/>
    <hyperlink ref="J254" r:id="rId126" xr:uid="{00000000-0004-0000-0600-00007D000000}"/>
    <hyperlink ref="J255" r:id="rId127" xr:uid="{00000000-0004-0000-0600-00007E000000}"/>
    <hyperlink ref="J257" r:id="rId128" xr:uid="{00000000-0004-0000-0600-00007F000000}"/>
    <hyperlink ref="J259" r:id="rId129" xr:uid="{00000000-0004-0000-0600-000080000000}"/>
    <hyperlink ref="J260" r:id="rId130" xr:uid="{00000000-0004-0000-0600-000081000000}"/>
    <hyperlink ref="J261" r:id="rId131" xr:uid="{00000000-0004-0000-0600-000082000000}"/>
    <hyperlink ref="J270" r:id="rId132" xr:uid="{00000000-0004-0000-0600-000083000000}"/>
    <hyperlink ref="J273" r:id="rId133" xr:uid="{00000000-0004-0000-0600-000084000000}"/>
    <hyperlink ref="J282" r:id="rId134" xr:uid="{00000000-0004-0000-0600-000085000000}"/>
    <hyperlink ref="J288" r:id="rId135" xr:uid="{00000000-0004-0000-0600-000086000000}"/>
    <hyperlink ref="J292" r:id="rId136" xr:uid="{00000000-0004-0000-0600-000087000000}"/>
    <hyperlink ref="J296" r:id="rId137" xr:uid="{00000000-0004-0000-0600-000088000000}"/>
    <hyperlink ref="J298" r:id="rId138" xr:uid="{00000000-0004-0000-0600-000089000000}"/>
    <hyperlink ref="J300" r:id="rId139" xr:uid="{00000000-0004-0000-0600-00008A000000}"/>
    <hyperlink ref="J305" r:id="rId140" xr:uid="{00000000-0004-0000-0600-00008B000000}"/>
    <hyperlink ref="J309" r:id="rId141" xr:uid="{00000000-0004-0000-0600-00008C000000}"/>
    <hyperlink ref="J310" r:id="rId142" xr:uid="{00000000-0004-0000-0600-00008D000000}"/>
    <hyperlink ref="J311" r:id="rId143" xr:uid="{00000000-0004-0000-0600-00008E000000}"/>
    <hyperlink ref="J313" r:id="rId144" xr:uid="{00000000-0004-0000-0600-00008F000000}"/>
    <hyperlink ref="J325" r:id="rId145" xr:uid="{00000000-0004-0000-0600-000090000000}"/>
    <hyperlink ref="J336" r:id="rId146" xr:uid="{00000000-0004-0000-0600-000091000000}"/>
    <hyperlink ref="J550" r:id="rId147" xr:uid="{00000000-0004-0000-0600-000092000000}"/>
    <hyperlink ref="J551" r:id="rId148" xr:uid="{00000000-0004-0000-0600-000093000000}"/>
    <hyperlink ref="J552" r:id="rId149" xr:uid="{00000000-0004-0000-0600-000094000000}"/>
    <hyperlink ref="J554" r:id="rId150" xr:uid="{00000000-0004-0000-0600-000095000000}"/>
    <hyperlink ref="J555" r:id="rId151" xr:uid="{00000000-0004-0000-0600-000096000000}"/>
    <hyperlink ref="J556" r:id="rId152" xr:uid="{00000000-0004-0000-0600-000097000000}"/>
    <hyperlink ref="J557" r:id="rId153" xr:uid="{00000000-0004-0000-0600-000098000000}"/>
    <hyperlink ref="J558" r:id="rId154" xr:uid="{00000000-0004-0000-0600-000099000000}"/>
    <hyperlink ref="J561" r:id="rId155" xr:uid="{00000000-0004-0000-0600-00009A000000}"/>
    <hyperlink ref="J562" r:id="rId156" xr:uid="{00000000-0004-0000-0600-00009B000000}"/>
    <hyperlink ref="J566" r:id="rId157" xr:uid="{00000000-0004-0000-0600-00009C000000}"/>
    <hyperlink ref="J571" r:id="rId158" xr:uid="{00000000-0004-0000-0600-00009D000000}"/>
    <hyperlink ref="J579" r:id="rId159" xr:uid="{00000000-0004-0000-0600-00009E000000}"/>
    <hyperlink ref="J580" r:id="rId160" xr:uid="{00000000-0004-0000-0600-00009F000000}"/>
    <hyperlink ref="J582" r:id="rId161" xr:uid="{00000000-0004-0000-0600-0000A0000000}"/>
    <hyperlink ref="J884" r:id="rId162" xr:uid="{00000000-0004-0000-0600-0000A1000000}"/>
    <hyperlink ref="J888" r:id="rId163" xr:uid="{00000000-0004-0000-0600-0000A2000000}"/>
    <hyperlink ref="J889" r:id="rId164" xr:uid="{00000000-0004-0000-0600-0000A3000000}"/>
    <hyperlink ref="J890" r:id="rId165" xr:uid="{00000000-0004-0000-0600-0000A4000000}"/>
    <hyperlink ref="J893" r:id="rId166" xr:uid="{00000000-0004-0000-0600-0000A5000000}"/>
    <hyperlink ref="J894" r:id="rId167" xr:uid="{00000000-0004-0000-0600-0000A6000000}"/>
    <hyperlink ref="J899" r:id="rId168" xr:uid="{00000000-0004-0000-0600-0000A7000000}"/>
    <hyperlink ref="J901" r:id="rId169" xr:uid="{00000000-0004-0000-0600-0000A8000000}"/>
    <hyperlink ref="J902" r:id="rId170" xr:uid="{00000000-0004-0000-0600-0000A9000000}"/>
    <hyperlink ref="J903" r:id="rId171" xr:uid="{00000000-0004-0000-0600-0000AA000000}"/>
    <hyperlink ref="J905" r:id="rId172" xr:uid="{00000000-0004-0000-0600-0000AB000000}"/>
    <hyperlink ref="J906" r:id="rId173" xr:uid="{00000000-0004-0000-0600-0000AC000000}"/>
    <hyperlink ref="J910" r:id="rId174" xr:uid="{00000000-0004-0000-0600-0000AD000000}"/>
    <hyperlink ref="J911" r:id="rId175" xr:uid="{00000000-0004-0000-0600-0000AE000000}"/>
    <hyperlink ref="J912" r:id="rId176" xr:uid="{00000000-0004-0000-0600-0000AF000000}"/>
    <hyperlink ref="J1094" r:id="rId177" xr:uid="{00000000-0004-0000-0600-0000B0000000}"/>
    <hyperlink ref="J1095" r:id="rId178" xr:uid="{00000000-0004-0000-0600-0000B1000000}"/>
    <hyperlink ref="J1096" r:id="rId179" xr:uid="{00000000-0004-0000-0600-0000B2000000}"/>
    <hyperlink ref="J1097" r:id="rId180" xr:uid="{00000000-0004-0000-0600-0000B3000000}"/>
    <hyperlink ref="J1098" r:id="rId181" xr:uid="{00000000-0004-0000-0600-0000B4000000}"/>
    <hyperlink ref="J1100" r:id="rId182" xr:uid="{00000000-0004-0000-0600-0000B5000000}"/>
    <hyperlink ref="J1101" r:id="rId183" xr:uid="{00000000-0004-0000-0600-0000B6000000}"/>
    <hyperlink ref="J1102" r:id="rId184" xr:uid="{00000000-0004-0000-0600-0000B7000000}"/>
    <hyperlink ref="J1103" r:id="rId185" xr:uid="{00000000-0004-0000-0600-0000B8000000}"/>
    <hyperlink ref="J1107" r:id="rId186" xr:uid="{00000000-0004-0000-0600-0000B9000000}"/>
    <hyperlink ref="J1110" r:id="rId187" xr:uid="{00000000-0004-0000-0600-0000BA000000}"/>
    <hyperlink ref="J1116" r:id="rId188" xr:uid="{00000000-0004-0000-0600-0000BB000000}"/>
    <hyperlink ref="J1117" r:id="rId189" xr:uid="{00000000-0004-0000-0600-0000BC000000}"/>
    <hyperlink ref="J1120" r:id="rId190" xr:uid="{00000000-0004-0000-0600-0000BD000000}"/>
    <hyperlink ref="J1121" r:id="rId191" xr:uid="{00000000-0004-0000-0600-0000BE000000}"/>
    <hyperlink ref="J1122" r:id="rId192" xr:uid="{00000000-0004-0000-0600-0000BF000000}"/>
    <hyperlink ref="J1123" r:id="rId193" xr:uid="{00000000-0004-0000-0600-0000C0000000}"/>
    <hyperlink ref="J1128" r:id="rId194" xr:uid="{00000000-0004-0000-0600-0000C1000000}"/>
    <hyperlink ref="J1132" r:id="rId195" xr:uid="{00000000-0004-0000-0600-0000C2000000}"/>
    <hyperlink ref="J1136" r:id="rId196" xr:uid="{00000000-0004-0000-0600-0000C3000000}"/>
    <hyperlink ref="J1137" r:id="rId197" xr:uid="{00000000-0004-0000-0600-0000C4000000}"/>
    <hyperlink ref="J1138" r:id="rId198" xr:uid="{00000000-0004-0000-0600-0000C5000000}"/>
    <hyperlink ref="J1146" r:id="rId199" xr:uid="{00000000-0004-0000-0600-0000C6000000}"/>
    <hyperlink ref="J1152" r:id="rId200" xr:uid="{00000000-0004-0000-0600-0000C7000000}"/>
    <hyperlink ref="J1153" r:id="rId201" xr:uid="{00000000-0004-0000-0600-0000C8000000}"/>
    <hyperlink ref="J1154" r:id="rId202" xr:uid="{00000000-0004-0000-0600-0000C9000000}"/>
    <hyperlink ref="J1155" r:id="rId203" xr:uid="{00000000-0004-0000-0600-0000CA000000}"/>
    <hyperlink ref="J1198" r:id="rId204" xr:uid="{00000000-0004-0000-0600-0000CB000000}"/>
    <hyperlink ref="J1199" r:id="rId205" xr:uid="{00000000-0004-0000-0600-0000CC000000}"/>
    <hyperlink ref="J1205" r:id="rId206" xr:uid="{00000000-0004-0000-0600-0000CD000000}"/>
    <hyperlink ref="J1212" r:id="rId207" xr:uid="{00000000-0004-0000-0600-0000CE000000}"/>
    <hyperlink ref="J1218" r:id="rId208" xr:uid="{00000000-0004-0000-0600-0000CF000000}"/>
    <hyperlink ref="J1219" r:id="rId209" xr:uid="{00000000-0004-0000-0600-0000D0000000}"/>
    <hyperlink ref="J1224" r:id="rId210" xr:uid="{00000000-0004-0000-0600-0000D1000000}"/>
    <hyperlink ref="J1226" r:id="rId211" xr:uid="{00000000-0004-0000-0600-0000D2000000}"/>
    <hyperlink ref="J1227" r:id="rId212" xr:uid="{00000000-0004-0000-0600-0000D3000000}"/>
    <hyperlink ref="J1228" r:id="rId213" xr:uid="{00000000-0004-0000-0600-0000D4000000}"/>
    <hyperlink ref="J1229" r:id="rId214" xr:uid="{00000000-0004-0000-0600-0000D5000000}"/>
    <hyperlink ref="J1237" r:id="rId215" xr:uid="{00000000-0004-0000-0600-0000D6000000}"/>
    <hyperlink ref="J1240" r:id="rId216" xr:uid="{00000000-0004-0000-0600-0000D7000000}"/>
    <hyperlink ref="J1241" r:id="rId217" xr:uid="{00000000-0004-0000-0600-0000D8000000}"/>
    <hyperlink ref="J1244" r:id="rId218" xr:uid="{00000000-0004-0000-0600-0000D9000000}"/>
    <hyperlink ref="J1245" r:id="rId219" xr:uid="{00000000-0004-0000-0600-0000DA000000}"/>
    <hyperlink ref="J1247" r:id="rId220" xr:uid="{00000000-0004-0000-0600-0000DB000000}"/>
    <hyperlink ref="J1248" r:id="rId221" xr:uid="{00000000-0004-0000-0600-0000DC000000}"/>
    <hyperlink ref="J1253" r:id="rId222" xr:uid="{00000000-0004-0000-0600-0000DD000000}"/>
    <hyperlink ref="J1256" r:id="rId223" xr:uid="{00000000-0004-0000-0600-0000DE000000}"/>
    <hyperlink ref="J1270" r:id="rId224" xr:uid="{00000000-0004-0000-0600-0000DF000000}"/>
    <hyperlink ref="J1271" r:id="rId225" xr:uid="{00000000-0004-0000-0600-0000E0000000}"/>
    <hyperlink ref="J1274" r:id="rId226" xr:uid="{00000000-0004-0000-0600-0000E1000000}"/>
    <hyperlink ref="J1275" r:id="rId227" xr:uid="{00000000-0004-0000-0600-0000E2000000}"/>
    <hyperlink ref="J1276" r:id="rId228" xr:uid="{00000000-0004-0000-0600-0000E3000000}"/>
    <hyperlink ref="J1278" r:id="rId229" xr:uid="{00000000-0004-0000-0600-0000E4000000}"/>
    <hyperlink ref="J1279" r:id="rId230" xr:uid="{00000000-0004-0000-0600-0000E5000000}"/>
    <hyperlink ref="J1281" r:id="rId231" xr:uid="{00000000-0004-0000-0600-0000E6000000}"/>
    <hyperlink ref="J1282" r:id="rId232" xr:uid="{00000000-0004-0000-0600-0000E7000000}"/>
    <hyperlink ref="J1285" r:id="rId233" xr:uid="{00000000-0004-0000-0600-0000E8000000}"/>
    <hyperlink ref="J1286" r:id="rId234" xr:uid="{00000000-0004-0000-0600-0000E9000000}"/>
    <hyperlink ref="J1288" r:id="rId235" xr:uid="{00000000-0004-0000-0600-0000E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8D4E3"/>
  </sheetPr>
  <dimension ref="A1:H2"/>
  <sheetViews>
    <sheetView tabSelected="1" workbookViewId="0">
      <pane ySplit="2" topLeftCell="A3" activePane="bottomLeft" state="frozen"/>
      <selection pane="bottomLeft"/>
    </sheetView>
  </sheetViews>
  <sheetFormatPr baseColWidth="10" defaultColWidth="8.83203125" defaultRowHeight="15" x14ac:dyDescent="0.2"/>
  <cols>
    <col min="1" max="1" width="14.6640625" customWidth="1"/>
    <col min="2" max="2" width="12.6640625" customWidth="1"/>
    <col min="3" max="3" width="18.6640625" customWidth="1"/>
    <col min="4" max="4" width="40.6640625" customWidth="1"/>
    <col min="5" max="5" width="20.6640625" customWidth="1"/>
    <col min="6" max="6" width="35.6640625" customWidth="1"/>
    <col min="7" max="7" width="8.6640625" customWidth="1"/>
    <col min="8" max="8" width="50.6640625" customWidth="1"/>
  </cols>
  <sheetData>
    <row r="1" spans="1:8" x14ac:dyDescent="0.2">
      <c r="A1" s="7" t="s">
        <v>4172</v>
      </c>
    </row>
    <row r="2" spans="1:8" ht="28" x14ac:dyDescent="0.2">
      <c r="A2" s="9" t="s">
        <v>5</v>
      </c>
      <c r="B2" s="9" t="s">
        <v>4173</v>
      </c>
      <c r="C2" s="9" t="s">
        <v>4174</v>
      </c>
      <c r="D2" s="20" t="s">
        <v>4175</v>
      </c>
      <c r="E2" s="20" t="s">
        <v>8</v>
      </c>
      <c r="F2" s="20" t="s">
        <v>4176</v>
      </c>
      <c r="G2" s="20" t="s">
        <v>4177</v>
      </c>
      <c r="H2" s="20" t="s">
        <v>13</v>
      </c>
    </row>
  </sheetData>
  <autoFilter ref="A2:H2" xr:uid="{00000000-0009-0000-0000-00000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 Charts ──</vt:lpstr>
      <vt:lpstr>FDA Charts</vt:lpstr>
      <vt:lpstr>── Summary ──</vt:lpstr>
      <vt:lpstr>FDA Approval Summary</vt:lpstr>
      <vt:lpstr>── Database ──</vt:lpstr>
      <vt:lpstr>Novel Approval Database</vt:lpstr>
      <vt:lpstr>Biosimilar Approval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Louisa Qiu</cp:lastModifiedBy>
  <dcterms:created xsi:type="dcterms:W3CDTF">2026-04-13T02:38:09Z</dcterms:created>
  <dcterms:modified xsi:type="dcterms:W3CDTF">2026-04-13T02:38:46Z</dcterms:modified>
</cp:coreProperties>
</file>