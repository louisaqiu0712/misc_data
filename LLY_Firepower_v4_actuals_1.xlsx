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 2026 Actuals" sheetId="1" state="visible" r:id="rId3"/>
    <sheet name="FY2026E Build" sheetId="2" state="visible" r:id="rId4"/>
    <sheet name="Firepower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<sst xmlns="http://schemas.openxmlformats.org/spreadsheetml/2006/main" count="177" uniqueCount="164">
  <si>
    <t xml:space="preserve">Q1 2026 Cash Flow Walkthrough — Actuals from 10-Q</t>
  </si>
  <si>
    <t xml:space="preserve">All figures from Q1 2026 10-Q filed 4/30/2026 (consolidated condensed statements of cash flows, page 8)</t>
  </si>
  <si>
    <t xml:space="preserve">Step 1: Build CFO from Net Income (the operating section)</t>
  </si>
  <si>
    <t xml:space="preserve">Line item ($M)</t>
  </si>
  <si>
    <t xml:space="preserve">Q1 2026</t>
  </si>
  <si>
    <t xml:space="preserve">Q1 2025</t>
  </si>
  <si>
    <t xml:space="preserve">Note</t>
  </si>
  <si>
    <t xml:space="preserve">Net income</t>
  </si>
  <si>
    <t xml:space="preserve">Starting point — from income statement</t>
  </si>
  <si>
    <t xml:space="preserve">(+) Depreciation and amortization</t>
  </si>
  <si>
    <t xml:space="preserve">Non-cash; add back</t>
  </si>
  <si>
    <t xml:space="preserve">(+) Stock-based compensation</t>
  </si>
  <si>
    <t xml:space="preserve">(+) Acquired IPR&amp;D</t>
  </si>
  <si>
    <t xml:space="preserve">Non-cash; Ventyx deal in Q1'26 ($1.1B cash but IPR&amp;D portion non-cash)</t>
  </si>
  <si>
    <t xml:space="preserve">(−) Change in deferred income taxes</t>
  </si>
  <si>
    <t xml:space="preserve">Deferred tax ASSETS grew $1.5B — uses cash now, recover later</t>
  </si>
  <si>
    <t xml:space="preserve">(−) Other changes in operating assets/liabilities</t>
  </si>
  <si>
    <t xml:space="preserve">Working capital drag — inventory + A/R build for incretin growth</t>
  </si>
  <si>
    <t xml:space="preserve">(−) Other operating activities, net</t>
  </si>
  <si>
    <t xml:space="preserve">Misc</t>
  </si>
  <si>
    <t xml:space="preserve"> = Net Cash Provided by Operating Activities (CFO)</t>
  </si>
  <si>
    <t xml:space="preserve">TOTAL — what the business actually generated in cash</t>
  </si>
  <si>
    <t xml:space="preserve">Step 2: From CFO to Free Cash Flow (subtract capex)</t>
  </si>
  <si>
    <t xml:space="preserve">CFO (from above)</t>
  </si>
  <si>
    <t xml:space="preserve">Net cash from operating activities</t>
  </si>
  <si>
    <t xml:space="preserve">(−) Purchases of property and equipment (CAPEX)</t>
  </si>
  <si>
    <t xml:space="preserve">Mandatory; LLY's $50B+ US manufacturing build is here</t>
  </si>
  <si>
    <t xml:space="preserve"> = Free Cash Flow (FCF)</t>
  </si>
  <si>
    <t xml:space="preserve">Cash left after running and growing the business</t>
  </si>
  <si>
    <t xml:space="preserve">Step 3: From FCF to Discretionary FCF (subtract dividends — committed but technically optional)</t>
  </si>
  <si>
    <t xml:space="preserve">FCF (from above)</t>
  </si>
  <si>
    <t xml:space="preserve">(−) Dividends paid</t>
  </si>
  <si>
    <t xml:space="preserve">$1.73/share Q1'26 × ~895M shares; LLY raises 15%/yr, can't realistically cut</t>
  </si>
  <si>
    <t xml:space="preserve"> = Discretionary FCF</t>
  </si>
  <si>
    <t xml:space="preserve">What's truly free for buybacks, M&amp;A, or balance sheet build</t>
  </si>
  <si>
    <t xml:space="preserve">Step 4: Reconciling — how LLY funded the buyback in Q1'26</t>
  </si>
  <si>
    <t xml:space="preserve">Discretionary FCF generated in quarter</t>
  </si>
  <si>
    <t xml:space="preserve">What the business produced</t>
  </si>
  <si>
    <t xml:space="preserve">(−) Share repurchases</t>
  </si>
  <si>
    <t xml:space="preserve">Q1'26 buyback at $987/share avg</t>
  </si>
  <si>
    <t xml:space="preserve"> = Cash surplus / (deficit) from operations</t>
  </si>
  <si>
    <t xml:space="preserve">Negative = needed external funding</t>
  </si>
  <si>
    <t xml:space="preserve">How the deficit was funded:</t>
  </si>
  <si>
    <t xml:space="preserve">    (+) Net change in short-term borrowings (CP)</t>
  </si>
  <si>
    <t xml:space="preserve">Drew $1.8B of commercial paper in Q1'26</t>
  </si>
  <si>
    <t xml:space="preserve">    (−) Repayments of long-term debt</t>
  </si>
  <si>
    <t xml:space="preserve">Paid off maturing notes</t>
  </si>
  <si>
    <t xml:space="preserve">    (−) Other financing, net</t>
  </si>
  <si>
    <t xml:space="preserve">Includes employee stock plan transactions</t>
  </si>
  <si>
    <t xml:space="preserve">    (+/-) Investing activity beyond capex</t>
  </si>
  <si>
    <t xml:space="preserve">Cash for acquisitions ($1.06B Ventyx) + IPR&amp;D + investments</t>
  </si>
  <si>
    <t xml:space="preserve">    (+) FX effect on cash</t>
  </si>
  <si>
    <t xml:space="preserve"> = Net change in cash &amp; equivalents</t>
  </si>
  <si>
    <t xml:space="preserve">Confirms cash balance change Q/Q</t>
  </si>
  <si>
    <t xml:space="preserve">KEY TAKEAWAY</t>
  </si>
  <si>
    <t xml:space="preserve">Q1 2026 generated $1.5B of discretionary FCF, but LLY spent $2.4B on buybacks.</t>
  </si>
  <si>
    <t xml:space="preserve">The $0.9B gap (plus $1.1B Ventyx acquisition + $0.75B debt repayment) was funded by:</t>
  </si>
  <si>
    <t xml:space="preserve">    • Drawing $1.78B of commercial paper (turning on the CP program — was $0 at YE25)</t>
  </si>
  <si>
    <t xml:space="preserve">    • Drawing down $2.0B of cash on hand ($7.3B → $5.3B)</t>
  </si>
  <si>
    <t xml:space="preserve">This means: At the current EBITDA level, Lilly's organic discretionary FCF is NOT covering the current buyback pace.</t>
  </si>
  <si>
    <t xml:space="preserve">Either CFO needs to ramp meaningfully through the year (likely — H2 seasonality is much better),</t>
  </si>
  <si>
    <t xml:space="preserve">OR the buyback pace is partially funded by balance sheet/CP rather than pure FCF.</t>
  </si>
  <si>
    <t xml:space="preserve">For your IR question: this is REAL evidence that capital allocation is tighter than headline numbers suggest.</t>
  </si>
  <si>
    <t xml:space="preserve">FY2026E Discretionary FCF — Building Forward from Q1 Actuals</t>
  </si>
  <si>
    <t xml:space="preserve">Q1 2026 actuals + assumed Q2-Q4 ramp = FY2026E. Q1 is seasonally weak; H2 typically much stronger.</t>
  </si>
  <si>
    <t xml:space="preserve">Q1 2026A</t>
  </si>
  <si>
    <t xml:space="preserve">Q2-Q4 2026E</t>
  </si>
  <si>
    <t xml:space="preserve">FY 2026E</t>
  </si>
  <si>
    <t xml:space="preserve">FY 2025A</t>
  </si>
  <si>
    <t xml:space="preserve">Notes / assumptions</t>
  </si>
  <si>
    <t xml:space="preserve">Revenue</t>
  </si>
  <si>
    <t xml:space="preserve">Q1 actual; Q2-Q4 = guidance midpoint $83.5B − Q1</t>
  </si>
  <si>
    <t xml:space="preserve">CFO</t>
  </si>
  <si>
    <t xml:space="preserve">FY26E ~33% revenue conversion as WC drag normalizes (Q1'25 was abnormally low)</t>
  </si>
  <si>
    <t xml:space="preserve">(−) Capex</t>
  </si>
  <si>
    <t xml:space="preserve">FY26E ~$10B per management commentary; ~12% of revenue</t>
  </si>
  <si>
    <t xml:space="preserve"> = FCF</t>
  </si>
  <si>
    <t xml:space="preserve">Q1 $1.73 × 895M shares; reset higher mid-year typically</t>
  </si>
  <si>
    <t xml:space="preserve">What's available for buybacks, M&amp;A, balance sheet build</t>
  </si>
  <si>
    <t xml:space="preserve">Memo: Buybacks (planned pace)</t>
  </si>
  <si>
    <t xml:space="preserve">Q1 actual; Q2-Q4 to use up part of remaining $8.6B auth</t>
  </si>
  <si>
    <t xml:space="preserve"> = Discretionary FCF after buybacks</t>
  </si>
  <si>
    <t xml:space="preserve">Negative = needs balance sheet or debt to fund</t>
  </si>
  <si>
    <t xml:space="preserve">CFO / Revenue conversion</t>
  </si>
  <si>
    <t xml:space="preserve">Q1 was 27%; FY ramps as WC normalizes</t>
  </si>
  <si>
    <t xml:space="preserve">Total LLY Firepower — Updated with Q1 2026 10-Q Actuals</t>
  </si>
  <si>
    <t xml:space="preserve">Three components: existing balance sheet liquidity + remaining 2026 discretionary FCF + incremental debt headroom</t>
  </si>
  <si>
    <t xml:space="preserve">Balance Sheet at 3/31/2026 (per 10-Q)</t>
  </si>
  <si>
    <t xml:space="preserve">Cash and cash equivalents</t>
  </si>
  <si>
    <t xml:space="preserve">Down from $7.3B at YE25</t>
  </si>
  <si>
    <t xml:space="preserve">Short-term investments</t>
  </si>
  <si>
    <t xml:space="preserve">Noncurrent investments</t>
  </si>
  <si>
    <t xml:space="preserve">Includes equity method, marketable equity securities</t>
  </si>
  <si>
    <t xml:space="preserve">Total liquidity</t>
  </si>
  <si>
    <t xml:space="preserve">Sum of above</t>
  </si>
  <si>
    <t xml:space="preserve">Short-term borrowings (CP)</t>
  </si>
  <si>
    <t xml:space="preserve">Up from $1.6B at YE25 — CP turned back on</t>
  </si>
  <si>
    <t xml:space="preserve">Long-term debt</t>
  </si>
  <si>
    <t xml:space="preserve">Down from $40.9B at YE25</t>
  </si>
  <si>
    <t xml:space="preserve">Total debt</t>
  </si>
  <si>
    <t xml:space="preserve">Pending acquisition cash commitments</t>
  </si>
  <si>
    <t xml:space="preserve">Per 10-Q p.28: 'up to ~$12B at closing'</t>
  </si>
  <si>
    <t xml:space="preserve">EBITDA Derivation (FY2026E)</t>
  </si>
  <si>
    <t xml:space="preserve">Revenue (guidance midpoint)</t>
  </si>
  <si>
    <t xml:space="preserve">Q1'26 guidance: $82-85B</t>
  </si>
  <si>
    <t xml:space="preserve">× Performance margin (midpoint)</t>
  </si>
  <si>
    <t xml:space="preserve">Q1'26 guidance: 47-48.5%</t>
  </si>
  <si>
    <t xml:space="preserve"> = Non-GAAP operating income</t>
  </si>
  <si>
    <t xml:space="preserve">Approximation of non-GAAP EBIT</t>
  </si>
  <si>
    <t xml:space="preserve">(+) D&amp;A</t>
  </si>
  <si>
    <t xml:space="preserve">Q1 actual $509M annualized + ramp</t>
  </si>
  <si>
    <t xml:space="preserve"> = EBITDA (GAAP-equivalent)</t>
  </si>
  <si>
    <t xml:space="preserve">Used for leverage analysis</t>
  </si>
  <si>
    <t xml:space="preserve">Current Leverage at 3/31/2026</t>
  </si>
  <si>
    <t xml:space="preserve">Total Debt / FY26E EBITDA</t>
  </si>
  <si>
    <t xml:space="preserve">Comfortably within AA- threshold (≤1.5x)</t>
  </si>
  <si>
    <t xml:space="preserve">TOTAL FIREPOWER — by Rating Scenario</t>
  </si>
  <si>
    <t xml:space="preserve">Component</t>
  </si>
  <si>
    <t xml:space="preserve">Maintain AA-</t>
  </si>
  <si>
    <t xml:space="preserve">Drop to A+</t>
  </si>
  <si>
    <t xml:space="preserve">Drop to A</t>
  </si>
  <si>
    <t xml:space="preserve">Drop to A-</t>
  </si>
  <si>
    <t xml:space="preserve">(1) Cash &amp; investments at 3/31/26</t>
  </si>
  <si>
    <t xml:space="preserve">(2) Less: pending acquisition commitments</t>
  </si>
  <si>
    <t xml:space="preserve">(3) Net liquidity available today</t>
  </si>
  <si>
    <t xml:space="preserve">(4) Discretionary FCF Q2-Q4 2026E</t>
  </si>
  <si>
    <t xml:space="preserve">(5) Incremental debt capacity</t>
  </si>
  <si>
    <t xml:space="preserve">Implied target Debt/EBITDA</t>
  </si>
  <si>
    <t xml:space="preserve">1.5x</t>
  </si>
  <si>
    <t xml:space="preserve">2.0x</t>
  </si>
  <si>
    <t xml:space="preserve">2.5x</t>
  </si>
  <si>
    <t xml:space="preserve">3.0x</t>
  </si>
  <si>
    <t xml:space="preserve">Caveats</t>
  </si>
  <si>
    <t xml:space="preserve">• Q2-Q4 discretionary FCF estimate is a key driver — change in 'FY2026E Build' tab to flex</t>
  </si>
  <si>
    <t xml:space="preserve">• Buyback pace ($8.6B remaining authorization) competes with M&amp;A capacity — every $1B of buyback is $1B less for deals</t>
  </si>
  <si>
    <t xml:space="preserve">• Pending $12B of M&amp;A commitments (Centessa, Ajax, Kelonia, Orna) deducts from current liquidity</t>
  </si>
  <si>
    <t xml:space="preserve">• Doesn't include target's own EBITDA contribution — would expand denominator and increase capacity</t>
  </si>
  <si>
    <t xml:space="preserve">• Doesn't include synergies — typically 5-10% of target opex available within 24 months</t>
  </si>
  <si>
    <t xml:space="preserve">• 18-24 month deleveraging window: S&amp;P typically allows temporary leverage spike with credible paydown plan</t>
  </si>
  <si>
    <t xml:space="preserve">Firepower Sensitivity — Adj. EBITDA × Leverage / Credit Rating</t>
  </si>
  <si>
    <t xml:space="preserve">Each cell = (Target leverage × EBITDA) − Current debt of $43.4B. Result is incremental debt capacity at that rating.</t>
  </si>
  <si>
    <t xml:space="preserve">Current total debt (from Firepower tab):</t>
  </si>
  <si>
    <t xml:space="preserve">← override here if testing pro-forma with new debt</t>
  </si>
  <si>
    <t xml:space="preserve">Adj. EBITDA ↓ / Rating →</t>
  </si>
  <si>
    <t xml:space="preserve">AA / AA+</t>
  </si>
  <si>
    <t xml:space="preserve">AA-</t>
  </si>
  <si>
    <t xml:space="preserve">A+</t>
  </si>
  <si>
    <t xml:space="preserve">A</t>
  </si>
  <si>
    <t xml:space="preserve">A-</t>
  </si>
  <si>
    <t xml:space="preserve">BBB+</t>
  </si>
  <si>
    <t xml:space="preserve">BBB</t>
  </si>
  <si>
    <t xml:space="preserve">← FY26E midpoint</t>
  </si>
  <si>
    <t xml:space="preserve">Reading the table</t>
  </si>
  <si>
    <t xml:space="preserve">• Gold cell = FY26E midpoint EBITDA × AA- ceiling = LLY's incremental debt capacity at the new rating</t>
  </si>
  <si>
    <t xml:space="preserve">• Green column = AA- (current rating) — firepower at each EBITDA level</t>
  </si>
  <si>
    <t xml:space="preserve">• Blue column = A+ (prior rating) — capacity if LLY accepts a 1-notch downgrade</t>
  </si>
  <si>
    <t xml:space="preserve">• Red row = FY26E EBITDA midpoint ($42B from guidance midpoint × ~50% performance margin + D&amp;A)</t>
  </si>
  <si>
    <t xml:space="preserve">• Negative cells = LLY already exceeds that rating's leverage ceiling at that EBITDA level</t>
  </si>
  <si>
    <t xml:space="preserve">• Each $1B of EBITDA growth at 1.5x AA- ceiling = $1.5B of incremental firepower</t>
  </si>
  <si>
    <t xml:space="preserve">• Each notch of acceptable downgrade (~0.5x leverage) at $42B EBITDA = ~$21B more capacity</t>
  </si>
  <si>
    <t xml:space="preserve">TOTAL Firepower Sensitivity (incl. liquidity &amp; remaining FCF)</t>
  </si>
  <si>
    <t xml:space="preserve">Adds back: net liquidity + Q2-Q4 2026E FCF from Firepower tab. This = total deployable capital at each rating.</t>
  </si>
  <si>
    <t xml:space="preserve">Net liquidity (cash − pending M&amp;A):</t>
  </si>
  <si>
    <t xml:space="preserve">Q2-Q4 2026E discretionary FCF: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</si>
</sst>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0\x"/>
    <numFmt numFmtId="168" formatCode="\$#,##0;&quot;($&quot;#,##0\);\-"/>
    <numFmt numFmtId="169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BE5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BE5D6"/>
      </patternFill>
    </fill>
    <fill>
      <patternFill patternType="solid">
        <fgColor rgb="FFFFD966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BE5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4"/>
    <col collapsed="false" customWidth="true" hidden="false" outlineLevel="0" max="4" min="4" style="1" width="70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  <c r="B6" s="7" t="n">
        <v>7396</v>
      </c>
      <c r="C6" s="7" t="n">
        <v>2759</v>
      </c>
      <c r="D6" s="8" t="s">
        <v>8</v>
      </c>
    </row>
    <row r="7" customFormat="false" ht="15" hidden="false" customHeight="true" outlineLevel="0" collapsed="false">
      <c r="A7" s="6" t="s">
        <v>9</v>
      </c>
      <c r="B7" s="7" t="n">
        <v>509</v>
      </c>
      <c r="C7" s="7" t="n">
        <v>463</v>
      </c>
      <c r="D7" s="8" t="s">
        <v>10</v>
      </c>
    </row>
    <row r="8" customFormat="false" ht="15" hidden="false" customHeight="true" outlineLevel="0" collapsed="false">
      <c r="A8" s="6" t="s">
        <v>11</v>
      </c>
      <c r="B8" s="7" t="n">
        <v>161</v>
      </c>
      <c r="C8" s="7" t="n">
        <v>154</v>
      </c>
      <c r="D8" s="8" t="s">
        <v>10</v>
      </c>
    </row>
    <row r="9" customFormat="false" ht="15" hidden="false" customHeight="true" outlineLevel="0" collapsed="false">
      <c r="A9" s="6" t="s">
        <v>12</v>
      </c>
      <c r="B9" s="7" t="n">
        <v>584</v>
      </c>
      <c r="C9" s="7" t="n">
        <v>1572</v>
      </c>
      <c r="D9" s="8" t="s">
        <v>13</v>
      </c>
    </row>
    <row r="10" customFormat="false" ht="15" hidden="false" customHeight="true" outlineLevel="0" collapsed="false">
      <c r="A10" s="6" t="s">
        <v>14</v>
      </c>
      <c r="B10" s="7" t="n">
        <v>-1478</v>
      </c>
      <c r="C10" s="7" t="n">
        <v>-392</v>
      </c>
      <c r="D10" s="8" t="s">
        <v>15</v>
      </c>
    </row>
    <row r="11" customFormat="false" ht="15" hidden="false" customHeight="true" outlineLevel="0" collapsed="false">
      <c r="A11" s="6" t="s">
        <v>16</v>
      </c>
      <c r="B11" s="7" t="n">
        <v>-1664</v>
      </c>
      <c r="C11" s="7" t="n">
        <v>-3364</v>
      </c>
      <c r="D11" s="8" t="s">
        <v>17</v>
      </c>
    </row>
    <row r="12" customFormat="false" ht="15" hidden="false" customHeight="true" outlineLevel="0" collapsed="false">
      <c r="A12" s="6" t="s">
        <v>18</v>
      </c>
      <c r="B12" s="7" t="n">
        <v>-175</v>
      </c>
      <c r="C12" s="7" t="n">
        <v>474</v>
      </c>
      <c r="D12" s="8" t="s">
        <v>19</v>
      </c>
    </row>
    <row r="13" customFormat="false" ht="15" hidden="false" customHeight="true" outlineLevel="0" collapsed="false">
      <c r="A13" s="9" t="s">
        <v>20</v>
      </c>
      <c r="B13" s="10" t="n">
        <f aca="false">SUM(B6:B12)</f>
        <v>5333</v>
      </c>
      <c r="C13" s="10" t="n">
        <f aca="false">SUM(C6:C12)</f>
        <v>1666</v>
      </c>
      <c r="D13" s="8" t="s">
        <v>21</v>
      </c>
    </row>
    <row r="15" customFormat="false" ht="15" hidden="false" customHeight="true" outlineLevel="0" collapsed="false">
      <c r="A15" s="4" t="s">
        <v>22</v>
      </c>
      <c r="B15" s="4"/>
      <c r="C15" s="4"/>
      <c r="D15" s="4"/>
    </row>
    <row r="16" customFormat="false" ht="15" hidden="false" customHeight="true" outlineLevel="0" collapsed="false">
      <c r="A16" s="6" t="s">
        <v>23</v>
      </c>
      <c r="B16" s="11" t="n">
        <f aca="false">B13</f>
        <v>5333</v>
      </c>
      <c r="C16" s="11" t="n">
        <f aca="false">C13</f>
        <v>1666</v>
      </c>
      <c r="D16" s="8" t="s">
        <v>24</v>
      </c>
    </row>
    <row r="17" customFormat="false" ht="15" hidden="false" customHeight="true" outlineLevel="0" collapsed="false">
      <c r="A17" s="6" t="s">
        <v>25</v>
      </c>
      <c r="B17" s="7" t="n">
        <v>-2326</v>
      </c>
      <c r="C17" s="7" t="n">
        <v>-1510</v>
      </c>
      <c r="D17" s="8" t="s">
        <v>26</v>
      </c>
    </row>
    <row r="18" customFormat="false" ht="15" hidden="false" customHeight="true" outlineLevel="0" collapsed="false">
      <c r="A18" s="9" t="s">
        <v>27</v>
      </c>
      <c r="B18" s="10" t="n">
        <f aca="false">B16+B17</f>
        <v>3007</v>
      </c>
      <c r="C18" s="10" t="n">
        <f aca="false">C16+C17</f>
        <v>156</v>
      </c>
      <c r="D18" s="8" t="s">
        <v>28</v>
      </c>
    </row>
    <row r="20" customFormat="false" ht="15" hidden="false" customHeight="true" outlineLevel="0" collapsed="false">
      <c r="A20" s="4" t="s">
        <v>29</v>
      </c>
      <c r="B20" s="4"/>
      <c r="C20" s="4"/>
      <c r="D20" s="4"/>
    </row>
    <row r="21" customFormat="false" ht="15" hidden="false" customHeight="true" outlineLevel="0" collapsed="false">
      <c r="A21" s="6" t="s">
        <v>30</v>
      </c>
      <c r="B21" s="11" t="n">
        <f aca="false">B18</f>
        <v>3007</v>
      </c>
      <c r="C21" s="11" t="n">
        <f aca="false">C18</f>
        <v>156</v>
      </c>
      <c r="D21" s="8"/>
    </row>
    <row r="22" customFormat="false" ht="15" hidden="false" customHeight="true" outlineLevel="0" collapsed="false">
      <c r="A22" s="6" t="s">
        <v>31</v>
      </c>
      <c r="B22" s="7" t="n">
        <v>-1548</v>
      </c>
      <c r="C22" s="7" t="n">
        <v>-1346</v>
      </c>
      <c r="D22" s="8" t="s">
        <v>32</v>
      </c>
    </row>
    <row r="23" customFormat="false" ht="15" hidden="false" customHeight="true" outlineLevel="0" collapsed="false">
      <c r="A23" s="9" t="s">
        <v>33</v>
      </c>
      <c r="B23" s="10" t="n">
        <f aca="false">B21+B22</f>
        <v>1459</v>
      </c>
      <c r="C23" s="10" t="n">
        <f aca="false">C21+C22</f>
        <v>-1190</v>
      </c>
      <c r="D23" s="8" t="s">
        <v>34</v>
      </c>
    </row>
    <row r="25" customFormat="false" ht="15" hidden="false" customHeight="true" outlineLevel="0" collapsed="false">
      <c r="A25" s="4" t="s">
        <v>35</v>
      </c>
      <c r="B25" s="4"/>
      <c r="C25" s="4"/>
      <c r="D25" s="4"/>
    </row>
    <row r="26" customFormat="false" ht="15" hidden="false" customHeight="true" outlineLevel="0" collapsed="false">
      <c r="A26" s="6" t="s">
        <v>36</v>
      </c>
      <c r="B26" s="11" t="n">
        <f aca="false">B23</f>
        <v>1459</v>
      </c>
      <c r="C26" s="11" t="n">
        <f aca="false">C23</f>
        <v>-1190</v>
      </c>
      <c r="D26" s="8" t="s">
        <v>37</v>
      </c>
    </row>
    <row r="27" customFormat="false" ht="15" hidden="false" customHeight="true" outlineLevel="0" collapsed="false">
      <c r="A27" s="6" t="s">
        <v>38</v>
      </c>
      <c r="B27" s="7" t="n">
        <v>-2356</v>
      </c>
      <c r="C27" s="7" t="n">
        <v>-1200</v>
      </c>
      <c r="D27" s="8" t="s">
        <v>39</v>
      </c>
    </row>
    <row r="28" customFormat="false" ht="15" hidden="false" customHeight="true" outlineLevel="0" collapsed="false">
      <c r="A28" s="9" t="s">
        <v>40</v>
      </c>
      <c r="B28" s="10" t="n">
        <f aca="false">B26+B27</f>
        <v>-897</v>
      </c>
      <c r="C28" s="10" t="n">
        <f aca="false">C26+C27</f>
        <v>-2390</v>
      </c>
      <c r="D28" s="8" t="s">
        <v>41</v>
      </c>
    </row>
    <row r="30" customFormat="false" ht="15" hidden="false" customHeight="true" outlineLevel="0" collapsed="false">
      <c r="A30" s="9" t="s">
        <v>42</v>
      </c>
      <c r="D30" s="8"/>
    </row>
    <row r="31" customFormat="false" ht="15" hidden="false" customHeight="true" outlineLevel="0" collapsed="false">
      <c r="A31" s="6" t="s">
        <v>43</v>
      </c>
      <c r="B31" s="7" t="n">
        <v>1775</v>
      </c>
      <c r="C31" s="7" t="n">
        <v>-1849</v>
      </c>
      <c r="D31" s="8" t="s">
        <v>44</v>
      </c>
    </row>
    <row r="32" customFormat="false" ht="15" hidden="false" customHeight="true" outlineLevel="0" collapsed="false">
      <c r="A32" s="6" t="s">
        <v>45</v>
      </c>
      <c r="B32" s="7" t="n">
        <v>-750</v>
      </c>
      <c r="C32" s="7" t="n">
        <v>0</v>
      </c>
      <c r="D32" s="8" t="s">
        <v>46</v>
      </c>
    </row>
    <row r="33" customFormat="false" ht="15" hidden="false" customHeight="true" outlineLevel="0" collapsed="false">
      <c r="A33" s="6" t="s">
        <v>47</v>
      </c>
      <c r="B33" s="7" t="n">
        <v>-591</v>
      </c>
      <c r="C33" s="7" t="n">
        <v>-686</v>
      </c>
      <c r="D33" s="8" t="s">
        <v>48</v>
      </c>
    </row>
    <row r="34" customFormat="false" ht="15" hidden="false" customHeight="true" outlineLevel="0" collapsed="false">
      <c r="A34" s="6" t="s">
        <v>49</v>
      </c>
      <c r="B34" s="7" t="n">
        <v>-1590</v>
      </c>
      <c r="C34" s="7" t="n">
        <v>-1843</v>
      </c>
      <c r="D34" s="8" t="s">
        <v>50</v>
      </c>
    </row>
    <row r="35" customFormat="false" ht="15" hidden="false" customHeight="true" outlineLevel="0" collapsed="false">
      <c r="A35" s="6" t="s">
        <v>51</v>
      </c>
      <c r="B35" s="7" t="n">
        <v>67</v>
      </c>
      <c r="C35" s="7" t="n">
        <v>132</v>
      </c>
      <c r="D35" s="8"/>
    </row>
    <row r="36" customFormat="false" ht="15" hidden="false" customHeight="true" outlineLevel="0" collapsed="false">
      <c r="A36" s="9" t="s">
        <v>52</v>
      </c>
      <c r="B36" s="10" t="n">
        <f aca="false">B28+SUM(B31:B35)</f>
        <v>-1986</v>
      </c>
      <c r="C36" s="10" t="n">
        <f aca="false">C28+SUM(C31:C35)</f>
        <v>-6636</v>
      </c>
      <c r="D36" s="8" t="s">
        <v>53</v>
      </c>
    </row>
    <row r="38" customFormat="false" ht="15" hidden="false" customHeight="true" outlineLevel="0" collapsed="false">
      <c r="A38" s="4" t="s">
        <v>54</v>
      </c>
      <c r="B38" s="4"/>
      <c r="C38" s="4"/>
      <c r="D38" s="4"/>
    </row>
    <row r="39" customFormat="false" ht="15" hidden="false" customHeight="true" outlineLevel="0" collapsed="false">
      <c r="A39" s="12" t="s">
        <v>55</v>
      </c>
      <c r="B39" s="12"/>
      <c r="C39" s="12"/>
      <c r="D39" s="12"/>
    </row>
    <row r="40" customFormat="false" ht="15" hidden="false" customHeight="true" outlineLevel="0" collapsed="false">
      <c r="A40" s="13" t="s">
        <v>56</v>
      </c>
      <c r="B40" s="13"/>
      <c r="C40" s="13"/>
      <c r="D40" s="13"/>
    </row>
    <row r="41" customFormat="false" ht="15" hidden="false" customHeight="true" outlineLevel="0" collapsed="false">
      <c r="A41" s="13" t="s">
        <v>57</v>
      </c>
      <c r="B41" s="13"/>
      <c r="C41" s="13"/>
      <c r="D41" s="13"/>
    </row>
    <row r="42" customFormat="false" ht="15" hidden="false" customHeight="true" outlineLevel="0" collapsed="false">
      <c r="A42" s="13" t="s">
        <v>58</v>
      </c>
      <c r="B42" s="13"/>
      <c r="C42" s="13"/>
      <c r="D42" s="13"/>
    </row>
    <row r="43" customFormat="false" ht="15" hidden="false" customHeight="true" outlineLevel="0" collapsed="false">
      <c r="A43" s="13"/>
      <c r="B43" s="13"/>
      <c r="C43" s="13"/>
      <c r="D43" s="13"/>
    </row>
    <row r="44" customFormat="false" ht="15" hidden="false" customHeight="true" outlineLevel="0" collapsed="false">
      <c r="A44" s="13" t="s">
        <v>59</v>
      </c>
      <c r="B44" s="13"/>
      <c r="C44" s="13"/>
      <c r="D44" s="13"/>
    </row>
    <row r="45" customFormat="false" ht="15" hidden="false" customHeight="true" outlineLevel="0" collapsed="false">
      <c r="A45" s="13" t="s">
        <v>60</v>
      </c>
      <c r="B45" s="13"/>
      <c r="C45" s="13"/>
      <c r="D45" s="13"/>
    </row>
    <row r="46" customFormat="false" ht="15" hidden="false" customHeight="true" outlineLevel="0" collapsed="false">
      <c r="A46" s="13" t="s">
        <v>61</v>
      </c>
      <c r="B46" s="13"/>
      <c r="C46" s="13"/>
      <c r="D46" s="13"/>
    </row>
    <row r="47" customFormat="false" ht="15" hidden="false" customHeight="true" outlineLevel="0" collapsed="false">
      <c r="A47" s="13"/>
      <c r="B47" s="13"/>
      <c r="C47" s="13"/>
      <c r="D47" s="13"/>
    </row>
    <row r="48" customFormat="false" ht="15" hidden="false" customHeight="true" outlineLevel="0" collapsed="false">
      <c r="A48" s="12" t="s">
        <v>62</v>
      </c>
      <c r="B48" s="12"/>
      <c r="C48" s="12"/>
      <c r="D48" s="12"/>
    </row>
  </sheetData>
  <mergeCells count="17">
    <mergeCell ref="A1:D1"/>
    <mergeCell ref="A2:D2"/>
    <mergeCell ref="A4:D4"/>
    <mergeCell ref="A15:D15"/>
    <mergeCell ref="A20:D20"/>
    <mergeCell ref="A25:D25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25.5" hidden="false" customHeight="true" outlineLevel="0" collapsed="false">
      <c r="A1" s="2" t="s">
        <v>63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64</v>
      </c>
      <c r="B2" s="3"/>
      <c r="C2" s="3"/>
      <c r="D2" s="3"/>
      <c r="E2" s="3"/>
      <c r="F2" s="3"/>
    </row>
    <row r="4" customFormat="false" ht="31.5" hidden="false" customHeight="true" outlineLevel="0" collapsed="false">
      <c r="A4" s="14" t="s">
        <v>3</v>
      </c>
      <c r="B4" s="14" t="s">
        <v>65</v>
      </c>
      <c r="C4" s="14" t="s">
        <v>66</v>
      </c>
      <c r="D4" s="14" t="s">
        <v>67</v>
      </c>
      <c r="E4" s="14" t="s">
        <v>68</v>
      </c>
      <c r="F4" s="14" t="s">
        <v>69</v>
      </c>
    </row>
    <row r="5" customFormat="false" ht="15" hidden="false" customHeight="true" outlineLevel="0" collapsed="false">
      <c r="A5" s="6" t="s">
        <v>70</v>
      </c>
      <c r="B5" s="7" t="n">
        <v>19799</v>
      </c>
      <c r="C5" s="7" t="n">
        <v>63701</v>
      </c>
      <c r="D5" s="15" t="n">
        <f aca="false">B5+C5</f>
        <v>83500</v>
      </c>
      <c r="E5" s="11" t="n">
        <v>65179</v>
      </c>
      <c r="F5" s="8" t="s">
        <v>71</v>
      </c>
    </row>
    <row r="6" customFormat="false" ht="15" hidden="false" customHeight="true" outlineLevel="0" collapsed="false">
      <c r="A6" s="6" t="s">
        <v>72</v>
      </c>
      <c r="B6" s="7" t="n">
        <v>5333</v>
      </c>
      <c r="C6" s="7" t="n">
        <v>22667</v>
      </c>
      <c r="D6" s="15" t="n">
        <f aca="false">B6+C6</f>
        <v>28000</v>
      </c>
      <c r="E6" s="11" t="n">
        <v>16813</v>
      </c>
      <c r="F6" s="8" t="s">
        <v>73</v>
      </c>
    </row>
    <row r="7" customFormat="false" ht="15" hidden="false" customHeight="true" outlineLevel="0" collapsed="false">
      <c r="A7" s="6" t="s">
        <v>74</v>
      </c>
      <c r="B7" s="7" t="n">
        <v>-2326</v>
      </c>
      <c r="C7" s="7" t="n">
        <v>-7674</v>
      </c>
      <c r="D7" s="15" t="n">
        <f aca="false">B7+C7</f>
        <v>-10000</v>
      </c>
      <c r="E7" s="11" t="n">
        <v>-6856</v>
      </c>
      <c r="F7" s="8" t="s">
        <v>75</v>
      </c>
    </row>
    <row r="8" customFormat="false" ht="15" hidden="false" customHeight="true" outlineLevel="0" collapsed="false">
      <c r="A8" s="9" t="s">
        <v>76</v>
      </c>
      <c r="B8" s="10" t="n">
        <f aca="false">B6+B7</f>
        <v>3007</v>
      </c>
      <c r="C8" s="10" t="n">
        <f aca="false">C6+C7</f>
        <v>14993</v>
      </c>
      <c r="D8" s="10" t="n">
        <f aca="false">B8+C8</f>
        <v>18000</v>
      </c>
      <c r="E8" s="10" t="n">
        <f aca="false">E6+E7</f>
        <v>9957</v>
      </c>
      <c r="F8" s="8"/>
    </row>
    <row r="9" customFormat="false" ht="15" hidden="false" customHeight="true" outlineLevel="0" collapsed="false">
      <c r="A9" s="6" t="s">
        <v>31</v>
      </c>
      <c r="B9" s="7" t="n">
        <v>-1548</v>
      </c>
      <c r="C9" s="7" t="n">
        <v>-4644</v>
      </c>
      <c r="D9" s="15" t="n">
        <f aca="false">B9+C9</f>
        <v>-6192</v>
      </c>
      <c r="E9" s="11" t="n">
        <v>-5364</v>
      </c>
      <c r="F9" s="8" t="s">
        <v>77</v>
      </c>
    </row>
    <row r="10" customFormat="false" ht="15" hidden="false" customHeight="true" outlineLevel="0" collapsed="false">
      <c r="A10" s="9" t="s">
        <v>33</v>
      </c>
      <c r="B10" s="10" t="n">
        <f aca="false">B8+B9</f>
        <v>1459</v>
      </c>
      <c r="C10" s="10" t="n">
        <f aca="false">C8+C9</f>
        <v>10349</v>
      </c>
      <c r="D10" s="10" t="n">
        <f aca="false">B10+C10</f>
        <v>11808</v>
      </c>
      <c r="E10" s="10" t="n">
        <f aca="false">E8+E9</f>
        <v>4593</v>
      </c>
      <c r="F10" s="8" t="s">
        <v>78</v>
      </c>
    </row>
    <row r="11" customFormat="false" ht="15" hidden="false" customHeight="true" outlineLevel="0" collapsed="false">
      <c r="A11" s="6" t="s">
        <v>79</v>
      </c>
      <c r="B11" s="7" t="n">
        <v>-2356</v>
      </c>
      <c r="C11" s="7" t="n">
        <v>-7644</v>
      </c>
      <c r="D11" s="15" t="n">
        <f aca="false">B11+C11</f>
        <v>-10000</v>
      </c>
      <c r="E11" s="11" t="n">
        <v>-7400</v>
      </c>
      <c r="F11" s="8" t="s">
        <v>80</v>
      </c>
    </row>
    <row r="12" customFormat="false" ht="15" hidden="false" customHeight="true" outlineLevel="0" collapsed="false">
      <c r="A12" s="9" t="s">
        <v>81</v>
      </c>
      <c r="B12" s="10" t="n">
        <f aca="false">B10+B11</f>
        <v>-897</v>
      </c>
      <c r="C12" s="10" t="n">
        <f aca="false">C10+C11</f>
        <v>2705</v>
      </c>
      <c r="D12" s="10" t="n">
        <f aca="false">B12+C12</f>
        <v>1808</v>
      </c>
      <c r="E12" s="10" t="n">
        <f aca="false">E10+E11</f>
        <v>-2807</v>
      </c>
      <c r="F12" s="8" t="s">
        <v>82</v>
      </c>
    </row>
    <row r="14" customFormat="false" ht="15" hidden="false" customHeight="true" outlineLevel="0" collapsed="false">
      <c r="A14" s="16" t="s">
        <v>83</v>
      </c>
      <c r="B14" s="17" t="n">
        <f aca="false">B6/B5</f>
        <v>0.269357038234254</v>
      </c>
      <c r="C14" s="17" t="n">
        <f aca="false">C6/C5</f>
        <v>0.355834288315725</v>
      </c>
      <c r="D14" s="17" t="n">
        <f aca="false">D6/D5</f>
        <v>0.335329341317365</v>
      </c>
      <c r="E14" s="17" t="n">
        <f aca="false">E6/E5</f>
        <v>0.257951180594977</v>
      </c>
      <c r="F14" s="8" t="s">
        <v>84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6"/>
  </cols>
  <sheetData>
    <row r="1" customFormat="false" ht="25.5" hidden="false" customHeight="true" outlineLevel="0" collapsed="false">
      <c r="A1" s="2" t="s">
        <v>85</v>
      </c>
      <c r="B1" s="2"/>
      <c r="C1" s="2"/>
      <c r="D1" s="2"/>
      <c r="E1" s="2"/>
    </row>
    <row r="2" customFormat="false" ht="15" hidden="false" customHeight="true" outlineLevel="0" collapsed="false">
      <c r="A2" s="3" t="s">
        <v>86</v>
      </c>
      <c r="B2" s="3"/>
      <c r="C2" s="3"/>
      <c r="D2" s="3"/>
      <c r="E2" s="3"/>
    </row>
    <row r="4" customFormat="false" ht="15" hidden="false" customHeight="true" outlineLevel="0" collapsed="false">
      <c r="A4" s="4" t="s">
        <v>87</v>
      </c>
      <c r="B4" s="4"/>
      <c r="C4" s="4"/>
      <c r="D4" s="4"/>
      <c r="E4" s="4"/>
    </row>
    <row r="5" customFormat="false" ht="15" hidden="false" customHeight="true" outlineLevel="0" collapsed="false">
      <c r="A5" s="6" t="s">
        <v>88</v>
      </c>
      <c r="B5" s="7" t="n">
        <v>5282</v>
      </c>
      <c r="C5" s="18" t="s">
        <v>89</v>
      </c>
      <c r="D5" s="18"/>
      <c r="E5" s="18"/>
    </row>
    <row r="6" customFormat="false" ht="15" hidden="false" customHeight="true" outlineLevel="0" collapsed="false">
      <c r="A6" s="6" t="s">
        <v>90</v>
      </c>
      <c r="B6" s="7" t="n">
        <v>146</v>
      </c>
      <c r="C6" s="18"/>
      <c r="D6" s="18"/>
      <c r="E6" s="18"/>
    </row>
    <row r="7" customFormat="false" ht="15" hidden="false" customHeight="true" outlineLevel="0" collapsed="false">
      <c r="A7" s="6" t="s">
        <v>91</v>
      </c>
      <c r="B7" s="7" t="n">
        <v>3116</v>
      </c>
      <c r="C7" s="18" t="s">
        <v>92</v>
      </c>
      <c r="D7" s="18"/>
      <c r="E7" s="18"/>
    </row>
    <row r="8" customFormat="false" ht="15" hidden="false" customHeight="true" outlineLevel="0" collapsed="false">
      <c r="A8" s="6" t="s">
        <v>93</v>
      </c>
      <c r="B8" s="19" t="n">
        <f aca="false">B5+B6+B7</f>
        <v>8544</v>
      </c>
      <c r="C8" s="18" t="s">
        <v>94</v>
      </c>
      <c r="D8" s="18"/>
      <c r="E8" s="18"/>
    </row>
    <row r="10" customFormat="false" ht="15" hidden="false" customHeight="true" outlineLevel="0" collapsed="false">
      <c r="A10" s="6" t="s">
        <v>95</v>
      </c>
      <c r="B10" s="7" t="n">
        <v>4000</v>
      </c>
      <c r="C10" s="18" t="s">
        <v>96</v>
      </c>
      <c r="D10" s="18"/>
      <c r="E10" s="18"/>
    </row>
    <row r="11" customFormat="false" ht="15" hidden="false" customHeight="true" outlineLevel="0" collapsed="false">
      <c r="A11" s="6" t="s">
        <v>97</v>
      </c>
      <c r="B11" s="7" t="n">
        <v>39370</v>
      </c>
      <c r="C11" s="18" t="s">
        <v>98</v>
      </c>
      <c r="D11" s="18"/>
      <c r="E11" s="18"/>
    </row>
    <row r="12" customFormat="false" ht="15" hidden="false" customHeight="true" outlineLevel="0" collapsed="false">
      <c r="A12" s="6" t="s">
        <v>99</v>
      </c>
      <c r="B12" s="19" t="n">
        <f aca="false">B10+B11</f>
        <v>43370</v>
      </c>
      <c r="C12" s="18"/>
      <c r="D12" s="18"/>
      <c r="E12" s="18"/>
    </row>
    <row r="14" customFormat="false" ht="15" hidden="false" customHeight="true" outlineLevel="0" collapsed="false">
      <c r="A14" s="6" t="s">
        <v>100</v>
      </c>
      <c r="B14" s="7" t="n">
        <v>12000</v>
      </c>
      <c r="C14" s="18" t="s">
        <v>101</v>
      </c>
      <c r="D14" s="18"/>
      <c r="E14" s="18"/>
    </row>
    <row r="16" customFormat="false" ht="15" hidden="false" customHeight="true" outlineLevel="0" collapsed="false">
      <c r="A16" s="4" t="s">
        <v>102</v>
      </c>
      <c r="B16" s="4"/>
      <c r="C16" s="4"/>
      <c r="D16" s="4"/>
      <c r="E16" s="4"/>
    </row>
    <row r="17" customFormat="false" ht="15" hidden="false" customHeight="true" outlineLevel="0" collapsed="false">
      <c r="A17" s="6" t="s">
        <v>103</v>
      </c>
      <c r="B17" s="7" t="n">
        <v>83500</v>
      </c>
      <c r="C17" s="18" t="s">
        <v>104</v>
      </c>
      <c r="D17" s="18"/>
      <c r="E17" s="18"/>
    </row>
    <row r="18" customFormat="false" ht="15" hidden="false" customHeight="true" outlineLevel="0" collapsed="false">
      <c r="A18" s="6" t="s">
        <v>105</v>
      </c>
      <c r="B18" s="20" t="n">
        <v>0.4775</v>
      </c>
      <c r="C18" s="18" t="s">
        <v>106</v>
      </c>
      <c r="D18" s="18"/>
      <c r="E18" s="18"/>
    </row>
    <row r="19" customFormat="false" ht="15" hidden="false" customHeight="true" outlineLevel="0" collapsed="false">
      <c r="A19" s="9" t="s">
        <v>107</v>
      </c>
      <c r="B19" s="19" t="n">
        <f aca="false">B17*B18</f>
        <v>39871.25</v>
      </c>
      <c r="C19" s="18" t="s">
        <v>108</v>
      </c>
      <c r="D19" s="18"/>
      <c r="E19" s="18"/>
    </row>
    <row r="20" customFormat="false" ht="15" hidden="false" customHeight="true" outlineLevel="0" collapsed="false">
      <c r="A20" s="6" t="s">
        <v>109</v>
      </c>
      <c r="B20" s="7" t="n">
        <v>2200</v>
      </c>
      <c r="C20" s="18" t="s">
        <v>110</v>
      </c>
      <c r="D20" s="18"/>
      <c r="E20" s="18"/>
    </row>
    <row r="21" customFormat="false" ht="15" hidden="false" customHeight="true" outlineLevel="0" collapsed="false">
      <c r="A21" s="9" t="s">
        <v>111</v>
      </c>
      <c r="B21" s="10" t="n">
        <f aca="false">B19+B20</f>
        <v>42071.25</v>
      </c>
      <c r="C21" s="18" t="s">
        <v>112</v>
      </c>
      <c r="D21" s="18"/>
      <c r="E21" s="18"/>
    </row>
    <row r="23" customFormat="false" ht="15" hidden="false" customHeight="true" outlineLevel="0" collapsed="false">
      <c r="A23" s="4" t="s">
        <v>113</v>
      </c>
      <c r="B23" s="4"/>
      <c r="C23" s="4"/>
      <c r="D23" s="4"/>
      <c r="E23" s="4"/>
    </row>
    <row r="24" customFormat="false" ht="15" hidden="false" customHeight="true" outlineLevel="0" collapsed="false">
      <c r="A24" s="1" t="s">
        <v>114</v>
      </c>
      <c r="B24" s="21" t="n">
        <f aca="false">B12/B21</f>
        <v>1.03087024987373</v>
      </c>
      <c r="C24" s="18" t="s">
        <v>115</v>
      </c>
      <c r="D24" s="18"/>
      <c r="E24" s="18"/>
    </row>
    <row r="26" customFormat="false" ht="15" hidden="false" customHeight="true" outlineLevel="0" collapsed="false">
      <c r="A26" s="4" t="s">
        <v>116</v>
      </c>
      <c r="B26" s="4"/>
      <c r="C26" s="4"/>
      <c r="D26" s="4"/>
      <c r="E26" s="4"/>
    </row>
    <row r="27" customFormat="false" ht="15" hidden="false" customHeight="true" outlineLevel="0" collapsed="false">
      <c r="A27" s="22" t="s">
        <v>117</v>
      </c>
      <c r="B27" s="22" t="s">
        <v>118</v>
      </c>
      <c r="C27" s="22" t="s">
        <v>119</v>
      </c>
      <c r="D27" s="22" t="s">
        <v>120</v>
      </c>
      <c r="E27" s="22" t="s">
        <v>121</v>
      </c>
    </row>
    <row r="28" customFormat="false" ht="15" hidden="false" customHeight="true" outlineLevel="0" collapsed="false">
      <c r="A28" s="6" t="s">
        <v>122</v>
      </c>
      <c r="B28" s="23" t="n">
        <f aca="false">$B$8</f>
        <v>8544</v>
      </c>
      <c r="C28" s="23" t="n">
        <f aca="false">$B$8</f>
        <v>8544</v>
      </c>
      <c r="D28" s="23" t="n">
        <f aca="false">$B$8</f>
        <v>8544</v>
      </c>
      <c r="E28" s="23" t="n">
        <f aca="false">$B$8</f>
        <v>8544</v>
      </c>
    </row>
    <row r="29" customFormat="false" ht="15" hidden="false" customHeight="true" outlineLevel="0" collapsed="false">
      <c r="A29" s="6" t="s">
        <v>123</v>
      </c>
      <c r="B29" s="24" t="n">
        <f aca="false">-$B$14</f>
        <v>-12000</v>
      </c>
      <c r="C29" s="24" t="n">
        <f aca="false">-$B$14</f>
        <v>-12000</v>
      </c>
      <c r="D29" s="24" t="n">
        <f aca="false">-$B$14</f>
        <v>-12000</v>
      </c>
      <c r="E29" s="24" t="n">
        <f aca="false">-$B$14</f>
        <v>-12000</v>
      </c>
    </row>
    <row r="30" customFormat="false" ht="15" hidden="false" customHeight="true" outlineLevel="0" collapsed="false">
      <c r="A30" s="25" t="s">
        <v>124</v>
      </c>
      <c r="B30" s="26" t="n">
        <f aca="false">B28+B29</f>
        <v>-3456</v>
      </c>
      <c r="C30" s="26" t="n">
        <f aca="false">C28+C29</f>
        <v>-3456</v>
      </c>
      <c r="D30" s="26" t="n">
        <f aca="false">D28+D29</f>
        <v>-3456</v>
      </c>
      <c r="E30" s="26" t="n">
        <f aca="false">E28+E29</f>
        <v>-3456</v>
      </c>
    </row>
    <row r="31" customFormat="false" ht="15" hidden="false" customHeight="true" outlineLevel="0" collapsed="false">
      <c r="A31" s="6" t="s">
        <v>125</v>
      </c>
      <c r="B31" s="23" t="n">
        <f aca="false">'FY2026E Build'!C10</f>
        <v>10349</v>
      </c>
      <c r="C31" s="23" t="n">
        <f aca="false">'FY2026E Build'!C10</f>
        <v>10349</v>
      </c>
      <c r="D31" s="23" t="n">
        <f aca="false">'FY2026E Build'!C10</f>
        <v>10349</v>
      </c>
      <c r="E31" s="23" t="n">
        <f aca="false">'FY2026E Build'!C10</f>
        <v>10349</v>
      </c>
    </row>
    <row r="32" customFormat="false" ht="15" hidden="false" customHeight="true" outlineLevel="0" collapsed="false">
      <c r="A32" s="6" t="s">
        <v>126</v>
      </c>
      <c r="B32" s="23" t="n">
        <f aca="false">1.5*$B$21-$B$12</f>
        <v>19736.875</v>
      </c>
      <c r="C32" s="23" t="n">
        <f aca="false">2*$B$21-$B$12</f>
        <v>40772.5</v>
      </c>
      <c r="D32" s="23" t="n">
        <f aca="false">2.5*$B$21-$B$12</f>
        <v>61808.125</v>
      </c>
      <c r="E32" s="23" t="n">
        <f aca="false">3*$B$21-$B$12</f>
        <v>82843.75</v>
      </c>
    </row>
    <row r="33" customFormat="false" ht="15" hidden="false" customHeight="true" outlineLevel="0" collapsed="false">
      <c r="A33" s="27" t="s">
        <v>127</v>
      </c>
      <c r="B33" s="28" t="s">
        <v>128</v>
      </c>
      <c r="C33" s="28" t="s">
        <v>129</v>
      </c>
      <c r="D33" s="28" t="s">
        <v>130</v>
      </c>
      <c r="E33" s="28" t="s">
        <v>131</v>
      </c>
    </row>
    <row r="35" customFormat="false" ht="15" hidden="false" customHeight="true" outlineLevel="0" collapsed="false">
      <c r="A35" s="4" t="s">
        <v>132</v>
      </c>
      <c r="B35" s="4"/>
      <c r="C35" s="4"/>
      <c r="D35" s="4"/>
      <c r="E35" s="4"/>
    </row>
    <row r="36" customFormat="false" ht="15" hidden="false" customHeight="true" outlineLevel="0" collapsed="false">
      <c r="A36" s="13" t="s">
        <v>133</v>
      </c>
      <c r="B36" s="13"/>
      <c r="C36" s="13"/>
      <c r="D36" s="13"/>
      <c r="E36" s="13"/>
    </row>
    <row r="37" customFormat="false" ht="15" hidden="false" customHeight="true" outlineLevel="0" collapsed="false">
      <c r="A37" s="13" t="s">
        <v>134</v>
      </c>
      <c r="B37" s="13"/>
      <c r="C37" s="13"/>
      <c r="D37" s="13"/>
      <c r="E37" s="13"/>
    </row>
    <row r="38" customFormat="false" ht="15" hidden="false" customHeight="true" outlineLevel="0" collapsed="false">
      <c r="A38" s="13" t="s">
        <v>135</v>
      </c>
      <c r="B38" s="13"/>
      <c r="C38" s="13"/>
      <c r="D38" s="13"/>
      <c r="E38" s="13"/>
    </row>
    <row r="39" customFormat="false" ht="15" hidden="false" customHeight="true" outlineLevel="0" collapsed="false">
      <c r="A39" s="13" t="s">
        <v>136</v>
      </c>
      <c r="B39" s="13"/>
      <c r="C39" s="13"/>
      <c r="D39" s="13"/>
      <c r="E39" s="13"/>
    </row>
    <row r="40" customFormat="false" ht="15" hidden="false" customHeight="true" outlineLevel="0" collapsed="false">
      <c r="A40" s="13" t="s">
        <v>137</v>
      </c>
      <c r="B40" s="13"/>
      <c r="C40" s="13"/>
      <c r="D40" s="13"/>
      <c r="E40" s="13"/>
    </row>
    <row r="41" customFormat="false" ht="15" hidden="false" customHeight="true" outlineLevel="0" collapsed="false">
      <c r="A41" s="13" t="s">
        <v>138</v>
      </c>
      <c r="B41" s="13"/>
      <c r="C41" s="13"/>
      <c r="D41" s="13"/>
      <c r="E41" s="13"/>
    </row>
  </sheetData>
  <mergeCells count="27">
    <mergeCell ref="A1:E1"/>
    <mergeCell ref="A2:E2"/>
    <mergeCell ref="A4:E4"/>
    <mergeCell ref="C5:E5"/>
    <mergeCell ref="C6:E6"/>
    <mergeCell ref="C7:E7"/>
    <mergeCell ref="C8:E8"/>
    <mergeCell ref="C10:E10"/>
    <mergeCell ref="C11:E11"/>
    <mergeCell ref="C12:E12"/>
    <mergeCell ref="C14:E14"/>
    <mergeCell ref="A16:E16"/>
    <mergeCell ref="C17:E17"/>
    <mergeCell ref="C18:E18"/>
    <mergeCell ref="C19:E19"/>
    <mergeCell ref="C20:E20"/>
    <mergeCell ref="C21:E21"/>
    <mergeCell ref="A23:E23"/>
    <mergeCell ref="C24:E24"/>
    <mergeCell ref="A26:E26"/>
    <mergeCell ref="A35:E35"/>
    <mergeCell ref="A36:E36"/>
    <mergeCell ref="A37:E37"/>
    <mergeCell ref="A38:E38"/>
    <mergeCell ref="A39:E39"/>
    <mergeCell ref="A40:E4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29" t="s">
        <v>139</v>
      </c>
      <c r="B1" s="29"/>
      <c r="C1" s="29"/>
      <c r="D1" s="29"/>
      <c r="E1" s="29"/>
      <c r="F1" s="29"/>
      <c r="G1" s="29"/>
      <c r="H1" s="29"/>
      <c r="I1" s="29"/>
    </row>
    <row r="2" customFormat="false" ht="15" hidden="false" customHeight="false" outlineLevel="0" collapsed="false">
      <c r="A2" s="30" t="s">
        <v>140</v>
      </c>
      <c r="B2" s="30"/>
      <c r="C2" s="30"/>
      <c r="D2" s="30"/>
      <c r="E2" s="30"/>
      <c r="F2" s="30"/>
      <c r="G2" s="30"/>
      <c r="H2" s="30"/>
      <c r="I2" s="30"/>
    </row>
    <row r="4" customFormat="false" ht="15" hidden="false" customHeight="false" outlineLevel="0" collapsed="false">
      <c r="A4" s="31" t="s">
        <v>141</v>
      </c>
      <c r="B4" s="32" t="n">
        <f aca="false">Firepower!B12</f>
        <v>43370</v>
      </c>
      <c r="C4" s="33" t="s">
        <v>142</v>
      </c>
      <c r="D4" s="33"/>
      <c r="E4" s="33"/>
      <c r="F4" s="33"/>
      <c r="G4" s="33"/>
      <c r="H4" s="33"/>
      <c r="I4" s="33"/>
    </row>
    <row r="6" customFormat="false" ht="39.75" hidden="false" customHeight="true" outlineLevel="0" collapsed="false">
      <c r="A6" s="34" t="s">
        <v>143</v>
      </c>
      <c r="B6" s="35" t="s">
        <v>144</v>
      </c>
      <c r="C6" s="35" t="s">
        <v>145</v>
      </c>
      <c r="D6" s="35" t="s">
        <v>146</v>
      </c>
      <c r="E6" s="35" t="s">
        <v>147</v>
      </c>
      <c r="F6" s="35" t="s">
        <v>148</v>
      </c>
      <c r="G6" s="35" t="s">
        <v>149</v>
      </c>
      <c r="H6" s="35" t="s">
        <v>150</v>
      </c>
    </row>
    <row r="7" customFormat="false" ht="15" hidden="false" customHeight="false" outlineLevel="0" collapsed="false">
      <c r="A7" s="34"/>
      <c r="B7" s="36" t="n">
        <v>1</v>
      </c>
      <c r="C7" s="36" t="n">
        <v>1.5</v>
      </c>
      <c r="D7" s="36" t="n">
        <v>2</v>
      </c>
      <c r="E7" s="36" t="n">
        <v>2.5</v>
      </c>
      <c r="F7" s="36" t="n">
        <v>3</v>
      </c>
      <c r="G7" s="36" t="n">
        <v>3.5</v>
      </c>
      <c r="H7" s="36" t="n">
        <v>4</v>
      </c>
    </row>
    <row r="8" customFormat="false" ht="15" hidden="false" customHeight="false" outlineLevel="0" collapsed="false">
      <c r="A8" s="37" t="n">
        <v>30000</v>
      </c>
      <c r="B8" s="38" t="n">
        <f aca="false">B$7*$A8-$B$4</f>
        <v>-13370</v>
      </c>
      <c r="C8" s="39" t="n">
        <f aca="false">C$7*$A8-$B$4</f>
        <v>1630</v>
      </c>
      <c r="D8" s="40" t="n">
        <f aca="false">D$7*$A8-$B$4</f>
        <v>16630</v>
      </c>
      <c r="E8" s="38" t="n">
        <f aca="false">E$7*$A8-$B$4</f>
        <v>31630</v>
      </c>
      <c r="F8" s="38" t="n">
        <f aca="false">F$7*$A8-$B$4</f>
        <v>46630</v>
      </c>
      <c r="G8" s="38" t="n">
        <f aca="false">G$7*$A8-$B$4</f>
        <v>61630</v>
      </c>
      <c r="H8" s="38" t="n">
        <f aca="false">H$7*$A8-$B$4</f>
        <v>76630</v>
      </c>
    </row>
    <row r="9" customFormat="false" ht="15" hidden="false" customHeight="false" outlineLevel="0" collapsed="false">
      <c r="A9" s="37" t="n">
        <v>32000</v>
      </c>
      <c r="B9" s="38" t="n">
        <f aca="false">B$7*$A9-$B$4</f>
        <v>-11370</v>
      </c>
      <c r="C9" s="39" t="n">
        <f aca="false">C$7*$A9-$B$4</f>
        <v>4630</v>
      </c>
      <c r="D9" s="40" t="n">
        <f aca="false">D$7*$A9-$B$4</f>
        <v>20630</v>
      </c>
      <c r="E9" s="38" t="n">
        <f aca="false">E$7*$A9-$B$4</f>
        <v>36630</v>
      </c>
      <c r="F9" s="38" t="n">
        <f aca="false">F$7*$A9-$B$4</f>
        <v>52630</v>
      </c>
      <c r="G9" s="38" t="n">
        <f aca="false">G$7*$A9-$B$4</f>
        <v>68630</v>
      </c>
      <c r="H9" s="38" t="n">
        <f aca="false">H$7*$A9-$B$4</f>
        <v>84630</v>
      </c>
    </row>
    <row r="10" customFormat="false" ht="15" hidden="false" customHeight="false" outlineLevel="0" collapsed="false">
      <c r="A10" s="37" t="n">
        <v>34000</v>
      </c>
      <c r="B10" s="38" t="n">
        <f aca="false">B$7*$A10-$B$4</f>
        <v>-9370</v>
      </c>
      <c r="C10" s="39" t="n">
        <f aca="false">C$7*$A10-$B$4</f>
        <v>7630</v>
      </c>
      <c r="D10" s="40" t="n">
        <f aca="false">D$7*$A10-$B$4</f>
        <v>24630</v>
      </c>
      <c r="E10" s="38" t="n">
        <f aca="false">E$7*$A10-$B$4</f>
        <v>41630</v>
      </c>
      <c r="F10" s="38" t="n">
        <f aca="false">F$7*$A10-$B$4</f>
        <v>58630</v>
      </c>
      <c r="G10" s="38" t="n">
        <f aca="false">G$7*$A10-$B$4</f>
        <v>75630</v>
      </c>
      <c r="H10" s="38" t="n">
        <f aca="false">H$7*$A10-$B$4</f>
        <v>92630</v>
      </c>
    </row>
    <row r="11" customFormat="false" ht="15" hidden="false" customHeight="false" outlineLevel="0" collapsed="false">
      <c r="A11" s="37" t="n">
        <v>36000</v>
      </c>
      <c r="B11" s="38" t="n">
        <f aca="false">B$7*$A11-$B$4</f>
        <v>-7370</v>
      </c>
      <c r="C11" s="39" t="n">
        <f aca="false">C$7*$A11-$B$4</f>
        <v>10630</v>
      </c>
      <c r="D11" s="40" t="n">
        <f aca="false">D$7*$A11-$B$4</f>
        <v>28630</v>
      </c>
      <c r="E11" s="38" t="n">
        <f aca="false">E$7*$A11-$B$4</f>
        <v>46630</v>
      </c>
      <c r="F11" s="38" t="n">
        <f aca="false">F$7*$A11-$B$4</f>
        <v>64630</v>
      </c>
      <c r="G11" s="38" t="n">
        <f aca="false">G$7*$A11-$B$4</f>
        <v>82630</v>
      </c>
      <c r="H11" s="38" t="n">
        <f aca="false">H$7*$A11-$B$4</f>
        <v>100630</v>
      </c>
    </row>
    <row r="12" customFormat="false" ht="15" hidden="false" customHeight="false" outlineLevel="0" collapsed="false">
      <c r="A12" s="37" t="n">
        <v>38000</v>
      </c>
      <c r="B12" s="38" t="n">
        <f aca="false">B$7*$A12-$B$4</f>
        <v>-5370</v>
      </c>
      <c r="C12" s="39" t="n">
        <f aca="false">C$7*$A12-$B$4</f>
        <v>13630</v>
      </c>
      <c r="D12" s="40" t="n">
        <f aca="false">D$7*$A12-$B$4</f>
        <v>32630</v>
      </c>
      <c r="E12" s="38" t="n">
        <f aca="false">E$7*$A12-$B$4</f>
        <v>51630</v>
      </c>
      <c r="F12" s="38" t="n">
        <f aca="false">F$7*$A12-$B$4</f>
        <v>70630</v>
      </c>
      <c r="G12" s="38" t="n">
        <f aca="false">G$7*$A12-$B$4</f>
        <v>89630</v>
      </c>
      <c r="H12" s="38" t="n">
        <f aca="false">H$7*$A12-$B$4</f>
        <v>108630</v>
      </c>
    </row>
    <row r="13" customFormat="false" ht="15" hidden="false" customHeight="false" outlineLevel="0" collapsed="false">
      <c r="A13" s="37" t="n">
        <v>40000</v>
      </c>
      <c r="B13" s="38" t="n">
        <f aca="false">B$7*$A13-$B$4</f>
        <v>-3370</v>
      </c>
      <c r="C13" s="39" t="n">
        <f aca="false">C$7*$A13-$B$4</f>
        <v>16630</v>
      </c>
      <c r="D13" s="40" t="n">
        <f aca="false">D$7*$A13-$B$4</f>
        <v>36630</v>
      </c>
      <c r="E13" s="38" t="n">
        <f aca="false">E$7*$A13-$B$4</f>
        <v>56630</v>
      </c>
      <c r="F13" s="38" t="n">
        <f aca="false">F$7*$A13-$B$4</f>
        <v>76630</v>
      </c>
      <c r="G13" s="38" t="n">
        <f aca="false">G$7*$A13-$B$4</f>
        <v>96630</v>
      </c>
      <c r="H13" s="38" t="n">
        <f aca="false">H$7*$A13-$B$4</f>
        <v>116630</v>
      </c>
    </row>
    <row r="14" customFormat="false" ht="15" hidden="false" customHeight="false" outlineLevel="0" collapsed="false">
      <c r="A14" s="41" t="n">
        <v>42000</v>
      </c>
      <c r="B14" s="42" t="n">
        <f aca="false">B$7*$A14-$B$4</f>
        <v>-1370</v>
      </c>
      <c r="C14" s="43" t="n">
        <f aca="false">C$7*$A14-$B$4</f>
        <v>19630</v>
      </c>
      <c r="D14" s="42" t="n">
        <f aca="false">D$7*$A14-$B$4</f>
        <v>40630</v>
      </c>
      <c r="E14" s="42" t="n">
        <f aca="false">E$7*$A14-$B$4</f>
        <v>61630</v>
      </c>
      <c r="F14" s="42" t="n">
        <f aca="false">F$7*$A14-$B$4</f>
        <v>82630</v>
      </c>
      <c r="G14" s="42" t="n">
        <f aca="false">G$7*$A14-$B$4</f>
        <v>103630</v>
      </c>
      <c r="H14" s="42" t="n">
        <f aca="false">H$7*$A14-$B$4</f>
        <v>124630</v>
      </c>
      <c r="I14" s="44" t="s">
        <v>151</v>
      </c>
    </row>
    <row r="15" customFormat="false" ht="15" hidden="false" customHeight="false" outlineLevel="0" collapsed="false">
      <c r="A15" s="37" t="n">
        <v>44000</v>
      </c>
      <c r="B15" s="38" t="n">
        <f aca="false">B$7*$A15-$B$4</f>
        <v>630</v>
      </c>
      <c r="C15" s="39" t="n">
        <f aca="false">C$7*$A15-$B$4</f>
        <v>22630</v>
      </c>
      <c r="D15" s="40" t="n">
        <f aca="false">D$7*$A15-$B$4</f>
        <v>44630</v>
      </c>
      <c r="E15" s="38" t="n">
        <f aca="false">E$7*$A15-$B$4</f>
        <v>66630</v>
      </c>
      <c r="F15" s="38" t="n">
        <f aca="false">F$7*$A15-$B$4</f>
        <v>88630</v>
      </c>
      <c r="G15" s="38" t="n">
        <f aca="false">G$7*$A15-$B$4</f>
        <v>110630</v>
      </c>
      <c r="H15" s="38" t="n">
        <f aca="false">H$7*$A15-$B$4</f>
        <v>132630</v>
      </c>
    </row>
    <row r="16" customFormat="false" ht="15" hidden="false" customHeight="false" outlineLevel="0" collapsed="false">
      <c r="A16" s="37" t="n">
        <v>46000</v>
      </c>
      <c r="B16" s="38" t="n">
        <f aca="false">B$7*$A16-$B$4</f>
        <v>2630</v>
      </c>
      <c r="C16" s="39" t="n">
        <f aca="false">C$7*$A16-$B$4</f>
        <v>25630</v>
      </c>
      <c r="D16" s="40" t="n">
        <f aca="false">D$7*$A16-$B$4</f>
        <v>48630</v>
      </c>
      <c r="E16" s="38" t="n">
        <f aca="false">E$7*$A16-$B$4</f>
        <v>71630</v>
      </c>
      <c r="F16" s="38" t="n">
        <f aca="false">F$7*$A16-$B$4</f>
        <v>94630</v>
      </c>
      <c r="G16" s="38" t="n">
        <f aca="false">G$7*$A16-$B$4</f>
        <v>117630</v>
      </c>
      <c r="H16" s="38" t="n">
        <f aca="false">H$7*$A16-$B$4</f>
        <v>140630</v>
      </c>
    </row>
    <row r="17" customFormat="false" ht="15" hidden="false" customHeight="false" outlineLevel="0" collapsed="false">
      <c r="A17" s="37" t="n">
        <v>48000</v>
      </c>
      <c r="B17" s="38" t="n">
        <f aca="false">B$7*$A17-$B$4</f>
        <v>4630</v>
      </c>
      <c r="C17" s="39" t="n">
        <f aca="false">C$7*$A17-$B$4</f>
        <v>28630</v>
      </c>
      <c r="D17" s="40" t="n">
        <f aca="false">D$7*$A17-$B$4</f>
        <v>52630</v>
      </c>
      <c r="E17" s="38" t="n">
        <f aca="false">E$7*$A17-$B$4</f>
        <v>76630</v>
      </c>
      <c r="F17" s="38" t="n">
        <f aca="false">F$7*$A17-$B$4</f>
        <v>100630</v>
      </c>
      <c r="G17" s="38" t="n">
        <f aca="false">G$7*$A17-$B$4</f>
        <v>124630</v>
      </c>
      <c r="H17" s="38" t="n">
        <f aca="false">H$7*$A17-$B$4</f>
        <v>148630</v>
      </c>
    </row>
    <row r="18" customFormat="false" ht="15" hidden="false" customHeight="false" outlineLevel="0" collapsed="false">
      <c r="A18" s="37" t="n">
        <v>50000</v>
      </c>
      <c r="B18" s="38" t="n">
        <f aca="false">B$7*$A18-$B$4</f>
        <v>6630</v>
      </c>
      <c r="C18" s="39" t="n">
        <f aca="false">C$7*$A18-$B$4</f>
        <v>31630</v>
      </c>
      <c r="D18" s="40" t="n">
        <f aca="false">D$7*$A18-$B$4</f>
        <v>56630</v>
      </c>
      <c r="E18" s="38" t="n">
        <f aca="false">E$7*$A18-$B$4</f>
        <v>81630</v>
      </c>
      <c r="F18" s="38" t="n">
        <f aca="false">F$7*$A18-$B$4</f>
        <v>106630</v>
      </c>
      <c r="G18" s="38" t="n">
        <f aca="false">G$7*$A18-$B$4</f>
        <v>131630</v>
      </c>
      <c r="H18" s="38" t="n">
        <f aca="false">H$7*$A18-$B$4</f>
        <v>156630</v>
      </c>
    </row>
    <row r="21" customFormat="false" ht="15" hidden="false" customHeight="false" outlineLevel="0" collapsed="false">
      <c r="A21" s="45" t="s">
        <v>152</v>
      </c>
      <c r="B21" s="45"/>
      <c r="C21" s="45"/>
      <c r="D21" s="45"/>
      <c r="E21" s="45"/>
      <c r="F21" s="45"/>
      <c r="G21" s="45"/>
      <c r="H21" s="45"/>
      <c r="I21" s="45"/>
    </row>
    <row r="22" customFormat="false" ht="15" hidden="false" customHeight="false" outlineLevel="0" collapsed="false">
      <c r="A22" s="46" t="s">
        <v>153</v>
      </c>
      <c r="B22" s="46"/>
      <c r="C22" s="46"/>
      <c r="D22" s="46"/>
      <c r="E22" s="46"/>
      <c r="F22" s="46"/>
      <c r="G22" s="46"/>
      <c r="H22" s="46"/>
      <c r="I22" s="46"/>
    </row>
    <row r="23" customFormat="false" ht="15" hidden="false" customHeight="false" outlineLevel="0" collapsed="false">
      <c r="A23" s="46" t="s">
        <v>154</v>
      </c>
      <c r="B23" s="46"/>
      <c r="C23" s="46"/>
      <c r="D23" s="46"/>
      <c r="E23" s="46"/>
      <c r="F23" s="46"/>
      <c r="G23" s="46"/>
      <c r="H23" s="46"/>
      <c r="I23" s="46"/>
    </row>
    <row r="24" customFormat="false" ht="15" hidden="false" customHeight="false" outlineLevel="0" collapsed="false">
      <c r="A24" s="46" t="s">
        <v>155</v>
      </c>
      <c r="B24" s="46"/>
      <c r="C24" s="46"/>
      <c r="D24" s="46"/>
      <c r="E24" s="46"/>
      <c r="F24" s="46"/>
      <c r="G24" s="46"/>
      <c r="H24" s="46"/>
      <c r="I24" s="46"/>
    </row>
    <row r="25" customFormat="false" ht="15" hidden="false" customHeight="false" outlineLevel="0" collapsed="false">
      <c r="A25" s="46" t="s">
        <v>156</v>
      </c>
      <c r="B25" s="46"/>
      <c r="C25" s="46"/>
      <c r="D25" s="46"/>
      <c r="E25" s="46"/>
      <c r="F25" s="46"/>
      <c r="G25" s="46"/>
      <c r="H25" s="46"/>
      <c r="I25" s="46"/>
    </row>
    <row r="26" customFormat="false" ht="15" hidden="false" customHeight="false" outlineLevel="0" collapsed="false">
      <c r="A26" s="46" t="s">
        <v>157</v>
      </c>
      <c r="B26" s="46"/>
      <c r="C26" s="46"/>
      <c r="D26" s="46"/>
      <c r="E26" s="46"/>
      <c r="F26" s="46"/>
      <c r="G26" s="46"/>
      <c r="H26" s="46"/>
      <c r="I26" s="46"/>
    </row>
    <row r="27" customFormat="false" ht="15" hidden="false" customHeight="false" outlineLevel="0" collapsed="false">
      <c r="A27" s="46" t="s">
        <v>158</v>
      </c>
      <c r="B27" s="46"/>
      <c r="C27" s="46"/>
      <c r="D27" s="46"/>
      <c r="E27" s="46"/>
      <c r="F27" s="46"/>
      <c r="G27" s="46"/>
      <c r="H27" s="46"/>
      <c r="I27" s="46"/>
    </row>
    <row r="28" customFormat="false" ht="15" hidden="false" customHeight="false" outlineLevel="0" collapsed="false">
      <c r="A28" s="46" t="s">
        <v>159</v>
      </c>
      <c r="B28" s="46"/>
      <c r="C28" s="46"/>
      <c r="D28" s="46"/>
      <c r="E28" s="46"/>
      <c r="F28" s="46"/>
      <c r="G28" s="46"/>
      <c r="H28" s="46"/>
      <c r="I28" s="46"/>
    </row>
    <row r="31" customFormat="false" ht="15" hidden="false" customHeight="false" outlineLevel="0" collapsed="false">
      <c r="A31" s="45" t="s">
        <v>160</v>
      </c>
      <c r="B31" s="45"/>
      <c r="C31" s="45"/>
      <c r="D31" s="45"/>
      <c r="E31" s="45"/>
      <c r="F31" s="45"/>
      <c r="G31" s="45"/>
      <c r="H31" s="45"/>
      <c r="I31" s="45"/>
    </row>
    <row r="32" customFormat="false" ht="15" hidden="false" customHeight="false" outlineLevel="0" collapsed="false">
      <c r="A32" s="33" t="s">
        <v>161</v>
      </c>
      <c r="B32" s="33"/>
      <c r="C32" s="33"/>
      <c r="D32" s="33"/>
      <c r="E32" s="33"/>
      <c r="F32" s="33"/>
      <c r="G32" s="33"/>
      <c r="H32" s="33"/>
      <c r="I32" s="33"/>
    </row>
    <row r="34" customFormat="false" ht="15" hidden="false" customHeight="false" outlineLevel="0" collapsed="false">
      <c r="A34" s="0" t="s">
        <v>162</v>
      </c>
      <c r="B34" s="47" t="n">
        <f aca="false">Firepower!B30</f>
        <v>-3456</v>
      </c>
      <c r="C34" s="48"/>
      <c r="D34" s="48"/>
      <c r="E34" s="48"/>
      <c r="F34" s="48"/>
      <c r="G34" s="48"/>
      <c r="H34" s="48"/>
      <c r="I34" s="48"/>
    </row>
    <row r="35" customFormat="false" ht="15" hidden="false" customHeight="false" outlineLevel="0" collapsed="false">
      <c r="A35" s="0" t="s">
        <v>163</v>
      </c>
      <c r="B35" s="47" t="n">
        <f aca="false">Firepower!B31</f>
        <v>10349</v>
      </c>
      <c r="C35" s="48"/>
      <c r="D35" s="48"/>
      <c r="E35" s="48"/>
      <c r="F35" s="48"/>
      <c r="G35" s="48"/>
      <c r="H35" s="48"/>
      <c r="I35" s="48"/>
    </row>
    <row r="37" customFormat="false" ht="39.75" hidden="false" customHeight="true" outlineLevel="0" collapsed="false">
      <c r="A37" s="34" t="s">
        <v>143</v>
      </c>
      <c r="B37" s="35" t="s">
        <v>144</v>
      </c>
      <c r="C37" s="35" t="s">
        <v>145</v>
      </c>
      <c r="D37" s="35" t="s">
        <v>146</v>
      </c>
      <c r="E37" s="35" t="s">
        <v>147</v>
      </c>
      <c r="F37" s="35" t="s">
        <v>148</v>
      </c>
      <c r="G37" s="35" t="s">
        <v>149</v>
      </c>
      <c r="H37" s="35" t="s">
        <v>150</v>
      </c>
    </row>
    <row r="38" customFormat="false" ht="15" hidden="false" customHeight="false" outlineLevel="0" collapsed="false">
      <c r="A38" s="34"/>
      <c r="B38" s="36" t="n">
        <v>1</v>
      </c>
      <c r="C38" s="36" t="n">
        <v>1.5</v>
      </c>
      <c r="D38" s="36" t="n">
        <v>2</v>
      </c>
      <c r="E38" s="36" t="n">
        <v>2.5</v>
      </c>
      <c r="F38" s="36" t="n">
        <v>3</v>
      </c>
      <c r="G38" s="36" t="n">
        <v>3.5</v>
      </c>
      <c r="H38" s="36" t="n">
        <v>4</v>
      </c>
    </row>
    <row r="39" customFormat="false" ht="15" hidden="false" customHeight="false" outlineLevel="0" collapsed="false">
      <c r="A39" s="37" t="n">
        <v>30000</v>
      </c>
      <c r="B39" s="38" t="n">
        <f aca="false">B$38*$A39-$B$4+$B$33+$B$34</f>
        <v>-16826</v>
      </c>
      <c r="C39" s="39" t="n">
        <f aca="false">C$38*$A39-$B$4+$B$33+$B$34</f>
        <v>-1826</v>
      </c>
      <c r="D39" s="40" t="n">
        <f aca="false">D$38*$A39-$B$4+$B$33+$B$34</f>
        <v>13174</v>
      </c>
      <c r="E39" s="38" t="n">
        <f aca="false">E$38*$A39-$B$4+$B$33+$B$34</f>
        <v>28174</v>
      </c>
      <c r="F39" s="38" t="n">
        <f aca="false">F$38*$A39-$B$4+$B$33+$B$34</f>
        <v>43174</v>
      </c>
      <c r="G39" s="38" t="n">
        <f aca="false">G$38*$A39-$B$4+$B$33+$B$34</f>
        <v>58174</v>
      </c>
      <c r="H39" s="38" t="n">
        <f aca="false">H$38*$A39-$B$4+$B$33+$B$34</f>
        <v>73174</v>
      </c>
    </row>
    <row r="40" customFormat="false" ht="15" hidden="false" customHeight="false" outlineLevel="0" collapsed="false">
      <c r="A40" s="37" t="n">
        <v>32000</v>
      </c>
      <c r="B40" s="38" t="n">
        <f aca="false">B$38*$A40-$B$4+$B$33+$B$34</f>
        <v>-14826</v>
      </c>
      <c r="C40" s="39" t="n">
        <f aca="false">C$38*$A40-$B$4+$B$33+$B$34</f>
        <v>1174</v>
      </c>
      <c r="D40" s="40" t="n">
        <f aca="false">D$38*$A40-$B$4+$B$33+$B$34</f>
        <v>17174</v>
      </c>
      <c r="E40" s="38" t="n">
        <f aca="false">E$38*$A40-$B$4+$B$33+$B$34</f>
        <v>33174</v>
      </c>
      <c r="F40" s="38" t="n">
        <f aca="false">F$38*$A40-$B$4+$B$33+$B$34</f>
        <v>49174</v>
      </c>
      <c r="G40" s="38" t="n">
        <f aca="false">G$38*$A40-$B$4+$B$33+$B$34</f>
        <v>65174</v>
      </c>
      <c r="H40" s="38" t="n">
        <f aca="false">H$38*$A40-$B$4+$B$33+$B$34</f>
        <v>81174</v>
      </c>
    </row>
    <row r="41" customFormat="false" ht="15" hidden="false" customHeight="false" outlineLevel="0" collapsed="false">
      <c r="A41" s="37" t="n">
        <v>34000</v>
      </c>
      <c r="B41" s="38" t="n">
        <f aca="false">B$38*$A41-$B$4+$B$33+$B$34</f>
        <v>-12826</v>
      </c>
      <c r="C41" s="39" t="n">
        <f aca="false">C$38*$A41-$B$4+$B$33+$B$34</f>
        <v>4174</v>
      </c>
      <c r="D41" s="40" t="n">
        <f aca="false">D$38*$A41-$B$4+$B$33+$B$34</f>
        <v>21174</v>
      </c>
      <c r="E41" s="38" t="n">
        <f aca="false">E$38*$A41-$B$4+$B$33+$B$34</f>
        <v>38174</v>
      </c>
      <c r="F41" s="38" t="n">
        <f aca="false">F$38*$A41-$B$4+$B$33+$B$34</f>
        <v>55174</v>
      </c>
      <c r="G41" s="38" t="n">
        <f aca="false">G$38*$A41-$B$4+$B$33+$B$34</f>
        <v>72174</v>
      </c>
      <c r="H41" s="38" t="n">
        <f aca="false">H$38*$A41-$B$4+$B$33+$B$34</f>
        <v>89174</v>
      </c>
    </row>
    <row r="42" customFormat="false" ht="15" hidden="false" customHeight="false" outlineLevel="0" collapsed="false">
      <c r="A42" s="37" t="n">
        <v>36000</v>
      </c>
      <c r="B42" s="38" t="n">
        <f aca="false">B$38*$A42-$B$4+$B$33+$B$34</f>
        <v>-10826</v>
      </c>
      <c r="C42" s="39" t="n">
        <f aca="false">C$38*$A42-$B$4+$B$33+$B$34</f>
        <v>7174</v>
      </c>
      <c r="D42" s="40" t="n">
        <f aca="false">D$38*$A42-$B$4+$B$33+$B$34</f>
        <v>25174</v>
      </c>
      <c r="E42" s="38" t="n">
        <f aca="false">E$38*$A42-$B$4+$B$33+$B$34</f>
        <v>43174</v>
      </c>
      <c r="F42" s="38" t="n">
        <f aca="false">F$38*$A42-$B$4+$B$33+$B$34</f>
        <v>61174</v>
      </c>
      <c r="G42" s="38" t="n">
        <f aca="false">G$38*$A42-$B$4+$B$33+$B$34</f>
        <v>79174</v>
      </c>
      <c r="H42" s="38" t="n">
        <f aca="false">H$38*$A42-$B$4+$B$33+$B$34</f>
        <v>97174</v>
      </c>
    </row>
    <row r="43" customFormat="false" ht="15" hidden="false" customHeight="false" outlineLevel="0" collapsed="false">
      <c r="A43" s="37" t="n">
        <v>38000</v>
      </c>
      <c r="B43" s="38" t="n">
        <f aca="false">B$38*$A43-$B$4+$B$33+$B$34</f>
        <v>-8826</v>
      </c>
      <c r="C43" s="39" t="n">
        <f aca="false">C$38*$A43-$B$4+$B$33+$B$34</f>
        <v>10174</v>
      </c>
      <c r="D43" s="40" t="n">
        <f aca="false">D$38*$A43-$B$4+$B$33+$B$34</f>
        <v>29174</v>
      </c>
      <c r="E43" s="38" t="n">
        <f aca="false">E$38*$A43-$B$4+$B$33+$B$34</f>
        <v>48174</v>
      </c>
      <c r="F43" s="38" t="n">
        <f aca="false">F$38*$A43-$B$4+$B$33+$B$34</f>
        <v>67174</v>
      </c>
      <c r="G43" s="38" t="n">
        <f aca="false">G$38*$A43-$B$4+$B$33+$B$34</f>
        <v>86174</v>
      </c>
      <c r="H43" s="38" t="n">
        <f aca="false">H$38*$A43-$B$4+$B$33+$B$34</f>
        <v>105174</v>
      </c>
    </row>
    <row r="44" customFormat="false" ht="15" hidden="false" customHeight="false" outlineLevel="0" collapsed="false">
      <c r="A44" s="37" t="n">
        <v>40000</v>
      </c>
      <c r="B44" s="38" t="n">
        <f aca="false">B$38*$A44-$B$4+$B$33+$B$34</f>
        <v>-6826</v>
      </c>
      <c r="C44" s="39" t="n">
        <f aca="false">C$38*$A44-$B$4+$B$33+$B$34</f>
        <v>13174</v>
      </c>
      <c r="D44" s="40" t="n">
        <f aca="false">D$38*$A44-$B$4+$B$33+$B$34</f>
        <v>33174</v>
      </c>
      <c r="E44" s="38" t="n">
        <f aca="false">E$38*$A44-$B$4+$B$33+$B$34</f>
        <v>53174</v>
      </c>
      <c r="F44" s="38" t="n">
        <f aca="false">F$38*$A44-$B$4+$B$33+$B$34</f>
        <v>73174</v>
      </c>
      <c r="G44" s="38" t="n">
        <f aca="false">G$38*$A44-$B$4+$B$33+$B$34</f>
        <v>93174</v>
      </c>
      <c r="H44" s="38" t="n">
        <f aca="false">H$38*$A44-$B$4+$B$33+$B$34</f>
        <v>113174</v>
      </c>
    </row>
    <row r="45" customFormat="false" ht="15" hidden="false" customHeight="false" outlineLevel="0" collapsed="false">
      <c r="A45" s="41" t="n">
        <v>42000</v>
      </c>
      <c r="B45" s="42" t="n">
        <f aca="false">B$38*$A45-$B$4+$B$33+$B$34</f>
        <v>-4826</v>
      </c>
      <c r="C45" s="43" t="n">
        <f aca="false">C$38*$A45-$B$4+$B$33+$B$34</f>
        <v>16174</v>
      </c>
      <c r="D45" s="42" t="n">
        <f aca="false">D$38*$A45-$B$4+$B$33+$B$34</f>
        <v>37174</v>
      </c>
      <c r="E45" s="42" t="n">
        <f aca="false">E$38*$A45-$B$4+$B$33+$B$34</f>
        <v>58174</v>
      </c>
      <c r="F45" s="42" t="n">
        <f aca="false">F$38*$A45-$B$4+$B$33+$B$34</f>
        <v>79174</v>
      </c>
      <c r="G45" s="42" t="n">
        <f aca="false">G$38*$A45-$B$4+$B$33+$B$34</f>
        <v>100174</v>
      </c>
      <c r="H45" s="42" t="n">
        <f aca="false">H$38*$A45-$B$4+$B$33+$B$34</f>
        <v>121174</v>
      </c>
      <c r="I45" s="44" t="s">
        <v>151</v>
      </c>
    </row>
    <row r="46" customFormat="false" ht="15" hidden="false" customHeight="false" outlineLevel="0" collapsed="false">
      <c r="A46" s="37" t="n">
        <v>44000</v>
      </c>
      <c r="B46" s="38" t="n">
        <f aca="false">B$38*$A46-$B$4+$B$33+$B$34</f>
        <v>-2826</v>
      </c>
      <c r="C46" s="39" t="n">
        <f aca="false">C$38*$A46-$B$4+$B$33+$B$34</f>
        <v>19174</v>
      </c>
      <c r="D46" s="40" t="n">
        <f aca="false">D$38*$A46-$B$4+$B$33+$B$34</f>
        <v>41174</v>
      </c>
      <c r="E46" s="38" t="n">
        <f aca="false">E$38*$A46-$B$4+$B$33+$B$34</f>
        <v>63174</v>
      </c>
      <c r="F46" s="38" t="n">
        <f aca="false">F$38*$A46-$B$4+$B$33+$B$34</f>
        <v>85174</v>
      </c>
      <c r="G46" s="38" t="n">
        <f aca="false">G$38*$A46-$B$4+$B$33+$B$34</f>
        <v>107174</v>
      </c>
      <c r="H46" s="38" t="n">
        <f aca="false">H$38*$A46-$B$4+$B$33+$B$34</f>
        <v>129174</v>
      </c>
    </row>
    <row r="47" customFormat="false" ht="15" hidden="false" customHeight="false" outlineLevel="0" collapsed="false">
      <c r="A47" s="37" t="n">
        <v>46000</v>
      </c>
      <c r="B47" s="38" t="n">
        <f aca="false">B$38*$A47-$B$4+$B$33+$B$34</f>
        <v>-826</v>
      </c>
      <c r="C47" s="39" t="n">
        <f aca="false">C$38*$A47-$B$4+$B$33+$B$34</f>
        <v>22174</v>
      </c>
      <c r="D47" s="40" t="n">
        <f aca="false">D$38*$A47-$B$4+$B$33+$B$34</f>
        <v>45174</v>
      </c>
      <c r="E47" s="38" t="n">
        <f aca="false">E$38*$A47-$B$4+$B$33+$B$34</f>
        <v>68174</v>
      </c>
      <c r="F47" s="38" t="n">
        <f aca="false">F$38*$A47-$B$4+$B$33+$B$34</f>
        <v>91174</v>
      </c>
      <c r="G47" s="38" t="n">
        <f aca="false">G$38*$A47-$B$4+$B$33+$B$34</f>
        <v>114174</v>
      </c>
      <c r="H47" s="38" t="n">
        <f aca="false">H$38*$A47-$B$4+$B$33+$B$34</f>
        <v>137174</v>
      </c>
    </row>
    <row r="48" customFormat="false" ht="15" hidden="false" customHeight="false" outlineLevel="0" collapsed="false">
      <c r="A48" s="37" t="n">
        <v>48000</v>
      </c>
      <c r="B48" s="38" t="n">
        <f aca="false">B$38*$A48-$B$4+$B$33+$B$34</f>
        <v>1174</v>
      </c>
      <c r="C48" s="39" t="n">
        <f aca="false">C$38*$A48-$B$4+$B$33+$B$34</f>
        <v>25174</v>
      </c>
      <c r="D48" s="40" t="n">
        <f aca="false">D$38*$A48-$B$4+$B$33+$B$34</f>
        <v>49174</v>
      </c>
      <c r="E48" s="38" t="n">
        <f aca="false">E$38*$A48-$B$4+$B$33+$B$34</f>
        <v>73174</v>
      </c>
      <c r="F48" s="38" t="n">
        <f aca="false">F$38*$A48-$B$4+$B$33+$B$34</f>
        <v>97174</v>
      </c>
      <c r="G48" s="38" t="n">
        <f aca="false">G$38*$A48-$B$4+$B$33+$B$34</f>
        <v>121174</v>
      </c>
      <c r="H48" s="38" t="n">
        <f aca="false">H$38*$A48-$B$4+$B$33+$B$34</f>
        <v>145174</v>
      </c>
    </row>
    <row r="49" customFormat="false" ht="15" hidden="false" customHeight="false" outlineLevel="0" collapsed="false">
      <c r="A49" s="37" t="n">
        <v>50000</v>
      </c>
      <c r="B49" s="38" t="n">
        <f aca="false">B$38*$A49-$B$4+$B$33+$B$34</f>
        <v>3174</v>
      </c>
      <c r="C49" s="39" t="n">
        <f aca="false">C$38*$A49-$B$4+$B$33+$B$34</f>
        <v>28174</v>
      </c>
      <c r="D49" s="40" t="n">
        <f aca="false">D$38*$A49-$B$4+$B$33+$B$34</f>
        <v>53174</v>
      </c>
      <c r="E49" s="38" t="n">
        <f aca="false">E$38*$A49-$B$4+$B$33+$B$34</f>
        <v>78174</v>
      </c>
      <c r="F49" s="38" t="n">
        <f aca="false">F$38*$A49-$B$4+$B$33+$B$34</f>
        <v>103174</v>
      </c>
      <c r="G49" s="38" t="n">
        <f aca="false">G$38*$A49-$B$4+$B$33+$B$34</f>
        <v>128174</v>
      </c>
      <c r="H49" s="38" t="n">
        <f aca="false">H$38*$A49-$B$4+$B$33+$B$34</f>
        <v>153174</v>
      </c>
    </row>
  </sheetData>
  <mergeCells count="17">
    <mergeCell ref="A1:I1"/>
    <mergeCell ref="A2:I2"/>
    <mergeCell ref="C4:I4"/>
    <mergeCell ref="A6:A7"/>
    <mergeCell ref="A21:I21"/>
    <mergeCell ref="A22:I22"/>
    <mergeCell ref="A23:I23"/>
    <mergeCell ref="A24:I24"/>
    <mergeCell ref="A25:I25"/>
    <mergeCell ref="A26:I26"/>
    <mergeCell ref="A27:I27"/>
    <mergeCell ref="A28:I28"/>
    <mergeCell ref="A31:I31"/>
    <mergeCell ref="A32:I32"/>
    <mergeCell ref="C34:I34"/>
    <mergeCell ref="C35:I35"/>
    <mergeCell ref="A37:A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2026-04-30T21:11:50Z</dcterms:created>
  <dc:creator>openpyxl</dc:creator>
  <dc:description/>
  <dc:language>en-US</dc:language>
  <cp:lastModifiedBy/>
  <dcterms:modified xsi:type="dcterms:W3CDTF">2026-04-30T21:17:35Z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