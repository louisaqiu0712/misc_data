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louisaqiu/Documents/Claude/Projects/Research/"/>
    </mc:Choice>
  </mc:AlternateContent>
  <xr:revisionPtr revIDLastSave="0" documentId="13_ncr:1_{D52379A0-C4E4-F642-85FF-85A27A38A18D}" xr6:coauthVersionLast="47" xr6:coauthVersionMax="47" xr10:uidLastSave="{00000000-0000-0000-0000-000000000000}"/>
  <bookViews>
    <workbookView xWindow="-5280" yWindow="-21600" windowWidth="38400" windowHeight="21600" tabRatio="500" activeTab="6" xr2:uid="{00000000-000D-0000-FFFF-FFFF00000000}"/>
  </bookViews>
  <sheets>
    <sheet name="1L Raw Data" sheetId="1" r:id="rId1"/>
    <sheet name="2L Raw Data" sheetId="2" r:id="rId2"/>
    <sheet name="1L Screening Matrix" sheetId="3" r:id="rId3"/>
    <sheet name="2L Screening Matrix" sheetId="4" r:id="rId4"/>
    <sheet name="Target Landscape" sheetId="5" r:id="rId5"/>
    <sheet name="Biomarker Landscape" sheetId="6" r:id="rId6"/>
    <sheet name="Company View" sheetId="7" r:id="rId7"/>
    <sheet name="Histology x TPS" sheetId="8" r:id="rId8"/>
    <sheet name="Drug x Histology-Stage" sheetId="9" r:id="rId9"/>
  </sheets>
  <definedNames>
    <definedName name="_xlnm._FilterDatabase" localSheetId="0" hidden="1">'1L Raw Data'!$A$1:$DA$113</definedName>
    <definedName name="_xlnm._FilterDatabase" localSheetId="2" hidden="1">'1L Screening Matrix'!$A$1:$EE$77</definedName>
    <definedName name="_xlnm._FilterDatabase" localSheetId="1" hidden="1">'2L Raw Data'!$A$1:$DA$46</definedName>
    <definedName name="_xlnm._FilterDatabase" localSheetId="3" hidden="1">'2L Screening Matrix'!$A$1:$EE$46</definedName>
    <definedName name="_xlnm._FilterDatabase" localSheetId="8" hidden="1">'Drug x Histology-Stage'!$A$1:$J$158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6" i="3" l="1"/>
  <c r="R6" i="3"/>
  <c r="S6" i="3"/>
  <c r="T6" i="3"/>
  <c r="U6" i="3"/>
  <c r="V6" i="3"/>
  <c r="W6" i="3"/>
  <c r="X6" i="3"/>
  <c r="Y6" i="3"/>
  <c r="Z6" i="3"/>
  <c r="AA6" i="3"/>
  <c r="AB6" i="3"/>
  <c r="AC6" i="3"/>
  <c r="AD6" i="3"/>
  <c r="AE6" i="3"/>
  <c r="AF6" i="3"/>
  <c r="AG6" i="3"/>
  <c r="AH6" i="3"/>
  <c r="AI6" i="3"/>
  <c r="AJ6" i="3"/>
  <c r="AK6" i="3"/>
  <c r="AL6" i="3"/>
  <c r="AM6" i="3"/>
  <c r="AN6" i="3"/>
  <c r="AO6" i="3"/>
  <c r="AP6" i="3"/>
  <c r="AQ6" i="3"/>
  <c r="AR6" i="3"/>
  <c r="AS6" i="3"/>
  <c r="AT6" i="3"/>
  <c r="AU6" i="3"/>
  <c r="AV6" i="3"/>
  <c r="AW6" i="3"/>
  <c r="AX6" i="3"/>
  <c r="AY6" i="3"/>
  <c r="AZ6" i="3"/>
  <c r="BA6" i="3"/>
  <c r="BB6" i="3"/>
  <c r="BC6" i="3"/>
  <c r="BD6" i="3"/>
  <c r="BE6" i="3"/>
  <c r="BF6" i="3"/>
  <c r="BG6" i="3"/>
  <c r="BH6" i="3"/>
  <c r="BI6" i="3"/>
  <c r="BJ6" i="3"/>
  <c r="BK6" i="3"/>
  <c r="BL6" i="3"/>
  <c r="BM6" i="3"/>
  <c r="BN6" i="3"/>
  <c r="BO6" i="3"/>
  <c r="BP6" i="3"/>
  <c r="BQ6" i="3"/>
  <c r="BR6" i="3"/>
  <c r="BS6" i="3"/>
  <c r="BT6" i="3"/>
  <c r="BU6" i="3"/>
  <c r="BV6" i="3"/>
  <c r="BW6" i="3"/>
  <c r="BX6" i="3"/>
  <c r="BY6" i="3"/>
  <c r="BZ6" i="3"/>
  <c r="CA6" i="3"/>
  <c r="CB6" i="3"/>
  <c r="CC6" i="3"/>
  <c r="CD6" i="3"/>
  <c r="CE6" i="3"/>
  <c r="CF6" i="3"/>
  <c r="CG6" i="3"/>
  <c r="CH6" i="3"/>
  <c r="CI6" i="3"/>
  <c r="CJ6" i="3"/>
  <c r="CK6" i="3"/>
  <c r="CL6" i="3"/>
  <c r="CM6" i="3"/>
  <c r="CN6" i="3"/>
  <c r="CO6" i="3"/>
  <c r="CP6" i="3"/>
  <c r="CQ6" i="3"/>
  <c r="CR6" i="3"/>
  <c r="CS6" i="3"/>
  <c r="CT6" i="3"/>
  <c r="CU6" i="3"/>
  <c r="CV6" i="3"/>
  <c r="CW6" i="3"/>
  <c r="CX6" i="3"/>
  <c r="CY6" i="3"/>
  <c r="CZ6" i="3"/>
  <c r="DA6" i="3"/>
  <c r="DB6" i="3"/>
  <c r="DC6" i="3"/>
  <c r="DD6" i="3"/>
  <c r="DE6" i="3"/>
  <c r="DF6" i="3"/>
  <c r="DG6" i="3"/>
  <c r="DH6" i="3"/>
  <c r="DI6" i="3"/>
  <c r="DJ6" i="3"/>
  <c r="DK6" i="3"/>
  <c r="DL6" i="3"/>
  <c r="DM6" i="3"/>
  <c r="DN6" i="3"/>
  <c r="DO6" i="3"/>
  <c r="DP6" i="3"/>
  <c r="DQ6" i="3"/>
  <c r="DR6" i="3"/>
  <c r="DS6" i="3"/>
  <c r="DT6" i="3"/>
  <c r="DU6" i="3"/>
  <c r="DV6" i="3"/>
  <c r="DW6" i="3"/>
  <c r="DX6" i="3"/>
  <c r="DY6" i="3"/>
  <c r="DZ6" i="3"/>
  <c r="EA6" i="3"/>
  <c r="EB6" i="3"/>
  <c r="EC6" i="3"/>
  <c r="ED6" i="3"/>
  <c r="EE6" i="3"/>
  <c r="Q7" i="3"/>
  <c r="R7" i="3"/>
  <c r="S7" i="3"/>
  <c r="T7" i="3"/>
  <c r="U7" i="3"/>
  <c r="V7" i="3"/>
  <c r="W7" i="3"/>
  <c r="X7" i="3"/>
  <c r="Y7" i="3"/>
  <c r="Z7" i="3"/>
  <c r="AA7" i="3"/>
  <c r="AB7" i="3"/>
  <c r="AC7" i="3"/>
  <c r="AD7" i="3"/>
  <c r="AE7" i="3"/>
  <c r="AF7" i="3"/>
  <c r="AG7" i="3"/>
  <c r="AH7" i="3"/>
  <c r="AI7" i="3"/>
  <c r="AJ7" i="3"/>
  <c r="AK7" i="3"/>
  <c r="AL7" i="3"/>
  <c r="AM7" i="3"/>
  <c r="AN7" i="3"/>
  <c r="AO7" i="3"/>
  <c r="AP7" i="3"/>
  <c r="AQ7" i="3"/>
  <c r="AR7" i="3"/>
  <c r="AS7" i="3"/>
  <c r="AT7" i="3"/>
  <c r="AU7" i="3"/>
  <c r="AV7" i="3"/>
  <c r="AW7" i="3"/>
  <c r="AX7" i="3"/>
  <c r="AY7" i="3"/>
  <c r="AZ7" i="3"/>
  <c r="BA7" i="3"/>
  <c r="BB7" i="3"/>
  <c r="BC7" i="3"/>
  <c r="BD7" i="3"/>
  <c r="BE7" i="3"/>
  <c r="BF7" i="3"/>
  <c r="BG7" i="3"/>
  <c r="BH7" i="3"/>
  <c r="BI7" i="3"/>
  <c r="BJ7" i="3"/>
  <c r="BK7" i="3"/>
  <c r="BL7" i="3"/>
  <c r="BM7" i="3"/>
  <c r="BN7" i="3"/>
  <c r="BO7" i="3"/>
  <c r="BP7" i="3"/>
  <c r="BQ7" i="3"/>
  <c r="BR7" i="3"/>
  <c r="BS7" i="3"/>
  <c r="BT7" i="3"/>
  <c r="BU7" i="3"/>
  <c r="BV7" i="3"/>
  <c r="BW7" i="3"/>
  <c r="BX7" i="3"/>
  <c r="BY7" i="3"/>
  <c r="BZ7" i="3"/>
  <c r="CA7" i="3"/>
  <c r="CB7" i="3"/>
  <c r="CC7" i="3"/>
  <c r="CD7" i="3"/>
  <c r="CE7" i="3"/>
  <c r="CF7" i="3"/>
  <c r="CG7" i="3"/>
  <c r="CH7" i="3"/>
  <c r="CI7" i="3"/>
  <c r="CJ7" i="3"/>
  <c r="CK7" i="3"/>
  <c r="CL7" i="3"/>
  <c r="CM7" i="3"/>
  <c r="CN7" i="3"/>
  <c r="CO7" i="3"/>
  <c r="CP7" i="3"/>
  <c r="CQ7" i="3"/>
  <c r="CR7" i="3"/>
  <c r="CS7" i="3"/>
  <c r="CT7" i="3"/>
  <c r="CU7" i="3"/>
  <c r="CV7" i="3"/>
  <c r="CW7" i="3"/>
  <c r="CX7" i="3"/>
  <c r="CY7" i="3"/>
  <c r="CZ7" i="3"/>
  <c r="DA7" i="3"/>
  <c r="DB7" i="3"/>
  <c r="DC7" i="3"/>
  <c r="DD7" i="3"/>
  <c r="DE7" i="3"/>
  <c r="DF7" i="3"/>
  <c r="DG7" i="3"/>
  <c r="DH7" i="3"/>
  <c r="DI7" i="3"/>
  <c r="DJ7" i="3"/>
  <c r="DK7" i="3"/>
  <c r="DL7" i="3"/>
  <c r="DM7" i="3"/>
  <c r="DN7" i="3"/>
  <c r="DO7" i="3"/>
  <c r="DP7" i="3"/>
  <c r="DQ7" i="3"/>
  <c r="DR7" i="3"/>
  <c r="DS7" i="3"/>
  <c r="DT7" i="3"/>
  <c r="DU7" i="3"/>
  <c r="DV7" i="3"/>
  <c r="DW7" i="3"/>
  <c r="DX7" i="3"/>
  <c r="DY7" i="3"/>
  <c r="DZ7" i="3"/>
  <c r="EA7" i="3"/>
  <c r="EB7" i="3"/>
  <c r="EC7" i="3"/>
  <c r="ED7" i="3"/>
  <c r="EE7" i="3"/>
  <c r="Q8" i="3"/>
  <c r="R8" i="3"/>
  <c r="S8" i="3"/>
  <c r="T8" i="3"/>
  <c r="U8" i="3"/>
  <c r="V8" i="3"/>
  <c r="W8" i="3"/>
  <c r="X8" i="3"/>
  <c r="Y8" i="3"/>
  <c r="Z8" i="3"/>
  <c r="AA8" i="3"/>
  <c r="AB8" i="3"/>
  <c r="AC8" i="3"/>
  <c r="AD8" i="3"/>
  <c r="AE8" i="3"/>
  <c r="AF8" i="3"/>
  <c r="AG8" i="3"/>
  <c r="AH8" i="3"/>
  <c r="AI8" i="3"/>
  <c r="AJ8" i="3"/>
  <c r="AK8" i="3"/>
  <c r="AL8" i="3"/>
  <c r="AM8" i="3"/>
  <c r="AN8" i="3"/>
  <c r="AO8" i="3"/>
  <c r="AP8" i="3"/>
  <c r="AQ8" i="3"/>
  <c r="AR8" i="3"/>
  <c r="AS8" i="3"/>
  <c r="AT8" i="3"/>
  <c r="AU8" i="3"/>
  <c r="AV8" i="3"/>
  <c r="AW8" i="3"/>
  <c r="AX8" i="3"/>
  <c r="AY8" i="3"/>
  <c r="AZ8" i="3"/>
  <c r="BA8" i="3"/>
  <c r="BB8" i="3"/>
  <c r="BC8" i="3"/>
  <c r="BD8" i="3"/>
  <c r="BE8" i="3"/>
  <c r="BF8" i="3"/>
  <c r="BG8" i="3"/>
  <c r="BH8" i="3"/>
  <c r="BI8" i="3"/>
  <c r="BJ8" i="3"/>
  <c r="BK8" i="3"/>
  <c r="BL8" i="3"/>
  <c r="BM8" i="3"/>
  <c r="BN8" i="3"/>
  <c r="BO8" i="3"/>
  <c r="BP8" i="3"/>
  <c r="BQ8" i="3"/>
  <c r="BR8" i="3"/>
  <c r="BS8" i="3"/>
  <c r="BT8" i="3"/>
  <c r="BU8" i="3"/>
  <c r="BV8" i="3"/>
  <c r="BW8" i="3"/>
  <c r="BX8" i="3"/>
  <c r="BY8" i="3"/>
  <c r="BZ8" i="3"/>
  <c r="CA8" i="3"/>
  <c r="CB8" i="3"/>
  <c r="CC8" i="3"/>
  <c r="CD8" i="3"/>
  <c r="CE8" i="3"/>
  <c r="CF8" i="3"/>
  <c r="CG8" i="3"/>
  <c r="CH8" i="3"/>
  <c r="CI8" i="3"/>
  <c r="CJ8" i="3"/>
  <c r="CK8" i="3"/>
  <c r="CL8" i="3"/>
  <c r="CM8" i="3"/>
  <c r="CN8" i="3"/>
  <c r="CO8" i="3"/>
  <c r="CP8" i="3"/>
  <c r="CQ8" i="3"/>
  <c r="CR8" i="3"/>
  <c r="CS8" i="3"/>
  <c r="CT8" i="3"/>
  <c r="CU8" i="3"/>
  <c r="CV8" i="3"/>
  <c r="CW8" i="3"/>
  <c r="CX8" i="3"/>
  <c r="CY8" i="3"/>
  <c r="CZ8" i="3"/>
  <c r="DA8" i="3"/>
  <c r="DB8" i="3"/>
  <c r="DC8" i="3"/>
  <c r="DD8" i="3"/>
  <c r="DE8" i="3"/>
  <c r="DF8" i="3"/>
  <c r="DG8" i="3"/>
  <c r="DH8" i="3"/>
  <c r="DI8" i="3"/>
  <c r="DJ8" i="3"/>
  <c r="DK8" i="3"/>
  <c r="DL8" i="3"/>
  <c r="DM8" i="3"/>
  <c r="DN8" i="3"/>
  <c r="DO8" i="3"/>
  <c r="DP8" i="3"/>
  <c r="DQ8" i="3"/>
  <c r="DR8" i="3"/>
  <c r="DS8" i="3"/>
  <c r="DT8" i="3"/>
  <c r="DU8" i="3"/>
  <c r="DV8" i="3"/>
  <c r="DW8" i="3"/>
  <c r="DX8" i="3"/>
  <c r="DY8" i="3"/>
  <c r="DZ8" i="3"/>
  <c r="EA8" i="3"/>
  <c r="EB8" i="3"/>
  <c r="EC8" i="3"/>
  <c r="ED8" i="3"/>
  <c r="EE8" i="3"/>
  <c r="Q9" i="3"/>
  <c r="R9" i="3"/>
  <c r="S9" i="3"/>
  <c r="T9" i="3"/>
  <c r="U9" i="3"/>
  <c r="V9" i="3"/>
  <c r="W9" i="3"/>
  <c r="X9" i="3"/>
  <c r="Y9" i="3"/>
  <c r="Z9" i="3"/>
  <c r="AA9" i="3"/>
  <c r="AB9" i="3"/>
  <c r="AC9" i="3"/>
  <c r="AD9" i="3"/>
  <c r="AE9" i="3"/>
  <c r="AF9" i="3"/>
  <c r="AG9" i="3"/>
  <c r="AH9" i="3"/>
  <c r="AI9" i="3"/>
  <c r="AJ9" i="3"/>
  <c r="AK9" i="3"/>
  <c r="AL9" i="3"/>
  <c r="AM9" i="3"/>
  <c r="AN9" i="3"/>
  <c r="AO9" i="3"/>
  <c r="AP9" i="3"/>
  <c r="AQ9" i="3"/>
  <c r="AR9" i="3"/>
  <c r="AS9" i="3"/>
  <c r="AT9" i="3"/>
  <c r="AU9" i="3"/>
  <c r="AV9" i="3"/>
  <c r="AW9" i="3"/>
  <c r="AX9" i="3"/>
  <c r="AY9" i="3"/>
  <c r="AZ9" i="3"/>
  <c r="BA9" i="3"/>
  <c r="BB9" i="3"/>
  <c r="BC9" i="3"/>
  <c r="BD9" i="3"/>
  <c r="BE9" i="3"/>
  <c r="BF9" i="3"/>
  <c r="BG9" i="3"/>
  <c r="BH9" i="3"/>
  <c r="BI9" i="3"/>
  <c r="BJ9" i="3"/>
  <c r="BK9" i="3"/>
  <c r="BL9" i="3"/>
  <c r="BM9" i="3"/>
  <c r="BN9" i="3"/>
  <c r="BO9" i="3"/>
  <c r="BP9" i="3"/>
  <c r="BQ9" i="3"/>
  <c r="BR9" i="3"/>
  <c r="BS9" i="3"/>
  <c r="BT9" i="3"/>
  <c r="BU9" i="3"/>
  <c r="BV9" i="3"/>
  <c r="BW9" i="3"/>
  <c r="BX9" i="3"/>
  <c r="BY9" i="3"/>
  <c r="BZ9" i="3"/>
  <c r="CA9" i="3"/>
  <c r="CB9" i="3"/>
  <c r="CC9" i="3"/>
  <c r="CD9" i="3"/>
  <c r="CE9" i="3"/>
  <c r="CF9" i="3"/>
  <c r="CG9" i="3"/>
  <c r="CH9" i="3"/>
  <c r="CI9" i="3"/>
  <c r="CJ9" i="3"/>
  <c r="CK9" i="3"/>
  <c r="CL9" i="3"/>
  <c r="CM9" i="3"/>
  <c r="CN9" i="3"/>
  <c r="CO9" i="3"/>
  <c r="CP9" i="3"/>
  <c r="CQ9" i="3"/>
  <c r="CR9" i="3"/>
  <c r="CS9" i="3"/>
  <c r="CT9" i="3"/>
  <c r="CU9" i="3"/>
  <c r="CV9" i="3"/>
  <c r="CW9" i="3"/>
  <c r="CX9" i="3"/>
  <c r="CY9" i="3"/>
  <c r="CZ9" i="3"/>
  <c r="DA9" i="3"/>
  <c r="DB9" i="3"/>
  <c r="DC9" i="3"/>
  <c r="DD9" i="3"/>
  <c r="DE9" i="3"/>
  <c r="DF9" i="3"/>
  <c r="DG9" i="3"/>
  <c r="DH9" i="3"/>
  <c r="DI9" i="3"/>
  <c r="DJ9" i="3"/>
  <c r="DK9" i="3"/>
  <c r="DL9" i="3"/>
  <c r="DM9" i="3"/>
  <c r="DN9" i="3"/>
  <c r="DO9" i="3"/>
  <c r="DP9" i="3"/>
  <c r="DQ9" i="3"/>
  <c r="DR9" i="3"/>
  <c r="DS9" i="3"/>
  <c r="DT9" i="3"/>
  <c r="DU9" i="3"/>
  <c r="DV9" i="3"/>
  <c r="DW9" i="3"/>
  <c r="DX9" i="3"/>
  <c r="DY9" i="3"/>
  <c r="DZ9" i="3"/>
  <c r="EA9" i="3"/>
  <c r="EB9" i="3"/>
  <c r="EC9" i="3"/>
  <c r="ED9" i="3"/>
  <c r="EE9" i="3"/>
  <c r="Q10" i="3"/>
  <c r="R10" i="3"/>
  <c r="S10" i="3"/>
  <c r="T10" i="3"/>
  <c r="U10" i="3"/>
  <c r="V10" i="3"/>
  <c r="W10" i="3"/>
  <c r="X10" i="3"/>
  <c r="Y10" i="3"/>
  <c r="Z10" i="3"/>
  <c r="AA10" i="3"/>
  <c r="AB10" i="3"/>
  <c r="AC10" i="3"/>
  <c r="AD10" i="3"/>
  <c r="AE10" i="3"/>
  <c r="AF10" i="3"/>
  <c r="AG10" i="3"/>
  <c r="AH10" i="3"/>
  <c r="AI10" i="3"/>
  <c r="AJ10" i="3"/>
  <c r="AK10" i="3"/>
  <c r="AL10" i="3"/>
  <c r="AM10" i="3"/>
  <c r="AN10" i="3"/>
  <c r="AO10" i="3"/>
  <c r="AP10" i="3"/>
  <c r="AQ10" i="3"/>
  <c r="AR10" i="3"/>
  <c r="AS10" i="3"/>
  <c r="AT10" i="3"/>
  <c r="AU10" i="3"/>
  <c r="AV10" i="3"/>
  <c r="AW10" i="3"/>
  <c r="AX10" i="3"/>
  <c r="AY10" i="3"/>
  <c r="AZ10" i="3"/>
  <c r="BA10" i="3"/>
  <c r="BB10" i="3"/>
  <c r="BC10" i="3"/>
  <c r="BD10" i="3"/>
  <c r="BE10" i="3"/>
  <c r="BF10" i="3"/>
  <c r="BG10" i="3"/>
  <c r="BH10" i="3"/>
  <c r="BI10" i="3"/>
  <c r="BJ10" i="3"/>
  <c r="BK10" i="3"/>
  <c r="BL10" i="3"/>
  <c r="BM10" i="3"/>
  <c r="BN10" i="3"/>
  <c r="BO10" i="3"/>
  <c r="BP10" i="3"/>
  <c r="BQ10" i="3"/>
  <c r="BR10" i="3"/>
  <c r="BS10" i="3"/>
  <c r="BT10" i="3"/>
  <c r="BU10" i="3"/>
  <c r="BV10" i="3"/>
  <c r="BW10" i="3"/>
  <c r="BX10" i="3"/>
  <c r="BY10" i="3"/>
  <c r="BZ10" i="3"/>
  <c r="CA10" i="3"/>
  <c r="CB10" i="3"/>
  <c r="CC10" i="3"/>
  <c r="CD10" i="3"/>
  <c r="CE10" i="3"/>
  <c r="CF10" i="3"/>
  <c r="CG10" i="3"/>
  <c r="CH10" i="3"/>
  <c r="CI10" i="3"/>
  <c r="CJ10" i="3"/>
  <c r="CK10" i="3"/>
  <c r="CL10" i="3"/>
  <c r="CM10" i="3"/>
  <c r="CN10" i="3"/>
  <c r="CO10" i="3"/>
  <c r="CP10" i="3"/>
  <c r="CQ10" i="3"/>
  <c r="CR10" i="3"/>
  <c r="CS10" i="3"/>
  <c r="CT10" i="3"/>
  <c r="CU10" i="3"/>
  <c r="CV10" i="3"/>
  <c r="CW10" i="3"/>
  <c r="CX10" i="3"/>
  <c r="CY10" i="3"/>
  <c r="CZ10" i="3"/>
  <c r="DA10" i="3"/>
  <c r="DB10" i="3"/>
  <c r="DC10" i="3"/>
  <c r="DD10" i="3"/>
  <c r="DE10" i="3"/>
  <c r="DF10" i="3"/>
  <c r="DG10" i="3"/>
  <c r="DH10" i="3"/>
  <c r="DI10" i="3"/>
  <c r="DJ10" i="3"/>
  <c r="DK10" i="3"/>
  <c r="DL10" i="3"/>
  <c r="DM10" i="3"/>
  <c r="DN10" i="3"/>
  <c r="DO10" i="3"/>
  <c r="DP10" i="3"/>
  <c r="DQ10" i="3"/>
  <c r="DR10" i="3"/>
  <c r="DS10" i="3"/>
  <c r="DT10" i="3"/>
  <c r="DU10" i="3"/>
  <c r="DV10" i="3"/>
  <c r="DW10" i="3"/>
  <c r="DX10" i="3"/>
  <c r="DY10" i="3"/>
  <c r="DZ10" i="3"/>
  <c r="EA10" i="3"/>
  <c r="EB10" i="3"/>
  <c r="EC10" i="3"/>
  <c r="ED10" i="3"/>
  <c r="EE10" i="3"/>
  <c r="J158" i="9"/>
  <c r="I158" i="9"/>
  <c r="H158" i="9"/>
  <c r="G158" i="9"/>
  <c r="C158" i="9"/>
  <c r="B158" i="9"/>
  <c r="J157" i="9"/>
  <c r="I157" i="9"/>
  <c r="H157" i="9"/>
  <c r="G157" i="9"/>
  <c r="C157" i="9"/>
  <c r="B157" i="9"/>
  <c r="J156" i="9"/>
  <c r="I156" i="9"/>
  <c r="H156" i="9"/>
  <c r="G156" i="9"/>
  <c r="C156" i="9"/>
  <c r="B156" i="9"/>
  <c r="J155" i="9"/>
  <c r="I155" i="9"/>
  <c r="H155" i="9"/>
  <c r="G155" i="9"/>
  <c r="C155" i="9"/>
  <c r="B155" i="9"/>
  <c r="J154" i="9"/>
  <c r="I154" i="9"/>
  <c r="H154" i="9"/>
  <c r="G154" i="9"/>
  <c r="C154" i="9"/>
  <c r="B154" i="9"/>
  <c r="J153" i="9"/>
  <c r="I153" i="9"/>
  <c r="H153" i="9"/>
  <c r="G153" i="9"/>
  <c r="C153" i="9"/>
  <c r="B153" i="9"/>
  <c r="J152" i="9"/>
  <c r="I152" i="9"/>
  <c r="H152" i="9"/>
  <c r="G152" i="9"/>
  <c r="C152" i="9"/>
  <c r="B152" i="9"/>
  <c r="J151" i="9"/>
  <c r="I151" i="9"/>
  <c r="H151" i="9"/>
  <c r="G151" i="9"/>
  <c r="C151" i="9"/>
  <c r="B151" i="9"/>
  <c r="J150" i="9"/>
  <c r="I150" i="9"/>
  <c r="H150" i="9"/>
  <c r="G150" i="9"/>
  <c r="C150" i="9"/>
  <c r="B150" i="9"/>
  <c r="J149" i="9"/>
  <c r="I149" i="9"/>
  <c r="H149" i="9"/>
  <c r="G149" i="9"/>
  <c r="C149" i="9"/>
  <c r="B149" i="9"/>
  <c r="J148" i="9"/>
  <c r="I148" i="9"/>
  <c r="H148" i="9"/>
  <c r="G148" i="9"/>
  <c r="C148" i="9"/>
  <c r="B148" i="9"/>
  <c r="J147" i="9"/>
  <c r="I147" i="9"/>
  <c r="H147" i="9"/>
  <c r="G147" i="9"/>
  <c r="C147" i="9"/>
  <c r="B147" i="9"/>
  <c r="J146" i="9"/>
  <c r="I146" i="9"/>
  <c r="H146" i="9"/>
  <c r="G146" i="9"/>
  <c r="C146" i="9"/>
  <c r="B146" i="9"/>
  <c r="J145" i="9"/>
  <c r="I145" i="9"/>
  <c r="H145" i="9"/>
  <c r="G145" i="9"/>
  <c r="C145" i="9"/>
  <c r="B145" i="9"/>
  <c r="J144" i="9"/>
  <c r="I144" i="9"/>
  <c r="H144" i="9"/>
  <c r="G144" i="9"/>
  <c r="C144" i="9"/>
  <c r="B144" i="9"/>
  <c r="J143" i="9"/>
  <c r="I143" i="9"/>
  <c r="H143" i="9"/>
  <c r="G143" i="9"/>
  <c r="C143" i="9"/>
  <c r="B143" i="9"/>
  <c r="J142" i="9"/>
  <c r="I142" i="9"/>
  <c r="H142" i="9"/>
  <c r="G142" i="9"/>
  <c r="C142" i="9"/>
  <c r="B142" i="9"/>
  <c r="J141" i="9"/>
  <c r="I141" i="9"/>
  <c r="H141" i="9"/>
  <c r="G141" i="9"/>
  <c r="C141" i="9"/>
  <c r="B141" i="9"/>
  <c r="J140" i="9"/>
  <c r="I140" i="9"/>
  <c r="H140" i="9"/>
  <c r="G140" i="9"/>
  <c r="C140" i="9"/>
  <c r="B140" i="9"/>
  <c r="J139" i="9"/>
  <c r="I139" i="9"/>
  <c r="H139" i="9"/>
  <c r="G139" i="9"/>
  <c r="C139" i="9"/>
  <c r="B139" i="9"/>
  <c r="J138" i="9"/>
  <c r="I138" i="9"/>
  <c r="H138" i="9"/>
  <c r="G138" i="9"/>
  <c r="C138" i="9"/>
  <c r="B138" i="9"/>
  <c r="J137" i="9"/>
  <c r="I137" i="9"/>
  <c r="H137" i="9"/>
  <c r="G137" i="9"/>
  <c r="C137" i="9"/>
  <c r="B137" i="9"/>
  <c r="J136" i="9"/>
  <c r="I136" i="9"/>
  <c r="H136" i="9"/>
  <c r="G136" i="9"/>
  <c r="C136" i="9"/>
  <c r="B136" i="9"/>
  <c r="J135" i="9"/>
  <c r="I135" i="9"/>
  <c r="H135" i="9"/>
  <c r="G135" i="9"/>
  <c r="C135" i="9"/>
  <c r="B135" i="9"/>
  <c r="J134" i="9"/>
  <c r="I134" i="9"/>
  <c r="H134" i="9"/>
  <c r="G134" i="9"/>
  <c r="C134" i="9"/>
  <c r="B134" i="9"/>
  <c r="J133" i="9"/>
  <c r="I133" i="9"/>
  <c r="H133" i="9"/>
  <c r="G133" i="9"/>
  <c r="C133" i="9"/>
  <c r="B133" i="9"/>
  <c r="J132" i="9"/>
  <c r="I132" i="9"/>
  <c r="H132" i="9"/>
  <c r="G132" i="9"/>
  <c r="C132" i="9"/>
  <c r="B132" i="9"/>
  <c r="J131" i="9"/>
  <c r="I131" i="9"/>
  <c r="H131" i="9"/>
  <c r="G131" i="9"/>
  <c r="C131" i="9"/>
  <c r="B131" i="9"/>
  <c r="J130" i="9"/>
  <c r="I130" i="9"/>
  <c r="H130" i="9"/>
  <c r="G130" i="9"/>
  <c r="C130" i="9"/>
  <c r="B130" i="9"/>
  <c r="J129" i="9"/>
  <c r="I129" i="9"/>
  <c r="H129" i="9"/>
  <c r="G129" i="9"/>
  <c r="C129" i="9"/>
  <c r="B129" i="9"/>
  <c r="J128" i="9"/>
  <c r="I128" i="9"/>
  <c r="H128" i="9"/>
  <c r="G128" i="9"/>
  <c r="C128" i="9"/>
  <c r="B128" i="9"/>
  <c r="J127" i="9"/>
  <c r="I127" i="9"/>
  <c r="H127" i="9"/>
  <c r="G127" i="9"/>
  <c r="C127" i="9"/>
  <c r="B127" i="9"/>
  <c r="J126" i="9"/>
  <c r="I126" i="9"/>
  <c r="H126" i="9"/>
  <c r="G126" i="9"/>
  <c r="C126" i="9"/>
  <c r="B126" i="9"/>
  <c r="J125" i="9"/>
  <c r="I125" i="9"/>
  <c r="H125" i="9"/>
  <c r="G125" i="9"/>
  <c r="C125" i="9"/>
  <c r="B125" i="9"/>
  <c r="J124" i="9"/>
  <c r="I124" i="9"/>
  <c r="H124" i="9"/>
  <c r="G124" i="9"/>
  <c r="C124" i="9"/>
  <c r="B124" i="9"/>
  <c r="J123" i="9"/>
  <c r="I123" i="9"/>
  <c r="H123" i="9"/>
  <c r="G123" i="9"/>
  <c r="C123" i="9"/>
  <c r="B123" i="9"/>
  <c r="J122" i="9"/>
  <c r="I122" i="9"/>
  <c r="H122" i="9"/>
  <c r="G122" i="9"/>
  <c r="C122" i="9"/>
  <c r="B122" i="9"/>
  <c r="J121" i="9"/>
  <c r="I121" i="9"/>
  <c r="H121" i="9"/>
  <c r="G121" i="9"/>
  <c r="C121" i="9"/>
  <c r="B121" i="9"/>
  <c r="J120" i="9"/>
  <c r="I120" i="9"/>
  <c r="H120" i="9"/>
  <c r="G120" i="9"/>
  <c r="C120" i="9"/>
  <c r="B120" i="9"/>
  <c r="J119" i="9"/>
  <c r="I119" i="9"/>
  <c r="H119" i="9"/>
  <c r="G119" i="9"/>
  <c r="C119" i="9"/>
  <c r="B119" i="9"/>
  <c r="J118" i="9"/>
  <c r="I118" i="9"/>
  <c r="H118" i="9"/>
  <c r="G118" i="9"/>
  <c r="C118" i="9"/>
  <c r="B118" i="9"/>
  <c r="J117" i="9"/>
  <c r="I117" i="9"/>
  <c r="H117" i="9"/>
  <c r="G117" i="9"/>
  <c r="C117" i="9"/>
  <c r="B117" i="9"/>
  <c r="J116" i="9"/>
  <c r="I116" i="9"/>
  <c r="H116" i="9"/>
  <c r="G116" i="9"/>
  <c r="C116" i="9"/>
  <c r="B116" i="9"/>
  <c r="J115" i="9"/>
  <c r="I115" i="9"/>
  <c r="H115" i="9"/>
  <c r="G115" i="9"/>
  <c r="C115" i="9"/>
  <c r="B115" i="9"/>
  <c r="J114" i="9"/>
  <c r="I114" i="9"/>
  <c r="H114" i="9"/>
  <c r="G114" i="9"/>
  <c r="C114" i="9"/>
  <c r="B114" i="9"/>
  <c r="J113" i="9"/>
  <c r="I113" i="9"/>
  <c r="H113" i="9"/>
  <c r="G113" i="9"/>
  <c r="C113" i="9"/>
  <c r="B113" i="9"/>
  <c r="J112" i="9"/>
  <c r="I112" i="9"/>
  <c r="H112" i="9"/>
  <c r="G112" i="9"/>
  <c r="C112" i="9"/>
  <c r="B112" i="9"/>
  <c r="J111" i="9"/>
  <c r="I111" i="9"/>
  <c r="H111" i="9"/>
  <c r="G111" i="9"/>
  <c r="C111" i="9"/>
  <c r="B111" i="9"/>
  <c r="J110" i="9"/>
  <c r="I110" i="9"/>
  <c r="H110" i="9"/>
  <c r="G110" i="9"/>
  <c r="C110" i="9"/>
  <c r="B110" i="9"/>
  <c r="J109" i="9"/>
  <c r="I109" i="9"/>
  <c r="H109" i="9"/>
  <c r="G109" i="9"/>
  <c r="C109" i="9"/>
  <c r="B109" i="9"/>
  <c r="J108" i="9"/>
  <c r="I108" i="9"/>
  <c r="H108" i="9"/>
  <c r="G108" i="9"/>
  <c r="C108" i="9"/>
  <c r="B108" i="9"/>
  <c r="J107" i="9"/>
  <c r="I107" i="9"/>
  <c r="H107" i="9"/>
  <c r="G107" i="9"/>
  <c r="C107" i="9"/>
  <c r="B107" i="9"/>
  <c r="J106" i="9"/>
  <c r="I106" i="9"/>
  <c r="H106" i="9"/>
  <c r="G106" i="9"/>
  <c r="C106" i="9"/>
  <c r="B106" i="9"/>
  <c r="J105" i="9"/>
  <c r="I105" i="9"/>
  <c r="H105" i="9"/>
  <c r="G105" i="9"/>
  <c r="C105" i="9"/>
  <c r="B105" i="9"/>
  <c r="J104" i="9"/>
  <c r="I104" i="9"/>
  <c r="H104" i="9"/>
  <c r="G104" i="9"/>
  <c r="C104" i="9"/>
  <c r="B104" i="9"/>
  <c r="J103" i="9"/>
  <c r="I103" i="9"/>
  <c r="H103" i="9"/>
  <c r="G103" i="9"/>
  <c r="C103" i="9"/>
  <c r="B103" i="9"/>
  <c r="J102" i="9"/>
  <c r="I102" i="9"/>
  <c r="H102" i="9"/>
  <c r="G102" i="9"/>
  <c r="C102" i="9"/>
  <c r="B102" i="9"/>
  <c r="J101" i="9"/>
  <c r="I101" i="9"/>
  <c r="H101" i="9"/>
  <c r="G101" i="9"/>
  <c r="C101" i="9"/>
  <c r="B101" i="9"/>
  <c r="J100" i="9"/>
  <c r="I100" i="9"/>
  <c r="H100" i="9"/>
  <c r="G100" i="9"/>
  <c r="C100" i="9"/>
  <c r="B100" i="9"/>
  <c r="J99" i="9"/>
  <c r="I99" i="9"/>
  <c r="H99" i="9"/>
  <c r="G99" i="9"/>
  <c r="C99" i="9"/>
  <c r="B99" i="9"/>
  <c r="J98" i="9"/>
  <c r="I98" i="9"/>
  <c r="H98" i="9"/>
  <c r="G98" i="9"/>
  <c r="C98" i="9"/>
  <c r="B98" i="9"/>
  <c r="J97" i="9"/>
  <c r="I97" i="9"/>
  <c r="H97" i="9"/>
  <c r="G97" i="9"/>
  <c r="C97" i="9"/>
  <c r="B97" i="9"/>
  <c r="J96" i="9"/>
  <c r="I96" i="9"/>
  <c r="H96" i="9"/>
  <c r="G96" i="9"/>
  <c r="C96" i="9"/>
  <c r="B96" i="9"/>
  <c r="J95" i="9"/>
  <c r="I95" i="9"/>
  <c r="H95" i="9"/>
  <c r="G95" i="9"/>
  <c r="C95" i="9"/>
  <c r="B95" i="9"/>
  <c r="J94" i="9"/>
  <c r="I94" i="9"/>
  <c r="H94" i="9"/>
  <c r="G94" i="9"/>
  <c r="C94" i="9"/>
  <c r="B94" i="9"/>
  <c r="J93" i="9"/>
  <c r="I93" i="9"/>
  <c r="H93" i="9"/>
  <c r="G93" i="9"/>
  <c r="C93" i="9"/>
  <c r="B93" i="9"/>
  <c r="J92" i="9"/>
  <c r="I92" i="9"/>
  <c r="H92" i="9"/>
  <c r="G92" i="9"/>
  <c r="C92" i="9"/>
  <c r="B92" i="9"/>
  <c r="J91" i="9"/>
  <c r="I91" i="9"/>
  <c r="H91" i="9"/>
  <c r="G91" i="9"/>
  <c r="C91" i="9"/>
  <c r="B91" i="9"/>
  <c r="J90" i="9"/>
  <c r="I90" i="9"/>
  <c r="H90" i="9"/>
  <c r="G90" i="9"/>
  <c r="C90" i="9"/>
  <c r="B90" i="9"/>
  <c r="J89" i="9"/>
  <c r="I89" i="9"/>
  <c r="H89" i="9"/>
  <c r="G89" i="9"/>
  <c r="C89" i="9"/>
  <c r="B89" i="9"/>
  <c r="J88" i="9"/>
  <c r="I88" i="9"/>
  <c r="H88" i="9"/>
  <c r="G88" i="9"/>
  <c r="C88" i="9"/>
  <c r="B88" i="9"/>
  <c r="J87" i="9"/>
  <c r="I87" i="9"/>
  <c r="H87" i="9"/>
  <c r="G87" i="9"/>
  <c r="C87" i="9"/>
  <c r="B87" i="9"/>
  <c r="J86" i="9"/>
  <c r="I86" i="9"/>
  <c r="H86" i="9"/>
  <c r="G86" i="9"/>
  <c r="C86" i="9"/>
  <c r="B86" i="9"/>
  <c r="J85" i="9"/>
  <c r="I85" i="9"/>
  <c r="H85" i="9"/>
  <c r="G85" i="9"/>
  <c r="C85" i="9"/>
  <c r="B85" i="9"/>
  <c r="J84" i="9"/>
  <c r="I84" i="9"/>
  <c r="H84" i="9"/>
  <c r="G84" i="9"/>
  <c r="C84" i="9"/>
  <c r="B84" i="9"/>
  <c r="J83" i="9"/>
  <c r="I83" i="9"/>
  <c r="H83" i="9"/>
  <c r="G83" i="9"/>
  <c r="C83" i="9"/>
  <c r="B83" i="9"/>
  <c r="J82" i="9"/>
  <c r="I82" i="9"/>
  <c r="H82" i="9"/>
  <c r="G82" i="9"/>
  <c r="C82" i="9"/>
  <c r="B82" i="9"/>
  <c r="J81" i="9"/>
  <c r="I81" i="9"/>
  <c r="H81" i="9"/>
  <c r="G81" i="9"/>
  <c r="C81" i="9"/>
  <c r="B81" i="9"/>
  <c r="J80" i="9"/>
  <c r="I80" i="9"/>
  <c r="H80" i="9"/>
  <c r="G80" i="9"/>
  <c r="C80" i="9"/>
  <c r="B80" i="9"/>
  <c r="J79" i="9"/>
  <c r="I79" i="9"/>
  <c r="H79" i="9"/>
  <c r="G79" i="9"/>
  <c r="C79" i="9"/>
  <c r="B79" i="9"/>
  <c r="J78" i="9"/>
  <c r="I78" i="9"/>
  <c r="H78" i="9"/>
  <c r="G78" i="9"/>
  <c r="C78" i="9"/>
  <c r="B78" i="9"/>
  <c r="J77" i="9"/>
  <c r="I77" i="9"/>
  <c r="H77" i="9"/>
  <c r="G77" i="9"/>
  <c r="C77" i="9"/>
  <c r="B77" i="9"/>
  <c r="J76" i="9"/>
  <c r="I76" i="9"/>
  <c r="H76" i="9"/>
  <c r="G76" i="9"/>
  <c r="C76" i="9"/>
  <c r="B76" i="9"/>
  <c r="J75" i="9"/>
  <c r="I75" i="9"/>
  <c r="H75" i="9"/>
  <c r="G75" i="9"/>
  <c r="C75" i="9"/>
  <c r="B75" i="9"/>
  <c r="J74" i="9"/>
  <c r="I74" i="9"/>
  <c r="H74" i="9"/>
  <c r="G74" i="9"/>
  <c r="C74" i="9"/>
  <c r="B74" i="9"/>
  <c r="J73" i="9"/>
  <c r="I73" i="9"/>
  <c r="H73" i="9"/>
  <c r="G73" i="9"/>
  <c r="C73" i="9"/>
  <c r="B73" i="9"/>
  <c r="J72" i="9"/>
  <c r="I72" i="9"/>
  <c r="H72" i="9"/>
  <c r="G72" i="9"/>
  <c r="C72" i="9"/>
  <c r="B72" i="9"/>
  <c r="J71" i="9"/>
  <c r="I71" i="9"/>
  <c r="H71" i="9"/>
  <c r="G71" i="9"/>
  <c r="C71" i="9"/>
  <c r="B71" i="9"/>
  <c r="J70" i="9"/>
  <c r="I70" i="9"/>
  <c r="H70" i="9"/>
  <c r="G70" i="9"/>
  <c r="C70" i="9"/>
  <c r="B70" i="9"/>
  <c r="J69" i="9"/>
  <c r="I69" i="9"/>
  <c r="H69" i="9"/>
  <c r="G69" i="9"/>
  <c r="C69" i="9"/>
  <c r="B69" i="9"/>
  <c r="J68" i="9"/>
  <c r="I68" i="9"/>
  <c r="H68" i="9"/>
  <c r="G68" i="9"/>
  <c r="C68" i="9"/>
  <c r="B68" i="9"/>
  <c r="J67" i="9"/>
  <c r="I67" i="9"/>
  <c r="H67" i="9"/>
  <c r="G67" i="9"/>
  <c r="C67" i="9"/>
  <c r="B67" i="9"/>
  <c r="J66" i="9"/>
  <c r="I66" i="9"/>
  <c r="H66" i="9"/>
  <c r="G66" i="9"/>
  <c r="C66" i="9"/>
  <c r="B66" i="9"/>
  <c r="J65" i="9"/>
  <c r="I65" i="9"/>
  <c r="H65" i="9"/>
  <c r="G65" i="9"/>
  <c r="C65" i="9"/>
  <c r="B65" i="9"/>
  <c r="J64" i="9"/>
  <c r="I64" i="9"/>
  <c r="H64" i="9"/>
  <c r="G64" i="9"/>
  <c r="C64" i="9"/>
  <c r="B64" i="9"/>
  <c r="J63" i="9"/>
  <c r="I63" i="9"/>
  <c r="H63" i="9"/>
  <c r="G63" i="9"/>
  <c r="C63" i="9"/>
  <c r="B63" i="9"/>
  <c r="J62" i="9"/>
  <c r="I62" i="9"/>
  <c r="H62" i="9"/>
  <c r="G62" i="9"/>
  <c r="C62" i="9"/>
  <c r="B62" i="9"/>
  <c r="J61" i="9"/>
  <c r="I61" i="9"/>
  <c r="H61" i="9"/>
  <c r="G61" i="9"/>
  <c r="C61" i="9"/>
  <c r="B61" i="9"/>
  <c r="J60" i="9"/>
  <c r="I60" i="9"/>
  <c r="H60" i="9"/>
  <c r="G60" i="9"/>
  <c r="C60" i="9"/>
  <c r="B60" i="9"/>
  <c r="J59" i="9"/>
  <c r="I59" i="9"/>
  <c r="H59" i="9"/>
  <c r="G59" i="9"/>
  <c r="C59" i="9"/>
  <c r="B59" i="9"/>
  <c r="J58" i="9"/>
  <c r="I58" i="9"/>
  <c r="H58" i="9"/>
  <c r="G58" i="9"/>
  <c r="C58" i="9"/>
  <c r="B58" i="9"/>
  <c r="J57" i="9"/>
  <c r="I57" i="9"/>
  <c r="H57" i="9"/>
  <c r="G57" i="9"/>
  <c r="C57" i="9"/>
  <c r="B57" i="9"/>
  <c r="J56" i="9"/>
  <c r="I56" i="9"/>
  <c r="H56" i="9"/>
  <c r="G56" i="9"/>
  <c r="C56" i="9"/>
  <c r="B56" i="9"/>
  <c r="J55" i="9"/>
  <c r="I55" i="9"/>
  <c r="H55" i="9"/>
  <c r="G55" i="9"/>
  <c r="C55" i="9"/>
  <c r="B55" i="9"/>
  <c r="J54" i="9"/>
  <c r="I54" i="9"/>
  <c r="H54" i="9"/>
  <c r="G54" i="9"/>
  <c r="C54" i="9"/>
  <c r="B54" i="9"/>
  <c r="J53" i="9"/>
  <c r="I53" i="9"/>
  <c r="H53" i="9"/>
  <c r="G53" i="9"/>
  <c r="C53" i="9"/>
  <c r="B53" i="9"/>
  <c r="J52" i="9"/>
  <c r="I52" i="9"/>
  <c r="H52" i="9"/>
  <c r="G52" i="9"/>
  <c r="C52" i="9"/>
  <c r="B52" i="9"/>
  <c r="J51" i="9"/>
  <c r="I51" i="9"/>
  <c r="H51" i="9"/>
  <c r="G51" i="9"/>
  <c r="C51" i="9"/>
  <c r="B51" i="9"/>
  <c r="J50" i="9"/>
  <c r="I50" i="9"/>
  <c r="H50" i="9"/>
  <c r="G50" i="9"/>
  <c r="C50" i="9"/>
  <c r="B50" i="9"/>
  <c r="J49" i="9"/>
  <c r="I49" i="9"/>
  <c r="H49" i="9"/>
  <c r="G49" i="9"/>
  <c r="C49" i="9"/>
  <c r="B49" i="9"/>
  <c r="J48" i="9"/>
  <c r="I48" i="9"/>
  <c r="H48" i="9"/>
  <c r="G48" i="9"/>
  <c r="C48" i="9"/>
  <c r="B48" i="9"/>
  <c r="J47" i="9"/>
  <c r="I47" i="9"/>
  <c r="H47" i="9"/>
  <c r="G47" i="9"/>
  <c r="C47" i="9"/>
  <c r="B47" i="9"/>
  <c r="J46" i="9"/>
  <c r="I46" i="9"/>
  <c r="H46" i="9"/>
  <c r="G46" i="9"/>
  <c r="C46" i="9"/>
  <c r="B46" i="9"/>
  <c r="J45" i="9"/>
  <c r="I45" i="9"/>
  <c r="H45" i="9"/>
  <c r="G45" i="9"/>
  <c r="C45" i="9"/>
  <c r="B45" i="9"/>
  <c r="J44" i="9"/>
  <c r="I44" i="9"/>
  <c r="H44" i="9"/>
  <c r="G44" i="9"/>
  <c r="C44" i="9"/>
  <c r="B44" i="9"/>
  <c r="J43" i="9"/>
  <c r="I43" i="9"/>
  <c r="H43" i="9"/>
  <c r="G43" i="9"/>
  <c r="C43" i="9"/>
  <c r="B43" i="9"/>
  <c r="J42" i="9"/>
  <c r="I42" i="9"/>
  <c r="H42" i="9"/>
  <c r="G42" i="9"/>
  <c r="C42" i="9"/>
  <c r="B42" i="9"/>
  <c r="J41" i="9"/>
  <c r="I41" i="9"/>
  <c r="H41" i="9"/>
  <c r="G41" i="9"/>
  <c r="C41" i="9"/>
  <c r="B41" i="9"/>
  <c r="J40" i="9"/>
  <c r="I40" i="9"/>
  <c r="H40" i="9"/>
  <c r="G40" i="9"/>
  <c r="C40" i="9"/>
  <c r="B40" i="9"/>
  <c r="J39" i="9"/>
  <c r="I39" i="9"/>
  <c r="H39" i="9"/>
  <c r="G39" i="9"/>
  <c r="C39" i="9"/>
  <c r="B39" i="9"/>
  <c r="J38" i="9"/>
  <c r="I38" i="9"/>
  <c r="H38" i="9"/>
  <c r="G38" i="9"/>
  <c r="C38" i="9"/>
  <c r="B38" i="9"/>
  <c r="J37" i="9"/>
  <c r="I37" i="9"/>
  <c r="H37" i="9"/>
  <c r="G37" i="9"/>
  <c r="C37" i="9"/>
  <c r="B37" i="9"/>
  <c r="J36" i="9"/>
  <c r="I36" i="9"/>
  <c r="H36" i="9"/>
  <c r="G36" i="9"/>
  <c r="C36" i="9"/>
  <c r="B36" i="9"/>
  <c r="J35" i="9"/>
  <c r="I35" i="9"/>
  <c r="H35" i="9"/>
  <c r="G35" i="9"/>
  <c r="C35" i="9"/>
  <c r="B35" i="9"/>
  <c r="J34" i="9"/>
  <c r="I34" i="9"/>
  <c r="H34" i="9"/>
  <c r="G34" i="9"/>
  <c r="C34" i="9"/>
  <c r="B34" i="9"/>
  <c r="J33" i="9"/>
  <c r="I33" i="9"/>
  <c r="H33" i="9"/>
  <c r="G33" i="9"/>
  <c r="C33" i="9"/>
  <c r="B33" i="9"/>
  <c r="J32" i="9"/>
  <c r="I32" i="9"/>
  <c r="H32" i="9"/>
  <c r="G32" i="9"/>
  <c r="C32" i="9"/>
  <c r="B32" i="9"/>
  <c r="J31" i="9"/>
  <c r="I31" i="9"/>
  <c r="H31" i="9"/>
  <c r="G31" i="9"/>
  <c r="C31" i="9"/>
  <c r="B31" i="9"/>
  <c r="J30" i="9"/>
  <c r="I30" i="9"/>
  <c r="H30" i="9"/>
  <c r="G30" i="9"/>
  <c r="C30" i="9"/>
  <c r="B30" i="9"/>
  <c r="J29" i="9"/>
  <c r="I29" i="9"/>
  <c r="H29" i="9"/>
  <c r="G29" i="9"/>
  <c r="C29" i="9"/>
  <c r="B29" i="9"/>
  <c r="J28" i="9"/>
  <c r="I28" i="9"/>
  <c r="H28" i="9"/>
  <c r="G28" i="9"/>
  <c r="C28" i="9"/>
  <c r="B28" i="9"/>
  <c r="J27" i="9"/>
  <c r="I27" i="9"/>
  <c r="H27" i="9"/>
  <c r="G27" i="9"/>
  <c r="C27" i="9"/>
  <c r="B27" i="9"/>
  <c r="J26" i="9"/>
  <c r="I26" i="9"/>
  <c r="H26" i="9"/>
  <c r="G26" i="9"/>
  <c r="C26" i="9"/>
  <c r="B26" i="9"/>
  <c r="J25" i="9"/>
  <c r="I25" i="9"/>
  <c r="H25" i="9"/>
  <c r="G25" i="9"/>
  <c r="C25" i="9"/>
  <c r="B25" i="9"/>
  <c r="J24" i="9"/>
  <c r="I24" i="9"/>
  <c r="H24" i="9"/>
  <c r="G24" i="9"/>
  <c r="C24" i="9"/>
  <c r="B24" i="9"/>
  <c r="J23" i="9"/>
  <c r="I23" i="9"/>
  <c r="H23" i="9"/>
  <c r="G23" i="9"/>
  <c r="C23" i="9"/>
  <c r="B23" i="9"/>
  <c r="J22" i="9"/>
  <c r="I22" i="9"/>
  <c r="H22" i="9"/>
  <c r="G22" i="9"/>
  <c r="C22" i="9"/>
  <c r="B22" i="9"/>
  <c r="J21" i="9"/>
  <c r="I21" i="9"/>
  <c r="H21" i="9"/>
  <c r="G21" i="9"/>
  <c r="C21" i="9"/>
  <c r="B21" i="9"/>
  <c r="J20" i="9"/>
  <c r="I20" i="9"/>
  <c r="H20" i="9"/>
  <c r="G20" i="9"/>
  <c r="C20" i="9"/>
  <c r="B20" i="9"/>
  <c r="J19" i="9"/>
  <c r="I19" i="9"/>
  <c r="H19" i="9"/>
  <c r="G19" i="9"/>
  <c r="C19" i="9"/>
  <c r="B19" i="9"/>
  <c r="J18" i="9"/>
  <c r="I18" i="9"/>
  <c r="H18" i="9"/>
  <c r="G18" i="9"/>
  <c r="C18" i="9"/>
  <c r="B18" i="9"/>
  <c r="J17" i="9"/>
  <c r="I17" i="9"/>
  <c r="H17" i="9"/>
  <c r="G17" i="9"/>
  <c r="C17" i="9"/>
  <c r="B17" i="9"/>
  <c r="J16" i="9"/>
  <c r="I16" i="9"/>
  <c r="H16" i="9"/>
  <c r="G16" i="9"/>
  <c r="C16" i="9"/>
  <c r="B16" i="9"/>
  <c r="J15" i="9"/>
  <c r="I15" i="9"/>
  <c r="H15" i="9"/>
  <c r="G15" i="9"/>
  <c r="C15" i="9"/>
  <c r="B15" i="9"/>
  <c r="J14" i="9"/>
  <c r="I14" i="9"/>
  <c r="H14" i="9"/>
  <c r="G14" i="9"/>
  <c r="C14" i="9"/>
  <c r="B14" i="9"/>
  <c r="J13" i="9"/>
  <c r="I13" i="9"/>
  <c r="H13" i="9"/>
  <c r="G13" i="9"/>
  <c r="C13" i="9"/>
  <c r="B13" i="9"/>
  <c r="J12" i="9"/>
  <c r="I12" i="9"/>
  <c r="H12" i="9"/>
  <c r="G12" i="9"/>
  <c r="C12" i="9"/>
  <c r="B12" i="9"/>
  <c r="J11" i="9"/>
  <c r="I11" i="9"/>
  <c r="H11" i="9"/>
  <c r="G11" i="9"/>
  <c r="C11" i="9"/>
  <c r="B11" i="9"/>
  <c r="J10" i="9"/>
  <c r="I10" i="9"/>
  <c r="H10" i="9"/>
  <c r="G10" i="9"/>
  <c r="C10" i="9"/>
  <c r="B10" i="9"/>
  <c r="J9" i="9"/>
  <c r="I9" i="9"/>
  <c r="H9" i="9"/>
  <c r="G9" i="9"/>
  <c r="C9" i="9"/>
  <c r="B9" i="9"/>
  <c r="J8" i="9"/>
  <c r="I8" i="9"/>
  <c r="H8" i="9"/>
  <c r="G8" i="9"/>
  <c r="C8" i="9"/>
  <c r="B8" i="9"/>
  <c r="J7" i="9"/>
  <c r="I7" i="9"/>
  <c r="H7" i="9"/>
  <c r="G7" i="9"/>
  <c r="C7" i="9"/>
  <c r="B7" i="9"/>
  <c r="J6" i="9"/>
  <c r="I6" i="9"/>
  <c r="H6" i="9"/>
  <c r="G6" i="9"/>
  <c r="C6" i="9"/>
  <c r="B6" i="9"/>
  <c r="J5" i="9"/>
  <c r="I5" i="9"/>
  <c r="H5" i="9"/>
  <c r="G5" i="9"/>
  <c r="C5" i="9"/>
  <c r="B5" i="9"/>
  <c r="J4" i="9"/>
  <c r="I4" i="9"/>
  <c r="H4" i="9"/>
  <c r="G4" i="9"/>
  <c r="C4" i="9"/>
  <c r="B4" i="9"/>
  <c r="J3" i="9"/>
  <c r="I3" i="9"/>
  <c r="H3" i="9"/>
  <c r="G3" i="9"/>
  <c r="C3" i="9"/>
  <c r="B3" i="9"/>
  <c r="J2" i="9"/>
  <c r="I2" i="9"/>
  <c r="H2" i="9"/>
  <c r="G2" i="9"/>
  <c r="C2" i="9"/>
  <c r="B2" i="9"/>
  <c r="AL57" i="7"/>
  <c r="AK57" i="7"/>
  <c r="AJ57" i="7"/>
  <c r="AI57" i="7"/>
  <c r="AH57" i="7"/>
  <c r="AG57" i="7"/>
  <c r="AF57" i="7"/>
  <c r="AE57" i="7"/>
  <c r="AD57" i="7"/>
  <c r="AC57" i="7"/>
  <c r="AB57" i="7"/>
  <c r="AA57" i="7"/>
  <c r="Z57" i="7"/>
  <c r="Y57" i="7"/>
  <c r="X57" i="7"/>
  <c r="W57" i="7"/>
  <c r="V57" i="7"/>
  <c r="U57" i="7"/>
  <c r="T57" i="7"/>
  <c r="S57" i="7"/>
  <c r="R57" i="7"/>
  <c r="Q57" i="7"/>
  <c r="P57" i="7"/>
  <c r="O57" i="7"/>
  <c r="N57" i="7"/>
  <c r="M57" i="7"/>
  <c r="L57" i="7"/>
  <c r="K57" i="7"/>
  <c r="J57" i="7"/>
  <c r="I57" i="7"/>
  <c r="H57" i="7"/>
  <c r="G57" i="7"/>
  <c r="F57" i="7"/>
  <c r="E57" i="7"/>
  <c r="D57" i="7"/>
  <c r="C57" i="7"/>
  <c r="B57" i="7"/>
  <c r="AL56" i="7"/>
  <c r="AK56" i="7"/>
  <c r="AJ56" i="7"/>
  <c r="AI56" i="7"/>
  <c r="AH56" i="7"/>
  <c r="AG56" i="7"/>
  <c r="AF56" i="7"/>
  <c r="AE56" i="7"/>
  <c r="AD56" i="7"/>
  <c r="AC56" i="7"/>
  <c r="AB56" i="7"/>
  <c r="AA56" i="7"/>
  <c r="Z56" i="7"/>
  <c r="Y56" i="7"/>
  <c r="X56" i="7"/>
  <c r="W56" i="7"/>
  <c r="V56" i="7"/>
  <c r="U56" i="7"/>
  <c r="T56" i="7"/>
  <c r="S56" i="7"/>
  <c r="R56" i="7"/>
  <c r="Q56" i="7"/>
  <c r="P56" i="7"/>
  <c r="O56" i="7"/>
  <c r="N56" i="7"/>
  <c r="M56" i="7"/>
  <c r="L56" i="7"/>
  <c r="K56" i="7"/>
  <c r="J56" i="7"/>
  <c r="I56" i="7"/>
  <c r="H56" i="7"/>
  <c r="G56" i="7"/>
  <c r="F56" i="7"/>
  <c r="E56" i="7"/>
  <c r="D56" i="7"/>
  <c r="C56" i="7"/>
  <c r="B56" i="7"/>
  <c r="AL55" i="7"/>
  <c r="AK55" i="7"/>
  <c r="AJ55" i="7"/>
  <c r="AI55" i="7"/>
  <c r="AH55" i="7"/>
  <c r="AG55" i="7"/>
  <c r="AF55" i="7"/>
  <c r="AE55" i="7"/>
  <c r="AD55" i="7"/>
  <c r="AC55" i="7"/>
  <c r="AB55" i="7"/>
  <c r="AA55" i="7"/>
  <c r="Z55" i="7"/>
  <c r="Y55" i="7"/>
  <c r="X55" i="7"/>
  <c r="W55" i="7"/>
  <c r="V55" i="7"/>
  <c r="U55" i="7"/>
  <c r="T55" i="7"/>
  <c r="S55" i="7"/>
  <c r="R55" i="7"/>
  <c r="Q55" i="7"/>
  <c r="P55" i="7"/>
  <c r="O55" i="7"/>
  <c r="N55" i="7"/>
  <c r="M55" i="7"/>
  <c r="L55" i="7"/>
  <c r="K55" i="7"/>
  <c r="J55" i="7"/>
  <c r="I55" i="7"/>
  <c r="H55" i="7"/>
  <c r="G55" i="7"/>
  <c r="F55" i="7"/>
  <c r="E55" i="7"/>
  <c r="D55" i="7"/>
  <c r="C55" i="7"/>
  <c r="B55" i="7"/>
  <c r="AL54" i="7"/>
  <c r="AK54" i="7"/>
  <c r="AJ54" i="7"/>
  <c r="AI54" i="7"/>
  <c r="AH54" i="7"/>
  <c r="AG54" i="7"/>
  <c r="AF54" i="7"/>
  <c r="AE54" i="7"/>
  <c r="AD54" i="7"/>
  <c r="AC54" i="7"/>
  <c r="AB54" i="7"/>
  <c r="AA54" i="7"/>
  <c r="Z54" i="7"/>
  <c r="Y54" i="7"/>
  <c r="X54" i="7"/>
  <c r="W54" i="7"/>
  <c r="V54" i="7"/>
  <c r="U54" i="7"/>
  <c r="T54" i="7"/>
  <c r="S54" i="7"/>
  <c r="R54" i="7"/>
  <c r="Q54" i="7"/>
  <c r="P54" i="7"/>
  <c r="O54" i="7"/>
  <c r="N54" i="7"/>
  <c r="M54" i="7"/>
  <c r="L54" i="7"/>
  <c r="K54" i="7"/>
  <c r="J54" i="7"/>
  <c r="I54" i="7"/>
  <c r="H54" i="7"/>
  <c r="G54" i="7"/>
  <c r="F54" i="7"/>
  <c r="E54" i="7"/>
  <c r="D54" i="7"/>
  <c r="C54" i="7"/>
  <c r="B54" i="7"/>
  <c r="AL53" i="7"/>
  <c r="AK53" i="7"/>
  <c r="AJ53" i="7"/>
  <c r="AI53" i="7"/>
  <c r="AH53" i="7"/>
  <c r="AG53" i="7"/>
  <c r="AF53" i="7"/>
  <c r="AE53" i="7"/>
  <c r="AD53" i="7"/>
  <c r="AC53" i="7"/>
  <c r="AB53" i="7"/>
  <c r="AA53" i="7"/>
  <c r="Z53" i="7"/>
  <c r="Y53" i="7"/>
  <c r="X53" i="7"/>
  <c r="W53" i="7"/>
  <c r="V53" i="7"/>
  <c r="U53" i="7"/>
  <c r="T53" i="7"/>
  <c r="S53" i="7"/>
  <c r="R53" i="7"/>
  <c r="Q53" i="7"/>
  <c r="P53" i="7"/>
  <c r="O53" i="7"/>
  <c r="N53" i="7"/>
  <c r="M53" i="7"/>
  <c r="L53" i="7"/>
  <c r="K53" i="7"/>
  <c r="J53" i="7"/>
  <c r="I53" i="7"/>
  <c r="H53" i="7"/>
  <c r="G53" i="7"/>
  <c r="F53" i="7"/>
  <c r="E53" i="7"/>
  <c r="D53" i="7"/>
  <c r="C53" i="7"/>
  <c r="B53" i="7"/>
  <c r="AL52" i="7"/>
  <c r="AK52" i="7"/>
  <c r="AJ52" i="7"/>
  <c r="AI52" i="7"/>
  <c r="AH52" i="7"/>
  <c r="AG52" i="7"/>
  <c r="AF52" i="7"/>
  <c r="AE52" i="7"/>
  <c r="AD52" i="7"/>
  <c r="AC52" i="7"/>
  <c r="AB52" i="7"/>
  <c r="AA52" i="7"/>
  <c r="Z52" i="7"/>
  <c r="Y52" i="7"/>
  <c r="X52" i="7"/>
  <c r="W52" i="7"/>
  <c r="V52" i="7"/>
  <c r="U52" i="7"/>
  <c r="T52" i="7"/>
  <c r="S52" i="7"/>
  <c r="R52" i="7"/>
  <c r="Q52" i="7"/>
  <c r="P52" i="7"/>
  <c r="O52" i="7"/>
  <c r="N52" i="7"/>
  <c r="M52" i="7"/>
  <c r="L52" i="7"/>
  <c r="K52" i="7"/>
  <c r="J52" i="7"/>
  <c r="I52" i="7"/>
  <c r="H52" i="7"/>
  <c r="G52" i="7"/>
  <c r="F52" i="7"/>
  <c r="E52" i="7"/>
  <c r="D52" i="7"/>
  <c r="C52" i="7"/>
  <c r="B52" i="7"/>
  <c r="AL51" i="7"/>
  <c r="AK51" i="7"/>
  <c r="AJ51" i="7"/>
  <c r="AI51" i="7"/>
  <c r="AH51" i="7"/>
  <c r="AG51" i="7"/>
  <c r="AF51" i="7"/>
  <c r="AE51" i="7"/>
  <c r="AD51" i="7"/>
  <c r="AC51" i="7"/>
  <c r="AB51" i="7"/>
  <c r="AA51" i="7"/>
  <c r="Z51" i="7"/>
  <c r="Y51" i="7"/>
  <c r="X51" i="7"/>
  <c r="W51" i="7"/>
  <c r="V51" i="7"/>
  <c r="U51" i="7"/>
  <c r="T51" i="7"/>
  <c r="S51" i="7"/>
  <c r="R51" i="7"/>
  <c r="Q51" i="7"/>
  <c r="P51" i="7"/>
  <c r="O51" i="7"/>
  <c r="N51" i="7"/>
  <c r="M51" i="7"/>
  <c r="L51" i="7"/>
  <c r="K51" i="7"/>
  <c r="J51" i="7"/>
  <c r="I51" i="7"/>
  <c r="H51" i="7"/>
  <c r="G51" i="7"/>
  <c r="F51" i="7"/>
  <c r="E51" i="7"/>
  <c r="D51" i="7"/>
  <c r="C51" i="7"/>
  <c r="B51" i="7"/>
  <c r="AL50" i="7"/>
  <c r="AK50" i="7"/>
  <c r="AJ50" i="7"/>
  <c r="AI50" i="7"/>
  <c r="AH50" i="7"/>
  <c r="AG50" i="7"/>
  <c r="AF50" i="7"/>
  <c r="AE50" i="7"/>
  <c r="AD50" i="7"/>
  <c r="AC50" i="7"/>
  <c r="AB50" i="7"/>
  <c r="AA50" i="7"/>
  <c r="Z50" i="7"/>
  <c r="Y50" i="7"/>
  <c r="X50" i="7"/>
  <c r="W50" i="7"/>
  <c r="V50" i="7"/>
  <c r="U50" i="7"/>
  <c r="T50" i="7"/>
  <c r="S50" i="7"/>
  <c r="R50" i="7"/>
  <c r="Q50" i="7"/>
  <c r="P50" i="7"/>
  <c r="O50" i="7"/>
  <c r="N50" i="7"/>
  <c r="M50" i="7"/>
  <c r="L50" i="7"/>
  <c r="K50" i="7"/>
  <c r="J50" i="7"/>
  <c r="I50" i="7"/>
  <c r="H50" i="7"/>
  <c r="G50" i="7"/>
  <c r="F50" i="7"/>
  <c r="E50" i="7"/>
  <c r="D50" i="7"/>
  <c r="C50" i="7"/>
  <c r="B50" i="7"/>
  <c r="AL49" i="7"/>
  <c r="AK49" i="7"/>
  <c r="AJ49" i="7"/>
  <c r="AI49" i="7"/>
  <c r="AH49" i="7"/>
  <c r="AG49" i="7"/>
  <c r="AF49" i="7"/>
  <c r="AE49" i="7"/>
  <c r="AD49" i="7"/>
  <c r="AC49" i="7"/>
  <c r="AB49" i="7"/>
  <c r="AA49" i="7"/>
  <c r="Z49" i="7"/>
  <c r="Y49" i="7"/>
  <c r="X49" i="7"/>
  <c r="W49" i="7"/>
  <c r="V49" i="7"/>
  <c r="U49" i="7"/>
  <c r="T49" i="7"/>
  <c r="S49" i="7"/>
  <c r="R49" i="7"/>
  <c r="Q49" i="7"/>
  <c r="P49" i="7"/>
  <c r="O49" i="7"/>
  <c r="N49" i="7"/>
  <c r="M49" i="7"/>
  <c r="L49" i="7"/>
  <c r="K49" i="7"/>
  <c r="J49" i="7"/>
  <c r="I49" i="7"/>
  <c r="H49" i="7"/>
  <c r="G49" i="7"/>
  <c r="F49" i="7"/>
  <c r="E49" i="7"/>
  <c r="D49" i="7"/>
  <c r="C49" i="7"/>
  <c r="B49" i="7"/>
  <c r="AL48" i="7"/>
  <c r="AK48" i="7"/>
  <c r="AJ48" i="7"/>
  <c r="AI48" i="7"/>
  <c r="AH48" i="7"/>
  <c r="AG48" i="7"/>
  <c r="AF48" i="7"/>
  <c r="AE48" i="7"/>
  <c r="AD48" i="7"/>
  <c r="AC48" i="7"/>
  <c r="AB48" i="7"/>
  <c r="AA48" i="7"/>
  <c r="Z48" i="7"/>
  <c r="Y48" i="7"/>
  <c r="X48" i="7"/>
  <c r="W48" i="7"/>
  <c r="V48" i="7"/>
  <c r="U48" i="7"/>
  <c r="T48" i="7"/>
  <c r="S48" i="7"/>
  <c r="R48" i="7"/>
  <c r="Q48" i="7"/>
  <c r="P48" i="7"/>
  <c r="O48" i="7"/>
  <c r="N48" i="7"/>
  <c r="M48" i="7"/>
  <c r="L48" i="7"/>
  <c r="K48" i="7"/>
  <c r="J48" i="7"/>
  <c r="I48" i="7"/>
  <c r="H48" i="7"/>
  <c r="G48" i="7"/>
  <c r="F48" i="7"/>
  <c r="E48" i="7"/>
  <c r="D48" i="7"/>
  <c r="C48" i="7"/>
  <c r="B48" i="7"/>
  <c r="AL47" i="7"/>
  <c r="AK47" i="7"/>
  <c r="AJ47" i="7"/>
  <c r="AI47" i="7"/>
  <c r="AH47" i="7"/>
  <c r="AG47" i="7"/>
  <c r="AF47" i="7"/>
  <c r="AE47" i="7"/>
  <c r="AD47" i="7"/>
  <c r="AC47" i="7"/>
  <c r="AB47" i="7"/>
  <c r="AA47" i="7"/>
  <c r="Z47" i="7"/>
  <c r="Y47" i="7"/>
  <c r="X47" i="7"/>
  <c r="W47" i="7"/>
  <c r="V47" i="7"/>
  <c r="U47" i="7"/>
  <c r="T47" i="7"/>
  <c r="S47" i="7"/>
  <c r="R47" i="7"/>
  <c r="Q47" i="7"/>
  <c r="P47" i="7"/>
  <c r="O47" i="7"/>
  <c r="N47" i="7"/>
  <c r="M47" i="7"/>
  <c r="L47" i="7"/>
  <c r="K47" i="7"/>
  <c r="J47" i="7"/>
  <c r="I47" i="7"/>
  <c r="H47" i="7"/>
  <c r="G47" i="7"/>
  <c r="F47" i="7"/>
  <c r="E47" i="7"/>
  <c r="D47" i="7"/>
  <c r="C47" i="7"/>
  <c r="B47" i="7"/>
  <c r="AL46" i="7"/>
  <c r="AK46" i="7"/>
  <c r="AJ46" i="7"/>
  <c r="AI46" i="7"/>
  <c r="AH46" i="7"/>
  <c r="AG46" i="7"/>
  <c r="AF46" i="7"/>
  <c r="AE46" i="7"/>
  <c r="AD46" i="7"/>
  <c r="AC46" i="7"/>
  <c r="AB46" i="7"/>
  <c r="AA46" i="7"/>
  <c r="Z46" i="7"/>
  <c r="Y46" i="7"/>
  <c r="X46" i="7"/>
  <c r="W46" i="7"/>
  <c r="V46" i="7"/>
  <c r="U46" i="7"/>
  <c r="T46" i="7"/>
  <c r="S46" i="7"/>
  <c r="R46" i="7"/>
  <c r="Q46" i="7"/>
  <c r="P46" i="7"/>
  <c r="O46" i="7"/>
  <c r="N46" i="7"/>
  <c r="M46" i="7"/>
  <c r="L46" i="7"/>
  <c r="K46" i="7"/>
  <c r="J46" i="7"/>
  <c r="I46" i="7"/>
  <c r="H46" i="7"/>
  <c r="G46" i="7"/>
  <c r="F46" i="7"/>
  <c r="E46" i="7"/>
  <c r="D46" i="7"/>
  <c r="C46" i="7"/>
  <c r="B46" i="7"/>
  <c r="AL45" i="7"/>
  <c r="AK45" i="7"/>
  <c r="AJ45" i="7"/>
  <c r="AI45" i="7"/>
  <c r="AH45" i="7"/>
  <c r="AG45" i="7"/>
  <c r="AF45" i="7"/>
  <c r="AE45" i="7"/>
  <c r="AD45" i="7"/>
  <c r="AC45" i="7"/>
  <c r="AB45" i="7"/>
  <c r="AA45" i="7"/>
  <c r="Z45" i="7"/>
  <c r="Y45" i="7"/>
  <c r="X45" i="7"/>
  <c r="W45" i="7"/>
  <c r="V45" i="7"/>
  <c r="U45" i="7"/>
  <c r="T45" i="7"/>
  <c r="S45" i="7"/>
  <c r="R45" i="7"/>
  <c r="Q45" i="7"/>
  <c r="P45" i="7"/>
  <c r="O45" i="7"/>
  <c r="N45" i="7"/>
  <c r="M45" i="7"/>
  <c r="L45" i="7"/>
  <c r="K45" i="7"/>
  <c r="J45" i="7"/>
  <c r="I45" i="7"/>
  <c r="H45" i="7"/>
  <c r="G45" i="7"/>
  <c r="F45" i="7"/>
  <c r="E45" i="7"/>
  <c r="D45" i="7"/>
  <c r="C45" i="7"/>
  <c r="B45" i="7"/>
  <c r="AL44" i="7"/>
  <c r="AK44" i="7"/>
  <c r="AJ44" i="7"/>
  <c r="AI44" i="7"/>
  <c r="AH44" i="7"/>
  <c r="AG44" i="7"/>
  <c r="AF44" i="7"/>
  <c r="AE44" i="7"/>
  <c r="AD44" i="7"/>
  <c r="AC44" i="7"/>
  <c r="AB44" i="7"/>
  <c r="AA44" i="7"/>
  <c r="Z44" i="7"/>
  <c r="Y44" i="7"/>
  <c r="X44" i="7"/>
  <c r="W44" i="7"/>
  <c r="V44" i="7"/>
  <c r="U44" i="7"/>
  <c r="T44" i="7"/>
  <c r="S44" i="7"/>
  <c r="R44" i="7"/>
  <c r="Q44" i="7"/>
  <c r="P44" i="7"/>
  <c r="O44" i="7"/>
  <c r="N44" i="7"/>
  <c r="M44" i="7"/>
  <c r="L44" i="7"/>
  <c r="K44" i="7"/>
  <c r="J44" i="7"/>
  <c r="I44" i="7"/>
  <c r="H44" i="7"/>
  <c r="G44" i="7"/>
  <c r="F44" i="7"/>
  <c r="E44" i="7"/>
  <c r="D44" i="7"/>
  <c r="C44" i="7"/>
  <c r="B44" i="7"/>
  <c r="AL43" i="7"/>
  <c r="AK43" i="7"/>
  <c r="AJ43" i="7"/>
  <c r="AI43" i="7"/>
  <c r="AH43" i="7"/>
  <c r="AG43"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c r="E43" i="7"/>
  <c r="D43" i="7"/>
  <c r="C43" i="7"/>
  <c r="B43" i="7"/>
  <c r="AL42" i="7"/>
  <c r="AK42" i="7"/>
  <c r="AJ42" i="7"/>
  <c r="AI42" i="7"/>
  <c r="AH42" i="7"/>
  <c r="AG42" i="7"/>
  <c r="AF42" i="7"/>
  <c r="AE42" i="7"/>
  <c r="AD42" i="7"/>
  <c r="AC42" i="7"/>
  <c r="AB42" i="7"/>
  <c r="AA42" i="7"/>
  <c r="Z42" i="7"/>
  <c r="Y42" i="7"/>
  <c r="X42" i="7"/>
  <c r="W42" i="7"/>
  <c r="V42" i="7"/>
  <c r="U42" i="7"/>
  <c r="T42" i="7"/>
  <c r="S42" i="7"/>
  <c r="R42" i="7"/>
  <c r="Q42" i="7"/>
  <c r="P42" i="7"/>
  <c r="O42" i="7"/>
  <c r="N42" i="7"/>
  <c r="M42" i="7"/>
  <c r="L42" i="7"/>
  <c r="K42" i="7"/>
  <c r="J42" i="7"/>
  <c r="I42" i="7"/>
  <c r="H42" i="7"/>
  <c r="G42" i="7"/>
  <c r="F42" i="7"/>
  <c r="E42" i="7"/>
  <c r="D42" i="7"/>
  <c r="C42" i="7"/>
  <c r="B42" i="7"/>
  <c r="AL41" i="7"/>
  <c r="AK41" i="7"/>
  <c r="AJ41" i="7"/>
  <c r="AI41" i="7"/>
  <c r="AH41" i="7"/>
  <c r="AG41" i="7"/>
  <c r="AF41" i="7"/>
  <c r="AE41" i="7"/>
  <c r="AD41" i="7"/>
  <c r="AC41" i="7"/>
  <c r="AB41" i="7"/>
  <c r="AA41" i="7"/>
  <c r="Z41" i="7"/>
  <c r="Y41" i="7"/>
  <c r="X41" i="7"/>
  <c r="W41" i="7"/>
  <c r="V41" i="7"/>
  <c r="U41" i="7"/>
  <c r="T41" i="7"/>
  <c r="S41" i="7"/>
  <c r="R41" i="7"/>
  <c r="Q41" i="7"/>
  <c r="P41" i="7"/>
  <c r="O41" i="7"/>
  <c r="N41" i="7"/>
  <c r="M41" i="7"/>
  <c r="L41" i="7"/>
  <c r="K41" i="7"/>
  <c r="J41" i="7"/>
  <c r="I41" i="7"/>
  <c r="H41" i="7"/>
  <c r="G41" i="7"/>
  <c r="F41" i="7"/>
  <c r="E41" i="7"/>
  <c r="D41" i="7"/>
  <c r="C41" i="7"/>
  <c r="B41" i="7"/>
  <c r="AL40" i="7"/>
  <c r="AK40" i="7"/>
  <c r="AJ40" i="7"/>
  <c r="AI40" i="7"/>
  <c r="AH40" i="7"/>
  <c r="AG40" i="7"/>
  <c r="AF40" i="7"/>
  <c r="AE40" i="7"/>
  <c r="AD40" i="7"/>
  <c r="AC40" i="7"/>
  <c r="AB40" i="7"/>
  <c r="AA40" i="7"/>
  <c r="Z40" i="7"/>
  <c r="Y40" i="7"/>
  <c r="X40" i="7"/>
  <c r="W40" i="7"/>
  <c r="V40" i="7"/>
  <c r="U40" i="7"/>
  <c r="T40" i="7"/>
  <c r="S40" i="7"/>
  <c r="R40" i="7"/>
  <c r="Q40" i="7"/>
  <c r="P40" i="7"/>
  <c r="O40" i="7"/>
  <c r="N40" i="7"/>
  <c r="M40" i="7"/>
  <c r="L40" i="7"/>
  <c r="K40" i="7"/>
  <c r="J40" i="7"/>
  <c r="I40" i="7"/>
  <c r="H40" i="7"/>
  <c r="G40" i="7"/>
  <c r="F40" i="7"/>
  <c r="E40" i="7"/>
  <c r="D40" i="7"/>
  <c r="C40" i="7"/>
  <c r="B40" i="7"/>
  <c r="AL39" i="7"/>
  <c r="AK39" i="7"/>
  <c r="AJ39" i="7"/>
  <c r="AI39" i="7"/>
  <c r="AH39" i="7"/>
  <c r="AG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c r="E39" i="7"/>
  <c r="D39" i="7"/>
  <c r="C39" i="7"/>
  <c r="B39" i="7"/>
  <c r="AL38" i="7"/>
  <c r="AK38" i="7"/>
  <c r="AJ38" i="7"/>
  <c r="AI38" i="7"/>
  <c r="AH38" i="7"/>
  <c r="AG38" i="7"/>
  <c r="AF38" i="7"/>
  <c r="AE38" i="7"/>
  <c r="AD38" i="7"/>
  <c r="AC38" i="7"/>
  <c r="AB38" i="7"/>
  <c r="AA38" i="7"/>
  <c r="Z38" i="7"/>
  <c r="Y38" i="7"/>
  <c r="X38" i="7"/>
  <c r="W38" i="7"/>
  <c r="V38" i="7"/>
  <c r="U38" i="7"/>
  <c r="T38" i="7"/>
  <c r="S38" i="7"/>
  <c r="R38" i="7"/>
  <c r="Q38" i="7"/>
  <c r="P38" i="7"/>
  <c r="O38" i="7"/>
  <c r="N38" i="7"/>
  <c r="M38" i="7"/>
  <c r="L38" i="7"/>
  <c r="K38" i="7"/>
  <c r="J38" i="7"/>
  <c r="I38" i="7"/>
  <c r="H38" i="7"/>
  <c r="G38" i="7"/>
  <c r="F38" i="7"/>
  <c r="E38" i="7"/>
  <c r="D38" i="7"/>
  <c r="C38" i="7"/>
  <c r="B38"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B37" i="7"/>
  <c r="AL36" i="7"/>
  <c r="AK36" i="7"/>
  <c r="AJ36" i="7"/>
  <c r="AI36" i="7"/>
  <c r="AH36" i="7"/>
  <c r="AG36" i="7"/>
  <c r="AF36" i="7"/>
  <c r="AE36" i="7"/>
  <c r="AD36" i="7"/>
  <c r="AC36" i="7"/>
  <c r="AB36" i="7"/>
  <c r="AA36" i="7"/>
  <c r="Z36" i="7"/>
  <c r="Y36" i="7"/>
  <c r="X36" i="7"/>
  <c r="W36" i="7"/>
  <c r="V36" i="7"/>
  <c r="U36" i="7"/>
  <c r="T36" i="7"/>
  <c r="S36" i="7"/>
  <c r="R36" i="7"/>
  <c r="Q36" i="7"/>
  <c r="P36" i="7"/>
  <c r="O36" i="7"/>
  <c r="N36" i="7"/>
  <c r="M36" i="7"/>
  <c r="L36" i="7"/>
  <c r="K36" i="7"/>
  <c r="J36" i="7"/>
  <c r="I36" i="7"/>
  <c r="H36" i="7"/>
  <c r="G36" i="7"/>
  <c r="F36" i="7"/>
  <c r="E36" i="7"/>
  <c r="D36" i="7"/>
  <c r="C36" i="7"/>
  <c r="B36" i="7"/>
  <c r="AL35" i="7"/>
  <c r="AK35" i="7"/>
  <c r="AJ35" i="7"/>
  <c r="AI35" i="7"/>
  <c r="AH35" i="7"/>
  <c r="AG35" i="7"/>
  <c r="AF35" i="7"/>
  <c r="AE35" i="7"/>
  <c r="AD35" i="7"/>
  <c r="AC35" i="7"/>
  <c r="AB35" i="7"/>
  <c r="AA35" i="7"/>
  <c r="Z35" i="7"/>
  <c r="Y35" i="7"/>
  <c r="X35" i="7"/>
  <c r="W35" i="7"/>
  <c r="V35" i="7"/>
  <c r="U35" i="7"/>
  <c r="T35" i="7"/>
  <c r="S35" i="7"/>
  <c r="R35" i="7"/>
  <c r="Q35" i="7"/>
  <c r="P35" i="7"/>
  <c r="O35" i="7"/>
  <c r="N35" i="7"/>
  <c r="M35" i="7"/>
  <c r="L35" i="7"/>
  <c r="K35" i="7"/>
  <c r="J35" i="7"/>
  <c r="I35" i="7"/>
  <c r="H35" i="7"/>
  <c r="G35" i="7"/>
  <c r="F35" i="7"/>
  <c r="E35" i="7"/>
  <c r="D35" i="7"/>
  <c r="C35" i="7"/>
  <c r="B35" i="7"/>
  <c r="AL34" i="7"/>
  <c r="AK34" i="7"/>
  <c r="AJ34" i="7"/>
  <c r="AI34" i="7"/>
  <c r="AH34" i="7"/>
  <c r="AG34" i="7"/>
  <c r="AF34" i="7"/>
  <c r="AE34" i="7"/>
  <c r="AD34" i="7"/>
  <c r="AC34" i="7"/>
  <c r="AB34" i="7"/>
  <c r="AA34" i="7"/>
  <c r="Z34" i="7"/>
  <c r="Y34" i="7"/>
  <c r="X34" i="7"/>
  <c r="W34" i="7"/>
  <c r="V34" i="7"/>
  <c r="U34" i="7"/>
  <c r="T34" i="7"/>
  <c r="S34" i="7"/>
  <c r="R34" i="7"/>
  <c r="Q34" i="7"/>
  <c r="P34" i="7"/>
  <c r="O34" i="7"/>
  <c r="N34" i="7"/>
  <c r="M34" i="7"/>
  <c r="L34" i="7"/>
  <c r="K34" i="7"/>
  <c r="J34" i="7"/>
  <c r="I34" i="7"/>
  <c r="H34" i="7"/>
  <c r="G34" i="7"/>
  <c r="F34" i="7"/>
  <c r="E34" i="7"/>
  <c r="D34" i="7"/>
  <c r="C34" i="7"/>
  <c r="B34" i="7"/>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E33" i="7"/>
  <c r="D33" i="7"/>
  <c r="C33" i="7"/>
  <c r="B33" i="7"/>
  <c r="AL32" i="7"/>
  <c r="AK32" i="7"/>
  <c r="AJ32" i="7"/>
  <c r="AI32" i="7"/>
  <c r="AH32" i="7"/>
  <c r="AG32" i="7"/>
  <c r="AF32" i="7"/>
  <c r="AE32" i="7"/>
  <c r="AD32" i="7"/>
  <c r="AC32" i="7"/>
  <c r="AB32" i="7"/>
  <c r="AA32" i="7"/>
  <c r="Z32" i="7"/>
  <c r="Y32" i="7"/>
  <c r="X32" i="7"/>
  <c r="W32" i="7"/>
  <c r="V32" i="7"/>
  <c r="U32" i="7"/>
  <c r="T32" i="7"/>
  <c r="S32" i="7"/>
  <c r="R32" i="7"/>
  <c r="Q32" i="7"/>
  <c r="P32" i="7"/>
  <c r="O32" i="7"/>
  <c r="N32" i="7"/>
  <c r="M32" i="7"/>
  <c r="L32" i="7"/>
  <c r="K32" i="7"/>
  <c r="J32" i="7"/>
  <c r="I32" i="7"/>
  <c r="H32" i="7"/>
  <c r="G32" i="7"/>
  <c r="F32" i="7"/>
  <c r="E32" i="7"/>
  <c r="D32" i="7"/>
  <c r="C32" i="7"/>
  <c r="B32" i="7"/>
  <c r="AL31" i="7"/>
  <c r="AK31" i="7"/>
  <c r="AJ31" i="7"/>
  <c r="AI31" i="7"/>
  <c r="AH31" i="7"/>
  <c r="AG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c r="E31" i="7"/>
  <c r="D31" i="7"/>
  <c r="C31" i="7"/>
  <c r="B31" i="7"/>
  <c r="AL30" i="7"/>
  <c r="AK30" i="7"/>
  <c r="AJ30" i="7"/>
  <c r="AI30" i="7"/>
  <c r="AH30" i="7"/>
  <c r="AG30" i="7"/>
  <c r="AF30" i="7"/>
  <c r="AE30" i="7"/>
  <c r="AD30" i="7"/>
  <c r="AC30" i="7"/>
  <c r="AB30" i="7"/>
  <c r="AA30" i="7"/>
  <c r="Z30" i="7"/>
  <c r="Y30" i="7"/>
  <c r="X30" i="7"/>
  <c r="W30" i="7"/>
  <c r="V30" i="7"/>
  <c r="U30" i="7"/>
  <c r="T30" i="7"/>
  <c r="S30" i="7"/>
  <c r="R30" i="7"/>
  <c r="Q30" i="7"/>
  <c r="P30" i="7"/>
  <c r="O30" i="7"/>
  <c r="N30" i="7"/>
  <c r="M30" i="7"/>
  <c r="L30" i="7"/>
  <c r="K30" i="7"/>
  <c r="J30" i="7"/>
  <c r="I30" i="7"/>
  <c r="H30" i="7"/>
  <c r="G30" i="7"/>
  <c r="F30" i="7"/>
  <c r="E30" i="7"/>
  <c r="D30" i="7"/>
  <c r="C30" i="7"/>
  <c r="B30" i="7"/>
  <c r="AL29" i="7"/>
  <c r="AK29" i="7"/>
  <c r="AJ29" i="7"/>
  <c r="AI29" i="7"/>
  <c r="AH29" i="7"/>
  <c r="AG29" i="7"/>
  <c r="AF29" i="7"/>
  <c r="AE29" i="7"/>
  <c r="AD29" i="7"/>
  <c r="AC29" i="7"/>
  <c r="AB29" i="7"/>
  <c r="AA29" i="7"/>
  <c r="Z29" i="7"/>
  <c r="Y29" i="7"/>
  <c r="X29" i="7"/>
  <c r="W29" i="7"/>
  <c r="V29" i="7"/>
  <c r="U29" i="7"/>
  <c r="T29" i="7"/>
  <c r="S29" i="7"/>
  <c r="R29" i="7"/>
  <c r="Q29" i="7"/>
  <c r="P29" i="7"/>
  <c r="O29" i="7"/>
  <c r="N29" i="7"/>
  <c r="M29" i="7"/>
  <c r="L29" i="7"/>
  <c r="K29" i="7"/>
  <c r="J29" i="7"/>
  <c r="I29" i="7"/>
  <c r="H29" i="7"/>
  <c r="G29" i="7"/>
  <c r="F29" i="7"/>
  <c r="E29" i="7"/>
  <c r="D29" i="7"/>
  <c r="C29" i="7"/>
  <c r="B29" i="7"/>
  <c r="AL28" i="7"/>
  <c r="AK28" i="7"/>
  <c r="AJ28" i="7"/>
  <c r="AI28" i="7"/>
  <c r="AH28" i="7"/>
  <c r="AG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E28" i="7"/>
  <c r="D28" i="7"/>
  <c r="C28" i="7"/>
  <c r="B28" i="7"/>
  <c r="AL27" i="7"/>
  <c r="AK27" i="7"/>
  <c r="AJ27" i="7"/>
  <c r="AI27" i="7"/>
  <c r="AH27" i="7"/>
  <c r="AG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E27" i="7"/>
  <c r="D27" i="7"/>
  <c r="C27" i="7"/>
  <c r="B27"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E26" i="7"/>
  <c r="D26" i="7"/>
  <c r="C26" i="7"/>
  <c r="B26" i="7"/>
  <c r="AL25" i="7"/>
  <c r="AK25" i="7"/>
  <c r="AJ25" i="7"/>
  <c r="AI25" i="7"/>
  <c r="AH25" i="7"/>
  <c r="AG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E25" i="7"/>
  <c r="D25" i="7"/>
  <c r="C25" i="7"/>
  <c r="B25" i="7"/>
  <c r="AL24" i="7"/>
  <c r="AK24" i="7"/>
  <c r="AJ24" i="7"/>
  <c r="AI24" i="7"/>
  <c r="AH24" i="7"/>
  <c r="AG24" i="7"/>
  <c r="AF24" i="7"/>
  <c r="AE24" i="7"/>
  <c r="AD24" i="7"/>
  <c r="AC24" i="7"/>
  <c r="AB24" i="7"/>
  <c r="AA24" i="7"/>
  <c r="Z24" i="7"/>
  <c r="Y24" i="7"/>
  <c r="X24" i="7"/>
  <c r="W24" i="7"/>
  <c r="V24" i="7"/>
  <c r="U24" i="7"/>
  <c r="T24" i="7"/>
  <c r="S24" i="7"/>
  <c r="R24" i="7"/>
  <c r="Q24" i="7"/>
  <c r="P24" i="7"/>
  <c r="O24" i="7"/>
  <c r="N24" i="7"/>
  <c r="M24" i="7"/>
  <c r="L24" i="7"/>
  <c r="K24" i="7"/>
  <c r="J24" i="7"/>
  <c r="I24" i="7"/>
  <c r="H24" i="7"/>
  <c r="G24" i="7"/>
  <c r="F24" i="7"/>
  <c r="E24" i="7"/>
  <c r="D24" i="7"/>
  <c r="C24" i="7"/>
  <c r="B24"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C23" i="7"/>
  <c r="B23" i="7"/>
  <c r="AL22" i="7"/>
  <c r="AK22" i="7"/>
  <c r="AJ22" i="7"/>
  <c r="AI22" i="7"/>
  <c r="AH22" i="7"/>
  <c r="AG22" i="7"/>
  <c r="AF22" i="7"/>
  <c r="AE22" i="7"/>
  <c r="AD22" i="7"/>
  <c r="AC22" i="7"/>
  <c r="AB22" i="7"/>
  <c r="AA22" i="7"/>
  <c r="Z22" i="7"/>
  <c r="Y22" i="7"/>
  <c r="X22" i="7"/>
  <c r="W22" i="7"/>
  <c r="V22" i="7"/>
  <c r="U22" i="7"/>
  <c r="T22" i="7"/>
  <c r="S22" i="7"/>
  <c r="R22" i="7"/>
  <c r="Q22" i="7"/>
  <c r="P22" i="7"/>
  <c r="O22" i="7"/>
  <c r="N22" i="7"/>
  <c r="M22" i="7"/>
  <c r="L22" i="7"/>
  <c r="K22" i="7"/>
  <c r="J22" i="7"/>
  <c r="I22" i="7"/>
  <c r="H22" i="7"/>
  <c r="G22" i="7"/>
  <c r="F22" i="7"/>
  <c r="E22" i="7"/>
  <c r="D22" i="7"/>
  <c r="C22" i="7"/>
  <c r="B22" i="7"/>
  <c r="AL21" i="7"/>
  <c r="AK21" i="7"/>
  <c r="AJ21" i="7"/>
  <c r="AI21" i="7"/>
  <c r="AH21" i="7"/>
  <c r="AG21" i="7"/>
  <c r="AF21" i="7"/>
  <c r="AE21" i="7"/>
  <c r="AD21" i="7"/>
  <c r="AC21" i="7"/>
  <c r="AB21" i="7"/>
  <c r="AA21" i="7"/>
  <c r="Z21" i="7"/>
  <c r="Y21" i="7"/>
  <c r="X21" i="7"/>
  <c r="W21" i="7"/>
  <c r="V21" i="7"/>
  <c r="U21" i="7"/>
  <c r="T21" i="7"/>
  <c r="S21" i="7"/>
  <c r="R21" i="7"/>
  <c r="Q21" i="7"/>
  <c r="P21" i="7"/>
  <c r="O21" i="7"/>
  <c r="N21" i="7"/>
  <c r="M21" i="7"/>
  <c r="L21" i="7"/>
  <c r="K21" i="7"/>
  <c r="J21" i="7"/>
  <c r="I21" i="7"/>
  <c r="H21" i="7"/>
  <c r="G21" i="7"/>
  <c r="F21" i="7"/>
  <c r="E21" i="7"/>
  <c r="D21" i="7"/>
  <c r="C21" i="7"/>
  <c r="B21"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K20" i="7"/>
  <c r="J20" i="7"/>
  <c r="I20" i="7"/>
  <c r="H20" i="7"/>
  <c r="G20" i="7"/>
  <c r="F20" i="7"/>
  <c r="E20" i="7"/>
  <c r="D20" i="7"/>
  <c r="C20" i="7"/>
  <c r="B20" i="7"/>
  <c r="AL19" i="7"/>
  <c r="AK19" i="7"/>
  <c r="AJ19" i="7"/>
  <c r="AI19" i="7"/>
  <c r="AH19" i="7"/>
  <c r="AG19" i="7"/>
  <c r="AF19" i="7"/>
  <c r="AE19" i="7"/>
  <c r="AD19" i="7"/>
  <c r="AC19" i="7"/>
  <c r="AB19" i="7"/>
  <c r="AA19" i="7"/>
  <c r="Z19" i="7"/>
  <c r="Y19" i="7"/>
  <c r="X19" i="7"/>
  <c r="W19" i="7"/>
  <c r="V19" i="7"/>
  <c r="U19" i="7"/>
  <c r="T19" i="7"/>
  <c r="S19" i="7"/>
  <c r="R19" i="7"/>
  <c r="Q19" i="7"/>
  <c r="P19" i="7"/>
  <c r="O19" i="7"/>
  <c r="N19" i="7"/>
  <c r="M19" i="7"/>
  <c r="L19" i="7"/>
  <c r="K19" i="7"/>
  <c r="J19" i="7"/>
  <c r="I19" i="7"/>
  <c r="H19" i="7"/>
  <c r="G19" i="7"/>
  <c r="F19" i="7"/>
  <c r="E19" i="7"/>
  <c r="D19" i="7"/>
  <c r="C19" i="7"/>
  <c r="B19" i="7"/>
  <c r="AL18" i="7"/>
  <c r="AK18" i="7"/>
  <c r="AJ18" i="7"/>
  <c r="AI18" i="7"/>
  <c r="AH18" i="7"/>
  <c r="AG18" i="7"/>
  <c r="AF18" i="7"/>
  <c r="AE18" i="7"/>
  <c r="AD18" i="7"/>
  <c r="AC18" i="7"/>
  <c r="AB18" i="7"/>
  <c r="AA18" i="7"/>
  <c r="Z18" i="7"/>
  <c r="Y18" i="7"/>
  <c r="X18" i="7"/>
  <c r="W18" i="7"/>
  <c r="V18" i="7"/>
  <c r="U18" i="7"/>
  <c r="T18" i="7"/>
  <c r="S18" i="7"/>
  <c r="R18" i="7"/>
  <c r="Q18" i="7"/>
  <c r="P18" i="7"/>
  <c r="O18" i="7"/>
  <c r="N18" i="7"/>
  <c r="M18" i="7"/>
  <c r="L18" i="7"/>
  <c r="K18" i="7"/>
  <c r="J18" i="7"/>
  <c r="I18" i="7"/>
  <c r="H18" i="7"/>
  <c r="G18" i="7"/>
  <c r="F18" i="7"/>
  <c r="E18" i="7"/>
  <c r="D18" i="7"/>
  <c r="C18" i="7"/>
  <c r="B18"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K17" i="7"/>
  <c r="J17" i="7"/>
  <c r="I17" i="7"/>
  <c r="H17" i="7"/>
  <c r="G17" i="7"/>
  <c r="F17" i="7"/>
  <c r="E17" i="7"/>
  <c r="D17" i="7"/>
  <c r="C17" i="7"/>
  <c r="B17" i="7"/>
  <c r="AL16" i="7"/>
  <c r="AK16" i="7"/>
  <c r="AJ16" i="7"/>
  <c r="AI16" i="7"/>
  <c r="AH16" i="7"/>
  <c r="AG16" i="7"/>
  <c r="AF16" i="7"/>
  <c r="AE16" i="7"/>
  <c r="AD16" i="7"/>
  <c r="AC16" i="7"/>
  <c r="AB16" i="7"/>
  <c r="AA16" i="7"/>
  <c r="Z16" i="7"/>
  <c r="Y16" i="7"/>
  <c r="X16" i="7"/>
  <c r="W16" i="7"/>
  <c r="V16" i="7"/>
  <c r="U16" i="7"/>
  <c r="T16" i="7"/>
  <c r="S16" i="7"/>
  <c r="R16" i="7"/>
  <c r="Q16" i="7"/>
  <c r="P16" i="7"/>
  <c r="O16" i="7"/>
  <c r="N16" i="7"/>
  <c r="M16" i="7"/>
  <c r="L16" i="7"/>
  <c r="K16" i="7"/>
  <c r="J16" i="7"/>
  <c r="I16" i="7"/>
  <c r="H16" i="7"/>
  <c r="G16" i="7"/>
  <c r="F16" i="7"/>
  <c r="E16" i="7"/>
  <c r="D16" i="7"/>
  <c r="C16" i="7"/>
  <c r="B16" i="7"/>
  <c r="AL15" i="7"/>
  <c r="AK15" i="7"/>
  <c r="AJ15" i="7"/>
  <c r="AI15" i="7"/>
  <c r="AH15" i="7"/>
  <c r="AG15" i="7"/>
  <c r="AF15" i="7"/>
  <c r="AE15" i="7"/>
  <c r="AD15" i="7"/>
  <c r="AC15" i="7"/>
  <c r="AB15" i="7"/>
  <c r="AA15" i="7"/>
  <c r="Z15" i="7"/>
  <c r="Y15" i="7"/>
  <c r="X15" i="7"/>
  <c r="W15" i="7"/>
  <c r="V15" i="7"/>
  <c r="U15" i="7"/>
  <c r="T15" i="7"/>
  <c r="S15" i="7"/>
  <c r="R15" i="7"/>
  <c r="Q15" i="7"/>
  <c r="P15" i="7"/>
  <c r="O15" i="7"/>
  <c r="N15" i="7"/>
  <c r="M15" i="7"/>
  <c r="L15" i="7"/>
  <c r="K15" i="7"/>
  <c r="J15" i="7"/>
  <c r="I15" i="7"/>
  <c r="H15" i="7"/>
  <c r="G15" i="7"/>
  <c r="F15" i="7"/>
  <c r="E15" i="7"/>
  <c r="D15" i="7"/>
  <c r="C15" i="7"/>
  <c r="B15"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B14"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B13" i="7"/>
  <c r="AL12" i="7"/>
  <c r="AK12" i="7"/>
  <c r="AJ12" i="7"/>
  <c r="AI12" i="7"/>
  <c r="AH12" i="7"/>
  <c r="AG12" i="7"/>
  <c r="AF12" i="7"/>
  <c r="AE12" i="7"/>
  <c r="AD12" i="7"/>
  <c r="AC12" i="7"/>
  <c r="AB12" i="7"/>
  <c r="AA12" i="7"/>
  <c r="Z12" i="7"/>
  <c r="Y12" i="7"/>
  <c r="X12" i="7"/>
  <c r="W12" i="7"/>
  <c r="V12" i="7"/>
  <c r="U12" i="7"/>
  <c r="T12" i="7"/>
  <c r="S12" i="7"/>
  <c r="R12" i="7"/>
  <c r="Q12" i="7"/>
  <c r="P12" i="7"/>
  <c r="O12" i="7"/>
  <c r="N12" i="7"/>
  <c r="M12" i="7"/>
  <c r="L12" i="7"/>
  <c r="K12" i="7"/>
  <c r="J12" i="7"/>
  <c r="I12" i="7"/>
  <c r="H12" i="7"/>
  <c r="G12" i="7"/>
  <c r="F12" i="7"/>
  <c r="E12" i="7"/>
  <c r="D12" i="7"/>
  <c r="C12" i="7"/>
  <c r="B12" i="7"/>
  <c r="AL11" i="7"/>
  <c r="AK11" i="7"/>
  <c r="AJ11" i="7"/>
  <c r="AI11" i="7"/>
  <c r="AH11" i="7"/>
  <c r="AG11" i="7"/>
  <c r="AF11" i="7"/>
  <c r="AE11" i="7"/>
  <c r="AD11" i="7"/>
  <c r="AC11" i="7"/>
  <c r="AB11" i="7"/>
  <c r="AA11" i="7"/>
  <c r="Z11" i="7"/>
  <c r="Y11" i="7"/>
  <c r="X11" i="7"/>
  <c r="W11" i="7"/>
  <c r="V11" i="7"/>
  <c r="U11" i="7"/>
  <c r="T11" i="7"/>
  <c r="S11" i="7"/>
  <c r="R11" i="7"/>
  <c r="Q11" i="7"/>
  <c r="P11" i="7"/>
  <c r="O11" i="7"/>
  <c r="N11" i="7"/>
  <c r="M11" i="7"/>
  <c r="L11" i="7"/>
  <c r="K11" i="7"/>
  <c r="J11" i="7"/>
  <c r="I11" i="7"/>
  <c r="H11" i="7"/>
  <c r="G11" i="7"/>
  <c r="F11" i="7"/>
  <c r="E11" i="7"/>
  <c r="D11" i="7"/>
  <c r="C11" i="7"/>
  <c r="B11"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B10" i="7"/>
  <c r="AL9" i="7"/>
  <c r="AK9" i="7"/>
  <c r="AJ9" i="7"/>
  <c r="AI9" i="7"/>
  <c r="AH9" i="7"/>
  <c r="AG9" i="7"/>
  <c r="AF9" i="7"/>
  <c r="AE9" i="7"/>
  <c r="AD9" i="7"/>
  <c r="AC9" i="7"/>
  <c r="AB9" i="7"/>
  <c r="AA9" i="7"/>
  <c r="Z9" i="7"/>
  <c r="Y9" i="7"/>
  <c r="X9" i="7"/>
  <c r="W9" i="7"/>
  <c r="V9" i="7"/>
  <c r="U9" i="7"/>
  <c r="T9" i="7"/>
  <c r="S9" i="7"/>
  <c r="R9" i="7"/>
  <c r="Q9" i="7"/>
  <c r="P9" i="7"/>
  <c r="O9" i="7"/>
  <c r="N9" i="7"/>
  <c r="M9" i="7"/>
  <c r="L9" i="7"/>
  <c r="K9" i="7"/>
  <c r="J9" i="7"/>
  <c r="I9" i="7"/>
  <c r="H9" i="7"/>
  <c r="G9" i="7"/>
  <c r="F9" i="7"/>
  <c r="E9" i="7"/>
  <c r="D9" i="7"/>
  <c r="C9" i="7"/>
  <c r="B9" i="7"/>
  <c r="AL8" i="7"/>
  <c r="AK8" i="7"/>
  <c r="AJ8" i="7"/>
  <c r="AI8" i="7"/>
  <c r="AH8" i="7"/>
  <c r="AG8" i="7"/>
  <c r="AF8" i="7"/>
  <c r="AE8" i="7"/>
  <c r="AD8" i="7"/>
  <c r="AC8" i="7"/>
  <c r="AB8" i="7"/>
  <c r="AA8" i="7"/>
  <c r="Z8" i="7"/>
  <c r="Y8" i="7"/>
  <c r="X8" i="7"/>
  <c r="W8" i="7"/>
  <c r="V8" i="7"/>
  <c r="U8" i="7"/>
  <c r="T8" i="7"/>
  <c r="S8" i="7"/>
  <c r="R8" i="7"/>
  <c r="Q8" i="7"/>
  <c r="P8" i="7"/>
  <c r="O8" i="7"/>
  <c r="N8" i="7"/>
  <c r="M8" i="7"/>
  <c r="L8" i="7"/>
  <c r="K8" i="7"/>
  <c r="J8" i="7"/>
  <c r="I8" i="7"/>
  <c r="H8" i="7"/>
  <c r="G8" i="7"/>
  <c r="F8" i="7"/>
  <c r="E8" i="7"/>
  <c r="D8" i="7"/>
  <c r="C8" i="7"/>
  <c r="B8" i="7"/>
  <c r="AL7" i="7"/>
  <c r="AK7" i="7"/>
  <c r="AJ7" i="7"/>
  <c r="AI7" i="7"/>
  <c r="AH7" i="7"/>
  <c r="AG7" i="7"/>
  <c r="AF7" i="7"/>
  <c r="AE7" i="7"/>
  <c r="AD7" i="7"/>
  <c r="AC7" i="7"/>
  <c r="AB7" i="7"/>
  <c r="AA7" i="7"/>
  <c r="Z7" i="7"/>
  <c r="Y7" i="7"/>
  <c r="X7" i="7"/>
  <c r="W7" i="7"/>
  <c r="V7" i="7"/>
  <c r="U7" i="7"/>
  <c r="T7" i="7"/>
  <c r="S7" i="7"/>
  <c r="R7" i="7"/>
  <c r="Q7" i="7"/>
  <c r="P7" i="7"/>
  <c r="O7" i="7"/>
  <c r="N7" i="7"/>
  <c r="M7" i="7"/>
  <c r="L7" i="7"/>
  <c r="K7" i="7"/>
  <c r="J7" i="7"/>
  <c r="I7" i="7"/>
  <c r="H7" i="7"/>
  <c r="G7" i="7"/>
  <c r="F7" i="7"/>
  <c r="E7" i="7"/>
  <c r="D7" i="7"/>
  <c r="C7" i="7"/>
  <c r="B7" i="7"/>
  <c r="AL6" i="7"/>
  <c r="AK6" i="7"/>
  <c r="AJ6" i="7"/>
  <c r="AI6" i="7"/>
  <c r="AH6" i="7"/>
  <c r="AG6" i="7"/>
  <c r="AF6" i="7"/>
  <c r="AE6" i="7"/>
  <c r="AD6" i="7"/>
  <c r="AC6" i="7"/>
  <c r="AB6" i="7"/>
  <c r="AA6" i="7"/>
  <c r="Z6" i="7"/>
  <c r="Y6" i="7"/>
  <c r="X6" i="7"/>
  <c r="W6" i="7"/>
  <c r="V6" i="7"/>
  <c r="U6" i="7"/>
  <c r="T6" i="7"/>
  <c r="S6" i="7"/>
  <c r="R6" i="7"/>
  <c r="Q6" i="7"/>
  <c r="P6" i="7"/>
  <c r="O6" i="7"/>
  <c r="N6" i="7"/>
  <c r="M6" i="7"/>
  <c r="L6" i="7"/>
  <c r="K6" i="7"/>
  <c r="J6" i="7"/>
  <c r="I6" i="7"/>
  <c r="H6" i="7"/>
  <c r="G6" i="7"/>
  <c r="F6" i="7"/>
  <c r="E6" i="7"/>
  <c r="D6" i="7"/>
  <c r="C6" i="7"/>
  <c r="B6" i="7"/>
  <c r="AL5" i="7"/>
  <c r="AK5" i="7"/>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E5" i="7"/>
  <c r="D5" i="7"/>
  <c r="C5" i="7"/>
  <c r="B5" i="7"/>
  <c r="AL4" i="7"/>
  <c r="AK4" i="7"/>
  <c r="AJ4" i="7"/>
  <c r="AI4" i="7"/>
  <c r="AH4" i="7"/>
  <c r="AG4" i="7"/>
  <c r="AF4" i="7"/>
  <c r="AE4" i="7"/>
  <c r="AD4" i="7"/>
  <c r="AC4" i="7"/>
  <c r="AB4" i="7"/>
  <c r="AA4" i="7"/>
  <c r="Z4" i="7"/>
  <c r="Y4" i="7"/>
  <c r="X4" i="7"/>
  <c r="W4" i="7"/>
  <c r="V4" i="7"/>
  <c r="U4" i="7"/>
  <c r="T4" i="7"/>
  <c r="S4" i="7"/>
  <c r="R4" i="7"/>
  <c r="Q4" i="7"/>
  <c r="P4" i="7"/>
  <c r="O4" i="7"/>
  <c r="N4" i="7"/>
  <c r="M4" i="7"/>
  <c r="L4" i="7"/>
  <c r="K4" i="7"/>
  <c r="J4" i="7"/>
  <c r="I4" i="7"/>
  <c r="H4" i="7"/>
  <c r="G4" i="7"/>
  <c r="F4" i="7"/>
  <c r="E4" i="7"/>
  <c r="D4" i="7"/>
  <c r="C4" i="7"/>
  <c r="B4" i="7"/>
  <c r="AL3"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D3" i="7"/>
  <c r="C3" i="7"/>
  <c r="B3" i="7"/>
  <c r="AL2" i="7"/>
  <c r="AK2" i="7"/>
  <c r="AJ2" i="7"/>
  <c r="AI2" i="7"/>
  <c r="AH2" i="7"/>
  <c r="AG2" i="7"/>
  <c r="AF2" i="7"/>
  <c r="AE2" i="7"/>
  <c r="AD2" i="7"/>
  <c r="AC2" i="7"/>
  <c r="AB2" i="7"/>
  <c r="AA2" i="7"/>
  <c r="Z2" i="7"/>
  <c r="Y2" i="7"/>
  <c r="X2" i="7"/>
  <c r="W2" i="7"/>
  <c r="V2" i="7"/>
  <c r="U2" i="7"/>
  <c r="T2" i="7"/>
  <c r="S2" i="7"/>
  <c r="R2" i="7"/>
  <c r="Q2" i="7"/>
  <c r="P2" i="7"/>
  <c r="O2" i="7"/>
  <c r="N2" i="7"/>
  <c r="M2" i="7"/>
  <c r="L2" i="7"/>
  <c r="K2" i="7"/>
  <c r="J2" i="7"/>
  <c r="I2" i="7"/>
  <c r="H2" i="7"/>
  <c r="G2" i="7"/>
  <c r="F2" i="7"/>
  <c r="E2" i="7"/>
  <c r="D2" i="7"/>
  <c r="C2" i="7"/>
  <c r="B2" i="7"/>
  <c r="L43" i="6"/>
  <c r="K43" i="6"/>
  <c r="L42" i="6"/>
  <c r="K42" i="6"/>
  <c r="L41" i="6"/>
  <c r="K41" i="6"/>
  <c r="L40" i="6"/>
  <c r="K40" i="6"/>
  <c r="L39" i="6"/>
  <c r="K39" i="6"/>
  <c r="L38" i="6"/>
  <c r="K38" i="6"/>
  <c r="L37" i="6"/>
  <c r="K37" i="6"/>
  <c r="L36" i="6"/>
  <c r="K36" i="6"/>
  <c r="L35" i="6"/>
  <c r="K35" i="6"/>
  <c r="L34" i="6"/>
  <c r="K34" i="6"/>
  <c r="L33" i="6"/>
  <c r="K33" i="6"/>
  <c r="L32" i="6"/>
  <c r="K32" i="6"/>
  <c r="L31" i="6"/>
  <c r="K31" i="6"/>
  <c r="L30" i="6"/>
  <c r="K30" i="6"/>
  <c r="L29" i="6"/>
  <c r="K29" i="6"/>
  <c r="L28" i="6"/>
  <c r="K28" i="6"/>
  <c r="L27" i="6"/>
  <c r="K27" i="6"/>
  <c r="L26" i="6"/>
  <c r="K26" i="6"/>
  <c r="L25" i="6"/>
  <c r="K25" i="6"/>
  <c r="L24" i="6"/>
  <c r="K24" i="6"/>
  <c r="L23" i="6"/>
  <c r="K23" i="6"/>
  <c r="L22" i="6"/>
  <c r="K22" i="6"/>
  <c r="L21" i="6"/>
  <c r="K21" i="6"/>
  <c r="L20" i="6"/>
  <c r="K20" i="6"/>
  <c r="L19" i="6"/>
  <c r="K19" i="6"/>
  <c r="L18" i="6"/>
  <c r="K18" i="6"/>
  <c r="L17" i="6"/>
  <c r="K17" i="6"/>
  <c r="L16" i="6"/>
  <c r="K16" i="6"/>
  <c r="L15" i="6"/>
  <c r="K15" i="6"/>
  <c r="L14" i="6"/>
  <c r="K14" i="6"/>
  <c r="L13" i="6"/>
  <c r="K13" i="6"/>
  <c r="L12" i="6"/>
  <c r="K12" i="6"/>
  <c r="L11" i="6"/>
  <c r="K11" i="6"/>
  <c r="L10" i="6"/>
  <c r="K10" i="6"/>
  <c r="L9" i="6"/>
  <c r="K9" i="6"/>
  <c r="L8" i="6"/>
  <c r="K8" i="6"/>
  <c r="L7" i="6"/>
  <c r="K7" i="6"/>
  <c r="L6" i="6"/>
  <c r="K6" i="6"/>
  <c r="L5" i="6"/>
  <c r="K5" i="6"/>
  <c r="L4" i="6"/>
  <c r="K4" i="6"/>
  <c r="L3" i="6"/>
  <c r="K3" i="6"/>
  <c r="L2" i="6"/>
  <c r="K2" i="6"/>
  <c r="L73" i="5"/>
  <c r="K73" i="5"/>
  <c r="L72" i="5"/>
  <c r="K72" i="5"/>
  <c r="L71" i="5"/>
  <c r="K71" i="5"/>
  <c r="L70" i="5"/>
  <c r="K70" i="5"/>
  <c r="L69" i="5"/>
  <c r="K69" i="5"/>
  <c r="L68" i="5"/>
  <c r="K68" i="5"/>
  <c r="L67" i="5"/>
  <c r="K67" i="5"/>
  <c r="L66" i="5"/>
  <c r="K66" i="5"/>
  <c r="L65" i="5"/>
  <c r="K65" i="5"/>
  <c r="L64" i="5"/>
  <c r="K64" i="5"/>
  <c r="L63" i="5"/>
  <c r="K63" i="5"/>
  <c r="L62" i="5"/>
  <c r="K62" i="5"/>
  <c r="L61" i="5"/>
  <c r="K61" i="5"/>
  <c r="L60" i="5"/>
  <c r="K60" i="5"/>
  <c r="L59" i="5"/>
  <c r="K59" i="5"/>
  <c r="L58" i="5"/>
  <c r="K58" i="5"/>
  <c r="L57" i="5"/>
  <c r="K57" i="5"/>
  <c r="L56" i="5"/>
  <c r="K56" i="5"/>
  <c r="L55" i="5"/>
  <c r="K55" i="5"/>
  <c r="L54" i="5"/>
  <c r="K54" i="5"/>
  <c r="L53" i="5"/>
  <c r="K53" i="5"/>
  <c r="L52" i="5"/>
  <c r="K52" i="5"/>
  <c r="L51" i="5"/>
  <c r="K51" i="5"/>
  <c r="L50" i="5"/>
  <c r="K50" i="5"/>
  <c r="L49" i="5"/>
  <c r="K49" i="5"/>
  <c r="L48" i="5"/>
  <c r="K48" i="5"/>
  <c r="L47" i="5"/>
  <c r="K47" i="5"/>
  <c r="L46" i="5"/>
  <c r="K46" i="5"/>
  <c r="L45" i="5"/>
  <c r="K45" i="5"/>
  <c r="L44" i="5"/>
  <c r="K44" i="5"/>
  <c r="L43" i="5"/>
  <c r="K43" i="5"/>
  <c r="L42" i="5"/>
  <c r="K42" i="5"/>
  <c r="L41" i="5"/>
  <c r="K41" i="5"/>
  <c r="L40" i="5"/>
  <c r="K40" i="5"/>
  <c r="L39" i="5"/>
  <c r="K39" i="5"/>
  <c r="L38" i="5"/>
  <c r="K38" i="5"/>
  <c r="L37" i="5"/>
  <c r="K37" i="5"/>
  <c r="L36" i="5"/>
  <c r="K36" i="5"/>
  <c r="L35" i="5"/>
  <c r="K35" i="5"/>
  <c r="L34" i="5"/>
  <c r="K34" i="5"/>
  <c r="L33" i="5"/>
  <c r="K33" i="5"/>
  <c r="L32" i="5"/>
  <c r="K32" i="5"/>
  <c r="L31" i="5"/>
  <c r="K31" i="5"/>
  <c r="L30" i="5"/>
  <c r="K30" i="5"/>
  <c r="L29" i="5"/>
  <c r="K29" i="5"/>
  <c r="L28" i="5"/>
  <c r="K28" i="5"/>
  <c r="L27" i="5"/>
  <c r="K27" i="5"/>
  <c r="L26" i="5"/>
  <c r="K26" i="5"/>
  <c r="L25" i="5"/>
  <c r="K25" i="5"/>
  <c r="L24" i="5"/>
  <c r="K24" i="5"/>
  <c r="L23" i="5"/>
  <c r="K23" i="5"/>
  <c r="L22" i="5"/>
  <c r="K22" i="5"/>
  <c r="L21" i="5"/>
  <c r="K21" i="5"/>
  <c r="L20" i="5"/>
  <c r="K20" i="5"/>
  <c r="L19" i="5"/>
  <c r="K19" i="5"/>
  <c r="L18" i="5"/>
  <c r="K18" i="5"/>
  <c r="L17" i="5"/>
  <c r="K17" i="5"/>
  <c r="L16" i="5"/>
  <c r="K16" i="5"/>
  <c r="L15" i="5"/>
  <c r="K15" i="5"/>
  <c r="L14" i="5"/>
  <c r="K14" i="5"/>
  <c r="L13" i="5"/>
  <c r="K13" i="5"/>
  <c r="L12" i="5"/>
  <c r="K12" i="5"/>
  <c r="L11" i="5"/>
  <c r="K11" i="5"/>
  <c r="L10" i="5"/>
  <c r="K10" i="5"/>
  <c r="L9" i="5"/>
  <c r="K9" i="5"/>
  <c r="L8" i="5"/>
  <c r="K8" i="5"/>
  <c r="L7" i="5"/>
  <c r="K7" i="5"/>
  <c r="L6" i="5"/>
  <c r="K6" i="5"/>
  <c r="L5" i="5"/>
  <c r="K5" i="5"/>
  <c r="L4" i="5"/>
  <c r="K4" i="5"/>
  <c r="L3" i="5"/>
  <c r="K3" i="5"/>
  <c r="L2" i="5"/>
  <c r="K2" i="5"/>
  <c r="EE46" i="4"/>
  <c r="ED46" i="4"/>
  <c r="EC46" i="4"/>
  <c r="EB46" i="4"/>
  <c r="EA46" i="4"/>
  <c r="DZ46" i="4"/>
  <c r="DY46" i="4"/>
  <c r="DX46" i="4"/>
  <c r="DW46" i="4"/>
  <c r="DV46" i="4"/>
  <c r="DU46" i="4"/>
  <c r="DT46" i="4"/>
  <c r="DS46" i="4"/>
  <c r="DR46" i="4"/>
  <c r="DQ46" i="4"/>
  <c r="DP46" i="4"/>
  <c r="DO46" i="4"/>
  <c r="DN46" i="4"/>
  <c r="DM46" i="4"/>
  <c r="DL46" i="4"/>
  <c r="DK46" i="4"/>
  <c r="DJ46" i="4"/>
  <c r="DI46" i="4"/>
  <c r="DH46" i="4"/>
  <c r="DG46" i="4"/>
  <c r="DF46" i="4"/>
  <c r="DE46" i="4"/>
  <c r="DD46" i="4"/>
  <c r="DC46" i="4"/>
  <c r="DB46" i="4"/>
  <c r="DA46" i="4"/>
  <c r="CZ46" i="4"/>
  <c r="CY46" i="4"/>
  <c r="CX46" i="4"/>
  <c r="CW46" i="4"/>
  <c r="CV46" i="4"/>
  <c r="CU46" i="4"/>
  <c r="CT46" i="4"/>
  <c r="CS46" i="4"/>
  <c r="CR46" i="4"/>
  <c r="CQ46" i="4"/>
  <c r="CP46" i="4"/>
  <c r="CO46" i="4"/>
  <c r="CN46" i="4"/>
  <c r="CM46" i="4"/>
  <c r="CL46" i="4"/>
  <c r="CK46" i="4"/>
  <c r="CJ46" i="4"/>
  <c r="CI46" i="4"/>
  <c r="CH46" i="4"/>
  <c r="CG46" i="4"/>
  <c r="CF46" i="4"/>
  <c r="CE46" i="4"/>
  <c r="CD46" i="4"/>
  <c r="CC46" i="4"/>
  <c r="CB46" i="4"/>
  <c r="CA46" i="4"/>
  <c r="BZ46" i="4"/>
  <c r="BY46" i="4"/>
  <c r="BX46" i="4"/>
  <c r="BW46" i="4"/>
  <c r="BV46" i="4"/>
  <c r="BU46" i="4"/>
  <c r="BT46" i="4"/>
  <c r="BS46" i="4"/>
  <c r="BR46" i="4"/>
  <c r="BQ46" i="4"/>
  <c r="BP46" i="4"/>
  <c r="BO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V46" i="4"/>
  <c r="U46" i="4"/>
  <c r="T46" i="4"/>
  <c r="S46" i="4"/>
  <c r="F158" i="9" s="1"/>
  <c r="R46" i="4"/>
  <c r="E158" i="9" s="1"/>
  <c r="Q46" i="4"/>
  <c r="D158" i="9" s="1"/>
  <c r="EE45" i="4"/>
  <c r="ED45" i="4"/>
  <c r="EC45" i="4"/>
  <c r="EB45" i="4"/>
  <c r="EA45" i="4"/>
  <c r="DZ45" i="4"/>
  <c r="DY45" i="4"/>
  <c r="DX45" i="4"/>
  <c r="DW45" i="4"/>
  <c r="DV45" i="4"/>
  <c r="DU45" i="4"/>
  <c r="DT45" i="4"/>
  <c r="DS45" i="4"/>
  <c r="DR45" i="4"/>
  <c r="DQ45" i="4"/>
  <c r="DP45" i="4"/>
  <c r="DO45" i="4"/>
  <c r="DN45" i="4"/>
  <c r="DM45" i="4"/>
  <c r="DL45" i="4"/>
  <c r="DK45" i="4"/>
  <c r="DJ45" i="4"/>
  <c r="DI45" i="4"/>
  <c r="DH45" i="4"/>
  <c r="DG45" i="4"/>
  <c r="DF45" i="4"/>
  <c r="DE45" i="4"/>
  <c r="DD45" i="4"/>
  <c r="DC45" i="4"/>
  <c r="DB45" i="4"/>
  <c r="DA45" i="4"/>
  <c r="CZ45" i="4"/>
  <c r="CY45" i="4"/>
  <c r="CX45" i="4"/>
  <c r="CW45" i="4"/>
  <c r="CV45" i="4"/>
  <c r="CU45" i="4"/>
  <c r="CT45" i="4"/>
  <c r="CS45" i="4"/>
  <c r="CR45" i="4"/>
  <c r="CQ45" i="4"/>
  <c r="CP45" i="4"/>
  <c r="CO45" i="4"/>
  <c r="CN45" i="4"/>
  <c r="CM45" i="4"/>
  <c r="CL45" i="4"/>
  <c r="CK45" i="4"/>
  <c r="CJ45" i="4"/>
  <c r="CI45" i="4"/>
  <c r="CH45" i="4"/>
  <c r="CG45" i="4"/>
  <c r="CF45" i="4"/>
  <c r="CE45" i="4"/>
  <c r="CD45" i="4"/>
  <c r="CC45" i="4"/>
  <c r="CB45" i="4"/>
  <c r="CA45" i="4"/>
  <c r="BZ45" i="4"/>
  <c r="BY45" i="4"/>
  <c r="BX45" i="4"/>
  <c r="BW45" i="4"/>
  <c r="BV45" i="4"/>
  <c r="BU45" i="4"/>
  <c r="BT45" i="4"/>
  <c r="BS45" i="4"/>
  <c r="BR45" i="4"/>
  <c r="BQ45" i="4"/>
  <c r="BP45" i="4"/>
  <c r="BO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F157" i="9" s="1"/>
  <c r="R45" i="4"/>
  <c r="E157" i="9" s="1"/>
  <c r="Q45" i="4"/>
  <c r="D157" i="9" s="1"/>
  <c r="EE44" i="4"/>
  <c r="ED44" i="4"/>
  <c r="EC44" i="4"/>
  <c r="EB44" i="4"/>
  <c r="EA44" i="4"/>
  <c r="DZ44" i="4"/>
  <c r="DY44" i="4"/>
  <c r="DX44" i="4"/>
  <c r="DW44" i="4"/>
  <c r="DV44" i="4"/>
  <c r="DU44" i="4"/>
  <c r="DT44" i="4"/>
  <c r="DS44" i="4"/>
  <c r="DR44" i="4"/>
  <c r="DQ44" i="4"/>
  <c r="DP44" i="4"/>
  <c r="DO44" i="4"/>
  <c r="DN44" i="4"/>
  <c r="DM44" i="4"/>
  <c r="DL44" i="4"/>
  <c r="DK44" i="4"/>
  <c r="DJ44" i="4"/>
  <c r="DI44" i="4"/>
  <c r="DH44" i="4"/>
  <c r="DG44" i="4"/>
  <c r="DF44" i="4"/>
  <c r="DE44" i="4"/>
  <c r="DD44" i="4"/>
  <c r="DC44" i="4"/>
  <c r="DB44" i="4"/>
  <c r="DA44" i="4"/>
  <c r="CZ44" i="4"/>
  <c r="CY44" i="4"/>
  <c r="CX44" i="4"/>
  <c r="CW44" i="4"/>
  <c r="CV44" i="4"/>
  <c r="CU44" i="4"/>
  <c r="CT44" i="4"/>
  <c r="CS44" i="4"/>
  <c r="CR44" i="4"/>
  <c r="CQ44" i="4"/>
  <c r="CP44" i="4"/>
  <c r="CO44" i="4"/>
  <c r="CN44" i="4"/>
  <c r="CM44" i="4"/>
  <c r="CL44" i="4"/>
  <c r="CK44" i="4"/>
  <c r="CJ44" i="4"/>
  <c r="CI44" i="4"/>
  <c r="CH44" i="4"/>
  <c r="CG44" i="4"/>
  <c r="CF44" i="4"/>
  <c r="CE44" i="4"/>
  <c r="CD44" i="4"/>
  <c r="CC44" i="4"/>
  <c r="CB44" i="4"/>
  <c r="CA44" i="4"/>
  <c r="BZ44" i="4"/>
  <c r="BY44" i="4"/>
  <c r="BX44" i="4"/>
  <c r="BW44" i="4"/>
  <c r="BV44" i="4"/>
  <c r="BU44" i="4"/>
  <c r="BT44" i="4"/>
  <c r="BS44" i="4"/>
  <c r="BR44" i="4"/>
  <c r="BQ44" i="4"/>
  <c r="BP44" i="4"/>
  <c r="BO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V44" i="4"/>
  <c r="U44" i="4"/>
  <c r="T44" i="4"/>
  <c r="S44" i="4"/>
  <c r="F156" i="9" s="1"/>
  <c r="R44" i="4"/>
  <c r="E156" i="9" s="1"/>
  <c r="Q44" i="4"/>
  <c r="D156" i="9" s="1"/>
  <c r="EE43" i="4"/>
  <c r="ED43" i="4"/>
  <c r="EC43" i="4"/>
  <c r="EB43" i="4"/>
  <c r="EA43" i="4"/>
  <c r="DZ43" i="4"/>
  <c r="DY43" i="4"/>
  <c r="DX43" i="4"/>
  <c r="DW43" i="4"/>
  <c r="DV43" i="4"/>
  <c r="DU43" i="4"/>
  <c r="DT43" i="4"/>
  <c r="DS43" i="4"/>
  <c r="DR43" i="4"/>
  <c r="DQ43" i="4"/>
  <c r="DP43" i="4"/>
  <c r="DO43" i="4"/>
  <c r="DN43" i="4"/>
  <c r="DM43" i="4"/>
  <c r="DL43" i="4"/>
  <c r="DK43" i="4"/>
  <c r="DJ43" i="4"/>
  <c r="DI43" i="4"/>
  <c r="DH43" i="4"/>
  <c r="DG43" i="4"/>
  <c r="DF43" i="4"/>
  <c r="DE43" i="4"/>
  <c r="DD43" i="4"/>
  <c r="DC43" i="4"/>
  <c r="DB43" i="4"/>
  <c r="DA43" i="4"/>
  <c r="CZ43" i="4"/>
  <c r="CY43" i="4"/>
  <c r="CX43" i="4"/>
  <c r="CW43" i="4"/>
  <c r="CV43" i="4"/>
  <c r="CU43" i="4"/>
  <c r="CT43" i="4"/>
  <c r="CS43" i="4"/>
  <c r="CR43" i="4"/>
  <c r="CQ43" i="4"/>
  <c r="CP43" i="4"/>
  <c r="CO43" i="4"/>
  <c r="CN43" i="4"/>
  <c r="CM43" i="4"/>
  <c r="CL43" i="4"/>
  <c r="CK43" i="4"/>
  <c r="CJ43" i="4"/>
  <c r="CI43" i="4"/>
  <c r="CH43" i="4"/>
  <c r="CG43" i="4"/>
  <c r="CF43" i="4"/>
  <c r="CE43" i="4"/>
  <c r="CD43" i="4"/>
  <c r="CC43" i="4"/>
  <c r="CB43" i="4"/>
  <c r="CA43" i="4"/>
  <c r="BZ43" i="4"/>
  <c r="BY43" i="4"/>
  <c r="BX43" i="4"/>
  <c r="BW43" i="4"/>
  <c r="BV43" i="4"/>
  <c r="BU43" i="4"/>
  <c r="BT43" i="4"/>
  <c r="BS43" i="4"/>
  <c r="BR43" i="4"/>
  <c r="BQ43" i="4"/>
  <c r="BP43" i="4"/>
  <c r="BO43" i="4"/>
  <c r="BN43" i="4"/>
  <c r="BM43" i="4"/>
  <c r="BL43" i="4"/>
  <c r="BK43" i="4"/>
  <c r="BJ43" i="4"/>
  <c r="BI43" i="4"/>
  <c r="BH43" i="4"/>
  <c r="BG43" i="4"/>
  <c r="BF43" i="4"/>
  <c r="BE43" i="4"/>
  <c r="BD43" i="4"/>
  <c r="BC43" i="4"/>
  <c r="BB43" i="4"/>
  <c r="BA43" i="4"/>
  <c r="AZ43" i="4"/>
  <c r="AY43" i="4"/>
  <c r="AX43" i="4"/>
  <c r="AW43" i="4"/>
  <c r="AV43" i="4"/>
  <c r="AU43" i="4"/>
  <c r="AT43" i="4"/>
  <c r="AS43" i="4"/>
  <c r="AR43" i="4"/>
  <c r="AQ43" i="4"/>
  <c r="AP43" i="4"/>
  <c r="AO43" i="4"/>
  <c r="AN43" i="4"/>
  <c r="AM43" i="4"/>
  <c r="AL43" i="4"/>
  <c r="AK43" i="4"/>
  <c r="AJ43" i="4"/>
  <c r="AI43" i="4"/>
  <c r="AH43" i="4"/>
  <c r="AG43" i="4"/>
  <c r="AF43" i="4"/>
  <c r="AE43" i="4"/>
  <c r="AD43" i="4"/>
  <c r="AC43" i="4"/>
  <c r="AB43" i="4"/>
  <c r="AA43" i="4"/>
  <c r="Z43" i="4"/>
  <c r="Y43" i="4"/>
  <c r="X43" i="4"/>
  <c r="W43" i="4"/>
  <c r="V43" i="4"/>
  <c r="U43" i="4"/>
  <c r="T43" i="4"/>
  <c r="S43" i="4"/>
  <c r="F155" i="9" s="1"/>
  <c r="R43" i="4"/>
  <c r="E155" i="9" s="1"/>
  <c r="Q43" i="4"/>
  <c r="D155" i="9" s="1"/>
  <c r="EE42" i="4"/>
  <c r="ED42" i="4"/>
  <c r="EC42" i="4"/>
  <c r="EB42" i="4"/>
  <c r="EA42" i="4"/>
  <c r="DZ42" i="4"/>
  <c r="DY42" i="4"/>
  <c r="DX42" i="4"/>
  <c r="DW42" i="4"/>
  <c r="DV42" i="4"/>
  <c r="DU42" i="4"/>
  <c r="DT42" i="4"/>
  <c r="DS42" i="4"/>
  <c r="DR42" i="4"/>
  <c r="DQ42" i="4"/>
  <c r="DP42" i="4"/>
  <c r="DO42" i="4"/>
  <c r="DN42" i="4"/>
  <c r="DM42" i="4"/>
  <c r="DL42" i="4"/>
  <c r="DK42" i="4"/>
  <c r="DJ42" i="4"/>
  <c r="DI42" i="4"/>
  <c r="DH42" i="4"/>
  <c r="DG42" i="4"/>
  <c r="DF42" i="4"/>
  <c r="DE42" i="4"/>
  <c r="DD42" i="4"/>
  <c r="DC42" i="4"/>
  <c r="DB42" i="4"/>
  <c r="DA42" i="4"/>
  <c r="CZ42" i="4"/>
  <c r="CY42" i="4"/>
  <c r="CX42" i="4"/>
  <c r="CW42" i="4"/>
  <c r="CV42" i="4"/>
  <c r="CU42" i="4"/>
  <c r="CT42" i="4"/>
  <c r="CS42" i="4"/>
  <c r="CR42" i="4"/>
  <c r="CQ42" i="4"/>
  <c r="CP42" i="4"/>
  <c r="CO42" i="4"/>
  <c r="CN42" i="4"/>
  <c r="CM42" i="4"/>
  <c r="CL42" i="4"/>
  <c r="CK42" i="4"/>
  <c r="CJ42" i="4"/>
  <c r="CI42" i="4"/>
  <c r="CH42" i="4"/>
  <c r="CG42" i="4"/>
  <c r="CF42" i="4"/>
  <c r="CE42" i="4"/>
  <c r="CD42" i="4"/>
  <c r="CC42" i="4"/>
  <c r="CB42" i="4"/>
  <c r="CA42" i="4"/>
  <c r="BZ42" i="4"/>
  <c r="BY42" i="4"/>
  <c r="BX42" i="4"/>
  <c r="BW42" i="4"/>
  <c r="BV42" i="4"/>
  <c r="BU42" i="4"/>
  <c r="BT42" i="4"/>
  <c r="BS42" i="4"/>
  <c r="BR42" i="4"/>
  <c r="BQ42" i="4"/>
  <c r="BP42" i="4"/>
  <c r="BO42" i="4"/>
  <c r="BN42" i="4"/>
  <c r="BM42" i="4"/>
  <c r="BL42" i="4"/>
  <c r="BK42" i="4"/>
  <c r="BJ42" i="4"/>
  <c r="BI42" i="4"/>
  <c r="BH42" i="4"/>
  <c r="BG42" i="4"/>
  <c r="BF42" i="4"/>
  <c r="BE42" i="4"/>
  <c r="BD42" i="4"/>
  <c r="BC42" i="4"/>
  <c r="BB42" i="4"/>
  <c r="BA42" i="4"/>
  <c r="AZ42" i="4"/>
  <c r="AY42" i="4"/>
  <c r="AX42" i="4"/>
  <c r="AW42" i="4"/>
  <c r="AV42" i="4"/>
  <c r="AU42" i="4"/>
  <c r="AT42" i="4"/>
  <c r="AS42" i="4"/>
  <c r="AR42" i="4"/>
  <c r="AQ42" i="4"/>
  <c r="AP42" i="4"/>
  <c r="AO42" i="4"/>
  <c r="AN42" i="4"/>
  <c r="AM42" i="4"/>
  <c r="AL42" i="4"/>
  <c r="AK42" i="4"/>
  <c r="AJ42" i="4"/>
  <c r="AI42" i="4"/>
  <c r="AH42" i="4"/>
  <c r="AG42" i="4"/>
  <c r="AF42" i="4"/>
  <c r="AE42" i="4"/>
  <c r="AD42" i="4"/>
  <c r="AC42" i="4"/>
  <c r="AB42" i="4"/>
  <c r="AA42" i="4"/>
  <c r="Z42" i="4"/>
  <c r="Y42" i="4"/>
  <c r="X42" i="4"/>
  <c r="W42" i="4"/>
  <c r="V42" i="4"/>
  <c r="U42" i="4"/>
  <c r="T42" i="4"/>
  <c r="S42" i="4"/>
  <c r="F154" i="9" s="1"/>
  <c r="R42" i="4"/>
  <c r="E154" i="9" s="1"/>
  <c r="Q42" i="4"/>
  <c r="D154" i="9" s="1"/>
  <c r="EE41" i="4"/>
  <c r="ED41" i="4"/>
  <c r="EC41" i="4"/>
  <c r="EB41" i="4"/>
  <c r="EA41" i="4"/>
  <c r="DZ41" i="4"/>
  <c r="DY41" i="4"/>
  <c r="DX41" i="4"/>
  <c r="DW41" i="4"/>
  <c r="DV41" i="4"/>
  <c r="DU41" i="4"/>
  <c r="DT41" i="4"/>
  <c r="DS41" i="4"/>
  <c r="DR41" i="4"/>
  <c r="DQ41" i="4"/>
  <c r="DP41" i="4"/>
  <c r="DO41" i="4"/>
  <c r="DN41" i="4"/>
  <c r="DM41" i="4"/>
  <c r="DL41" i="4"/>
  <c r="DK41" i="4"/>
  <c r="DJ41" i="4"/>
  <c r="DI41" i="4"/>
  <c r="DH41" i="4"/>
  <c r="DG41" i="4"/>
  <c r="DF41" i="4"/>
  <c r="DE41" i="4"/>
  <c r="DD41" i="4"/>
  <c r="DC41" i="4"/>
  <c r="DB41" i="4"/>
  <c r="DA41" i="4"/>
  <c r="CZ41" i="4"/>
  <c r="CY41" i="4"/>
  <c r="CX41" i="4"/>
  <c r="CW41" i="4"/>
  <c r="CV41" i="4"/>
  <c r="CU41" i="4"/>
  <c r="CT41" i="4"/>
  <c r="CS41" i="4"/>
  <c r="CR41" i="4"/>
  <c r="CQ41" i="4"/>
  <c r="CP41" i="4"/>
  <c r="CO41" i="4"/>
  <c r="CN41" i="4"/>
  <c r="CM41" i="4"/>
  <c r="CL41" i="4"/>
  <c r="CK41" i="4"/>
  <c r="CJ41" i="4"/>
  <c r="CI41" i="4"/>
  <c r="CH41" i="4"/>
  <c r="CG41" i="4"/>
  <c r="CF41" i="4"/>
  <c r="CE41" i="4"/>
  <c r="CD41" i="4"/>
  <c r="CC41" i="4"/>
  <c r="CB41" i="4"/>
  <c r="CA41" i="4"/>
  <c r="BZ41" i="4"/>
  <c r="BY41" i="4"/>
  <c r="BX41" i="4"/>
  <c r="BW41" i="4"/>
  <c r="BV41" i="4"/>
  <c r="BU41" i="4"/>
  <c r="BT41" i="4"/>
  <c r="BS41" i="4"/>
  <c r="BR41" i="4"/>
  <c r="BQ41" i="4"/>
  <c r="BP41" i="4"/>
  <c r="BO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K41" i="4"/>
  <c r="AJ41" i="4"/>
  <c r="AI41" i="4"/>
  <c r="AH41" i="4"/>
  <c r="AG41" i="4"/>
  <c r="AF41" i="4"/>
  <c r="AE41" i="4"/>
  <c r="AD41" i="4"/>
  <c r="AC41" i="4"/>
  <c r="AB41" i="4"/>
  <c r="AA41" i="4"/>
  <c r="Z41" i="4"/>
  <c r="Y41" i="4"/>
  <c r="X41" i="4"/>
  <c r="W41" i="4"/>
  <c r="V41" i="4"/>
  <c r="U41" i="4"/>
  <c r="T41" i="4"/>
  <c r="S41" i="4"/>
  <c r="F153" i="9" s="1"/>
  <c r="R41" i="4"/>
  <c r="E153" i="9" s="1"/>
  <c r="Q41" i="4"/>
  <c r="D153" i="9" s="1"/>
  <c r="EE40" i="4"/>
  <c r="ED40" i="4"/>
  <c r="EC40" i="4"/>
  <c r="EB40" i="4"/>
  <c r="EA40" i="4"/>
  <c r="DZ40" i="4"/>
  <c r="DY40" i="4"/>
  <c r="DX40" i="4"/>
  <c r="DW40" i="4"/>
  <c r="DV40" i="4"/>
  <c r="DU40" i="4"/>
  <c r="DT40" i="4"/>
  <c r="DS40" i="4"/>
  <c r="DR40" i="4"/>
  <c r="DQ40" i="4"/>
  <c r="DP40" i="4"/>
  <c r="DO40" i="4"/>
  <c r="DN40" i="4"/>
  <c r="DM40" i="4"/>
  <c r="DL40" i="4"/>
  <c r="DK40" i="4"/>
  <c r="DJ40" i="4"/>
  <c r="DI40" i="4"/>
  <c r="DH40" i="4"/>
  <c r="DG40" i="4"/>
  <c r="DF40" i="4"/>
  <c r="DE40" i="4"/>
  <c r="DD40" i="4"/>
  <c r="DC40" i="4"/>
  <c r="DB40" i="4"/>
  <c r="DA40" i="4"/>
  <c r="CZ40" i="4"/>
  <c r="CY40" i="4"/>
  <c r="CX40" i="4"/>
  <c r="CW40" i="4"/>
  <c r="CV40" i="4"/>
  <c r="CU40" i="4"/>
  <c r="CT40" i="4"/>
  <c r="CS40" i="4"/>
  <c r="CR40" i="4"/>
  <c r="CQ40" i="4"/>
  <c r="CP40" i="4"/>
  <c r="CO40" i="4"/>
  <c r="CN40" i="4"/>
  <c r="CM40" i="4"/>
  <c r="CL40" i="4"/>
  <c r="CK40" i="4"/>
  <c r="CJ40" i="4"/>
  <c r="CI40" i="4"/>
  <c r="CH40" i="4"/>
  <c r="CG40" i="4"/>
  <c r="CF40" i="4"/>
  <c r="CE40" i="4"/>
  <c r="CD40" i="4"/>
  <c r="CC40" i="4"/>
  <c r="CB40" i="4"/>
  <c r="CA40" i="4"/>
  <c r="BZ40" i="4"/>
  <c r="BY40" i="4"/>
  <c r="BX40" i="4"/>
  <c r="BW40" i="4"/>
  <c r="BV40" i="4"/>
  <c r="BU40" i="4"/>
  <c r="BT40" i="4"/>
  <c r="BS40" i="4"/>
  <c r="BR40" i="4"/>
  <c r="BQ40" i="4"/>
  <c r="BP40" i="4"/>
  <c r="BO40" i="4"/>
  <c r="BN40" i="4"/>
  <c r="BM40" i="4"/>
  <c r="BL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S40" i="4"/>
  <c r="F152" i="9" s="1"/>
  <c r="R40" i="4"/>
  <c r="E152" i="9" s="1"/>
  <c r="Q40" i="4"/>
  <c r="D152" i="9" s="1"/>
  <c r="EE39" i="4"/>
  <c r="ED39" i="4"/>
  <c r="EC39" i="4"/>
  <c r="EB39" i="4"/>
  <c r="EA39" i="4"/>
  <c r="DZ39" i="4"/>
  <c r="DY39" i="4"/>
  <c r="DX39" i="4"/>
  <c r="DW39" i="4"/>
  <c r="DV39" i="4"/>
  <c r="DU39" i="4"/>
  <c r="DT39" i="4"/>
  <c r="DS39" i="4"/>
  <c r="DR39" i="4"/>
  <c r="DQ39" i="4"/>
  <c r="DP39" i="4"/>
  <c r="DO39" i="4"/>
  <c r="DN39" i="4"/>
  <c r="DM39" i="4"/>
  <c r="DL39" i="4"/>
  <c r="DK39" i="4"/>
  <c r="DJ39" i="4"/>
  <c r="DI39" i="4"/>
  <c r="DH39" i="4"/>
  <c r="DG39" i="4"/>
  <c r="DF39" i="4"/>
  <c r="DE39" i="4"/>
  <c r="DD39" i="4"/>
  <c r="DC39" i="4"/>
  <c r="DB39" i="4"/>
  <c r="DA39" i="4"/>
  <c r="CZ39" i="4"/>
  <c r="CY39" i="4"/>
  <c r="CX39" i="4"/>
  <c r="CW39" i="4"/>
  <c r="CV39" i="4"/>
  <c r="CU39" i="4"/>
  <c r="CT39" i="4"/>
  <c r="CS39" i="4"/>
  <c r="CR39" i="4"/>
  <c r="CQ39" i="4"/>
  <c r="CP39" i="4"/>
  <c r="CO39" i="4"/>
  <c r="CN39" i="4"/>
  <c r="CM39" i="4"/>
  <c r="CL39" i="4"/>
  <c r="CK39" i="4"/>
  <c r="CJ39" i="4"/>
  <c r="CI39" i="4"/>
  <c r="CH39" i="4"/>
  <c r="CG39" i="4"/>
  <c r="CF39" i="4"/>
  <c r="CE39" i="4"/>
  <c r="CD39" i="4"/>
  <c r="CC39" i="4"/>
  <c r="CB39" i="4"/>
  <c r="CA39" i="4"/>
  <c r="BZ39" i="4"/>
  <c r="BY39" i="4"/>
  <c r="BX39" i="4"/>
  <c r="BW39" i="4"/>
  <c r="BV39" i="4"/>
  <c r="BU39" i="4"/>
  <c r="BT39" i="4"/>
  <c r="BS39" i="4"/>
  <c r="BR39" i="4"/>
  <c r="BQ39" i="4"/>
  <c r="BP39" i="4"/>
  <c r="BO39" i="4"/>
  <c r="BN39" i="4"/>
  <c r="BM39" i="4"/>
  <c r="BL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T39" i="4"/>
  <c r="S39" i="4"/>
  <c r="F151" i="9" s="1"/>
  <c r="R39" i="4"/>
  <c r="E151" i="9" s="1"/>
  <c r="Q39" i="4"/>
  <c r="D151" i="9" s="1"/>
  <c r="EE38" i="4"/>
  <c r="ED38" i="4"/>
  <c r="EC38" i="4"/>
  <c r="EB38" i="4"/>
  <c r="EA38" i="4"/>
  <c r="DZ38" i="4"/>
  <c r="DY38" i="4"/>
  <c r="DX38" i="4"/>
  <c r="DW38" i="4"/>
  <c r="DV38" i="4"/>
  <c r="DU38" i="4"/>
  <c r="DT38" i="4"/>
  <c r="DS38" i="4"/>
  <c r="DR38" i="4"/>
  <c r="DQ38" i="4"/>
  <c r="DP38" i="4"/>
  <c r="DO38" i="4"/>
  <c r="DN38" i="4"/>
  <c r="DM38" i="4"/>
  <c r="DL38" i="4"/>
  <c r="DK38" i="4"/>
  <c r="DJ38" i="4"/>
  <c r="DI38" i="4"/>
  <c r="DH38" i="4"/>
  <c r="DG38" i="4"/>
  <c r="DF38" i="4"/>
  <c r="DE38" i="4"/>
  <c r="DD38" i="4"/>
  <c r="DC38" i="4"/>
  <c r="DB38" i="4"/>
  <c r="DA38" i="4"/>
  <c r="CZ38" i="4"/>
  <c r="CY38" i="4"/>
  <c r="CX38" i="4"/>
  <c r="CW38" i="4"/>
  <c r="CV38" i="4"/>
  <c r="CU38" i="4"/>
  <c r="CT38" i="4"/>
  <c r="CS38" i="4"/>
  <c r="CR38" i="4"/>
  <c r="CQ38" i="4"/>
  <c r="CP38" i="4"/>
  <c r="CO38" i="4"/>
  <c r="CN38" i="4"/>
  <c r="CM38" i="4"/>
  <c r="CL38" i="4"/>
  <c r="CK38" i="4"/>
  <c r="CJ38" i="4"/>
  <c r="CI38" i="4"/>
  <c r="CH38" i="4"/>
  <c r="CG38" i="4"/>
  <c r="CF38" i="4"/>
  <c r="CE38" i="4"/>
  <c r="CD38" i="4"/>
  <c r="CC38" i="4"/>
  <c r="CB38" i="4"/>
  <c r="CA38" i="4"/>
  <c r="BZ38" i="4"/>
  <c r="BY38" i="4"/>
  <c r="BX38" i="4"/>
  <c r="BW38" i="4"/>
  <c r="BV38" i="4"/>
  <c r="BU38" i="4"/>
  <c r="BT38" i="4"/>
  <c r="BS38" i="4"/>
  <c r="BR38" i="4"/>
  <c r="BQ38" i="4"/>
  <c r="BP38" i="4"/>
  <c r="BO38" i="4"/>
  <c r="BN38" i="4"/>
  <c r="BM38" i="4"/>
  <c r="BL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K38" i="4"/>
  <c r="AJ38" i="4"/>
  <c r="AI38" i="4"/>
  <c r="AH38" i="4"/>
  <c r="AG38" i="4"/>
  <c r="AF38" i="4"/>
  <c r="AE38" i="4"/>
  <c r="AD38" i="4"/>
  <c r="AC38" i="4"/>
  <c r="AB38" i="4"/>
  <c r="AA38" i="4"/>
  <c r="Z38" i="4"/>
  <c r="Y38" i="4"/>
  <c r="X38" i="4"/>
  <c r="W38" i="4"/>
  <c r="V38" i="4"/>
  <c r="U38" i="4"/>
  <c r="T38" i="4"/>
  <c r="S38" i="4"/>
  <c r="F150" i="9" s="1"/>
  <c r="R38" i="4"/>
  <c r="E150" i="9" s="1"/>
  <c r="Q38" i="4"/>
  <c r="D150" i="9" s="1"/>
  <c r="EE37" i="4"/>
  <c r="ED37" i="4"/>
  <c r="EC37" i="4"/>
  <c r="EB37" i="4"/>
  <c r="EA37" i="4"/>
  <c r="DZ37" i="4"/>
  <c r="DY37" i="4"/>
  <c r="DX37" i="4"/>
  <c r="DW37" i="4"/>
  <c r="DV37" i="4"/>
  <c r="DU37" i="4"/>
  <c r="DT37" i="4"/>
  <c r="DS37" i="4"/>
  <c r="DR37" i="4"/>
  <c r="DQ37" i="4"/>
  <c r="DP37" i="4"/>
  <c r="DO37" i="4"/>
  <c r="DN37" i="4"/>
  <c r="DM37" i="4"/>
  <c r="DL37" i="4"/>
  <c r="DK37" i="4"/>
  <c r="DJ37" i="4"/>
  <c r="DI37" i="4"/>
  <c r="DH37" i="4"/>
  <c r="DG37" i="4"/>
  <c r="DF37" i="4"/>
  <c r="DE37" i="4"/>
  <c r="DD37" i="4"/>
  <c r="DC37" i="4"/>
  <c r="DB37" i="4"/>
  <c r="DA37" i="4"/>
  <c r="CZ37" i="4"/>
  <c r="CY37" i="4"/>
  <c r="CX37" i="4"/>
  <c r="CW37" i="4"/>
  <c r="CV37" i="4"/>
  <c r="CU37" i="4"/>
  <c r="CT37" i="4"/>
  <c r="CS37" i="4"/>
  <c r="CR37" i="4"/>
  <c r="CQ37" i="4"/>
  <c r="CP37" i="4"/>
  <c r="CO37" i="4"/>
  <c r="CN37" i="4"/>
  <c r="CM37" i="4"/>
  <c r="CL37" i="4"/>
  <c r="CK37" i="4"/>
  <c r="CJ37" i="4"/>
  <c r="CI37" i="4"/>
  <c r="CH37" i="4"/>
  <c r="CG37" i="4"/>
  <c r="CF37" i="4"/>
  <c r="CE37" i="4"/>
  <c r="CD37" i="4"/>
  <c r="CC37" i="4"/>
  <c r="CB37" i="4"/>
  <c r="CA37" i="4"/>
  <c r="BZ37" i="4"/>
  <c r="BY37" i="4"/>
  <c r="BX37" i="4"/>
  <c r="BW37" i="4"/>
  <c r="BV37" i="4"/>
  <c r="BU37" i="4"/>
  <c r="BT37" i="4"/>
  <c r="BS37" i="4"/>
  <c r="BR37" i="4"/>
  <c r="BQ37" i="4"/>
  <c r="BP37" i="4"/>
  <c r="BO37" i="4"/>
  <c r="BN37" i="4"/>
  <c r="BM37" i="4"/>
  <c r="BL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S37" i="4"/>
  <c r="F149" i="9" s="1"/>
  <c r="R37" i="4"/>
  <c r="E149" i="9" s="1"/>
  <c r="Q37" i="4"/>
  <c r="D149" i="9" s="1"/>
  <c r="EE36" i="4"/>
  <c r="ED36" i="4"/>
  <c r="EC36" i="4"/>
  <c r="EB36" i="4"/>
  <c r="EA36" i="4"/>
  <c r="DZ36" i="4"/>
  <c r="DY36" i="4"/>
  <c r="DX36" i="4"/>
  <c r="DW36" i="4"/>
  <c r="DV36" i="4"/>
  <c r="DU36" i="4"/>
  <c r="DT36" i="4"/>
  <c r="DS36" i="4"/>
  <c r="DR36" i="4"/>
  <c r="DQ36" i="4"/>
  <c r="DP36" i="4"/>
  <c r="DO36" i="4"/>
  <c r="DN36" i="4"/>
  <c r="DM36" i="4"/>
  <c r="DL36" i="4"/>
  <c r="DK36" i="4"/>
  <c r="DJ36" i="4"/>
  <c r="DI36" i="4"/>
  <c r="DH36" i="4"/>
  <c r="DG36" i="4"/>
  <c r="DF36" i="4"/>
  <c r="DE36" i="4"/>
  <c r="DD36" i="4"/>
  <c r="DC36" i="4"/>
  <c r="DB36" i="4"/>
  <c r="DA36" i="4"/>
  <c r="CZ36" i="4"/>
  <c r="CY36" i="4"/>
  <c r="CX36" i="4"/>
  <c r="CW36" i="4"/>
  <c r="CV36" i="4"/>
  <c r="CU36" i="4"/>
  <c r="CT36" i="4"/>
  <c r="CS36" i="4"/>
  <c r="CR36" i="4"/>
  <c r="CQ36" i="4"/>
  <c r="CP36" i="4"/>
  <c r="CO36" i="4"/>
  <c r="CN36" i="4"/>
  <c r="CM36" i="4"/>
  <c r="CL36" i="4"/>
  <c r="CK36" i="4"/>
  <c r="CJ36" i="4"/>
  <c r="CI36" i="4"/>
  <c r="CH36" i="4"/>
  <c r="CG36" i="4"/>
  <c r="CF36" i="4"/>
  <c r="CE36" i="4"/>
  <c r="CD36" i="4"/>
  <c r="CC36" i="4"/>
  <c r="CB36" i="4"/>
  <c r="CA36" i="4"/>
  <c r="BZ36" i="4"/>
  <c r="BY36" i="4"/>
  <c r="BX36" i="4"/>
  <c r="BW36" i="4"/>
  <c r="BV36" i="4"/>
  <c r="BU36" i="4"/>
  <c r="BT36" i="4"/>
  <c r="BS36" i="4"/>
  <c r="BR36" i="4"/>
  <c r="BQ36" i="4"/>
  <c r="BP36" i="4"/>
  <c r="BO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F148" i="9" s="1"/>
  <c r="R36" i="4"/>
  <c r="E148" i="9" s="1"/>
  <c r="Q36" i="4"/>
  <c r="D148" i="9" s="1"/>
  <c r="EE35" i="4"/>
  <c r="ED35" i="4"/>
  <c r="EC35" i="4"/>
  <c r="EB35" i="4"/>
  <c r="EA35" i="4"/>
  <c r="DZ35" i="4"/>
  <c r="DY35" i="4"/>
  <c r="DX35" i="4"/>
  <c r="DW35" i="4"/>
  <c r="DV35" i="4"/>
  <c r="DU35" i="4"/>
  <c r="DT35" i="4"/>
  <c r="DS35" i="4"/>
  <c r="DR35" i="4"/>
  <c r="DQ35" i="4"/>
  <c r="DP35" i="4"/>
  <c r="DO35" i="4"/>
  <c r="DN35" i="4"/>
  <c r="DM35" i="4"/>
  <c r="DL35" i="4"/>
  <c r="DK35" i="4"/>
  <c r="DJ35" i="4"/>
  <c r="DI35" i="4"/>
  <c r="DH35" i="4"/>
  <c r="DG35" i="4"/>
  <c r="DF35" i="4"/>
  <c r="DE35" i="4"/>
  <c r="DD35" i="4"/>
  <c r="DC35" i="4"/>
  <c r="DB35" i="4"/>
  <c r="DA35" i="4"/>
  <c r="CZ35" i="4"/>
  <c r="CY35" i="4"/>
  <c r="CX35" i="4"/>
  <c r="CW35" i="4"/>
  <c r="CV35" i="4"/>
  <c r="CU35" i="4"/>
  <c r="CT35" i="4"/>
  <c r="CS35" i="4"/>
  <c r="CR35" i="4"/>
  <c r="CQ35" i="4"/>
  <c r="CP35" i="4"/>
  <c r="CO35" i="4"/>
  <c r="CN35" i="4"/>
  <c r="CM35" i="4"/>
  <c r="CL35" i="4"/>
  <c r="CK35" i="4"/>
  <c r="CJ35" i="4"/>
  <c r="CI35" i="4"/>
  <c r="CH35" i="4"/>
  <c r="CG35" i="4"/>
  <c r="CF35" i="4"/>
  <c r="CE35" i="4"/>
  <c r="CD35" i="4"/>
  <c r="CC35" i="4"/>
  <c r="CB35" i="4"/>
  <c r="CA35" i="4"/>
  <c r="BZ35" i="4"/>
  <c r="BY35" i="4"/>
  <c r="BX35" i="4"/>
  <c r="BW35" i="4"/>
  <c r="BV35" i="4"/>
  <c r="BU35" i="4"/>
  <c r="BT35" i="4"/>
  <c r="BS35" i="4"/>
  <c r="BR35" i="4"/>
  <c r="BQ35" i="4"/>
  <c r="BP35" i="4"/>
  <c r="BO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T35" i="4"/>
  <c r="S35" i="4"/>
  <c r="F147" i="9" s="1"/>
  <c r="R35" i="4"/>
  <c r="E147" i="9" s="1"/>
  <c r="Q35" i="4"/>
  <c r="D147" i="9" s="1"/>
  <c r="EE34" i="4"/>
  <c r="ED34" i="4"/>
  <c r="EC34" i="4"/>
  <c r="EB34" i="4"/>
  <c r="EA34" i="4"/>
  <c r="DZ34" i="4"/>
  <c r="DY34" i="4"/>
  <c r="DX34" i="4"/>
  <c r="DW34" i="4"/>
  <c r="DV34" i="4"/>
  <c r="DU34" i="4"/>
  <c r="DT34" i="4"/>
  <c r="DS34" i="4"/>
  <c r="DR34" i="4"/>
  <c r="DQ34" i="4"/>
  <c r="DP34" i="4"/>
  <c r="DO34" i="4"/>
  <c r="DN34" i="4"/>
  <c r="DM34" i="4"/>
  <c r="DL34" i="4"/>
  <c r="DK34" i="4"/>
  <c r="DJ34" i="4"/>
  <c r="DI34" i="4"/>
  <c r="DH34" i="4"/>
  <c r="DG34" i="4"/>
  <c r="DF34" i="4"/>
  <c r="DE34" i="4"/>
  <c r="DD34" i="4"/>
  <c r="DC34" i="4"/>
  <c r="DB34" i="4"/>
  <c r="DA34" i="4"/>
  <c r="CZ34" i="4"/>
  <c r="CY34" i="4"/>
  <c r="CX34" i="4"/>
  <c r="CW34" i="4"/>
  <c r="CV34" i="4"/>
  <c r="CU34" i="4"/>
  <c r="CT34" i="4"/>
  <c r="CS34" i="4"/>
  <c r="CR34" i="4"/>
  <c r="CQ34" i="4"/>
  <c r="CP34" i="4"/>
  <c r="CO34" i="4"/>
  <c r="CN34" i="4"/>
  <c r="CM34" i="4"/>
  <c r="CL34" i="4"/>
  <c r="CK34" i="4"/>
  <c r="CJ34" i="4"/>
  <c r="CI34" i="4"/>
  <c r="CH34" i="4"/>
  <c r="CG34" i="4"/>
  <c r="CF34" i="4"/>
  <c r="CE34" i="4"/>
  <c r="CD34" i="4"/>
  <c r="CC34" i="4"/>
  <c r="CB34" i="4"/>
  <c r="CA34" i="4"/>
  <c r="BZ34" i="4"/>
  <c r="BY34" i="4"/>
  <c r="BX34" i="4"/>
  <c r="BW34" i="4"/>
  <c r="BV34" i="4"/>
  <c r="BU34" i="4"/>
  <c r="BT34" i="4"/>
  <c r="BS34" i="4"/>
  <c r="BR34" i="4"/>
  <c r="BQ34" i="4"/>
  <c r="BP34" i="4"/>
  <c r="BO34" i="4"/>
  <c r="BN34" i="4"/>
  <c r="BM34" i="4"/>
  <c r="BL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K34" i="4"/>
  <c r="AJ34" i="4"/>
  <c r="AI34" i="4"/>
  <c r="AH34" i="4"/>
  <c r="AG34" i="4"/>
  <c r="AF34" i="4"/>
  <c r="AE34" i="4"/>
  <c r="AD34" i="4"/>
  <c r="AC34" i="4"/>
  <c r="AB34" i="4"/>
  <c r="AA34" i="4"/>
  <c r="Z34" i="4"/>
  <c r="Y34" i="4"/>
  <c r="X34" i="4"/>
  <c r="W34" i="4"/>
  <c r="V34" i="4"/>
  <c r="U34" i="4"/>
  <c r="T34" i="4"/>
  <c r="S34" i="4"/>
  <c r="F146" i="9" s="1"/>
  <c r="R34" i="4"/>
  <c r="E146" i="9" s="1"/>
  <c r="Q34" i="4"/>
  <c r="D146" i="9" s="1"/>
  <c r="EE33" i="4"/>
  <c r="ED33" i="4"/>
  <c r="EC33" i="4"/>
  <c r="EB33" i="4"/>
  <c r="EA33" i="4"/>
  <c r="DZ33" i="4"/>
  <c r="DY33" i="4"/>
  <c r="DX33" i="4"/>
  <c r="DW33" i="4"/>
  <c r="DV33" i="4"/>
  <c r="DU33" i="4"/>
  <c r="DT33" i="4"/>
  <c r="DS33" i="4"/>
  <c r="DR33" i="4"/>
  <c r="DQ33" i="4"/>
  <c r="DP33" i="4"/>
  <c r="DO33" i="4"/>
  <c r="DN33" i="4"/>
  <c r="DM33" i="4"/>
  <c r="DL33" i="4"/>
  <c r="DK33" i="4"/>
  <c r="DJ33" i="4"/>
  <c r="DI33" i="4"/>
  <c r="DH33" i="4"/>
  <c r="DG33" i="4"/>
  <c r="DF33" i="4"/>
  <c r="DE33" i="4"/>
  <c r="DD33" i="4"/>
  <c r="DC33" i="4"/>
  <c r="DB33" i="4"/>
  <c r="DA33" i="4"/>
  <c r="CZ33" i="4"/>
  <c r="CY33" i="4"/>
  <c r="CX33" i="4"/>
  <c r="CW33" i="4"/>
  <c r="CV33" i="4"/>
  <c r="CU33" i="4"/>
  <c r="CT33" i="4"/>
  <c r="CS33" i="4"/>
  <c r="CR33" i="4"/>
  <c r="CQ33" i="4"/>
  <c r="CP33" i="4"/>
  <c r="CO33" i="4"/>
  <c r="CN33" i="4"/>
  <c r="CM33" i="4"/>
  <c r="CL33" i="4"/>
  <c r="CK33" i="4"/>
  <c r="CJ33" i="4"/>
  <c r="CI33" i="4"/>
  <c r="CH33" i="4"/>
  <c r="CG33" i="4"/>
  <c r="CF33" i="4"/>
  <c r="CE33" i="4"/>
  <c r="CD33" i="4"/>
  <c r="CC33" i="4"/>
  <c r="CB33" i="4"/>
  <c r="CA33" i="4"/>
  <c r="BZ33" i="4"/>
  <c r="BY33" i="4"/>
  <c r="BX33" i="4"/>
  <c r="BW33" i="4"/>
  <c r="BV33" i="4"/>
  <c r="BU33" i="4"/>
  <c r="BT33" i="4"/>
  <c r="BS33" i="4"/>
  <c r="BR33" i="4"/>
  <c r="BQ33" i="4"/>
  <c r="BP33" i="4"/>
  <c r="BO33" i="4"/>
  <c r="BN33" i="4"/>
  <c r="BM33" i="4"/>
  <c r="BL33" i="4"/>
  <c r="BK33" i="4"/>
  <c r="BJ33" i="4"/>
  <c r="BI33" i="4"/>
  <c r="BH33" i="4"/>
  <c r="BG33" i="4"/>
  <c r="BF33" i="4"/>
  <c r="BE33" i="4"/>
  <c r="BD33" i="4"/>
  <c r="BC33" i="4"/>
  <c r="BB33" i="4"/>
  <c r="BA33" i="4"/>
  <c r="AZ33" i="4"/>
  <c r="AY33" i="4"/>
  <c r="AX33" i="4"/>
  <c r="AW33" i="4"/>
  <c r="AV33" i="4"/>
  <c r="AU33" i="4"/>
  <c r="AT33" i="4"/>
  <c r="AS33" i="4"/>
  <c r="AR33" i="4"/>
  <c r="AQ33" i="4"/>
  <c r="AP33" i="4"/>
  <c r="AO33" i="4"/>
  <c r="AN33" i="4"/>
  <c r="AM33" i="4"/>
  <c r="AL33" i="4"/>
  <c r="AK33" i="4"/>
  <c r="AJ33" i="4"/>
  <c r="AI33" i="4"/>
  <c r="AH33" i="4"/>
  <c r="AG33" i="4"/>
  <c r="AF33" i="4"/>
  <c r="AE33" i="4"/>
  <c r="AD33" i="4"/>
  <c r="AC33" i="4"/>
  <c r="AB33" i="4"/>
  <c r="AA33" i="4"/>
  <c r="Z33" i="4"/>
  <c r="Y33" i="4"/>
  <c r="X33" i="4"/>
  <c r="W33" i="4"/>
  <c r="V33" i="4"/>
  <c r="U33" i="4"/>
  <c r="T33" i="4"/>
  <c r="S33" i="4"/>
  <c r="F145" i="9" s="1"/>
  <c r="R33" i="4"/>
  <c r="E145" i="9" s="1"/>
  <c r="Q33" i="4"/>
  <c r="D145" i="9" s="1"/>
  <c r="EE32" i="4"/>
  <c r="ED32" i="4"/>
  <c r="EC32" i="4"/>
  <c r="EB32" i="4"/>
  <c r="EA32" i="4"/>
  <c r="DZ32" i="4"/>
  <c r="DY32" i="4"/>
  <c r="DX32" i="4"/>
  <c r="DW32" i="4"/>
  <c r="DV32" i="4"/>
  <c r="DU32" i="4"/>
  <c r="DT32" i="4"/>
  <c r="DS32" i="4"/>
  <c r="DR32" i="4"/>
  <c r="DQ32" i="4"/>
  <c r="DP32" i="4"/>
  <c r="DO32" i="4"/>
  <c r="DN32" i="4"/>
  <c r="DM32" i="4"/>
  <c r="DL32" i="4"/>
  <c r="DK32" i="4"/>
  <c r="DJ32" i="4"/>
  <c r="DI32" i="4"/>
  <c r="DH32" i="4"/>
  <c r="DG32" i="4"/>
  <c r="DF32" i="4"/>
  <c r="DE32" i="4"/>
  <c r="DD32" i="4"/>
  <c r="DC32" i="4"/>
  <c r="DB32" i="4"/>
  <c r="DA32" i="4"/>
  <c r="CZ32" i="4"/>
  <c r="CY32" i="4"/>
  <c r="CX32" i="4"/>
  <c r="CW32" i="4"/>
  <c r="CV32" i="4"/>
  <c r="CU32" i="4"/>
  <c r="CT32" i="4"/>
  <c r="CS32" i="4"/>
  <c r="CR32" i="4"/>
  <c r="CQ32" i="4"/>
  <c r="CP32" i="4"/>
  <c r="CO32" i="4"/>
  <c r="CN32" i="4"/>
  <c r="CM32" i="4"/>
  <c r="CL32" i="4"/>
  <c r="CK32" i="4"/>
  <c r="CJ32" i="4"/>
  <c r="CI32" i="4"/>
  <c r="CH32" i="4"/>
  <c r="CG32" i="4"/>
  <c r="CF32" i="4"/>
  <c r="CE32" i="4"/>
  <c r="CD32" i="4"/>
  <c r="CC32" i="4"/>
  <c r="CB32" i="4"/>
  <c r="CA32" i="4"/>
  <c r="BZ32" i="4"/>
  <c r="BY32" i="4"/>
  <c r="BX32" i="4"/>
  <c r="BW32" i="4"/>
  <c r="BV32" i="4"/>
  <c r="BU32" i="4"/>
  <c r="BT32" i="4"/>
  <c r="BS32" i="4"/>
  <c r="BR32" i="4"/>
  <c r="BQ32" i="4"/>
  <c r="BP32" i="4"/>
  <c r="BO32" i="4"/>
  <c r="BN32" i="4"/>
  <c r="BM32" i="4"/>
  <c r="BL32" i="4"/>
  <c r="BK32" i="4"/>
  <c r="BJ32" i="4"/>
  <c r="BI32" i="4"/>
  <c r="BH32" i="4"/>
  <c r="BG32" i="4"/>
  <c r="BF32" i="4"/>
  <c r="BE32" i="4"/>
  <c r="BD32" i="4"/>
  <c r="BC32" i="4"/>
  <c r="BB32" i="4"/>
  <c r="BA32" i="4"/>
  <c r="AZ32" i="4"/>
  <c r="AY32" i="4"/>
  <c r="AX32" i="4"/>
  <c r="AW32" i="4"/>
  <c r="AV32" i="4"/>
  <c r="AU32" i="4"/>
  <c r="AT32" i="4"/>
  <c r="AS32" i="4"/>
  <c r="AR32" i="4"/>
  <c r="AQ32" i="4"/>
  <c r="AP32" i="4"/>
  <c r="AO32" i="4"/>
  <c r="AN32" i="4"/>
  <c r="AM32" i="4"/>
  <c r="AL32" i="4"/>
  <c r="AK32" i="4"/>
  <c r="AJ32" i="4"/>
  <c r="AI32" i="4"/>
  <c r="AH32" i="4"/>
  <c r="AG32" i="4"/>
  <c r="AF32" i="4"/>
  <c r="AE32" i="4"/>
  <c r="AD32" i="4"/>
  <c r="AC32" i="4"/>
  <c r="AB32" i="4"/>
  <c r="AA32" i="4"/>
  <c r="Z32" i="4"/>
  <c r="Y32" i="4"/>
  <c r="X32" i="4"/>
  <c r="W32" i="4"/>
  <c r="V32" i="4"/>
  <c r="U32" i="4"/>
  <c r="T32" i="4"/>
  <c r="S32" i="4"/>
  <c r="F144" i="9" s="1"/>
  <c r="R32" i="4"/>
  <c r="E144" i="9" s="1"/>
  <c r="Q32" i="4"/>
  <c r="D144" i="9" s="1"/>
  <c r="EE31" i="4"/>
  <c r="ED31" i="4"/>
  <c r="EC31" i="4"/>
  <c r="EB31" i="4"/>
  <c r="EA31" i="4"/>
  <c r="DZ31" i="4"/>
  <c r="DY31" i="4"/>
  <c r="DX31" i="4"/>
  <c r="DW31" i="4"/>
  <c r="DV31" i="4"/>
  <c r="DU31" i="4"/>
  <c r="DT31" i="4"/>
  <c r="DS31" i="4"/>
  <c r="DR31" i="4"/>
  <c r="DQ31" i="4"/>
  <c r="DP31" i="4"/>
  <c r="DO31" i="4"/>
  <c r="DN31" i="4"/>
  <c r="DM31" i="4"/>
  <c r="DL31" i="4"/>
  <c r="DK31" i="4"/>
  <c r="DJ31" i="4"/>
  <c r="DI31" i="4"/>
  <c r="DH31" i="4"/>
  <c r="DG31" i="4"/>
  <c r="DF31" i="4"/>
  <c r="DE31" i="4"/>
  <c r="DD31" i="4"/>
  <c r="DC31" i="4"/>
  <c r="DB31" i="4"/>
  <c r="DA31" i="4"/>
  <c r="CZ31" i="4"/>
  <c r="CY31" i="4"/>
  <c r="CX31" i="4"/>
  <c r="CW31" i="4"/>
  <c r="CV31" i="4"/>
  <c r="CU31" i="4"/>
  <c r="CT31" i="4"/>
  <c r="CS31" i="4"/>
  <c r="CR31" i="4"/>
  <c r="CQ31" i="4"/>
  <c r="CP31" i="4"/>
  <c r="CO31" i="4"/>
  <c r="CN31" i="4"/>
  <c r="CM31" i="4"/>
  <c r="CL31" i="4"/>
  <c r="CK31" i="4"/>
  <c r="CJ31" i="4"/>
  <c r="CI31" i="4"/>
  <c r="CH31" i="4"/>
  <c r="CG31" i="4"/>
  <c r="CF31" i="4"/>
  <c r="CE31" i="4"/>
  <c r="CD31" i="4"/>
  <c r="CC31" i="4"/>
  <c r="CB31" i="4"/>
  <c r="CA31" i="4"/>
  <c r="BZ31" i="4"/>
  <c r="BY31" i="4"/>
  <c r="BX31" i="4"/>
  <c r="BW31" i="4"/>
  <c r="BV31" i="4"/>
  <c r="BU31" i="4"/>
  <c r="BT31" i="4"/>
  <c r="BS31" i="4"/>
  <c r="BR31" i="4"/>
  <c r="BQ31" i="4"/>
  <c r="BP31" i="4"/>
  <c r="BO31" i="4"/>
  <c r="BN31" i="4"/>
  <c r="BM31" i="4"/>
  <c r="BL31" i="4"/>
  <c r="BK31" i="4"/>
  <c r="BJ31" i="4"/>
  <c r="BI31" i="4"/>
  <c r="BH31" i="4"/>
  <c r="BG31" i="4"/>
  <c r="BF31" i="4"/>
  <c r="BE31" i="4"/>
  <c r="BD31" i="4"/>
  <c r="BC31" i="4"/>
  <c r="BB31" i="4"/>
  <c r="BA31" i="4"/>
  <c r="AZ31" i="4"/>
  <c r="AY31" i="4"/>
  <c r="AX31" i="4"/>
  <c r="AW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F143" i="9" s="1"/>
  <c r="R31" i="4"/>
  <c r="E143" i="9" s="1"/>
  <c r="Q31" i="4"/>
  <c r="D143" i="9" s="1"/>
  <c r="EE30" i="4"/>
  <c r="ED30" i="4"/>
  <c r="EC30" i="4"/>
  <c r="EB30" i="4"/>
  <c r="EA30" i="4"/>
  <c r="DZ30" i="4"/>
  <c r="DY30" i="4"/>
  <c r="DX30" i="4"/>
  <c r="DW30" i="4"/>
  <c r="DV30" i="4"/>
  <c r="DU30" i="4"/>
  <c r="DT30" i="4"/>
  <c r="DS30" i="4"/>
  <c r="DR30" i="4"/>
  <c r="DQ30" i="4"/>
  <c r="DP30" i="4"/>
  <c r="DO30" i="4"/>
  <c r="DN30" i="4"/>
  <c r="DM30" i="4"/>
  <c r="DL30" i="4"/>
  <c r="DK30" i="4"/>
  <c r="DJ30" i="4"/>
  <c r="DI30" i="4"/>
  <c r="DH30" i="4"/>
  <c r="DG30" i="4"/>
  <c r="DF30" i="4"/>
  <c r="DE30" i="4"/>
  <c r="DD30" i="4"/>
  <c r="DC30" i="4"/>
  <c r="DB30" i="4"/>
  <c r="DA30" i="4"/>
  <c r="CZ30" i="4"/>
  <c r="CY30" i="4"/>
  <c r="CX30" i="4"/>
  <c r="CW30" i="4"/>
  <c r="CV30" i="4"/>
  <c r="CU30" i="4"/>
  <c r="CT30" i="4"/>
  <c r="CS30" i="4"/>
  <c r="CR30" i="4"/>
  <c r="CQ30" i="4"/>
  <c r="CP30" i="4"/>
  <c r="CO30" i="4"/>
  <c r="CN30" i="4"/>
  <c r="CM30" i="4"/>
  <c r="CL30" i="4"/>
  <c r="CK30" i="4"/>
  <c r="CJ30" i="4"/>
  <c r="CI30" i="4"/>
  <c r="CH30" i="4"/>
  <c r="CG30" i="4"/>
  <c r="CF30" i="4"/>
  <c r="CE30" i="4"/>
  <c r="CD30" i="4"/>
  <c r="CC30" i="4"/>
  <c r="CB30" i="4"/>
  <c r="CA30" i="4"/>
  <c r="BZ30" i="4"/>
  <c r="BY30" i="4"/>
  <c r="BX30" i="4"/>
  <c r="BW30" i="4"/>
  <c r="BV30" i="4"/>
  <c r="BU30" i="4"/>
  <c r="BT30" i="4"/>
  <c r="BS30" i="4"/>
  <c r="BR30" i="4"/>
  <c r="BQ30" i="4"/>
  <c r="BP30" i="4"/>
  <c r="BO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V30" i="4"/>
  <c r="U30" i="4"/>
  <c r="T30" i="4"/>
  <c r="S30" i="4"/>
  <c r="F142" i="9" s="1"/>
  <c r="R30" i="4"/>
  <c r="E142" i="9" s="1"/>
  <c r="Q30" i="4"/>
  <c r="D142" i="9" s="1"/>
  <c r="EE29" i="4"/>
  <c r="ED29" i="4"/>
  <c r="EC29" i="4"/>
  <c r="EB29" i="4"/>
  <c r="EA29" i="4"/>
  <c r="DZ29" i="4"/>
  <c r="DY29" i="4"/>
  <c r="DX29" i="4"/>
  <c r="DW29" i="4"/>
  <c r="DV29" i="4"/>
  <c r="DU29" i="4"/>
  <c r="DT29" i="4"/>
  <c r="DS29" i="4"/>
  <c r="DR29" i="4"/>
  <c r="DQ29" i="4"/>
  <c r="DP29" i="4"/>
  <c r="DO29" i="4"/>
  <c r="DN29" i="4"/>
  <c r="DM29" i="4"/>
  <c r="DL29" i="4"/>
  <c r="DK29" i="4"/>
  <c r="DJ29" i="4"/>
  <c r="DI29" i="4"/>
  <c r="DH29" i="4"/>
  <c r="DG29" i="4"/>
  <c r="DF29" i="4"/>
  <c r="DE29" i="4"/>
  <c r="DD29" i="4"/>
  <c r="DC29" i="4"/>
  <c r="DB29" i="4"/>
  <c r="DA29" i="4"/>
  <c r="CZ29" i="4"/>
  <c r="CY29" i="4"/>
  <c r="CX29" i="4"/>
  <c r="CW29" i="4"/>
  <c r="CV29" i="4"/>
  <c r="CU29" i="4"/>
  <c r="CT29" i="4"/>
  <c r="CS29" i="4"/>
  <c r="CR29" i="4"/>
  <c r="CQ29" i="4"/>
  <c r="CP29" i="4"/>
  <c r="CO29" i="4"/>
  <c r="CN29" i="4"/>
  <c r="CM29" i="4"/>
  <c r="CL29" i="4"/>
  <c r="CK29" i="4"/>
  <c r="CJ29" i="4"/>
  <c r="CI29" i="4"/>
  <c r="CH29" i="4"/>
  <c r="CG29" i="4"/>
  <c r="CF29" i="4"/>
  <c r="CE29" i="4"/>
  <c r="CD29" i="4"/>
  <c r="CC29" i="4"/>
  <c r="CB29" i="4"/>
  <c r="CA29" i="4"/>
  <c r="BZ29" i="4"/>
  <c r="BY29" i="4"/>
  <c r="BX29" i="4"/>
  <c r="BW29" i="4"/>
  <c r="BV29" i="4"/>
  <c r="BU29" i="4"/>
  <c r="BT29" i="4"/>
  <c r="BS29" i="4"/>
  <c r="BR29" i="4"/>
  <c r="BQ29" i="4"/>
  <c r="BP29"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F141" i="9" s="1"/>
  <c r="R29" i="4"/>
  <c r="E141" i="9" s="1"/>
  <c r="Q29" i="4"/>
  <c r="D141" i="9" s="1"/>
  <c r="EE28" i="4"/>
  <c r="ED28" i="4"/>
  <c r="EC28" i="4"/>
  <c r="EB28" i="4"/>
  <c r="EA28" i="4"/>
  <c r="DZ28" i="4"/>
  <c r="DY28" i="4"/>
  <c r="DX28" i="4"/>
  <c r="DW28" i="4"/>
  <c r="DV28" i="4"/>
  <c r="DU28" i="4"/>
  <c r="DT28" i="4"/>
  <c r="DS28" i="4"/>
  <c r="DR28" i="4"/>
  <c r="DQ28" i="4"/>
  <c r="DP28" i="4"/>
  <c r="DO28" i="4"/>
  <c r="DN28" i="4"/>
  <c r="DM28" i="4"/>
  <c r="DL28" i="4"/>
  <c r="DK28" i="4"/>
  <c r="DJ28" i="4"/>
  <c r="DI28" i="4"/>
  <c r="DH28" i="4"/>
  <c r="DG28" i="4"/>
  <c r="DF28" i="4"/>
  <c r="DE28" i="4"/>
  <c r="DD28" i="4"/>
  <c r="DC28" i="4"/>
  <c r="DB28" i="4"/>
  <c r="DA28" i="4"/>
  <c r="CZ28" i="4"/>
  <c r="CY28" i="4"/>
  <c r="CX28" i="4"/>
  <c r="CW28" i="4"/>
  <c r="CV28" i="4"/>
  <c r="CU28" i="4"/>
  <c r="CT28" i="4"/>
  <c r="CS28" i="4"/>
  <c r="CR28" i="4"/>
  <c r="CQ28" i="4"/>
  <c r="CP28" i="4"/>
  <c r="CO28" i="4"/>
  <c r="CN28" i="4"/>
  <c r="CM28" i="4"/>
  <c r="CL28" i="4"/>
  <c r="CK28" i="4"/>
  <c r="CJ28" i="4"/>
  <c r="CI28" i="4"/>
  <c r="CH28" i="4"/>
  <c r="CG28" i="4"/>
  <c r="CF28" i="4"/>
  <c r="CE28" i="4"/>
  <c r="CD28" i="4"/>
  <c r="CC28" i="4"/>
  <c r="CB28" i="4"/>
  <c r="CA28" i="4"/>
  <c r="BZ28" i="4"/>
  <c r="BY28" i="4"/>
  <c r="BX28" i="4"/>
  <c r="BW28" i="4"/>
  <c r="BV28" i="4"/>
  <c r="BU28" i="4"/>
  <c r="BT28" i="4"/>
  <c r="BS28" i="4"/>
  <c r="BR28" i="4"/>
  <c r="BQ28" i="4"/>
  <c r="BP28" i="4"/>
  <c r="BO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S28" i="4"/>
  <c r="F140" i="9" s="1"/>
  <c r="R28" i="4"/>
  <c r="E140" i="9" s="1"/>
  <c r="Q28" i="4"/>
  <c r="D140" i="9" s="1"/>
  <c r="EE27" i="4"/>
  <c r="ED27" i="4"/>
  <c r="EC27" i="4"/>
  <c r="EB27" i="4"/>
  <c r="EA27" i="4"/>
  <c r="DZ27" i="4"/>
  <c r="DY27" i="4"/>
  <c r="DX27" i="4"/>
  <c r="DW27" i="4"/>
  <c r="DV27" i="4"/>
  <c r="DU27" i="4"/>
  <c r="DT27" i="4"/>
  <c r="DS27" i="4"/>
  <c r="DR27" i="4"/>
  <c r="DQ27" i="4"/>
  <c r="DP27" i="4"/>
  <c r="DO27" i="4"/>
  <c r="DN27" i="4"/>
  <c r="DM27" i="4"/>
  <c r="DL27" i="4"/>
  <c r="DK27" i="4"/>
  <c r="DJ27" i="4"/>
  <c r="DI27" i="4"/>
  <c r="DH27" i="4"/>
  <c r="DG27" i="4"/>
  <c r="DF27" i="4"/>
  <c r="DE27" i="4"/>
  <c r="DD27" i="4"/>
  <c r="DC27" i="4"/>
  <c r="DB27" i="4"/>
  <c r="DA27" i="4"/>
  <c r="CZ27" i="4"/>
  <c r="CY27" i="4"/>
  <c r="CX27" i="4"/>
  <c r="CW27" i="4"/>
  <c r="CV27" i="4"/>
  <c r="CU27" i="4"/>
  <c r="CT27" i="4"/>
  <c r="CS27" i="4"/>
  <c r="CR27" i="4"/>
  <c r="CQ27" i="4"/>
  <c r="CP27" i="4"/>
  <c r="CO27" i="4"/>
  <c r="CN27" i="4"/>
  <c r="CM27" i="4"/>
  <c r="CL27" i="4"/>
  <c r="CK27" i="4"/>
  <c r="CJ27" i="4"/>
  <c r="CI27" i="4"/>
  <c r="CH27" i="4"/>
  <c r="CG27" i="4"/>
  <c r="CF27" i="4"/>
  <c r="CE27" i="4"/>
  <c r="CD27" i="4"/>
  <c r="CC27" i="4"/>
  <c r="CB27" i="4"/>
  <c r="CA27" i="4"/>
  <c r="BZ27" i="4"/>
  <c r="BY27" i="4"/>
  <c r="BX27" i="4"/>
  <c r="BW27" i="4"/>
  <c r="BV27" i="4"/>
  <c r="BU27" i="4"/>
  <c r="BT27" i="4"/>
  <c r="BS27" i="4"/>
  <c r="BR27" i="4"/>
  <c r="BQ27" i="4"/>
  <c r="BP27"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F139" i="9" s="1"/>
  <c r="R27" i="4"/>
  <c r="E139" i="9" s="1"/>
  <c r="Q27" i="4"/>
  <c r="D139" i="9" s="1"/>
  <c r="EE26" i="4"/>
  <c r="ED26" i="4"/>
  <c r="EC26" i="4"/>
  <c r="EB26" i="4"/>
  <c r="EA26" i="4"/>
  <c r="DZ26" i="4"/>
  <c r="DY26" i="4"/>
  <c r="DX26" i="4"/>
  <c r="DW26" i="4"/>
  <c r="DV26" i="4"/>
  <c r="DU26" i="4"/>
  <c r="DT26" i="4"/>
  <c r="DS26" i="4"/>
  <c r="DR26" i="4"/>
  <c r="DQ26" i="4"/>
  <c r="DP26" i="4"/>
  <c r="DO26" i="4"/>
  <c r="DN26" i="4"/>
  <c r="DM26" i="4"/>
  <c r="DL26" i="4"/>
  <c r="DK26" i="4"/>
  <c r="DJ26" i="4"/>
  <c r="DI26" i="4"/>
  <c r="DH26" i="4"/>
  <c r="DG26" i="4"/>
  <c r="DF26" i="4"/>
  <c r="DE26" i="4"/>
  <c r="DD26" i="4"/>
  <c r="DC26" i="4"/>
  <c r="DB26" i="4"/>
  <c r="DA26" i="4"/>
  <c r="CZ26" i="4"/>
  <c r="CY26" i="4"/>
  <c r="CX26" i="4"/>
  <c r="CW26" i="4"/>
  <c r="CV26" i="4"/>
  <c r="CU26" i="4"/>
  <c r="CT26" i="4"/>
  <c r="CS26" i="4"/>
  <c r="CR26" i="4"/>
  <c r="CQ26" i="4"/>
  <c r="CP26" i="4"/>
  <c r="CO26" i="4"/>
  <c r="CN26" i="4"/>
  <c r="CM26" i="4"/>
  <c r="CL26" i="4"/>
  <c r="CK26" i="4"/>
  <c r="CJ26" i="4"/>
  <c r="CI26" i="4"/>
  <c r="CH26" i="4"/>
  <c r="CG26" i="4"/>
  <c r="CF26" i="4"/>
  <c r="CE26" i="4"/>
  <c r="CD26" i="4"/>
  <c r="CC26" i="4"/>
  <c r="CB26" i="4"/>
  <c r="CA26" i="4"/>
  <c r="BZ26" i="4"/>
  <c r="BY26" i="4"/>
  <c r="BX26" i="4"/>
  <c r="BW26" i="4"/>
  <c r="BV26" i="4"/>
  <c r="BU26" i="4"/>
  <c r="BT26" i="4"/>
  <c r="BS26" i="4"/>
  <c r="BR26" i="4"/>
  <c r="BQ26" i="4"/>
  <c r="BP26"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F138" i="9" s="1"/>
  <c r="R26" i="4"/>
  <c r="E138" i="9" s="1"/>
  <c r="Q26" i="4"/>
  <c r="D138" i="9" s="1"/>
  <c r="EE25" i="4"/>
  <c r="ED25" i="4"/>
  <c r="EC25" i="4"/>
  <c r="EB25" i="4"/>
  <c r="EA25" i="4"/>
  <c r="DZ25" i="4"/>
  <c r="DY25" i="4"/>
  <c r="DX25" i="4"/>
  <c r="DW25" i="4"/>
  <c r="DV25" i="4"/>
  <c r="DU25" i="4"/>
  <c r="DT25" i="4"/>
  <c r="DS25" i="4"/>
  <c r="DR25" i="4"/>
  <c r="DQ25" i="4"/>
  <c r="DP25" i="4"/>
  <c r="DO25" i="4"/>
  <c r="DN25" i="4"/>
  <c r="DM25" i="4"/>
  <c r="DL25" i="4"/>
  <c r="DK25" i="4"/>
  <c r="DJ25" i="4"/>
  <c r="DI25" i="4"/>
  <c r="DH25" i="4"/>
  <c r="DG25" i="4"/>
  <c r="DF25" i="4"/>
  <c r="DE25" i="4"/>
  <c r="DD25" i="4"/>
  <c r="DC25" i="4"/>
  <c r="DB25" i="4"/>
  <c r="DA25" i="4"/>
  <c r="CZ25" i="4"/>
  <c r="CY25" i="4"/>
  <c r="CX25" i="4"/>
  <c r="CW25" i="4"/>
  <c r="CV25" i="4"/>
  <c r="CU25" i="4"/>
  <c r="CT25" i="4"/>
  <c r="CS25" i="4"/>
  <c r="CR25" i="4"/>
  <c r="CQ25" i="4"/>
  <c r="CP25" i="4"/>
  <c r="CO25" i="4"/>
  <c r="CN25" i="4"/>
  <c r="CM25" i="4"/>
  <c r="CL25" i="4"/>
  <c r="CK25" i="4"/>
  <c r="CJ25" i="4"/>
  <c r="CI25" i="4"/>
  <c r="CH25" i="4"/>
  <c r="CG25" i="4"/>
  <c r="CF25" i="4"/>
  <c r="CE25" i="4"/>
  <c r="CD25" i="4"/>
  <c r="CC25" i="4"/>
  <c r="CB25" i="4"/>
  <c r="CA25" i="4"/>
  <c r="BZ25" i="4"/>
  <c r="BY25" i="4"/>
  <c r="BX25" i="4"/>
  <c r="BW25" i="4"/>
  <c r="BV25" i="4"/>
  <c r="BU25" i="4"/>
  <c r="BT25" i="4"/>
  <c r="BS25" i="4"/>
  <c r="BR25"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F137" i="9" s="1"/>
  <c r="R25" i="4"/>
  <c r="E137" i="9" s="1"/>
  <c r="Q25" i="4"/>
  <c r="D137" i="9" s="1"/>
  <c r="EE24" i="4"/>
  <c r="ED24" i="4"/>
  <c r="EC24" i="4"/>
  <c r="EB24" i="4"/>
  <c r="EA24" i="4"/>
  <c r="DZ24" i="4"/>
  <c r="DY24" i="4"/>
  <c r="DX24" i="4"/>
  <c r="DW24" i="4"/>
  <c r="DV24" i="4"/>
  <c r="DU24" i="4"/>
  <c r="DT24" i="4"/>
  <c r="DS24" i="4"/>
  <c r="DR24" i="4"/>
  <c r="DQ24" i="4"/>
  <c r="DP24" i="4"/>
  <c r="DO24" i="4"/>
  <c r="DN24" i="4"/>
  <c r="DM24" i="4"/>
  <c r="DL24" i="4"/>
  <c r="DK24" i="4"/>
  <c r="DJ24" i="4"/>
  <c r="DI24" i="4"/>
  <c r="DH24" i="4"/>
  <c r="DG24" i="4"/>
  <c r="DF24" i="4"/>
  <c r="DE24" i="4"/>
  <c r="DD24" i="4"/>
  <c r="DC24" i="4"/>
  <c r="DB24" i="4"/>
  <c r="DA24" i="4"/>
  <c r="CZ24" i="4"/>
  <c r="CY24" i="4"/>
  <c r="CX24" i="4"/>
  <c r="CW24" i="4"/>
  <c r="CV24" i="4"/>
  <c r="CU24" i="4"/>
  <c r="CT24" i="4"/>
  <c r="CS24" i="4"/>
  <c r="CR24" i="4"/>
  <c r="CQ24" i="4"/>
  <c r="CP24" i="4"/>
  <c r="CO24" i="4"/>
  <c r="CN24" i="4"/>
  <c r="CM24" i="4"/>
  <c r="CL24" i="4"/>
  <c r="CK24" i="4"/>
  <c r="CJ24" i="4"/>
  <c r="CI24" i="4"/>
  <c r="CH24" i="4"/>
  <c r="CG24" i="4"/>
  <c r="CF24" i="4"/>
  <c r="CE24" i="4"/>
  <c r="CD24" i="4"/>
  <c r="CC24" i="4"/>
  <c r="CB24" i="4"/>
  <c r="CA24" i="4"/>
  <c r="BZ24" i="4"/>
  <c r="BY24" i="4"/>
  <c r="BX24" i="4"/>
  <c r="BW24" i="4"/>
  <c r="BV24" i="4"/>
  <c r="BU24" i="4"/>
  <c r="BT24" i="4"/>
  <c r="BS24" i="4"/>
  <c r="BR24" i="4"/>
  <c r="BQ24" i="4"/>
  <c r="BP24" i="4"/>
  <c r="BO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F136" i="9" s="1"/>
  <c r="R24" i="4"/>
  <c r="E136" i="9" s="1"/>
  <c r="Q24" i="4"/>
  <c r="D136" i="9" s="1"/>
  <c r="EE23" i="4"/>
  <c r="ED23" i="4"/>
  <c r="EC23" i="4"/>
  <c r="EB23" i="4"/>
  <c r="EA23" i="4"/>
  <c r="DZ23" i="4"/>
  <c r="DY23" i="4"/>
  <c r="DX23" i="4"/>
  <c r="DW23" i="4"/>
  <c r="DV23" i="4"/>
  <c r="DU23" i="4"/>
  <c r="DT23" i="4"/>
  <c r="DS23" i="4"/>
  <c r="DR23" i="4"/>
  <c r="DQ23" i="4"/>
  <c r="DP23" i="4"/>
  <c r="DO23" i="4"/>
  <c r="DN23" i="4"/>
  <c r="DM23" i="4"/>
  <c r="DL23" i="4"/>
  <c r="DK23" i="4"/>
  <c r="DJ23" i="4"/>
  <c r="DI23" i="4"/>
  <c r="DH23" i="4"/>
  <c r="DG23" i="4"/>
  <c r="DF23" i="4"/>
  <c r="DE23" i="4"/>
  <c r="DD23" i="4"/>
  <c r="DC23" i="4"/>
  <c r="DB23" i="4"/>
  <c r="DA23" i="4"/>
  <c r="CZ23" i="4"/>
  <c r="CY23" i="4"/>
  <c r="CX23" i="4"/>
  <c r="CW23" i="4"/>
  <c r="CV23" i="4"/>
  <c r="CU23" i="4"/>
  <c r="CT23" i="4"/>
  <c r="CS23" i="4"/>
  <c r="CR23" i="4"/>
  <c r="CQ23" i="4"/>
  <c r="CP23" i="4"/>
  <c r="CO23" i="4"/>
  <c r="CN23" i="4"/>
  <c r="CM23" i="4"/>
  <c r="CL23" i="4"/>
  <c r="CK23" i="4"/>
  <c r="CJ23" i="4"/>
  <c r="CI23" i="4"/>
  <c r="CH23" i="4"/>
  <c r="CG23" i="4"/>
  <c r="CF23" i="4"/>
  <c r="CE23" i="4"/>
  <c r="CD23" i="4"/>
  <c r="CC23" i="4"/>
  <c r="CB23" i="4"/>
  <c r="CA23" i="4"/>
  <c r="BZ23" i="4"/>
  <c r="BY23" i="4"/>
  <c r="BX23" i="4"/>
  <c r="BW23"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F135" i="9" s="1"/>
  <c r="R23" i="4"/>
  <c r="E135" i="9" s="1"/>
  <c r="Q23" i="4"/>
  <c r="D135" i="9" s="1"/>
  <c r="EE22" i="4"/>
  <c r="ED22" i="4"/>
  <c r="EC22" i="4"/>
  <c r="EB22" i="4"/>
  <c r="EA22" i="4"/>
  <c r="DZ22" i="4"/>
  <c r="DY22" i="4"/>
  <c r="DX22" i="4"/>
  <c r="DW22" i="4"/>
  <c r="DV22" i="4"/>
  <c r="DU22" i="4"/>
  <c r="DT22" i="4"/>
  <c r="DS22" i="4"/>
  <c r="DR22" i="4"/>
  <c r="DQ22" i="4"/>
  <c r="DP22" i="4"/>
  <c r="DO22" i="4"/>
  <c r="DN22" i="4"/>
  <c r="DM22" i="4"/>
  <c r="DL22" i="4"/>
  <c r="DK22" i="4"/>
  <c r="DJ22" i="4"/>
  <c r="DI22" i="4"/>
  <c r="DH22" i="4"/>
  <c r="DG22" i="4"/>
  <c r="DF22" i="4"/>
  <c r="DE22" i="4"/>
  <c r="DD22" i="4"/>
  <c r="DC22" i="4"/>
  <c r="DB22" i="4"/>
  <c r="DA22" i="4"/>
  <c r="CZ22" i="4"/>
  <c r="CY22" i="4"/>
  <c r="CX22" i="4"/>
  <c r="CW22" i="4"/>
  <c r="CV22" i="4"/>
  <c r="CU22" i="4"/>
  <c r="CT22" i="4"/>
  <c r="CS22" i="4"/>
  <c r="CR22" i="4"/>
  <c r="CQ22" i="4"/>
  <c r="CP22" i="4"/>
  <c r="CO22" i="4"/>
  <c r="CN22" i="4"/>
  <c r="CM22" i="4"/>
  <c r="CL22" i="4"/>
  <c r="CK22" i="4"/>
  <c r="CJ22" i="4"/>
  <c r="CI22" i="4"/>
  <c r="CH22" i="4"/>
  <c r="CG22" i="4"/>
  <c r="CF22" i="4"/>
  <c r="CE22" i="4"/>
  <c r="CD22" i="4"/>
  <c r="CC22" i="4"/>
  <c r="CB22" i="4"/>
  <c r="CA22" i="4"/>
  <c r="BZ22" i="4"/>
  <c r="BY22" i="4"/>
  <c r="BX22" i="4"/>
  <c r="BW22" i="4"/>
  <c r="BV22" i="4"/>
  <c r="BU22" i="4"/>
  <c r="BT22" i="4"/>
  <c r="BS22" i="4"/>
  <c r="BR22" i="4"/>
  <c r="BQ22" i="4"/>
  <c r="BP22" i="4"/>
  <c r="BO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F134" i="9" s="1"/>
  <c r="R22" i="4"/>
  <c r="E134" i="9" s="1"/>
  <c r="Q22" i="4"/>
  <c r="D134" i="9" s="1"/>
  <c r="EE21" i="4"/>
  <c r="ED21" i="4"/>
  <c r="EC21" i="4"/>
  <c r="EB21" i="4"/>
  <c r="EA21" i="4"/>
  <c r="DZ21" i="4"/>
  <c r="DY21" i="4"/>
  <c r="DX21" i="4"/>
  <c r="DW21" i="4"/>
  <c r="DV21" i="4"/>
  <c r="DU21" i="4"/>
  <c r="DT21" i="4"/>
  <c r="DS21" i="4"/>
  <c r="DR21" i="4"/>
  <c r="DQ21" i="4"/>
  <c r="DP21" i="4"/>
  <c r="DO21" i="4"/>
  <c r="DN21" i="4"/>
  <c r="DM21" i="4"/>
  <c r="DL21" i="4"/>
  <c r="DK21" i="4"/>
  <c r="DJ21" i="4"/>
  <c r="DI21" i="4"/>
  <c r="DH21" i="4"/>
  <c r="DG21" i="4"/>
  <c r="DF21" i="4"/>
  <c r="DE21" i="4"/>
  <c r="DD21" i="4"/>
  <c r="DC21" i="4"/>
  <c r="DB21" i="4"/>
  <c r="DA21" i="4"/>
  <c r="CZ21" i="4"/>
  <c r="CY21" i="4"/>
  <c r="CX21" i="4"/>
  <c r="CW21" i="4"/>
  <c r="CV21" i="4"/>
  <c r="CU21" i="4"/>
  <c r="CT21" i="4"/>
  <c r="CS21" i="4"/>
  <c r="CR21" i="4"/>
  <c r="CQ21" i="4"/>
  <c r="CP21" i="4"/>
  <c r="CO21" i="4"/>
  <c r="CN21" i="4"/>
  <c r="CM21" i="4"/>
  <c r="CL21" i="4"/>
  <c r="CK21" i="4"/>
  <c r="CJ21" i="4"/>
  <c r="CI21" i="4"/>
  <c r="CH21" i="4"/>
  <c r="CG21" i="4"/>
  <c r="CF21" i="4"/>
  <c r="CE21" i="4"/>
  <c r="CD21" i="4"/>
  <c r="CC21" i="4"/>
  <c r="CB21" i="4"/>
  <c r="CA21" i="4"/>
  <c r="BZ21" i="4"/>
  <c r="BY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F133" i="9" s="1"/>
  <c r="R21" i="4"/>
  <c r="E133" i="9" s="1"/>
  <c r="Q21" i="4"/>
  <c r="D133" i="9" s="1"/>
  <c r="EE20" i="4"/>
  <c r="ED20" i="4"/>
  <c r="EC20" i="4"/>
  <c r="EB20" i="4"/>
  <c r="EA20" i="4"/>
  <c r="DZ20" i="4"/>
  <c r="DY20" i="4"/>
  <c r="DX20" i="4"/>
  <c r="DW20" i="4"/>
  <c r="DV20" i="4"/>
  <c r="DU20" i="4"/>
  <c r="DT20" i="4"/>
  <c r="DS20" i="4"/>
  <c r="DR20" i="4"/>
  <c r="DQ20" i="4"/>
  <c r="DP20" i="4"/>
  <c r="DO20" i="4"/>
  <c r="DN20" i="4"/>
  <c r="DM20" i="4"/>
  <c r="DL20" i="4"/>
  <c r="DK20" i="4"/>
  <c r="DJ20" i="4"/>
  <c r="DI20" i="4"/>
  <c r="DH20" i="4"/>
  <c r="DG20" i="4"/>
  <c r="DF20" i="4"/>
  <c r="DE20" i="4"/>
  <c r="DD20" i="4"/>
  <c r="DC20" i="4"/>
  <c r="DB20" i="4"/>
  <c r="DA20" i="4"/>
  <c r="CZ20" i="4"/>
  <c r="CY20" i="4"/>
  <c r="CX20" i="4"/>
  <c r="CW20" i="4"/>
  <c r="CV20" i="4"/>
  <c r="CU20" i="4"/>
  <c r="CT20" i="4"/>
  <c r="CS20" i="4"/>
  <c r="CR20" i="4"/>
  <c r="CQ20" i="4"/>
  <c r="CP20" i="4"/>
  <c r="CO20" i="4"/>
  <c r="CN20" i="4"/>
  <c r="CM20" i="4"/>
  <c r="CL20" i="4"/>
  <c r="CK20" i="4"/>
  <c r="CJ20" i="4"/>
  <c r="CI20" i="4"/>
  <c r="CH20" i="4"/>
  <c r="CG20" i="4"/>
  <c r="CF20" i="4"/>
  <c r="CE20" i="4"/>
  <c r="CD20" i="4"/>
  <c r="CC20" i="4"/>
  <c r="CB20" i="4"/>
  <c r="CA20" i="4"/>
  <c r="BZ20" i="4"/>
  <c r="BY20" i="4"/>
  <c r="BX20" i="4"/>
  <c r="BW20" i="4"/>
  <c r="BV20" i="4"/>
  <c r="BU20" i="4"/>
  <c r="BT20" i="4"/>
  <c r="BS20" i="4"/>
  <c r="BR20" i="4"/>
  <c r="BQ20" i="4"/>
  <c r="BP20" i="4"/>
  <c r="BO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F132" i="9" s="1"/>
  <c r="R20" i="4"/>
  <c r="E132" i="9" s="1"/>
  <c r="Q20" i="4"/>
  <c r="D132" i="9" s="1"/>
  <c r="EE19" i="4"/>
  <c r="ED19" i="4"/>
  <c r="EC19" i="4"/>
  <c r="EB19" i="4"/>
  <c r="EA19" i="4"/>
  <c r="DZ19" i="4"/>
  <c r="DY19" i="4"/>
  <c r="DX19" i="4"/>
  <c r="DW19" i="4"/>
  <c r="DV19" i="4"/>
  <c r="DU19" i="4"/>
  <c r="DT19" i="4"/>
  <c r="DS19" i="4"/>
  <c r="DR19" i="4"/>
  <c r="DQ19" i="4"/>
  <c r="DP19" i="4"/>
  <c r="DO19" i="4"/>
  <c r="DN19" i="4"/>
  <c r="DM19" i="4"/>
  <c r="DL19" i="4"/>
  <c r="DK19" i="4"/>
  <c r="DJ19" i="4"/>
  <c r="DI19" i="4"/>
  <c r="DH19" i="4"/>
  <c r="DG19" i="4"/>
  <c r="DF19" i="4"/>
  <c r="DE19" i="4"/>
  <c r="DD19" i="4"/>
  <c r="DC19" i="4"/>
  <c r="DB19" i="4"/>
  <c r="DA19" i="4"/>
  <c r="CZ19" i="4"/>
  <c r="CY19" i="4"/>
  <c r="CX19" i="4"/>
  <c r="CW19" i="4"/>
  <c r="CV19" i="4"/>
  <c r="CU19" i="4"/>
  <c r="CT19" i="4"/>
  <c r="CS19" i="4"/>
  <c r="CR19" i="4"/>
  <c r="CQ19" i="4"/>
  <c r="CP19" i="4"/>
  <c r="CO19" i="4"/>
  <c r="CN19" i="4"/>
  <c r="CM19" i="4"/>
  <c r="CL19" i="4"/>
  <c r="CK19" i="4"/>
  <c r="CJ19" i="4"/>
  <c r="CI19" i="4"/>
  <c r="CH19" i="4"/>
  <c r="CG19" i="4"/>
  <c r="CF19" i="4"/>
  <c r="CE19" i="4"/>
  <c r="CD19" i="4"/>
  <c r="CC19" i="4"/>
  <c r="CB19" i="4"/>
  <c r="CA19" i="4"/>
  <c r="BZ19" i="4"/>
  <c r="BY19" i="4"/>
  <c r="BX19" i="4"/>
  <c r="BW19" i="4"/>
  <c r="BV19" i="4"/>
  <c r="BU19" i="4"/>
  <c r="BT19" i="4"/>
  <c r="BS19" i="4"/>
  <c r="BR19" i="4"/>
  <c r="BQ19" i="4"/>
  <c r="BP19" i="4"/>
  <c r="BO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F131" i="9" s="1"/>
  <c r="R19" i="4"/>
  <c r="E131" i="9" s="1"/>
  <c r="Q19" i="4"/>
  <c r="D131" i="9" s="1"/>
  <c r="EE18" i="4"/>
  <c r="ED18" i="4"/>
  <c r="EC18" i="4"/>
  <c r="EB18" i="4"/>
  <c r="EA18" i="4"/>
  <c r="DZ18" i="4"/>
  <c r="DY18" i="4"/>
  <c r="DX18" i="4"/>
  <c r="DW18" i="4"/>
  <c r="DV18" i="4"/>
  <c r="DU18" i="4"/>
  <c r="DT18" i="4"/>
  <c r="DS18" i="4"/>
  <c r="DR18" i="4"/>
  <c r="DQ18" i="4"/>
  <c r="DP18" i="4"/>
  <c r="DO18" i="4"/>
  <c r="DN18" i="4"/>
  <c r="DM18" i="4"/>
  <c r="DL18" i="4"/>
  <c r="DK18" i="4"/>
  <c r="DJ18" i="4"/>
  <c r="DI18" i="4"/>
  <c r="DH18" i="4"/>
  <c r="DG18" i="4"/>
  <c r="DF18" i="4"/>
  <c r="DE18" i="4"/>
  <c r="DD18" i="4"/>
  <c r="DC18" i="4"/>
  <c r="DB18" i="4"/>
  <c r="DA18" i="4"/>
  <c r="CZ18" i="4"/>
  <c r="CY18" i="4"/>
  <c r="CX18" i="4"/>
  <c r="CW18" i="4"/>
  <c r="CV18" i="4"/>
  <c r="CU18" i="4"/>
  <c r="CT18" i="4"/>
  <c r="CS18" i="4"/>
  <c r="CR18" i="4"/>
  <c r="CQ18" i="4"/>
  <c r="CP18" i="4"/>
  <c r="CO18" i="4"/>
  <c r="CN18" i="4"/>
  <c r="CM18" i="4"/>
  <c r="CL18" i="4"/>
  <c r="CK18" i="4"/>
  <c r="CJ18" i="4"/>
  <c r="CI18" i="4"/>
  <c r="CH18" i="4"/>
  <c r="CG18" i="4"/>
  <c r="CF18" i="4"/>
  <c r="CE18" i="4"/>
  <c r="CD18" i="4"/>
  <c r="CC18" i="4"/>
  <c r="CB18" i="4"/>
  <c r="CA18" i="4"/>
  <c r="BZ18" i="4"/>
  <c r="BY18" i="4"/>
  <c r="BX18" i="4"/>
  <c r="BW18" i="4"/>
  <c r="BV18" i="4"/>
  <c r="BU18" i="4"/>
  <c r="BT18" i="4"/>
  <c r="BS18" i="4"/>
  <c r="BR18" i="4"/>
  <c r="BQ18" i="4"/>
  <c r="BP18" i="4"/>
  <c r="BO18" i="4"/>
  <c r="BN18" i="4"/>
  <c r="BM18" i="4"/>
  <c r="BL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F130" i="9" s="1"/>
  <c r="R18" i="4"/>
  <c r="E130" i="9" s="1"/>
  <c r="Q18" i="4"/>
  <c r="D130" i="9" s="1"/>
  <c r="EE17" i="4"/>
  <c r="ED17" i="4"/>
  <c r="EC17" i="4"/>
  <c r="EB17" i="4"/>
  <c r="EA17" i="4"/>
  <c r="DZ17" i="4"/>
  <c r="DY17" i="4"/>
  <c r="DX17" i="4"/>
  <c r="DW17" i="4"/>
  <c r="DV17" i="4"/>
  <c r="DU17" i="4"/>
  <c r="DT17" i="4"/>
  <c r="DS17" i="4"/>
  <c r="DR17" i="4"/>
  <c r="DQ17" i="4"/>
  <c r="DP17" i="4"/>
  <c r="DO17" i="4"/>
  <c r="DN17" i="4"/>
  <c r="DM17" i="4"/>
  <c r="DL17" i="4"/>
  <c r="DK17" i="4"/>
  <c r="DJ17" i="4"/>
  <c r="DI17" i="4"/>
  <c r="DH17" i="4"/>
  <c r="DG17" i="4"/>
  <c r="DF17" i="4"/>
  <c r="DE17" i="4"/>
  <c r="DD17" i="4"/>
  <c r="DC17" i="4"/>
  <c r="DB17" i="4"/>
  <c r="DA17" i="4"/>
  <c r="CZ17" i="4"/>
  <c r="CY17" i="4"/>
  <c r="CX17" i="4"/>
  <c r="CW17" i="4"/>
  <c r="CV17" i="4"/>
  <c r="CU17" i="4"/>
  <c r="CT17" i="4"/>
  <c r="CS17" i="4"/>
  <c r="CR17" i="4"/>
  <c r="CQ17" i="4"/>
  <c r="CP17" i="4"/>
  <c r="CO17" i="4"/>
  <c r="CN17" i="4"/>
  <c r="CM17" i="4"/>
  <c r="CL17" i="4"/>
  <c r="CK17" i="4"/>
  <c r="CJ17" i="4"/>
  <c r="CI17" i="4"/>
  <c r="CH17" i="4"/>
  <c r="CG17" i="4"/>
  <c r="CF17" i="4"/>
  <c r="CE17" i="4"/>
  <c r="CD17" i="4"/>
  <c r="CC17" i="4"/>
  <c r="CB17" i="4"/>
  <c r="CA17" i="4"/>
  <c r="BZ17" i="4"/>
  <c r="BY17" i="4"/>
  <c r="BX17" i="4"/>
  <c r="BW17" i="4"/>
  <c r="BV17" i="4"/>
  <c r="BU17" i="4"/>
  <c r="BT17" i="4"/>
  <c r="BS17" i="4"/>
  <c r="BR17" i="4"/>
  <c r="BQ17" i="4"/>
  <c r="BP17" i="4"/>
  <c r="BO17" i="4"/>
  <c r="BN17" i="4"/>
  <c r="BM17" i="4"/>
  <c r="BL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F129" i="9" s="1"/>
  <c r="R17" i="4"/>
  <c r="E129" i="9" s="1"/>
  <c r="Q17" i="4"/>
  <c r="D129" i="9" s="1"/>
  <c r="EE16" i="4"/>
  <c r="ED16" i="4"/>
  <c r="EC16" i="4"/>
  <c r="EB16" i="4"/>
  <c r="EA16" i="4"/>
  <c r="DZ16" i="4"/>
  <c r="DY16" i="4"/>
  <c r="DX16" i="4"/>
  <c r="DW16" i="4"/>
  <c r="DV16" i="4"/>
  <c r="DU16" i="4"/>
  <c r="DT16" i="4"/>
  <c r="DS16" i="4"/>
  <c r="DR16" i="4"/>
  <c r="DQ16" i="4"/>
  <c r="DP16" i="4"/>
  <c r="DO16" i="4"/>
  <c r="DN16" i="4"/>
  <c r="DM16" i="4"/>
  <c r="DL16" i="4"/>
  <c r="DK16" i="4"/>
  <c r="DJ16" i="4"/>
  <c r="DI16" i="4"/>
  <c r="DH16" i="4"/>
  <c r="DG16" i="4"/>
  <c r="DF16" i="4"/>
  <c r="DE16" i="4"/>
  <c r="DD16" i="4"/>
  <c r="DC16" i="4"/>
  <c r="DB16" i="4"/>
  <c r="DA16" i="4"/>
  <c r="CZ16" i="4"/>
  <c r="CY16" i="4"/>
  <c r="CX16" i="4"/>
  <c r="CW16" i="4"/>
  <c r="CV16" i="4"/>
  <c r="CU16" i="4"/>
  <c r="CT16" i="4"/>
  <c r="CS16" i="4"/>
  <c r="CR16" i="4"/>
  <c r="CQ16" i="4"/>
  <c r="CP16" i="4"/>
  <c r="CO16" i="4"/>
  <c r="CN16" i="4"/>
  <c r="CM16" i="4"/>
  <c r="CL16" i="4"/>
  <c r="CK16" i="4"/>
  <c r="CJ16" i="4"/>
  <c r="CI16" i="4"/>
  <c r="CH16" i="4"/>
  <c r="CG16" i="4"/>
  <c r="CF16" i="4"/>
  <c r="CE16" i="4"/>
  <c r="CD16" i="4"/>
  <c r="CC16" i="4"/>
  <c r="CB16" i="4"/>
  <c r="CA16" i="4"/>
  <c r="BZ16" i="4"/>
  <c r="BY16" i="4"/>
  <c r="BX16" i="4"/>
  <c r="BW16" i="4"/>
  <c r="BV16" i="4"/>
  <c r="BU16" i="4"/>
  <c r="BT16" i="4"/>
  <c r="BS16" i="4"/>
  <c r="BR16" i="4"/>
  <c r="BQ16" i="4"/>
  <c r="BP16" i="4"/>
  <c r="BO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F128" i="9" s="1"/>
  <c r="R16" i="4"/>
  <c r="E128" i="9" s="1"/>
  <c r="Q16" i="4"/>
  <c r="D128" i="9" s="1"/>
  <c r="EE15" i="4"/>
  <c r="ED15" i="4"/>
  <c r="EC15" i="4"/>
  <c r="EB15" i="4"/>
  <c r="EA15" i="4"/>
  <c r="DZ15" i="4"/>
  <c r="DY15" i="4"/>
  <c r="DX15" i="4"/>
  <c r="DW15" i="4"/>
  <c r="DV15" i="4"/>
  <c r="DU15" i="4"/>
  <c r="DT15" i="4"/>
  <c r="DS15" i="4"/>
  <c r="DR15" i="4"/>
  <c r="DQ15" i="4"/>
  <c r="DP15" i="4"/>
  <c r="DO15" i="4"/>
  <c r="DN15" i="4"/>
  <c r="DM15" i="4"/>
  <c r="DL15" i="4"/>
  <c r="DK15" i="4"/>
  <c r="DJ15" i="4"/>
  <c r="DI15" i="4"/>
  <c r="DH15" i="4"/>
  <c r="DG15" i="4"/>
  <c r="DF15" i="4"/>
  <c r="DE15" i="4"/>
  <c r="DD15" i="4"/>
  <c r="DC15" i="4"/>
  <c r="DB15" i="4"/>
  <c r="DA15" i="4"/>
  <c r="CZ15" i="4"/>
  <c r="CY15" i="4"/>
  <c r="CX15" i="4"/>
  <c r="CW15" i="4"/>
  <c r="CV15" i="4"/>
  <c r="CU15" i="4"/>
  <c r="CT15" i="4"/>
  <c r="CS15" i="4"/>
  <c r="CR15" i="4"/>
  <c r="CQ15" i="4"/>
  <c r="CP15" i="4"/>
  <c r="CO15" i="4"/>
  <c r="CN15" i="4"/>
  <c r="CM15" i="4"/>
  <c r="CL15" i="4"/>
  <c r="CK15" i="4"/>
  <c r="CJ15" i="4"/>
  <c r="CI15" i="4"/>
  <c r="CH15" i="4"/>
  <c r="CG15" i="4"/>
  <c r="CF15" i="4"/>
  <c r="CE15" i="4"/>
  <c r="CD15" i="4"/>
  <c r="CC15" i="4"/>
  <c r="CB15" i="4"/>
  <c r="CA15" i="4"/>
  <c r="BZ15" i="4"/>
  <c r="BY15" i="4"/>
  <c r="BX15" i="4"/>
  <c r="BW15"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F127" i="9" s="1"/>
  <c r="R15" i="4"/>
  <c r="E127" i="9" s="1"/>
  <c r="Q15" i="4"/>
  <c r="D127" i="9" s="1"/>
  <c r="EE14" i="4"/>
  <c r="ED14" i="4"/>
  <c r="EC14" i="4"/>
  <c r="EB14" i="4"/>
  <c r="EA14" i="4"/>
  <c r="DZ14" i="4"/>
  <c r="DY14" i="4"/>
  <c r="DX14" i="4"/>
  <c r="DW14" i="4"/>
  <c r="DV14" i="4"/>
  <c r="DU14" i="4"/>
  <c r="DT14" i="4"/>
  <c r="DS14" i="4"/>
  <c r="DR14" i="4"/>
  <c r="DQ14" i="4"/>
  <c r="DP14" i="4"/>
  <c r="DO14" i="4"/>
  <c r="DN14" i="4"/>
  <c r="DM14" i="4"/>
  <c r="DL14" i="4"/>
  <c r="DK14" i="4"/>
  <c r="DJ14" i="4"/>
  <c r="DI14" i="4"/>
  <c r="DH14" i="4"/>
  <c r="DG14" i="4"/>
  <c r="DF14" i="4"/>
  <c r="DE14" i="4"/>
  <c r="DD14" i="4"/>
  <c r="DC14" i="4"/>
  <c r="DB14" i="4"/>
  <c r="DA14" i="4"/>
  <c r="CZ14" i="4"/>
  <c r="CY14" i="4"/>
  <c r="CX14" i="4"/>
  <c r="CW14" i="4"/>
  <c r="CV14" i="4"/>
  <c r="CU14" i="4"/>
  <c r="CT14" i="4"/>
  <c r="CS14" i="4"/>
  <c r="CR14" i="4"/>
  <c r="CQ14" i="4"/>
  <c r="CP14" i="4"/>
  <c r="CO14" i="4"/>
  <c r="CN14" i="4"/>
  <c r="CM14" i="4"/>
  <c r="CL14" i="4"/>
  <c r="CK14" i="4"/>
  <c r="CJ14" i="4"/>
  <c r="CI14" i="4"/>
  <c r="CH14" i="4"/>
  <c r="CG14" i="4"/>
  <c r="CF14" i="4"/>
  <c r="CE14" i="4"/>
  <c r="CD14" i="4"/>
  <c r="CC14" i="4"/>
  <c r="CB14" i="4"/>
  <c r="CA14" i="4"/>
  <c r="BZ14" i="4"/>
  <c r="BY14" i="4"/>
  <c r="BX14" i="4"/>
  <c r="BW14" i="4"/>
  <c r="BV14" i="4"/>
  <c r="BU14" i="4"/>
  <c r="BT14" i="4"/>
  <c r="BS14" i="4"/>
  <c r="BR14" i="4"/>
  <c r="BQ14" i="4"/>
  <c r="BP14" i="4"/>
  <c r="BO14" i="4"/>
  <c r="BN14" i="4"/>
  <c r="BM14" i="4"/>
  <c r="BL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F126" i="9" s="1"/>
  <c r="R14" i="4"/>
  <c r="E126" i="9" s="1"/>
  <c r="Q14" i="4"/>
  <c r="D126" i="9" s="1"/>
  <c r="EE13" i="4"/>
  <c r="ED13" i="4"/>
  <c r="EC13" i="4"/>
  <c r="EB13" i="4"/>
  <c r="EA13" i="4"/>
  <c r="DZ13" i="4"/>
  <c r="DY13" i="4"/>
  <c r="DX13" i="4"/>
  <c r="DW13" i="4"/>
  <c r="DV13" i="4"/>
  <c r="DU13" i="4"/>
  <c r="DT13" i="4"/>
  <c r="DS13" i="4"/>
  <c r="DR13" i="4"/>
  <c r="DQ13" i="4"/>
  <c r="DP13" i="4"/>
  <c r="DO13" i="4"/>
  <c r="DN13" i="4"/>
  <c r="DM13" i="4"/>
  <c r="DL13" i="4"/>
  <c r="DK13" i="4"/>
  <c r="DJ13" i="4"/>
  <c r="DI13" i="4"/>
  <c r="DH13" i="4"/>
  <c r="DG13" i="4"/>
  <c r="DF13" i="4"/>
  <c r="DE13" i="4"/>
  <c r="DD13" i="4"/>
  <c r="DC13" i="4"/>
  <c r="DB13" i="4"/>
  <c r="DA13" i="4"/>
  <c r="CZ13" i="4"/>
  <c r="CY13" i="4"/>
  <c r="CX13" i="4"/>
  <c r="CW13" i="4"/>
  <c r="CV13" i="4"/>
  <c r="CU13" i="4"/>
  <c r="CT13" i="4"/>
  <c r="CS13" i="4"/>
  <c r="CR13" i="4"/>
  <c r="CQ13" i="4"/>
  <c r="CP13" i="4"/>
  <c r="CO13" i="4"/>
  <c r="CN13" i="4"/>
  <c r="CM13" i="4"/>
  <c r="CL13" i="4"/>
  <c r="CK13" i="4"/>
  <c r="CJ13" i="4"/>
  <c r="CI13" i="4"/>
  <c r="CH13" i="4"/>
  <c r="CG13" i="4"/>
  <c r="CF13" i="4"/>
  <c r="CE13" i="4"/>
  <c r="CD13" i="4"/>
  <c r="CC13" i="4"/>
  <c r="CB13" i="4"/>
  <c r="CA13" i="4"/>
  <c r="BZ13" i="4"/>
  <c r="BY13" i="4"/>
  <c r="BX13" i="4"/>
  <c r="BW13" i="4"/>
  <c r="BV13" i="4"/>
  <c r="BU13" i="4"/>
  <c r="BT13" i="4"/>
  <c r="BS13" i="4"/>
  <c r="BR13" i="4"/>
  <c r="BQ13" i="4"/>
  <c r="BP13" i="4"/>
  <c r="BO13" i="4"/>
  <c r="BN13" i="4"/>
  <c r="BM13" i="4"/>
  <c r="BL13" i="4"/>
  <c r="BK13" i="4"/>
  <c r="BJ13" i="4"/>
  <c r="BI13" i="4"/>
  <c r="BH13" i="4"/>
  <c r="BG13" i="4"/>
  <c r="BF13" i="4"/>
  <c r="BE13" i="4"/>
  <c r="BD13" i="4"/>
  <c r="BC13" i="4"/>
  <c r="BB13" i="4"/>
  <c r="BA13" i="4"/>
  <c r="AZ13" i="4"/>
  <c r="AY13" i="4"/>
  <c r="AX13" i="4"/>
  <c r="AW13" i="4"/>
  <c r="AV13" i="4"/>
  <c r="AU13" i="4"/>
  <c r="AT13" i="4"/>
  <c r="AS13" i="4"/>
  <c r="AR13" i="4"/>
  <c r="AQ13" i="4"/>
  <c r="AP13" i="4"/>
  <c r="AO13" i="4"/>
  <c r="AN13" i="4"/>
  <c r="AM13" i="4"/>
  <c r="AL13" i="4"/>
  <c r="AK13" i="4"/>
  <c r="AJ13" i="4"/>
  <c r="AI13" i="4"/>
  <c r="AH13" i="4"/>
  <c r="AG13" i="4"/>
  <c r="AF13" i="4"/>
  <c r="AE13" i="4"/>
  <c r="AD13" i="4"/>
  <c r="AC13" i="4"/>
  <c r="AB13" i="4"/>
  <c r="AA13" i="4"/>
  <c r="Z13" i="4"/>
  <c r="Y13" i="4"/>
  <c r="X13" i="4"/>
  <c r="W13" i="4"/>
  <c r="V13" i="4"/>
  <c r="U13" i="4"/>
  <c r="T13" i="4"/>
  <c r="S13" i="4"/>
  <c r="F125" i="9" s="1"/>
  <c r="R13" i="4"/>
  <c r="E125" i="9" s="1"/>
  <c r="Q13" i="4"/>
  <c r="D125" i="9" s="1"/>
  <c r="EE12" i="4"/>
  <c r="ED12" i="4"/>
  <c r="EC12" i="4"/>
  <c r="EB12" i="4"/>
  <c r="EA12" i="4"/>
  <c r="DZ12" i="4"/>
  <c r="DY12" i="4"/>
  <c r="DX12" i="4"/>
  <c r="DW12" i="4"/>
  <c r="DV12" i="4"/>
  <c r="DU12" i="4"/>
  <c r="DT12" i="4"/>
  <c r="DS12" i="4"/>
  <c r="DR12" i="4"/>
  <c r="DQ12" i="4"/>
  <c r="DP12" i="4"/>
  <c r="DO12" i="4"/>
  <c r="DN12" i="4"/>
  <c r="DM12" i="4"/>
  <c r="DL12" i="4"/>
  <c r="DK12" i="4"/>
  <c r="DJ12" i="4"/>
  <c r="DI12" i="4"/>
  <c r="DH12" i="4"/>
  <c r="DG12" i="4"/>
  <c r="DF12" i="4"/>
  <c r="DE12" i="4"/>
  <c r="DD12" i="4"/>
  <c r="DC12" i="4"/>
  <c r="DB12" i="4"/>
  <c r="DA12" i="4"/>
  <c r="CZ12" i="4"/>
  <c r="CY12" i="4"/>
  <c r="CX12" i="4"/>
  <c r="CW12" i="4"/>
  <c r="CV12" i="4"/>
  <c r="CU12" i="4"/>
  <c r="CT12" i="4"/>
  <c r="CS12" i="4"/>
  <c r="CR12" i="4"/>
  <c r="CQ12" i="4"/>
  <c r="CP12" i="4"/>
  <c r="CO12" i="4"/>
  <c r="CN12" i="4"/>
  <c r="CM12" i="4"/>
  <c r="CL12" i="4"/>
  <c r="CK12" i="4"/>
  <c r="CJ12" i="4"/>
  <c r="CI12" i="4"/>
  <c r="CH12" i="4"/>
  <c r="CG12" i="4"/>
  <c r="CF12" i="4"/>
  <c r="CE12" i="4"/>
  <c r="CD12" i="4"/>
  <c r="CC12" i="4"/>
  <c r="CB12" i="4"/>
  <c r="CA12" i="4"/>
  <c r="BZ12" i="4"/>
  <c r="BY12" i="4"/>
  <c r="BX12" i="4"/>
  <c r="BW12" i="4"/>
  <c r="BV12" i="4"/>
  <c r="BU12" i="4"/>
  <c r="BT12" i="4"/>
  <c r="BS12" i="4"/>
  <c r="BR12" i="4"/>
  <c r="BQ12" i="4"/>
  <c r="BP12" i="4"/>
  <c r="BO12" i="4"/>
  <c r="BN12" i="4"/>
  <c r="BM12" i="4"/>
  <c r="BL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F124" i="9" s="1"/>
  <c r="R12" i="4"/>
  <c r="E124" i="9" s="1"/>
  <c r="Q12" i="4"/>
  <c r="D124" i="9" s="1"/>
  <c r="EE11" i="4"/>
  <c r="ED11" i="4"/>
  <c r="EC11" i="4"/>
  <c r="EB11" i="4"/>
  <c r="EA11" i="4"/>
  <c r="DZ11" i="4"/>
  <c r="DY11" i="4"/>
  <c r="DX11" i="4"/>
  <c r="DW11" i="4"/>
  <c r="DV11" i="4"/>
  <c r="DU11" i="4"/>
  <c r="DT11" i="4"/>
  <c r="DS11" i="4"/>
  <c r="DR11" i="4"/>
  <c r="DQ11" i="4"/>
  <c r="DP11" i="4"/>
  <c r="DO11" i="4"/>
  <c r="DN11" i="4"/>
  <c r="DM11" i="4"/>
  <c r="DL11" i="4"/>
  <c r="DK11" i="4"/>
  <c r="DJ11" i="4"/>
  <c r="DI11" i="4"/>
  <c r="DH11" i="4"/>
  <c r="DG11" i="4"/>
  <c r="DF11" i="4"/>
  <c r="DE11" i="4"/>
  <c r="DD11" i="4"/>
  <c r="DC11" i="4"/>
  <c r="DB11" i="4"/>
  <c r="DA11" i="4"/>
  <c r="CZ11" i="4"/>
  <c r="CY11" i="4"/>
  <c r="CX11" i="4"/>
  <c r="CW11" i="4"/>
  <c r="CV11" i="4"/>
  <c r="CU11" i="4"/>
  <c r="CT11" i="4"/>
  <c r="CS11" i="4"/>
  <c r="CR11" i="4"/>
  <c r="CQ11" i="4"/>
  <c r="CP11" i="4"/>
  <c r="CO11" i="4"/>
  <c r="CN11" i="4"/>
  <c r="CM11" i="4"/>
  <c r="CL11" i="4"/>
  <c r="CK11" i="4"/>
  <c r="CJ11" i="4"/>
  <c r="CI11" i="4"/>
  <c r="CH11" i="4"/>
  <c r="CG11" i="4"/>
  <c r="CF11" i="4"/>
  <c r="CE11" i="4"/>
  <c r="CD11" i="4"/>
  <c r="CC11" i="4"/>
  <c r="CB11" i="4"/>
  <c r="CA11" i="4"/>
  <c r="BZ11" i="4"/>
  <c r="BY11" i="4"/>
  <c r="BX11" i="4"/>
  <c r="BW11" i="4"/>
  <c r="BV11" i="4"/>
  <c r="BU11" i="4"/>
  <c r="BT11" i="4"/>
  <c r="BS11" i="4"/>
  <c r="BR11" i="4"/>
  <c r="BQ11" i="4"/>
  <c r="BP11" i="4"/>
  <c r="BO11" i="4"/>
  <c r="BN11" i="4"/>
  <c r="BM11" i="4"/>
  <c r="BL11" i="4"/>
  <c r="BK11" i="4"/>
  <c r="BJ11" i="4"/>
  <c r="BI11" i="4"/>
  <c r="BH11" i="4"/>
  <c r="BG11" i="4"/>
  <c r="BF11" i="4"/>
  <c r="BE11" i="4"/>
  <c r="BD11" i="4"/>
  <c r="BC11" i="4"/>
  <c r="BB11" i="4"/>
  <c r="BA11" i="4"/>
  <c r="AZ11" i="4"/>
  <c r="AY11" i="4"/>
  <c r="AX11"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F123" i="9" s="1"/>
  <c r="R11" i="4"/>
  <c r="E123" i="9" s="1"/>
  <c r="Q11" i="4"/>
  <c r="D123" i="9" s="1"/>
  <c r="EE10" i="4"/>
  <c r="ED10" i="4"/>
  <c r="EC10" i="4"/>
  <c r="EB10" i="4"/>
  <c r="EA10" i="4"/>
  <c r="DZ10" i="4"/>
  <c r="DY10" i="4"/>
  <c r="DX10" i="4"/>
  <c r="DW10" i="4"/>
  <c r="DV10" i="4"/>
  <c r="DU10" i="4"/>
  <c r="DT10" i="4"/>
  <c r="DS10" i="4"/>
  <c r="DR10" i="4"/>
  <c r="DQ10" i="4"/>
  <c r="DP10" i="4"/>
  <c r="DO10" i="4"/>
  <c r="DN10" i="4"/>
  <c r="DM10" i="4"/>
  <c r="DL10" i="4"/>
  <c r="DK10" i="4"/>
  <c r="DJ10" i="4"/>
  <c r="DI10" i="4"/>
  <c r="DH10" i="4"/>
  <c r="DG10" i="4"/>
  <c r="DF10" i="4"/>
  <c r="DE10" i="4"/>
  <c r="DD10" i="4"/>
  <c r="DC10" i="4"/>
  <c r="DB10" i="4"/>
  <c r="DA10" i="4"/>
  <c r="CZ10" i="4"/>
  <c r="CY10" i="4"/>
  <c r="CX10" i="4"/>
  <c r="CW10" i="4"/>
  <c r="CV10" i="4"/>
  <c r="CU10" i="4"/>
  <c r="CT10" i="4"/>
  <c r="CS10" i="4"/>
  <c r="CR10" i="4"/>
  <c r="CQ10" i="4"/>
  <c r="CP10" i="4"/>
  <c r="CO10" i="4"/>
  <c r="CN10" i="4"/>
  <c r="CM10" i="4"/>
  <c r="CL10" i="4"/>
  <c r="CK10" i="4"/>
  <c r="CJ10" i="4"/>
  <c r="CI10" i="4"/>
  <c r="CH10" i="4"/>
  <c r="CG10" i="4"/>
  <c r="CF10" i="4"/>
  <c r="CE10" i="4"/>
  <c r="CD10" i="4"/>
  <c r="CC10" i="4"/>
  <c r="CB10" i="4"/>
  <c r="CA10" i="4"/>
  <c r="BZ10" i="4"/>
  <c r="BY10" i="4"/>
  <c r="BX10" i="4"/>
  <c r="BW10" i="4"/>
  <c r="BV10" i="4"/>
  <c r="BU10" i="4"/>
  <c r="BT10" i="4"/>
  <c r="BS10" i="4"/>
  <c r="BR10" i="4"/>
  <c r="BQ10" i="4"/>
  <c r="BP10" i="4"/>
  <c r="BO10" i="4"/>
  <c r="BN10" i="4"/>
  <c r="BM10" i="4"/>
  <c r="BL10"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K10" i="4"/>
  <c r="AJ10" i="4"/>
  <c r="AI10" i="4"/>
  <c r="AH10" i="4"/>
  <c r="AG10" i="4"/>
  <c r="AF10" i="4"/>
  <c r="AE10" i="4"/>
  <c r="AD10" i="4"/>
  <c r="AC10" i="4"/>
  <c r="AB10" i="4"/>
  <c r="AA10" i="4"/>
  <c r="Z10" i="4"/>
  <c r="Y10" i="4"/>
  <c r="X10" i="4"/>
  <c r="W10" i="4"/>
  <c r="V10" i="4"/>
  <c r="U10" i="4"/>
  <c r="T10" i="4"/>
  <c r="S10" i="4"/>
  <c r="F122" i="9" s="1"/>
  <c r="R10" i="4"/>
  <c r="E122" i="9" s="1"/>
  <c r="Q10" i="4"/>
  <c r="D122" i="9" s="1"/>
  <c r="EE9" i="4"/>
  <c r="ED9" i="4"/>
  <c r="EC9" i="4"/>
  <c r="EB9" i="4"/>
  <c r="EA9" i="4"/>
  <c r="DZ9" i="4"/>
  <c r="DY9" i="4"/>
  <c r="DX9" i="4"/>
  <c r="DW9" i="4"/>
  <c r="DV9" i="4"/>
  <c r="DU9" i="4"/>
  <c r="DT9" i="4"/>
  <c r="DS9" i="4"/>
  <c r="DR9" i="4"/>
  <c r="DQ9" i="4"/>
  <c r="DP9" i="4"/>
  <c r="DO9" i="4"/>
  <c r="DN9" i="4"/>
  <c r="DM9" i="4"/>
  <c r="DL9" i="4"/>
  <c r="DK9" i="4"/>
  <c r="DJ9" i="4"/>
  <c r="DI9" i="4"/>
  <c r="DH9" i="4"/>
  <c r="DG9" i="4"/>
  <c r="DF9" i="4"/>
  <c r="DE9" i="4"/>
  <c r="DD9" i="4"/>
  <c r="DC9" i="4"/>
  <c r="DB9" i="4"/>
  <c r="DA9" i="4"/>
  <c r="CZ9" i="4"/>
  <c r="CY9" i="4"/>
  <c r="CX9" i="4"/>
  <c r="CW9" i="4"/>
  <c r="CV9" i="4"/>
  <c r="CU9" i="4"/>
  <c r="CT9" i="4"/>
  <c r="CS9" i="4"/>
  <c r="CR9" i="4"/>
  <c r="CQ9" i="4"/>
  <c r="CP9" i="4"/>
  <c r="CO9" i="4"/>
  <c r="CN9" i="4"/>
  <c r="CM9" i="4"/>
  <c r="CL9" i="4"/>
  <c r="CK9" i="4"/>
  <c r="CJ9" i="4"/>
  <c r="CI9" i="4"/>
  <c r="CH9" i="4"/>
  <c r="CG9" i="4"/>
  <c r="CF9" i="4"/>
  <c r="CE9" i="4"/>
  <c r="CD9" i="4"/>
  <c r="CC9" i="4"/>
  <c r="CB9" i="4"/>
  <c r="CA9" i="4"/>
  <c r="BZ9" i="4"/>
  <c r="BY9" i="4"/>
  <c r="BX9" i="4"/>
  <c r="BW9" i="4"/>
  <c r="BV9" i="4"/>
  <c r="BU9" i="4"/>
  <c r="BT9" i="4"/>
  <c r="BS9" i="4"/>
  <c r="BR9" i="4"/>
  <c r="BQ9" i="4"/>
  <c r="BP9" i="4"/>
  <c r="BO9" i="4"/>
  <c r="BN9" i="4"/>
  <c r="BM9" i="4"/>
  <c r="BL9" i="4"/>
  <c r="BK9" i="4"/>
  <c r="BJ9" i="4"/>
  <c r="BI9" i="4"/>
  <c r="BH9" i="4"/>
  <c r="BG9" i="4"/>
  <c r="BF9" i="4"/>
  <c r="BE9" i="4"/>
  <c r="BD9" i="4"/>
  <c r="BC9" i="4"/>
  <c r="BB9" i="4"/>
  <c r="BA9" i="4"/>
  <c r="AZ9" i="4"/>
  <c r="AY9" i="4"/>
  <c r="AX9"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F121" i="9" s="1"/>
  <c r="R9" i="4"/>
  <c r="E121" i="9" s="1"/>
  <c r="Q9" i="4"/>
  <c r="D121" i="9" s="1"/>
  <c r="EE8" i="4"/>
  <c r="ED8" i="4"/>
  <c r="EC8" i="4"/>
  <c r="EB8" i="4"/>
  <c r="EA8" i="4"/>
  <c r="DZ8" i="4"/>
  <c r="DY8" i="4"/>
  <c r="DX8" i="4"/>
  <c r="DW8" i="4"/>
  <c r="DV8" i="4"/>
  <c r="DU8" i="4"/>
  <c r="DT8" i="4"/>
  <c r="DS8" i="4"/>
  <c r="DR8" i="4"/>
  <c r="DQ8" i="4"/>
  <c r="DP8" i="4"/>
  <c r="DO8" i="4"/>
  <c r="DN8" i="4"/>
  <c r="DM8" i="4"/>
  <c r="DL8" i="4"/>
  <c r="DK8" i="4"/>
  <c r="DJ8" i="4"/>
  <c r="DI8" i="4"/>
  <c r="DH8" i="4"/>
  <c r="DG8" i="4"/>
  <c r="DF8" i="4"/>
  <c r="DE8" i="4"/>
  <c r="DD8" i="4"/>
  <c r="DC8" i="4"/>
  <c r="DB8" i="4"/>
  <c r="DA8" i="4"/>
  <c r="CZ8" i="4"/>
  <c r="CY8" i="4"/>
  <c r="CX8" i="4"/>
  <c r="CW8" i="4"/>
  <c r="CV8" i="4"/>
  <c r="CU8" i="4"/>
  <c r="CT8" i="4"/>
  <c r="CS8" i="4"/>
  <c r="CR8" i="4"/>
  <c r="CQ8" i="4"/>
  <c r="CP8" i="4"/>
  <c r="CO8" i="4"/>
  <c r="CN8" i="4"/>
  <c r="CM8" i="4"/>
  <c r="CL8" i="4"/>
  <c r="CK8" i="4"/>
  <c r="CJ8" i="4"/>
  <c r="CI8" i="4"/>
  <c r="CH8" i="4"/>
  <c r="CG8" i="4"/>
  <c r="CF8" i="4"/>
  <c r="CE8" i="4"/>
  <c r="CD8" i="4"/>
  <c r="CC8" i="4"/>
  <c r="CB8" i="4"/>
  <c r="CA8" i="4"/>
  <c r="BZ8" i="4"/>
  <c r="BY8" i="4"/>
  <c r="BX8" i="4"/>
  <c r="BW8" i="4"/>
  <c r="BV8" i="4"/>
  <c r="BU8" i="4"/>
  <c r="BT8" i="4"/>
  <c r="BS8" i="4"/>
  <c r="BR8" i="4"/>
  <c r="BQ8" i="4"/>
  <c r="BP8" i="4"/>
  <c r="BO8" i="4"/>
  <c r="BN8" i="4"/>
  <c r="BM8" i="4"/>
  <c r="BL8" i="4"/>
  <c r="BK8" i="4"/>
  <c r="BJ8" i="4"/>
  <c r="BI8" i="4"/>
  <c r="BH8" i="4"/>
  <c r="BG8" i="4"/>
  <c r="BF8" i="4"/>
  <c r="BE8" i="4"/>
  <c r="BD8" i="4"/>
  <c r="BC8" i="4"/>
  <c r="BB8" i="4"/>
  <c r="BA8" i="4"/>
  <c r="AZ8" i="4"/>
  <c r="AY8" i="4"/>
  <c r="AX8"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F120" i="9" s="1"/>
  <c r="R8" i="4"/>
  <c r="E120" i="9" s="1"/>
  <c r="Q8" i="4"/>
  <c r="D120" i="9" s="1"/>
  <c r="EE7" i="4"/>
  <c r="ED7" i="4"/>
  <c r="EC7" i="4"/>
  <c r="EB7" i="4"/>
  <c r="EA7" i="4"/>
  <c r="DZ7" i="4"/>
  <c r="DY7" i="4"/>
  <c r="DX7" i="4"/>
  <c r="DW7" i="4"/>
  <c r="DV7" i="4"/>
  <c r="DU7" i="4"/>
  <c r="DT7" i="4"/>
  <c r="DS7" i="4"/>
  <c r="DR7" i="4"/>
  <c r="DQ7" i="4"/>
  <c r="DP7" i="4"/>
  <c r="DO7" i="4"/>
  <c r="DN7" i="4"/>
  <c r="DM7" i="4"/>
  <c r="DL7" i="4"/>
  <c r="DK7" i="4"/>
  <c r="DJ7" i="4"/>
  <c r="DI7" i="4"/>
  <c r="DH7" i="4"/>
  <c r="DG7" i="4"/>
  <c r="DF7" i="4"/>
  <c r="DE7" i="4"/>
  <c r="DD7" i="4"/>
  <c r="DC7" i="4"/>
  <c r="DB7" i="4"/>
  <c r="DA7" i="4"/>
  <c r="CZ7" i="4"/>
  <c r="CY7" i="4"/>
  <c r="CX7" i="4"/>
  <c r="CW7" i="4"/>
  <c r="CV7" i="4"/>
  <c r="CU7" i="4"/>
  <c r="CT7" i="4"/>
  <c r="CS7" i="4"/>
  <c r="CR7" i="4"/>
  <c r="CQ7" i="4"/>
  <c r="CP7" i="4"/>
  <c r="CO7" i="4"/>
  <c r="CN7" i="4"/>
  <c r="CM7" i="4"/>
  <c r="CL7" i="4"/>
  <c r="CK7" i="4"/>
  <c r="CJ7" i="4"/>
  <c r="CI7" i="4"/>
  <c r="CH7" i="4"/>
  <c r="CG7" i="4"/>
  <c r="CF7" i="4"/>
  <c r="CE7" i="4"/>
  <c r="CD7" i="4"/>
  <c r="CC7" i="4"/>
  <c r="CB7" i="4"/>
  <c r="CA7" i="4"/>
  <c r="BZ7" i="4"/>
  <c r="BY7" i="4"/>
  <c r="BX7" i="4"/>
  <c r="BW7" i="4"/>
  <c r="BV7" i="4"/>
  <c r="BU7" i="4"/>
  <c r="BT7" i="4"/>
  <c r="BS7" i="4"/>
  <c r="BR7" i="4"/>
  <c r="BQ7" i="4"/>
  <c r="BP7" i="4"/>
  <c r="BO7" i="4"/>
  <c r="BN7" i="4"/>
  <c r="BM7" i="4"/>
  <c r="BL7" i="4"/>
  <c r="BK7" i="4"/>
  <c r="BJ7" i="4"/>
  <c r="BI7" i="4"/>
  <c r="BH7" i="4"/>
  <c r="BG7" i="4"/>
  <c r="BF7" i="4"/>
  <c r="BE7" i="4"/>
  <c r="BD7" i="4"/>
  <c r="BC7" i="4"/>
  <c r="BB7" i="4"/>
  <c r="BA7" i="4"/>
  <c r="AZ7" i="4"/>
  <c r="AY7" i="4"/>
  <c r="AX7"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F119" i="9" s="1"/>
  <c r="R7" i="4"/>
  <c r="E119" i="9" s="1"/>
  <c r="Q7" i="4"/>
  <c r="D119" i="9" s="1"/>
  <c r="EE6" i="4"/>
  <c r="ED6" i="4"/>
  <c r="EC6" i="4"/>
  <c r="EB6" i="4"/>
  <c r="EA6" i="4"/>
  <c r="DZ6" i="4"/>
  <c r="DY6" i="4"/>
  <c r="DX6" i="4"/>
  <c r="DW6" i="4"/>
  <c r="DV6" i="4"/>
  <c r="DU6" i="4"/>
  <c r="DT6" i="4"/>
  <c r="DS6" i="4"/>
  <c r="DR6" i="4"/>
  <c r="DQ6" i="4"/>
  <c r="DP6" i="4"/>
  <c r="DO6" i="4"/>
  <c r="DN6" i="4"/>
  <c r="DM6" i="4"/>
  <c r="DL6" i="4"/>
  <c r="DK6" i="4"/>
  <c r="DJ6" i="4"/>
  <c r="DI6" i="4"/>
  <c r="DH6" i="4"/>
  <c r="DG6" i="4"/>
  <c r="DF6" i="4"/>
  <c r="DE6" i="4"/>
  <c r="DD6" i="4"/>
  <c r="DC6" i="4"/>
  <c r="DB6" i="4"/>
  <c r="DA6" i="4"/>
  <c r="CZ6" i="4"/>
  <c r="CY6" i="4"/>
  <c r="CX6" i="4"/>
  <c r="CW6" i="4"/>
  <c r="CV6" i="4"/>
  <c r="CU6" i="4"/>
  <c r="CT6" i="4"/>
  <c r="CS6" i="4"/>
  <c r="CR6" i="4"/>
  <c r="CQ6" i="4"/>
  <c r="CP6" i="4"/>
  <c r="CO6" i="4"/>
  <c r="CN6" i="4"/>
  <c r="CM6" i="4"/>
  <c r="CL6" i="4"/>
  <c r="CK6" i="4"/>
  <c r="CJ6" i="4"/>
  <c r="CI6" i="4"/>
  <c r="CH6" i="4"/>
  <c r="CG6" i="4"/>
  <c r="CF6" i="4"/>
  <c r="CE6" i="4"/>
  <c r="CD6" i="4"/>
  <c r="CC6" i="4"/>
  <c r="CB6" i="4"/>
  <c r="CA6" i="4"/>
  <c r="BZ6" i="4"/>
  <c r="BY6" i="4"/>
  <c r="BX6" i="4"/>
  <c r="BW6" i="4"/>
  <c r="BV6" i="4"/>
  <c r="BU6" i="4"/>
  <c r="BT6" i="4"/>
  <c r="BS6" i="4"/>
  <c r="BR6" i="4"/>
  <c r="BQ6" i="4"/>
  <c r="BP6" i="4"/>
  <c r="BO6" i="4"/>
  <c r="BN6"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F118" i="9" s="1"/>
  <c r="R6" i="4"/>
  <c r="E118" i="9" s="1"/>
  <c r="Q6" i="4"/>
  <c r="D118" i="9" s="1"/>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F117" i="9" s="1"/>
  <c r="R5" i="4"/>
  <c r="E117" i="9" s="1"/>
  <c r="Q5" i="4"/>
  <c r="D117" i="9" s="1"/>
  <c r="EE4" i="4"/>
  <c r="ED4" i="4"/>
  <c r="EC4" i="4"/>
  <c r="EB4" i="4"/>
  <c r="EA4" i="4"/>
  <c r="DZ4" i="4"/>
  <c r="DY4" i="4"/>
  <c r="DX4" i="4"/>
  <c r="DW4" i="4"/>
  <c r="DV4" i="4"/>
  <c r="DU4" i="4"/>
  <c r="DT4" i="4"/>
  <c r="DS4" i="4"/>
  <c r="DR4" i="4"/>
  <c r="DQ4" i="4"/>
  <c r="DP4" i="4"/>
  <c r="DO4" i="4"/>
  <c r="DN4" i="4"/>
  <c r="DM4" i="4"/>
  <c r="DL4" i="4"/>
  <c r="DK4" i="4"/>
  <c r="DJ4" i="4"/>
  <c r="DI4" i="4"/>
  <c r="DH4" i="4"/>
  <c r="DG4" i="4"/>
  <c r="DF4" i="4"/>
  <c r="DE4" i="4"/>
  <c r="DD4" i="4"/>
  <c r="DC4" i="4"/>
  <c r="DB4" i="4"/>
  <c r="DA4" i="4"/>
  <c r="CZ4" i="4"/>
  <c r="CY4" i="4"/>
  <c r="CX4" i="4"/>
  <c r="CW4" i="4"/>
  <c r="CV4" i="4"/>
  <c r="CU4" i="4"/>
  <c r="CT4" i="4"/>
  <c r="CS4" i="4"/>
  <c r="CR4" i="4"/>
  <c r="CQ4" i="4"/>
  <c r="CP4" i="4"/>
  <c r="CO4" i="4"/>
  <c r="CN4" i="4"/>
  <c r="CM4" i="4"/>
  <c r="CL4" i="4"/>
  <c r="CK4" i="4"/>
  <c r="CJ4" i="4"/>
  <c r="CI4" i="4"/>
  <c r="CH4" i="4"/>
  <c r="CG4" i="4"/>
  <c r="CF4" i="4"/>
  <c r="CE4" i="4"/>
  <c r="CD4" i="4"/>
  <c r="CC4" i="4"/>
  <c r="CB4" i="4"/>
  <c r="CA4" i="4"/>
  <c r="BZ4" i="4"/>
  <c r="BY4" i="4"/>
  <c r="BX4" i="4"/>
  <c r="BW4" i="4"/>
  <c r="BV4" i="4"/>
  <c r="BU4" i="4"/>
  <c r="BT4" i="4"/>
  <c r="BS4" i="4"/>
  <c r="BR4" i="4"/>
  <c r="BQ4" i="4"/>
  <c r="BP4" i="4"/>
  <c r="BO4" i="4"/>
  <c r="BN4"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K4" i="4"/>
  <c r="AJ4" i="4"/>
  <c r="AI4" i="4"/>
  <c r="AH4" i="4"/>
  <c r="AG4" i="4"/>
  <c r="AF4" i="4"/>
  <c r="AE4" i="4"/>
  <c r="AD4" i="4"/>
  <c r="AC4" i="4"/>
  <c r="AB4" i="4"/>
  <c r="AA4" i="4"/>
  <c r="Z4" i="4"/>
  <c r="Y4" i="4"/>
  <c r="X4" i="4"/>
  <c r="W4" i="4"/>
  <c r="V4" i="4"/>
  <c r="U4" i="4"/>
  <c r="T4" i="4"/>
  <c r="S4" i="4"/>
  <c r="F116" i="9" s="1"/>
  <c r="R4" i="4"/>
  <c r="E116" i="9" s="1"/>
  <c r="Q4" i="4"/>
  <c r="D116" i="9" s="1"/>
  <c r="EE3" i="4"/>
  <c r="ED3" i="4"/>
  <c r="EC3" i="4"/>
  <c r="EB3" i="4"/>
  <c r="EA3" i="4"/>
  <c r="DZ3" i="4"/>
  <c r="DY3" i="4"/>
  <c r="DX3" i="4"/>
  <c r="DW3" i="4"/>
  <c r="DV3" i="4"/>
  <c r="DU3" i="4"/>
  <c r="DT3" i="4"/>
  <c r="DS3" i="4"/>
  <c r="DR3" i="4"/>
  <c r="DQ3" i="4"/>
  <c r="DP3" i="4"/>
  <c r="DO3" i="4"/>
  <c r="DN3" i="4"/>
  <c r="DM3" i="4"/>
  <c r="DL3" i="4"/>
  <c r="DK3" i="4"/>
  <c r="DJ3" i="4"/>
  <c r="DI3" i="4"/>
  <c r="DH3" i="4"/>
  <c r="DG3" i="4"/>
  <c r="DF3" i="4"/>
  <c r="DE3" i="4"/>
  <c r="DD3" i="4"/>
  <c r="DC3" i="4"/>
  <c r="DB3" i="4"/>
  <c r="DA3" i="4"/>
  <c r="CZ3" i="4"/>
  <c r="CY3" i="4"/>
  <c r="CX3" i="4"/>
  <c r="CW3" i="4"/>
  <c r="CV3" i="4"/>
  <c r="CU3" i="4"/>
  <c r="CT3" i="4"/>
  <c r="CS3" i="4"/>
  <c r="CR3" i="4"/>
  <c r="CQ3" i="4"/>
  <c r="CP3" i="4"/>
  <c r="CO3" i="4"/>
  <c r="CN3" i="4"/>
  <c r="CM3" i="4"/>
  <c r="CL3" i="4"/>
  <c r="CK3" i="4"/>
  <c r="CJ3" i="4"/>
  <c r="CI3" i="4"/>
  <c r="CH3" i="4"/>
  <c r="CG3" i="4"/>
  <c r="CF3" i="4"/>
  <c r="CE3" i="4"/>
  <c r="CD3" i="4"/>
  <c r="CC3" i="4"/>
  <c r="CB3" i="4"/>
  <c r="CA3" i="4"/>
  <c r="BZ3" i="4"/>
  <c r="BY3" i="4"/>
  <c r="BX3" i="4"/>
  <c r="BW3" i="4"/>
  <c r="BV3" i="4"/>
  <c r="BU3" i="4"/>
  <c r="BT3" i="4"/>
  <c r="BS3" i="4"/>
  <c r="BR3" i="4"/>
  <c r="BQ3" i="4"/>
  <c r="BP3" i="4"/>
  <c r="BO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AC3" i="4"/>
  <c r="AB3" i="4"/>
  <c r="AA3" i="4"/>
  <c r="Z3" i="4"/>
  <c r="Y3" i="4"/>
  <c r="X3" i="4"/>
  <c r="W3" i="4"/>
  <c r="V3" i="4"/>
  <c r="U3" i="4"/>
  <c r="T3" i="4"/>
  <c r="S3" i="4"/>
  <c r="F115" i="9" s="1"/>
  <c r="R3" i="4"/>
  <c r="E115" i="9" s="1"/>
  <c r="Q3" i="4"/>
  <c r="D115" i="9" s="1"/>
  <c r="EE2" i="4"/>
  <c r="ED2" i="4"/>
  <c r="EC2" i="4"/>
  <c r="EB2" i="4"/>
  <c r="EA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O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K2" i="4"/>
  <c r="AJ2" i="4"/>
  <c r="AI2" i="4"/>
  <c r="AH2" i="4"/>
  <c r="AG2" i="4"/>
  <c r="AF2" i="4"/>
  <c r="AE2" i="4"/>
  <c r="AD2" i="4"/>
  <c r="AC2" i="4"/>
  <c r="AB2" i="4"/>
  <c r="AA2" i="4"/>
  <c r="Z2" i="4"/>
  <c r="Y2" i="4"/>
  <c r="X2" i="4"/>
  <c r="W2" i="4"/>
  <c r="V2" i="4"/>
  <c r="U2" i="4"/>
  <c r="T2" i="4"/>
  <c r="S2" i="4"/>
  <c r="F114" i="9" s="1"/>
  <c r="R2" i="4"/>
  <c r="Q2" i="4"/>
  <c r="F40" i="5" s="1"/>
  <c r="EE54" i="3"/>
  <c r="ED54" i="3"/>
  <c r="EC54" i="3"/>
  <c r="EB54" i="3"/>
  <c r="EA54" i="3"/>
  <c r="DZ54" i="3"/>
  <c r="DY54" i="3"/>
  <c r="DX54" i="3"/>
  <c r="DW54" i="3"/>
  <c r="DV54" i="3"/>
  <c r="DU54" i="3"/>
  <c r="DT54" i="3"/>
  <c r="DS54" i="3"/>
  <c r="DR54" i="3"/>
  <c r="DQ54" i="3"/>
  <c r="DP54" i="3"/>
  <c r="DO54" i="3"/>
  <c r="DN54" i="3"/>
  <c r="DM54" i="3"/>
  <c r="DL54" i="3"/>
  <c r="DK54" i="3"/>
  <c r="DJ54" i="3"/>
  <c r="DI54" i="3"/>
  <c r="DH54" i="3"/>
  <c r="DG54" i="3"/>
  <c r="DF54" i="3"/>
  <c r="DE54" i="3"/>
  <c r="DD54" i="3"/>
  <c r="DC54" i="3"/>
  <c r="DB54" i="3"/>
  <c r="DA54" i="3"/>
  <c r="CZ54" i="3"/>
  <c r="CY54" i="3"/>
  <c r="CX54" i="3"/>
  <c r="CW54" i="3"/>
  <c r="CV54" i="3"/>
  <c r="CU54" i="3"/>
  <c r="CT54" i="3"/>
  <c r="CS54" i="3"/>
  <c r="CR54" i="3"/>
  <c r="CQ54" i="3"/>
  <c r="CP54" i="3"/>
  <c r="CO54" i="3"/>
  <c r="CN54" i="3"/>
  <c r="CM54" i="3"/>
  <c r="CL54" i="3"/>
  <c r="CK54" i="3"/>
  <c r="CJ54" i="3"/>
  <c r="CI54" i="3"/>
  <c r="CH54" i="3"/>
  <c r="CG54" i="3"/>
  <c r="CF54" i="3"/>
  <c r="CE54" i="3"/>
  <c r="CD54" i="3"/>
  <c r="CC54" i="3"/>
  <c r="CB54" i="3"/>
  <c r="CA54" i="3"/>
  <c r="BZ54" i="3"/>
  <c r="BY54" i="3"/>
  <c r="BX54" i="3"/>
  <c r="BW54" i="3"/>
  <c r="BV54" i="3"/>
  <c r="BU54" i="3"/>
  <c r="BT54" i="3"/>
  <c r="BS54" i="3"/>
  <c r="BR54" i="3"/>
  <c r="BQ54" i="3"/>
  <c r="BP54" i="3"/>
  <c r="BO54" i="3"/>
  <c r="BN54" i="3"/>
  <c r="BM54" i="3"/>
  <c r="BL54" i="3"/>
  <c r="BK54" i="3"/>
  <c r="BJ54" i="3"/>
  <c r="BI54" i="3"/>
  <c r="BH54" i="3"/>
  <c r="BG54" i="3"/>
  <c r="BF54" i="3"/>
  <c r="BE54" i="3"/>
  <c r="BD54" i="3"/>
  <c r="BC54"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EE39" i="3"/>
  <c r="ED39" i="3"/>
  <c r="EC39" i="3"/>
  <c r="EB39" i="3"/>
  <c r="EA39" i="3"/>
  <c r="DZ39" i="3"/>
  <c r="DY39" i="3"/>
  <c r="DX39" i="3"/>
  <c r="DW39" i="3"/>
  <c r="DV39" i="3"/>
  <c r="DU39" i="3"/>
  <c r="DT39" i="3"/>
  <c r="DS39" i="3"/>
  <c r="DR39" i="3"/>
  <c r="DQ39" i="3"/>
  <c r="DP39" i="3"/>
  <c r="DO39" i="3"/>
  <c r="DN39" i="3"/>
  <c r="DM39" i="3"/>
  <c r="DL39" i="3"/>
  <c r="DK39" i="3"/>
  <c r="DJ39" i="3"/>
  <c r="DI39" i="3"/>
  <c r="DH39" i="3"/>
  <c r="DG39" i="3"/>
  <c r="DF39" i="3"/>
  <c r="DE39" i="3"/>
  <c r="DD39" i="3"/>
  <c r="DC39" i="3"/>
  <c r="DB39" i="3"/>
  <c r="DA39" i="3"/>
  <c r="CZ39" i="3"/>
  <c r="CY39" i="3"/>
  <c r="CX39" i="3"/>
  <c r="CW39" i="3"/>
  <c r="CV39" i="3"/>
  <c r="CU39" i="3"/>
  <c r="CT39" i="3"/>
  <c r="CS39" i="3"/>
  <c r="CR39" i="3"/>
  <c r="CQ39" i="3"/>
  <c r="CP39" i="3"/>
  <c r="CO39" i="3"/>
  <c r="CN39" i="3"/>
  <c r="CM39" i="3"/>
  <c r="CL39" i="3"/>
  <c r="CK39" i="3"/>
  <c r="CJ39" i="3"/>
  <c r="CI39" i="3"/>
  <c r="CH39" i="3"/>
  <c r="CG39" i="3"/>
  <c r="CF39" i="3"/>
  <c r="CE39" i="3"/>
  <c r="CD39" i="3"/>
  <c r="CC39" i="3"/>
  <c r="CB39" i="3"/>
  <c r="CA39" i="3"/>
  <c r="BZ39" i="3"/>
  <c r="BY39" i="3"/>
  <c r="BX39" i="3"/>
  <c r="BW39" i="3"/>
  <c r="BV39" i="3"/>
  <c r="BU39" i="3"/>
  <c r="BT39" i="3"/>
  <c r="BS39" i="3"/>
  <c r="BR39" i="3"/>
  <c r="BQ39" i="3"/>
  <c r="BP39" i="3"/>
  <c r="BO39" i="3"/>
  <c r="BN39" i="3"/>
  <c r="BM39" i="3"/>
  <c r="BL39" i="3"/>
  <c r="BK39" i="3"/>
  <c r="BJ39" i="3"/>
  <c r="BI39" i="3"/>
  <c r="BH39" i="3"/>
  <c r="BG39" i="3"/>
  <c r="BF39" i="3"/>
  <c r="BE39" i="3"/>
  <c r="BD39"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E112" i="9" s="1"/>
  <c r="Q39" i="3"/>
  <c r="D112" i="9" s="1"/>
  <c r="EE53" i="3"/>
  <c r="ED53" i="3"/>
  <c r="EC53" i="3"/>
  <c r="EB53" i="3"/>
  <c r="EA53" i="3"/>
  <c r="DZ53" i="3"/>
  <c r="DY53" i="3"/>
  <c r="DX53" i="3"/>
  <c r="DW53" i="3"/>
  <c r="DV53" i="3"/>
  <c r="DU53" i="3"/>
  <c r="DT53" i="3"/>
  <c r="DS53" i="3"/>
  <c r="DR53" i="3"/>
  <c r="DQ53" i="3"/>
  <c r="DP53" i="3"/>
  <c r="DO53" i="3"/>
  <c r="DN53" i="3"/>
  <c r="DM53" i="3"/>
  <c r="DL53" i="3"/>
  <c r="DK53" i="3"/>
  <c r="DJ53" i="3"/>
  <c r="DI53" i="3"/>
  <c r="DH53" i="3"/>
  <c r="DG53" i="3"/>
  <c r="DF53" i="3"/>
  <c r="DE53" i="3"/>
  <c r="DD53" i="3"/>
  <c r="DC53" i="3"/>
  <c r="DB53" i="3"/>
  <c r="DA53" i="3"/>
  <c r="CZ53" i="3"/>
  <c r="CY53" i="3"/>
  <c r="CX53" i="3"/>
  <c r="CW53" i="3"/>
  <c r="CV53" i="3"/>
  <c r="CU53" i="3"/>
  <c r="CT53" i="3"/>
  <c r="CS53" i="3"/>
  <c r="CR53" i="3"/>
  <c r="CQ53" i="3"/>
  <c r="CP53" i="3"/>
  <c r="CO53" i="3"/>
  <c r="CN53" i="3"/>
  <c r="CM53" i="3"/>
  <c r="CL53" i="3"/>
  <c r="CK53" i="3"/>
  <c r="CJ53" i="3"/>
  <c r="CI53" i="3"/>
  <c r="CH53" i="3"/>
  <c r="CG53" i="3"/>
  <c r="CF53" i="3"/>
  <c r="CE53" i="3"/>
  <c r="CD53" i="3"/>
  <c r="CC53" i="3"/>
  <c r="CB53" i="3"/>
  <c r="CA53" i="3"/>
  <c r="BZ53" i="3"/>
  <c r="BY53" i="3"/>
  <c r="BX53" i="3"/>
  <c r="BW53" i="3"/>
  <c r="BV53" i="3"/>
  <c r="BU53" i="3"/>
  <c r="BT53" i="3"/>
  <c r="BS53" i="3"/>
  <c r="BR53" i="3"/>
  <c r="BQ53" i="3"/>
  <c r="BP53" i="3"/>
  <c r="BO53" i="3"/>
  <c r="BN53" i="3"/>
  <c r="BM53" i="3"/>
  <c r="BL53" i="3"/>
  <c r="BK53" i="3"/>
  <c r="BJ53" i="3"/>
  <c r="BI53" i="3"/>
  <c r="BH53" i="3"/>
  <c r="BG53" i="3"/>
  <c r="BF53" i="3"/>
  <c r="BE53" i="3"/>
  <c r="BD53" i="3"/>
  <c r="BC53" i="3"/>
  <c r="BB53" i="3"/>
  <c r="BA53" i="3"/>
  <c r="AZ53" i="3"/>
  <c r="AY53" i="3"/>
  <c r="AX53" i="3"/>
  <c r="AW53" i="3"/>
  <c r="AV53" i="3"/>
  <c r="AU53"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F110" i="9"/>
  <c r="E110" i="9"/>
  <c r="D110" i="9"/>
  <c r="EE55" i="3"/>
  <c r="ED55" i="3"/>
  <c r="EC55" i="3"/>
  <c r="EB55" i="3"/>
  <c r="EA55" i="3"/>
  <c r="DZ55" i="3"/>
  <c r="DY55" i="3"/>
  <c r="DX55" i="3"/>
  <c r="DW55" i="3"/>
  <c r="DV55" i="3"/>
  <c r="DU55" i="3"/>
  <c r="DT55" i="3"/>
  <c r="DS55" i="3"/>
  <c r="DR55" i="3"/>
  <c r="DQ55" i="3"/>
  <c r="DP55" i="3"/>
  <c r="DO55" i="3"/>
  <c r="DN55" i="3"/>
  <c r="DM55" i="3"/>
  <c r="DL55" i="3"/>
  <c r="DK55" i="3"/>
  <c r="DJ55" i="3"/>
  <c r="DI55" i="3"/>
  <c r="DH55" i="3"/>
  <c r="DG55" i="3"/>
  <c r="DF55" i="3"/>
  <c r="DE55" i="3"/>
  <c r="DD55" i="3"/>
  <c r="DC55" i="3"/>
  <c r="DB55" i="3"/>
  <c r="DA55" i="3"/>
  <c r="CZ55" i="3"/>
  <c r="CY55" i="3"/>
  <c r="CX55" i="3"/>
  <c r="CW55" i="3"/>
  <c r="CV55" i="3"/>
  <c r="CU55" i="3"/>
  <c r="CT55" i="3"/>
  <c r="CS55" i="3"/>
  <c r="CR55" i="3"/>
  <c r="CQ55" i="3"/>
  <c r="CP55" i="3"/>
  <c r="CO55" i="3"/>
  <c r="CN55" i="3"/>
  <c r="CM55" i="3"/>
  <c r="CL55" i="3"/>
  <c r="CK55" i="3"/>
  <c r="CJ55" i="3"/>
  <c r="CI55" i="3"/>
  <c r="CH55" i="3"/>
  <c r="CG55" i="3"/>
  <c r="CF55" i="3"/>
  <c r="CE55" i="3"/>
  <c r="CD55" i="3"/>
  <c r="CC55" i="3"/>
  <c r="CB55" i="3"/>
  <c r="CA55" i="3"/>
  <c r="BZ55" i="3"/>
  <c r="BY55" i="3"/>
  <c r="BX55" i="3"/>
  <c r="BW55" i="3"/>
  <c r="BV55" i="3"/>
  <c r="BU55" i="3"/>
  <c r="BT55" i="3"/>
  <c r="BS55" i="3"/>
  <c r="BR55" i="3"/>
  <c r="BQ55" i="3"/>
  <c r="BP55" i="3"/>
  <c r="BO55" i="3"/>
  <c r="BN55" i="3"/>
  <c r="BM55" i="3"/>
  <c r="BL55" i="3"/>
  <c r="BK55" i="3"/>
  <c r="BJ55" i="3"/>
  <c r="BI55" i="3"/>
  <c r="BH55" i="3"/>
  <c r="BG55" i="3"/>
  <c r="BF55" i="3"/>
  <c r="BE55" i="3"/>
  <c r="BD55" i="3"/>
  <c r="BC55" i="3"/>
  <c r="BB55" i="3"/>
  <c r="BA55" i="3"/>
  <c r="AZ55" i="3"/>
  <c r="AY55" i="3"/>
  <c r="AX55" i="3"/>
  <c r="AW55" i="3"/>
  <c r="AV55" i="3"/>
  <c r="AU55" i="3"/>
  <c r="AT55" i="3"/>
  <c r="AS55" i="3"/>
  <c r="AR55" i="3"/>
  <c r="AQ55" i="3"/>
  <c r="AP55" i="3"/>
  <c r="AO55" i="3"/>
  <c r="AN55" i="3"/>
  <c r="AM55" i="3"/>
  <c r="AL55" i="3"/>
  <c r="AK55" i="3"/>
  <c r="AJ55" i="3"/>
  <c r="AI55" i="3"/>
  <c r="AH55" i="3"/>
  <c r="AG55" i="3"/>
  <c r="AF55" i="3"/>
  <c r="AE55" i="3"/>
  <c r="AD55" i="3"/>
  <c r="AC55" i="3"/>
  <c r="AB55" i="3"/>
  <c r="AA55" i="3"/>
  <c r="Z55" i="3"/>
  <c r="Y55" i="3"/>
  <c r="X55" i="3"/>
  <c r="W55" i="3"/>
  <c r="V55" i="3"/>
  <c r="U55" i="3"/>
  <c r="T55" i="3"/>
  <c r="S55" i="3"/>
  <c r="R55" i="3"/>
  <c r="Q55" i="3"/>
  <c r="EE37" i="3"/>
  <c r="ED37" i="3"/>
  <c r="EC37" i="3"/>
  <c r="EB37" i="3"/>
  <c r="EA37" i="3"/>
  <c r="DZ37" i="3"/>
  <c r="DY37" i="3"/>
  <c r="DX37" i="3"/>
  <c r="DW37" i="3"/>
  <c r="DV37" i="3"/>
  <c r="DU37" i="3"/>
  <c r="DT37" i="3"/>
  <c r="DS37" i="3"/>
  <c r="DR37" i="3"/>
  <c r="DQ37" i="3"/>
  <c r="DP37" i="3"/>
  <c r="DO37" i="3"/>
  <c r="DN37" i="3"/>
  <c r="DM37" i="3"/>
  <c r="DL37" i="3"/>
  <c r="DK37" i="3"/>
  <c r="DJ37" i="3"/>
  <c r="DI37" i="3"/>
  <c r="DH37" i="3"/>
  <c r="DG37" i="3"/>
  <c r="DF37" i="3"/>
  <c r="DE37" i="3"/>
  <c r="DD37" i="3"/>
  <c r="DC37" i="3"/>
  <c r="DB37" i="3"/>
  <c r="DA37" i="3"/>
  <c r="CZ37" i="3"/>
  <c r="CY37" i="3"/>
  <c r="CX37" i="3"/>
  <c r="CW37" i="3"/>
  <c r="CV37" i="3"/>
  <c r="CU37" i="3"/>
  <c r="CT37" i="3"/>
  <c r="CS37" i="3"/>
  <c r="CR37" i="3"/>
  <c r="CQ37" i="3"/>
  <c r="CP37" i="3"/>
  <c r="CO37" i="3"/>
  <c r="CN37" i="3"/>
  <c r="CM37" i="3"/>
  <c r="CL37" i="3"/>
  <c r="CK37" i="3"/>
  <c r="CJ37" i="3"/>
  <c r="CI37" i="3"/>
  <c r="CH37" i="3"/>
  <c r="CG37" i="3"/>
  <c r="CF37" i="3"/>
  <c r="CE37" i="3"/>
  <c r="CD37" i="3"/>
  <c r="CC37" i="3"/>
  <c r="CB37" i="3"/>
  <c r="CA37" i="3"/>
  <c r="BZ37" i="3"/>
  <c r="BY37" i="3"/>
  <c r="BX37" i="3"/>
  <c r="BW37" i="3"/>
  <c r="BV37" i="3"/>
  <c r="BU37" i="3"/>
  <c r="BT37" i="3"/>
  <c r="BS37" i="3"/>
  <c r="BR37" i="3"/>
  <c r="BQ37" i="3"/>
  <c r="BP37" i="3"/>
  <c r="BO37" i="3"/>
  <c r="BN37" i="3"/>
  <c r="BM37" i="3"/>
  <c r="BL37" i="3"/>
  <c r="BK37" i="3"/>
  <c r="BJ37" i="3"/>
  <c r="BI37" i="3"/>
  <c r="BH37" i="3"/>
  <c r="BG37" i="3"/>
  <c r="BF37" i="3"/>
  <c r="BE37" i="3"/>
  <c r="BD37" i="3"/>
  <c r="BC37" i="3"/>
  <c r="BB37" i="3"/>
  <c r="BA37" i="3"/>
  <c r="AZ37" i="3"/>
  <c r="AY37" i="3"/>
  <c r="AX37"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D108" i="9" s="1"/>
  <c r="EE72" i="3"/>
  <c r="ED72" i="3"/>
  <c r="EC72" i="3"/>
  <c r="EB72" i="3"/>
  <c r="EA72" i="3"/>
  <c r="DZ72" i="3"/>
  <c r="DY72" i="3"/>
  <c r="DX72" i="3"/>
  <c r="DW72" i="3"/>
  <c r="DV72" i="3"/>
  <c r="DU72" i="3"/>
  <c r="DT72" i="3"/>
  <c r="DS72" i="3"/>
  <c r="DR72" i="3"/>
  <c r="DQ72" i="3"/>
  <c r="DP72" i="3"/>
  <c r="DO72" i="3"/>
  <c r="DN72" i="3"/>
  <c r="DM72" i="3"/>
  <c r="DL72" i="3"/>
  <c r="DK72" i="3"/>
  <c r="DJ72" i="3"/>
  <c r="DI72" i="3"/>
  <c r="DH72" i="3"/>
  <c r="DG72" i="3"/>
  <c r="DF72" i="3"/>
  <c r="DE72" i="3"/>
  <c r="DD72" i="3"/>
  <c r="DC72" i="3"/>
  <c r="DB72" i="3"/>
  <c r="DA72" i="3"/>
  <c r="CZ72" i="3"/>
  <c r="CY72" i="3"/>
  <c r="CX72" i="3"/>
  <c r="CW72" i="3"/>
  <c r="CV72" i="3"/>
  <c r="CU72" i="3"/>
  <c r="CT72" i="3"/>
  <c r="CS72" i="3"/>
  <c r="CR72" i="3"/>
  <c r="CQ72" i="3"/>
  <c r="CP72" i="3"/>
  <c r="CO72" i="3"/>
  <c r="CN72" i="3"/>
  <c r="CM72" i="3"/>
  <c r="CL72" i="3"/>
  <c r="CK72" i="3"/>
  <c r="CJ72" i="3"/>
  <c r="CI72" i="3"/>
  <c r="CH72" i="3"/>
  <c r="CG72" i="3"/>
  <c r="CF72" i="3"/>
  <c r="CE72" i="3"/>
  <c r="CD72" i="3"/>
  <c r="CC72" i="3"/>
  <c r="CB72" i="3"/>
  <c r="CA72" i="3"/>
  <c r="BZ72" i="3"/>
  <c r="BY72" i="3"/>
  <c r="BX72" i="3"/>
  <c r="BW72" i="3"/>
  <c r="BV72" i="3"/>
  <c r="BU72" i="3"/>
  <c r="BT72" i="3"/>
  <c r="BS72" i="3"/>
  <c r="BR72" i="3"/>
  <c r="BQ72" i="3"/>
  <c r="BP72" i="3"/>
  <c r="BO72" i="3"/>
  <c r="BN72" i="3"/>
  <c r="BM72" i="3"/>
  <c r="BL72" i="3"/>
  <c r="BK72" i="3"/>
  <c r="BJ72" i="3"/>
  <c r="BI72" i="3"/>
  <c r="BH72" i="3"/>
  <c r="BG72" i="3"/>
  <c r="BF72" i="3"/>
  <c r="BE72" i="3"/>
  <c r="BD72" i="3"/>
  <c r="BC72" i="3"/>
  <c r="BB72" i="3"/>
  <c r="BA72" i="3"/>
  <c r="AZ72" i="3"/>
  <c r="AY72" i="3"/>
  <c r="AX72" i="3"/>
  <c r="AW72" i="3"/>
  <c r="AV72" i="3"/>
  <c r="AU72" i="3"/>
  <c r="AT72"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F107" i="9" s="1"/>
  <c r="R72" i="3"/>
  <c r="E107" i="9" s="1"/>
  <c r="Q72" i="3"/>
  <c r="D107" i="9" s="1"/>
  <c r="EE61" i="3"/>
  <c r="ED61" i="3"/>
  <c r="EC61" i="3"/>
  <c r="EB61" i="3"/>
  <c r="EA61" i="3"/>
  <c r="DZ61" i="3"/>
  <c r="DY61" i="3"/>
  <c r="DX61" i="3"/>
  <c r="DW61" i="3"/>
  <c r="DV61" i="3"/>
  <c r="DU61" i="3"/>
  <c r="DT61" i="3"/>
  <c r="DS61" i="3"/>
  <c r="DR61" i="3"/>
  <c r="DQ61" i="3"/>
  <c r="DP61" i="3"/>
  <c r="DO61" i="3"/>
  <c r="DN61" i="3"/>
  <c r="DM61" i="3"/>
  <c r="DL61" i="3"/>
  <c r="DK61" i="3"/>
  <c r="DJ61" i="3"/>
  <c r="DI61" i="3"/>
  <c r="DH61" i="3"/>
  <c r="DG61" i="3"/>
  <c r="DF61" i="3"/>
  <c r="DE61" i="3"/>
  <c r="DD61" i="3"/>
  <c r="DC61" i="3"/>
  <c r="DB61" i="3"/>
  <c r="DA61" i="3"/>
  <c r="CZ61" i="3"/>
  <c r="CY61" i="3"/>
  <c r="CX61" i="3"/>
  <c r="CW61" i="3"/>
  <c r="CV61" i="3"/>
  <c r="CU61" i="3"/>
  <c r="CT61" i="3"/>
  <c r="CS61" i="3"/>
  <c r="CR61" i="3"/>
  <c r="CQ61" i="3"/>
  <c r="CP61" i="3"/>
  <c r="CO61" i="3"/>
  <c r="CN61" i="3"/>
  <c r="CM61" i="3"/>
  <c r="CL61" i="3"/>
  <c r="CK61" i="3"/>
  <c r="CJ61" i="3"/>
  <c r="CI61" i="3"/>
  <c r="CH61" i="3"/>
  <c r="CG61" i="3"/>
  <c r="CF61" i="3"/>
  <c r="CE61" i="3"/>
  <c r="CD61" i="3"/>
  <c r="CC61" i="3"/>
  <c r="CB61" i="3"/>
  <c r="CA61" i="3"/>
  <c r="BZ61" i="3"/>
  <c r="BY61" i="3"/>
  <c r="BX61" i="3"/>
  <c r="BW61" i="3"/>
  <c r="BV61" i="3"/>
  <c r="BU61" i="3"/>
  <c r="BT61" i="3"/>
  <c r="BS61" i="3"/>
  <c r="BR61" i="3"/>
  <c r="BQ61" i="3"/>
  <c r="BP61" i="3"/>
  <c r="BO61" i="3"/>
  <c r="BN61" i="3"/>
  <c r="BM61" i="3"/>
  <c r="BL61" i="3"/>
  <c r="BK61" i="3"/>
  <c r="BJ61" i="3"/>
  <c r="BI61" i="3"/>
  <c r="BH61" i="3"/>
  <c r="BG61" i="3"/>
  <c r="BF61" i="3"/>
  <c r="BE61" i="3"/>
  <c r="BD61" i="3"/>
  <c r="BC61" i="3"/>
  <c r="BB61" i="3"/>
  <c r="BA61" i="3"/>
  <c r="AZ61" i="3"/>
  <c r="AY61" i="3"/>
  <c r="AX61" i="3"/>
  <c r="AW61" i="3"/>
  <c r="AV61" i="3"/>
  <c r="AU61" i="3"/>
  <c r="AT61" i="3"/>
  <c r="AS61" i="3"/>
  <c r="AR61" i="3"/>
  <c r="AQ61" i="3"/>
  <c r="AP61" i="3"/>
  <c r="AO61" i="3"/>
  <c r="AN61" i="3"/>
  <c r="AM61" i="3"/>
  <c r="AL61" i="3"/>
  <c r="AK61" i="3"/>
  <c r="AJ61" i="3"/>
  <c r="AI61" i="3"/>
  <c r="AH61" i="3"/>
  <c r="AG61" i="3"/>
  <c r="AF61" i="3"/>
  <c r="AE61" i="3"/>
  <c r="AD61" i="3"/>
  <c r="AC61" i="3"/>
  <c r="AB61" i="3"/>
  <c r="AA61" i="3"/>
  <c r="Z61" i="3"/>
  <c r="Y61" i="3"/>
  <c r="X61" i="3"/>
  <c r="W61" i="3"/>
  <c r="V61" i="3"/>
  <c r="U61" i="3"/>
  <c r="T61" i="3"/>
  <c r="S61" i="3"/>
  <c r="R61" i="3"/>
  <c r="Q61" i="3"/>
  <c r="EE14" i="3"/>
  <c r="ED14" i="3"/>
  <c r="EC14" i="3"/>
  <c r="EB14" i="3"/>
  <c r="EA14" i="3"/>
  <c r="DZ14" i="3"/>
  <c r="DY14" i="3"/>
  <c r="DX14" i="3"/>
  <c r="DW14" i="3"/>
  <c r="DV14" i="3"/>
  <c r="DU14" i="3"/>
  <c r="DT14" i="3"/>
  <c r="DS14" i="3"/>
  <c r="DR14" i="3"/>
  <c r="DQ14" i="3"/>
  <c r="DP14" i="3"/>
  <c r="DO14" i="3"/>
  <c r="DN14" i="3"/>
  <c r="DM14" i="3"/>
  <c r="DL14" i="3"/>
  <c r="DK14" i="3"/>
  <c r="DJ14" i="3"/>
  <c r="DI14" i="3"/>
  <c r="DH14" i="3"/>
  <c r="DG14" i="3"/>
  <c r="DF14" i="3"/>
  <c r="DE14" i="3"/>
  <c r="DD14" i="3"/>
  <c r="DC14" i="3"/>
  <c r="DB14" i="3"/>
  <c r="DA14" i="3"/>
  <c r="CZ14" i="3"/>
  <c r="CY14" i="3"/>
  <c r="CX14" i="3"/>
  <c r="CW14" i="3"/>
  <c r="CV14" i="3"/>
  <c r="CU14" i="3"/>
  <c r="CT14" i="3"/>
  <c r="CS14" i="3"/>
  <c r="CR14" i="3"/>
  <c r="CQ14" i="3"/>
  <c r="CP14" i="3"/>
  <c r="CO14"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F105" i="9" s="1"/>
  <c r="R14" i="3"/>
  <c r="Q14" i="3"/>
  <c r="EE13" i="3"/>
  <c r="ED13" i="3"/>
  <c r="EC13" i="3"/>
  <c r="EB13" i="3"/>
  <c r="EA13" i="3"/>
  <c r="DZ13" i="3"/>
  <c r="DY13" i="3"/>
  <c r="DX13" i="3"/>
  <c r="DW13" i="3"/>
  <c r="DV13" i="3"/>
  <c r="DU13" i="3"/>
  <c r="DT13" i="3"/>
  <c r="DS13" i="3"/>
  <c r="DR13" i="3"/>
  <c r="DQ13" i="3"/>
  <c r="DP13" i="3"/>
  <c r="DO13" i="3"/>
  <c r="DN13" i="3"/>
  <c r="DM13" i="3"/>
  <c r="DL13" i="3"/>
  <c r="DK13" i="3"/>
  <c r="DJ13" i="3"/>
  <c r="DI13" i="3"/>
  <c r="DH13" i="3"/>
  <c r="DG13" i="3"/>
  <c r="DF13" i="3"/>
  <c r="DE13" i="3"/>
  <c r="DD13" i="3"/>
  <c r="DC13" i="3"/>
  <c r="DB13" i="3"/>
  <c r="DA13" i="3"/>
  <c r="CZ13" i="3"/>
  <c r="CY13" i="3"/>
  <c r="CX13" i="3"/>
  <c r="CW13" i="3"/>
  <c r="CV13" i="3"/>
  <c r="CU13" i="3"/>
  <c r="CT13" i="3"/>
  <c r="CS13" i="3"/>
  <c r="CR13" i="3"/>
  <c r="CQ13" i="3"/>
  <c r="CP13" i="3"/>
  <c r="CO13" i="3"/>
  <c r="CN13" i="3"/>
  <c r="CM13" i="3"/>
  <c r="CL13" i="3"/>
  <c r="CK13" i="3"/>
  <c r="CJ13" i="3"/>
  <c r="CI13" i="3"/>
  <c r="CH13" i="3"/>
  <c r="CG13" i="3"/>
  <c r="CF13" i="3"/>
  <c r="CE13" i="3"/>
  <c r="CD13" i="3"/>
  <c r="CC13" i="3"/>
  <c r="CB13" i="3"/>
  <c r="CA13" i="3"/>
  <c r="BZ13" i="3"/>
  <c r="BY13" i="3"/>
  <c r="BX13" i="3"/>
  <c r="BW13" i="3"/>
  <c r="BV13" i="3"/>
  <c r="BU13" i="3"/>
  <c r="BT13" i="3"/>
  <c r="BS13" i="3"/>
  <c r="BR13" i="3"/>
  <c r="BQ13" i="3"/>
  <c r="BP13" i="3"/>
  <c r="BO13" i="3"/>
  <c r="BN13" i="3"/>
  <c r="BM13"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F104" i="9" s="1"/>
  <c r="R13" i="3"/>
  <c r="E104" i="9" s="1"/>
  <c r="Q13" i="3"/>
  <c r="EE40" i="3"/>
  <c r="ED40" i="3"/>
  <c r="EC40" i="3"/>
  <c r="EB40" i="3"/>
  <c r="EA40" i="3"/>
  <c r="DZ40" i="3"/>
  <c r="DY40" i="3"/>
  <c r="DX40" i="3"/>
  <c r="DW40" i="3"/>
  <c r="DV40" i="3"/>
  <c r="DU40" i="3"/>
  <c r="DT40" i="3"/>
  <c r="DS40" i="3"/>
  <c r="DR40" i="3"/>
  <c r="DQ40" i="3"/>
  <c r="DP40" i="3"/>
  <c r="DO40" i="3"/>
  <c r="DN40" i="3"/>
  <c r="DM40" i="3"/>
  <c r="DL40" i="3"/>
  <c r="DK40" i="3"/>
  <c r="DJ40" i="3"/>
  <c r="DI40" i="3"/>
  <c r="DH40" i="3"/>
  <c r="DG40" i="3"/>
  <c r="DF40" i="3"/>
  <c r="DE40" i="3"/>
  <c r="DD40" i="3"/>
  <c r="DC40" i="3"/>
  <c r="DB40" i="3"/>
  <c r="DA40" i="3"/>
  <c r="CZ40" i="3"/>
  <c r="CY40" i="3"/>
  <c r="CX40" i="3"/>
  <c r="CW40" i="3"/>
  <c r="CV40" i="3"/>
  <c r="CU40" i="3"/>
  <c r="CT40" i="3"/>
  <c r="CS40" i="3"/>
  <c r="CR40" i="3"/>
  <c r="CQ40" i="3"/>
  <c r="CP40" i="3"/>
  <c r="CO40" i="3"/>
  <c r="CN40" i="3"/>
  <c r="CM40" i="3"/>
  <c r="CL40" i="3"/>
  <c r="CK40" i="3"/>
  <c r="CJ40" i="3"/>
  <c r="CI40" i="3"/>
  <c r="CH40" i="3"/>
  <c r="CG40" i="3"/>
  <c r="CF40" i="3"/>
  <c r="CE40" i="3"/>
  <c r="CD40" i="3"/>
  <c r="CC40" i="3"/>
  <c r="CB40" i="3"/>
  <c r="CA40" i="3"/>
  <c r="BZ40" i="3"/>
  <c r="BY40" i="3"/>
  <c r="BX40" i="3"/>
  <c r="BW40" i="3"/>
  <c r="BV40" i="3"/>
  <c r="BU40" i="3"/>
  <c r="BT40" i="3"/>
  <c r="BS40" i="3"/>
  <c r="BR40" i="3"/>
  <c r="BQ40" i="3"/>
  <c r="BP40" i="3"/>
  <c r="BO40" i="3"/>
  <c r="BN40" i="3"/>
  <c r="BM40" i="3"/>
  <c r="BL40" i="3"/>
  <c r="BK40" i="3"/>
  <c r="BJ40" i="3"/>
  <c r="BI40" i="3"/>
  <c r="BH40" i="3"/>
  <c r="BG40" i="3"/>
  <c r="BF40" i="3"/>
  <c r="BE40" i="3"/>
  <c r="BD40" i="3"/>
  <c r="BC40" i="3"/>
  <c r="BB40" i="3"/>
  <c r="BA40" i="3"/>
  <c r="AZ40" i="3"/>
  <c r="AY40" i="3"/>
  <c r="AX40" i="3"/>
  <c r="AW40" i="3"/>
  <c r="AV40" i="3"/>
  <c r="AU40" i="3"/>
  <c r="AT40" i="3"/>
  <c r="AS40" i="3"/>
  <c r="AR40" i="3"/>
  <c r="AQ40" i="3"/>
  <c r="AP40" i="3"/>
  <c r="AO40" i="3"/>
  <c r="AN40" i="3"/>
  <c r="AM40" i="3"/>
  <c r="AL40" i="3"/>
  <c r="AK40" i="3"/>
  <c r="AJ40" i="3"/>
  <c r="AI40" i="3"/>
  <c r="AH40" i="3"/>
  <c r="AG40" i="3"/>
  <c r="AF40" i="3"/>
  <c r="AE40" i="3"/>
  <c r="AD40" i="3"/>
  <c r="AC40" i="3"/>
  <c r="AB40" i="3"/>
  <c r="AA40" i="3"/>
  <c r="Z40" i="3"/>
  <c r="Y40" i="3"/>
  <c r="X40" i="3"/>
  <c r="W40" i="3"/>
  <c r="V40" i="3"/>
  <c r="U40" i="3"/>
  <c r="T40" i="3"/>
  <c r="S40" i="3"/>
  <c r="F103" i="9" s="1"/>
  <c r="R40" i="3"/>
  <c r="E103" i="9" s="1"/>
  <c r="Q40" i="3"/>
  <c r="D103" i="9" s="1"/>
  <c r="EE24" i="3"/>
  <c r="ED24" i="3"/>
  <c r="EC24" i="3"/>
  <c r="EB24" i="3"/>
  <c r="EA24" i="3"/>
  <c r="DZ24" i="3"/>
  <c r="DY24" i="3"/>
  <c r="DX24" i="3"/>
  <c r="DW24" i="3"/>
  <c r="DV24" i="3"/>
  <c r="DU24" i="3"/>
  <c r="DT24" i="3"/>
  <c r="DS24" i="3"/>
  <c r="DR24" i="3"/>
  <c r="DQ24" i="3"/>
  <c r="DP24" i="3"/>
  <c r="DO24" i="3"/>
  <c r="DN24" i="3"/>
  <c r="DM24" i="3"/>
  <c r="DL24" i="3"/>
  <c r="DK24" i="3"/>
  <c r="DJ24" i="3"/>
  <c r="DI24" i="3"/>
  <c r="DH24" i="3"/>
  <c r="DG24" i="3"/>
  <c r="DF24" i="3"/>
  <c r="DE24" i="3"/>
  <c r="DD24" i="3"/>
  <c r="DC24" i="3"/>
  <c r="DB24" i="3"/>
  <c r="DA24" i="3"/>
  <c r="CZ24" i="3"/>
  <c r="CY24" i="3"/>
  <c r="CX24" i="3"/>
  <c r="CW24" i="3"/>
  <c r="CV24" i="3"/>
  <c r="CU24" i="3"/>
  <c r="CT24" i="3"/>
  <c r="CS24" i="3"/>
  <c r="CR24" i="3"/>
  <c r="CQ24" i="3"/>
  <c r="CP24"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D102" i="9" s="1"/>
  <c r="EE15" i="3"/>
  <c r="ED15" i="3"/>
  <c r="EC15" i="3"/>
  <c r="EB15" i="3"/>
  <c r="EA15" i="3"/>
  <c r="DZ15" i="3"/>
  <c r="DY15" i="3"/>
  <c r="DX15" i="3"/>
  <c r="DW15" i="3"/>
  <c r="DV15" i="3"/>
  <c r="DU15" i="3"/>
  <c r="DT15" i="3"/>
  <c r="DS15" i="3"/>
  <c r="DR15" i="3"/>
  <c r="DQ15" i="3"/>
  <c r="DP15" i="3"/>
  <c r="DO15" i="3"/>
  <c r="DN15" i="3"/>
  <c r="DM15" i="3"/>
  <c r="DL15" i="3"/>
  <c r="DK15" i="3"/>
  <c r="DJ15" i="3"/>
  <c r="DI15" i="3"/>
  <c r="DH15" i="3"/>
  <c r="DG15" i="3"/>
  <c r="DF15" i="3"/>
  <c r="DE15" i="3"/>
  <c r="DD15" i="3"/>
  <c r="DC15" i="3"/>
  <c r="DB15" i="3"/>
  <c r="DA15" i="3"/>
  <c r="CZ15" i="3"/>
  <c r="CY15" i="3"/>
  <c r="CX15" i="3"/>
  <c r="CW15" i="3"/>
  <c r="CV15" i="3"/>
  <c r="CU15" i="3"/>
  <c r="CT15" i="3"/>
  <c r="CS15" i="3"/>
  <c r="CR15" i="3"/>
  <c r="CQ15" i="3"/>
  <c r="CP15" i="3"/>
  <c r="CO15" i="3"/>
  <c r="CN15" i="3"/>
  <c r="CM15" i="3"/>
  <c r="CL15" i="3"/>
  <c r="CK15" i="3"/>
  <c r="CJ15" i="3"/>
  <c r="CI15" i="3"/>
  <c r="CH15" i="3"/>
  <c r="CG15" i="3"/>
  <c r="CF15" i="3"/>
  <c r="CE15" i="3"/>
  <c r="CD15" i="3"/>
  <c r="CC15" i="3"/>
  <c r="CB15" i="3"/>
  <c r="CA15" i="3"/>
  <c r="BZ15" i="3"/>
  <c r="BY15" i="3"/>
  <c r="BX15" i="3"/>
  <c r="BW15" i="3"/>
  <c r="BV15" i="3"/>
  <c r="BU15" i="3"/>
  <c r="BT15" i="3"/>
  <c r="BS15" i="3"/>
  <c r="BR15" i="3"/>
  <c r="BQ15"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F101" i="9" s="1"/>
  <c r="R15" i="3"/>
  <c r="E101" i="9" s="1"/>
  <c r="Q15" i="3"/>
  <c r="D101" i="9" s="1"/>
  <c r="EE4" i="3"/>
  <c r="ED4" i="3"/>
  <c r="EC4" i="3"/>
  <c r="EB4" i="3"/>
  <c r="EA4" i="3"/>
  <c r="DZ4" i="3"/>
  <c r="DY4" i="3"/>
  <c r="DX4" i="3"/>
  <c r="DW4" i="3"/>
  <c r="DV4" i="3"/>
  <c r="DU4" i="3"/>
  <c r="DT4" i="3"/>
  <c r="DS4" i="3"/>
  <c r="DR4" i="3"/>
  <c r="DQ4" i="3"/>
  <c r="DP4" i="3"/>
  <c r="DO4" i="3"/>
  <c r="DN4" i="3"/>
  <c r="DM4" i="3"/>
  <c r="DL4" i="3"/>
  <c r="DK4" i="3"/>
  <c r="DJ4" i="3"/>
  <c r="DI4" i="3"/>
  <c r="DH4" i="3"/>
  <c r="DG4" i="3"/>
  <c r="DF4" i="3"/>
  <c r="DE4" i="3"/>
  <c r="DD4" i="3"/>
  <c r="DC4" i="3"/>
  <c r="DB4" i="3"/>
  <c r="DA4" i="3"/>
  <c r="CZ4" i="3"/>
  <c r="CY4" i="3"/>
  <c r="CX4" i="3"/>
  <c r="CW4" i="3"/>
  <c r="CV4" i="3"/>
  <c r="CU4" i="3"/>
  <c r="CT4" i="3"/>
  <c r="CS4" i="3"/>
  <c r="CR4" i="3"/>
  <c r="CQ4" i="3"/>
  <c r="CP4" i="3"/>
  <c r="CO4" i="3"/>
  <c r="CN4" i="3"/>
  <c r="CM4" i="3"/>
  <c r="CL4" i="3"/>
  <c r="CK4" i="3"/>
  <c r="CJ4" i="3"/>
  <c r="CI4" i="3"/>
  <c r="CH4" i="3"/>
  <c r="CG4" i="3"/>
  <c r="CF4" i="3"/>
  <c r="CE4" i="3"/>
  <c r="CD4" i="3"/>
  <c r="CC4" i="3"/>
  <c r="CB4" i="3"/>
  <c r="CA4" i="3"/>
  <c r="BZ4" i="3"/>
  <c r="BY4" i="3"/>
  <c r="BX4" i="3"/>
  <c r="BW4" i="3"/>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E100" i="9" s="1"/>
  <c r="Q4" i="3"/>
  <c r="D100" i="9" s="1"/>
  <c r="EE25" i="3"/>
  <c r="ED25" i="3"/>
  <c r="EC25" i="3"/>
  <c r="EB25" i="3"/>
  <c r="EA25" i="3"/>
  <c r="DZ25" i="3"/>
  <c r="DY25" i="3"/>
  <c r="DX25" i="3"/>
  <c r="DW25" i="3"/>
  <c r="DV25" i="3"/>
  <c r="DU25" i="3"/>
  <c r="DT25" i="3"/>
  <c r="DS25" i="3"/>
  <c r="DR25" i="3"/>
  <c r="DQ25" i="3"/>
  <c r="DP25" i="3"/>
  <c r="DO25" i="3"/>
  <c r="DN25" i="3"/>
  <c r="DM25" i="3"/>
  <c r="DL25" i="3"/>
  <c r="DK25" i="3"/>
  <c r="DJ25" i="3"/>
  <c r="DI25" i="3"/>
  <c r="DH25" i="3"/>
  <c r="DG25" i="3"/>
  <c r="DF25" i="3"/>
  <c r="DE25" i="3"/>
  <c r="DD25" i="3"/>
  <c r="DC25" i="3"/>
  <c r="DB25" i="3"/>
  <c r="DA25" i="3"/>
  <c r="CZ25" i="3"/>
  <c r="CY25" i="3"/>
  <c r="CX25" i="3"/>
  <c r="CW25" i="3"/>
  <c r="CV25" i="3"/>
  <c r="CU25" i="3"/>
  <c r="CT25" i="3"/>
  <c r="CS25" i="3"/>
  <c r="CR25" i="3"/>
  <c r="CQ25" i="3"/>
  <c r="CP25" i="3"/>
  <c r="CO25" i="3"/>
  <c r="CN25" i="3"/>
  <c r="CM25" i="3"/>
  <c r="CL25" i="3"/>
  <c r="CK25" i="3"/>
  <c r="CJ25" i="3"/>
  <c r="CI25" i="3"/>
  <c r="CH25" i="3"/>
  <c r="CG25" i="3"/>
  <c r="CF25" i="3"/>
  <c r="CE25" i="3"/>
  <c r="CD25" i="3"/>
  <c r="CC25" i="3"/>
  <c r="CB25" i="3"/>
  <c r="CA25" i="3"/>
  <c r="BZ25" i="3"/>
  <c r="BY25" i="3"/>
  <c r="BX25" i="3"/>
  <c r="BW25" i="3"/>
  <c r="BV25" i="3"/>
  <c r="BU25" i="3"/>
  <c r="BT25" i="3"/>
  <c r="BS25" i="3"/>
  <c r="BR25" i="3"/>
  <c r="BQ25"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EE3" i="3"/>
  <c r="ED3" i="3"/>
  <c r="EC3" i="3"/>
  <c r="EB3" i="3"/>
  <c r="EA3" i="3"/>
  <c r="DZ3" i="3"/>
  <c r="DY3" i="3"/>
  <c r="DX3" i="3"/>
  <c r="DW3" i="3"/>
  <c r="DV3" i="3"/>
  <c r="DU3" i="3"/>
  <c r="DT3" i="3"/>
  <c r="DS3" i="3"/>
  <c r="DR3" i="3"/>
  <c r="DQ3" i="3"/>
  <c r="DP3" i="3"/>
  <c r="DO3" i="3"/>
  <c r="DN3" i="3"/>
  <c r="DM3" i="3"/>
  <c r="DL3" i="3"/>
  <c r="DK3" i="3"/>
  <c r="DJ3" i="3"/>
  <c r="DI3" i="3"/>
  <c r="DH3" i="3"/>
  <c r="DG3" i="3"/>
  <c r="DF3" i="3"/>
  <c r="DE3" i="3"/>
  <c r="DD3" i="3"/>
  <c r="DC3" i="3"/>
  <c r="DB3" i="3"/>
  <c r="DA3" i="3"/>
  <c r="CZ3" i="3"/>
  <c r="CY3" i="3"/>
  <c r="CX3" i="3"/>
  <c r="CW3" i="3"/>
  <c r="CV3" i="3"/>
  <c r="CU3" i="3"/>
  <c r="CT3" i="3"/>
  <c r="CS3" i="3"/>
  <c r="CR3" i="3"/>
  <c r="CQ3" i="3"/>
  <c r="CP3" i="3"/>
  <c r="CO3" i="3"/>
  <c r="CN3" i="3"/>
  <c r="CM3" i="3"/>
  <c r="CL3" i="3"/>
  <c r="CK3" i="3"/>
  <c r="CJ3" i="3"/>
  <c r="CI3" i="3"/>
  <c r="CH3" i="3"/>
  <c r="CG3" i="3"/>
  <c r="CF3" i="3"/>
  <c r="CE3" i="3"/>
  <c r="CD3" i="3"/>
  <c r="CC3" i="3"/>
  <c r="CB3" i="3"/>
  <c r="CA3" i="3"/>
  <c r="BZ3" i="3"/>
  <c r="BY3" i="3"/>
  <c r="BX3" i="3"/>
  <c r="BW3" i="3"/>
  <c r="BV3" i="3"/>
  <c r="BU3" i="3"/>
  <c r="BT3" i="3"/>
  <c r="BS3" i="3"/>
  <c r="BR3" i="3"/>
  <c r="BQ3" i="3"/>
  <c r="BP3" i="3"/>
  <c r="BO3" i="3"/>
  <c r="BN3" i="3"/>
  <c r="BM3" i="3"/>
  <c r="BL3" i="3"/>
  <c r="BK3" i="3"/>
  <c r="BJ3" i="3"/>
  <c r="BI3" i="3"/>
  <c r="BH3" i="3"/>
  <c r="BG3" i="3"/>
  <c r="BF3" i="3"/>
  <c r="BE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EE36" i="3"/>
  <c r="ED36" i="3"/>
  <c r="EC36" i="3"/>
  <c r="EB36" i="3"/>
  <c r="EA36" i="3"/>
  <c r="DZ36" i="3"/>
  <c r="DY36" i="3"/>
  <c r="DX36" i="3"/>
  <c r="DW36" i="3"/>
  <c r="DV36" i="3"/>
  <c r="DU36" i="3"/>
  <c r="DT36" i="3"/>
  <c r="DS36" i="3"/>
  <c r="DR36" i="3"/>
  <c r="DQ36" i="3"/>
  <c r="DP36" i="3"/>
  <c r="DO36" i="3"/>
  <c r="DN36" i="3"/>
  <c r="DM36" i="3"/>
  <c r="DL36" i="3"/>
  <c r="DK36" i="3"/>
  <c r="DJ36" i="3"/>
  <c r="DI36" i="3"/>
  <c r="DH36" i="3"/>
  <c r="DG36" i="3"/>
  <c r="DF36" i="3"/>
  <c r="DE36" i="3"/>
  <c r="DD36" i="3"/>
  <c r="DC36" i="3"/>
  <c r="DB36" i="3"/>
  <c r="DA36" i="3"/>
  <c r="CZ36" i="3"/>
  <c r="CY36" i="3"/>
  <c r="CX36" i="3"/>
  <c r="CW36" i="3"/>
  <c r="CV36" i="3"/>
  <c r="CU36" i="3"/>
  <c r="CT36" i="3"/>
  <c r="CS36" i="3"/>
  <c r="CR36" i="3"/>
  <c r="CQ36" i="3"/>
  <c r="CP36" i="3"/>
  <c r="CO36" i="3"/>
  <c r="CN36" i="3"/>
  <c r="CM36" i="3"/>
  <c r="CL36" i="3"/>
  <c r="CK36" i="3"/>
  <c r="CJ36" i="3"/>
  <c r="CI36" i="3"/>
  <c r="CH36" i="3"/>
  <c r="CG36" i="3"/>
  <c r="CF36" i="3"/>
  <c r="CE36" i="3"/>
  <c r="CD36" i="3"/>
  <c r="CC36" i="3"/>
  <c r="CB36" i="3"/>
  <c r="CA36" i="3"/>
  <c r="BZ36" i="3"/>
  <c r="BY36" i="3"/>
  <c r="BX36" i="3"/>
  <c r="BW36" i="3"/>
  <c r="BV36" i="3"/>
  <c r="BU36" i="3"/>
  <c r="BT36" i="3"/>
  <c r="BS36" i="3"/>
  <c r="BR36" i="3"/>
  <c r="BQ36" i="3"/>
  <c r="BP36" i="3"/>
  <c r="BO36" i="3"/>
  <c r="BN36" i="3"/>
  <c r="BM36" i="3"/>
  <c r="BL36" i="3"/>
  <c r="BK36" i="3"/>
  <c r="BJ36" i="3"/>
  <c r="BI36" i="3"/>
  <c r="BH36" i="3"/>
  <c r="BG36" i="3"/>
  <c r="BF36" i="3"/>
  <c r="BE36" i="3"/>
  <c r="BD36" i="3"/>
  <c r="BC36" i="3"/>
  <c r="BB36" i="3"/>
  <c r="BA36" i="3"/>
  <c r="AZ36" i="3"/>
  <c r="AY36" i="3"/>
  <c r="AX36"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F96" i="9" s="1"/>
  <c r="R36" i="3"/>
  <c r="E96" i="9" s="1"/>
  <c r="Q36" i="3"/>
  <c r="EE67" i="3"/>
  <c r="ED67" i="3"/>
  <c r="EC67" i="3"/>
  <c r="EB67" i="3"/>
  <c r="EA67" i="3"/>
  <c r="DZ67" i="3"/>
  <c r="DY67" i="3"/>
  <c r="DX67" i="3"/>
  <c r="DW67" i="3"/>
  <c r="DV67" i="3"/>
  <c r="DU67" i="3"/>
  <c r="DT67" i="3"/>
  <c r="DS67" i="3"/>
  <c r="DR67" i="3"/>
  <c r="DQ67" i="3"/>
  <c r="DP67" i="3"/>
  <c r="DO67" i="3"/>
  <c r="DN67" i="3"/>
  <c r="DM67" i="3"/>
  <c r="DL67" i="3"/>
  <c r="DK67" i="3"/>
  <c r="DJ67" i="3"/>
  <c r="DI67" i="3"/>
  <c r="DH67" i="3"/>
  <c r="DG67" i="3"/>
  <c r="DF67" i="3"/>
  <c r="DE67" i="3"/>
  <c r="DD67" i="3"/>
  <c r="DC67" i="3"/>
  <c r="DB67" i="3"/>
  <c r="DA67" i="3"/>
  <c r="CZ67" i="3"/>
  <c r="CY67" i="3"/>
  <c r="CX67" i="3"/>
  <c r="CW67" i="3"/>
  <c r="CV67" i="3"/>
  <c r="CU67" i="3"/>
  <c r="CT67" i="3"/>
  <c r="CS67" i="3"/>
  <c r="CR67" i="3"/>
  <c r="CQ67" i="3"/>
  <c r="CP67" i="3"/>
  <c r="CO67" i="3"/>
  <c r="CN67" i="3"/>
  <c r="CM67" i="3"/>
  <c r="CL67" i="3"/>
  <c r="CK67" i="3"/>
  <c r="CJ67" i="3"/>
  <c r="CI67" i="3"/>
  <c r="CH67" i="3"/>
  <c r="CG67" i="3"/>
  <c r="CF67" i="3"/>
  <c r="CE67" i="3"/>
  <c r="CD67" i="3"/>
  <c r="CC67" i="3"/>
  <c r="CB67" i="3"/>
  <c r="CA67" i="3"/>
  <c r="BZ67" i="3"/>
  <c r="BY67" i="3"/>
  <c r="BX67" i="3"/>
  <c r="BW67" i="3"/>
  <c r="BV67" i="3"/>
  <c r="BU67" i="3"/>
  <c r="BT67" i="3"/>
  <c r="BS67" i="3"/>
  <c r="BR67" i="3"/>
  <c r="BQ67" i="3"/>
  <c r="BP67" i="3"/>
  <c r="BO67" i="3"/>
  <c r="BN67" i="3"/>
  <c r="BM67" i="3"/>
  <c r="BL67" i="3"/>
  <c r="BK67" i="3"/>
  <c r="BJ67" i="3"/>
  <c r="BI67" i="3"/>
  <c r="BH67" i="3"/>
  <c r="BG67" i="3"/>
  <c r="BF67" i="3"/>
  <c r="BE67" i="3"/>
  <c r="BD67" i="3"/>
  <c r="BC67" i="3"/>
  <c r="BB67" i="3"/>
  <c r="BA67" i="3"/>
  <c r="AZ67" i="3"/>
  <c r="AY67" i="3"/>
  <c r="AX67" i="3"/>
  <c r="AW67" i="3"/>
  <c r="AV67" i="3"/>
  <c r="AU67" i="3"/>
  <c r="AT67" i="3"/>
  <c r="AS67" i="3"/>
  <c r="AR67" i="3"/>
  <c r="AQ67" i="3"/>
  <c r="AP67" i="3"/>
  <c r="AO67" i="3"/>
  <c r="AN67" i="3"/>
  <c r="AM67" i="3"/>
  <c r="AL67" i="3"/>
  <c r="AK67" i="3"/>
  <c r="AJ67" i="3"/>
  <c r="AI67" i="3"/>
  <c r="AH67" i="3"/>
  <c r="AG67" i="3"/>
  <c r="AF67" i="3"/>
  <c r="AE67" i="3"/>
  <c r="AD67" i="3"/>
  <c r="AC67" i="3"/>
  <c r="AB67" i="3"/>
  <c r="AA67" i="3"/>
  <c r="Z67" i="3"/>
  <c r="Y67" i="3"/>
  <c r="X67" i="3"/>
  <c r="W67" i="3"/>
  <c r="V67" i="3"/>
  <c r="U67" i="3"/>
  <c r="T67" i="3"/>
  <c r="S67" i="3"/>
  <c r="F95" i="9" s="1"/>
  <c r="R67" i="3"/>
  <c r="E95" i="9" s="1"/>
  <c r="Q67" i="3"/>
  <c r="EE60" i="3"/>
  <c r="ED60" i="3"/>
  <c r="EC60" i="3"/>
  <c r="EB60" i="3"/>
  <c r="EA60" i="3"/>
  <c r="DZ60" i="3"/>
  <c r="DY60" i="3"/>
  <c r="DX60" i="3"/>
  <c r="DW60" i="3"/>
  <c r="DV60" i="3"/>
  <c r="DU60" i="3"/>
  <c r="DT60" i="3"/>
  <c r="DS60" i="3"/>
  <c r="DR60" i="3"/>
  <c r="DQ60" i="3"/>
  <c r="DP60" i="3"/>
  <c r="DO60" i="3"/>
  <c r="DN60" i="3"/>
  <c r="DM60" i="3"/>
  <c r="DL60" i="3"/>
  <c r="DK60" i="3"/>
  <c r="DJ60" i="3"/>
  <c r="DI60" i="3"/>
  <c r="DH60" i="3"/>
  <c r="DG60" i="3"/>
  <c r="DF60" i="3"/>
  <c r="DE60" i="3"/>
  <c r="DD60" i="3"/>
  <c r="DC60" i="3"/>
  <c r="DB60" i="3"/>
  <c r="DA60" i="3"/>
  <c r="CZ60" i="3"/>
  <c r="CY60" i="3"/>
  <c r="CX60" i="3"/>
  <c r="CW60" i="3"/>
  <c r="CV60" i="3"/>
  <c r="CU60" i="3"/>
  <c r="CT60" i="3"/>
  <c r="CS60" i="3"/>
  <c r="CR60" i="3"/>
  <c r="CQ60" i="3"/>
  <c r="CP60" i="3"/>
  <c r="CO60" i="3"/>
  <c r="CN60" i="3"/>
  <c r="CM60" i="3"/>
  <c r="CL60" i="3"/>
  <c r="CK60" i="3"/>
  <c r="CJ60" i="3"/>
  <c r="CI60" i="3"/>
  <c r="CH60" i="3"/>
  <c r="CG60" i="3"/>
  <c r="CF60" i="3"/>
  <c r="CE60" i="3"/>
  <c r="CD60" i="3"/>
  <c r="CC60" i="3"/>
  <c r="CB60" i="3"/>
  <c r="CA60" i="3"/>
  <c r="BZ60" i="3"/>
  <c r="BY60" i="3"/>
  <c r="BX60" i="3"/>
  <c r="BW60" i="3"/>
  <c r="BV60" i="3"/>
  <c r="BU60" i="3"/>
  <c r="BT60" i="3"/>
  <c r="BS60" i="3"/>
  <c r="BR60" i="3"/>
  <c r="BQ60" i="3"/>
  <c r="BP60" i="3"/>
  <c r="BO60" i="3"/>
  <c r="BN60" i="3"/>
  <c r="BM60" i="3"/>
  <c r="BL60" i="3"/>
  <c r="BK60" i="3"/>
  <c r="BJ60" i="3"/>
  <c r="BI60" i="3"/>
  <c r="BH60" i="3"/>
  <c r="BG60" i="3"/>
  <c r="BF60" i="3"/>
  <c r="BE60" i="3"/>
  <c r="BD60" i="3"/>
  <c r="BC60" i="3"/>
  <c r="BB60" i="3"/>
  <c r="BA60" i="3"/>
  <c r="AZ60" i="3"/>
  <c r="AY60" i="3"/>
  <c r="AX60"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EE46" i="3"/>
  <c r="ED46" i="3"/>
  <c r="EC46" i="3"/>
  <c r="EB46" i="3"/>
  <c r="EA46" i="3"/>
  <c r="DZ46" i="3"/>
  <c r="DY46" i="3"/>
  <c r="DX46" i="3"/>
  <c r="DW46" i="3"/>
  <c r="DV46" i="3"/>
  <c r="DU46" i="3"/>
  <c r="DT46" i="3"/>
  <c r="DS46" i="3"/>
  <c r="DR46" i="3"/>
  <c r="DQ46" i="3"/>
  <c r="DP46" i="3"/>
  <c r="DO46" i="3"/>
  <c r="DN46" i="3"/>
  <c r="DM46" i="3"/>
  <c r="DL46" i="3"/>
  <c r="DK46" i="3"/>
  <c r="DJ46" i="3"/>
  <c r="DI46" i="3"/>
  <c r="DH46" i="3"/>
  <c r="DG46" i="3"/>
  <c r="DF46" i="3"/>
  <c r="DE46" i="3"/>
  <c r="DD46" i="3"/>
  <c r="DC46" i="3"/>
  <c r="DB46" i="3"/>
  <c r="DA46" i="3"/>
  <c r="CZ46" i="3"/>
  <c r="CY46" i="3"/>
  <c r="CX46" i="3"/>
  <c r="CW46" i="3"/>
  <c r="CV46" i="3"/>
  <c r="CU46" i="3"/>
  <c r="CT46" i="3"/>
  <c r="CS46" i="3"/>
  <c r="CR46" i="3"/>
  <c r="CQ46" i="3"/>
  <c r="CP46" i="3"/>
  <c r="CO46" i="3"/>
  <c r="CN46" i="3"/>
  <c r="CM46" i="3"/>
  <c r="CL46" i="3"/>
  <c r="CK46" i="3"/>
  <c r="CJ46" i="3"/>
  <c r="CI46" i="3"/>
  <c r="CH46" i="3"/>
  <c r="CG46" i="3"/>
  <c r="CF46" i="3"/>
  <c r="CE46" i="3"/>
  <c r="CD46" i="3"/>
  <c r="CC46" i="3"/>
  <c r="CB46" i="3"/>
  <c r="CA46" i="3"/>
  <c r="BZ46" i="3"/>
  <c r="BY46" i="3"/>
  <c r="BX46" i="3"/>
  <c r="BW46" i="3"/>
  <c r="BV46" i="3"/>
  <c r="BU46" i="3"/>
  <c r="BT46" i="3"/>
  <c r="BS46" i="3"/>
  <c r="BR46" i="3"/>
  <c r="BQ46" i="3"/>
  <c r="BP46" i="3"/>
  <c r="BO46" i="3"/>
  <c r="BN46" i="3"/>
  <c r="BM46" i="3"/>
  <c r="BL46" i="3"/>
  <c r="BK46" i="3"/>
  <c r="BJ46" i="3"/>
  <c r="BI46" i="3"/>
  <c r="BH46" i="3"/>
  <c r="BG46" i="3"/>
  <c r="BF46" i="3"/>
  <c r="BE46" i="3"/>
  <c r="BD46" i="3"/>
  <c r="BC46"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F93" i="9" s="1"/>
  <c r="R46" i="3"/>
  <c r="E93" i="9" s="1"/>
  <c r="Q46" i="3"/>
  <c r="D93" i="9" s="1"/>
  <c r="EE33" i="3"/>
  <c r="ED33" i="3"/>
  <c r="EC33" i="3"/>
  <c r="EB33" i="3"/>
  <c r="EA33" i="3"/>
  <c r="DZ33" i="3"/>
  <c r="DY33" i="3"/>
  <c r="DX33" i="3"/>
  <c r="DW33" i="3"/>
  <c r="DV33" i="3"/>
  <c r="DU33" i="3"/>
  <c r="DT33" i="3"/>
  <c r="DS33" i="3"/>
  <c r="DR33" i="3"/>
  <c r="DQ33" i="3"/>
  <c r="DP33" i="3"/>
  <c r="DO33" i="3"/>
  <c r="DN33" i="3"/>
  <c r="DM33" i="3"/>
  <c r="DL33" i="3"/>
  <c r="DK33" i="3"/>
  <c r="DJ33" i="3"/>
  <c r="DI33" i="3"/>
  <c r="DH33" i="3"/>
  <c r="DG33" i="3"/>
  <c r="DF33" i="3"/>
  <c r="DE33" i="3"/>
  <c r="DD33" i="3"/>
  <c r="DC33" i="3"/>
  <c r="DB33" i="3"/>
  <c r="DA33" i="3"/>
  <c r="CZ33" i="3"/>
  <c r="CY33" i="3"/>
  <c r="CX33" i="3"/>
  <c r="CW33" i="3"/>
  <c r="CV33" i="3"/>
  <c r="CU33" i="3"/>
  <c r="CT33" i="3"/>
  <c r="CS33" i="3"/>
  <c r="CR33" i="3"/>
  <c r="CQ33" i="3"/>
  <c r="CP33" i="3"/>
  <c r="CO33" i="3"/>
  <c r="CN33" i="3"/>
  <c r="CM33" i="3"/>
  <c r="CL33" i="3"/>
  <c r="CK33" i="3"/>
  <c r="CJ33" i="3"/>
  <c r="CI33" i="3"/>
  <c r="CH33" i="3"/>
  <c r="CG33" i="3"/>
  <c r="CF33" i="3"/>
  <c r="CE33" i="3"/>
  <c r="CD33" i="3"/>
  <c r="CC33" i="3"/>
  <c r="CB33" i="3"/>
  <c r="CA33" i="3"/>
  <c r="BZ33" i="3"/>
  <c r="BY33" i="3"/>
  <c r="BX33" i="3"/>
  <c r="BW33" i="3"/>
  <c r="BV33" i="3"/>
  <c r="BU33" i="3"/>
  <c r="BT33" i="3"/>
  <c r="BS33" i="3"/>
  <c r="BR33" i="3"/>
  <c r="BQ33" i="3"/>
  <c r="BP33" i="3"/>
  <c r="BO33" i="3"/>
  <c r="BN33" i="3"/>
  <c r="BM33" i="3"/>
  <c r="BL33" i="3"/>
  <c r="BK33" i="3"/>
  <c r="BJ33" i="3"/>
  <c r="BI33" i="3"/>
  <c r="BH33" i="3"/>
  <c r="BG33" i="3"/>
  <c r="BF33" i="3"/>
  <c r="BE33" i="3"/>
  <c r="BD33" i="3"/>
  <c r="BC33" i="3"/>
  <c r="BB33" i="3"/>
  <c r="BA33" i="3"/>
  <c r="AZ33" i="3"/>
  <c r="AY33" i="3"/>
  <c r="AX33" i="3"/>
  <c r="AW33" i="3"/>
  <c r="AV33" i="3"/>
  <c r="AU33" i="3"/>
  <c r="AT33" i="3"/>
  <c r="AS33" i="3"/>
  <c r="AR33" i="3"/>
  <c r="AQ33" i="3"/>
  <c r="AP33" i="3"/>
  <c r="AO33" i="3"/>
  <c r="AN33" i="3"/>
  <c r="AM33" i="3"/>
  <c r="AL33" i="3"/>
  <c r="AK33" i="3"/>
  <c r="AJ33" i="3"/>
  <c r="AI33" i="3"/>
  <c r="AH33" i="3"/>
  <c r="AG33" i="3"/>
  <c r="AF33" i="3"/>
  <c r="AE33" i="3"/>
  <c r="AD33" i="3"/>
  <c r="AC33" i="3"/>
  <c r="AB33" i="3"/>
  <c r="AA33" i="3"/>
  <c r="Z33" i="3"/>
  <c r="Y33" i="3"/>
  <c r="X33" i="3"/>
  <c r="W33" i="3"/>
  <c r="V33" i="3"/>
  <c r="U33" i="3"/>
  <c r="T33" i="3"/>
  <c r="S33" i="3"/>
  <c r="R33" i="3"/>
  <c r="E92" i="9" s="1"/>
  <c r="Q33" i="3"/>
  <c r="D92" i="9" s="1"/>
  <c r="EE32" i="3"/>
  <c r="ED32" i="3"/>
  <c r="EC32" i="3"/>
  <c r="EB32" i="3"/>
  <c r="EA32" i="3"/>
  <c r="DZ32" i="3"/>
  <c r="DY32" i="3"/>
  <c r="DX32" i="3"/>
  <c r="DW32" i="3"/>
  <c r="DV32" i="3"/>
  <c r="DU32" i="3"/>
  <c r="DT32" i="3"/>
  <c r="DS32" i="3"/>
  <c r="DR32" i="3"/>
  <c r="DQ32" i="3"/>
  <c r="DP32" i="3"/>
  <c r="DO32" i="3"/>
  <c r="DN32" i="3"/>
  <c r="DM32" i="3"/>
  <c r="DL32" i="3"/>
  <c r="DK32" i="3"/>
  <c r="DJ32" i="3"/>
  <c r="DI32" i="3"/>
  <c r="DH32" i="3"/>
  <c r="DG32" i="3"/>
  <c r="DF32" i="3"/>
  <c r="DE32" i="3"/>
  <c r="DD32" i="3"/>
  <c r="DC32" i="3"/>
  <c r="DB32" i="3"/>
  <c r="DA32" i="3"/>
  <c r="CZ32" i="3"/>
  <c r="CY32" i="3"/>
  <c r="CX32" i="3"/>
  <c r="CW32" i="3"/>
  <c r="CV32" i="3"/>
  <c r="CU32" i="3"/>
  <c r="CT32" i="3"/>
  <c r="CS32" i="3"/>
  <c r="CR32" i="3"/>
  <c r="CQ32" i="3"/>
  <c r="CP32" i="3"/>
  <c r="CO32" i="3"/>
  <c r="CN32" i="3"/>
  <c r="CM32" i="3"/>
  <c r="CL32" i="3"/>
  <c r="CK32" i="3"/>
  <c r="CJ32" i="3"/>
  <c r="CI32" i="3"/>
  <c r="CH32" i="3"/>
  <c r="CG32" i="3"/>
  <c r="CF32" i="3"/>
  <c r="CE32" i="3"/>
  <c r="CD32" i="3"/>
  <c r="CC32" i="3"/>
  <c r="CB32" i="3"/>
  <c r="CA32" i="3"/>
  <c r="BZ32" i="3"/>
  <c r="BY32" i="3"/>
  <c r="BX32" i="3"/>
  <c r="BW32" i="3"/>
  <c r="BV32" i="3"/>
  <c r="BU32" i="3"/>
  <c r="BT32" i="3"/>
  <c r="BS32" i="3"/>
  <c r="BR32" i="3"/>
  <c r="BQ32" i="3"/>
  <c r="BP32" i="3"/>
  <c r="BO32" i="3"/>
  <c r="BN32" i="3"/>
  <c r="BM32" i="3"/>
  <c r="BL32" i="3"/>
  <c r="BK32" i="3"/>
  <c r="BJ32" i="3"/>
  <c r="BI32" i="3"/>
  <c r="BH32" i="3"/>
  <c r="BG32" i="3"/>
  <c r="BF32" i="3"/>
  <c r="BE32" i="3"/>
  <c r="BD32" i="3"/>
  <c r="BC32" i="3"/>
  <c r="BB32" i="3"/>
  <c r="BA32" i="3"/>
  <c r="AZ32" i="3"/>
  <c r="AY32" i="3"/>
  <c r="AX32"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T32" i="3"/>
  <c r="S32" i="3"/>
  <c r="R32" i="3"/>
  <c r="E91" i="9" s="1"/>
  <c r="Q32" i="3"/>
  <c r="D91" i="9" s="1"/>
  <c r="EE76" i="3"/>
  <c r="ED76" i="3"/>
  <c r="EC76" i="3"/>
  <c r="EB76" i="3"/>
  <c r="EA76" i="3"/>
  <c r="DZ76" i="3"/>
  <c r="DY76" i="3"/>
  <c r="DX76" i="3"/>
  <c r="DW76" i="3"/>
  <c r="DV76" i="3"/>
  <c r="DU76" i="3"/>
  <c r="DT76" i="3"/>
  <c r="DS76" i="3"/>
  <c r="DR76" i="3"/>
  <c r="DQ76" i="3"/>
  <c r="DP76" i="3"/>
  <c r="DO76" i="3"/>
  <c r="DN76" i="3"/>
  <c r="DM76" i="3"/>
  <c r="DL76" i="3"/>
  <c r="DK76" i="3"/>
  <c r="DJ76" i="3"/>
  <c r="DI76" i="3"/>
  <c r="DH76" i="3"/>
  <c r="DG76" i="3"/>
  <c r="DF76" i="3"/>
  <c r="DE76" i="3"/>
  <c r="DD76" i="3"/>
  <c r="DC76" i="3"/>
  <c r="DB76" i="3"/>
  <c r="DA76" i="3"/>
  <c r="CZ76" i="3"/>
  <c r="CY76" i="3"/>
  <c r="CX76" i="3"/>
  <c r="CW76" i="3"/>
  <c r="CV76" i="3"/>
  <c r="CU76" i="3"/>
  <c r="CT76" i="3"/>
  <c r="CS76" i="3"/>
  <c r="CR76" i="3"/>
  <c r="CQ76" i="3"/>
  <c r="CP76" i="3"/>
  <c r="CO76" i="3"/>
  <c r="CN76" i="3"/>
  <c r="CM76" i="3"/>
  <c r="CL76" i="3"/>
  <c r="CK76" i="3"/>
  <c r="CJ76" i="3"/>
  <c r="CI76" i="3"/>
  <c r="CH76" i="3"/>
  <c r="CG76" i="3"/>
  <c r="CF76" i="3"/>
  <c r="CE76" i="3"/>
  <c r="CD76" i="3"/>
  <c r="CC76" i="3"/>
  <c r="CB76" i="3"/>
  <c r="CA76" i="3"/>
  <c r="BZ76" i="3"/>
  <c r="BY76" i="3"/>
  <c r="BX76" i="3"/>
  <c r="BW76" i="3"/>
  <c r="BV76" i="3"/>
  <c r="BU76" i="3"/>
  <c r="BT76" i="3"/>
  <c r="BS76" i="3"/>
  <c r="BR76" i="3"/>
  <c r="BQ76" i="3"/>
  <c r="BP76" i="3"/>
  <c r="BO76" i="3"/>
  <c r="BN76" i="3"/>
  <c r="BM76" i="3"/>
  <c r="BL76" i="3"/>
  <c r="BK76" i="3"/>
  <c r="BJ76" i="3"/>
  <c r="BI76" i="3"/>
  <c r="BH76" i="3"/>
  <c r="BG76" i="3"/>
  <c r="BF76" i="3"/>
  <c r="BE76" i="3"/>
  <c r="BD76" i="3"/>
  <c r="BC76" i="3"/>
  <c r="BB76" i="3"/>
  <c r="BA76" i="3"/>
  <c r="AZ76" i="3"/>
  <c r="AY76" i="3"/>
  <c r="AX76" i="3"/>
  <c r="AW76" i="3"/>
  <c r="AV76" i="3"/>
  <c r="AU76" i="3"/>
  <c r="AT76" i="3"/>
  <c r="AS76" i="3"/>
  <c r="AR76" i="3"/>
  <c r="AQ76" i="3"/>
  <c r="AP76" i="3"/>
  <c r="AO76" i="3"/>
  <c r="AN76" i="3"/>
  <c r="AM76" i="3"/>
  <c r="AL76" i="3"/>
  <c r="AK76" i="3"/>
  <c r="AJ76" i="3"/>
  <c r="AI76" i="3"/>
  <c r="AH76" i="3"/>
  <c r="AG76" i="3"/>
  <c r="AF76" i="3"/>
  <c r="AE76" i="3"/>
  <c r="AD76" i="3"/>
  <c r="AC76" i="3"/>
  <c r="AB76" i="3"/>
  <c r="AA76" i="3"/>
  <c r="Z76" i="3"/>
  <c r="Y76" i="3"/>
  <c r="X76" i="3"/>
  <c r="W76" i="3"/>
  <c r="V76" i="3"/>
  <c r="U76" i="3"/>
  <c r="T76" i="3"/>
  <c r="S76" i="3"/>
  <c r="R76" i="3"/>
  <c r="Q76" i="3"/>
  <c r="EE68" i="3"/>
  <c r="ED68" i="3"/>
  <c r="EC68" i="3"/>
  <c r="EB68" i="3"/>
  <c r="EA68" i="3"/>
  <c r="DZ68" i="3"/>
  <c r="DY68" i="3"/>
  <c r="DX68" i="3"/>
  <c r="DW68" i="3"/>
  <c r="DV68" i="3"/>
  <c r="DU68" i="3"/>
  <c r="DT68" i="3"/>
  <c r="DS68" i="3"/>
  <c r="DR68" i="3"/>
  <c r="DQ68" i="3"/>
  <c r="DP68" i="3"/>
  <c r="DO68" i="3"/>
  <c r="DN68" i="3"/>
  <c r="DM68" i="3"/>
  <c r="DL68" i="3"/>
  <c r="DK68" i="3"/>
  <c r="DJ68" i="3"/>
  <c r="DI68" i="3"/>
  <c r="DH68" i="3"/>
  <c r="DG68" i="3"/>
  <c r="DF68" i="3"/>
  <c r="DE68" i="3"/>
  <c r="DD68" i="3"/>
  <c r="DC68" i="3"/>
  <c r="DB68" i="3"/>
  <c r="DA68" i="3"/>
  <c r="CZ68" i="3"/>
  <c r="CY68" i="3"/>
  <c r="CX68" i="3"/>
  <c r="CW68" i="3"/>
  <c r="CV68" i="3"/>
  <c r="CU68" i="3"/>
  <c r="CT68" i="3"/>
  <c r="CS68" i="3"/>
  <c r="CR68" i="3"/>
  <c r="CQ68" i="3"/>
  <c r="CP68" i="3"/>
  <c r="CO68" i="3"/>
  <c r="CN68" i="3"/>
  <c r="CM68" i="3"/>
  <c r="CL68" i="3"/>
  <c r="CK68" i="3"/>
  <c r="CJ68" i="3"/>
  <c r="CI68" i="3"/>
  <c r="CH68" i="3"/>
  <c r="CG68" i="3"/>
  <c r="CF68" i="3"/>
  <c r="CE68" i="3"/>
  <c r="CD68" i="3"/>
  <c r="CC68" i="3"/>
  <c r="CB68" i="3"/>
  <c r="CA68" i="3"/>
  <c r="BZ68" i="3"/>
  <c r="BY68" i="3"/>
  <c r="BX68" i="3"/>
  <c r="BW68" i="3"/>
  <c r="BV68" i="3"/>
  <c r="BU68" i="3"/>
  <c r="BT68" i="3"/>
  <c r="BS68" i="3"/>
  <c r="BR68" i="3"/>
  <c r="BQ68" i="3"/>
  <c r="BP68" i="3"/>
  <c r="BO68" i="3"/>
  <c r="BN68" i="3"/>
  <c r="BM68" i="3"/>
  <c r="BL68" i="3"/>
  <c r="BK68" i="3"/>
  <c r="BJ68" i="3"/>
  <c r="BI68" i="3"/>
  <c r="BH68" i="3"/>
  <c r="BG68" i="3"/>
  <c r="BF68" i="3"/>
  <c r="BE68" i="3"/>
  <c r="BD68" i="3"/>
  <c r="BC68" i="3"/>
  <c r="BB68" i="3"/>
  <c r="BA68" i="3"/>
  <c r="AZ68" i="3"/>
  <c r="AY68" i="3"/>
  <c r="AX68" i="3"/>
  <c r="AW68" i="3"/>
  <c r="AV68" i="3"/>
  <c r="AU68" i="3"/>
  <c r="AT68" i="3"/>
  <c r="AS68" i="3"/>
  <c r="AR68" i="3"/>
  <c r="AQ68" i="3"/>
  <c r="AP68" i="3"/>
  <c r="AO68" i="3"/>
  <c r="AN68" i="3"/>
  <c r="AM68" i="3"/>
  <c r="AL68" i="3"/>
  <c r="AK68" i="3"/>
  <c r="AJ68" i="3"/>
  <c r="AI68" i="3"/>
  <c r="AH68" i="3"/>
  <c r="AG68" i="3"/>
  <c r="AF68" i="3"/>
  <c r="AE68" i="3"/>
  <c r="AD68" i="3"/>
  <c r="AC68" i="3"/>
  <c r="AB68" i="3"/>
  <c r="AA68" i="3"/>
  <c r="Z68" i="3"/>
  <c r="Y68" i="3"/>
  <c r="X68" i="3"/>
  <c r="W68" i="3"/>
  <c r="V68" i="3"/>
  <c r="U68" i="3"/>
  <c r="T68" i="3"/>
  <c r="S68" i="3"/>
  <c r="F89" i="9" s="1"/>
  <c r="R68" i="3"/>
  <c r="Q68" i="3"/>
  <c r="EE51" i="3"/>
  <c r="ED51" i="3"/>
  <c r="EC51" i="3"/>
  <c r="EB51" i="3"/>
  <c r="EA51" i="3"/>
  <c r="DZ51" i="3"/>
  <c r="DY51" i="3"/>
  <c r="DX51" i="3"/>
  <c r="DW51" i="3"/>
  <c r="DV51" i="3"/>
  <c r="DU51" i="3"/>
  <c r="DT51" i="3"/>
  <c r="DS51" i="3"/>
  <c r="DR51" i="3"/>
  <c r="DQ51" i="3"/>
  <c r="DP51" i="3"/>
  <c r="DO51" i="3"/>
  <c r="DN51" i="3"/>
  <c r="DM51" i="3"/>
  <c r="DL51" i="3"/>
  <c r="DK51" i="3"/>
  <c r="DJ51" i="3"/>
  <c r="DI51" i="3"/>
  <c r="DH51" i="3"/>
  <c r="DG51" i="3"/>
  <c r="DF51" i="3"/>
  <c r="DE51" i="3"/>
  <c r="DD51" i="3"/>
  <c r="DC51" i="3"/>
  <c r="DB51" i="3"/>
  <c r="DA51" i="3"/>
  <c r="CZ51" i="3"/>
  <c r="CY51" i="3"/>
  <c r="CX51" i="3"/>
  <c r="CW51" i="3"/>
  <c r="CV51" i="3"/>
  <c r="CU51" i="3"/>
  <c r="CT51" i="3"/>
  <c r="CS51" i="3"/>
  <c r="CR51" i="3"/>
  <c r="CQ51" i="3"/>
  <c r="CP51" i="3"/>
  <c r="CO51" i="3"/>
  <c r="CN51" i="3"/>
  <c r="CM51" i="3"/>
  <c r="CL51" i="3"/>
  <c r="CK51" i="3"/>
  <c r="CJ51" i="3"/>
  <c r="CI51" i="3"/>
  <c r="CH51" i="3"/>
  <c r="CG51" i="3"/>
  <c r="CF51" i="3"/>
  <c r="CE51" i="3"/>
  <c r="CD51" i="3"/>
  <c r="CC51" i="3"/>
  <c r="CB51" i="3"/>
  <c r="CA51" i="3"/>
  <c r="BZ51" i="3"/>
  <c r="BY51" i="3"/>
  <c r="BX51" i="3"/>
  <c r="BW51" i="3"/>
  <c r="BV51" i="3"/>
  <c r="BU51" i="3"/>
  <c r="BT51" i="3"/>
  <c r="BS51" i="3"/>
  <c r="BR51" i="3"/>
  <c r="BQ51" i="3"/>
  <c r="BP51" i="3"/>
  <c r="BO51" i="3"/>
  <c r="BN51" i="3"/>
  <c r="BM51" i="3"/>
  <c r="BL51" i="3"/>
  <c r="BK51" i="3"/>
  <c r="BJ51" i="3"/>
  <c r="BI51" i="3"/>
  <c r="BH51" i="3"/>
  <c r="BG51" i="3"/>
  <c r="BF51" i="3"/>
  <c r="BE51" i="3"/>
  <c r="BD51" i="3"/>
  <c r="BC51" i="3"/>
  <c r="BB51" i="3"/>
  <c r="BA51" i="3"/>
  <c r="AZ51" i="3"/>
  <c r="AY51" i="3"/>
  <c r="AX51"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F88" i="9" s="1"/>
  <c r="R51" i="3"/>
  <c r="E88" i="9" s="1"/>
  <c r="Q51" i="3"/>
  <c r="EE52" i="3"/>
  <c r="ED52" i="3"/>
  <c r="EC52" i="3"/>
  <c r="EB52" i="3"/>
  <c r="EA52" i="3"/>
  <c r="DZ52" i="3"/>
  <c r="DY52" i="3"/>
  <c r="DX52" i="3"/>
  <c r="DW52" i="3"/>
  <c r="DV52" i="3"/>
  <c r="DU52" i="3"/>
  <c r="DT52" i="3"/>
  <c r="DS52" i="3"/>
  <c r="DR52" i="3"/>
  <c r="DQ52" i="3"/>
  <c r="DP52" i="3"/>
  <c r="DO52" i="3"/>
  <c r="DN52" i="3"/>
  <c r="DM52" i="3"/>
  <c r="DL52" i="3"/>
  <c r="DK52" i="3"/>
  <c r="DJ52" i="3"/>
  <c r="DI52" i="3"/>
  <c r="DH52" i="3"/>
  <c r="DG52" i="3"/>
  <c r="DF52" i="3"/>
  <c r="DE52" i="3"/>
  <c r="DD52" i="3"/>
  <c r="DC52" i="3"/>
  <c r="DB52" i="3"/>
  <c r="DA52" i="3"/>
  <c r="CZ52" i="3"/>
  <c r="CY52" i="3"/>
  <c r="CX52" i="3"/>
  <c r="CW52" i="3"/>
  <c r="CV52" i="3"/>
  <c r="CU52" i="3"/>
  <c r="CT52" i="3"/>
  <c r="CS52" i="3"/>
  <c r="CR52" i="3"/>
  <c r="CQ52" i="3"/>
  <c r="CP52" i="3"/>
  <c r="CO52" i="3"/>
  <c r="CN52" i="3"/>
  <c r="CM52" i="3"/>
  <c r="CL52" i="3"/>
  <c r="CK52" i="3"/>
  <c r="CJ52" i="3"/>
  <c r="CI52" i="3"/>
  <c r="CH52" i="3"/>
  <c r="CG52" i="3"/>
  <c r="CF52" i="3"/>
  <c r="CE52" i="3"/>
  <c r="CD52" i="3"/>
  <c r="CC52" i="3"/>
  <c r="CB52" i="3"/>
  <c r="CA52" i="3"/>
  <c r="BZ52" i="3"/>
  <c r="BY52" i="3"/>
  <c r="BX52" i="3"/>
  <c r="BW52" i="3"/>
  <c r="BV52" i="3"/>
  <c r="BU52" i="3"/>
  <c r="BT52" i="3"/>
  <c r="BS52" i="3"/>
  <c r="BR52" i="3"/>
  <c r="BQ52" i="3"/>
  <c r="BP52" i="3"/>
  <c r="BO52" i="3"/>
  <c r="BN52" i="3"/>
  <c r="BM52" i="3"/>
  <c r="BL52" i="3"/>
  <c r="BK52" i="3"/>
  <c r="BJ52" i="3"/>
  <c r="BI52" i="3"/>
  <c r="BH52" i="3"/>
  <c r="BG52" i="3"/>
  <c r="BF52" i="3"/>
  <c r="BE52" i="3"/>
  <c r="BD52" i="3"/>
  <c r="BC52" i="3"/>
  <c r="BB52" i="3"/>
  <c r="BA52" i="3"/>
  <c r="AZ52" i="3"/>
  <c r="AY52" i="3"/>
  <c r="AX52" i="3"/>
  <c r="AW52" i="3"/>
  <c r="AV52" i="3"/>
  <c r="AU52"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F87" i="9" s="1"/>
  <c r="R52" i="3"/>
  <c r="E87" i="9" s="1"/>
  <c r="Q52" i="3"/>
  <c r="D87" i="9" s="1"/>
  <c r="EE59" i="3"/>
  <c r="ED59" i="3"/>
  <c r="EC59" i="3"/>
  <c r="EB59" i="3"/>
  <c r="EA59" i="3"/>
  <c r="DZ59" i="3"/>
  <c r="DY59" i="3"/>
  <c r="DX59" i="3"/>
  <c r="DW59" i="3"/>
  <c r="DV59" i="3"/>
  <c r="DU59" i="3"/>
  <c r="DT59" i="3"/>
  <c r="DS59" i="3"/>
  <c r="DR59" i="3"/>
  <c r="DQ59" i="3"/>
  <c r="DP59" i="3"/>
  <c r="DO59" i="3"/>
  <c r="DN59" i="3"/>
  <c r="DM59" i="3"/>
  <c r="DL59" i="3"/>
  <c r="DK59" i="3"/>
  <c r="DJ59" i="3"/>
  <c r="DI59" i="3"/>
  <c r="DH59" i="3"/>
  <c r="DG59" i="3"/>
  <c r="DF59" i="3"/>
  <c r="DE59" i="3"/>
  <c r="DD59" i="3"/>
  <c r="DC59" i="3"/>
  <c r="DB59" i="3"/>
  <c r="DA59" i="3"/>
  <c r="CZ59" i="3"/>
  <c r="CY59" i="3"/>
  <c r="CX59" i="3"/>
  <c r="CW59" i="3"/>
  <c r="CV59" i="3"/>
  <c r="CU59" i="3"/>
  <c r="CT59" i="3"/>
  <c r="CS59" i="3"/>
  <c r="CR59" i="3"/>
  <c r="CQ59" i="3"/>
  <c r="CP59" i="3"/>
  <c r="CO59" i="3"/>
  <c r="CN59" i="3"/>
  <c r="CM59" i="3"/>
  <c r="CL59" i="3"/>
  <c r="CK59" i="3"/>
  <c r="CJ59" i="3"/>
  <c r="CI59" i="3"/>
  <c r="CH59" i="3"/>
  <c r="CG59" i="3"/>
  <c r="CF59" i="3"/>
  <c r="CE59" i="3"/>
  <c r="CD59" i="3"/>
  <c r="CC59" i="3"/>
  <c r="CB59" i="3"/>
  <c r="CA59" i="3"/>
  <c r="BZ59" i="3"/>
  <c r="BY59" i="3"/>
  <c r="BX59" i="3"/>
  <c r="BW59" i="3"/>
  <c r="BV59" i="3"/>
  <c r="BU59" i="3"/>
  <c r="BT59" i="3"/>
  <c r="BS59" i="3"/>
  <c r="BR59" i="3"/>
  <c r="BQ59" i="3"/>
  <c r="BP59" i="3"/>
  <c r="BO59" i="3"/>
  <c r="BN59" i="3"/>
  <c r="BM59" i="3"/>
  <c r="BL59" i="3"/>
  <c r="BK59" i="3"/>
  <c r="BJ59" i="3"/>
  <c r="BI59" i="3"/>
  <c r="BH59" i="3"/>
  <c r="BG59" i="3"/>
  <c r="BF59" i="3"/>
  <c r="BE59" i="3"/>
  <c r="BD59" i="3"/>
  <c r="BC59" i="3"/>
  <c r="BB59" i="3"/>
  <c r="BA59" i="3"/>
  <c r="AZ59" i="3"/>
  <c r="AY59" i="3"/>
  <c r="AX59" i="3"/>
  <c r="AW59" i="3"/>
  <c r="AV59" i="3"/>
  <c r="AU59" i="3"/>
  <c r="AT59"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R59" i="3"/>
  <c r="E86" i="9" s="1"/>
  <c r="Q59" i="3"/>
  <c r="D86" i="9" s="1"/>
  <c r="EE28" i="3"/>
  <c r="ED28" i="3"/>
  <c r="EC28" i="3"/>
  <c r="EB28" i="3"/>
  <c r="EA28" i="3"/>
  <c r="DZ28" i="3"/>
  <c r="DY28" i="3"/>
  <c r="DX28" i="3"/>
  <c r="DW28" i="3"/>
  <c r="DV28" i="3"/>
  <c r="DU28" i="3"/>
  <c r="DT28" i="3"/>
  <c r="DS28" i="3"/>
  <c r="DR28" i="3"/>
  <c r="DQ28" i="3"/>
  <c r="DP28" i="3"/>
  <c r="DO28" i="3"/>
  <c r="DN28" i="3"/>
  <c r="DM28" i="3"/>
  <c r="DL28" i="3"/>
  <c r="DK28" i="3"/>
  <c r="DJ28" i="3"/>
  <c r="DI28" i="3"/>
  <c r="DH28" i="3"/>
  <c r="DG28" i="3"/>
  <c r="DF28" i="3"/>
  <c r="DE28" i="3"/>
  <c r="DD28" i="3"/>
  <c r="DC28" i="3"/>
  <c r="DB28" i="3"/>
  <c r="DA28" i="3"/>
  <c r="CZ28" i="3"/>
  <c r="CY28" i="3"/>
  <c r="CX28" i="3"/>
  <c r="CW28" i="3"/>
  <c r="CV28" i="3"/>
  <c r="CU28" i="3"/>
  <c r="CT28" i="3"/>
  <c r="CS28" i="3"/>
  <c r="CR28" i="3"/>
  <c r="CQ28" i="3"/>
  <c r="CP28" i="3"/>
  <c r="CO28" i="3"/>
  <c r="CN28" i="3"/>
  <c r="CM28" i="3"/>
  <c r="CL28" i="3"/>
  <c r="CK28" i="3"/>
  <c r="CJ28" i="3"/>
  <c r="CI28" i="3"/>
  <c r="CH28" i="3"/>
  <c r="CG28" i="3"/>
  <c r="CF28" i="3"/>
  <c r="CE28" i="3"/>
  <c r="CD28" i="3"/>
  <c r="CC28" i="3"/>
  <c r="CB28" i="3"/>
  <c r="CA28" i="3"/>
  <c r="BZ28" i="3"/>
  <c r="BY28" i="3"/>
  <c r="BX28" i="3"/>
  <c r="BW28" i="3"/>
  <c r="BV28" i="3"/>
  <c r="BU28" i="3"/>
  <c r="BT28" i="3"/>
  <c r="BS28" i="3"/>
  <c r="BR28" i="3"/>
  <c r="BQ28" i="3"/>
  <c r="BP28" i="3"/>
  <c r="BO28" i="3"/>
  <c r="BN28" i="3"/>
  <c r="BM28" i="3"/>
  <c r="BL28" i="3"/>
  <c r="BK28" i="3"/>
  <c r="BJ28" i="3"/>
  <c r="BI28" i="3"/>
  <c r="BH28" i="3"/>
  <c r="BG28" i="3"/>
  <c r="BF28" i="3"/>
  <c r="BE28" i="3"/>
  <c r="BD28"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EE27" i="3"/>
  <c r="ED27" i="3"/>
  <c r="EC27" i="3"/>
  <c r="EB27" i="3"/>
  <c r="EA27" i="3"/>
  <c r="DZ27" i="3"/>
  <c r="DY27" i="3"/>
  <c r="DX27" i="3"/>
  <c r="DW27" i="3"/>
  <c r="DV27" i="3"/>
  <c r="DU27" i="3"/>
  <c r="DT27" i="3"/>
  <c r="DS27" i="3"/>
  <c r="DR27" i="3"/>
  <c r="DQ27" i="3"/>
  <c r="DP27" i="3"/>
  <c r="DO27" i="3"/>
  <c r="DN27" i="3"/>
  <c r="DM27" i="3"/>
  <c r="DL27" i="3"/>
  <c r="DK27" i="3"/>
  <c r="DJ27" i="3"/>
  <c r="DI27" i="3"/>
  <c r="DH27" i="3"/>
  <c r="DG27" i="3"/>
  <c r="DF27" i="3"/>
  <c r="DE27" i="3"/>
  <c r="DD27" i="3"/>
  <c r="DC27" i="3"/>
  <c r="DB27" i="3"/>
  <c r="DA27" i="3"/>
  <c r="CZ27" i="3"/>
  <c r="CY27" i="3"/>
  <c r="CX27" i="3"/>
  <c r="CW27" i="3"/>
  <c r="CV27" i="3"/>
  <c r="CU27" i="3"/>
  <c r="CT27" i="3"/>
  <c r="CS27" i="3"/>
  <c r="CR27" i="3"/>
  <c r="CQ27" i="3"/>
  <c r="CP27" i="3"/>
  <c r="CO27" i="3"/>
  <c r="CN27" i="3"/>
  <c r="CM27" i="3"/>
  <c r="CL27" i="3"/>
  <c r="CK27" i="3"/>
  <c r="CJ27" i="3"/>
  <c r="CI27" i="3"/>
  <c r="CH27" i="3"/>
  <c r="CG27" i="3"/>
  <c r="CF27" i="3"/>
  <c r="CE27" i="3"/>
  <c r="CD27" i="3"/>
  <c r="CC27" i="3"/>
  <c r="CB27" i="3"/>
  <c r="CA27" i="3"/>
  <c r="BZ27" i="3"/>
  <c r="BY27" i="3"/>
  <c r="BX27" i="3"/>
  <c r="BW27" i="3"/>
  <c r="BV27" i="3"/>
  <c r="BU27" i="3"/>
  <c r="BT27" i="3"/>
  <c r="BS27" i="3"/>
  <c r="BR27" i="3"/>
  <c r="BQ27" i="3"/>
  <c r="BP27" i="3"/>
  <c r="BO27" i="3"/>
  <c r="BN27" i="3"/>
  <c r="BM27" i="3"/>
  <c r="BL27" i="3"/>
  <c r="BK27" i="3"/>
  <c r="BJ27" i="3"/>
  <c r="BI27" i="3"/>
  <c r="BH27" i="3"/>
  <c r="BG27" i="3"/>
  <c r="BF27" i="3"/>
  <c r="BE27" i="3"/>
  <c r="BD27" i="3"/>
  <c r="BC27" i="3"/>
  <c r="BB27" i="3"/>
  <c r="BA27" i="3"/>
  <c r="AZ27" i="3"/>
  <c r="AY27" i="3"/>
  <c r="AX27"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F84" i="9" s="1"/>
  <c r="R27" i="3"/>
  <c r="E84" i="9" s="1"/>
  <c r="Q27" i="3"/>
  <c r="D84" i="9" s="1"/>
  <c r="EE64" i="3"/>
  <c r="ED64" i="3"/>
  <c r="EC64" i="3"/>
  <c r="EB64" i="3"/>
  <c r="EA64" i="3"/>
  <c r="DZ64" i="3"/>
  <c r="DY64" i="3"/>
  <c r="DX64" i="3"/>
  <c r="DW64" i="3"/>
  <c r="DV64" i="3"/>
  <c r="DU64" i="3"/>
  <c r="DT64" i="3"/>
  <c r="DS64" i="3"/>
  <c r="DR64" i="3"/>
  <c r="DQ64" i="3"/>
  <c r="DP64" i="3"/>
  <c r="DO64" i="3"/>
  <c r="DN64" i="3"/>
  <c r="DM64" i="3"/>
  <c r="DL64" i="3"/>
  <c r="DK64" i="3"/>
  <c r="DJ64" i="3"/>
  <c r="DI64" i="3"/>
  <c r="DH64" i="3"/>
  <c r="DG64" i="3"/>
  <c r="DF64" i="3"/>
  <c r="DE64" i="3"/>
  <c r="DD64" i="3"/>
  <c r="DC64" i="3"/>
  <c r="DB64" i="3"/>
  <c r="DA64" i="3"/>
  <c r="CZ64" i="3"/>
  <c r="CY64" i="3"/>
  <c r="CX64" i="3"/>
  <c r="CW64" i="3"/>
  <c r="CV64" i="3"/>
  <c r="CU64" i="3"/>
  <c r="CT64" i="3"/>
  <c r="CS64" i="3"/>
  <c r="CR64" i="3"/>
  <c r="CQ64" i="3"/>
  <c r="CP64" i="3"/>
  <c r="CO64" i="3"/>
  <c r="CN64" i="3"/>
  <c r="CM64" i="3"/>
  <c r="CL64" i="3"/>
  <c r="CK64" i="3"/>
  <c r="CJ64" i="3"/>
  <c r="CI64" i="3"/>
  <c r="CH64" i="3"/>
  <c r="CG64" i="3"/>
  <c r="CF64" i="3"/>
  <c r="CE64" i="3"/>
  <c r="CD64" i="3"/>
  <c r="CC64" i="3"/>
  <c r="CB64" i="3"/>
  <c r="CA64" i="3"/>
  <c r="BZ64" i="3"/>
  <c r="BY64" i="3"/>
  <c r="BX64" i="3"/>
  <c r="BW64" i="3"/>
  <c r="BV64" i="3"/>
  <c r="BU64" i="3"/>
  <c r="BT64" i="3"/>
  <c r="BS64" i="3"/>
  <c r="BR64" i="3"/>
  <c r="BQ64" i="3"/>
  <c r="BP64" i="3"/>
  <c r="BO64" i="3"/>
  <c r="BN64" i="3"/>
  <c r="BM64" i="3"/>
  <c r="BL64" i="3"/>
  <c r="BK64" i="3"/>
  <c r="BJ64" i="3"/>
  <c r="BI64" i="3"/>
  <c r="BH64" i="3"/>
  <c r="BG64" i="3"/>
  <c r="BF64" i="3"/>
  <c r="BE64" i="3"/>
  <c r="BD64" i="3"/>
  <c r="BC64" i="3"/>
  <c r="BB64" i="3"/>
  <c r="BA64" i="3"/>
  <c r="AZ64" i="3"/>
  <c r="AY64" i="3"/>
  <c r="AX64" i="3"/>
  <c r="AW64" i="3"/>
  <c r="AV64" i="3"/>
  <c r="AU64" i="3"/>
  <c r="AT64" i="3"/>
  <c r="AS64" i="3"/>
  <c r="AR64" i="3"/>
  <c r="AQ64" i="3"/>
  <c r="AP64" i="3"/>
  <c r="AO64" i="3"/>
  <c r="AN64" i="3"/>
  <c r="AM64" i="3"/>
  <c r="AL64" i="3"/>
  <c r="AK64" i="3"/>
  <c r="AJ64" i="3"/>
  <c r="AI64" i="3"/>
  <c r="AH64" i="3"/>
  <c r="AG64" i="3"/>
  <c r="AF64" i="3"/>
  <c r="AE64" i="3"/>
  <c r="AD64" i="3"/>
  <c r="AC64" i="3"/>
  <c r="AB64" i="3"/>
  <c r="AA64" i="3"/>
  <c r="Z64" i="3"/>
  <c r="Y64" i="3"/>
  <c r="X64" i="3"/>
  <c r="W64" i="3"/>
  <c r="V64" i="3"/>
  <c r="U64" i="3"/>
  <c r="T64" i="3"/>
  <c r="S64" i="3"/>
  <c r="R64" i="3"/>
  <c r="Q64" i="3"/>
  <c r="D83" i="9" s="1"/>
  <c r="EE31" i="3"/>
  <c r="ED31" i="3"/>
  <c r="EC31" i="3"/>
  <c r="EB31" i="3"/>
  <c r="EA31" i="3"/>
  <c r="DZ31" i="3"/>
  <c r="DY31" i="3"/>
  <c r="DX31" i="3"/>
  <c r="DW31" i="3"/>
  <c r="DV31" i="3"/>
  <c r="DU31" i="3"/>
  <c r="DT31" i="3"/>
  <c r="DS31" i="3"/>
  <c r="DR31" i="3"/>
  <c r="DQ31" i="3"/>
  <c r="DP31" i="3"/>
  <c r="DO31" i="3"/>
  <c r="DN31" i="3"/>
  <c r="DM31" i="3"/>
  <c r="DL31" i="3"/>
  <c r="DK31" i="3"/>
  <c r="DJ31" i="3"/>
  <c r="DI31" i="3"/>
  <c r="DH31" i="3"/>
  <c r="DG31" i="3"/>
  <c r="DF31" i="3"/>
  <c r="DE31" i="3"/>
  <c r="DD31" i="3"/>
  <c r="DC31" i="3"/>
  <c r="DB31" i="3"/>
  <c r="DA31" i="3"/>
  <c r="CZ31" i="3"/>
  <c r="CY31" i="3"/>
  <c r="CX31" i="3"/>
  <c r="CW31" i="3"/>
  <c r="CV31" i="3"/>
  <c r="CU31" i="3"/>
  <c r="CT31" i="3"/>
  <c r="CS31" i="3"/>
  <c r="CR31" i="3"/>
  <c r="CQ31" i="3"/>
  <c r="CP31" i="3"/>
  <c r="CO31" i="3"/>
  <c r="CN31" i="3"/>
  <c r="CM31" i="3"/>
  <c r="CL31" i="3"/>
  <c r="CK31" i="3"/>
  <c r="CJ31" i="3"/>
  <c r="CI31" i="3"/>
  <c r="CH31" i="3"/>
  <c r="CG31" i="3"/>
  <c r="CF31" i="3"/>
  <c r="CE31" i="3"/>
  <c r="CD31" i="3"/>
  <c r="CC31" i="3"/>
  <c r="CB31" i="3"/>
  <c r="CA31" i="3"/>
  <c r="BZ31" i="3"/>
  <c r="BY31" i="3"/>
  <c r="BX31" i="3"/>
  <c r="BW31" i="3"/>
  <c r="BV31" i="3"/>
  <c r="BU31" i="3"/>
  <c r="BT31" i="3"/>
  <c r="BS31" i="3"/>
  <c r="BR31" i="3"/>
  <c r="BQ31" i="3"/>
  <c r="BP31" i="3"/>
  <c r="BO31" i="3"/>
  <c r="BN31" i="3"/>
  <c r="BM31" i="3"/>
  <c r="BL31" i="3"/>
  <c r="BK31" i="3"/>
  <c r="BJ31" i="3"/>
  <c r="BI31" i="3"/>
  <c r="BH31" i="3"/>
  <c r="BG31" i="3"/>
  <c r="BF31" i="3"/>
  <c r="BE31" i="3"/>
  <c r="BD31" i="3"/>
  <c r="BC31" i="3"/>
  <c r="BB31" i="3"/>
  <c r="BA31" i="3"/>
  <c r="AZ31" i="3"/>
  <c r="AY31" i="3"/>
  <c r="AX31"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EE42" i="3"/>
  <c r="ED42" i="3"/>
  <c r="EC42" i="3"/>
  <c r="EB42" i="3"/>
  <c r="EA42" i="3"/>
  <c r="DZ42" i="3"/>
  <c r="DY42" i="3"/>
  <c r="DX42" i="3"/>
  <c r="DW42" i="3"/>
  <c r="DV42" i="3"/>
  <c r="DU42" i="3"/>
  <c r="DT42" i="3"/>
  <c r="DS42" i="3"/>
  <c r="DR42" i="3"/>
  <c r="DQ42" i="3"/>
  <c r="DP42" i="3"/>
  <c r="DO42" i="3"/>
  <c r="DN42" i="3"/>
  <c r="DM42" i="3"/>
  <c r="DL42" i="3"/>
  <c r="DK42" i="3"/>
  <c r="DJ42" i="3"/>
  <c r="DI42" i="3"/>
  <c r="DH42" i="3"/>
  <c r="DG42" i="3"/>
  <c r="DF42" i="3"/>
  <c r="DE42" i="3"/>
  <c r="DD42" i="3"/>
  <c r="DC42" i="3"/>
  <c r="DB42" i="3"/>
  <c r="DA42" i="3"/>
  <c r="CZ42" i="3"/>
  <c r="CY42" i="3"/>
  <c r="CX42" i="3"/>
  <c r="CW42" i="3"/>
  <c r="CV42" i="3"/>
  <c r="CU42" i="3"/>
  <c r="CT42" i="3"/>
  <c r="CS42" i="3"/>
  <c r="CR42" i="3"/>
  <c r="CQ42" i="3"/>
  <c r="CP42" i="3"/>
  <c r="CO42" i="3"/>
  <c r="CN42" i="3"/>
  <c r="CM42" i="3"/>
  <c r="CL42" i="3"/>
  <c r="CK42" i="3"/>
  <c r="CJ42" i="3"/>
  <c r="CI42" i="3"/>
  <c r="CH42" i="3"/>
  <c r="CG42" i="3"/>
  <c r="CF42" i="3"/>
  <c r="CE42" i="3"/>
  <c r="CD42" i="3"/>
  <c r="CC42" i="3"/>
  <c r="CB42" i="3"/>
  <c r="CA42" i="3"/>
  <c r="BZ42" i="3"/>
  <c r="BY42" i="3"/>
  <c r="BX42" i="3"/>
  <c r="BW42" i="3"/>
  <c r="BV42" i="3"/>
  <c r="BU42" i="3"/>
  <c r="BT42" i="3"/>
  <c r="BS42" i="3"/>
  <c r="BR42" i="3"/>
  <c r="BQ42" i="3"/>
  <c r="BP42" i="3"/>
  <c r="BO42" i="3"/>
  <c r="BN42" i="3"/>
  <c r="BM42" i="3"/>
  <c r="BL42" i="3"/>
  <c r="BK42" i="3"/>
  <c r="BJ42" i="3"/>
  <c r="BI42" i="3"/>
  <c r="BH42" i="3"/>
  <c r="BG42" i="3"/>
  <c r="BF42" i="3"/>
  <c r="BE42" i="3"/>
  <c r="BD42" i="3"/>
  <c r="BC42" i="3"/>
  <c r="BB42" i="3"/>
  <c r="BA42" i="3"/>
  <c r="AZ42" i="3"/>
  <c r="AY42" i="3"/>
  <c r="AX42" i="3"/>
  <c r="AW42" i="3"/>
  <c r="AV42" i="3"/>
  <c r="AU42"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F81" i="9" s="1"/>
  <c r="R42" i="3"/>
  <c r="Q42" i="3"/>
  <c r="EE20" i="3"/>
  <c r="ED20" i="3"/>
  <c r="EC20" i="3"/>
  <c r="EB20" i="3"/>
  <c r="EA20" i="3"/>
  <c r="DZ20" i="3"/>
  <c r="DY20" i="3"/>
  <c r="DX20" i="3"/>
  <c r="DW20" i="3"/>
  <c r="DV20" i="3"/>
  <c r="DU20" i="3"/>
  <c r="DT20" i="3"/>
  <c r="DS20" i="3"/>
  <c r="DR20" i="3"/>
  <c r="DQ20" i="3"/>
  <c r="DP20" i="3"/>
  <c r="DO20" i="3"/>
  <c r="DN20" i="3"/>
  <c r="DM20" i="3"/>
  <c r="DL20" i="3"/>
  <c r="DK20" i="3"/>
  <c r="DJ20" i="3"/>
  <c r="DI20" i="3"/>
  <c r="DH20" i="3"/>
  <c r="DG20" i="3"/>
  <c r="DF20" i="3"/>
  <c r="DE20" i="3"/>
  <c r="DD20" i="3"/>
  <c r="DC20" i="3"/>
  <c r="DB20" i="3"/>
  <c r="DA20" i="3"/>
  <c r="CZ20" i="3"/>
  <c r="CY20" i="3"/>
  <c r="CX20" i="3"/>
  <c r="CW20" i="3"/>
  <c r="CV20" i="3"/>
  <c r="CU20" i="3"/>
  <c r="CT20" i="3"/>
  <c r="CS20" i="3"/>
  <c r="CR20" i="3"/>
  <c r="CQ20" i="3"/>
  <c r="CP20" i="3"/>
  <c r="CO20" i="3"/>
  <c r="CN20" i="3"/>
  <c r="CM20" i="3"/>
  <c r="CL20" i="3"/>
  <c r="CK20" i="3"/>
  <c r="CJ20" i="3"/>
  <c r="CI20" i="3"/>
  <c r="CH20" i="3"/>
  <c r="CG20" i="3"/>
  <c r="CF20" i="3"/>
  <c r="CE20" i="3"/>
  <c r="CD20" i="3"/>
  <c r="CC20" i="3"/>
  <c r="CB20" i="3"/>
  <c r="CA20" i="3"/>
  <c r="BZ20" i="3"/>
  <c r="BY20" i="3"/>
  <c r="BX20" i="3"/>
  <c r="BW20" i="3"/>
  <c r="BV20" i="3"/>
  <c r="BU20" i="3"/>
  <c r="BT20" i="3"/>
  <c r="BS20" i="3"/>
  <c r="BR20" i="3"/>
  <c r="BQ20" i="3"/>
  <c r="BP20" i="3"/>
  <c r="BO20" i="3"/>
  <c r="BN20" i="3"/>
  <c r="BM20" i="3"/>
  <c r="BL20" i="3"/>
  <c r="BK20" i="3"/>
  <c r="BJ20" i="3"/>
  <c r="BI20" i="3"/>
  <c r="BH20" i="3"/>
  <c r="BG20" i="3"/>
  <c r="BF20" i="3"/>
  <c r="BE20" i="3"/>
  <c r="BD20" i="3"/>
  <c r="BC20" i="3"/>
  <c r="BB20" i="3"/>
  <c r="BA20" i="3"/>
  <c r="AZ20" i="3"/>
  <c r="AY20" i="3"/>
  <c r="AX20" i="3"/>
  <c r="AW20" i="3"/>
  <c r="AV20" i="3"/>
  <c r="AU20" i="3"/>
  <c r="AT20" i="3"/>
  <c r="AS20" i="3"/>
  <c r="AR20" i="3"/>
  <c r="AQ20" i="3"/>
  <c r="AP20" i="3"/>
  <c r="AO20" i="3"/>
  <c r="AN20" i="3"/>
  <c r="AM20" i="3"/>
  <c r="AL20" i="3"/>
  <c r="AK20" i="3"/>
  <c r="AJ20" i="3"/>
  <c r="AI20" i="3"/>
  <c r="AH20" i="3"/>
  <c r="AG20" i="3"/>
  <c r="AF20" i="3"/>
  <c r="AE20" i="3"/>
  <c r="AD20" i="3"/>
  <c r="AC20" i="3"/>
  <c r="AB20" i="3"/>
  <c r="AA20" i="3"/>
  <c r="Z20" i="3"/>
  <c r="Y20" i="3"/>
  <c r="X20" i="3"/>
  <c r="W20" i="3"/>
  <c r="V20" i="3"/>
  <c r="U20" i="3"/>
  <c r="T20" i="3"/>
  <c r="S20" i="3"/>
  <c r="F80" i="9" s="1"/>
  <c r="R20" i="3"/>
  <c r="E80" i="9" s="1"/>
  <c r="Q20" i="3"/>
  <c r="EE73" i="3"/>
  <c r="ED73" i="3"/>
  <c r="EC73" i="3"/>
  <c r="EB73" i="3"/>
  <c r="EA73" i="3"/>
  <c r="DZ73" i="3"/>
  <c r="DY73" i="3"/>
  <c r="DX73" i="3"/>
  <c r="DW73" i="3"/>
  <c r="DV73" i="3"/>
  <c r="DU73" i="3"/>
  <c r="DT73" i="3"/>
  <c r="DS73" i="3"/>
  <c r="DR73" i="3"/>
  <c r="DQ73" i="3"/>
  <c r="DP73" i="3"/>
  <c r="DO73" i="3"/>
  <c r="DN73" i="3"/>
  <c r="DM73" i="3"/>
  <c r="DL73" i="3"/>
  <c r="DK73" i="3"/>
  <c r="DJ73" i="3"/>
  <c r="DI73" i="3"/>
  <c r="DH73" i="3"/>
  <c r="DG73" i="3"/>
  <c r="DF73" i="3"/>
  <c r="DE73" i="3"/>
  <c r="DD73" i="3"/>
  <c r="DC73" i="3"/>
  <c r="DB73" i="3"/>
  <c r="DA73" i="3"/>
  <c r="CZ73" i="3"/>
  <c r="CY73" i="3"/>
  <c r="CX73" i="3"/>
  <c r="CW73" i="3"/>
  <c r="CV73" i="3"/>
  <c r="CU73" i="3"/>
  <c r="CT73" i="3"/>
  <c r="CS73" i="3"/>
  <c r="CR73" i="3"/>
  <c r="CQ73" i="3"/>
  <c r="CP73" i="3"/>
  <c r="CO73" i="3"/>
  <c r="CN73" i="3"/>
  <c r="CM73" i="3"/>
  <c r="CL73" i="3"/>
  <c r="CK73" i="3"/>
  <c r="CJ73" i="3"/>
  <c r="CI73" i="3"/>
  <c r="CH73" i="3"/>
  <c r="CG73" i="3"/>
  <c r="CF73" i="3"/>
  <c r="CE73" i="3"/>
  <c r="CD73" i="3"/>
  <c r="CC73" i="3"/>
  <c r="CB73" i="3"/>
  <c r="CA73" i="3"/>
  <c r="BZ73" i="3"/>
  <c r="BY73" i="3"/>
  <c r="BX73" i="3"/>
  <c r="BW73" i="3"/>
  <c r="BV73" i="3"/>
  <c r="BU73" i="3"/>
  <c r="BT73" i="3"/>
  <c r="BS73" i="3"/>
  <c r="BR73" i="3"/>
  <c r="BQ73" i="3"/>
  <c r="BP73" i="3"/>
  <c r="BO73" i="3"/>
  <c r="BN73" i="3"/>
  <c r="BM73" i="3"/>
  <c r="BL73" i="3"/>
  <c r="BK73" i="3"/>
  <c r="BJ73" i="3"/>
  <c r="BI73" i="3"/>
  <c r="BH73" i="3"/>
  <c r="BG73" i="3"/>
  <c r="BF73" i="3"/>
  <c r="BE73" i="3"/>
  <c r="BD73" i="3"/>
  <c r="BC73" i="3"/>
  <c r="BB73" i="3"/>
  <c r="BA73" i="3"/>
  <c r="AZ73" i="3"/>
  <c r="AY73" i="3"/>
  <c r="AX73" i="3"/>
  <c r="AW73" i="3"/>
  <c r="AV73" i="3"/>
  <c r="AU73" i="3"/>
  <c r="AT73" i="3"/>
  <c r="AS73" i="3"/>
  <c r="AR73" i="3"/>
  <c r="AQ73" i="3"/>
  <c r="AP73" i="3"/>
  <c r="AO73" i="3"/>
  <c r="AN73" i="3"/>
  <c r="AM73" i="3"/>
  <c r="AL73" i="3"/>
  <c r="AK73" i="3"/>
  <c r="AJ73" i="3"/>
  <c r="AI73" i="3"/>
  <c r="AH73" i="3"/>
  <c r="AG73" i="3"/>
  <c r="AF73" i="3"/>
  <c r="AE73" i="3"/>
  <c r="AD73" i="3"/>
  <c r="AC73" i="3"/>
  <c r="AB73" i="3"/>
  <c r="AA73" i="3"/>
  <c r="Z73" i="3"/>
  <c r="Y73" i="3"/>
  <c r="X73" i="3"/>
  <c r="W73" i="3"/>
  <c r="V73" i="3"/>
  <c r="U73" i="3"/>
  <c r="T73" i="3"/>
  <c r="S73" i="3"/>
  <c r="F79" i="9" s="1"/>
  <c r="R73" i="3"/>
  <c r="E79" i="9" s="1"/>
  <c r="Q73" i="3"/>
  <c r="EE22" i="3"/>
  <c r="ED22" i="3"/>
  <c r="EC22" i="3"/>
  <c r="EB22" i="3"/>
  <c r="EA22" i="3"/>
  <c r="DZ22" i="3"/>
  <c r="DY22" i="3"/>
  <c r="DX22" i="3"/>
  <c r="DW22" i="3"/>
  <c r="DV22" i="3"/>
  <c r="DU22" i="3"/>
  <c r="DT22" i="3"/>
  <c r="DS22" i="3"/>
  <c r="DR22" i="3"/>
  <c r="DQ22" i="3"/>
  <c r="DP22" i="3"/>
  <c r="DO22" i="3"/>
  <c r="DN22" i="3"/>
  <c r="DM22" i="3"/>
  <c r="DL22" i="3"/>
  <c r="DK22" i="3"/>
  <c r="DJ22" i="3"/>
  <c r="DI22" i="3"/>
  <c r="DH22" i="3"/>
  <c r="DG22" i="3"/>
  <c r="DF22" i="3"/>
  <c r="DE22" i="3"/>
  <c r="DD22" i="3"/>
  <c r="DC22" i="3"/>
  <c r="DB22" i="3"/>
  <c r="DA22" i="3"/>
  <c r="CZ22" i="3"/>
  <c r="CY22" i="3"/>
  <c r="CX22" i="3"/>
  <c r="CW22" i="3"/>
  <c r="CV22" i="3"/>
  <c r="CU22" i="3"/>
  <c r="CT22" i="3"/>
  <c r="CS22" i="3"/>
  <c r="CR22" i="3"/>
  <c r="CQ22" i="3"/>
  <c r="CP22" i="3"/>
  <c r="CO22" i="3"/>
  <c r="CN22" i="3"/>
  <c r="CM22" i="3"/>
  <c r="CL22" i="3"/>
  <c r="CK22" i="3"/>
  <c r="CJ22" i="3"/>
  <c r="CI22" i="3"/>
  <c r="CH22" i="3"/>
  <c r="CG22" i="3"/>
  <c r="CF22" i="3"/>
  <c r="CE22" i="3"/>
  <c r="CD22" i="3"/>
  <c r="CC22" i="3"/>
  <c r="CB22" i="3"/>
  <c r="CA22" i="3"/>
  <c r="BZ22" i="3"/>
  <c r="BY22" i="3"/>
  <c r="BX22" i="3"/>
  <c r="BW22" i="3"/>
  <c r="BV22" i="3"/>
  <c r="BU22" i="3"/>
  <c r="BT22" i="3"/>
  <c r="BS22" i="3"/>
  <c r="BR22" i="3"/>
  <c r="BQ22"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T22" i="3"/>
  <c r="S22" i="3"/>
  <c r="F78" i="9" s="1"/>
  <c r="R22" i="3"/>
  <c r="E78" i="9" s="1"/>
  <c r="Q22" i="3"/>
  <c r="D78" i="9" s="1"/>
  <c r="EE50" i="3"/>
  <c r="ED50" i="3"/>
  <c r="EC50" i="3"/>
  <c r="EB50" i="3"/>
  <c r="EA50" i="3"/>
  <c r="DZ50" i="3"/>
  <c r="DY50" i="3"/>
  <c r="DX50" i="3"/>
  <c r="DW50" i="3"/>
  <c r="DV50" i="3"/>
  <c r="DU50" i="3"/>
  <c r="DT50" i="3"/>
  <c r="DS50" i="3"/>
  <c r="DR50" i="3"/>
  <c r="DQ50" i="3"/>
  <c r="DP50" i="3"/>
  <c r="DO50" i="3"/>
  <c r="DN50" i="3"/>
  <c r="DM50" i="3"/>
  <c r="DL50" i="3"/>
  <c r="DK50" i="3"/>
  <c r="DJ50" i="3"/>
  <c r="DI50" i="3"/>
  <c r="DH50" i="3"/>
  <c r="DG50" i="3"/>
  <c r="DF50" i="3"/>
  <c r="DE50" i="3"/>
  <c r="DD50" i="3"/>
  <c r="DC50" i="3"/>
  <c r="DB50" i="3"/>
  <c r="DA50" i="3"/>
  <c r="CZ50" i="3"/>
  <c r="CY50" i="3"/>
  <c r="CX50" i="3"/>
  <c r="CW50" i="3"/>
  <c r="CV50" i="3"/>
  <c r="CU50" i="3"/>
  <c r="CT50" i="3"/>
  <c r="CS50" i="3"/>
  <c r="CR50" i="3"/>
  <c r="CQ50" i="3"/>
  <c r="CP50" i="3"/>
  <c r="CO50" i="3"/>
  <c r="CN50" i="3"/>
  <c r="CM50" i="3"/>
  <c r="CL50" i="3"/>
  <c r="CK50" i="3"/>
  <c r="CJ50" i="3"/>
  <c r="CI50" i="3"/>
  <c r="CH50" i="3"/>
  <c r="CG50" i="3"/>
  <c r="CF50" i="3"/>
  <c r="CE50" i="3"/>
  <c r="CD50" i="3"/>
  <c r="CC50" i="3"/>
  <c r="CB50" i="3"/>
  <c r="CA50" i="3"/>
  <c r="BZ50" i="3"/>
  <c r="BY50" i="3"/>
  <c r="BX50" i="3"/>
  <c r="BW50" i="3"/>
  <c r="BV50" i="3"/>
  <c r="BU50" i="3"/>
  <c r="BT50" i="3"/>
  <c r="BS50" i="3"/>
  <c r="BR50" i="3"/>
  <c r="BQ50" i="3"/>
  <c r="BP50" i="3"/>
  <c r="BO50" i="3"/>
  <c r="BN50" i="3"/>
  <c r="BM50" i="3"/>
  <c r="BL50" i="3"/>
  <c r="BK50" i="3"/>
  <c r="BJ50" i="3"/>
  <c r="BI50" i="3"/>
  <c r="BH50" i="3"/>
  <c r="BG50" i="3"/>
  <c r="BF50" i="3"/>
  <c r="BE50" i="3"/>
  <c r="BD50" i="3"/>
  <c r="BC50" i="3"/>
  <c r="BB50" i="3"/>
  <c r="BA50" i="3"/>
  <c r="AZ50" i="3"/>
  <c r="AY50" i="3"/>
  <c r="AX50"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R50" i="3"/>
  <c r="E77" i="9" s="1"/>
  <c r="Q50" i="3"/>
  <c r="D77" i="9" s="1"/>
  <c r="EE58" i="3"/>
  <c r="ED58" i="3"/>
  <c r="EC58" i="3"/>
  <c r="EB58" i="3"/>
  <c r="EA58" i="3"/>
  <c r="DZ58" i="3"/>
  <c r="DY58" i="3"/>
  <c r="DX58" i="3"/>
  <c r="DW58" i="3"/>
  <c r="DV58" i="3"/>
  <c r="DU58" i="3"/>
  <c r="DT58" i="3"/>
  <c r="DS58" i="3"/>
  <c r="DR58" i="3"/>
  <c r="DQ58" i="3"/>
  <c r="DP58" i="3"/>
  <c r="DO58" i="3"/>
  <c r="DN58" i="3"/>
  <c r="DM58" i="3"/>
  <c r="DL58" i="3"/>
  <c r="DK58" i="3"/>
  <c r="DJ58" i="3"/>
  <c r="DI58" i="3"/>
  <c r="DH58" i="3"/>
  <c r="DG58" i="3"/>
  <c r="DF58" i="3"/>
  <c r="DE58" i="3"/>
  <c r="DD58" i="3"/>
  <c r="DC58" i="3"/>
  <c r="DB58" i="3"/>
  <c r="DA58" i="3"/>
  <c r="CZ58" i="3"/>
  <c r="CY58" i="3"/>
  <c r="CX58" i="3"/>
  <c r="CW58" i="3"/>
  <c r="CV58" i="3"/>
  <c r="CU58" i="3"/>
  <c r="CT58" i="3"/>
  <c r="CS58" i="3"/>
  <c r="CR58" i="3"/>
  <c r="CQ58" i="3"/>
  <c r="CP58" i="3"/>
  <c r="CO58" i="3"/>
  <c r="CN58" i="3"/>
  <c r="CM58" i="3"/>
  <c r="CL58" i="3"/>
  <c r="CK58" i="3"/>
  <c r="CJ58" i="3"/>
  <c r="CI58" i="3"/>
  <c r="CH58" i="3"/>
  <c r="CG58" i="3"/>
  <c r="CF58" i="3"/>
  <c r="CE58" i="3"/>
  <c r="CD58" i="3"/>
  <c r="CC58" i="3"/>
  <c r="CB58" i="3"/>
  <c r="CA58" i="3"/>
  <c r="BZ58" i="3"/>
  <c r="BY58" i="3"/>
  <c r="BX58" i="3"/>
  <c r="BW58" i="3"/>
  <c r="BV58" i="3"/>
  <c r="BU58" i="3"/>
  <c r="BT58" i="3"/>
  <c r="BS58" i="3"/>
  <c r="BR58" i="3"/>
  <c r="BQ58" i="3"/>
  <c r="BP58" i="3"/>
  <c r="BO58" i="3"/>
  <c r="BN58" i="3"/>
  <c r="BM58" i="3"/>
  <c r="BL58" i="3"/>
  <c r="BK58" i="3"/>
  <c r="BJ58" i="3"/>
  <c r="BI58" i="3"/>
  <c r="BH58" i="3"/>
  <c r="BG58" i="3"/>
  <c r="BF58" i="3"/>
  <c r="BE58" i="3"/>
  <c r="BD58" i="3"/>
  <c r="BC58" i="3"/>
  <c r="BB58" i="3"/>
  <c r="BA58" i="3"/>
  <c r="AZ58" i="3"/>
  <c r="AY58" i="3"/>
  <c r="AX58" i="3"/>
  <c r="AW58" i="3"/>
  <c r="AV58" i="3"/>
  <c r="AU58" i="3"/>
  <c r="AT58"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E76" i="9" s="1"/>
  <c r="Q58" i="3"/>
  <c r="D76" i="9" s="1"/>
  <c r="EE35" i="3"/>
  <c r="ED35" i="3"/>
  <c r="EC35" i="3"/>
  <c r="EB35" i="3"/>
  <c r="EA35" i="3"/>
  <c r="DZ35" i="3"/>
  <c r="DY35" i="3"/>
  <c r="DX35" i="3"/>
  <c r="DW35" i="3"/>
  <c r="DV35" i="3"/>
  <c r="DU35" i="3"/>
  <c r="DT35" i="3"/>
  <c r="DS35" i="3"/>
  <c r="DR35" i="3"/>
  <c r="DQ35" i="3"/>
  <c r="DP35" i="3"/>
  <c r="DO35" i="3"/>
  <c r="DN35" i="3"/>
  <c r="DM35" i="3"/>
  <c r="DL35" i="3"/>
  <c r="DK35" i="3"/>
  <c r="DJ35" i="3"/>
  <c r="DI35" i="3"/>
  <c r="DH35" i="3"/>
  <c r="DG35" i="3"/>
  <c r="DF35" i="3"/>
  <c r="DE35" i="3"/>
  <c r="DD35" i="3"/>
  <c r="DC35" i="3"/>
  <c r="DB35" i="3"/>
  <c r="DA35" i="3"/>
  <c r="CZ35" i="3"/>
  <c r="CY35" i="3"/>
  <c r="CX35" i="3"/>
  <c r="CW35" i="3"/>
  <c r="CV35" i="3"/>
  <c r="CU35" i="3"/>
  <c r="CT35" i="3"/>
  <c r="CS35" i="3"/>
  <c r="CR35" i="3"/>
  <c r="CQ35" i="3"/>
  <c r="CP35" i="3"/>
  <c r="CO35" i="3"/>
  <c r="CN35" i="3"/>
  <c r="CM35" i="3"/>
  <c r="CL35" i="3"/>
  <c r="CK35" i="3"/>
  <c r="CJ35" i="3"/>
  <c r="CI35" i="3"/>
  <c r="CH35" i="3"/>
  <c r="CG35" i="3"/>
  <c r="CF35" i="3"/>
  <c r="CE35" i="3"/>
  <c r="CD35" i="3"/>
  <c r="CC35" i="3"/>
  <c r="CB35" i="3"/>
  <c r="CA35" i="3"/>
  <c r="BZ35" i="3"/>
  <c r="BY35" i="3"/>
  <c r="BX35" i="3"/>
  <c r="BW35" i="3"/>
  <c r="BV35" i="3"/>
  <c r="BU35" i="3"/>
  <c r="BT35" i="3"/>
  <c r="BS35" i="3"/>
  <c r="BR35" i="3"/>
  <c r="BQ35" i="3"/>
  <c r="BP35" i="3"/>
  <c r="BO35" i="3"/>
  <c r="BN35" i="3"/>
  <c r="BM35" i="3"/>
  <c r="BL35" i="3"/>
  <c r="BK35" i="3"/>
  <c r="BJ35" i="3"/>
  <c r="BI35" i="3"/>
  <c r="BH35" i="3"/>
  <c r="BG35" i="3"/>
  <c r="BF35" i="3"/>
  <c r="BE35" i="3"/>
  <c r="BD35" i="3"/>
  <c r="BC35" i="3"/>
  <c r="BB35" i="3"/>
  <c r="BA35" i="3"/>
  <c r="AZ35" i="3"/>
  <c r="AY35" i="3"/>
  <c r="AX35"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R35" i="3"/>
  <c r="Q35" i="3"/>
  <c r="EE19" i="3"/>
  <c r="ED19" i="3"/>
  <c r="EC19" i="3"/>
  <c r="EB19" i="3"/>
  <c r="EA19" i="3"/>
  <c r="DZ19" i="3"/>
  <c r="DY19" i="3"/>
  <c r="DX19" i="3"/>
  <c r="DW19" i="3"/>
  <c r="DV19" i="3"/>
  <c r="DU19" i="3"/>
  <c r="DT19" i="3"/>
  <c r="DS19" i="3"/>
  <c r="DR19" i="3"/>
  <c r="DQ19" i="3"/>
  <c r="DP19" i="3"/>
  <c r="DO19" i="3"/>
  <c r="DN19" i="3"/>
  <c r="DM19" i="3"/>
  <c r="DL19" i="3"/>
  <c r="DK19" i="3"/>
  <c r="DJ19" i="3"/>
  <c r="DI19" i="3"/>
  <c r="DH19" i="3"/>
  <c r="DG19" i="3"/>
  <c r="DF19" i="3"/>
  <c r="DE19" i="3"/>
  <c r="DD19" i="3"/>
  <c r="DC19" i="3"/>
  <c r="DB19" i="3"/>
  <c r="DA19" i="3"/>
  <c r="CZ19" i="3"/>
  <c r="CY19" i="3"/>
  <c r="CX19" i="3"/>
  <c r="CW19" i="3"/>
  <c r="CV19" i="3"/>
  <c r="CU19" i="3"/>
  <c r="CT19" i="3"/>
  <c r="CS19" i="3"/>
  <c r="CR19" i="3"/>
  <c r="CQ19" i="3"/>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F74" i="9" s="1"/>
  <c r="R19" i="3"/>
  <c r="Q19" i="3"/>
  <c r="EE56" i="3"/>
  <c r="ED56" i="3"/>
  <c r="EC56" i="3"/>
  <c r="EB56" i="3"/>
  <c r="EA56" i="3"/>
  <c r="DZ56" i="3"/>
  <c r="DY56" i="3"/>
  <c r="DX56" i="3"/>
  <c r="DW56" i="3"/>
  <c r="DV56" i="3"/>
  <c r="DU56" i="3"/>
  <c r="DT56" i="3"/>
  <c r="DS56" i="3"/>
  <c r="DR56" i="3"/>
  <c r="DQ56" i="3"/>
  <c r="DP56" i="3"/>
  <c r="DO56" i="3"/>
  <c r="DN56" i="3"/>
  <c r="DM56" i="3"/>
  <c r="DL56" i="3"/>
  <c r="DK56" i="3"/>
  <c r="DJ56" i="3"/>
  <c r="DI56" i="3"/>
  <c r="DH56" i="3"/>
  <c r="DG56" i="3"/>
  <c r="DF56" i="3"/>
  <c r="DE56" i="3"/>
  <c r="DD56" i="3"/>
  <c r="DC56" i="3"/>
  <c r="DB56" i="3"/>
  <c r="DA56" i="3"/>
  <c r="CZ56" i="3"/>
  <c r="CY56" i="3"/>
  <c r="CX56" i="3"/>
  <c r="CW56" i="3"/>
  <c r="CV56" i="3"/>
  <c r="CU56" i="3"/>
  <c r="CT56" i="3"/>
  <c r="CS56" i="3"/>
  <c r="CR56" i="3"/>
  <c r="CQ56" i="3"/>
  <c r="CP56" i="3"/>
  <c r="CO56" i="3"/>
  <c r="CN56" i="3"/>
  <c r="CM56" i="3"/>
  <c r="CL56" i="3"/>
  <c r="CK56" i="3"/>
  <c r="CJ56" i="3"/>
  <c r="CI56" i="3"/>
  <c r="CH56" i="3"/>
  <c r="CG56" i="3"/>
  <c r="CF56" i="3"/>
  <c r="CE56" i="3"/>
  <c r="CD56" i="3"/>
  <c r="CC56" i="3"/>
  <c r="CB56" i="3"/>
  <c r="CA56" i="3"/>
  <c r="BZ56" i="3"/>
  <c r="BY56" i="3"/>
  <c r="BX56" i="3"/>
  <c r="BW56" i="3"/>
  <c r="BV56" i="3"/>
  <c r="BU56" i="3"/>
  <c r="BT56" i="3"/>
  <c r="BS56" i="3"/>
  <c r="BR56" i="3"/>
  <c r="BQ56" i="3"/>
  <c r="BP56" i="3"/>
  <c r="BO56" i="3"/>
  <c r="BN56" i="3"/>
  <c r="BM56" i="3"/>
  <c r="BL56" i="3"/>
  <c r="BK56" i="3"/>
  <c r="BJ56" i="3"/>
  <c r="BI56" i="3"/>
  <c r="BH56" i="3"/>
  <c r="BG56" i="3"/>
  <c r="BF56" i="3"/>
  <c r="BE56" i="3"/>
  <c r="BD56" i="3"/>
  <c r="BC56" i="3"/>
  <c r="BB56" i="3"/>
  <c r="BA56" i="3"/>
  <c r="AZ56" i="3"/>
  <c r="AY56" i="3"/>
  <c r="AX56" i="3"/>
  <c r="AW56" i="3"/>
  <c r="AV56" i="3"/>
  <c r="AU56" i="3"/>
  <c r="AT56" i="3"/>
  <c r="AS56" i="3"/>
  <c r="AR56" i="3"/>
  <c r="AQ56" i="3"/>
  <c r="AP56" i="3"/>
  <c r="AO56" i="3"/>
  <c r="AN56" i="3"/>
  <c r="AM56" i="3"/>
  <c r="AL56" i="3"/>
  <c r="AK56" i="3"/>
  <c r="AJ56" i="3"/>
  <c r="AI56" i="3"/>
  <c r="AH56" i="3"/>
  <c r="AG56" i="3"/>
  <c r="AF56" i="3"/>
  <c r="AE56" i="3"/>
  <c r="AD56" i="3"/>
  <c r="AC56" i="3"/>
  <c r="AB56" i="3"/>
  <c r="AA56" i="3"/>
  <c r="Z56" i="3"/>
  <c r="Y56" i="3"/>
  <c r="X56" i="3"/>
  <c r="W56" i="3"/>
  <c r="V56" i="3"/>
  <c r="U56" i="3"/>
  <c r="T56" i="3"/>
  <c r="S56" i="3"/>
  <c r="F73" i="9" s="1"/>
  <c r="R56" i="3"/>
  <c r="Q56" i="3"/>
  <c r="EE12" i="3"/>
  <c r="ED12" i="3"/>
  <c r="EC12" i="3"/>
  <c r="EB12" i="3"/>
  <c r="EA12" i="3"/>
  <c r="DZ12" i="3"/>
  <c r="DY12" i="3"/>
  <c r="DX12" i="3"/>
  <c r="DW12" i="3"/>
  <c r="DV12" i="3"/>
  <c r="DU12" i="3"/>
  <c r="DT12" i="3"/>
  <c r="DS12" i="3"/>
  <c r="DR12" i="3"/>
  <c r="DQ12" i="3"/>
  <c r="DP12" i="3"/>
  <c r="DO12" i="3"/>
  <c r="DN12" i="3"/>
  <c r="DM12" i="3"/>
  <c r="DL12" i="3"/>
  <c r="DK12" i="3"/>
  <c r="DJ12" i="3"/>
  <c r="DI12" i="3"/>
  <c r="DH12" i="3"/>
  <c r="DG12" i="3"/>
  <c r="DF12" i="3"/>
  <c r="DE12" i="3"/>
  <c r="DD12" i="3"/>
  <c r="DC12" i="3"/>
  <c r="DB12" i="3"/>
  <c r="DA12" i="3"/>
  <c r="CZ12" i="3"/>
  <c r="CY12" i="3"/>
  <c r="CX12" i="3"/>
  <c r="CW12" i="3"/>
  <c r="CV12" i="3"/>
  <c r="CU12" i="3"/>
  <c r="CT12" i="3"/>
  <c r="CS12" i="3"/>
  <c r="CR12" i="3"/>
  <c r="CQ12" i="3"/>
  <c r="CP12" i="3"/>
  <c r="CO12" i="3"/>
  <c r="CN12" i="3"/>
  <c r="CM12" i="3"/>
  <c r="CL12" i="3"/>
  <c r="CK12" i="3"/>
  <c r="CJ12" i="3"/>
  <c r="CI12" i="3"/>
  <c r="CH12" i="3"/>
  <c r="CG12" i="3"/>
  <c r="CF12" i="3"/>
  <c r="CE12" i="3"/>
  <c r="CD12" i="3"/>
  <c r="CC12" i="3"/>
  <c r="CB12" i="3"/>
  <c r="CA12" i="3"/>
  <c r="BZ12" i="3"/>
  <c r="BY12" i="3"/>
  <c r="BX12" i="3"/>
  <c r="BW12" i="3"/>
  <c r="BV12" i="3"/>
  <c r="BU12" i="3"/>
  <c r="BT12" i="3"/>
  <c r="BS12" i="3"/>
  <c r="BR12" i="3"/>
  <c r="BQ12" i="3"/>
  <c r="BP12" i="3"/>
  <c r="BO12" i="3"/>
  <c r="BN12" i="3"/>
  <c r="BM12" i="3"/>
  <c r="BL12" i="3"/>
  <c r="BK12" i="3"/>
  <c r="BJ12" i="3"/>
  <c r="BI12" i="3"/>
  <c r="BH12" i="3"/>
  <c r="BG12" i="3"/>
  <c r="BF12" i="3"/>
  <c r="BE12" i="3"/>
  <c r="BD12"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F72" i="9" s="1"/>
  <c r="R12" i="3"/>
  <c r="E72" i="9" s="1"/>
  <c r="Q12" i="3"/>
  <c r="EE63" i="3"/>
  <c r="ED63" i="3"/>
  <c r="EC63" i="3"/>
  <c r="EB63" i="3"/>
  <c r="EA63" i="3"/>
  <c r="DZ63" i="3"/>
  <c r="DY63" i="3"/>
  <c r="DX63" i="3"/>
  <c r="DW63" i="3"/>
  <c r="DV63" i="3"/>
  <c r="DU63" i="3"/>
  <c r="DT63" i="3"/>
  <c r="DS63" i="3"/>
  <c r="DR63" i="3"/>
  <c r="DQ63" i="3"/>
  <c r="DP63" i="3"/>
  <c r="DO63" i="3"/>
  <c r="DN63" i="3"/>
  <c r="DM63" i="3"/>
  <c r="DL63" i="3"/>
  <c r="DK63" i="3"/>
  <c r="DJ63" i="3"/>
  <c r="DI63" i="3"/>
  <c r="DH63" i="3"/>
  <c r="DG63" i="3"/>
  <c r="DF63" i="3"/>
  <c r="DE63" i="3"/>
  <c r="DD63" i="3"/>
  <c r="DC63" i="3"/>
  <c r="DB63" i="3"/>
  <c r="DA63" i="3"/>
  <c r="CZ63" i="3"/>
  <c r="CY63" i="3"/>
  <c r="CX63" i="3"/>
  <c r="CW63" i="3"/>
  <c r="CV63" i="3"/>
  <c r="CU63" i="3"/>
  <c r="CT63" i="3"/>
  <c r="CS63" i="3"/>
  <c r="CR63" i="3"/>
  <c r="CQ63" i="3"/>
  <c r="CP63" i="3"/>
  <c r="CO63" i="3"/>
  <c r="CN63" i="3"/>
  <c r="CM63" i="3"/>
  <c r="CL63" i="3"/>
  <c r="CK63" i="3"/>
  <c r="CJ63" i="3"/>
  <c r="CI63" i="3"/>
  <c r="CH63" i="3"/>
  <c r="CG63" i="3"/>
  <c r="CF63" i="3"/>
  <c r="CE63" i="3"/>
  <c r="CD63" i="3"/>
  <c r="CC63" i="3"/>
  <c r="CB63" i="3"/>
  <c r="CA63" i="3"/>
  <c r="BZ63" i="3"/>
  <c r="BY63" i="3"/>
  <c r="BX63" i="3"/>
  <c r="BW63" i="3"/>
  <c r="BV63" i="3"/>
  <c r="BU63" i="3"/>
  <c r="BT63" i="3"/>
  <c r="BS63" i="3"/>
  <c r="BR63" i="3"/>
  <c r="BQ63" i="3"/>
  <c r="BP63" i="3"/>
  <c r="BO63" i="3"/>
  <c r="BN63" i="3"/>
  <c r="BM63" i="3"/>
  <c r="BL63" i="3"/>
  <c r="BK63" i="3"/>
  <c r="BJ63" i="3"/>
  <c r="BI63" i="3"/>
  <c r="BH63" i="3"/>
  <c r="BG63" i="3"/>
  <c r="BF63" i="3"/>
  <c r="BE63" i="3"/>
  <c r="BD63" i="3"/>
  <c r="BC63" i="3"/>
  <c r="BB63" i="3"/>
  <c r="BA63" i="3"/>
  <c r="AZ63" i="3"/>
  <c r="AY63" i="3"/>
  <c r="AX63" i="3"/>
  <c r="AW63" i="3"/>
  <c r="AV63" i="3"/>
  <c r="AU63" i="3"/>
  <c r="AT63"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R63" i="3"/>
  <c r="E71" i="9" s="1"/>
  <c r="Q63" i="3"/>
  <c r="D71" i="9" s="1"/>
  <c r="EE2" i="3"/>
  <c r="ED2" i="3"/>
  <c r="EC2" i="3"/>
  <c r="EB2" i="3"/>
  <c r="EA2" i="3"/>
  <c r="DZ2" i="3"/>
  <c r="DY2" i="3"/>
  <c r="DX2" i="3"/>
  <c r="DW2" i="3"/>
  <c r="DV2" i="3"/>
  <c r="DU2" i="3"/>
  <c r="DT2" i="3"/>
  <c r="DS2" i="3"/>
  <c r="DR2" i="3"/>
  <c r="DQ2" i="3"/>
  <c r="DP2" i="3"/>
  <c r="DO2" i="3"/>
  <c r="DN2" i="3"/>
  <c r="DM2" i="3"/>
  <c r="DL2" i="3"/>
  <c r="DK2" i="3"/>
  <c r="DJ2" i="3"/>
  <c r="DI2" i="3"/>
  <c r="DH2" i="3"/>
  <c r="DG2" i="3"/>
  <c r="DF2" i="3"/>
  <c r="DE2" i="3"/>
  <c r="DD2" i="3"/>
  <c r="DC2" i="3"/>
  <c r="DB2" i="3"/>
  <c r="DA2" i="3"/>
  <c r="CZ2" i="3"/>
  <c r="CY2" i="3"/>
  <c r="CX2" i="3"/>
  <c r="CW2" i="3"/>
  <c r="CV2" i="3"/>
  <c r="CU2" i="3"/>
  <c r="CT2" i="3"/>
  <c r="CS2" i="3"/>
  <c r="CR2" i="3"/>
  <c r="CQ2" i="3"/>
  <c r="CP2" i="3"/>
  <c r="CO2" i="3"/>
  <c r="CN2" i="3"/>
  <c r="CM2" i="3"/>
  <c r="CL2" i="3"/>
  <c r="CK2" i="3"/>
  <c r="CJ2" i="3"/>
  <c r="CI2" i="3"/>
  <c r="CH2" i="3"/>
  <c r="CG2" i="3"/>
  <c r="CF2" i="3"/>
  <c r="CE2" i="3"/>
  <c r="CD2" i="3"/>
  <c r="CC2" i="3"/>
  <c r="CB2" i="3"/>
  <c r="CA2" i="3"/>
  <c r="BZ2" i="3"/>
  <c r="BY2" i="3"/>
  <c r="BX2" i="3"/>
  <c r="BW2" i="3"/>
  <c r="BV2" i="3"/>
  <c r="BU2" i="3"/>
  <c r="BT2" i="3"/>
  <c r="BS2" i="3"/>
  <c r="BR2" i="3"/>
  <c r="BQ2" i="3"/>
  <c r="BP2" i="3"/>
  <c r="BO2" i="3"/>
  <c r="BN2" i="3"/>
  <c r="BM2" i="3"/>
  <c r="BL2" i="3"/>
  <c r="BK2" i="3"/>
  <c r="BJ2" i="3"/>
  <c r="BI2" i="3"/>
  <c r="BH2" i="3"/>
  <c r="BG2" i="3"/>
  <c r="BF2" i="3"/>
  <c r="BE2" i="3"/>
  <c r="BD2" i="3"/>
  <c r="BC2"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S2" i="3"/>
  <c r="F70" i="9" s="1"/>
  <c r="R2" i="3"/>
  <c r="E70" i="9" s="1"/>
  <c r="Q2" i="3"/>
  <c r="D70" i="9" s="1"/>
  <c r="EE74" i="3"/>
  <c r="ED74" i="3"/>
  <c r="EC74" i="3"/>
  <c r="EB74" i="3"/>
  <c r="EA74" i="3"/>
  <c r="DZ74" i="3"/>
  <c r="DY74" i="3"/>
  <c r="DX74" i="3"/>
  <c r="DW74" i="3"/>
  <c r="DV74" i="3"/>
  <c r="DU74" i="3"/>
  <c r="DT74" i="3"/>
  <c r="DS74" i="3"/>
  <c r="DR74" i="3"/>
  <c r="DQ74" i="3"/>
  <c r="DP74" i="3"/>
  <c r="DO74" i="3"/>
  <c r="DN74" i="3"/>
  <c r="DM74" i="3"/>
  <c r="DL74" i="3"/>
  <c r="DK74" i="3"/>
  <c r="DJ74" i="3"/>
  <c r="DI74" i="3"/>
  <c r="DH74" i="3"/>
  <c r="DG74" i="3"/>
  <c r="DF74" i="3"/>
  <c r="DE74" i="3"/>
  <c r="DD74" i="3"/>
  <c r="DC74" i="3"/>
  <c r="DB74" i="3"/>
  <c r="DA74" i="3"/>
  <c r="CZ74" i="3"/>
  <c r="CY74" i="3"/>
  <c r="CX74" i="3"/>
  <c r="CW74" i="3"/>
  <c r="CV74" i="3"/>
  <c r="CU74" i="3"/>
  <c r="CT74" i="3"/>
  <c r="CS74" i="3"/>
  <c r="CR74" i="3"/>
  <c r="CQ74" i="3"/>
  <c r="CP74" i="3"/>
  <c r="CO74" i="3"/>
  <c r="CN74" i="3"/>
  <c r="CM74" i="3"/>
  <c r="CL74" i="3"/>
  <c r="CK74" i="3"/>
  <c r="CJ74" i="3"/>
  <c r="CI74" i="3"/>
  <c r="CH74" i="3"/>
  <c r="CG74" i="3"/>
  <c r="CF74" i="3"/>
  <c r="CE74" i="3"/>
  <c r="CD74" i="3"/>
  <c r="CC74" i="3"/>
  <c r="CB74" i="3"/>
  <c r="CA74" i="3"/>
  <c r="BZ74" i="3"/>
  <c r="BY74" i="3"/>
  <c r="BX74" i="3"/>
  <c r="BW74" i="3"/>
  <c r="BV74" i="3"/>
  <c r="BU74" i="3"/>
  <c r="BT74" i="3"/>
  <c r="BS74" i="3"/>
  <c r="BR74" i="3"/>
  <c r="BQ74" i="3"/>
  <c r="BP74" i="3"/>
  <c r="BO74" i="3"/>
  <c r="BN74" i="3"/>
  <c r="BM74" i="3"/>
  <c r="BL74" i="3"/>
  <c r="BK74" i="3"/>
  <c r="BJ74" i="3"/>
  <c r="BI74" i="3"/>
  <c r="BH74" i="3"/>
  <c r="BG74" i="3"/>
  <c r="BF74" i="3"/>
  <c r="BE74" i="3"/>
  <c r="BD74" i="3"/>
  <c r="BC74" i="3"/>
  <c r="BB74" i="3"/>
  <c r="BA74" i="3"/>
  <c r="AZ74" i="3"/>
  <c r="AY74" i="3"/>
  <c r="AX74" i="3"/>
  <c r="AW74" i="3"/>
  <c r="AV74" i="3"/>
  <c r="AU74" i="3"/>
  <c r="AT74" i="3"/>
  <c r="AS74" i="3"/>
  <c r="AR74" i="3"/>
  <c r="AQ74" i="3"/>
  <c r="AP74" i="3"/>
  <c r="AO74" i="3"/>
  <c r="AN74" i="3"/>
  <c r="AM74" i="3"/>
  <c r="AL74" i="3"/>
  <c r="AK74" i="3"/>
  <c r="AJ74" i="3"/>
  <c r="AI74" i="3"/>
  <c r="AH74" i="3"/>
  <c r="AG74" i="3"/>
  <c r="AF74" i="3"/>
  <c r="AE74" i="3"/>
  <c r="AD74" i="3"/>
  <c r="AC74" i="3"/>
  <c r="AB74" i="3"/>
  <c r="AA74" i="3"/>
  <c r="Z74" i="3"/>
  <c r="Y74" i="3"/>
  <c r="X74" i="3"/>
  <c r="W74" i="3"/>
  <c r="V74" i="3"/>
  <c r="U74" i="3"/>
  <c r="T74" i="3"/>
  <c r="S74" i="3"/>
  <c r="R74" i="3"/>
  <c r="Q74" i="3"/>
  <c r="D69" i="9" s="1"/>
  <c r="EE66" i="3"/>
  <c r="ED66" i="3"/>
  <c r="EC66" i="3"/>
  <c r="EB66" i="3"/>
  <c r="EA66" i="3"/>
  <c r="DZ66" i="3"/>
  <c r="DY66" i="3"/>
  <c r="DX66" i="3"/>
  <c r="DW66" i="3"/>
  <c r="DV66" i="3"/>
  <c r="DU66" i="3"/>
  <c r="DT66" i="3"/>
  <c r="DS66" i="3"/>
  <c r="DR66" i="3"/>
  <c r="DQ66" i="3"/>
  <c r="DP66" i="3"/>
  <c r="DO66" i="3"/>
  <c r="DN66" i="3"/>
  <c r="DM66" i="3"/>
  <c r="DL66" i="3"/>
  <c r="DK66" i="3"/>
  <c r="DJ66" i="3"/>
  <c r="DI66" i="3"/>
  <c r="DH66" i="3"/>
  <c r="DG66" i="3"/>
  <c r="DF66" i="3"/>
  <c r="DE66" i="3"/>
  <c r="DD66" i="3"/>
  <c r="DC66" i="3"/>
  <c r="DB66" i="3"/>
  <c r="DA66" i="3"/>
  <c r="CZ66" i="3"/>
  <c r="CY66" i="3"/>
  <c r="CX66" i="3"/>
  <c r="CW66" i="3"/>
  <c r="CV66" i="3"/>
  <c r="CU66" i="3"/>
  <c r="CT66" i="3"/>
  <c r="CS66" i="3"/>
  <c r="CR66" i="3"/>
  <c r="CQ66" i="3"/>
  <c r="CP66" i="3"/>
  <c r="CO66" i="3"/>
  <c r="CN66" i="3"/>
  <c r="CM66" i="3"/>
  <c r="CL66" i="3"/>
  <c r="CK66" i="3"/>
  <c r="CJ66" i="3"/>
  <c r="CI66" i="3"/>
  <c r="CH66" i="3"/>
  <c r="CG66" i="3"/>
  <c r="CF66" i="3"/>
  <c r="CE66" i="3"/>
  <c r="CD66" i="3"/>
  <c r="CC66" i="3"/>
  <c r="CB66" i="3"/>
  <c r="CA66" i="3"/>
  <c r="BZ66" i="3"/>
  <c r="BY66" i="3"/>
  <c r="BX66" i="3"/>
  <c r="BW66" i="3"/>
  <c r="BV66" i="3"/>
  <c r="BU66" i="3"/>
  <c r="BT66" i="3"/>
  <c r="BS66" i="3"/>
  <c r="BR66" i="3"/>
  <c r="BQ66" i="3"/>
  <c r="BP66" i="3"/>
  <c r="BO66" i="3"/>
  <c r="BN66" i="3"/>
  <c r="BM66" i="3"/>
  <c r="BL66" i="3"/>
  <c r="BK66" i="3"/>
  <c r="BJ66" i="3"/>
  <c r="BI66" i="3"/>
  <c r="BH66" i="3"/>
  <c r="BG66" i="3"/>
  <c r="BF66" i="3"/>
  <c r="BE66" i="3"/>
  <c r="BD66" i="3"/>
  <c r="BC66" i="3"/>
  <c r="BB66" i="3"/>
  <c r="BA66" i="3"/>
  <c r="AZ66" i="3"/>
  <c r="AY66" i="3"/>
  <c r="AX66" i="3"/>
  <c r="AW66" i="3"/>
  <c r="AV66" i="3"/>
  <c r="AU66" i="3"/>
  <c r="AT66" i="3"/>
  <c r="AS66" i="3"/>
  <c r="AR66" i="3"/>
  <c r="AQ66" i="3"/>
  <c r="AP66" i="3"/>
  <c r="AO66" i="3"/>
  <c r="AN66" i="3"/>
  <c r="AM66" i="3"/>
  <c r="AL66" i="3"/>
  <c r="AK66" i="3"/>
  <c r="AJ66" i="3"/>
  <c r="AI66" i="3"/>
  <c r="AH66" i="3"/>
  <c r="AG66" i="3"/>
  <c r="AF66" i="3"/>
  <c r="AE66" i="3"/>
  <c r="AD66" i="3"/>
  <c r="AC66" i="3"/>
  <c r="AB66" i="3"/>
  <c r="AA66" i="3"/>
  <c r="Z66" i="3"/>
  <c r="Y66" i="3"/>
  <c r="X66" i="3"/>
  <c r="W66" i="3"/>
  <c r="V66" i="3"/>
  <c r="U66" i="3"/>
  <c r="T66" i="3"/>
  <c r="S66" i="3"/>
  <c r="F68" i="9" s="1"/>
  <c r="R66" i="3"/>
  <c r="E68" i="9" s="1"/>
  <c r="Q66" i="3"/>
  <c r="D68" i="9" s="1"/>
  <c r="EE21" i="3"/>
  <c r="ED21" i="3"/>
  <c r="EC21" i="3"/>
  <c r="EB21" i="3"/>
  <c r="EA21" i="3"/>
  <c r="DZ21" i="3"/>
  <c r="DY21" i="3"/>
  <c r="DX21" i="3"/>
  <c r="DW21" i="3"/>
  <c r="DV21" i="3"/>
  <c r="DU21" i="3"/>
  <c r="DT21" i="3"/>
  <c r="DS21" i="3"/>
  <c r="DR21" i="3"/>
  <c r="DQ21" i="3"/>
  <c r="DP21" i="3"/>
  <c r="DO21" i="3"/>
  <c r="DN21" i="3"/>
  <c r="DM21" i="3"/>
  <c r="DL21" i="3"/>
  <c r="DK21" i="3"/>
  <c r="DJ21" i="3"/>
  <c r="DI21" i="3"/>
  <c r="DH21" i="3"/>
  <c r="DG21" i="3"/>
  <c r="DF21" i="3"/>
  <c r="DE21" i="3"/>
  <c r="DD21" i="3"/>
  <c r="DC21" i="3"/>
  <c r="DB21" i="3"/>
  <c r="DA21" i="3"/>
  <c r="CZ21" i="3"/>
  <c r="CY21" i="3"/>
  <c r="CX21" i="3"/>
  <c r="CW21" i="3"/>
  <c r="CV21" i="3"/>
  <c r="CU21" i="3"/>
  <c r="CT21" i="3"/>
  <c r="CS21" i="3"/>
  <c r="CR21" i="3"/>
  <c r="CQ21" i="3"/>
  <c r="CP21" i="3"/>
  <c r="CO21" i="3"/>
  <c r="CN21" i="3"/>
  <c r="CM21" i="3"/>
  <c r="CL21" i="3"/>
  <c r="CK21" i="3"/>
  <c r="CJ21" i="3"/>
  <c r="CI21" i="3"/>
  <c r="CH21" i="3"/>
  <c r="CG21" i="3"/>
  <c r="CF21" i="3"/>
  <c r="CE21" i="3"/>
  <c r="CD21" i="3"/>
  <c r="CC21" i="3"/>
  <c r="CB21" i="3"/>
  <c r="CA21" i="3"/>
  <c r="BZ21" i="3"/>
  <c r="BY21" i="3"/>
  <c r="BX21" i="3"/>
  <c r="BW21" i="3"/>
  <c r="BV21" i="3"/>
  <c r="BU21" i="3"/>
  <c r="BT21" i="3"/>
  <c r="BS21" i="3"/>
  <c r="BR21" i="3"/>
  <c r="BQ21" i="3"/>
  <c r="BP21" i="3"/>
  <c r="BO21" i="3"/>
  <c r="BN21" i="3"/>
  <c r="BM21" i="3"/>
  <c r="BL21" i="3"/>
  <c r="BK21" i="3"/>
  <c r="BJ21" i="3"/>
  <c r="BI21" i="3"/>
  <c r="BH21" i="3"/>
  <c r="BG21" i="3"/>
  <c r="BF21" i="3"/>
  <c r="BE21" i="3"/>
  <c r="BD21"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F67" i="9" s="1"/>
  <c r="R21" i="3"/>
  <c r="E67" i="9" s="1"/>
  <c r="Q21" i="3"/>
  <c r="D67" i="9" s="1"/>
  <c r="EE49" i="3"/>
  <c r="ED49" i="3"/>
  <c r="EC49" i="3"/>
  <c r="EB49" i="3"/>
  <c r="EA49" i="3"/>
  <c r="DZ49" i="3"/>
  <c r="DY49" i="3"/>
  <c r="DX49" i="3"/>
  <c r="DW49" i="3"/>
  <c r="DV49" i="3"/>
  <c r="DU49" i="3"/>
  <c r="DT49" i="3"/>
  <c r="DS49" i="3"/>
  <c r="DR49" i="3"/>
  <c r="DQ49" i="3"/>
  <c r="DP49" i="3"/>
  <c r="DO49" i="3"/>
  <c r="DN49" i="3"/>
  <c r="DM49" i="3"/>
  <c r="DL49" i="3"/>
  <c r="DK49" i="3"/>
  <c r="DJ49" i="3"/>
  <c r="DI49" i="3"/>
  <c r="DH49" i="3"/>
  <c r="DG49" i="3"/>
  <c r="DF49" i="3"/>
  <c r="DE49" i="3"/>
  <c r="DD49" i="3"/>
  <c r="DC49" i="3"/>
  <c r="DB49" i="3"/>
  <c r="DA49" i="3"/>
  <c r="CZ49" i="3"/>
  <c r="CY49" i="3"/>
  <c r="CX49" i="3"/>
  <c r="CW49" i="3"/>
  <c r="CV49" i="3"/>
  <c r="CU49" i="3"/>
  <c r="CT49" i="3"/>
  <c r="CS49" i="3"/>
  <c r="CR49" i="3"/>
  <c r="CQ49" i="3"/>
  <c r="CP49" i="3"/>
  <c r="CO49" i="3"/>
  <c r="CN49" i="3"/>
  <c r="CM49" i="3"/>
  <c r="CL49" i="3"/>
  <c r="CK49" i="3"/>
  <c r="CJ49" i="3"/>
  <c r="CI49" i="3"/>
  <c r="CH49" i="3"/>
  <c r="CG49" i="3"/>
  <c r="CF49" i="3"/>
  <c r="CE49" i="3"/>
  <c r="CD49" i="3"/>
  <c r="CC49" i="3"/>
  <c r="CB49" i="3"/>
  <c r="CA49" i="3"/>
  <c r="BZ49" i="3"/>
  <c r="BY49" i="3"/>
  <c r="BX49" i="3"/>
  <c r="BW49" i="3"/>
  <c r="BV49" i="3"/>
  <c r="BU49" i="3"/>
  <c r="BT49" i="3"/>
  <c r="BS49" i="3"/>
  <c r="BR49" i="3"/>
  <c r="BQ49" i="3"/>
  <c r="BP49" i="3"/>
  <c r="BO49" i="3"/>
  <c r="BN49" i="3"/>
  <c r="BM49" i="3"/>
  <c r="BL49" i="3"/>
  <c r="BK49" i="3"/>
  <c r="BJ49" i="3"/>
  <c r="BI49" i="3"/>
  <c r="BH49" i="3"/>
  <c r="BG49" i="3"/>
  <c r="BF49" i="3"/>
  <c r="BE49" i="3"/>
  <c r="BD49" i="3"/>
  <c r="BC49" i="3"/>
  <c r="BB49" i="3"/>
  <c r="BA49" i="3"/>
  <c r="AZ49" i="3"/>
  <c r="AY49" i="3"/>
  <c r="AX49"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F66" i="9" s="1"/>
  <c r="R49" i="3"/>
  <c r="E66" i="9" s="1"/>
  <c r="Q49" i="3"/>
  <c r="D66" i="9" s="1"/>
  <c r="EE65" i="3"/>
  <c r="ED65" i="3"/>
  <c r="EC65" i="3"/>
  <c r="EB65" i="3"/>
  <c r="EA65" i="3"/>
  <c r="DZ65" i="3"/>
  <c r="DY65" i="3"/>
  <c r="DX65" i="3"/>
  <c r="DW65" i="3"/>
  <c r="DV65" i="3"/>
  <c r="DU65" i="3"/>
  <c r="DT65" i="3"/>
  <c r="DS65" i="3"/>
  <c r="DR65" i="3"/>
  <c r="DQ65" i="3"/>
  <c r="DP65" i="3"/>
  <c r="DO65" i="3"/>
  <c r="DN65" i="3"/>
  <c r="DM65" i="3"/>
  <c r="DL65" i="3"/>
  <c r="DK65" i="3"/>
  <c r="DJ65" i="3"/>
  <c r="DI65" i="3"/>
  <c r="DH65" i="3"/>
  <c r="DG65" i="3"/>
  <c r="DF65" i="3"/>
  <c r="DE65" i="3"/>
  <c r="DD65" i="3"/>
  <c r="DC65" i="3"/>
  <c r="DB65" i="3"/>
  <c r="DA65" i="3"/>
  <c r="CZ65" i="3"/>
  <c r="CY65" i="3"/>
  <c r="CX65" i="3"/>
  <c r="CW65" i="3"/>
  <c r="CV65" i="3"/>
  <c r="CU65" i="3"/>
  <c r="CT65" i="3"/>
  <c r="CS65" i="3"/>
  <c r="CR65" i="3"/>
  <c r="CQ65" i="3"/>
  <c r="CP65" i="3"/>
  <c r="CO65" i="3"/>
  <c r="CN65" i="3"/>
  <c r="CM65" i="3"/>
  <c r="CL65" i="3"/>
  <c r="CK65" i="3"/>
  <c r="CJ65" i="3"/>
  <c r="CI65" i="3"/>
  <c r="CH65" i="3"/>
  <c r="CG65" i="3"/>
  <c r="CF65" i="3"/>
  <c r="CE65" i="3"/>
  <c r="CD65" i="3"/>
  <c r="CC65" i="3"/>
  <c r="CB65" i="3"/>
  <c r="CA65" i="3"/>
  <c r="BZ65" i="3"/>
  <c r="BY65" i="3"/>
  <c r="BX65" i="3"/>
  <c r="BW65" i="3"/>
  <c r="BV65" i="3"/>
  <c r="BU65" i="3"/>
  <c r="BT65" i="3"/>
  <c r="BS65" i="3"/>
  <c r="BR65" i="3"/>
  <c r="BQ65" i="3"/>
  <c r="BP65" i="3"/>
  <c r="BO65" i="3"/>
  <c r="BN65" i="3"/>
  <c r="BM65" i="3"/>
  <c r="BL65" i="3"/>
  <c r="BK65" i="3"/>
  <c r="BJ65" i="3"/>
  <c r="BI65" i="3"/>
  <c r="BH65" i="3"/>
  <c r="BG65" i="3"/>
  <c r="BF65" i="3"/>
  <c r="BE65" i="3"/>
  <c r="BD65" i="3"/>
  <c r="BC65" i="3"/>
  <c r="BB65" i="3"/>
  <c r="BA65" i="3"/>
  <c r="AZ65" i="3"/>
  <c r="AY65" i="3"/>
  <c r="AX65" i="3"/>
  <c r="AW65" i="3"/>
  <c r="AV65" i="3"/>
  <c r="AU65" i="3"/>
  <c r="AT65" i="3"/>
  <c r="AS65" i="3"/>
  <c r="AR65" i="3"/>
  <c r="AQ65" i="3"/>
  <c r="AP65" i="3"/>
  <c r="AO65" i="3"/>
  <c r="AN65" i="3"/>
  <c r="AM65" i="3"/>
  <c r="AL65" i="3"/>
  <c r="AK65" i="3"/>
  <c r="AJ65" i="3"/>
  <c r="AI65" i="3"/>
  <c r="AH65" i="3"/>
  <c r="AG65" i="3"/>
  <c r="AF65" i="3"/>
  <c r="AE65" i="3"/>
  <c r="AD65" i="3"/>
  <c r="AC65" i="3"/>
  <c r="AB65" i="3"/>
  <c r="AA65" i="3"/>
  <c r="Z65" i="3"/>
  <c r="Y65" i="3"/>
  <c r="X65" i="3"/>
  <c r="W65" i="3"/>
  <c r="V65" i="3"/>
  <c r="U65" i="3"/>
  <c r="T65" i="3"/>
  <c r="S65" i="3"/>
  <c r="R65" i="3"/>
  <c r="Q65" i="3"/>
  <c r="EE23" i="3"/>
  <c r="ED23" i="3"/>
  <c r="EC23" i="3"/>
  <c r="EB23" i="3"/>
  <c r="EA23" i="3"/>
  <c r="DZ23" i="3"/>
  <c r="DY23" i="3"/>
  <c r="DX23" i="3"/>
  <c r="DW23" i="3"/>
  <c r="DV23" i="3"/>
  <c r="DU23" i="3"/>
  <c r="DT23" i="3"/>
  <c r="DS23" i="3"/>
  <c r="DR23" i="3"/>
  <c r="DQ23" i="3"/>
  <c r="DP23" i="3"/>
  <c r="DO23" i="3"/>
  <c r="DN23" i="3"/>
  <c r="DM23" i="3"/>
  <c r="DL23" i="3"/>
  <c r="DK23" i="3"/>
  <c r="DJ23" i="3"/>
  <c r="DI23" i="3"/>
  <c r="DH23" i="3"/>
  <c r="DG23" i="3"/>
  <c r="DF23" i="3"/>
  <c r="DE23" i="3"/>
  <c r="DD23" i="3"/>
  <c r="DC23" i="3"/>
  <c r="DB23" i="3"/>
  <c r="DA23" i="3"/>
  <c r="CZ23" i="3"/>
  <c r="CY23" i="3"/>
  <c r="CX23" i="3"/>
  <c r="CW23" i="3"/>
  <c r="CV23" i="3"/>
  <c r="CU23" i="3"/>
  <c r="CT23" i="3"/>
  <c r="CS23" i="3"/>
  <c r="CR23" i="3"/>
  <c r="CQ23" i="3"/>
  <c r="CP23" i="3"/>
  <c r="CO23" i="3"/>
  <c r="CN23" i="3"/>
  <c r="CM23" i="3"/>
  <c r="CL23" i="3"/>
  <c r="CK23" i="3"/>
  <c r="CJ23" i="3"/>
  <c r="CI23" i="3"/>
  <c r="CH23" i="3"/>
  <c r="CG23" i="3"/>
  <c r="CF23" i="3"/>
  <c r="CE23" i="3"/>
  <c r="CD23" i="3"/>
  <c r="CC23" i="3"/>
  <c r="CB23" i="3"/>
  <c r="CA23" i="3"/>
  <c r="BZ23" i="3"/>
  <c r="BY23" i="3"/>
  <c r="BX23" i="3"/>
  <c r="BW23" i="3"/>
  <c r="BV23" i="3"/>
  <c r="BU23" i="3"/>
  <c r="BT23" i="3"/>
  <c r="BS23" i="3"/>
  <c r="BR23" i="3"/>
  <c r="BQ23" i="3"/>
  <c r="BP23" i="3"/>
  <c r="BO23" i="3"/>
  <c r="BN23" i="3"/>
  <c r="BM23" i="3"/>
  <c r="BL23" i="3"/>
  <c r="BK23" i="3"/>
  <c r="BJ23" i="3"/>
  <c r="BI23" i="3"/>
  <c r="BH23" i="3"/>
  <c r="BG23" i="3"/>
  <c r="BF23" i="3"/>
  <c r="BE23" i="3"/>
  <c r="BD23" i="3"/>
  <c r="BC23" i="3"/>
  <c r="BB23" i="3"/>
  <c r="BA23" i="3"/>
  <c r="AZ23" i="3"/>
  <c r="AY23" i="3"/>
  <c r="AX23"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T23" i="3"/>
  <c r="S23" i="3"/>
  <c r="F64" i="9" s="1"/>
  <c r="R23" i="3"/>
  <c r="E64" i="9" s="1"/>
  <c r="Q23" i="3"/>
  <c r="EE30" i="3"/>
  <c r="ED30" i="3"/>
  <c r="EC30" i="3"/>
  <c r="EB30" i="3"/>
  <c r="EA30" i="3"/>
  <c r="DZ30" i="3"/>
  <c r="DY30" i="3"/>
  <c r="DX30" i="3"/>
  <c r="DW30" i="3"/>
  <c r="DV30" i="3"/>
  <c r="DU30" i="3"/>
  <c r="DT30" i="3"/>
  <c r="DS30" i="3"/>
  <c r="DR30" i="3"/>
  <c r="DQ30" i="3"/>
  <c r="DP30" i="3"/>
  <c r="DO30" i="3"/>
  <c r="DN30" i="3"/>
  <c r="DM30" i="3"/>
  <c r="DL30" i="3"/>
  <c r="DK30" i="3"/>
  <c r="DJ30" i="3"/>
  <c r="DI30" i="3"/>
  <c r="DH30" i="3"/>
  <c r="DG30" i="3"/>
  <c r="DF30" i="3"/>
  <c r="DE30" i="3"/>
  <c r="DD30" i="3"/>
  <c r="DC30" i="3"/>
  <c r="DB30" i="3"/>
  <c r="DA30" i="3"/>
  <c r="CZ30" i="3"/>
  <c r="CY30" i="3"/>
  <c r="CX30" i="3"/>
  <c r="CW30" i="3"/>
  <c r="CV30" i="3"/>
  <c r="CU30" i="3"/>
  <c r="CT30" i="3"/>
  <c r="CS30" i="3"/>
  <c r="CR30" i="3"/>
  <c r="CQ30" i="3"/>
  <c r="CP30" i="3"/>
  <c r="CO30" i="3"/>
  <c r="CN30" i="3"/>
  <c r="CM30" i="3"/>
  <c r="CL30" i="3"/>
  <c r="CK30" i="3"/>
  <c r="CJ30" i="3"/>
  <c r="CI30" i="3"/>
  <c r="CH30" i="3"/>
  <c r="CG30" i="3"/>
  <c r="CF30" i="3"/>
  <c r="CE30" i="3"/>
  <c r="CD30" i="3"/>
  <c r="CC30" i="3"/>
  <c r="CB30" i="3"/>
  <c r="CA30" i="3"/>
  <c r="BZ30" i="3"/>
  <c r="BY30" i="3"/>
  <c r="BX30" i="3"/>
  <c r="BW30" i="3"/>
  <c r="BV30" i="3"/>
  <c r="BU30" i="3"/>
  <c r="BT30" i="3"/>
  <c r="BS30" i="3"/>
  <c r="BR30" i="3"/>
  <c r="BQ30" i="3"/>
  <c r="BP30" i="3"/>
  <c r="BO30" i="3"/>
  <c r="BN30" i="3"/>
  <c r="BM30" i="3"/>
  <c r="BL30" i="3"/>
  <c r="BK30" i="3"/>
  <c r="BJ30" i="3"/>
  <c r="BI30" i="3"/>
  <c r="BH30" i="3"/>
  <c r="BG30" i="3"/>
  <c r="BF30" i="3"/>
  <c r="BE30" i="3"/>
  <c r="BD30" i="3"/>
  <c r="BC30" i="3"/>
  <c r="BB30" i="3"/>
  <c r="BA30" i="3"/>
  <c r="AZ30" i="3"/>
  <c r="AY30" i="3"/>
  <c r="AX30"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T30" i="3"/>
  <c r="S30" i="3"/>
  <c r="F63" i="9" s="1"/>
  <c r="R30" i="3"/>
  <c r="E63" i="9" s="1"/>
  <c r="Q30" i="3"/>
  <c r="EE62" i="3"/>
  <c r="ED62" i="3"/>
  <c r="EC62" i="3"/>
  <c r="EB62" i="3"/>
  <c r="EA62" i="3"/>
  <c r="DZ62" i="3"/>
  <c r="DY62" i="3"/>
  <c r="DX62" i="3"/>
  <c r="DW62" i="3"/>
  <c r="DV62" i="3"/>
  <c r="DU62" i="3"/>
  <c r="DT62" i="3"/>
  <c r="DS62" i="3"/>
  <c r="DR62" i="3"/>
  <c r="DQ62" i="3"/>
  <c r="DP62" i="3"/>
  <c r="DO62" i="3"/>
  <c r="DN62" i="3"/>
  <c r="DM62" i="3"/>
  <c r="DL62" i="3"/>
  <c r="DK62" i="3"/>
  <c r="DJ62" i="3"/>
  <c r="DI62" i="3"/>
  <c r="DH62" i="3"/>
  <c r="DG62" i="3"/>
  <c r="DF62" i="3"/>
  <c r="DE62" i="3"/>
  <c r="DD62" i="3"/>
  <c r="DC62" i="3"/>
  <c r="DB62" i="3"/>
  <c r="DA62" i="3"/>
  <c r="CZ62" i="3"/>
  <c r="CY62" i="3"/>
  <c r="CX62" i="3"/>
  <c r="CW62" i="3"/>
  <c r="CV62" i="3"/>
  <c r="CU62" i="3"/>
  <c r="CT62" i="3"/>
  <c r="CS62" i="3"/>
  <c r="CR62" i="3"/>
  <c r="CQ62" i="3"/>
  <c r="CP62" i="3"/>
  <c r="CO62" i="3"/>
  <c r="CN62" i="3"/>
  <c r="CM62" i="3"/>
  <c r="CL62" i="3"/>
  <c r="CK62" i="3"/>
  <c r="CJ62" i="3"/>
  <c r="CI62" i="3"/>
  <c r="CH62" i="3"/>
  <c r="CG62" i="3"/>
  <c r="CF62" i="3"/>
  <c r="CE62" i="3"/>
  <c r="CD62" i="3"/>
  <c r="CC62" i="3"/>
  <c r="CB62" i="3"/>
  <c r="CA62" i="3"/>
  <c r="BZ62" i="3"/>
  <c r="BY62" i="3"/>
  <c r="BX62" i="3"/>
  <c r="BW62" i="3"/>
  <c r="BV62" i="3"/>
  <c r="BU62" i="3"/>
  <c r="BT62" i="3"/>
  <c r="BS62" i="3"/>
  <c r="BR62" i="3"/>
  <c r="BQ62" i="3"/>
  <c r="BP62" i="3"/>
  <c r="BO62" i="3"/>
  <c r="BN62" i="3"/>
  <c r="BM62" i="3"/>
  <c r="BL62" i="3"/>
  <c r="BK62" i="3"/>
  <c r="BJ62" i="3"/>
  <c r="BI62" i="3"/>
  <c r="BH62" i="3"/>
  <c r="BG62" i="3"/>
  <c r="BF62" i="3"/>
  <c r="BE62" i="3"/>
  <c r="BD62" i="3"/>
  <c r="BC62" i="3"/>
  <c r="BB62" i="3"/>
  <c r="BA62" i="3"/>
  <c r="AZ62" i="3"/>
  <c r="AY62" i="3"/>
  <c r="AX62" i="3"/>
  <c r="AW62" i="3"/>
  <c r="AV62" i="3"/>
  <c r="AU62"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F62" i="9" s="1"/>
  <c r="R62" i="3"/>
  <c r="E62" i="9" s="1"/>
  <c r="Q62" i="3"/>
  <c r="D62" i="9" s="1"/>
  <c r="EE77" i="3"/>
  <c r="ED77" i="3"/>
  <c r="EC77" i="3"/>
  <c r="EB77" i="3"/>
  <c r="EA77" i="3"/>
  <c r="DZ77" i="3"/>
  <c r="DY77" i="3"/>
  <c r="DX77" i="3"/>
  <c r="DW77" i="3"/>
  <c r="DV77" i="3"/>
  <c r="DU77" i="3"/>
  <c r="DT77" i="3"/>
  <c r="DS77" i="3"/>
  <c r="DR77" i="3"/>
  <c r="DQ77" i="3"/>
  <c r="DP77" i="3"/>
  <c r="DO77" i="3"/>
  <c r="DN77" i="3"/>
  <c r="DM77" i="3"/>
  <c r="DL77" i="3"/>
  <c r="DK77" i="3"/>
  <c r="DJ77" i="3"/>
  <c r="DI77" i="3"/>
  <c r="DH77" i="3"/>
  <c r="DG77" i="3"/>
  <c r="DF77" i="3"/>
  <c r="DE77" i="3"/>
  <c r="DD77" i="3"/>
  <c r="DC77" i="3"/>
  <c r="DB77" i="3"/>
  <c r="DA77" i="3"/>
  <c r="CZ77" i="3"/>
  <c r="CY77" i="3"/>
  <c r="CX77" i="3"/>
  <c r="CW77" i="3"/>
  <c r="CV77" i="3"/>
  <c r="CU77" i="3"/>
  <c r="CT77" i="3"/>
  <c r="CS77" i="3"/>
  <c r="CR77" i="3"/>
  <c r="CQ77" i="3"/>
  <c r="CP77" i="3"/>
  <c r="CO77" i="3"/>
  <c r="CN77" i="3"/>
  <c r="CM77" i="3"/>
  <c r="CL77" i="3"/>
  <c r="CK77" i="3"/>
  <c r="CJ77" i="3"/>
  <c r="CI77" i="3"/>
  <c r="CH77" i="3"/>
  <c r="CG77" i="3"/>
  <c r="CF77" i="3"/>
  <c r="CE77" i="3"/>
  <c r="CD77" i="3"/>
  <c r="CC77" i="3"/>
  <c r="CB77" i="3"/>
  <c r="CA77" i="3"/>
  <c r="BZ77" i="3"/>
  <c r="BY77" i="3"/>
  <c r="BX77" i="3"/>
  <c r="BW77" i="3"/>
  <c r="BV77" i="3"/>
  <c r="BU77" i="3"/>
  <c r="BT77" i="3"/>
  <c r="BS77" i="3"/>
  <c r="BR77" i="3"/>
  <c r="BQ77" i="3"/>
  <c r="BP77" i="3"/>
  <c r="BO77" i="3"/>
  <c r="BN77" i="3"/>
  <c r="BM77" i="3"/>
  <c r="BL77" i="3"/>
  <c r="BK77" i="3"/>
  <c r="BJ77" i="3"/>
  <c r="BI77" i="3"/>
  <c r="BH77" i="3"/>
  <c r="BG77" i="3"/>
  <c r="BF77" i="3"/>
  <c r="BE77" i="3"/>
  <c r="BD77" i="3"/>
  <c r="BC77" i="3"/>
  <c r="BB77" i="3"/>
  <c r="BA77" i="3"/>
  <c r="AZ77" i="3"/>
  <c r="AY77" i="3"/>
  <c r="AX77" i="3"/>
  <c r="AW77" i="3"/>
  <c r="AV77" i="3"/>
  <c r="AU77" i="3"/>
  <c r="AT77" i="3"/>
  <c r="AS77" i="3"/>
  <c r="AR77" i="3"/>
  <c r="AQ77" i="3"/>
  <c r="AP77" i="3"/>
  <c r="AO77" i="3"/>
  <c r="AN77" i="3"/>
  <c r="AM77" i="3"/>
  <c r="AL77" i="3"/>
  <c r="AK77" i="3"/>
  <c r="AJ77" i="3"/>
  <c r="AI77" i="3"/>
  <c r="AH77" i="3"/>
  <c r="AG77" i="3"/>
  <c r="AF77" i="3"/>
  <c r="AE77" i="3"/>
  <c r="AD77" i="3"/>
  <c r="AC77" i="3"/>
  <c r="AB77" i="3"/>
  <c r="AA77" i="3"/>
  <c r="Z77" i="3"/>
  <c r="Y77" i="3"/>
  <c r="X77" i="3"/>
  <c r="W77" i="3"/>
  <c r="V77" i="3"/>
  <c r="U77" i="3"/>
  <c r="T77" i="3"/>
  <c r="S77" i="3"/>
  <c r="R77" i="3"/>
  <c r="Q77" i="3"/>
  <c r="EE18" i="3"/>
  <c r="ED18" i="3"/>
  <c r="EC18" i="3"/>
  <c r="EB18" i="3"/>
  <c r="EA18" i="3"/>
  <c r="DZ18" i="3"/>
  <c r="DY18" i="3"/>
  <c r="DX18" i="3"/>
  <c r="DW18" i="3"/>
  <c r="DV18" i="3"/>
  <c r="DU18" i="3"/>
  <c r="DT18" i="3"/>
  <c r="DS18" i="3"/>
  <c r="DR18" i="3"/>
  <c r="DQ18" i="3"/>
  <c r="DP18" i="3"/>
  <c r="DO18" i="3"/>
  <c r="DN18" i="3"/>
  <c r="DM18" i="3"/>
  <c r="DL18" i="3"/>
  <c r="DK18" i="3"/>
  <c r="DJ18" i="3"/>
  <c r="DI18" i="3"/>
  <c r="DH18" i="3"/>
  <c r="DG18" i="3"/>
  <c r="DF18" i="3"/>
  <c r="DE18" i="3"/>
  <c r="DD18" i="3"/>
  <c r="DC18" i="3"/>
  <c r="DB18" i="3"/>
  <c r="DA18" i="3"/>
  <c r="CZ18" i="3"/>
  <c r="CY18" i="3"/>
  <c r="CX18" i="3"/>
  <c r="CW18" i="3"/>
  <c r="CV18" i="3"/>
  <c r="CU18" i="3"/>
  <c r="CT18" i="3"/>
  <c r="CS18" i="3"/>
  <c r="CR18" i="3"/>
  <c r="CQ18" i="3"/>
  <c r="CP18" i="3"/>
  <c r="CO18" i="3"/>
  <c r="CN18" i="3"/>
  <c r="CM18" i="3"/>
  <c r="CL18" i="3"/>
  <c r="CK18" i="3"/>
  <c r="CJ18" i="3"/>
  <c r="CI18" i="3"/>
  <c r="CH18" i="3"/>
  <c r="CG18" i="3"/>
  <c r="CF18" i="3"/>
  <c r="CE18" i="3"/>
  <c r="CD18" i="3"/>
  <c r="CC18" i="3"/>
  <c r="CB18" i="3"/>
  <c r="CA18" i="3"/>
  <c r="BZ18" i="3"/>
  <c r="BY18" i="3"/>
  <c r="BX18" i="3"/>
  <c r="BW18" i="3"/>
  <c r="BV18" i="3"/>
  <c r="BU18" i="3"/>
  <c r="BT18" i="3"/>
  <c r="BS18" i="3"/>
  <c r="BR18" i="3"/>
  <c r="BQ18" i="3"/>
  <c r="BP18" i="3"/>
  <c r="BO18" i="3"/>
  <c r="BN18" i="3"/>
  <c r="BM18" i="3"/>
  <c r="BL18" i="3"/>
  <c r="BK18" i="3"/>
  <c r="BJ18" i="3"/>
  <c r="BI18" i="3"/>
  <c r="BH18" i="3"/>
  <c r="BG18" i="3"/>
  <c r="BF18" i="3"/>
  <c r="BE18" i="3"/>
  <c r="BD18" i="3"/>
  <c r="BC18" i="3"/>
  <c r="BB18" i="3"/>
  <c r="BA18" i="3"/>
  <c r="AZ18" i="3"/>
  <c r="AY18" i="3"/>
  <c r="AX18" i="3"/>
  <c r="AW18" i="3"/>
  <c r="AV18" i="3"/>
  <c r="AU18" i="3"/>
  <c r="AT18" i="3"/>
  <c r="AS18" i="3"/>
  <c r="AR18" i="3"/>
  <c r="AQ18" i="3"/>
  <c r="AP18" i="3"/>
  <c r="AO18" i="3"/>
  <c r="AN18" i="3"/>
  <c r="AM18" i="3"/>
  <c r="AL18" i="3"/>
  <c r="AK18" i="3"/>
  <c r="AJ18" i="3"/>
  <c r="AI18" i="3"/>
  <c r="AH18" i="3"/>
  <c r="AG18" i="3"/>
  <c r="AF18" i="3"/>
  <c r="AE18" i="3"/>
  <c r="AD18" i="3"/>
  <c r="AC18" i="3"/>
  <c r="AB18" i="3"/>
  <c r="AA18" i="3"/>
  <c r="Z18" i="3"/>
  <c r="Y18" i="3"/>
  <c r="X18" i="3"/>
  <c r="W18" i="3"/>
  <c r="V18" i="3"/>
  <c r="U18" i="3"/>
  <c r="T18" i="3"/>
  <c r="S18" i="3"/>
  <c r="R18" i="3"/>
  <c r="E60" i="9" s="1"/>
  <c r="Q18" i="3"/>
  <c r="D60" i="9" s="1"/>
  <c r="EE45" i="3"/>
  <c r="ED45" i="3"/>
  <c r="EC45" i="3"/>
  <c r="EB45" i="3"/>
  <c r="EA45" i="3"/>
  <c r="DZ45" i="3"/>
  <c r="DY45" i="3"/>
  <c r="DX45" i="3"/>
  <c r="DW45" i="3"/>
  <c r="DV45" i="3"/>
  <c r="DU45" i="3"/>
  <c r="DT45" i="3"/>
  <c r="DS45" i="3"/>
  <c r="DR45" i="3"/>
  <c r="DQ45" i="3"/>
  <c r="DP45" i="3"/>
  <c r="DO45" i="3"/>
  <c r="DN45" i="3"/>
  <c r="DM45" i="3"/>
  <c r="DL45" i="3"/>
  <c r="DK45" i="3"/>
  <c r="DJ45" i="3"/>
  <c r="DI45" i="3"/>
  <c r="DH45" i="3"/>
  <c r="DG45" i="3"/>
  <c r="DF45" i="3"/>
  <c r="DE45" i="3"/>
  <c r="DD45" i="3"/>
  <c r="DC45" i="3"/>
  <c r="DB45" i="3"/>
  <c r="DA45" i="3"/>
  <c r="CZ45" i="3"/>
  <c r="CY45" i="3"/>
  <c r="CX45" i="3"/>
  <c r="CW45" i="3"/>
  <c r="CV45" i="3"/>
  <c r="CU45" i="3"/>
  <c r="CT45" i="3"/>
  <c r="CS45" i="3"/>
  <c r="CR45" i="3"/>
  <c r="CQ45" i="3"/>
  <c r="CP45" i="3"/>
  <c r="CO45" i="3"/>
  <c r="CN45" i="3"/>
  <c r="CM45" i="3"/>
  <c r="CL45" i="3"/>
  <c r="CK45" i="3"/>
  <c r="CJ45" i="3"/>
  <c r="CI45" i="3"/>
  <c r="CH45" i="3"/>
  <c r="CG45" i="3"/>
  <c r="CF45" i="3"/>
  <c r="CE45" i="3"/>
  <c r="CD45" i="3"/>
  <c r="CC45" i="3"/>
  <c r="CB45" i="3"/>
  <c r="CA45" i="3"/>
  <c r="BZ45" i="3"/>
  <c r="BY45" i="3"/>
  <c r="BX45" i="3"/>
  <c r="BW45" i="3"/>
  <c r="BV45" i="3"/>
  <c r="BU45" i="3"/>
  <c r="BT45" i="3"/>
  <c r="BS45" i="3"/>
  <c r="BR45" i="3"/>
  <c r="BQ45" i="3"/>
  <c r="BP45" i="3"/>
  <c r="BO45" i="3"/>
  <c r="BN45" i="3"/>
  <c r="BM45" i="3"/>
  <c r="BL45" i="3"/>
  <c r="BK45" i="3"/>
  <c r="BJ45" i="3"/>
  <c r="BI45" i="3"/>
  <c r="BH45" i="3"/>
  <c r="BG45" i="3"/>
  <c r="BF45" i="3"/>
  <c r="BE45" i="3"/>
  <c r="BD45" i="3"/>
  <c r="BC45"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EE17" i="3"/>
  <c r="ED17" i="3"/>
  <c r="EC17" i="3"/>
  <c r="EB17" i="3"/>
  <c r="EA17" i="3"/>
  <c r="DZ17" i="3"/>
  <c r="DY17" i="3"/>
  <c r="DX17" i="3"/>
  <c r="DW17" i="3"/>
  <c r="DV17" i="3"/>
  <c r="DU17" i="3"/>
  <c r="DT17" i="3"/>
  <c r="DS17" i="3"/>
  <c r="DR17" i="3"/>
  <c r="DQ17" i="3"/>
  <c r="DP17" i="3"/>
  <c r="DO17" i="3"/>
  <c r="DN17" i="3"/>
  <c r="DM17" i="3"/>
  <c r="DL17" i="3"/>
  <c r="DK17" i="3"/>
  <c r="DJ17" i="3"/>
  <c r="DI17" i="3"/>
  <c r="DH17" i="3"/>
  <c r="DG17" i="3"/>
  <c r="DF17" i="3"/>
  <c r="DE17" i="3"/>
  <c r="DD17" i="3"/>
  <c r="DC17" i="3"/>
  <c r="DB17" i="3"/>
  <c r="DA17" i="3"/>
  <c r="CZ17" i="3"/>
  <c r="CY17" i="3"/>
  <c r="CX17" i="3"/>
  <c r="CW17" i="3"/>
  <c r="CV17" i="3"/>
  <c r="CU17" i="3"/>
  <c r="CT17" i="3"/>
  <c r="CS17" i="3"/>
  <c r="CR17" i="3"/>
  <c r="CQ17" i="3"/>
  <c r="CP17" i="3"/>
  <c r="CO17" i="3"/>
  <c r="CN17" i="3"/>
  <c r="CM17" i="3"/>
  <c r="CL17" i="3"/>
  <c r="CK17" i="3"/>
  <c r="CJ17" i="3"/>
  <c r="CI17" i="3"/>
  <c r="CH17" i="3"/>
  <c r="CG17" i="3"/>
  <c r="CF17" i="3"/>
  <c r="CE17" i="3"/>
  <c r="CD17" i="3"/>
  <c r="CC17" i="3"/>
  <c r="CB17" i="3"/>
  <c r="CA17" i="3"/>
  <c r="BZ17" i="3"/>
  <c r="BY17" i="3"/>
  <c r="BX17" i="3"/>
  <c r="BW17" i="3"/>
  <c r="BV17" i="3"/>
  <c r="BU17" i="3"/>
  <c r="BT17" i="3"/>
  <c r="BS17" i="3"/>
  <c r="BR17" i="3"/>
  <c r="BQ17" i="3"/>
  <c r="BP17" i="3"/>
  <c r="BO17" i="3"/>
  <c r="BN17" i="3"/>
  <c r="BM17" i="3"/>
  <c r="BL17" i="3"/>
  <c r="BK17" i="3"/>
  <c r="BJ17" i="3"/>
  <c r="BI17" i="3"/>
  <c r="BH17" i="3"/>
  <c r="BG17" i="3"/>
  <c r="BF17" i="3"/>
  <c r="BE17" i="3"/>
  <c r="BD17"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D58" i="9" s="1"/>
  <c r="EE41" i="3"/>
  <c r="ED41" i="3"/>
  <c r="EC41" i="3"/>
  <c r="EB41" i="3"/>
  <c r="EA41" i="3"/>
  <c r="DZ41" i="3"/>
  <c r="DY41" i="3"/>
  <c r="DX41" i="3"/>
  <c r="DW41" i="3"/>
  <c r="DV41" i="3"/>
  <c r="DU41" i="3"/>
  <c r="DT41" i="3"/>
  <c r="DS41" i="3"/>
  <c r="DR41" i="3"/>
  <c r="DQ41" i="3"/>
  <c r="DP41" i="3"/>
  <c r="DO41" i="3"/>
  <c r="DN41" i="3"/>
  <c r="DM41" i="3"/>
  <c r="DL41" i="3"/>
  <c r="DK41" i="3"/>
  <c r="DJ41" i="3"/>
  <c r="DI41" i="3"/>
  <c r="DH41" i="3"/>
  <c r="DG41" i="3"/>
  <c r="DF41" i="3"/>
  <c r="DE41" i="3"/>
  <c r="DD41" i="3"/>
  <c r="DC41" i="3"/>
  <c r="DB41" i="3"/>
  <c r="DA41" i="3"/>
  <c r="CZ41" i="3"/>
  <c r="CY41" i="3"/>
  <c r="CX41" i="3"/>
  <c r="CW41" i="3"/>
  <c r="CV41" i="3"/>
  <c r="CU41" i="3"/>
  <c r="CT41" i="3"/>
  <c r="CS41" i="3"/>
  <c r="CR41" i="3"/>
  <c r="CQ41" i="3"/>
  <c r="CP41" i="3"/>
  <c r="CO41" i="3"/>
  <c r="CN41" i="3"/>
  <c r="CM41" i="3"/>
  <c r="CL41" i="3"/>
  <c r="CK41" i="3"/>
  <c r="CJ41" i="3"/>
  <c r="CI41" i="3"/>
  <c r="CH41" i="3"/>
  <c r="CG41" i="3"/>
  <c r="CF41" i="3"/>
  <c r="CE41" i="3"/>
  <c r="CD41" i="3"/>
  <c r="CC41" i="3"/>
  <c r="CB41" i="3"/>
  <c r="CA41" i="3"/>
  <c r="BZ41" i="3"/>
  <c r="BY41" i="3"/>
  <c r="BX41" i="3"/>
  <c r="BW41" i="3"/>
  <c r="BV41" i="3"/>
  <c r="BU41" i="3"/>
  <c r="BT41" i="3"/>
  <c r="BS41" i="3"/>
  <c r="BR41" i="3"/>
  <c r="BQ41" i="3"/>
  <c r="BP41" i="3"/>
  <c r="BO41" i="3"/>
  <c r="BN41" i="3"/>
  <c r="BM41" i="3"/>
  <c r="BL41" i="3"/>
  <c r="BK41" i="3"/>
  <c r="BJ41" i="3"/>
  <c r="BI41" i="3"/>
  <c r="BH41" i="3"/>
  <c r="BG41" i="3"/>
  <c r="BF41" i="3"/>
  <c r="BE41" i="3"/>
  <c r="BD41" i="3"/>
  <c r="BC41" i="3"/>
  <c r="BB41" i="3"/>
  <c r="BA41" i="3"/>
  <c r="AZ41" i="3"/>
  <c r="AY41" i="3"/>
  <c r="AX41"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EE48" i="3"/>
  <c r="ED48" i="3"/>
  <c r="EC48" i="3"/>
  <c r="EB48" i="3"/>
  <c r="EA48" i="3"/>
  <c r="DZ48" i="3"/>
  <c r="DY48" i="3"/>
  <c r="DX48" i="3"/>
  <c r="DW48" i="3"/>
  <c r="DV48" i="3"/>
  <c r="DU48" i="3"/>
  <c r="DT48" i="3"/>
  <c r="DS48" i="3"/>
  <c r="DR48" i="3"/>
  <c r="DQ48" i="3"/>
  <c r="DP48" i="3"/>
  <c r="DO48" i="3"/>
  <c r="DN48" i="3"/>
  <c r="DM48" i="3"/>
  <c r="DL48" i="3"/>
  <c r="DK48" i="3"/>
  <c r="DJ48" i="3"/>
  <c r="DI48" i="3"/>
  <c r="DH48" i="3"/>
  <c r="DG48" i="3"/>
  <c r="DF48" i="3"/>
  <c r="DE48" i="3"/>
  <c r="DD48" i="3"/>
  <c r="DC48" i="3"/>
  <c r="DB48" i="3"/>
  <c r="DA48" i="3"/>
  <c r="CZ48" i="3"/>
  <c r="CY48" i="3"/>
  <c r="CX48" i="3"/>
  <c r="CW48" i="3"/>
  <c r="CV48" i="3"/>
  <c r="CU48" i="3"/>
  <c r="CT48" i="3"/>
  <c r="CS48" i="3"/>
  <c r="CR48" i="3"/>
  <c r="CQ48" i="3"/>
  <c r="CP48" i="3"/>
  <c r="CO48" i="3"/>
  <c r="CN48" i="3"/>
  <c r="CM48" i="3"/>
  <c r="CL48" i="3"/>
  <c r="CK48" i="3"/>
  <c r="CJ48" i="3"/>
  <c r="CI48" i="3"/>
  <c r="CH48" i="3"/>
  <c r="CG48" i="3"/>
  <c r="CF48" i="3"/>
  <c r="CE48" i="3"/>
  <c r="CD48" i="3"/>
  <c r="CC48" i="3"/>
  <c r="CB48" i="3"/>
  <c r="CA48" i="3"/>
  <c r="BZ48" i="3"/>
  <c r="BY48" i="3"/>
  <c r="BX48" i="3"/>
  <c r="BW48" i="3"/>
  <c r="BV48" i="3"/>
  <c r="BU48" i="3"/>
  <c r="BT48" i="3"/>
  <c r="BS48" i="3"/>
  <c r="BR48" i="3"/>
  <c r="BQ48" i="3"/>
  <c r="BP48" i="3"/>
  <c r="BO48" i="3"/>
  <c r="BN48" i="3"/>
  <c r="BM48" i="3"/>
  <c r="BL48" i="3"/>
  <c r="BK48" i="3"/>
  <c r="BJ48" i="3"/>
  <c r="BI48" i="3"/>
  <c r="BH48" i="3"/>
  <c r="BG48" i="3"/>
  <c r="BF48" i="3"/>
  <c r="BE48" i="3"/>
  <c r="BD48" i="3"/>
  <c r="BC48" i="3"/>
  <c r="BB48" i="3"/>
  <c r="BA48" i="3"/>
  <c r="AZ48" i="3"/>
  <c r="AY48" i="3"/>
  <c r="AX48"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F56" i="9" s="1"/>
  <c r="R48" i="3"/>
  <c r="E56" i="9" s="1"/>
  <c r="Q48" i="3"/>
  <c r="EE16" i="3"/>
  <c r="ED16" i="3"/>
  <c r="EC16" i="3"/>
  <c r="EB16" i="3"/>
  <c r="EA16" i="3"/>
  <c r="DZ16" i="3"/>
  <c r="DY16" i="3"/>
  <c r="DX16" i="3"/>
  <c r="DW16" i="3"/>
  <c r="DV16" i="3"/>
  <c r="DU16" i="3"/>
  <c r="DT16" i="3"/>
  <c r="DS16" i="3"/>
  <c r="DR16" i="3"/>
  <c r="DQ16" i="3"/>
  <c r="DP16" i="3"/>
  <c r="DO16" i="3"/>
  <c r="DN16" i="3"/>
  <c r="DM16" i="3"/>
  <c r="DL16" i="3"/>
  <c r="DK16" i="3"/>
  <c r="DJ16" i="3"/>
  <c r="DI16" i="3"/>
  <c r="DH16" i="3"/>
  <c r="DG16" i="3"/>
  <c r="DF16" i="3"/>
  <c r="DE16" i="3"/>
  <c r="DD16" i="3"/>
  <c r="DC16" i="3"/>
  <c r="DB16" i="3"/>
  <c r="DA16" i="3"/>
  <c r="CZ16" i="3"/>
  <c r="CY16" i="3"/>
  <c r="CX16" i="3"/>
  <c r="CW16" i="3"/>
  <c r="CV16" i="3"/>
  <c r="CU16" i="3"/>
  <c r="CT16" i="3"/>
  <c r="CS16" i="3"/>
  <c r="CR16" i="3"/>
  <c r="CQ16" i="3"/>
  <c r="CP16" i="3"/>
  <c r="CO16" i="3"/>
  <c r="CN16" i="3"/>
  <c r="CM16" i="3"/>
  <c r="CL16" i="3"/>
  <c r="CK16" i="3"/>
  <c r="CJ16" i="3"/>
  <c r="CI16" i="3"/>
  <c r="CH16" i="3"/>
  <c r="CG16" i="3"/>
  <c r="CF16" i="3"/>
  <c r="CE16" i="3"/>
  <c r="CD16" i="3"/>
  <c r="CC16" i="3"/>
  <c r="CB16" i="3"/>
  <c r="CA16" i="3"/>
  <c r="BZ16" i="3"/>
  <c r="BY16" i="3"/>
  <c r="BX16" i="3"/>
  <c r="BW16" i="3"/>
  <c r="BV16" i="3"/>
  <c r="BU16" i="3"/>
  <c r="BT16" i="3"/>
  <c r="BS16" i="3"/>
  <c r="BR16" i="3"/>
  <c r="BQ16" i="3"/>
  <c r="BP16" i="3"/>
  <c r="BO16" i="3"/>
  <c r="BN16" i="3"/>
  <c r="BM16" i="3"/>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E55" i="9" s="1"/>
  <c r="Q16" i="3"/>
  <c r="D55" i="9" s="1"/>
  <c r="EE75" i="3"/>
  <c r="ED75" i="3"/>
  <c r="EC75" i="3"/>
  <c r="EB75" i="3"/>
  <c r="EA75" i="3"/>
  <c r="DZ75" i="3"/>
  <c r="DY75" i="3"/>
  <c r="DX75" i="3"/>
  <c r="DW75" i="3"/>
  <c r="DV75" i="3"/>
  <c r="DU75" i="3"/>
  <c r="DT75" i="3"/>
  <c r="DS75" i="3"/>
  <c r="DR75" i="3"/>
  <c r="DQ75" i="3"/>
  <c r="DP75" i="3"/>
  <c r="DO75" i="3"/>
  <c r="DN75" i="3"/>
  <c r="DM75" i="3"/>
  <c r="DL75" i="3"/>
  <c r="DK75" i="3"/>
  <c r="DJ75" i="3"/>
  <c r="DI75" i="3"/>
  <c r="DH75" i="3"/>
  <c r="DG75" i="3"/>
  <c r="DF75" i="3"/>
  <c r="DE75" i="3"/>
  <c r="DD75" i="3"/>
  <c r="DC75" i="3"/>
  <c r="DB75" i="3"/>
  <c r="DA75" i="3"/>
  <c r="CZ75" i="3"/>
  <c r="CY75" i="3"/>
  <c r="CX75" i="3"/>
  <c r="CW75" i="3"/>
  <c r="CV75" i="3"/>
  <c r="CU75" i="3"/>
  <c r="CT75" i="3"/>
  <c r="CS75" i="3"/>
  <c r="CR75" i="3"/>
  <c r="CQ75" i="3"/>
  <c r="CP75" i="3"/>
  <c r="CO75" i="3"/>
  <c r="CN75" i="3"/>
  <c r="CM75" i="3"/>
  <c r="CL75" i="3"/>
  <c r="CK75" i="3"/>
  <c r="CJ75" i="3"/>
  <c r="CI75" i="3"/>
  <c r="CH75" i="3"/>
  <c r="CG75" i="3"/>
  <c r="CF75" i="3"/>
  <c r="CE75" i="3"/>
  <c r="CD75" i="3"/>
  <c r="CC75" i="3"/>
  <c r="CB75" i="3"/>
  <c r="CA75" i="3"/>
  <c r="BZ75" i="3"/>
  <c r="BY75" i="3"/>
  <c r="BX75" i="3"/>
  <c r="BW75" i="3"/>
  <c r="BV75" i="3"/>
  <c r="BU75" i="3"/>
  <c r="BT75" i="3"/>
  <c r="BS75" i="3"/>
  <c r="BR75" i="3"/>
  <c r="BQ75" i="3"/>
  <c r="BP75" i="3"/>
  <c r="BO75" i="3"/>
  <c r="BN75" i="3"/>
  <c r="BM75" i="3"/>
  <c r="BL75" i="3"/>
  <c r="BK75" i="3"/>
  <c r="BJ75" i="3"/>
  <c r="BI75" i="3"/>
  <c r="BH75" i="3"/>
  <c r="BG75" i="3"/>
  <c r="BF75" i="3"/>
  <c r="BE75" i="3"/>
  <c r="BD75" i="3"/>
  <c r="BC75" i="3"/>
  <c r="BB75" i="3"/>
  <c r="BA75" i="3"/>
  <c r="AZ75"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F54" i="9" s="1"/>
  <c r="R75" i="3"/>
  <c r="E54" i="9" s="1"/>
  <c r="Q75" i="3"/>
  <c r="D54" i="9" s="1"/>
  <c r="EE38" i="3"/>
  <c r="ED38" i="3"/>
  <c r="EC38" i="3"/>
  <c r="EB38" i="3"/>
  <c r="EA38" i="3"/>
  <c r="DZ38" i="3"/>
  <c r="DY38" i="3"/>
  <c r="DX38" i="3"/>
  <c r="DW38" i="3"/>
  <c r="DV38" i="3"/>
  <c r="DU38" i="3"/>
  <c r="DT38" i="3"/>
  <c r="DS38" i="3"/>
  <c r="DR38" i="3"/>
  <c r="DQ38" i="3"/>
  <c r="DP38" i="3"/>
  <c r="DO38" i="3"/>
  <c r="DN38" i="3"/>
  <c r="DM38" i="3"/>
  <c r="DL38" i="3"/>
  <c r="DK38" i="3"/>
  <c r="DJ38" i="3"/>
  <c r="DI38" i="3"/>
  <c r="DH38" i="3"/>
  <c r="DG38" i="3"/>
  <c r="DF38" i="3"/>
  <c r="DE38" i="3"/>
  <c r="DD38" i="3"/>
  <c r="DC38" i="3"/>
  <c r="DB38" i="3"/>
  <c r="DA38" i="3"/>
  <c r="CZ38" i="3"/>
  <c r="CY38" i="3"/>
  <c r="CX38" i="3"/>
  <c r="CW38" i="3"/>
  <c r="CV38" i="3"/>
  <c r="CU38" i="3"/>
  <c r="CT38" i="3"/>
  <c r="CS38" i="3"/>
  <c r="CR38" i="3"/>
  <c r="CQ38" i="3"/>
  <c r="CP38" i="3"/>
  <c r="CO38" i="3"/>
  <c r="CN38" i="3"/>
  <c r="CM38" i="3"/>
  <c r="CL38" i="3"/>
  <c r="CK38" i="3"/>
  <c r="CJ38" i="3"/>
  <c r="CI38" i="3"/>
  <c r="CH38" i="3"/>
  <c r="CG38" i="3"/>
  <c r="CF38" i="3"/>
  <c r="CE38" i="3"/>
  <c r="CD38" i="3"/>
  <c r="CC38" i="3"/>
  <c r="CB38" i="3"/>
  <c r="CA38" i="3"/>
  <c r="BZ38" i="3"/>
  <c r="BY38" i="3"/>
  <c r="BX38" i="3"/>
  <c r="BW38" i="3"/>
  <c r="BV38" i="3"/>
  <c r="BU38" i="3"/>
  <c r="BT38" i="3"/>
  <c r="BS38" i="3"/>
  <c r="BR38" i="3"/>
  <c r="BQ38" i="3"/>
  <c r="BP38" i="3"/>
  <c r="BO38" i="3"/>
  <c r="BN38" i="3"/>
  <c r="BM38" i="3"/>
  <c r="BL38" i="3"/>
  <c r="BK38" i="3"/>
  <c r="BJ38" i="3"/>
  <c r="BI38" i="3"/>
  <c r="BH38" i="3"/>
  <c r="BG38" i="3"/>
  <c r="BF38" i="3"/>
  <c r="BE38" i="3"/>
  <c r="BD38" i="3"/>
  <c r="BC38" i="3"/>
  <c r="BB38" i="3"/>
  <c r="BA38" i="3"/>
  <c r="AZ38" i="3"/>
  <c r="AY38" i="3"/>
  <c r="AX38"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F53" i="9" s="1"/>
  <c r="R38" i="3"/>
  <c r="E53" i="9" s="1"/>
  <c r="Q38" i="3"/>
  <c r="D53" i="9" s="1"/>
  <c r="EE44" i="3"/>
  <c r="ED44" i="3"/>
  <c r="EC44" i="3"/>
  <c r="EB44" i="3"/>
  <c r="EA44" i="3"/>
  <c r="DZ44" i="3"/>
  <c r="DY44" i="3"/>
  <c r="DX44" i="3"/>
  <c r="DW44" i="3"/>
  <c r="DV44" i="3"/>
  <c r="DU44" i="3"/>
  <c r="DT44" i="3"/>
  <c r="DS44" i="3"/>
  <c r="DR44" i="3"/>
  <c r="DQ44" i="3"/>
  <c r="DP44" i="3"/>
  <c r="DO44" i="3"/>
  <c r="DN44" i="3"/>
  <c r="DM44" i="3"/>
  <c r="DL44" i="3"/>
  <c r="DK44" i="3"/>
  <c r="DJ44" i="3"/>
  <c r="DI44" i="3"/>
  <c r="DH44" i="3"/>
  <c r="DG44" i="3"/>
  <c r="DF44" i="3"/>
  <c r="DE44" i="3"/>
  <c r="DD44" i="3"/>
  <c r="DC44" i="3"/>
  <c r="DB44" i="3"/>
  <c r="DA44" i="3"/>
  <c r="CZ44" i="3"/>
  <c r="CY44" i="3"/>
  <c r="CX44" i="3"/>
  <c r="CW44" i="3"/>
  <c r="CV44" i="3"/>
  <c r="CU44" i="3"/>
  <c r="CT44" i="3"/>
  <c r="CS44" i="3"/>
  <c r="CR44" i="3"/>
  <c r="CQ44" i="3"/>
  <c r="CP44" i="3"/>
  <c r="CO44" i="3"/>
  <c r="CN44" i="3"/>
  <c r="CM44" i="3"/>
  <c r="CL44" i="3"/>
  <c r="CK44" i="3"/>
  <c r="CJ44" i="3"/>
  <c r="CI44" i="3"/>
  <c r="CH44" i="3"/>
  <c r="CG44" i="3"/>
  <c r="CF44" i="3"/>
  <c r="CE44" i="3"/>
  <c r="CD44" i="3"/>
  <c r="CC44" i="3"/>
  <c r="CB44" i="3"/>
  <c r="CA44" i="3"/>
  <c r="BZ44" i="3"/>
  <c r="BY44" i="3"/>
  <c r="BX44" i="3"/>
  <c r="BW44" i="3"/>
  <c r="BV44" i="3"/>
  <c r="BU44" i="3"/>
  <c r="BT44" i="3"/>
  <c r="BS44" i="3"/>
  <c r="BR44" i="3"/>
  <c r="BQ44" i="3"/>
  <c r="BP44" i="3"/>
  <c r="BO44" i="3"/>
  <c r="BN44" i="3"/>
  <c r="BM44" i="3"/>
  <c r="BL44" i="3"/>
  <c r="BK44" i="3"/>
  <c r="BJ44" i="3"/>
  <c r="BI44" i="3"/>
  <c r="BH44" i="3"/>
  <c r="BG44" i="3"/>
  <c r="BF44" i="3"/>
  <c r="BE44" i="3"/>
  <c r="BD44" i="3"/>
  <c r="BC44" i="3"/>
  <c r="BB44" i="3"/>
  <c r="BA44" i="3"/>
  <c r="AZ44" i="3"/>
  <c r="AY44" i="3"/>
  <c r="AX44"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F52" i="9" s="1"/>
  <c r="R44" i="3"/>
  <c r="E52" i="9" s="1"/>
  <c r="Q44" i="3"/>
  <c r="D52" i="9" s="1"/>
  <c r="EE43" i="3"/>
  <c r="ED43" i="3"/>
  <c r="EC43" i="3"/>
  <c r="EB43" i="3"/>
  <c r="EA43" i="3"/>
  <c r="DZ43" i="3"/>
  <c r="DY43" i="3"/>
  <c r="DX43" i="3"/>
  <c r="DW43" i="3"/>
  <c r="DV43" i="3"/>
  <c r="DU43" i="3"/>
  <c r="DT43" i="3"/>
  <c r="DS43" i="3"/>
  <c r="DR43" i="3"/>
  <c r="DQ43" i="3"/>
  <c r="DP43" i="3"/>
  <c r="DO43" i="3"/>
  <c r="DN43" i="3"/>
  <c r="DM43" i="3"/>
  <c r="DL43" i="3"/>
  <c r="DK43" i="3"/>
  <c r="DJ43" i="3"/>
  <c r="DI43" i="3"/>
  <c r="DH43" i="3"/>
  <c r="DG43" i="3"/>
  <c r="DF43" i="3"/>
  <c r="DE43" i="3"/>
  <c r="DD43" i="3"/>
  <c r="DC43" i="3"/>
  <c r="DB43" i="3"/>
  <c r="DA43" i="3"/>
  <c r="CZ43" i="3"/>
  <c r="CY43" i="3"/>
  <c r="CX43" i="3"/>
  <c r="CW43" i="3"/>
  <c r="CV43" i="3"/>
  <c r="CU43" i="3"/>
  <c r="CT43" i="3"/>
  <c r="CS43" i="3"/>
  <c r="CR43" i="3"/>
  <c r="CQ43" i="3"/>
  <c r="CP43" i="3"/>
  <c r="CO43" i="3"/>
  <c r="CN43" i="3"/>
  <c r="CM43" i="3"/>
  <c r="CL43" i="3"/>
  <c r="CK43" i="3"/>
  <c r="CJ43" i="3"/>
  <c r="CI43" i="3"/>
  <c r="CH43" i="3"/>
  <c r="CG43" i="3"/>
  <c r="CF43" i="3"/>
  <c r="CE43" i="3"/>
  <c r="CD43" i="3"/>
  <c r="CC43" i="3"/>
  <c r="CB43" i="3"/>
  <c r="CA43" i="3"/>
  <c r="BZ43" i="3"/>
  <c r="BY43" i="3"/>
  <c r="BX43" i="3"/>
  <c r="BW43" i="3"/>
  <c r="BV43" i="3"/>
  <c r="BU43" i="3"/>
  <c r="BT43" i="3"/>
  <c r="BS43" i="3"/>
  <c r="BR43" i="3"/>
  <c r="BQ43" i="3"/>
  <c r="BP43" i="3"/>
  <c r="BO43" i="3"/>
  <c r="BN43" i="3"/>
  <c r="BM43" i="3"/>
  <c r="BL43" i="3"/>
  <c r="BK43" i="3"/>
  <c r="BJ43" i="3"/>
  <c r="BI43" i="3"/>
  <c r="BH43" i="3"/>
  <c r="BG43" i="3"/>
  <c r="BF43" i="3"/>
  <c r="BE43" i="3"/>
  <c r="BD43" i="3"/>
  <c r="BC43" i="3"/>
  <c r="BB43" i="3"/>
  <c r="BA43" i="3"/>
  <c r="AZ43" i="3"/>
  <c r="AY43" i="3"/>
  <c r="AX43" i="3"/>
  <c r="AW43" i="3"/>
  <c r="AV43" i="3"/>
  <c r="AU43" i="3"/>
  <c r="AT43" i="3"/>
  <c r="AS43" i="3"/>
  <c r="AR43" i="3"/>
  <c r="AQ43" i="3"/>
  <c r="AP43" i="3"/>
  <c r="AO43" i="3"/>
  <c r="AN43" i="3"/>
  <c r="AM43" i="3"/>
  <c r="AL43" i="3"/>
  <c r="AK43" i="3"/>
  <c r="AJ43" i="3"/>
  <c r="AI43" i="3"/>
  <c r="AH43" i="3"/>
  <c r="AG43" i="3"/>
  <c r="AF43" i="3"/>
  <c r="AE43" i="3"/>
  <c r="AD43" i="3"/>
  <c r="AC43" i="3"/>
  <c r="AB43" i="3"/>
  <c r="AA43" i="3"/>
  <c r="Z43" i="3"/>
  <c r="Y43" i="3"/>
  <c r="X43" i="3"/>
  <c r="W43" i="3"/>
  <c r="V43" i="3"/>
  <c r="U43" i="3"/>
  <c r="T43" i="3"/>
  <c r="S43" i="3"/>
  <c r="R43" i="3"/>
  <c r="Q43" i="3"/>
  <c r="EE29" i="3"/>
  <c r="ED29" i="3"/>
  <c r="EC29" i="3"/>
  <c r="EB29" i="3"/>
  <c r="EA29" i="3"/>
  <c r="DZ29" i="3"/>
  <c r="DY29" i="3"/>
  <c r="DX29" i="3"/>
  <c r="DW29" i="3"/>
  <c r="DV29" i="3"/>
  <c r="DU29" i="3"/>
  <c r="DT29" i="3"/>
  <c r="DS29" i="3"/>
  <c r="DR29" i="3"/>
  <c r="DQ29" i="3"/>
  <c r="DP29" i="3"/>
  <c r="DO29" i="3"/>
  <c r="DN29" i="3"/>
  <c r="DM29" i="3"/>
  <c r="DL29" i="3"/>
  <c r="DK29" i="3"/>
  <c r="DJ29" i="3"/>
  <c r="DI29" i="3"/>
  <c r="DH29" i="3"/>
  <c r="DG29" i="3"/>
  <c r="DF29" i="3"/>
  <c r="DE29" i="3"/>
  <c r="DD29" i="3"/>
  <c r="DC29" i="3"/>
  <c r="DB29" i="3"/>
  <c r="DA29" i="3"/>
  <c r="CZ29" i="3"/>
  <c r="CY29" i="3"/>
  <c r="CX29" i="3"/>
  <c r="CW29" i="3"/>
  <c r="CV29" i="3"/>
  <c r="CU29" i="3"/>
  <c r="CT29" i="3"/>
  <c r="CS29" i="3"/>
  <c r="CR29" i="3"/>
  <c r="CQ29" i="3"/>
  <c r="CP29" i="3"/>
  <c r="CO29" i="3"/>
  <c r="CN29" i="3"/>
  <c r="CM29" i="3"/>
  <c r="CL29" i="3"/>
  <c r="CK29" i="3"/>
  <c r="CJ29" i="3"/>
  <c r="CI29" i="3"/>
  <c r="CH29" i="3"/>
  <c r="CG29" i="3"/>
  <c r="CF29" i="3"/>
  <c r="CE29" i="3"/>
  <c r="CD29" i="3"/>
  <c r="CC29" i="3"/>
  <c r="CB29" i="3"/>
  <c r="CA29" i="3"/>
  <c r="BZ29" i="3"/>
  <c r="BY29" i="3"/>
  <c r="BX29" i="3"/>
  <c r="BW29" i="3"/>
  <c r="BV29" i="3"/>
  <c r="BU29" i="3"/>
  <c r="BT29" i="3"/>
  <c r="BS29" i="3"/>
  <c r="BR29" i="3"/>
  <c r="BQ29" i="3"/>
  <c r="BP29" i="3"/>
  <c r="BO29" i="3"/>
  <c r="BN29" i="3"/>
  <c r="BM29" i="3"/>
  <c r="BL29" i="3"/>
  <c r="BK29" i="3"/>
  <c r="BJ29" i="3"/>
  <c r="BI29" i="3"/>
  <c r="BH29" i="3"/>
  <c r="BG29" i="3"/>
  <c r="BF29" i="3"/>
  <c r="BE29" i="3"/>
  <c r="BD29" i="3"/>
  <c r="BC29" i="3"/>
  <c r="BB29" i="3"/>
  <c r="BA29" i="3"/>
  <c r="AZ29" i="3"/>
  <c r="AY29" i="3"/>
  <c r="AX29"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EE69" i="3"/>
  <c r="ED69" i="3"/>
  <c r="EC69" i="3"/>
  <c r="EB69" i="3"/>
  <c r="EA69" i="3"/>
  <c r="DZ69" i="3"/>
  <c r="DY69" i="3"/>
  <c r="DX69" i="3"/>
  <c r="DW69" i="3"/>
  <c r="DV69" i="3"/>
  <c r="DU69" i="3"/>
  <c r="DT69" i="3"/>
  <c r="DS69" i="3"/>
  <c r="DR69" i="3"/>
  <c r="DQ69" i="3"/>
  <c r="DP69" i="3"/>
  <c r="DO69" i="3"/>
  <c r="DN69" i="3"/>
  <c r="DM69" i="3"/>
  <c r="DL69" i="3"/>
  <c r="DK69" i="3"/>
  <c r="DJ69" i="3"/>
  <c r="DI69" i="3"/>
  <c r="DH69" i="3"/>
  <c r="DG69" i="3"/>
  <c r="DF69" i="3"/>
  <c r="DE69" i="3"/>
  <c r="DD69" i="3"/>
  <c r="DC69" i="3"/>
  <c r="DB69" i="3"/>
  <c r="DA69" i="3"/>
  <c r="CZ69" i="3"/>
  <c r="CY69" i="3"/>
  <c r="CX69" i="3"/>
  <c r="CW69" i="3"/>
  <c r="CV69" i="3"/>
  <c r="CU69" i="3"/>
  <c r="CT69" i="3"/>
  <c r="CS69" i="3"/>
  <c r="CR69" i="3"/>
  <c r="CQ69" i="3"/>
  <c r="CP69" i="3"/>
  <c r="CO69" i="3"/>
  <c r="CN69" i="3"/>
  <c r="CM69" i="3"/>
  <c r="CL69" i="3"/>
  <c r="CK69" i="3"/>
  <c r="CJ69" i="3"/>
  <c r="CI69" i="3"/>
  <c r="CH69" i="3"/>
  <c r="CG69" i="3"/>
  <c r="CF69" i="3"/>
  <c r="CE69" i="3"/>
  <c r="CD69" i="3"/>
  <c r="CC69" i="3"/>
  <c r="CB69" i="3"/>
  <c r="CA69" i="3"/>
  <c r="BZ69" i="3"/>
  <c r="BY69" i="3"/>
  <c r="BX69" i="3"/>
  <c r="BW69" i="3"/>
  <c r="BV69" i="3"/>
  <c r="BU69" i="3"/>
  <c r="BT69" i="3"/>
  <c r="BS69" i="3"/>
  <c r="BR69" i="3"/>
  <c r="BQ69" i="3"/>
  <c r="BP69" i="3"/>
  <c r="BO69" i="3"/>
  <c r="BN69" i="3"/>
  <c r="BM69" i="3"/>
  <c r="BL69" i="3"/>
  <c r="BK69" i="3"/>
  <c r="BJ69" i="3"/>
  <c r="BI69" i="3"/>
  <c r="BH69" i="3"/>
  <c r="BG69" i="3"/>
  <c r="BF69" i="3"/>
  <c r="BE69" i="3"/>
  <c r="BD69" i="3"/>
  <c r="BC69" i="3"/>
  <c r="BB69" i="3"/>
  <c r="BA69" i="3"/>
  <c r="AZ69" i="3"/>
  <c r="AY69" i="3"/>
  <c r="AX69" i="3"/>
  <c r="AW69" i="3"/>
  <c r="AV69" i="3"/>
  <c r="AU69" i="3"/>
  <c r="AT69" i="3"/>
  <c r="AS69" i="3"/>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F49" i="9" s="1"/>
  <c r="R69" i="3"/>
  <c r="E49" i="9" s="1"/>
  <c r="Q69" i="3"/>
  <c r="D49" i="9" s="1"/>
  <c r="EE47" i="3"/>
  <c r="ED47" i="3"/>
  <c r="EC47" i="3"/>
  <c r="EB47" i="3"/>
  <c r="EA47" i="3"/>
  <c r="DZ47" i="3"/>
  <c r="DY47" i="3"/>
  <c r="DX47" i="3"/>
  <c r="DW47" i="3"/>
  <c r="DV47" i="3"/>
  <c r="DU47" i="3"/>
  <c r="DT47" i="3"/>
  <c r="DS47" i="3"/>
  <c r="DR47" i="3"/>
  <c r="DQ47" i="3"/>
  <c r="DP47" i="3"/>
  <c r="DO47" i="3"/>
  <c r="DN47" i="3"/>
  <c r="DM47" i="3"/>
  <c r="DL47" i="3"/>
  <c r="DK47" i="3"/>
  <c r="DJ47" i="3"/>
  <c r="DI47" i="3"/>
  <c r="DH47" i="3"/>
  <c r="DG47" i="3"/>
  <c r="DF47" i="3"/>
  <c r="DE47" i="3"/>
  <c r="DD47" i="3"/>
  <c r="DC47" i="3"/>
  <c r="DB47" i="3"/>
  <c r="DA47" i="3"/>
  <c r="CZ47" i="3"/>
  <c r="CY47" i="3"/>
  <c r="CX47" i="3"/>
  <c r="CW47" i="3"/>
  <c r="CV47" i="3"/>
  <c r="CU47" i="3"/>
  <c r="CT47" i="3"/>
  <c r="CS47" i="3"/>
  <c r="CR47" i="3"/>
  <c r="CQ47" i="3"/>
  <c r="CP47" i="3"/>
  <c r="CO47" i="3"/>
  <c r="CN47" i="3"/>
  <c r="CM47" i="3"/>
  <c r="CL47" i="3"/>
  <c r="CK47" i="3"/>
  <c r="CJ47" i="3"/>
  <c r="CI47" i="3"/>
  <c r="CH47" i="3"/>
  <c r="CG47" i="3"/>
  <c r="CF47" i="3"/>
  <c r="CE47" i="3"/>
  <c r="CD47" i="3"/>
  <c r="CC47" i="3"/>
  <c r="CB47" i="3"/>
  <c r="CA47" i="3"/>
  <c r="BZ47" i="3"/>
  <c r="BY47" i="3"/>
  <c r="BX47" i="3"/>
  <c r="BW47" i="3"/>
  <c r="BV47" i="3"/>
  <c r="BU47" i="3"/>
  <c r="BT47" i="3"/>
  <c r="BS47" i="3"/>
  <c r="BR47" i="3"/>
  <c r="BQ47" i="3"/>
  <c r="BP47" i="3"/>
  <c r="BO47" i="3"/>
  <c r="BN47" i="3"/>
  <c r="BM47" i="3"/>
  <c r="BL47" i="3"/>
  <c r="BK47" i="3"/>
  <c r="BJ47" i="3"/>
  <c r="BI47" i="3"/>
  <c r="BH47" i="3"/>
  <c r="BG47" i="3"/>
  <c r="BF47" i="3"/>
  <c r="BE47" i="3"/>
  <c r="BD47" i="3"/>
  <c r="BC47"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F48" i="9" s="1"/>
  <c r="R47" i="3"/>
  <c r="E48" i="9" s="1"/>
  <c r="Q47" i="3"/>
  <c r="D48" i="9" s="1"/>
  <c r="EE34" i="3"/>
  <c r="ED34" i="3"/>
  <c r="EC34" i="3"/>
  <c r="EB34" i="3"/>
  <c r="EA34" i="3"/>
  <c r="DZ34" i="3"/>
  <c r="DY34" i="3"/>
  <c r="DX34" i="3"/>
  <c r="DW34" i="3"/>
  <c r="DV34" i="3"/>
  <c r="DU34" i="3"/>
  <c r="DT34" i="3"/>
  <c r="DS34" i="3"/>
  <c r="DR34" i="3"/>
  <c r="DQ34" i="3"/>
  <c r="DP34" i="3"/>
  <c r="DO34" i="3"/>
  <c r="DN34" i="3"/>
  <c r="DM34" i="3"/>
  <c r="DL34" i="3"/>
  <c r="DK34" i="3"/>
  <c r="DJ34" i="3"/>
  <c r="DI34" i="3"/>
  <c r="DH34" i="3"/>
  <c r="DG34" i="3"/>
  <c r="DF34" i="3"/>
  <c r="DE34" i="3"/>
  <c r="DD34" i="3"/>
  <c r="DC34" i="3"/>
  <c r="DB34" i="3"/>
  <c r="DA34" i="3"/>
  <c r="CZ34" i="3"/>
  <c r="CY34" i="3"/>
  <c r="CX34" i="3"/>
  <c r="CW34" i="3"/>
  <c r="CV34" i="3"/>
  <c r="CU34" i="3"/>
  <c r="CT34" i="3"/>
  <c r="CS34" i="3"/>
  <c r="CR34" i="3"/>
  <c r="CQ34" i="3"/>
  <c r="CP34" i="3"/>
  <c r="CO34" i="3"/>
  <c r="CN34" i="3"/>
  <c r="CM34" i="3"/>
  <c r="CL34" i="3"/>
  <c r="CK34" i="3"/>
  <c r="CJ34" i="3"/>
  <c r="CI34" i="3"/>
  <c r="CH34" i="3"/>
  <c r="CG34" i="3"/>
  <c r="CF34" i="3"/>
  <c r="CE34" i="3"/>
  <c r="CD34" i="3"/>
  <c r="CC34" i="3"/>
  <c r="CB34" i="3"/>
  <c r="CA34" i="3"/>
  <c r="BZ34" i="3"/>
  <c r="BY34" i="3"/>
  <c r="BX34" i="3"/>
  <c r="BW34" i="3"/>
  <c r="BV34" i="3"/>
  <c r="BU34" i="3"/>
  <c r="BT34" i="3"/>
  <c r="BS34" i="3"/>
  <c r="BR34" i="3"/>
  <c r="BQ34" i="3"/>
  <c r="BP34" i="3"/>
  <c r="BO34" i="3"/>
  <c r="BN34" i="3"/>
  <c r="BM34" i="3"/>
  <c r="BL34" i="3"/>
  <c r="BK34" i="3"/>
  <c r="BJ34" i="3"/>
  <c r="BI34" i="3"/>
  <c r="BH34" i="3"/>
  <c r="BG34" i="3"/>
  <c r="BF34" i="3"/>
  <c r="BE34" i="3"/>
  <c r="BD34" i="3"/>
  <c r="BC34" i="3"/>
  <c r="BB34" i="3"/>
  <c r="BA34" i="3"/>
  <c r="AZ34" i="3"/>
  <c r="AY34" i="3"/>
  <c r="AX34"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T34" i="3"/>
  <c r="S34" i="3"/>
  <c r="R34" i="3"/>
  <c r="E47" i="9" s="1"/>
  <c r="Q34" i="3"/>
  <c r="D47" i="9" s="1"/>
  <c r="EE26" i="3"/>
  <c r="ED26" i="3"/>
  <c r="EC26" i="3"/>
  <c r="EB26" i="3"/>
  <c r="EA26" i="3"/>
  <c r="DZ26" i="3"/>
  <c r="DY26" i="3"/>
  <c r="DX26" i="3"/>
  <c r="DW26" i="3"/>
  <c r="DV26" i="3"/>
  <c r="DU26" i="3"/>
  <c r="DT26" i="3"/>
  <c r="DS26" i="3"/>
  <c r="DR26" i="3"/>
  <c r="DQ26" i="3"/>
  <c r="DP26" i="3"/>
  <c r="DO26" i="3"/>
  <c r="DN26" i="3"/>
  <c r="DM26" i="3"/>
  <c r="DL26" i="3"/>
  <c r="DK26" i="3"/>
  <c r="DJ26" i="3"/>
  <c r="DI26" i="3"/>
  <c r="DH26" i="3"/>
  <c r="DG26" i="3"/>
  <c r="DF26" i="3"/>
  <c r="DE26" i="3"/>
  <c r="DD26" i="3"/>
  <c r="DC26" i="3"/>
  <c r="DB26" i="3"/>
  <c r="DA26" i="3"/>
  <c r="CZ26" i="3"/>
  <c r="CY26" i="3"/>
  <c r="CX26" i="3"/>
  <c r="CW26" i="3"/>
  <c r="CV26" i="3"/>
  <c r="CU26" i="3"/>
  <c r="CT26" i="3"/>
  <c r="CS26" i="3"/>
  <c r="CR26" i="3"/>
  <c r="CQ26" i="3"/>
  <c r="CP26" i="3"/>
  <c r="CO26" i="3"/>
  <c r="CN26" i="3"/>
  <c r="CM26" i="3"/>
  <c r="CL26" i="3"/>
  <c r="CK26" i="3"/>
  <c r="CJ26" i="3"/>
  <c r="CI26" i="3"/>
  <c r="CH26" i="3"/>
  <c r="CG26" i="3"/>
  <c r="CF26" i="3"/>
  <c r="CE26" i="3"/>
  <c r="CD26" i="3"/>
  <c r="CC26" i="3"/>
  <c r="CB26" i="3"/>
  <c r="CA26" i="3"/>
  <c r="BZ26" i="3"/>
  <c r="BY26" i="3"/>
  <c r="BX26" i="3"/>
  <c r="BW26" i="3"/>
  <c r="BV26" i="3"/>
  <c r="BU26" i="3"/>
  <c r="BT26" i="3"/>
  <c r="BS26" i="3"/>
  <c r="BR26" i="3"/>
  <c r="BQ26" i="3"/>
  <c r="BP26" i="3"/>
  <c r="BO26" i="3"/>
  <c r="BN26" i="3"/>
  <c r="BM26" i="3"/>
  <c r="BL26" i="3"/>
  <c r="BK26" i="3"/>
  <c r="BJ26" i="3"/>
  <c r="BI26" i="3"/>
  <c r="BH26" i="3"/>
  <c r="BG26" i="3"/>
  <c r="BF26" i="3"/>
  <c r="BE26" i="3"/>
  <c r="BD26" i="3"/>
  <c r="BC26" i="3"/>
  <c r="BB26" i="3"/>
  <c r="BA26" i="3"/>
  <c r="AZ26" i="3"/>
  <c r="AY26" i="3"/>
  <c r="AX26" i="3"/>
  <c r="AW26" i="3"/>
  <c r="AV26" i="3"/>
  <c r="AU26" i="3"/>
  <c r="AT26" i="3"/>
  <c r="AS26" i="3"/>
  <c r="AR26" i="3"/>
  <c r="AQ26" i="3"/>
  <c r="AP26" i="3"/>
  <c r="AO26" i="3"/>
  <c r="AN26" i="3"/>
  <c r="AM26" i="3"/>
  <c r="AL26" i="3"/>
  <c r="AK26" i="3"/>
  <c r="AJ26" i="3"/>
  <c r="AI26" i="3"/>
  <c r="AH26" i="3"/>
  <c r="AG26" i="3"/>
  <c r="AF26" i="3"/>
  <c r="AE26" i="3"/>
  <c r="AD26" i="3"/>
  <c r="AC26" i="3"/>
  <c r="AB26" i="3"/>
  <c r="AA26" i="3"/>
  <c r="Z26" i="3"/>
  <c r="Y26" i="3"/>
  <c r="X26" i="3"/>
  <c r="W26" i="3"/>
  <c r="V26" i="3"/>
  <c r="U26" i="3"/>
  <c r="T26" i="3"/>
  <c r="S26" i="3"/>
  <c r="F46" i="9" s="1"/>
  <c r="R26" i="3"/>
  <c r="E46" i="9" s="1"/>
  <c r="Q26" i="3"/>
  <c r="D46" i="9" s="1"/>
  <c r="EE71" i="3"/>
  <c r="ED71" i="3"/>
  <c r="EC71" i="3"/>
  <c r="EB71" i="3"/>
  <c r="EA71" i="3"/>
  <c r="DZ71" i="3"/>
  <c r="DY71" i="3"/>
  <c r="DX71" i="3"/>
  <c r="DW71" i="3"/>
  <c r="DV71" i="3"/>
  <c r="DU71" i="3"/>
  <c r="DT71" i="3"/>
  <c r="DS71" i="3"/>
  <c r="DR71" i="3"/>
  <c r="DQ71" i="3"/>
  <c r="DP71" i="3"/>
  <c r="DO71" i="3"/>
  <c r="DN71" i="3"/>
  <c r="DM71" i="3"/>
  <c r="DL71" i="3"/>
  <c r="DK71" i="3"/>
  <c r="DJ71" i="3"/>
  <c r="DI71" i="3"/>
  <c r="DH71" i="3"/>
  <c r="DG71" i="3"/>
  <c r="DF71" i="3"/>
  <c r="DE71" i="3"/>
  <c r="DD71" i="3"/>
  <c r="DC71" i="3"/>
  <c r="DB71" i="3"/>
  <c r="DA71" i="3"/>
  <c r="CZ71" i="3"/>
  <c r="CY71" i="3"/>
  <c r="CX71" i="3"/>
  <c r="CW71" i="3"/>
  <c r="CV71" i="3"/>
  <c r="CU71" i="3"/>
  <c r="CT71" i="3"/>
  <c r="CS71" i="3"/>
  <c r="CR71" i="3"/>
  <c r="CQ71" i="3"/>
  <c r="CP71" i="3"/>
  <c r="CO71" i="3"/>
  <c r="CN71" i="3"/>
  <c r="CM71" i="3"/>
  <c r="CL71" i="3"/>
  <c r="CK71" i="3"/>
  <c r="CJ71" i="3"/>
  <c r="CI71" i="3"/>
  <c r="CH71" i="3"/>
  <c r="CG71" i="3"/>
  <c r="CF71" i="3"/>
  <c r="CE71" i="3"/>
  <c r="CD71" i="3"/>
  <c r="CC71" i="3"/>
  <c r="CB71" i="3"/>
  <c r="CA71" i="3"/>
  <c r="BZ71" i="3"/>
  <c r="BY71" i="3"/>
  <c r="BX71" i="3"/>
  <c r="BW71" i="3"/>
  <c r="BV71" i="3"/>
  <c r="BU71" i="3"/>
  <c r="BT71" i="3"/>
  <c r="BS71" i="3"/>
  <c r="BR71" i="3"/>
  <c r="BQ71" i="3"/>
  <c r="BP71" i="3"/>
  <c r="BO71" i="3"/>
  <c r="BN71" i="3"/>
  <c r="BM71" i="3"/>
  <c r="BL71" i="3"/>
  <c r="BK71" i="3"/>
  <c r="BJ71" i="3"/>
  <c r="BI71" i="3"/>
  <c r="BH71" i="3"/>
  <c r="BG71" i="3"/>
  <c r="BF71" i="3"/>
  <c r="BE71" i="3"/>
  <c r="BD71" i="3"/>
  <c r="BC71" i="3"/>
  <c r="BB71" i="3"/>
  <c r="BA71" i="3"/>
  <c r="AZ71" i="3"/>
  <c r="AY71" i="3"/>
  <c r="AX71" i="3"/>
  <c r="AW71" i="3"/>
  <c r="AV71" i="3"/>
  <c r="AU71" i="3"/>
  <c r="AT71" i="3"/>
  <c r="AS71" i="3"/>
  <c r="AR71" i="3"/>
  <c r="AQ71" i="3"/>
  <c r="AP71" i="3"/>
  <c r="AO71" i="3"/>
  <c r="AN71" i="3"/>
  <c r="AM71" i="3"/>
  <c r="AL71" i="3"/>
  <c r="AK71" i="3"/>
  <c r="AJ71" i="3"/>
  <c r="AI71" i="3"/>
  <c r="AH71" i="3"/>
  <c r="AG71" i="3"/>
  <c r="AF71" i="3"/>
  <c r="AE71" i="3"/>
  <c r="AD71" i="3"/>
  <c r="AC71" i="3"/>
  <c r="AB71" i="3"/>
  <c r="AA71" i="3"/>
  <c r="Z71" i="3"/>
  <c r="Y71" i="3"/>
  <c r="X71" i="3"/>
  <c r="W71" i="3"/>
  <c r="V71" i="3"/>
  <c r="U71" i="3"/>
  <c r="T71" i="3"/>
  <c r="S71" i="3"/>
  <c r="F45" i="9" s="1"/>
  <c r="R71" i="3"/>
  <c r="E45" i="9" s="1"/>
  <c r="Q71" i="3"/>
  <c r="D45" i="9" s="1"/>
  <c r="EE11" i="3"/>
  <c r="ED11" i="3"/>
  <c r="EC11" i="3"/>
  <c r="EB11" i="3"/>
  <c r="EA11" i="3"/>
  <c r="DZ11" i="3"/>
  <c r="DY11" i="3"/>
  <c r="DX11" i="3"/>
  <c r="DW11" i="3"/>
  <c r="DV11" i="3"/>
  <c r="DU11" i="3"/>
  <c r="DT11" i="3"/>
  <c r="DS11" i="3"/>
  <c r="DR11" i="3"/>
  <c r="DQ11" i="3"/>
  <c r="DP11" i="3"/>
  <c r="DO11" i="3"/>
  <c r="DN11" i="3"/>
  <c r="DM11" i="3"/>
  <c r="DL11" i="3"/>
  <c r="DK11" i="3"/>
  <c r="DJ11" i="3"/>
  <c r="DI11" i="3"/>
  <c r="DH11" i="3"/>
  <c r="DG11" i="3"/>
  <c r="DF11" i="3"/>
  <c r="DE11" i="3"/>
  <c r="DD11" i="3"/>
  <c r="DC11" i="3"/>
  <c r="DB11" i="3"/>
  <c r="DA11" i="3"/>
  <c r="CZ11" i="3"/>
  <c r="CY11" i="3"/>
  <c r="CX11" i="3"/>
  <c r="CW11" i="3"/>
  <c r="CV11" i="3"/>
  <c r="CU11"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BD11"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F44" i="9" s="1"/>
  <c r="R11" i="3"/>
  <c r="E44" i="9" s="1"/>
  <c r="Q11" i="3"/>
  <c r="D44" i="9" s="1"/>
  <c r="EE70" i="3"/>
  <c r="ED70" i="3"/>
  <c r="EC70" i="3"/>
  <c r="EB70" i="3"/>
  <c r="EA70" i="3"/>
  <c r="DZ70" i="3"/>
  <c r="DY70" i="3"/>
  <c r="DX70" i="3"/>
  <c r="DW70" i="3"/>
  <c r="DV70" i="3"/>
  <c r="DU70" i="3"/>
  <c r="DT70" i="3"/>
  <c r="DS70" i="3"/>
  <c r="DR70" i="3"/>
  <c r="DQ70" i="3"/>
  <c r="DP70" i="3"/>
  <c r="DO70" i="3"/>
  <c r="DN70" i="3"/>
  <c r="DM70" i="3"/>
  <c r="DL70" i="3"/>
  <c r="DK70" i="3"/>
  <c r="DJ70" i="3"/>
  <c r="DI70" i="3"/>
  <c r="DH70" i="3"/>
  <c r="DG70" i="3"/>
  <c r="DF70" i="3"/>
  <c r="DE70" i="3"/>
  <c r="DD70" i="3"/>
  <c r="DC70" i="3"/>
  <c r="DB70" i="3"/>
  <c r="DA70" i="3"/>
  <c r="CZ70" i="3"/>
  <c r="CY70" i="3"/>
  <c r="CX70" i="3"/>
  <c r="CW70" i="3"/>
  <c r="CV70" i="3"/>
  <c r="CU70" i="3"/>
  <c r="CT70" i="3"/>
  <c r="CS70" i="3"/>
  <c r="CR70" i="3"/>
  <c r="CQ70" i="3"/>
  <c r="CP70" i="3"/>
  <c r="CO70" i="3"/>
  <c r="CN70" i="3"/>
  <c r="CM70" i="3"/>
  <c r="CL70" i="3"/>
  <c r="CK70" i="3"/>
  <c r="CJ70" i="3"/>
  <c r="CI70" i="3"/>
  <c r="CH70" i="3"/>
  <c r="CG70" i="3"/>
  <c r="CF70" i="3"/>
  <c r="CE70" i="3"/>
  <c r="CD70" i="3"/>
  <c r="CC70" i="3"/>
  <c r="CB70" i="3"/>
  <c r="CA70" i="3"/>
  <c r="BZ70" i="3"/>
  <c r="BY70" i="3"/>
  <c r="BX70" i="3"/>
  <c r="BW70" i="3"/>
  <c r="BV70" i="3"/>
  <c r="BU70" i="3"/>
  <c r="BT70" i="3"/>
  <c r="BS70" i="3"/>
  <c r="BR70" i="3"/>
  <c r="BQ70" i="3"/>
  <c r="BP70" i="3"/>
  <c r="BO70" i="3"/>
  <c r="BN70" i="3"/>
  <c r="BM70" i="3"/>
  <c r="BL70" i="3"/>
  <c r="BK70" i="3"/>
  <c r="BJ70" i="3"/>
  <c r="BI70" i="3"/>
  <c r="BH70" i="3"/>
  <c r="BG70" i="3"/>
  <c r="BF70" i="3"/>
  <c r="BE70" i="3"/>
  <c r="BD70" i="3"/>
  <c r="BC70" i="3"/>
  <c r="BB70" i="3"/>
  <c r="BA70" i="3"/>
  <c r="AZ70" i="3"/>
  <c r="AY70" i="3"/>
  <c r="AX70" i="3"/>
  <c r="AW70" i="3"/>
  <c r="AV70" i="3"/>
  <c r="AU70" i="3"/>
  <c r="AT70" i="3"/>
  <c r="AS70" i="3"/>
  <c r="AR70" i="3"/>
  <c r="AQ70" i="3"/>
  <c r="AP70" i="3"/>
  <c r="AO70" i="3"/>
  <c r="AN70" i="3"/>
  <c r="AM70" i="3"/>
  <c r="AL70" i="3"/>
  <c r="AK70" i="3"/>
  <c r="AJ70" i="3"/>
  <c r="AI70" i="3"/>
  <c r="AH70" i="3"/>
  <c r="AG70" i="3"/>
  <c r="AF70" i="3"/>
  <c r="AE70" i="3"/>
  <c r="AD70" i="3"/>
  <c r="AC70" i="3"/>
  <c r="AB70" i="3"/>
  <c r="AA70" i="3"/>
  <c r="Z70" i="3"/>
  <c r="Y70" i="3"/>
  <c r="X70" i="3"/>
  <c r="W70" i="3"/>
  <c r="V70" i="3"/>
  <c r="U70" i="3"/>
  <c r="T70" i="3"/>
  <c r="S70" i="3"/>
  <c r="F43" i="9" s="1"/>
  <c r="R70" i="3"/>
  <c r="E43" i="9" s="1"/>
  <c r="Q70" i="3"/>
  <c r="D43" i="9" s="1"/>
  <c r="EE57" i="3"/>
  <c r="ED57" i="3"/>
  <c r="EC57" i="3"/>
  <c r="EB57" i="3"/>
  <c r="EA57" i="3"/>
  <c r="DZ57" i="3"/>
  <c r="DY57" i="3"/>
  <c r="DX57" i="3"/>
  <c r="DW57" i="3"/>
  <c r="DV57" i="3"/>
  <c r="DU57" i="3"/>
  <c r="DT57" i="3"/>
  <c r="DS57" i="3"/>
  <c r="DR57" i="3"/>
  <c r="DQ57" i="3"/>
  <c r="DP57" i="3"/>
  <c r="DO57" i="3"/>
  <c r="DN57" i="3"/>
  <c r="DM57" i="3"/>
  <c r="DL57" i="3"/>
  <c r="DK57" i="3"/>
  <c r="DJ57" i="3"/>
  <c r="DI57" i="3"/>
  <c r="DH57" i="3"/>
  <c r="DG57" i="3"/>
  <c r="DF57" i="3"/>
  <c r="DE57" i="3"/>
  <c r="DD57" i="3"/>
  <c r="DC57" i="3"/>
  <c r="DB57" i="3"/>
  <c r="DA57" i="3"/>
  <c r="CZ57" i="3"/>
  <c r="CY57" i="3"/>
  <c r="CX57" i="3"/>
  <c r="CW57" i="3"/>
  <c r="CV57" i="3"/>
  <c r="CU57" i="3"/>
  <c r="CT57" i="3"/>
  <c r="CS57" i="3"/>
  <c r="CR57" i="3"/>
  <c r="CQ57" i="3"/>
  <c r="CP57" i="3"/>
  <c r="CO57" i="3"/>
  <c r="CN57" i="3"/>
  <c r="CM57" i="3"/>
  <c r="CL57" i="3"/>
  <c r="CK57" i="3"/>
  <c r="CJ57" i="3"/>
  <c r="CI57" i="3"/>
  <c r="CH57" i="3"/>
  <c r="CG57" i="3"/>
  <c r="CF57" i="3"/>
  <c r="CE57" i="3"/>
  <c r="CD57" i="3"/>
  <c r="CC57" i="3"/>
  <c r="CB57" i="3"/>
  <c r="CA57" i="3"/>
  <c r="BZ57" i="3"/>
  <c r="BY57" i="3"/>
  <c r="BX57" i="3"/>
  <c r="BW57" i="3"/>
  <c r="BV57" i="3"/>
  <c r="BU57" i="3"/>
  <c r="BT57" i="3"/>
  <c r="BS57" i="3"/>
  <c r="BR57" i="3"/>
  <c r="BQ57" i="3"/>
  <c r="BP57" i="3"/>
  <c r="BO57" i="3"/>
  <c r="BN57" i="3"/>
  <c r="BM57" i="3"/>
  <c r="BL57" i="3"/>
  <c r="BK57" i="3"/>
  <c r="BJ57" i="3"/>
  <c r="BI57" i="3"/>
  <c r="BH57" i="3"/>
  <c r="BG57" i="3"/>
  <c r="BF57" i="3"/>
  <c r="BE57" i="3"/>
  <c r="BD57" i="3"/>
  <c r="BC57" i="3"/>
  <c r="BB57" i="3"/>
  <c r="BA57" i="3"/>
  <c r="AZ57" i="3"/>
  <c r="AY57" i="3"/>
  <c r="AX57" i="3"/>
  <c r="AW57" i="3"/>
  <c r="AV57" i="3"/>
  <c r="AU57"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F42" i="9" s="1"/>
  <c r="R57" i="3"/>
  <c r="E42" i="9" s="1"/>
  <c r="Q57" i="3"/>
  <c r="D42" i="9" s="1"/>
  <c r="F41" i="9"/>
  <c r="E41" i="9"/>
  <c r="D41" i="9"/>
  <c r="F40" i="9"/>
  <c r="E40" i="9"/>
  <c r="D40" i="9"/>
  <c r="F39" i="9"/>
  <c r="E39" i="9"/>
  <c r="D39" i="9"/>
  <c r="F38" i="9"/>
  <c r="E38" i="9"/>
  <c r="D38" i="9"/>
  <c r="F37" i="9"/>
  <c r="E37" i="9"/>
  <c r="D37" i="9"/>
  <c r="F36" i="9"/>
  <c r="E36" i="9"/>
  <c r="D36" i="9"/>
  <c r="F35" i="9"/>
  <c r="E35" i="9"/>
  <c r="D35" i="9"/>
  <c r="F34" i="9"/>
  <c r="E34" i="9"/>
  <c r="D34" i="9"/>
  <c r="F33" i="9"/>
  <c r="E33" i="9"/>
  <c r="D33" i="9"/>
  <c r="F32" i="9"/>
  <c r="E32" i="9"/>
  <c r="F31" i="9"/>
  <c r="F30" i="9"/>
  <c r="E30" i="9"/>
  <c r="D30" i="9"/>
  <c r="F29" i="9"/>
  <c r="E29" i="9"/>
  <c r="D29" i="9"/>
  <c r="F28" i="9"/>
  <c r="E28" i="9"/>
  <c r="D28" i="9"/>
  <c r="F27" i="9"/>
  <c r="E27" i="9"/>
  <c r="D27" i="9"/>
  <c r="F26" i="9"/>
  <c r="E26" i="9"/>
  <c r="D26" i="9"/>
  <c r="F25" i="9"/>
  <c r="E25" i="9"/>
  <c r="D25" i="9"/>
  <c r="F24" i="9"/>
  <c r="E24" i="9"/>
  <c r="D24" i="9"/>
  <c r="F23" i="9"/>
  <c r="E23" i="9"/>
  <c r="D23" i="9"/>
  <c r="F22" i="9"/>
  <c r="E22" i="9"/>
  <c r="D22" i="9"/>
  <c r="F21" i="9"/>
  <c r="E21" i="9"/>
  <c r="D21" i="9"/>
  <c r="F20" i="9"/>
  <c r="E20" i="9"/>
  <c r="D20" i="9"/>
  <c r="F19" i="9"/>
  <c r="E19" i="9"/>
  <c r="D19" i="9"/>
  <c r="F18" i="9"/>
  <c r="E18" i="9"/>
  <c r="D18" i="9"/>
  <c r="F17" i="9"/>
  <c r="E17" i="9"/>
  <c r="D17" i="9"/>
  <c r="F16" i="9"/>
  <c r="E16" i="9"/>
  <c r="D16" i="9"/>
  <c r="F15" i="9"/>
  <c r="E15" i="9"/>
  <c r="D15" i="9"/>
  <c r="F14" i="9"/>
  <c r="E14" i="9"/>
  <c r="D14" i="9"/>
  <c r="F13" i="9"/>
  <c r="E13" i="9"/>
  <c r="D13" i="9"/>
  <c r="F12" i="9"/>
  <c r="E12" i="9"/>
  <c r="D12" i="9"/>
  <c r="F11" i="9"/>
  <c r="E11" i="9"/>
  <c r="D11" i="9"/>
  <c r="F10" i="9"/>
  <c r="E10" i="9"/>
  <c r="D10" i="9"/>
  <c r="F9" i="9"/>
  <c r="E9" i="9"/>
  <c r="D9" i="9"/>
  <c r="F8" i="9"/>
  <c r="E8" i="9"/>
  <c r="D8" i="9"/>
  <c r="F7" i="9"/>
  <c r="E7" i="9"/>
  <c r="D7" i="9"/>
  <c r="F6" i="9"/>
  <c r="E6" i="9"/>
  <c r="D6" i="9"/>
  <c r="F5" i="9"/>
  <c r="E5" i="9"/>
  <c r="D5" i="9"/>
  <c r="F4" i="9"/>
  <c r="E4" i="9"/>
  <c r="D4" i="9"/>
  <c r="F3" i="9"/>
  <c r="E3" i="9"/>
  <c r="D3" i="9"/>
  <c r="F2" i="9"/>
  <c r="F47" i="9" l="1"/>
  <c r="D109" i="9"/>
  <c r="F94" i="9"/>
  <c r="D51" i="9"/>
  <c r="F61" i="9"/>
  <c r="D61" i="9"/>
  <c r="D59" i="9"/>
  <c r="E31" i="9"/>
  <c r="D50" i="9"/>
  <c r="E51" i="9"/>
  <c r="E59" i="9"/>
  <c r="F60" i="9"/>
  <c r="D74" i="9"/>
  <c r="E75" i="9"/>
  <c r="F76" i="9"/>
  <c r="D82" i="9"/>
  <c r="E83" i="9"/>
  <c r="D90" i="9"/>
  <c r="F92" i="9"/>
  <c r="D98" i="9"/>
  <c r="E99" i="9"/>
  <c r="F100" i="9"/>
  <c r="D106" i="9"/>
  <c r="F108" i="9"/>
  <c r="E111" i="9"/>
  <c r="F112" i="9"/>
  <c r="E94" i="9"/>
  <c r="D113" i="9"/>
  <c r="E69" i="9"/>
  <c r="F86" i="9"/>
  <c r="F102" i="9"/>
  <c r="E109" i="9"/>
  <c r="E113" i="9"/>
  <c r="D31" i="9"/>
  <c r="F69" i="9"/>
  <c r="D75" i="9"/>
  <c r="F85" i="9"/>
  <c r="D111" i="9"/>
  <c r="F113" i="9"/>
  <c r="E50" i="9"/>
  <c r="F51" i="9"/>
  <c r="F59" i="9"/>
  <c r="E74" i="9"/>
  <c r="D81" i="9"/>
  <c r="E82" i="9"/>
  <c r="F83" i="9"/>
  <c r="F99" i="9"/>
  <c r="F55" i="9"/>
  <c r="D85" i="9"/>
  <c r="E102" i="9"/>
  <c r="E61" i="9"/>
  <c r="F77" i="9"/>
  <c r="D99" i="9"/>
  <c r="E108" i="9"/>
  <c r="F109" i="9"/>
  <c r="D57" i="9"/>
  <c r="E58" i="9"/>
  <c r="D65" i="9"/>
  <c r="D73" i="9"/>
  <c r="F75" i="9"/>
  <c r="D89" i="9"/>
  <c r="E90" i="9"/>
  <c r="F91" i="9"/>
  <c r="D97" i="9"/>
  <c r="E98" i="9"/>
  <c r="D105" i="9"/>
  <c r="E106" i="9"/>
  <c r="F111" i="9"/>
  <c r="D32" i="9"/>
  <c r="F50" i="9"/>
  <c r="D56" i="9"/>
  <c r="E57" i="9"/>
  <c r="F58" i="9"/>
  <c r="D64" i="9"/>
  <c r="E65" i="9"/>
  <c r="D72" i="9"/>
  <c r="E73" i="9"/>
  <c r="D80" i="9"/>
  <c r="E81" i="9"/>
  <c r="F82" i="9"/>
  <c r="D88" i="9"/>
  <c r="E89" i="9"/>
  <c r="F90" i="9"/>
  <c r="D96" i="9"/>
  <c r="E97" i="9"/>
  <c r="F98" i="9"/>
  <c r="D104" i="9"/>
  <c r="E105" i="9"/>
  <c r="F106" i="9"/>
  <c r="D94" i="9"/>
  <c r="F71" i="9"/>
  <c r="E85" i="9"/>
  <c r="F57" i="9"/>
  <c r="D63" i="9"/>
  <c r="F65" i="9"/>
  <c r="D79" i="9"/>
  <c r="D95" i="9"/>
  <c r="F97" i="9"/>
  <c r="AM18" i="7"/>
  <c r="AM28" i="7"/>
  <c r="AM36" i="7"/>
  <c r="AM44" i="7"/>
  <c r="AM45" i="7"/>
  <c r="AM16" i="7"/>
  <c r="AM24" i="7"/>
  <c r="AM32" i="7"/>
  <c r="AM40" i="7"/>
  <c r="AM48" i="7"/>
  <c r="AM56" i="7"/>
  <c r="AM13" i="7"/>
  <c r="AM21" i="7"/>
  <c r="AM29" i="7"/>
  <c r="AM37" i="7"/>
  <c r="AM49" i="7"/>
  <c r="AM26" i="7"/>
  <c r="AM34" i="7"/>
  <c r="AM42" i="7"/>
  <c r="AM15" i="7"/>
  <c r="AM23" i="7"/>
  <c r="AM31" i="7"/>
  <c r="AM38" i="7"/>
  <c r="AM39" i="7"/>
  <c r="AM46" i="7"/>
  <c r="AM47" i="7"/>
  <c r="AM55" i="7"/>
  <c r="AM20" i="7"/>
  <c r="AM9" i="7"/>
  <c r="AM17" i="7"/>
  <c r="AM25" i="7"/>
  <c r="AM33" i="7"/>
  <c r="AM41" i="7"/>
  <c r="AM52" i="7"/>
  <c r="AM53" i="7"/>
  <c r="AM57" i="7"/>
  <c r="AM2" i="7"/>
  <c r="C23" i="6"/>
  <c r="AM6" i="7"/>
  <c r="AM14" i="7"/>
  <c r="AM22" i="7"/>
  <c r="AM30" i="7"/>
  <c r="AM4" i="7"/>
  <c r="AM19" i="7"/>
  <c r="AM27" i="7"/>
  <c r="AM35" i="7"/>
  <c r="AM43" i="7"/>
  <c r="AM50" i="7"/>
  <c r="AM51" i="7"/>
  <c r="AM54" i="7"/>
  <c r="B3" i="5"/>
  <c r="G5" i="5"/>
  <c r="H6" i="5"/>
  <c r="G7" i="5"/>
  <c r="D10" i="5"/>
  <c r="B11" i="5"/>
  <c r="B17" i="5"/>
  <c r="B22" i="5"/>
  <c r="F23" i="5"/>
  <c r="F28" i="5"/>
  <c r="F29" i="5"/>
  <c r="G32" i="5"/>
  <c r="C35" i="5"/>
  <c r="D40" i="5"/>
  <c r="G43" i="5"/>
  <c r="D45" i="5"/>
  <c r="F47" i="5"/>
  <c r="G51" i="5"/>
  <c r="D53" i="5"/>
  <c r="F55" i="5"/>
  <c r="G59" i="5"/>
  <c r="F61" i="5"/>
  <c r="G63" i="5"/>
  <c r="G65" i="5"/>
  <c r="H67" i="5"/>
  <c r="H71" i="5"/>
  <c r="C19" i="6"/>
  <c r="F2" i="5"/>
  <c r="H7" i="5"/>
  <c r="F8" i="5"/>
  <c r="G9" i="5"/>
  <c r="C11" i="5"/>
  <c r="B12" i="5"/>
  <c r="B16" i="5"/>
  <c r="G17" i="5"/>
  <c r="F18" i="5"/>
  <c r="C22" i="5"/>
  <c r="G23" i="5"/>
  <c r="B27" i="5"/>
  <c r="G28" i="5"/>
  <c r="G29" i="5"/>
  <c r="H32" i="5"/>
  <c r="G37" i="5"/>
  <c r="H43" i="5"/>
  <c r="G47" i="5"/>
  <c r="F49" i="5"/>
  <c r="H51" i="5"/>
  <c r="G55" i="5"/>
  <c r="F57" i="5"/>
  <c r="H59" i="5"/>
  <c r="H61" i="5"/>
  <c r="H63" i="5"/>
  <c r="H65" i="5"/>
  <c r="B22" i="6"/>
  <c r="C3" i="5"/>
  <c r="G2" i="5"/>
  <c r="D3" i="5"/>
  <c r="B4" i="5"/>
  <c r="H8" i="5"/>
  <c r="H9" i="5"/>
  <c r="F10" i="5"/>
  <c r="D11" i="5"/>
  <c r="D12" i="5"/>
  <c r="C13" i="5"/>
  <c r="B14" i="5"/>
  <c r="C16" i="5"/>
  <c r="H17" i="5"/>
  <c r="G18" i="5"/>
  <c r="C21" i="5"/>
  <c r="H22" i="5"/>
  <c r="H23" i="5"/>
  <c r="C27" i="5"/>
  <c r="H28" i="5"/>
  <c r="B31" i="5"/>
  <c r="D34" i="5"/>
  <c r="H37" i="5"/>
  <c r="C42" i="5"/>
  <c r="D114" i="9"/>
  <c r="G42" i="6"/>
  <c r="H39" i="6"/>
  <c r="G41" i="6"/>
  <c r="G37" i="6"/>
  <c r="H34" i="6"/>
  <c r="F32" i="6"/>
  <c r="G29" i="6"/>
  <c r="H26" i="6"/>
  <c r="F24" i="6"/>
  <c r="G21" i="6"/>
  <c r="H18" i="6"/>
  <c r="F16" i="6"/>
  <c r="G13" i="6"/>
  <c r="H10" i="6"/>
  <c r="F8" i="6"/>
  <c r="G5" i="6"/>
  <c r="H2" i="6"/>
  <c r="F72" i="5"/>
  <c r="G69" i="5"/>
  <c r="H66" i="5"/>
  <c r="F64" i="5"/>
  <c r="G61" i="5"/>
  <c r="H58" i="5"/>
  <c r="F56" i="5"/>
  <c r="G53" i="5"/>
  <c r="H50" i="5"/>
  <c r="F48" i="5"/>
  <c r="G45" i="5"/>
  <c r="H42" i="5"/>
  <c r="H43" i="6"/>
  <c r="F39" i="6"/>
  <c r="F36" i="6"/>
  <c r="G33" i="6"/>
  <c r="H30" i="6"/>
  <c r="F28" i="6"/>
  <c r="G25" i="6"/>
  <c r="H22" i="6"/>
  <c r="F20" i="6"/>
  <c r="G43" i="6"/>
  <c r="F42" i="6"/>
  <c r="F41" i="6"/>
  <c r="I41" i="6" s="1"/>
  <c r="F40" i="6"/>
  <c r="F38" i="6"/>
  <c r="F37" i="6"/>
  <c r="G36" i="6"/>
  <c r="G35" i="6"/>
  <c r="F26" i="6"/>
  <c r="I26" i="6" s="1"/>
  <c r="H25" i="6"/>
  <c r="H24" i="6"/>
  <c r="H23" i="6"/>
  <c r="F17" i="6"/>
  <c r="H16" i="6"/>
  <c r="G12" i="6"/>
  <c r="G8" i="6"/>
  <c r="H7" i="6"/>
  <c r="F4" i="6"/>
  <c r="H3" i="6"/>
  <c r="G71" i="5"/>
  <c r="G67" i="5"/>
  <c r="F63" i="5"/>
  <c r="I63" i="5" s="1"/>
  <c r="F59" i="5"/>
  <c r="I59" i="5" s="1"/>
  <c r="G58" i="5"/>
  <c r="H54" i="5"/>
  <c r="F50" i="5"/>
  <c r="G46" i="5"/>
  <c r="H41" i="5"/>
  <c r="H38" i="5"/>
  <c r="F43" i="6"/>
  <c r="I43" i="6" s="1"/>
  <c r="F35" i="6"/>
  <c r="G34" i="6"/>
  <c r="F25" i="6"/>
  <c r="I25" i="6" s="1"/>
  <c r="G24" i="6"/>
  <c r="G23" i="6"/>
  <c r="G16" i="6"/>
  <c r="H15" i="6"/>
  <c r="F12" i="6"/>
  <c r="I12" i="6" s="1"/>
  <c r="H11" i="6"/>
  <c r="G7" i="6"/>
  <c r="G3" i="6"/>
  <c r="F71" i="5"/>
  <c r="F67" i="5"/>
  <c r="I67" i="5" s="1"/>
  <c r="G66" i="5"/>
  <c r="H62" i="5"/>
  <c r="F58" i="5"/>
  <c r="I58" i="5" s="1"/>
  <c r="G54" i="5"/>
  <c r="H49" i="5"/>
  <c r="F46" i="5"/>
  <c r="H45" i="5"/>
  <c r="G41" i="5"/>
  <c r="G38" i="5"/>
  <c r="H35" i="5"/>
  <c r="F33" i="5"/>
  <c r="G30" i="5"/>
  <c r="H42" i="6"/>
  <c r="G38" i="6"/>
  <c r="F33" i="6"/>
  <c r="F30" i="6"/>
  <c r="F34" i="6"/>
  <c r="F2" i="6"/>
  <c r="G39" i="6"/>
  <c r="H35" i="6"/>
  <c r="G15" i="6"/>
  <c r="G11" i="6"/>
  <c r="G10" i="6"/>
  <c r="F7" i="6"/>
  <c r="I7" i="6" s="1"/>
  <c r="H6" i="6"/>
  <c r="H4" i="6"/>
  <c r="F3" i="6"/>
  <c r="I3" i="6" s="1"/>
  <c r="H73" i="5"/>
  <c r="H72" i="5"/>
  <c r="F70" i="5"/>
  <c r="H69" i="5"/>
  <c r="G68" i="5"/>
  <c r="F65" i="5"/>
  <c r="I65" i="5" s="1"/>
  <c r="G64" i="5"/>
  <c r="F60" i="5"/>
  <c r="F51" i="5"/>
  <c r="I51" i="5" s="1"/>
  <c r="H40" i="6"/>
  <c r="H27" i="6"/>
  <c r="G26" i="6"/>
  <c r="F15" i="6"/>
  <c r="I15" i="6" s="1"/>
  <c r="H12" i="6"/>
  <c r="F11" i="6"/>
  <c r="F10" i="6"/>
  <c r="I10" i="6" s="1"/>
  <c r="H9" i="6"/>
  <c r="H8" i="6"/>
  <c r="G6" i="6"/>
  <c r="H5" i="6"/>
  <c r="G4" i="6"/>
  <c r="G73" i="5"/>
  <c r="G72" i="5"/>
  <c r="F69" i="5"/>
  <c r="I69" i="5" s="1"/>
  <c r="F68" i="5"/>
  <c r="F37" i="5"/>
  <c r="I37" i="5" s="1"/>
  <c r="G36" i="5"/>
  <c r="F32" i="5"/>
  <c r="I32" i="5" s="1"/>
  <c r="G40" i="6"/>
  <c r="H36" i="6"/>
  <c r="G27" i="6"/>
  <c r="G22" i="6"/>
  <c r="H21" i="6"/>
  <c r="H20" i="6"/>
  <c r="H19" i="6"/>
  <c r="H17" i="6"/>
  <c r="H14" i="6"/>
  <c r="H13" i="6"/>
  <c r="G9" i="6"/>
  <c r="F6" i="6"/>
  <c r="I6" i="6" s="1"/>
  <c r="F5" i="6"/>
  <c r="I5" i="6" s="1"/>
  <c r="F73" i="5"/>
  <c r="F36" i="5"/>
  <c r="G35" i="5"/>
  <c r="H31" i="5"/>
  <c r="H27" i="5"/>
  <c r="F25" i="5"/>
  <c r="G22" i="5"/>
  <c r="H19" i="5"/>
  <c r="F17" i="5"/>
  <c r="I17" i="5" s="1"/>
  <c r="G14" i="5"/>
  <c r="H11" i="5"/>
  <c r="F9" i="5"/>
  <c r="I9" i="5" s="1"/>
  <c r="G6" i="5"/>
  <c r="H3" i="5"/>
  <c r="H31" i="6"/>
  <c r="H28" i="6"/>
  <c r="F27" i="6"/>
  <c r="F22" i="6"/>
  <c r="F21" i="6"/>
  <c r="G20" i="6"/>
  <c r="G19" i="6"/>
  <c r="G18" i="6"/>
  <c r="G17" i="6"/>
  <c r="G14" i="6"/>
  <c r="F13" i="6"/>
  <c r="I13" i="6" s="1"/>
  <c r="F9" i="6"/>
  <c r="I9" i="6" s="1"/>
  <c r="F35" i="5"/>
  <c r="I35" i="5" s="1"/>
  <c r="G31" i="5"/>
  <c r="G27" i="5"/>
  <c r="H24" i="5"/>
  <c r="F22" i="5"/>
  <c r="I22" i="5" s="1"/>
  <c r="G19" i="5"/>
  <c r="H16" i="5"/>
  <c r="F14" i="5"/>
  <c r="H41" i="6"/>
  <c r="H37" i="6"/>
  <c r="H32" i="6"/>
  <c r="G31" i="6"/>
  <c r="G28" i="6"/>
  <c r="F23" i="6"/>
  <c r="I23" i="6" s="1"/>
  <c r="F19" i="6"/>
  <c r="I19" i="6" s="1"/>
  <c r="F18" i="6"/>
  <c r="I18" i="6" s="1"/>
  <c r="F14" i="6"/>
  <c r="H57" i="5"/>
  <c r="H53" i="5"/>
  <c r="H44" i="5"/>
  <c r="H40" i="5"/>
  <c r="H34" i="5"/>
  <c r="F31" i="5"/>
  <c r="H30" i="5"/>
  <c r="F27" i="5"/>
  <c r="I27" i="5" s="1"/>
  <c r="G24" i="5"/>
  <c r="H21" i="5"/>
  <c r="F19" i="5"/>
  <c r="G16" i="5"/>
  <c r="H13" i="5"/>
  <c r="F11" i="5"/>
  <c r="G8" i="5"/>
  <c r="H5" i="5"/>
  <c r="H38" i="6"/>
  <c r="H33" i="6"/>
  <c r="G32" i="6"/>
  <c r="F31" i="6"/>
  <c r="I31" i="6" s="1"/>
  <c r="G30" i="6"/>
  <c r="H29" i="6"/>
  <c r="G57" i="5"/>
  <c r="H55" i="5"/>
  <c r="F53" i="5"/>
  <c r="I53" i="5" s="1"/>
  <c r="H52" i="5"/>
  <c r="G49" i="5"/>
  <c r="H48" i="5"/>
  <c r="H47" i="5"/>
  <c r="F45" i="5"/>
  <c r="I45" i="5" s="1"/>
  <c r="G44" i="5"/>
  <c r="G40" i="5"/>
  <c r="I40" i="5" s="1"/>
  <c r="G34" i="5"/>
  <c r="F30" i="5"/>
  <c r="H29" i="5"/>
  <c r="H26" i="5"/>
  <c r="F24" i="5"/>
  <c r="I24" i="5" s="1"/>
  <c r="G21" i="5"/>
  <c r="H18" i="5"/>
  <c r="F16" i="5"/>
  <c r="H2" i="5"/>
  <c r="C4" i="5"/>
  <c r="G10" i="5"/>
  <c r="F12" i="5"/>
  <c r="D13" i="5"/>
  <c r="C14" i="5"/>
  <c r="F15" i="5"/>
  <c r="D16" i="5"/>
  <c r="D21" i="5"/>
  <c r="D26" i="5"/>
  <c r="D27" i="5"/>
  <c r="C31" i="5"/>
  <c r="F39" i="5"/>
  <c r="F42" i="5"/>
  <c r="C20" i="6"/>
  <c r="F29" i="6"/>
  <c r="C5" i="5"/>
  <c r="B6" i="5"/>
  <c r="H10" i="5"/>
  <c r="G11" i="5"/>
  <c r="G12" i="5"/>
  <c r="D14" i="5"/>
  <c r="G15" i="5"/>
  <c r="F20" i="5"/>
  <c r="B25" i="5"/>
  <c r="B30" i="5"/>
  <c r="F34" i="5"/>
  <c r="I34" i="5" s="1"/>
  <c r="H36" i="5"/>
  <c r="G39" i="5"/>
  <c r="G42" i="5"/>
  <c r="D50" i="5"/>
  <c r="F52" i="5"/>
  <c r="G56" i="5"/>
  <c r="D58" i="5"/>
  <c r="G60" i="5"/>
  <c r="F62" i="5"/>
  <c r="H64" i="5"/>
  <c r="H68" i="5"/>
  <c r="G70" i="5"/>
  <c r="G2" i="6"/>
  <c r="D2" i="9"/>
  <c r="D43" i="6"/>
  <c r="B41" i="6"/>
  <c r="C38" i="6"/>
  <c r="C43" i="6"/>
  <c r="B39" i="6"/>
  <c r="B36" i="6"/>
  <c r="C33" i="6"/>
  <c r="D30" i="6"/>
  <c r="B28" i="6"/>
  <c r="C25" i="6"/>
  <c r="D22" i="6"/>
  <c r="B20" i="6"/>
  <c r="C17" i="6"/>
  <c r="D14" i="6"/>
  <c r="B12" i="6"/>
  <c r="C9" i="6"/>
  <c r="D6" i="6"/>
  <c r="B4" i="6"/>
  <c r="C73" i="5"/>
  <c r="D70" i="5"/>
  <c r="B68" i="5"/>
  <c r="C65" i="5"/>
  <c r="D62" i="5"/>
  <c r="B60" i="5"/>
  <c r="C57" i="5"/>
  <c r="D54" i="5"/>
  <c r="B52" i="5"/>
  <c r="C49" i="5"/>
  <c r="D46" i="5"/>
  <c r="B44" i="5"/>
  <c r="C41" i="5"/>
  <c r="C41" i="6"/>
  <c r="D40" i="6"/>
  <c r="C37" i="6"/>
  <c r="D34" i="6"/>
  <c r="B32" i="6"/>
  <c r="C29" i="6"/>
  <c r="D26" i="6"/>
  <c r="B24" i="6"/>
  <c r="C21" i="6"/>
  <c r="D18" i="6"/>
  <c r="B30" i="6"/>
  <c r="D29" i="6"/>
  <c r="D28" i="6"/>
  <c r="D27" i="6"/>
  <c r="B19" i="6"/>
  <c r="C18" i="6"/>
  <c r="C14" i="6"/>
  <c r="B10" i="6"/>
  <c r="B6" i="6"/>
  <c r="D5" i="6"/>
  <c r="D73" i="5"/>
  <c r="C69" i="5"/>
  <c r="B65" i="5"/>
  <c r="D64" i="5"/>
  <c r="B61" i="5"/>
  <c r="D60" i="5"/>
  <c r="C56" i="5"/>
  <c r="C52" i="5"/>
  <c r="D51" i="5"/>
  <c r="B48" i="5"/>
  <c r="D47" i="5"/>
  <c r="C43" i="5"/>
  <c r="B40" i="5"/>
  <c r="C37" i="5"/>
  <c r="D42" i="6"/>
  <c r="C40" i="6"/>
  <c r="D39" i="6"/>
  <c r="D38" i="6"/>
  <c r="B29" i="6"/>
  <c r="C28" i="6"/>
  <c r="C27" i="6"/>
  <c r="B18" i="6"/>
  <c r="B14" i="6"/>
  <c r="D13" i="6"/>
  <c r="D9" i="6"/>
  <c r="C5" i="6"/>
  <c r="B73" i="5"/>
  <c r="D72" i="5"/>
  <c r="B69" i="5"/>
  <c r="D68" i="5"/>
  <c r="C64" i="5"/>
  <c r="C60" i="5"/>
  <c r="D59" i="5"/>
  <c r="B56" i="5"/>
  <c r="D55" i="5"/>
  <c r="C51" i="5"/>
  <c r="C47" i="5"/>
  <c r="B43" i="5"/>
  <c r="D42" i="5"/>
  <c r="D39" i="5"/>
  <c r="B37" i="5"/>
  <c r="C34" i="5"/>
  <c r="D31" i="5"/>
  <c r="B29" i="5"/>
  <c r="B37" i="6"/>
  <c r="D31" i="6"/>
  <c r="C42" i="6"/>
  <c r="B38" i="6"/>
  <c r="D32" i="6"/>
  <c r="C31" i="6"/>
  <c r="D24" i="6"/>
  <c r="B23" i="6"/>
  <c r="B42" i="6"/>
  <c r="D33" i="6"/>
  <c r="C32" i="6"/>
  <c r="B31" i="6"/>
  <c r="C30" i="6"/>
  <c r="C24" i="6"/>
  <c r="D67" i="5"/>
  <c r="D66" i="5"/>
  <c r="D63" i="5"/>
  <c r="C59" i="5"/>
  <c r="C58" i="5"/>
  <c r="D57" i="5"/>
  <c r="C55" i="5"/>
  <c r="C54" i="5"/>
  <c r="C53" i="5"/>
  <c r="C50" i="5"/>
  <c r="D49" i="5"/>
  <c r="D48" i="5"/>
  <c r="C46" i="5"/>
  <c r="C45" i="5"/>
  <c r="D44" i="5"/>
  <c r="C39" i="6"/>
  <c r="D35" i="6"/>
  <c r="C34" i="6"/>
  <c r="B33" i="6"/>
  <c r="D25" i="6"/>
  <c r="D3" i="6"/>
  <c r="D2" i="6"/>
  <c r="D71" i="5"/>
  <c r="C67" i="5"/>
  <c r="C66" i="5"/>
  <c r="C63" i="5"/>
  <c r="C62" i="5"/>
  <c r="D61" i="5"/>
  <c r="B59" i="5"/>
  <c r="B58" i="5"/>
  <c r="B57" i="5"/>
  <c r="D56" i="5"/>
  <c r="B55" i="5"/>
  <c r="B54" i="5"/>
  <c r="B53" i="5"/>
  <c r="D52" i="5"/>
  <c r="B51" i="5"/>
  <c r="B50" i="5"/>
  <c r="B49" i="5"/>
  <c r="C48" i="5"/>
  <c r="B47" i="5"/>
  <c r="B46" i="5"/>
  <c r="B45" i="5"/>
  <c r="C44" i="5"/>
  <c r="D43" i="5"/>
  <c r="B42" i="5"/>
  <c r="B41" i="5"/>
  <c r="C40" i="5"/>
  <c r="C39" i="5"/>
  <c r="D38" i="5"/>
  <c r="B34" i="5"/>
  <c r="D33" i="5"/>
  <c r="B43" i="6"/>
  <c r="E43" i="6" s="1"/>
  <c r="J43" i="6" s="1"/>
  <c r="C35" i="6"/>
  <c r="B34" i="6"/>
  <c r="C26" i="6"/>
  <c r="B25" i="6"/>
  <c r="D11" i="6"/>
  <c r="D8" i="6"/>
  <c r="D7" i="6"/>
  <c r="D4" i="6"/>
  <c r="C3" i="6"/>
  <c r="C2" i="6"/>
  <c r="C72" i="5"/>
  <c r="C71" i="5"/>
  <c r="C70" i="5"/>
  <c r="C68" i="5"/>
  <c r="B67" i="5"/>
  <c r="B66" i="5"/>
  <c r="D65" i="5"/>
  <c r="B64" i="5"/>
  <c r="B63" i="5"/>
  <c r="B62" i="5"/>
  <c r="C61" i="5"/>
  <c r="B39" i="5"/>
  <c r="C38" i="5"/>
  <c r="C33" i="5"/>
  <c r="C29" i="5"/>
  <c r="C26" i="5"/>
  <c r="D23" i="5"/>
  <c r="B21" i="5"/>
  <c r="E21" i="5" s="1"/>
  <c r="C18" i="5"/>
  <c r="D15" i="5"/>
  <c r="B13" i="5"/>
  <c r="E13" i="5" s="1"/>
  <c r="C10" i="5"/>
  <c r="D7" i="5"/>
  <c r="B5" i="5"/>
  <c r="C2" i="5"/>
  <c r="B40" i="6"/>
  <c r="D36" i="6"/>
  <c r="B35" i="6"/>
  <c r="B26" i="6"/>
  <c r="D16" i="6"/>
  <c r="D15" i="6"/>
  <c r="D12" i="6"/>
  <c r="C11" i="6"/>
  <c r="D10" i="6"/>
  <c r="C8" i="6"/>
  <c r="C7" i="6"/>
  <c r="C4" i="6"/>
  <c r="B3" i="6"/>
  <c r="B2" i="6"/>
  <c r="B72" i="5"/>
  <c r="B71" i="5"/>
  <c r="B70" i="5"/>
  <c r="D69" i="5"/>
  <c r="B38" i="5"/>
  <c r="D37" i="5"/>
  <c r="D36" i="5"/>
  <c r="B33" i="5"/>
  <c r="D32" i="5"/>
  <c r="D28" i="5"/>
  <c r="B26" i="5"/>
  <c r="C23" i="5"/>
  <c r="D20" i="5"/>
  <c r="B18" i="5"/>
  <c r="C15" i="5"/>
  <c r="C36" i="6"/>
  <c r="B27" i="6"/>
  <c r="E27" i="6" s="1"/>
  <c r="D17" i="6"/>
  <c r="C16" i="6"/>
  <c r="C15" i="6"/>
  <c r="C13" i="6"/>
  <c r="C12" i="6"/>
  <c r="B11" i="6"/>
  <c r="C10" i="6"/>
  <c r="B9" i="6"/>
  <c r="E9" i="6" s="1"/>
  <c r="J9" i="6" s="1"/>
  <c r="B8" i="6"/>
  <c r="B7" i="6"/>
  <c r="C6" i="6"/>
  <c r="B5" i="6"/>
  <c r="E5" i="6" s="1"/>
  <c r="J5" i="6" s="1"/>
  <c r="C36" i="5"/>
  <c r="C32" i="5"/>
  <c r="C28" i="5"/>
  <c r="D25" i="5"/>
  <c r="B23" i="5"/>
  <c r="C20" i="5"/>
  <c r="D17" i="5"/>
  <c r="B15" i="5"/>
  <c r="C12" i="5"/>
  <c r="D9" i="5"/>
  <c r="B7" i="5"/>
  <c r="D41" i="6"/>
  <c r="D37" i="6"/>
  <c r="D23" i="6"/>
  <c r="C22" i="6"/>
  <c r="D21" i="6"/>
  <c r="D20" i="6"/>
  <c r="D19" i="6"/>
  <c r="B17" i="6"/>
  <c r="B16" i="6"/>
  <c r="B15" i="6"/>
  <c r="B13" i="6"/>
  <c r="B36" i="5"/>
  <c r="D35" i="5"/>
  <c r="B32" i="5"/>
  <c r="B28" i="5"/>
  <c r="C25" i="5"/>
  <c r="D22" i="5"/>
  <c r="B20" i="5"/>
  <c r="C17" i="5"/>
  <c r="G3" i="5"/>
  <c r="F4" i="5"/>
  <c r="D5" i="5"/>
  <c r="C6" i="5"/>
  <c r="C7" i="5"/>
  <c r="B8" i="5"/>
  <c r="H12" i="5"/>
  <c r="F13" i="5"/>
  <c r="H14" i="5"/>
  <c r="H15" i="5"/>
  <c r="B19" i="5"/>
  <c r="G20" i="5"/>
  <c r="F21" i="5"/>
  <c r="I21" i="5" s="1"/>
  <c r="B24" i="5"/>
  <c r="G25" i="5"/>
  <c r="F26" i="5"/>
  <c r="I26" i="5" s="1"/>
  <c r="C30" i="5"/>
  <c r="H39" i="5"/>
  <c r="D41" i="5"/>
  <c r="F44" i="5"/>
  <c r="I44" i="5" s="1"/>
  <c r="H46" i="5"/>
  <c r="G48" i="5"/>
  <c r="G50" i="5"/>
  <c r="G52" i="5"/>
  <c r="F54" i="5"/>
  <c r="I54" i="5" s="1"/>
  <c r="H56" i="5"/>
  <c r="H60" i="5"/>
  <c r="G62" i="5"/>
  <c r="F66" i="5"/>
  <c r="I66" i="5" s="1"/>
  <c r="H70" i="5"/>
  <c r="F3" i="5"/>
  <c r="I3" i="5" s="1"/>
  <c r="B2" i="5"/>
  <c r="G4" i="5"/>
  <c r="D6" i="5"/>
  <c r="C8" i="5"/>
  <c r="B9" i="5"/>
  <c r="G13" i="5"/>
  <c r="C19" i="5"/>
  <c r="H20" i="5"/>
  <c r="C24" i="5"/>
  <c r="H25" i="5"/>
  <c r="G26" i="5"/>
  <c r="D29" i="5"/>
  <c r="D30" i="5"/>
  <c r="G33" i="5"/>
  <c r="B21" i="6"/>
  <c r="B6" i="8"/>
  <c r="B4" i="8"/>
  <c r="E2" i="9"/>
  <c r="D5" i="8"/>
  <c r="D3" i="8"/>
  <c r="C5" i="8"/>
  <c r="C3" i="8"/>
  <c r="B5" i="8"/>
  <c r="B3" i="8"/>
  <c r="D6" i="8"/>
  <c r="D4" i="8"/>
  <c r="C6" i="8"/>
  <c r="C4" i="8"/>
  <c r="B13" i="8"/>
  <c r="B11" i="8"/>
  <c r="E114" i="9"/>
  <c r="D14" i="8"/>
  <c r="D12" i="8"/>
  <c r="C14" i="8"/>
  <c r="C12" i="8"/>
  <c r="B14" i="8"/>
  <c r="B12" i="8"/>
  <c r="D13" i="8"/>
  <c r="D11" i="8"/>
  <c r="C13" i="8"/>
  <c r="C11" i="8"/>
  <c r="D4" i="5"/>
  <c r="D2" i="5"/>
  <c r="H4" i="5"/>
  <c r="F5" i="5"/>
  <c r="I5" i="5" s="1"/>
  <c r="F6" i="5"/>
  <c r="I6" i="5" s="1"/>
  <c r="F7" i="5"/>
  <c r="I7" i="5" s="1"/>
  <c r="D8" i="5"/>
  <c r="C9" i="5"/>
  <c r="B10" i="5"/>
  <c r="D18" i="5"/>
  <c r="D19" i="5"/>
  <c r="D24" i="5"/>
  <c r="H33" i="5"/>
  <c r="B35" i="5"/>
  <c r="F38" i="5"/>
  <c r="I38" i="5" s="1"/>
  <c r="F41" i="5"/>
  <c r="I41" i="5" s="1"/>
  <c r="F43" i="5"/>
  <c r="I43" i="5" s="1"/>
  <c r="AM3" i="7"/>
  <c r="AM8" i="7"/>
  <c r="AM5" i="7"/>
  <c r="AM10" i="7"/>
  <c r="AM7" i="7"/>
  <c r="AM12" i="7"/>
  <c r="AM11" i="7"/>
  <c r="E64" i="5" l="1"/>
  <c r="E42" i="5"/>
  <c r="E58" i="5"/>
  <c r="J58" i="5" s="1"/>
  <c r="E71" i="5"/>
  <c r="E16" i="6"/>
  <c r="E53" i="5"/>
  <c r="J53" i="5" s="1"/>
  <c r="E2" i="6"/>
  <c r="E50" i="5"/>
  <c r="E38" i="6"/>
  <c r="J38" i="6" s="1"/>
  <c r="E72" i="5"/>
  <c r="J72" i="5" s="1"/>
  <c r="E18" i="6"/>
  <c r="J18" i="6" s="1"/>
  <c r="E35" i="5"/>
  <c r="J35" i="5" s="1"/>
  <c r="E5" i="8"/>
  <c r="E21" i="6"/>
  <c r="E24" i="5"/>
  <c r="J24" i="5" s="1"/>
  <c r="E5" i="5"/>
  <c r="J5" i="5" s="1"/>
  <c r="E34" i="6"/>
  <c r="J34" i="6" s="1"/>
  <c r="E41" i="5"/>
  <c r="J41" i="5" s="1"/>
  <c r="E49" i="5"/>
  <c r="J49" i="5" s="1"/>
  <c r="E57" i="5"/>
  <c r="E37" i="5"/>
  <c r="J37" i="5" s="1"/>
  <c r="E31" i="6"/>
  <c r="J31" i="6" s="1"/>
  <c r="C7" i="8"/>
  <c r="E33" i="5"/>
  <c r="J33" i="5" s="1"/>
  <c r="E66" i="5"/>
  <c r="J66" i="5" s="1"/>
  <c r="E51" i="5"/>
  <c r="J51" i="5" s="1"/>
  <c r="E59" i="5"/>
  <c r="J59" i="5" s="1"/>
  <c r="E14" i="6"/>
  <c r="J14" i="6" s="1"/>
  <c r="E6" i="6"/>
  <c r="J6" i="6" s="1"/>
  <c r="E33" i="6"/>
  <c r="E38" i="5"/>
  <c r="J38" i="5" s="1"/>
  <c r="E4" i="8"/>
  <c r="E13" i="6"/>
  <c r="J13" i="6" s="1"/>
  <c r="E7" i="6"/>
  <c r="J7" i="6" s="1"/>
  <c r="E70" i="5"/>
  <c r="E62" i="5"/>
  <c r="J62" i="5" s="1"/>
  <c r="E25" i="6"/>
  <c r="J25" i="6" s="1"/>
  <c r="E47" i="5"/>
  <c r="J47" i="5" s="1"/>
  <c r="E6" i="8"/>
  <c r="E20" i="5"/>
  <c r="E15" i="6"/>
  <c r="J15" i="6" s="1"/>
  <c r="E23" i="5"/>
  <c r="E8" i="6"/>
  <c r="E63" i="5"/>
  <c r="J63" i="5" s="1"/>
  <c r="E17" i="6"/>
  <c r="E9" i="5"/>
  <c r="J9" i="5" s="1"/>
  <c r="E11" i="6"/>
  <c r="E3" i="6"/>
  <c r="J3" i="6" s="1"/>
  <c r="E14" i="8"/>
  <c r="E39" i="5"/>
  <c r="E34" i="5"/>
  <c r="J34" i="5" s="1"/>
  <c r="E45" i="5"/>
  <c r="J45" i="5" s="1"/>
  <c r="E42" i="6"/>
  <c r="E37" i="6"/>
  <c r="E69" i="5"/>
  <c r="J69" i="5" s="1"/>
  <c r="E40" i="5"/>
  <c r="J40" i="5" s="1"/>
  <c r="E61" i="5"/>
  <c r="J61" i="5" s="1"/>
  <c r="E60" i="5"/>
  <c r="E25" i="5"/>
  <c r="I30" i="6"/>
  <c r="I24" i="6"/>
  <c r="E27" i="5"/>
  <c r="J27" i="5" s="1"/>
  <c r="E17" i="5"/>
  <c r="J17" i="5" s="1"/>
  <c r="E3" i="8"/>
  <c r="B7" i="8"/>
  <c r="E7" i="5"/>
  <c r="J7" i="5" s="1"/>
  <c r="E12" i="8"/>
  <c r="E28" i="5"/>
  <c r="J28" i="5" s="1"/>
  <c r="I4" i="5"/>
  <c r="E15" i="5"/>
  <c r="E35" i="6"/>
  <c r="E10" i="5"/>
  <c r="E36" i="5"/>
  <c r="J36" i="5" s="1"/>
  <c r="E46" i="5"/>
  <c r="J46" i="5" s="1"/>
  <c r="E54" i="5"/>
  <c r="J54" i="5" s="1"/>
  <c r="E23" i="6"/>
  <c r="J23" i="6" s="1"/>
  <c r="E29" i="5"/>
  <c r="E24" i="6"/>
  <c r="J24" i="6" s="1"/>
  <c r="E12" i="6"/>
  <c r="J12" i="6" s="1"/>
  <c r="I52" i="5"/>
  <c r="I20" i="5"/>
  <c r="I29" i="6"/>
  <c r="I16" i="5"/>
  <c r="I14" i="6"/>
  <c r="I21" i="6"/>
  <c r="I33" i="6"/>
  <c r="J33" i="6" s="1"/>
  <c r="I71" i="5"/>
  <c r="I50" i="5"/>
  <c r="I4" i="6"/>
  <c r="I42" i="6"/>
  <c r="I36" i="6"/>
  <c r="I56" i="5"/>
  <c r="E22" i="6"/>
  <c r="I49" i="5"/>
  <c r="I8" i="5"/>
  <c r="I61" i="5"/>
  <c r="E11" i="5"/>
  <c r="C15" i="8"/>
  <c r="E2" i="5"/>
  <c r="I13" i="5"/>
  <c r="E26" i="5"/>
  <c r="J26" i="5" s="1"/>
  <c r="E40" i="6"/>
  <c r="J21" i="5"/>
  <c r="E55" i="5"/>
  <c r="E73" i="5"/>
  <c r="E29" i="6"/>
  <c r="J29" i="6" s="1"/>
  <c r="E65" i="5"/>
  <c r="J65" i="5" s="1"/>
  <c r="E19" i="6"/>
  <c r="J19" i="6" s="1"/>
  <c r="E44" i="5"/>
  <c r="J44" i="5" s="1"/>
  <c r="E36" i="6"/>
  <c r="I15" i="5"/>
  <c r="I14" i="5"/>
  <c r="I22" i="6"/>
  <c r="I36" i="5"/>
  <c r="I70" i="5"/>
  <c r="I46" i="5"/>
  <c r="I39" i="6"/>
  <c r="I8" i="6"/>
  <c r="I10" i="5"/>
  <c r="E56" i="5"/>
  <c r="J56" i="5" s="1"/>
  <c r="E48" i="5"/>
  <c r="E68" i="5"/>
  <c r="E39" i="6"/>
  <c r="I42" i="5"/>
  <c r="I11" i="5"/>
  <c r="I31" i="5"/>
  <c r="I27" i="6"/>
  <c r="J27" i="6" s="1"/>
  <c r="I73" i="5"/>
  <c r="I20" i="6"/>
  <c r="I32" i="6"/>
  <c r="I18" i="5"/>
  <c r="I2" i="5"/>
  <c r="I55" i="5"/>
  <c r="E32" i="6"/>
  <c r="J32" i="6" s="1"/>
  <c r="E20" i="6"/>
  <c r="J20" i="6" s="1"/>
  <c r="I39" i="5"/>
  <c r="I68" i="5"/>
  <c r="I35" i="6"/>
  <c r="I64" i="5"/>
  <c r="J64" i="5" s="1"/>
  <c r="I29" i="5"/>
  <c r="D15" i="8"/>
  <c r="E52" i="5"/>
  <c r="J52" i="5" s="1"/>
  <c r="I62" i="5"/>
  <c r="I12" i="5"/>
  <c r="I60" i="5"/>
  <c r="I33" i="5"/>
  <c r="I37" i="6"/>
  <c r="I16" i="6"/>
  <c r="E31" i="5"/>
  <c r="E4" i="5"/>
  <c r="J4" i="5" s="1"/>
  <c r="E16" i="5"/>
  <c r="I28" i="5"/>
  <c r="E8" i="5"/>
  <c r="J8" i="5" s="1"/>
  <c r="B15" i="8"/>
  <c r="E11" i="8"/>
  <c r="J42" i="5"/>
  <c r="E30" i="6"/>
  <c r="J30" i="6" s="1"/>
  <c r="E4" i="6"/>
  <c r="E41" i="6"/>
  <c r="J41" i="6" s="1"/>
  <c r="I19" i="5"/>
  <c r="I25" i="5"/>
  <c r="I11" i="6"/>
  <c r="I2" i="6"/>
  <c r="I17" i="6"/>
  <c r="I38" i="6"/>
  <c r="I28" i="6"/>
  <c r="I48" i="5"/>
  <c r="E14" i="5"/>
  <c r="J14" i="5" s="1"/>
  <c r="I57" i="5"/>
  <c r="E12" i="5"/>
  <c r="J12" i="5" s="1"/>
  <c r="I47" i="5"/>
  <c r="I23" i="5"/>
  <c r="E3" i="5"/>
  <c r="J3" i="5" s="1"/>
  <c r="J71" i="5"/>
  <c r="E13" i="8"/>
  <c r="D7" i="8"/>
  <c r="E19" i="5"/>
  <c r="E32" i="5"/>
  <c r="J32" i="5" s="1"/>
  <c r="E18" i="5"/>
  <c r="J18" i="5" s="1"/>
  <c r="E26" i="6"/>
  <c r="J26" i="6" s="1"/>
  <c r="J13" i="5"/>
  <c r="E67" i="5"/>
  <c r="J67" i="5" s="1"/>
  <c r="E43" i="5"/>
  <c r="J43" i="5" s="1"/>
  <c r="E10" i="6"/>
  <c r="J10" i="6" s="1"/>
  <c r="E28" i="6"/>
  <c r="J28" i="6" s="1"/>
  <c r="E30" i="5"/>
  <c r="E6" i="5"/>
  <c r="J6" i="5" s="1"/>
  <c r="I30" i="5"/>
  <c r="I34" i="6"/>
  <c r="I40" i="6"/>
  <c r="I72" i="5"/>
  <c r="E22" i="5"/>
  <c r="J22" i="5" s="1"/>
  <c r="J57" i="5" l="1"/>
  <c r="J16" i="6"/>
  <c r="J50" i="5"/>
  <c r="E7" i="8"/>
  <c r="J2" i="6"/>
  <c r="J20" i="5"/>
  <c r="J21" i="6"/>
  <c r="J8" i="6"/>
  <c r="J23" i="5"/>
  <c r="J70" i="5"/>
  <c r="J31" i="5"/>
  <c r="J30" i="5"/>
  <c r="J4" i="6"/>
  <c r="J16" i="5"/>
  <c r="J55" i="5"/>
  <c r="J2" i="5"/>
  <c r="J37" i="6"/>
  <c r="J11" i="6"/>
  <c r="J42" i="6"/>
  <c r="J36" i="6"/>
  <c r="J25" i="5"/>
  <c r="E15" i="8"/>
  <c r="J39" i="6"/>
  <c r="J40" i="6"/>
  <c r="J10" i="5"/>
  <c r="J60" i="5"/>
  <c r="J17" i="6"/>
  <c r="J19" i="5"/>
  <c r="J68" i="5"/>
  <c r="J35" i="6"/>
  <c r="J39" i="5"/>
  <c r="J48" i="5"/>
  <c r="J11" i="5"/>
  <c r="J73" i="5"/>
  <c r="J22" i="6"/>
  <c r="J29" i="5"/>
  <c r="J15" i="5"/>
</calcChain>
</file>

<file path=xl/sharedStrings.xml><?xml version="1.0" encoding="utf-8"?>
<sst xmlns="http://schemas.openxmlformats.org/spreadsheetml/2006/main" count="9110" uniqueCount="2132">
  <si>
    <t>Generic name</t>
  </si>
  <si>
    <t>Brand EU</t>
  </si>
  <si>
    <t>Brand US</t>
  </si>
  <si>
    <t>Company EU</t>
  </si>
  <si>
    <t>Company US</t>
  </si>
  <si>
    <t>Sponsors</t>
  </si>
  <si>
    <t>Tumor</t>
  </si>
  <si>
    <t>Stage</t>
  </si>
  <si>
    <t>Other tumor</t>
  </si>
  <si>
    <t>Line of treatment</t>
  </si>
  <si>
    <t>Development stage EU</t>
  </si>
  <si>
    <t>Development stage US</t>
  </si>
  <si>
    <t>Development stage China</t>
  </si>
  <si>
    <t>Development stage Japan</t>
  </si>
  <si>
    <t>Development stage UK</t>
  </si>
  <si>
    <t>Phase</t>
  </si>
  <si>
    <t>NCT Number</t>
  </si>
  <si>
    <t>Other identifiers</t>
  </si>
  <si>
    <t>Mechanism of action</t>
  </si>
  <si>
    <t>Molecular targets</t>
  </si>
  <si>
    <t>Immuno-Oncology</t>
  </si>
  <si>
    <t>Biosimilar</t>
  </si>
  <si>
    <t>Key trial</t>
  </si>
  <si>
    <t>Combination treatment</t>
  </si>
  <si>
    <t>Combined with</t>
  </si>
  <si>
    <t>Negative trial</t>
  </si>
  <si>
    <t>Budget impact</t>
  </si>
  <si>
    <t>Oncology / Hematology</t>
  </si>
  <si>
    <t>Development status</t>
  </si>
  <si>
    <t>Type of therapy</t>
  </si>
  <si>
    <t>Trial name</t>
  </si>
  <si>
    <t>Control arm</t>
  </si>
  <si>
    <t>Primary endpoint</t>
  </si>
  <si>
    <t>ORR</t>
  </si>
  <si>
    <t>ORR EA</t>
  </si>
  <si>
    <t>ORR Control</t>
  </si>
  <si>
    <t>Source ORR EA</t>
  </si>
  <si>
    <t>Source ORR Control</t>
  </si>
  <si>
    <t>ORR delta</t>
  </si>
  <si>
    <t>PFS (months)</t>
  </si>
  <si>
    <t>PFS EA</t>
  </si>
  <si>
    <t>PFS Control</t>
  </si>
  <si>
    <t>Source PFS EA</t>
  </si>
  <si>
    <t>Source PFS Control</t>
  </si>
  <si>
    <t>Difference in PFS (months)</t>
  </si>
  <si>
    <t>Hazard ratio (HR) PFS</t>
  </si>
  <si>
    <t>OS (months)</t>
  </si>
  <si>
    <t>OS EA</t>
  </si>
  <si>
    <t>OS Control</t>
  </si>
  <si>
    <t>Source OS EA</t>
  </si>
  <si>
    <t>Source OS Control</t>
  </si>
  <si>
    <t>Difference in OS (months)</t>
  </si>
  <si>
    <t>Hazard ratio (HR) OS</t>
  </si>
  <si>
    <t>Status</t>
  </si>
  <si>
    <t>Number of patients</t>
  </si>
  <si>
    <t>Study start date</t>
  </si>
  <si>
    <t>First results</t>
  </si>
  <si>
    <t>EU filing date</t>
  </si>
  <si>
    <t>EU approval date</t>
  </si>
  <si>
    <t>Months needed to gain EU approval</t>
  </si>
  <si>
    <t>US filing date</t>
  </si>
  <si>
    <t>US approval date</t>
  </si>
  <si>
    <t>Months needed to gain US approval</t>
  </si>
  <si>
    <t>China filing date</t>
  </si>
  <si>
    <t>China approval date</t>
  </si>
  <si>
    <t>Months needed to gain China approval</t>
  </si>
  <si>
    <t>Japan filing date</t>
  </si>
  <si>
    <t>Japan approval date</t>
  </si>
  <si>
    <t>Months needed to gain Japan approval</t>
  </si>
  <si>
    <t>UK filing date</t>
  </si>
  <si>
    <t>UK approval date</t>
  </si>
  <si>
    <t>Months needed to gain UK approval</t>
  </si>
  <si>
    <t>Countries</t>
  </si>
  <si>
    <t>Title</t>
  </si>
  <si>
    <t>Inclusion and exclusion criteria</t>
  </si>
  <si>
    <t>Primary completion date</t>
  </si>
  <si>
    <t>Study completion date</t>
  </si>
  <si>
    <t>Study type</t>
  </si>
  <si>
    <t>Study Designs</t>
  </si>
  <si>
    <t>Biomarkers Inclusion Criteria</t>
  </si>
  <si>
    <t>Biomarkers Exclusion Criteria</t>
  </si>
  <si>
    <t>Biomarkers Analysis Criteria</t>
  </si>
  <si>
    <t>Biomarkers Approval Criteria</t>
  </si>
  <si>
    <t>Payload molecule</t>
  </si>
  <si>
    <t>Payload molecule group</t>
  </si>
  <si>
    <t>Payload MoA</t>
  </si>
  <si>
    <t>Payload MoA group</t>
  </si>
  <si>
    <t>Linker cleavability</t>
  </si>
  <si>
    <t>Cleav./Non-cleav. component</t>
  </si>
  <si>
    <t>Linker cleavage trigger</t>
  </si>
  <si>
    <t>Site specific conjugation</t>
  </si>
  <si>
    <t>Conjugation method</t>
  </si>
  <si>
    <t>ADC technology</t>
  </si>
  <si>
    <t>DAR</t>
  </si>
  <si>
    <t>Payload molecule 2</t>
  </si>
  <si>
    <t>Payload molecule group 2</t>
  </si>
  <si>
    <t>Payload MoA 2</t>
  </si>
  <si>
    <t>Payload MoA group 2</t>
  </si>
  <si>
    <t>Linker cleavability 2</t>
  </si>
  <si>
    <t>Cleav./Non-cleav. component 2</t>
  </si>
  <si>
    <t>Linker cleavage trigger 2</t>
  </si>
  <si>
    <t>Site specific conjugation 2</t>
  </si>
  <si>
    <t>Conjugation method 2</t>
  </si>
  <si>
    <t>ADC technology 2</t>
  </si>
  <si>
    <t>DAR 2</t>
  </si>
  <si>
    <t>Bevacizumab</t>
  </si>
  <si>
    <t>Avastin</t>
  </si>
  <si>
    <t>Roche</t>
  </si>
  <si>
    <t>Genentech</t>
  </si>
  <si>
    <t>National Cancer Institute (NCI - NIH)</t>
  </si>
  <si>
    <t>Lung cancer - NSCLC</t>
  </si>
  <si>
    <t>Stage IIIB,Stage IV</t>
  </si>
  <si>
    <t>Large-cell lung carcinoma, Lung cancer, Non-squamous NSCLC</t>
  </si>
  <si>
    <t>First line</t>
  </si>
  <si>
    <t>Phase III</t>
  </si>
  <si>
    <t>Approved</t>
  </si>
  <si>
    <t>NCT00021060</t>
  </si>
  <si>
    <t>Anti-VEGF monoclonal antibody</t>
  </si>
  <si>
    <t>VEGF</t>
  </si>
  <si>
    <t>No</t>
  </si>
  <si>
    <t>Yes</t>
  </si>
  <si>
    <t>A</t>
  </si>
  <si>
    <t>Oncology</t>
  </si>
  <si>
    <t>Stopped</t>
  </si>
  <si>
    <t>Monoclonal antibody</t>
  </si>
  <si>
    <t>NCI-2012-02947</t>
  </si>
  <si>
    <t>Paclitaxel + Carboplatin</t>
  </si>
  <si>
    <t>Other</t>
  </si>
  <si>
    <t xml:space="preserve">30.0% </t>
  </si>
  <si>
    <t>NEJM Dec 14, 2006</t>
  </si>
  <si>
    <t xml:space="preserve">6.20 </t>
  </si>
  <si>
    <t xml:space="preserve">12.30 </t>
  </si>
  <si>
    <t>Completed</t>
  </si>
  <si>
    <t>United States</t>
  </si>
  <si>
    <t>Randomized Phase II/III Trial of Paclitaxel Plus Carboplatin With or Without Bevacizumab (NSC #704865) in Patients With Advanced Nonsquamous NSCLC</t>
  </si>
  <si>
    <t>Inclusion Criteria:* Patients must have histologically or cytologically confirmed non-small cell lung cancer EXCEPT squamous cell carcinoma; mixed tumors will be categorized by the predominant cell type unless small cell elements are present in which case the patient is ineligible; cytologic or histologic elements can be established on metastatic tumor aspirates or biopsy* Patients must have advanced NSCLC (stage IIIB with malignant pleural effusion or stage IV or recurrent disease)* Patients must have measurable or non-measurable disease* ECOG performance status 0 or 1* Patients must not have known central nervous system (CNS) metastases; a head CT is required within 4 weeks prior to study entry; (MRIs are also acceptable)* Patients must not have received prior systemic chemotherapy at any time* ANC \&gt;= 1500/mm\^3* Platelets \&gt;= 100,000/mm\^3* Total bilirubin =\&lt; 1.5 mg/dl* Transaminases =\&lt; 5 x ULN* Serum creatinine less than or equal to 1.5 x upper limit of normal (ULN)* Urine dipstick for proteinuria of less than 1+ (i.e., either 0 or trace); if urine dipstick is \&gt;= 1+ then a 24 hour urine for protein must demonstrate \&lt; 500 mg of protein in 24 hours to allow participation in the study; Note:: urinalysis is also acceptable* Patients must have INR =\&lt; 1.5 and a PTT no greater than upper limits of normal within 1 week prior to randomization* Pregnant and lactating women are excluded from the study* Women of childbearing potential and sexually active males must agree to use an accepted and effective method of contraception (hormonal or barrier methods, abstinence) prior to study entry and for the duration of the study* Patients must not have had immuno, hormonal or radiation therapy within 3 weeks prior to entering the study; those who have not recovered from adverse events due to agents administered more than 3 weeks earlier are ineligible* Patients must not have ongoing or active infection, symptomatic congestive heart failure, unstable angina pectoris, cardiac arrhythmia, or psychiatric illness/social situations that would limit compliance with study requirements* Patients must have no history of thrombotic or hemorrhagic disorders* Patients with history of hypertension must be well-controlled (\&lt; 150/100) on a stable regimen of anti-hypertensive therapy* Patients must not be receiving chronic daily treatment with aspirin (\&gt; 325 mg/day) or nonsteroidal anti-inflammatory agents known to inhibit platelet function; treatment with dipyridamole (Persantine), ticlopidine (Ticlid), clopidogrel (Plavix) and/or cilostazol (Pletal) is also not allowed* Patients must not have serious non-healing wound ulcer, or bone fracture, or major surgical procedure within 21 days prior to starting treatment* Patients must not be on therapeutic anticoagulation; prophylactic anticoagulation of venous access devices is allowed; caution should be taken on treating patients with low dose heparin or low molecular weight heparin for DVT prophylaxis during treatment with bevacizumab as there may be an increased risk of bleeding* Patients with a history of gross hemoptysis (defined as bright red blood of a 1/2 teaspoon or more) will be excluded from this trial</t>
  </si>
  <si>
    <t>Interventional</t>
  </si>
  <si>
    <t>Allocation: Randomized | Intervention Model: Parallel Assignment | Masking: None (Open Label) () | Primary Purpose: Treatment</t>
  </si>
  <si>
    <t>Pemetrexed</t>
  </si>
  <si>
    <t>Alimta</t>
  </si>
  <si>
    <t>Eli Lilly</t>
  </si>
  <si>
    <t>NCT00087711</t>
  </si>
  <si>
    <t>Multitargeted antifolate</t>
  </si>
  <si>
    <t>TS, TYMS</t>
  </si>
  <si>
    <t>C</t>
  </si>
  <si>
    <t>Small molecule</t>
  </si>
  <si>
    <t>H3E-MC-JMDB</t>
  </si>
  <si>
    <t>Gemcitabine</t>
  </si>
  <si>
    <t>OS</t>
  </si>
  <si>
    <t xml:space="preserve">27.0% </t>
  </si>
  <si>
    <t>US label Sep 26, 2008</t>
  </si>
  <si>
    <t xml:space="preserve">4.80 </t>
  </si>
  <si>
    <t xml:space="preserve">10.30 </t>
  </si>
  <si>
    <t>United States - Argentina - Australia - Austria - Belgium - Brazil - Canada - Denmark - Finland - France - Germany - Greece - Hungary - India - Israel - Italy - Mexico - Netherlands - Poland - Portugal - Puerto Rico - South Korea - Spain - Sweden - Taiwan - Turkey - United Kingdom</t>
  </si>
  <si>
    <t>A Randomized Phase 3 Trial of ALIMTA and Cisplatin Versus GEMZAR and Cisplatin in Patients With Locally Advanced or Metastatic Non-Small Cell Lung Cancer</t>
  </si>
  <si>
    <t>Inclusion Criteria:* Diagnosis of NSCLC Stage IIIB not amenable to curative treatment or Stage IV.* No prior chemotherapy for lung cancer.* Patients must have at least one uni-dimensionally measurable lesion.* Prior radiation therapy to less than 25% of bone marrow, whole pelvis not allowed. Radiation must be completed at least 4 weeks prior to study enrollment.Exclusion Criteria:* Treatment with any drug within the last 30 days that has not received regulatory approval.* Serious cardiac condition.* Serious medical disorder in addition to NSCLC that would make it difficult for the patient to complete the study.* Inability or unwillingness to take folic acid or Vitamin B12 supplementation.* Presence of fluid retention that cannot be controlled by drainage.</t>
  </si>
  <si>
    <t>Erlotinib</t>
  </si>
  <si>
    <t>Tarceva</t>
  </si>
  <si>
    <t>GECP - Spanish Lung Cancer Group</t>
  </si>
  <si>
    <t>NCT00446225</t>
  </si>
  <si>
    <t>2006-003568-73</t>
  </si>
  <si>
    <t>EGFR inhibitor</t>
  </si>
  <si>
    <t>EGFR, ERBB, HER1</t>
  </si>
  <si>
    <t>D</t>
  </si>
  <si>
    <t>EURTAC</t>
  </si>
  <si>
    <t>Chemotherapy</t>
  </si>
  <si>
    <t>PFS</t>
  </si>
  <si>
    <t xml:space="preserve">65.0%  vs 16.0% </t>
  </si>
  <si>
    <t xml:space="preserve">65.0% </t>
  </si>
  <si>
    <t xml:space="preserve">16.0% </t>
  </si>
  <si>
    <t>US label May 14, 2013</t>
  </si>
  <si>
    <t xml:space="preserve">10.40 </t>
  </si>
  <si>
    <t xml:space="preserve">22.90  vs 19.60 </t>
  </si>
  <si>
    <t xml:space="preserve">22.90 </t>
  </si>
  <si>
    <t xml:space="preserve">19.60 </t>
  </si>
  <si>
    <t>ESMO Sep 26, 2014</t>
  </si>
  <si>
    <t>China - France - Italy - Spain</t>
  </si>
  <si>
    <t>Phase III, Multicenter, Open-label, Randomized Trial of Tarceva® vs Chemotherapy in Patients With Advanced NSCLC With Mutations in the TK Domain of the EGFR</t>
  </si>
  <si>
    <t>Inclusion criteria:* Informed consent* Histologically confirmed diagnosis of NSCLC, non epidermoid, stage IV or IIIB with pleural effusion, or N3 tumours not candidate for thoracic radiotherapy, harbouring deletions in the exon 19 or mutation in the exon 21 in the TK of the EGFR.* Either measurable or evaluable disease.* Age \&gt; 18 years.* ECOG performance status \&lt; 2.* Adequate bone marrow function* Adequate renal function* Adequate hepatic function* Patients must be accessible for treatment and follow-up.* Patients capable of following an adequate therapeutic compliance* Women of child bearing potential: negative pregnancy test.* Patients of both genders at a fertile age, including those women having their last menstruation within the two previous years, must follow effective contraceptive measures.* Ability to swallow.* Patients with asymptomatic brain metastasis and stable with medical treatment will be eligible for the study. Patients having received radiotherapy for their brain metastasis prior to the systemic treatment for the NSCLC will be also eligible.* Absence of gastrointestinal tract problemsExclusion criteria:* Pregnant or lactating women.* Women of child bearing potential having a positive pregnancy test in the basal visit or not accomplishing the test.* Patients of both genders sexually active (at a fertile age) not following contraceptive measures during the study.* Prior chemotherapy for metastatic disease. Both prior neoadjuvant and adjuvant chemotherapy allowed provided that completed â‰¥ 6 months before entering the study.* Prior treatment with EGFR targeted therapies.* Patients may have received radiotherapy, provided that the irradiated lesion is not the only evaluable lesion for response and completed before entering the study.* Prior experimental pharmacological agent within the 3 weeks prior to the inclusion of the study.* Any significant ophthalmologic impairment of the eye surface. Use of contact lenses is not recommended.* Pre-existing motor or sensorial neurotoxicity grade \&gt; 2, according to the NCI-CTC criteria.* Evidence of spinal cord compression.* Inability to take oral medication and surgical procedures affecting the absorption or implying intravenous or parenteral feeding.* Any other severe disease or clinical conditions, as, but not only:* Unstable cardiopathy despite treatment, myocardial infarction within the 6 months before entering the study* History of significant neurological or psychiatric disorders, including dementia and epileptic seizures.* Uncontrolled active infection.* Uncontrolled peptic ulcer.* Unstable diabetes mellitus or any other contraindication for treatment with corticosteroids.* AST and/or ALT \&gt; 1.5 x UNL associated to alkaline phosphatase \&gt; 2.5 x UNL.* Any other underlying severe process affecting the ability to take part in the study.* Absolute contraindication for steroids.* Dementia or significant mental disorder interfering the understanding and giving the informed consent.* History of other malignancy except adequately treated basal cell or squamous cell skin cancer, carcinoma in situ of the cervix, radically treated prostatic carcinoma with good prognostic (Gleason = 6). History of other curatively treated malignancy and no evidence of disease within the past 5 years.</t>
  </si>
  <si>
    <t>EGFR Exon 19-del, EGFR L858R</t>
  </si>
  <si>
    <t>EGFR T790M</t>
  </si>
  <si>
    <t>Non-squamous NSCLC</t>
  </si>
  <si>
    <t>NCT00789373</t>
  </si>
  <si>
    <t>PARAMOUNT</t>
  </si>
  <si>
    <t>Placebo</t>
  </si>
  <si>
    <t xml:space="preserve">2.80 </t>
  </si>
  <si>
    <t>Journal of Clinical Oncology Aug 10, 2013</t>
  </si>
  <si>
    <t xml:space="preserve">13.90 </t>
  </si>
  <si>
    <t>Australia - Belgium - Finland - France - Germany - Greece - India - Italy - Netherlands - Poland - Portugal - Romania - Spain - Turkey - United Kingdom</t>
  </si>
  <si>
    <t>A Phase 3, Double-Blind, Placebo-Controlled Study of Maintenance Pemetrexed Plus Best Supportive Care Versus Best Supportive Care Immediately Following Induction Treatment With Pemetrexed + Cisplatin for Advanced Non-squamous Non-Small Cell Lung Cancer.</t>
  </si>
  <si>
    <t>Inclusion Criteria for the Induction Phase:* You must sign an informed consent document for clinical research.* You must have Stage IIIB or IV nonsquamous Non-Small Cell Lung Cancer.* You must at least be able to be physically mobile, take care of yourself, and must be up and about and able to perform light activities such as light housework or office work.* You are allowed to have had prior radiation therapy as long as it was not to more than 25% of the bone marrow and did not include the whole pelvis. Thoracic radiation must be completed more than 30 days before the study. You must be recovered from the toxic effects (except hair loss).* You must have at least 1 measurable tumor lesion according to the Response Evaluation Criteria in Solid Tumors (RECIST) guidelines or disease that can be evaluated by computed tomography (CT) Scan.* Your test results assessing the function of your blood forming tissue, kidneys, and liver must be satisfactory.* You must be 18 years of age or older.* Women must be sterile, postmenopausal or on contraception and men must be on contraception or sterile (e.g. post-vasectomy).Exclusion Criteria for the Induction Phase:* You cannot have squamous cell and/or mixed small cell, non-small cell lung cancer* You cannot have received other investigational drugs within the last 30 days of entering the trial.* You cannot have previously completed or withdrawn from this study or any other study investigating pemetrexed.* You cannot have other serious on-going illnesses including active infections.* You cannot have a serious cardiac condition, such as a heart attack, angina, or heart disease within 6 months of entering the trial.* You cannot have had another form of cancer other than superficial basal cell and superficial squamous (skin) cell cancer, or carcinoma in situ of the cervix within the last 5 years. Patients with a history of low-grade (Gleason score less than or equal to 6) localized prostate cancer will be eligible even if diagnosed less than 5 years ago.* You cannot have known central nervous system (CNS) metastases, other than treated, stable brain metastasis.* You cannot be receiving nor have received any prior systemic anticancer therapy for lung cancer (including chemotherapy given after surgery in early-stage treatment).* You cannot have clinically significant third-space fluid collections (e.g. ascites or pleural effusions that cannot be controlled by drainage or other procedures).* You cannot have received a recent (within 30 days) or are receiving a yellow fever vaccination.* You are unable to stop taking more than 1.3 grams of aspirin on a daily basis or other non-steroidal anti-inflammatory drugs (NSAIDs).* You are unable or unwilling to take folic acid, injections of vitamin B12, or corticosteroids.* You cannot be pregnant or breastfeeding.Inclusion criteria at Randomization for the Maintenance Phase:* You must at least be able to be physically mobile, take care of yourself, and must be up and about and able to perform light activities such as light housework or office work.* You must have documented radiographic evidence of a tumor response of complete response (CR), partial response (PR), or stable disease (SD) according to the Response Evaluation Criteria in Solid Tumors (RECIST) guidelines. Tumor assessment must occur between Cycle 4 (Day 1) of induction therapy and the date of randomization. This response does not have to be confirmed in order for the patient to be randomized to the maintenance phase.</t>
  </si>
  <si>
    <t>Allocation: Randomized | Intervention Model: Parallel Assignment | Masking: Quadruple () | Primary Purpose: Treatment</t>
  </si>
  <si>
    <t>Nab-Paclitaxel</t>
  </si>
  <si>
    <t>Abraxane</t>
  </si>
  <si>
    <t>BMS</t>
  </si>
  <si>
    <t>NCT00540514</t>
  </si>
  <si>
    <t>Microtubule inhibitor</t>
  </si>
  <si>
    <t>CA031</t>
  </si>
  <si>
    <t>Carboplatino</t>
  </si>
  <si>
    <t xml:space="preserve">33%  vs 25% </t>
  </si>
  <si>
    <t xml:space="preserve">33% </t>
  </si>
  <si>
    <t xml:space="preserve">25% </t>
  </si>
  <si>
    <t xml:space="preserve">6.8  vs 6.5 </t>
  </si>
  <si>
    <t xml:space="preserve">6.5 </t>
  </si>
  <si>
    <t xml:space="preserve">12.1  vs 11.2 </t>
  </si>
  <si>
    <t xml:space="preserve">12.1 </t>
  </si>
  <si>
    <t xml:space="preserve">11.2 </t>
  </si>
  <si>
    <t>United States - Canada - Japan - Russian Federation - Ukraine</t>
  </si>
  <si>
    <t>A Randomized, Phase III Trial of ABI-007 and Carboplatin Compared With Taxol and Carboplatin as First-Line Therapy in Patients With Advanced Non-Small Cell Lung Cancer (NSCLC)</t>
  </si>
  <si>
    <t>Inclusion Criteria:* Histologically or cytologically confirmed stage IIIB or IV non-small cell lung cancer (NSCLC)* Male or non-pregnant and non-lactating female, and equal or greater than age 18* If a female patient is of child-bearing potential, as evidence by regular menstrual periods, she must have a negative serum pregnancy test (beta human chorionic gonadotropin \[βhCG\]) documented within 72 hours of the first administration of study drug* If sexually active, the patient must agree to utilize contraception considered adequate and appropriate by the investigator* No other current active malignancy* Radiographically-documented measurable disease (defined by the presence of at least 1 radiographically documented measurable lesion)* Patients must have received no prior chemotherapy for the treatment of metastatic disease. Adjuvant chemotherapy permitted providing cytotoxic chemotherapy was completed 12 months prior to starting the study* Patient has the following blood counts at baseline:* Absolute neutrophil count (ANC) greater than or equal to 1.5x10\^9/L* Platelets greater than or equal to 100x10\^9/L* Hemoglobin (Hgb) greater than or equal to 9 g/dL* Patient has the following blood chemistry levels at baseline:* Aspartate aminotransferase (SGOT), alanine aminotransferase (SGPT) less than or equal to 2.5 x upper limit of normal range (ULN) or less than or equal to 5.0 x ULN if liver metastases;* Total bilirubin less than or equal to ULN* Creatinine less than or equal to 1.5 mg/dL* Expected survival of greater than 12 weeks* Eastern Cooperative Oncology Group (ECOG) performance status 0 or 1* Patient or his/her legally authorized representative or guardian has been informed about the nature of the study, and has agreed to participate in the study, and signed the Informed Consent form prior to participation in any study-related activitiesExclusion Criteria:* Evidence of active brain metastases, including leptomeningeal involvement. Prior evidence of brain metastasis permitted only if treated and stable and off therapy for greater than or equal to 1 month* The only evidence of disease is non-measurable* Patient has pre-existing peripheral neuropathy of Grade 2, 3, or 4 (per Common Terminology Criteria for Adverse Events \[CTCAE\] Version 3).* Patient received radiotherapy in the last 4 weeks, except if to a non-target lesion only. Prior radiation to a target lesion is permitted only if there has been clear progression of the lesion since radiation was completed* Patient has a clinically significant concurrent illness* Patient has received treatment with any investigational drug within the previous 4 weeks* Patient has a history of allergy or hypersensitivity to any of the study drugs* Patient has serious medical risk factors involving any of the major organ systems such that the investigator considers it unsafe for the patient to receive an experimental research drug* Patient is enrolled in any other clinical protocol or investigational trial that involves administration of experimental therapy and/or therapeutic devices.</t>
  </si>
  <si>
    <t>SPARC, Hb</t>
  </si>
  <si>
    <t>Afatinib</t>
  </si>
  <si>
    <t>Giotrif</t>
  </si>
  <si>
    <t>Gilotrif</t>
  </si>
  <si>
    <t>Boehringer Ingelheim</t>
  </si>
  <si>
    <t>NCT00949650</t>
  </si>
  <si>
    <t>EGFR, EGFR Exon 19-del, EGFR L858R, HER2, HER4</t>
  </si>
  <si>
    <t>Ongoing</t>
  </si>
  <si>
    <t>LUX-Lung 3</t>
  </si>
  <si>
    <t>Pemetrexed/Cisplatin</t>
  </si>
  <si>
    <t xml:space="preserve">57%  vs 23% </t>
  </si>
  <si>
    <t xml:space="preserve">57% </t>
  </si>
  <si>
    <t xml:space="preserve">23% </t>
  </si>
  <si>
    <t xml:space="preserve">11.2  vs 6.9 </t>
  </si>
  <si>
    <t xml:space="preserve">6.9 </t>
  </si>
  <si>
    <t xml:space="preserve">28.2  vs 28.2 </t>
  </si>
  <si>
    <t xml:space="preserve">28.2 </t>
  </si>
  <si>
    <t>United States - Argentina - Australia - Austria - Belgium - Brazil - Canada - Chile - China - France - Germany - Hong Kong - Hungary - Ireland - Italy - Japan - Malaysia - Peru - Philippines - Romania - Russian Federation - Singapore - South Korea - Taiwan - Thailand - Ukraine - United Kingdom</t>
  </si>
  <si>
    <t>A Randomised, Open-label, Phase III Study of BIBW 2992 Versus Chemotherapy as First-line Treatment for Patients With Stage IIIB or IV Adenocarcinoma of the Lung Harbouring an EGFR Activating Mutation</t>
  </si>
  <si>
    <t>Inclusion criteria:* Pathologically confirmed diagnosis of Stage IIIB (with cytologically proven pleural effusion or pericardial effusion) or Stage IV adenocarcinoma of the lung. Patients with mixed histology are eligible if adenocarcinoma is the predominant histology.* Epidermal Growth Factor Receptor mutation detected by central laboratory analysis of tumour biopsy material.* Measurable disease according to RECIST 1.1.* Eastern Cooperative Oncology Group score of 0 or 1.* Age \&gt;/= 18 years.* Life expectancy of at least three months.* Written informed consent that is consistent with International Conference on Harmonisation-Good Clinical Practice guidelines.Exclusion criteria:* Prior chemotherapy for relapsed and/or metastatic NSCLC. Neoadjuvant/adjuvant chemotherapy is permitted if at least 12 months has elapsed between the end of chemotherapy and randomisation.* Prior treatment with Epidermal Growth Factor Receptor targeting small molecules or antibodies.* Radiotherapy or surgery (other than biopsy) within 4 weeks prior to randomisation.* Active brain metastases* Any other current malignancy or malignancy diagnosed within the past five years* Known pre-existing interstitial lung disease.* Significant or recent acute gastrointestinal disorders with diarrhoea as a major symptom.* History or presence of clinically relevant cardiovascular abnormalities.* Any other concomitant serious illness or organ system dysfunction.* Adequate absolute neutrophil count and platelet count* Adequate liver and kidney function* Active hepatitis B infection, active hepatitis C infection or known HIV carrier.</t>
  </si>
  <si>
    <t>EGFR, EGFR Exon 19-del, EGFR L858R, EGFR Exon 20-ins, EGFR L861Q, EGFR G719S, EGFR G719A, EGFR G719C, EGFR T790M, EGFR S768I</t>
  </si>
  <si>
    <t>EGFR Exon 19-del, EGFR L858R, EGFR Exon 20-ins, EGFR L861Q, EGFR G719S, EGFR G719A, EGFR G719C, EGFR T790M, EGFR S768I</t>
  </si>
  <si>
    <t>EGFR</t>
  </si>
  <si>
    <t>Crizotinib</t>
  </si>
  <si>
    <t>Xalkori</t>
  </si>
  <si>
    <t>Pfizer</t>
  </si>
  <si>
    <t>Stage III,Stage IV</t>
  </si>
  <si>
    <t>NCT01154140</t>
  </si>
  <si>
    <t>2010-021336-33,  PER-011-11, JapicCTI-111463, CTR20132985, jRCT2080221424</t>
  </si>
  <si>
    <t>c-MET, ALK, ROS1 inhibitor</t>
  </si>
  <si>
    <t>ALK, c-MET/MET, ROS, ROS1</t>
  </si>
  <si>
    <t>PROFILE 1014</t>
  </si>
  <si>
    <t>Pemetrexed + Carboplatin/Cisplatin</t>
  </si>
  <si>
    <t xml:space="preserve">74%  vs 45% </t>
  </si>
  <si>
    <t xml:space="preserve">74% </t>
  </si>
  <si>
    <t xml:space="preserve">45% </t>
  </si>
  <si>
    <t xml:space="preserve">10.9  vs 7.0 </t>
  </si>
  <si>
    <t xml:space="preserve">7.0 </t>
  </si>
  <si>
    <t xml:space="preserve">NR  vs 47.5 (ns) </t>
  </si>
  <si>
    <t xml:space="preserve">NR </t>
  </si>
  <si>
    <t xml:space="preserve">47.5 (ns) </t>
  </si>
  <si>
    <t>United States - Australia - Austria - Belgium - Brazil - Canada - Chile - China - Finland - France - Germany - Hong Kong - India - Ireland - Italy - Japan - Luxembourg - Mexico - Netherlands - Norway - Peru - Portugal - Russian Federation - Singapore - South Africa - South Korea - Spain - Switzerland - Taiwan - Ukraine - United Kingdom</t>
  </si>
  <si>
    <t>Phase 3, Randomized, Open-label Study Of The Efficacy And Safety Of Crizotinib Versus Pemetrexed/Cisplatin Or Pemetrexed/Carboplatin In Previously Untreated Patients With Non-squamous Carcinoma Of The Lung Harboring A Translocation Or Inversion Event Involving The Anaplastic Lymphoma Kinase (Alk) Gene Locus.</t>
  </si>
  <si>
    <t>Inclusion Criteria:* Proven diagnosis of locally advanced not suitable for local treatment, recurrent and metastatic non-squamous cell carcinoma of the lung* Positive for translocation or inversion events involving the ALK gene locus* No prior systemic treatment for locally advanced or metastatic disease; Patients with brain metastases only if treated and neurologically stable with no ongoing requirement for corticosteroids* Evidence of a personally signed and dated informed consent document and willingness and ability to comply with scheduled visits, treatment plans, laboratory tests, and other study procedures including completion of patient reported outcome \[PRO\] measures.* 18 years of age or older with the exception of India which has an upper age limit of 65 years oldExclusion Criteria:* Current treatment on another therapeutic clinical trial.* Prior therapy directly targeting ALK.* Any of the following within the 3 months prior to starting study treatment: myocardial infarction, severe/unstable angina, coronary/peripheral artery bypass graft, congestive heart failure, or cerebrovascular accident including transient ischemic attack. - - Appropriate treatment with anticoagulants is permitted.* Ongoing cardiac dysrhythmias of NCI CTCAE Grade \&gt;=2, uncontrolled atrial fibrillation of any grade, or QTc interval \&gt;470 msec.* Pregnancy or breastfeeding.* Use of drugs or foods that are known potent CYP3A4 inducers/inhibitors Concurrent use of drugs that are CYP3A4 substrates with narrow therapeutic indices.* Known HIV infection* Known interstitial lung disease or interstitial fibrosis* Other severe acute or chronic medical conditions (including severe gastrointestinal conditions such as diarrhea or ulcer) or psychiatric conditions, or laboratory abnormalities that would impart, in the judgment of the investigator and/or sponsor, excess risk associated with study participation or study drug administration, and which would, therefore, make the patient inappropriate for entry into this study</t>
  </si>
  <si>
    <t>ALK, EML4-ALK</t>
  </si>
  <si>
    <t>ALK, EML4-ALK, c-MET/MET, EGFR, HER2</t>
  </si>
  <si>
    <t>ALK</t>
  </si>
  <si>
    <t>Necitumumab</t>
  </si>
  <si>
    <t>Portrazza</t>
  </si>
  <si>
    <t>Stage IV</t>
  </si>
  <si>
    <t>Squamous NSCLC</t>
  </si>
  <si>
    <t>NCT00981058</t>
  </si>
  <si>
    <t>2009-013838-25</t>
  </si>
  <si>
    <t>Anti-EGFR monoclonal antibody</t>
  </si>
  <si>
    <t>SQUIRE</t>
  </si>
  <si>
    <t>Gemcitabine + cisplatin</t>
  </si>
  <si>
    <t xml:space="preserve">31%  vs 29% </t>
  </si>
  <si>
    <t xml:space="preserve">31% </t>
  </si>
  <si>
    <t xml:space="preserve">29% </t>
  </si>
  <si>
    <t xml:space="preserve">5.7  vs 5.5 </t>
  </si>
  <si>
    <t xml:space="preserve">5.5 </t>
  </si>
  <si>
    <t xml:space="preserve">11.5  vs 9.9 </t>
  </si>
  <si>
    <t xml:space="preserve">11.5 </t>
  </si>
  <si>
    <t xml:space="preserve">9.9 </t>
  </si>
  <si>
    <t>United States - Australia - Austria - Belgium - Brazil - Canada - Croatia - France - Germany - Greece - Hungary - Italy - Japan - Philippines - Poland - Portugal - Romania - Russian Federation - Serbia - Singapore - Slovakia - South Africa - South Korea - Spain - Taiwan - Thailand - United Kingdom</t>
  </si>
  <si>
    <t>A Randomized, Multicenter, Open-Label Phase 3 Study of Gemcitabine-Cisplatin Chemotherapy Plus Necitumumab (IMC-11F8) Versus Gemcitabine-Cisplatin Chemotherapy Alone in the First-Line Treatment of Patients With Stage IV Squamous Non-Small Cell Lung Cancer (NSCLC)</t>
  </si>
  <si>
    <t>Inclusion Criteria:* Has histologically or cytologically confirmed squamous NSCLC* Has Stage IV disease at the time of study entry* Measurable or nonmeasurable disease at the time of study entry as defined by the Response Evaluation Criteria in Solid Tumors (RECIST 1.0) (participants with only truly nonmeasurable disease are not eligible)* Has resolution to Grade ≤ 1 of all clinically significant toxic effects of prior chemotherapy, surgery, radiotherapy, or hormonal therapy (with the exception of alopecia)* Has adequate hepatic function* Has adequate renal function* Has adequate hematologic function*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 If male, the participant is surgically sterile or compliant with a highly effective contraceptive regimen during and for 6 months after the treatment period* Female participants of childbearing potential must have a negative serum pregnancy test within 7 days prior to randomization* Has archived tumor tissue available for analysis of EGFR and KRAS mutation status (by PCR) and EGFR gene copy number (by FISH); minimum of four slides, paraffin-embedded tissue, requiredExclusion Criteria:* Has nonsquamous NSCLC (adenocarcinoma/large cell or other)* Has received prior anticancer therapy with monoclonal antibodies, signal transduction inhibitors, or any therapies targeting the EGFR, vascular endothelial growth factor (VEGF), or VEGF receptor* Has received previous chemotherapy for advanced NSCLC (participants who have received adjuvant chemotherapy are eligible if the last administration of the prior adjuvant regimen occurred at least 1 year prior to randomization)* Has undergone major surgery or received any investigational therapy in the 4 weeks prior to randomization* Has undergone chest irradiation within 12 weeks prior to randomization (except palliative irradiation of bone lesions, which is allowed)* Has brain metastases that are symptomatic or require ongoing treatment with steroids or anticonvulsants. Participants who have undergone previous radiotherapy for brain metastases, who are now nonsymptomatic and no longer require treatment with steroids or anticonvulsants, are eligible* Has superior vena cava syndrome contraindicating hydration* Has current clinically-relevant coronary artery disease or uncontrolled congestive heart failure* Has experienced myocardial infarction within 6 months prior to randomization* Has an ongoing or active infection (requiring antibiotics), including active tuberculosis or known infection with the human immunodeficiency virus* Has a history of significant neurological or psychiatric disorders, including dementia, seizures, or bipolar disorder* Has any National Cancer Institute - Common Terminology Criteria for Adverse Events (NCI-CTCAE) Version 3.0 Grade ≥ 2 peripheral neuropathy* Has significant third space fluid retention, requiring repeated drainage* Has any other serious uncontrolled medical disorders or psychological conditions that would, in the opinion of the investigator, limit the participant's ability to complete the study or sign an informed consent document* Has a known allergy / history of hypersensitivity reaction to any of the treatment components, including any ingredient used in the formulation of necitumumab (IMC-11F8), or any other contraindication to one of the administered treatments* Is pregnant or breastfeeding* Has a known history of drug abuse* Has a concurrent active malignancy other than adequately-treated basal cell carcinoma of the skin or preinvasive carcinoma of the cervix. A participant with previous history of malignancy other than NSCLC is eligible, provided that he/she has been free of disease for ≥ 3 years</t>
  </si>
  <si>
    <t>EGFR, KRAS</t>
  </si>
  <si>
    <t>Pembrolizumab</t>
  </si>
  <si>
    <t>Keytruda</t>
  </si>
  <si>
    <t>MSD</t>
  </si>
  <si>
    <t>Merck</t>
  </si>
  <si>
    <t>Merck/MSD</t>
  </si>
  <si>
    <t>Squamous NSCLC, Non-squamous NSCLC</t>
  </si>
  <si>
    <t>NCT02142738</t>
  </si>
  <si>
    <t>2014-000323-25</t>
  </si>
  <si>
    <t>Anti-PD-1 monoclonal antibody</t>
  </si>
  <si>
    <t>CD279, PD-1</t>
  </si>
  <si>
    <t>KEYNOTE-024</t>
  </si>
  <si>
    <t>Gemcitabine + pemetrexed</t>
  </si>
  <si>
    <t xml:space="preserve">46.0% </t>
  </si>
  <si>
    <t>Journal of Clinical Oncology Apr 19, 2021</t>
  </si>
  <si>
    <t xml:space="preserve">7.70 </t>
  </si>
  <si>
    <t xml:space="preserve">26.30  vs 13.40 </t>
  </si>
  <si>
    <t xml:space="preserve">26.30 </t>
  </si>
  <si>
    <t xml:space="preserve">13.40 </t>
  </si>
  <si>
    <t>MSD Oct 20, 2025</t>
  </si>
  <si>
    <t>United States - Australia - Austria - Belgium - Brazil - Canada - China - France - Germany - Hong Kong - Hungary - Ireland - Israel - Italy - Japan - Netherlands - New Zealand - Poland - Singapore - South Korea - Spain - United Kingdom</t>
  </si>
  <si>
    <t>A Randomized Open-Label Phase III Trial of Pembrolizumab Versus Platinum Based Chemotherapy in 1L Subjects With PD-L1 Strong Metastatic Non-Small Cell Lung Cancer</t>
  </si>
  <si>
    <t>Inclusion Criteria:* Histological or cytological diagnosis of Stage IV NSCLC lacking epidermal growth factor receptor (EGFR)-sensitizing mutation and/or anaplastic lymphoma kinase (ALK) translocation, and received no prior systemic chemotherapy treatment for their metastatic NSCLC* At least one radiographically measurable lesion per RECIST 1.1* Life expectancy of at least 3 months* Performance status of 0 or 1 on the Eastern Cooperative Oncology Group (ECOG) Performance Status* Adequate organ function* No history of prior malignancy, with the exception of basal cell carcinoma of the skin, superficial bladder cancer, squamous cell carcinoma of the skin, or in situ cervical cancer, or has undergone potentially curative therapy with no evidence of that disease recurrence for 5 years since initiation of that therapy* Provided newly obtained formalin fixed tumor tissue from a biopsy of a tumor at the time of or AFTER the diagnosis of metastatic disease has been made AND from a site not previously irradiated* PD-L1 strong expressing tumor as determined by immunohistochemistry (IHC) at a central laboratory* Female participants must have a negative pregnancy test at screening if of childbearing potential or be of non-childbearing potential* Female participants of childbearing potential and male partners with female partners of childbearing potential must agree to use 2 adequate barrier methods of contraception during the study and for 120 days after last dose of study drug and up to 180 days after last dose of chemotherapyExclusion Criteria:* EGFR sensitizing mutation and/or ALK translocation* Has received systemic therapy for the treatment of their stage IV NSCLC. Completion of treatment with chemotherapy and/or radiation as part of neoadjuvant/adjuvant therapy is allowed as long as therapy was completed at least 6 months prior to the diagnosis of metastatic disease.* Currently participating or has participated in a study of an investigational agent or using an investigational device within 4 weeks of first dose of study drug* Tumor specimen is not evaluable for PD-L1 expression by the central laboratory* Receiving systemic steroid therapy \&lt; 3 days prior to first dose of study drug or receiving any other form of immunosuppressive medication* Expected to require any other form of systemic or localized antineoplastic therapy during the study* Received prior systemic cytotoxic chemotherapy, biological therapy, major surgery within 3 weeks of first dose of study drug; received thoracic radiation therapy of \&gt; 30 gray (Gy) within 6 months of first dose of study drug* Received prior therapy with an anti-programmed cell death protein 1 (anti-PD-1), anti-PD-L1, anti-programmed cell death-ligand 2 (anti-PD-L2), anti-CD137 (4-1BB ligand, a member of the Tumor Necrosis Factor Receptor \[TNFR\] family), or anti-Cytotoxic T-lymphocyte-associated antigen-4 (anti-CTLA-4) antibody (including ipilimumab or any other antibody or drug specifically targeting T-cell co-stimulation or checkpoint pathways)* Has untreated central nervous system (CNS) metastases and/or carcinomatous meningitis* Active autoimmune disease that has required systemic treatment in past 2 years* Allogenic tissue/solid organ transplant* Interstitial lung disease or pneumonitis that has required oral or IV steroids* Received or will receive a live vaccine within 30 days prior to first dose of study drug* Active infection requiring IV systemic therapy* Known history of human immunodeficiency virus (HIV)* Known active tuberculosis, or hepatitis B or C* Known psychiatric or substance abuse disorders that would interfere with cooperation with the requirements of the study* Is, at the time of signing informed consent, a regular user (including "recreational use") of any illicit drugs or had a recent history (within the last year) of substance abuse (including alcohol)* Pregnant or breastfeeding, or expecting to conceive or father children during the study and through 120 days after last dose of pembrolizumab or 180 days after last dose of SOC chemotherapy* Immediate family member who is investigational site or sponsor staff directly involved with this study</t>
  </si>
  <si>
    <t>PD-L1 TPS ≥ 50%</t>
  </si>
  <si>
    <t>ALK, EGFR</t>
  </si>
  <si>
    <t>Ceritinib</t>
  </si>
  <si>
    <t>Zykadia</t>
  </si>
  <si>
    <t>Novartis</t>
  </si>
  <si>
    <t>NCT01828099</t>
  </si>
  <si>
    <t>2013-000319-26, JapicCTI-132204, LBCTR2019121370, jRCT2080222158</t>
  </si>
  <si>
    <t>ALK  inhibitor</t>
  </si>
  <si>
    <t>ASCEND-4</t>
  </si>
  <si>
    <t>Pemetrexed + cisplatin</t>
  </si>
  <si>
    <t xml:space="preserve">73.0%  vs 27.0% </t>
  </si>
  <si>
    <t xml:space="preserve">73.0% </t>
  </si>
  <si>
    <t>EU label Jun 29, 2017</t>
  </si>
  <si>
    <t xml:space="preserve">16.60 </t>
  </si>
  <si>
    <t>Argentina - Australia - Austria - Brazil - China - Colombia - Denmark - France - Germany - Greece - Hungary - India - Ireland - Italy - Japan - Lebanon - Mexico - Netherlands - New Zealand - Norway - Poland - Russian Federation - Singapore - South Korea - Spain - Sweden - Taiwan - Thailand - Turkey - United Kingdom</t>
  </si>
  <si>
    <t>A Phase III Multicenter, Randomized Study of Oral LDK378 Versus Standard Chemotherapy in Previously Untreated Adult Patients With ALK Rearranged (ALK-positive), Stage IIIB or IV, Non-squamous Non-small Cell Lung Cancer</t>
  </si>
  <si>
    <t>Key Inclusion Criteria:1. The patient had a histologically or cytologically confirmed diagnosis of non-squamous Non-small cell lung cancer (NSCLC) that was Anaplastic lymphoma kinase (ALK) positive as assessed by the Ventana Immunohistochemistry (IHC) test. The test was performed at Novartis designated central laboratories.2. The patient had a newly diagnosed stage IIIB (who was not a candidate for definitive multimodality therapy) or stage IV NSCLC or relapsed locally advanced or metastatic NSCLC not previously treated with any systemic anti-cancer therapy (e.g. cytotoxic drugs, monoclonal antibody therapy, crizotinib or other ALK inhibitors, or other targeted therapies, either experimental or not), with the exception of neo-adjuvant or adjuvant therapy.3. The patient had at least one measurable lesion as defined by RECIST 1.1.Key Exclusion Criteria:1. The patient had known hypersensitivity to any of the excipients of LDK378 (microcrystalline cellulose, mannitol, crospovidone, colloidal silicon dioxide, and magnesium stearate).2. The patient had a history of severe hypersensitivity reaction to platinum-containing drugs, pemetrexed, or any known excipients of these drugs.3. The patient had symptomatic central nervous system (CNS) metastases and was neurologically unstable or had required increasing doses of steroids within the 2 weeks prior to screening to manage CNS symptoms.</t>
  </si>
  <si>
    <t>Mvasi</t>
  </si>
  <si>
    <t>Amgen</t>
  </si>
  <si>
    <t>NCT01966003</t>
  </si>
  <si>
    <t>2013-000738-36</t>
  </si>
  <si>
    <t>E</t>
  </si>
  <si>
    <t>MAPLE</t>
  </si>
  <si>
    <t xml:space="preserve">39%  vs 42% </t>
  </si>
  <si>
    <t xml:space="preserve">39% </t>
  </si>
  <si>
    <t xml:space="preserve">42% </t>
  </si>
  <si>
    <t>United States - Australia - Bulgaria - Germany - Hungary - Japan - Romania - Russian Federation - Spain - United Kingdom</t>
  </si>
  <si>
    <t>A Randomized, Double-blind, Phase 3 Study Evaluating the Efficacy and Safety of ABP 215 Compared With Bevacizumab in Subjects With Advanced Non-Small Cell Lung Cancer</t>
  </si>
  <si>
    <t>Inclusion Criteria:*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1Exclusion Criteria:* Small cell lung cancer (SCLC) or mixed SCLC and NSCLC* Central nervous system (CNS) metastases* Malignancy other than NSCLC* Palliative radiotherapy for bone lesions inside the thorax* Prior radiotherapy of bone marrow* Known to be positive for hepatitis B surface antigen (HbsAg), hepatitis C virus (HCV), or human immunodeficiency virus (HIV)* Life expectancy \&lt; 6 months* Woman of child-bearing potential who is pregnant or is breast feeding or who is not consenting to use highly effective methods of birth control during treatment and for an additional 6 months after the last administration of the protocol specified treatment* Man with a partner of childbearing potential who does not consent to use highly effective methods of birth control during treatment and for an additional 6 months after the last administration of the protocol specified treatment* Subject has known sensitivity to any of the products to be administered during the study, including mammalian cell derived drug products* Other inclusion/exclusion criteria may apply</t>
  </si>
  <si>
    <t>EGFR, ALK</t>
  </si>
  <si>
    <t>Alectinib</t>
  </si>
  <si>
    <t>Alecensa</t>
  </si>
  <si>
    <t>Roche/Genentech</t>
  </si>
  <si>
    <t>NCT02075840</t>
  </si>
  <si>
    <t xml:space="preserve"> PER-064-14, SNCTP000001146, 2023-506859-13-00, CTR20150592</t>
  </si>
  <si>
    <t>ALK inhibitor</t>
  </si>
  <si>
    <t>ALK, ALK L1196M</t>
  </si>
  <si>
    <t>ALEX</t>
  </si>
  <si>
    <t xml:space="preserve">10.90 </t>
  </si>
  <si>
    <t>Annals of Oncology May 10, 2020</t>
  </si>
  <si>
    <t xml:space="preserve">81.10  vs 54.20 </t>
  </si>
  <si>
    <t xml:space="preserve">81.10 </t>
  </si>
  <si>
    <t xml:space="preserve">54.20 </t>
  </si>
  <si>
    <t>ESMO Oct 17, 2025</t>
  </si>
  <si>
    <t>United States - Australia - Belgium - Bosnia and Herzegovina - Brazil - Canada - Chile - China - Costa Rica - Denmark - Dominican Republic - Egypt - France - Germany - Greece - Guatemala - Hong Kong - Israel - Italy - Mexico - Netherlands - New Zealand - Peru - Poland - Portugal - Russian Federation - Serbia - Singapore - South Korea - Spain - Switzerland - Taiwan - Thailand - Turkey - Ukraine - United Kingdom</t>
  </si>
  <si>
    <t>Randomized, Multicenter, Phase III, Open-Label Study of Alectinib Versus Crizotinib in Treatment-Naive Anaplastic Lymphoma Kinase-Positive Advanced Non-Small Cell Lung Cancer</t>
  </si>
  <si>
    <t>Inclusion Criteria:* Histologically or cytologically confirmed diagnosis of advanced or recurrent (Stage IIIB not amenable for multimodality treatment) or metastatic (Stage IV) NSCLC that is ALK-positive as assessed by the Ventana immunohistochemistry (IHC) test* Life expectancy of at least 12 weeks* Eastern cooperative oncology group performance status (ECOG PS) of 0-2* Participants with no prior systemic treatment for advanced or recurrent (Stage IIIB not amenable for multimodality treatment) or metastatic (Stage IV) NSCLC* Adequate renal, and hematologic function* Participants must have recovered from effects of any major surgery or significant traumatic injury at least 28 days before the first dose of study treatment* Measurable disease by response evaluation criteria in solid tumors (RECIST) version 1.1 (v1.1) prior to the administration of study treatment* Prior brain or leptomeningeal metastases allowed if asymptomatic (e.g., diagnosed incidentally at study baseline)* Negative pregnancy test for all females of child bearing potential* Use of highly effective contraception as defined by the study protocolExclusion Criteria:* Participants with a previous malignancy within the past 3 years* Any gastrointestinal (GI) disorder or liver disease* National cancer institute common terminology criteria for adverse events (NCI CTCAE) (version 4.0) Grade 3 or higher toxicities due to any prior therapy (e.g., radiotherapy) (excluding alopecia)* History of organ transplant* Co-administration of anti-cancer therapies other than those administered in this study* Participants with baseline QTc greater than (\&gt;) 470 milliseconds or symptomatic bradycardia* Recipient of strong/potent cytochrome P4503A inhibitors or inducers within 14 days prior to the first dose until the end of study treatment* Recipient of any drug with potential QT interval prolonging effects within 14 days prior to the first dose for all participants and while on treatment through the end of the study for crizotinib-treated participants only* History of hypersensitivity to any of the additives in the alectinib and crizotinib drug formulation* Pregnancy or lactation* Any clinically significant disease or condition (or history of) that could interfere with, or for which the treatment might interfere with, the conduct of the study or the absorption of oral medications or that would, in the opinion of the principal investigator, pose an unacceptable risk to the participant in this study* Any psychological, familial, sociological, or geographical condition potentially hampering compliance with the study protocol requirements and/or follow-up procedures; those conditions should be discussed with the participant before trial entry</t>
  </si>
  <si>
    <t>ALK, EML4-ALK, ctDNA/cfDNA, EGFR, KRAS, TP53</t>
  </si>
  <si>
    <t>Durvalumab</t>
  </si>
  <si>
    <t>Imfinzi</t>
  </si>
  <si>
    <t>AstraZeneca</t>
  </si>
  <si>
    <t>Stage III</t>
  </si>
  <si>
    <t>NCT02125461</t>
  </si>
  <si>
    <t>2014-000336-42, PER-054-14, jRCT2080222682</t>
  </si>
  <si>
    <t>Anti-PD-L1 monoclonal antibody</t>
  </si>
  <si>
    <t>B7-H1, CD274, PD-L1</t>
  </si>
  <si>
    <t>B</t>
  </si>
  <si>
    <t>PACIFIC</t>
  </si>
  <si>
    <t>PFS + OS</t>
  </si>
  <si>
    <t xml:space="preserve">28.0% </t>
  </si>
  <si>
    <t>ESMO Sep 9, 2017</t>
  </si>
  <si>
    <t xml:space="preserve">16.90 </t>
  </si>
  <si>
    <t>Journal of Clinical Oncology Feb 2, 2022</t>
  </si>
  <si>
    <t xml:space="preserve">29.10 </t>
  </si>
  <si>
    <t>United States - Australia - Austria - Belgium - Canada - Chile - China - France - Germany - Greece - Hungary - Israel - Italy - Japan - Mexico - Netherlands - Norway - Peru - Poland - Singapore - Slovakia - South Africa - South Korea - Spain - Taiwan - Thailand - Turkey - United Kingdom - Vietnam</t>
  </si>
  <si>
    <t>A Phase III, Randomised, Double-blind, Placebo-controlled, Multi-centre, International Study of MEDI4736 as Sequential Therapy in Patients With Locally Advanced, Unresectable Non-Small Cell Lung Cancer (Stage III) Who Have Not Progressed Following Definitive, Platinum-based, Concurrent Chemoradiation Therapy (PACIFIC)</t>
  </si>
  <si>
    <t>Inclusion Criteria:1. Age at least 18 years.2. Documented evidence of NSCLC (locally advanced, unresectable, Stage III)3. Patients must have received at least 2 cycles of platinum-based chemotherapy concurrent with radiation therapy.4. World Health Organisation (WHO) Performance Status of 0 to 1.5. Estimated life expectancy of more than 12 weeks.Exclusion Criteria:1. Prior exposure to any anti-PD-1 or anti-PD-L1 antibody.2. Active or prior autoimmune disease or history of immunodeficiency.3. Evidence of severe or uncontrolled systemic diseases, including active bleeding diatheses or active infections including hepatitis B, C and HIV.4. Evidence of uncontrolled illness such as symptomatic congestive heart failure, uncontrolled hypertension or unstable angina pectoris.5. Any unresolved toxicity CTCAE \&gt;Grade 2 from the prior chemoradiation therapy.6. Active or prior documented inflammatory bowel disease (eg, Crohn's disease, ulcerative colitis).</t>
  </si>
  <si>
    <t>PD-L1, GEP, IFN-γ, TNF-α, IL-2, IL-6, IL-10, IL-8, IL-12, CTLA-4, CD3, CD4, CD8, CD45RO, FOXP3, GZMB, OX40, PD-1, Caspase-3, Ki-67, EGFR, KRAS, NRAS, BRAF, ALK, c-MET/MET, miRNA, EGFR Exon 19-del, EGFR L858R, EGFR S768I, EGFR T790M, EGFR Exon 18</t>
  </si>
  <si>
    <t>Osimertinib</t>
  </si>
  <si>
    <t>Tagrisso</t>
  </si>
  <si>
    <t>NCT02296125</t>
  </si>
  <si>
    <t>2014-002694-11, SNCTP000001469, CTR20160045, jRCT2080222917</t>
  </si>
  <si>
    <t>EGFR T790M inhibitor</t>
  </si>
  <si>
    <t>FLAURA</t>
  </si>
  <si>
    <t>Gefitinib or Erlotinib</t>
  </si>
  <si>
    <t xml:space="preserve">76.0% </t>
  </si>
  <si>
    <t>EU label Jun 8, 2018</t>
  </si>
  <si>
    <t xml:space="preserve">10.20 </t>
  </si>
  <si>
    <t xml:space="preserve">31.80 </t>
  </si>
  <si>
    <t>NEJM Nov 21, 2019</t>
  </si>
  <si>
    <t>United States - Australia - Belgium - Brazil - Bulgaria - Canada - China - Czech Republic - France - Germany - Hungary - Israel - Italy - Japan - Malaysia - Netherlands - Philippines - Poland - Portugal - Romania - Russian Federation - South Korea - Spain - Sweden - Switzerland - Taiwan - Thailand - Turkey - Ukraine - United Kingdom - Vietnam</t>
  </si>
  <si>
    <t>A Phase III, Double-blind, Randomised Study to Assess the Safety and Efficacy of AZD9291 Versus a Standard of Care Epidermal Growth Factor Receptor Tyrosine Kinase Inhibitor as First Line Treatment in Patients With Epidermal Growth Factor Receptor Mutation Positive, Locally Advanced or Metastatic Non Small Cell Lung Cancer.</t>
  </si>
  <si>
    <t>Inclusion Criteria:1. Male or female, aged at least 18 years.2. Pathologically confirmed adenocarcinoma of the lung.3. Locally advanced or metastatic NSCLC, not amenable to curative surgery or radiotherapy.4. The tumour harbours one of the 2 common EGFR mutations known to be associated with EGFR-TKI sensitivity (Ex19del, L858R).5. Mandatory provision of an unstained, archived tumour tissue sample in a quantity sufficient to allow for central analysis of EGFR mutation status.6. Patients must be treatment-naïve for locally advanced or metastatic NSCLC and eligible to receive first-line treatment with gefitinib or erlotinib as selected by the participating centre. Prior adjuvant and neo-adjuvant therapy is permitted(chemotherapy, radiotherapy, investigational agents).7. Provision of informed consent prior to any study specific procedures, sampling, and analysis.8. World Health Organization Performance Status of 0 to 1 with no clinically significant deterioration over the previous 2 weeks and a minimum life expectancy of 12 weeksExclusion Criteria:1. Treatment with any of the following:* Prior treatment with any systemic anti-cancer therapy for locally advanced/metastatic NSCLC.* Prior treatment with an EGFR-TKI.* Major surgery within 4 weeks of the first dose of study drug.* Radiotherapy treatment to more than 30% of the bone marrow or with a wide field of radiation within 4 weeks of the first dose of study drug.* Patients currently receiving medications or herbal supplements known to be potent inducers of cytochrome P450 (CYP) 3A4.* Alternative anti-cancer treatment* Treatment with an investigational drug within five half-lives of the compound or any of its related material.2. Any concurrent and/or other active malignancy that has required treatment within 2 years of first dose of study drug.3. Spinal cord compression, symptomatic and unstable brain metastases, except for those patients who have completed definitive therapy, are not on steroids, have a stable neurologic status for at least 2 weeks after completion of the definitive therapy and steroids.4. Any evidence of severe or uncontrolled systemic diseases, including uncontrolled hypertension and active bleeding diatheses; or active infection including hepatitis B, hepatitis C and human immunodeficiency virus (HIV).5. Refractory nausea and vomiting, chronic gastrointestinal diseases, inability to swallow the formulated product, or previous significant bowel resection that would preclude adequate absorption of AZD9291.6. Any of the following cardiac criteria:* Mean resting corrected QT interval (QTc) \&gt;470 msec, obtained from 3 ECGs, using the screening clinic ECG machine-derived QTcF value.* Any clinically important abnormalities in rhythm, conduction, or morphology of resting ECG.* Any patient with any factors that increase the risk of QTc prolongation or risk of arrhythmic events or unexplained sudden death under 40 years of age in first-degree relatives or any concomitant medication known to prolong the QT interval.7. Past medical history of ILD, drug-induced ILD, radiation pneumonitis which required steroid treatment, or any evidence of clinically active ILD.8. Involvement in the planning and/or conduct of the study</t>
  </si>
  <si>
    <t>Allocation: Randomized | Intervention Model: Parallel Assignment | Masking: Triple () | Primary Purpose: Treatment</t>
  </si>
  <si>
    <t>EGFR T790M, ctDNA/cfDNA, EGFR C797S, PD-L1, EGFR G719X, EGFR S768I, EGFR Exon 20-ins, c-MET/MET, EGFR L718Q, HER2 Amp, PIK3CA, RAS, CDKN1B, CDKN2A</t>
  </si>
  <si>
    <t>NCT02578680</t>
  </si>
  <si>
    <t>2015-003694-15</t>
  </si>
  <si>
    <t>CD279, PD-1, TS, TYMS</t>
  </si>
  <si>
    <t>Combo</t>
  </si>
  <si>
    <t>KEYNOTE-189</t>
  </si>
  <si>
    <t>Pemetrexed + Cisplatin /Carboplatin</t>
  </si>
  <si>
    <t xml:space="preserve">48.0%  vs 20.0% </t>
  </si>
  <si>
    <t xml:space="preserve">48.0% </t>
  </si>
  <si>
    <t xml:space="preserve">20.0% </t>
  </si>
  <si>
    <t>Annals of Oncology Apr 21, 2021</t>
  </si>
  <si>
    <t xml:space="preserve">9.00 </t>
  </si>
  <si>
    <t>ESMO Sep 9, 2022</t>
  </si>
  <si>
    <t xml:space="preserve">22.00  vs 10.60 </t>
  </si>
  <si>
    <t xml:space="preserve">22.00 </t>
  </si>
  <si>
    <t xml:space="preserve">10.60 </t>
  </si>
  <si>
    <t>United States - Australia - Austria - Belgium - Canada - China - Denmark - Finland - France - Germany - Ireland - Israel - Italy - Japan - Netherlands - Spain - United Kingdom</t>
  </si>
  <si>
    <t>A Randomized, Double-Blind, Phase III Study of Platinum+Pemetrexed Chemotherapy With or Without Pembrolizumab (MK-3475) in First Line Metastatic Non-squamous Non-small Cell Lung Cancer Subjects (KEYNOTE-189)</t>
  </si>
  <si>
    <t>Inclusion Criteria:* Has a histologically-confirmed or cytologically confirmed diagnosis of stage IV nonsquamous NSCLC.* Has confirmation that epidermal growth factor receptor (EGFR) or anaplastic lymphoma kinase (ALK)-directed therapy is not indicated.* Has measurable disease.* Has not received prior systemic treatment for their advanced/metastatic NSCLC.* Can provide tumor tissue.* Has a life expectancy of at least 3 months.* Has a performance status of 0 or 1 on the Eastern Cooperative Oncology Group (ECOG) Performance Status.* Has adequate organ function* If female of childbearing potential, is willing to use adequate contraception for the course of the study through 120 days after the last dose of study medication or through 180 days after last dose of chemotherapeutic agents.* If male with a female partner(s) of child-bearing potential, must agree to use adequate contraception starting with the first dose of study medication through 120 days after the last dose of study medication or through 180 days after last dose of chemotherapeutic agents.Exclusion Criteria:* Has predominantly squamous cell histology NSCLC.* Is currently participating and receiving study therapy or has participated in a study of an investigational agent and received study therapy or used an investigational device within 4 weeks prior to administration of pembrolizumab.* Before the first dose of study medication: a) Has received prior systemic cytotoxic chemotherapy for metastatic disease, b) Has received antineoplastic biological therapy (e.g., erlotinib, crizotinib, cetuximab), c) Had major surgery (\30 Gray (Gy) within 6 months of the first dose of study medication.* Completed palliative radiotherapy within 7 days of the first dose of study medication.* Is expected to require any other form of antineoplastic therapy while on study.* Received a live-virus vaccination within 30 days of planned start of study medication.* Has clinically active diverticulitis, intra-abdominal abscess, gastrointestinal obstruction, peritoneal carcinomatosis.* Known history of prior malignancy except if participant has undergone potentially curative therapy with no evidence of that disease recurrence for 5 years since initiation of that therapy, except for successful definitive resection of basal cell carcinoma of the skin, superficial bladder cancer, squamous cell carcinoma of the skin, in situ cervical cancer, or other in situ cancers.* Has known active central nervous system (CNS) metastases and/or carcinomatous meningitis.* Previously had a severe hypersensitivity reaction to treatment with another monoclonal antibody (mAb).* Known sensitivity to any component of cisplatin, carboplatin or pemetrexed.* Has active autoimmune disease that has required systemic treatment in past 2 years.* Is on chronic systemic steroids.* Is unable to interrupt aspirin or other nonsteroidal anti-inflammatory drugs (NSAIDs), other than an aspirin dose ≤1.3 g per day, for a 5-day period (8-day period for long-acting agents, such as piroxicam).* Is unable or unwilling to take folic acid or vitamin B12 supplementation.* Had prior treatment with any other anti-programmed cell death-1 (PD-1), or PD-ligand 1 (PD-L1) or PD-L2 agent or an antibody targeting other immuno-regulatory receptors or mechanisms. Has participated in any other pembrolizumab study and has been treated with pembrolizumab.* Has an active infection requiring therapy.* Has known history of Human Immunodeficiency Virus (HIV).* Has known active Hepatitis B or C.* Has known psychiatric or substance abuse disorder that would interfere with cooperation with the requirements of the trial.* Is a regular user (including "recreational use") of any illicit drugs or had a recent history (within the last year) of substance abuse (including alcohol).* Has symptomatic ascites or pleural effusion.* Has interstitial lung disease or a history of pneumonitis that required oral of IV glucocorticoids to assist with management.* Is pregnant or breastfeeding, or expecting to conceive or father children prior to 120 days after the last dose of study medication or through 180 days after last dose of chemotherapeutic agents.</t>
  </si>
  <si>
    <t>PD-L1, STK11, KEAP1, TMB, GEP, c-miRNA, IL-10, KRAS</t>
  </si>
  <si>
    <t>Dacomitinib</t>
  </si>
  <si>
    <t>Vizimpro</t>
  </si>
  <si>
    <t>NCT01774721</t>
  </si>
  <si>
    <t>2012-004977-23, CTR20132928</t>
  </si>
  <si>
    <t>ARCHER 1050</t>
  </si>
  <si>
    <t>Gefitinib</t>
  </si>
  <si>
    <t xml:space="preserve">93.0%  vs 72.0% </t>
  </si>
  <si>
    <t xml:space="preserve">93.0% </t>
  </si>
  <si>
    <t xml:space="preserve">72.0% </t>
  </si>
  <si>
    <t>WCLC Oct 18, 2017</t>
  </si>
  <si>
    <t>EU label Apr 3, 2019</t>
  </si>
  <si>
    <t xml:space="preserve">14.7  vs 9.2 </t>
  </si>
  <si>
    <t xml:space="preserve">9.2 </t>
  </si>
  <si>
    <t xml:space="preserve">30.80  vs 27.00% </t>
  </si>
  <si>
    <t xml:space="preserve">30.80 </t>
  </si>
  <si>
    <t xml:space="preserve">27.00% </t>
  </si>
  <si>
    <t>WCLC Jan 28, 2021</t>
  </si>
  <si>
    <t>ESMO Asia Nov 22, 2019</t>
  </si>
  <si>
    <t>China - Hong Kong - Italy - Japan - Poland - South Korea - Spain</t>
  </si>
  <si>
    <t>ARCHER 1050: A RANDOMIZED, OPEN-LABEL, PHASE 3, EFFICACY AND SAFETY STUDY OF DACOMITINIB (PF-00299804) VERSUS GEFITINIB FOR THE FIRST LINE TREATMENT OF LOCALLY ADVANCED OR METASTATIC NON-SMALL CELL LUNG CANCER IN SUBJECTS WITH EPIDERMAL GROWTH FACTOR RECEPTOR (EGFR) ACTIVATING MUTATION(S)</t>
  </si>
  <si>
    <t>Inclusion Criteria:* Evidence of histo or cytopathology confirmed, advanced NSCLC (with known histology) with the presence of EGFR-activating mutation (exon 19 deletion or the L858R mutation in exon 21).* It is acceptable for subjects with the presence of the exon 20 T790M mutation together with either EGFR-activating mutation (exon 19 deletion or the L858R mutation in exon 21) to be included in this study* No prior treatment with systemic therapy for locally advanced or metastatic NSCLC. Minimum of 12 months disease free interval between completion of neoadjuvant/adjuvant systemic therapy and recurrence of NSCLC* Adequate tissue sample must be available for central analyses.* Adequate renal, hematologic, liver function.* ECOG PS of 0-1.* Radiologically measurable disease.Exclusion Criteria:* Any evidence of mixed histology that includes elements of small cell or carcinoid lung cancer.* Any other mutation other than exon 19 deletion or L858R in exon 21, with or without the presence of the exon 20 T790M mutation.* Any history of brain metastases or leptomeningeal metastases.* Any previous anti-cancer systemic treatment of early, locally advanced, or metastatic NSCLC.* Any surgery(not including minor procedures such as lymph node biopsy), palliative radiotherapy or pleurodesis within 2 weeks of baseline assessments* Any clinically significant gastrointestinal abnormalities that may impair intake, transit or absorption of the study drug.* Current enrollment in another therapeutic clinical study.* History of, or currently suspected, diffuse non-infectious pneumonitis or interstitial lung disease* Uncontrolled medical disorders.* Prior malignancy and concurrent malignancy except for non melanoma skin cancer or in-situ cervical cancer with no evidence of active disease.* Use of narrow therapeutic index drugs that are CYP2D6 substrates from screening to randomization.</t>
  </si>
  <si>
    <t>Allocation: Randomized | Intervention Model:  | Masking: None (Open Label) () | Primary Purpose: Treatment</t>
  </si>
  <si>
    <t>EGFR L858R, EGFR Exon 19-del</t>
  </si>
  <si>
    <t>EGFR L858R, EGFR Exon 19-del, EGFR, EGFR T790M</t>
  </si>
  <si>
    <t>EGFR L858R, EGFR Exon 19-del, EGFR</t>
  </si>
  <si>
    <t>NCT02775435</t>
  </si>
  <si>
    <t>2016-000229-38</t>
  </si>
  <si>
    <t>KEYNOTE-407</t>
  </si>
  <si>
    <t>Carboplatin + paclitaxel </t>
  </si>
  <si>
    <t xml:space="preserve">62.0%  vs 39.0% </t>
  </si>
  <si>
    <t xml:space="preserve">62.0% </t>
  </si>
  <si>
    <t xml:space="preserve">39.0% </t>
  </si>
  <si>
    <t xml:space="preserve">5.10 </t>
  </si>
  <si>
    <t>Journal of Clinical Oncology Feb 3, 2023</t>
  </si>
  <si>
    <t xml:space="preserve">17.10  vs 11.36 </t>
  </si>
  <si>
    <t xml:space="preserve">17.10 </t>
  </si>
  <si>
    <t xml:space="preserve">11.36 </t>
  </si>
  <si>
    <t>United States - Australia - Canada - China - France - Germany - Hungary - Italy - Japan - Mexico - Netherlands - Poland - Russian Federation - South Korea - Spain - Thailand - Turkey</t>
  </si>
  <si>
    <t>A Randomized, Double-Blind, Phase III Study of Carboplatin-Paclitaxel/Nab-Paclitaxel Chemotherapy With or Without Pembrolizumab (MK-3475) in First Line Metastatic Squamous Non-small Cell Lung Cancer Subjects (KEYNOTE-407)</t>
  </si>
  <si>
    <t>Inclusion Criteria:* Has a histologically or cytologically confirmed diagnosis of stage IV (M1a or M1b-American Joint Committee on Cancer \[AJCC\] 7th edition) squamous NSCLC.* Has measurable disease based on RECIST 1.1 as determined by the local site investigator/radiology assessment.* Has not received prior systemic treatment for metastatic NSCLC.* Has provided tumor tissue from locations not radiated prior to biopsy.* Has a life expectancy of at least 3 months.* Has a performance status of 0 or 1 on the Eastern Cooperative Oncology Group (ECOG) Performance Status.* Has adequate organ function.* If female of childbearing potential, is willing to use an adequate method of contraception for the course of the study through 180 days after the last dose of study drug.* If male with a female partner(s) of child-bearing potential, must agree to use an adequate method of contraception starting with the first dose of study drug through 95 days after the last dose of study drug. Males with pregnant partners must agree to use a condom; no additional method of contraception is required for the pregnant partner.Exclusion Criteria:* Has non-squamous histology NSCLC.* Is currently participating and receiving study therapy or has participated in a study of an investigational agent and received study therapy or used an investigational device within 4 weeks prior to administration of pembrolizumab.* Before the first dose of study drug: a) Has received prior systemic cytotoxic chemotherapy for metastatic disease; b) Has received other targeted or biological antineoplastic therapy (e.g., erlotinib, crizotinib, cetuximab) for metastatic disease; c) Has had major surgery (\ 30 Gy within 6 months of the first dose of study drug.* Completed palliative radiotherapy within 7 days of the first dose of study drug.* Is expected to require any other form of antineoplastic therapy while on study.* Has received a live-virus vaccination within 30 days of planned treatment start.* Has a known history of prior malignancy except if the participant has undergone potentially curative therapy with no evidence of that disease recurrence for 5 years since initiation of that therapy.* Has known active central nervous system (CNS) metastases and/or carcinomatous meningitis.* Has pre-existing peripheral neuropathy that is ≥ Grade 2 by Common Terminology Criteria for Adverse Events (CTCAE) version 4 criteria.* Previously had a severe hypersensitivity reaction to treatment with another monoclonal antibody.* Has a known sensitivity to any component of carboplatin or paclitaxel or nab-paclitaxel.* Has active autoimmune disease that has required systemic treatment in past 2 years.* Is on chronic systemic steroids.* Had prior treatment with any other anti-programmed cell death 1 (anti-PD-1), or programmed cell death ligand 1 (PD-L1) or PD-L2 agent or an antibody or a small molecule targeting other immuno-regulatory receptors or mechanisms.* Has participated in any other pembrolizumab trial and has been treated with pembrolizumab.* Has an active infection requiring therapy.* Has known history of Human Immunodeficiency Virus (HIV).* Has known active Hepatitis B or C. Active Hepatitis B.* Is, at the time of providing documented informed consent, a regular user (including "recreational use") of any illicit drugs or has a recent history (within the last year) of substance abuse (including alcohol).* Has interstitial lung disease or a history of pneumonitis that required oral or intravenous glucocorticoids to assist with management.</t>
  </si>
  <si>
    <t>PD-L1, PD-L2, GEP, miRNA</t>
  </si>
  <si>
    <t>Atezolizumab</t>
  </si>
  <si>
    <t>Tecentriq</t>
  </si>
  <si>
    <t>NCT02366143</t>
  </si>
  <si>
    <t>2014-003207-30, PER-027-15, jRCT2080222890</t>
  </si>
  <si>
    <t>B7-H1, CD274, PD-L1, VEGF</t>
  </si>
  <si>
    <t>IMpower 150</t>
  </si>
  <si>
    <t>Bevacizumab + Paclitaxel + Carboplatin</t>
  </si>
  <si>
    <t xml:space="preserve">56.0%  vs 40.0% </t>
  </si>
  <si>
    <t xml:space="preserve">56.0% </t>
  </si>
  <si>
    <t xml:space="preserve">40.0% </t>
  </si>
  <si>
    <t>EU label Mar 8, 2019</t>
  </si>
  <si>
    <t xml:space="preserve">6.80 </t>
  </si>
  <si>
    <t>Journal of Thoracic Oncology Jul 23, 2021</t>
  </si>
  <si>
    <t xml:space="preserve">19.50  vs 14.70 </t>
  </si>
  <si>
    <t xml:space="preserve">19.50 </t>
  </si>
  <si>
    <t xml:space="preserve">14.70 </t>
  </si>
  <si>
    <t>United States - Argentina - Australia - Austria - Belgium - Brazil - Bulgaria - Canada - Chile - France - Germany - Hong Kong - Italy - Japan - Latvia - Lithuania - Mexico - Netherlands - Peru - Portugal - Réunion - Russian Federation - Singapore - Slovakia - Spain - Sweden - Switzerland - Taiwan - Ukraine</t>
  </si>
  <si>
    <t>A Phase III, Open-Label, Randomized Study of Atezolizumab (MPDL3280A, Anti-PD-L1 Antibody) in Combination With Carboplatin+Paclitaxel With or Without Bevacizumab Compared With Carboplatin + Paclitaxel + Bevacizumab in Chemotherapy-Naïve Patients With Stage IV Non-Squamous Non-Small Cell Lung Cancer</t>
  </si>
  <si>
    <t>Inclusion Criteria:* Eastern Cooperative Oncology Group performance status 0 or 1* Histologically or cytologically confirmed, Stage IV non-squamous NSCLC* Participants with no prior treatment for Stage IV non-squamous NSCLC* Known PD-L1 status as determined by immunohistochemistry assay performed on previously obtained archival tumor tissue or tissue obtained from a biopsy at screening* Measurable disease as defined by RECIST v1.1* Adequate hematologic and end organ functionExclusion Criteria:Cancer-Specific Exclusions:* Active or untreated central nervous system metastases* Malignancies other than NSCLC within 5 years prior to randomization, with the exception of those with a negligible risk of metastasis or death treated with expected curative outcomeGeneral Medical Exclusions:* Pregnant or lactating women* History of autoimmune disease* History of idiopathic pulmonary fibrosis, organizing pneumonia, drug-induced pneumonitis, idiopathic pneumonitis, or evidence of active pneumonitis on screening chest computed tomography scan. History of radiation pneumonitis in the radiation field (fibrosis) is permitted* Positive test for human immunodeficiency virus* Active hepatitis B or hepatitis C* Severe infection within 4 weeks prior to randomization* Significant cardiovascular disease* Illness or condition that interferes with the participant's capacity to understand, follow and/or comply with study proceduresExclusion Criteria Related to Medications:* Prior treatment with cluster of differentiation 137 agonists or immune checkpoint blockade therapies, anti-programmed death-1, and anti-PD-L1 therapeutic antibodies</t>
  </si>
  <si>
    <t>ALK, EGFR, PD-L1, ctDNA/cfDNA, TMB, CD8, Hb, LDH, Albumin, TSH, CXCL9, IFN-γ, EGFR Exon 19-del, EGFR L858R, KRAS, STK11, KEAP1, PD-1, IL-8, EML4-ALK, CYFRA21-1, CA 19-9, RET, c-MET/MET, TP53, PIK3CA, ERBB2, RICTOR, MAML, RGPD1, LCE3D , CA125, CRP</t>
  </si>
  <si>
    <t>NCT02220894</t>
  </si>
  <si>
    <t>2014-001473-14, PER-061-14, SNCTP000000984</t>
  </si>
  <si>
    <t>KEYNOTE-042</t>
  </si>
  <si>
    <t>SITC Nov 10, 2021</t>
  </si>
  <si>
    <t>9.20%  at 60 months</t>
  </si>
  <si>
    <t xml:space="preserve">20.00 </t>
  </si>
  <si>
    <t>United States - Argentina - Brazil - Bulgaria - Canada - Chile - China - Colombia - Czech Republic - Estonia - France - Guatemala - Hong Kong - Hungary - Italy - Japan - Latvia - Lithuania - Malaysia - Mexico - Peru - Philippines - Poland - Portugal - Romania - Russian Federation - South Africa - South Korea - Sweden - Switzerland - Taiwan - Thailand - Turkey - Ukraine - United Kingdom - Vietnam</t>
  </si>
  <si>
    <t>A Randomized, Open Label, Phase III Study of Overall Survival Comparing Pembrolizumab (MK-3475) Versus Platinum Based Chemotherapy in Treatment Naïve Subjects With PD-L1 Positive Advanced or Metastatic Non-Small Cell Lung Cancer (Keynote 042)</t>
  </si>
  <si>
    <t>Inclusion criteria:* Histologically- or cytologically-confirmed diagnosis of advanced or metastatic NSCLC* PD-L1 positive tumor* Measureable disease based on Response Evaluation Criteria in Solid Tumors (RECIST) 1.1* Life expectancy of at least 3 months* No prior systemic chemotherapy for the treatment of the participant's advanced or metastatic disease (treatment with chemotherapy and/or radiation as part of neoadjuvant/adjuvant therapy is allowed as long as completed at least 6 months prior to diagnosis of advanced or metastatic disease)* Eastern Cooperative Oncology Group (ECOG) Performance Status of 0 or 1* Adequate organ function* No prior malignancy, with the exception of basal cell carcinoma of the skin, superficial bladder cancer, squamous cell carcinoma of the skin, or in situ cancer, or has undergone potentially curative therapy with no evidence of that disease recurrence for 5 years since initiation of that therapy* Submission of formalin-fixed diagnostic tumor tissue (in the case of participants having received adjuvant systemic therapy, the tissue should be taken after completion of this therapy)* Female participants of childbearing potential must have a negative urine or serum pregnancy test and must be willing to use two adequate barrier methods of contraception or a barrier method plus a hormonal method starting with the screening visit through 120 days after the last dose of pembrolizumab or 180 days after the last dose of chemotherapeutic agents used in the study* Male participants with a female partner(s) of child-bearing potential must be willing to use two adequate barrier methods of contraception from screening through 120 days after the last dose of pembrolizumab or 180 days after the last dose of chemotherapeutic agents used in the studyExclusion criteria:* Epidermal growth factor receptor (EGFR)-sensitizing mutation and/or is echinoderm microtubule-associated protein-like 4(EML4) gene/anaplastic lymphoma kinase (ALK) gene fusion positive* Currently participating or has participated in a study of an investigational agent or using an investigational device within 4 weeks of the first dose of study therapy* No tumor specimen evaluable for PD-L1 expression by the central study laboratory* Squamous histology and received carboplatin in combination with paclitaxel in the adjuvant setting* Is receiving systemic steroid therapy ≤3 days prior to the first dose of study therapy or receiving any other form of immunosuppressive medication with the exception of daily steroid replacement therapy* The NSCLC can be treated with curative intent with either surgical resection and/or chemoradiation* Expected to require any other form of systemic or localized antineoplastic therapy while on study* Any prior systemic cytotoxic chemotherapy, biological therapy or major surgery within 3 weeks of the first dose of study therapy; received lung radiation therapy \&gt;30 Gy within 6 months of the first dose of study therapy* Prior therapy with an anti-PD-1, anti-PD-L1, anti-PD-L2, anti-CD137, or anti-cytotoxic T-lymphocyte-associated antigen-4 (CTLA-4) antibody (including ipilimumab or any other antibody or drug specifically targeting T-cell co-stimulation or checkpoint pathways)* Known central nervous system metastases and/or carcinomatous meningitis* Active autoimmune disease that has required systemic treatment in the past 2 years* Had allogeneic tissue/solid organ transplantation* Interstitial lung disease or history of pneumonitis that has required oral or IV steroids* Has received or will receive a live vaccine within 30 days prior to the first study therapy (seasonal flu vaccines that do not contain live vaccine are permitted)* Active infection requiring intravenous systemic therapy* Known history of human immunodeficiency virus (HIV)* Known active Hepatitis B or C* Regular user (including "recreational use") of any illicit drugs or had a recent history (within the last year) of substance abuse (including alcohol)* Pregnant, breastfeeding, or expecting to conceive or father children within the projected duration of the study</t>
  </si>
  <si>
    <t>PD-L1 TPS ≥ 1%</t>
  </si>
  <si>
    <t>TMB, STK11, KEAP1, PD-L1, PD-1, GEP, IL-10, miRNA, KRAS</t>
  </si>
  <si>
    <t>Journal of Clinical Oncology Feb 21, 2023</t>
  </si>
  <si>
    <t xml:space="preserve">4.90 </t>
  </si>
  <si>
    <t>United States - Australia - Austria - Canada - Germany - Israel - Italy - Japan - Netherlands - Spain</t>
  </si>
  <si>
    <t>PD-L1, IL-10, miRNA, GEP, KRAS</t>
  </si>
  <si>
    <t>Zirabev</t>
  </si>
  <si>
    <t>NCT02364999</t>
  </si>
  <si>
    <t>2014-003878-16, PER-029-15</t>
  </si>
  <si>
    <t>REFLECTIONS B739-03</t>
  </si>
  <si>
    <t>Bevacizumab + Paclitaxel-Carboplatin</t>
  </si>
  <si>
    <t xml:space="preserve">45.0% </t>
  </si>
  <si>
    <t>ASCO Jun 4, 2018</t>
  </si>
  <si>
    <t>29.00%  at 12 months</t>
  </si>
  <si>
    <t>65.00%  at 12 months</t>
  </si>
  <si>
    <t>United States - Australia - Brazil - Bulgaria - Chile - Croatia - Czech Republic - France - Germany - Greece - Hungary - India - Italy - Japan - Malaysia - Netherlands - Philippines - Poland - Romania - Russian Federation - South Africa - South Korea - Spain - Taiwan - Thailand - Turkey - Ukraine</t>
  </si>
  <si>
    <t>A PHASE 3 RANDOMIZED, DOUBLE-BLIND STUDY OF PF- 06439535 PLUS PACLITAXEL-CARBOPLATIN AND BEVACIZUMAB PLUS PACLITAXEL -CARBOPLATIN FOR THE FIRST-LINE TREATMENT OF PATIENTS WITH ADVANCED NON-SQUAMOUS NON-SMALL CELL LUNG CANCER.</t>
  </si>
  <si>
    <t>Inclusion Criteria:* Male and female patients age at least 18 years of age, or age of consent in the region.* Newly diagnosed Stage IIIB or IV non-small cell lung cancer (according to Revised International System for Staging Lung Cancer criteria of 2010) or recurrent non-small cell lung cancer (NSCLC).* Histologically or cytologically confirmed diagnosis of predominately non-squamous NSCLC.* Be eligible to receive study treatment of bevacizumab, paclitaxel, and carboplatin based on local standard of care, for the treatment of advanced or metastatic non-squamous NSCLC.Exclusion Criteria:* Small cell lung cancer (SCLC) or combination SCLC and NSCLC. Squamous-cell tumors and mixed adenosquamous carcinomas of predominantly squamous nature.* Evidence of a tumor that compresses or invades major blood vessels or tumor cavitation that is likely to bleed.* Known sensitizing EGFR mutations (for example, deletion 19 or L858R) or EML4-ALK translocation positive mutations.* Prior systemic therapy for NSCLC; prior neoadjuvant or adjuvant therapy is allowed if surgical resection for primary disease was performed.</t>
  </si>
  <si>
    <t>Allocation: Randomized | Intervention Model: Parallel Assignment | Masking: Double () | Primary Purpose: Treatment</t>
  </si>
  <si>
    <t>EGFR, EML4-ALK, EGFR Exon 19-del, EGFR L858R</t>
  </si>
  <si>
    <t>NCT02367781</t>
  </si>
  <si>
    <t>2014-003206-32</t>
  </si>
  <si>
    <t>B7-H1, CD274, Microtubule, NA, PD-L1</t>
  </si>
  <si>
    <t>IMpower 130</t>
  </si>
  <si>
    <t>Nab-Paclitaxel + Carboplatin</t>
  </si>
  <si>
    <t xml:space="preserve">49.0%  vs 32.0% </t>
  </si>
  <si>
    <t xml:space="preserve">49.0% </t>
  </si>
  <si>
    <t xml:space="preserve">32.0% </t>
  </si>
  <si>
    <t>EU label Sep 6, 2019</t>
  </si>
  <si>
    <t xml:space="preserve">5.50 </t>
  </si>
  <si>
    <t xml:space="preserve">18.60  vs 13.90 </t>
  </si>
  <si>
    <t xml:space="preserve">18.60 </t>
  </si>
  <si>
    <t>United States - Austria - Belgium - Canada - China - France - Germany - Hong Kong - Israel - Italy - Japan - Réunion - Spain - Switzerland</t>
  </si>
  <si>
    <t>A Phase III Multicenter, Randomized, Open-Label Study Evaluating the Efficacy and Safety of Atezolizumab (MPDL3280A, Anti-PD-L1 Antibody) in Combination With Carboplatin+Nab-Paclitaxel for Chemotherapy-Naive Patients With Stage IV Non-Squamous Non-Small Cell Lung Cancer</t>
  </si>
  <si>
    <t>Inclusion Criteria:* Eastern Cooperative Oncology Group performance status of 0 or 1* Histologically or cytologically confirmed, Stage IV non-squamous NSCLC* Participants with no prior treatment for Stage IV non-squamous NSCLC* Previously obtained archival tumor tissue or tissue obtained from fresh biopsy at screening* Measurable disease, as defined by RECIST v1.1* Adequate hematologic and end organ functionExclusion Criteria:Cancer-Specific Exclusions:* Active or untreated central nervous system metastases* Malignancies other than NSCLC within 5 years prior to randomization, with the exception of those with a negligible risk of metastasis or death treated with expected curative outcomeGeneral Medical Exclusions:* Pregnant or lactating women* History of autoimmune disease* History of idiopathic pulmonary fibrosis, organizing pneumonia, drug-induced pneumonitis, idiopathic pneumonitis, or evidence of active pneumonitis on screening chest computed tomography scan. History of radiation pneumonitis in the radiation field (fibrosis) is permitted* Positive test for human immunodeficiency virus* Active hepatitis B or hepatitis C* Severe infection within 4 weeks prior to randomization* Significant cardiovascular disease* Illness or condition that interferes with the participant's capacity to understand, follow and/or comply with study proceduresExclusion Criteria Related to Medications:* Prior treatment with cluster of differentiation 137 agonists or immune checkpoint blockade therapies, anti-programmed death-1, and anti-PD-L1 therapeutic antibodies</t>
  </si>
  <si>
    <t>PD-L1, EGFR, ALK</t>
  </si>
  <si>
    <t>Ramucirumab</t>
  </si>
  <si>
    <t>Cyramza</t>
  </si>
  <si>
    <t>NCT02411448</t>
  </si>
  <si>
    <t>2024-514269-20-00</t>
  </si>
  <si>
    <t>Anti-VEGFR-2 monoclonal antibody</t>
  </si>
  <si>
    <t>EGFR, ERBB, HER1, KDR, VEGFR2</t>
  </si>
  <si>
    <t>RELAY</t>
  </si>
  <si>
    <t>Erlotinib + Placebo</t>
  </si>
  <si>
    <t>US label May 29, 2020</t>
  </si>
  <si>
    <t xml:space="preserve">19.40 </t>
  </si>
  <si>
    <t xml:space="preserve">51.10 </t>
  </si>
  <si>
    <t>Journal of Thoracic Oncology Nov 29, 2024</t>
  </si>
  <si>
    <t>Active, not recruiting</t>
  </si>
  <si>
    <t>United States - Canada - France - Germany - Greece - Hong Kong - Italy - Japan - Romania - South Korea - Spain - Taiwan - Turkey - United Kingdom</t>
  </si>
  <si>
    <t>A Multicenter, Randomized, Double-Blind Study of Erlotinib in Combination With Ramucirumab or Placebo in Previously Untreated Patients With EGFR Mutation-Positive Metastatic Non-Small Cell Lung Cancer</t>
  </si>
  <si>
    <t>Inclusion Criteria:* Cytologically or histologically confirmed diagnosis of Stage IV NSCLC as defined by the American Joint Committee on Cancer Staging Criteria for Lung Cancer (AJCC 7th edition 2009).* Eligible for first-line treatment with erlotinib based on documented evidence of tumor harboring an activating EGFR mutation \[exon 19 deletion or exon 21 (L858R) substitution mutation\].* Mandatory provision of adequate archived stage IV NSCLC tissue samples or tissue samples other than stage IV NSCLC may be acceptable (optional for part C).* At least one measurable lesion.* Life expectancy of at least 3 months.Exclusion Criteria:* Known T790M EGFR mutation (not applicable for Part C Period 2).* Known leptomeningeal carcinomatosis, uncontrolled/unstable spinal cord compression, or brain metastases.* Serious illness or medical condition.* Ongoing treatment with CYP3A4 inducers or strong inhibitors.* Ongoing therapy with nonsteroidal anti-inflammatory drugs for more than 2 months.* History of gross hemoptysis.* Significant bleeding disorders.* Radiologically documented evidence of major blood vessel invasion or encasement by cancer.* Radiographic evidence of intratumor cavitation.* History of gastrointestinal perforation within last 6 months.* History of bowel obstruction, inflammatory enteropathy or extensive intestinal resection.* History of any arterial thrombotic event within 6 months prior to enrollment.* The participant has any known significant ophthalmologic abnormalities of the surface of the eye.</t>
  </si>
  <si>
    <t>EGFR Exon 19-del, EGFR L858R, ctDNA/cfDNA, c-MET/MET, ERBB2, TP53, PTEN, KRAS, NF1, APC, FGFR2, GNAS, BRAF, PI3Kα, BRCA2, CDK6, AR, RB1, CDK4, SMAD4, c-KIT/KIT, ARID1A, FGFR1, MAP2K1, MAPK3, mTOR, RET, ROS1, STK11, EGFR T790M, EGFR, ALK, C-MYC/MYC, GEP, PIK3CA, BRCA1, CTNNB1, PDGFRA, CCNE1</t>
  </si>
  <si>
    <t>Brigatinib</t>
  </si>
  <si>
    <t>Alunbrig</t>
  </si>
  <si>
    <t>Takeda</t>
  </si>
  <si>
    <t>Solid tumors, Lung cancer</t>
  </si>
  <si>
    <t>NCT02737501</t>
  </si>
  <si>
    <t>2015-003447-19, SNCTP000002002</t>
  </si>
  <si>
    <t>ALK, EGFR, ERBB, HER1</t>
  </si>
  <si>
    <t>ALTA-1L</t>
  </si>
  <si>
    <t xml:space="preserve">74.0% </t>
  </si>
  <si>
    <t>Journal of Clinical Oncology Aug 11, 2020</t>
  </si>
  <si>
    <t xml:space="preserve">24.00 </t>
  </si>
  <si>
    <t>ELCC Mar 30, 2022</t>
  </si>
  <si>
    <t>71.00%  at 36 months</t>
  </si>
  <si>
    <t>United States - Australia - Austria - Canada - China - Denmark - Finland - France - Germany - Hong Kong - Italy - Japan - Luxembourg - Netherlands - Norway - Singapore - South Korea - Spain - Sweden - Switzerland - Taiwan - United Kingdom</t>
  </si>
  <si>
    <t>A Phase 3 Multicenter Open-label Study of Brigatinib (AP26113) Versus Crizotinib in Patients With ALK-positive Advanced Lung Cancer</t>
  </si>
  <si>
    <t>Inclusion Criteria:1. Have histologically or cytologically confirmed stage IIIB (and not a candidate for definitive multimodality therapy) or stage four (IV) NSCLC.2. Must have documented ALK rearrangement.3. Have sufficient tumor tissue available for central analysis.4. Have at least 1 measurable (that is, target) lesion per RECIST v1.1.5. Recovered from toxicities related to prior anticancer therapy to National Cancer Institute (of the United States) (NCI) Common Terminology Criteria for Adverse Events (version 4.0) (CTCAE v 4.0) grade be less than or equal to (\=)18 years old.7. Have adequate organ function, as defined by the study protocol.8. Have Eastern Cooperative Oncology Group (ECOG) performance status \</t>
  </si>
  <si>
    <t>ALK, TP53, EML4-ALK, ctDNA/cfDNA, EGFR, FGFR2, FGFR3, KEAP1, KRAS, c-MET/MET, C-MYC/MYC, RICTOR, ROS1, ERBB2, JAK2, PIK3CA, STK11, CPK</t>
  </si>
  <si>
    <t>Non-squamous NSCLC, Squamous NSCLC</t>
  </si>
  <si>
    <t>NCT02409342</t>
  </si>
  <si>
    <t>2014-003083-21, CTR20160994, jRCT2080222849</t>
  </si>
  <si>
    <t>IMpower 110</t>
  </si>
  <si>
    <t>Carboplatin/Cisplatin + Pemetrexed</t>
  </si>
  <si>
    <t xml:space="preserve">20.20 </t>
  </si>
  <si>
    <t>Journal of Thoracic Oncology Jul 12, 2021</t>
  </si>
  <si>
    <t>United States - Brazil - China - France - Germany - Greece - Hungary - Italy - Japan - Poland - Réunion - Romania - Russian Federation - Serbia - South Korea - Spain - Taiwan - Thailand - Turkey - Ukraine - United Kingdom</t>
  </si>
  <si>
    <t>A Phase III, Open Label, Randomized Study of Atezolizumab (Anti-PD-L1 Antibody) Compared With a Platinum Agent (Cisplatin or Carboplatin) in Combination With Either Pemetrexed or Gemcitabine for PD-L1-Selected, Chemotherapy-Naive Patients With Stage IV Non-Squamous Or Squamous Non-Small Cell Lung Cancer</t>
  </si>
  <si>
    <t>Inclusion Criteria:* Histologically or cytologically confirmed, Stage IV non-squamous or squamous NSCLC* No prior treatment for Stage IV non-squamous or squamous NSCLC. Participant known to have a sensitizing mutation in the epidermal growth factor receptor (EGFR) gene or an anaplastic lymphoma kinase (ALK) fusion oncogene are excluded from the study* Tumor PD-L1 expression as determined by immunohistochemistry (IHC) assay of archival tumor tissue or tissue obtained at screening* Eastern Cooperative Oncology Group (ECOG) performance status 0 to 1* Measurable disease as defined by Response Evaluation Criteria in Solid Tumors (RECIST v1.1)* Adequate hematologic and end-organ functionExclusion Criteria:* Known sensitizing mutation in the EGFR gene or ALK fusion oncogene* Active or untreated central nervous system (CNS) metastases as determined by Computed Tomography (CT) or magnetic resonance imaging (MRI) evaluation* Malignancies other than NSCLC within 5 years prior to randomization, with the exception of those with a negligible risk of metastasis or death treated with expected curative outcome* Pregnant or lactating women* History of autoimmune disease* History of idiopathic pulmonary fibrosis, organizing pneumonia, drug induced pneumonitis, idiopathic pneumonitis, or evidence of active pneumonitis on screening chest CT scan. History of radiation pneumonitis in the radiation field (fibrosis) is permitted* Positive test for Human Immunodeficiency Virus (HIV)* Active hepatitis B or hepatitis C* Prior treatment with cluster of differentiation (CD) 137 agonists or immune checkpoint blockade therapies, anti PD1, and anti-PD-L1 therapeutic antibody* Severe infection within 4 weeks prior to randomization* Significant history of cardiovascular disease</t>
  </si>
  <si>
    <t>PD-L1 TC ≥ 1%, PD-L1 IC ≥ 1%</t>
  </si>
  <si>
    <t>PD-L1, TMB</t>
  </si>
  <si>
    <t>PD-L1 TC ≥ 50%, PD-L1 IC ≥ 10%</t>
  </si>
  <si>
    <t>NCT03178552</t>
  </si>
  <si>
    <t>2023-507500-31-00, jRCT2080223780</t>
  </si>
  <si>
    <t>B-FAST Cohort A</t>
  </si>
  <si>
    <t xml:space="preserve">92.0% </t>
  </si>
  <si>
    <t>Journal of Thoracic Oncology Jul 22, 2021</t>
  </si>
  <si>
    <t>78.40%  at 12 months</t>
  </si>
  <si>
    <t>United States - Argentina - Australia - Belgium - Brazil - Canada - Chile - China - Costa Rica - France - Germany - Hong Kong - Israel - Italy - Japan - Mexico - New Zealand - Panama - Peru - Poland - Russian Federation - Serbia - Singapore - South Korea - Spain - Switzerland - Taiwan - Thailand - Turkey</t>
  </si>
  <si>
    <t>A Phase II/III Multicenter Study Evaluating the Efficacy and Safety of Multiple Targeted Therapies as Treatments for Patients With Advanced or Metastatic Non-Small Cell Lung Cancer (NSCLC) Harboring Actionable Somatic Mutations Detected in Blood (B-FAST: Blood-First Assay Screening Trial)</t>
  </si>
  <si>
    <t>Inclusion Criteria:* Histologically or cytologically confirmed diagnosis of unresectable Stage IIIb not amenable to treatment with combined modality chemoradiation (advanced) or Stage IV (metastatic) NSCLC* Eastern Cooperative Oncology Group (ECOG) Performance Status 0-2* Measurable disease* Adequate recovery from most recent systemic or local treatment for cancer* Adequate organ function* Life expectancy greater than or equal to (\&gt;/=) 12 weeks* For female participants of childbearing potential and male participants, willingness to use acceptable methods of contraceptionExclusion Criteria:* Inability to swallow oral medication* Women who are pregnant or lactating* Symptomatic, untreated CNS metastases* History of malignancy other than NSCLC within 5 years prior to screening with the exception of malignancies with negligible risk of metastasis or death* Significant cardiovascular disease, such as New York Heart Association cardiac disease (Class II or greater), myocardial infarction, or cerebrovascular accident within 3 months prior to randomization, unstable arrhythmias, or unstable angina* Known active or uncontrolled human immunodeficiency virus (HIV) infection* Either a concurrent condition or history of a prior condition that places the patient at unacceptable risk if he/she were treated with the study drug or confounds the ability to interpret data from the study* Inability to comply with other requirements of the protocol</t>
  </si>
  <si>
    <t>ctDNA/cfDNA, ALK</t>
  </si>
  <si>
    <t>ALK I1171N, ALK I1171S, ALK G1202R</t>
  </si>
  <si>
    <t>ctDNA/cfDNA, TP53, EML4-ALK, TMB, EML4, CLIP4, DCTN1, EPS8, ERCC8, ETV6, KIF5B, PGM2, STRN, TMEM, CDKN2A, NF1, PTEN, JAK2, BRCA2, BRCA1, C-MYC/MYC, ESR1, SMO, NPM1</t>
  </si>
  <si>
    <t>Cemiplimab</t>
  </si>
  <si>
    <t>Libtayo</t>
  </si>
  <si>
    <t>Regeneron</t>
  </si>
  <si>
    <t>Stage IIIB,Stage IIIC,Stage IV</t>
  </si>
  <si>
    <t>NCT03088540</t>
  </si>
  <si>
    <t>PER-038-17, 2024-515052-20-00, CTR20191453</t>
  </si>
  <si>
    <t>EMPOWER Lung 1</t>
  </si>
  <si>
    <t xml:space="preserve">47.0% </t>
  </si>
  <si>
    <t>Journal of Thoracic Oncology Mar 18, 2025</t>
  </si>
  <si>
    <t xml:space="preserve">6.00 </t>
  </si>
  <si>
    <t>Regeneron Sep 9, 2024</t>
  </si>
  <si>
    <t xml:space="preserve">23.00 </t>
  </si>
  <si>
    <t>United States - Australia - Belarus - Brazil - Bulgaria - Chile - China - Colombia - Czech Republic - Georgia - Germany - Greece - Hungary - Ireland - Japan - Jordan - Lebanon - Malaysia - Mexico - Philippines - Poland - Romania - Russian Federation - Spain - Taiwan - Thailand - Turkey - Ukraine - United Kingdom</t>
  </si>
  <si>
    <t>A Global, Randomised, Phase 3, Open-label Study of REGN2810 (ANTI-PD 1 Antibody) Versus Platinum Based Chemotherapy in First Line Treatment of Patients With Advanced or Metastatic PD L1+Non-small Cell Lung Cancer</t>
  </si>
  <si>
    <t>Key Inclusion Criteria:A patient must meet the following criteria to be eligible for inclusion in the study:1. Patients with histologically or cytologically documented squamous or non squamous NSCLC with stage IIIB or stage IIIC disease who are not candidates for treatment with definitive concurrent chemoradiation or patients with stage IV disease who received no prior systemic treatment for recurrent or metastatic NSCLC2. Archival or newly obtained formalin-fixed tumor tissue from a metastatic/recurrent site, which has not previously been irradiated3. Tumor cells expressing PD L1 above a specific percentage of tumor cells by IHC performed by the central laboratory4. At least 1 radiographically measureable lesion per RECIST 1.15. ECOG performance status of ≤16. Anticipated life expectancy of at least 3 months7. Adequate organ and bone marrow functionKey Exclusion Criteria:A patient who meets any of the following criteria will be excluded from the study:1. Patients that have never smoked, defined as smoking \10 mg prednisone/day or equivalent) within 14 days of randomization8. Another malignancy that is progressing or requires treatment9. Uncontrolled infection with hepatitis B or hepatitis C or human immunodeficiency virus (HIV) or diagnosis of immunodeficiency10. Active infection requiring systemic therapy within 14 days prior to randomization11. Prior therapy with anti-PD 1 or anti-PD L112. Treatment-related immune-mediated AEs from immune-modulatory agents13. Receipt of an investigational drug or device within 30 days14. Receipt of a live vaccine within 30 days of planned start of study medication15. Major surgery or significant traumatic injury within 4 weeks prior to first dose16. Documented allergic or acute hypersensitivity reaction attributed to antibody treatments17. Known psychiatric or substance abuse disorder that would interfere with participation with the requirements of the study, including current use of any illicit drugs18. Pregnant or breastfeeding women19. Women of childbearing potential or men who are unwilling to practice highly effective contraception prior to the initial dose/start of the first treatment, during the study, and for at least 6 months after the last doseNote:: Other protocol defined Inclusion/Exclusion criteria apply.</t>
  </si>
  <si>
    <t>Allocation: Randomized | Intervention Model: Crossover Assignment | Masking: None (Open Label) () | Primary Purpose: Treatment</t>
  </si>
  <si>
    <t>EGFR, ALK, ROS1</t>
  </si>
  <si>
    <t>PD-L1, ctDNA/cfDNA</t>
  </si>
  <si>
    <t>Lorlatinib</t>
  </si>
  <si>
    <t>Lorviqua</t>
  </si>
  <si>
    <t>Lorbrena</t>
  </si>
  <si>
    <t>NCT03052608</t>
  </si>
  <si>
    <t>2023-509169-19-00, CTR20171624, jRCTs031180378</t>
  </si>
  <si>
    <t>ALK/ROS1 inhibitor</t>
  </si>
  <si>
    <t>ALK, ROS, ROS1</t>
  </si>
  <si>
    <t>CROWN</t>
  </si>
  <si>
    <t xml:space="preserve">77.0% </t>
  </si>
  <si>
    <t>AACR Apr 8, 2022</t>
  </si>
  <si>
    <t>60.00%  at 60 months</t>
  </si>
  <si>
    <t>ASCO May 31, 2024</t>
  </si>
  <si>
    <t>United States - Argentina - Australia - Belgium - Canada - China - Czech Republic - France - Germany - Hong Kong - India - Italy - Japan - Mexico - Netherlands - Poland - Russian Federation - Singapore - South Korea - Spain - Taiwan - Turkey - United Kingdom</t>
  </si>
  <si>
    <t>A PHASE 3, RANDOMIZED, OPEN-LABEL STUDY OF LORLATINIB (PF-06463922) MONOTHERAPY VERSUS CRIZOTINIB MONOTHERAPY IN THE FIRST-LINE TREATMENT OF PATIENTS WITH ADVANCED ALK-POSITIVE NON-SMALL CELL LUNG CANCER</t>
  </si>
  <si>
    <t>Inclusion Criteria:* Histologically or cytologically confirmed diagnosis of locally advanced or metastatic ALK-positive NSCLC; at least 1 extracranial measurable target lesion not previously irradiated. CNS metastases allowed if asymptomatic and not currently requiring corticosteroid treatment.* Availability of an archival FFPE tissue specimen.* No prior systemic NSCLC treatment.* ECOG PS 0, 1, or 2.* Age ≥18 years .* Adequate Bone Marrow, Liver, Renal, Pancreatic Function* Negative pregnancy test for females of childbearing potentialExclusion Criteria:* Spinal cord compression unless good pain control attained* Major surgery within 4 weeks prior to randomization.* Radiation therapy within 2 weeks prior to randomization, including stereotactic or partial brain irradiation. Whole brain irradiation within 4 weeks prior to randomization* Active bacterial, fungal, or viral infection* Clinically significant cardiovascular disease, active or within 3 months prior to enrollment. Ongoing cardiac dysrhythmias, uncontrolled atrial fibrillation, bradycardia or congenital long QT syndrome* Predisposing characteristics for acute pancreatitis in the last month prior to randomization.* History of extensive, disseminated, bilateral or presence of Grade 3 or 4 interstitial fibrosis or interstitial lung disease* Active malignancy (other than NSCLC, non melanoma skin cancer, in situ cervical cancer, papillary thyroid cancer, LCIS/DCIS of the breast, or localized prostate cancer) within the last 3 years prior to randomization.* Concurrent use of any of the following food or drugs within 12 days prior to the first dose of lorlatinib or crizotinib.1. known strong CYP3A inhibitors .2. known strong CYP3A inducers3. known P gp substrates with a narrow therapeutic index* Concurrent use of CYP3A substrates with narrow therapeutic indices within 12 days prior to the first dose of lorlatinib or crizotinib.* Other severe acute or chronic medical or psychiatric condition, including recent or active suicidal ideation or behavior, or laboratory abnormality that may increase the risk associated with study participation or interfere with the interpretation of study results* Investigational site staff members directly involved in the conduct of the study and their family members, or Pfizer employees, including their family members, directly involved in the conduct of the study.* Participation in other studies involving investigational drug(s) within 2 weeks prior to study entry and/or during study participation.</t>
  </si>
  <si>
    <t>ALK, ctDNA/cfDNA, EML4-ALK, TMB, TP53, RTK, MAPK, PI3K, mTOR, PTEN, BRAF, KRAS</t>
  </si>
  <si>
    <t>Alymsys</t>
  </si>
  <si>
    <t>Zentiva</t>
  </si>
  <si>
    <t>Amneal Pharmaceuticals</t>
  </si>
  <si>
    <t>mAbxience</t>
  </si>
  <si>
    <t>NCT03296163</t>
  </si>
  <si>
    <t>2017-001769-26</t>
  </si>
  <si>
    <t>STELLA</t>
  </si>
  <si>
    <t>Bevacizumab + Chemotherapy</t>
  </si>
  <si>
    <t>Clinical trials Mar 26, 2021</t>
  </si>
  <si>
    <t>Brazil - Bulgaria - Chile - Georgia - Greece - Hungary - India - Lebanon - Malaysia - Mexico - Oman - Philippines - Russian Federation - Serbia - Spain - Thailand - Turkey - Ukraine</t>
  </si>
  <si>
    <t>A Randomized, Multicenter, Multinational, Double-Blind Study to Assess the Efficacy and Safety of MB02 (Bevacizumab Biosimilar Drug) Versus Avastin® in Combination With Carboplatin and Paclitaxel for the Treatment of Subjects With Stage IIIB/IV Non-squamous Non-Small Cell Lung Cancer (NSCLC)</t>
  </si>
  <si>
    <t>Inclusion Criteria:1. Males and female subjects aged ≤ 18 years to ≤ 80 years.2. Signed informed consent must be obtained before initiation of any study-specific procedures or treatment as confirmation of the subject's awareness and willingness to comply with the study requirements.3.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treatment.4. Previous radiation therapy if completed \&gt;4 weeks before randomization. Palliative radiotherapy to bone lesions is allowed if completed \&gt;2 weeks of randomization.5. Subjects must have at least 1 unidimensional measurable lesion per RECIST version 1.1 (assessed locally).6. Subjects must have an Eastern Cooperative Oncology Group (ECOG) performance status ≤1 at Screening.7. Subjects must have adequate hepatic, renal and hematologic function defined as:* Hepatic function: bilirubin level \9 g/dL.* Adequate coagulation parameters such as: INR ≤ 2.0 and aPTT ≤ 1.5 x ULN within 7 days prior to randomization for patients not receiving anticoagulation therapy.8. Eligible subjects must have a systolic blood pressure of ≤ 140 mm Hg and a diastolic blood pressure of ≤90 mm Hg at screening.9.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postmenopausal.Subjects and their partners must agree to use a highly effective method of contraception, to avoid women becoming pregnant throughout the course of the study. Medically acceptable forms of birth control can include the following, with approval of the treating physician:*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abstinence.10. Non fertile women can be included, that is, those who are physiologically incapable of becoming pregnant, because of:* Hysterectomy.* Bilateral oophorectomy (ovariectomy).* Bilateral tubal ligation or,* Postmenopausal women defined as:Subjects not using hormone replacement therapy (HRT) and have experienced total cessation of menses for ≥ 1 year and be greater than 45 years of age, OR, in questionable cases, have a follicle stimulating hormone \&gt;40 mIU/mL and an estradiol value \</t>
  </si>
  <si>
    <t>Abevmy</t>
  </si>
  <si>
    <t>Jobevne</t>
  </si>
  <si>
    <t>Biocon Biologics</t>
  </si>
  <si>
    <t>Viatris</t>
  </si>
  <si>
    <t>NCT04633564</t>
  </si>
  <si>
    <t>2015-005141-32, CTRI/2016/12/007557</t>
  </si>
  <si>
    <t>Microtubule, NA, VEGF</t>
  </si>
  <si>
    <t>Carboplatin, Paclitaxel</t>
  </si>
  <si>
    <t>MYL-1402O-3001</t>
  </si>
  <si>
    <t xml:space="preserve">7.80 </t>
  </si>
  <si>
    <t>ESMO Sep 17, 2020</t>
  </si>
  <si>
    <t>70.00%  at 10.5 months vs 75.40%  at 10.5 months</t>
  </si>
  <si>
    <t>70.00%  at 10.5 months</t>
  </si>
  <si>
    <t>75.40%  at 10.5 months</t>
  </si>
  <si>
    <t>United States - Belarus - Bosnia and Herzegovina - Bulgaria - Croatia - Georgia - Germany - Hungary - India - Italy - Philippines - Poland - Romania - Russian Federation - Spain - Taiwan - Turkey - Ukraine - Vietnam</t>
  </si>
  <si>
    <t>MYL-1402O Compared With Avastin®, in Patients With Stage IV nsNSCLC</t>
  </si>
  <si>
    <t>Key Inclusion Criteria:Written and signed informed consentMale or female at least 18 years of age with documented imaging diagnosis of Stage IV unresectable, recurrent or metastatic nsNSCLC with at least one measurable lesion as defined by RECIST 1.1Documented histologic or cytologic diagnosis of advanced nsNSCLC with negative or unknown sensitizing epidermal growth factor receptor (EGFR) mutation, and negative or unknown echinoderm microtubule-associated protein like 4 anaplastic lymphoma kinase (EML4 ALK) rearrangement.Eastern Cooperative Oncology Group (ECOG) performance status 0 or 1Has not received any prior systemic therapy for first-line treatment of advanced lung cancer, except adjuvant chemotherapy, and remained disease-free for at least 12 months from time of surgery, and at least 6 months from last dose of chemotherapy.Treated and stable brain metastasis.Key Exclusion Criteria:Documented squamous NSCLC or small cell type or large cell neuroendocrine histologyHistory of significant hemoptysis, central tumors with proximity to large vessels and tumor with cavitationReceived prior treatment with paclitaxel, bevacizumab or anthracycline or had known hypersensitivity to any of these components.Recent significant cardiac condition or vascular event or inadequately controlled hypertension.On anticoagulant therapy not considered stableRisk of hemorrhage in the central nervous systemRecent history of surgery, nonhealing wound, active ulcer, or untreated bone fracture.History of gastrointestinal fistula, perforation, or abscess.</t>
  </si>
  <si>
    <t>Allocation: Randomized|Intervention Model: Parallel Assignment|Masking: Quadruple (Participant, Care Provider, Investigator, Outcomes Assessor)|Primary Purpose: Treatment</t>
  </si>
  <si>
    <t>EML4-ALK, EGFR</t>
  </si>
  <si>
    <t>Avzivi</t>
  </si>
  <si>
    <t>Sandoz</t>
  </si>
  <si>
    <t>Bio-Thera Solutions</t>
  </si>
  <si>
    <t>MHRA</t>
  </si>
  <si>
    <t>NCT03329911</t>
  </si>
  <si>
    <t>CTR20170799</t>
  </si>
  <si>
    <t>BAT1706-003-CR</t>
  </si>
  <si>
    <t>Clinical trials Sep 13, 2021</t>
  </si>
  <si>
    <t>China - Mexico - South Africa - Turkey - Ukraine</t>
  </si>
  <si>
    <t>A Multicenter, Randomized, Double Blind, Phase III Study of BAT1706 Versus EU Avastin® Plus Chemotherapy in Patients With Advanced Non Squamous Non Small Cell Lung Cancer</t>
  </si>
  <si>
    <t>Inclusion Criteria:1. Stage IV nsNSCLC or recurrent disease (any Stage at initial diagnosis) no longer amenable to curative surgery or local therapy (histologically or cytologically confirmed).2. No prior systemic therapy for metastatic disease. Prior systemic therapy and/or radiotherapy for locally advanced disease is permitted if completed ≥ 6 months prior to randomization.3. Tumors without activating EGFR or ALK mutation. Patients with unknown mutation status or known activating EGFR or ALK mutation may be included provided the corresponding targeted agent is not available and chemotherapy is the standard of care of the study center.4. At least one measurable target lesion according to RECIST 1.1 (Appendix 13.4) as confirmed by CIR; bone only and brain-only metastases are not allowed. Lesions previously treated with radiotherapy are non-target lesion.5. Eastern Cooperative Oncology Group performance status of 0 or 1 and life expectancy \&gt; 3 months based on Investigator's judgment.Exclusion Criteria:1. Diagnosis of small cell carcinoma of the lung, mixed predominant squamous cell carcinoma of the lung, NSCLC not otherwise specified.2. Tumor cavitation, tumor invading into large blood vessels or close to large vessels with an increased risk of bleeding, according to Investigator's judgment.3. Prior therapy with monoclonal antibodies or small molecule inhibitors against VEGF or VEGFR, including Avastin®.4. Prior systemic therapy for metastatic disease.5. Prior systemic anticancer therapy, or radiotherapy for locally advanced nsNSCLC if completed \&lt; 6 months prior to screening.6. Previous malignancy other than NSCLC in the last 5 years except for basal cell cancer of the skin or pre invasive cancer of the cervix.</t>
  </si>
  <si>
    <t>Ensartinib</t>
  </si>
  <si>
    <t>X-396 </t>
  </si>
  <si>
    <t>Ensacove</t>
  </si>
  <si>
    <t>Xcovery</t>
  </si>
  <si>
    <t>CHMP</t>
  </si>
  <si>
    <t>NCT02767804</t>
  </si>
  <si>
    <t xml:space="preserve"> PER-001-17, 2024-513454-29-00</t>
  </si>
  <si>
    <t>eXalt3</t>
  </si>
  <si>
    <t xml:space="preserve">75.0% </t>
  </si>
  <si>
    <t>WCLC Aug 8, 2020</t>
  </si>
  <si>
    <t xml:space="preserve">25.80 </t>
  </si>
  <si>
    <t>JAMA Oncology Sep 2, 2021</t>
  </si>
  <si>
    <t>78%  at 2 years</t>
  </si>
  <si>
    <t>United States - Argentina - Australia - Belgium - Brazil - Canada - China - Czech Republic - France - Germany - Hong Kong - Israel - Italy - Netherlands - Poland - Russian Federation - South Korea - Spain - Turkey - United Kingdom</t>
  </si>
  <si>
    <t>Phase 3 Randomized Study Comparing X-396 (Ensartinib) to Crizotinib in Anaplastic Lymphoma Kinase (ALK) Positive Non-Small Cell Lung Cancer (NSCLC) Patients</t>
  </si>
  <si>
    <t>Inclusion Criteria1. Histologically or cytologically confirmed diagnosis of advanced or recurrent (Stage IIIB not amenable for multimodality treatment) or metastatic (Stage IV) NSCLC that is ALK-positive by an FDA-approved assay performed centrally. Patients must be ALK positive by local test prior to submitting tissue to the central lab. Randomization will occur after ALK positive confirmation is received from the central lab. Patients may have received up to 1 prior chemotherapy regimen for metastatic disease, which may also include maintenance therapy. Note: that patients that have received adjuvant or neoadjuvant chemotherapy and developed metastatic disease within 6 months from the end of that therapy would be considered to have received 1 prior regimen for metastatic disease.2. Eastern Cooperative Oncology Group (ECOG) Performance Status (PS) score of 0 to 2. (see Appendix A)3. Life expectancy of at least 12 weeks.4. Ability to swallow and retain oral medication.5. Adequate organ system function, defined as follows:1. Absolute neutrophil count (ANC) ≥1.5 x 109/L2. Platelets ≥100 x 109/L3. Hemoglobin ≥9 g/dL (≥90 g/L) Note: that transfusions are allowed to meet the required hemoglobin level4. Total bilirubin ≤1.5 times the upper limit of normal (ULN)5. Alanine aminotransferase (ALT) and aspartate aminotransferase (AST) ≤2.5 x ULN if no liver involvement or ≤5 x ULN with liver involvement.6. Creatinine \&lt; 1.5 x ULN. If \&gt;1.5 x ULN, patient may still be eligible if calculated creatinine clearance \&gt;50 mL/min (0.83mL/s) as calculated by the Cockcroft-Gault method.6. Brain metastases allowed if asymptomatic at study baseline. Patients with untreated brain metastases must not be on corticosteroids. If patients have neurological symptoms or signs due to CNS metastases, patients need to complete whole brain radiation or focal treatment at least 14 days before start of study treatment and be asymptomatic on stable or decreasing doses of corticosteroids at baseline.7. Men with partners of childbearing potential willing to use adequate contraceptive measures during the study and for 90 days after the last dose of study medication.8. Women who are not of child-bearing potential, and women of child-bearing potential who agree to use adequate contraceptive measures during the study and for 90 days after the last dose of study medication, and who have a negative serum or urine pregnancy test within 1 week prior to initial trial treatment.9. Patients must be \&gt;18 years-of-age.10. Patients must have measurable disease per RECIST v. 1.1.11. Willingness and ability to comply with the trial and follow-up procedures.12. Ability to understand the nature of this trial and give written informed consent.Note: the following pertains to patients enrolled in FranceIn France, a subject will be eligible for inclusion in this study only affiliated to the French Social Security system, and currently benefit from the corresponding rights and cover.Exclusion Criteria1. Patients that have previously received an ALK TKI or PD-1/PD-L1 therapy, and patients currently receiving cancer therapy (i.e., other targeted therapies, chemotherapy, radiation therapy, immunotherapy, biologic therapy, hormonal therapy, surgery and/or tumor embolization).2. Use of an investigational drug within 21 days prior to the first dose of study drug. Note: that to be eligible, any drug-related toxicity should have recovered to Grade 1 or less, with the exception of alopecia.3. Any chemotherapy within 4 weeks, or major surgery or radiotherapy within the last 14 days.4. Patients with primary CNS tumors and leptomeningeal disease are ineligible.5. Patients with a previous malignancy within the past 3 years (other than curatively treated basal cell carcinoma of the skin, in situ carcinoma of the cervix, or any cancer that is considered to be cured and have no impact on PFS and OS for the current NSCLC).6. Concomitant systemic use of anticancer herbal medications. These should be stopped prior to study entry.7. Patients receiving1. strong CYP3A inhibitors (including, but not limited to, atazanavir, clarithromycin, indinavir, itraconazole, ketoconazole, nefazodone, nelfinavir, ritonavir, saquinavir, telithromycin, troleandomycin, voriconazole, grapefruit, grapefruit juice)2. strong CYP3A inducers (including, but not limited to, carbamazepine, phenobarbital, phenytoin, rifabutin, rifampin, St. John's Wort)3. CYP3A substrates with narrow therapeutic window (including, but not limited to, alfentanil, cyclosporine, dihydroergotamine, ergotamine, fentanyl, pimozide, quinidine, sirolimus, tacrolimus).8. Women who are pregnant or breastfeeding.9. Presence of active gastrointestinal (GI) disease or other condition that will interfere significantly with the absorption, distribution, metabolism, or excretion of study medications.10. Patients at risk for GI perforation.11. Clinically significant cardiovascular disease including:1. QTcF interval \&gt;450 ms for men and \&gt;470 ms for women, symptomatic bradycardia \160/100 mmHg; Note: that isolated elevated readings considered to not be indicative of uncontrolled hypertension are allowed).The following within 6 months prior to Cycle 1 Day 1:1. Congestive heart failure (New York Heart Class III or IV).2. Arrhythmia or conduction abnormality requiring medication. Note:: patients with atrial fibrillation/flutter controlled by medication and arrhythmias controlled by pacemakers are eligible.3. Severe/unstable angina, coronary artery/peripheral bypass graft, or myocardial infarction.4. Cerebrovascular accident or transient ischemia.12. Patients who are immunosuppressed (including known HIV infection), have a serious active infection at the time of treatment, have interstitial lung disease/pneumonitis, or have any serious underlying medical condition that would impair the ability of the patient to receive protocol treatment. Patients with controlled hepatitis C, in the investigator's opinion, are allowed. Patients with known hepatitis B must be HBeAg and HB viral DNA negative for enrollment. Note: that, because of the high prevalence, all patients in the Asia-Pacific region (except Australia, New Zealand, and Japan) must be tested and, if HBsAg positive, must be HBeAg and HB viral DNA negative for enrollment.13. Known hypersensitivity to tartrazine, a dye used in the ensartinib 100 mg capsule.14. Psychological, familial, sociological, or geographical conditions that do not permit compliance with the protocol.15. Concurrent condition that in the investigator's opinion would jeopardize compliance with the protocol or would impart excessive risk associated with study participation that would make it inappropriate for the patient to be enrolled.16. Inability or unwillingness to comply with study and/or follow-up procedures outlined in the protocol.Note: the following pertains to patients enrolled in France17. In France, a subject will not be eligible when under legal protection.</t>
  </si>
  <si>
    <t>ALK, ctDNA/cfDNA, EML4-ALK, ALK G1269A, BRAF, EGFR, KRAS, MAP2K1, c-MET/MET, NRAS, NTRK1, PIK3CA, RET, ROS1, TP53, PRKAR1A-ALK, AKAP8L-ALK, ALK T1151M, ALK L1152V, ALK F1174V, ALK L1196M, ALK G1202R, ALK E1210K, ALK S1206F, ALK G1123S, ALK L1198F, ALK E1154K</t>
  </si>
  <si>
    <t>Vegzelma</t>
  </si>
  <si>
    <t>Celltrion / Kern</t>
  </si>
  <si>
    <t>Celltrion</t>
  </si>
  <si>
    <t>Lung cancer, Non-squamous NSCLC</t>
  </si>
  <si>
    <t>NCT03676192</t>
  </si>
  <si>
    <t>2018-002147-28, CTRI/2018/12/016621, 	 PER-043-18</t>
  </si>
  <si>
    <t>CT-P16 3.1</t>
  </si>
  <si>
    <t xml:space="preserve">42.0% </t>
  </si>
  <si>
    <t>United States - Chile - Georgia - Japan - Romania - Russian Federation - Serbia - South Korea - Ukraine</t>
  </si>
  <si>
    <t>A Double-Blind, Randomized, Active-Controlled, Parallel-Group, Phase 3 Study to Compare Efficacy and Safety of CT-P16 and EU-Approved Avastin as First-Line Treatment for Metastatic or Recurrent Non-Squamous Non-Small Cell Lung Cancer</t>
  </si>
  <si>
    <t>Inclusion Criteria:* diagnosed as recurrent disease or stage IV* has at least 1 measurable lesion by Response Evaluation Criteria in Solid Tumor (RECIST) Version 1.1Exclusion Criteria:* has predominantly squamous cell histology non-small cell lung cancer* had surgery for metastatic non-squamous non-small cell lung cancer (nsNSCLC)</t>
  </si>
  <si>
    <t>NCT03409614</t>
  </si>
  <si>
    <t>2024-515051-38-00, CTR20191452</t>
  </si>
  <si>
    <t>EMPOWER Lung 3</t>
  </si>
  <si>
    <t xml:space="preserve">44.0% </t>
  </si>
  <si>
    <t>WCLC Sep 6, 2025</t>
  </si>
  <si>
    <t>ESMO IO Dec 10, 2025</t>
  </si>
  <si>
    <t xml:space="preserve">12.90 </t>
  </si>
  <si>
    <t>United States - Austria - China - France - Georgia - Germany - Greece - Ireland - Italy - Lithuania - Malaysia - Mexico - Poland - Romania - Russian Federation - Slovakia - South Korea - Thailand - Turkey - Ukraine</t>
  </si>
  <si>
    <t>A Two-Part Randomized, Phase 3 Study of Combinations of Cemiplimab (Anti-PD-1 Antibody) and Platinum-based Doublet Chemotherapy in First-line Treatment of Patients With Advanced or Metastatic Non-Small Cell Lung Cancer</t>
  </si>
  <si>
    <t>Key Inclusion Criteria:1. Men and women ≥20 years of age for Japanese patients2. Patients with histologically or cytologically documented squamous or non-squamous NSCLC with stage IIIB or IIIC disease who are not candidates for treatment with definitive concurrent chemoradiation or patients with stage IV disease if they have not received prior systemic treatment for recurrent or metastatic NSCLC3. Availability of an archival (≤5 months) or on-study obtained formalin-fixed, paraffin-embedded tumor tissue sample from a metastatic or recurrent site, which has not previously been irradiated4. Part 1 only: Expression of PD-L1 in \10 mg prednisone/day or equivalent) within 14 days of randomizationNote:: Other protocol defined Inclusion/Exclusion criteria may apply</t>
  </si>
  <si>
    <t>ALK, ROS1, EGFR</t>
  </si>
  <si>
    <t>PD-L1, TMB, ctDNA/cfDNA</t>
  </si>
  <si>
    <t>PD-L1 TC ≥ 1%</t>
  </si>
  <si>
    <t>Tremelimumab</t>
  </si>
  <si>
    <t>Imjudo</t>
  </si>
  <si>
    <t>Stage IV,Stage IVA,Stage IVB</t>
  </si>
  <si>
    <t>NMPA</t>
  </si>
  <si>
    <t>NCT03164616</t>
  </si>
  <si>
    <t>2017-000920-81, PER-025-17</t>
  </si>
  <si>
    <t>Anti-CTLA-4 monoclonal antibody</t>
  </si>
  <si>
    <t>B7-H1, CD152, CD274, CTLA-4, PD-L1</t>
  </si>
  <si>
    <t>IO combo</t>
  </si>
  <si>
    <t>POSEIDON</t>
  </si>
  <si>
    <t>SOC chemotherapy</t>
  </si>
  <si>
    <t xml:space="preserve">39.0%  vs 24.0% </t>
  </si>
  <si>
    <t xml:space="preserve">24.0% </t>
  </si>
  <si>
    <t>EU label Feb 23, 2023</t>
  </si>
  <si>
    <t xml:space="preserve">14.00  vs 11.60 </t>
  </si>
  <si>
    <t xml:space="preserve">14.00 </t>
  </si>
  <si>
    <t xml:space="preserve">11.60 </t>
  </si>
  <si>
    <t>ESMO IO Dec 6, 2023</t>
  </si>
  <si>
    <t>United States - Brazil - Bulgaria - Canada - China - France - Germany - Hong Kong - Hungary - Japan - Mexico - Peru - Poland - Russian Federation - South Africa - South Korea - Switzerland - Taiwan - Thailand - Ukraine - United Kingdom - Vietnam</t>
  </si>
  <si>
    <t>A Phase III, Randomized, Multi-Center, Open-Label, Comparative Global Study to Determine the Efficacy of Durvalumab or Durvalumab and Tremelimumab in Combination With Platinum-Based Chemotherapy for First-Line Treatment in Patients With Metastatic Non Small-Cell Lung Cancer (NSCLC) (POSEIDON)</t>
  </si>
  <si>
    <t>Inclusion Criteria:For inclusion in the study, patients should fulfill the following criteria:1. Aged at least 18 years.2. Histologically or cytologically documented Stage IV NSCLC.3. Confirmed tumor PD-L1 status prior to randomization.4. Patients must have tumors that lack activating EGFR mutations and ALK fusions.5. No prior chemotherapy or any other systemic therapy for metastatic NSCLC.6. World Health Organization (WHO)/Eastern Cooperative Oncology Group (ECOG) performance status of 0 or 1.7. No prior exposure to immunemediated therapy, excluding therapeutic anticancer vaccines.Exclusion Criteria:Patients should not enter the study if any of the following exclusion criteria are fulfilled:1. Mixed small-cell lung cancer and NSCLC histology, sarcomatoid variant.2. Active or prior documented autoimmune or inflammatory disorders.3. Brain metastases or spinal cord compression unless the patient's condition is stable and off steroids.4. Active infection including tuberculosis, hepatitis B, hepatitis C, or human immunodeficiency virus.</t>
  </si>
  <si>
    <t>EGFR, ALK, EGFR Exon 19-del, EGFR L858R, EGFR L861Q, EGFR G719X, EGFR S768I</t>
  </si>
  <si>
    <t>PD-L1, TMB, ctDNA/cfDNA, KRAS, STK11, KEAP1</t>
  </si>
  <si>
    <t>Stage IIIB,Stage IIIC,Stage IVA,Stage IVB</t>
  </si>
  <si>
    <t>NCT04035486</t>
  </si>
  <si>
    <t>CTRI/2020/06/025980, PER-025-20, JapicCTI-194903, 2023-508800-39-00, jRCT1080224820</t>
  </si>
  <si>
    <t>EGFR T790M, NA, TS, TYMS</t>
  </si>
  <si>
    <t>Pemetrexed, Carboplatin, Cisplatin</t>
  </si>
  <si>
    <t>FLAURA2</t>
  </si>
  <si>
    <t xml:space="preserve">77.0%  vs 69.0% </t>
  </si>
  <si>
    <t xml:space="preserve">69.0% </t>
  </si>
  <si>
    <t>US label Feb 16, 2024</t>
  </si>
  <si>
    <t xml:space="preserve">25.50 </t>
  </si>
  <si>
    <t xml:space="preserve">47.50  vs 37.60 </t>
  </si>
  <si>
    <t xml:space="preserve">47.50 </t>
  </si>
  <si>
    <t xml:space="preserve">37.60 </t>
  </si>
  <si>
    <t>NEJM Oct 17, 2025</t>
  </si>
  <si>
    <t>United States - Argentina - Australia - Brazil - Canada - Chile - China - Czech Republic - France - India - Japan - Peru - Philippines - Russian Federation - Slovakia - South Africa - South Korea - Taiwan - Thailand - United Kingdom - Vietnam</t>
  </si>
  <si>
    <t>A Phase III, Open-label, Randomized Study of Osimertinib With or Without Platinum Plus Pemetrexed Chemo, as First-line Treatment in Patients With Epidermal Growth Factor Receptor (EGFR) Mutation Positive, Locally Advanced or Metastatic Non-small Cell Lung Cancer (FLAURA2).</t>
  </si>
  <si>
    <t>Inclusion Criteria:1. Male or female, at least 18 years of age; patients from Japan at least 20 years of age.2. Pathologically confirmed non-squamous Non-Small Cell Lung Cancer (NSCLC). NSCLC of mixed histology is allowed.3. Newly diagnosed locally advanced (clinical stage IIIB, IIIC) or metastatic Non-Small Cell Lung Cancer (NSCLC) (clinical stage IVA or IVB) or recurrent Non-Small Cell Lung Cancer (NSCLC) not amenable to curative surgery or radiotherapy.4. The tumor harbors 1 of the 2 common epidermal growth factor receptor (EGFR) mutations known to be associated with Epidermal growth factor receptor tyrosine kinase inhibitors (EGFR-TKI) sensitivity (Ex19del or L858R), either alone or in combination with other epidermal growth factor receptor (EGFR) mutations, which may include T790M.5. Patients must have untreated advanced Non-Small Cell Lung Cancer (NSCLC) not amenable to curative surgery or radiotherapy.6. WHO PS of 0 to 1 at screening with no clinically significant deterioration in the previous 2 weeks.7. Life expectancy \&gt;12 weeks at Day 1.8. Willing to use contraception as appropriate during the study and for a period of time after discontinuing study treatment.Exclusion Criteria:1. Spinal cord compression; and unstable brain metastases, with stable brain metastases who have completed definitive therapy, are not on steroids, and have a stable neurological status for at least 2 weeks after completion of the definitive therapy and steroids can be enrolled. Patients with asymptomatic brain metastases can be eligible for inclusion if in the opinion of the Investigator immediate definitive treatment is not indicated2. Past medical history of Interstitial Lung Disease (ILD), drug-induced Interstitial Lung Disease, radiation pneumonitis that required steroid treatment, or any evidence of clinically active Interstitial Lung Disease.3. Any evidence of severe or uncontrolled systemic diseases, including uncontrolled hypertension and active bleeding diatheses, which in the Investigator's opinion makes it undesirable for the patient to participate in the trial or which would jeopardize compliance with the protocol, or active infection including Hep. B, Hep. C and HIV. Screening for chronic conditions is not required. Active infection will include any patients receiving treatment for infection.4. QT prolongation or any clinically important abnormalities in rhythm.5. Inadequate bone marrow reserve or organ function as demonstrated by any of the following laboratory values:* Absolute neutrophil count below the lower limit of normal (\5 x ULN in the presence of liver metastases* AST \&gt;2.5 x ULN if no demonstrable liver metastases or \&gt;5 x ULN in the presence of liver metastases* Total bilirubin \&gt;1.5 x ULN if no liver metastases or \&gt;3 x ULN in the presence of documented Gilbert's Syndrome (unconjugated hyperbilirubinemia) or liver metastases* Creatinine clearance \</t>
  </si>
  <si>
    <t>EGFR, EGFR Exon 19-del, EGFR L858R</t>
  </si>
  <si>
    <t>EGFR Exon 19-del, EGFR L858R, EGFR T790M, ctDNA/cfDNA, c-MET/MET, HER2, TP53, EGFR C797S, BRAF, BRAF V600E, CDK4/6, PIK3CA, RET, ALK, Cyclin D, Cyclin E, KRAS, RB1</t>
  </si>
  <si>
    <t>Amivantamab</t>
  </si>
  <si>
    <t>Rybrevant</t>
  </si>
  <si>
    <t>Janssen</t>
  </si>
  <si>
    <t>NCT04538664</t>
  </si>
  <si>
    <t>2020-000633-40, CTRI/2020/11/029081, 2023-506033-29-00, CTR20202633, jRCT2051200087</t>
  </si>
  <si>
    <t>Anti-EGFR/c-MET bispecific monoclonal antibody</t>
  </si>
  <si>
    <t>c-MET/MET, EGFR, ERBB, HER1, NA, TS, TYMS</t>
  </si>
  <si>
    <t>Carboplatin, Pemetrexed</t>
  </si>
  <si>
    <t>Bi-specific antibody</t>
  </si>
  <si>
    <t>PAPILLON</t>
  </si>
  <si>
    <t>Chemotherapy alone</t>
  </si>
  <si>
    <t xml:space="preserve">11.4  vs 6.7 </t>
  </si>
  <si>
    <t xml:space="preserve">6.7 </t>
  </si>
  <si>
    <t xml:space="preserve">24.40 </t>
  </si>
  <si>
    <t>United States - Australia - Belgium - Brazil - Canada - China - France - Germany - Hungary - India - Israel - Italy - Japan - Malaysia - Mexico - Poland - Portugal - Puerto Rico - Russian Federation - South Korea - Spain - Taiwan - Thailand - Turkey - Ukraine - United Kingdom</t>
  </si>
  <si>
    <t>A Randomized, Open-label Phase 3 Study of Combination Amivantamab and Carboplatin-Pemetrexed Therapy, Compared With Carboplatin-Pemetrexed, in Patients With EGFR Exon 20ins Mutated Locally Advanced or Metastatic Non-Small Cell Lung Cancer</t>
  </si>
  <si>
    <t>Inclusion Criteria:* Participant must have histologically or cytologically confirmed, locally advanced or metastatic, nonsquamous non-small cell lung cancer (NSCLC) with documented primary epidermal growth factor receptor (EGFR) Exon 20ins activating mutation* Participant must have measurable disease according to Response Evaluation Criteria in Solid Tumors (RECIST) v1.1.* Participant must have Eastern Cooperative Oncology Group (ECOG) performance status 0 or 1* Participant must agree to genetic characterization of tumor status through the required pretreatment tumor biopsy (or submission of equivalent archival material), as well as baseline and periodic blood samples for analysis of tumor mutations in the bloodstream* A female participant of childbearing potential must have a negative serum or urine test at screening and within 72 hours of the first dose of study treatment and must agree to further serum or urine pregnancy tests during the studyExclusion Criteria:* Participant has evidence of synchronous NSCLC disease (as suggested by genetic characterization or radiographic appearance)* Participant has untreated brain metastases (a participant with definitively, locally treated metastases who is clinically stable, asymptomatic, and off corticosteroid treatment for at least 2 weeks prior to randomization is eligible)* Participant has history of spinal cord compression that has not been treated definitively with surgery or radiation* Participant has a medical history of interstitial lung disease (ILD), including drug-induced ILD, or radiation pneumonitis* Participant has a contraindication to the use of carboplatin or pemetrexed (refer to local prescribing information for each agent). Participant has a history of hypersensitivity to, or cannot take, vitamin B12 or folic acid</t>
  </si>
  <si>
    <t>EGFR Exon 20-ins</t>
  </si>
  <si>
    <t>ctDNA/cfDNA, c-MET/MET, EGFR, TP53</t>
  </si>
  <si>
    <t>NCT04487080</t>
  </si>
  <si>
    <t>JapicCTI-205432, 2023-506576-27-00, CTR20202472, jRCT2080225336</t>
  </si>
  <si>
    <t>c-MET/MET, EGFR, EGFR L858R, EGFR T790M, ERBB, HER1</t>
  </si>
  <si>
    <t>Lazertinib</t>
  </si>
  <si>
    <t>MARIPOSA</t>
  </si>
  <si>
    <t xml:space="preserve">80.0%  vs 77.0% </t>
  </si>
  <si>
    <t xml:space="preserve">80.0% </t>
  </si>
  <si>
    <t>EU label Jan 21, 2025</t>
  </si>
  <si>
    <t xml:space="preserve">23.70 </t>
  </si>
  <si>
    <t xml:space="preserve">NR  vs 36.70 </t>
  </si>
  <si>
    <t xml:space="preserve">36.70 </t>
  </si>
  <si>
    <t>NEJM Sep 6, 2025</t>
  </si>
  <si>
    <t>United States - Argentina - Australia - Belgium - Brazil - Canada - China - France - Germany - Hungary - India - Ireland - Israel - Italy - Japan - Malaysia - Mexico - Netherlands - Poland - Portugal - Puerto Rico - Russian Federation - South Korea - Spain - Taiwan - Thailand - Turkey - Ukraine - United Kingdom</t>
  </si>
  <si>
    <t>A Phase 3, Randomized Study of Amivantamab and Lazertinib Combination Therapy Versus Osimertinib Versus Lazertinib as First-Line Treatment in Patients With EGFR-Mutated Locally Advanced or Metastatic Non-Small Cell Lung Cancer.</t>
  </si>
  <si>
    <t>Inclusion Criteria:* Participant must have newly diagnosed histologically or cytologically confirmed, locally advanced or metastatic non-small cell lung cancer (NSCLC) that is treatment naive and not amenable to curative therapy including surgical resection or chemoradiation* The tumor harbors exon 19 deletions (Exon 19del) or Exon 21 L858R substitution, as detected by an food and drug administration (FDA)-approved or other validated test in a clinical laboratory improvement amendments (CLIA) certified laboratory (sites in the United states \[US\]) or an accredited local laboratory (sites outside of the US) in accordance with site standard of care* Mandatory submission of unstained tissue from tumor (in a quantity sufficient to allow for central analysis of EGFR mutation status and blood (for circulating tumor deoxyribonucleic acid \[ctDNA\], digital droplet polymerase chain reaction \[ddPCR\], and pharmacogenomic analysis)* Any toxicities from prior anticancer therapy must have resolved to common terminology criteria for adverse events (CTCAE) Grade 1 or baseline level* Participant must have at least 1 measurable lesion, according to response evaluation criteria in solid tumors (RECIST) v1.1 that has not been previously irradiated. Measurable lesions should not have been biopsied during screening, but if only 1 non-irradiated measurable lesion exists, it may undergo a diagnostic biopsy and be acceptable as a target lesion, provided the baseline tumor assessment scans are performed at least 14 days after the biopsyExclusion Criteria:* Participant has received any prior systemic treatment at any time for locally advanced Stage III or metastatic Stage IV disease (adjuvant or neoadjuvant therapy for Stage I or II disease is allowed, if administered more than 12 months prior to the development of locally advanced or metastatic disease)* Participant has an active or past medical history of leptomeningeal disease* Participant with untreated spinal cord compression. A participant that has been definitively treated with surgery or radiation and has a stable neurological status for at least 2 weeks prior to randomization is eligible provided they are off corticosteroid treatment or receiving low-dose corticosteroid treatment less than or equal to (\</t>
  </si>
  <si>
    <t>ctDNA/cfDNA, TP53, c-MET/MET, PIK3CA, APC, ATM, BRAF, BRCA2, CCNE1, CTNNB1, GNAS, KRAS, RB1, SMAD4, EGFR C797S, EGFR G724X, EGFR L718X, HER2, RAF, RAS, RTK</t>
  </si>
  <si>
    <t>Stage III,Stage IIIA,Stage IIIB,Stage IIIC</t>
  </si>
  <si>
    <t>NCT03521154</t>
  </si>
  <si>
    <t>2018-001061-16, CTRI/2018/10/016042,  PER-030-19, JapicCTI-184158, 2022-500860-36-00, CTR20190036, jRCT2080224097</t>
  </si>
  <si>
    <t>LAURA</t>
  </si>
  <si>
    <t xml:space="preserve">39.10 </t>
  </si>
  <si>
    <t>US label Sep 25, 2024</t>
  </si>
  <si>
    <t>84.00%  at 36 months</t>
  </si>
  <si>
    <t>NEJM Jun 2, 2024</t>
  </si>
  <si>
    <t>United States - Argentina - Brazil - China - France - Hungary - India - Japan - Malaysia - Mexico - Peru - Russian Federation - South Korea - Spain - Taiwan - Thailand - Turkey - Vietnam</t>
  </si>
  <si>
    <t>A Phase III, Randomized, Double-blind, Placebo-controlled, Multicenter, International Study of Osimertinib as Maintenance Therapy in Patients With Locally Advanced, Unresectable EGFR Mutation-positive Non-Small Cell Lung Cancer (Stage III) Whose Disease Has Not Progressed Following Definitive Platinum-based Chemoradiation Therapy (LAURA).</t>
  </si>
  <si>
    <t>Inclusion Criteria1. Male or female aged at least 18 years.2. Patients with histologically documented NSCLC of predominantly non-squamous Pathology who present with locally advanced, unresectable (Stage III) disease (according to Version 8 of the International Association for the Study of Lung Cancer \[IASLC\] Staging Manual in Thoracic Oncology).3. The tumor harbours one of the two common EGFR mutations known to be associated with EGFR-TKI sensitivity (Ex19del, L858R), either alone or in combination with other EGFR mutations, assessed by cobas® EGFR Mutation Test v2 (Roche Diagnostics) or FoundationOne® test in a CLIA certified (USA sites) or an accredited local laboratory (sites outside of the USA) or by central testing (cobas® v2 only).4. Patients must have received either concurrent chemoradiation or sequential chemoradiation including at least 2 cycles of platinum based chemotherapy and a total dose of radiation of 60 Gy ±10% (54 to 66 Gy).5. Chemoradiation must be completed ≤6 weeks prior to randomization.6. Patients must not have had disease progression during or following definitive platinum-based, chemoradiation therapy.7. World Health Organization (WHO) performance status of 0 or 1.8. Life expectancy \&gt;12 weeks at Day 1.9. Female patients who are not abstinent (in line with the preferred and usual lifestyle choice) must be using adequate contraceptive measures, must not be breast feeding, and must have a negative pregnancy test prior to first dose of study drug; or female patients must have an evidence of non-childbearing potential.Exclusion Criteria1. Mixed small cell and non-small cell lung cancer histology2. History of interstitial lung disease (ILD) prior to chemoradiation3. Symptomatic pneumonitis following chemoradiation4. Any unresolved toxicity Common Terminology Criteria for Adverse Events (CTCAE) \&gt; Grade 2 from the prior chemoradiation therapy5. Any of the following cardiac criteria:* Mean resting corrected QT interval (QTc) \&gt;470 msec, obtained from 3 ECGs* Any clinically important abnormalities in rhythm, conduction, or morphology of resting ECG* Patient with any factors that increase the risk of QTc prolongation or risk of arrhythmic events such as heart failure, hypokalaemia, congenital long QT syndrome, family history of long QT syndrome, or unexplained sudden death under 40 years of age in first-degree relatives or any concomitant medication known to prolong the QT interval and cause Torsades de Pointes6. Inadequate bone marrow reserve or organ function7. History of other malignancies, except: adequately treated non-melanoma skin cancer or lentigo maligna , curatively treated in-situ cancer, or other solid tumors curatively treated with no evidence of disease for \&gt; 5 years following the end of treatment and which, in the opinion of the treating physician, do not have a substantial risk of recurrence of the prior malignancy.8. Any evidence of severe or uncontrolled systemic diseases, including uncontrolled hypertension and active bleeding diatheses; or active infection including hepatitis B, hepatitis C and human immunodeficiency virus (HIV).9. Refractory nausea and vomiting, chronic gastrointestinal diseases, inability to swallow the formulated product, or previous significant bowel resection that would preclude adequate absorption of osimertinib10. Prior treatment with any prior chemotherapy, radiation therapy, immunotherapy or investigational agents for NSCLC outside of that received in the definitive setting for Stage III disease (chemotherapy and radiotherapy in SCRT and CCRT regimens is allowed for treatment of Stage III disease).11. Prior treatment with EGFR-TKI therapy12. Major surgery as defined by the investigator within 4 weeks of the first dose of study drug.13. Patients currently receiving (unable to stop use prior to receiving the first dose of study treatment) medications or herbal supplements known to be strong inducers of CYP3A4 (at least 3 weeks prior to receiving the first dose of study drug).14. Contraindication to MRI, including but not limited to, claustrophobia, pace makers, metal implants, intracranial surgical clips and metal foreign bodies</t>
  </si>
  <si>
    <t>EGFR Exon 19-del, EGFR L858R, ctDNA/cfDNA, c-MET/MET, HER2, EGFR C797S, EGFR T790M, MRD</t>
  </si>
  <si>
    <t>Pembrolizumab / Hyaluronidase</t>
  </si>
  <si>
    <t>Keytruda SC</t>
  </si>
  <si>
    <t>Keytruda Qlex</t>
  </si>
  <si>
    <t>NCT05722015</t>
  </si>
  <si>
    <t>2024-513165-39-00, CTR20231113, jRCT2031230049</t>
  </si>
  <si>
    <t>CD279, Microtubule, NA, PD-1, TS, TYMS</t>
  </si>
  <si>
    <t>Pemetrexed, Cisplatin, Carboplatin, Paclitaxel, Nab-Paclitaxel</t>
  </si>
  <si>
    <t>Keynote-D77</t>
  </si>
  <si>
    <t>Pembrolizumab IV + Platinum doublet chemotherapy</t>
  </si>
  <si>
    <t xml:space="preserve">45.0%  vs 42.0% </t>
  </si>
  <si>
    <t>US label Sep 19, 2025</t>
  </si>
  <si>
    <t>Annals of Oncology Mar 27, 2025</t>
  </si>
  <si>
    <t>United States - Argentina - Brazil - Chile - China - France - Guatemala - Hungary - Japan - Poland - Romania - South Africa - Spain - Taiwan - Thailand - Turkey</t>
  </si>
  <si>
    <t>A Phase 3 Randomized, Open-label Clinical Study to Evaluate the Pharmacokinetics and Safety of Subcutaneous Pembrolizumab Coformulated With Hyaluronidase (MK-3475A) Versus Intravenous Pembrolizumab, Administered With Chemotherapy, in the First-line Treatment of Participants With Metastatic Non-small Cell Lung Cancer</t>
  </si>
  <si>
    <t>The key inclusion and exclusion criteria include but are not limited to the following:Inclusion Criteria:* Has histologically or cytologically confirmed diagnosis of squamous or non-squamous Non-small Cell Lung Cancer (NSCLC)* Must provide archival tumor tissue sample or newly obtained core, incisional, or excisional biopsy of a tumor lesion not previously irradiated* Has a life expectancy of at least 3 monthsExclusion Criteria:* Has a diagnosis of small cell lung cancer or, for mixed tumors, presence of small cell elements* Has received prior systemic anticancer therapy for metastatic NSCLC* Has received prior systemic anticancer therapy including investigational agents within 4 weeks before randomization* Has received prior radiotherapy within 2 weeks of start of study intervention or has radiation-related toxicity requiring corticosteroids* Has received radiation therapy to the lung (\&gt;30 Gray) within 6 months of start of study intervention* Has received a live or live-attenuated vaccine within 30 days before the first dose of study intervention* Has a diagnosis of immunodeficiency or is receiving chronic systemic steroid therapy* Has a known additional malignancy that is progressing or has required active treatment within the past 3 years* Has an active autoimmune disease that has required systemic treatment in past 2 years* Has an active infection requiring systemic therapy* Has a history of human immunodeficiency virus (HIV) infection* Has a history of Hepatitis B or C* Has not adequately recovered from major surgery or has ongoing surgical complications* Has a history of allogenic tissue/solid organ transplant</t>
  </si>
  <si>
    <t>ALK, EGFR Exon 19-del, EGFR L858R, ROS1, EGFR</t>
  </si>
  <si>
    <t>Retifanlimab</t>
  </si>
  <si>
    <t>Zynyz</t>
  </si>
  <si>
    <t>Incyte</t>
  </si>
  <si>
    <t>NCT04205812</t>
  </si>
  <si>
    <t>2022-501987-16-00, CTR20200941</t>
  </si>
  <si>
    <t>POD1UM-304</t>
  </si>
  <si>
    <t xml:space="preserve">52.0%  vs 39.0% </t>
  </si>
  <si>
    <t xml:space="preserve">52.0% </t>
  </si>
  <si>
    <t>Clinical Trials Feb 6, 2025</t>
  </si>
  <si>
    <t xml:space="preserve">18.10  vs 13.40 </t>
  </si>
  <si>
    <t xml:space="preserve">18.10 </t>
  </si>
  <si>
    <t>United States - Brazil - Bulgaria - China - Czech Republic - Georgia - Hungary - Malaysia - Philippines - Poland - Romania - Russian Federation - Serbia - South Africa - Turkey - Ukraine - Vietnam</t>
  </si>
  <si>
    <t>A Randomized, Double Blind, Phase 3 Study of Platinum-Based Chemotherapy With or Without INCMGA00012 in First-Line Metastatic Squamous and Nonsquamous Non-Small Cell Lung Cancer (POD1UM-304)</t>
  </si>
  <si>
    <t>Inclusion Criteria:* Histologically or cytologically confirmed NSCLC (either nonsquamous or squamous) that is Stage IV (AJCC v8).* No prior systemic treatment for the advanced/metastatic NSCLC* Able to provide a formalin-fixed archival tumor tissue sample during screening, or a fresh tumor biopsy* Measurable disease per RECIST v1.1.* Eastern Cooperative Oncology Group (ECOG) performance status of 0 or 1.* Life expectancy of at least 3 months.* Willingness to avoid pregnancy or fathering children.* Adequate organ function as indicated by protocol-specified laboratory values. - Has been fully vaccinated against SARS-CoV-2 or is willing and able to be fully vaccinated against SARS-CoV-2 during the study by starting the vaccination process during screening.Exclusion Criteria:* Clinically significant cardiac disease within 6 months of start of study treatment.* Any major surgery within 3 weeks of the first dose of study treatment.* Thoracic radiation therapy of \&gt; 30 Gy within 6 months of the first dose of study treatment.* History of peripheral neuropathy ≥ Grade 2 CTCAE v5 for participants who may receive cisplatin, paclitaxel, or nab-paclitaxel.* Untreated central nervous system metastases and/or carcinomatous meningitis.* Evidence or history of interstitial lung disease or noninfectious pneumonitis that required systemic steroids.* Active infection requiring systemic therapy or active tuberculosis. Note:: If required by country or local regulations to be tested for COVID-19 during screening, a participant should be excluded if they have a positive test result for SARS CoV-2 infection until both the retesting result is negative and clinical recovery is obtained.* Superficial bladder cancer, squamous cell carcinoma of the skin, in situ cervical cancer, or other in situ cancers.* Has contraindications to chemotherapy agents used in the study.* Has an active autoimmune disease that has required systemic treatment in past 2 years.* Is receiving systemic antibiotics or steroid therapy ≤ 7 days prior to the first dose of study treatment.* Has received a live vaccine within 30 days before the first dose of study treatment (and until 90 days after last dose of study drug).Note:: While based on approved SARS-CoV-2 vaccines available worldwide, many vaccines are not live (mRNA and adenovirus vaccines do not contain live virus), if a live vaccine against SARS-CoV-2 is the only available option, prior consultation with the medical monitor should be obtained.• Has known active HBV or HCV (testing must be performed to determine eligibility)</t>
  </si>
  <si>
    <t>EGFR, ALK, BRAF, ROS1</t>
  </si>
  <si>
    <t>Sunvozertinib</t>
  </si>
  <si>
    <t>DZD9008</t>
  </si>
  <si>
    <t>Zegfrovy</t>
  </si>
  <si>
    <t>Dizal Pharmaceuticals</t>
  </si>
  <si>
    <t>NCT05668988</t>
  </si>
  <si>
    <t>2022-502959-54-00, CTR20223235</t>
  </si>
  <si>
    <t>EGFR/HER2 inhibitor</t>
  </si>
  <si>
    <t>EGFR, EGFR Exon 20, ERBB, HER2, HER2 Exon 20</t>
  </si>
  <si>
    <t>WU-KONG28</t>
  </si>
  <si>
    <t>Pemetrexed + carboplatin</t>
  </si>
  <si>
    <t>United States - Argentina - Australia - Austria - Belgium - Brazil - Canada - China - Czech Republic - France - Germany - Italy - Netherlands - Poland - Spain - Turkey</t>
  </si>
  <si>
    <t>A Phase 3, Open-Label, Randomized, Multi-Center Study of DZD9008 Versus Platinum-Based Doublet Chemotherapy as First-Line Treatment for Patients With Locally Advanced or Metastatic Non-Small Cell Lung Cancer Harboring Epidermal Growth Factor Receptor Exon 20 Insertion Mutation</t>
  </si>
  <si>
    <t>Inclusion Criteria:1. Aged at least 18 years old (or per local regulatory/IRB requirement).2. Histologically or cytologically confirmed diagnosis of non-squamous NSCLC, locally advanced (Stage IIIB and IIIC according to the 8th edition of the AJCC TNM staging criteria) or metastatic (Stage IV), not suitable for curative therapy.3. Adequate tumor tissue available, for central laboratory confirmation of EGFR exon 20 insertion mutation4. At least 1 measurable lesion per RECIST Version 1.15. Life expectancy ≥ 12 weeks6. Eastern Cooperative Oncology Group (ECOG) performance status of 0 to 17. Adequate organ and hematologic functionExclusion Criteria:1. Prior treatment with any systemic anti-cancer therapy for locally advanced or metastatic NSCLC.2. Spinal cord compression or leptomeningeal metastasis.3. Concurrent EGFR mutations: exon 19 deletion, L858R, T790M, G719X, S768I, or L861Q.4. History of stroke or intracranial hemorrhage within 6 months before randomization.5. As judged by the investigator, any evidence of severe or uncontrolled systemic diseases, including uncontrolled hypertension and active bleeding diatheses (i.e., hemophilia and Von Willebrand disease).</t>
  </si>
  <si>
    <t>EGFR Exon 19-del, EGFR L858R, EGFR T790M, EGFR G719X, EGFR S768I, EGFR L861Q</t>
  </si>
  <si>
    <t>Vasforda</t>
  </si>
  <si>
    <t>HD204</t>
  </si>
  <si>
    <t>Prestige Biopharma</t>
  </si>
  <si>
    <t>NCT03390686</t>
  </si>
  <si>
    <t>2017-005175-78, CTRI/2019/09/021090</t>
  </si>
  <si>
    <t>F</t>
  </si>
  <si>
    <t>SAMSON-II</t>
  </si>
  <si>
    <t>Bevacizumab + chemotherapy</t>
  </si>
  <si>
    <t>Belarus - Bulgaria - Croatia - Georgia - Greece - Hungary - India - Latvia - Malaysia - Philippines - Poland - Russian Federation - Serbia - Slovakia - Thailand - Turkey - Ukraine</t>
  </si>
  <si>
    <t>A Randomised, Double-blind, Parallel Group, Equivalence, Multicentre Phase III Trial to Compare the Efficacy, Safety, Pharmacokinetics and Immunogenicity of HD204 to Avastin® in Patients with Metastatic or Recurrent Non-squamous Non-small Cell Lung Cancer</t>
  </si>
  <si>
    <t>Inclusion Criteria:* Aged ≥ 18 years* ECOG performance status of 0-1* Histologically-confirmed metastatic or recurrent non-squamous non-small cell lung cancer* At least one measurable lesion according to RECIST v1.1.* Able to receive bevacizumab, carboplatin and paclitaxel based on adequate laboratory and clinical parametersExclusion Criteria:* Diagnosis of small cell carcinoma of the lung or squamous cell carcinoma* Sensitizing EGFR mutations or ALK rearrangements* Increased risk of bleeding determined by investigator based on radiographic / clinical findings* History of systemic chemotherapy administered in the first-line setting for metastatic or recurrent disease of NSCLC.</t>
  </si>
  <si>
    <t>Trastuzumab deruxtecan</t>
  </si>
  <si>
    <t>Enhertu</t>
  </si>
  <si>
    <t>Daiichi Sankyo</t>
  </si>
  <si>
    <t>NCT05048797</t>
  </si>
  <si>
    <t>CTRI/2022/02/040116, 2023-503674-20-00, CTR20213132, jRCT2011210058</t>
  </si>
  <si>
    <t>Anti-HER-2 ADC monoclonal antibody</t>
  </si>
  <si>
    <t>HER2, MLN19</t>
  </si>
  <si>
    <t>ADC - single payload</t>
  </si>
  <si>
    <t>DESTINY-Lung04</t>
  </si>
  <si>
    <t>Pembrolizumab + platinum (Cisplatin or Carboplatin) + Pemetrexed</t>
  </si>
  <si>
    <t>United States - Austria - Belgium - Brazil - Canada - China - Denmark - France - Germany - Hong Kong - India - Italy - Japan - Mexico - Netherlands - Poland - South Korea - Spain - Taiwan - Turkey</t>
  </si>
  <si>
    <t>An Open-label, Randomized, Multicenter, Phase 3 Study to Assess the Efficacy and Safety of Trastuzumab Deruxtecan as First-line Treatment of Unresectable, Locally Advanced, or Metastatic NSCLC Harboring HER2 Exon 19 or 20 Mutations (DESTINY-Lung04)</t>
  </si>
  <si>
    <t>Inclusion Criteria:* Participants at least 18 years of age* Locally advanced and unresectable NSCLC, not amenable to curative therapy, or metastatic disease* Histologically documented non-squamous NSCLC with HER2 mutation in exons 19 or 20 by tissue NGS or ctDNA* Treatment-naïve for palliative intent systemic therapy for locally advanced or metastatic disease* Left ventricular ejection fraction (LVEF) ≥ 50%* Measurable disease assessed by Investigator based on RECIST 1.1* Protocol-defined adequate organ function including cardiac, renal, hepatic function* ECOG 0-1* Having tumour tissue available for central testingExclusion Criteria:* Tumors with targetable alterations to EGFR (or other targetable mutations including but not limited to ALK, if routinely tested as a targetable alteration with approved available therapy)* Any untreated brain metastases, including asymptomatic or clinically inactive brain metastases* Active autoimmune or inflammatory disorders* Medical history of myocardial infarction within 6 months prior to randomization* History of non-infectious pneumonitis/ILD, current or suspected ILD* Lung-specific intercurrent clinical significant severe illness* Contraindication to platinum-based doublet chemotherapy or pembrolizumab</t>
  </si>
  <si>
    <t>HER2 Exon 20, HER2 Exon 19, ctDNA/cfDNA, HER2 mut</t>
  </si>
  <si>
    <t>PD-L1, HER2 Amp</t>
  </si>
  <si>
    <t>DXd</t>
  </si>
  <si>
    <t>Camptothecin</t>
  </si>
  <si>
    <t>Topoisomerase 1 Inhibitor</t>
  </si>
  <si>
    <t>Topoisomerase Inhibitors</t>
  </si>
  <si>
    <t>cleavable</t>
  </si>
  <si>
    <t>Gly-Gly-Phe-Gly (GGFG)</t>
  </si>
  <si>
    <t>Cathepsin</t>
  </si>
  <si>
    <t>yes</t>
  </si>
  <si>
    <t>Reduced Inter-chain Disulfide Bonds</t>
  </si>
  <si>
    <t>Entrectinib</t>
  </si>
  <si>
    <t>Rozlytrek</t>
  </si>
  <si>
    <t>NCT04603807</t>
  </si>
  <si>
    <t>2019-003859-11, CTRI/2022/04/041861, 2023-507494-18-00, CTR20211054</t>
  </si>
  <si>
    <t>NTRK, ROS1, ALK inhibitor</t>
  </si>
  <si>
    <t>ALK, NTRK, ROS, ROS1</t>
  </si>
  <si>
    <t>MO41552</t>
  </si>
  <si>
    <t>Brazil - China - Croatia - France - Germany - Greece - India - Italy - Jordan - Lebanon - Mexico - Netherlands - Romania - Slovakia - Spain - Sweden - Thailand - Turkey</t>
  </si>
  <si>
    <t>Randomized, Open Label, Multicenter, Phase III Study of Entrectinib Versus Crizotinib in Patients With Locally-Advanced or Metastatic Non-Small Cell Lung Cancer Harboring ROS1 Gene Rearrangements With and Without Central Nervous System Metastases</t>
  </si>
  <si>
    <t>Inclusion Criteria:* Histologically or cytologically-confirmed diagnosis of advanced or recurrent (Stage IIIB/C not amenable for radical treatment) or metastatic (Stage IV) NSCLC that harbors a documented ROS1 gene rearrangement.* No prior treatment with a ROS1 tyrosine kinase inhibitor, chemotherapy or other systemic therapy for advanced or recurrent (Stage IIIB/C not amenable for radical treatment) or metastatic (Stage IV) NSCLC* Prior radiotherapy is allowed if more than 14 days have elapsed between the end of treatment and randomization* Measurable systemic disease according to RECIST v1.1* Participants with measurable and non-measurable CNS lesions per RECIST v1.1, including leptomeningeal carcinomatosis* Life expectancy of at least 12 weeks* Eastern Cooperative Oncology Group (ECOG) performance status of 0, 1 or 2* Adequate hematologic, renal, liver functions* Participants must have recovered from effects of any major surgery or significant traumatic injury at least 28 days before the first dose of study treatment* Ability to swallow entrectinib and crizotinib intact without chewing, crushing, or opening the capsules* For women of childbearing potential: agreement to remain abstinent (refrain from heterosexual intercourse) or use contraceptive methods with a failure rate of \</t>
  </si>
  <si>
    <t>ROS1</t>
  </si>
  <si>
    <t>Ivonescimab</t>
  </si>
  <si>
    <t>AK112</t>
  </si>
  <si>
    <t>SMT112</t>
  </si>
  <si>
    <t>Summit Therapeutics</t>
  </si>
  <si>
    <t>NCT05899608</t>
  </si>
  <si>
    <t>2023-504989-37-00, CTR20232457, jRCT2031230688</t>
  </si>
  <si>
    <t>Anti-PD-1/VEGF bispecific monoclonal antibody</t>
  </si>
  <si>
    <t>CD279, PD-1, VEGF</t>
  </si>
  <si>
    <t>HARMONi-3/AK112-3003</t>
  </si>
  <si>
    <t>Pembrolizumab + chemotherapy</t>
  </si>
  <si>
    <t>Recruiting</t>
  </si>
  <si>
    <t>United States - Belgium - Canada - China - France - Germany - Greece - Ireland - Italy - Japan - Mexico - Poland - Serbia - Spain - Sweden - Turkey - United Kingdom</t>
  </si>
  <si>
    <t>A Randomized, Double-blind, Multiregional Phase 3 Study of Ivonescimab Combined With Chemotherapy Versus Pembrolizumab Combined With Chemotherapy for the First-line Treatment of Metastatic Non-small Cell Lung Cancer (HARMONi-3)</t>
  </si>
  <si>
    <t>Inclusion Criteria:* Age ≥ 18 years old at the time of enrollment* Eastern Cooperative Oncology Group (ECOG) performance status score of 0 or 1* Expected life expectancy ≥ 3 months* Metastatic (Stage IV) NSCLC* Histologically or cytologically confirmed squamous or non-squamous NSCLC* Recorded measurement of the Tumor Proportion Score (TPS) or Tumor Cells (TC) for PD-L1 expression, irrespective of the PD-L1 expression, prior to randomization* At least one measurable noncerebral lesion according to RECIST 1.1* No prior systemic treatment for metastatic NSCLCExclusion Criteria:* Histologic or cytopathologic evidence of the presence of small cell lung carcinoma* Known actionable genomic alterations (EGFR, ALK, ROS1, and BRAF V600E) or genes for which first-line approved therapies are available.* For non-squamous histology patients, actionable driver mutation testing results are required before randomization.* Has received any prior therapy for NSCLC in the metastatic setting* Tumor invasion, encasement of organs (e.g. pericardium, heart, trachea, esophagus, central bronchi), or major blood vessels (e.g aorta, central veins), if poses a significant increased risk of bleeding.</t>
  </si>
  <si>
    <t>ALK, BRAF V600E, c-MET/MET Exon 14, EGFR, NTRK1, NTRK2, NTRK3, RET, ROS1</t>
  </si>
  <si>
    <t>PD-L1</t>
  </si>
  <si>
    <t>SB27</t>
  </si>
  <si>
    <t>Samsung Bioepis</t>
  </si>
  <si>
    <t>NCT06348199</t>
  </si>
  <si>
    <t>2023-507448-36-00, CTRI/2024/02/062974, 2023-507448-36-00, jRCT2061230106</t>
  </si>
  <si>
    <t>CD279, NA, PD-1, TS, TYMS</t>
  </si>
  <si>
    <t>Pemetrexed, Carboplatin</t>
  </si>
  <si>
    <t>SB27-3004</t>
  </si>
  <si>
    <t>Bosnia and Herzegovina - Brazil - Georgia - Germany - India - Japan - Malaysia - Mexico - Philippines - Romania - Serbia - Spain - Thailand - Turkey</t>
  </si>
  <si>
    <t>A Phase III Randomised, Double-blind, Multicentre Study to Compare the Efficacy, Safety, Pharmacokinetics, and Immunogenicity Between SB27 (Proposed Pembrolizumab Biosimilar) and Keytruda in Subjects With Metastatic Non-squamous Non-small Cell Lung Cancer</t>
  </si>
  <si>
    <t>Inclusion Criteria:* Male or female ≥ 18 years of age* Have been diagnosed with stage IV non-squamous NSCLC* Have not received any prior systemic anti-cancer therapy for metastatic NSCLC* Agree to use adequate methods of contraceptionExclusion Criteria:* Unable or unwilling to take folic acid and vitamin B12 supplementation* Severe hypersensitivity to treatment with another monoclonal antibody, any ingredient contained in SB27 or Keytruda, or any component of platinum-containing compounds or pemetrexed.</t>
  </si>
  <si>
    <t>ALK, EGFR, ROS1</t>
  </si>
  <si>
    <t>Sotorasib</t>
  </si>
  <si>
    <t>Lumykras</t>
  </si>
  <si>
    <t>Lumakras</t>
  </si>
  <si>
    <t>NCT05920356</t>
  </si>
  <si>
    <t>SNCTP000005699, 2022-501863-41-00, CTR20240724, jRCT2061230078</t>
  </si>
  <si>
    <t>KRAS G12C inhibitor</t>
  </si>
  <si>
    <t>KRAS G12C, NA, TS, TYMS</t>
  </si>
  <si>
    <t>CodeBreaK 202</t>
  </si>
  <si>
    <t>Pembrolizumab + Carboplatin + Pemetrexed</t>
  </si>
  <si>
    <t>United States - Argentina - Australia - Austria - Belgium - Brazil - Bulgaria - Canada - Chile - China - Colombia - Czech Republic - Denmark - France - Germany - Greece - Hong Kong - Hungary - Italy - Japan - Latvia - Malaysia - Mexico - Netherlands - Peru - Poland - Portugal - Romania - Singapore - South Korea - Spain - Sweden - Switzerland - Taiwan - Thailand - Turkey - United Kingdom</t>
  </si>
  <si>
    <t>A Phase 3, Multicenter, Randomized, Open-label Study Evaluating Efficacy of Sotorasib Platinum Doublet Combination Versus Pembrolizumab Platinum Doublet Combination as a Front-Line Therapy in Subjects With Stage IV or Advanced Stage IIIB/C Nonsquamous Non-Small Cell Lung Cancers, Negative for PD-L1, and Positive for KRAS p.G12C (CodeBreaK 202)</t>
  </si>
  <si>
    <t>Inclusion Criteria:* Histologically or cytologically confirmed diagnosis of nonsquamous stage IV or advanced Stage IIIB or IIIC NSCLC with KRAS p. G12C mutation and negative for PD-L1 expression by central testing or local laboratory testing confirmed through central testing* No history of systemic anticancer therapy in metastatic/non-curable settings* Eastern Cooperative Oncology Group (ECOG) ≤ 1Exclusion Criteria:* Mixed histology NSCLC with either small-cell or large-cell neuroendocrine cell component or predominant squamous cell histology* Participants with tumors known to harbor molecular alterations for which targeted therapy is locally approved as a front-line therapy* Symptomatic (treated or untreated) brain metastases* Gastrointestinal (GI) tract disease causing the inability to take oral medication* Myocardial infarction within 6 months of randomization, unstable arrhythmias, or unstable angina* Prior therapy with a KRAS G12C inhibitor</t>
  </si>
  <si>
    <t>KRAS G12C</t>
  </si>
  <si>
    <t>PD-L1 TC ≥ 1%, PD-L1 TPS ≥ 1%, ALK, EGFR</t>
  </si>
  <si>
    <t>ctDNA/cfDNA</t>
  </si>
  <si>
    <t>Firmonertinib</t>
  </si>
  <si>
    <t>Alflutinib</t>
  </si>
  <si>
    <t>Furmonertinib</t>
  </si>
  <si>
    <t>ArriVent Biopharma</t>
  </si>
  <si>
    <t>NCT05607550</t>
  </si>
  <si>
    <t>2022-002006-24, CTR20231409, jRCT2011230009</t>
  </si>
  <si>
    <t>FURVENT</t>
  </si>
  <si>
    <t>United States - Australia - Brazil - Canada - China - France - Israel - Italy - Japan - Malaysia - Mexico - Netherlands - Philippines - Singapore - South Korea - Spain - Taiwan - Thailand - United Kingdom</t>
  </si>
  <si>
    <t>A Global, Phase 3, Randomized, Multicenter, Open-Label Study to Investigate the Efficacy and Safety of Furmonertinib Compared to Platinum-Based Chemotherapy as First-Line Treatment for Patients With Locally Advanced or Metastatic Non-Small Cell Lung Cancer (NSCLC) With Epidermal Growth Factor Receptor (EGFR) Exon 20 Insertion Mutations (FURVENT)</t>
  </si>
  <si>
    <t>Key Inclusion Criteria:* Histologically or cytologically documented, locally advanced or metastatic non-squamous Non-Small Cell Lung Cancer (NSCLC) not amenable to curative surgery or radiotherapy.* Documented results of the presence of an Epidermal Growth Factor Receptor (EGFR) exon 20 insertion mutation in tumor tissue or blood from local or central testing.* No prior systemic anticancer therapy regimens received for locally advanced or metastatic Non-Small Cell Lung Cancer (NSCLC) including prior treatment with any Epidermal Growth Factor Receptor (EGFR)-targeting agents (e.g., previous (EGFR) TKIs, monoclonal antibodies, or bispecific antibodies).* Patients who have received prior neo-adjuvant and/or adjuvant chemotherapy, immunotherapy, or chemo radiotherapy for non-metastatic disease (excluding EGFR-TKIs) must have experienced a treatment free interval of at least 12 months.* Patients with a history of treated CNS metastases or new asymptomatic CNS metastases are eligible.</t>
  </si>
  <si>
    <t>EGFR Exon 20-ins, EGFR PACC</t>
  </si>
  <si>
    <t>Olaparib</t>
  </si>
  <si>
    <t>Lynparza</t>
  </si>
  <si>
    <t>Lung cancer</t>
  </si>
  <si>
    <t>NCT04380636</t>
  </si>
  <si>
    <t>2019-003237-41, PER-024-20, 2023-503591-25-00</t>
  </si>
  <si>
    <t>PARP inhibitor</t>
  </si>
  <si>
    <t>CD279, PARP, PD-1</t>
  </si>
  <si>
    <t>KEYLYNK-012</t>
  </si>
  <si>
    <t>Concurrent CRT followed by Durvalumab</t>
  </si>
  <si>
    <t>United States - Argentina - Canada - Chile - China - Czech Republic - Estonia - France - Germany - Hungary - Italy - Japan - Latvia - Lithuania - Mexico - Norway - Peru - Poland - Romania - Russian Federation - South Korea - Spain - Thailand - Turkey - Ukraine - United Kingdom</t>
  </si>
  <si>
    <t>A Phase 3 Study of Pembrolizumab (MK-3475) in Combination With Concurrent Chemoradiation Therapy Followed by Pembrolizumab With or Without Olaparib vs Concurrent Chemoradiation Therapy Followed by Durvalumab in Participants With Unresectable, Locally Advanced, Stage III Non-Small Cell Lung Cancer (NSCLC)</t>
  </si>
  <si>
    <t>Inclusion Criteria:* Has pathologically (histologically or cytologically) confirmed diagnosis of NSCLC* Has Stage IIIA, IIIB, or IIIC NSCLC by American Joint Committee on Cancer Version 8* Is unable to undergo surgery with curative intent for Stage III NSCLC* Has no evidence of metastatic disease indicating Stage IV NSCLC* Has measurable disease as defined by RECIST 1.1* Has not received prior treatment (chemotherapy, targeted therapy or radiotherapy) for Stage III NSCLC; participants who have received neoadjuvant and/or adjuvant therapy for early stage disease are not eligible* Has provided a tumor tissue sample (tissue biopsy \[core, incisional, or excisional\])* Has an Eastern Cooperative Oncology Group (ECOG) Performance Status of 0 or 1 assessed within 7 days prior to the first administration of study intervention* Has a life expectancy of at least 6 months* A male participant must agree to use contraception and refrain from donating sperm during the intervention period and for at least the time needed to eliminate each study intervention after the last dose of study intervention unless confirmed to be azoospermic (vasectomized or secondary to medical cause). The length of time required to continue contraception for each study intervention is as follows: Olaparib, platinum doublet, and radiotherapy: 90 days* A female participant is eligible to participate if she is not pregnant, not breastfeeding, and agrees to use contraception and refrain from donating eggs (ova, oocytes) to others or freeze/store for her own use for the purpose of reproduction during the treatment period and for at least the time needed to eliminate each study intervention after the last dose of study intervention and agrees to abstain from breastfeeding during the study intervention period and for at least 120 days after the last dose of study intervention. The length of time required to continue contraception for each study intervention is as follows: Pembrolizumab: 120 days; Olaparib, platinum doublet, and radiotherapy: 180 days* Has a negative highly sensitive pregnancy test (\[urine or serum\] as required by local regulations) within 24 hours for urine or within 72 hours for serum before the first dose of study intervention. If a urine test cannot be confirmed as negative (e.g., an ambiguous result), a serum pregnancy test is required. In such cases, the participant must be excluded from participation if the serum pregnancy result is positive.* Has had her medical history, menstrual history, and recent sexual activity reviewed by the investigator to decrease the risk for inclusion of a woman with an early undetected pregnancy.* Has adequate pulmonary function tests* Has adequate organ function* Has provided written informed consentExclusion Criteria:* Has small cell lung cancer or a mixed tumor with presence of small cell elements* Has myelodysplastic syndrome (MDS)/acute myeloid leukemia (AML) or has features suggestive of MDS/AML* Has had documented weight loss \&gt;10% (from baseline) in the preceding 3 months* Has received prior radiotherapy to the thorax, including radiotherapy to the esophagus, mediastinum, or for breast cancer* Has received prior therapy with an anti-programmed cell death 1 (ant-PD-1), anti-programmed cell death ligand 1 (anti-PD-L1), or anti- programmed cell death ligand 2 (anti-PD-L2) agent or with an agent directed to another stimulatory or co-inhibitory T-cell receptor* Has received prior therapy with olaparib or with any other polyadenosine 5'diphosphoribose (polyADP ribose) polymerization (PARP) inhibitor* Has had major surgery \</t>
  </si>
  <si>
    <t>Oleclumab</t>
  </si>
  <si>
    <t>MEDI9447</t>
  </si>
  <si>
    <t>NCT05221840</t>
  </si>
  <si>
    <t>2021-004346-37, 2023-503999-24-00, CTR20221538, jRCT2021210072</t>
  </si>
  <si>
    <t>Anti-CD73 monoclonal antibody</t>
  </si>
  <si>
    <t>B7-H1, CD274, CD73, PD-L1</t>
  </si>
  <si>
    <t>PACIFIC-9</t>
  </si>
  <si>
    <t>Durvalumab + Placebo</t>
  </si>
  <si>
    <t>United States - Australia - Brazil - Canada - China - Colombia - France - Germany - Italy - Japan - Peru - Poland - Portugal - South Korea - Spain - Taiwan - Thailand - Turkey - United Kingdom - Vietnam</t>
  </si>
  <si>
    <t>A Phase III, Double-blind, Placebo-controlled, Randomised, Multicentre, International Study of Durvalumab Plus Oleclumab and Durvalumab Plus Monalizumab in Patients With Locally Advanced (Stage III), Unresectable Non-small Cell Lung Cancer (NSCLC) Who Have Not Progressed Following Definitive, Platinum-Based Concurrent Chemoradiation Therapy</t>
  </si>
  <si>
    <t>INCLUSION CRITERIA:* Participant must be ≥ 18 years at the time of screening.* Histologically- or cytologically-documented NSCLC and have been treated with concurrent CRT for locally advanced, unresectable (Stage III) disease* Provision of a tumour tissue sample obtained prior to CRT* Documented tumour PD-L1 status by central lab* Documented EGFR and ALK wild-type status (local or central).* Patients must not have progressed following definitive, platinum based, concurrent chemoradiotherapy* Participants must have received at least 2 cycles of platinum-based chemotherapy concurrent with radiation therapy* Participants must have received a total dose of radiation of 60 Gy ±10% (54 Gy to 66 Gy) as part of the chemoradiation therapy, to be randomised. Radiation therapy should be administered by intensity modulated RT (preferred) or 3D-conforming technique.* WHO performance status of 0 or 1 at randomization* Adequate organ and marrow functionEXCLUSION CRITERIA:* History of another primary malignancy except for malignancy treated with curative intent with no known active disease ≥5 years before the first dose of study intervention and of low potential risk for recurrence, adequately resected non-melanoma skin cancer and curatively treated in situ disease, or adequately treated carcinoma in situ or Ta tumours without evidence of disease.* Mixed small cell and non-small cell lung cancer histology.* Participants who receive sequential (not inclusive of induction) chemoradiation therapy for locally advanced (Stage III) unresectable NSCLC.* Participants with locally advanced (Stage III) unresectable NSCLC who have progressed during platinum-based cCRT.* Any unresolved toxicity CTCAE \&gt;Grade 2 from the prior chemoradiation therapy (excluding alopecia).* Participants with ≥grade 2 pneumonitis from prior chemoradiation therapy.* History of idiopathic pulmonary fibrosis, drug-induced pneumonitis, or idiopathic pneumonitis - regardless of time of onset prior to randomisation. Evidence of active non-CRT induced pneumonitis (≥ Grade 2), active pneumonia, active ILD, active or recently treated pleural effusion, or current pulmonary fibrosis - diagnosed in the past 6 months prior to randomization.* Active or prior documented autoimmune or inflammatory disorders (with exceptions)* Current or prior use of immunosuppressive medication within 14 days before the first dose of durvalumab.</t>
  </si>
  <si>
    <t>Monalizumab</t>
  </si>
  <si>
    <t>IPH2201</t>
  </si>
  <si>
    <t>2021-004346-37, 2023-503999-24-00, CTR20221537, jRCT2021210072</t>
  </si>
  <si>
    <t>Anti-NKG2A monoclonal antibody</t>
  </si>
  <si>
    <t>B7-H1, CD274, KLRC1, NKG2A, PD-L1</t>
  </si>
  <si>
    <t>Zipalertinib</t>
  </si>
  <si>
    <t>CLN-081</t>
  </si>
  <si>
    <t>TAS6417</t>
  </si>
  <si>
    <t>Taiho Oncology</t>
  </si>
  <si>
    <t>Cullinan Therapeutics</t>
  </si>
  <si>
    <t>NCT05973773</t>
  </si>
  <si>
    <t>MOH_2023-12-05_013092, 2023-503575-21-00, CTR20240690, jRCT2061230058</t>
  </si>
  <si>
    <t>EGFR, EGFR Exon 20, ERBB, HER1, NA, TS, TYMS</t>
  </si>
  <si>
    <t>REZILIENT3</t>
  </si>
  <si>
    <t>United States - Belgium - Brazil - Canada - Chile - China - France - Germany - Greece - Israel - Italy - Japan - Mexico - Netherlands - Philippines - Poland - Romania - Singapore - South Korea - Spain - Thailand - Turkey - United Kingdom</t>
  </si>
  <si>
    <t>Randomized, Controlled, Open-label, Phase 3, Global Multi - Center Trial to Assess the Efficacy and Safety of Zipalertinib Plus Chemotherapy Versus Chemotherapy Alone, in Patients With Previously Untreated, Locally Advanced or Metastatic Nonsquamous Non-Small Cell Lung Cancer (NSCLC) With Epidermal Growth Factor Receptor (EGFR) Exon 20 Insertion (ex20ins) Mutations</t>
  </si>
  <si>
    <t>Inclusion-1. Provide written informed consent.2. ≥18 years of age (or meets the country's regulatory definition for legal adult age, whichever is greater).3. Pathologically confirmed, locally advanced or metastatic nonsquamous NSCLC4. Has not received any prior systemic treatment for their locally advanced or metastatic nonsquamous NSCLC. Prior adjuvant/neoadjuvant treatment received \&gt;6 months prior to first dose of study treatment is allowed for early-stageNSCLC. Prior monotherapy with an approved EGFR TKI (ie, gefitinib, erlotinib, afatinib, dacomitinib, or osimertinib) as nonstandard first-line therapy for the treatment of locally advanced or metastatic disease is allowed if all of the following criteria are met:1. Treatment duration did not exceed 8 weeks;2. Lack of disease response was documented (radiographically) by an increase in tumor burden (a copy of the computerized tomography \[CT\] report showing increase in tumor burden from baseline should be submitted);3. Associated toxicities have resolved to baseline; and4. The EGFR TKI was discontinued at least 2 weeks or 4 half-lives prior to randomization, whichever is longer.Prior therapy with EGFR TKI agents targeting exon20ins mutations including amivantamab, mobocertinib, sunvozertinib, furmonertinib, and poziotinib is not allowed.5. Documented EGFR mutation status, as determined by local testing performed at a CLIA certified (US) or accredited (outside of the US) local laboratory, defined as follows:1. Part A: EGFR ex20ins or other uncommon single or compound EGFR mutation2. Part B: EGFR ex20ins mutation6. Archival tumor tissue available for submission, with minimum quantity sufficient to evaluate EGFR mutation status and, where possible, other biomarkers. Patients with insufficient tissue (details provided in laboratory manual) may be eligible following discussion with the sponsor; a fresh biopsy will not be required.7. Patients with brain metastasis(es) who have previously received definitive local treatment and have stable central nervous system (CNS) disease (defined as being neurologically stable and off corticosteroid for at least 2 weeks prior to enrollment) are eligible. If brain metastases are diagnosed on screening imaging, the patient may be rescreened for eligibility after definitive treatment.b. Asymptomatic brain metastases ≤2 cm in size can be eligible for inclusion if, in the opinion of the Investigator, immediate definitive treatment is not indicated.8. At least one measurable lesion as determined per RECIST 1.1 for patients enrolling to Part B. Patients enrolling to Part A may be enrolled without measurable disease.9. Eastern Cooperative Oncology Group (ECOG) performance status 0 or 1.10. Adequate organ function, as defined by the laboratory value11. Have a life expectancy of at least 3 months as assessed by the investigator.12. Women of childbearing potential (WOCBP) must have a negative serum pregnancy test prior to administration of the first dose of study treatment. Female patients are not considered to be of childbearing potential if they are postmenopausal (no menses for 12 months without an alternative medical cause) or permanently sterile (hysterectomy, bilateral salpingectomy, or bilateral oophorectomy).13. Both males and females of reproductive potential must agree to use effective birth control during the study prior to the first dose and for 6 months after the last dose of study treatment or longer, based on local requirements.Exclusion -1. Is currently receiving an investigational drug in a clinical trial or participating in any other type of medical research judged not to be scientifically or medically compatible with this study.2. Prior treatment with any of the following within the specific time frame specified:1. Zipalertinib (TAS6417/CLN-081) at any time.2. Thoracic radiotherapy ≤28 days, palliative radiation of nonthoracic disease ≤14 days, or palliative radiation of a single lesion ≤7 days prior to first dose of study treatment.3. Major surgery (excluding placement of vascular access) ≤28 days prior to first dose of study treatment.4. All prescribed medication, over-the-counter medication, vitamin preparations and other food supplements, or herbal medications that are strong or moderate CYP3A4 inducers or inhibitors within 7 days prior to first dose.3. Have any unresolved toxicity of Grade ≥2 from previous anticancer treatment in the neoadjuvant or adjuvant setting, except for Grade 2 alopecia or skin pigmentation. Patients with other chronic but stable Grade 2 toxicities may be allowed to enroll after agreement between the investigator and Sponsor.4. Past medical history of interstitial lung disease, treatment-related pneumonitis (any grade), or any evidence of clinically active interstitial lung disease.5. Impaired cardiac function or clinically significant cardiac disease, including any of the following:1. History of congestive heart failure (CHF) Class III/IV according to the New York Heart Association (NYHA) Functional Classification .2. Serious cardiac arrhythmias requiring treatment.3. Resting corrected QT interval (QTc) \&gt;470 msec calculated using Fridericia's formula (QTcF).6. Unable to swallow tablets or has any disease or condition that may significantly affect gastrointestinal (GI) absorption of zipalertinib (such as inflammatory bowel disease, malabsorption syndrome, or prior GI resection).7. History of another primary malignancy ≤2 years prior to the date of first dose of study treatment unless at least one of the following criteria are met:1. Adequately treated basal or squamous cell carcinoma of the skin2. Cancer of the breast or cervix in situ3. Previously treated malignancy, if all treatment for that malignancy was completed at least 2 years prior to first dose of study treatment, and no current evidence of disease4. Concurrent malignancy determined to be clinically stable and not requiring tumor directed treatment8. Known history of hepatitis B, hepatitis C, or human immunodeficiency virus (HIV) that is unstable or not controlled with treatment.9. History of COVID-19 infection within 4 weeks prior to enrolment and/or have persistent, clinically significant pulmonary symptoms related to prior COVID-19 infection.10. Active bleeding disorders.11. Known hypersensitivity to the ingredients in zipalertinib or any drugs similar in structure or class. To platinum-containing drugs (ie, cisplatin, carboplatin), pemetrexed, or any known excipients of these drugs. b. Contraindications toning drugs (ie, cisplatin, carboplatin) or pemetrexed according to the respective local labels.12. History of leptomeningeal disease and spinal cord compression.13. Is unable or unwilling to take dexamethasone, folic acid, and/or vitamin B12 supplementation during treatment with pemetrexed.14. Is pregnant or lactating or planning to become pregnant15. The patient is, in the investigator's opinion, unable or unwilling to comply with the trial procedures.</t>
  </si>
  <si>
    <t>Allocation: Randomized | Intervention Model: Sequential Assignment | Masking: None (Open Label) () | Primary Purpose: Treatment</t>
  </si>
  <si>
    <t>Datopotamab deruxtecan</t>
  </si>
  <si>
    <t>Datroway</t>
  </si>
  <si>
    <t>Dato-DXd</t>
  </si>
  <si>
    <t>NCT05687266</t>
  </si>
  <si>
    <t>2021-004606-21, CTRI/2023/05/052218, 2023-505993-14-00, CTR20230817, jRCT2031220612</t>
  </si>
  <si>
    <t>Anti-TROP2 ADC monoclonal antibody</t>
  </si>
  <si>
    <t>B7-H1, CD274, NA, PD-L1, TROP2</t>
  </si>
  <si>
    <t>Durvalumab, Carboplatin</t>
  </si>
  <si>
    <t>AVANZAR</t>
  </si>
  <si>
    <t>Pembrolizumab + Platinum-based Chemotherapy</t>
  </si>
  <si>
    <t>United States - Austria - Brazil - Bulgaria - Canada - China - France - Germany - Greece - Hungary - India - Italy - Japan - Mexico - Peru - Poland - South Korea - Spain - Sweden - Taiwan - Turkey - United Kingdom - Vietnam</t>
  </si>
  <si>
    <t>A Phase III, Randomised, Open-label, Multicentre, Global Study of Datopotamab Deruxtecan (Dato-DXd) in Combination With Durvalumab and Carboplatin Versus Pembrolizumab in Combination With Platinum-based Chemotherapy for the First-line Treatment of Patients With Locally Advanced or Metastatic NSCLC Without Actionable Genomic Alterations (D926NC00001; AVANZAR)</t>
  </si>
  <si>
    <t>Inclusion:* Participants ≥ 18 years at screening* Histologically or cytologically documented NSCLC that at the time of randomisation is Stage IIIB or IIIC disease not amenable to surgical resection or definitive chemoradiation or Stage IV metastatic disease* Lacks sensitising EGFR tumour tissue mutation and ALK and ROS1 rearrangements and has no documented tumour genomic alterations in NTRK, BRAF, RET, MET or other actionable driver oncogenes with approved and available therapies (actionable genomic alterations).Testing is not required for tumors with squamous histology, with exceptions.* ECOG PS of 0 or 1* Archival tumour tissue* Has adequate bone marrow reserve and organ function within 7 days before randomizationExclusion:* Mixed small-cell lung cancer and NSCLC histology; sarcomatoid variant of NSCLC* History of another primary malignancy with exceptions* Persistent toxicities caused by previous anti-cancer therapy not yet improved to Grade ≤ 1 or baseline, with exceptions.* Spinal cord compression or clinically or radiologically active brain metastases* History of leptomeningeal carcinomatosis.* Known active or uncontrolled hepatitis B or C virus infection.* Uncontrolled or suspected infection requiring IV antibiotics, antivirals, or antifungals.* Clinically significant corneal disease* History of non-infectious ILD/pneumonitis that required steroids, has current ILD/pneumonitis, or has suspected ILD/pneumonitis that cannot be ruled out by imaging at screening.</t>
  </si>
  <si>
    <t>EGFR, ALK, ROS1, NTRK, BRAF, RET, c-MET/MET, EGFR Exon 19-del, EGFR L858R, EGFR L861Q, EGFR G719X, EGFR S768I</t>
  </si>
  <si>
    <t>TROP2, KRAS, PD-L1</t>
  </si>
  <si>
    <t>partial</t>
  </si>
  <si>
    <t>MB12</t>
  </si>
  <si>
    <t>NCT06687369</t>
  </si>
  <si>
    <t>2024-515853-48-00, jRCT2011240078</t>
  </si>
  <si>
    <t>BENITO</t>
  </si>
  <si>
    <t>Armenia - Bosnia and Herzegovina - Georgia - Greece - Italy - Japan - Jordan - Malaysia - Panama - Philippines - Poland - Portugal - Romania - Serbia - Slovakia - South Africa - South Korea - Spain - Taiwan - Thailand - Tunisia</t>
  </si>
  <si>
    <t>Randomized, Multicenter, Multinational, Double-Blind Study to Compare the Pharmacokinetics, Efficacy, Safety and Immunogenicity of MB12 (Proposed Pembrolizumab Biosimilar) Versus Keytruda® in Combination With Chemotherapy for the Treatment of Patients With Advanced Stage IV Non-Squamous Non-Small Cell Lung Cancer (NSCLC) (BENITO Study)</t>
  </si>
  <si>
    <t>Inclusion Criteria:1. Adult male/female patients ≥18 years old at the time of signing the informed consent form (ICF).2. Histologic or cytologic diagnosis of advanced NSCLC, stage IV (defined by the 8th edition of the Tumor Node Metastasis \[TNM\] classification), with no EGFR sensitizing (activating) mutation or ALK translocation, and who have not received prior systemic treatment for metastatic NSCLC. In those patients in whom the pleural or pericardial effusion is the only location of metastatic disease, confirmation of its malignant etiology is required.3. At least 1 radiographically measurable lesion according to response evaluation criteria in solid tumors (RECIST) 1.1.4. Known status of PD-L1 expression.5. Performance based on the Eastern Cooperative Oncology Group (ECOG) performance status ≤1.6. Adequate hepatic, renal, hematologic, endocrine, and coagulation function.Exclusion Criteria:1. Predominantly squamous cell histology NSCLC. Mixed tumors will be categorized by the predominant cell type; if small cell elements are present, the patient is not eligible.2. Known history of central nervous system metastases and/or carcinomatous meningitis.3. Prior anti-programmed cell death (PD)-1, anti-PD-L1, anti-PD-L2, anti-CD137, or anti-cytotoxic T lymphocyte associated protein (CTLA)-4 therapy (including ipilimumab or any other antibody or drug that specifically targets co-stimulation of T-cells or immune checkpoints).4. Major surgery within 3 weeks of the first dose of study treatment.5. Active autoimmune disease that has required systemic treatment in the last 2 years.6. Contraindication and/or intolerance to the administration of pembrolizumab or known sensitivity to any component of pembrolizumab.7. Has a known sensitivity to any component of cisplatin, carboplatin, or pemetrexed.</t>
  </si>
  <si>
    <t>Nogapendekin alfa</t>
  </si>
  <si>
    <t>Anktiva</t>
  </si>
  <si>
    <t>ImmunityBio</t>
  </si>
  <si>
    <t>NCT03520686</t>
  </si>
  <si>
    <t>IL-15/IL-15Ra fusion protein</t>
  </si>
  <si>
    <t>CD279, IL-15, IL-15R, PD-1</t>
  </si>
  <si>
    <t>Fusion protein</t>
  </si>
  <si>
    <t>QUILT-2.023</t>
  </si>
  <si>
    <t>Phase 3, Open-Label, 4-Cohort Study of Nogapendekin Alfa Inbakicept in Combination With Current Standard of Care as First-Line Treatment for Patients With Advanced or Metastatic Non-Small Cell Lung Cancer</t>
  </si>
  <si>
    <t>Cohorts A, B, C Inclusion Criteria:1. Age ≥ 18 years old.2. Able to understand and provide a signed informed consent that fulfills the relevant IRB or Independent Ethics Committee (IEC) guidelines.3. Histologically-confirmed stage 3 or 4 NSCLC disease. Subjects with stage 3 disease must not be candidates for treatment with surgical resection or chemoradiation.4. Subjects must not have received prior systemic chemotherapy for advanced or metastatic NSCLC. Previous neoadjuvant/adjuvant chemotherapy is allowed if completed ≥ 6 months before diagnosis of metastatic disease. Subject's with newly-diagnosed stage 4 NSCLC may have previously received systemic chemotherapy for stage 3 NSCLC.5. For Cohort A only: NSCLC tumors must have PD-L1 expression (i.e. a TPS ≥1%) as determined by an FDA-approved test.6. The subject's tumor must not harbor an EGFR sensitizing (activating) mutation or ALK translocation or targetable genomic aberration in BRAF, ROS1 or NTRK. EGFR sensitizing mutations are those mutations that are amenable to treatment with tyrosine kinase inhibitors including erlotinib, gefitinib, or afatinib. Investigators must be able to produce the source documentation of the EGFR mutation, ALK translocation, and BRAF, ROS1, and NTRK status. If any of the genomic changes described above are detected, additional information regarding the mutation status of other molecules is not required. If unable to test for these molecular changes, formalin fixed paraffin embedded tumor tissue of any age should be submitted to a central laboratory designated by the Sponsor for such testing. Subjects will not be randomized until the EGFR , BRAFT, ROS1, and NTRK mutation status and ALK translocation status is available in source documentation at the site.7. ECOG performance status of 0 or 1.8. Measurable tumor lesions according to RECIST 1.1.9. Must be willing to release tumor biopsy specimen used for diagnosis of advanced or metastatic NSCLC (if available) for exploratory tumor molecular profiling. If tumor biopsy specimen is not available, subjects can still be enrolled.10. Must be willing to provide blood samples prior to the start of treatment on this study for exploratory tumor molecular profiling analysis.11. Must be willing to provide a tumor biopsy specimen 9 weeks after the start of treatment for exploratory analyses, if considered safe by the Investigator.12. Ability to attend required study visits and return for adequate follow-up, as required by this protocol13. Agreement to practice effective contraception for female subjects of child-bearing potential and non-sterile males. Female subjects of child-bearing potential must agree to use effective contraception for up to 1 year after completion of therapy, and non-sterile male subjects must agree to use a condom for up to 4 months after treatment. Effective contraception includes surgical sterilization (eg, vasectomy, tubal ligation), two forms of barrier methods (eg, condom, diaphragm) used with spermicide, intrauterine devices (IUDs), hormonal therapy, and abstinence.Cohorts A, B, C Exclusion Criteria:1. Serious uncontrolled concomitant disease that would contraindicate the use of the investigational drug used in this study or that would put the subject at high risk for treatment-related complications.2. A history of prior malignancy with the following exceptions: cancer treated with curative therapy with no disease recurrence for \&gt;3 years, non-metastatic prostate cancer controlled with hormonal therapy, or under observation; non-metastatic thyroid cancer; basal or squamous cell carcinoma of the skin, superficial bladder cancer, or in situ cervical cancer that has undergone successful definitive resection.3. Systemic autoimmune disease (eg, lupus erythematosus, rheumatoid arthritis, Addison's disease, or autoimmune disease associated with lymphoma).4. History of organ transplant requiring immunosuppression; or history of pneumonitis or interstitial lung disease requiring treatment with systemic steroids; or a history of receiving systemic steroid therapy or any other immunosuppressive medication ≤ 3 days prior to study initiation. Daily steroid replacement therapy (eg, prednisone or hydrocortisone) and corticosteroid use to manage AEs are permitted.5. Prior systemic chemotherapy, major surgery, or thoracic radiation within 3 weeks of study initiation.6. Requirement for other forms of anticancer treatment while on trial, including maintenance therapy, other radiation therapy, and/or surgery. Palliative radiation is permitted.7. Known CNS metastases or carcinomatous meningitis. Subjects with previously treated, stable CNS metastases (no evidence of progression for ≥ 4 weeks, and resolution of neurologic symptoms to baseline state) are permitted in this study.8. History of receiving a live vaccine 30 days prior to study treatment.9. History of human immunodeficiency virus (HIV), or known active hepatitis B or C infection.10. An active infection requiring systemic IV therapy.11. History of or active inflammatory bowel disease (eg, Crohn's disease, ulcerative colitis).12. Inadequate organ function, evidenced by the following laboratory results:1. Absolute neutrophil count \&lt; 1,500 cells/mm3.2. Platelet count \&lt; 100,000 cells/mm3.3. Total bilirubin greater the upper limit of normal (ULN; unless the subject has documented Gilbert's syndrome).4. Aspartate aminotransferase (AST \[SGOT\]) or alanine aminotransferase (ALT \[SGPT\]) \&gt; 1.5 × ULN.5. Alkaline phosphatase (ALP) levels \&gt; 2.5 × ULN.6. Serum creatinine \&gt; 2.0 mg/dL or 177 μmol/L or creatinine clearance \&lt; 40 mL/min (using the Cockcroft-Gault formula)13. Uncontrolled hypertension (systolic \&gt; 160 mm Hg and/or diastolic \&gt; 110 mm Hg) or clinically significant (ie, active) cardiovascular disease, cerebrovascular accident/stroke, or myocardial infarction within 6 months prior to first study medication; unstable angina; congestive heart failure of New York Heart Association grade 2 or higher; or serious cardiac arrhythmia requiring medication. Subjects with uncontrolled hypertension should be medically managed on a stable regimen to control hypertension prior to study entry.14. Dyspnea at rest due to complications of advanced malignancy or other disease requiring continuous oxygen therapy.15. Known hypersensitivity to any component of the study medication(s).16. Subjects taking any medication(s) (herbal or prescribed) known to have an adverse drug reaction with any of the study medications.17. Participation in an investigational drug study or history of receiving any investigational treatment within 30 days prior to screening for this study, except for testosterone-lowering therapy in men with prostate cancer.18. Assessed by the Investigator to be unable or unwilling to comply with the requirements of the protocol.19. Concurrent participation in any interventional clinical trial.20. Pregnant and nursing women.Cohort D Inclusion criteria1. Age ≥ 18 years old.2. Able to understand and provide a signed informed consent that fulfills the relevant IRB or IEC guidelines3. Histologically-confirmed stage III or IV NSCLC disease. Participants with stage III disease must not be candidates for treatment with surgical resection or definitive chemoradiation.4. ECOG performance status of 0 to 2.5. Measurable tumor lesions according to RECIST v1.1.6. Ability to attend required study visits and return for adequate follow-up, as required by this protocol.7. Agreement to practice effective contraception for female participants of childbearing potential and non-sterile males. Female participants of childbearing potential must agree to use effective contraception for up to 7 months after completion of therapy, and nonsterile male participants must agree to use a condom for up to 7 months after treatment. Effective contraception includes surgical sterilization (eg, vasectomy, tubal ligation), orals, injectables. two forms of barrier methods (eg, condom, diaphragm) used with spermicide, intrauterine devices (IUDs), and hormonal therapy.Cohort D Exclusion criteria1. Prior systemic therapy or radiation therapy for treatment of current advanced or metastatic NSCLC.2. Have known EGFR mutations which are sensitive to available targeted inhibitor therapy (including, but not limited to, deletions in exon 19 and exon 21 \[L858R\] substitution mutations). All participants with nonsquamous histology must have been tested for EGFR mutation status; use of an approved test is strongly encouraged. Participants with nonsquamous histology and unknown or indeterminate EGFR status are excluded.3. Have known ALK translocations which are sensitive to available targeted inhibitor therapy are excluded. If tested, use of an approved test is strongly encouraged.Participants with unknown or indeterminate ALK status may be enrolled.4. Systemic autoimmune disease currently requiring treatment (eg, lupus erythematosus, rheumatoid arthritis, Addison's disease, or autoimmune disease associated with lymphoma). Participants must have been off treatment for 180 days.5. History of organ transplant requiring immunosuppression; or history of pneumonitis or interstitial lung disease requiring treatment with systemic steroids; or a history of receiving systemic steroid therapy or any other immunosuppressive medication ≤ 3 days prior to study initiation. Daily steroid replacement therapy (eg, prednisone or hydrocortisone) and corticosteroid use to manage AEs are permitted.6. Requirement for other forms of anticancer treatment while on trial, including maintenance therapy, radiation therapy, and/or surgery. Palliative radiation is permitted.7. Participants with untreated CNS metastases and carcinomatous meningitis are excluded.Participants are eligible if CNS metastases are adequately treated and participants are neurologically returned to baseline (except for residual signs or symptoms related to the CNS treatment) for at least 2 weeks prior to first treatment. In addition, participants must be either off corticosteroids, or on a stable or decreasing dose of ≤ 10 mg daily prednisone.8. Active infection requiring systemic IV therapy.9. History of or active inflammatory bowel disease (eg, Crohn's disease, ulcerative colitis).10. Inadequate organ function, evidenced by the following laboratory results:1. Absolute lymphocyte count \&lt; institutional ULN.2. Absolute neutrophil count \&lt; 1,500 cells/mm3.3. Platelet count \&lt; 100,000 cells/mm3.4. Total bilirubin greater than the upper limit of normal (ULN; unless the participant has documented Gilbert's syndrome).5. Aspartate aminotransferase (AST \[SGOT\]) or alanine aminotransferase (ALT \[SGPT\]) \&gt; 1.5 × ULN.6. ALP levels \&gt; 2.5 × ULN.7. Hemoglobin \&lt; 9.0 g/dL.8. Serum creatinine \&gt; 2.0 mg/dL or 177 μmol/L or creatinine clearance \&lt; 40 mL/min (using the Cockcroft-Gault formula below). Female = \[(140 - age in years) × weight in kg x 0.85\] / \[72 × serum creatinine in mg/dL\] Male = \[(140 - age in years) × weight in kg × 1.00\] / \[72 × serum creatinine in mg/dL\].11. Participants taking any medication(s) (herbal or prescribed) known to have an adverse drug reaction with any of the study medications.12. Participation in an investigational drug study or history of receiving any investigational treatment within 30 days prior to the start of treatment on this study, except for hormone-lowering therapy in participants with hormone-sensitive cancer.13. Assessed by the Investigator to be unable or unwilling to comply with the requirements of the protocol.14. Pregnant and nursing women.</t>
  </si>
  <si>
    <t>EGFR, ALK, BRAF, ROS1, NTRK</t>
  </si>
  <si>
    <t>NCT05215340</t>
  </si>
  <si>
    <t>2021-002555-10, NL79314.056.22, SNCTP000005014, 2023-507933-12-00, jRCT2061210074</t>
  </si>
  <si>
    <t>CD279, PD-1, TROP2</t>
  </si>
  <si>
    <t>TROPION-Lung08</t>
  </si>
  <si>
    <t>United States - Argentina - Australia - Austria - Belgium - Brazil - Canada - Chile - China - France - Germany - Greece - Hong Kong - Hungary - Italy - Japan - Mexico - Netherlands - Poland - Portugal - Romania - South Korea - Spain - Switzerland - Taiwan - Thailand - Turkey - United Kingdom</t>
  </si>
  <si>
    <t>A Randomized, Open-label, Phase 3 Trial of Dato-DXd Plus Pembrolizumab vs Pembrolizumab Alone in Treatment-naïve Subjects With Advanced or Metastatic PD-L1 High (TPS ≥50%) Non-small Cell Lung Cancer Without Actionable Genomic Alterations (TROPION-Lung08)</t>
  </si>
  <si>
    <t>Inclusion Criteria:Participants eligible for inclusion in the study must meet all inclusion criteria within 28 days of randomization into the study.* Sign and date the Tissue Screening and Main Informed Consent Forms, prior to the start of any study-specific qualification procedures.* Adults ≥18 years or the minimum legal adult age (whichever is greater) at the time of informed consent.* Histologically documented non-squamous NSCLC that meets all of the following criteria (Note:: Subjects with squamous histology were eligible prior to Protocol Version 5.0. After Protocol Version 5.0, subjects with squamous histology are not eligible. Subjects with mixed histology, including those with a squamous component, remain eligible the study even after Protocol Version 5.0):1. Stage IIIB or IIIC disease and not candidates for surgical resection or definitive chemoradiation, or Stage IV NSCLC disease at the time of randomization (based on the American Joint Committee on Cancer, Eighth Edition). Participants with early-stage NSCLC who have relapsed should be restaged during screening to ensure their eligibility for the study.2. Documented negative test results for epidermal growth factor receptor (EGFR), lymphoma kinase (ALK), and proto-oncogene1 (ROS1) actionable genomic alterations (AGAs) based on analysis of tumor tissue. If test results for EGFR, ALK, and ROS1 are not available, subjects are required to undergo testing performed locally for these genomic alterations.3. No known AGAs in neurotrophic tyrosine receptor kinase (NTRK), proto-oncogene B-raf (BRAF), rearranged during transfection (RET), mesenchymal-epithelial transition factor (MET), or other actionable driver kinases with locally approved therapies. (Testing for genomic alterations besides EGFR, ALK, and ROS1 is not required prior to randomization). Subjects whose tumors harbor KRAS mutations are eligible for the study.* Has provided a formalin-fixed tumor tissue sample for the measurement of trophoblast cell surface protein 2 (TROP2) protein expression and for the assessment of other exploratory biomarkers.* Tumor has high programmed death receptor-1 (PD-L1) expression (TPS ≥50%) as determined by PD-L1 immunohistochemistry (IHC) 22C3 pharmDx assay by central testing (minimum of 6 slides).* Has an adequate treatment washout period before Cycle 1 Day 1.* Measurable disease based on local imaging assessment using RECIST Version 1.1.* Has left ventricular ejection fraction (LVEF) ≥50% by either an echocardiogram (ECHO) or multigated acquisition scan (MUGA) within 28 days before randomization.* Eastern Cooperative Oncology Group (ECOG) performance status (PS) of 0 or 1 at screening.* Has a life expectancy of at least 3 months.* Adequate bone marrow function within 7 days before randomization.Exclusion Criteria:* Has received prior systemic treatment for advanced or metastatic NSCLC.* Has received prior treatment for NSCLC with any of the following, including in the adjuvant/neoadjuvant setting:1. Any agent, including an antibody-drug conjugate, containing a chemotherapeutic agent targeting topoisomerase I.2. TROP2-targeted therapy.3. Any anti-programmed death receptor-1 (PD-1), anti-PD-L1, or anti-PD-ligand 2 (L2) agent or with an agent directed to another stimulatory or co-inhibitory T-cell receptor (eg, CTLA-4, OX40, CD137).4. Any other immune checkpoint inhibitors. Participants who received adjuvant or neoadjuvant therapy OTHER than those listed above, are eligible if the adjuvant/neoadjuvant therapy was completed at least 6 months prior to the diagnosis of advanced/metastatic disease.* Has spinal cord compression or active and untreated central nervous system (CNS) metastases and/or carcinomatous meningitis. Participants with previously treated brain metastases and who are asymptomatic may participate provided they are radiologically stable.* Has received prior radiotherapy \&lt; 4 weeks of start of study intervention or more than 30 Gy (unit of ionizing radiation dose in the International System of Units) to the lung within 6 months of Cycle 1 Day 1.* History of another primary malignancy (beyond NSCLC) except for:1. Malignancy treated with curative intent and with no known active disease ≥3 years before the first dose of study treatment and of low potential risk for recurrence.2. Adequately treated non-melanoma skin cancer or lentigo maligna without evidence of disease.3. Adequately treated carcinoma in situ without evidence of disease.4. Participants with a history of prostate cancer (tumor/node/metastasis stage) of Stage ≤T2cN0M0 without biochemical recurrence or progression and who in the opinion of the Investigator are not deemed to require active intervention.* Has a history of (non-infectious) interstitial lung disease (ILD)/pneumonitis including radiation pneumonitis that required steroids, has current ILD/pneumonitis, or where suspected ILD/pneumonitis cannot be ruled out by imaging at screening.* Clinically severe pulmonary compromise, as judged by the investigator, resulting from intercurrent pulmonary illnesses including, but not limited to, any underlying pulmonary disorder, or any autoimmune, connective tissue or inflammatory disorders with pulmonary involvement or prior complete pneumonectomy.* Uncontrolled or significant cardiovascular disease, including:1. Mean QT interval corrected for heart rate using Fridericia's formula (QTcF) interval \&gt;470 ms regardless of sex (based on the average of the 12-lead electrocardiogram determination at screening).2. Myocardial infarction within 6 months prior to randomization.3. Uncontrolled angina pectoris within 6 months prior to randomization.4. LVEF \180 mmHg or diastolic blood pressure \&gt;110 mmHg) within 28 days before randomization.Participants with a history of Class 2 to 4 CHF prior to screening, must have returned to Class 1 CHF and have LVEF ≥50% (by either an ECHO or MUGA scan within 28 days before randomization) in order to be eligible.* Clinically significant corneal disease.* Has received a live vaccine or live-attenuated vaccine (messenger ribonucleic acid and replication-incompetent adenoviral vaccines are not considered attenuated live vaccines) within 30 days prior to the first dose of study drug. For any participant receiving an approved severe acute respiratory syndrome coronavirus 2 (SARS-CoV2) vaccine, please follow the vaccine label and/or local guidance.* Active, known, or suspected autoimmune disease (has an active autoimmune disease that has required systemic treatment in the past 2 years).* Has a diagnosis of immunodeficiency or is receiving chronic systemic steroid therapy (in dosage \&gt;10 mg daily of prednisone equivalent) or any other form of immunosuppressive therapy ≤7 days prior to the first dose of study drug.* Has known human immunodeficiency virus (HIV) infection that is not well controlled.* Has an active hepatitis or uncontrolled hepatitis B or active hepatitis C infection.* Has an uncontrolled infection requiring IV antibiotics, antivirals, or antifungals.* Had an allogeneic tissue/solid organ transplant.* Has a history of severe hypersensitivity reactions to either the drug or inactive ingredients (including but not limited to polysorbate 80) of Dato-DXd or pembrolizumab.</t>
  </si>
  <si>
    <t>EGFR, ALK, ROS1, NTRK, BRAF, c-MET/MET, RET</t>
  </si>
  <si>
    <t>TROP2</t>
  </si>
  <si>
    <t>Olomorasib</t>
  </si>
  <si>
    <t>LY3537982</t>
  </si>
  <si>
    <t>LY-3537982</t>
  </si>
  <si>
    <t>NCT06119581</t>
  </si>
  <si>
    <t>CTRI/2024/12/077822, SNCTP000005972, 2023-503412-33-00, ChiCTR2400084905 , CTR20242544, jRCT2061230080</t>
  </si>
  <si>
    <t>CD279, KRAS G12C, NA, PD-1, TS, TYMS</t>
  </si>
  <si>
    <t>Pembrolizumab, Cisplatin, Carboplatin, Pemetrexed</t>
  </si>
  <si>
    <t>SUNRAY-01</t>
  </si>
  <si>
    <t>Placebo + Pembrolizumab ± Pemetrexed and platinum</t>
  </si>
  <si>
    <t>United States - Australia - Austria - Belgium - Brazil - Canada - China - Czech Republic - Denmark - France - Germany - Greece - Hungary - India - Italy - Japan - Mexico - Netherlands - Norway - Poland - Portugal - Romania - South Korea - Spain - Sweden - Switzerland - Taiwan - Turkey - United Kingdom</t>
  </si>
  <si>
    <t>SUNRAY-01, A Global Pivotal Study in Participants With KRAS G12C-Mutant, Locally Advanced or Metastatic Non-Small Cell Lung Cancer Comparing First-Line Treatment of LY3537982 and Pembrolizumab vs Placebo and Pembrolizumab in Those With PD-L1 Expression ≥50% or LY3537982 and Pembrolizumab, Pemetrexed, Platinum vs Placebo and Pembrolizumab, Pemetrexed, Platinum Regardless of PD-L1 Expression</t>
  </si>
  <si>
    <t>Inclusion Criteria:* Histologically or cytologically confirmed NSCLC with Stage IIIB-IIIC or Stage IV disease, not suitable for curative intent radical surgery or radiation therapy.* Part B and Safety Lead-In Part B: the histology of the tumor must be predominantly non-squamous (in line with pemetrexed label).* Must have disease with evidence of KRAS G12C mutation.* Must have known programmed death-ligand 1 (PD-L1) expression* Part A: Greater than or equal to (≥)50 percent (%).* Part B: 0% to 100%.* Part C: \</t>
  </si>
  <si>
    <t>KRAS G12C, PD-L1 TPS ≥ 50%</t>
  </si>
  <si>
    <t>ALK, BRAF V600E, c-MET/MET Exon 14, EGFR, HER2 mut, NTRK1, NTRK2, NTRK3, RET, ROS1</t>
  </si>
  <si>
    <t>NCT05555732</t>
  </si>
  <si>
    <t>2022-500802-16, SNCTP000005612, CTR20230083, jRCT2061220066</t>
  </si>
  <si>
    <t>TROPION-Lung07</t>
  </si>
  <si>
    <t>Pembrolizumab + Pemetrexed + Platinum Chemotherapy</t>
  </si>
  <si>
    <t>United States - Argentina - Australia - Austria - Belgium - Brazil - Canada - Chile - China - Czech Republic - France - Germany - Greece - Hong Kong - Hungary - Italy - Japan - Mexico - Netherlands - Poland - Portugal - Romania - South Korea - Spain - Switzerland - Taiwan - Thailand - Turkey - United Kingdom</t>
  </si>
  <si>
    <t>A Randomized Phase 3 Study of Datopotamab Deruxtecan (Dato-DXd) and Pembrolizumab With or Without Platinum Chemotherapy in Subjects With No Prior Therapy for Advanced or Metastatic PD-L1 TPS &lt;50% Non-squamous Non-small Cell Lung Cancer Without Actionable Genomic Alterations (TROPION-Lung07)</t>
  </si>
  <si>
    <t>Key Inclusion Criteria:1. Sign and date the Main ICF, prior to the start of any study- specific qualification procedures. Is willing and able to comply with scheduled visits, drug administration plan, laboratory tests, other study procedures, and study restrictions.2. Adults ≥18 at the time the Main ICF is signed. (Follow local regulatory requirements if the legal age of adult voluntary consent for study participation is \&gt;18 years old).3. Has tumor with PD-L1 TPS \</t>
  </si>
  <si>
    <t>PD-L1 TPS &lt; 50%</t>
  </si>
  <si>
    <t>EGFR, ALK, ROS1, NTRK, BRAF, RET, c-MET/MET</t>
  </si>
  <si>
    <t>Zongertinib</t>
  </si>
  <si>
    <t>BI 1810631</t>
  </si>
  <si>
    <t>Hernexeos</t>
  </si>
  <si>
    <t>NCT06151574</t>
  </si>
  <si>
    <t>MOH_2024-02-14_013236, 2023-504308-27-00, CTR20240326, jRCT2071230098</t>
  </si>
  <si>
    <t>HER-2 exon20 inhibitor</t>
  </si>
  <si>
    <t>HER2 Exon 20</t>
  </si>
  <si>
    <t>Beamion LUNG-2</t>
  </si>
  <si>
    <t>Pembrolizumab + platinum-pemetrexed chemotherapy</t>
  </si>
  <si>
    <t>United States - Argentina - Australia - Austria - Belgium - Brazil - Chile - China - France - Germany - Greece - Hong Kong - Hungary - Israel - Italy - Japan - Mexico - Netherlands - Norway - Poland - Portugal - Puerto Rico - Singapore - South Korea - Spain - Sweden - Taiwan - United Kingdom</t>
  </si>
  <si>
    <t>Beamion LUNG 2: A Phase III, Open-label, Randomized, Active-controlled, Multi-centre Trial Evaluating Orally Administered Zongertinib (BI 1810631) Compared With Standard of Care as First-line Treatment in Patients With Unresectable, Locally Advanced or Metastatic Non-squamous Non-small Cell Lung Cancer Harbouring HER2 Tyrosine Kinase Domain Mutations</t>
  </si>
  <si>
    <t>Inclusion criteria:1. Signed and dated written informed consent form (ICF) in accordance with International Council for Harmonisation of Technical Requirements for Pharmaceuticals for Human Use - Good Clinical Practice (ICH-GCP) and local legislation prior to admission to the trial.2. Patients ≥18 years of age or over the legal age of consent in countries where that is greater than 18 years at the time of signature of the ICF.3. Histologically or cytologically confirmed diagnosis of an advanced and/or metastatic non-squamous Non-small cell lung cancer (NSCLC).4. Documented Human epidermal growth factor receptor 2 (HER2) mutation in the Tyrosine kinase domain (TKD) as per local lab results.5. An archival tumor tissue sample must be submitted to the central laboratory after inclusion of the patient to retrospectively confirm the HER2 status. If no archival tissue is available, this may be acceptable in exceptional cases after written agreement with the sponsor.6. Patients who have not received any systemic treatment for unresectable, locally advanced or metastatic disease and are not eligible for curative therapy.7. Presence of at least one measurable lesion according to Response evaluation criteria in solid tumors (RECIST) 1.1, as determined by the local site investigator/radiology assessment.8. Eligible to receive treatment with the selected platinum-based doublet-chemotherapy (i.e. cisplatin/pemetrexed or carboplatin/pemetrexed) and pembrolizumab in accordance with the Summaries of Product Characteristics (SmPC)/Product Information.Further inclusion criteria apply.Exclusion criteria:1. Previous or concomitant malignancies other than the one treated in this trial within the last 5 years, except;* effectively treated non-melanoma skin cancers* effectively treated carcinoma in situ of the cervix* effectively treated ductal carcinoma in situ* other effectively treated malignancy that is considered cured by local treatment2. Tumors with targetable alterations with approved available therapy.3. Lung-specific intercurrent clinically significant severe illness based on investigators assessment.4. Patients who must or wish to continue the intake of restricted medications or any drug considered likely to interfere with the safe conduct of the trial.5. Major surgery (major according to the investigator's assessment) performed within 4 weeks prior to randomization or planned within 6 months after screening, e.g. hip replacement.6. Any history of or concomitant condition that, in the opinion of the investigator, would compromise the patient's ability to comply with the trial or interfere with the evaluation of the safety and efficacy of the test drug.7. History or presence of cardiovascular abnormalities such as uncontrolled hypertension, congestive heart failure New York Heart Association (NYHA) classification of ≥ III or IV, unstable angina or poorly controlled arrhythmia which are considered as clinically relevant by the investigator. Myocardial infarction, stroke, or pulmonary embolism within 6 months prior to randomization.8. Any clinically important abnormalities (as assessed by the investigator) in rhythm, conduction, or morphology of resting electrocardiograms, e.g. complete left bundle branch block, third degree heart block.Further exclusion criteria apply.</t>
  </si>
  <si>
    <t>HER2 mut</t>
  </si>
  <si>
    <t>Sacituzumab govitecan</t>
  </si>
  <si>
    <t>Trodelvy</t>
  </si>
  <si>
    <t>Gilead</t>
  </si>
  <si>
    <t>NCT05609968</t>
  </si>
  <si>
    <t>2022-000836-49, CTR20223405, jRCT2031230031</t>
  </si>
  <si>
    <t>EVOKE-03 / KEYNOTE‐D46</t>
  </si>
  <si>
    <t>United States - Australia - Brazil - Canada - Chile - China - Estonia - Germany - Greece - Israel - Italy - Japan - Latvia - Lithuania - Malaysia - Mexico - Peru - Philippines - Poland - Romania - South Korea - Taiwan - Thailand - Turkey - United Kingdom</t>
  </si>
  <si>
    <t>An Open-label, Multicenter, Phase 3 Randomized, Active-Comparator-Controlled Clinical Study of Pembrolizumab (MK-3475) in Combination With Sacituzumab Govitecan Versus MK-3475 Monotherapy as First-line Treatment in Participants With PD L1 TPS Greater Than or Equal to 50% Metastatic Non-small Cell Lung Cancer (KEYNOTE D46/EVOKE-03)</t>
  </si>
  <si>
    <t>Inclusion Criteria:The main inclusion criteria include but are not limited to the following:* Has a histologically or cytologically confirmed diagnosis of metastatic non-small cell lung cancer (NSCLC)* Has confirmation that epidermal growth factor receptor (EGFR), anaplastic lymphoma kinase 1 (ALK-1), or ROS proto-oncogene 1 (ROS-1)-directed therapy is not indicated as primary therapy* Has provided tumor tissue that demonstrates PD-L1 tumor proportion score (TPS) ≥50% of tumor cells as assessed by immunohistochemistry (IHC) at a central laboratory* Has a life expectancy of at least 3 monthsExclusion Criteria:The main exclusion criteria include but are not limited to the following:* Has history of a second malignancy, unless potentially curative treatment has been completed with no evidence of malignancy for 3 years* Has received prior systemic chemotherapy or other targeted or biological antineoplastic therapy for their metastatic NSCLC* Has previously received treatment with Topoisomerase 1 inhibitors or Trop-2 targeted therapy* Has received prior therapy with an anti-programmed cell death 1 protein (anti-PD-1), anti-programmed cell death ligand 1 (anti-PD-L1), or anti anti- programmed cell death ligand 2 (PD-L2) agent or with an agent directed to another stimulatory or coinhibitory T-cell receptor* Has received prior radiotherapy within 2 weeks of start of study intervention or has radiation-related toxicities requiring corticosteroids* Has received radiation therapy to the lung that is \&gt;30 Gray (Gy) within 6 months of the first dose of study intervention* Has received a live or live-attenuated vaccine within 30 days before the first dose of study intervention* Has received an investigational agent or has used an investigational device within 4 weeks before study intervention administration* Has cardiac disease* Myocardial infarction or unstable angina pectoris within 6 months of enrollment* History of serious ventricular arrhythmia, high-grade atrioventricular block, or other cardiac arrhythmias requiring antiarrhythmic medications; history of QT interval prolongation* New York Heart Association (NYHA) Class III or greater congestive heart failure or left ventricular ejection fraction of \</t>
  </si>
  <si>
    <t>EGFR, ALK-1, ROS1</t>
  </si>
  <si>
    <t>SN-38</t>
  </si>
  <si>
    <t>Camptothecin / Irinotecan</t>
  </si>
  <si>
    <t>CL2A / Carbonate</t>
  </si>
  <si>
    <t>Acidic pH</t>
  </si>
  <si>
    <t>NCT07185997</t>
  </si>
  <si>
    <t>2025-522151-26-00</t>
  </si>
  <si>
    <t>ALPACCA / FURMO-006</t>
  </si>
  <si>
    <t>Osimertinib / Afatinib</t>
  </si>
  <si>
    <t>ORR, PFS</t>
  </si>
  <si>
    <t>United States - Australia - Canada - Greece - Hong Kong - Italy - Japan - Malaysia - Singapore - South Korea - Spain - Taiwan - United Kingdom</t>
  </si>
  <si>
    <t>A Global, Phase 3, Randomized, Multicenter, Open-Label Study to Evaluate the Efficacy and Safety of Firmonertinib Compared With Investigator's Choice of Osimertinib or Afatinib as First-Line Treatment in Participants Who Have Locally Advanced or Metastatic Non-Small-Cell Lung Cancer With Epidermal Growth Factor Receptor P-Loop and Alpha C-Helix Compressing (PACC) Uncommon Mutations (ALPACCA)</t>
  </si>
  <si>
    <t>Key Eligibility Criteria:* Histologically or cytologically documented, locally advanced or metastatic Non-Small Cell Lung Cancer (NSCLC) not amenable to curative surgery or radiotherapy.* Documented results of the presence of an Epidermal Growth Factor Receptor (EGFR) PACC mutation in tumor tissue or blood from local testing.* No prior systemic anticancer therapy regimens received for locally advanced or metastatic Non-Small Cell Lung Cancer (NSCLC) including prior treatment with any Epidermal Growth Factor Receptor (EGFR)-targeting agents (e.g., previous (EGFR) TKIs, monoclonal antibodies, or bispecific antibodies).* Patients who have received prior neo-adjuvant and/or adjuvant chemotherapy, immunotherapy, or chemo radiotherapy for non-metastatic disease must have experienced a treatment free interval of at least 12 months.* Patients with asymptomatic CNS metastases are eligible.</t>
  </si>
  <si>
    <t>EGFR PACC</t>
  </si>
  <si>
    <t>Stage I,Stage II</t>
  </si>
  <si>
    <t>NCT03833154</t>
  </si>
  <si>
    <t>2024-512667-31-00, JapicCTI-194663, 2024-512667-31-00, CTR20210045, jRCT2080224593</t>
  </si>
  <si>
    <t>PACIFIC 4</t>
  </si>
  <si>
    <t>United States - Australia - Belgium - Brazil - Canada - China - France - Germany - Greece - Israel - Italy - Japan - Netherlands - Poland - Puerto Rico - Russian Federation - South Korea - Spain - Turkey - United Kingdom</t>
  </si>
  <si>
    <t>A Phase III, Randomized, Placebo-controlled, Double-blind, Multi-center, International Study of Durvalumab With Stereotactic Body Radiation Therapy (SBRT) for the Treatment of Patients With Unresected Stage I/II, Lymph-node Negative Non-small Cell Lung Cancer (PACIFIC-4/RTOG-3515) Osimertinib Following SBRT, a Single Arm Cohort for Patients With Unresected Stage I/II, Lymph Node Negative NSCLC Harboring a Sensitizing EGFR Mutation</t>
  </si>
  <si>
    <t>Main Cohort Key Inclusion Criteria:1. Age ≥18 years2. Planned SoC SBRT as definitive treatment3. World Health Organization (WHO)/ECOG PS of 0, 1 or 24. Life expectancy of at least 12 weeks5. Body weight \&gt;30 kg6. Submission of tumor tissue sample if available7. Adequate organ and marrow function required8. Patients with central or peripheral lesions are eligible9. Staging studies must be done during screening (PET-CT within 10 weeks)10. Patients with a history of metachronous NSCLC and synchronous lesions are eligible with some exceptionsMain Cohort Key Exclusion Criteria:1. Mixed small cell and non-small cell cancer2. History of allogeneic organ transplantation3. History of another primary malignancy with exceptions4. History of active primary immunodeficiency5. Epidermal growth factor receptor local testing is strongly recommended prior to enrollment. Patients with a tumor harboring an EGFRm per local testing will be excluded from the main cohort6. Prior exposure to immune-mediated therapy with exceptionsOsimertinib Cohort Key Inclusion Criteria1. Age ≥18 years2. Planned SoC SBRT as definitive treatment3. WHO/ECOG PS of 0, 1, or 24. Patients with central or peripheral lesions are eligible5. Patients with a history of metachronous NSCLC and synchronous lesions are eligible with some exceptions6. Staging studies must be done during screening (PET-CT within 10 weeks)7. Submission of tumor tissue sample if available8. Confirmation by local laboratory that the tumor harbors one of the 2 common EGFR mutations known to be associated with EGFR-TKI sensitivity (Ex19del, L858R)9. Adequate bone marrow reserve or organ function required10. Female patients should be using highly effective contraceptive measures11. Male patients should be asked to use barrier contraceptives (ie, condoms) during sex with all partners during the trial and avoid procreationOsimertinib Cohort Key Exclusion Criteria1. Mixed small cell and non-small cell cancer2. Patients with known or increased risk factor for QTc prolongation3. Treatment with any of the following:* Preoperative or adjuvant platinum-based or other chemotherapy for the disease under investigation* Prior treatment with neoadjuvant or adjuvant EGFR TKI* Patients currently receiving (or unable to stop use prior to receiving the first dose of study treatment) medications or herbal supplements known to be potent inducers of CYP3A44. Refractory nausea and vomiting, chronic gastrointestinal diseases, inability to swallow the formulated product, or previous significant bowel resection that would preclude adequate absorption of osimertinib5. Any of the following cardiac criteria* Mean resting corrected QT interval \&gt;470 msec, obtained from 3 ECGs* Any clinically important abnormalities in rhythm, conduction, or morphology of resting ECG.* Any factors that increase the risk of QTc prolongation or risk of arrhythmic events, or unexplained -sudden death under 40 years of age in first-degree relatives or any concomitant medication known to prolong the QT interval* Past medical history of ILD, drug-induced ILD, radiation pneumonitis which required steroid treatment, or any evidence of clinically active ILD</t>
  </si>
  <si>
    <t>Sevabertinib</t>
  </si>
  <si>
    <t>BAY2927088</t>
  </si>
  <si>
    <t>Hyrnuo</t>
  </si>
  <si>
    <t>Bayer</t>
  </si>
  <si>
    <t>NCT06452277</t>
  </si>
  <si>
    <t>MOH_2024-08-08_013489, SNCTP000006123, 2024-511319-91-00, CTR20244192, jRCT2031240248</t>
  </si>
  <si>
    <t>EGFR/HER2 mutant-selective inhibitor</t>
  </si>
  <si>
    <t>EGFR C797G, EGFR C797S, EGFR Exon 20, HER2, HER2 Exon 20</t>
  </si>
  <si>
    <t>SOHO-02</t>
  </si>
  <si>
    <t>Pembrolizumab + platinum-based chemotherapy</t>
  </si>
  <si>
    <t>United States - Argentina - Australia - Austria - Belgium - Brazil - Bulgaria - Canada - China - Czech Republic - Denmark - Finland - France - Germany - Greece - Hong Kong - Hungary - Israel - Italy - Japan - Malaysia - Mexico - Netherlands - Poland - Portugal - Romania - Singapore - Slovakia - South Korea - Spain - Sweden - Switzerland - Taiwan - Turkey - Ukraine - United Kingdom</t>
  </si>
  <si>
    <t>A Phase 3 Open-label, Randomized, Active-controlled, Multicenter Trial to Evaluate the Efficacy and Safety of Orally Administered BAY 2927088 Compared With Standard of Care as a First-line Therapy in Patients With Locally Advanced or Metastatic Non-small Cell Lung Cancer (NSCLC) With HER2-activating Mutations</t>
  </si>
  <si>
    <t>Inclusion Criteria:* Participant must be ≥18 years of age or over the legal age of consent in countries where that is greater than 18 years at the time of signing the informed consent.* Documented histologically or cytologically confirmed locally advanced non-squamous NSCLC, not suitable for definitive therapy or metastatic non-squamous NSCLC at screening (small cell or mixed histologies are excluded) (Stage III-IV NSCLC).* Documented activating HER2 mutation in the tyrosine kinase domain (TKD) assessed by tissue molecular test in a CLIA-certified (US sites) or an equally accredited (outside of the US) local laboratory. However, participants may be included at the discretion of the investigator if the laboratory performing the assay is not CLIA or similar certified but the laboratory is locally accredited.* No prior systemic therapy for locally advanced or metastatic disease. No prior treatment with a HER2 ex20ins-targeted therapy (e.g. poziotinib, trastuzumab deruxtecan). Participants who received adjuvant or neoadjuvant therapy are eligible if the adjuvant/neoadjuvant therapy was completed at least 12 months prior to the start of screening.* Eligible to receive treatment with the selected platinum-based doublet-chemotherapy (i.e. cisplatin/pemetrexed or carboplatin/pemetrexed) and pembrolizumab in accordance with the SmPC/Product Information.Exclusion Criteria:* Known history of prior malignancy except if the participant has undergone potentially curative therapy with no evidence of that disease recurrence for five years since initiation of that therapy. Exception: the following cancer types are acceptable within five years if curatively treated or under surveillance:* a. in situ cancers of cervix, breast, or skin,* b. superficial bladder cancer (Ta, Tis and T1),* c. limited-stage prostate cancer,* d. basal or squamous cancers of the skin.* Tumors with targetable alterations with approved available therapy, with the exception of HER2 mutation in the TKD.* Inability to discontinue treatment with chronic systemic corticosteroids. Participants who require intermittent use of bronchodilators, inhaled steroids, or local steroid injections would not be excluded from the study. Replacement therapy (e.g., physiologic corticosteroid replacement therapy for adrenal or pituitary insufficiency) is acceptable, provided that the dose is stable for \&gt;4 weeks prior to planned start of study intervention.* Pre-existing peripheral neuropathy that is Grade ≥2 by CTCAE (v5.0).* History of severe hypersensitivity reaction to treatment with a monoclonal antibody.* Prior radiotherapy outside of the brain within 21 days before of planned start of study intervention. Participants must have recovered from all radiation-related toxicities and not require corticosteroids.</t>
  </si>
  <si>
    <t>CT-P51</t>
  </si>
  <si>
    <t>NCT06939595</t>
  </si>
  <si>
    <t>2024-514048-98, CTRI/2025/04/085846, 2024-514048-98-00</t>
  </si>
  <si>
    <t>Pemetrexed, Cisplatin</t>
  </si>
  <si>
    <t>CT-P51 3.1</t>
  </si>
  <si>
    <t>Georgia</t>
  </si>
  <si>
    <t>A Double-Blind, Randomized, Active-Controlled, Parallel-Group, Phase 3 Study to Compare Efficacy and Safety of CT-P51 and Keytruda in Combination With Platinum-Pemetrexed Chemotherapy in Patients With Previously Untreated Metastatic Non-Squamous Non-Small Cell Lung Cancer</t>
  </si>
  <si>
    <t>Inclusion Criteria:* Stage IV, non squamous NSCLC* Have not received any prior systemic anti-cancer therapy for metastatic NSCLC* Have at least 1 measurable lesion per RECIST version 1.1Exclusion Criteria:* Have predominantly squamous cell histology NSCLC.* Hypersensitivity or contraindication to any component of the study drug, pemetrexed and cisplatin or carboplatin</t>
  </si>
  <si>
    <t>EGFR, ALK, ROS1, c-MET/MET Exon 14, RET, BRAF V600E</t>
  </si>
  <si>
    <t>Domvanalimab</t>
  </si>
  <si>
    <t>AB154</t>
  </si>
  <si>
    <t>Arcus Biosciences</t>
  </si>
  <si>
    <t>NCT05502237</t>
  </si>
  <si>
    <t>NL81915.056.22, 2023-509825-38-00, CTR20240963, jRCT2061230073</t>
  </si>
  <si>
    <t>Anti-TIGIT monoclonal antibody</t>
  </si>
  <si>
    <t>CD279, Microtubule, NA, PD-1, TIGIT, TS, TYMS</t>
  </si>
  <si>
    <t>Zimberelimab, Carboplatin, Cisplatin, Paclitaxel, Nab-Paclitaxel, Pemetrexed</t>
  </si>
  <si>
    <t>STAR-121</t>
  </si>
  <si>
    <t>United States - Argentina - Austria - Belgium - Brazil - Canada - Chile - China - France - Germany - Hong Kong - Israel - Italy - Japan - Mexico - Netherlands - Portugal - Singapore - South Korea - Spain - Taiwan - Turkey - United Kingdom</t>
  </si>
  <si>
    <t>A Randomized, Open-Label, Phase 3 Study to Evaluate Zimberelimab and Domvanalimab in Combination With Chemotherapy Versus Pembrolizumab With Chemotherapy for the First-Line Treatment of Patients With Metastatic Non-Small Cell Lung Cancer With No Epidermal Growth Factor Receptor or Anaplastic Lymphoma Kinase Genomic Tumor Aberrations</t>
  </si>
  <si>
    <t>Key Inclusion Criteria:* Life expectancy ≥ 3 months.* Pathologically documented NSCLC that meets both of the criteria below:* Have documented evidence of Stage IV NSCLC disease at the time of enrollment (based on American Joint Committee on Cancer (AJCC), Eighth Edition).* Have documented negative test results for epidermal growth factor receptor (EGFR) and anaplastic lymphoma kinase (ALK) mutations.* Have no actionable genomic alterations such as ROS proto-oncogene 1 (ROS1), neurotrophic tyrosine receptor kinase (NTRK), proto-oncogene B-raf (BRAF), RET mutations, or other driver oncogenes with approved frontline therapies.* Have not received prior systemic treatment for metastatic NSCLC.* Measurable disease per RECIST v1.1 criteria by investigator assessment.* Eastern Cooperative Oncology Group performance status (ECOG PS) score of 0 or 1.* Have adequate organ functions.Key Exclusion Criteria:* Have mixed small-cell lung cancer (SCLC) and NSCLC histology.* Positive serum pregnancy test or individuals who are breastfeeding or have plans to breastfeed during the study period.* Received prior treatment with any anti-PD-1, anti-PD-L1, or any other antibody targeting an immune checkpoint.* Known hypersensitivity to the study drug, its metabolites, or formulation excipient.* Have an active second malignancy or have had an active second malignancy within 3 years prior to enrollment.* Have an active autoimmune disease that required systemic treatment in past 2 years (i.e., with use of disease-modifying agents, corticosteroids, or immunosuppressive drugs).* Are receiving chronic systemic steroids.* Have significant third-space fluid retention.* Have untreated central nervous system (CNS) metastases and/or carcinomatous meningitis.* Active chronic inflammatory bowel disease (ulcerative colitis, Crohn's disease) or gastrointestinal perforation within 6 months of enrollment.* Has a history of (noninfectious) pneumonitis/interstitial lung disease that required steroids or has current pneumonitis/interstitial lung disease.* Has had an allogenic tissue/solid organ transplant.* Have received a live-virus vaccination within 30 days of planned treatment start. Seasonal flu and COVID-19 vaccines that do not contain live virus are permitted.* Have known active hepatitis B virus (HBV) or hepatitis C virus (HCV) infection.Note:: Other protocol defined Inclusion/Exclusion criteria may apply.</t>
  </si>
  <si>
    <t>EGFR, ALK, ROS1, NTRK, BRAF, RET</t>
  </si>
  <si>
    <t>Sigvotatug vedotin</t>
  </si>
  <si>
    <t>SGN-B6A</t>
  </si>
  <si>
    <t>PF-08046047</t>
  </si>
  <si>
    <t>NCT06758401</t>
  </si>
  <si>
    <t>SNCTP000006530, 2024-517968-36-00, CTR20253393, jRCT2051240299</t>
  </si>
  <si>
    <t>Anti-Integrin β6 ADC monoclonal antibody</t>
  </si>
  <si>
    <t>CD279, Integrin β6, PD-1</t>
  </si>
  <si>
    <t>BE6A LUNG-02</t>
  </si>
  <si>
    <t>United States - Argentina - Australia - Austria - Belgium - Brazil - Bulgaria - Canada - Chile - China - Czech Republic - France - Georgia - Germany - Greece - Hungary - India - Israel - Italy - Japan - Mexico - Netherlands - Poland - Romania - Slovakia - South Korea - Spain - Sweden - Switzerland - Taiwan - Turkey - United Kingdom</t>
  </si>
  <si>
    <t>AN OPEN-LABEL, RANDOMIZED, CONTROLLED PHASE 3 STUDY OF SIGVOTATUG VEDOTIN IN COMBINATION WITH PEMBROLIZUMAB COMPARED WITH PEMBROLIZUMAB MONOTHERAPY AS FIRST-LINE TREATMENT IN PARTICIPANTS WITH PD-L1 HIGH (≥50% OF TUMOR CELLS EXPRESSING PD-L1), LOCALLY ADVANCED, UNRESECTABLE, OR METASTATIC NON-SMALL CELL LUNG CANCER (BE6A LUNG-02)</t>
  </si>
  <si>
    <t>Inclusion Criteria:1. Participants must meet the following criteria:1. Have pathologically confirmed Stage IIIB or IIIC NSCLC and not be a candidate for surgical resection or definitive chemoradiation, or Stage IV NSCLC per the AJCC Staging Manual (Version 8.0) and the UICC Staging System (Eighth edition).2. Participants with non-squamous histology must have documented negative test results for EGFR, ALK, and ROS1 AGAs and no known AGAs in NTRK, BRAF, RET, MET, or other AGAs with approved front-line therapies per local standard of care.3. Large cell neuroendocrine carcinoma is excluded.4. Candidate for treatment with pembrolizumab monotherapy per local guidelines.2. Tumor has PD-L1 expression in ≥50% of tumor cells (TPS ≥50%) as determined by local testing3. Measurable disease based on RECIST v1.1 per investigator.4. Resolution of acute effects of any prior therapy to either baseline severity or NCI CTCAE Grade 1 or less (except for AEs not constituting a safety risk in the investigator's judgment), unless otherwise excluded.Exclusion Criteria:1. Life expectancy of \</t>
  </si>
  <si>
    <t>Allocation: Randomized | Intervention Model: Parallel Assignment | Masking: Single () | Primary Purpose: Treatment</t>
  </si>
  <si>
    <t>MMAE</t>
  </si>
  <si>
    <t>Auristatin</t>
  </si>
  <si>
    <t>Tubulin Binder</t>
  </si>
  <si>
    <t>Tubulin Inhibitors</t>
  </si>
  <si>
    <t>Valine-Citrulline (vc)</t>
  </si>
  <si>
    <t>Volrustomig</t>
  </si>
  <si>
    <t>MEDI5752</t>
  </si>
  <si>
    <t>NCT05984277</t>
  </si>
  <si>
    <t>2023-000056-38, CTRI/2024/10/075387, NL84913.000.23, 2023-503298-39-00, CTR20250188, jRCT2031230678</t>
  </si>
  <si>
    <t>Anti-PD-1/CTLA-4 bispecific monoclonal antibody</t>
  </si>
  <si>
    <t>CD152, CD279, CTLA-4, Microtubule, NA, PD-1, TS, TYMS</t>
  </si>
  <si>
    <t>Carboplatin, Paclitaxel, Pemetrexed</t>
  </si>
  <si>
    <t>eVOLVE-Lung02</t>
  </si>
  <si>
    <t>United States - Argentina - Australia - Austria - Belgium - Brazil - Canada - China - Czech Republic - France - Germany - Hungary - India - Italy - Japan - Netherlands - Poland - Slovakia - South Africa - South Korea - Spain - Taiwan - Thailand - Turkey - United Kingdom</t>
  </si>
  <si>
    <t>A Phase III, Two-Arm, Parallel, Randomized, Multi-Center, Open-Label, Global Study to Determine the Efficacy of Volrustomig (MEDI5752) Plus Chemotherapy Versus Pembrolizumab Plus Chemotherapy for First-Line Treatment of Patients With Metastatic Non-Small Cell Lung Cancer (mNSCLC).</t>
  </si>
  <si>
    <t>Key Inclusion Criteria:* Histologically or cytologically documented squamous or non-squamous NSCLC.* Stage IV NSCLC (according to Version 8 of the IASLC Staging Manual in Thoracic Oncology 2016), not amenable to curative surgery or radiation.* Absence of sensitizing EGFR mutations and ALK and ROS1 rearrangements.* Absence of documented tumor genomic alteration results from tests conducted as part of standard local practice in any other actionable driver oncogenes for which there are locally approved targeted first-line therapies.Key Exclusion Criteria:* Mixed small-cell lung cancer and NSCLC histology or sarcomatoid variant. Rare subtypes are excluded.* Spinal cord compression.* Symptomatic brain metastases. Brain metastases may be treated or untreated, but participants must be asymptomatic and off steroids for at least 14 days prior to start of study intervention. A minimum of 2 weeks must have elapsed between the end of brain radiotherapy and study enrollment.* History of another primary malignancy except for:1. Malignancy treated with curative intent with no known active disease ≥ 2 years before the first dose of study intervention and of low potential risk for recurrence.2. Adequately treated non-melanoma skin cancer or lentigo maligna without evidence of disease.3. Adequately treated carcinoma in situ without evidence of disease.* As judged by the investigator, any condition that would interfere with evaluation of the study intervention or interpretation of participant safety or study results.</t>
  </si>
  <si>
    <t>Adagrasib</t>
  </si>
  <si>
    <t>Krazati</t>
  </si>
  <si>
    <t>Mirati Therapeutics</t>
  </si>
  <si>
    <t>NCT04613596</t>
  </si>
  <si>
    <t>2023-508922-83-00, CTR20240835</t>
  </si>
  <si>
    <t>CD279, KRAS G12C, PD-1</t>
  </si>
  <si>
    <t>KRYSTAL-7 (PD-L1 ≥50%)</t>
  </si>
  <si>
    <t>United States - Argentina - Australia - Austria - Belgium - Brazil - Bulgaria - Canada - Chile - China - Colombia - Croatia - Czech Republic - Denmark - Finland - France - Georgia - Germany - Greece - Hong Kong - Hungary - India - Ireland - Israel - Italy - Japan - Malaysia - Mexico - Netherlands - New Zealand - Norway - Peru - Philippines - Poland - Portugal - Romania - Serbia - Singapore - South Africa - South Korea - Spain - Sweden - Switzerland - Taiwan - Thailand - Turkey - United Kingdom</t>
  </si>
  <si>
    <t>A Phase 2 Trial of Adagrasib Monotherapy and in Combination With Pembrolizumab and a Phase 3 Trial of Adagrasib in Combination With Pembrolizumab Versus Pembrolizumab in Patients With Advanced Non-Small Cell Lung Cancer With KRAS G12C Mutation</t>
  </si>
  <si>
    <t>Inclusion Criteria:* Phase 2: Histologically confirmed diagnosis of unresectable or metastatic NSCLC with KRAS G12C mutation and any PD-L1 TPS* Phase 3: Histologically confirmed diagnosis of unresectable or metastatic squamous or nonsquamous NSCLC with KRAS G12C mutation and PD-L1 TPS \&gt;=50%* Phase 3: Presence of evaluable or measurable disease per RECIST* Phase 3: CNS Inclusion - Based on screening brain imaging, patients must have one of the following:1. No evidence of brain metastases2. Untreated brain metastases not needing immediate local therapy3. Previously treated brain metastases not needing immediate local therapyExclusion Criteria:* Phase 2 and Phase 3: Prior systemic treatment for locally advanced or metastatic NSCLC including chemotherapy, immune checkpoint inhibitor therapy, or a therapy targeting KRAS G12C mutation (e.g., AMG 510).* Phase 2: Active brain metastases* Phase 3: Patients with known central nervous system (CNS) lesions must not have any of the following:1. Any untreated brain lesions \&gt; 1.0 cm in size2. Any brainstem lesions3. Ongoing use of systemic corticosteroids for control of symptoms of brain lesions at a total daily dose of \&gt; 10 mg of prednisone (or equivalent) prior to randomization.4. Have poorly controlled (\&gt; 1/week) generalized or complex partial seizures, or manifest neurologic progression due to brain lesions notwithstanding CNS-directed therapy* Phase 3: Radiation to the lung \&gt; 30 Gy within 6 months prior to the first dose of study treatment</t>
  </si>
  <si>
    <t>Sacituzumab tirumotecan</t>
  </si>
  <si>
    <t>MK-2870</t>
  </si>
  <si>
    <t>SKB264</t>
  </si>
  <si>
    <t>NCT06170788</t>
  </si>
  <si>
    <t>2023-503376-24-00, ChiCTR2400083440, CTR20241031, jRCT2051240089</t>
  </si>
  <si>
    <t>TroFuse-007</t>
  </si>
  <si>
    <t>United States - Argentina - Australia - Brazil - Canada - Chile - China - Colombia - Czech Republic - Denmark - France - Germany - Italy - Japan - Mexico - Netherlands - Peru - Poland - Portugal - South Korea - Spain - Taiwan - Thailand - Turkey - United Kingdom - Vietnam</t>
  </si>
  <si>
    <t>A Randomized, Open-label, Phase 3 Study of MK-2870 in Combination With Pembrolizumab Compared to Pembrolizumab Monotherapy in the First-line Treatment of Participants With Metastatic Non-small Cell Lung Cancer With PD-L1 TPS Greater Than or Equal to 50% (TroFuse-007)</t>
  </si>
  <si>
    <t>Inclusion Criteria:* Histologically or cytologically confirmed diagnosis of squamous or nonsquamous NSCLC* Confirmation that epidermal growth factor receptor- (EGFR-), anaplastic lymphoma kinase- (ALK-), or proto-oncogene tyrosine-protein kinase ROS (ROS1-) directed therapy is not indicated as primary therapy* Provided tumor tissue that demonstrates programmed cell death ligand 1 (PD-L1) expression in ≥50% of tumor cells as assessed by an immunohistochemistry (IHC) central laboratory* An Eastern Cooperative Oncology Group (ECOG) performance status of 0 to 1 assessed within 7 days before randomization.* A life expectancy of at least 3 months.* Human immunodeficiency virus (HIV)-infected participants must have well controlled HIV on antiretroviral therapy (ART)Exclusion Criteria:* Diagnosis of small cell lung cancer or, for mixed tumors, presence of small cell elements.* Has Grade ≥2 peripheral neuropathy.* History of documented severe dry eye syndrome, severe Meibomian gland disease and/or blepharitis, or severe corneal disease that prevents/delays corneal healing.* Has active inflammatory bowel disease requiring immunosuppressive medication or previous clear history of inflammatory bowel disease (eg, Crohn's disease, ulcerative colitis, or chronic diarrhea).* Has uncontrolled, significant cardiovascular disease or cerebrovascular disease within the 6 months preceding study intervention.* Received prior systemic anticancer therapy for their metastatic NSCLC.* Received prior therapy with an anti-PD-1, anti-PD-L1, or anti-PD-L2 agent, or with an agent directed to another stimulatory or coinhibitory T-cell receptor Note:: Prior treatment with an anti-PD-1, anti-PD- L1, or anti-PD-L2 agent in the neoadjuvant or adjuvant setting for nonmetastatic resectable NSCLC is allowed as long as therapy was completed at least 12 months before diagnosis of metastatic NSCLC.* Received prior systemic anticancer therapy including investigational agents within 4 weeks before randomization.* Received radiation therapy to the lung that is \&gt;30 Gy within 6 months of start of study intervention.* Received prior radiotherapy within 2 weeks of start of study intervention, or radiation-related toxicities, requiring corticosteroids.* Received a live or live-attenuated vaccine within 30 days before the first dose of study intervention. Administration of killed vaccines are allowed.* Diagnosis of immunodeficiency or is receiving chronic systemic steroid therapy* Known additional malignancy that is progressing or has required active treatment within the past 3 years.* Known active central nervous system (CNS) metastases and/or carcinomatous meningitis.* Known intolerance to sacituzumab tirumotecan or pembrolizumab and/or any of their excipients; for pembrolizumab, severe hypersensitivity (≥Grade 3) is exclusionary.* Known hypersensitivity to sacituzumab tirumotecan or other biologic therapy.* Active autoimmune disease that has required systemic treatment in the past 2 years.* History of (noninfectious) pneumonitis/interstitial lung disease (ILD) that required steroids or has current pneumonitis/ILD.* Active infection requiring systemic therapy* Concurrent active Hepatitis B and Hepatitis C virus infection.* Human immunodeficiency virus (HIV)-infected participants with a history of Kaposi's sarcoma and/or Multicentric Castleman's Disease.* History of allogeneic tissue/solid organ transplant.* Requires treatment with a strong inhibitor or inducer of Cytochrome P450 3A4 (CYP3A4) at least 14 days before the first dose of study intervention and throughout the study.</t>
  </si>
  <si>
    <t>ALK, EGFR, ROS1, EGFR Exon 19-del, EGFR L858R</t>
  </si>
  <si>
    <t>KL610023 / tirumotecan</t>
  </si>
  <si>
    <t>OptiDC (Kelun Biotech)</t>
  </si>
  <si>
    <t>Calderasib</t>
  </si>
  <si>
    <t>MK-1084</t>
  </si>
  <si>
    <t>NCT06345729</t>
  </si>
  <si>
    <t>2023-507776-42, 2023-507776-42-00, CTR20242278, jRCT2031240213</t>
  </si>
  <si>
    <t>KANDLELIT-004</t>
  </si>
  <si>
    <t>Placebo + Pembrolizumab</t>
  </si>
  <si>
    <t>United States - Argentina - Australia - Austria - Brazil - Bulgaria - Canada - Chile - China - France - Georgia - Germany - Greece - India - Italy - Japan - Mexico - Netherlands - New Zealand - Philippines - Poland - Romania - South Korea - Spain - Turkey - Ukraine - United Kingdom</t>
  </si>
  <si>
    <t>A Phase 3, Randomized, Double-blind, Multicenter Study of MK-1084 in Combination With Pembrolizumab Compared With Pembrolizumab Plus Placebo as Firstline Treatment of Participants With KRAS G12C-Mutant, Locally Advanced or Metastatic NSCLC With PD-L1 TPS ≥50% (KANDLELIT-004)</t>
  </si>
  <si>
    <t>The main inclusion and exclusion criteria include but are not limited to the following:Inclusion Criteria:* Has histologically or cytologically confirmed diagnosis of non-small cell lung cancer (NSCLC)* Has newly diagnosed Stage IIIB/IIIC NSCLC, not eligible for curative resection or curative chemotherapy/radiation as determined by a multidisciplinary tumor board and/or by radiation oncologist, surgeon, and medical oncologist or Stage IV (M1a, M1b, or M1c) by American Joint Committee on Cancer (AJCC) Staging Manual, Version 8* Provides an archival tumor tissue sample (≤5 years) or newly obtained core, incisional, or excisional biopsy of a tumor lesion not previously irradiated to enable central laboratory testing of kirsten rat sarcoma (KRAS) G12C mutation status, PD-L1 status, and biomarker research* If have had adverse events (AEs) due to previous anticancer therapies, must have recovered to \&lt; Grade 1 or baseline* If human immunodeficiency virus (HIV)-infected, must have well controlled HIV on antiretroviral therapy (ART)* If Hepatitis B surface antigen (HBsAg) positive, have received Hepatitis B Virus (HBV) antiviral therapy for at least 4 weeks, and have undetectable HBV viral load* If a participant has a history of Hepatitis C virus (HCV) infection, HCV viral load is undetectableExclusion Criteria:* Has diagnosis of small cell lung cancer. For mixed tumors, if small cell elements are present, the participant is ineligible* Has active inflammatory bowel disease requiring immunosuppressive medication or previous clear history of inflammatory bowel disease* Has known history of, or active, neurologic paraneoplastic syndrome* Has an active infection requiring systemic therapy, with exceptions* Has uncontrolled, significant cardiovascular disease or cerebrovascular disease* Has one or more of the following ophthalmological findings/conditions: intraocular pressure \&gt;21 mmHg and/or any diagnosis of glaucoma, diagnosis of central serous retinopathy, retinal vein occlusion, or retinal artery occlusion, diagnosis of retinal degenerative disease* Has received prior systemic anticancer therapy for their locally advanced or metastatic NSCLC* Has received radiation therapy to the lung that is \&gt;30 Gray within 6 months of start of study intervention* Has received radiotherapy within 2 weeks of start of study intervention. Participants must have recovered from all radiation-related toxicities, not required corticosteroids, and not have had radiation pneumonitis* Has known active central nervous system metastases and/or carcinomatous meningitis* Known additional malignancy that is progressing or has required active treatment within the past 3 years* Has active autoimmune disease that has required systemic treatment in the past 2 years* Has history of (noninfectious) pneumonitis/interstitial lung disease that required steroids or has current pneumonitis/interstitial lung disease* Is HIV-infected and has a history of Kaposi's sarcoma and/or Multicentric Castleman's Disease* Has history of allogenic tissue/solid organ transplant* Has not fully recovered from any effects of major surgical procedure</t>
  </si>
  <si>
    <t>Repotrectinib</t>
  </si>
  <si>
    <t>Augtyro</t>
  </si>
  <si>
    <t>NCT06140836</t>
  </si>
  <si>
    <t>CTRI/2024/10/075224, SNCTP000005720, 2023-505604-32-00, CTR20233329, jRCT2021230046</t>
  </si>
  <si>
    <t>Multi-kinase inhibitor</t>
  </si>
  <si>
    <t>ALK, FAK, NTRK, ROS1, Src</t>
  </si>
  <si>
    <t>TRIDENT-3</t>
  </si>
  <si>
    <t>United States - Argentina - Austria - Brazil - Canada - Chile - China - France - Germany - Greece - Hungary - India - Italy - Japan - Netherlands - Poland - Romania - South Korea - Spain - Switzerland - Turkey</t>
  </si>
  <si>
    <t>Randomized, Open-label, Multicenter, Phase 3 Trial of Repotrectinib Versus Crizotinib in Participants With Locally Advanced or Metastatic Tyrosine Kinase Inhibitor (TKI)-naïve ROS1-positive Non-Small Cell Lung Cancer (NSCLC) (TRIDENT-3)</t>
  </si>
  <si>
    <t>Inclusion Criteria:* Participant has histologically or cytologically confirmed diagnosis of locally advanced or metastatic NSCLC* Participant has a ROS1 gene rearrangement/fusion as detected by a local test.* At least 1 measurable lesion according to RECIST v1.1, as assessed by the investigator.* Participants must not be exposed previously with TKIs that demonstrated activities in ROS1-positive NSCLC* Up to 1 prior line of systemic treatment for NSCLC is permitted* ECOG Performance Status ≤ 2Exclusion Criteria:* Symptomatic brain metastases or symptomatic leptomeningeal involvement.* History of previous cancer requiring therapy within the previous 2 years, except for NSCLC under study, squamous cell or basal-cell carcinoma of the skin, or any in situ carcinoma that has been completely resected.* Known tumor targetable co-mutations or rearrangements* Clinically significant cardiovascular disease (either active or within 6 months prior to enrollment)Note:: Other protocol-defined inclusion/exclusion criteria apply</t>
  </si>
  <si>
    <t>NCT06350097</t>
  </si>
  <si>
    <t>2023-509883-89-00, CTR20241813, jRCT2031240580</t>
  </si>
  <si>
    <t>EGFR T790M, TROP2</t>
  </si>
  <si>
    <t>TROPION-Lung14</t>
  </si>
  <si>
    <t>United States - Australia - Brazil - Canada - China - France - Germany - Hong Kong - India - Italy - Japan - Poland - Puerto Rico - South Korea - Spain - Taiwan - Thailand - Turkey - Vietnam</t>
  </si>
  <si>
    <t>A Phase III, Open-label, Randomised Study of Osimertinib With or Without Datopotamab Deruxtecan (Dato-DXd), as First-line Treatment in Participants With Epidermal Growth Factor Receptor (EGFR) Mutation-positive, Locally Advanced or Metastatic Non-small Cell Lung Cancer</t>
  </si>
  <si>
    <t>Inclusion Criteria:Age1. Participant must be ≥ 18 years.Type of Participant and Disease Characteristics2. Histologically or cytologically documented nonsquamous NSCLC. NSCLC of mixed histology is allowed if adenocarcinoma is the predominant histology. Mixed small-cell lung cancer and NSCLC histology, and sarcomatoid variant of NSCLC is ineligible.3. Stage IIIB or IIIC or Stage IV metastatic NSCLC or recurrent NSCLC (based on the American Joint Committee on Cancer Edition 8) not amenable to curative surgery or definitive chemoradiation at the time of randomisation.4. Participants must not have received prior EGFR TKIs or other systemic therapy for Stage IIIB, IIIC or IV NSCLC.5. The tumour harbors at least 1 of the 2 common EGFR mutations known to be associated with EGFR-TKI sensitivity (Ex19del or L858R), either alone or in combination with other genomic alterations, which may include EGFR T790M, assessed by a CLIA-certified (US sites) or an accredited (outside of the US) local laboratory or by central prospective tissue testing.6. For participants enrolled in randomisation period, mandatory provision of an unstained, archival tumour tissue sample in a quantity sufficient to allow for central confirmation of the EGFR mutation status.7. WHO performance status of 0 or 1.8. At least one lesion not previously irradiated that qualifies as a RECIST 1.1 TL at baseline and can be accurately measured at baseline as ≥10 mm in the longest diameter (except lymph nodes, which must have short axis ≥15 mm) with CT or MRI and is suitable for accurate repeated measurements.9. Adequate bone marrow reserve and organ function within 7 days before the first dose of study intervention.Sex and Contraceptive/Barrier Requirements10. Contraceptive use by males or females should be consistent with local regulations regarding the methods of contraception for those participating in clinical studies.Other Inclusion Criteria11. All races, gender and ethnic groups are eligible for this study.Exclusion Criteria:1. As judged by the investigator, any evidence of diseases (such as severe or uncontrolled systemic diseases, including active bleeding diseases, psychiatric illness/social situations), history of allogenic organ transplant, and/or substance abuse which, in the investigator's opinion, makes it undesirable for the participant to participate in the study or that would jeopardise compliance with the protocol.2. Refractory nausea and vomiting, chronic gastrointestinal disease, inability to swallow the formulated product, or previous significant bowel resection that would preclude adequate absorption, distribution, metabolism, or excretion of osimertinib.3. History of another primary malignancy.4. Spinal cord compression and unstable brain metastases, as defined by Protocol.5. Clinically significant corneal disease.6. Has active or uncontrolled hepatitis B or C virus infection, as defined by Protocol.7. Known HIV infection that is not well controlled, as defined by Protocol.8. Uncontrolled infection requiring i.v. antibiotics, antivirals or antifungals; suspected infections (eg, prodromal symptoms); or inability to rule out infections (participants with localised fungal infections of skin or nails are eligible).9. Resting ECG with clinically abnormal findings, as defined by Protocol.10. Uncontrolled or significant cardiac disease, as defined by Protocol.11. Past medical history of ILD/penumonitis, including radiation pneumonitis (apart from radiation pneumonitis that did not require steroids), or drug-induced ILD/pneumonitis, or has suspected ILD/pneumonitis that cannot be ruled out by imaging at screening.12. Pulmonary embolism within 3 months of the study enrolment or has severe pulmonary function compromise.Prior/Concomitant Therapy13. Prior exposure to any agent including an ADC containing a chemotherapeutic agent targeting topoisomerase I, TROP2-targeted therapy.Prior/Concurrent Clinical Study Experience14. Participants with a known history of severe hypersensitivity reactions to either Dato-DXd and osimertinib or any excipients of Dato DXd and osimertinib or drugs with a similar chemical structure or class to DXd and osimertinib.</t>
  </si>
  <si>
    <t>EGFR, EGFR Exon 19-del, EGFR L858R, EGFR T790M</t>
  </si>
  <si>
    <t>NCT06767514</t>
  </si>
  <si>
    <t>2024-518629-14-00, CTR20251989, jRCT2031250093</t>
  </si>
  <si>
    <t>HARMONi-7/AK112-3007</t>
  </si>
  <si>
    <t>United States - Canada - China - France - Germany - Greece - Hungary - Italy - Japan - Mexico - Poland - Portugal - Romania - Serbia - Spain - Turkey</t>
  </si>
  <si>
    <t>A Randomized, Double-blinded, Multiregional Phase 3 Study of Ivonescimab Versus Pembrolizumab for the First-line Treatment of Metastatic Non-small Cell Lung Cancer in Patients Whose Tumors Demonstrate High PD-L1 Expression</t>
  </si>
  <si>
    <t>Inclusion Criteria:* Age ≥ 18 years old at the time of enrollment* Eastern Cooperative Oncology Group (ECOG) performance status score of 0 - 1* Expected life expectancy ≥ 3 months* Metastatic (Stage IV) NSCLC* Histologically or cytologically confirmed squamous or non-squamous NSCLC* Tumor demonstrates high PD-L1 expression ( TPS\&gt;50%) based on a 22C3 immunohistochemistry ( IHC) clinical assay approved / cleared by local health authorities.* At least one measurable noncerebral lesion according to RECIST 1.1* No prior systemic treatment for metastatic NSCLC.Exclusion Criteria:* Histologic or cytopathologic evidence of the presence of small cell lung carcinoma for which first-line approved therapies are indicated. For patients with non-squamous histology, actionable driver mutation testing results are required before randomization.* Has received any prior therapy for NSCLC in the metastatic setting.* Concurrent enrollment in another clinical study, unless patient is enrolled in a non-interventional clinical study or is completing survival follow -up.* Known actionable genomic alterations for which first-line approved therapies are indicated* Symptomatic CNS metastases, CNS metastasis ≥ 1.5 cm, CNS radiation within 7 days prior to randomization, potential need for CNS radiation within the first cycle, or leptomeningeal disease* Other prior malignancy (including previously treated NSCLC) unless the patient has undergone curative therapy with no evidence of recurrence of the disease for 3 years prior to randomization* Active autoimmune or lung disease requiring systemic therapy* Has pre-existing peripheral neuropathy that is ≥ Grade 2 by CTCAE version 5* Severe infection within 4 weeks prior to randomization* Major surgical procedures or serious trauma within 4 weeks prior to randomization* History of noninfectious pneumonia requiring systemic corticosteroids, or current interstitial lung disease</t>
  </si>
  <si>
    <t>EGFR, ALK, ROS1, BRAF V600E</t>
  </si>
  <si>
    <t>Rilvegostomig</t>
  </si>
  <si>
    <t>AZD2936</t>
  </si>
  <si>
    <t>NCT06357533</t>
  </si>
  <si>
    <t>CTRI/2024/10/075886, 2023-505077-32-00, CTR20250759, jRCT2031240095</t>
  </si>
  <si>
    <t>Anti-TIGIT/PD-1 bispecific monoclonal antibody</t>
  </si>
  <si>
    <t>CD279, PD-1, TIGIT, TROP2</t>
  </si>
  <si>
    <t>TROPION-Lung10</t>
  </si>
  <si>
    <t>United States - Australia - Austria - Belgium - Brazil - Canada - China - Germany - Hungary - India - Italy - Japan - Poland - Puerto Rico - South Korea - Spain - Taiwan - Thailand - Turkey - United Kingdom - Vietnam</t>
  </si>
  <si>
    <t>A Phase III, Randomised, Open-label, Global Study of Datopotamab Deruxtecan (Dato-DXd) in Combination With Rilvegostomig or Rilvegostomig Monotherapy Versus Pembrolizumab Monotherapy for the First-line Treatment of Participants With Locally-advanced or Metastatic Non-squamous NSCLC With High PD-L1 Expression (TC ≥ 50%) and Without Actionable Genomic Alterations (TROPION-Lung10)</t>
  </si>
  <si>
    <t>Inclusion Criteria:* Histologically or cytologically documented non-squamous NSCLC.* Stage IIIB or IIIC or Stage IV metastatic NSCLC (according to Edition 8 of the AJCC staging manual) not amenable to curative surgery or definitive chemoradiation.* Absence of sensitising EGFR mutations, and ALK and ROS1 rearrangements, and absence of documented local test result for any other known genomic alteration for which there are locally approved and available targeted first-line therapies.* Must provide tumor sample to determine PD-L1 status, TROP2 status and other biomarkers.* Known tumour PD-L1 expression status defined as TC ≥ 50%* At least one lesion, not previously irradiated that qualifies as a RECIST 1.1 target lesion at baseline* ECOG performance status of 0 or 1* Adequate bone marrow reserve and organ functionExclusion Criteria:* Prior systemic therapy for advanced/metastatic NSCLC.* Squamous cell histology, or predominantly squamous cell histology NSCLC; mixed small cell lung cancer; NSCLC histology, sarcomatoid variant.* History of another primary malignancy within 3 years* Active or prior documented autoimmune or inflammatory disorders (with exceptions)* Any evidence of severe or uncontrolled disease that makes it undesirable for the participant to participate in the study or that would jeopardies compliance with the protocol.* Has clinically significant third-space fluid retention (for example pleural effusion) and is not amenable for repeated drainage.* History of any ILD/pneumonitis, including radiation pneumonitis (apart from radiation pneumonitis that did not require steroids), or drug-induced ILD/pneumonitis, has current or suspected ILD/pneumonitis that cannot be ruled out by imaging at screening.* Has significant pulmonary function compromise, as determined by the investigator* Spinal cord compression, or brain metastases unless participant treated and no longer symptomatic, radiologically stable, and who require no treatment with corticosteroids or anticonvulsants.* History of leptomeningeal carcinomatosis* Known clinically significant corneal disease* Active infection with TB, HBV, HCV, Hepatitis A, or known HIV infection that is not well controlled* History of active primary immunodeficiency</t>
  </si>
  <si>
    <t>PD-L1 TC ≥ 50%</t>
  </si>
  <si>
    <t>ABP 234</t>
  </si>
  <si>
    <t>NCT06311721</t>
  </si>
  <si>
    <t>2024-514304-14-00, jRCT2061240025</t>
  </si>
  <si>
    <t>Pemetrexed, Cisplatin, Carboplatin</t>
  </si>
  <si>
    <t>United States - Argentina - Austria - Brazil - Bulgaria - Chile - France - Georgia - Germany - Italy - Japan - Malaysia - Peru - Philippines - Poland - Serbia - South Africa - South Korea - Spain - Taiwan - Thailand - Turkey - United Kingdom</t>
  </si>
  <si>
    <t>A Randomized, Double-Blind Study to Compare Efficacy, Pharmacokinetics, Safety, and Immunogenicity Between ABP 234 and Keytruda® (Pembrolizumab) in Subjects With Advanced or Metastatic Non-squamous Non-Small Cell Lung Cancer</t>
  </si>
  <si>
    <t>Inclusion Criteria:1. At least 18 years of age.2. Histologically or cytologically confirmed stage IV non-squamous Non-Small Cell Lung Cancer (NSCLC).3. Participant has no prior systemic treatment for advanced disease.4. Measurable disease according to RECIST v1.1.5. Tumor tissue from the resected site of disease must be available for biomarker analyses in order to be randomized.6. Eastern Cooperative Oncology Group performance status score 0 or 1.7. Epidermal growth factor receptor (EGFR), anaplastic lymphoma kinase (ALK), and c-ros oncogene 1, receptor tyrosine kinase of the insulin receptor family (ROS-1) negative8. Have a life expectancy of at least 3 months.Exclusion Criteria:1. Small cell lung cancer (SCLC) or mixed SCLC/NSCLC histology or squamous cell carcinoma.2. Participant has active central nervous system metastases not previously treated.3. Participant has active or known immune-mediated disorders.4. Participant has received prior systemic cytotoxic chemotherapy, immunotherapy (including PD-1/PD-L1), anti-neoplastic biological therapy, or targeted therapy for advanced/metastatic disease.5. Known hypersensitivity to monoclonal antibodies or to any of the excipients of the study drug, or to any component of cisplatin, carboplatin, or pemetrexed.</t>
  </si>
  <si>
    <t>NCT05211895</t>
  </si>
  <si>
    <t>2021-004327-32, CTRI/2022/06/043460 , SNCTP000005741, 2023-506891-28-00, jRCT2061210088</t>
  </si>
  <si>
    <t>B7-H1, CD274, PD-L1, TIGIT</t>
  </si>
  <si>
    <t>PACIFIC-8</t>
  </si>
  <si>
    <t>United States - Belgium - Brazil - Canada - Chile - China - France - Germany - Greece - Hong Kong - Hungary - India - Italy - Japan - Malaysia - Mexico - Norway - Philippines - Poland - Romania - South Africa - South Korea - Spain - Switzerland - Taiwan - Thailand - Turkey - United Kingdom - Vietnam</t>
  </si>
  <si>
    <t>A Phase III, Randomised, Double-blind, Placebo-controlled, Multicentre, International Study of Durvalumab Plus Domvanalimab(AB154) in Participants With Locally Advanced (Stage III), Unresectable Non-small Cell Lung Cancer Whose Disease Has Not Progressed Following Definitive Platinum-based Concurrent Chemoradiation Therapy</t>
  </si>
  <si>
    <t>INCLUSION CRITERIA:1. Participant must be ≥ 18 years at the time of screening.2. Histologically- or cytologically-documented NSCLC and have been treated with concurrent CRT for locally advanced, unresectable (Stage III) disease3. Provision of a tumour tissue sample obtained prior to CRT4. Documented tumour PD-L1 status ≥ 1% by central lab5. Documented EGFR and ALK wild-type status (local or central).6. Patients must not have progressed following definitive, platinum-based, concurrent chemoradiotherapy7. Participants must have received at least 2 cycles of platinum-based chemotherapy concurrent with radiation therapy8. Participants must have received a total dose of radiation of 60 Gy ±10% (54 Gy to 66 Gy) as part of the chemoradiation therapy, to be randomised. Radiation therapy should be administered by intensity modulated RT (preferred) or 3D-conforming technique.9. WHO performance status of 0 or 1 at randomization10. Adequate organ and marrow functionEXCLUSION CRITERIA:1. History of another primary malignancy, except for:* Malignancies treated with curative intent and adequate follow-up with no known active disease and have not required active treatment within the past 3 years before the first dose of study intervention and of low potential risk of recurrence.* Adequately resected non melanoma skin cancer or lentigo maligna without evidence of disease .* Adequately treated carcinoma in situ, including Ta tumors without evidence of disease.2. Mixed small cell and non-small cell lung cancer histology.3. Participants who receive sequential (not inclusive of induction) chemoradiation therapy for locally advanced (Stage III) unresectable NSCLC.4. Participants with locally advanced (Stage III) unresectable NSCLC who have progressed during platinum-based cCRT.5. Any unresolved toxicity CTCAE \&gt;Grade 2 from the prior chemoradiation therapy (excluding alopecia).6. Participants with ≥ grade 2 pneumonitis from prior chemoradiation therapy.7. History of idiopathic pulmonary fibrosis, drug-induced pneumonitis, or idiopathic pneumonitis - regardless of time of onset prior to randomisation. Evidence of active non-CRT induced pneumonitis (≥ Grade 2), active pneumonia, active ILD, active or recently treated pleural effusion, or current pulmonary fibrosis8. Active or prior documented autoimmune or inflammatory disorders (with exceptions)9. Active EBV infection, or known or suspected chronic active EBV infection at screening10. Current or prior use of immunosuppressive medication within 14 days before the first dose of durvalumab.</t>
  </si>
  <si>
    <t>TTFields</t>
  </si>
  <si>
    <t>Optune Gio</t>
  </si>
  <si>
    <t>Optune Pax</t>
  </si>
  <si>
    <t>Novocure</t>
  </si>
  <si>
    <t>NCT06216301</t>
  </si>
  <si>
    <t>MOH_2024-04-11_013371, SNCTP000006252</t>
  </si>
  <si>
    <t>TTFields 150 kHz</t>
  </si>
  <si>
    <t>CD279, NA, PD-1</t>
  </si>
  <si>
    <t>LUNAR-2</t>
  </si>
  <si>
    <t>Pembrolizumab + Platinum-based chemotherapy</t>
  </si>
  <si>
    <t>United States - Austria - Belgium - China - Czech Republic - France - Germany - Hungary - Israel - Italy - Netherlands - Poland - Singapore - Spain - Switzerland</t>
  </si>
  <si>
    <t>LUNAR-2: Pivotal, Randomized, Open-Label Study of Tumor Treating Fields (TTFields, 150 kHz) Concomitant With Pembrolizumab and Platinum-based Chemotherapy for the Treatment of Metastatic Non-Small Cell Lung Cancer</t>
  </si>
  <si>
    <t>Inclusion Criteria* ≥22 years of age in the USA≥18 years of age outside of the USA.* Histologically or cytologically diagnosis of stage 4 (according to Version 8 of the American Joint Committee on Cancer \[AJCC\] criteria) non-squamous or squamous NSCLC.* Evaluable (measurable or non-measurable) disease in the thorax per RECIST v1.1.* Have not received prior systemic treatment for their metastatic NSCLC. Subjects who received adjuvant, neoadjuvant chemotherapy or chemoradiotherapy with curative intent for non-metastatic disease are eligible if the therapy was completed at least 12 months prior to the development of metastatic disease.* ECOG Performance Status (PS) of 0-1.* Adequate hematologic and end-organ functiono For subjects not receiving therapeutic anticoagulation: INR or aPTT ≤ 1.5 x ULN (unless participant is receiving anticoagulant therapy as long as INR or aPTT is within therapeutic range of intended use of anticoagulants).* A female participant is eligible to participate if she is not pregnant, not breastfeeding* If male subject with a female partner(s) of child-bearing potential, must agree to use an effective contraception* All subjects must sign written informed consent.Exclusion Criteria:All individuals meeting any of the following exclusion criteria will be excluded from study participation:* Mixed small cell and NSCLC histology.* EGFR sensitizing mutation and/or ALK translocation, and/or ROS1 and/or RET targetable gene rearrangement, and/or METex14 skipping mutation, and/or NTRK1/2 gene fusion and/or BRAF V600 mutations directed therapy is indicated or planned for other targeted therapy, where such testing and therapy is locally approved and available.* Has received systemic therapy for metastatic disease.* Had major surgery \ 30 Gy within 6 months of randomization.* Has received prior radiotherapy within 2 weeks of randomization. Subjects must have recovered from all radiation-related toxicities, not require corticosteroids, and not have had radiation pneumonitis. A 1-week washout is permitted for palliative radiation (≤2 weeks of radiotherapy) to non-CNS disease.* Is expected to require any other form of antineoplastic therapy while on study.* Has a known additional malignancy that is progressing or has required active treatment within the past 3 years.* Note:: Subjects with basal cell carcinoma of the skin, squamous cell carcinoma of the skin, or carcinoma in situ (e.g., breast carcinoma, cervical cancer in situ) that have undergone potentially curative therapy are not excluded* Has symptomatic Central Nervous System (CNS) metastases and/or carcinomatous meningitis. Subjects with asymptomatic CNS metastases or with previously treated brain metastases may participate provided they were treated before randomization (if applicable) and are neurologically stable and without requirement of steroid treatment for at least 7 days prior to randomization.* Has active autoimmune disease that has required systemic treatment in past 2 years (i.e. with use of disease modifying agents, corticosteroids or immunosuppressive drugs).* Has a diagnosis of immunodeficiency or is receiving chronic systemic steroid therapy (in dosing exceeding 10 mg daily of prednisone equivalent) or any other form of immunosuppressive therapy within 7 days prior randomization. Subjects with asthma that require intermittent use of bronchodilators, inhaled steroids, or local steroid injections would not be excluded from the study.* Had prior treatment with any other anti-PD-1, or PD-L1 or PD-L2 agent or an antibody or a small molecule targeting other immuno-regulatory receptors or mechanisms in the 12 months prior to randomization.* Participation in another clinical study with an investigational agent or device during the 4 weeks prior to randomization.* Concurrent treatment with other experimental treatments for NSCLC while in the study.* Has a known sensitivity to any component of the planned systemic therapies (pembrolizumab, cisplatin/carboplatin, pemetrexed/paclitaxel/nab-paclitaxel) .* Pregnant or breastfeeding* Admitted to an institution by administrative or court order.</t>
  </si>
  <si>
    <t>EGFR, ALK, c-MET/MET Exon 14, NTRK1, NTRK2, RET, ROS1</t>
  </si>
  <si>
    <t>Divarasib</t>
  </si>
  <si>
    <t>GDC-6036</t>
  </si>
  <si>
    <t>RO7435846</t>
  </si>
  <si>
    <t>NCT06793215</t>
  </si>
  <si>
    <t>SNCTP000006599, 2024-518365-10-00, CTR20254061, jRCT2071250087</t>
  </si>
  <si>
    <t>Krascendo 2</t>
  </si>
  <si>
    <t>Pembrolizumab + Pemetrexed + Carboplatin/Cisplatin</t>
  </si>
  <si>
    <t>United States - Argentina - Australia - Belgium - Brazil - Canada - China - Denmark - France - Germany - Greece - Hong Kong - Hungary - Ireland - Italy - Japan - Mexico - Netherlands - New Zealand - Poland - Portugal - Singapore - South Africa - South Korea - Spain - Switzerland - Taiwan - United Kingdom</t>
  </si>
  <si>
    <t>A Phase III, Randomized, Open-Label Study Evaluating the Efficacy and Safety of Divarasib and Pembrolizumab Versus Pembrolizumab and Pemetrexed and Carboplatin or Cisplatin in Patients With Previously Untreated, KRAS G12C-Mutated, Advanced or Metastatic Non-Squamous Non-Small Cell Lung Cancer</t>
  </si>
  <si>
    <t>Inclusion Criteria:* Eastern Cooperative Oncology Group (ECOG) performance status of 0 or 1* Histologically or cytologically confirmed diagnosis of advanced or metastatic non squamous NSCLC that is not eligible for curative surgery and/or definitive chemoradiotherapy* Measurable disease, as defined by RECIST v1.1* No prior systemic treatment for advanced or metastatic NSCLC* Documentation of the presence of a KRAS G12C mutation* Documentation of known PD-L1 expression status in tumor tissue* Availability of a representative tumor specimen* Adequate end-organ function* Eligible to receive a platinum-based chemotherapy regimenExclusion Criteria Related to NSCLC:* Known concomitant second oncogenic driver with available targeted treatment* Symptomatic, untreated, or actively progressing central nervous system (CNS) metastases* Spinal cord compression not definitively treated with surgery and/or radiation or previously diagnosed and treated spinal cord compression without evidence that disease has been clinically stable for \&gt;=2 weeks prior to randomization* History of leptomeningeal disease* Uncontrolled tumor-related pain* Uncontrolled pleural effusion, pericardial effusion, or ascites requiring recurrent drainage procedures (once a month or more frequently)Exclusion Criteria Related to Current or Prior Treatments:* Any anti-cancer systemic therapy, including hormonal therapy, within 21 days prior to randomization, or is expected to require any other form of antineoplastic therapy while in the study* Radiation therapy including palliative RT to bone metastases within 2 weeks prior to randomization and RT to the lung \&gt;30Gy within 6 months prior to randomization* Prior treatment with KRAS G12C inhibitors or pan-KRAS/RAS inhibitors* Treatment with systemic immunosuppressive or immunostimulatory medications, including CD137 agonists and immune checkpoint inhibitors* Current treatment with medications that are well known to prolong the QT interval* Treatment with therapeutic oral or IV antibiotics within 2 weeks prior to randomization* Prior allogeneic stem cell or solid organ transplantationExclusion Criteria Related to General Health:* History of malignancy other than NSCLC within 5 years prior to screening, with the exception of malignancies with a negligible risk of metastasis or death (e.g., 5-year overall survival \[OS\] rate \&gt;90%), such as adequately treated carcinoma in situ of the cervix, non melanoma skin carcinoma, localized prostate cancer, ductal breast carcinoma in situ, or Stage I uterine cancer* Individuals with chronic diarrhea, short bowel syndrome or significant upper gastrointestinal surgery including gastric resection, a history of inflammatory bowel disease (e.g., Crohn's disease or ulcerative colitis) or any active bowel inflammation (including diverticulitis), malabsorption syndrome, conditions that would interfere with enteral absorption* History of idiopathic pulmonary fibrosis, organizing pneumonia (e.g., bronchiolitis obliterans), drug-induced pneumonitis, or idiopathic pneumonitis, or evidence of active pneumonitis on the screening chest computed tomography scan* Significant cardiovascular disease within 3 months prior to screening</t>
  </si>
  <si>
    <t>EGFR, ALK, ROS1, BRAF V600E, NTRK, RET, c-MET/MET Exon 14</t>
  </si>
  <si>
    <t>66481AAA</t>
  </si>
  <si>
    <t>Pembrolizumab, Nivolumab</t>
  </si>
  <si>
    <t>ResQ301</t>
  </si>
  <si>
    <t>Pembrolizumab + Chemotherapy</t>
  </si>
  <si>
    <t>HLX43</t>
  </si>
  <si>
    <t>YL222</t>
  </si>
  <si>
    <t>Shanghai Henlius Biotech</t>
  </si>
  <si>
    <t>88265AAA</t>
  </si>
  <si>
    <t>Anti-PD-L1 ADC monoclonal antibody</t>
  </si>
  <si>
    <t>NCT06422143</t>
  </si>
  <si>
    <t>2023-510128-66-00, CTR20242541, jRCT2021240015</t>
  </si>
  <si>
    <t>TroFuse-023</t>
  </si>
  <si>
    <t>Pembrolizumab monotherapy</t>
  </si>
  <si>
    <t>United States - Argentina - Austria - Brazil - Canada - Chile - China - Colombia - Czech Republic - France - Germany - Hungary - Ireland - Israel - Italy - Japan - Peru - Poland - Romania - South Korea - Spain - Taiwan - Thailand - Turkey - United Arab Emirates - United Kingdom</t>
  </si>
  <si>
    <t>Phase 3 Study of Pembrolizumab in Combination With Carboplatin/Taxane (Paclitaxel or Nab-paclitaxel) Followed by Pembrolizumab With or Without Maintenance MK-2870 in the First-line Treatment of Metastatic Squamous Non-small Cell Lung Cancer</t>
  </si>
  <si>
    <t>Inclusion Criteria:* Histologically or cytologically confirmed diagnosis of squamous non-small cell lung cancer (NSCLC) \[Stage IV: M1a, M1b, M1c, American Joint Committee on Cancer Staging Manual, version 8\]* Measurable disease per Response Evaluation Criteria in Solid Tumours (RECIST) 1.1 as assessed by the local site investigator/radiology* Has life expectancy ≥3 months* Has Eastern Cooperative Oncology Group Performance Status (ECOG PS) score of 0 or 1 assessed within 7 days prior to allocation* Archival tumor tissue sample or newly obtained core, incisional, or excisional biopsy of a tumor lesion not previously irradiated has been provided* Human immunodeficiency virus (HIV)-infected participants must have well controlled HIV on antiretroviral therapy (ART)* Participants who are hepatitis B surface antigen (HBsAg)-positive are eligible if they have received hepatitis B virus (HBV) antiviral therapy for at least 4 weeks and have undetectable HBV viral load before allocation* Participants with history of hepatitis C virus (HCV) infection are eligible if HCV viral load is undetectable at screening* Participants who have adverse events (AEs) due to previous anticancer therapies must have recovered to Grade ≤1 or baseline (participants with endocrine-related AEs who are adequately treated with hormone replacement are eligible)* Has adequate organ function* For Maintenance only (prior to randomization): is without disease progression of their NSCLC, as determined by BICR using RECIST 1.1 after completion of study-specified Induction with an evaluable scan at Week 12 or most recent scan before randomization* For Maintenance only (prior to randomization): has ECOG PS of 0 or 1 as assessed at the Prerandomization Visit* For Maintenance only (prior to randomization): all AEs (with the exception of alopecia, Grade ≤2 fatigue, Grade ≤2 peripheral neuropathy, and Grade ≤2 endocrine-related AEs requiring treatment or hormone replacement) have recoveredExclusion Criteria:* Diagnosis of small cell lung cancer or, for mixed tumors, presence of small cell elements* History of documented severe dry eye syndrome, severe Meibomian gland disease and/or blepharitis, or severe corneal disease that prevents/delays corneal healing* Active inflammatory bowel disease requiring immunosuppressive medication or previous history of inflammatory bowel disease (eg, Crohn's disease, ulcerative colitis, or chronic diarrhea)* Has uncontrolled, significant cardiovascular disease or cerebrovascular disease including New York Heart Association Class III or IV congestive heart failure, unstable angina, myocardial infarction, uncontrolled symptomatic arrhythmia, prolongation of QTcF interval to \&gt;480 ms, and other serious cardiovascular and cerebrovascular diseases within 6 months before study intervention* HIV-infected participants who have been newly diagnosed or with a history of Kaposi's sarcoma and/or Multicentric Castleman's Disease* Received prior systemic chemotherapy or other targeted or biological antineoplastic therapy for their metastatic NSCLC. Note:: Prior treatment with chemotherapy and/or radiation as a part of neoadjuvant or adjuvant therapy or chemoradiation therapy for nonmetastatic NSCLC is allowed as long as therapy was completed at least 12 months before diagnosis of metastatic NSCLC* Received prior therapy with an anti-programmed cell death 1 protein (PD-1), anti-programmed cell death ligand 1 (PD-L1), or anti programmed cell death ligand 2 (PD-L2) agent, or with an agent directed to another stimulatory or coinhibitory T-cell receptor (eg, cytotoxic T lymphocyte-associated protein 4, OX-40, CD137). Note:: Prior treatment with an anti-PD-1 or anti-PD-L1 agent for nonmetastatic NSCLC is allowed as long as therapy was completed at least 12 months before diagnosis of metastatic NSCLC* Received prior treatment with a trophoblast cell-surface antigen 2 (TROP2)-targeted antidrug conjugate (ADC)* Received radiation therapy to the lung that is \&gt;30 Gray within 6 months of start of study intervention* Received prior radiotherapy within 2 weeks of start of study intervention, or radiation-related toxicities, requiring corticosteroids* Received a live or live-attenuated vaccine within 30 days before the first dose of study intervention* Participants who have not adequately recovered from major surgery or have ongoing surgical complications* Received prior treatment with a topoisomerase I inhibitor-containing ADC* Is currently receiving a strong inducer/inhibitor of CYP3A4 that cannot be discontinued for the duration of the study (the required washout period before starting sac-TMT is 2 weeks)* Has a known additional malignancy that is progressing or has required active treatment within the past 3 years.* Has known central nervous system (CNS) metastases/carcinomatous meningitis* Severe hypersensitivity (≥Grade 3) to study intervention and/or any of its excipients or to another biologic therapy* Active autoimmune disease that has required systemic treatment in the past 2 years (replacement therapy \[eg, thyroxine, insulin, or physiologic corticosteroid\] is allowed)* History of (noninfectious)pneumonitis/interstitial lung disease that required steroids or has current pneumonitis/interstitial lung disease* Active infection requiring systemic therapy* History of allogeneic tissue/solid organ transplant</t>
  </si>
  <si>
    <t>Fianlimab</t>
  </si>
  <si>
    <t>REGN3767</t>
  </si>
  <si>
    <t>NCT05800015</t>
  </si>
  <si>
    <t>2022-501577-40-00</t>
  </si>
  <si>
    <t>Anti-LAG-3 monoclonal antibody</t>
  </si>
  <si>
    <t>CD279, LAG-3, Microtubule, NA, PD-1, TS, TYMS</t>
  </si>
  <si>
    <t>Cemiplimab, Pemetrexed, Paclitaxel, Carboplatin, Cisplatin</t>
  </si>
  <si>
    <t>R3767-ONC-2236</t>
  </si>
  <si>
    <t>Cemiplimab + platinum-doublet chemotherapy + placebo</t>
  </si>
  <si>
    <t>United States - Australia - Canada - Georgia - Israel - Malaysia - South Korea - Taiwan - Thailand - Turkey</t>
  </si>
  <si>
    <t>A Randomized, Double-Blind Phase 2/3 Study of Fianlimab (Anti-LAG-3 Antibody), Cemiplimab (Anti-PD-1 Antibody), and Chemotherapy Versus Cemiplimab and Chemotherapy in First-Line Treatment of Patients With Advanced Non-Small Cell Lung Cancer (NSCLC) Irrespective of PD-L1 Expression Levels</t>
  </si>
  <si>
    <t>Key Inclusion Criteria:1. Patients with non-squamous or squamous histology NSCLC with stage IIIB or stage IIIC disease who are not candidates for surgical resection or definitive chemoradiation per investigator assessment or stage IV (metastatic disease), who received no prior systemic treatment for recurrent or metastatic NSCLC.2. Availability of an archival or on-study formalin-fixed, paraffin-embedded (FFPE) tumor tissue sample, without intervening therapy between biopsy collection and screening as described in the protocol3. For enrollment in phase 2, patients should have PD-L1, expression results (regardless of expression level) determined by a College of American Pathologists (CAP)/Clinical Laboratory Improvement Amendments (CLIA) (or equivalently licensed, according to local regulations) accredited laboratory, as described in the protocol. For enrollment in phase 3, patients should have a valid PD-L1 result, regardless of expression level, using an assay as performed by a central laboratory, as described in the protocol.4. At least 1 radiographically measurable lesion by computed tomography (CT) or magnetic resonance imaging (MRI) per RECIST 1.1 criteria. Target lesions may be located in a previously irradiated field if there is documented (radiographic) disease progression in that site.5. Eastern Cooperative Oncology Group (ECOG) performance status of ≤1.6. Adequate organ and bone marrow function as defined in the protocol.Key Exclusion Criteria:1. Active or untreated brain metastases or spinal cord compression. Patients are eligible if central nervous system (CNS) metastases are adequately treated and patients have neurologically returned to baseline (except for residual signs or symptoms related to the CNS treatment) for at least 2 weeks prior to enrollment. Patients must be off (immunosuppressive doses of) corticosteroid therapy.2. Patients with tumors tested positive for actionable epidermal growth factor receptor (EGFR) gene mutations, anaplastic lymphoma kinase (ALK) gene translocations, or ROS oncogene 1 (ROS1) fusions, as described in the protocol.3. Encephalitis, meningitis, or uncontrolled seizures in the year prior to enrollment.4. History of interstitial lung disease (eg, idiopathic pulmonary fibrosis or organizing pneumonia), of active, noninfectious pneumonitis that required immune-suppressive doses of glucocorticoids to assist with management, or of pneumonitis within the last 5 years. A history of radiation pneumonitis in the radiation field is permitted as long as pneumonitis resolved ≥6 months prior to enrollment.5. Known primary immunodeficiencies, either cellular (eg, DiGeorge syndrome, T-cell-negative severe combined immunodeficiency \[SCID\]) or combined T- and B-cell immunodeficiencies (eg, T- and B-cell negative SCID, Wiskott Aldrich syndrome, ataxia telangiectasia, common variable immunodeficiency).6. Ongoing or recent (within 2 years) evidence of significant autoimmune disease that required treatment with systemic immunosuppressive treatments, which may suggest risk of immune-mediated treatment-emergent adverse events (imTEAEs). Patients with uncontrolled type 1 diabetes mellitus or with uncontrolled adrenal insufficiency are excluded. The following are not exclusionary: vitiligo, childhood asthma that has resolved, residual hypothyroidism that required only hormone replacement, or psoriasis that does not require systemic treatment.7. Patients with a condition requiring corticosteroid therapy (\&gt;10 mg prednisone/day or equivalent) within 14 days of randomization. Physiologic replacement doses are allowed even if they are \&gt;10 mg of prednisone/day or equivalent, as long as they are not being administered for immunosuppressive intent. Patients with clinically relevant systemic immune suppression within the last 3 months before trial enrollment are excluded. Inhaled or topical steroids are permitted, provided that they are not for treatment of an autoimmune disorder.8. Patients who have received prior systemic therapies are excluded with the exception of the following:1. Adjuvant or neoadjuvant platinum-based doublet chemotherapy (after surgery and/or radiation therapy) if recurrent or metastatic disease develops more than 6 months after completing therapy as long as toxicities have resolved to CTCAE grade ≤1 or baseline with the exception of alopecia and peripheral neuropathy.2. Anti-PD-(L)1 with or without LAG-3 as an adjuvant or neoadjuvant therapy as long as the last dose is \&gt;12 months prior to enrollment.3. Prior exposure to other immunomodulatory or vaccine as an adjuvant or neoadjuvant therapy such as Cytotoxic T-lymphocyte-associated protein 4 (anti-CTLA-4) antibodies as long as the last dose is \&gt;6 months prior to enrollment. Immune-mediated AEs must be resolved to CTCAE grade ≤1 or baseline by the time of enrollment. Endocrine immune-mediated AEs controlled with hormonal or other non-immunosuppressive therapies without resolution prior to enrollment are allowed.Note:: Other protocol-defined Inclusion/ Exclusion Criteria apply</t>
  </si>
  <si>
    <t>NCT05785767</t>
  </si>
  <si>
    <t>MOH_2023-11-28_013074, 2022-501483-18-00</t>
  </si>
  <si>
    <t>CD279, LAG-3, PD-1</t>
  </si>
  <si>
    <t>R3767-ONC-2235</t>
  </si>
  <si>
    <t>Cemiplimab + placebo</t>
  </si>
  <si>
    <t>United States - Australia - Canada - Georgia - Germany - Israel - Malaysia - South Korea - Spain - Switzerland - Taiwan - Thailand - Turkey</t>
  </si>
  <si>
    <t>A Randomized, Double-Blind Phase 2/3 Study of Fianlimab (Anti-LAG-3 Antibody) in Combination With Cemiplimab (Anti-PD-1 Antibody) Versus Cemiplimab Monotherapy in First-Line Treatment of Patients With Advanced Non-Small Cell Lung Cancer (NSCLC) With Tumors Expressing PD-L1 ≥50%</t>
  </si>
  <si>
    <t>Key Inclusion Criteria:1. Patients with non-squamous or squamous histology NSCLC with stage IIIB or stage IIIC disease who are not candidates for surgical resection or definitive chemoradiation per investigator assessment or stage IV (metastatic disease), who received no prior systemic treatment for recurrent or metastatic NSCLC.2. Availability of an archival or on-study formalin-fixed, paraffin-embedded (FFPE) tumor tissue sample, without intervening therapy between biopsy collection and screening as described in the protocol3. For enrollment in phase 2, patients should have PD-L1 levels ≥ 50%, as determined by a College of American Pathologists (CAP)/Clinical Laboratory Improvement Amendments (CLIA) (or equivalently licensed, according to local regulations) accredited laboratory, as described in the protocol. For enrollment in phase 3, patients should have expression of programmed cell death ligand-1 (PD-L1) in ≥50% of tumor cells stained using an assay performed by a central laboratory, as described in the protocol.4. At least 1 radiographically measurable lesion by computed tomography (CT) or magnetic resonance imaging (MRI) per Response Evaluation Criteria in Solid Tumors version 1.1 (RECIST 1.1) criteria. Target lesions may be located in a previously irradiated field if there is documented (radiographic) disease progression in that site.5. Eastern Cooperative Oncology Group (ECOG) performance status of ≤1.6. Adequate organ and bone marrow function, as described in the protocol.Key Exclusion Criteria:1. Patients who have never smoked, defined as smoking ≤100 cigarettes in a lifetime.2. Active or untreated brain metastases or spinal cord compression. Patients are eligible if central nervous system (CNS) metastases are adequately treated, and patients have neurologically returned to baseline (except for residual signs or symptoms related to the CNS treatment) for at least 2 weeks prior to enrollment. Patients must be off (immunosuppressive doses of) corticosteroid therapy.3. Patients with tumors tested positive for actionable epidermal growth factor receptor (EGFR) gene mutations, anaplastic lymphoma kinase (ALK) gene translocations, or c-ros oncogene 1 (ROS1) fusions, as described in the protocol.4. Encephalitis, meningitis, or uncontrolled seizures in the year prior to enrollment.5. History of interstitial lung disease (eg, idiopathic pulmonary fibrosis or organizing pneumonia), of active, noninfectious pneumonitis that required immune-suppressive doses of glucocorticoids to assist with management, or of pneumonitis within the last 5 years. A history of radiation pneumonitis in the radiation field is permitted as long as pneumonitis resolved ≥6 months prior to enrollment.6. Known primary immunodeficiencies, either cellular (eg, DiGeorge syndrome, T-cell-negative severe combined immunodeficiency \[SCID\]) or combined T- and B-cell immunodeficiencies (eg, T- and B-cell negative SCID, Wiskott Aldrich syndrome, ataxia telangiectasia, common variable immunodeficiency).7. Ongoing or recent (within 2 years) evidence of significant autoimmune disease that required treatment with systemic immunosuppressive treatments, which may suggest risk of immune-mediated treatment-emergent adverse events (imTEAEs). Patients with uncontrolled type 1 diabetes mellitus or with uncontrolled adrenal insufficiency are excluded. The following are not exclusionary: vitiligo, childhood asthma that has resolved, residual hypothyroidism that required only hormone replacement, or psoriasis that does not require systemic treatment.8. Patients with a condition requiring corticosteroid therapy (\&gt;10 mg prednisone/day or equivalent) within 14 days of randomization. Physiologic replacement doses are allowed even if they are \&gt;10 mg of prednisone/day or equivalent, as long as they are not being administered for immunosuppressive intent. Patients with clinically relevant systemic immune suppression within the last 3 months before trial enrollment are excluded. Inhaled or topical steroids are permitted, provided that they are not for treatment of an autoimmune disorder.9. Patients who have received prior systemic therapies are excluded with the exception of the following:1. Adjuvant or neoadjuvant platinum-based doublet chemotherapy (after surgery and/or radiation therapy) if recurrent or metastatic disease develops more than 6 months after completing therapy as long as toxicities have resolved to CTCAE grade ≤1 or baseline with the exception of alopecia and peripheral neuropathy.2. Anti-PD-(L) 1 with or without LAG-3 as an adjuvant or neoadjuvant therapy as long as the last dose is \&gt;12 months prior to enrollment.3. Prior exposure to other immunomodulatory or vaccine therapies as an adjuvant or neoadjuvant therapy, Cytotoxic T-lymphocyte-associated protein 4 (anti-CTLA-4) antibodies as long as the last dose is \&gt;6 months prior to enrollment. Immune-mediated AEs must be resolved to CTCAE grade ≤1 or baseline by the time of enrollment. Endocrine immune-mediated AEs controlled with hormonal or other non-immunosuppressive therapies without resolution prior to enrollment are allowed.Note:: Other protocol-defined Inclusion/ Exclusion Criteria apply.</t>
  </si>
  <si>
    <t>NCT06692738</t>
  </si>
  <si>
    <t>2024-514281-39-00, CTR20244820, jRCT2051240197</t>
  </si>
  <si>
    <t>CD279, Microtubule, NA, PD-1, TIGIT</t>
  </si>
  <si>
    <t>Carboplatin, Paclitaxel, Nab-Paclitaxel</t>
  </si>
  <si>
    <t>ARTEMIDE-Lung02</t>
  </si>
  <si>
    <t>Pembrolizumab + Carboplatin + Paclitaxel / Nab-paclitaxel</t>
  </si>
  <si>
    <t>United States - Argentina - Australia - Austria - Belgium - Brazil - Canada - China - France - Germany - Hungary - India - Italy - Japan - Malaysia - Netherlands - Peru - Poland - Puerto Rico - South Korea - Spain - Taiwan - Thailand - Turkey - United Kingdom - Vietnam</t>
  </si>
  <si>
    <t>A Phase III, Randomized, Double-blind, Multicenter, Global Study of Rilvegostomig or Pembrolizumab in Combination With Platinum-based Chemotherapy for the First-line Treatment of Patients With Metastatic Squamous Non-small Cell Lung Cancer Whose Tumors Express PD-L1 (ARTEMIDE-Lung02)</t>
  </si>
  <si>
    <t>Inclusion Criteria:* Histologically or cytologically documented squamous NSCLC.* Stage IV mNSCLC (based on the American Joint Committee on Cancer Edition 8) not amenable to curative treatment.* Absence of documented tumor genomic mutation results from tests conducted as part of standard local practice in any actionable driver oncogenes for which there are locally approved targeted 1L therapies.* Provision of acceptable tumor sample to confirm tumor PD-L1 expression TC ≥ 1%.* At least one lesion not previously irradiated that qualifies as a RECIST 1.1 TL at baseline and can be accurately measured at baseline as ≥ 10 mm in the longest diameter (except lymph nodes, which must have short axis ≥ 15 mm) with CT or MRI and is suitable for accurate repeated measurements.* Adequate organ and bone marrow function.Exclusion Criteria:* Presence of small cell and neuroendocrine histology components.* Brain metastases unless asymptomatic, stable, and not requiring steroids or anticonvulsants for at least 7 days prior to randomization. A minimum of 2 weeks must have elapsed between the end of local therapy (brain radiotherapy or surgery) and randomization. Participants must have recovered from the acute toxic effect of radiotherapy (eg, dizziness and signs of increased intracranial pressure) or surgery prior to randomization.* Any prior systemic therapy received for advanced or mNSCLC.* Any prior treatment with an anti-PD-1 or anti-PD-L1 agent.* Any prior exposure to an anti-TIGIT therapy or any other anticancer therapy targeting immune-regulatory receptors or mechanisms.* History of another primary malignancy except for malignancy treated with curative intent with no known active disease ≥ 2 years before the first dose of study intervention and of low potential risk for recurrence.* Active or prior documented autoimmune or inflammatory disorders requiring chronic treatment with steroids or other immunosuppressive treatment.* Active primary immunodeficiency/active infectious disease(s).* Active tuberculosis infection.</t>
  </si>
  <si>
    <t>Pumitamig</t>
  </si>
  <si>
    <t>BNT327</t>
  </si>
  <si>
    <t>PM8002</t>
  </si>
  <si>
    <t>BioNTech</t>
  </si>
  <si>
    <t>NCT06712316</t>
  </si>
  <si>
    <t>SNCTP000006827, 2024-515764-31-00, CTR20252064</t>
  </si>
  <si>
    <t>Anti-PD-L1/VEGF bispecific monoclonal antibody</t>
  </si>
  <si>
    <t>B7-H1, CD274, Microtubule, NA, PD-L1, TS, TYMS, VEGF</t>
  </si>
  <si>
    <t>Carboplatin, Pemetrexed, Paclitaxel</t>
  </si>
  <si>
    <t>ROSETTA Lung-02 / BNT327-06</t>
  </si>
  <si>
    <t>Pembrolizumab + Carboplatin + Pemetrexed/Paclitaxel</t>
  </si>
  <si>
    <t>United States - Australia - Belgium - China - France - Germany - Italy - Japan - Poland - Romania - South Korea - Spain - Switzerland - Thailand - Turkey - United Kingdom</t>
  </si>
  <si>
    <t>A Phase II/III, Multisite, Randomized Master Protocol for a Global Trial of BNT327 in Combination With Chemotherapy and Other Investigational Agents in First-line Non-small Cell Lung Cancer</t>
  </si>
  <si>
    <t>Key Inclusion Criteria:* Have systemic treatment naive, histologically or cytologically confirmed diagnosis of Stage IIIB or IIIC (who are not amenable to curative surgery or radiotherapy) or Stage IV NSCLC per the Union Internationale contre le Cancer/American Joint Committee on Cancer staging system, 9th edition.* Have at least one measurable lesion as the targeted lesion based on RECIST v1.1. Lesions treated after prior local treatment (radiotherapy, ablation, interventional procedures, etc.) are generally not considered as target lesions. If the lesion with prior local treatment is the only targeted lesion, evidence-based radiology must be provided to demonstrate disease progression (the single bone metastasis or the single central nervous system metastasis should not be considered as a measurable lesion).* Eastern Cooperative Oncology Group Performance Status of 0 or 1.* Adequate organ function.Key Exclusion Criteria:* Have histologically or cytologically confirmed NSCLC with small-cell lung cancer histologic or neuroendocrine component.* Have received any of the following therapies or drugs within the Note:d time intervals prior to study treatment:* Previous chemotherapy (platinum-based) or PD(L)-1 for treating NSCLC in either neo-adjuvant/adjuvant or locally advanced/metastatic setting.* Participants who received prior treatment with anti-VEGF monoclonal antibody, or PD(L)-1/VEGF bispecific antibody* Have received systemic corticosteroids (at a dosage greater than 10 mg/day of prednisone or an equivalent dose of other corticosteroids) within 7 days prior to the initiation of study treatment. Note:: local, intranasal, intraocular, intra-articular or inhaled corticosteroids, short-term use (\</t>
  </si>
  <si>
    <t>PF-08634404</t>
  </si>
  <si>
    <t>SSGJ-707</t>
  </si>
  <si>
    <t>Lung cancer, Non-squamous NSCLC, Squamous NSCLC</t>
  </si>
  <si>
    <t>NCT07222566</t>
  </si>
  <si>
    <t>2025-523461-17-01, jRCT2031250536</t>
  </si>
  <si>
    <t>Symbiotic-Lung-01</t>
  </si>
  <si>
    <t>United States - Australia - Czech Republic - France - Japan - Puerto Rico</t>
  </si>
  <si>
    <t>AN INTERVENTIONAL PHASE 3, DOUBLE-BLIND, RANDOMIZED STUDY TO EVALUATE EFFICACY AND SAFETY OF PF-08634404 IN COMBINATION WITH CHEMOTHERAPY VERSUS PEMBROLIZUMAB IN COMBINATION WITH CHEMOTHERAPY IN ADULT PARTICIPANTS WITH LOCALLY ADVANCED OR METASTATIC NON-SMALL CELL LUNG CANCER</t>
  </si>
  <si>
    <t>Inclusion Criteria:* 18 years of age or older at screening.* Have pathologically confirmed locally advanced (Stage IIIB/IIIC) or metastatic (Stage IV)squamous or non-squamous NSCLC and not be a candidate for complete surgical resection and curative concurrent/sequential chemoradiotherapy (according to the 9th edition of the Union for International Cancer Control and American Joint Committee on Cancer lung cancer Tumor, lymph nodes, metastasis (TNM) staging system).* Have tumor tissue available, either paraffin block or slides from a core, excisional or fine needle biopsy* PD-L1 status available based on local testing results* Measurable disease based on RECIST v1.1 per investigator.* Eastern Cooperative Oncology Group performance status (ECOG) score of 0 or 1* Expected survival ≥12 weeksExclusion Criteria:* Participants with known actionable genomic alteration (AGAs), including estimated glomerular filtration rate (EGFR), anaplastic lymphoma kinase (ALK), Repressor of Silencing 1 (ROS1), neurotrophic tyrosine receptor kinase (NTRK), v-raf murine sarcoma viral oncogene homolog B1 (BRAF), rearranged during transfection (RET), and mesenchymal-epithelial transition (MET), for which there are available first-line therapies per local standard-of-care (SOC) are ineligible. Documented negative results for EGFR, ALK, and ROS1 AGAs are required for participants with non-squamous histology.* Known active CNS lesions are excluded. Participants with definitively treated brain metastases (surgery and/or radiotherapy) may be eligible. Clinically inactive brain metastases of longest diameter \&lt; 1 cm are permitted.* Participants with clinically significant risk of hemorrhage or fistula are excluded.* Participants with any history of another malignancy within 3 years before the first dose of study intervention, or any evidence of residual disease from a previously diagnosed malignancy.* Unresolved toxicities from prior anti-tumor therapy, that did not recover to NCI CTCAE v5.0 Grade 0 or 1.* Known to have a history of a severe allergy to any component of the study intervention, or a history of severe allergic reaction to chimeric or humanized antibody.* History of allogeneic organ / hematopoietic stem cell transplantation.* Participants with any of the following respiratory conditions:* Evidence of noninfectious or drug-induced interstitial lung disease (ILD) or pneumonitis* Grade ≥3 pulmonary disease unrelated to underlying malignancy* History of uncontrolled comorbidities within 6 months prior to the first dose including uncontrolled cardiac and cerebrovascular conditions, hypertension, diabetes, significant vascular disease or arterial/severe venous thromboembolic events.* Major surgery \&lt; 4 weeks or minor surgery \&lt; 3 days prior to first dose of study intervention.* History of severe bleeding tendency or coagulation dysfunction* History of esophageal varices, severe ulcers, unhealed wounds, gastrointestinal perforation, abdominal fistula, gastrointestinal obstruction, intra-abdominal abscess, or acute gastrointestinal bleeding within 6 months prior to the first dose.* Participants with acute, chronic or symptomatic infections including participants positive for active HIV, hepatitis B virus (HBV), or Hepatitis C virus (HCV).* Participants with history of immunodeficiency* Any medical or psychiatric condition including recent (within the past year) or active suicidal ideation/behavior (in the past 5 years) or laboratory abnormality that may increase the risk of study participation or make the participant inappropriate for the study.* Previous systemic anti-tumor therapy including:1. Prior systemic therapy, including anti-PD-(L)1 therapy, for locally advanced, unresectable, or metastatic NSCLC.2. Previous treatment with immunotherapy3. Prior radiotherapy \&gt; 30 Gy to the lung \&lt; 6 months of first dose of study intervention4. Palliative local therapy \&lt; 2 weeks before the first dose of study intervention;5. Non-specific immunomodulatory therapy \&lt; 2 weeks before the first dose.6. Prior systemic anti-angiogenic therapy* Prior immune-related AE that led to anti-PD-(L)1 treatment discontinuation, adverse events from prior immunotherapy not improved to Grade 1 before screening, or required treatment with systemic immunosuppressive therapy.* Prior and concomitant therapy:1. therapeutic oral or parenteral anticoagulants or thrombolytic agents \&lt; 10 days to the first dose.2. chronic antiplatelet therapy \</t>
  </si>
  <si>
    <t>EGFR, ALK, NTRK, ROS1, BRAF, c-MET/MET, RET</t>
  </si>
  <si>
    <t>Silevertinib</t>
  </si>
  <si>
    <t>BDTX-1535</t>
  </si>
  <si>
    <t>Black Diamond Therapeutics</t>
  </si>
  <si>
    <t>76661AAA</t>
  </si>
  <si>
    <t>Zoldonrasib</t>
  </si>
  <si>
    <t>RMC-9805</t>
  </si>
  <si>
    <t>RM-036</t>
  </si>
  <si>
    <t>Revolution Medicines</t>
  </si>
  <si>
    <t>76453AAA</t>
  </si>
  <si>
    <t>KRAS G12D inhibitor</t>
  </si>
  <si>
    <t>KRAS G12D</t>
  </si>
  <si>
    <t>RASolve 308</t>
  </si>
  <si>
    <t>IBI363</t>
  </si>
  <si>
    <t>TAK-928</t>
  </si>
  <si>
    <t>Innovent Biologics</t>
  </si>
  <si>
    <t>84897AAA</t>
  </si>
  <si>
    <t>Anti-PD-1/IL-2 fusion protein</t>
  </si>
  <si>
    <t>CD279, IL-2, PD-1, TCGF</t>
  </si>
  <si>
    <t>84899AAA</t>
  </si>
  <si>
    <t>NCT06890598</t>
  </si>
  <si>
    <t xml:space="preserve">2024-512302-25-00, SNCTP000006643, ChiCTR2500099840 </t>
  </si>
  <si>
    <t>B7-H1, CD274, KRAS G12C, PD-L1</t>
  </si>
  <si>
    <t>SUNRAY-02 (Part B)</t>
  </si>
  <si>
    <t>Placebo + Durvalumab</t>
  </si>
  <si>
    <t>United States - Australia - Austria - Belgium - Brazil - Chile - China - Czech Republic - France - Germany - Greece - Hungary - India - Israel - Italy - Japan - Netherlands - Norway - Poland - Portugal - Romania - Slovakia - South Korea - Spain - Sweden - Switzerland - Taiwan - Turkey - United Kingdom</t>
  </si>
  <si>
    <t>A Phase 3, Multicenter, Double-Blind, Placebo-controlled Study Assessing the Efficacy and Safety of Olomorasib in Combination With Standard of Care Immunotherapy in Participants With Resected or Unresectable KRAS G12C-Mutant, Non-Small Cell Lung Cancer - SUNRAY-02</t>
  </si>
  <si>
    <t>Inclusion Criteria:* Histological or cytological confirmation of NSCLC.* Part A1. Clinical Stage II-IIIB (N2) treated with presurgical chemoimmunotherapy, with residual tumor present at time of surgery. Patients with a pathologic complete response are not eligible.2. Pathologic Stage II-IIIB (N2) NSCLC treated with initial upfront resection.* Part B - Clinical Stage III, unresectable NSCLC, without progression on concurrent platinum-based chemoradiotherapy.* Must have disease with evidence of KRAS G12C mutation.* Must have known programmed death-ligand 1 (PD-L1) expression* Must have an ECOG performance status of 0 or 1.* Able to swallow oral medication.* Must have adequate laboratory parameters.* Contraceptive use should be consistent with local regulations for those participating in clinical studies.* Women of childbearing potential must* Have a negative pregnancy test.* Not be breastfeeding during treatmentExclusion Criteria:* Have known changes in the EGFR or ALK genes.* Have another type of cancer that is progressing or required active treatment within the past 2 years before screening.* Have an active autoimmune disease that required systemic treatment in the past 2 years. Endocrine replacement therapy is allowed.* Had any immune-related side effect or allergic reaction (Grade 3 or higher) from a previous immunotherapy medicine, or any immune-related side effect greater than Grade 1 that has not resolved. This does not apply for people with hormone-related diseases who are now on stable hormone replacement therapy.</t>
  </si>
  <si>
    <t>KRAS G12C, PD-L1</t>
  </si>
  <si>
    <t>NCT06627647</t>
  </si>
  <si>
    <t>2024-515008-38-00, CTR20244980, jRCT2051240192</t>
  </si>
  <si>
    <t>CD279, NA, PD-1, TIGIT, TS, TYMS</t>
  </si>
  <si>
    <t>Carboplatin, Cisplatin, Pemetrexed</t>
  </si>
  <si>
    <t>ARTEMIDE-Lung03</t>
  </si>
  <si>
    <t>United States - Argentina - Australia - Belgium - Brazil - Canada - China - France - Germany - Hungary - India - Israel - Italy - Japan - Malaysia - Netherlands - Peru - Poland - Puerto Rico - South Korea - Spain - Taiwan - Thailand - Turkey - United Kingdom - Vietnam</t>
  </si>
  <si>
    <t>A Phase III, Randomized, Double-blind, Multicenter, Global Study of Rilvegostomig or Pembrolizumab in Combination With Platinum-based Chemotherapy for the First-line Treatment of Patients With Metastatic Non-squamous Non-small Cell Lung Cancer Whose Tumors Express PD-L1 (ARTEMIDE-Lung03)</t>
  </si>
  <si>
    <t>Inclusion Criteria:* Histologically or cytologically documented non-squamous NSCLC.* Stage IV mNSCLC (based on the American Joint Committee on Cancer Edition 8) not amenable to curative treatment.* Absence of sensitizing EGFR mutations (including, but not limited to, exon 19 deletion and exon 21 L858R, exon 21 L861Q, exon 18 G719X, and exon 20 S768I mutations) and ALK and ROS1 rearrangements.* Absence of documented tumor genomic mutation results from tests conducted as part of standard local practice in any other actionable driver oncogenes for which there are locally approved targeted 1L therapies.* Provision of acceptable tumor sample, to confirm tumor PD-L1 expression TC ≥ 1%.* At least one lesion not previously irradiated that qualifies as a RECIST 1.1 TL at baseline and can be accurately measured at baseline as ≥ 10 mm in the longest diameter (except lymph nodes, which must have short axis ≥ 15 mm) with CT or MRI and is suitable for accurate repeated measurements.* Adequate organ and bone marrow functionExclusion Criteria:* Presence of small cell and neuroendocrine histology components.* Brain metastases unless asymptomatic, stable, and not requiring steroids or anticonvulsants for at least 7 days prior to randomization. A minimum of 2 weeks must have elapsed between the end of local therapy (brain radiotherapy or surgery) and randomization. Participants must have recovered from the acute toxic effect of radiotherapy (eg, dizziness and signs of increased intracranial pressure) or surgery prior to randomization.* Any prior systemic therapy received for advanced or mNSCLC. Prior systemic therapy in the neoadjuvant or adjuvant setting and/or definitive radio- or chemoradiotherapy for early-stage disease are allowed, provided that recurrence or progression has occurred \&gt; 12 months after the end of treatment.* Any prior exposure to an anti-TIGIT therapy or any other anticancer therapy targeting immune-regulatory receptors or mechanisms.* Any prior treatment with an anti-PD-1 or anti-PD-L1 agent.* History of another primary malignancy except for malignancy treated with curative intent with no known active disease ≥ 2 years before the first dose of study intervention and of low potential risk for recurrence.* Active or prior documented autoimmune or inflammatory disorders requiring chronic treatment with steroids or other immunosuppressive treatment.* Active primary immunodeficiency/active infectious disease(s).* Active tuberculosis infection.</t>
  </si>
  <si>
    <t>EGFR Exon 19-del, EGFR L858R, EGFR L861Q, EGFR G719X, EGFR S768I, ALK, ROS1</t>
  </si>
  <si>
    <t>88179AAA</t>
  </si>
  <si>
    <t>Integrin β6</t>
  </si>
  <si>
    <t>Lifileucel</t>
  </si>
  <si>
    <t>LN-145</t>
  </si>
  <si>
    <t>Amtagvi</t>
  </si>
  <si>
    <t>Iovance Biotherapeutics</t>
  </si>
  <si>
    <t>39567AAA</t>
  </si>
  <si>
    <t>Tumor infiltrating lymphocytes</t>
  </si>
  <si>
    <t>TILs</t>
  </si>
  <si>
    <t>NCT05170204</t>
  </si>
  <si>
    <t>2021-004149-19, CTRI/2024/10/074537, NL81382.000.22, MOH_2023-11-13_013043, 2023-503920-14-00, CTR20221955, jRCT2021220007</t>
  </si>
  <si>
    <t>ALK, ALK L1196M, NTRK, RET, ROS, ROS1, TRK</t>
  </si>
  <si>
    <t>Entrectinib, Pralsetinib</t>
  </si>
  <si>
    <t>HORIZON-01 / BO42777</t>
  </si>
  <si>
    <t>United States - Australia - Belgium - Brazil - Chile - China - Colombia - Costa Rica - France - Germany - Italy - Japan - Mexico - Poland - Singapore - South Korea - Spain - Sweden - Taiwan - Thailand - United Kingdom</t>
  </si>
  <si>
    <t>A Phase I-III, Multicenter Study Evaluating the Efficacy and Safety of Multiple Therapies in Cohorts of Patients Selected According to Biomarker Status, With Locally Advanced, Unresectable, Stage III Non-Small Cell Lung Cancer</t>
  </si>
  <si>
    <t>Inclusion Criteria (All Cohorts):* Body weight \&gt;/= 30 kg at screening* Willingness and ability to use the electronic device(s) or application(s) for the electronic patient-reported outcome (PRO)* Whole-body positron emission tomography/computed tomography scan (PET/CT) (from the base of skull to mid-thighs) for the purposes of staging, performed prior and within 42 days for Cohort A2 (ROS1 positive) and 50 days for Cohort A1 (ALK positive) of the first dose of cCRT or sCRT* Histologically or cytologically documented locally advanced, unresectable Stage III NSCLC of either squamous or non-squamous histology* Prior receipt of at least two prior cycles of platinum-based chemotherapy given concurrently with radiotherapy (cCRT); or at least two prior cycles of platinum-based chemotherapy given prior to radiotherapy (sCRT)* The RT component in the cCRT or sCRT must have been at a total dose of radiation of 60 (+/-10%) Gy (54 Gy to 66 Gy) administered by intensity-modulated radiotherapy (preferred) or three dimension (3D)-conforming technique* No disease progression during or following platinum-based cCRT or sCRT* Life expectancy \&gt;/= 12 weeks* Confirmed availability of a representative formalin-fixed, paraffin-embedded (FFPE) tumor specimen* Tumor PD-L1 status (TC score \&lt; 1% vs. \&gt;/= 1% vs. unknown) as determined using the VENTANA PD-L1 IHC SP263 assay (preferred) or the Dako PD-L1 IHC 22C3 pharmDx assay* Eastern Cooperative Oncology Group Performance Status of 0, 1, or 2* Adequate hematologic and end-organ function* For women of childbearing potential: agreement to remain abstinent (refrain from heterosexual intercourse) or use contraception, and agreement to refrain from donating eggs, as defined by the protocol* For men: agreement to remain abstinent (refrain from heterosexual intercourse) or use contraceptive methods, and agreement to refrain from donating sperm, as defined by the protocolInclusion criteria specific to Cohort A1:* Documented ALK fusion positivity by an eligible result from: centralized multiplex molecular testing of tumor tissue at the Sponsor's designated central laboratory under Study BX43361 or prior tissue-based testing performed in an accredited or certified laboratoryInclusion criteria specific to Cohort A2:* Documented ROS1 fusion positivity by an eligible result from: centralized multiplex molecular testing of tumor tissue at the Sponsor's designated central laboratory under Study BX43361 or available results from a Sponsor pre-approved local, appropriately validated ROS1 fusion test on tumor tissue performed in a Clinical Laboratory Improvement Amendments certified or equivalent laboratory* Ability to swallow entrectinib intact, without chewing, crushing, or opening the capsulesExclusion Criteria (All Cohorts):* Any history of previous NSCLC and/or any history of prior treatment for NSCLC (patients must be newly diagnosed with unresectable Stage III disease)* Any evidence of Stage IV disease, including, but not limited to, the following: pleural effusion, pericardial effusion, brain metastases, history of intracranial hemorrhage or spinal cord hemorrhage, bone metastases, distant metastases* If a pleural effusion is present, the following criteria must be met to exclude malignant involvement (T4 disease): when pleural fluid is visible on both the CT scan and chest X-ray, a pleuracentesis is required to confirm that the pleural fluid is cytologically negative; participants with exudative pleural effusions are excluded regardless of cytology; participants with effusions that are minimal (i.e., not visible on chest X-ray) that are too small to safely tap are eligible* NSCLC known to have a known or likely oncogenic-driver mutation in the EGFR gene, as identified by site local testing or Sponsor central testing* Liver disease, characterized by any of the following: impaired excretory function (e.g., hyperbilirubinemia), synthetic function, or other conditions of decompensated liver disease, such as coagulopathy, hepatic encephalopathy, hypoalbuminemia, ascites, and bleeding from esophageal varices or active viral or active autoimmune, alcoholic, or other types of acute hepatitis* Positive hepatitis B surface antigen (HBsAg) test at screening* Participants known to be positive for hepatitis C virus (HCV) antibody (Ab) are excluded with the following exception: participants who are HCV Ab positive but HCV RNA negative due to prior treatment or natural resolution are eligible* HIV infection: participants are excluded if not well-controlled as defined by the protocol* Known active tuberculosis* History of idiopathic pulmonary fibrosis, organizing pneumonia (e.g., bronchiolitis obliterans), drug-induced pneumonitis, or idiopathic pneumonitis, or evidence of active pneumonitis on the screening chest CT scan* Grade \&gt;/= 2 pneumonitis from prior cCRT or sCRT* Any Grade \&gt; 2 unresolved toxicity from prior cCRT or sCRT* Any gastrointestinal (GI) disorder that may affect absorption of oral medications, such as malabsorption syndrome or status post-major bowel resection* Any other disease, metabolic dysfunction, physical examination finding, or clinical laboratory finding that contraindicates the use of an investigational drug, may affect the interpretation of the results, or may render the patient at high risk from treatment complications* Active or history of autoimmune disease or immune deficiency, including, but not limited to, myasthenia gravis, myositis, autoimmune hepatitis, systemic lupus erythematosus, rheumatoid arthritis, inflammatory bowel disease, antiphospholipid antibody syndrome, Wegener granulomatosis, Sjögren syndrome, Guillain-Barré syndrome, or multiple sclerosis, with the following exceptions: participants with a history of autoimmune-related hypothyroidism who are on thyroid-replacement hormone are eligible for the study; participants with controlled Type 1 diabetes mellitus who are on an insulin regimen are eligible for the study* History of malignancy other than NSCLC within 5 years prior to screening, with the exception of malignancies with a negligible risk of metastasis or death (e.g., 5-year OS rate \&gt; 90%), such as adequately treated carcinoma in situ of the cervix, non-melanoma skin carcinoma, localized prostate cancer, ductal breast carcinoma in situ, or Stage I uterine cancer* Any concurrent chemotherapy, immunotherapy, biologic, or hormonal therapy for cancer* Major surgical procedure, within 4 weeks prior to initiation of study treatment, or anticipation of need for a major surgical procedure during the study* Treatment with systemic immunostimulatory agents (including, but not limited to, interferon and interleukin-2) within 4 weeks or 5 drug-elimination half-lives (whichever is longer) prior to initiation of study treatment* Treatment with a live, attenuated vaccine within 4 weeks prior to initiation of study treatment, or anticipation of need for such a vaccine during study treatment or within 5 months after the final dose of study treatment* Treatment with investigational therapy within 28 days prior to initiation of study treatment* Treatment with systemic immunosuppressive medication (including, but not limited to, corticosteroids, cyclophosphamide, azathioprine, methotrexate, thalidomide, and anti-tumor necrosis factor-alpha agents) within 2 weeks prior to initiation of study treatment, or anticipation of need for systemic immunosuppressive medication during study treatment, with exceptions defined by the protocol* Prior treatment with CD137 agonists or immune checkpoint blockade therapies, including anti-cytotoxic T lymphocyte-associated protein 4, anti-TIGIT, anti-PD-1, and anti-PD-L1 therapeutic antibodies* Prior allogeneic stem cell or solid organ transplantation* Concurrent enrollment in another clinical study, unless it is an observational (non-interventional) clinical study or the follow-up period of an interventional study* Any condition that, in the opinion of the investigator, would interfere with the evaluation of the study drug or interpretation of patient safety or study results* Any prior Grade \&gt;/= 3 immune-mediated adverse event or any unresolved Grade \&gt; 1 immune-mediated adverse event while receiving any previous immunotherapy agent other than immune checkpoint blockade agentsExclusion criteria specific to Cohort A1:* Presence of clinically symptomatic interstitial lung disease or interstitial pneumonitis, including radiation pneumonitis (i.e., affecting activities of daily living or requiring therapeutic intervention)* NSCLC known to have one or more of the following ALK point mutations, as identified by site local testing or Sponsor central testing: I1171X (where X is any other amino acid), V1180L, G1202R* Symptomatic bradycardia* Significant cardiovascular disease (such as New York Heart Association Class II or greater cardiac disease, myocardial infarction, or cerebrovascular accident) within 3 months prior to initiation of study treatment, unstable arrhythmia, or unstable angina; participants with known coronary artery disease, congestive heart failure not meeting the above criteria, or left ventricular ejection fraction \&lt; 50% must be on a stable medical regimen that is optimized in the opinion of the treating physician, in consultation with a cardiologist if appropriate* Severe infection within 4 weeks prior to initiation of study treatment, including, but not limited to, hospitalization for complications of infection, bacteremia, or severe pneumonia* Treatment with therapeutic oral or IV antibiotics within 2 weeks prior to initiation of study treatment* Prior treatment with ALK inhibitors* History of hypersensitivity to alectinib, durvalumab, or any of their excipients* Inability to swallow oral study drug* Known hereditary problems of galactose intolerance, a congenital lactase deficiency, or glucose-galactose malabsorption* Pregnancy or breastfeeding, or intending to become pregnant during the study treatment or within 90 days after the final dose of alectinib or durvalumabExclusion criteria specific to Cohort A2:* Symptomatic bradycardia* Significant cardiovascular disease (such as New York Heart Association Class II or greater cardiac disease, myocardial infarction, or cerebrovascular accident) within 3 months prior to initiation of study treatment, unstable arrhythmia, or unstable angina; participants with known coronary artery disease, congestive heart failure not meeting the above criteria, or left ventricular ejection fraction \&lt; 50% must be on a stable medical regimen that is optimized in the opinion of the treating physician, in consultation with a cardiologist if appropriate* Left ventricular ejection fraction less than or equal to 50% observed during the screening for the study* History of prolonged QTc interval (e.g., repeated demonstration of a QTc interval \&gt; 450 ms from ECGs performed at least 24 hours apart)* History of additional risk factors for torsade de pointes (e.g., family history of long QT syndrome)* Familial or personal history of congenital bone disorders or bone metabolism alterations* Incomplete recovery from any surgery prior to the start of study treatment that would interfere with the determination of safety or efficacy of the treatment* Severe infection within 4 weeks prior to initiation of study treatment, including, but not limited to, hospitalization for complications of infection, bacteremia, or severe pneumonia* Treatment with therapeutic oral or IV antibiotics within 2 weeks prior to initiation of study treatment* Prior treatment with ROS1 inhibitors* History of hypersensitivity to entrectinib, durvalumab, and their excipients* Grade \&gt;/= 3 toxicities due to any prior therapy (e.g., RT) (excluding alopecia) that have not shown improvement or are not stable and are considered to interfere with current study drug* Known hereditary problems of galactose intolerance, total lactase deficiency or glucose-galactose malabsorption* Grade \&gt;/= 2 peripheral neuropathy* Pregnancy or intention of becoming pregnant during study treatment, within 35 days after the final dose of entrectinib, or within 90 days after the final dose of durvalumab</t>
  </si>
  <si>
    <t>ALK, ROS1, RET</t>
  </si>
  <si>
    <t>EGFR, ALK I1171X, ALK V1180L, ALK G1202R</t>
  </si>
  <si>
    <t>76844AAA</t>
  </si>
  <si>
    <t>KRAS G12C, PD-L1 TPS &lt; 50%</t>
  </si>
  <si>
    <t>Enozertinib</t>
  </si>
  <si>
    <t>ORIC-114</t>
  </si>
  <si>
    <t>Oric Pharmaceuticals</t>
  </si>
  <si>
    <t>76377AAA</t>
  </si>
  <si>
    <t>EGFR/HER-2 inhibitor</t>
  </si>
  <si>
    <t>c-MET/MET, EGFR, EGFR Exon 20, ERBB, HER1, HER2, HER2 Exon 20</t>
  </si>
  <si>
    <t>NCT06875310</t>
  </si>
  <si>
    <t>SNCTP000006284, 2024-515698-85-00, jRCT2041250172</t>
  </si>
  <si>
    <t>KRYSTAL-4</t>
  </si>
  <si>
    <t>KN-189 regimen</t>
  </si>
  <si>
    <t>United States - Argentina - Australia - Austria - Belgium - Brazil - Bulgaria - Canada - Chile - China - Colombia - Croatia - France - Germany - Greece - Hong Kong - Hungary - India - Ireland - Israel - Italy - Japan - Mexico - Netherlands - Poland - Portugal - Romania - Saudi Arabia - South Korea - Spain - Switzerland - Taiwan - Thailand - Turkey - United Kingdom</t>
  </si>
  <si>
    <t>A Randomized, Double-Blind, Phase 3 Trial of Adagrasib Plus Pembrolizumab Plus Chemotherapy vs. Placebo Plus Pembrolizumab Plus Chemotherapy in Participants With Previously Untreated, Locally Advanced or Metastatic Non-squamous Non-small Cell Lung Cancer With KRAS G12C Mutation (KRYSTAL-4)</t>
  </si>
  <si>
    <t>Inclusion Criteria:* Histologically or cytologically confirmed diagnosis of non-squamous NSCLC with evidence of KRAS G12C mutation via tumor sample and/or circulating tumor deoxyribonucleic acid (ctDNA).* Locally advanced or metastatic disease.* Measurable disease via computed tomography (CT) or magnetic resonance imaging (MRI) per RECIST v1.1 criteria of at least 1 lesion.* No prior systemic anti-cancer therapy given for advanced or metastatic disease.* Not a candidate for definitive therapy (eg, chemoradiation or complete surgical resection).* Participants with brain metastases are eligible for enrollment, including those with untreated brain metastases. Brain metastases must be asymptomatic and not in need of immediate local therapy. Any untreated brain metastases must be ≤ 20 mm in diameter.* Any PD-L1 expression (0 to 100%) as determined by VENTANA PD-L1 (SP263) assay, Agilent PD-L1 IHC 22C3 pharmDx, or Agilent PD-L1 IHC 28-8 pharmDx.Exclusion Criteria:* Participants with an active autoimmune or inflammatory disease requiring systemic treatment within 2 years.* Uncontrolled or significant cardiovascular conditions within 6 months prior to enrollment that are ongoing or with risk of recurrence.* Inadequate bone marrow or liver function or electrocardiogram (ECG) abnormalities.* Ongoing treatment with concomitant medication known to cause prolonged QTc interval and that cannot be switched to alternative treatment prior to study entry.* Treatment targeting KRAS G12C mutation (eg, sotorasib, adagrasib) in any setting.* Other severe acute or chronic medical or psychiatric condition or laboratory abnormality that may increase the risk associated with study participation or study drug administration.* Other protocol-defined Inclusion/Exclusion criteria apply.</t>
  </si>
  <si>
    <t>KRAS G12C, ctDNA/cfDNA</t>
  </si>
  <si>
    <t>Daraxonrasib</t>
  </si>
  <si>
    <t>RMC-6236</t>
  </si>
  <si>
    <t>82497AAA</t>
  </si>
  <si>
    <t>RAS inhibitor</t>
  </si>
  <si>
    <t>CD279, HRAS, KRAS, KRAS G12, KRAS G12C, KRAS G12D, NA, NRAS, pan-KRAS, PD-1, RAS, TS, TYMS</t>
  </si>
  <si>
    <t>Pembrolizumab, Carboplatin, Pemetrexed, Cisplatin</t>
  </si>
  <si>
    <t>RAS</t>
  </si>
  <si>
    <t>Elironrasib</t>
  </si>
  <si>
    <t>RMC-6291</t>
  </si>
  <si>
    <t>76448AAA</t>
  </si>
  <si>
    <t>Neladalkib</t>
  </si>
  <si>
    <t>NUV-655</t>
  </si>
  <si>
    <t>Nuvalent</t>
  </si>
  <si>
    <t>NCT06765109</t>
  </si>
  <si>
    <t>SNCTP000006814, 2024-517553-26-00</t>
  </si>
  <si>
    <t>ALKAZAR</t>
  </si>
  <si>
    <t>United States - Argentina - Australia - Austria - Belgium - Brazil - Canada - Chile - Czech Republic - Denmark - France - Germany - Greece - Hong Kong - Hungary - Italy - Japan - Malaysia - Netherlands - Poland - Portugal - Singapore - South Korea - Spain - Taiwan - Thailand - United Kingdom</t>
  </si>
  <si>
    <t>A Phase 3 Study of the Selective Anaplastic Lymphoma Kinase (ALK) Inhibitor NVL-655 Compared to Alectinib in First-Line Treatment of Patients With ALK-Positive Advanced Non-Small Cell Lung Cancer (ALKAZAR)</t>
  </si>
  <si>
    <t>Inclusion Criteria:1. Histologically or cytologically confirmed locally advanced (not amenable for multimodality treatment) or metastatic Non-small Cell Lung Cancer (NSCLC)2. Documented Anaplastic Lymphoma Kinase (ALK) rearrangement via testing of tissue or blood3. No prior systemic anticancer treatment for NSCLC (adjuvant/neoadjuvant chemotherapy allowed if 12 months prior to randomization; prior ALK tyrosine kinase inhibitor \[TKI\] such as alectinib is not allowed in any setting)4. Measurable disease (1 or more target lesions per Response Evaluation Criteria in Solid Tumors \[RECIST\] 1.1)5. Pretreatment tumor tissueExclusion Criteria:1. Patient's cancer has a known oncogenic driver alteration other than ALK.2. Known allergy/hypersensitivity to excipients of neladalkib or alectinib.3. Ongoing or recent radiotherapy as per protocol-specified timeframes prior to randomization4. Major surgery within 4 weeks prior to randomization5. Uncontrolled clinically relevant infection requiring systemic therapy6. Known active tuberculosis, or active Hepatitis B or C7. QT corrected for heart rate by Fridericia's formula (QTcF) \&gt; 470 msec on repeated assessments8. Clinically significant cardiovascular disease9. Brain metastases associated with progressive neurological symptoms or requiring increasing doses of corticosteroids to control CNS disease10. Active malignancy requiring therapy within 2 years prior to randomization</t>
  </si>
  <si>
    <t>NCT07190248</t>
  </si>
  <si>
    <t>2024-514500-14-00, CTR20255034, jRCT2031250409</t>
  </si>
  <si>
    <t>KANDLELIT-007</t>
  </si>
  <si>
    <t>Pembrolizumab / Hyaluronidase + Pemetrexed + Carboplatin/Cisplatin</t>
  </si>
  <si>
    <t>United States - Argentina - Australia - Austria - Belgium - Brazil - Canada - Chile - China - Colombia - France - Germany - Greece - Guatemala - Hungary - Israel - Italy - Japan - Malaysia - Mexico - Netherlands - Peru - Poland - Romania - Serbia - South Korea - Spain - Switzerland - Taiwan - Turkey - Ukraine - United Kingdom - Vietnam</t>
  </si>
  <si>
    <t>A Phase 3, Randomized, Open-label, Multicenter Clinical Study to Evaluate the Safety and Efficacy of MK-1084 in Combination With Subcutaneous Pembrolizumab and Berahyaluronidase Alfa (MK-3475A) Versus MK-3475A in Combination With Pemetrexed/Platinum (Carboplatin or Cisplatin) Chemotherapy as First-line Treatment of Participants With KRAS G12C-Mutant, Advanced or Metastatic Nonsquamous NSCLC (KANDLELIT-007)</t>
  </si>
  <si>
    <t>Inclusion Criteria:The main inclusion criteria include but are not limited to the following:* Has nonsquamous NSCLC (Stage IIIB, Stage IIIC) not eligible for curative resection or chemoradiation or Stage IV: M1a, M1b, or M1c* If human immunodeficiency virus (HIV) positive, must have well controlled HIV on antiretroviral therapy (ART)Exclusion Criteria:The main exclusion criteria include but are not limited to the following:* Has diagnosis of small cell lung cancer or, for mixed tumors, presence of small cell elements* Has active inflammatory bowel disease requiring immunosuppressive medication or previous clear history of inflammatory bowel disease (e.g., Crohn's disease, ulcerative colitis, or chronic diarrhea)* Has uncontrolled, significant cardiovascular disease or cerebrovascular disease* Has a gastrointestinal disorder affecting absorption* Is HIV positive and has a history of Kaposi's sarcoma and/or Multicentric Castleman's Disease* Has received prior systemic anticancer therapy for their advanced or metastatic NSCLC* Has known additional malignancy that is progressing or has required active treatment within the past 3 years* Has known active central nervous system (CNS) metastases and/or carcinomatous meningitis* Has active autoimmune disease that has required systemic treatment in the past 2 years* History of (noninfectious) pneumonitis/interstitial lung disease that required steroids or has current pneumonitis/interstitial lung disease* Has active infection requiring systemic therapy except those specified by protocol* Has history of stem cell/solid organ transplant* Has not adequately recovered from major surgery or has ongoing surgical complications</t>
  </si>
  <si>
    <t>CS2009</t>
  </si>
  <si>
    <t>CStone Pharmaceuticals</t>
  </si>
  <si>
    <t>Colorectal cancer, Lung cancer - SCLC</t>
  </si>
  <si>
    <t>91375AAA</t>
  </si>
  <si>
    <t>Anti-PD-1/CTLA-4/VEGFa trispecific antibody</t>
  </si>
  <si>
    <t>CTLA-4, PD-1, VEGFA</t>
  </si>
  <si>
    <t>Multi-specific antibody</t>
  </si>
  <si>
    <t>NCT06868277</t>
  </si>
  <si>
    <t>SNCTP000006560, 2024-517780-24-00</t>
  </si>
  <si>
    <t>CD279, PD-1, TIGIT</t>
  </si>
  <si>
    <t>ARTEMIDE-Lung04</t>
  </si>
  <si>
    <t>PFS, OS</t>
  </si>
  <si>
    <t>United States - Argentina - Australia - Belgium - Brazil - Bulgaria - Canada - Chile - China - Colombia - Costa Rica - France - Georgia - Germany - Greece - Ireland - Israel - Italy - Japan - Malaysia - Portugal - Romania - South Korea - Spain - Switzerland - Turkey - United Kingdom</t>
  </si>
  <si>
    <t>A Phase III, Randomized, Double-blind, Multicenter, Global Study of Rilvegostomig or Pembrolizumab Monotherapy for the First-line Treatment of Patients With PD-L1-high Metastatic Non-small Cell Lung Cancer (ARTEMIDE-Lung04)</t>
  </si>
  <si>
    <t>Inclusion Criteria:* Histologically or cytologically documented NSCLC (non small lung cancer), including all histological subtypes.* Stage IV mNSCLC (metastatic non-small cell lung cancer) (based on the American Joint Committee on Cancer Edition 8) not amenable to curative treatment.* Absence of sensitizing EGFR (epidermal growth factor) mutations and ALK (anaplastic lymphoma kinase) and ROS1 (c-ros oncogene 1) rearrangements. Negative assay result is required for all non-squamous histology subtypes.* Absence of documented tumor genomic mutation results from tests conducted as part of standard local practice in any other actionable driver oncogenes for which there are locally approved targeted 1L (first line) therapies.* WHO (World Health Organization)/ECOG (Eastern Cooperative Oncology Group) performance status of 0 or 1, with no deterioration over the previous 2 weeks prior to baseline at screening and prior to randomization.* Minimum life expectancy of 12 weeks.* Provision of acceptable tumor sample for the central testing prior to randomization.* At least one lesion not previously irradiated that qualifies as a RECIST 1.1 (Response Evaluation Criteria in Solid Tumors, Version 1.1) TL (target lesion) at baseline and can be accurately measured at baseline as ≥ 10 mm in the longest diameter (except lymph nodes, which must have short axis ≥ 15 mm) with CT (computed tomography) or MRI (magnetic resonance imaging) and is suitable for accurate repeated measurements.* Adequate organ and bone marrow functionExclusion Criteria:* As judged by the investigator, any severe or uncontrolled systemic diseases, makes it undesirable for the participant to participate in the study or that would jeopardize compliance with the protocol.* History of organ transplant.* Active or prior documented autoimmune or inflammatory disorders requiring chronic treatment with steroids or other immunosuppressive treatment.* History of another primary malignancy except for malignancy treated with curative intent with no known active disease ≥ 2 years before the first dose of study intervention and of low potential risk for recurrence.* Presence of small cell and neuroendocrine histology components.* Brain metastases unless asymptomatic, stable, and not requiring steroids or anticonvulsants for at least 4 weeks prior to start of study intervention.* Active primary immunodeficiency/active infectious disease(s)* Active tuberculosis infection* Any prior systemic therapy received for advanced or mNSCLC (metastatic non-small cell lung cancer).* Any prior exposure to an anti-TIGIT (T-cell immunoglobulin and immunoreceptor tyrosine-based inhibitory motif domain) therapy or any other anticancer therapy targeting immune-regulatory receptors or mechanisms.* Any prior treatment with an anti-PD-1 (programmed cell death protein 1) or anti-PD-L1 (anti-programmed death-ligand 1) agent.</t>
  </si>
  <si>
    <t>NCT06899126</t>
  </si>
  <si>
    <t>2024-515658-26-00 , CTR20252204</t>
  </si>
  <si>
    <t>CD279, HER2, MLN19, PD-1</t>
  </si>
  <si>
    <t>DESTINY-Lung06</t>
  </si>
  <si>
    <t>Pembrolizumab + Pemetrexed + Cisplatin/Carboplatin</t>
  </si>
  <si>
    <t>United States - Argentina - Belgium - Brazil - China - France - Italy - Japan - Malaysia - Mexico - Netherlands - Poland - Portugal - Romania - South Korea - Spain - Taiwan - Thailand - Turkey - United Kingdom</t>
  </si>
  <si>
    <t>A Phase 3, Multicenter, Randomized, Open-label Trial of Trastuzumab Deruxtecan in Combination With Pembrolizumab Versus Platinum-based Chemotherapy in Combination With Pembrolizumab, as First-line Therapy in Participants With Locally Advanced Unresectable or Metastatic HER2 Overexpressing and PD-L1 TPS &lt;50% Non-squamous Non-small Cell Lung Cancer (DESTINY-Lung06)</t>
  </si>
  <si>
    <t>Inclusion Criteria:1. Sign and date the Tissue Screening ICF, prior to any Tissue Screening procedure. Sign and date the Main ICF, prior to the start of any trial-specific qualification procedures.Sign and date the Optional PGx ICF (included in the Main Screening ICF) prior to any PGx procedure, and the Pregnant Partner ICF, if applicable.2. Adults ≥18 years of age on the day of signing the ICF. Follow local regulatory requirements if the legal age of consent for trial participation is \&gt;18 years old.3. Histologically documented non-squamous locally advanced unresectable or metastaticNSCLC and meets all of the following criteria:Has Stage IV NSCLC disease or Stage IIIB or IIIC disease but is not a candidate for surgical resection or definitive chemoradiation at the time of randomization (based on the American Joint Committee on Cancer, Eighth Edition). Has no known AGAs (based on existing test result of local test) that have locally available therapies targeting their AGAs in the first-line advanced/metastatic setting. Has no known HER2 mutation based on existing test results (if approved or validated local test is available). Note:: Participants with mixed histology are eligible if adenocarcinoma is the predominant histology. Mixed tumors will be classified based on the predominant cell type.4. Has not been treated with systemic anticancer therapy for advanced or metastatic non-squamous NSCLC. Participants who received adjuvant or neoadjuvant therapy other than those listed below, including ICI (ie, anti-PD-1/PD-L1) or a platinum-based regimen, are eligible if the last dose of adjuvant/neoadjuvant therapy was given at least 6 months before the date of the first trial dose and should not have progressed on or within 6 months of the last dose date of adjuvant/neoadjuvant therapy.1. Any agent, including an ADC, containing a chemotherapeutic agent targeting topoisomerase I.2. HER2-targeted antibody-based anticancer therapy.5. Has adequate tumor tissue sample (not previously irradiated) available for assessment of HER2 and PD-L1 expression by central or Sponsor-specified laboratory. A new biopsy is required if the participant's most recent archival tumor tissue sample cannot be supplied.Details pertaining to tumor tissue submission can be found in the Trial Laboratory Manual.Exclusion Criteria:1. Has a medical history of MI within 6 months before randomization/enrollment or symptomatic CHF (NYHA Class II to Class IV). Participants with troponin levels above the ULN at Screening (as defined by the manufacturer) and without any MI-related symptoms should have a cardiologic consultation during the Screening Period to rule out MI.2. Has a QTc prolongation to \&gt;480 ms based on the average of the Screening triplicate 12- lead ECG.3. Has a history of (non-infectious) ILD/pneumonitis that required steroids, has current ILD/pneumonitis, or where suspected ILD/pneumonitis cannot be ruled out by imaging at Screening.4. Has lung-specific, intercurrent, clinically significant illnesses including, but not limited to, any underlying pulmonary disorder (eg, pulmonary emboli within 3 months of the trial randomization, severe asthma, severe COPD, restrictive lung disease, pleural effusion, etc.).5. Had a prior complete pneumonectomy.</t>
  </si>
  <si>
    <t>HER2, PD-L1 TPS &lt; 50%</t>
  </si>
  <si>
    <t>Livmoniplimab</t>
  </si>
  <si>
    <t>ABBV-151</t>
  </si>
  <si>
    <t>ARGX-115</t>
  </si>
  <si>
    <t>AbbVie</t>
  </si>
  <si>
    <t>NCT06236438</t>
  </si>
  <si>
    <t>MOH_2024-02-07_013246, 2023-505773-32-00, jRCT2031240062</t>
  </si>
  <si>
    <t>Anti-GARP monoclonal antibody</t>
  </si>
  <si>
    <t>CD279, GARP, NA, PD-1, TGF-β, TGF-β1, TS, TYMS</t>
  </si>
  <si>
    <t>Budigalimab, Pemetrexed, Cisplatin, Carboplatin</t>
  </si>
  <si>
    <t>LIVIGNO-4</t>
  </si>
  <si>
    <t>United States - Australia - Belgium - Chile - France - Israel - Japan - Netherlands - Puerto Rico - Spain - Taiwan - Turkey</t>
  </si>
  <si>
    <t>A Randomized, Phase 2/3 Study to Evaluate the Optimal Dose, Safety, and Efficacy of Livmoniplimab in Combination With Budigalimab Plus Chemotherapy Versus Pembrolizumab Plus Chemotherapy in Untreated Metastatic Non-Squamous Non-Small Cell Lung Cancer (NSCLC)</t>
  </si>
  <si>
    <t>Inclusion Criteria:* Diagnosis of histologically or cytologically confirmed metastatic nonsquamous non-small cell lung cancer (NSCLC) with no known epidermal growth factor receptor (EGFR), anaplastic lymphoma kinase (ALK) mutation, or other genomic aberration for which a locally approved targeted therapy is available.* Must have at least 1 measurable lesion per response evaluation criteria in solid tumors (RECIST) v1.1 as determined by the local site Investigator/radiology assessment.* Life expectancy of at least 3 months and adequate organ function.Exclusion Criteria:\- Received prior systemic therapy for the treatment of metastatic NSCLC.</t>
  </si>
  <si>
    <t>Allocation: Randomized | Intervention Model: Sequential Assignment | Masking: Quadruple () | Primary Purpose: Treatment</t>
  </si>
  <si>
    <t>Relatlimab/Nivolumab FDC</t>
  </si>
  <si>
    <t>Opdualag</t>
  </si>
  <si>
    <t>NCT06561386</t>
  </si>
  <si>
    <t>SNCTP000006467, 2024-513682-40-01, CTR20244845, jRCT2051240173</t>
  </si>
  <si>
    <t>Anti-LAG-3/PD-1 monoclonal antibody FDC</t>
  </si>
  <si>
    <t>CD279, LAG-3, NA, PD-1, TS, TYMS</t>
  </si>
  <si>
    <t>Carboplatin, Pemetrexed, Cisplatin</t>
  </si>
  <si>
    <t>RELATIVITY1093</t>
  </si>
  <si>
    <t>United States - Argentina - Australia - Austria - Belgium - Brazil - Chile - China - Colombia - Denmark - France - Germany - India - Ireland - Italy - Japan - Mexico - Netherlands - New Zealand - Poland - Portugal - Romania - Saudi Arabia - South Africa - South Korea - Spain - Switzerland - Taiwan - Turkey - United Kingdom</t>
  </si>
  <si>
    <t>A Phase 3, Randomized, Open-label Study of Nivolumab + Relatlimab Fixed-dose Combination With Chemotherapy Versus Pembrolizumab With Chemotherapy as First-line Treatment for Participants With Non-squamous (NSQ), Stage IV or Recurrent Non-small Cell Lung Cancer and With Tumor Cell PD-L1 Expression ≥ 1%</t>
  </si>
  <si>
    <t>Inclusion Criteria* Participants must have histologically confirmed Stage IV or recurrent Non-small Cell Lung Cancer (NSCLC) of non-squamous (NSQ) histology with no prior systemic anti-cancer therapy given as primary therapy for advanced or metastatic disease.* Participants must have measurable PD-L1 ≥ 1% Tumor Cell (TC) score by the investigational PD-L1 immunohistochemistry (IHC) assay VENTANA PD-L1 (SP263) CDx Assay conducted by central laboratory during the screening period prior to randomization.* Participants must have measurable disease by computed tomography (CT) or magnetic resonance imaging (MRI) per RECIST v1.1 criteria.* Participants must have an Easter Cooperative Oncology Group (ECOG) performance status of ≤ 1 at screening.* Participants must have a life expectancy of at least 3 months at the time of randomization.Exclusion Criteria* Participants must not be pregnant and/or breastfeeding.* Participants with epidermal growth factor receptor (EGFR), anaplastic lymphoma kinase (ALK), or ROS-1 mutations that are sensitive to available targeted inhibitor therapy. Participants with unknown EGFR, ALK, or ROS-1 status are excluded.* Participants with known BRAFV600E mutations, that are sensitive to available targeted inhibitor therapy; participants with known activating rearranged during transfection (RET) mutations or neurotrophic tyrosine receptor kinase (NTRK) fusion gene alterations are excluded. Participants with unknown or indeterminate BRAF mutation, activating RET mutations or NTRK fusion gene alterations are eligible.* Participants must not have untreated central nervous system (CNS) metastases.* Participants must not have leptomeningeal metastases (carcinomatous meningitis).* Participants must not have concurrent malignancy requiring treatment.* Participants must not have an active autoimmune disease.* Participants must not have history of interstitial lung disease or pneumonitis that required oral or intravenous (IV) glucocorticoids to assist with management.* Participants must not have a history of myocarditis.* Participants must not have had prior treatment with an anti-PD-1, anti-PD-L1, anti-PD-L2, or anti-CTLA-4 antibody, or other antibody or drug targeting T-cell co-stimulation or checkpoint pathways.* Other protocol-defined Inclusion/Exclusion criteria apply.</t>
  </si>
  <si>
    <t>PD-L1 TC ≥ 50%, EGFR, ALK, BRAF V600E, ROS1, NTRK, RET</t>
  </si>
  <si>
    <t>Telisotuzumab adizutecan</t>
  </si>
  <si>
    <t>ABBV-400</t>
  </si>
  <si>
    <t>Phase II</t>
  </si>
  <si>
    <t>NCT07005102</t>
  </si>
  <si>
    <t>2024-518586-10-00, ChiCTR2600116886, CTR20254635</t>
  </si>
  <si>
    <t>Anti-c-MET ADC monoclonal antibody</t>
  </si>
  <si>
    <t>c-MET/MET, EGFR T790M</t>
  </si>
  <si>
    <t>M25-287</t>
  </si>
  <si>
    <t>United States - Australia - Belgium - Canada - China - Israel - Italy - Japan - Portugal - Singapore - South Korea - Spain - Taiwan</t>
  </si>
  <si>
    <t>A Phase 2/3 Randomized Study to Evaluate the Safety, Efficacy, and Optimal Dose of Telisotuzumab Adizutecan in Combination With Osimertinib as First-Line Treatment in Patients With Locally Advanced Unresectable or Metastatic EGFR-Mutated Non-Squamous Non-Small Cell Lung Cancer</t>
  </si>
  <si>
    <t>Inclusion Criteria:* Eastern Cooperative Oncology Group (ECOG) performance status (PS) of 0 or 1 during the screening period and prior to dosing of study treatment on Cycle 1 Day 1.* Must consent to provide recently obtained formalin-fixed, paraffin-embedded (FFPE) tumor tissue (ideally collected during or after locally advanced or metastatic diagnosis) or archived tissue during screening for c-Met immunohistochemistry (IHC) testing and study stratification. c-Met IHC results are required prior to randomization.* Must have at least one non-irradiated measurable disease per Response Evaluation Criteria in Solid Tumors (RECIST) version 1.1. If only one measurable lesion exists, it is acceptable to be used (as a target lesion) as long as it has not been previously irradiated and as long as it has not been biopsied within 14 days of the baseline tumor assessment scans.* Any toxicities from prior systemic anti-cancer therapy must have resolved to common terminology criteria for adverse events (CTCAE) Grade 1 or baseline level (except for alopecia \[any grade\] or Grade \= 126 months (since last dose of e.g., adjuvant osimertinib) have passed before Cycle 1, Day 1.* Diagnosis of histologically or cytologically confirmed metastatic/locally advanced non-squamous NSCLC with documented classical EGFR mutation (Exon 19 Del or Exon 21 L858R) either alone or in combination with other EGFR mutations as detected by an Food and Drug Administration (FDA)-approved or other validated test in a Clinical Laboratory Improvement Amendments (CLIA) certified laboratory (sites in the US) or an accredited Laboratory (sites outside of the US) in accordance with site standard of care. A copy of the test report documenting the EGFR mutation must be available in the participant records.Exclusion Criteria:* History of interstitial lung disease (ILD), pneumonitis that required treatment with systemic steroids, or any evidence of active ILD/pneumonitis on screening chest computed tomography (CT) scan.* History of idiopathic pulmonary fibrosis, organizing pneumonia (e.g., bronchiolitis obliterans), drug-induced pneumonitis, or idiopathic pneumonitis.* Participants has leptomeningeal disease, or participant has spinal cord compression not definitively treated with surgery or radiation.* History of any malignancy other than disease under study except for1. Malignancy treated with curative intent and with no known active disease present for 2 years before the first dose of study treatment and felt to be at low risk for recurrence by investigator.2. Successfully treated nonmelanoma skin cancer.3. Localized carcinoma in situ of the cervix.4. Breast Cancer; lobular carcinoma in situ or ductal carcinoma in situ that is considered completely cured.</t>
  </si>
  <si>
    <t>c-MET/MET, ctDNA/cfDNA</t>
  </si>
  <si>
    <t>A-1743332</t>
  </si>
  <si>
    <t>Valine-Alanine (va)</t>
  </si>
  <si>
    <t>NCT07361497</t>
  </si>
  <si>
    <t>PD-L1, VEGF</t>
  </si>
  <si>
    <t>ROSETTA Lung-201</t>
  </si>
  <si>
    <t>United States - Argentina - Australia - Austria - Belgium - Brazil - Bulgaria - Canada - Chile - China - France - Germany - Greece - Hong Kong - Hungary - India - Ireland - Italy - Japan - Mexico - Netherlands - Poland - Puerto Rico - Romania - Singapore - South Korea - Spain - Sweden - Switzerland - Taiwan - Thailand - Turkey - United Kingdom</t>
  </si>
  <si>
    <t>ROSETTA Lung-201: A Randomized, Multicenter, Open-label Phase 3 Study of Pumitamig Monotherapy Compared to Durvalumab in Participants With Unresectable Stage III NSCLC Without Progression After Platinum-based Concurrent Chemoradiation Therapy.</t>
  </si>
  <si>
    <t>Inclusion Criteria* Participants must have a histologically- or cytologically-confirmed diagnoses of non-small cell lung cancer (NSCLC) with unresectable Stage III disease.* Participants must have received at least 2 cycles of platinum-based concurrent chemoradiotherapy (a total dose of radiation of at least 54 Gy).* Participants must have no progressive disease (PD) following treatment with concurrent chemoradiotherapy (CCRT).* Participants must have an Eastern Cooperative Oncology Group (ECOG) performance status (PS) score of 0 or 1.Exclusion Criteria* Participants with non-squamous histology must not have documented Epidermal Growth Factor Receptor (EGFR) and anaplastic lymphoma kinase (ALK) rearrangements.* Participants must not have an active autoimmune disease.* Participants must not have significant cardiovascular impairment such as uncontrolled hypertension (despite optimal medical treatment), congestive heart failure, active coronary disease (within 6 months prior to randomization), ventricular arrhythmias, major thrombotic or embolic events or major hemorrhagic events within 6 months prior to randomization, or significant risk of pulmonary hemorrhage.* Participants must not have advanced/clinically significant lung disease (within 6 months prior to randomization) or history of interstitial lung disease (ILD) or pneumonitis requiring treatment with systemic steroids (≥ Grade 2), or current or suspected ILD or pneumonitis.* Participants must not have any prior anticancer therapy (outside of CCRT) for locally advanced Stage III disease.* Other protocol-defined Inclusion/Exclusion criteria apply.</t>
  </si>
  <si>
    <t>Navlimetostat</t>
  </si>
  <si>
    <t>BMS-986504</t>
  </si>
  <si>
    <t>MRTX1719</t>
  </si>
  <si>
    <t>NCT07063745</t>
  </si>
  <si>
    <t>2025-521511-40, CTR20254182</t>
  </si>
  <si>
    <t>PRMT5 inhibitor</t>
  </si>
  <si>
    <t>CD279, Microtubule, NA, PD-1, PRMT5, TS, TYMS</t>
  </si>
  <si>
    <t>Pembrolizumab, Cisplatin, Carboplatin, Nab-Paclitaxel, Paclitaxel, Pemetrexed</t>
  </si>
  <si>
    <t>MountainTAP-29</t>
  </si>
  <si>
    <t>Placebo + Pembrolizumab + Cisplatin + Carboplatin + Pemetrexed + Paclitaxel + Nab-paclitaxel</t>
  </si>
  <si>
    <t>United States - Argentina - Australia - Austria - Belgium - Brazil - Bulgaria - China - Colombia - Czech Republic - Denmark - France - Germany - Greece - Hong Kong - Hungary - India - Israel - Italy - Japan - Malaysia - Mexico - Netherlands - Norway - Poland - Romania - South Korea - Spain - Sweden - Taiwan - Thailand - Turkey - United Kingdom</t>
  </si>
  <si>
    <t>A Randomized Phase 2/3 Study of BMS-986504 in Combination With Pembrolizumab and Chemotherapy Versus Placebo Plus Pembrolizumab and Chemotherapy in First-line Metastatic Non-small Cell Lung Cancer Participants With Homozygous MTAP Deletion</t>
  </si>
  <si>
    <t>Inclusion Criteria* Participants must have Metastatic (Stage IV or recurrent) non-small cell lung cancer (NSCLC) (as defined by the American Joint Committee on Cancer, Ninth Edition) with no prior systemic anti-cancer therapy for metastatic disease.* Participants must have histologically confirmed diagnosis of NSCLC and homozygous methylthioadenosine phosphorylase (MTAP) deletion or MTAP loss.* Participants must have an Eastern Cooperative Oncology Group (ECOG) performance status of 0-1.* Participants must have at least 1 measurable lesion as per RECIST v1.1.Exclusion Criteria* Nonsquamous participants must not have documented targetable oncogenic mutation or actionable genetic alterations (AGAs) for which there is a standard of care (SoC) available as first-line (1L) therapy.* Participants must not have symptomatic brain metastases or spinal cord compression.* Participants must not have any prior systemic therapy (chemotherapy, immunotherapy, targeted therapy, or biological therapy) for metastatic non-small cell lung cancer (mNSCLC).Note:: One cycle of SoC treatment prior to randomization will be allowed for participants who require immediate treatment if clinically indicated.* Participants must not have any known or suspected impairment of gastrointestinal function that may prohibit the ability to absorb or swallow an oral medication without chewing or crushing.* Other protocol-defined Inclusion/Exclusion criteria apply.</t>
  </si>
  <si>
    <t>MTAP, EGFR, ALK, ROS1</t>
  </si>
  <si>
    <t>NCT07361510</t>
  </si>
  <si>
    <t>ROSETTA Lung-202</t>
  </si>
  <si>
    <t>United States - Argentina - Australia - Austria - Belgium - Brazil - Bulgaria - Canada - Chile - China - Colombia - Czech Republic - Finland - France - Germany - Hungary - India - Italy - Japan - Malaysia - Mexico - Netherlands - Norway - Peru - Poland - Portugal - Romania - Singapore - South Korea - Spain - Sweden - Switzerland - Taiwan - Thailand - Turkey - United Kingdom</t>
  </si>
  <si>
    <t>ROSETTA Lung-202: A Randomized, Double-Blind, Phase 3 Study of Pumitamig Monotherapy Compared to Pembrolizumab as First-line Treatment in Participants With Locally Advanced or Metastatic Non-Small Cell Lung Cancer With PD-L1 ≥ 50%.</t>
  </si>
  <si>
    <t>Inclusion Criteria* Participants must have a histologically or cytologically confirmed diagnosis of Non-Small Cell Lung Cancer (NSCLC) (squamous and nonsquamous) with Stage IIIB/IIIC or Stage IV disease.* Participants must have a programmed death ligand-1 (PD-L1) expression ≥ 50%.* Participants must have measurable disease as defined by Response Evaluation Criteria in Solid Tumors (RECIST) v1.1.* Participants must have no prior systemic anti-tumor therapy for locally advanced or metastatic NSCLC.* Participants must have an Eastern Cooperative Oncology Group (ECOG) Performance Status 0-1.Exclusion Criteria* Participants must not have any documented actionable genomic alteration (AGA) for which first-line (1L) approved therapies are indicated.* Participants must not have any symptomatic untreated central nervous system (CNS) metastases, leptomeningeal metastases (carcinomatous meningitis) or spinal cord compression.* Participants must not have any significant cardiovascular impairment as evidenced by uncontrolled hypertension (despite optimal medical treatment), congestive heart failure, active coronary disease (within 6 months prior to randomization), ventricular arrhythmias, or major thrombotic or embolic events or major hemorrhagic events (within 6 months prior to randomization), or significant risk of pulmonary hemorrhage.* Participants must not an active autoimmune disease.* Other protocol-defined Inclusion/Exclusion criteria apply.</t>
  </si>
  <si>
    <t>Second line</t>
  </si>
  <si>
    <t>NCT00556712</t>
  </si>
  <si>
    <t>SATURN</t>
  </si>
  <si>
    <t>Journal of Clinical Oncology Nov 1, 2011</t>
  </si>
  <si>
    <t xml:space="preserve">11.00 </t>
  </si>
  <si>
    <t>EU label Apr 27, 2010</t>
  </si>
  <si>
    <t>United States - Australia - Austria - Belgium - Bulgaria - Canada - Chile - China - Czech Republic - Denmark - France - Germany - Greece - Hungary - Italy - Lithuania - Malaysia - Netherlands - New Zealand - Poland - Romania - Russian Federation - Slovakia - Slovenia - South Africa - South Korea - Spain - Thailand - Ukraine - United Kingdom - Venezuela</t>
  </si>
  <si>
    <t>A Randomized, Double-blind Study to Evaluate the Effect of Tarceva or Placebo Following Platinum-based CT on Overall Survival and Disease Progression in Patients With Advanced, Recurrent or Metastatic NSCLS Who Have Not Experienced Disease Progression or Unacceptable Toxicity During Chemotherapy</t>
  </si>
  <si>
    <t>Inclusion Criteria:* adult patients \&gt;=18 years of age;* histologically documented, locally advanced , recurrent or metastatic NSCLC;* measurable disease;* no disease progression after 4 cycles of platinum-based chemotherapy.Exclusion Criteria:* unstable systemic disease;* any other malignancies in the last 5 years.</t>
  </si>
  <si>
    <t>NCT00932893</t>
  </si>
  <si>
    <t>CTR20132969</t>
  </si>
  <si>
    <t>PROFILE 1007</t>
  </si>
  <si>
    <t>Pemetrexed or Docetaxel</t>
  </si>
  <si>
    <t xml:space="preserve">65%  vs 20% </t>
  </si>
  <si>
    <t xml:space="preserve">65% </t>
  </si>
  <si>
    <t xml:space="preserve">20% </t>
  </si>
  <si>
    <t xml:space="preserve">7.7  vs 3.0 </t>
  </si>
  <si>
    <t xml:space="preserve">3.0 </t>
  </si>
  <si>
    <t xml:space="preserve">21.7  vs 21.9 </t>
  </si>
  <si>
    <t xml:space="preserve">21.7 </t>
  </si>
  <si>
    <t xml:space="preserve">21.9 </t>
  </si>
  <si>
    <t>United States - Australia - Brazil - Bulgaria - Canada - China - France - Germany - Greece - Hong Kong - Hungary - Ireland - Italy - Japan - Netherlands - Poland - Russian Federation - South Korea - Spain - Sweden - Taiwan - United Kingdom</t>
  </si>
  <si>
    <t>Phase 3, Randomized, Open-label Study Of The Efficacy And Safety Of Pf-02341066 Versus Standard Of Care Chemotherapy (Pemetrexed Or Docetaxel) In Patients With Advanced Non-small Cell Lung Cancer (Nsclc) Harboring A Translocation Or Inversion Event Involving The Anaplastic Lymphoma Kinase (Alk) Gene Locus</t>
  </si>
  <si>
    <t>Inclusion Criteria:* histologically or cytologically proven diagnosis of non-small cell lung cancer* positive for the ALK fusion gene (test provided by a central laboratory)* must have had disease progression after only one prior chemotherapy and that regimen but must have included one platinum drug* tumors must be measurableExclusion Criteria:* prior treatment with PF-02341066* current treatment in another clinical trial</t>
  </si>
  <si>
    <t>ALK, c-MET/MET, HGF, EML4-ALK</t>
  </si>
  <si>
    <t>NCT01168973</t>
  </si>
  <si>
    <t>CTRI/2011/08/001942</t>
  </si>
  <si>
    <t>KDR, VEGFR2</t>
  </si>
  <si>
    <t>REVEL</t>
  </si>
  <si>
    <t>Docetaxel</t>
  </si>
  <si>
    <t xml:space="preserve">23%  vs 14% </t>
  </si>
  <si>
    <t xml:space="preserve">14% </t>
  </si>
  <si>
    <t xml:space="preserve">4.5  vs 3.0 </t>
  </si>
  <si>
    <t xml:space="preserve">10.5  vs 9.1 </t>
  </si>
  <si>
    <t xml:space="preserve">10.5 </t>
  </si>
  <si>
    <t xml:space="preserve">9.1 </t>
  </si>
  <si>
    <t>United States - Argentina - Austria - Brazil - Canada - France - Germany - Greece - Hungary - India - Israel - Italy - Japan - Mexico - Netherlands - New Zealand - Norway - Poland - Puerto Rico - Romania - Russian Federation - South Korea - Spain - Sweden - Switzerland - Taiwan - Turkey - United Kingdom</t>
  </si>
  <si>
    <t>A Randomized, Double-Blind, Phase 3 Study of Docetaxel and Ramucirumab Versus Docetaxel and Placebo in the Treatment of Stage IV Non-Small Cell Lung Cancer Following Disease Progression After One Prior Platinum-Based Therapy</t>
  </si>
  <si>
    <t>Inclusion Criteria:* Disease progression during or after one prior first-line platinum-based chemotherapy with or without maintenance therapy* Prior bevacizumab as first-line and/or maintenance therapy is allowed* Signed informed consent* Eastern Cooperative Oncology Group (ECOG) performance status of 0-1* Histologically or cytologically confirmed NSCLC* Stage IV NSCLC disease* Participants have measurable or nonmeasurable disease* Adequate organ function, defined as:* Total bilirubin less than or equal to Upper Limit of Normal (ULN),* Aspartate Aminotransferase (AST) and Alanine Aminotransaminase (ALT) less than or equal to 2.5 x ULN, or less than or equal to 5 x ULN if the transferase elevation is due to liver metastases,* Serum creatinine less than or equal to 1.5 x ULN or calculated creatinine clearance greater than or equal to 50 milliliters per minute (ml/min) (per the Cockcroft-Gault formula or equivalent and/or 24-hour urine collection),* Absolute Neutrophil Count (ANC) greater than or equal to 1.5 x 10\^3/microliters (µL), hemoglobin greater than or equal to 10.0 grams/deciliter (g/dL), and platelets greater than or equal to 100 x 10\^3/µL,* Adequate coagulation function as defined by International Normalized Ratio (INR) less than or equal to 1.5, or prothrombin time and partial thromboplastin time less than or equal to 1.5 x ULN.*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 Urinary protein is less than or equal to 1+ on dipstick or routine urinalysis. If urine dipstick or routine analysis indicates proteinuria greater than or equal to 2+, a 24-hour urine must be collected and must demonstrate less than 1000 milligrams (mg) of protein.* Participants of reproductive potential (both sexes) must agree to use reliable method of birth control (hormonal or barrier methods) during the study period and at least 12 weeks after the last dose of study therapy* Life expectancy of greater than or equal to 3 months*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randomizationExclusion Criteria:* Disease progression on more than 1 prior chemotherapy regimens* Participants whose only prior treatment was a tyrosine kinase inhibitor* The participant's tumor wholly or partially contains small cell lung cancer* Major surgery within 28 days prior to randomization, or subcutaneous venous access device placement within 7 days prior to randomization. Postoperative bleeding complications or wound complications from a surgical procedure performed in the last 2 months.* Concurrent treatment with other anticancer therapy, including other chemotherapy, immunotherapy, hormonal therapy, chemoembolization, or targeted therapy* Last dose of bevacizumab must be at least 28 days from time of randomization* Last dose of cytotoxic chemotherapy must be at least 14 days from time of randomization* The participant has untreated CNS metastases. Participants with treated brain metastases are eligible if they are clinically stable with regard to neurologic function, off steroids after cranial irradiation ending at least 2 weeks prior to randomization, or after surgical resection performed at least 28 days prior to randomization. No evidence of Grade greater than or equal to 1 CNS hemorrhage based on pretreatment Magnetic Resonance Imaging (MRI) or IV contrast Computed Tomography (CT) scan.* Radiologically documented evidence of major blood vessel invasion or encasement by cancer* Radiographic evidence of intratumor cavitation* History of uncontrolled hereditary or acquired thrombotic disorder* Chronic therapy with nonsteroidal anti-inflammatory drug (NSAIDs) or other antiplatelet agents; Aspirin use at doses up to 325 milligrams per day (mg/day) is permitted* History of gross hemoptysis (defined as bright red blood or greater than or equal to 1/2 teaspoon) within 2 months prior to randomization* Clinically relevant congestive heart failure \[New York Heart Association (NYHA II-IV)\] or symptomatic or poorly controlled cardiac arrhythmia* Any arterial thrombotic event, including myocardial infarction, unstable angina, cerebrovascular accident, or transient ischemic attack, within 6 months prior to randomization* Uncontrolled arterial hypertension greater than or equal to 150 / greater than or equal to 90 millimeters of mercury (mm Hg) despite standard medical management* Serious or nonhealing wound, ulcer, or bone fracture within 28 days prior to randomization* Significant bleeding disorders, vasculitis, or Grade 3/4 gastrointestinal bleeding within 3 months prior to randomization* Gastrointestinal (GI) perforation and/or fistulae within 6 months prior to randomization* Bowel obstruction, history or presence of inflammatory enteropathy or extensive intestinal resection Crohn's disease, ulcerative colitis, or chronic diarrhea* Peripheral neuropathy greater than or equal to Grade 2 \[National Cancer Institute Common Terminology Criteria for Adverse Events (NCI-CTCAE) version 4.02\]* Serious illness or medical condition(s) including, but not limited to: Human immunodeficiency virus (HIV) infection or acquired immunodeficiency syndrome (AIDS)-related illness; Active or uncontrolled clinically serious infection; Severe acute or chronic medical or psychiatric condition or laboratory abnormality that may increase the risk associated with study participation or study drug administration* Known allergy or hypersensitivity reaction to any of the treatment components* The participant is pregnant or breastfeeding* Current or recent (within 28 days prior to randomization) treatment with an investigational drug or device that has not received regulatory approval for any indication at the time of randomization, or participation in another interventional clinical trial* Prior therapy with docetaxel</t>
  </si>
  <si>
    <t>NLR</t>
  </si>
  <si>
    <t>NCT01523587</t>
  </si>
  <si>
    <t>2011-002380-24, CTRI/2012/09/002994, 	 PER-028-12, CTR20131407</t>
  </si>
  <si>
    <t>LUX-Lung 8</t>
  </si>
  <si>
    <t xml:space="preserve">5%  vs 3% </t>
  </si>
  <si>
    <t xml:space="preserve">5% </t>
  </si>
  <si>
    <t xml:space="preserve">3% </t>
  </si>
  <si>
    <t xml:space="preserve">2.4  vs 1.9 </t>
  </si>
  <si>
    <t xml:space="preserve">1.9 </t>
  </si>
  <si>
    <t xml:space="preserve">7.8  vs 6.8 </t>
  </si>
  <si>
    <t xml:space="preserve">7.8 </t>
  </si>
  <si>
    <t xml:space="preserve">6.8 </t>
  </si>
  <si>
    <t>United States - Argentina - Austria - Canada - Chile - China - Denmark - France - Germany - Greece - Hungary - India - Ireland - Italy - Mexico - Netherlands - Portugal - Singapore - South Korea - Spain - Taiwan - Turkey - United Kingdom</t>
  </si>
  <si>
    <t>LUX-Lung 8: A Randomized, Open-label Phase III Trial of Afatinib Versus Erlotinib in Patients With Advanced Squamous Cell Carcinoma of the Lung as Second-line Therapy Following First-line Platinum-based Chemotherapy</t>
  </si>
  <si>
    <t>Inclusion criteria:1. Diagnosis of advanced stage NSCLC squamous histology.2. Platinum-based doublet chemotherapy as 1st line treatment of Stage IIIB/IV NSCLC.3. Eligible to receive 2nd line therapy in the opinion of the investigator.4. Measurable disease according to RECIST 1.1.5. Adequate Performance Status.6. Availability of tumour tissue material for correlative studies. Archived tumour tissue is acceptable.7. Adequate organ function.8. Age = 18 years and above.9. Written informed consent that is consistent with International Conference on Harmonisation (ICH)-Good Clinical Practice (GCP) guidelines.Exclusion criteria:1. Prior treatment with Epidermal Growth Factor Receptor (EGFR) directed small molecules or antibodies.2. Radiotherapy within 4 weeks prior to randomization.3. Active brain metastases .4. Any other current malignancy or malignancy diagnosed within the past three (3) years (other than basal-cell carcinoma of the skin, in situ cervical cancer, in situ prostate cancer).5. Known pre-existing interstitial lung disease.6. Significant or recent acute gastrointestinal disorders with diarrhoea as a major symptom7. Any other concomitant serious illness or organ system dysfunction which in the opinion of the investigator would either compromise patient safety or interfere with the evaluation of the safety of the test drug.8. Women of child-bearing potential and men who are able to father a child, unwilling to be abstinent or use adequate contraception prior to study entry, for the duration of study participation and for at least 2 months after treatment has ended.9. Female patients of childbearing potential (see Section 4.2.3.3) who:1. are nursing or2. are pregnant or3. are not using an acceptable method of birth control, or do not plan to continue using this method throughout the study and/or do not agree to submit to pregnancy testing required by this protocol.10. Active hepatitis B infection (defined as presence of Hep B DNA), active hepatitis C infection (defined as presence of Hep C RNA) and/or known HIV carrier.11. Known or suspected active drug or alcohol abuse in the opinion of the investigator.12. Any contraindications for therapy with afatinib or erlotinib.13. Known hypersensitivity to erlotinib, afatinib or the excipients of any of the trial drugs.14. Major surgery within 4 weeks of starting study treatment.15. Prior participation in an afatinib clinical study, even if not assigned to afatinib.16. Use of any investigational drug within 4 weeks of randomisation (unless a longer time period is required by local regulations or by the guidelines for the investigational product).17. Patients without Progression of their lung cancer.</t>
  </si>
  <si>
    <t>HER2, EGFR, HER3, HER4, KMT2A, KMT2D, FAT3, CDKN2A, SOX2, KLHL6, PIK3CA, MAP3K, BCL-6, FGF12, EGFR L861Q, EGFR E114K, EGFR Q1021, EGFR E746, EGFR A750del, EGFR V843I, EGFR L858R, HER3 R103H, HER3 V104L, HER3 P1212S, HER4 D931Y</t>
  </si>
  <si>
    <t>NCT01905657</t>
  </si>
  <si>
    <t>2012-004391-19</t>
  </si>
  <si>
    <t>KEYNOTE-010</t>
  </si>
  <si>
    <t xml:space="preserve">18% 18%  vs 9% </t>
  </si>
  <si>
    <t xml:space="preserve">18% </t>
  </si>
  <si>
    <t xml:space="preserve">9% </t>
  </si>
  <si>
    <t xml:space="preserve">3.9  vs 4.0 </t>
  </si>
  <si>
    <t xml:space="preserve">4.0 </t>
  </si>
  <si>
    <t xml:space="preserve">16.60  vs 8.20 </t>
  </si>
  <si>
    <t xml:space="preserve">8.20 </t>
  </si>
  <si>
    <t>United States - Belgium - Brazil - Chile - France - Hungary - Italy - Netherlands - South Korea - Spain - Taiwan - United Kingdom</t>
  </si>
  <si>
    <t>A Phase II/III Randomized Trial of Two Doses of MK-3475 (SCH900475) Versus Docetaxel in Previously Treated Subjects With Non-Small Cell Lung Cancer</t>
  </si>
  <si>
    <t>Inclusion Criteria:* Life expectancy of at least 3 months* Histologically- or cytologically-confirmed diagnosis of NSCLC that is anti-programmed cell death ligand 1 (PD-L1) positive per central laboratory review* At least one bi-dimensional measurable lesion* Radiographic progression after treatment with at least 2 cycles of a platinum-containing doublet* Eastern Cooperative Oncology Group (ECOG) Performance Status of 0 or 1Exclusion Criteria:* Prior therapy with docetaxel for NSCLC* Receiving systemic steroid therapy within 3 days prior to the first dose of study treatment or receiving any other form of immunosuppressive medication* Currently participating or has participated in a study using an investigational antineoplastic agent or device within 30 days of first dose* Expected to require any other form of systemic or localized antineoplastic therapy while on trial* History of allogeneic tissue/solid organ transplant* Prior systemic cytotoxic chemotherapy, antineoplastic biological therapy (e.g., cetuximab), major surgery within 3 weeks of the first dose of study drug; received thoracic radiation therapy of \&gt;30 Gy within 6 months of the first dose of study drug; received prior tyrosine kinase inhibitor therapy or completed palliative radiotherapy within 7 days of the first dose of study drug* Prior therapy with an anti-programmed cell death (PD)-1, anti-PD-L1, anti-PD-L2, anti-tumor necrosis factor CD137, or anti-cytotoxic T-lymphocyte-associated antigen-4 (CTLA-4) antibody (including ipilimumab or any other antibody or drug specifically targeting T-cell co-stimulation or checkpoint pathways), or took part in another pembrolizumab trial* Known history of prior malignancy, with the exception of basal cell carcinoma of the skin, superficial bladder cancer, squamous cell carcinoma of the skin, or in situ cervical cancer, and has undergone potentially curative therapy with no evidence of that disease recurrence for 5 years since initiation of that therapy* Known active central nervous system (CNS) metastases and/or carcinomatous meningitis* Active autoimmune disease, or a documented history of autoimmune disease, or a syndrome that requires systemic steroids or immunosuppressive agents* Interstitial lung disease, or history of pneumonitis requiring systemic steroids for treatment* Known history or active human immunodeficiency virus (HIV), hepatitis B, or hepatitis C* Pregnant or breastfeeding, or expecting to conceive or father children within the projected duration of the trial through 120 days after last dose of pembrolizumab or 180 days after last dose of docetaxel</t>
  </si>
  <si>
    <t>PD-L1, TMB, EGFR, ALK, LDH</t>
  </si>
  <si>
    <t>NCT02008227</t>
  </si>
  <si>
    <t>2013-003331-30, JapicCTI-142530, SNCTP000000441, jRCT2080222480</t>
  </si>
  <si>
    <t>OAK</t>
  </si>
  <si>
    <t xml:space="preserve">14%  vs 13% </t>
  </si>
  <si>
    <t xml:space="preserve">13% </t>
  </si>
  <si>
    <t xml:space="preserve">13.8  vs 9.6 </t>
  </si>
  <si>
    <t xml:space="preserve">13.8 </t>
  </si>
  <si>
    <t xml:space="preserve">9.6 </t>
  </si>
  <si>
    <t>United States - Argentina - Austria - Brazil - Canada - Chile - China - Finland - France - Germany - Greece - Guatemala - Hong Kong - Hungary - Italy - Japan - Netherlands - New Zealand - Norway - Panama - Poland - Portugal - Russian Federation - Serbia - South Korea - Spain - Sweden - Switzerland - Taiwan - Thailand - Turkey - Ukraine - United Kingdom</t>
  </si>
  <si>
    <t>A Phase III, Open-Label, Multicenter, Randomized Study to Investigate the Efficacy and Safety of Atezolizumab (Anti-PD-L1 Antibody) Compared With Docetaxel in Patients With Non-Small Cell Lung Cancer After Failure With Platinum Containing Chemotherapy</t>
  </si>
  <si>
    <t>Inclusion Criteria:* Locally advanced or metastatic (Stage IIIB, Stage IV, or recurrent) NSCLC* Representative formalin-fixed paraffin-embedded (FFPE) tumor specimens*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 Measurable disease, as defined by Response Evaluation Criteria in Solid Tumors (RECIST) version 1.1* Eastern Cooperative Oncology Group (ECOG) performance status of 0 or 1Exclusion Criteria:* Known active or untreated central nervous system (CNS) metastases* Malignancies other than NSCLC within 5 years prior to randomization, with the exception of those with a negligible risk of metastasis or death and treated with expected curative outcome* History of autoimmune disease* History of idiopathic pulmonary fibrosis (including pneumonitis), drug-induced pneumonitis, organizing pneumonia, or evidence of active pneumonitis on screening chest computed tomography (CT) scan. History of radiation pneumonitis in the radiation field (fibrosis) is permitted* Active hepatitis B or hepatitis C* Prior treatment with docetaxel* Prior treatment with cluster of differentiation 137 (CD137) agonists, anti-cytotoxic-T-lymphocyte-associated antigen 4 (anti-CTLA4), anti-programmed death-1 (anti-PD-1), or anti-PD-L1 therapeutic antibody or pathway-targeting agents</t>
  </si>
  <si>
    <t>PD-1, PD-L1, TMB, CXCL9, IFN-γ, ALK, EML4, KRAS, CRP, LDH, CDKN1A, ERRFI1, JAK2, NOTCH2, ACVR1, NFKBIA, GNA13, MER, BTG1, CDKN1B, FOXP1, PDK1, ETV6, MLL2, SMAD3, DICER1, BRCA2, TP53, DNMT3A, KEAP1, ctDNA/cfDNA, NLR, EGFR, STK11, SMARCA4, ARID1A, CD8, CK, ROS1, BRAF, c-MET/MET, RET, CDKN2A, ATM, BRIP1, MRE11A, POLE, MSH2, PARP1</t>
  </si>
  <si>
    <t>NCT02151981</t>
  </si>
  <si>
    <t>2014-000594-39, JapicCTI-142652, CTR20150535, jRCT2080222601</t>
  </si>
  <si>
    <t>AURA3</t>
  </si>
  <si>
    <t xml:space="preserve">71%  vs 31% </t>
  </si>
  <si>
    <t xml:space="preserve">71% </t>
  </si>
  <si>
    <t xml:space="preserve">10.1  vs 4.4 </t>
  </si>
  <si>
    <t xml:space="preserve">4.4 </t>
  </si>
  <si>
    <t xml:space="preserve">26.8 </t>
  </si>
  <si>
    <t>United States - Australia - Canada - China - France - Germany - Hong Kong - Hungary - Italy - Japan - Mexico - Netherlands - Russian Federation - South Korea - Spain - Sweden - Taiwan - United Kingdom</t>
  </si>
  <si>
    <t>A Phase III, Open Label, Randomized Study of AZD9291 Versus Platinum-Based Doublet Chemotherapy for Patients With Locally Advanced or Metastatic Non-Small Cell Lung Cancer Whose Disease Has Progressed With Previous Epidermal Growth Factor Receptor Tyrosine Kinase Inhibitor Therapy and Whose Tumours Harbour a T790M Mutation Within the Epidermal Growth Factor Receptor Gene (AURA3).</t>
  </si>
  <si>
    <t>Inclusion Criteria:* Subjects with histologically or cytologically documented NSCLC.* Locally advanced or metastatic NSCLC* Radiological documentation of disease progression following 1st line EGFR TKI Treatment without any further treatment* Eligible to receive treatment with the selected doublet-chemotherapy* Central confirmation of T790M+ mutation status* World Health Organization (WHO) performance status 0-1* At least one lesion, not previously irradiated.Exclusion Criteria:* • Prior neo-adjuvant or adjuvant chemotherapy treatment within 6 months prior of starting 1st EGFR TKI treatment* Treatment with more than one prior line of treatment for advanced NSCLC* Treatment with an approved EGFR-TKI (e.g.,erlotinib, gefitinib, afatinib) within 8 days or approximately 5x half-life of the first dose of study treatment* Any investigational agents or other anticancer drugs from a previous treatment regimen or clinical study within 14 days of the first dose of study treatment* Previous treatment with Osimertinib, or a 3rd generation EGFR TKIFor subjects who cross-over to Osimertinib:* Once subjects on the platinum-based doublet chemotherapy arm are determined to have objective radiological progression according to RECIST 1.1 by the investigator and confirmed by independent central imaging review.* At least 14 days since last dose of platinum-based doublet chemotherapy</t>
  </si>
  <si>
    <t>EGFR, EGFR T790M</t>
  </si>
  <si>
    <t>ctDNA/cfDNA, EGFR Exon 19-del, EGFR L858R, EGFR C797S, HER2, PIK3CA, BRAF V600E, KRAS, FGFR3, RET, NTRK, TP53, BRAF, LDH, EGFR G719X, EGFR L861Q, EGFR S768I, EGFR Exon 20-ins, c-MET/MET</t>
  </si>
  <si>
    <t>Tecentriq Hybreza</t>
  </si>
  <si>
    <t>NCT03735121</t>
  </si>
  <si>
    <t>2018-002328-18, PER-097-20</t>
  </si>
  <si>
    <t>IMscin001</t>
  </si>
  <si>
    <t>Atezolizumab IV</t>
  </si>
  <si>
    <t xml:space="preserve">10.10 </t>
  </si>
  <si>
    <t>Argentina - Brazil - Chile - China - Costa Rica - France - Greece - Guatemala - Hungary - Italy - Latvia - Mexico - New Zealand - Peru - Poland - Russian Federation - South Africa - South Korea - Spain - Thailand - Turkey - Ukraine - United Kingdom</t>
  </si>
  <si>
    <t>A Randomized, Multicenter, Phase Ib/III Study to Investigate the Pharmacokinetics, Efficacy, and Safety of Atezolizumab Subcutaneous Compared With Atezolizumab Intravenous in Patients With Previously Treated Locally Advanced or Metastatic Non-Small Cell Lung Cancer</t>
  </si>
  <si>
    <t>Inclusion Criteria:* Histologically or cytologically documented locally advanced or metastatic NSCLC* Prior platinum-containing regimen or disease recurrence ≤ 6 months since prior platinum-based adjuvant/neoadjuvant regimen.* Measurable disease as defined by RECIST v1.1* Eastern Cooperative Oncology Group (ECOG) Performance Status of 0 or 1* Life expectancy ≥12 weeks* Adequate hematologic and end-organ functionAdditional Inclusion Criteria (Part 2 Only) • Availability of tissue and known epidermal growth factor receptor (EGFR) statusExclusion Criteria:* Symptomatic, untreated, or actively progressing central nervous system (CNS) metastases* Uncontrolled or symptomatic hypercalcemia* Pregnancy or breastfeeding* Active or history of autoimmune disease or immune deficiency* History of idiopathic pulmonary fibrosis, organizing pneumonia, drug-induced pneumonitis, or idiopathic pneumonitis, or evidence of active pneumonitis* Severe infection ≤ 4 weeks* Treatment with therapeutic oral or IV antibiotics ≤ 2 weeks prior to study treatment* Significant cardiovascular disease* Prior allogeneic stem cell or solid organ transplantation* Treatment with a live, attenuated vaccine ≤ 4 weeks* Treatment with systemic immunostimulatory agents ≤ 4 weeks or 5 half-lives of the drug* Treatment with systemic immunosuppressive medication ≤ 2 weeksAdditional Exclusion Criteria (Part 2 Only)• Tested tumor programmed death-ligand-1 (PD-L1) expression status with an intention to treat the patient if positive</t>
  </si>
  <si>
    <t>BRAF, KRAS</t>
  </si>
  <si>
    <t>EGFR, ALK, PD-L1, ctDNA/cfDNA, TCR</t>
  </si>
  <si>
    <t>NCT04988295</t>
  </si>
  <si>
    <t>2021-001825-33, CTRI/2022/01/039158, 2023-506518-33-00, CTR20212717, jRCT2031210358</t>
  </si>
  <si>
    <t>MARIPOSA-2</t>
  </si>
  <si>
    <t>Carboplatin + Pemetrexed</t>
  </si>
  <si>
    <t xml:space="preserve">63.0%  vs 36.0% </t>
  </si>
  <si>
    <t xml:space="preserve">63.0% </t>
  </si>
  <si>
    <t xml:space="preserve">36.0% </t>
  </si>
  <si>
    <t>Annals of Oncology Oct 23, 2023</t>
  </si>
  <si>
    <t xml:space="preserve">8.30 </t>
  </si>
  <si>
    <t>17.7 vs 15.3</t>
  </si>
  <si>
    <t>United States - Argentina - Belgium - Brazil - Bulgaria - Canada - China - Czech Republic - Denmark - France - Germany - Hong Kong - India - Israel - Italy - Japan - Malaysia - Mexico - Netherlands - Poland - Portugal - Puerto Rico - Russian Federation - South Korea - Spain - Sweden - Taiwan - Turkey - United Kingdom</t>
  </si>
  <si>
    <t>A Phase 3, Open-Label, Randomized Study of Amivantamab and Lazertinib in Combination With Platinum-Based Chemotherapy Compared With Platinum-Based Chemotherapy in Patients With EGFR-Mutated Locally Advanced or Metastatic Non-Small Cell Lung Cancer After Osimertinib Failure</t>
  </si>
  <si>
    <t>Inclusion Criteria:* Participant must have at least 1 measurable lesion, according to Response Evaluation Criteria in Solid Tumors (RECIST) version 1.1, that has not been previously irradiated* Participant must have histologically or cytologically confirmed, locally advanced or metastatic, non-squamous non-small cell lung cancer (NSCLC), characterized at or after the time of locally advanced or metastatic disease diagnosis by either epidermal growth factor receptor (EGFR) Exon 19del or Exon 21 L858R mutation* A participant with a history of brain metastases must have had all lesions treated as clinically indicated (that is, no current indication for further definitive local therapy). Any definitive local therapy to brain metastases must have been completed at least 14 days prior to randomization and the participant can be receiving no greater than10 milligrams (mg) prednisone or equivalent daily for the treatment of intracranial disease* Participant must have Eastern Cooperative Oncology Group (ECOG) status of 0 or 1* Any toxicities from prior systemic anticancer therapy must have resolved to National Cancer Institute Common Terminology Criteria for Adverse Events (NCI CTCAE) Version 5.0 Grade 1 or baseline level (except for alopecia \[any grade\], Grade \</t>
  </si>
  <si>
    <t>Optune Lua</t>
  </si>
  <si>
    <t>NCT02973789</t>
  </si>
  <si>
    <t>SNCTP000003886</t>
  </si>
  <si>
    <t>B7-H1, CD274, CD279, Microtubule, NA, PD-1, PD-L1</t>
  </si>
  <si>
    <t>Nivolumab, Pembrolizumab, Atezolizumab, Docetaxel</t>
  </si>
  <si>
    <t>LUNAR</t>
  </si>
  <si>
    <t>Immune checkpoint inhibitors or Docetaxel</t>
  </si>
  <si>
    <t xml:space="preserve">4.10 </t>
  </si>
  <si>
    <t>ASCO Jun 2, 2023</t>
  </si>
  <si>
    <t xml:space="preserve">13.20  vs 9.90% </t>
  </si>
  <si>
    <t xml:space="preserve">13.20 </t>
  </si>
  <si>
    <t xml:space="preserve">9.90% </t>
  </si>
  <si>
    <t>Lancet Oncology Sep 1, 2023</t>
  </si>
  <si>
    <t>United States - Austria - Belgium - Bulgaria - Canada - China - Croatia - Czech Republic - France - Germany - Hong Kong - Hungary - Italy - Netherlands - Poland - Serbia - Spain - Switzerland</t>
  </si>
  <si>
    <t>LUNAR: Pivotal, Randomized, Open-label Study of Tumor Treating Fields (TTFields) Concurrent With Standard of Care Therapies for Treatment of Stage 4 Non-small Cell Lung Cancer (NSCLC) Following Platinum Failure</t>
  </si>
  <si>
    <t>Inclusion Criteria:1. 22 years of age and older (some regional variations to inclusion age exist)2. Life expectancy of ≥ 3 months3. Histological diagnosis of squamous or non-squamous, inoperable, metastatic NSCLC4. Diagnosis of radiological progression while on or after first platinum-based systemic therapy administered for advanced or metastatic disease.1. Patients who received adjuvant or neoadjuvant platinum-based chemotherapy (after surgery and/or radiation therapy) and developed metastatic disease within 6 months of completing therapy are eligible.2. Patients with metastatic disease more than 6 months after adjuvant or neoadjuvant platinum-based chemotherapy, who also subsequently progressed during or after a platinum- based regimen given to treat the advanced or metastatic disease, are eligible.3. Patients should not receive any systemic therapy after platinum failure before enrollment into the study. Maintenance therapy after platinum based therapy and prior to progression is allowed.5. ECOG Score of 0-26. Assigned by the physician to receive either docetaxel or immune checkpoint inhibitor per standard of care regimen7. Able to operate the NovoTTF-200T device independently or with the help of a caregiver8. Signed informed consent for the study protocolExclusion Criteria:1. Metastases to central nervous system (CNS) with clinical symptoms or evidence of new metastases to CNS during screening. Patients who previously received treatments for the metastases to CNS, are stable and meet the following requirements are allowed to be enrolled:1. The patients are neurologically returned to baseline (except for residual signs or symptoms related to CNS treatment).2. No treatment for the metastases to CNS during the screening period (e.g. surgery, radiotherapy, corticosteroid therapy- prednisone \&gt; 10 mg/day or equivalent).3. No progress in CNS lesions as indicated by MRI within 14 days prior to randomization.4. No meningeal metastasis or spinal cord compression.2. Patients planned to receive immune checkpoint inhibitor with contra-indications to receive immunotherapy3. Patients planned to receive docetaxel with contra-indications to receive docetaxel4. Severe comorbidities:1. Clinically significant (as determined by the investigator) hematological, hepatic and renal dysfunction, defined as: Neutrophil count \&lt; 1.5 x 10\^9/L and platelet count \&lt; 100 x 10\^9/L; bilirubin \&gt; 1.5 x ULN; AST and/or ALT \&gt; 2.5 x ULN or \&gt; 5 x ULN if patient has documented liver metastases; and serum creatinine \&gt; 1.5 x ULN2. History of significant cardiovascular disease unless the disease is well controlled. Significant cardiac disease includes second/third degree heart block; significant ischemic heart disease; poorly controlled hypertension; congestive heart failure of the New York Heart Association (NYHA) Class II or worse (slight limitation of physical activity; comfortable at rest, but ordinary activity results in fatigue, palpitation or dyspnea)3. History of arrhythmia that is symptomatic or requires treatment. Patients with atrial fibrillation or flutter controlled by medication are not excluded from participation in the trial4. History of pericarditis5. History of interstitial lung disease6. History of cerebrovascular accident (CVA) within 6 months prior to randomization or that is not stable7. Active infection or serious underlying medical condition that would impair the ability of the patient to received protocol therapy8. History of any psychiatric condition that might impair patient's ability to understand or comply with the requirements of the study or to provide consent9. Any other malignancy requiring anti-tumor treatment in the past three years, excluding treated stage I prostate cancer, in situ cervical cancer, in situ breast cancer and non-melanomatous skin cancer5. Concurrent treatment with other experimental treatments for NSCLC while on the study6. Implantable electronic medical devices (e.g. pacemaker, defibrillator) in the upper torso7. Known allergies to medical adhesives or hydrogel8. Pregnancy or breast-feeding (patients with reproductive potential must use effective contraception methods throughout the entire study period, as determined by their investigator/gynecologist)9. Admitted to an institution by administrative or court order</t>
  </si>
  <si>
    <t>Rybrevant Faspro</t>
  </si>
  <si>
    <t>NCT05388669</t>
  </si>
  <si>
    <t>2024-512045-16-00, CTR20222664, jRCT2041220053</t>
  </si>
  <si>
    <t>PALOMA-3</t>
  </si>
  <si>
    <t>Lazertinib + Amivantamab IV</t>
  </si>
  <si>
    <t xml:space="preserve">6.10 </t>
  </si>
  <si>
    <t>United States - Argentina - Australia - Brazil - Canada - China - France - Germany - Israel - Italy - Japan - Malaysia - Poland - Portugal - South Korea - Spain - Taiwan - Thailand - Turkey - United Kingdom</t>
  </si>
  <si>
    <t>A Phase 3, Open-label, Randomized Study of Lazertinib With Subcutaneous Amivantamab Compared With Intravenous Amivantamab in Patients With EGFR-mutated Advanced or Metastatic Non-small Cell Lung Cancer After Progression on Osimertinib and Chemotherapy</t>
  </si>
  <si>
    <t>Inclusion Criteria:* Have histologically or cytologically confirmed, advanced or metastatic non-small cell lung cancer (NSCLC), characterized by either epidermal growth factor receptor (EGFR) Exon 19 deletion (Exon 19del) or Exon 21 leucine 858 to arginine substitution (Exon 21 L858R) mutation by an Food and Drug Administration (FDA)-approved or other validated test of either circulating tumor deoxyribonucleic acid (ctDNA) or tumor tissue in a clinical laboratory improvement amendments (CLIA) certified laboratory (sites in the United Started \[US\]) or an accredited local laboratory (sites outside of the US)* Have progressed on or after osimertinib (or another approved 3rd generation epidermal growth factor receptor \[EGFR\] tyrosine kinase inhibitor \[TKI\]) and platinum-based chemotherapy (irrespective of order). a) The 3rd generation EGFR TKI must have been administered as the first EGFR TKI for metastatic disease or as the second TKI after prior treatment with first- or second-generation EGFR TKI in participants with metastatic EGFR T790M mutation positive NSCLC. b) Participants who decline or are otherwise ineligible for chemotherapy may be enrolled after discussion with the medical monitor. c) Any adjuvant or neoadjuvant treatment, whether with a 3rd generation EGFR TKI or platinum based chemotherapy, would count towards the prior treatment requirement if the participant experienced disease* Have at least 1 measurable lesion, according to response evaluation criteria in solid tumors (RECIST) version 1.1* Have an eastern cooperative oncology group (ECOG) performance status of 0 to 1* Any toxicities from prior anticancer therapy must have resolved to common terminology criteria for adverse events (CTCAE) Version 5.0 Grade 1 or baseline level (except for alopecia \[any grade\], Grade less than or equal to (\</t>
  </si>
  <si>
    <t>EGFR T790M, c-MET/MET, ctDNA/cfDNA</t>
  </si>
  <si>
    <t>FDA</t>
  </si>
  <si>
    <t>NCT02831959</t>
  </si>
  <si>
    <t>METIS</t>
  </si>
  <si>
    <t>Radiosurgery</t>
  </si>
  <si>
    <t>11.3 vs 10.6</t>
  </si>
  <si>
    <t>United States - Austria - Bulgaria - Canada - China - Croatia - France - Germany - Hong Kong - Hungary - Israel - Italy - Poland - Serbia - Spain</t>
  </si>
  <si>
    <t>Pivotal, Open-label, Randomized Study of Radiosurgery With or Without Tumor Treating Fields (TTFields) for 1-10 Brain Metastases From Non-small Cell Lung Cancer (NSCLC).</t>
  </si>
  <si>
    <t>Inclusion Criteria:1. 18 years of age and older2. Life expectancy of ≥ 3 months3. New diagnosis of brain metastases from a histologically or cytologically confirmed primary or metastatic NSCLC tumor within 5 years of registration on the study. If the original histological proof of malignancy is greater than 5 years, then pathological confirmation is required (i.e.: from extra-cranial or intracranial disease).5\. 1 inoperable brain metastasis or 2- 10 brain lesions per screening MRI, confirmed by contrast enhanced MRI amenable to SRS according to the following criteria:a. largest tumor volume \&lt; 10 cc b. longest tumor diameter \&lt; 3 cm c. Cumulative volume of all tumors ≤ 15 cc 6. At least one measurable disease per study protocol 7. Patients must be receiving optimal therapy for their extracranial disease according to local practice at each center. Patients may continue on systemic therapy while receiving TTFields.8\. Able to operate the NovoTTF-200M device independently or with the help of a caregiver 9. Clinical trials prior to enrollment are allowed, as long as no brain directed therapy was included (current treatment trials are exclusionary)Exclusion Criteria:1. Patients who are known to have somatic tumor mutations in the following genes, for which targeted agents are available that directly affect the treatment of brain metastasis: Anaplastic lymphoma kinase (ALK), epidermal growth factor receptor (EGFR), ROS-1 proto- oncogene, and proto-oncogene B-RAF2. Patients who have a single, operable brain metastasis3. Patients with significant edema leading to risk of brain herniation4. Patients with midline shift \&gt; 10mm5. Patients with intractable seizures6. Leptomeningeal metastases7. Recurrent brain metastases8. Prior WBRT for newly diagnosed brain metastases9. Severe comorbidities:1. Clinically-significant inadequate hematological, hepatic and renal function, defined as: Neutrophil count \&lt; 1.5 x 10 9/L and platelet count \&lt; 100 x 10\^9/L; bilirubin \&gt; 1.5 x upper limit of normal (ULN); aspartate transaminase (AST) and/or alanine aminotransferase (ALT) \&gt; 2.5 x ULN or \&gt; 5 x ULN if patient has documented liver metastases; and serum creatinine \&gt; 1.5 x ULN2. History of significant cardiovascular disease unless the disease is well controlled. Significant cardiac disease includes second/ third degree heart block; significant ischemic heart disease; poorly controlled hypertension; congestive heart failure of the New York Heart Association (NYHA) Class II or worse (slight limitation of physical activity; comfortable at rest, but ordinary activity results in fatigue, palpitation or dyspnea).3. History of arrhythmia that is symptomatic or requires treatment. Patients with atrial fibrillation or flutter controlled by medication are not excluded from participation in the study.4. History of cerebrovascular accident (CVA) within 6 months prior to randomization or that is not stable5. Active infection or serious underlying medical condition that would impair the ability of the patient to received protocol therapy6. History of any psychiatric condition that might impair patient's ability to understand or comply with the requirements of the study or to provide consent10. Implantable electronic medical devices in the brain11. Known allergies to medical adhesives or hydrogel12. Currently pregnant or breastfeeding13. Planned concurrent brain directed therapy (beyond SRS and NovoTTF-200M as per protocol)</t>
  </si>
  <si>
    <t>ALK, EGFR, ROS1, BRAF</t>
  </si>
  <si>
    <t>NCT06396065</t>
  </si>
  <si>
    <t>CD279, NA, PD-1, TS, TYMS, VEGF</t>
  </si>
  <si>
    <t>HARMONi</t>
  </si>
  <si>
    <t>Placebo + Pemetrexed + Carboplatin</t>
  </si>
  <si>
    <t xml:space="preserve">45.0%  vs 34.0% </t>
  </si>
  <si>
    <t xml:space="preserve">34.0% </t>
  </si>
  <si>
    <t xml:space="preserve">4.40 </t>
  </si>
  <si>
    <t xml:space="preserve">16.80  vs 14.00 </t>
  </si>
  <si>
    <t xml:space="preserve">16.80 </t>
  </si>
  <si>
    <t>United States - Canada - China - France - Italy - Spain - United Kingdom</t>
  </si>
  <si>
    <t>A Randomized, Double-blind, Multi-center, Phase III Study of AK112 or Placebo Combined With Pemetrexed and Carboplatin in Patients With EGFR-mutant Locally Advanced or Metastatic Non-squamous NSCLC Who Have Failed to EGFR-TKI Treatment</t>
  </si>
  <si>
    <t>Inclusion Criteria:1. Ability to understand and voluntarily sign a written informed consent form (ICF), which must be signed before the specified study procedures required for the study are performed.2. Males or females aged ≥ 18 to ≤ 75 years at the time of signing informed consent. (For patients from North America and Europe, there will be no upper age cutoff)3. ECOG performance status score of 0 or 1.4. Expected survival ≥3 months.5. Histologically or cytology-confirmed, locally advanced (Stage IIIB/IIIC) or metastatic (Stage IV) non-squamous NSCLC (according to TNM staging of lung cancer, 8th edition) that cannot be completely resected by surgery and cannot receive radical concurrent/sequential chemoradiation.6. EGFR activation mutations that are confirmed by tumor histology or cytology or blood test before enrollment (eg, exon 18 point mutations, exon 19 deletions, exon 20 point mutations, and exon 21 point mutations). Patients must provide a previous EGFR mutation test report, otherwise tumor tissue samples, peripheral blood samples, or pleural fluid samples will need to be collected for EGFR status testing prior to enrollment.7. Prior treatment with EGFR TKI and treatment failure, meeting any of the following requirements: Progression after treatment with first- or second-generation EGFR TKI, and confirmation of absence of T790M mutation after progression (only for patients enrolled in China). Progression after treatment with a third-generation EGFR TKI (eg, osimertinib, ametinib, vometinib). Note:, for North America and Europe patients only.8. According to RECIST v1.1, there is at least 1 measurable noncerebral lesion.9. Adequate organ function determined by the following requirements10. Female patients of childbearing age have a negative serum pregnancy test result within 3 days before the first dose11. If a female patient of childbearing potential has sex with an unsterilized male partner, the patient must use a highly effective method of contraception from the beginning of screening and must agree to continue using these precautions until 120 days after the last dose of the study drug or until 6 months after the last carboplatin and pemetrexed dose (whichever is longer).12. If an unsterilized male patient has sex with a female partner of childbearing potential, the patient must use an effective method of contraception from the beginning of screening to day 120 after the last dose or until 6 months after the last carboplatin and pemetrexed dose (whichever is longer). The decision to stop contraception after this time point should be discussed with investigator.Exclusion Criteria:1. Histologic or cytopathologic evidence of the presence of a small cell carcinoma component, or a predominantly squamous cell carcinoma.2. Patients who have received immune checkpoint inhibitors (eg, anti-PD-1/L1 antibodies, anti-CTLA-4 antibodies, anti-LAG-3 antibodies, etc.)3. Received prior systemic chemotherapy, anti-angiogenic therapy, or more than one prior line of antitumor therapy (other than EGFR inhibitors) for advanced stage (IIIB to IV) NSCLC.4. Concurrent enrollment in another clinical study, unless it is a noninterventional clinical study or the follow-up period of the interventional study is more than 4 weeks from the last dose of the prior clinical study or more than 5 half-lives of the prior study drug, whichever is shorter.5. Received EGFR inhibitor therapy within 2 weeks (with the exception of osimertinib to be within 7 days) prior to the first dose; received nonspecific immunomodulatory therapy (eg, interleukin, interferon, thymus peptide, tumor necrosis factor) within 2 weeks prior to the first dose, excluding IL-11 for the treatment of thrombocytopenia; have received Chinese herbal medicines or proprietary Chinese medicines with antitumor indications within 1 week before the first dose.6. Imaging during the screening period shows that the tumor surrounds important blood vessels or has obvious necrosis and/or cavitation of tumor lesions within the lung parenchyma.7. Imaging during the screening period shows that the tumor invades the surrounding vital organs and blood vessels, such as the heart and pericardium, trachea, esophagus, aorta, superior vena cava, or patient is at risk of esophageal tracheal fistula or esophageal pleural fistula.8. Symptomatic metastases of the central nervous system.9. Malignant tumors other than NSCLC within 3 years before the first dose.10. Active autoimmune disease requiring systemic therapy (eg, with disease-modifying drugs, corticosteroids, immunosuppressant therapy) within 2 years prior to the first dose (excluding ir AEs due to PD-1/L1 inhibitors). Replacement therapy (eg, thyroxine, insulin, or physiologic corticosteroid replacement therapy (prednisone ≤ 10 mg daily or equivalent) for adrenal or pituitary insufficiency) is permitted.11. There is a history of major diseases before the first dose12. History of perforation of the gastrointestinal tract and/or fistula, history of gastrointestinal obstruction (including incomplete intestinal obstruction requiring parenteral nutrition), extensive bowel resection (partial colectomy or extensive small bowel resection, complicated by chronic diarrhea) within 6 months before the first study drug administration.13. Patients with \&gt;30 Gy of chest radiation therapy within 6 months prior to the first dose, nonthoracic radiation therapy \&gt;30 Gy within 4 weeks prior to the first dose, and palliative radiation therapy of ≤30 Gy within 2 weeks prior to the first dose and failed to recover from the toxicity and/or complications of these interventions to NCI CTCAE Grade ≤1 (except hair loss and fatigue). Palliative radiotherapy for symptom control is permitted if it has been completed at least 2 weeks before the first dose, and no additional radiotherapy for the same lesion is planned.14. Inactivated vaccines are allowed. Patients are excluded if they have received a live vaccine or live attenuated vaccine within 4 weeks prior to the first dose, or if they are scheduled to receive a live vaccine or live attenuated vaccine during the study period.15. Severe infection within 4 weeks prior to the first dose, including but not limited to comorbidities requiring hospitalization, sepsis, or severe pneumonia; active infection that has received systemic anti-infective therapy within 2 weeks prior to the first dose (excluding antiviral therapy for hepatitis B or C)</t>
  </si>
  <si>
    <t>EGFR, EGFR Exon 18, EGFR Exon 19-del, EGFR Exon 20, EGFR Exon 21</t>
  </si>
  <si>
    <t>Pyrotinib</t>
  </si>
  <si>
    <t>SHR-1258</t>
  </si>
  <si>
    <t>SHR1258</t>
  </si>
  <si>
    <t>Jiangsu HengRui Medicine</t>
  </si>
  <si>
    <t>NCT04447118</t>
  </si>
  <si>
    <t>2020-000951-11, CTR20201351</t>
  </si>
  <si>
    <t>EGFR, HER1, HER2, HER4, MLN19</t>
  </si>
  <si>
    <t>PYRAMID-1</t>
  </si>
  <si>
    <t>United States - Australia - Belgium - China - France - Germany - Italy - Poland - Russian Federation - South Korea - Spain - Taiwan - Turkey</t>
  </si>
  <si>
    <t>A Phase 3, Randomized, Open-label, Multicenter Study of the Efficacy and Safety of Pyrotinib Versus Docetaxel in Patients With Advanced Non-squamous Non-small Cell Lung Cancer (NSCLC) Harboring a HER2 Exon 20 Mutation Who Progressed on or After Treatment With Platinum Based Chemotherapy</t>
  </si>
  <si>
    <t>Inclusion Criteria:* Signed and dated written informed consent which is approved by IRB/EC, willing and able to comply with scheduled treatment, all examinations at study visits, and other study procedures.* ECOG PS 0-1.* Have histologically or cytologically confirmed locally advanced or metastatic non-squamous NSCLC disease.* Before enrollment, a documented confirmed presence of activating mutations in exon 20 of the HER2 gene must be provided. Sufficient tumor tissue samples should be provided to retrospectively confirm the mutation status of the HER2 gene.* Must have measureable disease per RECIST v1.1.* For advanced NSCLC, patients must have had progressive disease on or after a platinum based chemotherapy, with or without immune checkpoint inhibitors (PD-1/PD-L1 inhibitors) and/or anti-angiogenic drugs. No more than 2 prior lines of systemic therapy are allowed.* The laboratory test values must meet the following standards to manifest that the functional level of important organs/systems meets the requirements.* Female patient of childbearing potential (WOCBP) and male patient whose - partner is WOCBP must agree to use effective contraception method during the study period.Exclusion Criteria:* Malignant tumors with other pathological types.* Medical history of other active malignancies within last 5 years.* Subjects with active CNS metastases.* Previously treated with targeted drugs for HER2 gene mutations,or previously treated with docetaxel.* Prior to the first dose of study treatment, patients with severe effusions with clinical symptoms, severe cardiac disease, or severe infection.* Prior to the first dose of study treatment, patients with diseases or special conditions that affect drug administration and absorption.* Congenital or acquired immunodeficiency.* History of allergy to the study drugs or components.* Prior to the first dose of study treatment, or during the study period, patients receive or are anticipated to receive continuous strong CYP3A4 inducers or inhibitors, P-gp inhibitors, or medications that are known to cause QT/QTc prolongation.</t>
  </si>
  <si>
    <t>NCT06012435</t>
  </si>
  <si>
    <t>MOH_2024-07-01_013497, SNCTP000005991, 2023-503827-25-01, CTR20244723, jRCT2031240261</t>
  </si>
  <si>
    <t>Be6A Lung-01</t>
  </si>
  <si>
    <t>United States - Argentina - Australia - Austria - Belgium - Brazil - Canada - Chile - China - Czech Republic - France - Germany - Greece - Hungary - Israel - Italy - Japan - Mexico - Netherlands - Norway - Poland - Romania - Singapore - South Korea - Spain - Switzerland - Taiwan - Turkey - United Kingdom</t>
  </si>
  <si>
    <t>A Randomized, Phase 3, Open-label Study to Evaluate Sigvotatug Vedotin Compared With Docetaxel in Adult Participants With Previously Treated Non-small Cell Lung Cancer (Be6A Lung-01)</t>
  </si>
  <si>
    <t>Inclusion Criteria:* Histologically or cytologically confirmed diagnosis of locally advanced, unresectable (Stage IIIB, IIIC), or metastatic Stage IV (M1a, M1b, or M1c) NSCLC American Joint Committee on Cancer (AJCC) Staging Manual, Version 8.0, and the Union for International Cancer Control (UICC) Staging System (Eighth edition).* Participants must have NSCLC with nonsquamous histology* Tumors with squamous, or predominantly squamous histology are excluded.* Tumors with small cell elements are excluded.* Participants who have NSCLC with known actionable genomic alteration (AGAs) are permitted* Participants must have received the following prior therapies and progressed during or relapsed after receiving their most recent prior therapy:* Participants with no known AGAs must fulfill 1 of the following conditions:* Received a platinum-based combination therapy for the treatment of metastatic or recurrent disease and a PD-(L)1 monoclonal antibody (concurrently or sequentially with platinum-based chemotherapy), unless contraindicated.* Experienced disease progression within 6 months of the last dose of platinum-based chemotherapy in the adjuvant or neoadjuvant setting and received a PD-(L)1 monoclonal antibody at any time during the course of treatment.* Participants with known AGAs must fulfill the following conditions:* Must have received at least 1 relevant AGA targeted therapy and in the opinion of the investigator, additional AGA targeted therapy is not in the best interest of the participant.* Received a platinum-based combination therapy for the treatment of metastatic or recurrent disease, or experienced disease progression within 6 months of the last dose of platinum-based chemotherapy in the adjuvant or neoadjuvant setting* May have received up to 1 PD-(L)1 monoclonal antibody (concurrently or sequentially with platinum-based chemotherapy).* Measurable disease based on RECIST v1.1* Participants must have an Eastern Cooperative Oncology Group (ECOG) performance status of 0 or 1, with adequate baseline hematologic, hepatic, and renal function and measurable disease according to RECIST v1.1Exclusion Criteria:* Life expectancy of less than (\30 Gray (Gy) within 6 months of Cycle 1 Day 1.* Any systemic anticancer therapy (standard or experimental) within 21 days prior to Cycle 1 Day 1.* Active central nervous system (CNS) lesions, including leptomeningeal metastasis, are excluded. Participants with definitively treated brain metastases are eligible in they meet the following criteria:* Have been clinically stable for at least 4 weeks prior to treatment initiation and baseline scans show no evidence of new or enlarged metastasis* On a stable dose of less than or equal to (≤) 10mg/day of prednisone or equivalent for a least 2 weeks (if requiring steroid treatment)* Treatment with corticosteroids greater than (\&gt;) 1 month prior to Screening visit* No evidence of clinical and radiographic disease progression in the CNS for ≥ 21 days after definitive radiotherapy and/or surgery</t>
  </si>
  <si>
    <t>Gotistobart</t>
  </si>
  <si>
    <t>ONC-392</t>
  </si>
  <si>
    <t>BNT316</t>
  </si>
  <si>
    <t>OncoC4</t>
  </si>
  <si>
    <t>NCT05671510</t>
  </si>
  <si>
    <t>2023-505311-20-01, ChiCTR2500103006, CTR20232927</t>
  </si>
  <si>
    <t>CD152, CTLA-4</t>
  </si>
  <si>
    <t>PRESERVE-003</t>
  </si>
  <si>
    <t>ELCC Mar 25, 2026</t>
  </si>
  <si>
    <t>25.00%  at 12 months</t>
  </si>
  <si>
    <t>63.10%  at 12 months</t>
  </si>
  <si>
    <t>United States - Australia - Belgium - Canada - China - France - Germany - Italy - Netherlands - South Korea - Spain - Turkey - United Kingdom</t>
  </si>
  <si>
    <t>Phase 3, Two-stage, Randomized Study of ONC-392 Versus Docetaxel in Metastatic Non-Small Cell Lung Cancers That Progressed on PD-1/PD-L1 Inhibitors</t>
  </si>
  <si>
    <t>Inclusion Criteria (Major criteria):1. Adult (≥ 18 years), all genders, capable of signing informed consent.2. Histologically- or cytologically- confirmed diagnosis of metastatic squamous NSCLC, metastasis can be regional lymph nodes or distant organs.3. Radiographic progression after treatment with the most recent line of treatment being either 3a or 3b:1. At least 12 weeks of PD-1/PD-L1 inhibitor in combination with platinum-based chemotherapy;2. Prior treatment with at least 2 cycles of a platinum-based chemotherapy, followed by at least 12 weeks of standard doses of PD-1 or PD-L1 inhibitor-based immunotherapy.Antibodies against CTLA-4, LAG-3, TIGIT, VEGF or VEGFR in combination with PD-1/PD-L1 inhibitor are allowed.4. At least one measurable tumor lesion according to RECIST 1.1.5. ECOG score of 0 or 1.6. Adequate organ functions. Serum LDH level ≤ 2xULN.7. Life expectancy ≥ 3 months.Exclusion Criteria (Major criteria):1. Cancer treatment related AEs have not recovered to NCI CTCAE grade≤ 1 except endocrinopathy.2. Last anti-PD-1/PD-L1 dosing within 28 days prior to first dose of study treatment.3. Receiving systemic steroid therapy with \&gt;10 mg/day prednisone or equivalent within 7 days prior to the first dose of study treatment.4. Having documented actionable mutations or genomic alterations in any of the following genes: EGFR, ALK, ROS1, HER2, MET, BRAF, RET or NTRK;. Exception: KRAS mutations are not excluded.5. Patients who have symptomatic brain metastasis. Palliative radiotherapy or radiosurgery to brain metastasis within 14 days of the first dose of study drug.6. Active GI disease, including peptic ulcer disease, pancreatitis, diverticulitis, or inflammatory bowel disease.7. Active interstitial lung disease (ILD) or non-infectious pneumonitis.8. Active infections with IV antibiotics within 14 days prior to first dose of study treatment.9. Impaired heart function.</t>
  </si>
  <si>
    <t>EGFR, ALK, ROS1, HER2 mut, c-MET/MET, BRAF, RET, NTRK</t>
  </si>
  <si>
    <t>KRAS, LDH</t>
  </si>
  <si>
    <t>Savolitinib</t>
  </si>
  <si>
    <t>AZD6094</t>
  </si>
  <si>
    <t>Solid tumors</t>
  </si>
  <si>
    <t>NCT05261399</t>
  </si>
  <si>
    <t>SNCTP000005379, 2024-511169-12-00, CTR20222068, jRCT2031220420</t>
  </si>
  <si>
    <t>c-MET inhibitor</t>
  </si>
  <si>
    <t>SAFFRON</t>
  </si>
  <si>
    <t>Pemetrexed + cisplatin + carboplatin</t>
  </si>
  <si>
    <t>United States - Argentina - Australia - Austria - Belgium - Brazil - Bulgaria - Canada - Chile - China - France - Germany - Greece - Hong Kong - Israel - Italy - Japan - Malaysia - Netherlands - Philippines - Poland - Russian Federation - Singapore - South Korea - Spain - Switzerland - Taiwan - Thailand - Turkey - United Kingdom - Vietnam</t>
  </si>
  <si>
    <t>A Phase III, Randomised, Open-Label Study of Savolitinib in Combination With Osimertinib Versus Platinum-Based Doublet Chemotherapy in Participants With EGFR Mutated, MET-Overexpressed and/or Amplified, Locally Advanced or Metastatic Non-Small Cell Lung Cancer Who Have Progressed on Treatment With Osimertinib (SAFFRON).</t>
  </si>
  <si>
    <t>Inclusion Criteria:* Provision of signed and dated written ICF prior to any mandatory and non-mandatory study-specific procedures, sampling and analyses.* Participant must be ≥18 years (≥ 19 years of age in South Korea) at the time of signing the informed consent. All genders are permitted.* Histologically or cytologically confirmed locally advanced or metastatic NSCLC which is not amenable to curative therapy.* Must have at least one documented sensitising EGFR mutation: exon19 deletion, L858R mutation, and/or T790M.* Documented radiologic progression on first- or second-line treatment with osimertinib as the most recent anti-cancer therapy.* Mandatory provision of FFPE tumour tissue.* MET overexpression and/or amplification in tumour specimen collected following progression on prior osimertinib treatment.* Measurable disease as defined by RECIST 1.1.* Adequate haematological, liver, renal and cardiac functions, and coagulation parameters.* ECOG performance status of 0 or 1.Exclusion Criteria:* Predominant squamous NSCLC, and small cell lung cancer.* Prior or current treatment with a third-generation EGFR-TKI other than Osimertinib.* Prior or current treatment with savolitinib or another MET inhibitors.* Spinal cord compression or brain metastases, unless asymptomatic and are stable.* History or active leptomeningeal carcinomatosis.* Unresolved toxicities from any prior therapy greater than CTCAE Grade 1 and prior platinum-therapy related Grade 2 neuropathies with the exception of alopecia and haemoglobin ≥ 9.0 g/dL.* Active/unstable cardiac diseases currently or within the last 6 months, clinically significant ECG abnormalities, and/or factors/medications that may affect QTc intervals.* History of liver cirrhosis of any origin and clinical stage; or history of other serious liver disease or chronic disease with relevant liver involvement.* Known serious active infection including, but not limited to, tuberculosis, or HIV, HBV or HCV or gastrointestinal disease.* Receipt of live attenuated vaccine (including against COVID-19) within 30 days prior to the first dose of study intervention.* Past medical history of ILD, drug-induced ILD, radiation pneumonitis, which required steroid treatment, or any evidence of clinically active ILD.* Participants currently receiving medications or herbal supplements known to be strong inducers of cytochrome P450 (CYP)3A4 or strong inhibitors of CYP1A2.</t>
  </si>
  <si>
    <t>EGFR, c-MET/MET, EGFR Exon 19-del, EGFR L858R, EGFR T790M</t>
  </si>
  <si>
    <t>Stage IIIC,Stage IV</t>
  </si>
  <si>
    <t>NCT06497556</t>
  </si>
  <si>
    <t>2024-510908-37-00, jRCT2031240278</t>
  </si>
  <si>
    <t>Krascendo 1</t>
  </si>
  <si>
    <t>Sotorasib or Adagrasib</t>
  </si>
  <si>
    <t>United States - Argentina - Australia - Austria - Belgium - Brazil - Canada - Denmark - Finland - France - Germany - Greece - Hong Kong - Italy - Japan - Mexico - Netherlands - Poland - Portugal - Singapore - South Korea - Spain - Sweden - Taiwan - Thailand - United Kingdom</t>
  </si>
  <si>
    <t>A Phase III, Randomized, Open-Label, Multicenter Study Evaluating the Efficacy and Safety of Divarasib Versus Sotorasib or Adagrasib in Patients With Previously Treated KRAS G12C-Positive Advanced or Metastatic Non-Small Cell Lung Cancer</t>
  </si>
  <si>
    <t>Inclusion Criteria:* Unequivocal histologically or cytologically confirmed diagnosis of metastatic or locally advanced NSCLC not amenable to treatment with surgical resection or combined chemoradiation* Disease progression during or after treatment with at least one prior systemic therapy but no more than three lines of prior systemic therapy in the advanced or metastatic setting* Measurable disease according to Response Evaluation Criteria in Solid Tumors (RECIST) v1.1* Documentation of the presence of a KRAS G12C mutation* Availability of a representative formalin-fixed, paraffin-embedded (FFPE) tumor specimen in a paraffin block (preferred) or 10-15 (15 preferred) unstained, freshly cut, serial slides with an associated pathology report* Eastern Cooperative Oncology Group (ECOG) performance status of 0 or 1* Life expectancy of \&gt;= 12 weeksExclusion Criteria:* Known hypersensitivity to any of the components of divarasib, or sotorasib or adagrasib* Malabsorption syndrome or other condition that would interfere with enteral absorption* Known concomitant second oncogenic driver* Mixed small-cell lung cancer or large cell neuroendocrine histology* Known and untreated, or active central nervous system (CNS) metastases* Leptomeningeal disease or carcinomatous meningitis* Uncontrolled pleural effusion, pericardial effusion, or ascites requiring recurrent drainage procedures biweekly or more frequently* Any infection that, in the opinion of the investigator, could impact patient safety, or treatment with therapeutic oral or IV antibiotics within 14 days prior to Day 1 of Cycle 1* Prior treatment with any KRAS G12C inhibitor or pan-KRAS/RAS inhibitor* More than 30 Gy of radiotherapy to the lung within 6 months of randomization* Uncontrolled tumor-related pain* Unresolved toxicities from prior anticancer therapy* History of malignancy within 5 years prior to screening, with the exception of the cancer under investigation in this study and malignancies with a negligible risk of metastasis or death (e.g., 5-year OS rate \&gt;90%), such as adequately treated carcinoma in situ of the cervix, nonmelanoma skin carcinoma, localized prostate cancer, ductal carcinoma in situ, or Stage I uterine cancer</t>
  </si>
  <si>
    <t>NCT06417814</t>
  </si>
  <si>
    <t>2024-511362-37-00, ChiCTR2500095876, CTR20244119, jRCT2061240051</t>
  </si>
  <si>
    <t>TROPION-Lung15</t>
  </si>
  <si>
    <t>Platinum-based doublet chemotherapy</t>
  </si>
  <si>
    <t>United States - Australia - Belgium - Brazil - Canada - China - France - Germany - Greece - Hong Kong - India - Israel - Italy - Japan - Malaysia - Netherlands - Philippines - Poland - Portugal - Romania - Singapore - South Korea - Spain - Taiwan - Thailand - United Kingdom - Vietnam</t>
  </si>
  <si>
    <t>A Phase III, Open-label, Sponsor-blind, Randomized Study of Dato-DXd With or Without Osimertinib Versus Platinum-based Doublet Chemotherapy for Participants With EGFR-mutated Locally Advanced or Metastatic Non-small Cell Lung Cancer Whose Disease Has Progressed on Prior Osimertinib Treatment (TROPION-Lung15)</t>
  </si>
  <si>
    <t>Inclusion Criteria:* Histologically or cytologically confirmed non-squamous NSCLC.* Must have evidence of documented pre-existing EGFRm information (EGFRm known to be associated with (epidermal growth factor receptor \[EGFR\] tyrosine kinase inhibitor \[TKis\] sensitivity \[Ex19del, L858R, G719X, S768I, or L861Q\], either alone or in combination with other EGFR mutations, which may include T790M).* Documented extra-cranial radiologic progression on prior osimertinib monotherapy (as most recent line of treatment) in the adjuvant, locally advanced, or metastatic setting.* Less than or equal to (\</t>
  </si>
  <si>
    <t>EGFR, EGFR Exon 19-del, EGFR G719X, EGFR L858R, EGFR L861Q, EGFR S768I</t>
  </si>
  <si>
    <t>NCT06074588</t>
  </si>
  <si>
    <t>2023-503539-16, MOH_2023-07-12_012813, 2023-503539-16-00 , CTR20240311, jRCT2031240108</t>
  </si>
  <si>
    <t>TroFuse-004</t>
  </si>
  <si>
    <t>Docetaxel or Pemetrexed</t>
  </si>
  <si>
    <t>United States - Australia - Brazil - Canada - Chile - China - Czech Republic - France - Germany - Greece - Hong Kong - Israel - Italy - Japan - Malaysia - Mexico - Philippines - Poland - South Korea - Spain - Taiwan - Thailand - Turkey - United Kingdom - Vietnam</t>
  </si>
  <si>
    <t>A Randomized, Open-label, Phase 3 Study of MK-2870 vs Chemotherapy (Docetaxel or Pemetrexed) in Previously Treated Advanced or Metastatic Nonsquamous Non-small Cell Lung Cancer (NSCLC) With EGFR Mutations or Other Genomic Alterations</t>
  </si>
  <si>
    <t>The main inclusion and exclusion criteria include but are not limited to the following:Inclusion Criteria:* Histologically- or cytologically-documented advanced (Stage III not eligible for resection or curative radiation) or metastatic non-squamous NSCLC with specific mutations.* Documentation of locally assessed radiological disease progression while on or after last treatment based on Response Evaluation Criteria in Solid Tumors Version (RECIST) 1.1.* Participants with genome mutations must have received 1 or 2 prior lines of epidermal growth factor receptor tyrosine kinase inhibitor (EGFR TKI), including a third generation TKI for participants with a T790M mutation; and 1 platinum-based therapy after progression on or after EGFR TKI.* Measurable disease per RECIST 1.1 as assessed by the local site investigator.* Archival tumor tissue sample or newly obtained core, incisional, or excisional biopsy of a tumor lesion not previously irradiated has been provided* Participants who have AEs due to previous anticancer therapies must have recovered to Grade ≤1 or baseline.* Participants who are hepatitis B surface antigen (HBsAg) positive are eligible if they have received HBV antiviral therapy for at least 4 weeks, and have undetectable HBV viral load prior to randomization.* Human immunodeficiency virus (HIV)-infected participants must have well controlled HIV on antiretroviral therapy.* Have an ECOG performance status of 0 or 1 within 3 days before randomization.Exclusion Criteria:* Has predominantly squamous cell histology NSCLC.* Has mixed tumor(s) with small cell elements.* Has active inflammatory bowel disease requiring immunosuppressive medication or previous history of inflammatory bowel disease.* Has Grade ≥2 peripheral neuropathy.* Has history of documented severe dry eye syndrome, severe Meibomian gland disease and/or blepharitis, or corneal disease that prevents/delays corneal healing.* Has uncontrolled, significant cardiovascular disease or cerebrovascular disease.* Has an EGFR T790M mutation and has not received a third generation EGFR TKI (eg, osimertinib).* Received prior systemic anticancer therapy including investigational agents within 4 weeks or 5 half-lives (whichever is shorter) before randomization.* Received a live or live-attenuated vaccine within 30 days before the first dose of study intervention.* Completed palliative radiotherapy within 7 days of the first dose. Participants must have recovered from all radiation-related toxicities and not require corticosteroids.* Received radiation therapy to the lung that is \&gt;30 Gy within 6 months of the first dose of study intervention.* Received prior treatment with a trophoblast cell-surface antigen 2 (TROP2)-targeted antibody-drug conjugate (ADC).* Received prior treatment with a topoisomerase I-containing ADC.* Has received an investigational agent or has used an investigational device within 4 weeks prior to study intervention administration.* Known additional malignancy that is progressing or has required active treatment within the past 3 years.* Active infection requiring systemic therapy.* History of noninfectious pneumonitis/ILD that required steroids or has current pneumonitis/ILD.* Has known active central nervous system metastases and/or carcinomatous meningitis. Participants with previously treated brain metastases may participate provided they are clinically stable, radiologically stable for at least 4 weeks and do not require glucocorticoids for at least 14 days prior to randomization.* HIV-infected participants with a history of Kaposi's sarcoma and/or Multicentric Castleman's Disease.* Concurrent active Hepatitis B (defined as HBsAg positive and/or detectable HBV DNA) and Hepatitis C virus (defined as anti-HCV Ab positive and detectable HCV RNA) infection.</t>
  </si>
  <si>
    <t>EGFR Exon 19-del, EGFR L858R, ALK, BRAF V600E, c-MET/MET Exon 14, EGFR G719X, EGFR L861Q, EGFR S768I, NTRK, RET, ROS1</t>
  </si>
  <si>
    <t>53264AAA</t>
  </si>
  <si>
    <t>NCT06881784</t>
  </si>
  <si>
    <t>SNCTP000006596, 2024-518154-16-00</t>
  </si>
  <si>
    <t>HRAS, KRAS, KRAS G12, KRAS G12C, KRAS G12D, NRAS, pan-KRAS, RAS</t>
  </si>
  <si>
    <t>RASolve-301</t>
  </si>
  <si>
    <t>United States - Australia - Belgium - France - Germany - Hong Kong - Ireland - Italy - Japan - Netherlands - New Zealand - Poland - Puerto Rico - Singapore - South Korea - Spain - Switzerland - Taiwan - United Kingdom</t>
  </si>
  <si>
    <t>RASolve 301: Phase 3 Multicenter, Open Label, Randomized Study of RMC-6236 Versus Docetaxel in Patients With Previously Treated Locally Advanced or Metastatic RAS[MUT] NSCLC</t>
  </si>
  <si>
    <t>Inclusion Criteria:* At least 18 years old and has provided informed consent.* Eastern Cooperative Oncology Group (ECOG) performance status of 0 or 1.* Pathologically confirmed NSCLC, either locally advanced or metastatic, not amenable to curative surgery or radiotherapy.* Measurable disease per RECIST v1.1.* Adequate organ function (bone marrow, liver, kidney, coagulation).* One to two prior lines of therapy including an anti-PD-1/anti-PD(L)-1 agent and platinum-based chemotherapy.* Documented RAS mutation status, defined as Nonsynonymous mutations in KRAS, NRAS, or HRAS at codons 12, 13, or 61 (G12, G13, or Q61).* Able to take oral medications.Exclusion Criteria:* Prior therapy with direct RAS-targeted therapy or docetaxel.* Untreated central nervous system (CNS) metastases.* Medically significant comorbidities (significant cardiovascular disease, lung disease, or impaired GI function).* Ongoing anticancer therapy.* Pregnant or breastfeeding.</t>
  </si>
  <si>
    <t>RAS, KRAS, NRAS, HRAS</t>
  </si>
  <si>
    <t>OSE 2101</t>
  </si>
  <si>
    <t>Tedopi</t>
  </si>
  <si>
    <t>OSE Immunotherapeutics</t>
  </si>
  <si>
    <t>NCT06472245</t>
  </si>
  <si>
    <t>2023-509340-10-00</t>
  </si>
  <si>
    <t>Cancer vaccine</t>
  </si>
  <si>
    <t>CEA, HER2, MAGE-A2, MAGE-A3, p53</t>
  </si>
  <si>
    <t>ARTEMIA</t>
  </si>
  <si>
    <t>United States - Belgium - Canada - France - Germany - Greece - Hungary - Italy - Netherlands - Poland - Portugal - Romania - Spain - United Kingdom</t>
  </si>
  <si>
    <t>A Randomised, Open-label, Phase 3 Trial Comparing the Efficacy and Safety of OSE2101 Versus Docetaxel in HLA-A2 Positive Patients With Metastatic Non-Small Cell Lung Cancer (NSCLC) With Secondary Resistance to Immune Checkpoint Inhibitor</t>
  </si>
  <si>
    <t>Inclusion Criteria:1. Male or female, aged ≥ 18 years2. Patients expressing HLA-A2 phenotype in blood by pre-screening central laboratory3. Patients with histologically or cytologically squamous or non-squamous documented NSCLC, metastatic stage at study entry, not eligible for definite surgery or radiation, without EGFR, ALK and ROS1 gene alterations eligible for targeted therapy; for patients with squamous NSCLC, the molecular tests are not mandatory if age ≥ 50 years old and smoker ≥ 15 pack years; other sensitizing mutations known to be immunosensitive are eligible in case of lack of local access to targeted therapy (i.e.; KRAS G12C and BRAF mutations) after Sponsor' agreement.4. Patients with secondary resistance to ICI;Other inclusion and exclusion criteria will apply per protocol.</t>
  </si>
  <si>
    <t>HLA-A2</t>
  </si>
  <si>
    <t>KRAS G12C, BRAF</t>
  </si>
  <si>
    <t>KB707 (inhaled)</t>
  </si>
  <si>
    <t>Krystal Biotech</t>
  </si>
  <si>
    <t>89790AAA</t>
  </si>
  <si>
    <t>HSV-1 vector based IL-2/IL-12</t>
  </si>
  <si>
    <t>IL-12, IL-2, TCGF</t>
  </si>
  <si>
    <t>Gene therapy</t>
  </si>
  <si>
    <t>Fetrastobart vedotin</t>
  </si>
  <si>
    <t>PF-08046054</t>
  </si>
  <si>
    <t>SGN-PDL1V</t>
  </si>
  <si>
    <t>NCT07144280</t>
  </si>
  <si>
    <t>2025-521281-97-00, CTR20253854, jRCT2031250439</t>
  </si>
  <si>
    <t>PADL1NK-005</t>
  </si>
  <si>
    <t>United States - Argentina - Australia - Belgium - Brazil - Bulgaria - Canada - China - Czech Republic - Denmark - Finland - France - Germany - Greece - India - Israel - Italy - Japan - Mexico - Netherlands - Poland - Puerto Rico - Slovakia - South Africa - South Korea - Spain - Sweden - Taiwan - United Kingdom</t>
  </si>
  <si>
    <t>PADL1NK-005: A Randomized, Phase 3, Open-Label Study to Evaluate PF-08046054/SGN-PDL1V Versus Docetaxel in Adult Participants With Previously-Treated Programmed Cell Death Ligand 1 (PD-L1) Positive Non-Small-Cell Lung Cancer (NSCLC)</t>
  </si>
  <si>
    <t>Inclusion Criteria* Histologically or cytologically confirmed diagnosis of NSCLC with locally advanced, unresectable Stage IIIB or IIIC not eligible for definitive chemoradiotherapy or metastatic (Stage IV: M1a, M1b, or M1c) disease per the American Joint Committee on Cancer (AJCC) Staging Manual, Version 8.0, and the Union for International Cancer Control (UICC) Staging System. Note:: Participants with a neuroendocrine component or histology are not eligible.* PD-L1 expression on ≥1% of tumor cells based on local immunohistochemistry (IHC) testing with an assay utilizing the anti-PD-L1 monoclonal antibody clones 22C3 or SP263.* Participants who have NSCLC with known AGAs are permitted.* Able to provide any of the following tumor tissues for biomarker analysis:* Archival specimen (preferably collected within 12 months after the last anticancer therapy) (see laboratory manual for details); or* De novo biopsy from a tumor lesion, if medically feasible.* Participants must have received the following therapies and progressed during or relapsed after receiving their most recent prior therapy, or have been intolerant to their most recent therapy:Participants with no known AGAs must fulfill 1 of the following conditions:* Received a platinum-based combination therapy for the treatment of metastatic or recurrent disease, and unless contraindicated, a PD-(L)1 monoclonal antibody (concurrently or sequentially with platinum-based chemotherapy).* Experienced disease progression within 6 months of the last dose of platinum-based chemotherapy in the adjuvant, neoadjuvant, or chemoradiotherapy setting and received a PD-(L)1 monoclonal antibody at any time during the course of treatment.Participants with known AGAs (eg, EGFR mutations, ALK translocations, or other relevant actionable mutations) must fulfill the following conditions:* Must have received at least 1 relevant AGA-targeted therapy if locally available and, in the opinion of the investigator, additional AGA-targeted therapy is not in the best interest of the participant* Received a platinum-based combination therapy for the treatment of metastatic or recurrent disease, or experienced disease progression within 6 months of the last dose of platinum-based chemotherapy in the adjuvant, neoadjuvant, or chemoradiotherapy setting.* May have received PD-(L)1 monoclonal antibody (concurrently or sequentially with platinum-based chemotherapy).Exclusion Criteria* History of another malignancy within 3 years before the first dose of PF-08046054, or any evidence of residual disease from a previously diagnosed malignancy. Exceptions are malignancies with a negligible risk of metastasis or death (eg, 5-year overall survival \[OS\] ≥90%), such as adequately treated carcinoma in situ of the cervix, non-melanoma skin carcinoma, localized prostate cancer, ductal carcinoma in situ, or Stage I uterine cancer.* Any central nervous system (CNS) lesions, unless definitively treated with CNS-directed local therapy (surgery and/or radiotherapy). Participants with definitively treated brain metastases are eligible if they meet the following criteria:* The participant is on a stable dose of ≤10 mg/day of prednisone or equivalent for at least \&gt;14 days prior to randomization (if requiring steroid treatment).* No clinical or radiographic progression in the CNS following CNS-directed definitive radiotherapy and/or surgery.* Time since CNS-directed treatment is ≥28 days prior to randomization.* Participants with a history of leptomeningeal metastasis are excluded.* Prior treatment with an anti-PD-L1 agent (where indicated per protocol) within 5 half-lives.* Previous receipt of an MMAE-containing agent or prior docetaxel.There are additional inclusion and exclusion criteria. The study center will determine if criteria for participations are met.</t>
  </si>
  <si>
    <t>3-4</t>
  </si>
  <si>
    <t>Telisotuzumab Vedotin</t>
  </si>
  <si>
    <t>ABBV-399</t>
  </si>
  <si>
    <t>Emrelis</t>
  </si>
  <si>
    <t>NCT04928846</t>
  </si>
  <si>
    <t>2021-001811-94, NL78520.056.21, SNCTP000005740, CTR20221935, jRCT2031220047</t>
  </si>
  <si>
    <t>c-MET/MET</t>
  </si>
  <si>
    <t>TeliMET NSCLC-01</t>
  </si>
  <si>
    <t>United States - Argentina - Australia - Austria - Belgium - Brazil - Bulgaria - Canada - Chile - China - Colombia - Czech Republic - Denmark - France - Germany - Greece - Israel - Italy - Japan - Mexico - Netherlands - Poland - Portugal - Romania - Slovakia - South Africa - South Korea - Spain - Sweden - Taiwan - Turkey - United Kingdom</t>
  </si>
  <si>
    <t>A Phase 3 Open-Label, Randomized, Controlled, Global Study of Telisotuzumab Vedotin (ABBV-399) Versus Docetaxel in Subjects With Previously Treated c-Met Overexpressing, EGFR Wildtype, Locally Advanced/Metastatic Non-Squamous Non-Small Cell Lung Cancer</t>
  </si>
  <si>
    <t>Inclusion Criteria:* Projected life expectancy of at least 12 weeks.* Participants must have c-Met overexpressing non-small cell lung cancer (NSCLC) as assessed by an AbbVie designated immunohistochemistry (IHC) laboratory using the VENTANA MET (SP44) RxDx assay.* Archival or fresh tumor material must be submitted for assessment of c-Met protein expression levels during the Pre-Screening period. Tumor material from the primary tumor site and/or metastatic sites are allowed.* If a participant was prescreened for Study M14-239 but did not enroll, tumor material previously submitted for Study M14-239 may be used for Study M18-868 Pre-Screening upon confirmation from AbbVie that sufficient evaluable tumor material is available (Except China).* A histologically or cytologically documented non-squamous cell NSCLC that is locally advanced or metastatic.* A known epidermal growth factor receptor (EGFR) activating mutation status.\-- Participants with actionable EGFR activating mutations are not eligible* Actionable alterations in genes other than EGFR are eligible.* Measurable disease per Response Evaluation Criteria in Solid Tumors (RECIST) version 1.1.* An Eastern Cooperative Oncology Group (ECOG) Performance Status of 0 to 1.* Have received no more than 1 line of prior systemic cytotoxic chemotherapy in the locally advanced or metastatic setting.* Neoadjuvant and adjuvant systemic cytotoxic chemotherapy will count as a prior line for eligibility purposes if progression occurred within 6 months of the end of therapy.* Have progressed on at least 1 line of prior therapy for locally advanced/metastatic NSCLC:* Participants WITHOUT an actionable gene alteration: must have progressed on (or be considered ineligible for) platinum-based chemotherapy and immune checkpoint inhibitor (as monotherapy or in combination with chemotherapy).* Participants WITH an actionable gene alteration for which immune checkpoint inhibitor therapy is not standard of care (e.g., anaplastic lymphoma kinase \[ALK\] translocation): must have progressed on (or be considered ineligible for) anti-cancer therapy targeting driver gene alterations and platinum-based chemotherapy.* Participants with actionable gene alterations for which immune checkpoint inhibitor is standard of care must have also progressed on (or be considered ineligible for) immune checkpoint inhibitor (as monotherapy or in combination with chemotherapy).* Must be considered appropriate for docetaxel therapy based on the assessment of the treating physician.* Participants with metastases to the central nervous system (CNS) are eligible only after adequate treatment (such as surgery, radiotherapy, or drug therapy) is provided and:* They are asymptomatic and off or on a stable or reducing dose of systemic steroids (on no more than 10 mg per day \[QD\] prednisone or equivalent) and/or anticonvulsants for at least 2 weeks prior to randomization.Exclusion Criteria:* Evidence of new, untreated CNS metastases or progressing CNS metastases after treatment.* Evidence of leptomeningeal disease.* Participants with adenosquamous or neuroendocrine histology, nor sarcomatoid features.* Epidermal growth factor receptor (EGFR) activating mutations.* Participants who have received prior c-Met-targeted antibodies, prior telisotuzumab vedotin, or prior antibody-drug conjugates either targeting c-Met or consisting of monomethylauristatin E..* Participants who have received prior docetaxel therapy.* A history of other malignancies except:* Malignancy treated with curative intent and with no known active disease present for \&gt;=2 years before the first dose of study drug and felt to be at low risk for recurrence by investigator. Additionally, participants must not be receiving any ongoing anti-cancer therapy, including maintenance therapy, prior to randomization..* Adequately treated non-melanoma skin cancer or lentigo maligna without evidence of disease.* Adequately treated carcinoma in situ without current evidence of disease.* A history of idiopathic pulmonary fibrosis, organizing pneumonia (e.g., bronchiolitis obliterans), drug-induced pneumonitis, or idiopathic pneumonitis, or evidence of active pneumonitis on screening chest computed tomography (CT) scan. A history of prior radiation pneumonitis in the radiation field (fibrosis) is not permitted.* Unresolved or neuroendocrine histology, nor sarcomatoid features adverse event (AE) \&gt;= Grade 2 from prior anticancer therapy, except for alopecia or anemia. Participants with hormone deficiencies caused by prior anticancer therapy who are asymptomatic and on a stable dose of replacement hormone are eligible for study.* Major surgery within 21 days prior to randomization.* Clinically significant condition(s) as listed in the protocol.</t>
  </si>
  <si>
    <t>Mecbotamab vedotin</t>
  </si>
  <si>
    <t>HTBA3011</t>
  </si>
  <si>
    <t>BA3011</t>
  </si>
  <si>
    <t>BioAtla</t>
  </si>
  <si>
    <t>Anti-AXL ADC monoclonal antibody</t>
  </si>
  <si>
    <t>AXL, CD279, PD-1</t>
  </si>
  <si>
    <t>Nivolumab</t>
  </si>
  <si>
    <t>KRAS</t>
  </si>
  <si>
    <t>Conditionally Active Biologic / CAB - BioAtla</t>
  </si>
  <si>
    <t>Izalontamab brengitecan</t>
  </si>
  <si>
    <t>BMS-986507</t>
  </si>
  <si>
    <t>BL-B01D1</t>
  </si>
  <si>
    <t>SystImmune</t>
  </si>
  <si>
    <t>NCT07100080</t>
  </si>
  <si>
    <t>SNCTP000006679, 2025-521908-22-00, CTR20254570</t>
  </si>
  <si>
    <t>Anti-EGFR/HER3 bispecific ADC monoclonal antibody</t>
  </si>
  <si>
    <t>EGFR, ERBB, ERBB3, HER1, HER3</t>
  </si>
  <si>
    <t>IZABRIGHT-Lung01</t>
  </si>
  <si>
    <t>Carboplatin + Cisplatin + Pemetrexed</t>
  </si>
  <si>
    <t>United States - Argentina - Belgium - Canada - Chile - China - Colombia - France - Germany - Greece - India - Italy - Japan - Mexico - Netherlands - Norway - Poland - Romania - Singapore - South Korea - Spain - Switzerland - Taiwan - Thailand - United Kingdom</t>
  </si>
  <si>
    <t>IZABRIGHT-Lung01: A Randomized, Open-label, Phase 2/3 Study of Izalontamab Brengitecan (BMS-986507) Versus Platinum-based Chemotherapy in Patients With EGFR-mutated Non-small Cell Lung Cancer and Disease Progression on EGFR Tyrosine Kinase Inhibitor Therapy</t>
  </si>
  <si>
    <t>Inclusion Criteria:* Non-squamous NSCLC, not amenable to treatment in curative intent.* Documented evidence of EGFR mutation (exon 19 deletion, L858R mutation).* Progressive disease on a 3rd-generation (such as osimertinib, furmonertinib, lazertinib,...) EGFR-TKI-based mono- or combination therapy regimen as the most recent line of therapy in an adjuvant, locally advanced, or metastatic treatment setting.* Eligible to receive a platinum-based doublet chemotherapy regimen (either cisplatin or carboplatin in combination with pemetrexed).Exclusion criteria:* Inadequate organ function and/or bone marrow reserve.* Leptomeningeal metastases or spinal cord compression.* Poorly controlled systemic medical conditions.* Other protocol-defined inclusion/exclusion criteria apply.</t>
  </si>
  <si>
    <t>Ed-04</t>
  </si>
  <si>
    <t>NCT06745908</t>
  </si>
  <si>
    <t>2025-521221-32-00</t>
  </si>
  <si>
    <t>CD279, IL-15, IL-15R, Microtubule, PD-1</t>
  </si>
  <si>
    <t>Docetaxel, Tislelizumab</t>
  </si>
  <si>
    <t>ResQ201A</t>
  </si>
  <si>
    <t>United States - Canada - United Kingdom</t>
  </si>
  <si>
    <t>ResQ201A: Randomized, Open-Label, Phase 3 Clinical Trial of N-803 Plus Tislelizumab and Docetaxel Versus Docetaxel Monotherapy in Participants With Advanced or Metastatic Non-Small Cell Lung Cancer Who Have Acquired Resistance to Immune Checkpoint Inhibitor Therapy</t>
  </si>
  <si>
    <t>Inclusion CriteriaParticipants must meet ALL of the following criteria for inclusion in the study:1. Age ≥ 18 years old.2. Able to understand and provide a signed informed consent that fulfills the relevant Institutional Review Board (IRB) or Independent Ethics Committee (IEC) guidelines.3. Pathologically confirmed stage IV NSCLC disease.4. Have acquired resistance to an immune checkpoint inhibitor, defined as disease progression immediately following an initial response or stable disease (≥ 6 months duration) to exactly 1 line of anti-PD-L1 or anti-CTLA-4 therapy (for Stage III, IV, or recurrent disease) that was given alone or in combination with chemotherapy.5. Participants with AGA must have 1 or more documented AGA(s): EGFR, ROS1, neurotrophic tyrosine receptor kinase (NTRK), B rapidly accelerated fibrosarcoma (BRAF), mesenchymal epithelial transition (MET) exon 14 skipping, rearranged during transfection (RET), Kirsten RAt sarcoma (KRAS).6. Participants with AGA must meet the following criteria for advanced or metastatic NSCLC. Participants who have been treated with 1 or 2 prior lines of applicable targeted therapy that is locally approved for the participant's genomic alteration at the time of screening:1. Participants who have tumors with EGFR L858R or exon 19 deletion mutations must have received prior Osimertinib.2. Participants who received a targeted agent as adjuvant therapy for early-stage disease must have relapsed or progressed while on the treatment or within 6 months of the last dose or received at least one additional course of targeted therapy for the same genomic alteration (which may or may not be same agent used in the adjuvant setting) for relapsed/progressive disease.3. Participants who have been treated with a prior tyrosine kinase inhibitor (TKI) must receive additional approved targeted therapy, if locally available and clinically appropriate, for the applicable genomic alteration, or the participant will not be allowed in the study.4. Participants must meet the inclusion criteria #4 listed above.7. ECOG performance status of 0 to 2.8. Measurable tumor lesions according to RECIST v1.1. (at Baseline day 1).9. Ability to attend required study visits and return for adequate follow-up, as required by this protocol.10. Agreement to practice effective contraception for female participants of child-bearing potential and non-sterile males. Female participants of child-bearing potential must agree to use effective contraception for up to 7 months after completion of therapy, and non-sterile male participants must agree to use a condom for up to 7 months after treatment. Effective contraception includes surgical sterilization (eg, vasectomy, tubal ligation), orals, injectables, 2 forms of barrier methods (eg, condom, diaphragm) used with spermicide, intrauterine devices (IUDs), and hormonal therapy.11. Participants with known HIV infection must be receiving anti-retroviral therapy and have an undetectable viral load at their most recent viral load test within 6 months prior to enrollment.Exclusion CriteriaParticipants with ANY of the following criteria are excluded from participation in the study:1. Systemic autoimmune disease currently requiring treatment (eg, lupus erythematosus, rheumatoid arthritis, Addison's disease, or autoimmune disease associated with lymphoma). The participant must have been off treatment for 180 days.2. History of organ transplant requiring immunosuppression; or history of pneumonitis or interstitial lung disease requiring treatment with systemic steroids; or a history of receiving systemic steroid therapy or any other immunosuppressive medication ≤ 3 days prior to study initiation. Daily steroid replacement therapy (eg, prednisone or hydrocortisone) and corticosteroids used to manage AEs are permitted.3. Participants with AGA of ALK.4. History of known active hepatitis B or C infection.5. Active infection requiring antibiotic therapy.6. Active treatment with CYP3A4 inhibitors.7. Received a live vaccine ≤ 4 weeks prior to the first dose of study drug(s).8. History of or active inflammatory bowel disease (eg, Crohn's disease, ulcerative colitis).9. Participants with known history of severe hypersensitive reactions to docetaxel or to other drugs formulated with polysorbate 80.10. Had major surgery within 28 days prior to study randomization. Participants must have fully recovered from the effects of prior surgery in the opinion of the treating Investigator.11. Inadequate organ function, evidenced by the following laboratory results:1. Absolute lymphocyte count \&lt; institutional upper limit of normal (ULN).2. Absolute neutrophil count \&lt; 1,500 cells/mm3.3. Platelet count \&lt; 100,000 cells/mm3.4. Total bilirubin greater than the ULN; unless the participant has documented Gilbert's syndrome).5. Aspartate aminotransferase (AST \[serum glutamic-oxaloacetic transaminase; SGOT\]) or alanine aminotransferase (ALT \[serum glutamic pyruvic transaminase; SGPT\]) \&gt; 1.5 × ULN.6. Alkaline phosphatase (ALP) levels \&gt; 2.5 × ULN.7. Hemoglobin \&lt; 9.0 g/dL.8. Serum creatinine \&gt; 2.0 mg/dL or 177 μmol/L or creatinine clearance \&lt; 40 mL/min (using the Cockcroft-Gault formula below):Female = \[(140 - age in years) × weight in kg × 0.85\] / \[72 × serum creatinine in mg/dL\] Male = \[(140 - age in years) × weight in kg × 1.00\] / \[72 × serum creatinine in mg/dL\]12. Have any of following:1. Cirrhosis at a level of Child-Pugh B (or worse);2. Cirrhosis (any degree) and a history of hepatic encephalopathy; or3. Clinically meaningful ascites resulting from cirrhosis. Clinically meaningful ascites is defined as ascites from cirrhosis requiring diuretics or paracentesis.13. Participation in an investigational drug study or history of receiving any investigational treatment within 21 days prior to study entry, except for hormone-lowering therapy in participants with hormone-sensitive cancer.14. Assessed by the Investigator to be unable or unwilling to comply with the requirements of the protocol.15. Pregnant and nursing women.16. History of allergic reactions to tislelizumab.17. History of prior adverse reaction to immunotherapy that led to its permanent discontinuation.</t>
  </si>
  <si>
    <t>EGFR, EGFR Exon 19-del, EGFR L858R, BRAF, c-MET/MET Exon 14, KRAS, NTRK, RET, ROS1</t>
  </si>
  <si>
    <t>NCT06305754</t>
  </si>
  <si>
    <t>CTRI/2024/12/078693, 2023-504910-31-00, CTR20242421, jRCT2071240041</t>
  </si>
  <si>
    <t>TroFuse-009</t>
  </si>
  <si>
    <t>Pemetrexed + Carboplatin</t>
  </si>
  <si>
    <t>United States - Argentina - Canada - China - Colombia - France - India - Italy - Japan - Malaysia - Mexico - Poland - South Korea - Spain - Sweden - Taiwan - Thailand - Turkey - Vietnam</t>
  </si>
  <si>
    <t>A Randomized, Open-label, Phase 3 Study of MK-2870 vs. Platinum Doublets in Participants With EGFR-mutated, Advanced Nonsquamous Non-small Cell Lung Cancer (NSCLC) Who Have Progressed on Prior EGFR Tyrosine Kinase Inhibitors</t>
  </si>
  <si>
    <t>Inclusion Criteria:* Histologically or cytologically confirmed diagnosis of advanced-stage nonsquamous non-small cell lung cancer (NSCLC).* Participants who have adverse events (AEs) due to previous anticancer therapies must have recovered to Grade ≤1 or baseline.* Participants who are Hepatitis B surface antigen (HBsAg) positive are eligible if they have received Hepatitis B virus (HBV) antiviral therapy for at least 4 weeks and have undetectable HBV viral load.* Participants with history of Hepatitis C virus (HCV) infection are eligible if HCV viral load is undetectable.* Human immunodeficiency virus (HIV)-infected participants must have well controlled HIV on antiretroviral therapy.* Life expectancy of at least 3 months.Exclusion Criteria:* Predominantly squamous cell histology NSCLC.* History of second malignancy, unless potentially curative treatment has been completed with no evidence of malignancy for 3 years.* Grade ≥2 peripheral neuropathy.* History of documented severe dry eye syndrome, severe Meibomian gland disease and/or blepharitis, or severe corneal disease that prevents/delays corneal healing.* Active inflammatory bowel disease requiring immunosuppressive medication or previous history of inflammatory bowel disease.* Uncontrolled, or significant cardiovascular disease or cerebrovascular disease.* Received prior radiotherapy within 2 weeks of start of study intervention, or radiation-related toxicities, requiring corticosteroids.* Received a live or live-attenuated vaccine within 30 days before the first dose of study intervention. Administration of killed vaccines is allowed.* Received radiation therapy to the lung that is \&gt;30 Gray within 6 months of the first dose of study intervention.* Known active central nervous system metastases and/or carcinomatous meningitis.* Active infection requiring systemic therapy.* History of (noninfectious) pneumonitis/interstitial lung disease that required steroids or has current pneumonitis/interstitial lung disease.* HIV-infected participants with a history of Kaposi's sarcoma and/or Multicentric Castleman's Disease.* Concurrent active HBV and HCV infection.* History of allogeneic tissue/solid organ transplant.* Participants who have not adequately recovered from major surgery or have ongoing surgical complications.</t>
  </si>
  <si>
    <t>EGFR, EGFR Exon 19-del, EGFR G719X, EGFR L861Q, EGFR S768I</t>
  </si>
  <si>
    <t>Fortvita Biologics</t>
  </si>
  <si>
    <t>NCT07217301</t>
  </si>
  <si>
    <t>CTR20253956</t>
  </si>
  <si>
    <t>MarsLight-11</t>
  </si>
  <si>
    <t>United States - China</t>
  </si>
  <si>
    <t>A Randomized, Open-Label, Multicenter, Phase 3 Study Evaluating the Efficacy and Safety of IBI363 Versus Docetaxel in Participants With Unresectable Locally Advanced or Metastatic Squamous Non-Small Cell Lung Cancer With Disease Progression on or After Platinum-Based Chemotherapy and Anti-PD-1/PD-L1 Immunotherapy</t>
  </si>
  <si>
    <t>Inclusion Criteria:1. Willing to sign the written informed consent form and be able to comply with the visit schedule and related procedures specified in the protocol.2. Male or female participants must be at least 18 years old or the legal age of majority in their country, whichever is greater.3. Have locally unresectable advanced or metastatic histologically or cytologically confirmed squamous NSCLC Note:: Mixed small cell carcinoma, or other pathological components are excluded.4. Resistant or refractory to systemic anti-tumor therapy, including platinum-based doublet chemotherapy and primary or secondary resistance to anti-PD-1/PD-L1 monoclonal antibody given in combination or sequentially; or given as neoadjuvant and/or adjuvant therapy, which will be considered first-line treatment if the disease has recurred or progressed during such treatment or within 6 months after discontinuation.5. Radiographic progression per RECIST v1.1 during or within 6 months after discontinuation of anti-PD-1/PD-L1 monoclonal antibody treatment.6. Agree to provide archival (collected within 2 years before signing the informed consent form if biopsy cannot be performed or participant refuses fresh biopsy) tumor tissue specimens for PD-L1 expression level testing and exploratory analysis of other biomarkers.7. Have at least one measurable lesion (target lesion) by computed tomography (CT) or magnetic resonance imaging (MRI) according to RECIST v1.1. Lesions that have previously received radiotherapy or intratumoral injection can be used as measurable lesions if they show progression after treatment (either tissue confirmed or more than 3 months after treatment) as per RECIST v1.1.8. ECOG PS score of 0 or 1.9. Expected survival time ≥ 3 months.10. Women of childbearing potential (WOCBP) or men with female partners of childbearing potential must agree to take effective contraceptive measures during the entire course of treatment and for 6 months after the last dose of study treatment.11. Lactating women must agree to strictly abstain from breastfeeding during the entire Treatment Period and for 6 months after the treatment.Exclusion Criteria:1. Women who are pregnant or lactating, or intending to become pregnant before, during, or within 6 months after the last dose of any study drug. WOCBP or fertile men with WOCBP partner(s), not using and/or not willing to use a highly effective method of contraception.2. Known actionable genomic alteration, including any of the following driver gene mutations:* Epidermal growth factor receptor (EGFR): including exon 19 deletion, exon 21 L858R, exon 20 T790M, exon 20 S768I, exon 21 L861Q, exon 18 G719X, and exon 20 insertion mutations.* Kirsten rate sarcoma virus (KRAS) G12C mutation.* Anaplastic lymphoma kinase (ALK) rearrangement.* ROS proto-oncogene 1, receptor tyrosine kinase (ROS1) rearrangement.* B-Raf proto-oncogene, serine/threonine kinase (BRAF) V600E mutation.* Neurotrophic tyrosine receptor kinase (NTRK) 1/2/3 fusion.* MET proto-oncogene, receptor tyrosine kinase (MET) exon 14 skipping mutation.* RET proto-oncogene (RET) rearrangement.* V-erb-b2 avian erythroblastic leukemia viral oncogene homolog 2 (ERBB2, also known as HER2) mutation.* Other gene mutation types where a targeted therapy has been completely approved for marketing by a local regulatory authority.Note:: It is not mandatory to have undergone driver gene testing.3. Active or symptomatic brain metastases. Participants who are clinically and radiologically stable at least 4 weeks after treatment and participants with small, asymptomatic, incidental, untreated brain metastases that remain stable ≥ 4 weeks may participate in this study as long as they meet all of the following criteria:* No metastases to meninges, midbrain, pons, medulla oblongata, spinal cord or cerebellar metastases.* No compression of the aqueduct of Sylvius, no compression of the third or fourth ventricle, no compression of the spinal cord.* Total diameter of metastases ≤ 2 cm and total number of metastases ≤ 3.* After the completion of treatment for brain metastases, repeated imaging examination confirming no evidence of new brain metastases or enlargement of the original brain metastases must be ≥ 4 weeks from completion of radiotherapy (stereotactic radiosurgery or whole brain irradiation) using same imaging technique; no steroids, anticonvulsant, or dehydration (such as mannitol) therapy is required, and the symptoms are stable ≥ 14 days prior to randomization.* Measurable lesions per RECIST 1.1 excluding brain metastases.4. Presence of any of the following hematologic abnormalities at Baseline\*:* Hemoglobin \&lt; 9 g/dL.* Absolute neutrophil count (ANC) \&lt; 1,500 per mm3.* Platelet count \ 1.5 × upper limit of normal (ULN) except for participants with Gilbert's syndrome with serum bilirubin ≤ 3 × ULN or if concurrent conjugated bilirubin ≤ ULN.* Aspartate aminotransferase (AST) or alanine aminotransferase (ALT) \&gt; 3 × ULN; for liver metastasis, AST or ALT \&gt; 5.0 × ULN.* Creatinine Clearance (CrCl) \&lt; 30 mL/min; the Cockcroft-Gault formula is used to calculate CrCl (using ideal body weight for obese participants and actual body weight for non-obese participants).* Albumin \&lt; 30 g/L. Note:: Investigators should refer to the local clinical practice guidelines or the label of docetaxel to assess whether participants with abnormal serum chemistry are suitable for docetaxel treatment.6. Presence of any of the following coagulation parameter abnormalities at Baseline:* International normalized ratio (INR) \&gt; 1.5 × ULN (\&gt; 3 × ULN if on stable dose anticoagulation).* Partial thromboplastin time (PTT; or activated partial thromboplastin time \[aPTT\]) \&gt; 1.5 × ULN (\&gt; 3 × ULN if on stable-dose anticoagulation).7. History of deep venous thrombosis, pulmonary embolism, or any other serious thromboembolic events within 3 months prior to enrollment (implantable port or catheter-related thrombosis, or superficial venous thrombosis are not considered ""serious"" thromboembolisms); portal vein tumor thrombus involving both the main trunk and bilateral first-order branches, or involving both the main trunk and superior mesenteric vein, or inferior vena cava tumor thrombus.8. Active uncontrolled bleeding or known bleeding tendency. For example, imaging shows that the tumor invades large blood vessels or has unclear boundaries (including aorta, pulmonary aorta, left pulmonary artery, right pulmonary artery, pulmonary vein, superior vena cava, inferior vena cava, etc.), or the investigator judges that the tumor is very likely to invade important blood vessels and cause fatal bleeding during the subsequent study.9. Presence of clinically significant cardiovascular or cerebrovascular diseases, including:* Symptomatic, clinically unstable arrhythmia or arrhythmia requiring clinical intervention.* Severe conduction disorders (such as third-degree atrioventricular block and bundle branch block).* QT interval corrected for heart rate (QTc interval, calculated using Fridericia's formula) ≥ 480 ms.* Uncontrolled hypertension (systolic blood pressure ≥ 160 mmHg or diastolic blood pressure ≥ 100 mmHg) despite standard treatment.* History of myocarditis.* Left ventricular ejection fraction (LVEF) \&lt; 50%.* Congestive heart failure requiring treatment.* Class II-IV cardiac insufficiency according to the New York Heart Association (NYHA) functional classification.* History of acute coronary syndrome (including myocardial infarction and unstable angina), coronary angioplasty, or stenting within 6 months prior to the first dose of investigational medical product.* Cerebrovascular accident or transient ischemic attack within 6 months before the first dose of the investigational medical product.* History of seizures.10. Cardiac enzymes ≥ levels consistent with myocardial infarction as defined by the manufacturer (i.e., Grade 3).11. History of the following lung diseases requiring steroid therapy: interstitial lung disease (ILD), pulmonary fibrosis, drug-related and radiation pneumonitis; current active pulmonary infection requiring anti-infective therapy; active pulmonary tuberculosis within 1 year prior to enrollment; severely impaired pulmonary function, including but not limited to the following: pulmonary embolism, severe asthma or chronic obstructive pulmonary disease within 3 months prior to randomization; autoimmune, connective tissue, or inflammatory diseases involving the lungs (such as rheumatoid arthritis, Sjögren's disease, and sarcoidosis); previous unilateral pneumonectomy.12. History of severe, poorly controlled allergies, asthma or atopic dermatitis (except for atopic dermatitis caused by immunotherapy). Note:: remote history of childhood asthma is not exclusionary.13. History of anaphylactic or hypersensitivity reactions. Uncontrolled third space effusion requiring repeated drainage, such as pleural effusion, abdominal effusion, pericardial effusion, etc.Note:: Participants with the following conditions may be enrolled:* No need for drainage.* No significant increase in effusion after stopping drainage determined using at least 2 ultrasound examinations (at least 7 days apart).14. Current or recent (within 6 months) significant gastrointestinal disease or condition, including:* Flare of inflammatory bowel disease.* Grade ≥ 2 diarrhea (CTCAE v5.0) within 2 weeks prior to the first dose of the investigational medical product.15. Active autoimmune disease requiring systemic treatment (e.g., use of disease-modifying drugs, corticosteroids, or immunosuppressants) within 2 years before the first dose.Note:: Replacement therapies (e.g., thyroxine, insulin, or physiological corticosteroids for adrenal or pituitary insufficiency) are not considered systemic treatments and exclusionary.16. Known history of allogeneic organ transplantation and allogeneic hematopoietic stem cell transplantation.17. Known or suspected allergy to the investigational medical product and any excipients. Known or suspected severe hypersensitivity reactions to docetaxel or to drugs formulated with polysorbate 80.18. Prior history of significant toxicity related to immune checkpoint inhibitor administration that required permanent discontinuation of this therapy.19. Unresolved Grade \&gt; 1 toxicity related to any previous anti-tumor therapy (excluding alopecia, asthenia, hypothyroidism requiring only thyroid hormone replacement therapy, hyperglycemia requiring only insulin replacement therapy, adrenal insufficiency requiring physiological steroid replacement, electrolyte abnormalities requiring only symptomatic treatment, and other conditions not affecting the investigational medical product treatment as assessed by the investigator).20. Have not adequately recovered from previous surgery or have undergone any major surgery, such as carotid artery stenting or esophageal stenting, within 4 weeks before the first dose of investigational medical product.21. Uncontrolled tumor-related pain or symptomatic hypercalcemia.22. Uncontrolled human immunodeficiency virus (HIV), active syphilis, active hepatitis B (HBV), hepatitis C (HCV), or tuberculosis.* Participants who are HIV-positive must have CD4 ≥ 350 cells/µL. Participants on established HAART (assuming no expected drug-drug interactions) for at least 4 weeks must an HIV viral load \&lt; 400 copies/mL.* Participants with positive results of Treponema pallidum haemagglutination (TPHA)/Treponema pallidum particle agglutination (TPPA) test and/or rapid plasma regain test (RPR) should not be enrolled.* Participants with positive hepatitis B surface antigen (HBsAg) or hepatitis B core antibody (HBcAb) should undergo hepatitis B virus (HBV) DNA testing. If the HBV DNA copy number is ≤ 2.5 × 103 copies/mL or ≤ 500 IU/mL or below the lower limit of detection, the participant can be enrolled. Participants who are HBsAg (+) should receive anti-HBV treatment throughout the Treatment Period to avoid viral activation. For participants with anti-HBc (+), HBsAg (-), anti-HBs (-), and HBV viral load (-), prophylactic anti-HBV treatment can be considered but is not required; however, close monitoring for viral reactivation is required.* Participants with positive HCV serology results but negative or below the lower limit of detection of HCV RNA can be included in the study.* Participants who received HCV treatment and have undetectable viral load results are allowed.* Participants with previously cured or clinically stable remote history of tuberculosis as assessed by the investigator can be included in the study.23. Serious/active/uncontrolled infection, infection requiring systemic intravenous antibiotics, or fever of unknown origin (≥ 38°C) within 2 weeks before the first dose of investigational medical product(s).24. History or current evidence of any disease, treatment, or laboratory abnormality that, in the judgment of the investigator, could compromise the safety of the participant, interfere with obtaining informed consent, affect participant compliance, or affect safety evaluations of the investigational medical product.25. Psychiatric illness, altered mental status, or drug abuse that prevents understanding of the informed consent process and/or completion of required study-related evaluations.26. Unable to meet protocol requirements for known or foreseeable reasons per investigator judgement.27. Diagnosed with other pathologically confirmed malignancies within 5 years prior to informed consent, with the exception of radically treated basal cell carcinoma of the skin, squamous cell carcinoma of the skin, carcinoma in situ, localized prostate cancer, papillary thyroid cancer, and other radically treated malignancies with no known active disease for at least 2 years prior to enrollment and with a very low risk of recurrence.28. Received any of the following excluded medications or treatments:* Docetaxel.* Received more than one anti-PD-1/PD-L1 monoclonal antibody therapy.* Systemic anti-tumor therapy except anti-PD-1/PD-L1 monoclonal antibody and platinum-based doublet chemotherapy including but not limited to bispecific antibodies, targeted therapy, antibody drug conjugate, other immune checkpoint inhibitors.* IL-2/IL-15 cytokine.* Chemotherapy within 2 weeks or 5 half-lives (whichever is longer) before the first dose of investigational medical product without delayed toxicity.* Anti-tumor antibody therapy (excluding antibody drugs such as denosumab for the treatment of bone metastases) within 4 weeks before the first dose of the investigational medical product.* Palliative radiotherapy within 2 weeks prior to the first dose of investigational medical product.* Live vaccine within 28 days prior to the first dose of investigational medical product.* Immunosuppressive or systemic steroid therapy (\&gt; 10 mg/day of prednisone or equivalent) within 2 weeks prior to the first dose of investigational medical product.* Received traditional Chinese medicine with anti-tumor indications within 1 week before the first dose of the investigational medical product.</t>
  </si>
  <si>
    <t>EGFR, EGFR Exon 19-del, EGFR L858R, EGFR T790M, EGFR Exon 20-ins, EGFR G719X, EGFR L861Q, EGFR S768I, ALK, KRAS G12C, ROS1, BRAF V600E, NTRK1, NTRK2, NTRK3, c-MET/MET Exon 14, RET, HER2 mut</t>
  </si>
  <si>
    <t>PD-L1, CD25</t>
  </si>
  <si>
    <t>66482AAA</t>
  </si>
  <si>
    <t>ResQ302</t>
  </si>
  <si>
    <t>Standard of care</t>
  </si>
  <si>
    <t>RC148</t>
  </si>
  <si>
    <t>88510AAA</t>
  </si>
  <si>
    <t>CD279, Microtubule, PD-1, VEGF</t>
  </si>
  <si>
    <t>NCT07291037</t>
  </si>
  <si>
    <t>2024-520101-39-00, CTR20254226, jRCT2031250462</t>
  </si>
  <si>
    <t>TROPION-Lung17</t>
  </si>
  <si>
    <t>United States - Australia - Austria - Belgium - Brazil - Canada - China - Germany - Hungary - India - Italy - Japan - Poland - South Korea - Spain - Taiwan - Thailand - Turkey - United Kingdom - Vietnam</t>
  </si>
  <si>
    <t>A Phase III, Randomised, Open-Label, Multicentre Study of Datopotamab Deruxtecan or Docetaxel in Previously Treated TROP2-positive Advanced or Metastatic Non-squamous Non-Small Cell Lung Cancer Without Actionable Genomic Alterations (TROPION-Lung17)</t>
  </si>
  <si>
    <t>Inclusion Criteria:* Pathologically documented Stage IIIB, IIIC, or Stage IV non-squamous non-small cell lung cancer (NSCLC) without actionable genomic alterations (AGA) at the time of randomisation and meets the criteria for NSCLC:* Participants must have documented negative test results for epidermal growth factor receptor (EGFR), anaplastic lymphoma kinase (ALK), and ROS proto-oncogene 1 (ROS1) genomic alterations.* Has no known tumour genomic alterations in neurotrophic tyrosine receptor kinase (NTRK), proto-oncogene B-raf (BRAF), rearranged during transfection (RET), mesenchymal-epithelial transition (MET) exon 14 skipping, Kirsten rat sarcoma viral oncogene homolog (KRAS) G12C, human epidermal growth factor receptor 2 (HER2) or any other actionable driver oncogenes for which there are locally approved and available targeted first-line therapies.* Prospectively assessed trophoblast cell surface protein 2 (TROP2) normalised membrane ratio (NMR) positive.* Documentation of radiographic disease progression while on or after receiving the most recent treatment regimen for advanced or metastatic NSCLC.* Participants must have received platinum based chemotherapy (PBC) in combination with anti-programmed death-protein 1 (anti-PD-1)/anti-programmed death-ligand 1 (anti-PD-L1) monoclonal antibody (mAb) as the only prior line of therapy or received PBC and anti-PD-1/anti-PD-L1 monoclonal antibody (in either order) sequentially as the only 2 prior lines of therapy.* Provision of acceptable formalin fixed and paraffin embedded (FFPE) tumour sample for assessment of TROP2.* At least one lesion not previously irradiated that qualifies as a Response Evaluation Criteria in Solid Tumours, Version 1.1 (RECIST 1.1) target lesion (TL) at baseline and can be accurately measured at baseline as ≥ 10 mm in the longest diameter (except lymph nodes, which must have short axis ≥ 15 mm) with computed tomography (CT) or magnetic resonance imaging (MRI) and is suitable for accurate repeated measurements.* Eastern Cooperative Oncology Group (ECOG) Performance Status (PS) of 0 or 1.* Adequate bone marrow reserve and organ function within 7 days before randomisation.Exclusion Criteria:* Squamous, mixed NSCLC, or small cell lung cancer (SCLC) histology.* NSCLC disease that is eligible for definitive local therapy alone.* History of another primary malignancy other than NSCLC, except for malignancy treated with curative intent with no known active disease within 3 years before randomisation and of low potential risk for recurrence.* Spinal cord compression or brain metastases, unless asymptomatic, stable, and not requiring treatment with corticosteroids or anticonvulsants for at least 7 days prior to randomisation.* Clinically significant corneal disease.* Has active or uncontrolled hepatitis B or C virus infection.* Known human immunodeficiency virus (HIV) infection that is not well controlled.* Uncontrolled infection requiring intravenous (IV) antibiotics, antivirals, or antifungals.* History of non-infectious interstitial lung disease (ILD)/pneumonitis including radiation pneumonitis that required steroids, has current ILD/pneumonitis, or has suspected ILD/pneumonitis that cannot be ruled out by imaging at screening.* Severe pulmonary function compromise per Investigator discretion.</t>
  </si>
  <si>
    <t>EGFR, ALK, ROS1, NTRK, BRAF, RET, c-MET/MET Exon 14, KRAS G12C, HER2</t>
  </si>
  <si>
    <t>84898AAA</t>
  </si>
  <si>
    <t>Aglatimagene besadenovec</t>
  </si>
  <si>
    <t>AdV-tk</t>
  </si>
  <si>
    <t>CAN-2409</t>
  </si>
  <si>
    <t>Candel Therapeutics</t>
  </si>
  <si>
    <t>38441AAA</t>
  </si>
  <si>
    <t>Adenoviral vector</t>
  </si>
  <si>
    <t>CD279, HSV-TK, PD-1</t>
  </si>
  <si>
    <t>Oncolytic virus</t>
  </si>
  <si>
    <t>Vopimetostat</t>
  </si>
  <si>
    <t>TNG462</t>
  </si>
  <si>
    <t>Tango Therapeutics</t>
  </si>
  <si>
    <t>69308AAA</t>
  </si>
  <si>
    <t>PRMT5</t>
  </si>
  <si>
    <t>Plinabulin</t>
  </si>
  <si>
    <t>NPI-2358</t>
  </si>
  <si>
    <t>BeyondSpring Pharmaceuticals</t>
  </si>
  <si>
    <t>NCT07361484</t>
  </si>
  <si>
    <t>Vascular Disruptive Agent (VDA)</t>
  </si>
  <si>
    <t>Microtubule, NA</t>
  </si>
  <si>
    <t>DUBLIN-4</t>
  </si>
  <si>
    <t>Docetaxel+Placebo</t>
  </si>
  <si>
    <t>Not yet recruiting</t>
  </si>
  <si>
    <t>A Global, Multicenter, Randomized, Double-blinded, Phase 3 Study of Docetaxel + Plinabulin Compared to Docetaxel + Placebo in Patients With Advanced or Metastatic Non-squamous Non-Small Cell Lung Cancer With EGFR, ALK, ROS, and RET Wild Type After Progressing on Prior Immunotherapy (Anti-PD-1/L1 Antibody) and Platinum-based Chemotherapy (DUBLIN-4)</t>
  </si>
  <si>
    <t>Inclusion Criteria:1. Males and females 18 years of age or older at the time of signing the ICF2. Willing and able to sign an ICF;3. Non-squamous NSCLC with EGFR, ALK, ROS and RET wild type who have been diagnosed by histopathological and/or cytological examination as being ineligible for surgical treatment and have locally advanced (stage IIIb) or metastatic (stage IV) diseases, or have recurrent and progressive disease after local treatment (if there are multiple tumor components, classify the main cell type):* Developed disease progression after treatment with PD-1/L1 inhibitors and platinum-based chemotherapy in advanced non-squamous NSCLC with EGFR, ALK, ROS and RET wild type* Treatment progression with anti-PD-1/L1 inhibitors and platinum-based chemotherapy administered either concurrently or sequentially as part of the same first-line treatment plan, or as two separate prior lines of systemic therapy, (does not count preoperative and adjuvant therapy) is defined to meet all of the following criteria:1. Demonstrated disease progression after anti-PD-1/L1 and platinum-based chemotherapy concurrently or sequentially as defined by RECIST v1.12. Once disease progression is confirmed, the initial date of disease progression documentation will be considered the date of disease progression. The disease progression to the first administration of the IMP should not exceed 60 days3. Achieved PFS of anti- PD-1/L1 treatment for at least 3 months4. ECOG performance status of 0 to 15. All AEs from any previous systemic therapy, surgery or radiotherapy must have been resolved to CTCAE v5.0 Grade ≤1 or baseline6. Adequate organ function, within 7 days prior to administration of the IMP by the local laboratory:* Hemoglobin ≥9 g/dL independent of transfusions or growth factor support* ANC ≥1.5×109/L independent of growth factor support* Platelet count ≥100×109/L independent of blood transfusion* Serum total bilirubin ≤ the ULN, unless the participant has a diagnosis of Gilbert's disease in which case serum total bilirubin ≤3.0×ULN* AST and ALT ≤2.5×ULN (≤1.5×ULN if alkaline phosphatase is \&gt;2.5× ULN, ≤5xULN with liver metastasis)* CrCl ≥50 mL/min (as calculated by the Cockcroft-Gault formula)7. Life expectancy of at least 3 months8. Female participants of childbearing potential have a negative pregnancy test at baseline. Females of childbearing potential are defined as sexually mature women without prior hysterectomy or who have had any evidence of menses in the past 12 months. However, women who have been amenorrheic for 12 or more months are still considered to be of childbearing potential if the amenorrhea is possibly due to prior chemotherapy, anti estrogens, or ovarian suppression9. Female participants must be in a non-pregnant and non-lactating state, and females of childbearing potential (including their partners) are willing to voluntarily adopt effective contraceptive measures from the screening period until 3 months after the last administration of the IMP. Females of childbearing potential (ie, menstruating women) must have a negative urine pregnancy test (positive urine tests are to be confirmed by serum test) documented within the 24-hour period prior to the first dose of IMP* Sexually active females of childbearing potential enrolled in the study must agree to use 2 forms of accepted methods of contraception during the course of the study and for 3 months after their last dose of IMP. Effective birth control includes: (a) intrauterine device plus 1 barrier method; (b) on stable doses of hormonal contraception for at least 3 months (eg, oral, injectable, implant, transdermal) plus 1 barrier method; (c) 2 barrier methods. Effective barrier methods are male or female condoms, diaphragms, and spermicides (creams or gels that contain a chemical to kill sperm); or (d) a vasectomized partner* Male participants who are sexually active and who are partners of pre menopausal women must agree to use 2 forms of accepted contraception during the treatment period and for at least 3 months after the last dose of IMPExclusion Criteria:1. Administration of chemotherapy, immunotherapy, biotherapy, targeted, or radiation therapy or investigational agent (therapeutic or diagnostic) within 3 weeks prior to the first dose of IMP. Major surgery, other than diagnostic surgery, within 4 weeks before first IMP administration is exclusionary2. Receipt of more than two prior lines of systemic anticancer therapy for locally advanced or metastatic non-small cell lung cancer. Neoadjuvant and adjuvant systemic therapies are not counted as prior lines of therapy3. Any of the following cardiac criteria experienced currently or within the last 6 months:* Congestive heart failure (New York Heart Association ≥Class 2)* Any clinically significant abnormalities (as assessed by the investigator) in rhythm, conduction, or morphology of resting ECGs, eg, complete left bundle branch block or third-degree heart block* Acute coronary syndrome* Clinically significant uncontrolled cardiac arrhythmia4. Any of the following cardiac criteria experienced currently:* Mean QTC interval corrected (Friderica) \&gt;470 ms* Left ventricular ejection fraction \160 mmHg systolic and 100 mmHg diastolic in spite of anti hypertension medication), uncontrolled diabetes mellitus, active bleeding diatheses, as determined by the investigator6. Participants who have received prior treatment with docetaxel7. Prior transient ischemic attack or cerebrovascular accident within the past year8. History of hemorrhagic diarrhea, inflammatory bowel disease or active uncontrolled peptic ulcer disease (concomitant therapy with ranitidine or its equivalent and/or omeprazole or its equivalent is acceptable). History of ileus or other significant gastrointestinal disorder known to predispose to ileus or chronic bowel hypomotility9. Active bacterial, viral, or fungal infection requiring systemic therapy10. A current or a known history of acquired immunodeficiency syndrome-defining illness, or HIV infection with a CD4+ T-cell count \</t>
  </si>
  <si>
    <t>EGFR, ALK, RET, ROS1</t>
  </si>
  <si>
    <t>NCT02504489</t>
  </si>
  <si>
    <t>CTR20150883</t>
  </si>
  <si>
    <t>DUBLIN-3</t>
  </si>
  <si>
    <t xml:space="preserve">12.0% </t>
  </si>
  <si>
    <t>ESMO Sep 16, 2021</t>
  </si>
  <si>
    <t xml:space="preserve">3.60 </t>
  </si>
  <si>
    <t xml:space="preserve">10.80 </t>
  </si>
  <si>
    <t>ESMO Sep 13, 2024</t>
  </si>
  <si>
    <t>United States - Australia - China</t>
  </si>
  <si>
    <t>Randomized Blinded Phase III Assessment of Second or Third-Line Chemotherapy With Docetaxel + Plinabulin Compared to Docetaxel + Placebo in Patients With Advanced Non-Small Cell Lung Cancer and With at Least One Measurable Lung Lesion</t>
  </si>
  <si>
    <t>INCLUSION CRITERIA:1. Males and females ≥ 18 years of age2. ECOG performance status ≤ 2.3. Histopathologically or cytologically confirmed non-squamous or squamous NSCLC.4. Disease progression during or after treatment with one or two treatment regimen(s) Treatment regimens can be chemotherapy, targeted therapy, biological therapy, or immunotherapy for advanced (Stage IIIB) or metastatic disease (Stage IV). Modification of a regimen to manage toxicity with a different drug does not constitute a new regimen. Maintenance therapy following platinum-based chemotherapy is not considered as a separate regimen. Adjuvant or neoadjuvant chemotherapy and/or chemo-radiation for early stage disease do not count as prior systemic therapy. Prior radiation therapy is not exclusionary. Prior immunotherapy with a PD-1/PD-L1 inhibitor is not exclusionary. Prior treatment for advanced or metastatic disease must have included a platinum-based regimen. (Treatment of early stage disease \[Stage IIIA or earlier\] with a platinum-containing therapy does not count).5. Patients with active brain metastasis or leptomeningeal involvement with brain metastases who are asymptomatic, and whose lesions by imaging are at least stable and without interim development of new lesions for at least 4 weeks may be enrolled. Patients who require continued therapy with steroid medication for management for their brain metastases are eligible; dosing must be stable for at least 4 weeks prior to randomization;6. Patients must have at least one measurable lung lesion of ≥10 mm by CT or MRI per RECIST 1.1 criteria. Radiographic tumor assessment is to be performed within 28 days prior to randomization;7. All patients with non-squamous NSCLC must have been tested for 19 deletion and exon 21 L858R substitution mutation. Only patients without EGFR sensitizing mutations are eligible, and they must have progressed on platinum-based chemotherapy. Patients with known ALK-rearrangements should be treated with an appropriate tyrosine kinase inhibitor (TKI) before entering the study. The TKI regimen would count as a line of treatment.8. All adverse events of any prior systemic therapy, surgery, or radiotherapy, must have resolved to CTCAE (v4.03) Grade ≤2, except for neurological adverse events that must have resolved to Grade ≤1;9. The following laboratory results from the central laboratory within 14 days prior to Cycle 1 Day 1 study drug administration.* Hemoglobin ≥9 g/dL independent of transfusion or growth factor support;* Absolute neutrophil count ≥1.5 x 109/L independent of growth factor support;* Platelet count ≥100 x 109/L independent of transfusion or growth factor support;* Serum total bilirubin ≤ ULN, unless the patient has a diagnosis of Gilbert's disease in which case serum bilirubin ≤3.0 times ULN;* AST and ALT ≤2.5 x ULN (≤1.5 x ULN if alkaline phosphatase is \&gt;2.5 x ULN);* Serum creatinine ≤1.5 x ULN;10. Life expectancy more than 12 weeks;11. Female patients of childbearing potential have a negative pregnancy test at baseline. Females of childbearing potential are defined as sexually mature women without prior hysterectomy or who have had any evidence of menses in the past 12 months. However, women who have been amenorrheic for 12 or more months are still considered to be of childbearing potential if the amenorrhea is possibly due to prior chemotherapy, anti-estrogens, or ovarian suppression.1. Women of childbearing potential (i.e., menstruating women) must have a negative urine pregnancy test (positive urine tests are to be confirmed by serum test) documented within the 24-hour period prior to the first dose of study drug.2. Sexually active women of childbearing potential enrolled in the study must agree to use two forms of accepted methods of contraception during the course of the study and for 3 months after their last dose of study drug. Effective birth control includes (a) intrauterine device (IUD) plus one barrier method; (b) on stable doses of hormonal contraception for at least 3 months (e.g., oral, injectable, implant, transdermal) plus one barrier method; (c) 2 barrier methods. Effective barrier methods are male or female condoms, diaphragms, and spermicides (creams or gels that contain a chemical to kill sperm); or (d) a vasectomized partner.3. For male patients who are sexually active and who are partners of premenopausal women: agreement to use two forms of contraception as in criterion 11b above during the treatment period and for at least 3 months after the last dose of study drug.12. Signed informed consent.EXCLUSION CRITERIA: Patients with any of the following:1. Administration of chemotherapy, immunotherapy, biological, targeted, or radiation therapy or investigational agent (therapeutic or diagnostic) within 3 weeks prior to receipt of study medication. Major surgery, other than diagnostic surgery, within 4 weeks before first study drug administration.2. Significant cardiac history:* History of myocardial infarction or ischemic heart disease within 1 year (within a window of 18 days) before first study drug administration;* Uncontrolled arrhythmia;* History of congenital QT prolongation;* ECG findings consistent with active ischemic heart disease;* New York Heart Association Class III or IV cardiac disease;* Uncontrolled hypertension: blood pressure consistently greater than 150 mm Hg systolic and 100 mm Hg diastolic in spite of antihypertensive medication.3. Patients who have received prior treatment with docetaxel.4. Prior transient ischemic attack or cerebrovascular accident within the past year (within an 18-day window). Any neurologic toxicities ≥ Grade 2 within 3 weeks of randomization.5. History of hemorrhagic diarrhea, inflammatory bowel disease or active uncontrolled peptic ulcer disease. (Concomitant therapy with ranitidine or its equivalent and/or omeprazole or its equivalent is acceptable). History of ileus or other significant gastrointestinal disorder known to predispose to ileus or chronic bowel hypomotility.6. Active uncontrolled bacterial, viral, or fungal infection requiring systemic therapy.7. Known infection with human immunodeficiency virus (HIV) or active hepatitis A, B, or C.8. Known prior hypersensitivity reaction to any product containing polysorbate 80, polyoxyethylene 15 hydroxystearate/Macrogol 15 hydroxystearate (Solutol HS 15/ Kolliphor HS 15).9. Female subject who is pregnant or lactating.10. Second malignancy unless in remission for \&gt;5 years. (Non-melanoma skin cancer or carcinoma in situ of the cervix treated with curative intent is not exclusionary).11. Any medical conditions that, in the Investigator's opinion, would impose excessive risk to the patient. Examples of such conditions include uncontrolled diabetes, infection requiring parenteral anti-infective treatment, liver failure, any altered mental status or any psychiatric condition that would interfere with the understanding of the informed consent form.12. Unwilling or unable to comply with procedures required in this protocol.</t>
  </si>
  <si>
    <t>EGFR Exon 19-del, EGFR L858R, EGFR</t>
  </si>
  <si>
    <t>ALK, NLR, PLR</t>
  </si>
  <si>
    <t>Setidegrasib</t>
  </si>
  <si>
    <t>ASP3082</t>
  </si>
  <si>
    <t>Astellas</t>
  </si>
  <si>
    <t>82558AAA</t>
  </si>
  <si>
    <t>KRAS G12D degrader</t>
  </si>
  <si>
    <t>Degrader</t>
  </si>
  <si>
    <t>53609AAA</t>
  </si>
  <si>
    <t>88349AAA</t>
  </si>
  <si>
    <t>NCT07459751</t>
  </si>
  <si>
    <t>CTR20260810</t>
  </si>
  <si>
    <t>HLX07</t>
  </si>
  <si>
    <t>HLX43-NSCLC302</t>
  </si>
  <si>
    <t>China</t>
  </si>
  <si>
    <t>A Randomized, Open-Label, Multi-center, Global Phase II/III Clinical Study to Evaluate the Efficacy and Safety of HLX43 (Anti-PD-L1 ADC) Monotherapy or HLX43 in Combination With HLX07 (Recombinant Anti-EGFR Humanized Monoclonal Antibody Injection) Versus Docetaxel in Previously Treated Advanced or Metastatic Squamous Non-Small Cell Lung Cancer (NSCLC)</t>
  </si>
  <si>
    <t>Inclusion Criteria:1. Have a full understanding of the study content, process, and possible adverse reactions before the study, and sign the informed consent form (ICF); voluntarily participate in the study; be able to complete the study as per protocol requirements;2. Aged ≥ 18 years at the time of signing the ICF, male or female;3. Histologically or cytologically confirmed squamous NSCLC, locally advanced (stage IIIB/IIIC) or metastatic (stage IV) NSCLC not suitable for radical treatment (complete surgical resection, concurrent/sequential radio-chemotherapy) according to the Union for International Cancer Control and the American Joint Committee on Cancer (AJCC) TNM staging system (8th edition);4. Subjects must have progressed after platinum-based chemotherapy in combination with anti-PD-1/anti-PD-L1 therapy as the only prior first-line treatment or progressed after platinum-based chemotherapy followed by anti-PD-1/anti-PD-L1 therapy (in any order) as the only prior second-line treatment.Note:: Definition of prior treatment failure with platinum-based chemotherapy:1. Progressive disease following platinum-based chemotherapy in the recurrent or metastatic setting;2. Progressive disease or recurrence during platinum-based chemotherapy, or within 6 months after the end of platinum-based chemotherapy in the neoadjuvant chemotherapy, concurrent radio-chemotherapy, or adjuvant chemotherapy setting;3. Intolerance to platinum-based chemotherapy; 5. At least one measurable lesion as per RECIST v1.1 within 4 weeks prior to randomization; Note:: Measurable target lesions should not be selected from previous radiotherapy sites or brain lesions. A measurable lesion within the field of local radiotherapy can be selected as the target lesion only when it is the only optional target lesion and the imaging evidence before and after progression should be available.6\. Subjects who agree to provide archived tumor tissue specimens that meet the testing requirements (either from the most recent surgery or biopsy, preferably within 2 years) or agree to undergo a biopsy to collect tumor tissues for PD-L1 and EGFR expression testing; Note:: Formalin-fixed paraffin-embedded (FFPE) tumor samples (paraffin blocks or unstained sections, which must meet the quality control criteria for testing) collected from non-radiotherapy sites during the most recent surgery or biopsy at or after the diagnosis of malignant tumor and pathological reports of such specimens shall also be provided.7\. The following conditions must be met in terms of the time of the first administration of the investigational product: at least 3 weeks (or 5 half-lives of the drug, whichever is shorter) from the previous major surgery, medical device treatment, locoregional radiotherapy (except for palliative radiotherapy for bone lesions), cytotoxic chemotherapy, or immunotherapy; at least 1 week from the administration of the traditional Chinese medicine for anti-cancer indications or minor surgery; and recovery of treatment-induced AEs to Grade ≤ 1 (CTCAE v5.0, except for Grade 2 peripheral neurotoxicity and alopecia); 8. ECOG PS score of 0-1 within 1 week prior to randomization; 9. Life expectancy \&gt; 3 months; 10. Adequate organ functions as confirmed by laboratory tests within 1 week prior to randomization (no blood transfusions or treatment with granulocyte colony-stimulating factor within 14 days prior to the first dose); 11. Male and female subjects with child-bearing potential must agree to use at least one highly effective contraception method during the study and within at least 6 months after the last dose of the investigational product; female subjects of childbearing age must be negative for pregnancy test within 7 days prior to enrollment.Exclusion Criteria:1. Histologically or cytologically confirmed tumor containing components of small cell lung cancer, neuroendocrine carcinoma, or sarcomatoid carcinoma;2. Prior treatment with any medication targeting topoisomerase I, including chemotherapy or ADCs;3. Prior treatment with docetaxel;4. Radical radiation therapy within 3 months prior to the first dose;5. History of any second malignancy within 2 years prior to randomization, except for early-stage malignancies (carcinoma in situ or stage I tumors) that have received radical treatment, such as non-melanoma skin cancer, cervical carcinoma in situ, localized prostate cancer, ductal carcinoma in situ of the breast, and papillary thyroid carcinoma;6. History of ≥ Grade 3 irAEs in immunotherapy;7. Presence of uncontrollable pleural effusion, pericardial effusion, or ascites requiring repeated drainage;8. Presence of spinal cord compression or clinically active metastases to central nervous system (referring to untreated or symptomatic metastases, or metastases requiring corticosteroids or anticonvulsants to control associated symptoms), carcinomatous meningitis. Subjects who have previously received treatment for brain metastases (such as whole brain radiotherapy or stereotactic brain radiotherapy) may be eligible, provided that they are clinically stable for at least 4 weeks with no imaging evidence of brain metastasis progression;9. Subjects with current and prior history of clinically significant pulmonary impairment due to pulmonary comorbidities, including but not limited to: any underlying lung disease (e.g., pulmonary embolism, severe asthma, severe chronic obstructive pulmonary disease, restrictive lung disease, interstitial pneumonia, pneumoconiosis, and drug-related pneumonitis within 3 months prior to the first dose), any autoimmune, connective tissue, or inflammatory disease that may involve the lungs (i.e., rheumatoid arthritis, Sjogren's syndrome, and sarcoidosis), prior pneumonectomy that may interfere with the detection and management of suspected drug-related pulmonary toxicity, or history of radiation pneumonitis within 6 months;10. Patients with any poorly-controlled cardiovascular and cerebrovascular clinical symptoms or diseases, including but not limited to:(1) NYHA Class II or greater heart failure or left ventricular ejection fraction (LVEF) \&lt; 50%; (2) unstable angina pectoris; (3) myocardial infarction or cerebrovascular accident within 6 months (except lacunar infarction, slight cerebral ischemia, or transient ischemic attack); (4) poorly controlled arrhythmia (including QTc interval ≥ 470 ms) (QTc interval is calculated by Fridericia's formula); (5) poorly-controlled hypertension (systolic blood pressure \&gt; 150 mmHg and/or diastolic blood pressure \&gt; 100 mmHg after active treatment); 11. Patients with active systemic infectious diseases requiring intravenous antibiotics within 2 weeks prior to randomization; 12. Patients who have used moderate or potent CYP2D6 or CYP3A inhibitors or inducers within 2 weeks prior to randomization; 13. Patients who have received systemic corticosteroids (prednisone \&gt; 10 mg/d or equivalent dose of similar drug) or other immunosuppressants within 2 weeks prior to randomization; Except: patients treated with topical, ocular, intra-articular, intranasal, and inhaled corticosteroids; short-term prophylactic use of corticosteroids for contrast agents, etc.; 14. Patients with known active or suspected autoimmune diseases. Patients with autoimmune-related hypothyroidism and receiving thyroid hormone replacement therapy and those with type 1 diabetes mellitus controlled with insulin therapy are eligible to be enrolled; 15. Patients who have received live vaccine or live attenuated vaccine within 4 weeks prior to randomization; 16. Patients who are known to have anaphylaxis to macromolecular protein preparations/monoclonal antibodies or are allergic to any component in the formulation of the investigational product; 17. Patients with active tuberculosis; 18. Patients with a history of immunodeficiency, including human immunodeficiency virus (HIV)-positive or other acquired or congenital immunodeficiencies, or history of organ transplantation; 19. Patients with active HBV or HCV infection or HBV/HCV co-infection; Note:: Patients who test positive for HBsAg or HBcAb during screening must further undergo HBV-DNA testing. If the test result suggests \&lt; 500 IU/mL, \&lt; 2500 copies/mL, or \&lt; ULN, the patient can be enrolled. Patients with HBV-DNA detected must agree to receive treatment with anti-HBV nucleos(t)ide analogues during the study.Patients who test positive for HCV antibody must further undergo HCV-RNA testing. If the test result suggests \&lt; ULN, the patient can be enrolled.Patients with HBV/HCV co-infection (positive for HBsAg or HBcAb and positive for HCV antibody) must be excluded.20\. Pregnant or lactating women; 21. Patients who are not suitable for participating in this clinical study due to any clinical or laboratory abnormalities or other reasons as assessed by the investigator.</t>
  </si>
  <si>
    <t>PD-L1, EGFR</t>
  </si>
  <si>
    <t>NCT07155187</t>
  </si>
  <si>
    <t>2025-521124-29-00, CTR20255245</t>
  </si>
  <si>
    <t>M25-713</t>
  </si>
  <si>
    <t>Standard of Care</t>
  </si>
  <si>
    <t>United States - Australia - Austria - Belgium - China - Germany - Israel - Italy - Japan - Portugal - South Korea - Spain - Taiwan</t>
  </si>
  <si>
    <t>Phase 2/3 Open Label Randomized Study of Telisotuzumab Adizutecan Compared to Standard of Care in Subjects With Locally Advanced or Metastatic EGFR-Mutated Non-Squamous Non-Small Cell Lung Cancer After Progression on a Third-Generation EGFR TKI</t>
  </si>
  <si>
    <t>Inclusion Criteria:* Histologically or cytologically confirmed diagnosis of locally advanced or metastatic non-squamous non-small cell lung cancer (NSCLC) with documented EGFR Exon 19 deletion or Exon21 L858R mutation.* Provide archived or recently obtained tumor tissue during Screening.* Received one prior third-generation epidermal growth factor receptor tyrosine kinase inhibitor (EGFR TKI) therapy in the adjuvant, locally advanced, or metastatic setting, either as monotherapy or in combination with other agents, and experienced documented radiographic disease progression on or after therapy for the most recent regimen administered prior to study entry.* Eastern Cooperative Oncology Group (ECOG) Performance Status of 0 to 1.* At least 1 measurable lesion per Response Evaluation Criteria in Solid Tumors (RECIST) version 1.1, that has not been previously irradiated.* Central nervous system (CNS) metastasis, these should be clinically asymptomatic or stable after definitive treatment.* Current, historical, or suspected interstitial lung disease (ILD)/pneumonitis that required steroids should be excluded.* If the prior third-generation EGFR TKI was administered in the adjuvant setting, progression must have occurred while on treatment.Exclusion Criteria:* Tumor(s) have adenosquamous or squamous histology or sarcomatoid features.* Received more than 1 line of systemic therapy in the locally advanced or metastatic setting.* Have any clinically significant medical conditions or any other reason that the investigator determines would interfere with the participant's participation.</t>
  </si>
  <si>
    <t>EIK1001</t>
  </si>
  <si>
    <t>BDB001</t>
  </si>
  <si>
    <t>Eikon Therapeutics</t>
  </si>
  <si>
    <t>NCT07365319</t>
  </si>
  <si>
    <t>TLR7/8 agonist</t>
  </si>
  <si>
    <t>CD279, Microtubule, NA, PD-1, TLR, TLR7/8, TS, TYMS</t>
  </si>
  <si>
    <t>Pembrolizumab, Carboplatin, Paclitaxel, Cisplatin, Placebo, Nab-Paclitaxel, Pemetrexed</t>
  </si>
  <si>
    <t>TeLuRide-008/EIK1001-008</t>
  </si>
  <si>
    <t>ORR, PFS + OS</t>
  </si>
  <si>
    <t>A Global, Multicenter, Randomized, Double-Blind, Placebo-Controlled, Phase 2/3 Study of EIK1001 in Combination With Pembrolizumab and Chemotherapy in Participants With Stage 4 Non-Small Cell Lung Cancer (TeLuRide-008).</t>
  </si>
  <si>
    <t>Key Inclusion Criteria:1. Participant must be ≥ 18 years old at the time of signing the informed consent.2. Participant has a life expectancy of at least 3 months.3. Participant has histologically or cytologically confirmed Stage 4 NSCLC predominately squamous or non-squamous) and is considered a candidate for standard therapy with pembrolizumab and chemotherapy. Participants with NSCLC-NOS (not otherwise specified) will be considered as non-squamous NSCLC.4. Participant must have documented evidence that mutation-directed therapy is not indicated, based on the absence of tumor-activating mutations or fusions (e.g., but not limited to EGFR, ALK, RET, ROS1, BRAF) for which approved first-line targeted therapies are available to the participant in their respective country.5. Participant has at least 1 lesion with measurable disease at Baseline according to RECIST 1.1 as determined locally. Lesions situated in a previously irradiated area are considered measurable if progression has been shown in such lesions.6. Participant has not received prior systemic therapy for advanced/metastatic NSCLC.Note:: Participants who received adjuvant or neoadjuvant treatment (after surgery and/or radiation therapy) and developed recurrent or metastatic disease more than 1 year after completing therapy are eligible.7. Participant has an ECOG Performance Status of 0 to 1 assessed no more than 10 days before start of the treatment.8. Participant has tumor tissue available for PD-L1 testing from a site that was not radiated prior to biopsy, and was obtained, ideally, after diagnosis of metastatic disease. Biopsies obtained prior to receipt of adjuvant/neoadjuvant chemotherapy will be permitted if recent biopsy is not feasible (provided the specimen is \&lt; 3yrs old).Key Exclusion Criteria:1. has small cell elements present histologically and/or the tumors are not predominantly non-squamous or squamous NSCLC.2. is currently actively enrolled in or has recently participated in a study of an investigational agent and received investigational therapy within 4 weeks or 5 half-lives (whichever is longer) of administration of EIK1001 or placebo.3. has had major surgery (\&lt; 3 weeks prior to the first dose of study intervention administration).4. has received a live-virus vaccination within 30 days of the start of study intervention initiation.5. has received radiation therapy within 7 days of the first dose of study intervention administration.6. has completed palliative radiotherapy within 7 days of the first dose of study intervention administration.</t>
  </si>
  <si>
    <t>EGFR, ALK, RET, ROS1, BRAF</t>
  </si>
  <si>
    <t>Stage Category</t>
  </si>
  <si>
    <t>Histology</t>
  </si>
  <si>
    <t>PD-L1 TPS Category</t>
  </si>
  <si>
    <t>Phase 3 US</t>
  </si>
  <si>
    <t>Biosimilar Flag</t>
  </si>
  <si>
    <t>T: ALK</t>
  </si>
  <si>
    <t>T: ALK L1196M</t>
  </si>
  <si>
    <t>T: AXL</t>
  </si>
  <si>
    <t>T: B7-H1</t>
  </si>
  <si>
    <t>T: CD152</t>
  </si>
  <si>
    <t>T: CD274</t>
  </si>
  <si>
    <t>T: CD279</t>
  </si>
  <si>
    <t>T: CD73</t>
  </si>
  <si>
    <t>T: CEA</t>
  </si>
  <si>
    <t>T: CTLA-4</t>
  </si>
  <si>
    <t>T: EGFR</t>
  </si>
  <si>
    <t>T: EGFR C797G</t>
  </si>
  <si>
    <t>T: EGFR C797S</t>
  </si>
  <si>
    <t>T: EGFR Exon 19-del</t>
  </si>
  <si>
    <t>T: EGFR Exon 20</t>
  </si>
  <si>
    <t>T: EGFR L858R</t>
  </si>
  <si>
    <t>T: EGFR T790M</t>
  </si>
  <si>
    <t>T: ERBB</t>
  </si>
  <si>
    <t>T: ERBB3</t>
  </si>
  <si>
    <t>T: FAK</t>
  </si>
  <si>
    <t>T: GARP</t>
  </si>
  <si>
    <t>T: HER1</t>
  </si>
  <si>
    <t>T: HER2</t>
  </si>
  <si>
    <t>T: HER2 Exon 20</t>
  </si>
  <si>
    <t>T: HER3</t>
  </si>
  <si>
    <t>T: HER4</t>
  </si>
  <si>
    <t>T: HRAS</t>
  </si>
  <si>
    <t>T: HSV-TK</t>
  </si>
  <si>
    <t>T: IL-12</t>
  </si>
  <si>
    <t>T: IL-15</t>
  </si>
  <si>
    <t>T: IL-15R</t>
  </si>
  <si>
    <t>T: IL-2</t>
  </si>
  <si>
    <t>T: Integrin β6</t>
  </si>
  <si>
    <t>T: KDR</t>
  </si>
  <si>
    <t>T: KLRC1</t>
  </si>
  <si>
    <t>T: KRAS</t>
  </si>
  <si>
    <t>T: KRAS G12</t>
  </si>
  <si>
    <t>T: KRAS G12C</t>
  </si>
  <si>
    <t>T: KRAS G12D</t>
  </si>
  <si>
    <t>T: LAG-3</t>
  </si>
  <si>
    <t>T: MAGE-A2</t>
  </si>
  <si>
    <t>T: MAGE-A3</t>
  </si>
  <si>
    <t>T: MLN19</t>
  </si>
  <si>
    <t>T: Microtubule</t>
  </si>
  <si>
    <t>T: NKG2A</t>
  </si>
  <si>
    <t>T: NRAS</t>
  </si>
  <si>
    <t>T: NTRK</t>
  </si>
  <si>
    <t>T: PARP</t>
  </si>
  <si>
    <t>T: PD-1</t>
  </si>
  <si>
    <t>T: PD-L1</t>
  </si>
  <si>
    <t>T: PRMT5</t>
  </si>
  <si>
    <t>T: RAS</t>
  </si>
  <si>
    <t>T: RET</t>
  </si>
  <si>
    <t>T: ROS</t>
  </si>
  <si>
    <t>T: ROS1</t>
  </si>
  <si>
    <t>T: Src</t>
  </si>
  <si>
    <t>T: TCGF</t>
  </si>
  <si>
    <t>T: TGF-β</t>
  </si>
  <si>
    <t>T: TGF-β1</t>
  </si>
  <si>
    <t>T: TIGIT</t>
  </si>
  <si>
    <t>T: TLR</t>
  </si>
  <si>
    <t>T: TLR7/8</t>
  </si>
  <si>
    <t>T: TRK</t>
  </si>
  <si>
    <t>T: TROP2</t>
  </si>
  <si>
    <t>T: TS</t>
  </si>
  <si>
    <t>T: TYMS</t>
  </si>
  <si>
    <t>T: VEGF</t>
  </si>
  <si>
    <t>T: VEGFA</t>
  </si>
  <si>
    <t>T: VEGFR2</t>
  </si>
  <si>
    <t>T: c-MET/MET</t>
  </si>
  <si>
    <t>T: p53</t>
  </si>
  <si>
    <t>T: pan-KRAS</t>
  </si>
  <si>
    <t>B: ALK</t>
  </si>
  <si>
    <t>B: BRAF V600E</t>
  </si>
  <si>
    <t>B: EGFR</t>
  </si>
  <si>
    <t>B: EGFR Exon 18</t>
  </si>
  <si>
    <t>B: EGFR Exon 19-del</t>
  </si>
  <si>
    <t>B: EGFR Exon 20</t>
  </si>
  <si>
    <t>B: EGFR Exon 20-ins</t>
  </si>
  <si>
    <t>B: EGFR Exon 21</t>
  </si>
  <si>
    <t>B: EGFR G719A</t>
  </si>
  <si>
    <t>B: EGFR G719C</t>
  </si>
  <si>
    <t>B: EGFR G719S</t>
  </si>
  <si>
    <t>B: EGFR G719X</t>
  </si>
  <si>
    <t>B: EGFR L858R</t>
  </si>
  <si>
    <t>B: EGFR L861Q</t>
  </si>
  <si>
    <t>B: EGFR PACC</t>
  </si>
  <si>
    <t>B: EGFR S768I</t>
  </si>
  <si>
    <t>B: EGFR T790M</t>
  </si>
  <si>
    <t>B: EML4-ALK</t>
  </si>
  <si>
    <t>B: HER2</t>
  </si>
  <si>
    <t>B: HER2 Exon 19</t>
  </si>
  <si>
    <t>B: HER2 Exon 20</t>
  </si>
  <si>
    <t>B: HER2 mut</t>
  </si>
  <si>
    <t>B: HLA-A2</t>
  </si>
  <si>
    <t>B: HRAS</t>
  </si>
  <si>
    <t>B: KRAS</t>
  </si>
  <si>
    <t>B: KRAS G12C</t>
  </si>
  <si>
    <t>B: NRAS</t>
  </si>
  <si>
    <t>B: NTRK</t>
  </si>
  <si>
    <t>B: PD-L1</t>
  </si>
  <si>
    <t>B: PD-L1 IC ≥ 1%</t>
  </si>
  <si>
    <t>B: PD-L1 TC ≥ 1%</t>
  </si>
  <si>
    <t>B: PD-L1 TC ≥ 50%</t>
  </si>
  <si>
    <t>B: PD-L1 TPS &lt; 50%</t>
  </si>
  <si>
    <t>B: PD-L1 TPS ≥ 1%</t>
  </si>
  <si>
    <t>B: PD-L1 TPS ≥ 50%</t>
  </si>
  <si>
    <t>B: RAS</t>
  </si>
  <si>
    <t>B: RET</t>
  </si>
  <si>
    <t>B: ROS1</t>
  </si>
  <si>
    <t>B: TROP2</t>
  </si>
  <si>
    <t>B: c-MET/MET</t>
  </si>
  <si>
    <t>B: c-MET/MET Exon 14</t>
  </si>
  <si>
    <t>B: ctDNA/cfDNA</t>
  </si>
  <si>
    <t>1L: Stage IV Only</t>
  </si>
  <si>
    <t>1L: Stage IV + Other</t>
  </si>
  <si>
    <t>1L: Stage III Only</t>
  </si>
  <si>
    <t>1L Total</t>
  </si>
  <si>
    <t>2L: Stage IV Only</t>
  </si>
  <si>
    <t>2L: Stage IV + Other</t>
  </si>
  <si>
    <t>2L: Stage III Only</t>
  </si>
  <si>
    <t>2L Total</t>
  </si>
  <si>
    <t>Grand Total</t>
  </si>
  <si>
    <t>1L Companies</t>
  </si>
  <si>
    <t>2L Companies</t>
  </si>
  <si>
    <t>ALK L1196M</t>
  </si>
  <si>
    <t>AXL</t>
  </si>
  <si>
    <t>B7-H1</t>
  </si>
  <si>
    <t>CD152</t>
  </si>
  <si>
    <t>CD274</t>
  </si>
  <si>
    <t>CD279</t>
  </si>
  <si>
    <t>CD73</t>
  </si>
  <si>
    <t>CEA</t>
  </si>
  <si>
    <t>CTLA-4</t>
  </si>
  <si>
    <t>EGFR C797G</t>
  </si>
  <si>
    <t>EGFR C797S</t>
  </si>
  <si>
    <t>EGFR Exon 19-del</t>
  </si>
  <si>
    <t>EGFR Exon 20</t>
  </si>
  <si>
    <t>EGFR L858R</t>
  </si>
  <si>
    <t>ERBB</t>
  </si>
  <si>
    <t>ERBB3</t>
  </si>
  <si>
    <t>FAK</t>
  </si>
  <si>
    <t>GARP</t>
  </si>
  <si>
    <t>HER1</t>
  </si>
  <si>
    <t>HER2</t>
  </si>
  <si>
    <t>HER3</t>
  </si>
  <si>
    <t>HER4</t>
  </si>
  <si>
    <t>HRAS</t>
  </si>
  <si>
    <t>HSV-TK</t>
  </si>
  <si>
    <t>IL-12</t>
  </si>
  <si>
    <t>IL-15</t>
  </si>
  <si>
    <t>IL-15R</t>
  </si>
  <si>
    <t>IL-2</t>
  </si>
  <si>
    <t>KDR</t>
  </si>
  <si>
    <t>KLRC1</t>
  </si>
  <si>
    <t>KRAS G12</t>
  </si>
  <si>
    <t>LAG-3</t>
  </si>
  <si>
    <t>MAGE-A2</t>
  </si>
  <si>
    <t>MAGE-A3</t>
  </si>
  <si>
    <t>MLN19</t>
  </si>
  <si>
    <t>Microtubule</t>
  </si>
  <si>
    <t>NKG2A</t>
  </si>
  <si>
    <t>NRAS</t>
  </si>
  <si>
    <t>NTRK</t>
  </si>
  <si>
    <t>PARP</t>
  </si>
  <si>
    <t>PD-1</t>
  </si>
  <si>
    <t>RET</t>
  </si>
  <si>
    <t>ROS</t>
  </si>
  <si>
    <t>Src</t>
  </si>
  <si>
    <t>TCGF</t>
  </si>
  <si>
    <t>TGF-β</t>
  </si>
  <si>
    <t>TGF-β1</t>
  </si>
  <si>
    <t>TIGIT</t>
  </si>
  <si>
    <t>TLR</t>
  </si>
  <si>
    <t>TLR7/8</t>
  </si>
  <si>
    <t>TRK</t>
  </si>
  <si>
    <t>TS</t>
  </si>
  <si>
    <t>TYMS</t>
  </si>
  <si>
    <t>VEGFA</t>
  </si>
  <si>
    <t>VEGFR2</t>
  </si>
  <si>
    <t>p53</t>
  </si>
  <si>
    <t>pan-KRAS</t>
  </si>
  <si>
    <t>BRAF V600E</t>
  </si>
  <si>
    <t>EGFR Exon 18</t>
  </si>
  <si>
    <t>EGFR Exon 21</t>
  </si>
  <si>
    <t>EGFR G719A</t>
  </si>
  <si>
    <t>EGFR G719C</t>
  </si>
  <si>
    <t>EGFR G719S</t>
  </si>
  <si>
    <t>EGFR G719X</t>
  </si>
  <si>
    <t>EGFR L861Q</t>
  </si>
  <si>
    <t>EGFR S768I</t>
  </si>
  <si>
    <t>EML4-ALK</t>
  </si>
  <si>
    <t>HER2 Exon 19</t>
  </si>
  <si>
    <t>PD-L1 IC ≥ 1%</t>
  </si>
  <si>
    <t>c-MET/MET Exon 14</t>
  </si>
  <si>
    <t>Company</t>
  </si>
  <si>
    <t>Total</t>
  </si>
  <si>
    <t>1L NSCLC Pipeline: Histology x PD-L1 TPS</t>
  </si>
  <si>
    <t>TPS ≥ 50%</t>
  </si>
  <si>
    <t>TPS 1-49%</t>
  </si>
  <si>
    <t>All-comers</t>
  </si>
  <si>
    <t>Non-squamous</t>
  </si>
  <si>
    <t>Squamous</t>
  </si>
  <si>
    <t>Both</t>
  </si>
  <si>
    <t>Unspecified</t>
  </si>
  <si>
    <t>2L NSCLC Pipeline: Histology x PD-L1 TPS</t>
  </si>
  <si>
    <t>Line</t>
  </si>
  <si>
    <t>Drug</t>
  </si>
  <si>
    <t>PD-L1 TPS</t>
  </si>
  <si>
    <t>Molecular Targets</t>
  </si>
  <si>
    <t>Mechanism of Action</t>
  </si>
  <si>
    <t>Dev Stage US</t>
  </si>
  <si>
    <t>1L</t>
  </si>
  <si>
    <t>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</si>
</sst>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5" x14ac:knownFonts="1">
    <font>
      <sz val="11"/>
      <color theme="1"/>
      <name val="Calibri"/>
      <family val="2"/>
      <charset val="1"/>
    </font>
    <font>
      <b/>
      <sz val="10"/>
      <color rgb="FFFFFFFF"/>
      <name val="Arial"/>
      <family val="2"/>
    </font>
    <font>
      <sz val="9"/>
      <name val="Arial"/>
      <family val="2"/>
    </font>
    <font>
      <b/>
      <sz val="10"/>
      <color rgb="FF002060"/>
      <name val="Arial"/>
      <family val="2"/>
    </font>
    <font>
      <b/>
      <sz val="8"/>
      <color rgb="FF005F73"/>
      <name val="Arial"/>
      <family val="2"/>
    </font>
    <font>
      <b/>
      <sz val="8"/>
      <color rgb="FF8B4513"/>
      <name val="Arial"/>
      <family val="2"/>
    </font>
    <font>
      <sz val="9"/>
      <color rgb="FF0000FF"/>
      <name val="Arial"/>
      <family val="2"/>
    </font>
    <font>
      <b/>
      <sz val="9"/>
      <name val="Arial"/>
      <family val="2"/>
    </font>
    <font>
      <b/>
      <sz val="9"/>
      <color rgb="FF0000FF"/>
      <name val="Arial"/>
      <family val="2"/>
    </font>
    <font>
      <b/>
      <sz val="9"/>
      <color rgb="FFFFFFFF"/>
      <name val="Arial"/>
      <family val="2"/>
    </font>
    <font>
      <b/>
      <sz val="12"/>
      <color rgb="FF002060"/>
      <name val="Arial"/>
      <family val="2"/>
    </font>
    <font>
      <b/>
      <sz val="10"/>
      <name val="Arial"/>
      <family val="2"/>
    </font>
    <font>
      <b/>
      <sz val="9"/>
      <color rgb="FF00B0B9"/>
      <name val="Arial"/>
      <family val="2"/>
    </font>
    <font>
      <b/>
      <sz val="9"/>
      <color rgb="FF002060"/>
      <name val="Arial"/>
      <family val="2"/>
    </font>
    <font>
      <sz val="9"/>
      <color rgb="FFFF0000"/>
      <name val="Arial"/>
      <family val="2"/>
    </font>
  </fonts>
  <fills count="9">
    <fill>
      <patternFill patternType="none"/>
    </fill>
    <fill>
      <patternFill patternType="gray125"/>
    </fill>
    <fill>
      <patternFill patternType="solid">
        <fgColor rgb="FF002060"/>
        <bgColor rgb="FF000080"/>
      </patternFill>
    </fill>
    <fill>
      <patternFill patternType="solid">
        <fgColor rgb="FFF2F2F2"/>
        <bgColor rgb="FFE0F7FA"/>
      </patternFill>
    </fill>
    <fill>
      <patternFill patternType="solid">
        <fgColor rgb="FFFFF9C4"/>
        <bgColor rgb="FFFDEBD0"/>
      </patternFill>
    </fill>
    <fill>
      <patternFill patternType="solid">
        <fgColor rgb="FFD5F5E3"/>
        <bgColor rgb="FFE0F7FA"/>
      </patternFill>
    </fill>
    <fill>
      <patternFill patternType="solid">
        <fgColor rgb="FFFDEBD0"/>
        <bgColor rgb="FFFFF9C4"/>
      </patternFill>
    </fill>
    <fill>
      <patternFill patternType="solid">
        <fgColor rgb="FFE0F7FA"/>
        <bgColor rgb="FFD5F5E3"/>
      </patternFill>
    </fill>
    <fill>
      <patternFill patternType="solid">
        <fgColor rgb="FF005F73"/>
        <bgColor rgb="FF00808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6">
    <xf numFmtId="0" fontId="0" fillId="0" borderId="0" xfId="0"/>
    <xf numFmtId="0" fontId="10" fillId="0" borderId="0" xfId="0" applyFont="1"/>
    <xf numFmtId="0" fontId="1" fillId="2" borderId="1" xfId="0" applyFont="1" applyFill="1" applyBorder="1" applyAlignment="1">
      <alignment horizontal="center" wrapText="1"/>
    </xf>
    <xf numFmtId="0" fontId="2" fillId="3" borderId="1" xfId="0" applyFont="1" applyFill="1" applyBorder="1"/>
    <xf numFmtId="164" fontId="2" fillId="3" borderId="1" xfId="0" applyNumberFormat="1" applyFont="1" applyFill="1" applyBorder="1"/>
    <xf numFmtId="0" fontId="2" fillId="0" borderId="1" xfId="0" applyFont="1" applyBorder="1"/>
    <xf numFmtId="164" fontId="2" fillId="0" borderId="1" xfId="0" applyNumberFormat="1" applyFont="1" applyBorder="1"/>
    <xf numFmtId="0" fontId="3" fillId="4" borderId="1" xfId="0" applyFont="1" applyFill="1" applyBorder="1" applyAlignment="1">
      <alignment horizontal="center" wrapText="1"/>
    </xf>
    <xf numFmtId="0" fontId="4" fillId="5" borderId="1" xfId="0" applyFont="1" applyFill="1" applyBorder="1" applyAlignment="1">
      <alignment horizontal="center" textRotation="90" wrapText="1"/>
    </xf>
    <xf numFmtId="0" fontId="5" fillId="6" borderId="1" xfId="0" applyFont="1" applyFill="1" applyBorder="1" applyAlignment="1">
      <alignment horizontal="center" textRotation="90" wrapText="1"/>
    </xf>
    <xf numFmtId="0" fontId="6" fillId="0" borderId="1" xfId="0" applyFont="1" applyBorder="1"/>
    <xf numFmtId="0" fontId="6" fillId="0" borderId="1" xfId="0" applyFont="1" applyBorder="1" applyAlignment="1">
      <alignment horizontal="center"/>
    </xf>
    <xf numFmtId="0" fontId="7" fillId="3" borderId="1" xfId="0" applyFont="1" applyFill="1" applyBorder="1"/>
    <xf numFmtId="0" fontId="8" fillId="7" borderId="1" xfId="0" applyFont="1" applyFill="1" applyBorder="1" applyAlignment="1">
      <alignment horizontal="center"/>
    </xf>
    <xf numFmtId="0" fontId="9" fillId="8" borderId="1" xfId="0" applyFont="1" applyFill="1" applyBorder="1" applyAlignment="1">
      <alignment horizontal="center"/>
    </xf>
    <xf numFmtId="0" fontId="7" fillId="0" borderId="1" xfId="0" applyFont="1" applyBorder="1"/>
    <xf numFmtId="0" fontId="1" fillId="2" borderId="1" xfId="0" applyFont="1" applyFill="1" applyBorder="1" applyAlignment="1">
      <alignment horizontal="center" textRotation="90" wrapText="1"/>
    </xf>
    <xf numFmtId="0" fontId="1" fillId="2" borderId="1" xfId="0" applyFont="1" applyFill="1" applyBorder="1" applyAlignment="1">
      <alignment horizontal="center"/>
    </xf>
    <xf numFmtId="0" fontId="11" fillId="7" borderId="1" xfId="0" applyFont="1" applyFill="1" applyBorder="1"/>
    <xf numFmtId="0" fontId="1" fillId="8" borderId="1" xfId="0" applyFont="1" applyFill="1" applyBorder="1"/>
    <xf numFmtId="0" fontId="12" fillId="3" borderId="1" xfId="0" applyFont="1" applyFill="1" applyBorder="1"/>
    <xf numFmtId="0" fontId="6" fillId="3" borderId="1" xfId="0" applyFont="1" applyFill="1" applyBorder="1"/>
    <xf numFmtId="0" fontId="12" fillId="0" borderId="1" xfId="0" applyFont="1" applyBorder="1"/>
    <xf numFmtId="0" fontId="13" fillId="3" borderId="1" xfId="0" applyFont="1" applyFill="1" applyBorder="1"/>
    <xf numFmtId="0" fontId="13" fillId="0" borderId="1" xfId="0" applyFont="1" applyBorder="1"/>
    <xf numFmtId="0" fontId="14"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5F73"/>
      <rgbColor rgb="FFC0C0C0"/>
      <rgbColor rgb="FF808080"/>
      <rgbColor rgb="FF9999FF"/>
      <rgbColor rgb="FF993366"/>
      <rgbColor rgb="FFFFF9C4"/>
      <rgbColor rgb="FFE0F7FA"/>
      <rgbColor rgb="FF660066"/>
      <rgbColor rgb="FFFF8080"/>
      <rgbColor rgb="FF0066CC"/>
      <rgbColor rgb="FFD9D9D9"/>
      <rgbColor rgb="FF000080"/>
      <rgbColor rgb="FFFF00FF"/>
      <rgbColor rgb="FFFFFF00"/>
      <rgbColor rgb="FF00FFFF"/>
      <rgbColor rgb="FF800080"/>
      <rgbColor rgb="FF800000"/>
      <rgbColor rgb="FF008080"/>
      <rgbColor rgb="FF0000FF"/>
      <rgbColor rgb="FF00B0B9"/>
      <rgbColor rgb="FFF2F2F2"/>
      <rgbColor rgb="FFD5F5E3"/>
      <rgbColor rgb="FFFDEBD0"/>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8B4513"/>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113"/>
  <sheetViews>
    <sheetView zoomScaleNormal="100" workbookViewId="0">
      <pane ySplit="1" topLeftCell="A2" activePane="bottomLeft" state="frozen"/>
      <selection pane="bottomLeft" activeCell="E43" sqref="E43"/>
    </sheetView>
  </sheetViews>
  <sheetFormatPr baseColWidth="10" defaultColWidth="8.6640625" defaultRowHeight="15" customHeight="1" x14ac:dyDescent="0.2"/>
  <sheetData>
    <row r="1" spans="1:105" ht="90.7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row>
    <row r="2" spans="1:105" ht="15" customHeight="1" x14ac:dyDescent="0.2">
      <c r="A2" s="3" t="s">
        <v>105</v>
      </c>
      <c r="B2" s="3" t="s">
        <v>106</v>
      </c>
      <c r="C2" s="3" t="s">
        <v>106</v>
      </c>
      <c r="D2" s="3" t="s">
        <v>107</v>
      </c>
      <c r="E2" s="3" t="s">
        <v>108</v>
      </c>
      <c r="F2" s="3" t="s">
        <v>109</v>
      </c>
      <c r="G2" s="3" t="s">
        <v>110</v>
      </c>
      <c r="H2" s="3" t="s">
        <v>111</v>
      </c>
      <c r="I2" s="3" t="s">
        <v>112</v>
      </c>
      <c r="J2" s="3" t="s">
        <v>113</v>
      </c>
      <c r="K2" s="3" t="s">
        <v>114</v>
      </c>
      <c r="L2" s="3" t="s">
        <v>115</v>
      </c>
      <c r="M2" s="3" t="s">
        <v>114</v>
      </c>
      <c r="N2" s="3" t="s">
        <v>114</v>
      </c>
      <c r="O2" s="3" t="s">
        <v>114</v>
      </c>
      <c r="P2" s="3" t="s">
        <v>114</v>
      </c>
      <c r="Q2" s="3" t="s">
        <v>116</v>
      </c>
      <c r="R2" s="3"/>
      <c r="S2" s="3" t="s">
        <v>117</v>
      </c>
      <c r="T2" s="3" t="s">
        <v>118</v>
      </c>
      <c r="U2" s="3" t="s">
        <v>119</v>
      </c>
      <c r="V2" s="3" t="s">
        <v>119</v>
      </c>
      <c r="W2" s="3" t="s">
        <v>120</v>
      </c>
      <c r="X2" s="3"/>
      <c r="Y2" s="3"/>
      <c r="Z2" s="3" t="s">
        <v>119</v>
      </c>
      <c r="AA2" s="3" t="s">
        <v>121</v>
      </c>
      <c r="AB2" s="3" t="s">
        <v>122</v>
      </c>
      <c r="AC2" s="3" t="s">
        <v>123</v>
      </c>
      <c r="AD2" s="3" t="s">
        <v>124</v>
      </c>
      <c r="AE2" s="3" t="s">
        <v>125</v>
      </c>
      <c r="AF2" s="3" t="s">
        <v>126</v>
      </c>
      <c r="AG2" s="3" t="s">
        <v>127</v>
      </c>
      <c r="AH2" s="3" t="s">
        <v>128</v>
      </c>
      <c r="AI2" s="3" t="s">
        <v>128</v>
      </c>
      <c r="AJ2" s="3"/>
      <c r="AK2" s="3" t="s">
        <v>129</v>
      </c>
      <c r="AL2" s="3"/>
      <c r="AM2" s="3">
        <v>20</v>
      </c>
      <c r="AN2" s="3" t="s">
        <v>130</v>
      </c>
      <c r="AO2" s="3"/>
      <c r="AP2" s="3" t="s">
        <v>130</v>
      </c>
      <c r="AQ2" s="3"/>
      <c r="AR2" s="3" t="s">
        <v>129</v>
      </c>
      <c r="AS2" s="3">
        <v>1.7</v>
      </c>
      <c r="AT2" s="3">
        <v>0.66</v>
      </c>
      <c r="AU2" s="3" t="s">
        <v>131</v>
      </c>
      <c r="AV2" s="3" t="s">
        <v>131</v>
      </c>
      <c r="AW2" s="3"/>
      <c r="AX2" s="3" t="s">
        <v>129</v>
      </c>
      <c r="AY2" s="3"/>
      <c r="AZ2" s="3">
        <v>2</v>
      </c>
      <c r="BA2" s="3">
        <v>0.79</v>
      </c>
      <c r="BB2" s="3" t="s">
        <v>132</v>
      </c>
      <c r="BC2" s="3">
        <v>842</v>
      </c>
      <c r="BD2" s="4">
        <v>37469</v>
      </c>
      <c r="BE2" s="4">
        <v>38687</v>
      </c>
      <c r="BF2" s="3"/>
      <c r="BG2" s="3"/>
      <c r="BH2" s="3"/>
      <c r="BI2" s="4">
        <v>38818</v>
      </c>
      <c r="BJ2" s="4">
        <v>39001</v>
      </c>
      <c r="BK2" s="3">
        <v>6</v>
      </c>
      <c r="BL2" s="3"/>
      <c r="BM2" s="3"/>
      <c r="BN2" s="3"/>
      <c r="BO2" s="3"/>
      <c r="BP2" s="3"/>
      <c r="BQ2" s="3"/>
      <c r="BR2" s="3"/>
      <c r="BS2" s="3"/>
      <c r="BT2" s="3"/>
      <c r="BU2" s="3" t="s">
        <v>133</v>
      </c>
      <c r="BV2" s="3" t="s">
        <v>134</v>
      </c>
      <c r="BW2" s="3" t="s">
        <v>135</v>
      </c>
      <c r="BX2" s="4">
        <v>38961</v>
      </c>
      <c r="BY2" s="3"/>
      <c r="BZ2" s="3" t="s">
        <v>136</v>
      </c>
      <c r="CA2" s="3" t="s">
        <v>137</v>
      </c>
      <c r="CB2" s="3"/>
      <c r="CC2" s="3"/>
      <c r="CD2" s="3"/>
      <c r="CE2" s="3"/>
      <c r="CF2" s="3"/>
      <c r="CG2" s="3"/>
      <c r="CH2" s="3"/>
      <c r="CI2" s="3"/>
      <c r="CJ2" s="3"/>
      <c r="CK2" s="3"/>
      <c r="CL2" s="3"/>
      <c r="CM2" s="3"/>
      <c r="CN2" s="3"/>
      <c r="CO2" s="3"/>
      <c r="CP2" s="3"/>
      <c r="CQ2" s="3"/>
      <c r="CR2" s="3"/>
      <c r="CS2" s="3"/>
      <c r="CT2" s="3"/>
      <c r="CU2" s="3"/>
      <c r="CV2" s="3"/>
      <c r="CW2" s="3"/>
      <c r="CX2" s="3"/>
      <c r="CY2" s="3"/>
      <c r="CZ2" s="3"/>
      <c r="DA2" s="3"/>
    </row>
    <row r="3" spans="1:105" ht="15" customHeight="1" x14ac:dyDescent="0.2">
      <c r="A3" s="5" t="s">
        <v>138</v>
      </c>
      <c r="B3" s="5" t="s">
        <v>139</v>
      </c>
      <c r="C3" s="5" t="s">
        <v>139</v>
      </c>
      <c r="D3" s="5" t="s">
        <v>140</v>
      </c>
      <c r="E3" s="5" t="s">
        <v>140</v>
      </c>
      <c r="F3" s="5" t="s">
        <v>140</v>
      </c>
      <c r="G3" s="5" t="s">
        <v>110</v>
      </c>
      <c r="H3" s="5" t="s">
        <v>111</v>
      </c>
      <c r="I3" s="5"/>
      <c r="J3" s="5" t="s">
        <v>113</v>
      </c>
      <c r="K3" s="5" t="s">
        <v>114</v>
      </c>
      <c r="L3" s="5" t="s">
        <v>115</v>
      </c>
      <c r="M3" s="5" t="s">
        <v>114</v>
      </c>
      <c r="N3" s="5" t="s">
        <v>114</v>
      </c>
      <c r="O3" s="5" t="s">
        <v>114</v>
      </c>
      <c r="P3" s="5" t="s">
        <v>114</v>
      </c>
      <c r="Q3" s="5" t="s">
        <v>141</v>
      </c>
      <c r="R3" s="5"/>
      <c r="S3" s="5" t="s">
        <v>142</v>
      </c>
      <c r="T3" s="5" t="s">
        <v>143</v>
      </c>
      <c r="U3" s="5" t="s">
        <v>119</v>
      </c>
      <c r="V3" s="5" t="s">
        <v>119</v>
      </c>
      <c r="W3" s="5" t="s">
        <v>120</v>
      </c>
      <c r="X3" s="5"/>
      <c r="Y3" s="5"/>
      <c r="Z3" s="5" t="s">
        <v>119</v>
      </c>
      <c r="AA3" s="5" t="s">
        <v>144</v>
      </c>
      <c r="AB3" s="5" t="s">
        <v>122</v>
      </c>
      <c r="AC3" s="5" t="s">
        <v>123</v>
      </c>
      <c r="AD3" s="5" t="s">
        <v>145</v>
      </c>
      <c r="AE3" s="5" t="s">
        <v>146</v>
      </c>
      <c r="AF3" s="5" t="s">
        <v>147</v>
      </c>
      <c r="AG3" s="5" t="s">
        <v>148</v>
      </c>
      <c r="AH3" s="5" t="s">
        <v>149</v>
      </c>
      <c r="AI3" s="5" t="s">
        <v>149</v>
      </c>
      <c r="AJ3" s="5"/>
      <c r="AK3" s="5" t="s">
        <v>150</v>
      </c>
      <c r="AL3" s="5"/>
      <c r="AM3" s="5">
        <v>2</v>
      </c>
      <c r="AN3" s="5" t="s">
        <v>151</v>
      </c>
      <c r="AO3" s="5"/>
      <c r="AP3" s="5" t="s">
        <v>151</v>
      </c>
      <c r="AQ3" s="5"/>
      <c r="AR3" s="5" t="s">
        <v>150</v>
      </c>
      <c r="AS3" s="5">
        <v>-0.3</v>
      </c>
      <c r="AT3" s="5">
        <v>1.04</v>
      </c>
      <c r="AU3" s="5" t="s">
        <v>152</v>
      </c>
      <c r="AV3" s="5" t="s">
        <v>152</v>
      </c>
      <c r="AW3" s="5"/>
      <c r="AX3" s="5" t="s">
        <v>150</v>
      </c>
      <c r="AY3" s="5"/>
      <c r="AZ3" s="5">
        <v>0</v>
      </c>
      <c r="BA3" s="5">
        <v>0.94</v>
      </c>
      <c r="BB3" s="5" t="s">
        <v>132</v>
      </c>
      <c r="BC3" s="5">
        <v>1713</v>
      </c>
      <c r="BD3" s="6">
        <v>38169</v>
      </c>
      <c r="BE3" s="6">
        <v>39083</v>
      </c>
      <c r="BF3" s="5"/>
      <c r="BG3" s="5"/>
      <c r="BH3" s="5"/>
      <c r="BI3" s="6">
        <v>39321</v>
      </c>
      <c r="BJ3" s="6">
        <v>39717</v>
      </c>
      <c r="BK3" s="5">
        <v>13</v>
      </c>
      <c r="BL3" s="5"/>
      <c r="BM3" s="5"/>
      <c r="BN3" s="5"/>
      <c r="BO3" s="5"/>
      <c r="BP3" s="5"/>
      <c r="BQ3" s="5"/>
      <c r="BR3" s="5"/>
      <c r="BS3" s="5"/>
      <c r="BT3" s="5"/>
      <c r="BU3" s="5" t="s">
        <v>153</v>
      </c>
      <c r="BV3" s="5" t="s">
        <v>154</v>
      </c>
      <c r="BW3" s="5" t="s">
        <v>155</v>
      </c>
      <c r="BX3" s="6">
        <v>39083</v>
      </c>
      <c r="BY3" s="6">
        <v>39508</v>
      </c>
      <c r="BZ3" s="5" t="s">
        <v>136</v>
      </c>
      <c r="CA3" s="5" t="s">
        <v>137</v>
      </c>
      <c r="CB3" s="5"/>
      <c r="CC3" s="5"/>
      <c r="CD3" s="5"/>
      <c r="CE3" s="5"/>
      <c r="CF3" s="5"/>
      <c r="CG3" s="5"/>
      <c r="CH3" s="5"/>
      <c r="CI3" s="5"/>
      <c r="CJ3" s="5"/>
      <c r="CK3" s="5"/>
      <c r="CL3" s="5"/>
      <c r="CM3" s="5"/>
      <c r="CN3" s="5"/>
      <c r="CO3" s="5"/>
      <c r="CP3" s="5"/>
      <c r="CQ3" s="5"/>
      <c r="CR3" s="5"/>
      <c r="CS3" s="5"/>
      <c r="CT3" s="5"/>
      <c r="CU3" s="5"/>
      <c r="CV3" s="5"/>
      <c r="CW3" s="5"/>
      <c r="CX3" s="5"/>
      <c r="CY3" s="5"/>
      <c r="CZ3" s="5"/>
      <c r="DA3" s="5"/>
    </row>
    <row r="4" spans="1:105" ht="15" customHeight="1" x14ac:dyDescent="0.2">
      <c r="A4" s="3" t="s">
        <v>156</v>
      </c>
      <c r="B4" s="3" t="s">
        <v>157</v>
      </c>
      <c r="C4" s="3" t="s">
        <v>157</v>
      </c>
      <c r="D4" s="3" t="s">
        <v>107</v>
      </c>
      <c r="E4" s="3" t="s">
        <v>108</v>
      </c>
      <c r="F4" s="3" t="s">
        <v>158</v>
      </c>
      <c r="G4" s="3" t="s">
        <v>110</v>
      </c>
      <c r="H4" s="3" t="s">
        <v>111</v>
      </c>
      <c r="I4" s="3"/>
      <c r="J4" s="3" t="s">
        <v>113</v>
      </c>
      <c r="K4" s="3" t="s">
        <v>115</v>
      </c>
      <c r="L4" s="3" t="s">
        <v>115</v>
      </c>
      <c r="M4" s="3" t="s">
        <v>115</v>
      </c>
      <c r="N4" s="3" t="s">
        <v>115</v>
      </c>
      <c r="O4" s="3" t="s">
        <v>115</v>
      </c>
      <c r="P4" s="3" t="s">
        <v>114</v>
      </c>
      <c r="Q4" s="3" t="s">
        <v>159</v>
      </c>
      <c r="R4" s="3" t="s">
        <v>160</v>
      </c>
      <c r="S4" s="3" t="s">
        <v>161</v>
      </c>
      <c r="T4" s="3" t="s">
        <v>162</v>
      </c>
      <c r="U4" s="3" t="s">
        <v>119</v>
      </c>
      <c r="V4" s="3" t="s">
        <v>119</v>
      </c>
      <c r="W4" s="3" t="s">
        <v>120</v>
      </c>
      <c r="X4" s="3"/>
      <c r="Y4" s="3"/>
      <c r="Z4" s="3" t="s">
        <v>119</v>
      </c>
      <c r="AA4" s="3" t="s">
        <v>163</v>
      </c>
      <c r="AB4" s="3" t="s">
        <v>122</v>
      </c>
      <c r="AC4" s="3" t="s">
        <v>123</v>
      </c>
      <c r="AD4" s="3" t="s">
        <v>145</v>
      </c>
      <c r="AE4" s="3" t="s">
        <v>164</v>
      </c>
      <c r="AF4" s="3" t="s">
        <v>165</v>
      </c>
      <c r="AG4" s="3" t="s">
        <v>166</v>
      </c>
      <c r="AH4" s="3" t="s">
        <v>167</v>
      </c>
      <c r="AI4" s="3" t="s">
        <v>168</v>
      </c>
      <c r="AJ4" s="3" t="s">
        <v>169</v>
      </c>
      <c r="AK4" s="3" t="s">
        <v>170</v>
      </c>
      <c r="AL4" s="3" t="s">
        <v>170</v>
      </c>
      <c r="AM4" s="3">
        <v>49</v>
      </c>
      <c r="AN4" s="3" t="s">
        <v>171</v>
      </c>
      <c r="AO4" s="3"/>
      <c r="AP4" s="3" t="s">
        <v>171</v>
      </c>
      <c r="AQ4" s="3"/>
      <c r="AR4" s="3" t="s">
        <v>170</v>
      </c>
      <c r="AS4" s="3">
        <v>5.2</v>
      </c>
      <c r="AT4" s="3">
        <v>0.34</v>
      </c>
      <c r="AU4" s="3" t="s">
        <v>172</v>
      </c>
      <c r="AV4" s="3" t="s">
        <v>173</v>
      </c>
      <c r="AW4" s="3" t="s">
        <v>174</v>
      </c>
      <c r="AX4" s="3" t="s">
        <v>175</v>
      </c>
      <c r="AY4" s="3" t="s">
        <v>175</v>
      </c>
      <c r="AZ4" s="3">
        <v>3.5</v>
      </c>
      <c r="BA4" s="3">
        <v>0.92</v>
      </c>
      <c r="BB4" s="3" t="s">
        <v>132</v>
      </c>
      <c r="BC4" s="3">
        <v>174</v>
      </c>
      <c r="BD4" s="4">
        <v>39128</v>
      </c>
      <c r="BE4" s="4">
        <v>40148</v>
      </c>
      <c r="BF4" s="4">
        <v>40346</v>
      </c>
      <c r="BG4" s="4">
        <v>40787</v>
      </c>
      <c r="BH4" s="3">
        <v>14.5</v>
      </c>
      <c r="BI4" s="4">
        <v>41250</v>
      </c>
      <c r="BJ4" s="4">
        <v>41408</v>
      </c>
      <c r="BK4" s="3">
        <v>5.2</v>
      </c>
      <c r="BL4" s="4">
        <v>42349</v>
      </c>
      <c r="BM4" s="4">
        <v>42814</v>
      </c>
      <c r="BN4" s="3">
        <v>15.2</v>
      </c>
      <c r="BO4" s="4">
        <v>41439</v>
      </c>
      <c r="BP4" s="4">
        <v>41086</v>
      </c>
      <c r="BQ4" s="3">
        <v>11.6</v>
      </c>
      <c r="BR4" s="4">
        <v>40346</v>
      </c>
      <c r="BS4" s="4">
        <v>40787</v>
      </c>
      <c r="BT4" s="3">
        <v>14.5</v>
      </c>
      <c r="BU4" s="3" t="s">
        <v>176</v>
      </c>
      <c r="BV4" s="3" t="s">
        <v>177</v>
      </c>
      <c r="BW4" s="3" t="s">
        <v>178</v>
      </c>
      <c r="BX4" s="4">
        <v>41010</v>
      </c>
      <c r="BY4" s="4">
        <v>41244</v>
      </c>
      <c r="BZ4" s="3" t="s">
        <v>136</v>
      </c>
      <c r="CA4" s="3" t="s">
        <v>137</v>
      </c>
      <c r="CB4" s="3" t="s">
        <v>179</v>
      </c>
      <c r="CC4" s="3"/>
      <c r="CD4" s="3" t="s">
        <v>180</v>
      </c>
      <c r="CE4" s="3" t="s">
        <v>179</v>
      </c>
      <c r="CF4" s="3"/>
      <c r="CG4" s="3"/>
      <c r="CH4" s="3"/>
      <c r="CI4" s="3"/>
      <c r="CJ4" s="3"/>
      <c r="CK4" s="3"/>
      <c r="CL4" s="3"/>
      <c r="CM4" s="3"/>
      <c r="CN4" s="3"/>
      <c r="CO4" s="3"/>
      <c r="CP4" s="3"/>
      <c r="CQ4" s="3"/>
      <c r="CR4" s="3"/>
      <c r="CS4" s="3"/>
      <c r="CT4" s="3"/>
      <c r="CU4" s="3"/>
      <c r="CV4" s="3"/>
      <c r="CW4" s="3"/>
      <c r="CX4" s="3"/>
      <c r="CY4" s="3"/>
      <c r="CZ4" s="3"/>
      <c r="DA4" s="3"/>
    </row>
    <row r="5" spans="1:105" ht="15" customHeight="1" x14ac:dyDescent="0.2">
      <c r="A5" s="5" t="s">
        <v>138</v>
      </c>
      <c r="B5" s="5" t="s">
        <v>139</v>
      </c>
      <c r="C5" s="5" t="s">
        <v>139</v>
      </c>
      <c r="D5" s="5" t="s">
        <v>140</v>
      </c>
      <c r="E5" s="5" t="s">
        <v>140</v>
      </c>
      <c r="F5" s="5" t="s">
        <v>140</v>
      </c>
      <c r="G5" s="5" t="s">
        <v>110</v>
      </c>
      <c r="H5" s="5" t="s">
        <v>111</v>
      </c>
      <c r="I5" s="5" t="s">
        <v>181</v>
      </c>
      <c r="J5" s="5" t="s">
        <v>113</v>
      </c>
      <c r="K5" s="5" t="s">
        <v>115</v>
      </c>
      <c r="L5" s="5" t="s">
        <v>115</v>
      </c>
      <c r="M5" s="5" t="s">
        <v>114</v>
      </c>
      <c r="N5" s="5" t="s">
        <v>114</v>
      </c>
      <c r="O5" s="5" t="s">
        <v>115</v>
      </c>
      <c r="P5" s="5" t="s">
        <v>114</v>
      </c>
      <c r="Q5" s="5" t="s">
        <v>182</v>
      </c>
      <c r="R5" s="5"/>
      <c r="S5" s="5" t="s">
        <v>142</v>
      </c>
      <c r="T5" s="5" t="s">
        <v>143</v>
      </c>
      <c r="U5" s="5" t="s">
        <v>119</v>
      </c>
      <c r="V5" s="5" t="s">
        <v>119</v>
      </c>
      <c r="W5" s="5" t="s">
        <v>120</v>
      </c>
      <c r="X5" s="5"/>
      <c r="Y5" s="5"/>
      <c r="Z5" s="5" t="s">
        <v>119</v>
      </c>
      <c r="AA5" s="5" t="s">
        <v>144</v>
      </c>
      <c r="AB5" s="5" t="s">
        <v>122</v>
      </c>
      <c r="AC5" s="5" t="s">
        <v>123</v>
      </c>
      <c r="AD5" s="5" t="s">
        <v>145</v>
      </c>
      <c r="AE5" s="5" t="s">
        <v>183</v>
      </c>
      <c r="AF5" s="5" t="s">
        <v>184</v>
      </c>
      <c r="AG5" s="5" t="s">
        <v>166</v>
      </c>
      <c r="AH5" s="5"/>
      <c r="AI5" s="5"/>
      <c r="AJ5" s="5"/>
      <c r="AK5" s="5"/>
      <c r="AL5" s="5"/>
      <c r="AM5" s="5">
        <v>0</v>
      </c>
      <c r="AN5" s="5" t="s">
        <v>185</v>
      </c>
      <c r="AO5" s="5"/>
      <c r="AP5" s="5" t="s">
        <v>185</v>
      </c>
      <c r="AQ5" s="5"/>
      <c r="AR5" s="5" t="s">
        <v>186</v>
      </c>
      <c r="AS5" s="5">
        <v>1.3</v>
      </c>
      <c r="AT5" s="5">
        <v>0.6</v>
      </c>
      <c r="AU5" s="5" t="s">
        <v>187</v>
      </c>
      <c r="AV5" s="5" t="s">
        <v>187</v>
      </c>
      <c r="AW5" s="5"/>
      <c r="AX5" s="5" t="s">
        <v>186</v>
      </c>
      <c r="AY5" s="5"/>
      <c r="AZ5" s="5">
        <v>2.9</v>
      </c>
      <c r="BA5" s="5">
        <v>0.78</v>
      </c>
      <c r="BB5" s="5" t="s">
        <v>132</v>
      </c>
      <c r="BC5" s="5">
        <v>939</v>
      </c>
      <c r="BD5" s="6">
        <v>39753</v>
      </c>
      <c r="BE5" s="6">
        <v>40330</v>
      </c>
      <c r="BF5" s="6">
        <v>40582</v>
      </c>
      <c r="BG5" s="6">
        <v>40817</v>
      </c>
      <c r="BH5" s="5">
        <v>7.7</v>
      </c>
      <c r="BI5" s="6">
        <v>40893</v>
      </c>
      <c r="BJ5" s="6">
        <v>41199</v>
      </c>
      <c r="BK5" s="5">
        <v>10</v>
      </c>
      <c r="BL5" s="5"/>
      <c r="BM5" s="5"/>
      <c r="BN5" s="5"/>
      <c r="BO5" s="5"/>
      <c r="BP5" s="5"/>
      <c r="BQ5" s="5"/>
      <c r="BR5" s="6">
        <v>40582</v>
      </c>
      <c r="BS5" s="6">
        <v>40817</v>
      </c>
      <c r="BT5" s="5">
        <v>7.7</v>
      </c>
      <c r="BU5" s="5" t="s">
        <v>188</v>
      </c>
      <c r="BV5" s="5" t="s">
        <v>189</v>
      </c>
      <c r="BW5" s="5" t="s">
        <v>190</v>
      </c>
      <c r="BX5" s="6">
        <v>40330</v>
      </c>
      <c r="BY5" s="6">
        <v>43040</v>
      </c>
      <c r="BZ5" s="5" t="s">
        <v>136</v>
      </c>
      <c r="CA5" s="5" t="s">
        <v>191</v>
      </c>
      <c r="CB5" s="5"/>
      <c r="CC5" s="5"/>
      <c r="CD5" s="5"/>
      <c r="CE5" s="5"/>
      <c r="CF5" s="5"/>
      <c r="CG5" s="5"/>
      <c r="CH5" s="5"/>
      <c r="CI5" s="5"/>
      <c r="CJ5" s="5"/>
      <c r="CK5" s="5"/>
      <c r="CL5" s="5"/>
      <c r="CM5" s="5"/>
      <c r="CN5" s="5"/>
      <c r="CO5" s="5"/>
      <c r="CP5" s="5"/>
      <c r="CQ5" s="5"/>
      <c r="CR5" s="5"/>
      <c r="CS5" s="5"/>
      <c r="CT5" s="5"/>
      <c r="CU5" s="5"/>
      <c r="CV5" s="5"/>
      <c r="CW5" s="5"/>
      <c r="CX5" s="5"/>
      <c r="CY5" s="5"/>
      <c r="CZ5" s="5"/>
      <c r="DA5" s="5"/>
    </row>
    <row r="6" spans="1:105" ht="15" customHeight="1" x14ac:dyDescent="0.2">
      <c r="A6" s="3" t="s">
        <v>192</v>
      </c>
      <c r="B6" s="3" t="s">
        <v>193</v>
      </c>
      <c r="C6" s="3" t="s">
        <v>193</v>
      </c>
      <c r="D6" s="3" t="s">
        <v>194</v>
      </c>
      <c r="E6" s="3" t="s">
        <v>194</v>
      </c>
      <c r="F6" s="3" t="s">
        <v>194</v>
      </c>
      <c r="G6" s="3" t="s">
        <v>110</v>
      </c>
      <c r="H6" s="3" t="s">
        <v>111</v>
      </c>
      <c r="I6" s="3"/>
      <c r="J6" s="3" t="s">
        <v>113</v>
      </c>
      <c r="K6" s="3" t="s">
        <v>115</v>
      </c>
      <c r="L6" s="3" t="s">
        <v>115</v>
      </c>
      <c r="M6" s="3" t="s">
        <v>114</v>
      </c>
      <c r="N6" s="3" t="s">
        <v>114</v>
      </c>
      <c r="O6" s="3" t="s">
        <v>115</v>
      </c>
      <c r="P6" s="3" t="s">
        <v>114</v>
      </c>
      <c r="Q6" s="3" t="s">
        <v>195</v>
      </c>
      <c r="R6" s="3"/>
      <c r="S6" s="3" t="s">
        <v>196</v>
      </c>
      <c r="T6" s="3"/>
      <c r="U6" s="3" t="s">
        <v>119</v>
      </c>
      <c r="V6" s="3" t="s">
        <v>119</v>
      </c>
      <c r="W6" s="3" t="s">
        <v>120</v>
      </c>
      <c r="X6" s="3"/>
      <c r="Y6" s="3"/>
      <c r="Z6" s="3" t="s">
        <v>119</v>
      </c>
      <c r="AA6" s="3" t="s">
        <v>144</v>
      </c>
      <c r="AB6" s="3" t="s">
        <v>122</v>
      </c>
      <c r="AC6" s="3" t="s">
        <v>123</v>
      </c>
      <c r="AD6" s="3" t="s">
        <v>127</v>
      </c>
      <c r="AE6" s="3" t="s">
        <v>197</v>
      </c>
      <c r="AF6" s="3" t="s">
        <v>198</v>
      </c>
      <c r="AG6" s="3" t="s">
        <v>33</v>
      </c>
      <c r="AH6" s="3" t="s">
        <v>199</v>
      </c>
      <c r="AI6" s="3" t="s">
        <v>200</v>
      </c>
      <c r="AJ6" s="3" t="s">
        <v>201</v>
      </c>
      <c r="AK6" s="3"/>
      <c r="AL6" s="3"/>
      <c r="AM6" s="3">
        <v>8</v>
      </c>
      <c r="AN6" s="3" t="s">
        <v>202</v>
      </c>
      <c r="AO6" s="3">
        <v>6.8</v>
      </c>
      <c r="AP6" s="3" t="s">
        <v>203</v>
      </c>
      <c r="AQ6" s="3"/>
      <c r="AR6" s="3"/>
      <c r="AS6" s="3">
        <v>0.3</v>
      </c>
      <c r="AT6" s="3">
        <v>0.95</v>
      </c>
      <c r="AU6" s="3" t="s">
        <v>204</v>
      </c>
      <c r="AV6" s="3" t="s">
        <v>205</v>
      </c>
      <c r="AW6" s="3" t="s">
        <v>206</v>
      </c>
      <c r="AX6" s="3"/>
      <c r="AY6" s="3"/>
      <c r="AZ6" s="3">
        <v>0.9</v>
      </c>
      <c r="BA6" s="3">
        <v>0.92</v>
      </c>
      <c r="BB6" s="3" t="s">
        <v>132</v>
      </c>
      <c r="BC6" s="3">
        <v>1052</v>
      </c>
      <c r="BD6" s="4">
        <v>39387</v>
      </c>
      <c r="BE6" s="4">
        <v>40695</v>
      </c>
      <c r="BF6" s="4">
        <v>41796</v>
      </c>
      <c r="BG6" s="4">
        <v>42064</v>
      </c>
      <c r="BH6" s="3">
        <v>8.8000000000000007</v>
      </c>
      <c r="BI6" s="4">
        <v>40886</v>
      </c>
      <c r="BJ6" s="4">
        <v>41193</v>
      </c>
      <c r="BK6" s="3">
        <v>10.1</v>
      </c>
      <c r="BL6" s="3"/>
      <c r="BM6" s="3"/>
      <c r="BN6" s="3"/>
      <c r="BO6" s="3"/>
      <c r="BP6" s="3"/>
      <c r="BQ6" s="3"/>
      <c r="BR6" s="4">
        <v>41796</v>
      </c>
      <c r="BS6" s="4">
        <v>42064</v>
      </c>
      <c r="BT6" s="3">
        <v>8.8000000000000007</v>
      </c>
      <c r="BU6" s="3" t="s">
        <v>207</v>
      </c>
      <c r="BV6" s="3" t="s">
        <v>208</v>
      </c>
      <c r="BW6" s="3" t="s">
        <v>209</v>
      </c>
      <c r="BX6" s="4">
        <v>40087</v>
      </c>
      <c r="BY6" s="4">
        <v>41306</v>
      </c>
      <c r="BZ6" s="3" t="s">
        <v>136</v>
      </c>
      <c r="CA6" s="3" t="s">
        <v>137</v>
      </c>
      <c r="CB6" s="3"/>
      <c r="CC6" s="3"/>
      <c r="CD6" s="3" t="s">
        <v>210</v>
      </c>
      <c r="CE6" s="3"/>
      <c r="CF6" s="3"/>
      <c r="CG6" s="3"/>
      <c r="CH6" s="3"/>
      <c r="CI6" s="3"/>
      <c r="CJ6" s="3"/>
      <c r="CK6" s="3"/>
      <c r="CL6" s="3"/>
      <c r="CM6" s="3"/>
      <c r="CN6" s="3"/>
      <c r="CO6" s="3"/>
      <c r="CP6" s="3"/>
      <c r="CQ6" s="3"/>
      <c r="CR6" s="3"/>
      <c r="CS6" s="3"/>
      <c r="CT6" s="3"/>
      <c r="CU6" s="3"/>
      <c r="CV6" s="3"/>
      <c r="CW6" s="3"/>
      <c r="CX6" s="3"/>
      <c r="CY6" s="3"/>
      <c r="CZ6" s="3"/>
      <c r="DA6" s="3"/>
    </row>
    <row r="7" spans="1:105" ht="15" customHeight="1" x14ac:dyDescent="0.2">
      <c r="A7" s="5" t="s">
        <v>211</v>
      </c>
      <c r="B7" s="5" t="s">
        <v>212</v>
      </c>
      <c r="C7" s="5" t="s">
        <v>213</v>
      </c>
      <c r="D7" s="5" t="s">
        <v>214</v>
      </c>
      <c r="E7" s="5" t="s">
        <v>214</v>
      </c>
      <c r="F7" s="5" t="s">
        <v>214</v>
      </c>
      <c r="G7" s="5" t="s">
        <v>110</v>
      </c>
      <c r="H7" s="5" t="s">
        <v>111</v>
      </c>
      <c r="I7" s="5"/>
      <c r="J7" s="5" t="s">
        <v>113</v>
      </c>
      <c r="K7" s="5" t="s">
        <v>115</v>
      </c>
      <c r="L7" s="5" t="s">
        <v>115</v>
      </c>
      <c r="M7" s="5" t="s">
        <v>115</v>
      </c>
      <c r="N7" s="5" t="s">
        <v>115</v>
      </c>
      <c r="O7" s="5" t="s">
        <v>115</v>
      </c>
      <c r="P7" s="5" t="s">
        <v>114</v>
      </c>
      <c r="Q7" s="5" t="s">
        <v>215</v>
      </c>
      <c r="R7" s="5"/>
      <c r="S7" s="5" t="s">
        <v>161</v>
      </c>
      <c r="T7" s="5" t="s">
        <v>216</v>
      </c>
      <c r="U7" s="5" t="s">
        <v>119</v>
      </c>
      <c r="V7" s="5" t="s">
        <v>119</v>
      </c>
      <c r="W7" s="5" t="s">
        <v>120</v>
      </c>
      <c r="X7" s="5"/>
      <c r="Y7" s="5"/>
      <c r="Z7" s="5" t="s">
        <v>119</v>
      </c>
      <c r="AA7" s="5" t="s">
        <v>144</v>
      </c>
      <c r="AB7" s="5" t="s">
        <v>122</v>
      </c>
      <c r="AC7" s="5" t="s">
        <v>217</v>
      </c>
      <c r="AD7" s="5" t="s">
        <v>145</v>
      </c>
      <c r="AE7" s="5" t="s">
        <v>218</v>
      </c>
      <c r="AF7" s="5" t="s">
        <v>219</v>
      </c>
      <c r="AG7" s="5" t="s">
        <v>166</v>
      </c>
      <c r="AH7" s="5" t="s">
        <v>220</v>
      </c>
      <c r="AI7" s="5" t="s">
        <v>221</v>
      </c>
      <c r="AJ7" s="5" t="s">
        <v>222</v>
      </c>
      <c r="AK7" s="5"/>
      <c r="AL7" s="5"/>
      <c r="AM7" s="5">
        <v>34</v>
      </c>
      <c r="AN7" s="5" t="s">
        <v>223</v>
      </c>
      <c r="AO7" s="5">
        <v>11.2</v>
      </c>
      <c r="AP7" s="5" t="s">
        <v>224</v>
      </c>
      <c r="AQ7" s="5"/>
      <c r="AR7" s="5"/>
      <c r="AS7" s="5">
        <v>4.3</v>
      </c>
      <c r="AT7" s="5">
        <v>0.57999999999999996</v>
      </c>
      <c r="AU7" s="5" t="s">
        <v>225</v>
      </c>
      <c r="AV7" s="5" t="s">
        <v>226</v>
      </c>
      <c r="AW7" s="5" t="s">
        <v>226</v>
      </c>
      <c r="AX7" s="5"/>
      <c r="AY7" s="5"/>
      <c r="AZ7" s="5">
        <v>0</v>
      </c>
      <c r="BA7" s="5">
        <v>0.88</v>
      </c>
      <c r="BB7" s="5" t="s">
        <v>132</v>
      </c>
      <c r="BC7" s="5">
        <v>345</v>
      </c>
      <c r="BD7" s="6">
        <v>40039</v>
      </c>
      <c r="BE7" s="6">
        <v>40909</v>
      </c>
      <c r="BF7" s="6">
        <v>41149</v>
      </c>
      <c r="BG7" s="6">
        <v>41518</v>
      </c>
      <c r="BH7" s="5">
        <v>12.1</v>
      </c>
      <c r="BI7" s="6">
        <v>41228</v>
      </c>
      <c r="BJ7" s="6">
        <v>41467</v>
      </c>
      <c r="BK7" s="5">
        <v>7.8</v>
      </c>
      <c r="BL7" s="6">
        <v>42429</v>
      </c>
      <c r="BM7" s="6">
        <v>42794</v>
      </c>
      <c r="BN7" s="5">
        <v>12</v>
      </c>
      <c r="BO7" s="6">
        <v>41656</v>
      </c>
      <c r="BP7" s="6">
        <v>41243</v>
      </c>
      <c r="BQ7" s="5">
        <v>13.5</v>
      </c>
      <c r="BR7" s="6">
        <v>41149</v>
      </c>
      <c r="BS7" s="6">
        <v>41518</v>
      </c>
      <c r="BT7" s="5">
        <v>12.1</v>
      </c>
      <c r="BU7" s="5" t="s">
        <v>227</v>
      </c>
      <c r="BV7" s="5" t="s">
        <v>228</v>
      </c>
      <c r="BW7" s="5" t="s">
        <v>229</v>
      </c>
      <c r="BX7" s="6">
        <v>40948</v>
      </c>
      <c r="BY7" s="6">
        <v>42810</v>
      </c>
      <c r="BZ7" s="5" t="s">
        <v>136</v>
      </c>
      <c r="CA7" s="5" t="s">
        <v>137</v>
      </c>
      <c r="CB7" s="5" t="s">
        <v>230</v>
      </c>
      <c r="CC7" s="5"/>
      <c r="CD7" s="5" t="s">
        <v>231</v>
      </c>
      <c r="CE7" s="5" t="s">
        <v>232</v>
      </c>
      <c r="CF7" s="5"/>
      <c r="CG7" s="5"/>
      <c r="CH7" s="5"/>
      <c r="CI7" s="5"/>
      <c r="CJ7" s="5"/>
      <c r="CK7" s="5"/>
      <c r="CL7" s="5"/>
      <c r="CM7" s="5"/>
      <c r="CN7" s="5"/>
      <c r="CO7" s="5"/>
      <c r="CP7" s="5"/>
      <c r="CQ7" s="5"/>
      <c r="CR7" s="5"/>
      <c r="CS7" s="5"/>
      <c r="CT7" s="5"/>
      <c r="CU7" s="5"/>
      <c r="CV7" s="5"/>
      <c r="CW7" s="5"/>
      <c r="CX7" s="5"/>
      <c r="CY7" s="5"/>
      <c r="CZ7" s="5"/>
      <c r="DA7" s="5"/>
    </row>
    <row r="8" spans="1:105" ht="15" customHeight="1" x14ac:dyDescent="0.2">
      <c r="A8" s="3" t="s">
        <v>233</v>
      </c>
      <c r="B8" s="3" t="s">
        <v>234</v>
      </c>
      <c r="C8" s="3" t="s">
        <v>234</v>
      </c>
      <c r="D8" s="3" t="s">
        <v>235</v>
      </c>
      <c r="E8" s="3" t="s">
        <v>235</v>
      </c>
      <c r="F8" s="3" t="s">
        <v>235</v>
      </c>
      <c r="G8" s="3" t="s">
        <v>110</v>
      </c>
      <c r="H8" s="3" t="s">
        <v>236</v>
      </c>
      <c r="I8" s="3" t="s">
        <v>181</v>
      </c>
      <c r="J8" s="3" t="s">
        <v>113</v>
      </c>
      <c r="K8" s="3" t="s">
        <v>115</v>
      </c>
      <c r="L8" s="3" t="s">
        <v>115</v>
      </c>
      <c r="M8" s="3" t="s">
        <v>114</v>
      </c>
      <c r="N8" s="3" t="s">
        <v>114</v>
      </c>
      <c r="O8" s="3" t="s">
        <v>115</v>
      </c>
      <c r="P8" s="3" t="s">
        <v>114</v>
      </c>
      <c r="Q8" s="3" t="s">
        <v>237</v>
      </c>
      <c r="R8" s="3" t="s">
        <v>238</v>
      </c>
      <c r="S8" s="3" t="s">
        <v>239</v>
      </c>
      <c r="T8" s="3" t="s">
        <v>240</v>
      </c>
      <c r="U8" s="3" t="s">
        <v>119</v>
      </c>
      <c r="V8" s="3" t="s">
        <v>119</v>
      </c>
      <c r="W8" s="3" t="s">
        <v>120</v>
      </c>
      <c r="X8" s="3"/>
      <c r="Y8" s="3"/>
      <c r="Z8" s="3" t="s">
        <v>119</v>
      </c>
      <c r="AA8" s="3" t="s">
        <v>163</v>
      </c>
      <c r="AB8" s="3" t="s">
        <v>122</v>
      </c>
      <c r="AC8" s="3" t="s">
        <v>217</v>
      </c>
      <c r="AD8" s="3" t="s">
        <v>145</v>
      </c>
      <c r="AE8" s="3" t="s">
        <v>241</v>
      </c>
      <c r="AF8" s="3" t="s">
        <v>242</v>
      </c>
      <c r="AG8" s="3" t="s">
        <v>166</v>
      </c>
      <c r="AH8" s="3" t="s">
        <v>243</v>
      </c>
      <c r="AI8" s="3" t="s">
        <v>244</v>
      </c>
      <c r="AJ8" s="3" t="s">
        <v>245</v>
      </c>
      <c r="AK8" s="3"/>
      <c r="AL8" s="3"/>
      <c r="AM8" s="3">
        <v>29</v>
      </c>
      <c r="AN8" s="3" t="s">
        <v>246</v>
      </c>
      <c r="AO8" s="3">
        <v>10.9</v>
      </c>
      <c r="AP8" s="3" t="s">
        <v>247</v>
      </c>
      <c r="AQ8" s="3"/>
      <c r="AR8" s="3"/>
      <c r="AS8" s="3">
        <v>3.9</v>
      </c>
      <c r="AT8" s="3">
        <v>0.45</v>
      </c>
      <c r="AU8" s="3" t="s">
        <v>248</v>
      </c>
      <c r="AV8" s="3" t="s">
        <v>249</v>
      </c>
      <c r="AW8" s="3" t="s">
        <v>250</v>
      </c>
      <c r="AX8" s="3"/>
      <c r="AY8" s="3"/>
      <c r="AZ8" s="3">
        <v>0</v>
      </c>
      <c r="BA8" s="3">
        <v>0.76</v>
      </c>
      <c r="BB8" s="3" t="s">
        <v>132</v>
      </c>
      <c r="BC8" s="3">
        <v>343</v>
      </c>
      <c r="BD8" s="4">
        <v>40556</v>
      </c>
      <c r="BE8" s="4">
        <v>41699</v>
      </c>
      <c r="BF8" s="4">
        <v>41963</v>
      </c>
      <c r="BG8" s="4">
        <v>42333</v>
      </c>
      <c r="BH8" s="3">
        <v>12.1</v>
      </c>
      <c r="BI8" s="4">
        <v>41957</v>
      </c>
      <c r="BJ8" s="4">
        <v>42322</v>
      </c>
      <c r="BK8" s="3">
        <v>12</v>
      </c>
      <c r="BL8" s="3"/>
      <c r="BM8" s="3"/>
      <c r="BN8" s="3"/>
      <c r="BO8" s="3"/>
      <c r="BP8" s="3"/>
      <c r="BQ8" s="3"/>
      <c r="BR8" s="4">
        <v>41963</v>
      </c>
      <c r="BS8" s="4">
        <v>42333</v>
      </c>
      <c r="BT8" s="3">
        <v>12.1</v>
      </c>
      <c r="BU8" s="3" t="s">
        <v>251</v>
      </c>
      <c r="BV8" s="3" t="s">
        <v>252</v>
      </c>
      <c r="BW8" s="3" t="s">
        <v>253</v>
      </c>
      <c r="BX8" s="4">
        <v>41608</v>
      </c>
      <c r="BY8" s="4">
        <v>42704</v>
      </c>
      <c r="BZ8" s="3" t="s">
        <v>136</v>
      </c>
      <c r="CA8" s="3" t="s">
        <v>137</v>
      </c>
      <c r="CB8" s="3" t="s">
        <v>254</v>
      </c>
      <c r="CC8" s="3"/>
      <c r="CD8" s="3" t="s">
        <v>255</v>
      </c>
      <c r="CE8" s="3" t="s">
        <v>256</v>
      </c>
      <c r="CF8" s="3"/>
      <c r="CG8" s="3"/>
      <c r="CH8" s="3"/>
      <c r="CI8" s="3"/>
      <c r="CJ8" s="3"/>
      <c r="CK8" s="3"/>
      <c r="CL8" s="3"/>
      <c r="CM8" s="3"/>
      <c r="CN8" s="3"/>
      <c r="CO8" s="3"/>
      <c r="CP8" s="3"/>
      <c r="CQ8" s="3"/>
      <c r="CR8" s="3"/>
      <c r="CS8" s="3"/>
      <c r="CT8" s="3"/>
      <c r="CU8" s="3"/>
      <c r="CV8" s="3"/>
      <c r="CW8" s="3"/>
      <c r="CX8" s="3"/>
      <c r="CY8" s="3"/>
      <c r="CZ8" s="3"/>
      <c r="DA8" s="3"/>
    </row>
    <row r="9" spans="1:105" ht="15" customHeight="1" x14ac:dyDescent="0.2">
      <c r="A9" s="5" t="s">
        <v>257</v>
      </c>
      <c r="B9" s="5" t="s">
        <v>258</v>
      </c>
      <c r="C9" s="5" t="s">
        <v>258</v>
      </c>
      <c r="D9" s="5" t="s">
        <v>140</v>
      </c>
      <c r="E9" s="5" t="s">
        <v>140</v>
      </c>
      <c r="F9" s="5" t="s">
        <v>140</v>
      </c>
      <c r="G9" s="5" t="s">
        <v>110</v>
      </c>
      <c r="H9" s="5" t="s">
        <v>259</v>
      </c>
      <c r="I9" s="5" t="s">
        <v>260</v>
      </c>
      <c r="J9" s="5" t="s">
        <v>113</v>
      </c>
      <c r="K9" s="5" t="s">
        <v>115</v>
      </c>
      <c r="L9" s="5" t="s">
        <v>115</v>
      </c>
      <c r="M9" s="5" t="s">
        <v>114</v>
      </c>
      <c r="N9" s="5" t="s">
        <v>115</v>
      </c>
      <c r="O9" s="5" t="s">
        <v>115</v>
      </c>
      <c r="P9" s="5" t="s">
        <v>114</v>
      </c>
      <c r="Q9" s="5" t="s">
        <v>261</v>
      </c>
      <c r="R9" s="5" t="s">
        <v>262</v>
      </c>
      <c r="S9" s="5" t="s">
        <v>263</v>
      </c>
      <c r="T9" s="5" t="s">
        <v>162</v>
      </c>
      <c r="U9" s="5" t="s">
        <v>119</v>
      </c>
      <c r="V9" s="5" t="s">
        <v>119</v>
      </c>
      <c r="W9" s="5" t="s">
        <v>120</v>
      </c>
      <c r="X9" s="5"/>
      <c r="Y9" s="5"/>
      <c r="Z9" s="5" t="s">
        <v>119</v>
      </c>
      <c r="AA9" s="5" t="s">
        <v>144</v>
      </c>
      <c r="AB9" s="5" t="s">
        <v>122</v>
      </c>
      <c r="AC9" s="5" t="s">
        <v>217</v>
      </c>
      <c r="AD9" s="5" t="s">
        <v>124</v>
      </c>
      <c r="AE9" s="5" t="s">
        <v>264</v>
      </c>
      <c r="AF9" s="5" t="s">
        <v>265</v>
      </c>
      <c r="AG9" s="5" t="s">
        <v>148</v>
      </c>
      <c r="AH9" s="5" t="s">
        <v>266</v>
      </c>
      <c r="AI9" s="5" t="s">
        <v>267</v>
      </c>
      <c r="AJ9" s="5" t="s">
        <v>268</v>
      </c>
      <c r="AK9" s="5"/>
      <c r="AL9" s="5"/>
      <c r="AM9" s="5">
        <v>2</v>
      </c>
      <c r="AN9" s="5" t="s">
        <v>269</v>
      </c>
      <c r="AO9" s="5">
        <v>5.7</v>
      </c>
      <c r="AP9" s="5" t="s">
        <v>270</v>
      </c>
      <c r="AQ9" s="5"/>
      <c r="AR9" s="5"/>
      <c r="AS9" s="5">
        <v>0.2</v>
      </c>
      <c r="AT9" s="5">
        <v>0.85</v>
      </c>
      <c r="AU9" s="5" t="s">
        <v>271</v>
      </c>
      <c r="AV9" s="5" t="s">
        <v>272</v>
      </c>
      <c r="AW9" s="5" t="s">
        <v>273</v>
      </c>
      <c r="AX9" s="5"/>
      <c r="AY9" s="5"/>
      <c r="AZ9" s="5">
        <v>1.6</v>
      </c>
      <c r="BA9" s="5">
        <v>0.84</v>
      </c>
      <c r="BB9" s="5" t="s">
        <v>132</v>
      </c>
      <c r="BC9" s="5">
        <v>1093</v>
      </c>
      <c r="BD9" s="6">
        <v>40185</v>
      </c>
      <c r="BE9" s="6">
        <v>41487</v>
      </c>
      <c r="BF9" s="6">
        <v>41974</v>
      </c>
      <c r="BG9" s="6">
        <v>42415</v>
      </c>
      <c r="BH9" s="5">
        <v>14.5</v>
      </c>
      <c r="BI9" s="6">
        <v>41975</v>
      </c>
      <c r="BJ9" s="6">
        <v>42332</v>
      </c>
      <c r="BK9" s="5">
        <v>11.7</v>
      </c>
      <c r="BL9" s="5"/>
      <c r="BM9" s="5"/>
      <c r="BN9" s="5"/>
      <c r="BO9" s="6">
        <v>43634</v>
      </c>
      <c r="BP9" s="6">
        <v>43344</v>
      </c>
      <c r="BQ9" s="5">
        <v>9.5</v>
      </c>
      <c r="BR9" s="6">
        <v>41974</v>
      </c>
      <c r="BS9" s="6">
        <v>42415</v>
      </c>
      <c r="BT9" s="5">
        <v>14.5</v>
      </c>
      <c r="BU9" s="5" t="s">
        <v>274</v>
      </c>
      <c r="BV9" s="5" t="s">
        <v>275</v>
      </c>
      <c r="BW9" s="5" t="s">
        <v>276</v>
      </c>
      <c r="BX9" s="6">
        <v>41442</v>
      </c>
      <c r="BY9" s="6">
        <v>45442</v>
      </c>
      <c r="BZ9" s="5" t="s">
        <v>136</v>
      </c>
      <c r="CA9" s="5" t="s">
        <v>137</v>
      </c>
      <c r="CB9" s="5"/>
      <c r="CC9" s="5"/>
      <c r="CD9" s="5" t="s">
        <v>277</v>
      </c>
      <c r="CE9" s="5"/>
      <c r="CF9" s="5"/>
      <c r="CG9" s="5"/>
      <c r="CH9" s="5"/>
      <c r="CI9" s="5"/>
      <c r="CJ9" s="5"/>
      <c r="CK9" s="5"/>
      <c r="CL9" s="5"/>
      <c r="CM9" s="5"/>
      <c r="CN9" s="5"/>
      <c r="CO9" s="5"/>
      <c r="CP9" s="5"/>
      <c r="CQ9" s="5"/>
      <c r="CR9" s="5"/>
      <c r="CS9" s="5"/>
      <c r="CT9" s="5"/>
      <c r="CU9" s="5"/>
      <c r="CV9" s="5"/>
      <c r="CW9" s="5"/>
      <c r="CX9" s="5"/>
      <c r="CY9" s="5"/>
      <c r="CZ9" s="5"/>
      <c r="DA9" s="5"/>
    </row>
    <row r="10" spans="1:105" ht="15" customHeight="1" x14ac:dyDescent="0.2">
      <c r="A10" s="3" t="s">
        <v>278</v>
      </c>
      <c r="B10" s="3" t="s">
        <v>279</v>
      </c>
      <c r="C10" s="3" t="s">
        <v>279</v>
      </c>
      <c r="D10" s="3" t="s">
        <v>280</v>
      </c>
      <c r="E10" s="3" t="s">
        <v>281</v>
      </c>
      <c r="F10" s="3" t="s">
        <v>282</v>
      </c>
      <c r="G10" s="3" t="s">
        <v>110</v>
      </c>
      <c r="H10" s="3" t="s">
        <v>259</v>
      </c>
      <c r="I10" s="3" t="s">
        <v>283</v>
      </c>
      <c r="J10" s="3" t="s">
        <v>113</v>
      </c>
      <c r="K10" s="3" t="s">
        <v>115</v>
      </c>
      <c r="L10" s="3" t="s">
        <v>115</v>
      </c>
      <c r="M10" s="3" t="s">
        <v>114</v>
      </c>
      <c r="N10" s="3" t="s">
        <v>115</v>
      </c>
      <c r="O10" s="3" t="s">
        <v>115</v>
      </c>
      <c r="P10" s="3" t="s">
        <v>114</v>
      </c>
      <c r="Q10" s="3" t="s">
        <v>284</v>
      </c>
      <c r="R10" s="3" t="s">
        <v>285</v>
      </c>
      <c r="S10" s="3" t="s">
        <v>286</v>
      </c>
      <c r="T10" s="3" t="s">
        <v>287</v>
      </c>
      <c r="U10" s="3" t="s">
        <v>120</v>
      </c>
      <c r="V10" s="3" t="s">
        <v>119</v>
      </c>
      <c r="W10" s="3" t="s">
        <v>120</v>
      </c>
      <c r="X10" s="3"/>
      <c r="Y10" s="3"/>
      <c r="Z10" s="3" t="s">
        <v>119</v>
      </c>
      <c r="AA10" s="3" t="s">
        <v>121</v>
      </c>
      <c r="AB10" s="3" t="s">
        <v>122</v>
      </c>
      <c r="AC10" s="3" t="s">
        <v>217</v>
      </c>
      <c r="AD10" s="3" t="s">
        <v>124</v>
      </c>
      <c r="AE10" s="3" t="s">
        <v>288</v>
      </c>
      <c r="AF10" s="3" t="s">
        <v>289</v>
      </c>
      <c r="AG10" s="3" t="s">
        <v>166</v>
      </c>
      <c r="AH10" s="3" t="s">
        <v>290</v>
      </c>
      <c r="AI10" s="3" t="s">
        <v>290</v>
      </c>
      <c r="AJ10" s="3"/>
      <c r="AK10" s="3" t="s">
        <v>291</v>
      </c>
      <c r="AL10" s="3"/>
      <c r="AM10" s="3">
        <v>15</v>
      </c>
      <c r="AN10" s="3" t="s">
        <v>292</v>
      </c>
      <c r="AO10" s="3"/>
      <c r="AP10" s="3" t="s">
        <v>292</v>
      </c>
      <c r="AQ10" s="3"/>
      <c r="AR10" s="3" t="s">
        <v>291</v>
      </c>
      <c r="AS10" s="3">
        <v>2.2000000000000002</v>
      </c>
      <c r="AT10" s="3">
        <v>0.5</v>
      </c>
      <c r="AU10" s="3" t="s">
        <v>293</v>
      </c>
      <c r="AV10" s="3" t="s">
        <v>294</v>
      </c>
      <c r="AW10" s="3" t="s">
        <v>295</v>
      </c>
      <c r="AX10" s="3" t="s">
        <v>291</v>
      </c>
      <c r="AY10" s="3" t="s">
        <v>296</v>
      </c>
      <c r="AZ10" s="3">
        <v>12.9</v>
      </c>
      <c r="BA10" s="3">
        <v>0.62</v>
      </c>
      <c r="BB10" s="3" t="s">
        <v>132</v>
      </c>
      <c r="BC10" s="3">
        <v>305</v>
      </c>
      <c r="BD10" s="4">
        <v>41876</v>
      </c>
      <c r="BE10" s="4">
        <v>42522</v>
      </c>
      <c r="BF10" s="4">
        <v>42620</v>
      </c>
      <c r="BG10" s="4">
        <v>42766</v>
      </c>
      <c r="BH10" s="3">
        <v>4.8</v>
      </c>
      <c r="BI10" s="4">
        <v>42545</v>
      </c>
      <c r="BJ10" s="4">
        <v>42667</v>
      </c>
      <c r="BK10" s="3">
        <v>4</v>
      </c>
      <c r="BL10" s="3"/>
      <c r="BM10" s="3"/>
      <c r="BN10" s="3"/>
      <c r="BO10" s="4">
        <v>42723</v>
      </c>
      <c r="BP10" s="4">
        <v>42649</v>
      </c>
      <c r="BQ10" s="3">
        <v>2.4</v>
      </c>
      <c r="BR10" s="4">
        <v>42620</v>
      </c>
      <c r="BS10" s="4">
        <v>42766</v>
      </c>
      <c r="BT10" s="3">
        <v>4.8</v>
      </c>
      <c r="BU10" s="3" t="s">
        <v>297</v>
      </c>
      <c r="BV10" s="3" t="s">
        <v>298</v>
      </c>
      <c r="BW10" s="3" t="s">
        <v>299</v>
      </c>
      <c r="BX10" s="4">
        <v>42499</v>
      </c>
      <c r="BY10" s="4">
        <v>44343</v>
      </c>
      <c r="BZ10" s="3" t="s">
        <v>136</v>
      </c>
      <c r="CA10" s="3" t="s">
        <v>137</v>
      </c>
      <c r="CB10" s="3" t="s">
        <v>300</v>
      </c>
      <c r="CC10" s="3" t="s">
        <v>301</v>
      </c>
      <c r="CD10" s="3"/>
      <c r="CE10" s="3" t="s">
        <v>300</v>
      </c>
      <c r="CF10" s="3"/>
      <c r="CG10" s="3"/>
      <c r="CH10" s="3"/>
      <c r="CI10" s="3"/>
      <c r="CJ10" s="3"/>
      <c r="CK10" s="3"/>
      <c r="CL10" s="3"/>
      <c r="CM10" s="3"/>
      <c r="CN10" s="3"/>
      <c r="CO10" s="3"/>
      <c r="CP10" s="3"/>
      <c r="CQ10" s="3"/>
      <c r="CR10" s="3"/>
      <c r="CS10" s="3"/>
      <c r="CT10" s="3"/>
      <c r="CU10" s="3"/>
      <c r="CV10" s="3"/>
      <c r="CW10" s="3"/>
      <c r="CX10" s="3"/>
      <c r="CY10" s="3"/>
      <c r="CZ10" s="3"/>
      <c r="DA10" s="3"/>
    </row>
    <row r="11" spans="1:105" ht="15" customHeight="1" x14ac:dyDescent="0.2">
      <c r="A11" s="5" t="s">
        <v>302</v>
      </c>
      <c r="B11" s="5" t="s">
        <v>303</v>
      </c>
      <c r="C11" s="5" t="s">
        <v>303</v>
      </c>
      <c r="D11" s="5" t="s">
        <v>304</v>
      </c>
      <c r="E11" s="5" t="s">
        <v>304</v>
      </c>
      <c r="F11" s="5" t="s">
        <v>304</v>
      </c>
      <c r="G11" s="5" t="s">
        <v>110</v>
      </c>
      <c r="H11" s="5" t="s">
        <v>111</v>
      </c>
      <c r="I11" s="5" t="s">
        <v>181</v>
      </c>
      <c r="J11" s="5" t="s">
        <v>113</v>
      </c>
      <c r="K11" s="5" t="s">
        <v>115</v>
      </c>
      <c r="L11" s="5" t="s">
        <v>115</v>
      </c>
      <c r="M11" s="5" t="s">
        <v>115</v>
      </c>
      <c r="N11" s="5" t="s">
        <v>114</v>
      </c>
      <c r="O11" s="5" t="s">
        <v>115</v>
      </c>
      <c r="P11" s="5" t="s">
        <v>114</v>
      </c>
      <c r="Q11" s="5" t="s">
        <v>305</v>
      </c>
      <c r="R11" s="5" t="s">
        <v>306</v>
      </c>
      <c r="S11" s="5" t="s">
        <v>307</v>
      </c>
      <c r="T11" s="5" t="s">
        <v>256</v>
      </c>
      <c r="U11" s="5" t="s">
        <v>119</v>
      </c>
      <c r="V11" s="5" t="s">
        <v>119</v>
      </c>
      <c r="W11" s="5" t="s">
        <v>120</v>
      </c>
      <c r="X11" s="5"/>
      <c r="Y11" s="5"/>
      <c r="Z11" s="5" t="s">
        <v>119</v>
      </c>
      <c r="AA11" s="5" t="s">
        <v>163</v>
      </c>
      <c r="AB11" s="5" t="s">
        <v>122</v>
      </c>
      <c r="AC11" s="5" t="s">
        <v>217</v>
      </c>
      <c r="AD11" s="5" t="s">
        <v>145</v>
      </c>
      <c r="AE11" s="5" t="s">
        <v>308</v>
      </c>
      <c r="AF11" s="5" t="s">
        <v>309</v>
      </c>
      <c r="AG11" s="5" t="s">
        <v>166</v>
      </c>
      <c r="AH11" s="5" t="s">
        <v>310</v>
      </c>
      <c r="AI11" s="5" t="s">
        <v>311</v>
      </c>
      <c r="AJ11" s="5" t="s">
        <v>149</v>
      </c>
      <c r="AK11" s="5" t="s">
        <v>312</v>
      </c>
      <c r="AL11" s="5" t="s">
        <v>312</v>
      </c>
      <c r="AM11" s="5">
        <v>46</v>
      </c>
      <c r="AN11" s="5" t="s">
        <v>313</v>
      </c>
      <c r="AO11" s="5"/>
      <c r="AP11" s="5" t="s">
        <v>313</v>
      </c>
      <c r="AQ11" s="5"/>
      <c r="AR11" s="5" t="s">
        <v>312</v>
      </c>
      <c r="AS11" s="5">
        <v>8.5</v>
      </c>
      <c r="AT11" s="5">
        <v>0.55000000000000004</v>
      </c>
      <c r="AU11" s="5"/>
      <c r="AV11" s="5"/>
      <c r="AW11" s="5"/>
      <c r="AX11" s="5"/>
      <c r="AY11" s="5"/>
      <c r="AZ11" s="5">
        <v>0</v>
      </c>
      <c r="BA11" s="5"/>
      <c r="BB11" s="5" t="s">
        <v>132</v>
      </c>
      <c r="BC11" s="5">
        <v>376</v>
      </c>
      <c r="BD11" s="6">
        <v>41464</v>
      </c>
      <c r="BE11" s="6">
        <v>42614</v>
      </c>
      <c r="BF11" s="6">
        <v>42709</v>
      </c>
      <c r="BG11" s="6">
        <v>42915</v>
      </c>
      <c r="BH11" s="5">
        <v>6.8</v>
      </c>
      <c r="BI11" s="6">
        <v>42702</v>
      </c>
      <c r="BJ11" s="6">
        <v>42881</v>
      </c>
      <c r="BK11" s="5">
        <v>5.9</v>
      </c>
      <c r="BL11" s="6">
        <v>43479</v>
      </c>
      <c r="BM11" s="6">
        <v>43985</v>
      </c>
      <c r="BN11" s="5">
        <v>16.600000000000001</v>
      </c>
      <c r="BO11" s="5"/>
      <c r="BP11" s="5"/>
      <c r="BQ11" s="5"/>
      <c r="BR11" s="6">
        <v>42709</v>
      </c>
      <c r="BS11" s="6">
        <v>42915</v>
      </c>
      <c r="BT11" s="5">
        <v>6.8</v>
      </c>
      <c r="BU11" s="5" t="s">
        <v>314</v>
      </c>
      <c r="BV11" s="5" t="s">
        <v>315</v>
      </c>
      <c r="BW11" s="5" t="s">
        <v>316</v>
      </c>
      <c r="BX11" s="6">
        <v>42545</v>
      </c>
      <c r="BY11" s="6">
        <v>45298</v>
      </c>
      <c r="BZ11" s="5" t="s">
        <v>136</v>
      </c>
      <c r="CA11" s="5" t="s">
        <v>137</v>
      </c>
      <c r="CB11" s="5" t="s">
        <v>256</v>
      </c>
      <c r="CC11" s="5"/>
      <c r="CD11" s="5"/>
      <c r="CE11" s="5" t="s">
        <v>256</v>
      </c>
      <c r="CF11" s="5"/>
      <c r="CG11" s="5"/>
      <c r="CH11" s="5"/>
      <c r="CI11" s="5"/>
      <c r="CJ11" s="5"/>
      <c r="CK11" s="5"/>
      <c r="CL11" s="5"/>
      <c r="CM11" s="5"/>
      <c r="CN11" s="5"/>
      <c r="CO11" s="5"/>
      <c r="CP11" s="5"/>
      <c r="CQ11" s="5"/>
      <c r="CR11" s="5"/>
      <c r="CS11" s="5"/>
      <c r="CT11" s="5"/>
      <c r="CU11" s="5"/>
      <c r="CV11" s="5"/>
      <c r="CW11" s="5"/>
      <c r="CX11" s="5"/>
      <c r="CY11" s="5"/>
      <c r="CZ11" s="5"/>
      <c r="DA11" s="5"/>
    </row>
    <row r="12" spans="1:105" ht="15" customHeight="1" x14ac:dyDescent="0.2">
      <c r="A12" s="3" t="s">
        <v>105</v>
      </c>
      <c r="B12" s="3" t="s">
        <v>317</v>
      </c>
      <c r="C12" s="3" t="s">
        <v>317</v>
      </c>
      <c r="D12" s="3" t="s">
        <v>318</v>
      </c>
      <c r="E12" s="3" t="s">
        <v>318</v>
      </c>
      <c r="F12" s="3" t="s">
        <v>318</v>
      </c>
      <c r="G12" s="3" t="s">
        <v>110</v>
      </c>
      <c r="H12" s="3" t="s">
        <v>259</v>
      </c>
      <c r="I12" s="3" t="s">
        <v>181</v>
      </c>
      <c r="J12" s="3" t="s">
        <v>113</v>
      </c>
      <c r="K12" s="3" t="s">
        <v>115</v>
      </c>
      <c r="L12" s="3" t="s">
        <v>115</v>
      </c>
      <c r="M12" s="3" t="s">
        <v>114</v>
      </c>
      <c r="N12" s="3" t="s">
        <v>115</v>
      </c>
      <c r="O12" s="3" t="s">
        <v>115</v>
      </c>
      <c r="P12" s="3" t="s">
        <v>114</v>
      </c>
      <c r="Q12" s="3" t="s">
        <v>319</v>
      </c>
      <c r="R12" s="3" t="s">
        <v>320</v>
      </c>
      <c r="S12" s="3" t="s">
        <v>117</v>
      </c>
      <c r="T12" s="3" t="s">
        <v>118</v>
      </c>
      <c r="U12" s="3" t="s">
        <v>119</v>
      </c>
      <c r="V12" s="3" t="s">
        <v>120</v>
      </c>
      <c r="W12" s="3" t="s">
        <v>120</v>
      </c>
      <c r="X12" s="3"/>
      <c r="Y12" s="3"/>
      <c r="Z12" s="3" t="s">
        <v>119</v>
      </c>
      <c r="AA12" s="3" t="s">
        <v>321</v>
      </c>
      <c r="AB12" s="3" t="s">
        <v>122</v>
      </c>
      <c r="AC12" s="3" t="s">
        <v>217</v>
      </c>
      <c r="AD12" s="3" t="s">
        <v>124</v>
      </c>
      <c r="AE12" s="3" t="s">
        <v>322</v>
      </c>
      <c r="AF12" s="3" t="s">
        <v>105</v>
      </c>
      <c r="AG12" s="3" t="s">
        <v>33</v>
      </c>
      <c r="AH12" s="3" t="s">
        <v>323</v>
      </c>
      <c r="AI12" s="3" t="s">
        <v>324</v>
      </c>
      <c r="AJ12" s="3" t="s">
        <v>325</v>
      </c>
      <c r="AK12" s="3"/>
      <c r="AL12" s="3"/>
      <c r="AM12" s="3">
        <v>-3</v>
      </c>
      <c r="AN12" s="3"/>
      <c r="AO12" s="3"/>
      <c r="AP12" s="3"/>
      <c r="AQ12" s="3"/>
      <c r="AR12" s="3"/>
      <c r="AS12" s="3">
        <v>0</v>
      </c>
      <c r="AT12" s="3">
        <v>1.03</v>
      </c>
      <c r="AU12" s="3"/>
      <c r="AV12" s="3"/>
      <c r="AW12" s="3"/>
      <c r="AX12" s="3"/>
      <c r="AY12" s="3"/>
      <c r="AZ12" s="3">
        <v>0</v>
      </c>
      <c r="BA12" s="3"/>
      <c r="BB12" s="3" t="s">
        <v>132</v>
      </c>
      <c r="BC12" s="3">
        <v>642</v>
      </c>
      <c r="BD12" s="4">
        <v>41589</v>
      </c>
      <c r="BE12" s="4">
        <v>42248</v>
      </c>
      <c r="BF12" s="4">
        <v>42705</v>
      </c>
      <c r="BG12" s="4">
        <v>43119</v>
      </c>
      <c r="BH12" s="3">
        <v>13.6</v>
      </c>
      <c r="BI12" s="4">
        <v>42688</v>
      </c>
      <c r="BJ12" s="4">
        <v>42992</v>
      </c>
      <c r="BK12" s="3">
        <v>10</v>
      </c>
      <c r="BL12" s="3"/>
      <c r="BM12" s="3"/>
      <c r="BN12" s="3"/>
      <c r="BO12" s="4">
        <v>43728</v>
      </c>
      <c r="BP12" s="4">
        <v>43378</v>
      </c>
      <c r="BQ12" s="3">
        <v>11.5</v>
      </c>
      <c r="BR12" s="4">
        <v>42705</v>
      </c>
      <c r="BS12" s="4">
        <v>43119</v>
      </c>
      <c r="BT12" s="3">
        <v>13.6</v>
      </c>
      <c r="BU12" s="3" t="s">
        <v>326</v>
      </c>
      <c r="BV12" s="3" t="s">
        <v>327</v>
      </c>
      <c r="BW12" s="3" t="s">
        <v>328</v>
      </c>
      <c r="BX12" s="4">
        <v>42208</v>
      </c>
      <c r="BY12" s="4">
        <v>42208</v>
      </c>
      <c r="BZ12" s="3" t="s">
        <v>136</v>
      </c>
      <c r="CA12" s="3" t="s">
        <v>191</v>
      </c>
      <c r="CB12" s="3"/>
      <c r="CC12" s="3"/>
      <c r="CD12" s="3" t="s">
        <v>329</v>
      </c>
      <c r="CE12" s="3"/>
      <c r="CF12" s="3"/>
      <c r="CG12" s="3"/>
      <c r="CH12" s="3"/>
      <c r="CI12" s="3"/>
      <c r="CJ12" s="3"/>
      <c r="CK12" s="3"/>
      <c r="CL12" s="3"/>
      <c r="CM12" s="3"/>
      <c r="CN12" s="3"/>
      <c r="CO12" s="3"/>
      <c r="CP12" s="3"/>
      <c r="CQ12" s="3"/>
      <c r="CR12" s="3"/>
      <c r="CS12" s="3"/>
      <c r="CT12" s="3"/>
      <c r="CU12" s="3"/>
      <c r="CV12" s="3"/>
      <c r="CW12" s="3"/>
      <c r="CX12" s="3"/>
      <c r="CY12" s="3"/>
      <c r="CZ12" s="3"/>
      <c r="DA12" s="3"/>
    </row>
    <row r="13" spans="1:105" ht="15" customHeight="1" x14ac:dyDescent="0.2">
      <c r="A13" s="5" t="s">
        <v>330</v>
      </c>
      <c r="B13" s="5" t="s">
        <v>331</v>
      </c>
      <c r="C13" s="5" t="s">
        <v>331</v>
      </c>
      <c r="D13" s="5" t="s">
        <v>107</v>
      </c>
      <c r="E13" s="5" t="s">
        <v>108</v>
      </c>
      <c r="F13" s="5" t="s">
        <v>332</v>
      </c>
      <c r="G13" s="5" t="s">
        <v>110</v>
      </c>
      <c r="H13" s="5" t="s">
        <v>111</v>
      </c>
      <c r="I13" s="5"/>
      <c r="J13" s="5" t="s">
        <v>113</v>
      </c>
      <c r="K13" s="5" t="s">
        <v>115</v>
      </c>
      <c r="L13" s="5" t="s">
        <v>115</v>
      </c>
      <c r="M13" s="5" t="s">
        <v>115</v>
      </c>
      <c r="N13" s="5" t="s">
        <v>114</v>
      </c>
      <c r="O13" s="5" t="s">
        <v>115</v>
      </c>
      <c r="P13" s="5" t="s">
        <v>114</v>
      </c>
      <c r="Q13" s="5" t="s">
        <v>333</v>
      </c>
      <c r="R13" s="5" t="s">
        <v>334</v>
      </c>
      <c r="S13" s="5" t="s">
        <v>335</v>
      </c>
      <c r="T13" s="5" t="s">
        <v>336</v>
      </c>
      <c r="U13" s="5" t="s">
        <v>119</v>
      </c>
      <c r="V13" s="5" t="s">
        <v>119</v>
      </c>
      <c r="W13" s="5" t="s">
        <v>120</v>
      </c>
      <c r="X13" s="5"/>
      <c r="Y13" s="5"/>
      <c r="Z13" s="5" t="s">
        <v>119</v>
      </c>
      <c r="AA13" s="5" t="s">
        <v>144</v>
      </c>
      <c r="AB13" s="5" t="s">
        <v>122</v>
      </c>
      <c r="AC13" s="5" t="s">
        <v>217</v>
      </c>
      <c r="AD13" s="5" t="s">
        <v>145</v>
      </c>
      <c r="AE13" s="5" t="s">
        <v>337</v>
      </c>
      <c r="AF13" s="5" t="s">
        <v>233</v>
      </c>
      <c r="AG13" s="5" t="s">
        <v>166</v>
      </c>
      <c r="AH13" s="5"/>
      <c r="AI13" s="5"/>
      <c r="AJ13" s="5"/>
      <c r="AK13" s="5"/>
      <c r="AL13" s="5"/>
      <c r="AM13" s="5">
        <v>0</v>
      </c>
      <c r="AN13" s="5" t="s">
        <v>338</v>
      </c>
      <c r="AO13" s="5"/>
      <c r="AP13" s="5" t="s">
        <v>338</v>
      </c>
      <c r="AQ13" s="5"/>
      <c r="AR13" s="5" t="s">
        <v>339</v>
      </c>
      <c r="AS13" s="5">
        <v>23.9</v>
      </c>
      <c r="AT13" s="5">
        <v>0.43</v>
      </c>
      <c r="AU13" s="5" t="s">
        <v>340</v>
      </c>
      <c r="AV13" s="5" t="s">
        <v>341</v>
      </c>
      <c r="AW13" s="5" t="s">
        <v>342</v>
      </c>
      <c r="AX13" s="5" t="s">
        <v>343</v>
      </c>
      <c r="AY13" s="5" t="s">
        <v>343</v>
      </c>
      <c r="AZ13" s="5">
        <v>0</v>
      </c>
      <c r="BA13" s="5">
        <v>0.78</v>
      </c>
      <c r="BB13" s="5" t="s">
        <v>132</v>
      </c>
      <c r="BC13" s="5">
        <v>303</v>
      </c>
      <c r="BD13" s="6">
        <v>41870</v>
      </c>
      <c r="BE13" s="6">
        <v>42826</v>
      </c>
      <c r="BF13" s="6">
        <v>42840</v>
      </c>
      <c r="BG13" s="6">
        <v>43089</v>
      </c>
      <c r="BH13" s="5">
        <v>8.1999999999999993</v>
      </c>
      <c r="BI13" s="6">
        <v>42889</v>
      </c>
      <c r="BJ13" s="6">
        <v>43045</v>
      </c>
      <c r="BK13" s="5">
        <v>5.0999999999999996</v>
      </c>
      <c r="BL13" s="6">
        <v>43133</v>
      </c>
      <c r="BM13" s="6">
        <v>43332</v>
      </c>
      <c r="BN13" s="5">
        <v>6.5</v>
      </c>
      <c r="BO13" s="5"/>
      <c r="BP13" s="5"/>
      <c r="BQ13" s="5"/>
      <c r="BR13" s="6">
        <v>42840</v>
      </c>
      <c r="BS13" s="6">
        <v>43089</v>
      </c>
      <c r="BT13" s="5">
        <v>8.1999999999999993</v>
      </c>
      <c r="BU13" s="5" t="s">
        <v>344</v>
      </c>
      <c r="BV13" s="5" t="s">
        <v>345</v>
      </c>
      <c r="BW13" s="5" t="s">
        <v>346</v>
      </c>
      <c r="BX13" s="6">
        <v>42775</v>
      </c>
      <c r="BY13" s="6">
        <v>45775</v>
      </c>
      <c r="BZ13" s="5" t="s">
        <v>136</v>
      </c>
      <c r="CA13" s="5" t="s">
        <v>137</v>
      </c>
      <c r="CB13" s="5" t="s">
        <v>256</v>
      </c>
      <c r="CC13" s="5"/>
      <c r="CD13" s="5" t="s">
        <v>347</v>
      </c>
      <c r="CE13" s="5" t="s">
        <v>256</v>
      </c>
      <c r="CF13" s="5"/>
      <c r="CG13" s="5"/>
      <c r="CH13" s="5"/>
      <c r="CI13" s="5"/>
      <c r="CJ13" s="5"/>
      <c r="CK13" s="5"/>
      <c r="CL13" s="5"/>
      <c r="CM13" s="5"/>
      <c r="CN13" s="5"/>
      <c r="CO13" s="5"/>
      <c r="CP13" s="5"/>
      <c r="CQ13" s="5"/>
      <c r="CR13" s="5"/>
      <c r="CS13" s="5"/>
      <c r="CT13" s="5"/>
      <c r="CU13" s="5"/>
      <c r="CV13" s="5"/>
      <c r="CW13" s="5"/>
      <c r="CX13" s="5"/>
      <c r="CY13" s="5"/>
      <c r="CZ13" s="5"/>
      <c r="DA13" s="5"/>
    </row>
    <row r="14" spans="1:105" ht="15" customHeight="1" x14ac:dyDescent="0.2">
      <c r="A14" s="3" t="s">
        <v>348</v>
      </c>
      <c r="B14" s="3" t="s">
        <v>349</v>
      </c>
      <c r="C14" s="3" t="s">
        <v>349</v>
      </c>
      <c r="D14" s="3" t="s">
        <v>350</v>
      </c>
      <c r="E14" s="3" t="s">
        <v>350</v>
      </c>
      <c r="F14" s="3" t="s">
        <v>350</v>
      </c>
      <c r="G14" s="3" t="s">
        <v>110</v>
      </c>
      <c r="H14" s="3" t="s">
        <v>351</v>
      </c>
      <c r="I14" s="3"/>
      <c r="J14" s="3" t="s">
        <v>113</v>
      </c>
      <c r="K14" s="3" t="s">
        <v>115</v>
      </c>
      <c r="L14" s="3" t="s">
        <v>115</v>
      </c>
      <c r="M14" s="3" t="s">
        <v>115</v>
      </c>
      <c r="N14" s="3" t="s">
        <v>115</v>
      </c>
      <c r="O14" s="3" t="s">
        <v>115</v>
      </c>
      <c r="P14" s="3" t="s">
        <v>114</v>
      </c>
      <c r="Q14" s="3" t="s">
        <v>352</v>
      </c>
      <c r="R14" s="3" t="s">
        <v>353</v>
      </c>
      <c r="S14" s="3" t="s">
        <v>354</v>
      </c>
      <c r="T14" s="3" t="s">
        <v>355</v>
      </c>
      <c r="U14" s="3" t="s">
        <v>120</v>
      </c>
      <c r="V14" s="3" t="s">
        <v>119</v>
      </c>
      <c r="W14" s="3" t="s">
        <v>120</v>
      </c>
      <c r="X14" s="3"/>
      <c r="Y14" s="3"/>
      <c r="Z14" s="3" t="s">
        <v>119</v>
      </c>
      <c r="AA14" s="3" t="s">
        <v>356</v>
      </c>
      <c r="AB14" s="3" t="s">
        <v>122</v>
      </c>
      <c r="AC14" s="3" t="s">
        <v>217</v>
      </c>
      <c r="AD14" s="3" t="s">
        <v>124</v>
      </c>
      <c r="AE14" s="3" t="s">
        <v>357</v>
      </c>
      <c r="AF14" s="3" t="s">
        <v>184</v>
      </c>
      <c r="AG14" s="3" t="s">
        <v>358</v>
      </c>
      <c r="AH14" s="3" t="s">
        <v>359</v>
      </c>
      <c r="AI14" s="3" t="s">
        <v>359</v>
      </c>
      <c r="AJ14" s="3"/>
      <c r="AK14" s="3" t="s">
        <v>360</v>
      </c>
      <c r="AL14" s="3"/>
      <c r="AM14" s="3">
        <v>12</v>
      </c>
      <c r="AN14" s="3" t="s">
        <v>361</v>
      </c>
      <c r="AO14" s="3"/>
      <c r="AP14" s="3" t="s">
        <v>361</v>
      </c>
      <c r="AQ14" s="3"/>
      <c r="AR14" s="3" t="s">
        <v>362</v>
      </c>
      <c r="AS14" s="3">
        <v>11.6</v>
      </c>
      <c r="AT14" s="3">
        <v>0.55000000000000004</v>
      </c>
      <c r="AU14" s="3" t="s">
        <v>363</v>
      </c>
      <c r="AV14" s="3" t="s">
        <v>363</v>
      </c>
      <c r="AW14" s="3"/>
      <c r="AX14" s="3" t="s">
        <v>362</v>
      </c>
      <c r="AY14" s="3"/>
      <c r="AZ14" s="3">
        <v>16.399999999999999</v>
      </c>
      <c r="BA14" s="3">
        <v>0.72</v>
      </c>
      <c r="BB14" s="3" t="s">
        <v>132</v>
      </c>
      <c r="BC14" s="3">
        <v>713</v>
      </c>
      <c r="BD14" s="4">
        <v>41766</v>
      </c>
      <c r="BE14" s="4">
        <v>42856</v>
      </c>
      <c r="BF14" s="4">
        <v>42979</v>
      </c>
      <c r="BG14" s="4">
        <v>43367</v>
      </c>
      <c r="BH14" s="3">
        <v>12.7</v>
      </c>
      <c r="BI14" s="4">
        <v>42963</v>
      </c>
      <c r="BJ14" s="4">
        <v>43147</v>
      </c>
      <c r="BK14" s="3">
        <v>6</v>
      </c>
      <c r="BL14" s="4">
        <v>43405</v>
      </c>
      <c r="BM14" s="4">
        <v>43811</v>
      </c>
      <c r="BN14" s="3">
        <v>13.3</v>
      </c>
      <c r="BO14" s="4">
        <v>43283</v>
      </c>
      <c r="BP14" s="4">
        <v>42977</v>
      </c>
      <c r="BQ14" s="3">
        <v>10</v>
      </c>
      <c r="BR14" s="4">
        <v>42979</v>
      </c>
      <c r="BS14" s="4">
        <v>43367</v>
      </c>
      <c r="BT14" s="3">
        <v>12.7</v>
      </c>
      <c r="BU14" s="3" t="s">
        <v>364</v>
      </c>
      <c r="BV14" s="3" t="s">
        <v>365</v>
      </c>
      <c r="BW14" s="3" t="s">
        <v>366</v>
      </c>
      <c r="BX14" s="4">
        <v>42779</v>
      </c>
      <c r="BY14" s="4">
        <v>45162</v>
      </c>
      <c r="BZ14" s="3" t="s">
        <v>136</v>
      </c>
      <c r="CA14" s="3" t="s">
        <v>191</v>
      </c>
      <c r="CB14" s="3"/>
      <c r="CC14" s="3"/>
      <c r="CD14" s="3" t="s">
        <v>367</v>
      </c>
      <c r="CE14" s="3"/>
      <c r="CF14" s="3"/>
      <c r="CG14" s="3"/>
      <c r="CH14" s="3"/>
      <c r="CI14" s="3"/>
      <c r="CJ14" s="3"/>
      <c r="CK14" s="3"/>
      <c r="CL14" s="3"/>
      <c r="CM14" s="3"/>
      <c r="CN14" s="3"/>
      <c r="CO14" s="3"/>
      <c r="CP14" s="3"/>
      <c r="CQ14" s="3"/>
      <c r="CR14" s="3"/>
      <c r="CS14" s="3"/>
      <c r="CT14" s="3"/>
      <c r="CU14" s="3"/>
      <c r="CV14" s="3"/>
      <c r="CW14" s="3"/>
      <c r="CX14" s="3"/>
      <c r="CY14" s="3"/>
      <c r="CZ14" s="3"/>
      <c r="DA14" s="3"/>
    </row>
    <row r="15" spans="1:105" ht="15" customHeight="1" x14ac:dyDescent="0.2">
      <c r="A15" s="5" t="s">
        <v>368</v>
      </c>
      <c r="B15" s="5" t="s">
        <v>369</v>
      </c>
      <c r="C15" s="5" t="s">
        <v>369</v>
      </c>
      <c r="D15" s="5" t="s">
        <v>350</v>
      </c>
      <c r="E15" s="5" t="s">
        <v>350</v>
      </c>
      <c r="F15" s="5" t="s">
        <v>350</v>
      </c>
      <c r="G15" s="5" t="s">
        <v>110</v>
      </c>
      <c r="H15" s="5" t="s">
        <v>111</v>
      </c>
      <c r="I15" s="5"/>
      <c r="J15" s="5" t="s">
        <v>113</v>
      </c>
      <c r="K15" s="5" t="s">
        <v>115</v>
      </c>
      <c r="L15" s="5" t="s">
        <v>115</v>
      </c>
      <c r="M15" s="5" t="s">
        <v>115</v>
      </c>
      <c r="N15" s="5" t="s">
        <v>115</v>
      </c>
      <c r="O15" s="5" t="s">
        <v>115</v>
      </c>
      <c r="P15" s="5" t="s">
        <v>114</v>
      </c>
      <c r="Q15" s="5" t="s">
        <v>370</v>
      </c>
      <c r="R15" s="5" t="s">
        <v>371</v>
      </c>
      <c r="S15" s="5" t="s">
        <v>372</v>
      </c>
      <c r="T15" s="5" t="s">
        <v>180</v>
      </c>
      <c r="U15" s="5" t="s">
        <v>119</v>
      </c>
      <c r="V15" s="5" t="s">
        <v>119</v>
      </c>
      <c r="W15" s="5" t="s">
        <v>120</v>
      </c>
      <c r="X15" s="5"/>
      <c r="Y15" s="5"/>
      <c r="Z15" s="5" t="s">
        <v>119</v>
      </c>
      <c r="AA15" s="5" t="s">
        <v>121</v>
      </c>
      <c r="AB15" s="5" t="s">
        <v>122</v>
      </c>
      <c r="AC15" s="5" t="s">
        <v>217</v>
      </c>
      <c r="AD15" s="5" t="s">
        <v>145</v>
      </c>
      <c r="AE15" s="5" t="s">
        <v>373</v>
      </c>
      <c r="AF15" s="5" t="s">
        <v>374</v>
      </c>
      <c r="AG15" s="5" t="s">
        <v>166</v>
      </c>
      <c r="AH15" s="5" t="s">
        <v>375</v>
      </c>
      <c r="AI15" s="5" t="s">
        <v>375</v>
      </c>
      <c r="AJ15" s="5"/>
      <c r="AK15" s="5" t="s">
        <v>376</v>
      </c>
      <c r="AL15" s="5"/>
      <c r="AM15" s="5">
        <v>0</v>
      </c>
      <c r="AN15" s="5" t="s">
        <v>377</v>
      </c>
      <c r="AO15" s="5"/>
      <c r="AP15" s="5" t="s">
        <v>377</v>
      </c>
      <c r="AQ15" s="5"/>
      <c r="AR15" s="5" t="s">
        <v>376</v>
      </c>
      <c r="AS15" s="5">
        <v>8.6999999999999993</v>
      </c>
      <c r="AT15" s="5">
        <v>0.46</v>
      </c>
      <c r="AU15" s="5" t="s">
        <v>378</v>
      </c>
      <c r="AV15" s="5" t="s">
        <v>378</v>
      </c>
      <c r="AW15" s="5"/>
      <c r="AX15" s="5" t="s">
        <v>379</v>
      </c>
      <c r="AY15" s="5"/>
      <c r="AZ15" s="5">
        <v>7.4</v>
      </c>
      <c r="BA15" s="5">
        <v>0.8</v>
      </c>
      <c r="BB15" s="5" t="s">
        <v>132</v>
      </c>
      <c r="BC15" s="5">
        <v>674</v>
      </c>
      <c r="BD15" s="6">
        <v>41976</v>
      </c>
      <c r="BE15" s="6">
        <v>42917</v>
      </c>
      <c r="BF15" s="6">
        <v>43067</v>
      </c>
      <c r="BG15" s="6">
        <v>43259</v>
      </c>
      <c r="BH15" s="5">
        <v>6.3</v>
      </c>
      <c r="BI15" s="6">
        <v>43070</v>
      </c>
      <c r="BJ15" s="6">
        <v>43208</v>
      </c>
      <c r="BK15" s="5">
        <v>4.5</v>
      </c>
      <c r="BL15" s="6">
        <v>43374</v>
      </c>
      <c r="BM15" s="6">
        <v>43712</v>
      </c>
      <c r="BN15" s="5">
        <v>11.1</v>
      </c>
      <c r="BO15" s="6">
        <v>43333</v>
      </c>
      <c r="BP15" s="6">
        <v>43066</v>
      </c>
      <c r="BQ15" s="5">
        <v>8.8000000000000007</v>
      </c>
      <c r="BR15" s="6">
        <v>43067</v>
      </c>
      <c r="BS15" s="6">
        <v>43259</v>
      </c>
      <c r="BT15" s="5">
        <v>6.3</v>
      </c>
      <c r="BU15" s="5" t="s">
        <v>380</v>
      </c>
      <c r="BV15" s="5" t="s">
        <v>381</v>
      </c>
      <c r="BW15" s="5" t="s">
        <v>382</v>
      </c>
      <c r="BX15" s="6">
        <v>42905</v>
      </c>
      <c r="BY15" s="6">
        <v>45981</v>
      </c>
      <c r="BZ15" s="5" t="s">
        <v>136</v>
      </c>
      <c r="CA15" s="5" t="s">
        <v>383</v>
      </c>
      <c r="CB15" s="5" t="s">
        <v>179</v>
      </c>
      <c r="CC15" s="5"/>
      <c r="CD15" s="5" t="s">
        <v>384</v>
      </c>
      <c r="CE15" s="5" t="s">
        <v>179</v>
      </c>
      <c r="CF15" s="5"/>
      <c r="CG15" s="5"/>
      <c r="CH15" s="5"/>
      <c r="CI15" s="5"/>
      <c r="CJ15" s="5"/>
      <c r="CK15" s="5"/>
      <c r="CL15" s="5"/>
      <c r="CM15" s="5"/>
      <c r="CN15" s="5"/>
      <c r="CO15" s="5"/>
      <c r="CP15" s="5"/>
      <c r="CQ15" s="5"/>
      <c r="CR15" s="5"/>
      <c r="CS15" s="5"/>
      <c r="CT15" s="5"/>
      <c r="CU15" s="5"/>
      <c r="CV15" s="5"/>
      <c r="CW15" s="5"/>
      <c r="CX15" s="5"/>
      <c r="CY15" s="5"/>
      <c r="CZ15" s="5"/>
      <c r="DA15" s="5"/>
    </row>
    <row r="16" spans="1:105" ht="15" customHeight="1" x14ac:dyDescent="0.2">
      <c r="A16" s="3" t="s">
        <v>278</v>
      </c>
      <c r="B16" s="3" t="s">
        <v>279</v>
      </c>
      <c r="C16" s="3" t="s">
        <v>279</v>
      </c>
      <c r="D16" s="3" t="s">
        <v>280</v>
      </c>
      <c r="E16" s="3" t="s">
        <v>281</v>
      </c>
      <c r="F16" s="3" t="s">
        <v>282</v>
      </c>
      <c r="G16" s="3" t="s">
        <v>110</v>
      </c>
      <c r="H16" s="3" t="s">
        <v>259</v>
      </c>
      <c r="I16" s="3" t="s">
        <v>181</v>
      </c>
      <c r="J16" s="3" t="s">
        <v>113</v>
      </c>
      <c r="K16" s="3" t="s">
        <v>115</v>
      </c>
      <c r="L16" s="3" t="s">
        <v>115</v>
      </c>
      <c r="M16" s="3" t="s">
        <v>115</v>
      </c>
      <c r="N16" s="3" t="s">
        <v>115</v>
      </c>
      <c r="O16" s="3" t="s">
        <v>115</v>
      </c>
      <c r="P16" s="3" t="s">
        <v>114</v>
      </c>
      <c r="Q16" s="3" t="s">
        <v>385</v>
      </c>
      <c r="R16" s="3" t="s">
        <v>386</v>
      </c>
      <c r="S16" s="3" t="s">
        <v>286</v>
      </c>
      <c r="T16" s="3" t="s">
        <v>387</v>
      </c>
      <c r="U16" s="3" t="s">
        <v>120</v>
      </c>
      <c r="V16" s="3" t="s">
        <v>119</v>
      </c>
      <c r="W16" s="3" t="s">
        <v>120</v>
      </c>
      <c r="X16" s="3" t="s">
        <v>388</v>
      </c>
      <c r="Y16" s="3" t="s">
        <v>138</v>
      </c>
      <c r="Z16" s="3" t="s">
        <v>119</v>
      </c>
      <c r="AA16" s="3" t="s">
        <v>121</v>
      </c>
      <c r="AB16" s="3" t="s">
        <v>122</v>
      </c>
      <c r="AC16" s="3" t="s">
        <v>217</v>
      </c>
      <c r="AD16" s="3" t="s">
        <v>124</v>
      </c>
      <c r="AE16" s="3" t="s">
        <v>389</v>
      </c>
      <c r="AF16" s="3" t="s">
        <v>390</v>
      </c>
      <c r="AG16" s="3" t="s">
        <v>358</v>
      </c>
      <c r="AH16" s="3" t="s">
        <v>391</v>
      </c>
      <c r="AI16" s="3" t="s">
        <v>392</v>
      </c>
      <c r="AJ16" s="3" t="s">
        <v>393</v>
      </c>
      <c r="AK16" s="3" t="s">
        <v>394</v>
      </c>
      <c r="AL16" s="3" t="s">
        <v>394</v>
      </c>
      <c r="AM16" s="3">
        <v>28</v>
      </c>
      <c r="AN16" s="3" t="s">
        <v>395</v>
      </c>
      <c r="AO16" s="3"/>
      <c r="AP16" s="3" t="s">
        <v>395</v>
      </c>
      <c r="AQ16" s="3"/>
      <c r="AR16" s="3" t="s">
        <v>396</v>
      </c>
      <c r="AS16" s="3">
        <v>4.0999999999999996</v>
      </c>
      <c r="AT16" s="3">
        <v>0.5</v>
      </c>
      <c r="AU16" s="3" t="s">
        <v>397</v>
      </c>
      <c r="AV16" s="3" t="s">
        <v>398</v>
      </c>
      <c r="AW16" s="3" t="s">
        <v>399</v>
      </c>
      <c r="AX16" s="3" t="s">
        <v>396</v>
      </c>
      <c r="AY16" s="3" t="s">
        <v>396</v>
      </c>
      <c r="AZ16" s="3">
        <v>11.4</v>
      </c>
      <c r="BA16" s="3">
        <v>0.6</v>
      </c>
      <c r="BB16" s="3" t="s">
        <v>132</v>
      </c>
      <c r="BC16" s="3">
        <v>616</v>
      </c>
      <c r="BD16" s="4">
        <v>42384</v>
      </c>
      <c r="BE16" s="4">
        <v>43101</v>
      </c>
      <c r="BF16" s="4">
        <v>43172</v>
      </c>
      <c r="BG16" s="4">
        <v>43353</v>
      </c>
      <c r="BH16" s="3">
        <v>5.9</v>
      </c>
      <c r="BI16" s="4">
        <v>43182</v>
      </c>
      <c r="BJ16" s="4">
        <v>43332</v>
      </c>
      <c r="BK16" s="3">
        <v>4.9000000000000004</v>
      </c>
      <c r="BL16" s="4">
        <v>43374</v>
      </c>
      <c r="BM16" s="4">
        <v>43556</v>
      </c>
      <c r="BN16" s="3">
        <v>6</v>
      </c>
      <c r="BO16" s="4">
        <v>43455</v>
      </c>
      <c r="BP16" s="4">
        <v>43321</v>
      </c>
      <c r="BQ16" s="3">
        <v>4.4000000000000004</v>
      </c>
      <c r="BR16" s="4">
        <v>43172</v>
      </c>
      <c r="BS16" s="4">
        <v>43353</v>
      </c>
      <c r="BT16" s="3">
        <v>5.9</v>
      </c>
      <c r="BU16" s="3" t="s">
        <v>400</v>
      </c>
      <c r="BV16" s="3" t="s">
        <v>401</v>
      </c>
      <c r="BW16" s="3" t="s">
        <v>402</v>
      </c>
      <c r="BX16" s="4">
        <v>43047</v>
      </c>
      <c r="BY16" s="4">
        <v>45099</v>
      </c>
      <c r="BZ16" s="3" t="s">
        <v>136</v>
      </c>
      <c r="CA16" s="3" t="s">
        <v>191</v>
      </c>
      <c r="CB16" s="3"/>
      <c r="CC16" s="3" t="s">
        <v>329</v>
      </c>
      <c r="CD16" s="3" t="s">
        <v>403</v>
      </c>
      <c r="CE16" s="3"/>
      <c r="CF16" s="3"/>
      <c r="CG16" s="3"/>
      <c r="CH16" s="3"/>
      <c r="CI16" s="3"/>
      <c r="CJ16" s="3"/>
      <c r="CK16" s="3"/>
      <c r="CL16" s="3"/>
      <c r="CM16" s="3"/>
      <c r="CN16" s="3"/>
      <c r="CO16" s="3"/>
      <c r="CP16" s="3"/>
      <c r="CQ16" s="3"/>
      <c r="CR16" s="3"/>
      <c r="CS16" s="3"/>
      <c r="CT16" s="3"/>
      <c r="CU16" s="3"/>
      <c r="CV16" s="3"/>
      <c r="CW16" s="3"/>
      <c r="CX16" s="3"/>
      <c r="CY16" s="3"/>
      <c r="CZ16" s="3"/>
      <c r="DA16" s="3"/>
    </row>
    <row r="17" spans="1:105" ht="15" customHeight="1" x14ac:dyDescent="0.2">
      <c r="A17" s="5" t="s">
        <v>404</v>
      </c>
      <c r="B17" s="5" t="s">
        <v>405</v>
      </c>
      <c r="C17" s="5" t="s">
        <v>405</v>
      </c>
      <c r="D17" s="5" t="s">
        <v>235</v>
      </c>
      <c r="E17" s="5" t="s">
        <v>235</v>
      </c>
      <c r="F17" s="5" t="s">
        <v>235</v>
      </c>
      <c r="G17" s="5" t="s">
        <v>110</v>
      </c>
      <c r="H17" s="5" t="s">
        <v>111</v>
      </c>
      <c r="I17" s="5"/>
      <c r="J17" s="5" t="s">
        <v>113</v>
      </c>
      <c r="K17" s="5" t="s">
        <v>115</v>
      </c>
      <c r="L17" s="5" t="s">
        <v>115</v>
      </c>
      <c r="M17" s="5" t="s">
        <v>115</v>
      </c>
      <c r="N17" s="5" t="s">
        <v>115</v>
      </c>
      <c r="O17" s="5" t="s">
        <v>115</v>
      </c>
      <c r="P17" s="5" t="s">
        <v>114</v>
      </c>
      <c r="Q17" s="5" t="s">
        <v>406</v>
      </c>
      <c r="R17" s="5" t="s">
        <v>407</v>
      </c>
      <c r="S17" s="5" t="s">
        <v>161</v>
      </c>
      <c r="T17" s="5" t="s">
        <v>162</v>
      </c>
      <c r="U17" s="5" t="s">
        <v>119</v>
      </c>
      <c r="V17" s="5" t="s">
        <v>119</v>
      </c>
      <c r="W17" s="5" t="s">
        <v>120</v>
      </c>
      <c r="X17" s="5"/>
      <c r="Y17" s="5"/>
      <c r="Z17" s="5" t="s">
        <v>119</v>
      </c>
      <c r="AA17" s="5" t="s">
        <v>163</v>
      </c>
      <c r="AB17" s="5" t="s">
        <v>122</v>
      </c>
      <c r="AC17" s="5" t="s">
        <v>217</v>
      </c>
      <c r="AD17" s="5" t="s">
        <v>145</v>
      </c>
      <c r="AE17" s="5" t="s">
        <v>408</v>
      </c>
      <c r="AF17" s="5" t="s">
        <v>409</v>
      </c>
      <c r="AG17" s="5" t="s">
        <v>166</v>
      </c>
      <c r="AH17" s="5" t="s">
        <v>410</v>
      </c>
      <c r="AI17" s="5" t="s">
        <v>411</v>
      </c>
      <c r="AJ17" s="5" t="s">
        <v>412</v>
      </c>
      <c r="AK17" s="5" t="s">
        <v>413</v>
      </c>
      <c r="AL17" s="5" t="s">
        <v>414</v>
      </c>
      <c r="AM17" s="5">
        <v>0</v>
      </c>
      <c r="AN17" s="5" t="s">
        <v>415</v>
      </c>
      <c r="AO17" s="5">
        <v>14.7</v>
      </c>
      <c r="AP17" s="5" t="s">
        <v>416</v>
      </c>
      <c r="AQ17" s="5"/>
      <c r="AR17" s="5"/>
      <c r="AS17" s="5">
        <v>0</v>
      </c>
      <c r="AT17" s="5"/>
      <c r="AU17" s="5" t="s">
        <v>417</v>
      </c>
      <c r="AV17" s="5" t="s">
        <v>418</v>
      </c>
      <c r="AW17" s="5" t="s">
        <v>419</v>
      </c>
      <c r="AX17" s="5" t="s">
        <v>420</v>
      </c>
      <c r="AY17" s="5" t="s">
        <v>421</v>
      </c>
      <c r="AZ17" s="5">
        <v>0</v>
      </c>
      <c r="BA17" s="5">
        <v>0.67</v>
      </c>
      <c r="BB17" s="5" t="s">
        <v>132</v>
      </c>
      <c r="BC17" s="5">
        <v>452</v>
      </c>
      <c r="BD17" s="6">
        <v>41403</v>
      </c>
      <c r="BE17" s="6">
        <v>42887</v>
      </c>
      <c r="BF17" s="6">
        <v>43140</v>
      </c>
      <c r="BG17" s="6">
        <v>43558</v>
      </c>
      <c r="BH17" s="5">
        <v>13.7</v>
      </c>
      <c r="BI17" s="6">
        <v>43131</v>
      </c>
      <c r="BJ17" s="6">
        <v>43370</v>
      </c>
      <c r="BK17" s="5">
        <v>7.8</v>
      </c>
      <c r="BL17" s="6">
        <v>43241</v>
      </c>
      <c r="BM17" s="6">
        <v>43602</v>
      </c>
      <c r="BN17" s="5">
        <v>11.8</v>
      </c>
      <c r="BO17" s="6">
        <v>43473</v>
      </c>
      <c r="BP17" s="6">
        <v>43248</v>
      </c>
      <c r="BQ17" s="5">
        <v>7.4</v>
      </c>
      <c r="BR17" s="6">
        <v>43140</v>
      </c>
      <c r="BS17" s="6">
        <v>43558</v>
      </c>
      <c r="BT17" s="5">
        <v>13.7</v>
      </c>
      <c r="BU17" s="5" t="s">
        <v>422</v>
      </c>
      <c r="BV17" s="5" t="s">
        <v>423</v>
      </c>
      <c r="BW17" s="5" t="s">
        <v>424</v>
      </c>
      <c r="BX17" s="6">
        <v>42580</v>
      </c>
      <c r="BY17" s="6">
        <v>44588</v>
      </c>
      <c r="BZ17" s="5" t="s">
        <v>136</v>
      </c>
      <c r="CA17" s="5" t="s">
        <v>425</v>
      </c>
      <c r="CB17" s="5" t="s">
        <v>426</v>
      </c>
      <c r="CC17" s="5"/>
      <c r="CD17" s="5" t="s">
        <v>427</v>
      </c>
      <c r="CE17" s="5" t="s">
        <v>428</v>
      </c>
      <c r="CF17" s="5"/>
      <c r="CG17" s="5"/>
      <c r="CH17" s="5"/>
      <c r="CI17" s="5"/>
      <c r="CJ17" s="5"/>
      <c r="CK17" s="5"/>
      <c r="CL17" s="5"/>
      <c r="CM17" s="5"/>
      <c r="CN17" s="5"/>
      <c r="CO17" s="5"/>
      <c r="CP17" s="5"/>
      <c r="CQ17" s="5"/>
      <c r="CR17" s="5"/>
      <c r="CS17" s="5"/>
      <c r="CT17" s="5"/>
      <c r="CU17" s="5"/>
      <c r="CV17" s="5"/>
      <c r="CW17" s="5"/>
      <c r="CX17" s="5"/>
      <c r="CY17" s="5"/>
      <c r="CZ17" s="5"/>
      <c r="DA17" s="5"/>
    </row>
    <row r="18" spans="1:105" ht="15" customHeight="1" x14ac:dyDescent="0.2">
      <c r="A18" s="3" t="s">
        <v>278</v>
      </c>
      <c r="B18" s="3" t="s">
        <v>279</v>
      </c>
      <c r="C18" s="3" t="s">
        <v>279</v>
      </c>
      <c r="D18" s="3" t="s">
        <v>280</v>
      </c>
      <c r="E18" s="3" t="s">
        <v>281</v>
      </c>
      <c r="F18" s="3" t="s">
        <v>282</v>
      </c>
      <c r="G18" s="3" t="s">
        <v>110</v>
      </c>
      <c r="H18" s="3" t="s">
        <v>259</v>
      </c>
      <c r="I18" s="3" t="s">
        <v>260</v>
      </c>
      <c r="J18" s="3" t="s">
        <v>113</v>
      </c>
      <c r="K18" s="3" t="s">
        <v>115</v>
      </c>
      <c r="L18" s="3" t="s">
        <v>115</v>
      </c>
      <c r="M18" s="3" t="s">
        <v>115</v>
      </c>
      <c r="N18" s="3" t="s">
        <v>115</v>
      </c>
      <c r="O18" s="3" t="s">
        <v>115</v>
      </c>
      <c r="P18" s="3" t="s">
        <v>114</v>
      </c>
      <c r="Q18" s="3" t="s">
        <v>429</v>
      </c>
      <c r="R18" s="3" t="s">
        <v>430</v>
      </c>
      <c r="S18" s="3" t="s">
        <v>286</v>
      </c>
      <c r="T18" s="3" t="s">
        <v>287</v>
      </c>
      <c r="U18" s="3" t="s">
        <v>120</v>
      </c>
      <c r="V18" s="3" t="s">
        <v>119</v>
      </c>
      <c r="W18" s="3" t="s">
        <v>120</v>
      </c>
      <c r="X18" s="3"/>
      <c r="Y18" s="3"/>
      <c r="Z18" s="3" t="s">
        <v>119</v>
      </c>
      <c r="AA18" s="3" t="s">
        <v>121</v>
      </c>
      <c r="AB18" s="3" t="s">
        <v>122</v>
      </c>
      <c r="AC18" s="3" t="s">
        <v>217</v>
      </c>
      <c r="AD18" s="3" t="s">
        <v>124</v>
      </c>
      <c r="AE18" s="3" t="s">
        <v>431</v>
      </c>
      <c r="AF18" s="3" t="s">
        <v>432</v>
      </c>
      <c r="AG18" s="3" t="s">
        <v>358</v>
      </c>
      <c r="AH18" s="3" t="s">
        <v>433</v>
      </c>
      <c r="AI18" s="3" t="s">
        <v>434</v>
      </c>
      <c r="AJ18" s="3" t="s">
        <v>435</v>
      </c>
      <c r="AK18" s="3" t="s">
        <v>396</v>
      </c>
      <c r="AL18" s="3" t="s">
        <v>396</v>
      </c>
      <c r="AM18" s="3">
        <v>23</v>
      </c>
      <c r="AN18" s="3" t="s">
        <v>436</v>
      </c>
      <c r="AO18" s="3"/>
      <c r="AP18" s="3" t="s">
        <v>436</v>
      </c>
      <c r="AQ18" s="3"/>
      <c r="AR18" s="3" t="s">
        <v>437</v>
      </c>
      <c r="AS18" s="3">
        <v>2.9</v>
      </c>
      <c r="AT18" s="3">
        <v>0.56999999999999995</v>
      </c>
      <c r="AU18" s="3" t="s">
        <v>438</v>
      </c>
      <c r="AV18" s="3" t="s">
        <v>439</v>
      </c>
      <c r="AW18" s="3" t="s">
        <v>440</v>
      </c>
      <c r="AX18" s="3" t="s">
        <v>437</v>
      </c>
      <c r="AY18" s="3" t="s">
        <v>437</v>
      </c>
      <c r="AZ18" s="3">
        <v>5.4</v>
      </c>
      <c r="BA18" s="3">
        <v>0.71</v>
      </c>
      <c r="BB18" s="3" t="s">
        <v>132</v>
      </c>
      <c r="BC18" s="3">
        <v>559</v>
      </c>
      <c r="BD18" s="4">
        <v>42530</v>
      </c>
      <c r="BE18" s="4">
        <v>43191</v>
      </c>
      <c r="BF18" s="4">
        <v>43312</v>
      </c>
      <c r="BG18" s="4">
        <v>43538</v>
      </c>
      <c r="BH18" s="3">
        <v>7.4</v>
      </c>
      <c r="BI18" s="4">
        <v>43220</v>
      </c>
      <c r="BJ18" s="4">
        <v>43403</v>
      </c>
      <c r="BK18" s="3">
        <v>6</v>
      </c>
      <c r="BL18" s="4">
        <v>43405</v>
      </c>
      <c r="BM18" s="4">
        <v>43795</v>
      </c>
      <c r="BN18" s="3">
        <v>12.8</v>
      </c>
      <c r="BO18" s="4">
        <v>43455</v>
      </c>
      <c r="BP18" s="4">
        <v>43321</v>
      </c>
      <c r="BQ18" s="3">
        <v>4.4000000000000004</v>
      </c>
      <c r="BR18" s="4">
        <v>43312</v>
      </c>
      <c r="BS18" s="4">
        <v>43538</v>
      </c>
      <c r="BT18" s="3">
        <v>7.4</v>
      </c>
      <c r="BU18" s="3" t="s">
        <v>441</v>
      </c>
      <c r="BV18" s="3" t="s">
        <v>442</v>
      </c>
      <c r="BW18" s="3" t="s">
        <v>443</v>
      </c>
      <c r="BX18" s="4">
        <v>43193</v>
      </c>
      <c r="BY18" s="4">
        <v>45183</v>
      </c>
      <c r="BZ18" s="3" t="s">
        <v>136</v>
      </c>
      <c r="CA18" s="3" t="s">
        <v>383</v>
      </c>
      <c r="CB18" s="3"/>
      <c r="CC18" s="3"/>
      <c r="CD18" s="3" t="s">
        <v>444</v>
      </c>
      <c r="CE18" s="3"/>
      <c r="CF18" s="3"/>
      <c r="CG18" s="3"/>
      <c r="CH18" s="3"/>
      <c r="CI18" s="3"/>
      <c r="CJ18" s="3"/>
      <c r="CK18" s="3"/>
      <c r="CL18" s="3"/>
      <c r="CM18" s="3"/>
      <c r="CN18" s="3"/>
      <c r="CO18" s="3"/>
      <c r="CP18" s="3"/>
      <c r="CQ18" s="3"/>
      <c r="CR18" s="3"/>
      <c r="CS18" s="3"/>
      <c r="CT18" s="3"/>
      <c r="CU18" s="3"/>
      <c r="CV18" s="3"/>
      <c r="CW18" s="3"/>
      <c r="CX18" s="3"/>
      <c r="CY18" s="3"/>
      <c r="CZ18" s="3"/>
      <c r="DA18" s="3"/>
    </row>
    <row r="19" spans="1:105" ht="15" customHeight="1" x14ac:dyDescent="0.2">
      <c r="A19" s="5" t="s">
        <v>445</v>
      </c>
      <c r="B19" s="5" t="s">
        <v>446</v>
      </c>
      <c r="C19" s="5" t="s">
        <v>446</v>
      </c>
      <c r="D19" s="5" t="s">
        <v>107</v>
      </c>
      <c r="E19" s="5" t="s">
        <v>108</v>
      </c>
      <c r="F19" s="5" t="s">
        <v>332</v>
      </c>
      <c r="G19" s="5" t="s">
        <v>110</v>
      </c>
      <c r="H19" s="5" t="s">
        <v>259</v>
      </c>
      <c r="I19" s="5" t="s">
        <v>181</v>
      </c>
      <c r="J19" s="5" t="s">
        <v>113</v>
      </c>
      <c r="K19" s="5" t="s">
        <v>115</v>
      </c>
      <c r="L19" s="5" t="s">
        <v>115</v>
      </c>
      <c r="M19" s="5" t="s">
        <v>114</v>
      </c>
      <c r="N19" s="5" t="s">
        <v>115</v>
      </c>
      <c r="O19" s="5" t="s">
        <v>115</v>
      </c>
      <c r="P19" s="5" t="s">
        <v>114</v>
      </c>
      <c r="Q19" s="5" t="s">
        <v>447</v>
      </c>
      <c r="R19" s="5" t="s">
        <v>448</v>
      </c>
      <c r="S19" s="5" t="s">
        <v>354</v>
      </c>
      <c r="T19" s="5" t="s">
        <v>449</v>
      </c>
      <c r="U19" s="5" t="s">
        <v>120</v>
      </c>
      <c r="V19" s="5" t="s">
        <v>119</v>
      </c>
      <c r="W19" s="5" t="s">
        <v>120</v>
      </c>
      <c r="X19" s="5" t="s">
        <v>388</v>
      </c>
      <c r="Y19" s="5" t="s">
        <v>105</v>
      </c>
      <c r="Z19" s="5" t="s">
        <v>119</v>
      </c>
      <c r="AA19" s="5" t="s">
        <v>356</v>
      </c>
      <c r="AB19" s="5" t="s">
        <v>122</v>
      </c>
      <c r="AC19" s="5" t="s">
        <v>217</v>
      </c>
      <c r="AD19" s="5" t="s">
        <v>124</v>
      </c>
      <c r="AE19" s="5" t="s">
        <v>450</v>
      </c>
      <c r="AF19" s="5" t="s">
        <v>451</v>
      </c>
      <c r="AG19" s="5" t="s">
        <v>358</v>
      </c>
      <c r="AH19" s="5" t="s">
        <v>452</v>
      </c>
      <c r="AI19" s="5" t="s">
        <v>453</v>
      </c>
      <c r="AJ19" s="5" t="s">
        <v>454</v>
      </c>
      <c r="AK19" s="5" t="s">
        <v>455</v>
      </c>
      <c r="AL19" s="5" t="s">
        <v>455</v>
      </c>
      <c r="AM19" s="5">
        <v>16</v>
      </c>
      <c r="AN19" s="5" t="s">
        <v>456</v>
      </c>
      <c r="AO19" s="5"/>
      <c r="AP19" s="5" t="s">
        <v>456</v>
      </c>
      <c r="AQ19" s="5"/>
      <c r="AR19" s="5" t="s">
        <v>457</v>
      </c>
      <c r="AS19" s="5">
        <v>1.5</v>
      </c>
      <c r="AT19" s="5">
        <v>0.56999999999999995</v>
      </c>
      <c r="AU19" s="5" t="s">
        <v>458</v>
      </c>
      <c r="AV19" s="5" t="s">
        <v>459</v>
      </c>
      <c r="AW19" s="5" t="s">
        <v>460</v>
      </c>
      <c r="AX19" s="5" t="s">
        <v>457</v>
      </c>
      <c r="AY19" s="5" t="s">
        <v>457</v>
      </c>
      <c r="AZ19" s="5">
        <v>4.9000000000000004</v>
      </c>
      <c r="BA19" s="5">
        <v>0.8</v>
      </c>
      <c r="BB19" s="5" t="s">
        <v>132</v>
      </c>
      <c r="BC19" s="5">
        <v>1202</v>
      </c>
      <c r="BD19" s="6">
        <v>42094</v>
      </c>
      <c r="BE19" s="6">
        <v>43040</v>
      </c>
      <c r="BF19" s="6">
        <v>43151</v>
      </c>
      <c r="BG19" s="6">
        <v>43532</v>
      </c>
      <c r="BH19" s="5">
        <v>12.5</v>
      </c>
      <c r="BI19" s="6">
        <v>43161</v>
      </c>
      <c r="BJ19" s="6">
        <v>43440</v>
      </c>
      <c r="BK19" s="5">
        <v>9.1</v>
      </c>
      <c r="BL19" s="5"/>
      <c r="BM19" s="5"/>
      <c r="BN19" s="5"/>
      <c r="BO19" s="6">
        <v>43455</v>
      </c>
      <c r="BP19" s="6">
        <v>43189</v>
      </c>
      <c r="BQ19" s="5">
        <v>8.6999999999999993</v>
      </c>
      <c r="BR19" s="6">
        <v>43151</v>
      </c>
      <c r="BS19" s="6">
        <v>43532</v>
      </c>
      <c r="BT19" s="5">
        <v>12.5</v>
      </c>
      <c r="BU19" s="5" t="s">
        <v>461</v>
      </c>
      <c r="BV19" s="5" t="s">
        <v>462</v>
      </c>
      <c r="BW19" s="5" t="s">
        <v>463</v>
      </c>
      <c r="BX19" s="6">
        <v>43721</v>
      </c>
      <c r="BY19" s="6">
        <v>44172</v>
      </c>
      <c r="BZ19" s="5" t="s">
        <v>136</v>
      </c>
      <c r="CA19" s="5" t="s">
        <v>137</v>
      </c>
      <c r="CB19" s="5"/>
      <c r="CC19" s="5"/>
      <c r="CD19" s="5" t="s">
        <v>464</v>
      </c>
      <c r="CE19" s="5" t="s">
        <v>301</v>
      </c>
      <c r="CF19" s="5"/>
      <c r="CG19" s="5"/>
      <c r="CH19" s="5"/>
      <c r="CI19" s="5"/>
      <c r="CJ19" s="5"/>
      <c r="CK19" s="5"/>
      <c r="CL19" s="5"/>
      <c r="CM19" s="5"/>
      <c r="CN19" s="5"/>
      <c r="CO19" s="5"/>
      <c r="CP19" s="5"/>
      <c r="CQ19" s="5"/>
      <c r="CR19" s="5"/>
      <c r="CS19" s="5"/>
      <c r="CT19" s="5"/>
      <c r="CU19" s="5"/>
      <c r="CV19" s="5"/>
      <c r="CW19" s="5"/>
      <c r="CX19" s="5"/>
      <c r="CY19" s="5"/>
      <c r="CZ19" s="5"/>
      <c r="DA19" s="5"/>
    </row>
    <row r="20" spans="1:105" ht="15" customHeight="1" x14ac:dyDescent="0.2">
      <c r="A20" s="3" t="s">
        <v>278</v>
      </c>
      <c r="B20" s="3" t="s">
        <v>279</v>
      </c>
      <c r="C20" s="3" t="s">
        <v>279</v>
      </c>
      <c r="D20" s="3" t="s">
        <v>280</v>
      </c>
      <c r="E20" s="3" t="s">
        <v>281</v>
      </c>
      <c r="F20" s="3" t="s">
        <v>282</v>
      </c>
      <c r="G20" s="3" t="s">
        <v>110</v>
      </c>
      <c r="H20" s="3" t="s">
        <v>259</v>
      </c>
      <c r="I20" s="3" t="s">
        <v>283</v>
      </c>
      <c r="J20" s="3" t="s">
        <v>113</v>
      </c>
      <c r="K20" s="3" t="s">
        <v>114</v>
      </c>
      <c r="L20" s="3" t="s">
        <v>115</v>
      </c>
      <c r="M20" s="3" t="s">
        <v>115</v>
      </c>
      <c r="N20" s="3" t="s">
        <v>115</v>
      </c>
      <c r="O20" s="3" t="s">
        <v>114</v>
      </c>
      <c r="P20" s="3" t="s">
        <v>114</v>
      </c>
      <c r="Q20" s="3" t="s">
        <v>465</v>
      </c>
      <c r="R20" s="3" t="s">
        <v>466</v>
      </c>
      <c r="S20" s="3" t="s">
        <v>286</v>
      </c>
      <c r="T20" s="3" t="s">
        <v>287</v>
      </c>
      <c r="U20" s="3" t="s">
        <v>120</v>
      </c>
      <c r="V20" s="3" t="s">
        <v>119</v>
      </c>
      <c r="W20" s="3" t="s">
        <v>120</v>
      </c>
      <c r="X20" s="3"/>
      <c r="Y20" s="3"/>
      <c r="Z20" s="3" t="s">
        <v>119</v>
      </c>
      <c r="AA20" s="3" t="s">
        <v>121</v>
      </c>
      <c r="AB20" s="3" t="s">
        <v>122</v>
      </c>
      <c r="AC20" s="3" t="s">
        <v>217</v>
      </c>
      <c r="AD20" s="3" t="s">
        <v>124</v>
      </c>
      <c r="AE20" s="3" t="s">
        <v>467</v>
      </c>
      <c r="AF20" s="3" t="s">
        <v>165</v>
      </c>
      <c r="AG20" s="3" t="s">
        <v>148</v>
      </c>
      <c r="AH20" s="3" t="s">
        <v>435</v>
      </c>
      <c r="AI20" s="3" t="s">
        <v>435</v>
      </c>
      <c r="AJ20" s="3"/>
      <c r="AK20" s="3" t="s">
        <v>468</v>
      </c>
      <c r="AL20" s="3"/>
      <c r="AM20" s="3">
        <v>0</v>
      </c>
      <c r="AN20" s="3" t="s">
        <v>469</v>
      </c>
      <c r="AO20" s="3"/>
      <c r="AP20" s="3" t="s">
        <v>469</v>
      </c>
      <c r="AQ20" s="3"/>
      <c r="AR20" s="3" t="s">
        <v>468</v>
      </c>
      <c r="AS20" s="3">
        <v>-1.1000000000000001</v>
      </c>
      <c r="AT20" s="3">
        <v>0.81</v>
      </c>
      <c r="AU20" s="3" t="s">
        <v>470</v>
      </c>
      <c r="AV20" s="3" t="s">
        <v>470</v>
      </c>
      <c r="AW20" s="3"/>
      <c r="AX20" s="3" t="s">
        <v>296</v>
      </c>
      <c r="AY20" s="3"/>
      <c r="AZ20" s="3">
        <v>4.5999999999999996</v>
      </c>
      <c r="BA20" s="3">
        <v>0.7</v>
      </c>
      <c r="BB20" s="3" t="s">
        <v>132</v>
      </c>
      <c r="BC20" s="3">
        <v>1274</v>
      </c>
      <c r="BD20" s="4">
        <v>41942</v>
      </c>
      <c r="BE20" s="4">
        <v>43191</v>
      </c>
      <c r="BF20" s="3"/>
      <c r="BG20" s="3"/>
      <c r="BH20" s="3"/>
      <c r="BI20" s="4">
        <v>43292</v>
      </c>
      <c r="BJ20" s="4">
        <v>43566</v>
      </c>
      <c r="BK20" s="3">
        <v>9</v>
      </c>
      <c r="BL20" s="4">
        <v>43435</v>
      </c>
      <c r="BM20" s="4">
        <v>43740</v>
      </c>
      <c r="BN20" s="3">
        <v>10</v>
      </c>
      <c r="BO20" s="4">
        <v>43455</v>
      </c>
      <c r="BP20" s="4">
        <v>43321</v>
      </c>
      <c r="BQ20" s="3">
        <v>4.4000000000000004</v>
      </c>
      <c r="BR20" s="3"/>
      <c r="BS20" s="3"/>
      <c r="BT20" s="3"/>
      <c r="BU20" s="3" t="s">
        <v>471</v>
      </c>
      <c r="BV20" s="3" t="s">
        <v>472</v>
      </c>
      <c r="BW20" s="3" t="s">
        <v>473</v>
      </c>
      <c r="BX20" s="4">
        <v>43347</v>
      </c>
      <c r="BY20" s="4">
        <v>44816</v>
      </c>
      <c r="BZ20" s="3" t="s">
        <v>136</v>
      </c>
      <c r="CA20" s="3" t="s">
        <v>137</v>
      </c>
      <c r="CB20" s="3" t="s">
        <v>474</v>
      </c>
      <c r="CC20" s="3" t="s">
        <v>329</v>
      </c>
      <c r="CD20" s="3" t="s">
        <v>475</v>
      </c>
      <c r="CE20" s="3" t="s">
        <v>474</v>
      </c>
      <c r="CF20" s="3"/>
      <c r="CG20" s="3"/>
      <c r="CH20" s="3"/>
      <c r="CI20" s="3"/>
      <c r="CJ20" s="3"/>
      <c r="CK20" s="3"/>
      <c r="CL20" s="3"/>
      <c r="CM20" s="3"/>
      <c r="CN20" s="3"/>
      <c r="CO20" s="3"/>
      <c r="CP20" s="3"/>
      <c r="CQ20" s="3"/>
      <c r="CR20" s="3"/>
      <c r="CS20" s="3"/>
      <c r="CT20" s="3"/>
      <c r="CU20" s="3"/>
      <c r="CV20" s="3"/>
      <c r="CW20" s="3"/>
      <c r="CX20" s="3"/>
      <c r="CY20" s="3"/>
      <c r="CZ20" s="3"/>
      <c r="DA20" s="3"/>
    </row>
    <row r="21" spans="1:105" ht="15" customHeight="1" x14ac:dyDescent="0.2">
      <c r="A21" s="5" t="s">
        <v>138</v>
      </c>
      <c r="B21" s="5" t="s">
        <v>139</v>
      </c>
      <c r="C21" s="5" t="s">
        <v>139</v>
      </c>
      <c r="D21" s="5" t="s">
        <v>140</v>
      </c>
      <c r="E21" s="5" t="s">
        <v>140</v>
      </c>
      <c r="F21" s="5" t="s">
        <v>282</v>
      </c>
      <c r="G21" s="5" t="s">
        <v>110</v>
      </c>
      <c r="H21" s="5" t="s">
        <v>259</v>
      </c>
      <c r="I21" s="5" t="s">
        <v>181</v>
      </c>
      <c r="J21" s="5" t="s">
        <v>113</v>
      </c>
      <c r="K21" s="5" t="s">
        <v>114</v>
      </c>
      <c r="L21" s="5" t="s">
        <v>115</v>
      </c>
      <c r="M21" s="5" t="s">
        <v>114</v>
      </c>
      <c r="N21" s="5" t="s">
        <v>114</v>
      </c>
      <c r="O21" s="5" t="s">
        <v>114</v>
      </c>
      <c r="P21" s="5" t="s">
        <v>114</v>
      </c>
      <c r="Q21" s="5" t="s">
        <v>385</v>
      </c>
      <c r="R21" s="5" t="s">
        <v>386</v>
      </c>
      <c r="S21" s="5" t="s">
        <v>142</v>
      </c>
      <c r="T21" s="5" t="s">
        <v>387</v>
      </c>
      <c r="U21" s="5" t="s">
        <v>120</v>
      </c>
      <c r="V21" s="5" t="s">
        <v>119</v>
      </c>
      <c r="W21" s="5" t="s">
        <v>120</v>
      </c>
      <c r="X21" s="5" t="s">
        <v>388</v>
      </c>
      <c r="Y21" s="5" t="s">
        <v>278</v>
      </c>
      <c r="Z21" s="5" t="s">
        <v>119</v>
      </c>
      <c r="AA21" s="5" t="s">
        <v>144</v>
      </c>
      <c r="AB21" s="5" t="s">
        <v>122</v>
      </c>
      <c r="AC21" s="5" t="s">
        <v>123</v>
      </c>
      <c r="AD21" s="5" t="s">
        <v>145</v>
      </c>
      <c r="AE21" s="5" t="s">
        <v>389</v>
      </c>
      <c r="AF21" s="5" t="s">
        <v>390</v>
      </c>
      <c r="AG21" s="5" t="s">
        <v>127</v>
      </c>
      <c r="AH21" s="5" t="s">
        <v>391</v>
      </c>
      <c r="AI21" s="5" t="s">
        <v>392</v>
      </c>
      <c r="AJ21" s="5" t="s">
        <v>393</v>
      </c>
      <c r="AK21" s="5" t="s">
        <v>476</v>
      </c>
      <c r="AL21" s="5" t="s">
        <v>476</v>
      </c>
      <c r="AM21" s="5">
        <v>29</v>
      </c>
      <c r="AN21" s="5" t="s">
        <v>477</v>
      </c>
      <c r="AO21" s="5"/>
      <c r="AP21" s="5" t="s">
        <v>477</v>
      </c>
      <c r="AQ21" s="5"/>
      <c r="AR21" s="5" t="s">
        <v>476</v>
      </c>
      <c r="AS21" s="5">
        <v>3.9</v>
      </c>
      <c r="AT21" s="5">
        <v>0.5</v>
      </c>
      <c r="AU21" s="5" t="s">
        <v>397</v>
      </c>
      <c r="AV21" s="5" t="s">
        <v>398</v>
      </c>
      <c r="AW21" s="5" t="s">
        <v>399</v>
      </c>
      <c r="AX21" s="5" t="s">
        <v>476</v>
      </c>
      <c r="AY21" s="5" t="s">
        <v>476</v>
      </c>
      <c r="AZ21" s="5">
        <v>0</v>
      </c>
      <c r="BA21" s="5">
        <v>0.6</v>
      </c>
      <c r="BB21" s="5" t="s">
        <v>132</v>
      </c>
      <c r="BC21" s="5">
        <v>616</v>
      </c>
      <c r="BD21" s="6">
        <v>42384</v>
      </c>
      <c r="BE21" s="6">
        <v>43101</v>
      </c>
      <c r="BF21" s="5"/>
      <c r="BG21" s="5"/>
      <c r="BH21" s="5"/>
      <c r="BI21" s="6">
        <v>43189</v>
      </c>
      <c r="BJ21" s="6">
        <v>43495</v>
      </c>
      <c r="BK21" s="5">
        <v>10</v>
      </c>
      <c r="BL21" s="5"/>
      <c r="BM21" s="5"/>
      <c r="BN21" s="5"/>
      <c r="BO21" s="5"/>
      <c r="BP21" s="5"/>
      <c r="BQ21" s="5"/>
      <c r="BR21" s="5"/>
      <c r="BS21" s="5"/>
      <c r="BT21" s="5"/>
      <c r="BU21" s="5" t="s">
        <v>478</v>
      </c>
      <c r="BV21" s="5" t="s">
        <v>401</v>
      </c>
      <c r="BW21" s="5" t="s">
        <v>402</v>
      </c>
      <c r="BX21" s="6">
        <v>43047</v>
      </c>
      <c r="BY21" s="6">
        <v>45099</v>
      </c>
      <c r="BZ21" s="5" t="s">
        <v>136</v>
      </c>
      <c r="CA21" s="5" t="s">
        <v>191</v>
      </c>
      <c r="CB21" s="5"/>
      <c r="CC21" s="5" t="s">
        <v>329</v>
      </c>
      <c r="CD21" s="5" t="s">
        <v>479</v>
      </c>
      <c r="CE21" s="5"/>
      <c r="CF21" s="5"/>
      <c r="CG21" s="5"/>
      <c r="CH21" s="5"/>
      <c r="CI21" s="5"/>
      <c r="CJ21" s="5"/>
      <c r="CK21" s="5"/>
      <c r="CL21" s="5"/>
      <c r="CM21" s="5"/>
      <c r="CN21" s="5"/>
      <c r="CO21" s="5"/>
      <c r="CP21" s="5"/>
      <c r="CQ21" s="5"/>
      <c r="CR21" s="5"/>
      <c r="CS21" s="5"/>
      <c r="CT21" s="5"/>
      <c r="CU21" s="5"/>
      <c r="CV21" s="5"/>
      <c r="CW21" s="5"/>
      <c r="CX21" s="5"/>
      <c r="CY21" s="5"/>
      <c r="CZ21" s="5"/>
      <c r="DA21" s="5"/>
    </row>
    <row r="22" spans="1:105" ht="15" customHeight="1" x14ac:dyDescent="0.2">
      <c r="A22" s="3" t="s">
        <v>105</v>
      </c>
      <c r="B22" s="3" t="s">
        <v>480</v>
      </c>
      <c r="C22" s="3" t="s">
        <v>480</v>
      </c>
      <c r="D22" s="3" t="s">
        <v>235</v>
      </c>
      <c r="E22" s="3" t="s">
        <v>235</v>
      </c>
      <c r="F22" s="3" t="s">
        <v>235</v>
      </c>
      <c r="G22" s="3" t="s">
        <v>110</v>
      </c>
      <c r="H22" s="3" t="s">
        <v>111</v>
      </c>
      <c r="I22" s="3" t="s">
        <v>181</v>
      </c>
      <c r="J22" s="3" t="s">
        <v>113</v>
      </c>
      <c r="K22" s="3" t="s">
        <v>115</v>
      </c>
      <c r="L22" s="3" t="s">
        <v>115</v>
      </c>
      <c r="M22" s="3" t="s">
        <v>114</v>
      </c>
      <c r="N22" s="3" t="s">
        <v>115</v>
      </c>
      <c r="O22" s="3" t="s">
        <v>115</v>
      </c>
      <c r="P22" s="3" t="s">
        <v>114</v>
      </c>
      <c r="Q22" s="3" t="s">
        <v>481</v>
      </c>
      <c r="R22" s="3" t="s">
        <v>482</v>
      </c>
      <c r="S22" s="3" t="s">
        <v>117</v>
      </c>
      <c r="T22" s="3" t="s">
        <v>118</v>
      </c>
      <c r="U22" s="3" t="s">
        <v>119</v>
      </c>
      <c r="V22" s="3" t="s">
        <v>120</v>
      </c>
      <c r="W22" s="3" t="s">
        <v>120</v>
      </c>
      <c r="X22" s="3"/>
      <c r="Y22" s="3"/>
      <c r="Z22" s="3" t="s">
        <v>119</v>
      </c>
      <c r="AA22" s="3"/>
      <c r="AB22" s="3" t="s">
        <v>122</v>
      </c>
      <c r="AC22" s="3" t="s">
        <v>217</v>
      </c>
      <c r="AD22" s="3" t="s">
        <v>124</v>
      </c>
      <c r="AE22" s="3" t="s">
        <v>483</v>
      </c>
      <c r="AF22" s="3" t="s">
        <v>484</v>
      </c>
      <c r="AG22" s="3" t="s">
        <v>33</v>
      </c>
      <c r="AH22" s="3" t="s">
        <v>485</v>
      </c>
      <c r="AI22" s="3" t="s">
        <v>485</v>
      </c>
      <c r="AJ22" s="3"/>
      <c r="AK22" s="3" t="s">
        <v>486</v>
      </c>
      <c r="AL22" s="3"/>
      <c r="AM22" s="3">
        <v>0</v>
      </c>
      <c r="AN22" s="3" t="s">
        <v>487</v>
      </c>
      <c r="AO22" s="3"/>
      <c r="AP22" s="3" t="s">
        <v>487</v>
      </c>
      <c r="AQ22" s="3"/>
      <c r="AR22" s="3" t="s">
        <v>486</v>
      </c>
      <c r="AS22" s="3">
        <v>0</v>
      </c>
      <c r="AT22" s="3"/>
      <c r="AU22" s="3" t="s">
        <v>488</v>
      </c>
      <c r="AV22" s="3" t="s">
        <v>488</v>
      </c>
      <c r="AW22" s="3"/>
      <c r="AX22" s="3" t="s">
        <v>486</v>
      </c>
      <c r="AY22" s="3"/>
      <c r="AZ22" s="3">
        <v>0</v>
      </c>
      <c r="BA22" s="3"/>
      <c r="BB22" s="3" t="s">
        <v>132</v>
      </c>
      <c r="BC22" s="3">
        <v>719</v>
      </c>
      <c r="BD22" s="4">
        <v>42095</v>
      </c>
      <c r="BE22" s="4">
        <v>42917</v>
      </c>
      <c r="BF22" s="4">
        <v>43132</v>
      </c>
      <c r="BG22" s="4">
        <v>43515</v>
      </c>
      <c r="BH22" s="3">
        <v>12.6</v>
      </c>
      <c r="BI22" s="4">
        <v>43280</v>
      </c>
      <c r="BJ22" s="4">
        <v>43644</v>
      </c>
      <c r="BK22" s="3">
        <v>11.9</v>
      </c>
      <c r="BL22" s="3"/>
      <c r="BM22" s="3"/>
      <c r="BN22" s="3"/>
      <c r="BO22" s="4">
        <v>43634</v>
      </c>
      <c r="BP22" s="4">
        <v>43307</v>
      </c>
      <c r="BQ22" s="3">
        <v>10.7</v>
      </c>
      <c r="BR22" s="4">
        <v>43132</v>
      </c>
      <c r="BS22" s="4">
        <v>43515</v>
      </c>
      <c r="BT22" s="3">
        <v>12.6</v>
      </c>
      <c r="BU22" s="3" t="s">
        <v>489</v>
      </c>
      <c r="BV22" s="3" t="s">
        <v>490</v>
      </c>
      <c r="BW22" s="3" t="s">
        <v>491</v>
      </c>
      <c r="BX22" s="4">
        <v>42856</v>
      </c>
      <c r="BY22" s="4">
        <v>43070</v>
      </c>
      <c r="BZ22" s="3" t="s">
        <v>136</v>
      </c>
      <c r="CA22" s="3" t="s">
        <v>492</v>
      </c>
      <c r="CB22" s="3"/>
      <c r="CC22" s="3" t="s">
        <v>493</v>
      </c>
      <c r="CD22" s="3"/>
      <c r="CE22" s="3"/>
      <c r="CF22" s="3"/>
      <c r="CG22" s="3"/>
      <c r="CH22" s="3"/>
      <c r="CI22" s="3"/>
      <c r="CJ22" s="3"/>
      <c r="CK22" s="3"/>
      <c r="CL22" s="3"/>
      <c r="CM22" s="3"/>
      <c r="CN22" s="3"/>
      <c r="CO22" s="3"/>
      <c r="CP22" s="3"/>
      <c r="CQ22" s="3"/>
      <c r="CR22" s="3"/>
      <c r="CS22" s="3"/>
      <c r="CT22" s="3"/>
      <c r="CU22" s="3"/>
      <c r="CV22" s="3"/>
      <c r="CW22" s="3"/>
      <c r="CX22" s="3"/>
      <c r="CY22" s="3"/>
      <c r="CZ22" s="3"/>
      <c r="DA22" s="3"/>
    </row>
    <row r="23" spans="1:105" ht="15" customHeight="1" x14ac:dyDescent="0.2">
      <c r="A23" s="5" t="s">
        <v>445</v>
      </c>
      <c r="B23" s="5" t="s">
        <v>446</v>
      </c>
      <c r="C23" s="5" t="s">
        <v>446</v>
      </c>
      <c r="D23" s="5" t="s">
        <v>107</v>
      </c>
      <c r="E23" s="5" t="s">
        <v>108</v>
      </c>
      <c r="F23" s="5" t="s">
        <v>332</v>
      </c>
      <c r="G23" s="5" t="s">
        <v>110</v>
      </c>
      <c r="H23" s="5" t="s">
        <v>259</v>
      </c>
      <c r="I23" s="5" t="s">
        <v>181</v>
      </c>
      <c r="J23" s="5" t="s">
        <v>113</v>
      </c>
      <c r="K23" s="5" t="s">
        <v>115</v>
      </c>
      <c r="L23" s="5" t="s">
        <v>115</v>
      </c>
      <c r="M23" s="5" t="s">
        <v>114</v>
      </c>
      <c r="N23" s="5" t="s">
        <v>115</v>
      </c>
      <c r="O23" s="5" t="s">
        <v>115</v>
      </c>
      <c r="P23" s="5" t="s">
        <v>114</v>
      </c>
      <c r="Q23" s="5" t="s">
        <v>494</v>
      </c>
      <c r="R23" s="5" t="s">
        <v>495</v>
      </c>
      <c r="S23" s="5" t="s">
        <v>354</v>
      </c>
      <c r="T23" s="5" t="s">
        <v>496</v>
      </c>
      <c r="U23" s="5" t="s">
        <v>120</v>
      </c>
      <c r="V23" s="5" t="s">
        <v>119</v>
      </c>
      <c r="W23" s="5" t="s">
        <v>120</v>
      </c>
      <c r="X23" s="5" t="s">
        <v>388</v>
      </c>
      <c r="Y23" s="5" t="s">
        <v>192</v>
      </c>
      <c r="Z23" s="5" t="s">
        <v>119</v>
      </c>
      <c r="AA23" s="5" t="s">
        <v>356</v>
      </c>
      <c r="AB23" s="5" t="s">
        <v>122</v>
      </c>
      <c r="AC23" s="5" t="s">
        <v>217</v>
      </c>
      <c r="AD23" s="5" t="s">
        <v>124</v>
      </c>
      <c r="AE23" s="5" t="s">
        <v>497</v>
      </c>
      <c r="AF23" s="5" t="s">
        <v>498</v>
      </c>
      <c r="AG23" s="5" t="s">
        <v>358</v>
      </c>
      <c r="AH23" s="5" t="s">
        <v>499</v>
      </c>
      <c r="AI23" s="5" t="s">
        <v>500</v>
      </c>
      <c r="AJ23" s="5" t="s">
        <v>501</v>
      </c>
      <c r="AK23" s="5" t="s">
        <v>502</v>
      </c>
      <c r="AL23" s="5" t="s">
        <v>502</v>
      </c>
      <c r="AM23" s="5">
        <v>0</v>
      </c>
      <c r="AN23" s="5" t="s">
        <v>503</v>
      </c>
      <c r="AO23" s="5"/>
      <c r="AP23" s="5" t="s">
        <v>503</v>
      </c>
      <c r="AQ23" s="5"/>
      <c r="AR23" s="5" t="s">
        <v>502</v>
      </c>
      <c r="AS23" s="5">
        <v>1.5</v>
      </c>
      <c r="AT23" s="5">
        <v>0.64</v>
      </c>
      <c r="AU23" s="5" t="s">
        <v>504</v>
      </c>
      <c r="AV23" s="5" t="s">
        <v>505</v>
      </c>
      <c r="AW23" s="5" t="s">
        <v>187</v>
      </c>
      <c r="AX23" s="5" t="s">
        <v>502</v>
      </c>
      <c r="AY23" s="5" t="s">
        <v>502</v>
      </c>
      <c r="AZ23" s="5">
        <v>4.7</v>
      </c>
      <c r="BA23" s="5">
        <v>0.79</v>
      </c>
      <c r="BB23" s="5" t="s">
        <v>132</v>
      </c>
      <c r="BC23" s="5">
        <v>723</v>
      </c>
      <c r="BD23" s="6">
        <v>42110</v>
      </c>
      <c r="BE23" s="6">
        <v>43221</v>
      </c>
      <c r="BF23" s="6">
        <v>43374</v>
      </c>
      <c r="BG23" s="6">
        <v>43714</v>
      </c>
      <c r="BH23" s="5">
        <v>11.1</v>
      </c>
      <c r="BI23" s="6">
        <v>43406</v>
      </c>
      <c r="BJ23" s="6">
        <v>43802</v>
      </c>
      <c r="BK23" s="5">
        <v>13</v>
      </c>
      <c r="BL23" s="5"/>
      <c r="BM23" s="5"/>
      <c r="BN23" s="5"/>
      <c r="BO23" s="6">
        <v>43791</v>
      </c>
      <c r="BP23" s="6">
        <v>43488</v>
      </c>
      <c r="BQ23" s="5">
        <v>9.9</v>
      </c>
      <c r="BR23" s="6">
        <v>43374</v>
      </c>
      <c r="BS23" s="6">
        <v>43714</v>
      </c>
      <c r="BT23" s="5">
        <v>11.1</v>
      </c>
      <c r="BU23" s="5" t="s">
        <v>506</v>
      </c>
      <c r="BV23" s="5" t="s">
        <v>507</v>
      </c>
      <c r="BW23" s="5" t="s">
        <v>508</v>
      </c>
      <c r="BX23" s="6">
        <v>43174</v>
      </c>
      <c r="BY23" s="6">
        <v>44214</v>
      </c>
      <c r="BZ23" s="5" t="s">
        <v>136</v>
      </c>
      <c r="CA23" s="5" t="s">
        <v>137</v>
      </c>
      <c r="CB23" s="5"/>
      <c r="CC23" s="5"/>
      <c r="CD23" s="5" t="s">
        <v>509</v>
      </c>
      <c r="CE23" s="5"/>
      <c r="CF23" s="5"/>
      <c r="CG23" s="5"/>
      <c r="CH23" s="5"/>
      <c r="CI23" s="5"/>
      <c r="CJ23" s="5"/>
      <c r="CK23" s="5"/>
      <c r="CL23" s="5"/>
      <c r="CM23" s="5"/>
      <c r="CN23" s="5"/>
      <c r="CO23" s="5"/>
      <c r="CP23" s="5"/>
      <c r="CQ23" s="5"/>
      <c r="CR23" s="5"/>
      <c r="CS23" s="5"/>
      <c r="CT23" s="5"/>
      <c r="CU23" s="5"/>
      <c r="CV23" s="5"/>
      <c r="CW23" s="5"/>
      <c r="CX23" s="5"/>
      <c r="CY23" s="5"/>
      <c r="CZ23" s="5"/>
      <c r="DA23" s="5"/>
    </row>
    <row r="24" spans="1:105" ht="15" customHeight="1" x14ac:dyDescent="0.2">
      <c r="A24" s="3" t="s">
        <v>510</v>
      </c>
      <c r="B24" s="3" t="s">
        <v>511</v>
      </c>
      <c r="C24" s="3" t="s">
        <v>511</v>
      </c>
      <c r="D24" s="3" t="s">
        <v>140</v>
      </c>
      <c r="E24" s="3" t="s">
        <v>140</v>
      </c>
      <c r="F24" s="3" t="s">
        <v>140</v>
      </c>
      <c r="G24" s="3" t="s">
        <v>110</v>
      </c>
      <c r="H24" s="3" t="s">
        <v>259</v>
      </c>
      <c r="I24" s="3"/>
      <c r="J24" s="3" t="s">
        <v>113</v>
      </c>
      <c r="K24" s="3" t="s">
        <v>115</v>
      </c>
      <c r="L24" s="3" t="s">
        <v>115</v>
      </c>
      <c r="M24" s="3" t="s">
        <v>114</v>
      </c>
      <c r="N24" s="3" t="s">
        <v>115</v>
      </c>
      <c r="O24" s="3" t="s">
        <v>115</v>
      </c>
      <c r="P24" s="3" t="s">
        <v>114</v>
      </c>
      <c r="Q24" s="3" t="s">
        <v>512</v>
      </c>
      <c r="R24" s="3" t="s">
        <v>513</v>
      </c>
      <c r="S24" s="3" t="s">
        <v>514</v>
      </c>
      <c r="T24" s="3" t="s">
        <v>515</v>
      </c>
      <c r="U24" s="3" t="s">
        <v>119</v>
      </c>
      <c r="V24" s="3" t="s">
        <v>119</v>
      </c>
      <c r="W24" s="3" t="s">
        <v>120</v>
      </c>
      <c r="X24" s="3" t="s">
        <v>388</v>
      </c>
      <c r="Y24" s="3" t="s">
        <v>156</v>
      </c>
      <c r="Z24" s="3" t="s">
        <v>119</v>
      </c>
      <c r="AA24" s="3" t="s">
        <v>163</v>
      </c>
      <c r="AB24" s="3" t="s">
        <v>122</v>
      </c>
      <c r="AC24" s="3" t="s">
        <v>217</v>
      </c>
      <c r="AD24" s="3" t="s">
        <v>124</v>
      </c>
      <c r="AE24" s="3" t="s">
        <v>516</v>
      </c>
      <c r="AF24" s="3" t="s">
        <v>517</v>
      </c>
      <c r="AG24" s="3" t="s">
        <v>166</v>
      </c>
      <c r="AH24" s="3" t="s">
        <v>375</v>
      </c>
      <c r="AI24" s="3" t="s">
        <v>375</v>
      </c>
      <c r="AJ24" s="3"/>
      <c r="AK24" s="3" t="s">
        <v>518</v>
      </c>
      <c r="AL24" s="3"/>
      <c r="AM24" s="3">
        <v>1</v>
      </c>
      <c r="AN24" s="3" t="s">
        <v>519</v>
      </c>
      <c r="AO24" s="3"/>
      <c r="AP24" s="3" t="s">
        <v>519</v>
      </c>
      <c r="AQ24" s="3"/>
      <c r="AR24" s="3" t="s">
        <v>518</v>
      </c>
      <c r="AS24" s="3">
        <v>7</v>
      </c>
      <c r="AT24" s="3">
        <v>0.59</v>
      </c>
      <c r="AU24" s="3" t="s">
        <v>520</v>
      </c>
      <c r="AV24" s="3" t="s">
        <v>520</v>
      </c>
      <c r="AW24" s="3"/>
      <c r="AX24" s="3" t="s">
        <v>521</v>
      </c>
      <c r="AY24" s="3"/>
      <c r="AZ24" s="3">
        <v>5.0999999999999996</v>
      </c>
      <c r="BA24" s="3">
        <v>0.98</v>
      </c>
      <c r="BB24" s="3" t="s">
        <v>522</v>
      </c>
      <c r="BC24" s="3">
        <v>545</v>
      </c>
      <c r="BD24" s="4">
        <v>42130</v>
      </c>
      <c r="BE24" s="4">
        <v>43525</v>
      </c>
      <c r="BF24" s="4">
        <v>43643</v>
      </c>
      <c r="BG24" s="4">
        <v>43831</v>
      </c>
      <c r="BH24" s="3">
        <v>6.2</v>
      </c>
      <c r="BI24" s="4">
        <v>43675</v>
      </c>
      <c r="BJ24" s="4">
        <v>43980</v>
      </c>
      <c r="BK24" s="3">
        <v>10</v>
      </c>
      <c r="BL24" s="3"/>
      <c r="BM24" s="3"/>
      <c r="BN24" s="3"/>
      <c r="BO24" s="4">
        <v>44162</v>
      </c>
      <c r="BP24" s="4">
        <v>43862</v>
      </c>
      <c r="BQ24" s="3">
        <v>9.8000000000000007</v>
      </c>
      <c r="BR24" s="4">
        <v>43643</v>
      </c>
      <c r="BS24" s="4">
        <v>43831</v>
      </c>
      <c r="BT24" s="3">
        <v>6.2</v>
      </c>
      <c r="BU24" s="3" t="s">
        <v>523</v>
      </c>
      <c r="BV24" s="3" t="s">
        <v>524</v>
      </c>
      <c r="BW24" s="3" t="s">
        <v>525</v>
      </c>
      <c r="BX24" s="4">
        <v>43488</v>
      </c>
      <c r="BY24" s="4">
        <v>46357</v>
      </c>
      <c r="BZ24" s="3" t="s">
        <v>136</v>
      </c>
      <c r="CA24" s="3" t="s">
        <v>492</v>
      </c>
      <c r="CB24" s="3" t="s">
        <v>179</v>
      </c>
      <c r="CC24" s="3"/>
      <c r="CD24" s="3" t="s">
        <v>526</v>
      </c>
      <c r="CE24" s="3" t="s">
        <v>179</v>
      </c>
      <c r="CF24" s="3"/>
      <c r="CG24" s="3"/>
      <c r="CH24" s="3"/>
      <c r="CI24" s="3"/>
      <c r="CJ24" s="3"/>
      <c r="CK24" s="3"/>
      <c r="CL24" s="3"/>
      <c r="CM24" s="3"/>
      <c r="CN24" s="3"/>
      <c r="CO24" s="3"/>
      <c r="CP24" s="3"/>
      <c r="CQ24" s="3"/>
      <c r="CR24" s="3"/>
      <c r="CS24" s="3"/>
      <c r="CT24" s="3"/>
      <c r="CU24" s="3"/>
      <c r="CV24" s="3"/>
      <c r="CW24" s="3"/>
      <c r="CX24" s="3"/>
      <c r="CY24" s="3"/>
      <c r="CZ24" s="3"/>
      <c r="DA24" s="3"/>
    </row>
    <row r="25" spans="1:105" ht="15" customHeight="1" x14ac:dyDescent="0.2">
      <c r="A25" s="5" t="s">
        <v>527</v>
      </c>
      <c r="B25" s="5" t="s">
        <v>528</v>
      </c>
      <c r="C25" s="5" t="s">
        <v>528</v>
      </c>
      <c r="D25" s="5" t="s">
        <v>529</v>
      </c>
      <c r="E25" s="5" t="s">
        <v>529</v>
      </c>
      <c r="F25" s="5" t="s">
        <v>529</v>
      </c>
      <c r="G25" s="5" t="s">
        <v>110</v>
      </c>
      <c r="H25" s="5" t="s">
        <v>111</v>
      </c>
      <c r="I25" s="5" t="s">
        <v>530</v>
      </c>
      <c r="J25" s="5" t="s">
        <v>113</v>
      </c>
      <c r="K25" s="5" t="s">
        <v>115</v>
      </c>
      <c r="L25" s="5" t="s">
        <v>115</v>
      </c>
      <c r="M25" s="5" t="s">
        <v>115</v>
      </c>
      <c r="N25" s="5" t="s">
        <v>115</v>
      </c>
      <c r="O25" s="5" t="s">
        <v>115</v>
      </c>
      <c r="P25" s="5" t="s">
        <v>114</v>
      </c>
      <c r="Q25" s="5" t="s">
        <v>531</v>
      </c>
      <c r="R25" s="5" t="s">
        <v>532</v>
      </c>
      <c r="S25" s="5" t="s">
        <v>335</v>
      </c>
      <c r="T25" s="5" t="s">
        <v>533</v>
      </c>
      <c r="U25" s="5" t="s">
        <v>119</v>
      </c>
      <c r="V25" s="5" t="s">
        <v>119</v>
      </c>
      <c r="W25" s="5" t="s">
        <v>120</v>
      </c>
      <c r="X25" s="5"/>
      <c r="Y25" s="5"/>
      <c r="Z25" s="5" t="s">
        <v>119</v>
      </c>
      <c r="AA25" s="5" t="s">
        <v>163</v>
      </c>
      <c r="AB25" s="5" t="s">
        <v>122</v>
      </c>
      <c r="AC25" s="5" t="s">
        <v>217</v>
      </c>
      <c r="AD25" s="5" t="s">
        <v>145</v>
      </c>
      <c r="AE25" s="5" t="s">
        <v>534</v>
      </c>
      <c r="AF25" s="5" t="s">
        <v>233</v>
      </c>
      <c r="AG25" s="5" t="s">
        <v>166</v>
      </c>
      <c r="AH25" s="5" t="s">
        <v>535</v>
      </c>
      <c r="AI25" s="5" t="s">
        <v>535</v>
      </c>
      <c r="AJ25" s="5"/>
      <c r="AK25" s="5" t="s">
        <v>536</v>
      </c>
      <c r="AL25" s="5"/>
      <c r="AM25" s="5">
        <v>12</v>
      </c>
      <c r="AN25" s="5" t="s">
        <v>537</v>
      </c>
      <c r="AO25" s="5"/>
      <c r="AP25" s="5" t="s">
        <v>537</v>
      </c>
      <c r="AQ25" s="5"/>
      <c r="AR25" s="5" t="s">
        <v>538</v>
      </c>
      <c r="AS25" s="5">
        <v>13</v>
      </c>
      <c r="AT25" s="5">
        <v>0.48</v>
      </c>
      <c r="AU25" s="5" t="s">
        <v>539</v>
      </c>
      <c r="AV25" s="5" t="s">
        <v>539</v>
      </c>
      <c r="AW25" s="5"/>
      <c r="AX25" s="5" t="s">
        <v>538</v>
      </c>
      <c r="AY25" s="5"/>
      <c r="AZ25" s="5">
        <v>0</v>
      </c>
      <c r="BA25" s="5">
        <v>0.81</v>
      </c>
      <c r="BB25" s="5" t="s">
        <v>132</v>
      </c>
      <c r="BC25" s="5">
        <v>275</v>
      </c>
      <c r="BD25" s="6">
        <v>42516</v>
      </c>
      <c r="BE25" s="6">
        <v>43282</v>
      </c>
      <c r="BF25" s="6">
        <v>43633</v>
      </c>
      <c r="BG25" s="6">
        <v>43927</v>
      </c>
      <c r="BH25" s="5">
        <v>9.6</v>
      </c>
      <c r="BI25" s="6">
        <v>43819</v>
      </c>
      <c r="BJ25" s="6">
        <v>43973</v>
      </c>
      <c r="BK25" s="5">
        <v>5</v>
      </c>
      <c r="BL25" s="6">
        <v>44217</v>
      </c>
      <c r="BM25" s="6">
        <v>44629</v>
      </c>
      <c r="BN25" s="5">
        <v>13.5</v>
      </c>
      <c r="BO25" s="6">
        <v>44218</v>
      </c>
      <c r="BP25" s="6">
        <v>43889</v>
      </c>
      <c r="BQ25" s="5">
        <v>10.8</v>
      </c>
      <c r="BR25" s="6">
        <v>43633</v>
      </c>
      <c r="BS25" s="6">
        <v>43927</v>
      </c>
      <c r="BT25" s="5">
        <v>9.6</v>
      </c>
      <c r="BU25" s="5" t="s">
        <v>540</v>
      </c>
      <c r="BV25" s="5" t="s">
        <v>541</v>
      </c>
      <c r="BW25" s="5" t="s">
        <v>542</v>
      </c>
      <c r="BX25" s="6">
        <v>44040</v>
      </c>
      <c r="BY25" s="6">
        <v>44225</v>
      </c>
      <c r="BZ25" s="5" t="s">
        <v>136</v>
      </c>
      <c r="CA25" s="5" t="s">
        <v>137</v>
      </c>
      <c r="CB25" s="5" t="s">
        <v>256</v>
      </c>
      <c r="CC25" s="5"/>
      <c r="CD25" s="5" t="s">
        <v>543</v>
      </c>
      <c r="CE25" s="5" t="s">
        <v>256</v>
      </c>
      <c r="CF25" s="5"/>
      <c r="CG25" s="5"/>
      <c r="CH25" s="5"/>
      <c r="CI25" s="5"/>
      <c r="CJ25" s="5"/>
      <c r="CK25" s="5"/>
      <c r="CL25" s="5"/>
      <c r="CM25" s="5"/>
      <c r="CN25" s="5"/>
      <c r="CO25" s="5"/>
      <c r="CP25" s="5"/>
      <c r="CQ25" s="5"/>
      <c r="CR25" s="5"/>
      <c r="CS25" s="5"/>
      <c r="CT25" s="5"/>
      <c r="CU25" s="5"/>
      <c r="CV25" s="5"/>
      <c r="CW25" s="5"/>
      <c r="CX25" s="5"/>
      <c r="CY25" s="5"/>
      <c r="CZ25" s="5"/>
      <c r="DA25" s="5"/>
    </row>
    <row r="26" spans="1:105" ht="15" customHeight="1" x14ac:dyDescent="0.2">
      <c r="A26" s="3" t="s">
        <v>445</v>
      </c>
      <c r="B26" s="3" t="s">
        <v>446</v>
      </c>
      <c r="C26" s="3" t="s">
        <v>446</v>
      </c>
      <c r="D26" s="3" t="s">
        <v>107</v>
      </c>
      <c r="E26" s="3" t="s">
        <v>108</v>
      </c>
      <c r="F26" s="3" t="s">
        <v>332</v>
      </c>
      <c r="G26" s="3" t="s">
        <v>110</v>
      </c>
      <c r="H26" s="3" t="s">
        <v>259</v>
      </c>
      <c r="I26" s="3" t="s">
        <v>544</v>
      </c>
      <c r="J26" s="3" t="s">
        <v>113</v>
      </c>
      <c r="K26" s="3" t="s">
        <v>115</v>
      </c>
      <c r="L26" s="3" t="s">
        <v>115</v>
      </c>
      <c r="M26" s="3" t="s">
        <v>115</v>
      </c>
      <c r="N26" s="3" t="s">
        <v>115</v>
      </c>
      <c r="O26" s="3" t="s">
        <v>115</v>
      </c>
      <c r="P26" s="3" t="s">
        <v>114</v>
      </c>
      <c r="Q26" s="3" t="s">
        <v>545</v>
      </c>
      <c r="R26" s="3" t="s">
        <v>546</v>
      </c>
      <c r="S26" s="3" t="s">
        <v>354</v>
      </c>
      <c r="T26" s="3" t="s">
        <v>355</v>
      </c>
      <c r="U26" s="3" t="s">
        <v>120</v>
      </c>
      <c r="V26" s="3" t="s">
        <v>119</v>
      </c>
      <c r="W26" s="3" t="s">
        <v>120</v>
      </c>
      <c r="X26" s="3"/>
      <c r="Y26" s="3"/>
      <c r="Z26" s="3" t="s">
        <v>119</v>
      </c>
      <c r="AA26" s="3" t="s">
        <v>356</v>
      </c>
      <c r="AB26" s="3" t="s">
        <v>122</v>
      </c>
      <c r="AC26" s="3" t="s">
        <v>217</v>
      </c>
      <c r="AD26" s="3" t="s">
        <v>124</v>
      </c>
      <c r="AE26" s="3" t="s">
        <v>547</v>
      </c>
      <c r="AF26" s="3" t="s">
        <v>548</v>
      </c>
      <c r="AG26" s="3" t="s">
        <v>358</v>
      </c>
      <c r="AH26" s="3"/>
      <c r="AI26" s="3"/>
      <c r="AJ26" s="3"/>
      <c r="AK26" s="3"/>
      <c r="AL26" s="3"/>
      <c r="AM26" s="3">
        <v>0</v>
      </c>
      <c r="AN26" s="3"/>
      <c r="AO26" s="3"/>
      <c r="AP26" s="3"/>
      <c r="AQ26" s="3"/>
      <c r="AR26" s="3"/>
      <c r="AS26" s="3">
        <v>0</v>
      </c>
      <c r="AT26" s="3"/>
      <c r="AU26" s="3" t="s">
        <v>549</v>
      </c>
      <c r="AV26" s="3" t="s">
        <v>549</v>
      </c>
      <c r="AW26" s="3"/>
      <c r="AX26" s="3" t="s">
        <v>550</v>
      </c>
      <c r="AY26" s="3"/>
      <c r="AZ26" s="3">
        <v>5.5</v>
      </c>
      <c r="BA26" s="3">
        <v>0.76</v>
      </c>
      <c r="BB26" s="3" t="s">
        <v>132</v>
      </c>
      <c r="BC26" s="3">
        <v>572</v>
      </c>
      <c r="BD26" s="4">
        <v>42205</v>
      </c>
      <c r="BE26" s="4">
        <v>43709</v>
      </c>
      <c r="BF26" s="4">
        <v>43770</v>
      </c>
      <c r="BG26" s="4">
        <v>44321</v>
      </c>
      <c r="BH26" s="3">
        <v>18.100000000000001</v>
      </c>
      <c r="BI26" s="4">
        <v>43818</v>
      </c>
      <c r="BJ26" s="4">
        <v>43969</v>
      </c>
      <c r="BK26" s="3">
        <v>5</v>
      </c>
      <c r="BL26" s="4">
        <v>44075</v>
      </c>
      <c r="BM26" s="4">
        <v>44287</v>
      </c>
      <c r="BN26" s="3">
        <v>7</v>
      </c>
      <c r="BO26" s="4">
        <v>44190</v>
      </c>
      <c r="BP26" s="4">
        <v>43854</v>
      </c>
      <c r="BQ26" s="3">
        <v>11</v>
      </c>
      <c r="BR26" s="4">
        <v>43770</v>
      </c>
      <c r="BS26" s="4">
        <v>44321</v>
      </c>
      <c r="BT26" s="3">
        <v>18.100000000000001</v>
      </c>
      <c r="BU26" s="3" t="s">
        <v>551</v>
      </c>
      <c r="BV26" s="3" t="s">
        <v>552</v>
      </c>
      <c r="BW26" s="3" t="s">
        <v>553</v>
      </c>
      <c r="BX26" s="4">
        <v>43865</v>
      </c>
      <c r="BY26" s="4">
        <v>44628</v>
      </c>
      <c r="BZ26" s="3" t="s">
        <v>136</v>
      </c>
      <c r="CA26" s="3" t="s">
        <v>137</v>
      </c>
      <c r="CB26" s="3" t="s">
        <v>554</v>
      </c>
      <c r="CC26" s="3" t="s">
        <v>301</v>
      </c>
      <c r="CD26" s="3" t="s">
        <v>555</v>
      </c>
      <c r="CE26" s="3" t="s">
        <v>556</v>
      </c>
      <c r="CF26" s="3"/>
      <c r="CG26" s="3"/>
      <c r="CH26" s="3"/>
      <c r="CI26" s="3"/>
      <c r="CJ26" s="3"/>
      <c r="CK26" s="3"/>
      <c r="CL26" s="3"/>
      <c r="CM26" s="3"/>
      <c r="CN26" s="3"/>
      <c r="CO26" s="3"/>
      <c r="CP26" s="3"/>
      <c r="CQ26" s="3"/>
      <c r="CR26" s="3"/>
      <c r="CS26" s="3"/>
      <c r="CT26" s="3"/>
      <c r="CU26" s="3"/>
      <c r="CV26" s="3"/>
      <c r="CW26" s="3"/>
      <c r="CX26" s="3"/>
      <c r="CY26" s="3"/>
      <c r="CZ26" s="3"/>
      <c r="DA26" s="3"/>
    </row>
    <row r="27" spans="1:105" ht="15" customHeight="1" x14ac:dyDescent="0.2">
      <c r="A27" s="5" t="s">
        <v>330</v>
      </c>
      <c r="B27" s="5" t="s">
        <v>331</v>
      </c>
      <c r="C27" s="5" t="s">
        <v>331</v>
      </c>
      <c r="D27" s="5" t="s">
        <v>107</v>
      </c>
      <c r="E27" s="5" t="s">
        <v>108</v>
      </c>
      <c r="F27" s="5" t="s">
        <v>332</v>
      </c>
      <c r="G27" s="5" t="s">
        <v>110</v>
      </c>
      <c r="H27" s="5" t="s">
        <v>111</v>
      </c>
      <c r="I27" s="5"/>
      <c r="J27" s="5" t="s">
        <v>113</v>
      </c>
      <c r="K27" s="5" t="s">
        <v>114</v>
      </c>
      <c r="L27" s="5" t="s">
        <v>115</v>
      </c>
      <c r="M27" s="5" t="s">
        <v>114</v>
      </c>
      <c r="N27" s="5" t="s">
        <v>114</v>
      </c>
      <c r="O27" s="5" t="s">
        <v>114</v>
      </c>
      <c r="P27" s="5" t="s">
        <v>114</v>
      </c>
      <c r="Q27" s="5" t="s">
        <v>557</v>
      </c>
      <c r="R27" s="5" t="s">
        <v>558</v>
      </c>
      <c r="S27" s="5" t="s">
        <v>335</v>
      </c>
      <c r="T27" s="5" t="s">
        <v>336</v>
      </c>
      <c r="U27" s="5" t="s">
        <v>119</v>
      </c>
      <c r="V27" s="5" t="s">
        <v>119</v>
      </c>
      <c r="W27" s="5" t="s">
        <v>120</v>
      </c>
      <c r="X27" s="5"/>
      <c r="Y27" s="5"/>
      <c r="Z27" s="5" t="s">
        <v>119</v>
      </c>
      <c r="AA27" s="5" t="s">
        <v>144</v>
      </c>
      <c r="AB27" s="5" t="s">
        <v>122</v>
      </c>
      <c r="AC27" s="5" t="s">
        <v>217</v>
      </c>
      <c r="AD27" s="5" t="s">
        <v>145</v>
      </c>
      <c r="AE27" s="5" t="s">
        <v>559</v>
      </c>
      <c r="AF27" s="5"/>
      <c r="AG27" s="5" t="s">
        <v>33</v>
      </c>
      <c r="AH27" s="5" t="s">
        <v>560</v>
      </c>
      <c r="AI27" s="5" t="s">
        <v>560</v>
      </c>
      <c r="AJ27" s="5"/>
      <c r="AK27" s="5" t="s">
        <v>561</v>
      </c>
      <c r="AL27" s="5"/>
      <c r="AM27" s="5">
        <v>0</v>
      </c>
      <c r="AN27" s="5" t="s">
        <v>562</v>
      </c>
      <c r="AO27" s="5"/>
      <c r="AP27" s="5" t="s">
        <v>562</v>
      </c>
      <c r="AQ27" s="5"/>
      <c r="AR27" s="5" t="s">
        <v>561</v>
      </c>
      <c r="AS27" s="5">
        <v>0</v>
      </c>
      <c r="AT27" s="5"/>
      <c r="AU27" s="5"/>
      <c r="AV27" s="5"/>
      <c r="AW27" s="5"/>
      <c r="AX27" s="5"/>
      <c r="AY27" s="5"/>
      <c r="AZ27" s="5">
        <v>0</v>
      </c>
      <c r="BA27" s="5"/>
      <c r="BB27" s="5" t="s">
        <v>522</v>
      </c>
      <c r="BC27" s="5">
        <v>1000</v>
      </c>
      <c r="BD27" s="6">
        <v>43000</v>
      </c>
      <c r="BE27" s="6">
        <v>43709</v>
      </c>
      <c r="BF27" s="5"/>
      <c r="BG27" s="5"/>
      <c r="BH27" s="5"/>
      <c r="BI27" s="6">
        <v>43852</v>
      </c>
      <c r="BJ27" s="6">
        <v>44225</v>
      </c>
      <c r="BK27" s="5">
        <v>12.2</v>
      </c>
      <c r="BL27" s="5"/>
      <c r="BM27" s="5"/>
      <c r="BN27" s="5"/>
      <c r="BO27" s="5"/>
      <c r="BP27" s="5"/>
      <c r="BQ27" s="5"/>
      <c r="BR27" s="5"/>
      <c r="BS27" s="5"/>
      <c r="BT27" s="5"/>
      <c r="BU27" s="5" t="s">
        <v>563</v>
      </c>
      <c r="BV27" s="5" t="s">
        <v>564</v>
      </c>
      <c r="BW27" s="5" t="s">
        <v>565</v>
      </c>
      <c r="BX27" s="6">
        <v>46326</v>
      </c>
      <c r="BY27" s="6">
        <v>46326</v>
      </c>
      <c r="BZ27" s="5" t="s">
        <v>136</v>
      </c>
      <c r="CA27" s="5" t="s">
        <v>137</v>
      </c>
      <c r="CB27" s="5" t="s">
        <v>566</v>
      </c>
      <c r="CC27" s="5" t="s">
        <v>567</v>
      </c>
      <c r="CD27" s="5" t="s">
        <v>568</v>
      </c>
      <c r="CE27" s="5" t="s">
        <v>256</v>
      </c>
      <c r="CF27" s="5"/>
      <c r="CG27" s="5"/>
      <c r="CH27" s="5"/>
      <c r="CI27" s="5"/>
      <c r="CJ27" s="5"/>
      <c r="CK27" s="5"/>
      <c r="CL27" s="5"/>
      <c r="CM27" s="5"/>
      <c r="CN27" s="5"/>
      <c r="CO27" s="5"/>
      <c r="CP27" s="5"/>
      <c r="CQ27" s="5"/>
      <c r="CR27" s="5"/>
      <c r="CS27" s="5"/>
      <c r="CT27" s="5"/>
      <c r="CU27" s="5"/>
      <c r="CV27" s="5"/>
      <c r="CW27" s="5"/>
      <c r="CX27" s="5"/>
      <c r="CY27" s="5"/>
      <c r="CZ27" s="5"/>
      <c r="DA27" s="5"/>
    </row>
    <row r="28" spans="1:105" ht="15" customHeight="1" x14ac:dyDescent="0.2">
      <c r="A28" s="3" t="s">
        <v>569</v>
      </c>
      <c r="B28" s="3" t="s">
        <v>570</v>
      </c>
      <c r="C28" s="3" t="s">
        <v>570</v>
      </c>
      <c r="D28" s="3" t="s">
        <v>571</v>
      </c>
      <c r="E28" s="3" t="s">
        <v>571</v>
      </c>
      <c r="F28" s="3" t="s">
        <v>571</v>
      </c>
      <c r="G28" s="3" t="s">
        <v>110</v>
      </c>
      <c r="H28" s="3" t="s">
        <v>572</v>
      </c>
      <c r="I28" s="3" t="s">
        <v>544</v>
      </c>
      <c r="J28" s="3" t="s">
        <v>113</v>
      </c>
      <c r="K28" s="3" t="s">
        <v>115</v>
      </c>
      <c r="L28" s="3" t="s">
        <v>115</v>
      </c>
      <c r="M28" s="3" t="s">
        <v>114</v>
      </c>
      <c r="N28" s="3" t="s">
        <v>114</v>
      </c>
      <c r="O28" s="3" t="s">
        <v>115</v>
      </c>
      <c r="P28" s="3" t="s">
        <v>114</v>
      </c>
      <c r="Q28" s="3" t="s">
        <v>573</v>
      </c>
      <c r="R28" s="3" t="s">
        <v>574</v>
      </c>
      <c r="S28" s="3" t="s">
        <v>286</v>
      </c>
      <c r="T28" s="3" t="s">
        <v>287</v>
      </c>
      <c r="U28" s="3" t="s">
        <v>120</v>
      </c>
      <c r="V28" s="3" t="s">
        <v>119</v>
      </c>
      <c r="W28" s="3" t="s">
        <v>120</v>
      </c>
      <c r="X28" s="3"/>
      <c r="Y28" s="3"/>
      <c r="Z28" s="3" t="s">
        <v>119</v>
      </c>
      <c r="AA28" s="3" t="s">
        <v>144</v>
      </c>
      <c r="AB28" s="3" t="s">
        <v>122</v>
      </c>
      <c r="AC28" s="3" t="s">
        <v>217</v>
      </c>
      <c r="AD28" s="3" t="s">
        <v>124</v>
      </c>
      <c r="AE28" s="3" t="s">
        <v>575</v>
      </c>
      <c r="AF28" s="3" t="s">
        <v>165</v>
      </c>
      <c r="AG28" s="3" t="s">
        <v>358</v>
      </c>
      <c r="AH28" s="3" t="s">
        <v>576</v>
      </c>
      <c r="AI28" s="3" t="s">
        <v>576</v>
      </c>
      <c r="AJ28" s="3"/>
      <c r="AK28" s="3" t="s">
        <v>577</v>
      </c>
      <c r="AL28" s="3"/>
      <c r="AM28" s="3">
        <v>19</v>
      </c>
      <c r="AN28" s="3" t="s">
        <v>578</v>
      </c>
      <c r="AO28" s="3"/>
      <c r="AP28" s="3" t="s">
        <v>578</v>
      </c>
      <c r="AQ28" s="3"/>
      <c r="AR28" s="3" t="s">
        <v>579</v>
      </c>
      <c r="AS28" s="3">
        <v>0.6</v>
      </c>
      <c r="AT28" s="3">
        <v>0.5</v>
      </c>
      <c r="AU28" s="3" t="s">
        <v>580</v>
      </c>
      <c r="AV28" s="3" t="s">
        <v>580</v>
      </c>
      <c r="AW28" s="3"/>
      <c r="AX28" s="3" t="s">
        <v>579</v>
      </c>
      <c r="AY28" s="3"/>
      <c r="AZ28" s="3">
        <v>9</v>
      </c>
      <c r="BA28" s="3">
        <v>0.59</v>
      </c>
      <c r="BB28" s="3" t="s">
        <v>132</v>
      </c>
      <c r="BC28" s="3">
        <v>712</v>
      </c>
      <c r="BD28" s="4">
        <v>42884</v>
      </c>
      <c r="BE28" s="4">
        <v>43922</v>
      </c>
      <c r="BF28" s="4">
        <v>44064</v>
      </c>
      <c r="BG28" s="4">
        <v>44372</v>
      </c>
      <c r="BH28" s="3">
        <v>10.1</v>
      </c>
      <c r="BI28" s="4">
        <v>44071</v>
      </c>
      <c r="BJ28" s="4">
        <v>44249</v>
      </c>
      <c r="BK28" s="3">
        <v>5.8</v>
      </c>
      <c r="BL28" s="3"/>
      <c r="BM28" s="3"/>
      <c r="BN28" s="3"/>
      <c r="BO28" s="3"/>
      <c r="BP28" s="3"/>
      <c r="BQ28" s="3"/>
      <c r="BR28" s="4">
        <v>44064</v>
      </c>
      <c r="BS28" s="4">
        <v>44372</v>
      </c>
      <c r="BT28" s="3">
        <v>10.1</v>
      </c>
      <c r="BU28" s="3" t="s">
        <v>581</v>
      </c>
      <c r="BV28" s="3" t="s">
        <v>582</v>
      </c>
      <c r="BW28" s="3" t="s">
        <v>583</v>
      </c>
      <c r="BX28" s="4">
        <v>45765</v>
      </c>
      <c r="BY28" s="4">
        <v>45765</v>
      </c>
      <c r="BZ28" s="3" t="s">
        <v>136</v>
      </c>
      <c r="CA28" s="3" t="s">
        <v>584</v>
      </c>
      <c r="CB28" s="3" t="s">
        <v>300</v>
      </c>
      <c r="CC28" s="3" t="s">
        <v>585</v>
      </c>
      <c r="CD28" s="3" t="s">
        <v>586</v>
      </c>
      <c r="CE28" s="3" t="s">
        <v>300</v>
      </c>
      <c r="CF28" s="3"/>
      <c r="CG28" s="3"/>
      <c r="CH28" s="3"/>
      <c r="CI28" s="3"/>
      <c r="CJ28" s="3"/>
      <c r="CK28" s="3"/>
      <c r="CL28" s="3"/>
      <c r="CM28" s="3"/>
      <c r="CN28" s="3"/>
      <c r="CO28" s="3"/>
      <c r="CP28" s="3"/>
      <c r="CQ28" s="3"/>
      <c r="CR28" s="3"/>
      <c r="CS28" s="3"/>
      <c r="CT28" s="3"/>
      <c r="CU28" s="3"/>
      <c r="CV28" s="3"/>
      <c r="CW28" s="3"/>
      <c r="CX28" s="3"/>
      <c r="CY28" s="3"/>
      <c r="CZ28" s="3"/>
      <c r="DA28" s="3"/>
    </row>
    <row r="29" spans="1:105" ht="15" customHeight="1" x14ac:dyDescent="0.2">
      <c r="A29" s="5" t="s">
        <v>587</v>
      </c>
      <c r="B29" s="5" t="s">
        <v>588</v>
      </c>
      <c r="C29" s="5" t="s">
        <v>589</v>
      </c>
      <c r="D29" s="5" t="s">
        <v>235</v>
      </c>
      <c r="E29" s="5" t="s">
        <v>235</v>
      </c>
      <c r="F29" s="5" t="s">
        <v>235</v>
      </c>
      <c r="G29" s="5" t="s">
        <v>110</v>
      </c>
      <c r="H29" s="5" t="s">
        <v>111</v>
      </c>
      <c r="I29" s="5"/>
      <c r="J29" s="5" t="s">
        <v>113</v>
      </c>
      <c r="K29" s="5" t="s">
        <v>115</v>
      </c>
      <c r="L29" s="5" t="s">
        <v>115</v>
      </c>
      <c r="M29" s="5" t="s">
        <v>115</v>
      </c>
      <c r="N29" s="5" t="s">
        <v>115</v>
      </c>
      <c r="O29" s="5" t="s">
        <v>115</v>
      </c>
      <c r="P29" s="5" t="s">
        <v>114</v>
      </c>
      <c r="Q29" s="5" t="s">
        <v>590</v>
      </c>
      <c r="R29" s="5" t="s">
        <v>591</v>
      </c>
      <c r="S29" s="5" t="s">
        <v>592</v>
      </c>
      <c r="T29" s="5" t="s">
        <v>593</v>
      </c>
      <c r="U29" s="5" t="s">
        <v>119</v>
      </c>
      <c r="V29" s="5" t="s">
        <v>119</v>
      </c>
      <c r="W29" s="5" t="s">
        <v>120</v>
      </c>
      <c r="X29" s="5"/>
      <c r="Y29" s="5"/>
      <c r="Z29" s="5" t="s">
        <v>119</v>
      </c>
      <c r="AA29" s="5" t="s">
        <v>163</v>
      </c>
      <c r="AB29" s="5" t="s">
        <v>122</v>
      </c>
      <c r="AC29" s="5" t="s">
        <v>217</v>
      </c>
      <c r="AD29" s="5" t="s">
        <v>145</v>
      </c>
      <c r="AE29" s="5" t="s">
        <v>594</v>
      </c>
      <c r="AF29" s="5" t="s">
        <v>233</v>
      </c>
      <c r="AG29" s="5" t="s">
        <v>166</v>
      </c>
      <c r="AH29" s="5" t="s">
        <v>595</v>
      </c>
      <c r="AI29" s="5" t="s">
        <v>595</v>
      </c>
      <c r="AJ29" s="5"/>
      <c r="AK29" s="5" t="s">
        <v>596</v>
      </c>
      <c r="AL29" s="5"/>
      <c r="AM29" s="5">
        <v>0</v>
      </c>
      <c r="AN29" s="5" t="s">
        <v>597</v>
      </c>
      <c r="AO29" s="5"/>
      <c r="AP29" s="5" t="s">
        <v>597</v>
      </c>
      <c r="AQ29" s="5"/>
      <c r="AR29" s="5" t="s">
        <v>598</v>
      </c>
      <c r="AS29" s="5">
        <v>0</v>
      </c>
      <c r="AT29" s="5">
        <v>0.19</v>
      </c>
      <c r="AU29" s="5"/>
      <c r="AV29" s="5"/>
      <c r="AW29" s="5"/>
      <c r="AX29" s="5"/>
      <c r="AY29" s="5"/>
      <c r="AZ29" s="5">
        <v>0</v>
      </c>
      <c r="BA29" s="5"/>
      <c r="BB29" s="5" t="s">
        <v>522</v>
      </c>
      <c r="BC29" s="5">
        <v>296</v>
      </c>
      <c r="BD29" s="6">
        <v>42852</v>
      </c>
      <c r="BE29" s="6">
        <v>44044</v>
      </c>
      <c r="BF29" s="6">
        <v>44229</v>
      </c>
      <c r="BG29" s="6">
        <v>44589</v>
      </c>
      <c r="BH29" s="5">
        <v>11.8</v>
      </c>
      <c r="BI29" s="6">
        <v>44134</v>
      </c>
      <c r="BJ29" s="6">
        <v>44258</v>
      </c>
      <c r="BK29" s="5">
        <v>4.0999999999999996</v>
      </c>
      <c r="BL29" s="6">
        <v>44301</v>
      </c>
      <c r="BM29" s="6">
        <v>44680</v>
      </c>
      <c r="BN29" s="5">
        <v>12.4</v>
      </c>
      <c r="BO29" s="6">
        <v>44525</v>
      </c>
      <c r="BP29" s="6">
        <v>44166</v>
      </c>
      <c r="BQ29" s="5">
        <v>11.8</v>
      </c>
      <c r="BR29" s="6">
        <v>44134</v>
      </c>
      <c r="BS29" s="6">
        <v>44462</v>
      </c>
      <c r="BT29" s="5">
        <v>10.8</v>
      </c>
      <c r="BU29" s="5" t="s">
        <v>599</v>
      </c>
      <c r="BV29" s="5" t="s">
        <v>600</v>
      </c>
      <c r="BW29" s="5" t="s">
        <v>601</v>
      </c>
      <c r="BX29" s="6">
        <v>43910</v>
      </c>
      <c r="BY29" s="6">
        <v>47118</v>
      </c>
      <c r="BZ29" s="5" t="s">
        <v>136</v>
      </c>
      <c r="CA29" s="5" t="s">
        <v>137</v>
      </c>
      <c r="CB29" s="5" t="s">
        <v>256</v>
      </c>
      <c r="CC29" s="5"/>
      <c r="CD29" s="5" t="s">
        <v>602</v>
      </c>
      <c r="CE29" s="5" t="s">
        <v>256</v>
      </c>
      <c r="CF29" s="5"/>
      <c r="CG29" s="5"/>
      <c r="CH29" s="5"/>
      <c r="CI29" s="5"/>
      <c r="CJ29" s="5"/>
      <c r="CK29" s="5"/>
      <c r="CL29" s="5"/>
      <c r="CM29" s="5"/>
      <c r="CN29" s="5"/>
      <c r="CO29" s="5"/>
      <c r="CP29" s="5"/>
      <c r="CQ29" s="5"/>
      <c r="CR29" s="5"/>
      <c r="CS29" s="5"/>
      <c r="CT29" s="5"/>
      <c r="CU29" s="5"/>
      <c r="CV29" s="5"/>
      <c r="CW29" s="5"/>
      <c r="CX29" s="5"/>
      <c r="CY29" s="5"/>
      <c r="CZ29" s="5"/>
      <c r="DA29" s="5"/>
    </row>
    <row r="30" spans="1:105" ht="15" customHeight="1" x14ac:dyDescent="0.2">
      <c r="A30" s="3" t="s">
        <v>105</v>
      </c>
      <c r="B30" s="3" t="s">
        <v>603</v>
      </c>
      <c r="C30" s="3" t="s">
        <v>603</v>
      </c>
      <c r="D30" s="3" t="s">
        <v>604</v>
      </c>
      <c r="E30" s="3" t="s">
        <v>605</v>
      </c>
      <c r="F30" s="3" t="s">
        <v>606</v>
      </c>
      <c r="G30" s="3" t="s">
        <v>110</v>
      </c>
      <c r="H30" s="3" t="s">
        <v>111</v>
      </c>
      <c r="I30" s="3" t="s">
        <v>181</v>
      </c>
      <c r="J30" s="3" t="s">
        <v>113</v>
      </c>
      <c r="K30" s="3" t="s">
        <v>115</v>
      </c>
      <c r="L30" s="3" t="s">
        <v>115</v>
      </c>
      <c r="M30" s="3" t="s">
        <v>114</v>
      </c>
      <c r="N30" s="3" t="s">
        <v>115</v>
      </c>
      <c r="O30" s="3" t="s">
        <v>115</v>
      </c>
      <c r="P30" s="3" t="s">
        <v>114</v>
      </c>
      <c r="Q30" s="3" t="s">
        <v>607</v>
      </c>
      <c r="R30" s="3" t="s">
        <v>608</v>
      </c>
      <c r="S30" s="3" t="s">
        <v>117</v>
      </c>
      <c r="T30" s="3" t="s">
        <v>118</v>
      </c>
      <c r="U30" s="3" t="s">
        <v>119</v>
      </c>
      <c r="V30" s="3" t="s">
        <v>120</v>
      </c>
      <c r="W30" s="3" t="s">
        <v>120</v>
      </c>
      <c r="X30" s="3"/>
      <c r="Y30" s="3"/>
      <c r="Z30" s="3" t="s">
        <v>119</v>
      </c>
      <c r="AA30" s="3" t="s">
        <v>321</v>
      </c>
      <c r="AB30" s="3" t="s">
        <v>122</v>
      </c>
      <c r="AC30" s="3" t="s">
        <v>217</v>
      </c>
      <c r="AD30" s="3" t="s">
        <v>124</v>
      </c>
      <c r="AE30" s="3" t="s">
        <v>609</v>
      </c>
      <c r="AF30" s="3" t="s">
        <v>610</v>
      </c>
      <c r="AG30" s="3" t="s">
        <v>33</v>
      </c>
      <c r="AH30" s="3" t="s">
        <v>454</v>
      </c>
      <c r="AI30" s="3" t="s">
        <v>454</v>
      </c>
      <c r="AJ30" s="3"/>
      <c r="AK30" s="3" t="s">
        <v>611</v>
      </c>
      <c r="AL30" s="3"/>
      <c r="AM30" s="3">
        <v>0</v>
      </c>
      <c r="AN30" s="3"/>
      <c r="AO30" s="3"/>
      <c r="AP30" s="3"/>
      <c r="AQ30" s="3"/>
      <c r="AR30" s="3"/>
      <c r="AS30" s="3">
        <v>0</v>
      </c>
      <c r="AT30" s="3"/>
      <c r="AU30" s="3"/>
      <c r="AV30" s="3"/>
      <c r="AW30" s="3"/>
      <c r="AX30" s="3"/>
      <c r="AY30" s="3"/>
      <c r="AZ30" s="3">
        <v>0</v>
      </c>
      <c r="BA30" s="3"/>
      <c r="BB30" s="3" t="s">
        <v>132</v>
      </c>
      <c r="BC30" s="3">
        <v>627</v>
      </c>
      <c r="BD30" s="4">
        <v>43137</v>
      </c>
      <c r="BE30" s="4">
        <v>43647</v>
      </c>
      <c r="BF30" s="4">
        <v>43800</v>
      </c>
      <c r="BG30" s="4">
        <v>44286</v>
      </c>
      <c r="BH30" s="3">
        <v>15.9</v>
      </c>
      <c r="BI30" s="4">
        <v>44299</v>
      </c>
      <c r="BJ30" s="4">
        <v>44664</v>
      </c>
      <c r="BK30" s="3">
        <v>12</v>
      </c>
      <c r="BL30" s="3"/>
      <c r="BM30" s="3"/>
      <c r="BN30" s="3"/>
      <c r="BO30" s="4">
        <v>44581</v>
      </c>
      <c r="BP30" s="4">
        <v>44153</v>
      </c>
      <c r="BQ30" s="3">
        <v>14</v>
      </c>
      <c r="BR30" s="4">
        <v>43800</v>
      </c>
      <c r="BS30" s="4">
        <v>44316</v>
      </c>
      <c r="BT30" s="3">
        <v>16.899999999999999</v>
      </c>
      <c r="BU30" s="3" t="s">
        <v>612</v>
      </c>
      <c r="BV30" s="3" t="s">
        <v>613</v>
      </c>
      <c r="BW30" s="3" t="s">
        <v>614</v>
      </c>
      <c r="BX30" s="4">
        <v>43649</v>
      </c>
      <c r="BY30" s="4">
        <v>43888</v>
      </c>
      <c r="BZ30" s="3" t="s">
        <v>136</v>
      </c>
      <c r="CA30" s="3" t="s">
        <v>383</v>
      </c>
      <c r="CB30" s="3"/>
      <c r="CC30" s="3" t="s">
        <v>329</v>
      </c>
      <c r="CD30" s="3"/>
      <c r="CE30" s="3"/>
      <c r="CF30" s="3"/>
      <c r="CG30" s="3"/>
      <c r="CH30" s="3"/>
      <c r="CI30" s="3"/>
      <c r="CJ30" s="3"/>
      <c r="CK30" s="3"/>
      <c r="CL30" s="3"/>
      <c r="CM30" s="3"/>
      <c r="CN30" s="3"/>
      <c r="CO30" s="3"/>
      <c r="CP30" s="3"/>
      <c r="CQ30" s="3"/>
      <c r="CR30" s="3"/>
      <c r="CS30" s="3"/>
      <c r="CT30" s="3"/>
      <c r="CU30" s="3"/>
      <c r="CV30" s="3"/>
      <c r="CW30" s="3"/>
      <c r="CX30" s="3"/>
      <c r="CY30" s="3"/>
      <c r="CZ30" s="3"/>
      <c r="DA30" s="3"/>
    </row>
    <row r="31" spans="1:105" ht="15" customHeight="1" x14ac:dyDescent="0.2">
      <c r="A31" s="5" t="s">
        <v>105</v>
      </c>
      <c r="B31" s="5" t="s">
        <v>615</v>
      </c>
      <c r="C31" s="5" t="s">
        <v>616</v>
      </c>
      <c r="D31" s="5" t="s">
        <v>617</v>
      </c>
      <c r="E31" s="5" t="s">
        <v>617</v>
      </c>
      <c r="F31" s="5" t="s">
        <v>618</v>
      </c>
      <c r="G31" s="5" t="s">
        <v>110</v>
      </c>
      <c r="H31" s="5" t="s">
        <v>259</v>
      </c>
      <c r="I31" s="5" t="s">
        <v>181</v>
      </c>
      <c r="J31" s="5" t="s">
        <v>113</v>
      </c>
      <c r="K31" s="5" t="s">
        <v>115</v>
      </c>
      <c r="L31" s="5" t="s">
        <v>115</v>
      </c>
      <c r="M31" s="5" t="s">
        <v>114</v>
      </c>
      <c r="N31" s="5" t="s">
        <v>114</v>
      </c>
      <c r="O31" s="5" t="s">
        <v>115</v>
      </c>
      <c r="P31" s="5" t="s">
        <v>114</v>
      </c>
      <c r="Q31" s="5" t="s">
        <v>619</v>
      </c>
      <c r="R31" s="5" t="s">
        <v>620</v>
      </c>
      <c r="S31" s="5" t="s">
        <v>117</v>
      </c>
      <c r="T31" s="5" t="s">
        <v>621</v>
      </c>
      <c r="U31" s="5" t="s">
        <v>119</v>
      </c>
      <c r="V31" s="5" t="s">
        <v>120</v>
      </c>
      <c r="W31" s="5" t="s">
        <v>120</v>
      </c>
      <c r="X31" s="5"/>
      <c r="Y31" s="5" t="s">
        <v>622</v>
      </c>
      <c r="Z31" s="5" t="s">
        <v>119</v>
      </c>
      <c r="AA31" s="5" t="s">
        <v>321</v>
      </c>
      <c r="AB31" s="5" t="s">
        <v>122</v>
      </c>
      <c r="AC31" s="5" t="s">
        <v>217</v>
      </c>
      <c r="AD31" s="5" t="s">
        <v>124</v>
      </c>
      <c r="AE31" s="5" t="s">
        <v>623</v>
      </c>
      <c r="AF31" s="5" t="s">
        <v>105</v>
      </c>
      <c r="AG31" s="5" t="s">
        <v>33</v>
      </c>
      <c r="AH31" s="5"/>
      <c r="AI31" s="5"/>
      <c r="AJ31" s="5"/>
      <c r="AK31" s="5"/>
      <c r="AL31" s="5"/>
      <c r="AM31" s="5">
        <v>0</v>
      </c>
      <c r="AN31" s="5" t="s">
        <v>624</v>
      </c>
      <c r="AO31" s="5"/>
      <c r="AP31" s="5" t="s">
        <v>624</v>
      </c>
      <c r="AQ31" s="5"/>
      <c r="AR31" s="5" t="s">
        <v>625</v>
      </c>
      <c r="AS31" s="5">
        <v>0.5</v>
      </c>
      <c r="AT31" s="5"/>
      <c r="AU31" s="5" t="s">
        <v>626</v>
      </c>
      <c r="AV31" s="5" t="s">
        <v>627</v>
      </c>
      <c r="AW31" s="5" t="s">
        <v>628</v>
      </c>
      <c r="AX31" s="5" t="s">
        <v>625</v>
      </c>
      <c r="AY31" s="5" t="s">
        <v>625</v>
      </c>
      <c r="AZ31" s="5">
        <v>0</v>
      </c>
      <c r="BA31" s="5"/>
      <c r="BB31" s="5" t="s">
        <v>132</v>
      </c>
      <c r="BC31" s="5">
        <v>671</v>
      </c>
      <c r="BD31" s="6">
        <v>42756</v>
      </c>
      <c r="BE31" s="6">
        <v>43709</v>
      </c>
      <c r="BF31" s="6">
        <v>43831</v>
      </c>
      <c r="BG31" s="6">
        <v>44312</v>
      </c>
      <c r="BH31" s="5">
        <v>15.8</v>
      </c>
      <c r="BI31" s="6">
        <v>45609</v>
      </c>
      <c r="BJ31" s="6">
        <v>45756</v>
      </c>
      <c r="BK31" s="5">
        <v>4.8</v>
      </c>
      <c r="BL31" s="5"/>
      <c r="BM31" s="5"/>
      <c r="BN31" s="5"/>
      <c r="BO31" s="5"/>
      <c r="BP31" s="5"/>
      <c r="BQ31" s="5"/>
      <c r="BR31" s="6">
        <v>43831</v>
      </c>
      <c r="BS31" s="6">
        <v>44312</v>
      </c>
      <c r="BT31" s="5">
        <v>15.8</v>
      </c>
      <c r="BU31" s="5" t="s">
        <v>629</v>
      </c>
      <c r="BV31" s="5" t="s">
        <v>630</v>
      </c>
      <c r="BW31" s="5" t="s">
        <v>631</v>
      </c>
      <c r="BX31" s="6">
        <v>43621</v>
      </c>
      <c r="BY31" s="6">
        <v>43791</v>
      </c>
      <c r="BZ31" s="5" t="s">
        <v>136</v>
      </c>
      <c r="CA31" s="5" t="s">
        <v>632</v>
      </c>
      <c r="CB31" s="5"/>
      <c r="CC31" s="5" t="s">
        <v>633</v>
      </c>
      <c r="CD31" s="5"/>
      <c r="CE31" s="5"/>
      <c r="CF31" s="5"/>
      <c r="CG31" s="5"/>
      <c r="CH31" s="5"/>
      <c r="CI31" s="5"/>
      <c r="CJ31" s="5"/>
      <c r="CK31" s="5"/>
      <c r="CL31" s="5"/>
      <c r="CM31" s="5"/>
      <c r="CN31" s="5"/>
      <c r="CO31" s="5"/>
      <c r="CP31" s="5"/>
      <c r="CQ31" s="5"/>
      <c r="CR31" s="5"/>
      <c r="CS31" s="5"/>
      <c r="CT31" s="5"/>
      <c r="CU31" s="5"/>
      <c r="CV31" s="5"/>
      <c r="CW31" s="5"/>
      <c r="CX31" s="5"/>
      <c r="CY31" s="5"/>
      <c r="CZ31" s="5"/>
      <c r="DA31" s="5"/>
    </row>
    <row r="32" spans="1:105" ht="15" customHeight="1" x14ac:dyDescent="0.2">
      <c r="A32" s="3" t="s">
        <v>105</v>
      </c>
      <c r="B32" s="3" t="s">
        <v>634</v>
      </c>
      <c r="C32" s="3" t="s">
        <v>634</v>
      </c>
      <c r="D32" s="3" t="s">
        <v>635</v>
      </c>
      <c r="E32" s="3" t="s">
        <v>635</v>
      </c>
      <c r="F32" s="3" t="s">
        <v>636</v>
      </c>
      <c r="G32" s="3" t="s">
        <v>110</v>
      </c>
      <c r="H32" s="3" t="s">
        <v>259</v>
      </c>
      <c r="I32" s="3" t="s">
        <v>181</v>
      </c>
      <c r="J32" s="3" t="s">
        <v>113</v>
      </c>
      <c r="K32" s="3" t="s">
        <v>115</v>
      </c>
      <c r="L32" s="3" t="s">
        <v>115</v>
      </c>
      <c r="M32" s="3" t="s">
        <v>115</v>
      </c>
      <c r="N32" s="3" t="s">
        <v>114</v>
      </c>
      <c r="O32" s="3" t="s">
        <v>637</v>
      </c>
      <c r="P32" s="3" t="s">
        <v>114</v>
      </c>
      <c r="Q32" s="3" t="s">
        <v>638</v>
      </c>
      <c r="R32" s="3" t="s">
        <v>639</v>
      </c>
      <c r="S32" s="3" t="s">
        <v>117</v>
      </c>
      <c r="T32" s="3" t="s">
        <v>118</v>
      </c>
      <c r="U32" s="3" t="s">
        <v>119</v>
      </c>
      <c r="V32" s="3" t="s">
        <v>120</v>
      </c>
      <c r="W32" s="3" t="s">
        <v>120</v>
      </c>
      <c r="X32" s="3"/>
      <c r="Y32" s="3"/>
      <c r="Z32" s="3" t="s">
        <v>119</v>
      </c>
      <c r="AA32" s="3" t="s">
        <v>321</v>
      </c>
      <c r="AB32" s="3" t="s">
        <v>122</v>
      </c>
      <c r="AC32" s="3" t="s">
        <v>217</v>
      </c>
      <c r="AD32" s="3" t="s">
        <v>124</v>
      </c>
      <c r="AE32" s="3" t="s">
        <v>640</v>
      </c>
      <c r="AF32" s="3" t="s">
        <v>105</v>
      </c>
      <c r="AG32" s="3" t="s">
        <v>33</v>
      </c>
      <c r="AH32" s="3" t="s">
        <v>485</v>
      </c>
      <c r="AI32" s="3" t="s">
        <v>485</v>
      </c>
      <c r="AJ32" s="3"/>
      <c r="AK32" s="3" t="s">
        <v>641</v>
      </c>
      <c r="AL32" s="3"/>
      <c r="AM32" s="3">
        <v>-3</v>
      </c>
      <c r="AN32" s="3"/>
      <c r="AO32" s="3"/>
      <c r="AP32" s="3"/>
      <c r="AQ32" s="3"/>
      <c r="AR32" s="3"/>
      <c r="AS32" s="3">
        <v>0</v>
      </c>
      <c r="AT32" s="3"/>
      <c r="AU32" s="3"/>
      <c r="AV32" s="3"/>
      <c r="AW32" s="3"/>
      <c r="AX32" s="3"/>
      <c r="AY32" s="3"/>
      <c r="AZ32" s="3">
        <v>0</v>
      </c>
      <c r="BA32" s="3"/>
      <c r="BB32" s="3" t="s">
        <v>132</v>
      </c>
      <c r="BC32" s="3">
        <v>651</v>
      </c>
      <c r="BD32" s="4">
        <v>43028</v>
      </c>
      <c r="BE32" s="4">
        <v>43862</v>
      </c>
      <c r="BF32" s="4">
        <v>44075</v>
      </c>
      <c r="BG32" s="4">
        <v>45503</v>
      </c>
      <c r="BH32" s="3">
        <v>46.8</v>
      </c>
      <c r="BI32" s="4">
        <v>44862</v>
      </c>
      <c r="BJ32" s="4">
        <v>45266</v>
      </c>
      <c r="BK32" s="3">
        <v>13.2</v>
      </c>
      <c r="BL32" s="4">
        <v>44006</v>
      </c>
      <c r="BM32" s="4">
        <v>44519</v>
      </c>
      <c r="BN32" s="3">
        <v>16.8</v>
      </c>
      <c r="BO32" s="3"/>
      <c r="BP32" s="3"/>
      <c r="BQ32" s="3"/>
      <c r="BR32" s="4">
        <v>44075</v>
      </c>
      <c r="BS32" s="4">
        <v>46112</v>
      </c>
      <c r="BT32" s="3">
        <v>66.8</v>
      </c>
      <c r="BU32" s="3" t="s">
        <v>642</v>
      </c>
      <c r="BV32" s="3" t="s">
        <v>643</v>
      </c>
      <c r="BW32" s="3" t="s">
        <v>644</v>
      </c>
      <c r="BX32" s="4">
        <v>43774</v>
      </c>
      <c r="BY32" s="4">
        <v>44343</v>
      </c>
      <c r="BZ32" s="3" t="s">
        <v>136</v>
      </c>
      <c r="CA32" s="3" t="s">
        <v>492</v>
      </c>
      <c r="CB32" s="3"/>
      <c r="CC32" s="3" t="s">
        <v>585</v>
      </c>
      <c r="CD32" s="3"/>
      <c r="CE32" s="3"/>
      <c r="CF32" s="3"/>
      <c r="CG32" s="3"/>
      <c r="CH32" s="3"/>
      <c r="CI32" s="3"/>
      <c r="CJ32" s="3"/>
      <c r="CK32" s="3"/>
      <c r="CL32" s="3"/>
      <c r="CM32" s="3"/>
      <c r="CN32" s="3"/>
      <c r="CO32" s="3"/>
      <c r="CP32" s="3"/>
      <c r="CQ32" s="3"/>
      <c r="CR32" s="3"/>
      <c r="CS32" s="3"/>
      <c r="CT32" s="3"/>
      <c r="CU32" s="3"/>
      <c r="CV32" s="3"/>
      <c r="CW32" s="3"/>
      <c r="CX32" s="3"/>
      <c r="CY32" s="3"/>
      <c r="CZ32" s="3"/>
      <c r="DA32" s="3"/>
    </row>
    <row r="33" spans="1:105" ht="15" customHeight="1" x14ac:dyDescent="0.2">
      <c r="A33" s="5" t="s">
        <v>645</v>
      </c>
      <c r="B33" s="5" t="s">
        <v>646</v>
      </c>
      <c r="C33" s="5" t="s">
        <v>647</v>
      </c>
      <c r="D33" s="5" t="s">
        <v>648</v>
      </c>
      <c r="E33" s="5" t="s">
        <v>648</v>
      </c>
      <c r="F33" s="5" t="s">
        <v>648</v>
      </c>
      <c r="G33" s="5" t="s">
        <v>110</v>
      </c>
      <c r="H33" s="5" t="s">
        <v>111</v>
      </c>
      <c r="I33" s="5"/>
      <c r="J33" s="5" t="s">
        <v>113</v>
      </c>
      <c r="K33" s="5" t="s">
        <v>649</v>
      </c>
      <c r="L33" s="5" t="s">
        <v>115</v>
      </c>
      <c r="M33" s="5" t="s">
        <v>115</v>
      </c>
      <c r="N33" s="5" t="s">
        <v>114</v>
      </c>
      <c r="O33" s="5" t="s">
        <v>637</v>
      </c>
      <c r="P33" s="5" t="s">
        <v>114</v>
      </c>
      <c r="Q33" s="5" t="s">
        <v>650</v>
      </c>
      <c r="R33" s="5" t="s">
        <v>651</v>
      </c>
      <c r="S33" s="5" t="s">
        <v>307</v>
      </c>
      <c r="T33" s="5" t="s">
        <v>256</v>
      </c>
      <c r="U33" s="5" t="s">
        <v>119</v>
      </c>
      <c r="V33" s="5" t="s">
        <v>119</v>
      </c>
      <c r="W33" s="5" t="s">
        <v>120</v>
      </c>
      <c r="X33" s="5"/>
      <c r="Y33" s="5"/>
      <c r="Z33" s="5" t="s">
        <v>119</v>
      </c>
      <c r="AA33" s="5" t="s">
        <v>163</v>
      </c>
      <c r="AB33" s="5" t="s">
        <v>122</v>
      </c>
      <c r="AC33" s="5" t="s">
        <v>217</v>
      </c>
      <c r="AD33" s="5" t="s">
        <v>145</v>
      </c>
      <c r="AE33" s="5" t="s">
        <v>652</v>
      </c>
      <c r="AF33" s="5" t="s">
        <v>233</v>
      </c>
      <c r="AG33" s="5" t="s">
        <v>166</v>
      </c>
      <c r="AH33" s="5" t="s">
        <v>653</v>
      </c>
      <c r="AI33" s="5" t="s">
        <v>653</v>
      </c>
      <c r="AJ33" s="5"/>
      <c r="AK33" s="5" t="s">
        <v>654</v>
      </c>
      <c r="AL33" s="5"/>
      <c r="AM33" s="5">
        <v>8</v>
      </c>
      <c r="AN33" s="5" t="s">
        <v>655</v>
      </c>
      <c r="AO33" s="5"/>
      <c r="AP33" s="5" t="s">
        <v>655</v>
      </c>
      <c r="AQ33" s="5"/>
      <c r="AR33" s="5" t="s">
        <v>656</v>
      </c>
      <c r="AS33" s="5">
        <v>13.1</v>
      </c>
      <c r="AT33" s="5">
        <v>0.51</v>
      </c>
      <c r="AU33" s="5" t="s">
        <v>657</v>
      </c>
      <c r="AV33" s="5" t="s">
        <v>657</v>
      </c>
      <c r="AW33" s="5"/>
      <c r="AX33" s="5"/>
      <c r="AY33" s="5"/>
      <c r="AZ33" s="5">
        <v>0</v>
      </c>
      <c r="BA33" s="5"/>
      <c r="BB33" s="5" t="s">
        <v>522</v>
      </c>
      <c r="BC33" s="5">
        <v>290</v>
      </c>
      <c r="BD33" s="6">
        <v>42522</v>
      </c>
      <c r="BE33" s="6">
        <v>44044</v>
      </c>
      <c r="BF33" s="6">
        <v>45961</v>
      </c>
      <c r="BG33" s="6">
        <v>46326</v>
      </c>
      <c r="BH33" s="5">
        <v>12</v>
      </c>
      <c r="BI33" s="6">
        <v>45351</v>
      </c>
      <c r="BJ33" s="6">
        <v>45644</v>
      </c>
      <c r="BK33" s="5">
        <v>9.6</v>
      </c>
      <c r="BL33" s="6">
        <v>44390</v>
      </c>
      <c r="BM33" s="6">
        <v>44642</v>
      </c>
      <c r="BN33" s="5">
        <v>8.3000000000000007</v>
      </c>
      <c r="BO33" s="5"/>
      <c r="BP33" s="5"/>
      <c r="BQ33" s="5"/>
      <c r="BR33" s="6">
        <v>45961</v>
      </c>
      <c r="BS33" s="6">
        <v>46326</v>
      </c>
      <c r="BT33" s="5">
        <v>12</v>
      </c>
      <c r="BU33" s="5" t="s">
        <v>658</v>
      </c>
      <c r="BV33" s="5" t="s">
        <v>659</v>
      </c>
      <c r="BW33" s="5" t="s">
        <v>660</v>
      </c>
      <c r="BX33" s="6">
        <v>46021</v>
      </c>
      <c r="BY33" s="6">
        <v>46022</v>
      </c>
      <c r="BZ33" s="5" t="s">
        <v>136</v>
      </c>
      <c r="CA33" s="5" t="s">
        <v>137</v>
      </c>
      <c r="CB33" s="5" t="s">
        <v>256</v>
      </c>
      <c r="CC33" s="5"/>
      <c r="CD33" s="5" t="s">
        <v>661</v>
      </c>
      <c r="CE33" s="5" t="s">
        <v>256</v>
      </c>
      <c r="CF33" s="5"/>
      <c r="CG33" s="5"/>
      <c r="CH33" s="5"/>
      <c r="CI33" s="5"/>
      <c r="CJ33" s="5"/>
      <c r="CK33" s="5"/>
      <c r="CL33" s="5"/>
      <c r="CM33" s="5"/>
      <c r="CN33" s="5"/>
      <c r="CO33" s="5"/>
      <c r="CP33" s="5"/>
      <c r="CQ33" s="5"/>
      <c r="CR33" s="5"/>
      <c r="CS33" s="5"/>
      <c r="CT33" s="5"/>
      <c r="CU33" s="5"/>
      <c r="CV33" s="5"/>
      <c r="CW33" s="5"/>
      <c r="CX33" s="5"/>
      <c r="CY33" s="5"/>
      <c r="CZ33" s="5"/>
      <c r="DA33" s="5"/>
    </row>
    <row r="34" spans="1:105" ht="15" customHeight="1" x14ac:dyDescent="0.2">
      <c r="A34" s="3" t="s">
        <v>105</v>
      </c>
      <c r="B34" s="3" t="s">
        <v>662</v>
      </c>
      <c r="C34" s="3" t="s">
        <v>662</v>
      </c>
      <c r="D34" s="3" t="s">
        <v>663</v>
      </c>
      <c r="E34" s="3" t="s">
        <v>664</v>
      </c>
      <c r="F34" s="3" t="s">
        <v>663</v>
      </c>
      <c r="G34" s="3" t="s">
        <v>110</v>
      </c>
      <c r="H34" s="3" t="s">
        <v>259</v>
      </c>
      <c r="I34" s="3" t="s">
        <v>665</v>
      </c>
      <c r="J34" s="3" t="s">
        <v>113</v>
      </c>
      <c r="K34" s="3" t="s">
        <v>115</v>
      </c>
      <c r="L34" s="3" t="s">
        <v>115</v>
      </c>
      <c r="M34" s="3" t="s">
        <v>114</v>
      </c>
      <c r="N34" s="3" t="s">
        <v>115</v>
      </c>
      <c r="O34" s="3" t="s">
        <v>115</v>
      </c>
      <c r="P34" s="3" t="s">
        <v>114</v>
      </c>
      <c r="Q34" s="3" t="s">
        <v>666</v>
      </c>
      <c r="R34" s="3" t="s">
        <v>667</v>
      </c>
      <c r="S34" s="3" t="s">
        <v>117</v>
      </c>
      <c r="T34" s="3" t="s">
        <v>118</v>
      </c>
      <c r="U34" s="3" t="s">
        <v>119</v>
      </c>
      <c r="V34" s="3" t="s">
        <v>120</v>
      </c>
      <c r="W34" s="3" t="s">
        <v>120</v>
      </c>
      <c r="X34" s="3"/>
      <c r="Y34" s="3"/>
      <c r="Z34" s="3" t="s">
        <v>119</v>
      </c>
      <c r="AA34" s="3" t="s">
        <v>321</v>
      </c>
      <c r="AB34" s="3" t="s">
        <v>122</v>
      </c>
      <c r="AC34" s="3" t="s">
        <v>217</v>
      </c>
      <c r="AD34" s="3" t="s">
        <v>124</v>
      </c>
      <c r="AE34" s="3" t="s">
        <v>668</v>
      </c>
      <c r="AF34" s="3" t="s">
        <v>105</v>
      </c>
      <c r="AG34" s="3" t="s">
        <v>33</v>
      </c>
      <c r="AH34" s="3" t="s">
        <v>669</v>
      </c>
      <c r="AI34" s="3" t="s">
        <v>669</v>
      </c>
      <c r="AJ34" s="3"/>
      <c r="AK34" s="3" t="s">
        <v>596</v>
      </c>
      <c r="AL34" s="3"/>
      <c r="AM34" s="3">
        <v>0</v>
      </c>
      <c r="AN34" s="3"/>
      <c r="AO34" s="3"/>
      <c r="AP34" s="3"/>
      <c r="AQ34" s="3"/>
      <c r="AR34" s="3"/>
      <c r="AS34" s="3">
        <v>0</v>
      </c>
      <c r="AT34" s="3"/>
      <c r="AU34" s="3"/>
      <c r="AV34" s="3"/>
      <c r="AW34" s="3"/>
      <c r="AX34" s="3"/>
      <c r="AY34" s="3"/>
      <c r="AZ34" s="3">
        <v>0</v>
      </c>
      <c r="BA34" s="3"/>
      <c r="BB34" s="3" t="s">
        <v>132</v>
      </c>
      <c r="BC34" s="3">
        <v>689</v>
      </c>
      <c r="BD34" s="4">
        <v>43497</v>
      </c>
      <c r="BE34" s="4">
        <v>44317</v>
      </c>
      <c r="BF34" s="4">
        <v>44477</v>
      </c>
      <c r="BG34" s="4">
        <v>44791</v>
      </c>
      <c r="BH34" s="3">
        <v>10.3</v>
      </c>
      <c r="BI34" s="4">
        <v>44469</v>
      </c>
      <c r="BJ34" s="4">
        <v>44832</v>
      </c>
      <c r="BK34" s="3">
        <v>11.9</v>
      </c>
      <c r="BL34" s="3"/>
      <c r="BM34" s="3"/>
      <c r="BN34" s="3"/>
      <c r="BO34" s="4">
        <v>44830</v>
      </c>
      <c r="BP34" s="4">
        <v>44530</v>
      </c>
      <c r="BQ34" s="3">
        <v>9.8000000000000007</v>
      </c>
      <c r="BR34" s="4">
        <v>44477</v>
      </c>
      <c r="BS34" s="4">
        <v>44820</v>
      </c>
      <c r="BT34" s="3">
        <v>11.2</v>
      </c>
      <c r="BU34" s="3" t="s">
        <v>670</v>
      </c>
      <c r="BV34" s="3" t="s">
        <v>671</v>
      </c>
      <c r="BW34" s="3" t="s">
        <v>672</v>
      </c>
      <c r="BX34" s="4">
        <v>44308</v>
      </c>
      <c r="BY34" s="4">
        <v>45188</v>
      </c>
      <c r="BZ34" s="3" t="s">
        <v>136</v>
      </c>
      <c r="CA34" s="3" t="s">
        <v>492</v>
      </c>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row>
    <row r="35" spans="1:105" ht="15" customHeight="1" x14ac:dyDescent="0.2">
      <c r="A35" s="5" t="s">
        <v>569</v>
      </c>
      <c r="B35" s="5" t="s">
        <v>570</v>
      </c>
      <c r="C35" s="5" t="s">
        <v>570</v>
      </c>
      <c r="D35" s="5" t="s">
        <v>571</v>
      </c>
      <c r="E35" s="5" t="s">
        <v>571</v>
      </c>
      <c r="F35" s="5" t="s">
        <v>571</v>
      </c>
      <c r="G35" s="5" t="s">
        <v>110</v>
      </c>
      <c r="H35" s="5" t="s">
        <v>572</v>
      </c>
      <c r="I35" s="5" t="s">
        <v>544</v>
      </c>
      <c r="J35" s="5" t="s">
        <v>113</v>
      </c>
      <c r="K35" s="5" t="s">
        <v>115</v>
      </c>
      <c r="L35" s="5" t="s">
        <v>115</v>
      </c>
      <c r="M35" s="5" t="s">
        <v>114</v>
      </c>
      <c r="N35" s="5" t="s">
        <v>115</v>
      </c>
      <c r="O35" s="5" t="s">
        <v>115</v>
      </c>
      <c r="P35" s="5" t="s">
        <v>114</v>
      </c>
      <c r="Q35" s="5" t="s">
        <v>673</v>
      </c>
      <c r="R35" s="5" t="s">
        <v>674</v>
      </c>
      <c r="S35" s="5" t="s">
        <v>286</v>
      </c>
      <c r="T35" s="5" t="s">
        <v>287</v>
      </c>
      <c r="U35" s="5" t="s">
        <v>120</v>
      </c>
      <c r="V35" s="5" t="s">
        <v>119</v>
      </c>
      <c r="W35" s="5" t="s">
        <v>120</v>
      </c>
      <c r="X35" s="5"/>
      <c r="Y35" s="5"/>
      <c r="Z35" s="5" t="s">
        <v>119</v>
      </c>
      <c r="AA35" s="5" t="s">
        <v>144</v>
      </c>
      <c r="AB35" s="5" t="s">
        <v>122</v>
      </c>
      <c r="AC35" s="5" t="s">
        <v>217</v>
      </c>
      <c r="AD35" s="5" t="s">
        <v>124</v>
      </c>
      <c r="AE35" s="5" t="s">
        <v>675</v>
      </c>
      <c r="AF35" s="5" t="s">
        <v>165</v>
      </c>
      <c r="AG35" s="5" t="s">
        <v>148</v>
      </c>
      <c r="AH35" s="5" t="s">
        <v>676</v>
      </c>
      <c r="AI35" s="5" t="s">
        <v>676</v>
      </c>
      <c r="AJ35" s="5"/>
      <c r="AK35" s="5" t="s">
        <v>677</v>
      </c>
      <c r="AL35" s="5"/>
      <c r="AM35" s="5">
        <v>20</v>
      </c>
      <c r="AN35" s="5" t="s">
        <v>503</v>
      </c>
      <c r="AO35" s="5"/>
      <c r="AP35" s="5" t="s">
        <v>503</v>
      </c>
      <c r="AQ35" s="5"/>
      <c r="AR35" s="5" t="s">
        <v>678</v>
      </c>
      <c r="AS35" s="5">
        <v>3</v>
      </c>
      <c r="AT35" s="5">
        <v>0.57999999999999996</v>
      </c>
      <c r="AU35" s="5" t="s">
        <v>679</v>
      </c>
      <c r="AV35" s="5" t="s">
        <v>679</v>
      </c>
      <c r="AW35" s="5"/>
      <c r="AX35" s="5" t="s">
        <v>677</v>
      </c>
      <c r="AY35" s="5"/>
      <c r="AZ35" s="5">
        <v>9</v>
      </c>
      <c r="BA35" s="5">
        <v>0.66</v>
      </c>
      <c r="BB35" s="5" t="s">
        <v>132</v>
      </c>
      <c r="BC35" s="5">
        <v>790</v>
      </c>
      <c r="BD35" s="6">
        <v>43165</v>
      </c>
      <c r="BE35" s="6">
        <v>44409</v>
      </c>
      <c r="BF35" s="6">
        <v>44550</v>
      </c>
      <c r="BG35" s="6">
        <v>45014</v>
      </c>
      <c r="BH35" s="5">
        <v>15.2</v>
      </c>
      <c r="BI35" s="6">
        <v>44519</v>
      </c>
      <c r="BJ35" s="6">
        <v>44874</v>
      </c>
      <c r="BK35" s="5">
        <v>11.6</v>
      </c>
      <c r="BL35" s="5"/>
      <c r="BM35" s="5"/>
      <c r="BN35" s="5"/>
      <c r="BO35" s="6">
        <v>45919</v>
      </c>
      <c r="BP35" s="6">
        <v>45596</v>
      </c>
      <c r="BQ35" s="5">
        <v>10.6</v>
      </c>
      <c r="BR35" s="6">
        <v>44562</v>
      </c>
      <c r="BS35" s="6">
        <v>45351</v>
      </c>
      <c r="BT35" s="5">
        <v>25.9</v>
      </c>
      <c r="BU35" s="5" t="s">
        <v>680</v>
      </c>
      <c r="BV35" s="5" t="s">
        <v>681</v>
      </c>
      <c r="BW35" s="5" t="s">
        <v>682</v>
      </c>
      <c r="BX35" s="6">
        <v>45715</v>
      </c>
      <c r="BY35" s="6">
        <v>45715</v>
      </c>
      <c r="BZ35" s="5" t="s">
        <v>136</v>
      </c>
      <c r="CA35" s="5" t="s">
        <v>191</v>
      </c>
      <c r="CB35" s="5"/>
      <c r="CC35" s="5" t="s">
        <v>683</v>
      </c>
      <c r="CD35" s="5" t="s">
        <v>684</v>
      </c>
      <c r="CE35" s="5" t="s">
        <v>685</v>
      </c>
      <c r="CF35" s="5"/>
      <c r="CG35" s="5"/>
      <c r="CH35" s="5"/>
      <c r="CI35" s="5"/>
      <c r="CJ35" s="5"/>
      <c r="CK35" s="5"/>
      <c r="CL35" s="5"/>
      <c r="CM35" s="5"/>
      <c r="CN35" s="5"/>
      <c r="CO35" s="5"/>
      <c r="CP35" s="5"/>
      <c r="CQ35" s="5"/>
      <c r="CR35" s="5"/>
      <c r="CS35" s="5"/>
      <c r="CT35" s="5"/>
      <c r="CU35" s="5"/>
      <c r="CV35" s="5"/>
      <c r="CW35" s="5"/>
      <c r="CX35" s="5"/>
      <c r="CY35" s="5"/>
      <c r="CZ35" s="5"/>
      <c r="DA35" s="5"/>
    </row>
    <row r="36" spans="1:105" ht="15" customHeight="1" x14ac:dyDescent="0.2">
      <c r="A36" s="3" t="s">
        <v>686</v>
      </c>
      <c r="B36" s="3" t="s">
        <v>687</v>
      </c>
      <c r="C36" s="3" t="s">
        <v>687</v>
      </c>
      <c r="D36" s="3" t="s">
        <v>350</v>
      </c>
      <c r="E36" s="3" t="s">
        <v>350</v>
      </c>
      <c r="F36" s="3" t="s">
        <v>350</v>
      </c>
      <c r="G36" s="3" t="s">
        <v>110</v>
      </c>
      <c r="H36" s="3" t="s">
        <v>688</v>
      </c>
      <c r="I36" s="3" t="s">
        <v>544</v>
      </c>
      <c r="J36" s="3" t="s">
        <v>113</v>
      </c>
      <c r="K36" s="3" t="s">
        <v>115</v>
      </c>
      <c r="L36" s="3" t="s">
        <v>115</v>
      </c>
      <c r="M36" s="3" t="s">
        <v>689</v>
      </c>
      <c r="N36" s="3" t="s">
        <v>115</v>
      </c>
      <c r="O36" s="3" t="s">
        <v>114</v>
      </c>
      <c r="P36" s="3" t="s">
        <v>114</v>
      </c>
      <c r="Q36" s="3" t="s">
        <v>690</v>
      </c>
      <c r="R36" s="3" t="s">
        <v>691</v>
      </c>
      <c r="S36" s="3" t="s">
        <v>692</v>
      </c>
      <c r="T36" s="3" t="s">
        <v>693</v>
      </c>
      <c r="U36" s="3" t="s">
        <v>120</v>
      </c>
      <c r="V36" s="3" t="s">
        <v>119</v>
      </c>
      <c r="W36" s="3" t="s">
        <v>120</v>
      </c>
      <c r="X36" s="3" t="s">
        <v>694</v>
      </c>
      <c r="Y36" s="3" t="s">
        <v>348</v>
      </c>
      <c r="Z36" s="3" t="s">
        <v>119</v>
      </c>
      <c r="AA36" s="3" t="s">
        <v>144</v>
      </c>
      <c r="AB36" s="3" t="s">
        <v>122</v>
      </c>
      <c r="AC36" s="3" t="s">
        <v>217</v>
      </c>
      <c r="AD36" s="3" t="s">
        <v>124</v>
      </c>
      <c r="AE36" s="3" t="s">
        <v>695</v>
      </c>
      <c r="AF36" s="3" t="s">
        <v>696</v>
      </c>
      <c r="AG36" s="3" t="s">
        <v>358</v>
      </c>
      <c r="AH36" s="3" t="s">
        <v>697</v>
      </c>
      <c r="AI36" s="3" t="s">
        <v>435</v>
      </c>
      <c r="AJ36" s="3" t="s">
        <v>698</v>
      </c>
      <c r="AK36" s="3" t="s">
        <v>699</v>
      </c>
      <c r="AL36" s="3" t="s">
        <v>699</v>
      </c>
      <c r="AM36" s="3">
        <v>0</v>
      </c>
      <c r="AN36" s="3" t="s">
        <v>130</v>
      </c>
      <c r="AO36" s="3"/>
      <c r="AP36" s="3" t="s">
        <v>130</v>
      </c>
      <c r="AQ36" s="3"/>
      <c r="AR36" s="3" t="s">
        <v>699</v>
      </c>
      <c r="AS36" s="3">
        <v>1.4</v>
      </c>
      <c r="AT36" s="3">
        <v>0.72</v>
      </c>
      <c r="AU36" s="3" t="s">
        <v>700</v>
      </c>
      <c r="AV36" s="3" t="s">
        <v>701</v>
      </c>
      <c r="AW36" s="3" t="s">
        <v>702</v>
      </c>
      <c r="AX36" s="3" t="s">
        <v>703</v>
      </c>
      <c r="AY36" s="3" t="s">
        <v>703</v>
      </c>
      <c r="AZ36" s="3">
        <v>2.2999999999999998</v>
      </c>
      <c r="BA36" s="3">
        <v>0.76</v>
      </c>
      <c r="BB36" s="3" t="s">
        <v>522</v>
      </c>
      <c r="BC36" s="3">
        <v>1186</v>
      </c>
      <c r="BD36" s="4">
        <v>42887</v>
      </c>
      <c r="BE36" s="4">
        <v>43739</v>
      </c>
      <c r="BF36" s="4">
        <v>44554</v>
      </c>
      <c r="BG36" s="4">
        <v>44979</v>
      </c>
      <c r="BH36" s="3">
        <v>13.9</v>
      </c>
      <c r="BI36" s="4">
        <v>44515</v>
      </c>
      <c r="BJ36" s="4">
        <v>44876</v>
      </c>
      <c r="BK36" s="3">
        <v>11.8</v>
      </c>
      <c r="BL36" s="4">
        <v>45583</v>
      </c>
      <c r="BM36" s="4">
        <v>46081</v>
      </c>
      <c r="BN36" s="3">
        <v>16.3</v>
      </c>
      <c r="BO36" s="4">
        <v>44918</v>
      </c>
      <c r="BP36" s="4">
        <v>44617</v>
      </c>
      <c r="BQ36" s="3">
        <v>9.9</v>
      </c>
      <c r="BR36" s="3"/>
      <c r="BS36" s="3"/>
      <c r="BT36" s="3"/>
      <c r="BU36" s="3" t="s">
        <v>704</v>
      </c>
      <c r="BV36" s="3" t="s">
        <v>705</v>
      </c>
      <c r="BW36" s="3" t="s">
        <v>706</v>
      </c>
      <c r="BX36" s="4">
        <v>44267</v>
      </c>
      <c r="BY36" s="4">
        <v>46706</v>
      </c>
      <c r="BZ36" s="3" t="s">
        <v>136</v>
      </c>
      <c r="CA36" s="3" t="s">
        <v>137</v>
      </c>
      <c r="CB36" s="3"/>
      <c r="CC36" s="3" t="s">
        <v>707</v>
      </c>
      <c r="CD36" s="3" t="s">
        <v>708</v>
      </c>
      <c r="CE36" s="3"/>
      <c r="CF36" s="3"/>
      <c r="CG36" s="3"/>
      <c r="CH36" s="3"/>
      <c r="CI36" s="3"/>
      <c r="CJ36" s="3"/>
      <c r="CK36" s="3"/>
      <c r="CL36" s="3"/>
      <c r="CM36" s="3"/>
      <c r="CN36" s="3"/>
      <c r="CO36" s="3"/>
      <c r="CP36" s="3"/>
      <c r="CQ36" s="3"/>
      <c r="CR36" s="3"/>
      <c r="CS36" s="3"/>
      <c r="CT36" s="3"/>
      <c r="CU36" s="3"/>
      <c r="CV36" s="3"/>
      <c r="CW36" s="3"/>
      <c r="CX36" s="3"/>
      <c r="CY36" s="3"/>
      <c r="CZ36" s="3"/>
      <c r="DA36" s="3"/>
    </row>
    <row r="37" spans="1:105" ht="15" customHeight="1" x14ac:dyDescent="0.2">
      <c r="A37" s="5" t="s">
        <v>368</v>
      </c>
      <c r="B37" s="5" t="s">
        <v>369</v>
      </c>
      <c r="C37" s="5" t="s">
        <v>369</v>
      </c>
      <c r="D37" s="5" t="s">
        <v>350</v>
      </c>
      <c r="E37" s="5" t="s">
        <v>350</v>
      </c>
      <c r="F37" s="5" t="s">
        <v>350</v>
      </c>
      <c r="G37" s="5" t="s">
        <v>110</v>
      </c>
      <c r="H37" s="5" t="s">
        <v>709</v>
      </c>
      <c r="I37" s="5" t="s">
        <v>181</v>
      </c>
      <c r="J37" s="5" t="s">
        <v>113</v>
      </c>
      <c r="K37" s="5" t="s">
        <v>115</v>
      </c>
      <c r="L37" s="5" t="s">
        <v>115</v>
      </c>
      <c r="M37" s="5" t="s">
        <v>115</v>
      </c>
      <c r="N37" s="5" t="s">
        <v>115</v>
      </c>
      <c r="O37" s="5" t="s">
        <v>115</v>
      </c>
      <c r="P37" s="5" t="s">
        <v>114</v>
      </c>
      <c r="Q37" s="5" t="s">
        <v>710</v>
      </c>
      <c r="R37" s="5" t="s">
        <v>711</v>
      </c>
      <c r="S37" s="5" t="s">
        <v>372</v>
      </c>
      <c r="T37" s="5" t="s">
        <v>712</v>
      </c>
      <c r="U37" s="5" t="s">
        <v>119</v>
      </c>
      <c r="V37" s="5" t="s">
        <v>119</v>
      </c>
      <c r="W37" s="5" t="s">
        <v>120</v>
      </c>
      <c r="X37" s="5"/>
      <c r="Y37" s="5" t="s">
        <v>713</v>
      </c>
      <c r="Z37" s="5" t="s">
        <v>119</v>
      </c>
      <c r="AA37" s="5" t="s">
        <v>121</v>
      </c>
      <c r="AB37" s="5" t="s">
        <v>122</v>
      </c>
      <c r="AC37" s="5" t="s">
        <v>217</v>
      </c>
      <c r="AD37" s="5" t="s">
        <v>145</v>
      </c>
      <c r="AE37" s="5" t="s">
        <v>714</v>
      </c>
      <c r="AF37" s="5" t="s">
        <v>368</v>
      </c>
      <c r="AG37" s="5" t="s">
        <v>166</v>
      </c>
      <c r="AH37" s="5" t="s">
        <v>715</v>
      </c>
      <c r="AI37" s="5" t="s">
        <v>595</v>
      </c>
      <c r="AJ37" s="5" t="s">
        <v>716</v>
      </c>
      <c r="AK37" s="5" t="s">
        <v>717</v>
      </c>
      <c r="AL37" s="5" t="s">
        <v>717</v>
      </c>
      <c r="AM37" s="5">
        <v>0</v>
      </c>
      <c r="AN37" s="5" t="s">
        <v>718</v>
      </c>
      <c r="AO37" s="5"/>
      <c r="AP37" s="5" t="s">
        <v>718</v>
      </c>
      <c r="AQ37" s="5"/>
      <c r="AR37" s="5" t="s">
        <v>717</v>
      </c>
      <c r="AS37" s="5">
        <v>8.8000000000000007</v>
      </c>
      <c r="AT37" s="5">
        <v>0.62</v>
      </c>
      <c r="AU37" s="5" t="s">
        <v>719</v>
      </c>
      <c r="AV37" s="5" t="s">
        <v>720</v>
      </c>
      <c r="AW37" s="5" t="s">
        <v>721</v>
      </c>
      <c r="AX37" s="5" t="s">
        <v>722</v>
      </c>
      <c r="AY37" s="5" t="s">
        <v>722</v>
      </c>
      <c r="AZ37" s="5">
        <v>0</v>
      </c>
      <c r="BA37" s="5">
        <v>0.77</v>
      </c>
      <c r="BB37" s="5" t="s">
        <v>522</v>
      </c>
      <c r="BC37" s="5">
        <v>587</v>
      </c>
      <c r="BD37" s="6">
        <v>43648</v>
      </c>
      <c r="BE37" s="6">
        <v>45047</v>
      </c>
      <c r="BF37" s="6">
        <v>45154</v>
      </c>
      <c r="BG37" s="6">
        <v>45478</v>
      </c>
      <c r="BH37" s="5">
        <v>10.6</v>
      </c>
      <c r="BI37" s="6">
        <v>45154</v>
      </c>
      <c r="BJ37" s="6">
        <v>45338</v>
      </c>
      <c r="BK37" s="5">
        <v>6</v>
      </c>
      <c r="BL37" s="6">
        <v>45190</v>
      </c>
      <c r="BM37" s="6">
        <v>45469</v>
      </c>
      <c r="BN37" s="5">
        <v>9.1</v>
      </c>
      <c r="BO37" s="6">
        <v>45467</v>
      </c>
      <c r="BP37" s="6">
        <v>45170</v>
      </c>
      <c r="BQ37" s="5">
        <v>9.6999999999999993</v>
      </c>
      <c r="BR37" s="6">
        <v>45199</v>
      </c>
      <c r="BS37" s="6">
        <v>45544</v>
      </c>
      <c r="BT37" s="5">
        <v>11.3</v>
      </c>
      <c r="BU37" s="5" t="s">
        <v>723</v>
      </c>
      <c r="BV37" s="5" t="s">
        <v>724</v>
      </c>
      <c r="BW37" s="5" t="s">
        <v>725</v>
      </c>
      <c r="BX37" s="6">
        <v>45019</v>
      </c>
      <c r="BY37" s="6">
        <v>46378</v>
      </c>
      <c r="BZ37" s="5" t="s">
        <v>136</v>
      </c>
      <c r="CA37" s="5" t="s">
        <v>137</v>
      </c>
      <c r="CB37" s="5" t="s">
        <v>726</v>
      </c>
      <c r="CC37" s="5"/>
      <c r="CD37" s="5" t="s">
        <v>727</v>
      </c>
      <c r="CE37" s="5" t="s">
        <v>726</v>
      </c>
      <c r="CF37" s="5"/>
      <c r="CG37" s="5"/>
      <c r="CH37" s="5"/>
      <c r="CI37" s="5"/>
      <c r="CJ37" s="5"/>
      <c r="CK37" s="5"/>
      <c r="CL37" s="5"/>
      <c r="CM37" s="5"/>
      <c r="CN37" s="5"/>
      <c r="CO37" s="5"/>
      <c r="CP37" s="5"/>
      <c r="CQ37" s="5"/>
      <c r="CR37" s="5"/>
      <c r="CS37" s="5"/>
      <c r="CT37" s="5"/>
      <c r="CU37" s="5"/>
      <c r="CV37" s="5"/>
      <c r="CW37" s="5"/>
      <c r="CX37" s="5"/>
      <c r="CY37" s="5"/>
      <c r="CZ37" s="5"/>
      <c r="DA37" s="5"/>
    </row>
    <row r="38" spans="1:105" ht="15" customHeight="1" x14ac:dyDescent="0.2">
      <c r="A38" s="3" t="s">
        <v>728</v>
      </c>
      <c r="B38" s="3" t="s">
        <v>729</v>
      </c>
      <c r="C38" s="3" t="s">
        <v>729</v>
      </c>
      <c r="D38" s="3" t="s">
        <v>730</v>
      </c>
      <c r="E38" s="3" t="s">
        <v>730</v>
      </c>
      <c r="F38" s="3" t="s">
        <v>730</v>
      </c>
      <c r="G38" s="3" t="s">
        <v>110</v>
      </c>
      <c r="H38" s="3" t="s">
        <v>236</v>
      </c>
      <c r="I38" s="3" t="s">
        <v>181</v>
      </c>
      <c r="J38" s="3" t="s">
        <v>113</v>
      </c>
      <c r="K38" s="3" t="s">
        <v>115</v>
      </c>
      <c r="L38" s="3" t="s">
        <v>115</v>
      </c>
      <c r="M38" s="3" t="s">
        <v>115</v>
      </c>
      <c r="N38" s="3" t="s">
        <v>115</v>
      </c>
      <c r="O38" s="3" t="s">
        <v>115</v>
      </c>
      <c r="P38" s="3" t="s">
        <v>114</v>
      </c>
      <c r="Q38" s="3" t="s">
        <v>731</v>
      </c>
      <c r="R38" s="3" t="s">
        <v>732</v>
      </c>
      <c r="S38" s="3" t="s">
        <v>733</v>
      </c>
      <c r="T38" s="3" t="s">
        <v>734</v>
      </c>
      <c r="U38" s="3" t="s">
        <v>119</v>
      </c>
      <c r="V38" s="3" t="s">
        <v>119</v>
      </c>
      <c r="W38" s="3" t="s">
        <v>120</v>
      </c>
      <c r="X38" s="3"/>
      <c r="Y38" s="3" t="s">
        <v>735</v>
      </c>
      <c r="Z38" s="3" t="s">
        <v>119</v>
      </c>
      <c r="AA38" s="3"/>
      <c r="AB38" s="3" t="s">
        <v>122</v>
      </c>
      <c r="AC38" s="3" t="s">
        <v>217</v>
      </c>
      <c r="AD38" s="3" t="s">
        <v>736</v>
      </c>
      <c r="AE38" s="3" t="s">
        <v>737</v>
      </c>
      <c r="AF38" s="3" t="s">
        <v>738</v>
      </c>
      <c r="AG38" s="3" t="s">
        <v>166</v>
      </c>
      <c r="AH38" s="3" t="s">
        <v>311</v>
      </c>
      <c r="AI38" s="3" t="s">
        <v>311</v>
      </c>
      <c r="AJ38" s="3"/>
      <c r="AK38" s="3" t="s">
        <v>598</v>
      </c>
      <c r="AL38" s="3"/>
      <c r="AM38" s="3">
        <v>26</v>
      </c>
      <c r="AN38" s="3" t="s">
        <v>739</v>
      </c>
      <c r="AO38" s="3">
        <v>11.4</v>
      </c>
      <c r="AP38" s="3" t="s">
        <v>740</v>
      </c>
      <c r="AQ38" s="3"/>
      <c r="AR38" s="3"/>
      <c r="AS38" s="3">
        <v>4.7</v>
      </c>
      <c r="AT38" s="3">
        <v>0.4</v>
      </c>
      <c r="AU38" s="3" t="s">
        <v>741</v>
      </c>
      <c r="AV38" s="3" t="s">
        <v>741</v>
      </c>
      <c r="AW38" s="3"/>
      <c r="AX38" s="3" t="s">
        <v>598</v>
      </c>
      <c r="AY38" s="3"/>
      <c r="AZ38" s="3">
        <v>0</v>
      </c>
      <c r="BA38" s="3">
        <v>0.67</v>
      </c>
      <c r="BB38" s="3" t="s">
        <v>522</v>
      </c>
      <c r="BC38" s="3">
        <v>308</v>
      </c>
      <c r="BD38" s="4">
        <v>44117</v>
      </c>
      <c r="BE38" s="4">
        <v>45108</v>
      </c>
      <c r="BF38" s="4">
        <v>45210</v>
      </c>
      <c r="BG38" s="4">
        <v>45471</v>
      </c>
      <c r="BH38" s="3">
        <v>8.6</v>
      </c>
      <c r="BI38" s="4">
        <v>45197</v>
      </c>
      <c r="BJ38" s="4">
        <v>45352</v>
      </c>
      <c r="BK38" s="3">
        <v>5.0999999999999996</v>
      </c>
      <c r="BL38" s="4">
        <v>45225</v>
      </c>
      <c r="BM38" s="4">
        <v>45696</v>
      </c>
      <c r="BN38" s="3">
        <v>15.4</v>
      </c>
      <c r="BO38" s="4">
        <v>45559</v>
      </c>
      <c r="BP38" s="4">
        <v>45247</v>
      </c>
      <c r="BQ38" s="3">
        <v>10.199999999999999</v>
      </c>
      <c r="BR38" s="4">
        <v>45210</v>
      </c>
      <c r="BS38" s="4">
        <v>45535</v>
      </c>
      <c r="BT38" s="3">
        <v>10.7</v>
      </c>
      <c r="BU38" s="3" t="s">
        <v>742</v>
      </c>
      <c r="BV38" s="3" t="s">
        <v>743</v>
      </c>
      <c r="BW38" s="3" t="s">
        <v>744</v>
      </c>
      <c r="BX38" s="4">
        <v>45049</v>
      </c>
      <c r="BY38" s="4">
        <v>46601</v>
      </c>
      <c r="BZ38" s="3" t="s">
        <v>136</v>
      </c>
      <c r="CA38" s="3" t="s">
        <v>137</v>
      </c>
      <c r="CB38" s="3" t="s">
        <v>745</v>
      </c>
      <c r="CC38" s="3"/>
      <c r="CD38" s="3" t="s">
        <v>746</v>
      </c>
      <c r="CE38" s="3" t="s">
        <v>745</v>
      </c>
      <c r="CF38" s="3"/>
      <c r="CG38" s="3"/>
      <c r="CH38" s="3"/>
      <c r="CI38" s="3"/>
      <c r="CJ38" s="3"/>
      <c r="CK38" s="3"/>
      <c r="CL38" s="3"/>
      <c r="CM38" s="3"/>
      <c r="CN38" s="3"/>
      <c r="CO38" s="3"/>
      <c r="CP38" s="3"/>
      <c r="CQ38" s="3"/>
      <c r="CR38" s="3"/>
      <c r="CS38" s="3"/>
      <c r="CT38" s="3"/>
      <c r="CU38" s="3"/>
      <c r="CV38" s="3"/>
      <c r="CW38" s="3"/>
      <c r="CX38" s="3"/>
      <c r="CY38" s="3"/>
      <c r="CZ38" s="3"/>
      <c r="DA38" s="3"/>
    </row>
    <row r="39" spans="1:105" ht="15" customHeight="1" x14ac:dyDescent="0.2">
      <c r="A39" s="5" t="s">
        <v>728</v>
      </c>
      <c r="B39" s="5" t="s">
        <v>729</v>
      </c>
      <c r="C39" s="5" t="s">
        <v>729</v>
      </c>
      <c r="D39" s="5" t="s">
        <v>730</v>
      </c>
      <c r="E39" s="5" t="s">
        <v>730</v>
      </c>
      <c r="F39" s="5" t="s">
        <v>730</v>
      </c>
      <c r="G39" s="5" t="s">
        <v>110</v>
      </c>
      <c r="H39" s="5" t="s">
        <v>236</v>
      </c>
      <c r="I39" s="5"/>
      <c r="J39" s="5" t="s">
        <v>113</v>
      </c>
      <c r="K39" s="5" t="s">
        <v>115</v>
      </c>
      <c r="L39" s="5" t="s">
        <v>115</v>
      </c>
      <c r="M39" s="5" t="s">
        <v>115</v>
      </c>
      <c r="N39" s="5" t="s">
        <v>115</v>
      </c>
      <c r="O39" s="5" t="s">
        <v>115</v>
      </c>
      <c r="P39" s="5" t="s">
        <v>114</v>
      </c>
      <c r="Q39" s="5" t="s">
        <v>747</v>
      </c>
      <c r="R39" s="5" t="s">
        <v>748</v>
      </c>
      <c r="S39" s="5" t="s">
        <v>733</v>
      </c>
      <c r="T39" s="5" t="s">
        <v>749</v>
      </c>
      <c r="U39" s="5" t="s">
        <v>119</v>
      </c>
      <c r="V39" s="5" t="s">
        <v>119</v>
      </c>
      <c r="W39" s="5" t="s">
        <v>120</v>
      </c>
      <c r="X39" s="5" t="s">
        <v>388</v>
      </c>
      <c r="Y39" s="5" t="s">
        <v>750</v>
      </c>
      <c r="Z39" s="5" t="s">
        <v>119</v>
      </c>
      <c r="AA39" s="5"/>
      <c r="AB39" s="5" t="s">
        <v>122</v>
      </c>
      <c r="AC39" s="5" t="s">
        <v>217</v>
      </c>
      <c r="AD39" s="5" t="s">
        <v>736</v>
      </c>
      <c r="AE39" s="5" t="s">
        <v>751</v>
      </c>
      <c r="AF39" s="5" t="s">
        <v>368</v>
      </c>
      <c r="AG39" s="5" t="s">
        <v>166</v>
      </c>
      <c r="AH39" s="5" t="s">
        <v>752</v>
      </c>
      <c r="AI39" s="5" t="s">
        <v>753</v>
      </c>
      <c r="AJ39" s="5" t="s">
        <v>595</v>
      </c>
      <c r="AK39" s="5" t="s">
        <v>754</v>
      </c>
      <c r="AL39" s="5" t="s">
        <v>754</v>
      </c>
      <c r="AM39" s="5">
        <v>1</v>
      </c>
      <c r="AN39" s="5" t="s">
        <v>755</v>
      </c>
      <c r="AO39" s="5"/>
      <c r="AP39" s="5" t="s">
        <v>755</v>
      </c>
      <c r="AQ39" s="5"/>
      <c r="AR39" s="5" t="s">
        <v>754</v>
      </c>
      <c r="AS39" s="5">
        <v>7.1</v>
      </c>
      <c r="AT39" s="5">
        <v>0.7</v>
      </c>
      <c r="AU39" s="5" t="s">
        <v>756</v>
      </c>
      <c r="AV39" s="5" t="s">
        <v>249</v>
      </c>
      <c r="AW39" s="5" t="s">
        <v>757</v>
      </c>
      <c r="AX39" s="5" t="s">
        <v>758</v>
      </c>
      <c r="AY39" s="5" t="s">
        <v>758</v>
      </c>
      <c r="AZ39" s="5">
        <v>0</v>
      </c>
      <c r="BA39" s="5">
        <v>0.75</v>
      </c>
      <c r="BB39" s="5" t="s">
        <v>522</v>
      </c>
      <c r="BC39" s="5">
        <v>1074</v>
      </c>
      <c r="BD39" s="6">
        <v>44104</v>
      </c>
      <c r="BE39" s="6">
        <v>45170</v>
      </c>
      <c r="BF39" s="6">
        <v>45330</v>
      </c>
      <c r="BG39" s="6">
        <v>45678</v>
      </c>
      <c r="BH39" s="5">
        <v>11.4</v>
      </c>
      <c r="BI39" s="6">
        <v>45342</v>
      </c>
      <c r="BJ39" s="6">
        <v>45524</v>
      </c>
      <c r="BK39" s="5">
        <v>6</v>
      </c>
      <c r="BL39" s="6">
        <v>45317</v>
      </c>
      <c r="BM39" s="6">
        <v>45867</v>
      </c>
      <c r="BN39" s="5">
        <v>18</v>
      </c>
      <c r="BO39" s="6">
        <v>45743</v>
      </c>
      <c r="BP39" s="6">
        <v>45390</v>
      </c>
      <c r="BQ39" s="5">
        <v>11.6</v>
      </c>
      <c r="BR39" s="6">
        <v>45351</v>
      </c>
      <c r="BS39" s="6">
        <v>45722</v>
      </c>
      <c r="BT39" s="5">
        <v>12.2</v>
      </c>
      <c r="BU39" s="5" t="s">
        <v>759</v>
      </c>
      <c r="BV39" s="5" t="s">
        <v>760</v>
      </c>
      <c r="BW39" s="5" t="s">
        <v>761</v>
      </c>
      <c r="BX39" s="6">
        <v>45149</v>
      </c>
      <c r="BY39" s="6">
        <v>46567</v>
      </c>
      <c r="BZ39" s="5" t="s">
        <v>136</v>
      </c>
      <c r="CA39" s="5" t="s">
        <v>383</v>
      </c>
      <c r="CB39" s="5" t="s">
        <v>179</v>
      </c>
      <c r="CC39" s="5"/>
      <c r="CD39" s="5" t="s">
        <v>762</v>
      </c>
      <c r="CE39" s="5"/>
      <c r="CF39" s="5"/>
      <c r="CG39" s="5"/>
      <c r="CH39" s="5"/>
      <c r="CI39" s="5"/>
      <c r="CJ39" s="5"/>
      <c r="CK39" s="5"/>
      <c r="CL39" s="5"/>
      <c r="CM39" s="5"/>
      <c r="CN39" s="5"/>
      <c r="CO39" s="5"/>
      <c r="CP39" s="5"/>
      <c r="CQ39" s="5"/>
      <c r="CR39" s="5"/>
      <c r="CS39" s="5"/>
      <c r="CT39" s="5"/>
      <c r="CU39" s="5"/>
      <c r="CV39" s="5"/>
      <c r="CW39" s="5"/>
      <c r="CX39" s="5"/>
      <c r="CY39" s="5"/>
      <c r="CZ39" s="5"/>
      <c r="DA39" s="5"/>
    </row>
    <row r="40" spans="1:105" ht="15" customHeight="1" x14ac:dyDescent="0.2">
      <c r="A40" s="3" t="s">
        <v>368</v>
      </c>
      <c r="B40" s="3" t="s">
        <v>369</v>
      </c>
      <c r="C40" s="3" t="s">
        <v>369</v>
      </c>
      <c r="D40" s="3" t="s">
        <v>350</v>
      </c>
      <c r="E40" s="3" t="s">
        <v>350</v>
      </c>
      <c r="F40" s="3" t="s">
        <v>350</v>
      </c>
      <c r="G40" s="3" t="s">
        <v>110</v>
      </c>
      <c r="H40" s="3" t="s">
        <v>763</v>
      </c>
      <c r="I40" s="3" t="s">
        <v>181</v>
      </c>
      <c r="J40" s="3" t="s">
        <v>113</v>
      </c>
      <c r="K40" s="3" t="s">
        <v>115</v>
      </c>
      <c r="L40" s="3" t="s">
        <v>115</v>
      </c>
      <c r="M40" s="3" t="s">
        <v>115</v>
      </c>
      <c r="N40" s="3" t="s">
        <v>115</v>
      </c>
      <c r="O40" s="3" t="s">
        <v>115</v>
      </c>
      <c r="P40" s="3" t="s">
        <v>114</v>
      </c>
      <c r="Q40" s="3" t="s">
        <v>764</v>
      </c>
      <c r="R40" s="3" t="s">
        <v>765</v>
      </c>
      <c r="S40" s="3" t="s">
        <v>372</v>
      </c>
      <c r="T40" s="3" t="s">
        <v>180</v>
      </c>
      <c r="U40" s="3" t="s">
        <v>119</v>
      </c>
      <c r="V40" s="3" t="s">
        <v>119</v>
      </c>
      <c r="W40" s="3" t="s">
        <v>120</v>
      </c>
      <c r="X40" s="3"/>
      <c r="Y40" s="3"/>
      <c r="Z40" s="3" t="s">
        <v>119</v>
      </c>
      <c r="AA40" s="3" t="s">
        <v>121</v>
      </c>
      <c r="AB40" s="3" t="s">
        <v>122</v>
      </c>
      <c r="AC40" s="3" t="s">
        <v>217</v>
      </c>
      <c r="AD40" s="3" t="s">
        <v>145</v>
      </c>
      <c r="AE40" s="3" t="s">
        <v>766</v>
      </c>
      <c r="AF40" s="3" t="s">
        <v>184</v>
      </c>
      <c r="AG40" s="3" t="s">
        <v>166</v>
      </c>
      <c r="AH40" s="3"/>
      <c r="AI40" s="3"/>
      <c r="AJ40" s="3"/>
      <c r="AK40" s="3"/>
      <c r="AL40" s="3"/>
      <c r="AM40" s="3">
        <v>0</v>
      </c>
      <c r="AN40" s="3" t="s">
        <v>767</v>
      </c>
      <c r="AO40" s="3"/>
      <c r="AP40" s="3" t="s">
        <v>767</v>
      </c>
      <c r="AQ40" s="3"/>
      <c r="AR40" s="3" t="s">
        <v>768</v>
      </c>
      <c r="AS40" s="3">
        <v>33.5</v>
      </c>
      <c r="AT40" s="3">
        <v>0.16</v>
      </c>
      <c r="AU40" s="3" t="s">
        <v>769</v>
      </c>
      <c r="AV40" s="3" t="s">
        <v>769</v>
      </c>
      <c r="AW40" s="3"/>
      <c r="AX40" s="3" t="s">
        <v>770</v>
      </c>
      <c r="AY40" s="3"/>
      <c r="AZ40" s="3">
        <v>0</v>
      </c>
      <c r="BA40" s="3">
        <v>0.81</v>
      </c>
      <c r="BB40" s="3" t="s">
        <v>522</v>
      </c>
      <c r="BC40" s="3">
        <v>216</v>
      </c>
      <c r="BD40" s="4">
        <v>43300</v>
      </c>
      <c r="BE40" s="4">
        <v>45323</v>
      </c>
      <c r="BF40" s="4">
        <v>45412</v>
      </c>
      <c r="BG40" s="4">
        <v>45649</v>
      </c>
      <c r="BH40" s="3">
        <v>7.8</v>
      </c>
      <c r="BI40" s="4">
        <v>45391</v>
      </c>
      <c r="BJ40" s="4">
        <v>45560</v>
      </c>
      <c r="BK40" s="3">
        <v>5.5</v>
      </c>
      <c r="BL40" s="4">
        <v>45464</v>
      </c>
      <c r="BM40" s="4">
        <v>45651</v>
      </c>
      <c r="BN40" s="3">
        <v>6.1</v>
      </c>
      <c r="BO40" s="4">
        <v>45796</v>
      </c>
      <c r="BP40" s="4">
        <v>45470</v>
      </c>
      <c r="BQ40" s="3">
        <v>10.7</v>
      </c>
      <c r="BR40" s="4">
        <v>45412</v>
      </c>
      <c r="BS40" s="4">
        <v>45790</v>
      </c>
      <c r="BT40" s="3">
        <v>12.4</v>
      </c>
      <c r="BU40" s="3" t="s">
        <v>771</v>
      </c>
      <c r="BV40" s="3" t="s">
        <v>772</v>
      </c>
      <c r="BW40" s="3" t="s">
        <v>773</v>
      </c>
      <c r="BX40" s="4">
        <v>45296</v>
      </c>
      <c r="BY40" s="4">
        <v>46490</v>
      </c>
      <c r="BZ40" s="3" t="s">
        <v>136</v>
      </c>
      <c r="CA40" s="3" t="s">
        <v>492</v>
      </c>
      <c r="CB40" s="3" t="s">
        <v>726</v>
      </c>
      <c r="CC40" s="3"/>
      <c r="CD40" s="3" t="s">
        <v>774</v>
      </c>
      <c r="CE40" s="3"/>
      <c r="CF40" s="3"/>
      <c r="CG40" s="3"/>
      <c r="CH40" s="3"/>
      <c r="CI40" s="3"/>
      <c r="CJ40" s="3"/>
      <c r="CK40" s="3"/>
      <c r="CL40" s="3"/>
      <c r="CM40" s="3"/>
      <c r="CN40" s="3"/>
      <c r="CO40" s="3"/>
      <c r="CP40" s="3"/>
      <c r="CQ40" s="3"/>
      <c r="CR40" s="3"/>
      <c r="CS40" s="3"/>
      <c r="CT40" s="3"/>
      <c r="CU40" s="3"/>
      <c r="CV40" s="3"/>
      <c r="CW40" s="3"/>
      <c r="CX40" s="3"/>
      <c r="CY40" s="3"/>
      <c r="CZ40" s="3"/>
      <c r="DA40" s="3"/>
    </row>
    <row r="41" spans="1:105" ht="15" customHeight="1" x14ac:dyDescent="0.2">
      <c r="A41" s="5" t="s">
        <v>775</v>
      </c>
      <c r="B41" s="5" t="s">
        <v>776</v>
      </c>
      <c r="C41" s="5" t="s">
        <v>777</v>
      </c>
      <c r="D41" s="5" t="s">
        <v>280</v>
      </c>
      <c r="E41" s="5" t="s">
        <v>281</v>
      </c>
      <c r="F41" s="5" t="s">
        <v>282</v>
      </c>
      <c r="G41" s="5" t="s">
        <v>110</v>
      </c>
      <c r="H41" s="5" t="s">
        <v>259</v>
      </c>
      <c r="I41" s="5" t="s">
        <v>283</v>
      </c>
      <c r="J41" s="5" t="s">
        <v>113</v>
      </c>
      <c r="K41" s="5" t="s">
        <v>115</v>
      </c>
      <c r="L41" s="5" t="s">
        <v>115</v>
      </c>
      <c r="M41" s="5" t="s">
        <v>689</v>
      </c>
      <c r="N41" s="5" t="s">
        <v>114</v>
      </c>
      <c r="O41" s="5" t="s">
        <v>115</v>
      </c>
      <c r="P41" s="5" t="s">
        <v>114</v>
      </c>
      <c r="Q41" s="5" t="s">
        <v>778</v>
      </c>
      <c r="R41" s="5" t="s">
        <v>779</v>
      </c>
      <c r="S41" s="5" t="s">
        <v>286</v>
      </c>
      <c r="T41" s="5" t="s">
        <v>780</v>
      </c>
      <c r="U41" s="5" t="s">
        <v>120</v>
      </c>
      <c r="V41" s="5" t="s">
        <v>119</v>
      </c>
      <c r="W41" s="5" t="s">
        <v>120</v>
      </c>
      <c r="X41" s="5"/>
      <c r="Y41" s="5" t="s">
        <v>781</v>
      </c>
      <c r="Z41" s="5" t="s">
        <v>119</v>
      </c>
      <c r="AA41" s="5"/>
      <c r="AB41" s="5" t="s">
        <v>122</v>
      </c>
      <c r="AC41" s="5" t="s">
        <v>217</v>
      </c>
      <c r="AD41" s="5" t="s">
        <v>124</v>
      </c>
      <c r="AE41" s="5" t="s">
        <v>782</v>
      </c>
      <c r="AF41" s="5" t="s">
        <v>783</v>
      </c>
      <c r="AG41" s="5" t="s">
        <v>127</v>
      </c>
      <c r="AH41" s="5" t="s">
        <v>784</v>
      </c>
      <c r="AI41" s="5" t="s">
        <v>485</v>
      </c>
      <c r="AJ41" s="5" t="s">
        <v>669</v>
      </c>
      <c r="AK41" s="5" t="s">
        <v>785</v>
      </c>
      <c r="AL41" s="5" t="s">
        <v>785</v>
      </c>
      <c r="AM41" s="5">
        <v>0</v>
      </c>
      <c r="AN41" s="5" t="s">
        <v>624</v>
      </c>
      <c r="AO41" s="5"/>
      <c r="AP41" s="5" t="s">
        <v>624</v>
      </c>
      <c r="AQ41" s="5"/>
      <c r="AR41" s="5" t="s">
        <v>786</v>
      </c>
      <c r="AS41" s="5">
        <v>0</v>
      </c>
      <c r="AT41" s="5">
        <v>1.05</v>
      </c>
      <c r="AU41" s="5"/>
      <c r="AV41" s="5"/>
      <c r="AW41" s="5"/>
      <c r="AX41" s="5"/>
      <c r="AY41" s="5"/>
      <c r="AZ41" s="5">
        <v>0</v>
      </c>
      <c r="BA41" s="5">
        <v>0.81</v>
      </c>
      <c r="BB41" s="5" t="s">
        <v>522</v>
      </c>
      <c r="BC41" s="5">
        <v>377</v>
      </c>
      <c r="BD41" s="6">
        <v>44971</v>
      </c>
      <c r="BE41" s="6">
        <v>45597</v>
      </c>
      <c r="BF41" s="6">
        <v>45688</v>
      </c>
      <c r="BG41" s="6">
        <v>45980</v>
      </c>
      <c r="BH41" s="5">
        <v>9.6</v>
      </c>
      <c r="BI41" s="6">
        <v>45680</v>
      </c>
      <c r="BJ41" s="6">
        <v>45919</v>
      </c>
      <c r="BK41" s="5">
        <v>7.8</v>
      </c>
      <c r="BL41" s="6">
        <v>45820</v>
      </c>
      <c r="BM41" s="6">
        <v>46295</v>
      </c>
      <c r="BN41" s="5">
        <v>15.6</v>
      </c>
      <c r="BO41" s="6">
        <v>46356</v>
      </c>
      <c r="BP41" s="6">
        <v>46081</v>
      </c>
      <c r="BQ41" s="5">
        <v>9</v>
      </c>
      <c r="BR41" s="6">
        <v>45688</v>
      </c>
      <c r="BS41" s="6">
        <v>45999</v>
      </c>
      <c r="BT41" s="5">
        <v>10.199999999999999</v>
      </c>
      <c r="BU41" s="5" t="s">
        <v>787</v>
      </c>
      <c r="BV41" s="5" t="s">
        <v>788</v>
      </c>
      <c r="BW41" s="5" t="s">
        <v>789</v>
      </c>
      <c r="BX41" s="6">
        <v>45485</v>
      </c>
      <c r="BY41" s="6">
        <v>46895</v>
      </c>
      <c r="BZ41" s="5" t="s">
        <v>136</v>
      </c>
      <c r="CA41" s="5" t="s">
        <v>137</v>
      </c>
      <c r="CB41" s="5"/>
      <c r="CC41" s="5" t="s">
        <v>790</v>
      </c>
      <c r="CD41" s="5"/>
      <c r="CE41" s="5"/>
      <c r="CF41" s="5"/>
      <c r="CG41" s="5"/>
      <c r="CH41" s="5"/>
      <c r="CI41" s="5"/>
      <c r="CJ41" s="5"/>
      <c r="CK41" s="5"/>
      <c r="CL41" s="5"/>
      <c r="CM41" s="5"/>
      <c r="CN41" s="5"/>
      <c r="CO41" s="5"/>
      <c r="CP41" s="5"/>
      <c r="CQ41" s="5"/>
      <c r="CR41" s="5"/>
      <c r="CS41" s="5"/>
      <c r="CT41" s="5"/>
      <c r="CU41" s="5"/>
      <c r="CV41" s="5"/>
      <c r="CW41" s="5"/>
      <c r="CX41" s="5"/>
      <c r="CY41" s="5"/>
      <c r="CZ41" s="5"/>
      <c r="DA41" s="5"/>
    </row>
    <row r="42" spans="1:105" ht="15" customHeight="1" x14ac:dyDescent="0.2">
      <c r="A42" s="3" t="s">
        <v>791</v>
      </c>
      <c r="B42" s="3" t="s">
        <v>792</v>
      </c>
      <c r="C42" s="3" t="s">
        <v>792</v>
      </c>
      <c r="D42" s="3" t="s">
        <v>793</v>
      </c>
      <c r="E42" s="3" t="s">
        <v>793</v>
      </c>
      <c r="F42" s="3" t="s">
        <v>793</v>
      </c>
      <c r="G42" s="3" t="s">
        <v>110</v>
      </c>
      <c r="H42" s="3" t="s">
        <v>259</v>
      </c>
      <c r="I42" s="3" t="s">
        <v>544</v>
      </c>
      <c r="J42" s="3" t="s">
        <v>113</v>
      </c>
      <c r="K42" s="3" t="s">
        <v>114</v>
      </c>
      <c r="L42" s="3" t="s">
        <v>114</v>
      </c>
      <c r="M42" s="3" t="s">
        <v>114</v>
      </c>
      <c r="N42" s="3" t="s">
        <v>114</v>
      </c>
      <c r="O42" s="3" t="s">
        <v>114</v>
      </c>
      <c r="P42" s="3" t="s">
        <v>114</v>
      </c>
      <c r="Q42" s="3" t="s">
        <v>794</v>
      </c>
      <c r="R42" s="3" t="s">
        <v>795</v>
      </c>
      <c r="S42" s="3" t="s">
        <v>286</v>
      </c>
      <c r="T42" s="3" t="s">
        <v>780</v>
      </c>
      <c r="U42" s="3" t="s">
        <v>120</v>
      </c>
      <c r="V42" s="3" t="s">
        <v>119</v>
      </c>
      <c r="W42" s="3" t="s">
        <v>120</v>
      </c>
      <c r="X42" s="3"/>
      <c r="Y42" s="3" t="s">
        <v>781</v>
      </c>
      <c r="Z42" s="3" t="s">
        <v>119</v>
      </c>
      <c r="AA42" s="3"/>
      <c r="AB42" s="3" t="s">
        <v>122</v>
      </c>
      <c r="AC42" s="3" t="s">
        <v>217</v>
      </c>
      <c r="AD42" s="3" t="s">
        <v>124</v>
      </c>
      <c r="AE42" s="3" t="s">
        <v>796</v>
      </c>
      <c r="AF42" s="3" t="s">
        <v>184</v>
      </c>
      <c r="AG42" s="3" t="s">
        <v>358</v>
      </c>
      <c r="AH42" s="3" t="s">
        <v>797</v>
      </c>
      <c r="AI42" s="3" t="s">
        <v>798</v>
      </c>
      <c r="AJ42" s="3" t="s">
        <v>435</v>
      </c>
      <c r="AK42" s="3" t="s">
        <v>799</v>
      </c>
      <c r="AL42" s="3" t="s">
        <v>799</v>
      </c>
      <c r="AM42" s="3">
        <v>13</v>
      </c>
      <c r="AN42" s="3" t="s">
        <v>503</v>
      </c>
      <c r="AO42" s="3"/>
      <c r="AP42" s="3" t="s">
        <v>503</v>
      </c>
      <c r="AQ42" s="3"/>
      <c r="AR42" s="3" t="s">
        <v>799</v>
      </c>
      <c r="AS42" s="3">
        <v>2.2000000000000002</v>
      </c>
      <c r="AT42" s="3">
        <v>0.64</v>
      </c>
      <c r="AU42" s="3" t="s">
        <v>800</v>
      </c>
      <c r="AV42" s="3" t="s">
        <v>801</v>
      </c>
      <c r="AW42" s="3" t="s">
        <v>295</v>
      </c>
      <c r="AX42" s="3" t="s">
        <v>799</v>
      </c>
      <c r="AY42" s="3" t="s">
        <v>799</v>
      </c>
      <c r="AZ42" s="3">
        <v>4.7</v>
      </c>
      <c r="BA42" s="3">
        <v>0.75</v>
      </c>
      <c r="BB42" s="3" t="s">
        <v>522</v>
      </c>
      <c r="BC42" s="3">
        <v>583</v>
      </c>
      <c r="BD42" s="4">
        <v>44085</v>
      </c>
      <c r="BE42" s="4">
        <v>45474</v>
      </c>
      <c r="BF42" s="4">
        <v>46142</v>
      </c>
      <c r="BG42" s="4">
        <v>46418</v>
      </c>
      <c r="BH42" s="3">
        <v>9</v>
      </c>
      <c r="BI42" s="4">
        <v>46203</v>
      </c>
      <c r="BJ42" s="4">
        <v>46387</v>
      </c>
      <c r="BK42" s="3">
        <v>6</v>
      </c>
      <c r="BL42" s="4">
        <v>46142</v>
      </c>
      <c r="BM42" s="4">
        <v>46507</v>
      </c>
      <c r="BN42" s="3">
        <v>12</v>
      </c>
      <c r="BO42" s="3"/>
      <c r="BP42" s="3"/>
      <c r="BQ42" s="3"/>
      <c r="BR42" s="4">
        <v>46142</v>
      </c>
      <c r="BS42" s="4">
        <v>46418</v>
      </c>
      <c r="BT42" s="3">
        <v>9</v>
      </c>
      <c r="BU42" s="3" t="s">
        <v>802</v>
      </c>
      <c r="BV42" s="3" t="s">
        <v>803</v>
      </c>
      <c r="BW42" s="3" t="s">
        <v>804</v>
      </c>
      <c r="BX42" s="4">
        <v>45275</v>
      </c>
      <c r="BY42" s="4">
        <v>46262</v>
      </c>
      <c r="BZ42" s="3" t="s">
        <v>136</v>
      </c>
      <c r="CA42" s="3" t="s">
        <v>492</v>
      </c>
      <c r="CB42" s="3"/>
      <c r="CC42" s="3" t="s">
        <v>805</v>
      </c>
      <c r="CD42" s="3"/>
      <c r="CE42" s="3"/>
      <c r="CF42" s="3"/>
      <c r="CG42" s="3"/>
      <c r="CH42" s="3"/>
      <c r="CI42" s="3"/>
      <c r="CJ42" s="3"/>
      <c r="CK42" s="3"/>
      <c r="CL42" s="3"/>
      <c r="CM42" s="3"/>
      <c r="CN42" s="3"/>
      <c r="CO42" s="3"/>
      <c r="CP42" s="3"/>
      <c r="CQ42" s="3"/>
      <c r="CR42" s="3"/>
      <c r="CS42" s="3"/>
      <c r="CT42" s="3"/>
      <c r="CU42" s="3"/>
      <c r="CV42" s="3"/>
      <c r="CW42" s="3"/>
      <c r="CX42" s="3"/>
      <c r="CY42" s="3"/>
      <c r="CZ42" s="3"/>
      <c r="DA42" s="3"/>
    </row>
    <row r="43" spans="1:105" ht="15" customHeight="1" x14ac:dyDescent="0.2">
      <c r="A43" s="5" t="s">
        <v>806</v>
      </c>
      <c r="B43" s="5" t="s">
        <v>807</v>
      </c>
      <c r="C43" s="5" t="s">
        <v>808</v>
      </c>
      <c r="D43" s="5" t="s">
        <v>809</v>
      </c>
      <c r="E43" s="5" t="s">
        <v>809</v>
      </c>
      <c r="F43" s="5" t="s">
        <v>809</v>
      </c>
      <c r="G43" s="5" t="s">
        <v>110</v>
      </c>
      <c r="H43" s="5" t="s">
        <v>572</v>
      </c>
      <c r="I43" s="5" t="s">
        <v>181</v>
      </c>
      <c r="J43" s="5" t="s">
        <v>113</v>
      </c>
      <c r="K43" s="5" t="s">
        <v>114</v>
      </c>
      <c r="L43" s="5" t="s">
        <v>114</v>
      </c>
      <c r="M43" s="5" t="s">
        <v>114</v>
      </c>
      <c r="N43" s="5" t="s">
        <v>114</v>
      </c>
      <c r="O43" s="5" t="s">
        <v>114</v>
      </c>
      <c r="P43" s="5" t="s">
        <v>114</v>
      </c>
      <c r="Q43" s="5" t="s">
        <v>810</v>
      </c>
      <c r="R43" s="5" t="s">
        <v>811</v>
      </c>
      <c r="S43" s="5" t="s">
        <v>812</v>
      </c>
      <c r="T43" s="5" t="s">
        <v>813</v>
      </c>
      <c r="U43" s="5" t="s">
        <v>119</v>
      </c>
      <c r="V43" s="5" t="s">
        <v>119</v>
      </c>
      <c r="W43" s="5" t="s">
        <v>120</v>
      </c>
      <c r="X43" s="5"/>
      <c r="Y43" s="5"/>
      <c r="Z43" s="5" t="s">
        <v>119</v>
      </c>
      <c r="AA43" s="5"/>
      <c r="AB43" s="5" t="s">
        <v>122</v>
      </c>
      <c r="AC43" s="5" t="s">
        <v>217</v>
      </c>
      <c r="AD43" s="5" t="s">
        <v>145</v>
      </c>
      <c r="AE43" s="5" t="s">
        <v>814</v>
      </c>
      <c r="AF43" s="5" t="s">
        <v>815</v>
      </c>
      <c r="AG43" s="5" t="s">
        <v>166</v>
      </c>
      <c r="AH43" s="5"/>
      <c r="AI43" s="5"/>
      <c r="AJ43" s="5"/>
      <c r="AK43" s="5"/>
      <c r="AL43" s="5"/>
      <c r="AM43" s="5">
        <v>0</v>
      </c>
      <c r="AN43" s="5"/>
      <c r="AO43" s="5"/>
      <c r="AP43" s="5"/>
      <c r="AQ43" s="5"/>
      <c r="AR43" s="5"/>
      <c r="AS43" s="5">
        <v>0</v>
      </c>
      <c r="AT43" s="5"/>
      <c r="AU43" s="5"/>
      <c r="AV43" s="5"/>
      <c r="AW43" s="5"/>
      <c r="AX43" s="5"/>
      <c r="AY43" s="5"/>
      <c r="AZ43" s="5">
        <v>0</v>
      </c>
      <c r="BA43" s="5"/>
      <c r="BB43" s="5" t="s">
        <v>522</v>
      </c>
      <c r="BC43" s="5">
        <v>324</v>
      </c>
      <c r="BD43" s="6">
        <v>44908</v>
      </c>
      <c r="BE43" s="6">
        <v>46102</v>
      </c>
      <c r="BF43" s="6">
        <v>46234</v>
      </c>
      <c r="BG43" s="6">
        <v>46507</v>
      </c>
      <c r="BH43" s="5">
        <v>9</v>
      </c>
      <c r="BI43" s="6">
        <v>46234</v>
      </c>
      <c r="BJ43" s="6">
        <v>46418</v>
      </c>
      <c r="BK43" s="5">
        <v>6</v>
      </c>
      <c r="BL43" s="6">
        <v>46234</v>
      </c>
      <c r="BM43" s="6">
        <v>46599</v>
      </c>
      <c r="BN43" s="5">
        <v>12</v>
      </c>
      <c r="BO43" s="5"/>
      <c r="BP43" s="5"/>
      <c r="BQ43" s="5"/>
      <c r="BR43" s="6">
        <v>46234</v>
      </c>
      <c r="BS43" s="6">
        <v>46507</v>
      </c>
      <c r="BT43" s="5">
        <v>9</v>
      </c>
      <c r="BU43" s="5" t="s">
        <v>816</v>
      </c>
      <c r="BV43" s="5" t="s">
        <v>817</v>
      </c>
      <c r="BW43" s="5" t="s">
        <v>818</v>
      </c>
      <c r="BX43" s="6">
        <v>46038</v>
      </c>
      <c r="BY43" s="6">
        <v>46691</v>
      </c>
      <c r="BZ43" s="5" t="s">
        <v>136</v>
      </c>
      <c r="CA43" s="5" t="s">
        <v>137</v>
      </c>
      <c r="CB43" s="5" t="s">
        <v>745</v>
      </c>
      <c r="CC43" s="5" t="s">
        <v>819</v>
      </c>
      <c r="CD43" s="5"/>
      <c r="CE43" s="5"/>
      <c r="CF43" s="5"/>
      <c r="CG43" s="5"/>
      <c r="CH43" s="5"/>
      <c r="CI43" s="5"/>
      <c r="CJ43" s="5"/>
      <c r="CK43" s="5"/>
      <c r="CL43" s="5"/>
      <c r="CM43" s="5"/>
      <c r="CN43" s="5"/>
      <c r="CO43" s="5"/>
      <c r="CP43" s="5"/>
      <c r="CQ43" s="5"/>
      <c r="CR43" s="5"/>
      <c r="CS43" s="5"/>
      <c r="CT43" s="5"/>
      <c r="CU43" s="5"/>
      <c r="CV43" s="5"/>
      <c r="CW43" s="5"/>
      <c r="CX43" s="5"/>
      <c r="CY43" s="5"/>
      <c r="CZ43" s="5"/>
      <c r="DA43" s="5"/>
    </row>
    <row r="44" spans="1:105" ht="15" customHeight="1" x14ac:dyDescent="0.2">
      <c r="A44" s="3" t="s">
        <v>105</v>
      </c>
      <c r="B44" s="3" t="s">
        <v>820</v>
      </c>
      <c r="C44" s="3" t="s">
        <v>821</v>
      </c>
      <c r="D44" s="3" t="s">
        <v>822</v>
      </c>
      <c r="E44" s="3" t="s">
        <v>822</v>
      </c>
      <c r="F44" s="3" t="s">
        <v>822</v>
      </c>
      <c r="G44" s="3" t="s">
        <v>110</v>
      </c>
      <c r="H44" s="3" t="s">
        <v>259</v>
      </c>
      <c r="I44" s="3" t="s">
        <v>665</v>
      </c>
      <c r="J44" s="3" t="s">
        <v>113</v>
      </c>
      <c r="K44" s="3" t="s">
        <v>114</v>
      </c>
      <c r="L44" s="3" t="s">
        <v>114</v>
      </c>
      <c r="M44" s="3" t="s">
        <v>114</v>
      </c>
      <c r="N44" s="3" t="s">
        <v>114</v>
      </c>
      <c r="O44" s="3" t="s">
        <v>114</v>
      </c>
      <c r="P44" s="3" t="s">
        <v>114</v>
      </c>
      <c r="Q44" s="3" t="s">
        <v>823</v>
      </c>
      <c r="R44" s="3" t="s">
        <v>824</v>
      </c>
      <c r="S44" s="3" t="s">
        <v>117</v>
      </c>
      <c r="T44" s="3" t="s">
        <v>118</v>
      </c>
      <c r="U44" s="3" t="s">
        <v>119</v>
      </c>
      <c r="V44" s="3" t="s">
        <v>120</v>
      </c>
      <c r="W44" s="3" t="s">
        <v>120</v>
      </c>
      <c r="X44" s="3"/>
      <c r="Y44" s="3"/>
      <c r="Z44" s="3" t="s">
        <v>119</v>
      </c>
      <c r="AA44" s="3" t="s">
        <v>825</v>
      </c>
      <c r="AB44" s="3" t="s">
        <v>122</v>
      </c>
      <c r="AC44" s="3" t="s">
        <v>217</v>
      </c>
      <c r="AD44" s="3" t="s">
        <v>124</v>
      </c>
      <c r="AE44" s="3" t="s">
        <v>826</v>
      </c>
      <c r="AF44" s="3" t="s">
        <v>827</v>
      </c>
      <c r="AG44" s="3" t="s">
        <v>33</v>
      </c>
      <c r="AH44" s="3"/>
      <c r="AI44" s="3"/>
      <c r="AJ44" s="3"/>
      <c r="AK44" s="3"/>
      <c r="AL44" s="3"/>
      <c r="AM44" s="3">
        <v>0</v>
      </c>
      <c r="AN44" s="3"/>
      <c r="AO44" s="3"/>
      <c r="AP44" s="3"/>
      <c r="AQ44" s="3"/>
      <c r="AR44" s="3"/>
      <c r="AS44" s="3">
        <v>0</v>
      </c>
      <c r="AT44" s="3"/>
      <c r="AU44" s="3"/>
      <c r="AV44" s="3"/>
      <c r="AW44" s="3"/>
      <c r="AX44" s="3"/>
      <c r="AY44" s="3"/>
      <c r="AZ44" s="3">
        <v>0</v>
      </c>
      <c r="BA44" s="3"/>
      <c r="BB44" s="3" t="s">
        <v>522</v>
      </c>
      <c r="BC44" s="3">
        <v>650</v>
      </c>
      <c r="BD44" s="4">
        <v>43784</v>
      </c>
      <c r="BE44" s="4">
        <v>46082</v>
      </c>
      <c r="BF44" s="4">
        <v>46234</v>
      </c>
      <c r="BG44" s="4">
        <v>46599</v>
      </c>
      <c r="BH44" s="3">
        <v>12</v>
      </c>
      <c r="BI44" s="4">
        <v>46234</v>
      </c>
      <c r="BJ44" s="4">
        <v>46418</v>
      </c>
      <c r="BK44" s="3">
        <v>6</v>
      </c>
      <c r="BL44" s="3"/>
      <c r="BM44" s="3"/>
      <c r="BN44" s="3"/>
      <c r="BO44" s="3"/>
      <c r="BP44" s="3"/>
      <c r="BQ44" s="3"/>
      <c r="BR44" s="4">
        <v>46234</v>
      </c>
      <c r="BS44" s="4">
        <v>46599</v>
      </c>
      <c r="BT44" s="3">
        <v>12</v>
      </c>
      <c r="BU44" s="3" t="s">
        <v>828</v>
      </c>
      <c r="BV44" s="3" t="s">
        <v>829</v>
      </c>
      <c r="BW44" s="3" t="s">
        <v>830</v>
      </c>
      <c r="BX44" s="4">
        <v>45474</v>
      </c>
      <c r="BY44" s="4">
        <v>45748</v>
      </c>
      <c r="BZ44" s="3" t="s">
        <v>136</v>
      </c>
      <c r="CA44" s="3" t="s">
        <v>191</v>
      </c>
      <c r="CB44" s="3"/>
      <c r="CC44" s="3" t="s">
        <v>329</v>
      </c>
      <c r="CD44" s="3"/>
      <c r="CE44" s="3"/>
      <c r="CF44" s="3"/>
      <c r="CG44" s="3"/>
      <c r="CH44" s="3"/>
      <c r="CI44" s="3"/>
      <c r="CJ44" s="3"/>
      <c r="CK44" s="3"/>
      <c r="CL44" s="3"/>
      <c r="CM44" s="3"/>
      <c r="CN44" s="3"/>
      <c r="CO44" s="3"/>
      <c r="CP44" s="3"/>
      <c r="CQ44" s="3"/>
      <c r="CR44" s="3"/>
      <c r="CS44" s="3"/>
      <c r="CT44" s="3"/>
      <c r="CU44" s="3"/>
      <c r="CV44" s="3"/>
      <c r="CW44" s="3"/>
      <c r="CX44" s="3"/>
      <c r="CY44" s="3"/>
      <c r="CZ44" s="3"/>
      <c r="DA44" s="3"/>
    </row>
    <row r="45" spans="1:105" ht="15" customHeight="1" x14ac:dyDescent="0.2">
      <c r="A45" s="5" t="s">
        <v>831</v>
      </c>
      <c r="B45" s="5" t="s">
        <v>832</v>
      </c>
      <c r="C45" s="5" t="s">
        <v>832</v>
      </c>
      <c r="D45" s="5" t="s">
        <v>833</v>
      </c>
      <c r="E45" s="5" t="s">
        <v>833</v>
      </c>
      <c r="F45" s="5" t="s">
        <v>350</v>
      </c>
      <c r="G45" s="5" t="s">
        <v>110</v>
      </c>
      <c r="H45" s="5" t="s">
        <v>259</v>
      </c>
      <c r="I45" s="5" t="s">
        <v>181</v>
      </c>
      <c r="J45" s="5" t="s">
        <v>113</v>
      </c>
      <c r="K45" s="5" t="s">
        <v>114</v>
      </c>
      <c r="L45" s="5" t="s">
        <v>114</v>
      </c>
      <c r="M45" s="5" t="s">
        <v>114</v>
      </c>
      <c r="N45" s="5" t="s">
        <v>114</v>
      </c>
      <c r="O45" s="5" t="s">
        <v>114</v>
      </c>
      <c r="P45" s="5" t="s">
        <v>114</v>
      </c>
      <c r="Q45" s="5" t="s">
        <v>834</v>
      </c>
      <c r="R45" s="5" t="s">
        <v>835</v>
      </c>
      <c r="S45" s="5" t="s">
        <v>836</v>
      </c>
      <c r="T45" s="5" t="s">
        <v>837</v>
      </c>
      <c r="U45" s="5" t="s">
        <v>119</v>
      </c>
      <c r="V45" s="5" t="s">
        <v>119</v>
      </c>
      <c r="W45" s="5" t="s">
        <v>120</v>
      </c>
      <c r="X45" s="5"/>
      <c r="Y45" s="5"/>
      <c r="Z45" s="5" t="s">
        <v>119</v>
      </c>
      <c r="AA45" s="5" t="s">
        <v>121</v>
      </c>
      <c r="AB45" s="5" t="s">
        <v>122</v>
      </c>
      <c r="AC45" s="5" t="s">
        <v>217</v>
      </c>
      <c r="AD45" s="5" t="s">
        <v>838</v>
      </c>
      <c r="AE45" s="5" t="s">
        <v>839</v>
      </c>
      <c r="AF45" s="5" t="s">
        <v>840</v>
      </c>
      <c r="AG45" s="5" t="s">
        <v>166</v>
      </c>
      <c r="AH45" s="5"/>
      <c r="AI45" s="5"/>
      <c r="AJ45" s="5"/>
      <c r="AK45" s="5"/>
      <c r="AL45" s="5"/>
      <c r="AM45" s="5">
        <v>0</v>
      </c>
      <c r="AN45" s="5"/>
      <c r="AO45" s="5"/>
      <c r="AP45" s="5"/>
      <c r="AQ45" s="5"/>
      <c r="AR45" s="5"/>
      <c r="AS45" s="5">
        <v>0</v>
      </c>
      <c r="AT45" s="5"/>
      <c r="AU45" s="5"/>
      <c r="AV45" s="5"/>
      <c r="AW45" s="5"/>
      <c r="AX45" s="5"/>
      <c r="AY45" s="5"/>
      <c r="AZ45" s="5">
        <v>0</v>
      </c>
      <c r="BA45" s="5"/>
      <c r="BB45" s="5" t="s">
        <v>522</v>
      </c>
      <c r="BC45" s="5">
        <v>454</v>
      </c>
      <c r="BD45" s="6">
        <v>44497</v>
      </c>
      <c r="BE45" s="6">
        <v>46113</v>
      </c>
      <c r="BF45" s="6">
        <v>46265</v>
      </c>
      <c r="BG45" s="6">
        <v>46538</v>
      </c>
      <c r="BH45" s="5">
        <v>9</v>
      </c>
      <c r="BI45" s="6">
        <v>46265</v>
      </c>
      <c r="BJ45" s="6">
        <v>46446</v>
      </c>
      <c r="BK45" s="5">
        <v>5.9</v>
      </c>
      <c r="BL45" s="6">
        <v>46265</v>
      </c>
      <c r="BM45" s="6">
        <v>46630</v>
      </c>
      <c r="BN45" s="5">
        <v>12</v>
      </c>
      <c r="BO45" s="6">
        <v>46538</v>
      </c>
      <c r="BP45" s="6">
        <v>46265</v>
      </c>
      <c r="BQ45" s="5">
        <v>9</v>
      </c>
      <c r="BR45" s="6">
        <v>46265</v>
      </c>
      <c r="BS45" s="6">
        <v>46538</v>
      </c>
      <c r="BT45" s="5">
        <v>9</v>
      </c>
      <c r="BU45" s="5" t="s">
        <v>841</v>
      </c>
      <c r="BV45" s="5" t="s">
        <v>842</v>
      </c>
      <c r="BW45" s="5" t="s">
        <v>843</v>
      </c>
      <c r="BX45" s="6">
        <v>46111</v>
      </c>
      <c r="BY45" s="6">
        <v>46598</v>
      </c>
      <c r="BZ45" s="5" t="s">
        <v>136</v>
      </c>
      <c r="CA45" s="5" t="s">
        <v>137</v>
      </c>
      <c r="CB45" s="5" t="s">
        <v>844</v>
      </c>
      <c r="CC45" s="5" t="s">
        <v>329</v>
      </c>
      <c r="CD45" s="5" t="s">
        <v>845</v>
      </c>
      <c r="CE45" s="5"/>
      <c r="CF45" s="5" t="s">
        <v>846</v>
      </c>
      <c r="CG45" s="5" t="s">
        <v>847</v>
      </c>
      <c r="CH45" s="5" t="s">
        <v>848</v>
      </c>
      <c r="CI45" s="5" t="s">
        <v>849</v>
      </c>
      <c r="CJ45" s="5" t="s">
        <v>850</v>
      </c>
      <c r="CK45" s="5" t="s">
        <v>851</v>
      </c>
      <c r="CL45" s="5" t="s">
        <v>852</v>
      </c>
      <c r="CM45" s="5" t="s">
        <v>853</v>
      </c>
      <c r="CN45" s="5" t="s">
        <v>854</v>
      </c>
      <c r="CO45" s="5"/>
      <c r="CP45" s="5">
        <v>7.6</v>
      </c>
      <c r="CQ45" s="5"/>
      <c r="CR45" s="5"/>
      <c r="CS45" s="5"/>
      <c r="CT45" s="5"/>
      <c r="CU45" s="5"/>
      <c r="CV45" s="5"/>
      <c r="CW45" s="5"/>
      <c r="CX45" s="5"/>
      <c r="CY45" s="5"/>
      <c r="CZ45" s="5"/>
      <c r="DA45" s="5"/>
    </row>
    <row r="46" spans="1:105" ht="15" customHeight="1" x14ac:dyDescent="0.2">
      <c r="A46" s="3" t="s">
        <v>855</v>
      </c>
      <c r="B46" s="3" t="s">
        <v>856</v>
      </c>
      <c r="C46" s="3" t="s">
        <v>856</v>
      </c>
      <c r="D46" s="3" t="s">
        <v>107</v>
      </c>
      <c r="E46" s="3" t="s">
        <v>108</v>
      </c>
      <c r="F46" s="3" t="s">
        <v>332</v>
      </c>
      <c r="G46" s="3" t="s">
        <v>110</v>
      </c>
      <c r="H46" s="3" t="s">
        <v>572</v>
      </c>
      <c r="I46" s="3"/>
      <c r="J46" s="3" t="s">
        <v>113</v>
      </c>
      <c r="K46" s="3" t="s">
        <v>114</v>
      </c>
      <c r="L46" s="3" t="s">
        <v>114</v>
      </c>
      <c r="M46" s="3" t="s">
        <v>114</v>
      </c>
      <c r="N46" s="3" t="s">
        <v>114</v>
      </c>
      <c r="O46" s="3" t="s">
        <v>114</v>
      </c>
      <c r="P46" s="3" t="s">
        <v>114</v>
      </c>
      <c r="Q46" s="3" t="s">
        <v>857</v>
      </c>
      <c r="R46" s="3" t="s">
        <v>858</v>
      </c>
      <c r="S46" s="3" t="s">
        <v>859</v>
      </c>
      <c r="T46" s="3" t="s">
        <v>860</v>
      </c>
      <c r="U46" s="3" t="s">
        <v>119</v>
      </c>
      <c r="V46" s="3" t="s">
        <v>119</v>
      </c>
      <c r="W46" s="3" t="s">
        <v>120</v>
      </c>
      <c r="X46" s="3"/>
      <c r="Y46" s="3"/>
      <c r="Z46" s="3" t="s">
        <v>119</v>
      </c>
      <c r="AA46" s="3"/>
      <c r="AB46" s="3" t="s">
        <v>122</v>
      </c>
      <c r="AC46" s="3" t="s">
        <v>217</v>
      </c>
      <c r="AD46" s="3" t="s">
        <v>145</v>
      </c>
      <c r="AE46" s="3" t="s">
        <v>861</v>
      </c>
      <c r="AF46" s="3" t="s">
        <v>233</v>
      </c>
      <c r="AG46" s="3" t="s">
        <v>166</v>
      </c>
      <c r="AH46" s="3"/>
      <c r="AI46" s="3"/>
      <c r="AJ46" s="3"/>
      <c r="AK46" s="3"/>
      <c r="AL46" s="3"/>
      <c r="AM46" s="3">
        <v>0</v>
      </c>
      <c r="AN46" s="3"/>
      <c r="AO46" s="3"/>
      <c r="AP46" s="3"/>
      <c r="AQ46" s="3"/>
      <c r="AR46" s="3"/>
      <c r="AS46" s="3">
        <v>0</v>
      </c>
      <c r="AT46" s="3"/>
      <c r="AU46" s="3"/>
      <c r="AV46" s="3"/>
      <c r="AW46" s="3"/>
      <c r="AX46" s="3"/>
      <c r="AY46" s="3"/>
      <c r="AZ46" s="3">
        <v>0</v>
      </c>
      <c r="BA46" s="3"/>
      <c r="BB46" s="3" t="s">
        <v>522</v>
      </c>
      <c r="BC46" s="3">
        <v>220</v>
      </c>
      <c r="BD46" s="4">
        <v>44469</v>
      </c>
      <c r="BE46" s="4">
        <v>46113</v>
      </c>
      <c r="BF46" s="4">
        <v>46265</v>
      </c>
      <c r="BG46" s="4">
        <v>46538</v>
      </c>
      <c r="BH46" s="3">
        <v>9</v>
      </c>
      <c r="BI46" s="4">
        <v>46265</v>
      </c>
      <c r="BJ46" s="4">
        <v>46446</v>
      </c>
      <c r="BK46" s="3">
        <v>5.9</v>
      </c>
      <c r="BL46" s="4">
        <v>46265</v>
      </c>
      <c r="BM46" s="4">
        <v>46630</v>
      </c>
      <c r="BN46" s="3">
        <v>12</v>
      </c>
      <c r="BO46" s="3"/>
      <c r="BP46" s="3"/>
      <c r="BQ46" s="3"/>
      <c r="BR46" s="4">
        <v>46265</v>
      </c>
      <c r="BS46" s="4">
        <v>46538</v>
      </c>
      <c r="BT46" s="3">
        <v>9</v>
      </c>
      <c r="BU46" s="3" t="s">
        <v>862</v>
      </c>
      <c r="BV46" s="3" t="s">
        <v>863</v>
      </c>
      <c r="BW46" s="3" t="s">
        <v>864</v>
      </c>
      <c r="BX46" s="4">
        <v>46930</v>
      </c>
      <c r="BY46" s="4">
        <v>46930</v>
      </c>
      <c r="BZ46" s="3" t="s">
        <v>136</v>
      </c>
      <c r="CA46" s="3" t="s">
        <v>137</v>
      </c>
      <c r="CB46" s="3" t="s">
        <v>865</v>
      </c>
      <c r="CC46" s="3"/>
      <c r="CD46" s="3"/>
      <c r="CE46" s="3"/>
      <c r="CF46" s="3"/>
      <c r="CG46" s="3"/>
      <c r="CH46" s="3"/>
      <c r="CI46" s="3"/>
      <c r="CJ46" s="3"/>
      <c r="CK46" s="3"/>
      <c r="CL46" s="3"/>
      <c r="CM46" s="3"/>
      <c r="CN46" s="3"/>
      <c r="CO46" s="3"/>
      <c r="CP46" s="3"/>
      <c r="CQ46" s="3"/>
      <c r="CR46" s="3"/>
      <c r="CS46" s="3"/>
      <c r="CT46" s="3"/>
      <c r="CU46" s="3"/>
      <c r="CV46" s="3"/>
      <c r="CW46" s="3"/>
      <c r="CX46" s="3"/>
      <c r="CY46" s="3"/>
      <c r="CZ46" s="3"/>
      <c r="DA46" s="3"/>
    </row>
    <row r="47" spans="1:105" ht="15" customHeight="1" x14ac:dyDescent="0.2">
      <c r="A47" s="5" t="s">
        <v>866</v>
      </c>
      <c r="B47" s="5" t="s">
        <v>867</v>
      </c>
      <c r="C47" s="5" t="s">
        <v>868</v>
      </c>
      <c r="D47" s="5" t="s">
        <v>869</v>
      </c>
      <c r="E47" s="5" t="s">
        <v>869</v>
      </c>
      <c r="F47" s="5" t="s">
        <v>869</v>
      </c>
      <c r="G47" s="5" t="s">
        <v>110</v>
      </c>
      <c r="H47" s="5" t="s">
        <v>259</v>
      </c>
      <c r="I47" s="5" t="s">
        <v>544</v>
      </c>
      <c r="J47" s="5" t="s">
        <v>113</v>
      </c>
      <c r="K47" s="5" t="s">
        <v>114</v>
      </c>
      <c r="L47" s="5" t="s">
        <v>114</v>
      </c>
      <c r="M47" s="5" t="s">
        <v>114</v>
      </c>
      <c r="N47" s="5" t="s">
        <v>114</v>
      </c>
      <c r="O47" s="5" t="s">
        <v>114</v>
      </c>
      <c r="P47" s="5" t="s">
        <v>114</v>
      </c>
      <c r="Q47" s="5" t="s">
        <v>870</v>
      </c>
      <c r="R47" s="5" t="s">
        <v>871</v>
      </c>
      <c r="S47" s="5" t="s">
        <v>872</v>
      </c>
      <c r="T47" s="5" t="s">
        <v>873</v>
      </c>
      <c r="U47" s="5" t="s">
        <v>120</v>
      </c>
      <c r="V47" s="5" t="s">
        <v>119</v>
      </c>
      <c r="W47" s="5" t="s">
        <v>120</v>
      </c>
      <c r="X47" s="5" t="s">
        <v>388</v>
      </c>
      <c r="Y47" s="5" t="s">
        <v>165</v>
      </c>
      <c r="Z47" s="5" t="s">
        <v>119</v>
      </c>
      <c r="AA47" s="5"/>
      <c r="AB47" s="5" t="s">
        <v>122</v>
      </c>
      <c r="AC47" s="5" t="s">
        <v>217</v>
      </c>
      <c r="AD47" s="5" t="s">
        <v>736</v>
      </c>
      <c r="AE47" s="5" t="s">
        <v>874</v>
      </c>
      <c r="AF47" s="5" t="s">
        <v>875</v>
      </c>
      <c r="AG47" s="5" t="s">
        <v>358</v>
      </c>
      <c r="AH47" s="5"/>
      <c r="AI47" s="5"/>
      <c r="AJ47" s="5"/>
      <c r="AK47" s="5"/>
      <c r="AL47" s="5"/>
      <c r="AM47" s="5">
        <v>0</v>
      </c>
      <c r="AN47" s="5"/>
      <c r="AO47" s="5"/>
      <c r="AP47" s="5"/>
      <c r="AQ47" s="5"/>
      <c r="AR47" s="5"/>
      <c r="AS47" s="5">
        <v>0</v>
      </c>
      <c r="AT47" s="5"/>
      <c r="AU47" s="5"/>
      <c r="AV47" s="5"/>
      <c r="AW47" s="5"/>
      <c r="AX47" s="5"/>
      <c r="AY47" s="5"/>
      <c r="AZ47" s="5">
        <v>0</v>
      </c>
      <c r="BA47" s="5"/>
      <c r="BB47" s="5" t="s">
        <v>876</v>
      </c>
      <c r="BC47" s="5">
        <v>1600</v>
      </c>
      <c r="BD47" s="6">
        <v>45225</v>
      </c>
      <c r="BE47" s="6">
        <v>46143</v>
      </c>
      <c r="BF47" s="6">
        <v>46295</v>
      </c>
      <c r="BG47" s="6">
        <v>46568</v>
      </c>
      <c r="BH47" s="5">
        <v>9</v>
      </c>
      <c r="BI47" s="6">
        <v>46295</v>
      </c>
      <c r="BJ47" s="6">
        <v>46477</v>
      </c>
      <c r="BK47" s="5">
        <v>6</v>
      </c>
      <c r="BL47" s="6">
        <v>46295</v>
      </c>
      <c r="BM47" s="6">
        <v>46660</v>
      </c>
      <c r="BN47" s="5">
        <v>12</v>
      </c>
      <c r="BO47" s="6">
        <v>46568</v>
      </c>
      <c r="BP47" s="6">
        <v>46295</v>
      </c>
      <c r="BQ47" s="5">
        <v>9</v>
      </c>
      <c r="BR47" s="6">
        <v>46295</v>
      </c>
      <c r="BS47" s="6">
        <v>46568</v>
      </c>
      <c r="BT47" s="5">
        <v>9</v>
      </c>
      <c r="BU47" s="5" t="s">
        <v>877</v>
      </c>
      <c r="BV47" s="5" t="s">
        <v>878</v>
      </c>
      <c r="BW47" s="5" t="s">
        <v>879</v>
      </c>
      <c r="BX47" s="6">
        <v>47118</v>
      </c>
      <c r="BY47" s="6">
        <v>47483</v>
      </c>
      <c r="BZ47" s="5" t="s">
        <v>136</v>
      </c>
      <c r="CA47" s="5" t="s">
        <v>191</v>
      </c>
      <c r="CB47" s="5"/>
      <c r="CC47" s="5" t="s">
        <v>880</v>
      </c>
      <c r="CD47" s="5" t="s">
        <v>881</v>
      </c>
      <c r="CE47" s="5"/>
      <c r="CF47" s="5"/>
      <c r="CG47" s="5"/>
      <c r="CH47" s="5"/>
      <c r="CI47" s="5"/>
      <c r="CJ47" s="5"/>
      <c r="CK47" s="5"/>
      <c r="CL47" s="5"/>
      <c r="CM47" s="5"/>
      <c r="CN47" s="5"/>
      <c r="CO47" s="5"/>
      <c r="CP47" s="5"/>
      <c r="CQ47" s="5"/>
      <c r="CR47" s="5"/>
      <c r="CS47" s="5"/>
      <c r="CT47" s="5"/>
      <c r="CU47" s="5"/>
      <c r="CV47" s="5"/>
      <c r="CW47" s="5"/>
      <c r="CX47" s="5"/>
      <c r="CY47" s="5"/>
      <c r="CZ47" s="5"/>
      <c r="DA47" s="5"/>
    </row>
    <row r="48" spans="1:105" ht="15" customHeight="1" x14ac:dyDescent="0.2">
      <c r="A48" s="3" t="s">
        <v>278</v>
      </c>
      <c r="B48" s="3" t="s">
        <v>882</v>
      </c>
      <c r="C48" s="3" t="s">
        <v>882</v>
      </c>
      <c r="D48" s="3" t="s">
        <v>883</v>
      </c>
      <c r="E48" s="3" t="s">
        <v>883</v>
      </c>
      <c r="F48" s="3" t="s">
        <v>883</v>
      </c>
      <c r="G48" s="3" t="s">
        <v>110</v>
      </c>
      <c r="H48" s="3" t="s">
        <v>259</v>
      </c>
      <c r="I48" s="3" t="s">
        <v>181</v>
      </c>
      <c r="J48" s="3" t="s">
        <v>113</v>
      </c>
      <c r="K48" s="3" t="s">
        <v>114</v>
      </c>
      <c r="L48" s="3" t="s">
        <v>114</v>
      </c>
      <c r="M48" s="3" t="s">
        <v>114</v>
      </c>
      <c r="N48" s="3" t="s">
        <v>114</v>
      </c>
      <c r="O48" s="3" t="s">
        <v>114</v>
      </c>
      <c r="P48" s="3" t="s">
        <v>114</v>
      </c>
      <c r="Q48" s="3" t="s">
        <v>884</v>
      </c>
      <c r="R48" s="3" t="s">
        <v>885</v>
      </c>
      <c r="S48" s="3" t="s">
        <v>286</v>
      </c>
      <c r="T48" s="3" t="s">
        <v>886</v>
      </c>
      <c r="U48" s="3" t="s">
        <v>120</v>
      </c>
      <c r="V48" s="3" t="s">
        <v>120</v>
      </c>
      <c r="W48" s="3" t="s">
        <v>120</v>
      </c>
      <c r="X48" s="3"/>
      <c r="Y48" s="3" t="s">
        <v>887</v>
      </c>
      <c r="Z48" s="3" t="s">
        <v>119</v>
      </c>
      <c r="AA48" s="3"/>
      <c r="AB48" s="3" t="s">
        <v>122</v>
      </c>
      <c r="AC48" s="3" t="s">
        <v>217</v>
      </c>
      <c r="AD48" s="3" t="s">
        <v>124</v>
      </c>
      <c r="AE48" s="3" t="s">
        <v>888</v>
      </c>
      <c r="AF48" s="3" t="s">
        <v>279</v>
      </c>
      <c r="AG48" s="3" t="s">
        <v>33</v>
      </c>
      <c r="AH48" s="3"/>
      <c r="AI48" s="3"/>
      <c r="AJ48" s="3"/>
      <c r="AK48" s="3"/>
      <c r="AL48" s="3"/>
      <c r="AM48" s="3">
        <v>0</v>
      </c>
      <c r="AN48" s="3"/>
      <c r="AO48" s="3"/>
      <c r="AP48" s="3"/>
      <c r="AQ48" s="3"/>
      <c r="AR48" s="3"/>
      <c r="AS48" s="3">
        <v>0</v>
      </c>
      <c r="AT48" s="3"/>
      <c r="AU48" s="3"/>
      <c r="AV48" s="3"/>
      <c r="AW48" s="3"/>
      <c r="AX48" s="3"/>
      <c r="AY48" s="3"/>
      <c r="AZ48" s="3">
        <v>0</v>
      </c>
      <c r="BA48" s="3"/>
      <c r="BB48" s="3" t="s">
        <v>522</v>
      </c>
      <c r="BC48" s="3">
        <v>555</v>
      </c>
      <c r="BD48" s="4">
        <v>45363</v>
      </c>
      <c r="BE48" s="4">
        <v>46112</v>
      </c>
      <c r="BF48" s="4">
        <v>46234</v>
      </c>
      <c r="BG48" s="4">
        <v>46599</v>
      </c>
      <c r="BH48" s="3">
        <v>12</v>
      </c>
      <c r="BI48" s="4">
        <v>46234</v>
      </c>
      <c r="BJ48" s="4">
        <v>46599</v>
      </c>
      <c r="BK48" s="3">
        <v>12</v>
      </c>
      <c r="BL48" s="3"/>
      <c r="BM48" s="3"/>
      <c r="BN48" s="3"/>
      <c r="BO48" s="4">
        <v>46507</v>
      </c>
      <c r="BP48" s="4">
        <v>46234</v>
      </c>
      <c r="BQ48" s="3">
        <v>9</v>
      </c>
      <c r="BR48" s="4">
        <v>46234</v>
      </c>
      <c r="BS48" s="4">
        <v>46599</v>
      </c>
      <c r="BT48" s="3">
        <v>12</v>
      </c>
      <c r="BU48" s="3" t="s">
        <v>889</v>
      </c>
      <c r="BV48" s="3" t="s">
        <v>890</v>
      </c>
      <c r="BW48" s="3" t="s">
        <v>891</v>
      </c>
      <c r="BX48" s="4">
        <v>46082</v>
      </c>
      <c r="BY48" s="4">
        <v>46266</v>
      </c>
      <c r="BZ48" s="3" t="s">
        <v>136</v>
      </c>
      <c r="CA48" s="3" t="s">
        <v>191</v>
      </c>
      <c r="CB48" s="3"/>
      <c r="CC48" s="3" t="s">
        <v>892</v>
      </c>
      <c r="CD48" s="3" t="s">
        <v>881</v>
      </c>
      <c r="CE48" s="3"/>
      <c r="CF48" s="3"/>
      <c r="CG48" s="3"/>
      <c r="CH48" s="3"/>
      <c r="CI48" s="3"/>
      <c r="CJ48" s="3"/>
      <c r="CK48" s="3"/>
      <c r="CL48" s="3"/>
      <c r="CM48" s="3"/>
      <c r="CN48" s="3"/>
      <c r="CO48" s="3"/>
      <c r="CP48" s="3"/>
      <c r="CQ48" s="3"/>
      <c r="CR48" s="3"/>
      <c r="CS48" s="3"/>
      <c r="CT48" s="3"/>
      <c r="CU48" s="3"/>
      <c r="CV48" s="3"/>
      <c r="CW48" s="3"/>
      <c r="CX48" s="3"/>
      <c r="CY48" s="3"/>
      <c r="CZ48" s="3"/>
      <c r="DA48" s="3"/>
    </row>
    <row r="49" spans="1:105" ht="15" customHeight="1" x14ac:dyDescent="0.2">
      <c r="A49" s="5" t="s">
        <v>893</v>
      </c>
      <c r="B49" s="5" t="s">
        <v>894</v>
      </c>
      <c r="C49" s="5" t="s">
        <v>895</v>
      </c>
      <c r="D49" s="5" t="s">
        <v>318</v>
      </c>
      <c r="E49" s="5" t="s">
        <v>318</v>
      </c>
      <c r="F49" s="5" t="s">
        <v>318</v>
      </c>
      <c r="G49" s="5" t="s">
        <v>110</v>
      </c>
      <c r="H49" s="5" t="s">
        <v>572</v>
      </c>
      <c r="I49" s="5" t="s">
        <v>181</v>
      </c>
      <c r="J49" s="5" t="s">
        <v>113</v>
      </c>
      <c r="K49" s="5" t="s">
        <v>114</v>
      </c>
      <c r="L49" s="5" t="s">
        <v>114</v>
      </c>
      <c r="M49" s="5" t="s">
        <v>114</v>
      </c>
      <c r="N49" s="5" t="s">
        <v>114</v>
      </c>
      <c r="O49" s="5" t="s">
        <v>114</v>
      </c>
      <c r="P49" s="5" t="s">
        <v>114</v>
      </c>
      <c r="Q49" s="5" t="s">
        <v>896</v>
      </c>
      <c r="R49" s="5" t="s">
        <v>897</v>
      </c>
      <c r="S49" s="5" t="s">
        <v>898</v>
      </c>
      <c r="T49" s="5" t="s">
        <v>899</v>
      </c>
      <c r="U49" s="5" t="s">
        <v>119</v>
      </c>
      <c r="V49" s="5" t="s">
        <v>119</v>
      </c>
      <c r="W49" s="5" t="s">
        <v>120</v>
      </c>
      <c r="X49" s="5"/>
      <c r="Y49" s="5" t="s">
        <v>735</v>
      </c>
      <c r="Z49" s="5" t="s">
        <v>119</v>
      </c>
      <c r="AA49" s="5" t="s">
        <v>144</v>
      </c>
      <c r="AB49" s="5" t="s">
        <v>122</v>
      </c>
      <c r="AC49" s="5" t="s">
        <v>217</v>
      </c>
      <c r="AD49" s="5" t="s">
        <v>145</v>
      </c>
      <c r="AE49" s="5" t="s">
        <v>900</v>
      </c>
      <c r="AF49" s="5" t="s">
        <v>901</v>
      </c>
      <c r="AG49" s="5" t="s">
        <v>166</v>
      </c>
      <c r="AH49" s="5"/>
      <c r="AI49" s="5"/>
      <c r="AJ49" s="5"/>
      <c r="AK49" s="5"/>
      <c r="AL49" s="5"/>
      <c r="AM49" s="5">
        <v>0</v>
      </c>
      <c r="AN49" s="5"/>
      <c r="AO49" s="5"/>
      <c r="AP49" s="5"/>
      <c r="AQ49" s="5"/>
      <c r="AR49" s="5"/>
      <c r="AS49" s="5">
        <v>0</v>
      </c>
      <c r="AT49" s="5"/>
      <c r="AU49" s="5"/>
      <c r="AV49" s="5"/>
      <c r="AW49" s="5"/>
      <c r="AX49" s="5"/>
      <c r="AY49" s="5"/>
      <c r="AZ49" s="5">
        <v>0</v>
      </c>
      <c r="BA49" s="5"/>
      <c r="BB49" s="5" t="s">
        <v>876</v>
      </c>
      <c r="BC49" s="5">
        <v>750</v>
      </c>
      <c r="BD49" s="6">
        <v>45246</v>
      </c>
      <c r="BE49" s="6">
        <v>46174</v>
      </c>
      <c r="BF49" s="6">
        <v>46326</v>
      </c>
      <c r="BG49" s="6">
        <v>46599</v>
      </c>
      <c r="BH49" s="5">
        <v>9</v>
      </c>
      <c r="BI49" s="6">
        <v>46326</v>
      </c>
      <c r="BJ49" s="6">
        <v>46507</v>
      </c>
      <c r="BK49" s="5">
        <v>5.9</v>
      </c>
      <c r="BL49" s="6">
        <v>46326</v>
      </c>
      <c r="BM49" s="6">
        <v>46691</v>
      </c>
      <c r="BN49" s="5">
        <v>12</v>
      </c>
      <c r="BO49" s="6">
        <v>46599</v>
      </c>
      <c r="BP49" s="6">
        <v>46326</v>
      </c>
      <c r="BQ49" s="5">
        <v>9</v>
      </c>
      <c r="BR49" s="6">
        <v>46326</v>
      </c>
      <c r="BS49" s="6">
        <v>46599</v>
      </c>
      <c r="BT49" s="5">
        <v>9</v>
      </c>
      <c r="BU49" s="5" t="s">
        <v>902</v>
      </c>
      <c r="BV49" s="5" t="s">
        <v>903</v>
      </c>
      <c r="BW49" s="5" t="s">
        <v>904</v>
      </c>
      <c r="BX49" s="6">
        <v>46203</v>
      </c>
      <c r="BY49" s="6">
        <v>48029</v>
      </c>
      <c r="BZ49" s="5" t="s">
        <v>136</v>
      </c>
      <c r="CA49" s="5" t="s">
        <v>137</v>
      </c>
      <c r="CB49" s="5" t="s">
        <v>905</v>
      </c>
      <c r="CC49" s="5" t="s">
        <v>906</v>
      </c>
      <c r="CD49" s="5" t="s">
        <v>907</v>
      </c>
      <c r="CE49" s="5"/>
      <c r="CF49" s="5"/>
      <c r="CG49" s="5"/>
      <c r="CH49" s="5"/>
      <c r="CI49" s="5"/>
      <c r="CJ49" s="5"/>
      <c r="CK49" s="5"/>
      <c r="CL49" s="5"/>
      <c r="CM49" s="5"/>
      <c r="CN49" s="5"/>
      <c r="CO49" s="5"/>
      <c r="CP49" s="5"/>
      <c r="CQ49" s="5"/>
      <c r="CR49" s="5"/>
      <c r="CS49" s="5"/>
      <c r="CT49" s="5"/>
      <c r="CU49" s="5"/>
      <c r="CV49" s="5"/>
      <c r="CW49" s="5"/>
      <c r="CX49" s="5"/>
      <c r="CY49" s="5"/>
      <c r="CZ49" s="5"/>
      <c r="DA49" s="5"/>
    </row>
    <row r="50" spans="1:105" ht="15" customHeight="1" x14ac:dyDescent="0.2">
      <c r="A50" s="3" t="s">
        <v>908</v>
      </c>
      <c r="B50" s="3" t="s">
        <v>909</v>
      </c>
      <c r="C50" s="3" t="s">
        <v>910</v>
      </c>
      <c r="D50" s="3" t="s">
        <v>911</v>
      </c>
      <c r="E50" s="3" t="s">
        <v>911</v>
      </c>
      <c r="F50" s="3" t="s">
        <v>911</v>
      </c>
      <c r="G50" s="3" t="s">
        <v>110</v>
      </c>
      <c r="H50" s="3" t="s">
        <v>259</v>
      </c>
      <c r="I50" s="3" t="s">
        <v>181</v>
      </c>
      <c r="J50" s="3" t="s">
        <v>113</v>
      </c>
      <c r="K50" s="3" t="s">
        <v>114</v>
      </c>
      <c r="L50" s="3" t="s">
        <v>114</v>
      </c>
      <c r="M50" s="3" t="s">
        <v>114</v>
      </c>
      <c r="N50" s="3" t="s">
        <v>114</v>
      </c>
      <c r="O50" s="3" t="s">
        <v>114</v>
      </c>
      <c r="P50" s="3" t="s">
        <v>114</v>
      </c>
      <c r="Q50" s="3" t="s">
        <v>912</v>
      </c>
      <c r="R50" s="3" t="s">
        <v>913</v>
      </c>
      <c r="S50" s="3" t="s">
        <v>372</v>
      </c>
      <c r="T50" s="3" t="s">
        <v>180</v>
      </c>
      <c r="U50" s="3" t="s">
        <v>119</v>
      </c>
      <c r="V50" s="3" t="s">
        <v>119</v>
      </c>
      <c r="W50" s="3" t="s">
        <v>120</v>
      </c>
      <c r="X50" s="3"/>
      <c r="Y50" s="3"/>
      <c r="Z50" s="3" t="s">
        <v>119</v>
      </c>
      <c r="AA50" s="3"/>
      <c r="AB50" s="3" t="s">
        <v>122</v>
      </c>
      <c r="AC50" s="3" t="s">
        <v>217</v>
      </c>
      <c r="AD50" s="3" t="s">
        <v>145</v>
      </c>
      <c r="AE50" s="3" t="s">
        <v>914</v>
      </c>
      <c r="AF50" s="3" t="s">
        <v>165</v>
      </c>
      <c r="AG50" s="3" t="s">
        <v>166</v>
      </c>
      <c r="AH50" s="3"/>
      <c r="AI50" s="3"/>
      <c r="AJ50" s="3"/>
      <c r="AK50" s="3"/>
      <c r="AL50" s="3"/>
      <c r="AM50" s="3">
        <v>0</v>
      </c>
      <c r="AN50" s="3"/>
      <c r="AO50" s="3"/>
      <c r="AP50" s="3"/>
      <c r="AQ50" s="3"/>
      <c r="AR50" s="3"/>
      <c r="AS50" s="3">
        <v>0</v>
      </c>
      <c r="AT50" s="3"/>
      <c r="AU50" s="3"/>
      <c r="AV50" s="3"/>
      <c r="AW50" s="3"/>
      <c r="AX50" s="3"/>
      <c r="AY50" s="3"/>
      <c r="AZ50" s="3">
        <v>0</v>
      </c>
      <c r="BA50" s="3"/>
      <c r="BB50" s="3" t="s">
        <v>522</v>
      </c>
      <c r="BC50" s="3">
        <v>398</v>
      </c>
      <c r="BD50" s="4">
        <v>45078</v>
      </c>
      <c r="BE50" s="4">
        <v>46174</v>
      </c>
      <c r="BF50" s="4">
        <v>46326</v>
      </c>
      <c r="BG50" s="4">
        <v>46691</v>
      </c>
      <c r="BH50" s="3">
        <v>12</v>
      </c>
      <c r="BI50" s="4">
        <v>46326</v>
      </c>
      <c r="BJ50" s="4">
        <v>46507</v>
      </c>
      <c r="BK50" s="3">
        <v>5.9</v>
      </c>
      <c r="BL50" s="4">
        <v>46326</v>
      </c>
      <c r="BM50" s="4">
        <v>46691</v>
      </c>
      <c r="BN50" s="3">
        <v>12</v>
      </c>
      <c r="BO50" s="4">
        <v>46599</v>
      </c>
      <c r="BP50" s="4">
        <v>46326</v>
      </c>
      <c r="BQ50" s="3">
        <v>9</v>
      </c>
      <c r="BR50" s="4">
        <v>46326</v>
      </c>
      <c r="BS50" s="4">
        <v>46691</v>
      </c>
      <c r="BT50" s="3">
        <v>12</v>
      </c>
      <c r="BU50" s="3" t="s">
        <v>915</v>
      </c>
      <c r="BV50" s="3" t="s">
        <v>916</v>
      </c>
      <c r="BW50" s="3" t="s">
        <v>917</v>
      </c>
      <c r="BX50" s="4">
        <v>45884</v>
      </c>
      <c r="BY50" s="4">
        <v>46798</v>
      </c>
      <c r="BZ50" s="3" t="s">
        <v>136</v>
      </c>
      <c r="CA50" s="3" t="s">
        <v>137</v>
      </c>
      <c r="CB50" s="3" t="s">
        <v>918</v>
      </c>
      <c r="CC50" s="3"/>
      <c r="CD50" s="3"/>
      <c r="CE50" s="3"/>
      <c r="CF50" s="3"/>
      <c r="CG50" s="3"/>
      <c r="CH50" s="3"/>
      <c r="CI50" s="3"/>
      <c r="CJ50" s="3"/>
      <c r="CK50" s="3"/>
      <c r="CL50" s="3"/>
      <c r="CM50" s="3"/>
      <c r="CN50" s="3"/>
      <c r="CO50" s="3"/>
      <c r="CP50" s="3"/>
      <c r="CQ50" s="3"/>
      <c r="CR50" s="3"/>
      <c r="CS50" s="3"/>
      <c r="CT50" s="3"/>
      <c r="CU50" s="3"/>
      <c r="CV50" s="3"/>
      <c r="CW50" s="3"/>
      <c r="CX50" s="3"/>
      <c r="CY50" s="3"/>
      <c r="CZ50" s="3"/>
      <c r="DA50" s="3"/>
    </row>
    <row r="51" spans="1:105" ht="15" customHeight="1" x14ac:dyDescent="0.2">
      <c r="A51" s="5" t="s">
        <v>919</v>
      </c>
      <c r="B51" s="5" t="s">
        <v>920</v>
      </c>
      <c r="C51" s="5" t="s">
        <v>920</v>
      </c>
      <c r="D51" s="5" t="s">
        <v>350</v>
      </c>
      <c r="E51" s="5" t="s">
        <v>350</v>
      </c>
      <c r="F51" s="5" t="s">
        <v>282</v>
      </c>
      <c r="G51" s="5" t="s">
        <v>110</v>
      </c>
      <c r="H51" s="5" t="s">
        <v>763</v>
      </c>
      <c r="I51" s="5" t="s">
        <v>921</v>
      </c>
      <c r="J51" s="5" t="s">
        <v>113</v>
      </c>
      <c r="K51" s="5" t="s">
        <v>114</v>
      </c>
      <c r="L51" s="5" t="s">
        <v>114</v>
      </c>
      <c r="M51" s="5" t="s">
        <v>114</v>
      </c>
      <c r="N51" s="5" t="s">
        <v>114</v>
      </c>
      <c r="O51" s="5" t="s">
        <v>114</v>
      </c>
      <c r="P51" s="5" t="s">
        <v>114</v>
      </c>
      <c r="Q51" s="5" t="s">
        <v>922</v>
      </c>
      <c r="R51" s="5" t="s">
        <v>923</v>
      </c>
      <c r="S51" s="5" t="s">
        <v>924</v>
      </c>
      <c r="T51" s="5" t="s">
        <v>925</v>
      </c>
      <c r="U51" s="5" t="s">
        <v>120</v>
      </c>
      <c r="V51" s="5" t="s">
        <v>119</v>
      </c>
      <c r="W51" s="5" t="s">
        <v>120</v>
      </c>
      <c r="X51" s="5" t="s">
        <v>388</v>
      </c>
      <c r="Y51" s="5" t="s">
        <v>278</v>
      </c>
      <c r="Z51" s="5" t="s">
        <v>119</v>
      </c>
      <c r="AA51" s="5" t="s">
        <v>121</v>
      </c>
      <c r="AB51" s="5" t="s">
        <v>122</v>
      </c>
      <c r="AC51" s="5" t="s">
        <v>217</v>
      </c>
      <c r="AD51" s="5" t="s">
        <v>145</v>
      </c>
      <c r="AE51" s="5" t="s">
        <v>926</v>
      </c>
      <c r="AF51" s="5" t="s">
        <v>927</v>
      </c>
      <c r="AG51" s="5" t="s">
        <v>358</v>
      </c>
      <c r="AH51" s="5"/>
      <c r="AI51" s="5"/>
      <c r="AJ51" s="5"/>
      <c r="AK51" s="5"/>
      <c r="AL51" s="5"/>
      <c r="AM51" s="5">
        <v>0</v>
      </c>
      <c r="AN51" s="5"/>
      <c r="AO51" s="5"/>
      <c r="AP51" s="5"/>
      <c r="AQ51" s="5"/>
      <c r="AR51" s="5"/>
      <c r="AS51" s="5">
        <v>0</v>
      </c>
      <c r="AT51" s="5"/>
      <c r="AU51" s="5"/>
      <c r="AV51" s="5"/>
      <c r="AW51" s="5"/>
      <c r="AX51" s="5"/>
      <c r="AY51" s="5"/>
      <c r="AZ51" s="5">
        <v>0</v>
      </c>
      <c r="BA51" s="5"/>
      <c r="BB51" s="5" t="s">
        <v>522</v>
      </c>
      <c r="BC51" s="5">
        <v>870</v>
      </c>
      <c r="BD51" s="6">
        <v>44018</v>
      </c>
      <c r="BE51" s="6">
        <v>46204</v>
      </c>
      <c r="BF51" s="6">
        <v>46356</v>
      </c>
      <c r="BG51" s="6">
        <v>46630</v>
      </c>
      <c r="BH51" s="5">
        <v>9</v>
      </c>
      <c r="BI51" s="6">
        <v>46356</v>
      </c>
      <c r="BJ51" s="6">
        <v>46538</v>
      </c>
      <c r="BK51" s="5">
        <v>6</v>
      </c>
      <c r="BL51" s="6">
        <v>46356</v>
      </c>
      <c r="BM51" s="6">
        <v>46721</v>
      </c>
      <c r="BN51" s="5">
        <v>12</v>
      </c>
      <c r="BO51" s="6">
        <v>46630</v>
      </c>
      <c r="BP51" s="6">
        <v>46356</v>
      </c>
      <c r="BQ51" s="5">
        <v>9</v>
      </c>
      <c r="BR51" s="6">
        <v>46356</v>
      </c>
      <c r="BS51" s="6">
        <v>46630</v>
      </c>
      <c r="BT51" s="5">
        <v>9</v>
      </c>
      <c r="BU51" s="5" t="s">
        <v>928</v>
      </c>
      <c r="BV51" s="5" t="s">
        <v>929</v>
      </c>
      <c r="BW51" s="5" t="s">
        <v>930</v>
      </c>
      <c r="BX51" s="6">
        <v>46209</v>
      </c>
      <c r="BY51" s="6">
        <v>46433</v>
      </c>
      <c r="BZ51" s="5" t="s">
        <v>136</v>
      </c>
      <c r="CA51" s="5" t="s">
        <v>383</v>
      </c>
      <c r="CB51" s="5"/>
      <c r="CC51" s="5"/>
      <c r="CD51" s="5" t="s">
        <v>881</v>
      </c>
      <c r="CE51" s="5"/>
      <c r="CF51" s="5"/>
      <c r="CG51" s="5"/>
      <c r="CH51" s="5"/>
      <c r="CI51" s="5"/>
      <c r="CJ51" s="5"/>
      <c r="CK51" s="5"/>
      <c r="CL51" s="5"/>
      <c r="CM51" s="5"/>
      <c r="CN51" s="5"/>
      <c r="CO51" s="5"/>
      <c r="CP51" s="5"/>
      <c r="CQ51" s="5"/>
      <c r="CR51" s="5"/>
      <c r="CS51" s="5"/>
      <c r="CT51" s="5"/>
      <c r="CU51" s="5"/>
      <c r="CV51" s="5"/>
      <c r="CW51" s="5"/>
      <c r="CX51" s="5"/>
      <c r="CY51" s="5"/>
      <c r="CZ51" s="5"/>
      <c r="DA51" s="5"/>
    </row>
    <row r="52" spans="1:105" ht="15" customHeight="1" x14ac:dyDescent="0.2">
      <c r="A52" s="3" t="s">
        <v>931</v>
      </c>
      <c r="B52" s="3" t="s">
        <v>932</v>
      </c>
      <c r="C52" s="3" t="s">
        <v>932</v>
      </c>
      <c r="D52" s="3" t="s">
        <v>350</v>
      </c>
      <c r="E52" s="3" t="s">
        <v>350</v>
      </c>
      <c r="F52" s="3" t="s">
        <v>350</v>
      </c>
      <c r="G52" s="3" t="s">
        <v>110</v>
      </c>
      <c r="H52" s="3" t="s">
        <v>351</v>
      </c>
      <c r="I52" s="3"/>
      <c r="J52" s="3" t="s">
        <v>113</v>
      </c>
      <c r="K52" s="3" t="s">
        <v>114</v>
      </c>
      <c r="L52" s="3" t="s">
        <v>114</v>
      </c>
      <c r="M52" s="3" t="s">
        <v>114</v>
      </c>
      <c r="N52" s="3" t="s">
        <v>114</v>
      </c>
      <c r="O52" s="3" t="s">
        <v>114</v>
      </c>
      <c r="P52" s="3" t="s">
        <v>114</v>
      </c>
      <c r="Q52" s="3" t="s">
        <v>933</v>
      </c>
      <c r="R52" s="3" t="s">
        <v>934</v>
      </c>
      <c r="S52" s="3" t="s">
        <v>935</v>
      </c>
      <c r="T52" s="3" t="s">
        <v>936</v>
      </c>
      <c r="U52" s="3" t="s">
        <v>120</v>
      </c>
      <c r="V52" s="3" t="s">
        <v>119</v>
      </c>
      <c r="W52" s="3" t="s">
        <v>120</v>
      </c>
      <c r="X52" s="3" t="s">
        <v>694</v>
      </c>
      <c r="Y52" s="3" t="s">
        <v>348</v>
      </c>
      <c r="Z52" s="3" t="s">
        <v>119</v>
      </c>
      <c r="AA52" s="3"/>
      <c r="AB52" s="3" t="s">
        <v>122</v>
      </c>
      <c r="AC52" s="3" t="s">
        <v>217</v>
      </c>
      <c r="AD52" s="3" t="s">
        <v>124</v>
      </c>
      <c r="AE52" s="3" t="s">
        <v>937</v>
      </c>
      <c r="AF52" s="3" t="s">
        <v>938</v>
      </c>
      <c r="AG52" s="3" t="s">
        <v>166</v>
      </c>
      <c r="AH52" s="3"/>
      <c r="AI52" s="3"/>
      <c r="AJ52" s="3"/>
      <c r="AK52" s="3"/>
      <c r="AL52" s="3"/>
      <c r="AM52" s="3">
        <v>0</v>
      </c>
      <c r="AN52" s="3"/>
      <c r="AO52" s="3"/>
      <c r="AP52" s="3"/>
      <c r="AQ52" s="3"/>
      <c r="AR52" s="3"/>
      <c r="AS52" s="3">
        <v>0</v>
      </c>
      <c r="AT52" s="3"/>
      <c r="AU52" s="3"/>
      <c r="AV52" s="3"/>
      <c r="AW52" s="3"/>
      <c r="AX52" s="3"/>
      <c r="AY52" s="3"/>
      <c r="AZ52" s="3">
        <v>0</v>
      </c>
      <c r="BA52" s="3"/>
      <c r="BB52" s="3" t="s">
        <v>522</v>
      </c>
      <c r="BC52" s="3">
        <v>1051</v>
      </c>
      <c r="BD52" s="4">
        <v>44599</v>
      </c>
      <c r="BE52" s="4">
        <v>46204</v>
      </c>
      <c r="BF52" s="4">
        <v>46356</v>
      </c>
      <c r="BG52" s="4">
        <v>46721</v>
      </c>
      <c r="BH52" s="3">
        <v>12</v>
      </c>
      <c r="BI52" s="4">
        <v>46356</v>
      </c>
      <c r="BJ52" s="4">
        <v>46538</v>
      </c>
      <c r="BK52" s="3">
        <v>6</v>
      </c>
      <c r="BL52" s="4">
        <v>46356</v>
      </c>
      <c r="BM52" s="4">
        <v>46721</v>
      </c>
      <c r="BN52" s="3">
        <v>12</v>
      </c>
      <c r="BO52" s="4">
        <v>46630</v>
      </c>
      <c r="BP52" s="4">
        <v>46356</v>
      </c>
      <c r="BQ52" s="3">
        <v>9</v>
      </c>
      <c r="BR52" s="4">
        <v>46356</v>
      </c>
      <c r="BS52" s="4">
        <v>46721</v>
      </c>
      <c r="BT52" s="3">
        <v>12</v>
      </c>
      <c r="BU52" s="3" t="s">
        <v>939</v>
      </c>
      <c r="BV52" s="3" t="s">
        <v>940</v>
      </c>
      <c r="BW52" s="3" t="s">
        <v>941</v>
      </c>
      <c r="BX52" s="4">
        <v>46203</v>
      </c>
      <c r="BY52" s="4">
        <v>47666</v>
      </c>
      <c r="BZ52" s="3" t="s">
        <v>136</v>
      </c>
      <c r="CA52" s="3" t="s">
        <v>191</v>
      </c>
      <c r="CB52" s="3"/>
      <c r="CC52" s="3" t="s">
        <v>329</v>
      </c>
      <c r="CD52" s="3" t="s">
        <v>881</v>
      </c>
      <c r="CE52" s="3"/>
      <c r="CF52" s="3"/>
      <c r="CG52" s="3"/>
      <c r="CH52" s="3"/>
      <c r="CI52" s="3"/>
      <c r="CJ52" s="3"/>
      <c r="CK52" s="3"/>
      <c r="CL52" s="3"/>
      <c r="CM52" s="3"/>
      <c r="CN52" s="3"/>
      <c r="CO52" s="3"/>
      <c r="CP52" s="3"/>
      <c r="CQ52" s="3"/>
      <c r="CR52" s="3"/>
      <c r="CS52" s="3"/>
      <c r="CT52" s="3"/>
      <c r="CU52" s="3"/>
      <c r="CV52" s="3"/>
      <c r="CW52" s="3"/>
      <c r="CX52" s="3"/>
      <c r="CY52" s="3"/>
      <c r="CZ52" s="3"/>
      <c r="DA52" s="3"/>
    </row>
    <row r="53" spans="1:105" ht="15" customHeight="1" x14ac:dyDescent="0.2">
      <c r="A53" s="5" t="s">
        <v>942</v>
      </c>
      <c r="B53" s="5" t="s">
        <v>943</v>
      </c>
      <c r="C53" s="5" t="s">
        <v>943</v>
      </c>
      <c r="D53" s="5" t="s">
        <v>350</v>
      </c>
      <c r="E53" s="5" t="s">
        <v>350</v>
      </c>
      <c r="F53" s="5" t="s">
        <v>350</v>
      </c>
      <c r="G53" s="5" t="s">
        <v>110</v>
      </c>
      <c r="H53" s="5" t="s">
        <v>351</v>
      </c>
      <c r="I53" s="5"/>
      <c r="J53" s="5" t="s">
        <v>113</v>
      </c>
      <c r="K53" s="5" t="s">
        <v>114</v>
      </c>
      <c r="L53" s="5" t="s">
        <v>114</v>
      </c>
      <c r="M53" s="5" t="s">
        <v>114</v>
      </c>
      <c r="N53" s="5" t="s">
        <v>114</v>
      </c>
      <c r="O53" s="5" t="s">
        <v>114</v>
      </c>
      <c r="P53" s="5" t="s">
        <v>114</v>
      </c>
      <c r="Q53" s="5" t="s">
        <v>933</v>
      </c>
      <c r="R53" s="5" t="s">
        <v>944</v>
      </c>
      <c r="S53" s="5" t="s">
        <v>945</v>
      </c>
      <c r="T53" s="5" t="s">
        <v>946</v>
      </c>
      <c r="U53" s="5" t="s">
        <v>120</v>
      </c>
      <c r="V53" s="5" t="s">
        <v>119</v>
      </c>
      <c r="W53" s="5" t="s">
        <v>120</v>
      </c>
      <c r="X53" s="5" t="s">
        <v>694</v>
      </c>
      <c r="Y53" s="5" t="s">
        <v>348</v>
      </c>
      <c r="Z53" s="5" t="s">
        <v>119</v>
      </c>
      <c r="AA53" s="5"/>
      <c r="AB53" s="5" t="s">
        <v>122</v>
      </c>
      <c r="AC53" s="5" t="s">
        <v>217</v>
      </c>
      <c r="AD53" s="5" t="s">
        <v>124</v>
      </c>
      <c r="AE53" s="5" t="s">
        <v>937</v>
      </c>
      <c r="AF53" s="5" t="s">
        <v>938</v>
      </c>
      <c r="AG53" s="5" t="s">
        <v>166</v>
      </c>
      <c r="AH53" s="5"/>
      <c r="AI53" s="5"/>
      <c r="AJ53" s="5"/>
      <c r="AK53" s="5"/>
      <c r="AL53" s="5"/>
      <c r="AM53" s="5">
        <v>0</v>
      </c>
      <c r="AN53" s="5"/>
      <c r="AO53" s="5"/>
      <c r="AP53" s="5"/>
      <c r="AQ53" s="5"/>
      <c r="AR53" s="5"/>
      <c r="AS53" s="5">
        <v>0</v>
      </c>
      <c r="AT53" s="5"/>
      <c r="AU53" s="5"/>
      <c r="AV53" s="5"/>
      <c r="AW53" s="5"/>
      <c r="AX53" s="5"/>
      <c r="AY53" s="5"/>
      <c r="AZ53" s="5">
        <v>0</v>
      </c>
      <c r="BA53" s="5"/>
      <c r="BB53" s="5" t="s">
        <v>522</v>
      </c>
      <c r="BC53" s="5">
        <v>1051</v>
      </c>
      <c r="BD53" s="6">
        <v>44599</v>
      </c>
      <c r="BE53" s="6">
        <v>46204</v>
      </c>
      <c r="BF53" s="6">
        <v>46356</v>
      </c>
      <c r="BG53" s="6">
        <v>46721</v>
      </c>
      <c r="BH53" s="5">
        <v>12</v>
      </c>
      <c r="BI53" s="6">
        <v>46356</v>
      </c>
      <c r="BJ53" s="6">
        <v>46538</v>
      </c>
      <c r="BK53" s="5">
        <v>6</v>
      </c>
      <c r="BL53" s="6">
        <v>46356</v>
      </c>
      <c r="BM53" s="6">
        <v>46721</v>
      </c>
      <c r="BN53" s="5">
        <v>12</v>
      </c>
      <c r="BO53" s="6">
        <v>46630</v>
      </c>
      <c r="BP53" s="6">
        <v>46356</v>
      </c>
      <c r="BQ53" s="5">
        <v>9</v>
      </c>
      <c r="BR53" s="6">
        <v>46356</v>
      </c>
      <c r="BS53" s="6">
        <v>46721</v>
      </c>
      <c r="BT53" s="5">
        <v>12</v>
      </c>
      <c r="BU53" s="5" t="s">
        <v>939</v>
      </c>
      <c r="BV53" s="5" t="s">
        <v>940</v>
      </c>
      <c r="BW53" s="5" t="s">
        <v>941</v>
      </c>
      <c r="BX53" s="6">
        <v>46203</v>
      </c>
      <c r="BY53" s="6">
        <v>47666</v>
      </c>
      <c r="BZ53" s="5" t="s">
        <v>136</v>
      </c>
      <c r="CA53" s="5" t="s">
        <v>191</v>
      </c>
      <c r="CB53" s="5"/>
      <c r="CC53" s="5" t="s">
        <v>329</v>
      </c>
      <c r="CD53" s="5" t="s">
        <v>881</v>
      </c>
      <c r="CE53" s="5"/>
      <c r="CF53" s="5"/>
      <c r="CG53" s="5"/>
      <c r="CH53" s="5"/>
      <c r="CI53" s="5"/>
      <c r="CJ53" s="5"/>
      <c r="CK53" s="5"/>
      <c r="CL53" s="5"/>
      <c r="CM53" s="5"/>
      <c r="CN53" s="5"/>
      <c r="CO53" s="5"/>
      <c r="CP53" s="5"/>
      <c r="CQ53" s="5"/>
      <c r="CR53" s="5"/>
      <c r="CS53" s="5"/>
      <c r="CT53" s="5"/>
      <c r="CU53" s="5"/>
      <c r="CV53" s="5"/>
      <c r="CW53" s="5"/>
      <c r="CX53" s="5"/>
      <c r="CY53" s="5"/>
      <c r="CZ53" s="5"/>
      <c r="DA53" s="5"/>
    </row>
    <row r="54" spans="1:105" ht="15" customHeight="1" x14ac:dyDescent="0.2">
      <c r="A54" s="3" t="s">
        <v>947</v>
      </c>
      <c r="B54" s="3" t="s">
        <v>948</v>
      </c>
      <c r="C54" s="3" t="s">
        <v>949</v>
      </c>
      <c r="D54" s="3" t="s">
        <v>950</v>
      </c>
      <c r="E54" s="3" t="s">
        <v>951</v>
      </c>
      <c r="F54" s="3" t="s">
        <v>950</v>
      </c>
      <c r="G54" s="3" t="s">
        <v>110</v>
      </c>
      <c r="H54" s="3" t="s">
        <v>259</v>
      </c>
      <c r="I54" s="3" t="s">
        <v>181</v>
      </c>
      <c r="J54" s="3" t="s">
        <v>113</v>
      </c>
      <c r="K54" s="3" t="s">
        <v>114</v>
      </c>
      <c r="L54" s="3" t="s">
        <v>114</v>
      </c>
      <c r="M54" s="3" t="s">
        <v>114</v>
      </c>
      <c r="N54" s="3" t="s">
        <v>114</v>
      </c>
      <c r="O54" s="3" t="s">
        <v>114</v>
      </c>
      <c r="P54" s="3" t="s">
        <v>114</v>
      </c>
      <c r="Q54" s="3" t="s">
        <v>952</v>
      </c>
      <c r="R54" s="3" t="s">
        <v>953</v>
      </c>
      <c r="S54" s="3" t="s">
        <v>161</v>
      </c>
      <c r="T54" s="3" t="s">
        <v>954</v>
      </c>
      <c r="U54" s="3" t="s">
        <v>119</v>
      </c>
      <c r="V54" s="3" t="s">
        <v>119</v>
      </c>
      <c r="W54" s="3" t="s">
        <v>120</v>
      </c>
      <c r="X54" s="3"/>
      <c r="Y54" s="3" t="s">
        <v>713</v>
      </c>
      <c r="Z54" s="3" t="s">
        <v>119</v>
      </c>
      <c r="AA54" s="3"/>
      <c r="AB54" s="3" t="s">
        <v>122</v>
      </c>
      <c r="AC54" s="3" t="s">
        <v>217</v>
      </c>
      <c r="AD54" s="3" t="s">
        <v>145</v>
      </c>
      <c r="AE54" s="3" t="s">
        <v>955</v>
      </c>
      <c r="AF54" s="3" t="s">
        <v>242</v>
      </c>
      <c r="AG54" s="3" t="s">
        <v>166</v>
      </c>
      <c r="AH54" s="3"/>
      <c r="AI54" s="3"/>
      <c r="AJ54" s="3"/>
      <c r="AK54" s="3"/>
      <c r="AL54" s="3"/>
      <c r="AM54" s="3">
        <v>0</v>
      </c>
      <c r="AN54" s="3"/>
      <c r="AO54" s="3"/>
      <c r="AP54" s="3"/>
      <c r="AQ54" s="3"/>
      <c r="AR54" s="3"/>
      <c r="AS54" s="3">
        <v>0</v>
      </c>
      <c r="AT54" s="3"/>
      <c r="AU54" s="3"/>
      <c r="AV54" s="3"/>
      <c r="AW54" s="3"/>
      <c r="AX54" s="3"/>
      <c r="AY54" s="3"/>
      <c r="AZ54" s="3">
        <v>0</v>
      </c>
      <c r="BA54" s="3"/>
      <c r="BB54" s="3" t="s">
        <v>522</v>
      </c>
      <c r="BC54" s="3">
        <v>285</v>
      </c>
      <c r="BD54" s="4">
        <v>45278</v>
      </c>
      <c r="BE54" s="4">
        <v>46204</v>
      </c>
      <c r="BF54" s="4">
        <v>46356</v>
      </c>
      <c r="BG54" s="4">
        <v>46630</v>
      </c>
      <c r="BH54" s="3">
        <v>9</v>
      </c>
      <c r="BI54" s="4">
        <v>46356</v>
      </c>
      <c r="BJ54" s="4">
        <v>46538</v>
      </c>
      <c r="BK54" s="3">
        <v>6</v>
      </c>
      <c r="BL54" s="4">
        <v>46356</v>
      </c>
      <c r="BM54" s="4">
        <v>46721</v>
      </c>
      <c r="BN54" s="3">
        <v>12</v>
      </c>
      <c r="BO54" s="4">
        <v>46630</v>
      </c>
      <c r="BP54" s="4">
        <v>46356</v>
      </c>
      <c r="BQ54" s="3">
        <v>9</v>
      </c>
      <c r="BR54" s="4">
        <v>46356</v>
      </c>
      <c r="BS54" s="4">
        <v>46630</v>
      </c>
      <c r="BT54" s="3">
        <v>9</v>
      </c>
      <c r="BU54" s="3" t="s">
        <v>956</v>
      </c>
      <c r="BV54" s="3" t="s">
        <v>957</v>
      </c>
      <c r="BW54" s="3" t="s">
        <v>958</v>
      </c>
      <c r="BX54" s="4">
        <v>46324</v>
      </c>
      <c r="BY54" s="4">
        <v>46534</v>
      </c>
      <c r="BZ54" s="3" t="s">
        <v>136</v>
      </c>
      <c r="CA54" s="3" t="s">
        <v>959</v>
      </c>
      <c r="CB54" s="3" t="s">
        <v>745</v>
      </c>
      <c r="CC54" s="3"/>
      <c r="CD54" s="3" t="s">
        <v>232</v>
      </c>
      <c r="CE54" s="3"/>
      <c r="CF54" s="3"/>
      <c r="CG54" s="3"/>
      <c r="CH54" s="3"/>
      <c r="CI54" s="3"/>
      <c r="CJ54" s="3"/>
      <c r="CK54" s="3"/>
      <c r="CL54" s="3"/>
      <c r="CM54" s="3"/>
      <c r="CN54" s="3"/>
      <c r="CO54" s="3"/>
      <c r="CP54" s="3"/>
      <c r="CQ54" s="3"/>
      <c r="CR54" s="3"/>
      <c r="CS54" s="3"/>
      <c r="CT54" s="3"/>
      <c r="CU54" s="3"/>
      <c r="CV54" s="3"/>
      <c r="CW54" s="3"/>
      <c r="CX54" s="3"/>
      <c r="CY54" s="3"/>
      <c r="CZ54" s="3"/>
      <c r="DA54" s="3"/>
    </row>
    <row r="55" spans="1:105" ht="15" customHeight="1" x14ac:dyDescent="0.2">
      <c r="A55" s="5" t="s">
        <v>960</v>
      </c>
      <c r="B55" s="5" t="s">
        <v>961</v>
      </c>
      <c r="C55" s="5" t="s">
        <v>962</v>
      </c>
      <c r="D55" s="5" t="s">
        <v>833</v>
      </c>
      <c r="E55" s="5" t="s">
        <v>833</v>
      </c>
      <c r="F55" s="5" t="s">
        <v>350</v>
      </c>
      <c r="G55" s="5" t="s">
        <v>110</v>
      </c>
      <c r="H55" s="5" t="s">
        <v>572</v>
      </c>
      <c r="I55" s="5" t="s">
        <v>181</v>
      </c>
      <c r="J55" s="5" t="s">
        <v>113</v>
      </c>
      <c r="K55" s="5" t="s">
        <v>114</v>
      </c>
      <c r="L55" s="5" t="s">
        <v>114</v>
      </c>
      <c r="M55" s="5" t="s">
        <v>114</v>
      </c>
      <c r="N55" s="5" t="s">
        <v>114</v>
      </c>
      <c r="O55" s="5" t="s">
        <v>114</v>
      </c>
      <c r="P55" s="5" t="s">
        <v>114</v>
      </c>
      <c r="Q55" s="5" t="s">
        <v>963</v>
      </c>
      <c r="R55" s="5" t="s">
        <v>964</v>
      </c>
      <c r="S55" s="5" t="s">
        <v>965</v>
      </c>
      <c r="T55" s="5" t="s">
        <v>966</v>
      </c>
      <c r="U55" s="5" t="s">
        <v>120</v>
      </c>
      <c r="V55" s="5" t="s">
        <v>119</v>
      </c>
      <c r="W55" s="5" t="s">
        <v>120</v>
      </c>
      <c r="X55" s="5" t="s">
        <v>388</v>
      </c>
      <c r="Y55" s="5" t="s">
        <v>967</v>
      </c>
      <c r="Z55" s="5" t="s">
        <v>119</v>
      </c>
      <c r="AA55" s="5" t="s">
        <v>121</v>
      </c>
      <c r="AB55" s="5" t="s">
        <v>122</v>
      </c>
      <c r="AC55" s="5" t="s">
        <v>217</v>
      </c>
      <c r="AD55" s="5" t="s">
        <v>838</v>
      </c>
      <c r="AE55" s="5" t="s">
        <v>968</v>
      </c>
      <c r="AF55" s="5" t="s">
        <v>969</v>
      </c>
      <c r="AG55" s="5" t="s">
        <v>358</v>
      </c>
      <c r="AH55" s="5"/>
      <c r="AI55" s="5"/>
      <c r="AJ55" s="5"/>
      <c r="AK55" s="5"/>
      <c r="AL55" s="5"/>
      <c r="AM55" s="5">
        <v>0</v>
      </c>
      <c r="AN55" s="5"/>
      <c r="AO55" s="5"/>
      <c r="AP55" s="5"/>
      <c r="AQ55" s="5"/>
      <c r="AR55" s="5"/>
      <c r="AS55" s="5">
        <v>0</v>
      </c>
      <c r="AT55" s="5"/>
      <c r="AU55" s="5"/>
      <c r="AV55" s="5"/>
      <c r="AW55" s="5"/>
      <c r="AX55" s="5"/>
      <c r="AY55" s="5"/>
      <c r="AZ55" s="5">
        <v>0</v>
      </c>
      <c r="BA55" s="5"/>
      <c r="BB55" s="5" t="s">
        <v>522</v>
      </c>
      <c r="BC55" s="5">
        <v>1350</v>
      </c>
      <c r="BD55" s="6">
        <v>44924</v>
      </c>
      <c r="BE55" s="6">
        <v>46204</v>
      </c>
      <c r="BF55" s="6">
        <v>46356</v>
      </c>
      <c r="BG55" s="6">
        <v>46630</v>
      </c>
      <c r="BH55" s="5">
        <v>9</v>
      </c>
      <c r="BI55" s="6">
        <v>46356</v>
      </c>
      <c r="BJ55" s="6">
        <v>46538</v>
      </c>
      <c r="BK55" s="5">
        <v>6</v>
      </c>
      <c r="BL55" s="6">
        <v>46356</v>
      </c>
      <c r="BM55" s="6">
        <v>46721</v>
      </c>
      <c r="BN55" s="5">
        <v>12</v>
      </c>
      <c r="BO55" s="6">
        <v>46630</v>
      </c>
      <c r="BP55" s="6">
        <v>46356</v>
      </c>
      <c r="BQ55" s="5">
        <v>9</v>
      </c>
      <c r="BR55" s="6">
        <v>46356</v>
      </c>
      <c r="BS55" s="6">
        <v>46630</v>
      </c>
      <c r="BT55" s="5">
        <v>9</v>
      </c>
      <c r="BU55" s="5" t="s">
        <v>970</v>
      </c>
      <c r="BV55" s="5" t="s">
        <v>971</v>
      </c>
      <c r="BW55" s="5" t="s">
        <v>972</v>
      </c>
      <c r="BX55" s="6">
        <v>46692</v>
      </c>
      <c r="BY55" s="6">
        <v>46692</v>
      </c>
      <c r="BZ55" s="5" t="s">
        <v>136</v>
      </c>
      <c r="CA55" s="5" t="s">
        <v>137</v>
      </c>
      <c r="CB55" s="5"/>
      <c r="CC55" s="5" t="s">
        <v>973</v>
      </c>
      <c r="CD55" s="5" t="s">
        <v>974</v>
      </c>
      <c r="CE55" s="5"/>
      <c r="CF55" s="5" t="s">
        <v>846</v>
      </c>
      <c r="CG55" s="5" t="s">
        <v>847</v>
      </c>
      <c r="CH55" s="5" t="s">
        <v>848</v>
      </c>
      <c r="CI55" s="5" t="s">
        <v>849</v>
      </c>
      <c r="CJ55" s="5" t="s">
        <v>850</v>
      </c>
      <c r="CK55" s="5" t="s">
        <v>851</v>
      </c>
      <c r="CL55" s="5" t="s">
        <v>852</v>
      </c>
      <c r="CM55" s="5" t="s">
        <v>975</v>
      </c>
      <c r="CN55" s="5" t="s">
        <v>854</v>
      </c>
      <c r="CO55" s="5"/>
      <c r="CP55" s="5">
        <v>4</v>
      </c>
      <c r="CQ55" s="5"/>
      <c r="CR55" s="5"/>
      <c r="CS55" s="5"/>
      <c r="CT55" s="5"/>
      <c r="CU55" s="5"/>
      <c r="CV55" s="5"/>
      <c r="CW55" s="5"/>
      <c r="CX55" s="5"/>
      <c r="CY55" s="5"/>
      <c r="CZ55" s="5"/>
      <c r="DA55" s="5"/>
    </row>
    <row r="56" spans="1:105" ht="15" customHeight="1" x14ac:dyDescent="0.2">
      <c r="A56" s="3" t="s">
        <v>278</v>
      </c>
      <c r="B56" s="3" t="s">
        <v>976</v>
      </c>
      <c r="C56" s="3" t="s">
        <v>976</v>
      </c>
      <c r="D56" s="3" t="s">
        <v>606</v>
      </c>
      <c r="E56" s="3" t="s">
        <v>606</v>
      </c>
      <c r="F56" s="3" t="s">
        <v>606</v>
      </c>
      <c r="G56" s="3" t="s">
        <v>110</v>
      </c>
      <c r="H56" s="3" t="s">
        <v>259</v>
      </c>
      <c r="I56" s="3" t="s">
        <v>181</v>
      </c>
      <c r="J56" s="3" t="s">
        <v>113</v>
      </c>
      <c r="K56" s="3" t="s">
        <v>114</v>
      </c>
      <c r="L56" s="3" t="s">
        <v>114</v>
      </c>
      <c r="M56" s="3" t="s">
        <v>114</v>
      </c>
      <c r="N56" s="3" t="s">
        <v>114</v>
      </c>
      <c r="O56" s="3" t="s">
        <v>114</v>
      </c>
      <c r="P56" s="3" t="s">
        <v>114</v>
      </c>
      <c r="Q56" s="3" t="s">
        <v>977</v>
      </c>
      <c r="R56" s="3" t="s">
        <v>978</v>
      </c>
      <c r="S56" s="3" t="s">
        <v>286</v>
      </c>
      <c r="T56" s="3" t="s">
        <v>886</v>
      </c>
      <c r="U56" s="3" t="s">
        <v>120</v>
      </c>
      <c r="V56" s="3" t="s">
        <v>120</v>
      </c>
      <c r="W56" s="3" t="s">
        <v>120</v>
      </c>
      <c r="X56" s="3" t="s">
        <v>388</v>
      </c>
      <c r="Y56" s="3" t="s">
        <v>713</v>
      </c>
      <c r="Z56" s="3" t="s">
        <v>119</v>
      </c>
      <c r="AA56" s="3" t="s">
        <v>121</v>
      </c>
      <c r="AB56" s="3" t="s">
        <v>122</v>
      </c>
      <c r="AC56" s="3" t="s">
        <v>217</v>
      </c>
      <c r="AD56" s="3" t="s">
        <v>124</v>
      </c>
      <c r="AE56" s="3" t="s">
        <v>979</v>
      </c>
      <c r="AF56" s="3" t="s">
        <v>279</v>
      </c>
      <c r="AG56" s="3" t="s">
        <v>33</v>
      </c>
      <c r="AH56" s="3"/>
      <c r="AI56" s="3"/>
      <c r="AJ56" s="3"/>
      <c r="AK56" s="3"/>
      <c r="AL56" s="3"/>
      <c r="AM56" s="3">
        <v>0</v>
      </c>
      <c r="AN56" s="3"/>
      <c r="AO56" s="3"/>
      <c r="AP56" s="3"/>
      <c r="AQ56" s="3"/>
      <c r="AR56" s="3"/>
      <c r="AS56" s="3">
        <v>0</v>
      </c>
      <c r="AT56" s="3"/>
      <c r="AU56" s="3"/>
      <c r="AV56" s="3"/>
      <c r="AW56" s="3"/>
      <c r="AX56" s="3"/>
      <c r="AY56" s="3"/>
      <c r="AZ56" s="3">
        <v>0</v>
      </c>
      <c r="BA56" s="3"/>
      <c r="BB56" s="3" t="s">
        <v>876</v>
      </c>
      <c r="BC56" s="3">
        <v>726</v>
      </c>
      <c r="BD56" s="4">
        <v>45656</v>
      </c>
      <c r="BE56" s="4">
        <v>46174</v>
      </c>
      <c r="BF56" s="4">
        <v>46326</v>
      </c>
      <c r="BG56" s="4">
        <v>46691</v>
      </c>
      <c r="BH56" s="3">
        <v>12</v>
      </c>
      <c r="BI56" s="4">
        <v>46326</v>
      </c>
      <c r="BJ56" s="4">
        <v>46691</v>
      </c>
      <c r="BK56" s="3">
        <v>12</v>
      </c>
      <c r="BL56" s="3"/>
      <c r="BM56" s="3"/>
      <c r="BN56" s="3"/>
      <c r="BO56" s="4">
        <v>46599</v>
      </c>
      <c r="BP56" s="4">
        <v>46326</v>
      </c>
      <c r="BQ56" s="3">
        <v>9</v>
      </c>
      <c r="BR56" s="4">
        <v>46326</v>
      </c>
      <c r="BS56" s="4">
        <v>46691</v>
      </c>
      <c r="BT56" s="3">
        <v>12</v>
      </c>
      <c r="BU56" s="3" t="s">
        <v>980</v>
      </c>
      <c r="BV56" s="3" t="s">
        <v>981</v>
      </c>
      <c r="BW56" s="3" t="s">
        <v>982</v>
      </c>
      <c r="BX56" s="4">
        <v>46174</v>
      </c>
      <c r="BY56" s="4">
        <v>46631</v>
      </c>
      <c r="BZ56" s="3" t="s">
        <v>136</v>
      </c>
      <c r="CA56" s="3" t="s">
        <v>383</v>
      </c>
      <c r="CB56" s="3"/>
      <c r="CC56" s="3" t="s">
        <v>329</v>
      </c>
      <c r="CD56" s="3" t="s">
        <v>881</v>
      </c>
      <c r="CE56" s="3"/>
      <c r="CF56" s="3"/>
      <c r="CG56" s="3"/>
      <c r="CH56" s="3"/>
      <c r="CI56" s="3"/>
      <c r="CJ56" s="3"/>
      <c r="CK56" s="3"/>
      <c r="CL56" s="3"/>
      <c r="CM56" s="3"/>
      <c r="CN56" s="3"/>
      <c r="CO56" s="3"/>
      <c r="CP56" s="3"/>
      <c r="CQ56" s="3"/>
      <c r="CR56" s="3"/>
      <c r="CS56" s="3"/>
      <c r="CT56" s="3"/>
      <c r="CU56" s="3"/>
      <c r="CV56" s="3"/>
      <c r="CW56" s="3"/>
      <c r="CX56" s="3"/>
      <c r="CY56" s="3"/>
      <c r="CZ56" s="3"/>
      <c r="DA56" s="3"/>
    </row>
    <row r="57" spans="1:105" ht="15" customHeight="1" x14ac:dyDescent="0.2">
      <c r="A57" s="5" t="s">
        <v>983</v>
      </c>
      <c r="B57" s="5" t="s">
        <v>984</v>
      </c>
      <c r="C57" s="5" t="s">
        <v>984</v>
      </c>
      <c r="D57" s="5" t="s">
        <v>985</v>
      </c>
      <c r="E57" s="5" t="s">
        <v>985</v>
      </c>
      <c r="F57" s="5" t="s">
        <v>985</v>
      </c>
      <c r="G57" s="5" t="s">
        <v>110</v>
      </c>
      <c r="H57" s="5" t="s">
        <v>236</v>
      </c>
      <c r="I57" s="5"/>
      <c r="J57" s="5" t="s">
        <v>113</v>
      </c>
      <c r="K57" s="5" t="s">
        <v>114</v>
      </c>
      <c r="L57" s="5" t="s">
        <v>114</v>
      </c>
      <c r="M57" s="5" t="s">
        <v>114</v>
      </c>
      <c r="N57" s="5" t="s">
        <v>114</v>
      </c>
      <c r="O57" s="5" t="s">
        <v>114</v>
      </c>
      <c r="P57" s="5" t="s">
        <v>114</v>
      </c>
      <c r="Q57" s="5" t="s">
        <v>986</v>
      </c>
      <c r="R57" s="5"/>
      <c r="S57" s="5" t="s">
        <v>987</v>
      </c>
      <c r="T57" s="5" t="s">
        <v>988</v>
      </c>
      <c r="U57" s="5" t="s">
        <v>120</v>
      </c>
      <c r="V57" s="5" t="s">
        <v>119</v>
      </c>
      <c r="W57" s="5" t="s">
        <v>120</v>
      </c>
      <c r="X57" s="5" t="s">
        <v>694</v>
      </c>
      <c r="Y57" s="5" t="s">
        <v>278</v>
      </c>
      <c r="Z57" s="5" t="s">
        <v>119</v>
      </c>
      <c r="AA57" s="5"/>
      <c r="AB57" s="5" t="s">
        <v>122</v>
      </c>
      <c r="AC57" s="5" t="s">
        <v>217</v>
      </c>
      <c r="AD57" s="5" t="s">
        <v>989</v>
      </c>
      <c r="AE57" s="5" t="s">
        <v>990</v>
      </c>
      <c r="AF57" s="5" t="s">
        <v>278</v>
      </c>
      <c r="AG57" s="5" t="s">
        <v>166</v>
      </c>
      <c r="AH57" s="5"/>
      <c r="AI57" s="5"/>
      <c r="AJ57" s="5"/>
      <c r="AK57" s="5"/>
      <c r="AL57" s="5"/>
      <c r="AM57" s="5">
        <v>0</v>
      </c>
      <c r="AN57" s="5"/>
      <c r="AO57" s="5"/>
      <c r="AP57" s="5"/>
      <c r="AQ57" s="5"/>
      <c r="AR57" s="5"/>
      <c r="AS57" s="5">
        <v>0</v>
      </c>
      <c r="AT57" s="5"/>
      <c r="AU57" s="5"/>
      <c r="AV57" s="5"/>
      <c r="AW57" s="5"/>
      <c r="AX57" s="5"/>
      <c r="AY57" s="5"/>
      <c r="AZ57" s="5">
        <v>0</v>
      </c>
      <c r="BA57" s="5"/>
      <c r="BB57" s="5" t="s">
        <v>522</v>
      </c>
      <c r="BC57" s="5">
        <v>1538</v>
      </c>
      <c r="BD57" s="6">
        <v>43238</v>
      </c>
      <c r="BE57" s="6">
        <v>46296</v>
      </c>
      <c r="BF57" s="6">
        <v>46446</v>
      </c>
      <c r="BG57" s="6">
        <v>46721</v>
      </c>
      <c r="BH57" s="5">
        <v>9</v>
      </c>
      <c r="BI57" s="6">
        <v>46446</v>
      </c>
      <c r="BJ57" s="6">
        <v>46630</v>
      </c>
      <c r="BK57" s="5">
        <v>6</v>
      </c>
      <c r="BL57" s="5"/>
      <c r="BM57" s="5"/>
      <c r="BN57" s="5"/>
      <c r="BO57" s="5"/>
      <c r="BP57" s="5"/>
      <c r="BQ57" s="5"/>
      <c r="BR57" s="6">
        <v>46446</v>
      </c>
      <c r="BS57" s="6">
        <v>46721</v>
      </c>
      <c r="BT57" s="5">
        <v>9</v>
      </c>
      <c r="BU57" s="5" t="s">
        <v>133</v>
      </c>
      <c r="BV57" s="5" t="s">
        <v>991</v>
      </c>
      <c r="BW57" s="5" t="s">
        <v>992</v>
      </c>
      <c r="BX57" s="6">
        <v>46326</v>
      </c>
      <c r="BY57" s="6">
        <v>46387</v>
      </c>
      <c r="BZ57" s="5" t="s">
        <v>136</v>
      </c>
      <c r="CA57" s="5" t="s">
        <v>137</v>
      </c>
      <c r="CB57" s="5" t="s">
        <v>474</v>
      </c>
      <c r="CC57" s="5" t="s">
        <v>993</v>
      </c>
      <c r="CD57" s="5"/>
      <c r="CE57" s="5"/>
      <c r="CF57" s="5"/>
      <c r="CG57" s="5"/>
      <c r="CH57" s="5"/>
      <c r="CI57" s="5"/>
      <c r="CJ57" s="5"/>
      <c r="CK57" s="5"/>
      <c r="CL57" s="5"/>
      <c r="CM57" s="5"/>
      <c r="CN57" s="5"/>
      <c r="CO57" s="5"/>
      <c r="CP57" s="5"/>
      <c r="CQ57" s="5"/>
      <c r="CR57" s="5"/>
      <c r="CS57" s="5"/>
      <c r="CT57" s="5"/>
      <c r="CU57" s="5"/>
      <c r="CV57" s="5"/>
      <c r="CW57" s="5"/>
      <c r="CX57" s="5"/>
      <c r="CY57" s="5"/>
      <c r="CZ57" s="5"/>
      <c r="DA57" s="5"/>
    </row>
    <row r="58" spans="1:105" ht="15" customHeight="1" x14ac:dyDescent="0.2">
      <c r="A58" s="3" t="s">
        <v>960</v>
      </c>
      <c r="B58" s="3" t="s">
        <v>961</v>
      </c>
      <c r="C58" s="3" t="s">
        <v>961</v>
      </c>
      <c r="D58" s="3" t="s">
        <v>833</v>
      </c>
      <c r="E58" s="3" t="s">
        <v>833</v>
      </c>
      <c r="F58" s="3" t="s">
        <v>833</v>
      </c>
      <c r="G58" s="3" t="s">
        <v>110</v>
      </c>
      <c r="H58" s="3" t="s">
        <v>572</v>
      </c>
      <c r="I58" s="3" t="s">
        <v>181</v>
      </c>
      <c r="J58" s="3" t="s">
        <v>113</v>
      </c>
      <c r="K58" s="3" t="s">
        <v>114</v>
      </c>
      <c r="L58" s="3" t="s">
        <v>114</v>
      </c>
      <c r="M58" s="3" t="s">
        <v>114</v>
      </c>
      <c r="N58" s="3" t="s">
        <v>114</v>
      </c>
      <c r="O58" s="3" t="s">
        <v>114</v>
      </c>
      <c r="P58" s="3" t="s">
        <v>114</v>
      </c>
      <c r="Q58" s="3" t="s">
        <v>994</v>
      </c>
      <c r="R58" s="3" t="s">
        <v>995</v>
      </c>
      <c r="S58" s="3" t="s">
        <v>965</v>
      </c>
      <c r="T58" s="3" t="s">
        <v>996</v>
      </c>
      <c r="U58" s="3" t="s">
        <v>120</v>
      </c>
      <c r="V58" s="3" t="s">
        <v>119</v>
      </c>
      <c r="W58" s="3" t="s">
        <v>120</v>
      </c>
      <c r="X58" s="3" t="s">
        <v>388</v>
      </c>
      <c r="Y58" s="3" t="s">
        <v>278</v>
      </c>
      <c r="Z58" s="3" t="s">
        <v>119</v>
      </c>
      <c r="AA58" s="3" t="s">
        <v>121</v>
      </c>
      <c r="AB58" s="3" t="s">
        <v>122</v>
      </c>
      <c r="AC58" s="3" t="s">
        <v>217</v>
      </c>
      <c r="AD58" s="3" t="s">
        <v>838</v>
      </c>
      <c r="AE58" s="3" t="s">
        <v>997</v>
      </c>
      <c r="AF58" s="3" t="s">
        <v>278</v>
      </c>
      <c r="AG58" s="3" t="s">
        <v>358</v>
      </c>
      <c r="AH58" s="3"/>
      <c r="AI58" s="3"/>
      <c r="AJ58" s="3"/>
      <c r="AK58" s="3"/>
      <c r="AL58" s="3"/>
      <c r="AM58" s="3">
        <v>0</v>
      </c>
      <c r="AN58" s="3"/>
      <c r="AO58" s="3"/>
      <c r="AP58" s="3"/>
      <c r="AQ58" s="3"/>
      <c r="AR58" s="3"/>
      <c r="AS58" s="3">
        <v>0</v>
      </c>
      <c r="AT58" s="3"/>
      <c r="AU58" s="3"/>
      <c r="AV58" s="3"/>
      <c r="AW58" s="3"/>
      <c r="AX58" s="3"/>
      <c r="AY58" s="3"/>
      <c r="AZ58" s="3">
        <v>0</v>
      </c>
      <c r="BA58" s="3"/>
      <c r="BB58" s="3" t="s">
        <v>876</v>
      </c>
      <c r="BC58" s="3">
        <v>740</v>
      </c>
      <c r="BD58" s="4">
        <v>44624</v>
      </c>
      <c r="BE58" s="4">
        <v>46296</v>
      </c>
      <c r="BF58" s="4">
        <v>46446</v>
      </c>
      <c r="BG58" s="4">
        <v>46721</v>
      </c>
      <c r="BH58" s="3">
        <v>9</v>
      </c>
      <c r="BI58" s="4">
        <v>46446</v>
      </c>
      <c r="BJ58" s="4">
        <v>46630</v>
      </c>
      <c r="BK58" s="3">
        <v>6</v>
      </c>
      <c r="BL58" s="4">
        <v>46446</v>
      </c>
      <c r="BM58" s="4">
        <v>46812</v>
      </c>
      <c r="BN58" s="3">
        <v>12</v>
      </c>
      <c r="BO58" s="4">
        <v>46721</v>
      </c>
      <c r="BP58" s="4">
        <v>46446</v>
      </c>
      <c r="BQ58" s="3">
        <v>9</v>
      </c>
      <c r="BR58" s="4">
        <v>46446</v>
      </c>
      <c r="BS58" s="4">
        <v>46721</v>
      </c>
      <c r="BT58" s="3">
        <v>9</v>
      </c>
      <c r="BU58" s="3" t="s">
        <v>998</v>
      </c>
      <c r="BV58" s="3" t="s">
        <v>999</v>
      </c>
      <c r="BW58" s="3" t="s">
        <v>1000</v>
      </c>
      <c r="BX58" s="4">
        <v>46812</v>
      </c>
      <c r="BY58" s="4">
        <v>46873</v>
      </c>
      <c r="BZ58" s="3" t="s">
        <v>136</v>
      </c>
      <c r="CA58" s="3" t="s">
        <v>137</v>
      </c>
      <c r="CB58" s="3" t="s">
        <v>300</v>
      </c>
      <c r="CC58" s="3" t="s">
        <v>1001</v>
      </c>
      <c r="CD58" s="3" t="s">
        <v>1002</v>
      </c>
      <c r="CE58" s="3"/>
      <c r="CF58" s="3" t="s">
        <v>846</v>
      </c>
      <c r="CG58" s="3" t="s">
        <v>847</v>
      </c>
      <c r="CH58" s="3" t="s">
        <v>848</v>
      </c>
      <c r="CI58" s="3" t="s">
        <v>849</v>
      </c>
      <c r="CJ58" s="3" t="s">
        <v>850</v>
      </c>
      <c r="CK58" s="3" t="s">
        <v>851</v>
      </c>
      <c r="CL58" s="3" t="s">
        <v>852</v>
      </c>
      <c r="CM58" s="3" t="s">
        <v>975</v>
      </c>
      <c r="CN58" s="3" t="s">
        <v>854</v>
      </c>
      <c r="CO58" s="3"/>
      <c r="CP58" s="3">
        <v>4</v>
      </c>
      <c r="CQ58" s="3"/>
      <c r="CR58" s="3"/>
      <c r="CS58" s="3"/>
      <c r="CT58" s="3"/>
      <c r="CU58" s="3"/>
      <c r="CV58" s="3"/>
      <c r="CW58" s="3"/>
      <c r="CX58" s="3"/>
      <c r="CY58" s="3"/>
      <c r="CZ58" s="3"/>
      <c r="DA58" s="3"/>
    </row>
    <row r="59" spans="1:105" ht="15" customHeight="1" x14ac:dyDescent="0.2">
      <c r="A59" s="5" t="s">
        <v>1003</v>
      </c>
      <c r="B59" s="5" t="s">
        <v>1004</v>
      </c>
      <c r="C59" s="5" t="s">
        <v>1005</v>
      </c>
      <c r="D59" s="5" t="s">
        <v>140</v>
      </c>
      <c r="E59" s="5" t="s">
        <v>140</v>
      </c>
      <c r="F59" s="5" t="s">
        <v>140</v>
      </c>
      <c r="G59" s="5" t="s">
        <v>110</v>
      </c>
      <c r="H59" s="5" t="s">
        <v>572</v>
      </c>
      <c r="I59" s="5"/>
      <c r="J59" s="5" t="s">
        <v>113</v>
      </c>
      <c r="K59" s="5" t="s">
        <v>114</v>
      </c>
      <c r="L59" s="5" t="s">
        <v>114</v>
      </c>
      <c r="M59" s="5" t="s">
        <v>114</v>
      </c>
      <c r="N59" s="5" t="s">
        <v>114</v>
      </c>
      <c r="O59" s="5" t="s">
        <v>114</v>
      </c>
      <c r="P59" s="5" t="s">
        <v>114</v>
      </c>
      <c r="Q59" s="5" t="s">
        <v>1006</v>
      </c>
      <c r="R59" s="5" t="s">
        <v>1007</v>
      </c>
      <c r="S59" s="5" t="s">
        <v>898</v>
      </c>
      <c r="T59" s="5" t="s">
        <v>1008</v>
      </c>
      <c r="U59" s="5" t="s">
        <v>120</v>
      </c>
      <c r="V59" s="5" t="s">
        <v>119</v>
      </c>
      <c r="W59" s="5" t="s">
        <v>120</v>
      </c>
      <c r="X59" s="5" t="s">
        <v>388</v>
      </c>
      <c r="Y59" s="5" t="s">
        <v>1009</v>
      </c>
      <c r="Z59" s="5" t="s">
        <v>119</v>
      </c>
      <c r="AA59" s="5"/>
      <c r="AB59" s="5" t="s">
        <v>122</v>
      </c>
      <c r="AC59" s="5" t="s">
        <v>217</v>
      </c>
      <c r="AD59" s="5" t="s">
        <v>145</v>
      </c>
      <c r="AE59" s="5" t="s">
        <v>1010</v>
      </c>
      <c r="AF59" s="5" t="s">
        <v>1011</v>
      </c>
      <c r="AG59" s="5" t="s">
        <v>166</v>
      </c>
      <c r="AH59" s="5"/>
      <c r="AI59" s="5"/>
      <c r="AJ59" s="5"/>
      <c r="AK59" s="5"/>
      <c r="AL59" s="5"/>
      <c r="AM59" s="5">
        <v>0</v>
      </c>
      <c r="AN59" s="5"/>
      <c r="AO59" s="5"/>
      <c r="AP59" s="5"/>
      <c r="AQ59" s="5"/>
      <c r="AR59" s="5"/>
      <c r="AS59" s="5">
        <v>0</v>
      </c>
      <c r="AT59" s="5"/>
      <c r="AU59" s="5"/>
      <c r="AV59" s="5"/>
      <c r="AW59" s="5"/>
      <c r="AX59" s="5"/>
      <c r="AY59" s="5"/>
      <c r="AZ59" s="5">
        <v>0</v>
      </c>
      <c r="BA59" s="5"/>
      <c r="BB59" s="5" t="s">
        <v>876</v>
      </c>
      <c r="BC59" s="5">
        <v>1264</v>
      </c>
      <c r="BD59" s="6">
        <v>45281</v>
      </c>
      <c r="BE59" s="6">
        <v>46296</v>
      </c>
      <c r="BF59" s="6">
        <v>46446</v>
      </c>
      <c r="BG59" s="6">
        <v>46812</v>
      </c>
      <c r="BH59" s="5">
        <v>12</v>
      </c>
      <c r="BI59" s="6">
        <v>46446</v>
      </c>
      <c r="BJ59" s="6">
        <v>46630</v>
      </c>
      <c r="BK59" s="5">
        <v>6</v>
      </c>
      <c r="BL59" s="6">
        <v>46446</v>
      </c>
      <c r="BM59" s="6">
        <v>46812</v>
      </c>
      <c r="BN59" s="5">
        <v>12</v>
      </c>
      <c r="BO59" s="6">
        <v>46721</v>
      </c>
      <c r="BP59" s="6">
        <v>46446</v>
      </c>
      <c r="BQ59" s="5">
        <v>9</v>
      </c>
      <c r="BR59" s="6">
        <v>46446</v>
      </c>
      <c r="BS59" s="6">
        <v>46812</v>
      </c>
      <c r="BT59" s="5">
        <v>12</v>
      </c>
      <c r="BU59" s="5" t="s">
        <v>1012</v>
      </c>
      <c r="BV59" s="5" t="s">
        <v>1013</v>
      </c>
      <c r="BW59" s="5" t="s">
        <v>1014</v>
      </c>
      <c r="BX59" s="6">
        <v>46692</v>
      </c>
      <c r="BY59" s="6">
        <v>47849</v>
      </c>
      <c r="BZ59" s="5" t="s">
        <v>136</v>
      </c>
      <c r="CA59" s="5" t="s">
        <v>492</v>
      </c>
      <c r="CB59" s="5" t="s">
        <v>1015</v>
      </c>
      <c r="CC59" s="5" t="s">
        <v>1016</v>
      </c>
      <c r="CD59" s="5" t="s">
        <v>881</v>
      </c>
      <c r="CE59" s="5"/>
      <c r="CF59" s="5"/>
      <c r="CG59" s="5"/>
      <c r="CH59" s="5"/>
      <c r="CI59" s="5"/>
      <c r="CJ59" s="5"/>
      <c r="CK59" s="5"/>
      <c r="CL59" s="5"/>
      <c r="CM59" s="5"/>
      <c r="CN59" s="5"/>
      <c r="CO59" s="5"/>
      <c r="CP59" s="5"/>
      <c r="CQ59" s="5"/>
      <c r="CR59" s="5"/>
      <c r="CS59" s="5"/>
      <c r="CT59" s="5"/>
      <c r="CU59" s="5"/>
      <c r="CV59" s="5"/>
      <c r="CW59" s="5"/>
      <c r="CX59" s="5"/>
      <c r="CY59" s="5"/>
      <c r="CZ59" s="5"/>
      <c r="DA59" s="5"/>
    </row>
    <row r="60" spans="1:105" ht="15" customHeight="1" x14ac:dyDescent="0.2">
      <c r="A60" s="3" t="s">
        <v>960</v>
      </c>
      <c r="B60" s="3" t="s">
        <v>961</v>
      </c>
      <c r="C60" s="3" t="s">
        <v>961</v>
      </c>
      <c r="D60" s="3" t="s">
        <v>833</v>
      </c>
      <c r="E60" s="3" t="s">
        <v>833</v>
      </c>
      <c r="F60" s="3" t="s">
        <v>833</v>
      </c>
      <c r="G60" s="3" t="s">
        <v>110</v>
      </c>
      <c r="H60" s="3" t="s">
        <v>572</v>
      </c>
      <c r="I60" s="3" t="s">
        <v>181</v>
      </c>
      <c r="J60" s="3" t="s">
        <v>113</v>
      </c>
      <c r="K60" s="3" t="s">
        <v>114</v>
      </c>
      <c r="L60" s="3" t="s">
        <v>114</v>
      </c>
      <c r="M60" s="3" t="s">
        <v>114</v>
      </c>
      <c r="N60" s="3" t="s">
        <v>114</v>
      </c>
      <c r="O60" s="3" t="s">
        <v>114</v>
      </c>
      <c r="P60" s="3" t="s">
        <v>114</v>
      </c>
      <c r="Q60" s="3" t="s">
        <v>1017</v>
      </c>
      <c r="R60" s="3" t="s">
        <v>1018</v>
      </c>
      <c r="S60" s="3" t="s">
        <v>965</v>
      </c>
      <c r="T60" s="3" t="s">
        <v>996</v>
      </c>
      <c r="U60" s="3" t="s">
        <v>120</v>
      </c>
      <c r="V60" s="3" t="s">
        <v>119</v>
      </c>
      <c r="W60" s="3" t="s">
        <v>120</v>
      </c>
      <c r="X60" s="3" t="s">
        <v>388</v>
      </c>
      <c r="Y60" s="3" t="s">
        <v>278</v>
      </c>
      <c r="Z60" s="3" t="s">
        <v>119</v>
      </c>
      <c r="AA60" s="3" t="s">
        <v>121</v>
      </c>
      <c r="AB60" s="3" t="s">
        <v>122</v>
      </c>
      <c r="AC60" s="3" t="s">
        <v>217</v>
      </c>
      <c r="AD60" s="3" t="s">
        <v>838</v>
      </c>
      <c r="AE60" s="3" t="s">
        <v>1019</v>
      </c>
      <c r="AF60" s="3" t="s">
        <v>1020</v>
      </c>
      <c r="AG60" s="3" t="s">
        <v>358</v>
      </c>
      <c r="AH60" s="3"/>
      <c r="AI60" s="3"/>
      <c r="AJ60" s="3"/>
      <c r="AK60" s="3"/>
      <c r="AL60" s="3"/>
      <c r="AM60" s="3">
        <v>0</v>
      </c>
      <c r="AN60" s="3"/>
      <c r="AO60" s="3"/>
      <c r="AP60" s="3"/>
      <c r="AQ60" s="3"/>
      <c r="AR60" s="3"/>
      <c r="AS60" s="3">
        <v>0</v>
      </c>
      <c r="AT60" s="3"/>
      <c r="AU60" s="3"/>
      <c r="AV60" s="3"/>
      <c r="AW60" s="3"/>
      <c r="AX60" s="3"/>
      <c r="AY60" s="3"/>
      <c r="AZ60" s="3">
        <v>0</v>
      </c>
      <c r="BA60" s="3"/>
      <c r="BB60" s="3" t="s">
        <v>522</v>
      </c>
      <c r="BC60" s="3">
        <v>1170</v>
      </c>
      <c r="BD60" s="4">
        <v>44937</v>
      </c>
      <c r="BE60" s="4">
        <v>46296</v>
      </c>
      <c r="BF60" s="4">
        <v>46446</v>
      </c>
      <c r="BG60" s="4">
        <v>46721</v>
      </c>
      <c r="BH60" s="3">
        <v>9</v>
      </c>
      <c r="BI60" s="4">
        <v>46446</v>
      </c>
      <c r="BJ60" s="4">
        <v>46630</v>
      </c>
      <c r="BK60" s="3">
        <v>6</v>
      </c>
      <c r="BL60" s="4">
        <v>46446</v>
      </c>
      <c r="BM60" s="4">
        <v>46812</v>
      </c>
      <c r="BN60" s="3">
        <v>12</v>
      </c>
      <c r="BO60" s="4">
        <v>46721</v>
      </c>
      <c r="BP60" s="4">
        <v>46446</v>
      </c>
      <c r="BQ60" s="3">
        <v>9</v>
      </c>
      <c r="BR60" s="4">
        <v>46446</v>
      </c>
      <c r="BS60" s="4">
        <v>46721</v>
      </c>
      <c r="BT60" s="3">
        <v>9</v>
      </c>
      <c r="BU60" s="3" t="s">
        <v>1021</v>
      </c>
      <c r="BV60" s="3" t="s">
        <v>1022</v>
      </c>
      <c r="BW60" s="3" t="s">
        <v>1023</v>
      </c>
      <c r="BX60" s="4">
        <v>47249</v>
      </c>
      <c r="BY60" s="4">
        <v>47249</v>
      </c>
      <c r="BZ60" s="3" t="s">
        <v>136</v>
      </c>
      <c r="CA60" s="3" t="s">
        <v>137</v>
      </c>
      <c r="CB60" s="3" t="s">
        <v>1024</v>
      </c>
      <c r="CC60" s="3" t="s">
        <v>1025</v>
      </c>
      <c r="CD60" s="3" t="s">
        <v>1002</v>
      </c>
      <c r="CE60" s="3"/>
      <c r="CF60" s="3" t="s">
        <v>846</v>
      </c>
      <c r="CG60" s="3" t="s">
        <v>847</v>
      </c>
      <c r="CH60" s="3" t="s">
        <v>848</v>
      </c>
      <c r="CI60" s="3" t="s">
        <v>849</v>
      </c>
      <c r="CJ60" s="3" t="s">
        <v>850</v>
      </c>
      <c r="CK60" s="3" t="s">
        <v>851</v>
      </c>
      <c r="CL60" s="3" t="s">
        <v>852</v>
      </c>
      <c r="CM60" s="3" t="s">
        <v>975</v>
      </c>
      <c r="CN60" s="3" t="s">
        <v>854</v>
      </c>
      <c r="CO60" s="3"/>
      <c r="CP60" s="3">
        <v>4</v>
      </c>
      <c r="CQ60" s="3"/>
      <c r="CR60" s="3"/>
      <c r="CS60" s="3"/>
      <c r="CT60" s="3"/>
      <c r="CU60" s="3"/>
      <c r="CV60" s="3"/>
      <c r="CW60" s="3"/>
      <c r="CX60" s="3"/>
      <c r="CY60" s="3"/>
      <c r="CZ60" s="3"/>
      <c r="DA60" s="3"/>
    </row>
    <row r="61" spans="1:105" ht="15" customHeight="1" x14ac:dyDescent="0.2">
      <c r="A61" s="5" t="s">
        <v>1026</v>
      </c>
      <c r="B61" s="5" t="s">
        <v>1027</v>
      </c>
      <c r="C61" s="5" t="s">
        <v>1028</v>
      </c>
      <c r="D61" s="5" t="s">
        <v>214</v>
      </c>
      <c r="E61" s="5" t="s">
        <v>214</v>
      </c>
      <c r="F61" s="5" t="s">
        <v>214</v>
      </c>
      <c r="G61" s="5" t="s">
        <v>110</v>
      </c>
      <c r="H61" s="5" t="s">
        <v>259</v>
      </c>
      <c r="I61" s="5" t="s">
        <v>181</v>
      </c>
      <c r="J61" s="5" t="s">
        <v>113</v>
      </c>
      <c r="K61" s="5" t="s">
        <v>114</v>
      </c>
      <c r="L61" s="5" t="s">
        <v>114</v>
      </c>
      <c r="M61" s="5" t="s">
        <v>114</v>
      </c>
      <c r="N61" s="5" t="s">
        <v>114</v>
      </c>
      <c r="O61" s="5" t="s">
        <v>114</v>
      </c>
      <c r="P61" s="5" t="s">
        <v>114</v>
      </c>
      <c r="Q61" s="5" t="s">
        <v>1029</v>
      </c>
      <c r="R61" s="5" t="s">
        <v>1030</v>
      </c>
      <c r="S61" s="5" t="s">
        <v>1031</v>
      </c>
      <c r="T61" s="5" t="s">
        <v>1032</v>
      </c>
      <c r="U61" s="5" t="s">
        <v>119</v>
      </c>
      <c r="V61" s="5" t="s">
        <v>119</v>
      </c>
      <c r="W61" s="5" t="s">
        <v>120</v>
      </c>
      <c r="X61" s="5"/>
      <c r="Y61" s="5"/>
      <c r="Z61" s="5" t="s">
        <v>119</v>
      </c>
      <c r="AA61" s="5"/>
      <c r="AB61" s="5" t="s">
        <v>122</v>
      </c>
      <c r="AC61" s="5" t="s">
        <v>217</v>
      </c>
      <c r="AD61" s="5" t="s">
        <v>145</v>
      </c>
      <c r="AE61" s="5" t="s">
        <v>1033</v>
      </c>
      <c r="AF61" s="5" t="s">
        <v>1034</v>
      </c>
      <c r="AG61" s="5" t="s">
        <v>166</v>
      </c>
      <c r="AH61" s="5"/>
      <c r="AI61" s="5"/>
      <c r="AJ61" s="5"/>
      <c r="AK61" s="5"/>
      <c r="AL61" s="5"/>
      <c r="AM61" s="5">
        <v>0</v>
      </c>
      <c r="AN61" s="5"/>
      <c r="AO61" s="5"/>
      <c r="AP61" s="5"/>
      <c r="AQ61" s="5"/>
      <c r="AR61" s="5"/>
      <c r="AS61" s="5">
        <v>0</v>
      </c>
      <c r="AT61" s="5"/>
      <c r="AU61" s="5"/>
      <c r="AV61" s="5"/>
      <c r="AW61" s="5"/>
      <c r="AX61" s="5"/>
      <c r="AY61" s="5"/>
      <c r="AZ61" s="5">
        <v>0</v>
      </c>
      <c r="BA61" s="5"/>
      <c r="BB61" s="5" t="s">
        <v>876</v>
      </c>
      <c r="BC61" s="5">
        <v>416</v>
      </c>
      <c r="BD61" s="6">
        <v>45331</v>
      </c>
      <c r="BE61" s="6">
        <v>46327</v>
      </c>
      <c r="BF61" s="6">
        <v>46477</v>
      </c>
      <c r="BG61" s="6">
        <v>46843</v>
      </c>
      <c r="BH61" s="5">
        <v>12</v>
      </c>
      <c r="BI61" s="6">
        <v>46477</v>
      </c>
      <c r="BJ61" s="6">
        <v>46660</v>
      </c>
      <c r="BK61" s="5">
        <v>6</v>
      </c>
      <c r="BL61" s="6">
        <v>46477</v>
      </c>
      <c r="BM61" s="6">
        <v>46843</v>
      </c>
      <c r="BN61" s="5">
        <v>12</v>
      </c>
      <c r="BO61" s="6">
        <v>46752</v>
      </c>
      <c r="BP61" s="6">
        <v>46477</v>
      </c>
      <c r="BQ61" s="5">
        <v>9</v>
      </c>
      <c r="BR61" s="6">
        <v>46477</v>
      </c>
      <c r="BS61" s="6">
        <v>46843</v>
      </c>
      <c r="BT61" s="5">
        <v>12</v>
      </c>
      <c r="BU61" s="5" t="s">
        <v>1035</v>
      </c>
      <c r="BV61" s="5" t="s">
        <v>1036</v>
      </c>
      <c r="BW61" s="5" t="s">
        <v>1037</v>
      </c>
      <c r="BX61" s="6">
        <v>46327</v>
      </c>
      <c r="BY61" s="6">
        <v>46780</v>
      </c>
      <c r="BZ61" s="5" t="s">
        <v>136</v>
      </c>
      <c r="CA61" s="5" t="s">
        <v>137</v>
      </c>
      <c r="CB61" s="5" t="s">
        <v>1038</v>
      </c>
      <c r="CC61" s="5"/>
      <c r="CD61" s="5" t="s">
        <v>907</v>
      </c>
      <c r="CE61" s="5"/>
      <c r="CF61" s="5"/>
      <c r="CG61" s="5"/>
      <c r="CH61" s="5"/>
      <c r="CI61" s="5"/>
      <c r="CJ61" s="5"/>
      <c r="CK61" s="5"/>
      <c r="CL61" s="5"/>
      <c r="CM61" s="5"/>
      <c r="CN61" s="5"/>
      <c r="CO61" s="5"/>
      <c r="CP61" s="5"/>
      <c r="CQ61" s="5"/>
      <c r="CR61" s="5"/>
      <c r="CS61" s="5"/>
      <c r="CT61" s="5"/>
      <c r="CU61" s="5"/>
      <c r="CV61" s="5"/>
      <c r="CW61" s="5"/>
      <c r="CX61" s="5"/>
      <c r="CY61" s="5"/>
      <c r="CZ61" s="5"/>
      <c r="DA61" s="5"/>
    </row>
    <row r="62" spans="1:105" ht="15" customHeight="1" x14ac:dyDescent="0.2">
      <c r="A62" s="3" t="s">
        <v>1039</v>
      </c>
      <c r="B62" s="3" t="s">
        <v>1040</v>
      </c>
      <c r="C62" s="3" t="s">
        <v>1040</v>
      </c>
      <c r="D62" s="3" t="s">
        <v>1041</v>
      </c>
      <c r="E62" s="3" t="s">
        <v>1041</v>
      </c>
      <c r="F62" s="3" t="s">
        <v>282</v>
      </c>
      <c r="G62" s="3" t="s">
        <v>110</v>
      </c>
      <c r="H62" s="3" t="s">
        <v>259</v>
      </c>
      <c r="I62" s="3"/>
      <c r="J62" s="3" t="s">
        <v>113</v>
      </c>
      <c r="K62" s="3" t="s">
        <v>114</v>
      </c>
      <c r="L62" s="3" t="s">
        <v>114</v>
      </c>
      <c r="M62" s="3" t="s">
        <v>114</v>
      </c>
      <c r="N62" s="3" t="s">
        <v>114</v>
      </c>
      <c r="O62" s="3" t="s">
        <v>114</v>
      </c>
      <c r="P62" s="3" t="s">
        <v>114</v>
      </c>
      <c r="Q62" s="3" t="s">
        <v>1042</v>
      </c>
      <c r="R62" s="3" t="s">
        <v>1043</v>
      </c>
      <c r="S62" s="3" t="s">
        <v>965</v>
      </c>
      <c r="T62" s="3" t="s">
        <v>996</v>
      </c>
      <c r="U62" s="3" t="s">
        <v>120</v>
      </c>
      <c r="V62" s="3" t="s">
        <v>119</v>
      </c>
      <c r="W62" s="3" t="s">
        <v>120</v>
      </c>
      <c r="X62" s="3" t="s">
        <v>388</v>
      </c>
      <c r="Y62" s="3" t="s">
        <v>278</v>
      </c>
      <c r="Z62" s="3" t="s">
        <v>119</v>
      </c>
      <c r="AA62" s="3" t="s">
        <v>144</v>
      </c>
      <c r="AB62" s="3" t="s">
        <v>122</v>
      </c>
      <c r="AC62" s="3" t="s">
        <v>217</v>
      </c>
      <c r="AD62" s="3" t="s">
        <v>838</v>
      </c>
      <c r="AE62" s="3" t="s">
        <v>1044</v>
      </c>
      <c r="AF62" s="3" t="s">
        <v>278</v>
      </c>
      <c r="AG62" s="3" t="s">
        <v>358</v>
      </c>
      <c r="AH62" s="3"/>
      <c r="AI62" s="3"/>
      <c r="AJ62" s="3"/>
      <c r="AK62" s="3"/>
      <c r="AL62" s="3"/>
      <c r="AM62" s="3">
        <v>0</v>
      </c>
      <c r="AN62" s="3"/>
      <c r="AO62" s="3"/>
      <c r="AP62" s="3"/>
      <c r="AQ62" s="3"/>
      <c r="AR62" s="3"/>
      <c r="AS62" s="3">
        <v>0</v>
      </c>
      <c r="AT62" s="3"/>
      <c r="AU62" s="3"/>
      <c r="AV62" s="3"/>
      <c r="AW62" s="3"/>
      <c r="AX62" s="3"/>
      <c r="AY62" s="3"/>
      <c r="AZ62" s="3">
        <v>0</v>
      </c>
      <c r="BA62" s="3"/>
      <c r="BB62" s="3" t="s">
        <v>522</v>
      </c>
      <c r="BC62" s="3">
        <v>614</v>
      </c>
      <c r="BD62" s="4">
        <v>44963</v>
      </c>
      <c r="BE62" s="4">
        <v>46357</v>
      </c>
      <c r="BF62" s="4">
        <v>46507</v>
      </c>
      <c r="BG62" s="4">
        <v>46783</v>
      </c>
      <c r="BH62" s="3">
        <v>9</v>
      </c>
      <c r="BI62" s="4">
        <v>46507</v>
      </c>
      <c r="BJ62" s="4">
        <v>46691</v>
      </c>
      <c r="BK62" s="3">
        <v>6</v>
      </c>
      <c r="BL62" s="4">
        <v>46507</v>
      </c>
      <c r="BM62" s="4">
        <v>46873</v>
      </c>
      <c r="BN62" s="3">
        <v>12</v>
      </c>
      <c r="BO62" s="4">
        <v>46783</v>
      </c>
      <c r="BP62" s="4">
        <v>46507</v>
      </c>
      <c r="BQ62" s="3">
        <v>9</v>
      </c>
      <c r="BR62" s="4">
        <v>46507</v>
      </c>
      <c r="BS62" s="4">
        <v>46783</v>
      </c>
      <c r="BT62" s="3">
        <v>9</v>
      </c>
      <c r="BU62" s="3" t="s">
        <v>1045</v>
      </c>
      <c r="BV62" s="3" t="s">
        <v>1046</v>
      </c>
      <c r="BW62" s="3" t="s">
        <v>1047</v>
      </c>
      <c r="BX62" s="4">
        <v>46399</v>
      </c>
      <c r="BY62" s="4">
        <v>46988</v>
      </c>
      <c r="BZ62" s="3" t="s">
        <v>136</v>
      </c>
      <c r="CA62" s="3" t="s">
        <v>137</v>
      </c>
      <c r="CB62" s="3" t="s">
        <v>300</v>
      </c>
      <c r="CC62" s="3" t="s">
        <v>1048</v>
      </c>
      <c r="CD62" s="3"/>
      <c r="CE62" s="3"/>
      <c r="CF62" s="3" t="s">
        <v>1049</v>
      </c>
      <c r="CG62" s="3" t="s">
        <v>1050</v>
      </c>
      <c r="CH62" s="3" t="s">
        <v>848</v>
      </c>
      <c r="CI62" s="3" t="s">
        <v>849</v>
      </c>
      <c r="CJ62" s="3" t="s">
        <v>850</v>
      </c>
      <c r="CK62" s="3" t="s">
        <v>1051</v>
      </c>
      <c r="CL62" s="3" t="s">
        <v>1052</v>
      </c>
      <c r="CM62" s="3" t="s">
        <v>853</v>
      </c>
      <c r="CN62" s="3" t="s">
        <v>854</v>
      </c>
      <c r="CO62" s="3"/>
      <c r="CP62" s="3">
        <v>7.6</v>
      </c>
      <c r="CQ62" s="3"/>
      <c r="CR62" s="3"/>
      <c r="CS62" s="3"/>
      <c r="CT62" s="3"/>
      <c r="CU62" s="3"/>
      <c r="CV62" s="3"/>
      <c r="CW62" s="3"/>
      <c r="CX62" s="3"/>
      <c r="CY62" s="3"/>
      <c r="CZ62" s="3"/>
      <c r="DA62" s="3"/>
    </row>
    <row r="63" spans="1:105" ht="15" customHeight="1" x14ac:dyDescent="0.2">
      <c r="A63" s="5" t="s">
        <v>908</v>
      </c>
      <c r="B63" s="5" t="s">
        <v>909</v>
      </c>
      <c r="C63" s="5" t="s">
        <v>910</v>
      </c>
      <c r="D63" s="5" t="s">
        <v>911</v>
      </c>
      <c r="E63" s="5" t="s">
        <v>911</v>
      </c>
      <c r="F63" s="5" t="s">
        <v>911</v>
      </c>
      <c r="G63" s="5" t="s">
        <v>110</v>
      </c>
      <c r="H63" s="5" t="s">
        <v>259</v>
      </c>
      <c r="I63" s="5" t="s">
        <v>283</v>
      </c>
      <c r="J63" s="5" t="s">
        <v>113</v>
      </c>
      <c r="K63" s="5" t="s">
        <v>114</v>
      </c>
      <c r="L63" s="5" t="s">
        <v>114</v>
      </c>
      <c r="M63" s="5" t="s">
        <v>114</v>
      </c>
      <c r="N63" s="5" t="s">
        <v>114</v>
      </c>
      <c r="O63" s="5" t="s">
        <v>114</v>
      </c>
      <c r="P63" s="5" t="s">
        <v>114</v>
      </c>
      <c r="Q63" s="5" t="s">
        <v>1053</v>
      </c>
      <c r="R63" s="5" t="s">
        <v>1054</v>
      </c>
      <c r="S63" s="5" t="s">
        <v>372</v>
      </c>
      <c r="T63" s="5" t="s">
        <v>180</v>
      </c>
      <c r="U63" s="5" t="s">
        <v>119</v>
      </c>
      <c r="V63" s="5" t="s">
        <v>119</v>
      </c>
      <c r="W63" s="5" t="s">
        <v>120</v>
      </c>
      <c r="X63" s="5"/>
      <c r="Y63" s="5"/>
      <c r="Z63" s="5" t="s">
        <v>119</v>
      </c>
      <c r="AA63" s="5"/>
      <c r="AB63" s="5" t="s">
        <v>122</v>
      </c>
      <c r="AC63" s="5" t="s">
        <v>217</v>
      </c>
      <c r="AD63" s="5" t="s">
        <v>145</v>
      </c>
      <c r="AE63" s="5" t="s">
        <v>1055</v>
      </c>
      <c r="AF63" s="5" t="s">
        <v>1056</v>
      </c>
      <c r="AG63" s="5" t="s">
        <v>1057</v>
      </c>
      <c r="AH63" s="5"/>
      <c r="AI63" s="5"/>
      <c r="AJ63" s="5"/>
      <c r="AK63" s="5"/>
      <c r="AL63" s="5"/>
      <c r="AM63" s="5">
        <v>0</v>
      </c>
      <c r="AN63" s="5"/>
      <c r="AO63" s="5"/>
      <c r="AP63" s="5"/>
      <c r="AQ63" s="5"/>
      <c r="AR63" s="5"/>
      <c r="AS63" s="5">
        <v>0</v>
      </c>
      <c r="AT63" s="5"/>
      <c r="AU63" s="5"/>
      <c r="AV63" s="5"/>
      <c r="AW63" s="5"/>
      <c r="AX63" s="5"/>
      <c r="AY63" s="5"/>
      <c r="AZ63" s="5">
        <v>0</v>
      </c>
      <c r="BA63" s="5"/>
      <c r="BB63" s="5" t="s">
        <v>876</v>
      </c>
      <c r="BC63" s="5">
        <v>480</v>
      </c>
      <c r="BD63" s="6">
        <v>46008</v>
      </c>
      <c r="BE63" s="6">
        <v>46388</v>
      </c>
      <c r="BF63" s="6">
        <v>46538</v>
      </c>
      <c r="BG63" s="6">
        <v>46812</v>
      </c>
      <c r="BH63" s="5">
        <v>9</v>
      </c>
      <c r="BI63" s="6">
        <v>46538</v>
      </c>
      <c r="BJ63" s="6">
        <v>46721</v>
      </c>
      <c r="BK63" s="5">
        <v>6</v>
      </c>
      <c r="BL63" s="6">
        <v>46538</v>
      </c>
      <c r="BM63" s="6">
        <v>46904</v>
      </c>
      <c r="BN63" s="5">
        <v>12</v>
      </c>
      <c r="BO63" s="6">
        <v>46812</v>
      </c>
      <c r="BP63" s="6">
        <v>46538</v>
      </c>
      <c r="BQ63" s="5">
        <v>9</v>
      </c>
      <c r="BR63" s="6">
        <v>46538</v>
      </c>
      <c r="BS63" s="6">
        <v>46812</v>
      </c>
      <c r="BT63" s="5">
        <v>9</v>
      </c>
      <c r="BU63" s="5" t="s">
        <v>1058</v>
      </c>
      <c r="BV63" s="5" t="s">
        <v>1059</v>
      </c>
      <c r="BW63" s="5" t="s">
        <v>1060</v>
      </c>
      <c r="BX63" s="6">
        <v>47150</v>
      </c>
      <c r="BY63" s="6">
        <v>47818</v>
      </c>
      <c r="BZ63" s="5" t="s">
        <v>136</v>
      </c>
      <c r="CA63" s="5" t="s">
        <v>137</v>
      </c>
      <c r="CB63" s="5" t="s">
        <v>1061</v>
      </c>
      <c r="CC63" s="5"/>
      <c r="CD63" s="5"/>
      <c r="CE63" s="5"/>
      <c r="CF63" s="5"/>
      <c r="CG63" s="5"/>
      <c r="CH63" s="5"/>
      <c r="CI63" s="5"/>
      <c r="CJ63" s="5"/>
      <c r="CK63" s="5"/>
      <c r="CL63" s="5"/>
      <c r="CM63" s="5"/>
      <c r="CN63" s="5"/>
      <c r="CO63" s="5"/>
      <c r="CP63" s="5"/>
      <c r="CQ63" s="5"/>
      <c r="CR63" s="5"/>
      <c r="CS63" s="5"/>
      <c r="CT63" s="5"/>
      <c r="CU63" s="5"/>
      <c r="CV63" s="5"/>
      <c r="CW63" s="5"/>
      <c r="CX63" s="5"/>
      <c r="CY63" s="5"/>
      <c r="CZ63" s="5"/>
      <c r="DA63" s="5"/>
    </row>
    <row r="64" spans="1:105" ht="15" customHeight="1" x14ac:dyDescent="0.2">
      <c r="A64" s="3" t="s">
        <v>348</v>
      </c>
      <c r="B64" s="3" t="s">
        <v>349</v>
      </c>
      <c r="C64" s="3" t="s">
        <v>349</v>
      </c>
      <c r="D64" s="3" t="s">
        <v>350</v>
      </c>
      <c r="E64" s="3" t="s">
        <v>350</v>
      </c>
      <c r="F64" s="3" t="s">
        <v>350</v>
      </c>
      <c r="G64" s="3" t="s">
        <v>110</v>
      </c>
      <c r="H64" s="3" t="s">
        <v>1062</v>
      </c>
      <c r="I64" s="3"/>
      <c r="J64" s="3" t="s">
        <v>113</v>
      </c>
      <c r="K64" s="3" t="s">
        <v>114</v>
      </c>
      <c r="L64" s="3" t="s">
        <v>114</v>
      </c>
      <c r="M64" s="3" t="s">
        <v>114</v>
      </c>
      <c r="N64" s="3" t="s">
        <v>114</v>
      </c>
      <c r="O64" s="3" t="s">
        <v>114</v>
      </c>
      <c r="P64" s="3" t="s">
        <v>114</v>
      </c>
      <c r="Q64" s="3" t="s">
        <v>1063</v>
      </c>
      <c r="R64" s="3" t="s">
        <v>1064</v>
      </c>
      <c r="S64" s="3" t="s">
        <v>354</v>
      </c>
      <c r="T64" s="3" t="s">
        <v>355</v>
      </c>
      <c r="U64" s="3" t="s">
        <v>120</v>
      </c>
      <c r="V64" s="3" t="s">
        <v>119</v>
      </c>
      <c r="W64" s="3" t="s">
        <v>120</v>
      </c>
      <c r="X64" s="3"/>
      <c r="Y64" s="3"/>
      <c r="Z64" s="3" t="s">
        <v>119</v>
      </c>
      <c r="AA64" s="3" t="s">
        <v>356</v>
      </c>
      <c r="AB64" s="3" t="s">
        <v>122</v>
      </c>
      <c r="AC64" s="3" t="s">
        <v>217</v>
      </c>
      <c r="AD64" s="3" t="s">
        <v>124</v>
      </c>
      <c r="AE64" s="3" t="s">
        <v>1065</v>
      </c>
      <c r="AF64" s="3" t="s">
        <v>184</v>
      </c>
      <c r="AG64" s="3" t="s">
        <v>166</v>
      </c>
      <c r="AH64" s="3"/>
      <c r="AI64" s="3"/>
      <c r="AJ64" s="3"/>
      <c r="AK64" s="3"/>
      <c r="AL64" s="3"/>
      <c r="AM64" s="3">
        <v>0</v>
      </c>
      <c r="AN64" s="3"/>
      <c r="AO64" s="3"/>
      <c r="AP64" s="3"/>
      <c r="AQ64" s="3"/>
      <c r="AR64" s="3"/>
      <c r="AS64" s="3">
        <v>0</v>
      </c>
      <c r="AT64" s="3"/>
      <c r="AU64" s="3"/>
      <c r="AV64" s="3"/>
      <c r="AW64" s="3"/>
      <c r="AX64" s="3"/>
      <c r="AY64" s="3"/>
      <c r="AZ64" s="3">
        <v>0</v>
      </c>
      <c r="BA64" s="3"/>
      <c r="BB64" s="3" t="s">
        <v>522</v>
      </c>
      <c r="BC64" s="3">
        <v>724</v>
      </c>
      <c r="BD64" s="4">
        <v>43530</v>
      </c>
      <c r="BE64" s="4">
        <v>46478</v>
      </c>
      <c r="BF64" s="4">
        <v>46630</v>
      </c>
      <c r="BG64" s="4">
        <v>46904</v>
      </c>
      <c r="BH64" s="3">
        <v>9</v>
      </c>
      <c r="BI64" s="4">
        <v>46630</v>
      </c>
      <c r="BJ64" s="4">
        <v>46812</v>
      </c>
      <c r="BK64" s="3">
        <v>6</v>
      </c>
      <c r="BL64" s="4">
        <v>46630</v>
      </c>
      <c r="BM64" s="4">
        <v>46996</v>
      </c>
      <c r="BN64" s="3">
        <v>12</v>
      </c>
      <c r="BO64" s="4">
        <v>46904</v>
      </c>
      <c r="BP64" s="4">
        <v>46630</v>
      </c>
      <c r="BQ64" s="3">
        <v>9</v>
      </c>
      <c r="BR64" s="4">
        <v>46630</v>
      </c>
      <c r="BS64" s="4">
        <v>46904</v>
      </c>
      <c r="BT64" s="3">
        <v>9</v>
      </c>
      <c r="BU64" s="3" t="s">
        <v>1066</v>
      </c>
      <c r="BV64" s="3" t="s">
        <v>1067</v>
      </c>
      <c r="BW64" s="3" t="s">
        <v>1068</v>
      </c>
      <c r="BX64" s="4">
        <v>47057</v>
      </c>
      <c r="BY64" s="4">
        <v>47057</v>
      </c>
      <c r="BZ64" s="3" t="s">
        <v>136</v>
      </c>
      <c r="CA64" s="3" t="s">
        <v>191</v>
      </c>
      <c r="CB64" s="3" t="s">
        <v>426</v>
      </c>
      <c r="CC64" s="3" t="s">
        <v>426</v>
      </c>
      <c r="CD64" s="3" t="s">
        <v>232</v>
      </c>
      <c r="CE64" s="3"/>
      <c r="CF64" s="3"/>
      <c r="CG64" s="3"/>
      <c r="CH64" s="3"/>
      <c r="CI64" s="3"/>
      <c r="CJ64" s="3"/>
      <c r="CK64" s="3"/>
      <c r="CL64" s="3"/>
      <c r="CM64" s="3"/>
      <c r="CN64" s="3"/>
      <c r="CO64" s="3"/>
      <c r="CP64" s="3"/>
      <c r="CQ64" s="3"/>
      <c r="CR64" s="3"/>
      <c r="CS64" s="3"/>
      <c r="CT64" s="3"/>
      <c r="CU64" s="3"/>
      <c r="CV64" s="3"/>
      <c r="CW64" s="3"/>
      <c r="CX64" s="3"/>
      <c r="CY64" s="3"/>
      <c r="CZ64" s="3"/>
      <c r="DA64" s="3"/>
    </row>
    <row r="65" spans="1:105" ht="15" customHeight="1" x14ac:dyDescent="0.2">
      <c r="A65" s="5" t="s">
        <v>1069</v>
      </c>
      <c r="B65" s="5" t="s">
        <v>1070</v>
      </c>
      <c r="C65" s="5" t="s">
        <v>1071</v>
      </c>
      <c r="D65" s="5" t="s">
        <v>1072</v>
      </c>
      <c r="E65" s="5" t="s">
        <v>1072</v>
      </c>
      <c r="F65" s="5" t="s">
        <v>1072</v>
      </c>
      <c r="G65" s="5" t="s">
        <v>110</v>
      </c>
      <c r="H65" s="5" t="s">
        <v>236</v>
      </c>
      <c r="I65" s="5" t="s">
        <v>181</v>
      </c>
      <c r="J65" s="5" t="s">
        <v>113</v>
      </c>
      <c r="K65" s="5" t="s">
        <v>114</v>
      </c>
      <c r="L65" s="5" t="s">
        <v>114</v>
      </c>
      <c r="M65" s="5" t="s">
        <v>114</v>
      </c>
      <c r="N65" s="5" t="s">
        <v>114</v>
      </c>
      <c r="O65" s="5" t="s">
        <v>114</v>
      </c>
      <c r="P65" s="5" t="s">
        <v>114</v>
      </c>
      <c r="Q65" s="5" t="s">
        <v>1073</v>
      </c>
      <c r="R65" s="5" t="s">
        <v>1074</v>
      </c>
      <c r="S65" s="5" t="s">
        <v>1075</v>
      </c>
      <c r="T65" s="5" t="s">
        <v>1076</v>
      </c>
      <c r="U65" s="5" t="s">
        <v>119</v>
      </c>
      <c r="V65" s="5" t="s">
        <v>119</v>
      </c>
      <c r="W65" s="5" t="s">
        <v>120</v>
      </c>
      <c r="X65" s="5"/>
      <c r="Y65" s="5"/>
      <c r="Z65" s="5" t="s">
        <v>119</v>
      </c>
      <c r="AA65" s="5"/>
      <c r="AB65" s="5" t="s">
        <v>122</v>
      </c>
      <c r="AC65" s="5" t="s">
        <v>217</v>
      </c>
      <c r="AD65" s="5" t="s">
        <v>145</v>
      </c>
      <c r="AE65" s="5" t="s">
        <v>1077</v>
      </c>
      <c r="AF65" s="5" t="s">
        <v>1078</v>
      </c>
      <c r="AG65" s="5" t="s">
        <v>166</v>
      </c>
      <c r="AH65" s="5"/>
      <c r="AI65" s="5"/>
      <c r="AJ65" s="5"/>
      <c r="AK65" s="5"/>
      <c r="AL65" s="5"/>
      <c r="AM65" s="5">
        <v>0</v>
      </c>
      <c r="AN65" s="5"/>
      <c r="AO65" s="5"/>
      <c r="AP65" s="5"/>
      <c r="AQ65" s="5"/>
      <c r="AR65" s="5"/>
      <c r="AS65" s="5">
        <v>0</v>
      </c>
      <c r="AT65" s="5"/>
      <c r="AU65" s="5"/>
      <c r="AV65" s="5"/>
      <c r="AW65" s="5"/>
      <c r="AX65" s="5"/>
      <c r="AY65" s="5"/>
      <c r="AZ65" s="5">
        <v>0</v>
      </c>
      <c r="BA65" s="5"/>
      <c r="BB65" s="5" t="s">
        <v>876</v>
      </c>
      <c r="BC65" s="5">
        <v>278</v>
      </c>
      <c r="BD65" s="6">
        <v>45532</v>
      </c>
      <c r="BE65" s="6">
        <v>46478</v>
      </c>
      <c r="BF65" s="6">
        <v>46630</v>
      </c>
      <c r="BG65" s="6">
        <v>46904</v>
      </c>
      <c r="BH65" s="5">
        <v>9</v>
      </c>
      <c r="BI65" s="6">
        <v>46630</v>
      </c>
      <c r="BJ65" s="6">
        <v>46812</v>
      </c>
      <c r="BK65" s="5">
        <v>6</v>
      </c>
      <c r="BL65" s="6">
        <v>46630</v>
      </c>
      <c r="BM65" s="6">
        <v>46996</v>
      </c>
      <c r="BN65" s="5">
        <v>12</v>
      </c>
      <c r="BO65" s="6">
        <v>46904</v>
      </c>
      <c r="BP65" s="6">
        <v>46630</v>
      </c>
      <c r="BQ65" s="5">
        <v>9</v>
      </c>
      <c r="BR65" s="6">
        <v>46630</v>
      </c>
      <c r="BS65" s="6">
        <v>46904</v>
      </c>
      <c r="BT65" s="5">
        <v>9</v>
      </c>
      <c r="BU65" s="5" t="s">
        <v>1079</v>
      </c>
      <c r="BV65" s="5" t="s">
        <v>1080</v>
      </c>
      <c r="BW65" s="5" t="s">
        <v>1081</v>
      </c>
      <c r="BX65" s="6">
        <v>46688</v>
      </c>
      <c r="BY65" s="6">
        <v>47296</v>
      </c>
      <c r="BZ65" s="5" t="s">
        <v>136</v>
      </c>
      <c r="CA65" s="5" t="s">
        <v>137</v>
      </c>
      <c r="CB65" s="5" t="s">
        <v>1038</v>
      </c>
      <c r="CC65" s="5"/>
      <c r="CD65" s="5"/>
      <c r="CE65" s="5"/>
      <c r="CF65" s="5"/>
      <c r="CG65" s="5"/>
      <c r="CH65" s="5"/>
      <c r="CI65" s="5"/>
      <c r="CJ65" s="5"/>
      <c r="CK65" s="5"/>
      <c r="CL65" s="5"/>
      <c r="CM65" s="5"/>
      <c r="CN65" s="5"/>
      <c r="CO65" s="5"/>
      <c r="CP65" s="5"/>
      <c r="CQ65" s="5"/>
      <c r="CR65" s="5"/>
      <c r="CS65" s="5"/>
      <c r="CT65" s="5"/>
      <c r="CU65" s="5"/>
      <c r="CV65" s="5"/>
      <c r="CW65" s="5"/>
      <c r="CX65" s="5"/>
      <c r="CY65" s="5"/>
      <c r="CZ65" s="5"/>
      <c r="DA65" s="5"/>
    </row>
    <row r="66" spans="1:105" ht="15" customHeight="1" x14ac:dyDescent="0.2">
      <c r="A66" s="3" t="s">
        <v>278</v>
      </c>
      <c r="B66" s="3" t="s">
        <v>1082</v>
      </c>
      <c r="C66" s="3" t="s">
        <v>1082</v>
      </c>
      <c r="D66" s="3" t="s">
        <v>664</v>
      </c>
      <c r="E66" s="3" t="s">
        <v>664</v>
      </c>
      <c r="F66" s="3" t="s">
        <v>663</v>
      </c>
      <c r="G66" s="3" t="s">
        <v>110</v>
      </c>
      <c r="H66" s="3" t="s">
        <v>259</v>
      </c>
      <c r="I66" s="3" t="s">
        <v>181</v>
      </c>
      <c r="J66" s="3" t="s">
        <v>113</v>
      </c>
      <c r="K66" s="3" t="s">
        <v>114</v>
      </c>
      <c r="L66" s="3" t="s">
        <v>114</v>
      </c>
      <c r="M66" s="3" t="s">
        <v>114</v>
      </c>
      <c r="N66" s="3" t="s">
        <v>114</v>
      </c>
      <c r="O66" s="3" t="s">
        <v>114</v>
      </c>
      <c r="P66" s="3" t="s">
        <v>114</v>
      </c>
      <c r="Q66" s="3" t="s">
        <v>1083</v>
      </c>
      <c r="R66" s="3" t="s">
        <v>1084</v>
      </c>
      <c r="S66" s="3" t="s">
        <v>286</v>
      </c>
      <c r="T66" s="3" t="s">
        <v>886</v>
      </c>
      <c r="U66" s="3" t="s">
        <v>120</v>
      </c>
      <c r="V66" s="3" t="s">
        <v>120</v>
      </c>
      <c r="W66" s="3" t="s">
        <v>120</v>
      </c>
      <c r="X66" s="3"/>
      <c r="Y66" s="3" t="s">
        <v>1085</v>
      </c>
      <c r="Z66" s="3" t="s">
        <v>119</v>
      </c>
      <c r="AA66" s="3" t="s">
        <v>121</v>
      </c>
      <c r="AB66" s="3" t="s">
        <v>122</v>
      </c>
      <c r="AC66" s="3" t="s">
        <v>217</v>
      </c>
      <c r="AD66" s="3" t="s">
        <v>124</v>
      </c>
      <c r="AE66" s="3" t="s">
        <v>1086</v>
      </c>
      <c r="AF66" s="3" t="s">
        <v>279</v>
      </c>
      <c r="AG66" s="3" t="s">
        <v>33</v>
      </c>
      <c r="AH66" s="3"/>
      <c r="AI66" s="3"/>
      <c r="AJ66" s="3"/>
      <c r="AK66" s="3"/>
      <c r="AL66" s="3"/>
      <c r="AM66" s="3">
        <v>0</v>
      </c>
      <c r="AN66" s="3"/>
      <c r="AO66" s="3"/>
      <c r="AP66" s="3"/>
      <c r="AQ66" s="3"/>
      <c r="AR66" s="3"/>
      <c r="AS66" s="3">
        <v>0</v>
      </c>
      <c r="AT66" s="3"/>
      <c r="AU66" s="3"/>
      <c r="AV66" s="3"/>
      <c r="AW66" s="3"/>
      <c r="AX66" s="3"/>
      <c r="AY66" s="3"/>
      <c r="AZ66" s="3">
        <v>0</v>
      </c>
      <c r="BA66" s="3"/>
      <c r="BB66" s="3" t="s">
        <v>876</v>
      </c>
      <c r="BC66" s="3">
        <v>606</v>
      </c>
      <c r="BD66" s="4">
        <v>45687</v>
      </c>
      <c r="BE66" s="4">
        <v>46419</v>
      </c>
      <c r="BF66" s="4">
        <v>46568</v>
      </c>
      <c r="BG66" s="4">
        <v>46843</v>
      </c>
      <c r="BH66" s="3">
        <v>9</v>
      </c>
      <c r="BI66" s="4">
        <v>46568</v>
      </c>
      <c r="BJ66" s="4">
        <v>46934</v>
      </c>
      <c r="BK66" s="3">
        <v>12</v>
      </c>
      <c r="BL66" s="3"/>
      <c r="BM66" s="3"/>
      <c r="BN66" s="3"/>
      <c r="BO66" s="3"/>
      <c r="BP66" s="3"/>
      <c r="BQ66" s="3"/>
      <c r="BR66" s="4">
        <v>46568</v>
      </c>
      <c r="BS66" s="4">
        <v>46843</v>
      </c>
      <c r="BT66" s="3">
        <v>9</v>
      </c>
      <c r="BU66" s="3" t="s">
        <v>1087</v>
      </c>
      <c r="BV66" s="3" t="s">
        <v>1088</v>
      </c>
      <c r="BW66" s="3" t="s">
        <v>1089</v>
      </c>
      <c r="BX66" s="4">
        <v>46419</v>
      </c>
      <c r="BY66" s="4">
        <v>46935</v>
      </c>
      <c r="BZ66" s="3" t="s">
        <v>136</v>
      </c>
      <c r="CA66" s="3" t="s">
        <v>191</v>
      </c>
      <c r="CB66" s="3"/>
      <c r="CC66" s="3" t="s">
        <v>1090</v>
      </c>
      <c r="CD66" s="3" t="s">
        <v>881</v>
      </c>
      <c r="CE66" s="3"/>
      <c r="CF66" s="3"/>
      <c r="CG66" s="3"/>
      <c r="CH66" s="3"/>
      <c r="CI66" s="3"/>
      <c r="CJ66" s="3"/>
      <c r="CK66" s="3"/>
      <c r="CL66" s="3"/>
      <c r="CM66" s="3"/>
      <c r="CN66" s="3"/>
      <c r="CO66" s="3"/>
      <c r="CP66" s="3"/>
      <c r="CQ66" s="3"/>
      <c r="CR66" s="3"/>
      <c r="CS66" s="3"/>
      <c r="CT66" s="3"/>
      <c r="CU66" s="3"/>
      <c r="CV66" s="3"/>
      <c r="CW66" s="3"/>
      <c r="CX66" s="3"/>
      <c r="CY66" s="3"/>
      <c r="CZ66" s="3"/>
      <c r="DA66" s="3"/>
    </row>
    <row r="67" spans="1:105" ht="15" customHeight="1" x14ac:dyDescent="0.2">
      <c r="A67" s="5" t="s">
        <v>1091</v>
      </c>
      <c r="B67" s="5" t="s">
        <v>1092</v>
      </c>
      <c r="C67" s="5" t="s">
        <v>1092</v>
      </c>
      <c r="D67" s="5" t="s">
        <v>1041</v>
      </c>
      <c r="E67" s="5" t="s">
        <v>1093</v>
      </c>
      <c r="F67" s="5" t="s">
        <v>1041</v>
      </c>
      <c r="G67" s="5" t="s">
        <v>110</v>
      </c>
      <c r="H67" s="5" t="s">
        <v>259</v>
      </c>
      <c r="I67" s="5" t="s">
        <v>283</v>
      </c>
      <c r="J67" s="5" t="s">
        <v>113</v>
      </c>
      <c r="K67" s="5" t="s">
        <v>114</v>
      </c>
      <c r="L67" s="5" t="s">
        <v>114</v>
      </c>
      <c r="M67" s="5" t="s">
        <v>114</v>
      </c>
      <c r="N67" s="5" t="s">
        <v>114</v>
      </c>
      <c r="O67" s="5" t="s">
        <v>114</v>
      </c>
      <c r="P67" s="5" t="s">
        <v>114</v>
      </c>
      <c r="Q67" s="5" t="s">
        <v>1094</v>
      </c>
      <c r="R67" s="5" t="s">
        <v>1095</v>
      </c>
      <c r="S67" s="5" t="s">
        <v>1096</v>
      </c>
      <c r="T67" s="5" t="s">
        <v>1097</v>
      </c>
      <c r="U67" s="5" t="s">
        <v>120</v>
      </c>
      <c r="V67" s="5" t="s">
        <v>119</v>
      </c>
      <c r="W67" s="5" t="s">
        <v>120</v>
      </c>
      <c r="X67" s="5" t="s">
        <v>694</v>
      </c>
      <c r="Y67" s="5" t="s">
        <v>1098</v>
      </c>
      <c r="Z67" s="5" t="s">
        <v>119</v>
      </c>
      <c r="AA67" s="5"/>
      <c r="AB67" s="5" t="s">
        <v>122</v>
      </c>
      <c r="AC67" s="5" t="s">
        <v>217</v>
      </c>
      <c r="AD67" s="5" t="s">
        <v>124</v>
      </c>
      <c r="AE67" s="5" t="s">
        <v>1099</v>
      </c>
      <c r="AF67" s="5" t="s">
        <v>875</v>
      </c>
      <c r="AG67" s="5" t="s">
        <v>148</v>
      </c>
      <c r="AH67" s="5"/>
      <c r="AI67" s="5"/>
      <c r="AJ67" s="5"/>
      <c r="AK67" s="5"/>
      <c r="AL67" s="5"/>
      <c r="AM67" s="5">
        <v>0</v>
      </c>
      <c r="AN67" s="5"/>
      <c r="AO67" s="5"/>
      <c r="AP67" s="5"/>
      <c r="AQ67" s="5"/>
      <c r="AR67" s="5"/>
      <c r="AS67" s="5">
        <v>0</v>
      </c>
      <c r="AT67" s="5"/>
      <c r="AU67" s="5"/>
      <c r="AV67" s="5"/>
      <c r="AW67" s="5"/>
      <c r="AX67" s="5"/>
      <c r="AY67" s="5"/>
      <c r="AZ67" s="5">
        <v>0</v>
      </c>
      <c r="BA67" s="5"/>
      <c r="BB67" s="5" t="s">
        <v>522</v>
      </c>
      <c r="BC67" s="5">
        <v>1021</v>
      </c>
      <c r="BD67" s="6">
        <v>44846</v>
      </c>
      <c r="BE67" s="6">
        <v>46539</v>
      </c>
      <c r="BF67" s="6">
        <v>46691</v>
      </c>
      <c r="BG67" s="6">
        <v>47057</v>
      </c>
      <c r="BH67" s="5">
        <v>12</v>
      </c>
      <c r="BI67" s="6">
        <v>46691</v>
      </c>
      <c r="BJ67" s="6">
        <v>46873</v>
      </c>
      <c r="BK67" s="5">
        <v>6</v>
      </c>
      <c r="BL67" s="6">
        <v>46691</v>
      </c>
      <c r="BM67" s="6">
        <v>47057</v>
      </c>
      <c r="BN67" s="5">
        <v>12</v>
      </c>
      <c r="BO67" s="6">
        <v>46965</v>
      </c>
      <c r="BP67" s="6">
        <v>46691</v>
      </c>
      <c r="BQ67" s="5">
        <v>9</v>
      </c>
      <c r="BR67" s="6">
        <v>46691</v>
      </c>
      <c r="BS67" s="6">
        <v>47057</v>
      </c>
      <c r="BT67" s="5">
        <v>12</v>
      </c>
      <c r="BU67" s="5" t="s">
        <v>1100</v>
      </c>
      <c r="BV67" s="5" t="s">
        <v>1101</v>
      </c>
      <c r="BW67" s="5" t="s">
        <v>1102</v>
      </c>
      <c r="BX67" s="6">
        <v>46905</v>
      </c>
      <c r="BY67" s="6">
        <v>47119</v>
      </c>
      <c r="BZ67" s="5" t="s">
        <v>136</v>
      </c>
      <c r="CA67" s="5" t="s">
        <v>137</v>
      </c>
      <c r="CB67" s="5"/>
      <c r="CC67" s="5" t="s">
        <v>1103</v>
      </c>
      <c r="CD67" s="5" t="s">
        <v>881</v>
      </c>
      <c r="CE67" s="5"/>
      <c r="CF67" s="5"/>
      <c r="CG67" s="5"/>
      <c r="CH67" s="5"/>
      <c r="CI67" s="5"/>
      <c r="CJ67" s="5"/>
      <c r="CK67" s="5"/>
      <c r="CL67" s="5"/>
      <c r="CM67" s="5"/>
      <c r="CN67" s="5"/>
      <c r="CO67" s="5"/>
      <c r="CP67" s="5"/>
      <c r="CQ67" s="5"/>
      <c r="CR67" s="5"/>
      <c r="CS67" s="5"/>
      <c r="CT67" s="5"/>
      <c r="CU67" s="5"/>
      <c r="CV67" s="5"/>
      <c r="CW67" s="5"/>
      <c r="CX67" s="5"/>
      <c r="CY67" s="5"/>
      <c r="CZ67" s="5"/>
      <c r="DA67" s="5"/>
    </row>
    <row r="68" spans="1:105" ht="15" customHeight="1" x14ac:dyDescent="0.2">
      <c r="A68" s="3" t="s">
        <v>1104</v>
      </c>
      <c r="B68" s="3" t="s">
        <v>1105</v>
      </c>
      <c r="C68" s="3" t="s">
        <v>1106</v>
      </c>
      <c r="D68" s="3" t="s">
        <v>235</v>
      </c>
      <c r="E68" s="3" t="s">
        <v>235</v>
      </c>
      <c r="F68" s="3" t="s">
        <v>235</v>
      </c>
      <c r="G68" s="3" t="s">
        <v>110</v>
      </c>
      <c r="H68" s="3" t="s">
        <v>572</v>
      </c>
      <c r="I68" s="3"/>
      <c r="J68" s="3" t="s">
        <v>113</v>
      </c>
      <c r="K68" s="3" t="s">
        <v>114</v>
      </c>
      <c r="L68" s="3" t="s">
        <v>114</v>
      </c>
      <c r="M68" s="3" t="s">
        <v>114</v>
      </c>
      <c r="N68" s="3" t="s">
        <v>114</v>
      </c>
      <c r="O68" s="3" t="s">
        <v>114</v>
      </c>
      <c r="P68" s="3" t="s">
        <v>114</v>
      </c>
      <c r="Q68" s="3" t="s">
        <v>1107</v>
      </c>
      <c r="R68" s="3" t="s">
        <v>1108</v>
      </c>
      <c r="S68" s="3" t="s">
        <v>1109</v>
      </c>
      <c r="T68" s="3" t="s">
        <v>1110</v>
      </c>
      <c r="U68" s="3" t="s">
        <v>120</v>
      </c>
      <c r="V68" s="3" t="s">
        <v>119</v>
      </c>
      <c r="W68" s="3" t="s">
        <v>120</v>
      </c>
      <c r="X68" s="3" t="s">
        <v>388</v>
      </c>
      <c r="Y68" s="3" t="s">
        <v>278</v>
      </c>
      <c r="Z68" s="3" t="s">
        <v>119</v>
      </c>
      <c r="AA68" s="3"/>
      <c r="AB68" s="3" t="s">
        <v>122</v>
      </c>
      <c r="AC68" s="3" t="s">
        <v>217</v>
      </c>
      <c r="AD68" s="3" t="s">
        <v>838</v>
      </c>
      <c r="AE68" s="3" t="s">
        <v>1111</v>
      </c>
      <c r="AF68" s="3" t="s">
        <v>278</v>
      </c>
      <c r="AG68" s="3" t="s">
        <v>358</v>
      </c>
      <c r="AH68" s="3"/>
      <c r="AI68" s="3"/>
      <c r="AJ68" s="3"/>
      <c r="AK68" s="3"/>
      <c r="AL68" s="3"/>
      <c r="AM68" s="3">
        <v>0</v>
      </c>
      <c r="AN68" s="3"/>
      <c r="AO68" s="3"/>
      <c r="AP68" s="3"/>
      <c r="AQ68" s="3"/>
      <c r="AR68" s="3"/>
      <c r="AS68" s="3">
        <v>0</v>
      </c>
      <c r="AT68" s="3"/>
      <c r="AU68" s="3"/>
      <c r="AV68" s="3"/>
      <c r="AW68" s="3"/>
      <c r="AX68" s="3"/>
      <c r="AY68" s="3"/>
      <c r="AZ68" s="3">
        <v>0</v>
      </c>
      <c r="BA68" s="3"/>
      <c r="BB68" s="3" t="s">
        <v>876</v>
      </c>
      <c r="BC68" s="3">
        <v>714</v>
      </c>
      <c r="BD68" s="4">
        <v>45861</v>
      </c>
      <c r="BE68" s="4">
        <v>46722</v>
      </c>
      <c r="BF68" s="4">
        <v>46873</v>
      </c>
      <c r="BG68" s="4">
        <v>47149</v>
      </c>
      <c r="BH68" s="3">
        <v>9</v>
      </c>
      <c r="BI68" s="4">
        <v>46873</v>
      </c>
      <c r="BJ68" s="4">
        <v>47057</v>
      </c>
      <c r="BK68" s="3">
        <v>6</v>
      </c>
      <c r="BL68" s="4">
        <v>46873</v>
      </c>
      <c r="BM68" s="4">
        <v>47238</v>
      </c>
      <c r="BN68" s="3">
        <v>12</v>
      </c>
      <c r="BO68" s="4">
        <v>47149</v>
      </c>
      <c r="BP68" s="4">
        <v>46873</v>
      </c>
      <c r="BQ68" s="3">
        <v>9</v>
      </c>
      <c r="BR68" s="4">
        <v>46873</v>
      </c>
      <c r="BS68" s="4">
        <v>47149</v>
      </c>
      <c r="BT68" s="3">
        <v>9</v>
      </c>
      <c r="BU68" s="3" t="s">
        <v>1112</v>
      </c>
      <c r="BV68" s="3" t="s">
        <v>1113</v>
      </c>
      <c r="BW68" s="3" t="s">
        <v>1114</v>
      </c>
      <c r="BX68" s="4">
        <v>47001</v>
      </c>
      <c r="BY68" s="4">
        <v>47178</v>
      </c>
      <c r="BZ68" s="3" t="s">
        <v>136</v>
      </c>
      <c r="CA68" s="3" t="s">
        <v>1115</v>
      </c>
      <c r="CB68" s="3" t="s">
        <v>300</v>
      </c>
      <c r="CC68" s="3" t="s">
        <v>1001</v>
      </c>
      <c r="CD68" s="3"/>
      <c r="CE68" s="3"/>
      <c r="CF68" s="3" t="s">
        <v>1116</v>
      </c>
      <c r="CG68" s="3" t="s">
        <v>1117</v>
      </c>
      <c r="CH68" s="3" t="s">
        <v>1118</v>
      </c>
      <c r="CI68" s="3" t="s">
        <v>1119</v>
      </c>
      <c r="CJ68" s="3" t="s">
        <v>850</v>
      </c>
      <c r="CK68" s="3" t="s">
        <v>1120</v>
      </c>
      <c r="CL68" s="3" t="s">
        <v>852</v>
      </c>
      <c r="CM68" s="3" t="s">
        <v>975</v>
      </c>
      <c r="CN68" s="3" t="s">
        <v>854</v>
      </c>
      <c r="CO68" s="3"/>
      <c r="CP68" s="3">
        <v>4</v>
      </c>
      <c r="CQ68" s="3"/>
      <c r="CR68" s="3"/>
      <c r="CS68" s="3"/>
      <c r="CT68" s="3"/>
      <c r="CU68" s="3"/>
      <c r="CV68" s="3"/>
      <c r="CW68" s="3"/>
      <c r="CX68" s="3"/>
      <c r="CY68" s="3"/>
      <c r="CZ68" s="3"/>
      <c r="DA68" s="3"/>
    </row>
    <row r="69" spans="1:105" ht="15" customHeight="1" x14ac:dyDescent="0.2">
      <c r="A69" s="5" t="s">
        <v>1121</v>
      </c>
      <c r="B69" s="5" t="s">
        <v>1122</v>
      </c>
      <c r="C69" s="5" t="s">
        <v>1122</v>
      </c>
      <c r="D69" s="5" t="s">
        <v>350</v>
      </c>
      <c r="E69" s="5" t="s">
        <v>350</v>
      </c>
      <c r="F69" s="5" t="s">
        <v>350</v>
      </c>
      <c r="G69" s="5" t="s">
        <v>110</v>
      </c>
      <c r="H69" s="5" t="s">
        <v>259</v>
      </c>
      <c r="I69" s="5" t="s">
        <v>283</v>
      </c>
      <c r="J69" s="5" t="s">
        <v>113</v>
      </c>
      <c r="K69" s="5" t="s">
        <v>114</v>
      </c>
      <c r="L69" s="5" t="s">
        <v>114</v>
      </c>
      <c r="M69" s="5" t="s">
        <v>114</v>
      </c>
      <c r="N69" s="5" t="s">
        <v>114</v>
      </c>
      <c r="O69" s="5" t="s">
        <v>114</v>
      </c>
      <c r="P69" s="5" t="s">
        <v>114</v>
      </c>
      <c r="Q69" s="5" t="s">
        <v>1123</v>
      </c>
      <c r="R69" s="5" t="s">
        <v>1124</v>
      </c>
      <c r="S69" s="5" t="s">
        <v>1125</v>
      </c>
      <c r="T69" s="5" t="s">
        <v>1126</v>
      </c>
      <c r="U69" s="5" t="s">
        <v>120</v>
      </c>
      <c r="V69" s="5" t="s">
        <v>119</v>
      </c>
      <c r="W69" s="5" t="s">
        <v>120</v>
      </c>
      <c r="X69" s="5"/>
      <c r="Y69" s="5" t="s">
        <v>1127</v>
      </c>
      <c r="Z69" s="5" t="s">
        <v>119</v>
      </c>
      <c r="AA69" s="5"/>
      <c r="AB69" s="5" t="s">
        <v>122</v>
      </c>
      <c r="AC69" s="5" t="s">
        <v>217</v>
      </c>
      <c r="AD69" s="5" t="s">
        <v>736</v>
      </c>
      <c r="AE69" s="5" t="s">
        <v>1128</v>
      </c>
      <c r="AF69" s="5" t="s">
        <v>875</v>
      </c>
      <c r="AG69" s="5" t="s">
        <v>358</v>
      </c>
      <c r="AH69" s="5"/>
      <c r="AI69" s="5"/>
      <c r="AJ69" s="5"/>
      <c r="AK69" s="5"/>
      <c r="AL69" s="5"/>
      <c r="AM69" s="5">
        <v>0</v>
      </c>
      <c r="AN69" s="5"/>
      <c r="AO69" s="5"/>
      <c r="AP69" s="5"/>
      <c r="AQ69" s="5"/>
      <c r="AR69" s="5"/>
      <c r="AS69" s="5">
        <v>0</v>
      </c>
      <c r="AT69" s="5"/>
      <c r="AU69" s="5"/>
      <c r="AV69" s="5"/>
      <c r="AW69" s="5"/>
      <c r="AX69" s="5"/>
      <c r="AY69" s="5"/>
      <c r="AZ69" s="5">
        <v>0</v>
      </c>
      <c r="BA69" s="5"/>
      <c r="BB69" s="5" t="s">
        <v>522</v>
      </c>
      <c r="BC69" s="5">
        <v>1200</v>
      </c>
      <c r="BD69" s="6">
        <v>45223</v>
      </c>
      <c r="BE69" s="6">
        <v>46722</v>
      </c>
      <c r="BF69" s="6">
        <v>46873</v>
      </c>
      <c r="BG69" s="6">
        <v>47149</v>
      </c>
      <c r="BH69" s="5">
        <v>9</v>
      </c>
      <c r="BI69" s="6">
        <v>46873</v>
      </c>
      <c r="BJ69" s="6">
        <v>47057</v>
      </c>
      <c r="BK69" s="5">
        <v>6</v>
      </c>
      <c r="BL69" s="6">
        <v>46873</v>
      </c>
      <c r="BM69" s="6">
        <v>47238</v>
      </c>
      <c r="BN69" s="5">
        <v>12</v>
      </c>
      <c r="BO69" s="6">
        <v>47149</v>
      </c>
      <c r="BP69" s="6">
        <v>46873</v>
      </c>
      <c r="BQ69" s="5">
        <v>9</v>
      </c>
      <c r="BR69" s="6">
        <v>46873</v>
      </c>
      <c r="BS69" s="6">
        <v>47149</v>
      </c>
      <c r="BT69" s="5">
        <v>9</v>
      </c>
      <c r="BU69" s="5" t="s">
        <v>1129</v>
      </c>
      <c r="BV69" s="5" t="s">
        <v>1130</v>
      </c>
      <c r="BW69" s="5" t="s">
        <v>1131</v>
      </c>
      <c r="BX69" s="6">
        <v>46867</v>
      </c>
      <c r="BY69" s="6">
        <v>47200</v>
      </c>
      <c r="BZ69" s="5" t="s">
        <v>136</v>
      </c>
      <c r="CA69" s="5" t="s">
        <v>137</v>
      </c>
      <c r="CB69" s="5" t="s">
        <v>1024</v>
      </c>
      <c r="CC69" s="5" t="s">
        <v>892</v>
      </c>
      <c r="CD69" s="5" t="s">
        <v>881</v>
      </c>
      <c r="CE69" s="5"/>
      <c r="CF69" s="5"/>
      <c r="CG69" s="5"/>
      <c r="CH69" s="5"/>
      <c r="CI69" s="5"/>
      <c r="CJ69" s="5"/>
      <c r="CK69" s="5"/>
      <c r="CL69" s="5"/>
      <c r="CM69" s="5"/>
      <c r="CN69" s="5"/>
      <c r="CO69" s="5"/>
      <c r="CP69" s="5"/>
      <c r="CQ69" s="5"/>
      <c r="CR69" s="5"/>
      <c r="CS69" s="5"/>
      <c r="CT69" s="5"/>
      <c r="CU69" s="5"/>
      <c r="CV69" s="5"/>
      <c r="CW69" s="5"/>
      <c r="CX69" s="5"/>
      <c r="CY69" s="5"/>
      <c r="CZ69" s="5"/>
      <c r="DA69" s="5"/>
    </row>
    <row r="70" spans="1:105" ht="15" customHeight="1" x14ac:dyDescent="0.2">
      <c r="A70" s="3" t="s">
        <v>1132</v>
      </c>
      <c r="B70" s="3" t="s">
        <v>1133</v>
      </c>
      <c r="C70" s="3" t="s">
        <v>1133</v>
      </c>
      <c r="D70" s="3" t="s">
        <v>194</v>
      </c>
      <c r="E70" s="3" t="s">
        <v>194</v>
      </c>
      <c r="F70" s="3" t="s">
        <v>1134</v>
      </c>
      <c r="G70" s="3" t="s">
        <v>110</v>
      </c>
      <c r="H70" s="3" t="s">
        <v>259</v>
      </c>
      <c r="I70" s="3" t="s">
        <v>283</v>
      </c>
      <c r="J70" s="3" t="s">
        <v>113</v>
      </c>
      <c r="K70" s="3" t="s">
        <v>114</v>
      </c>
      <c r="L70" s="3" t="s">
        <v>114</v>
      </c>
      <c r="M70" s="3" t="s">
        <v>114</v>
      </c>
      <c r="N70" s="3" t="s">
        <v>114</v>
      </c>
      <c r="O70" s="3" t="s">
        <v>114</v>
      </c>
      <c r="P70" s="3" t="s">
        <v>114</v>
      </c>
      <c r="Q70" s="3" t="s">
        <v>1135</v>
      </c>
      <c r="R70" s="3" t="s">
        <v>1136</v>
      </c>
      <c r="S70" s="3" t="s">
        <v>898</v>
      </c>
      <c r="T70" s="3" t="s">
        <v>1137</v>
      </c>
      <c r="U70" s="3" t="s">
        <v>120</v>
      </c>
      <c r="V70" s="3" t="s">
        <v>119</v>
      </c>
      <c r="W70" s="3" t="s">
        <v>120</v>
      </c>
      <c r="X70" s="3" t="s">
        <v>388</v>
      </c>
      <c r="Y70" s="3" t="s">
        <v>278</v>
      </c>
      <c r="Z70" s="3" t="s">
        <v>119</v>
      </c>
      <c r="AA70" s="3"/>
      <c r="AB70" s="3" t="s">
        <v>122</v>
      </c>
      <c r="AC70" s="3" t="s">
        <v>217</v>
      </c>
      <c r="AD70" s="3" t="s">
        <v>145</v>
      </c>
      <c r="AE70" s="3" t="s">
        <v>1138</v>
      </c>
      <c r="AF70" s="3" t="s">
        <v>278</v>
      </c>
      <c r="AG70" s="3" t="s">
        <v>166</v>
      </c>
      <c r="AH70" s="3"/>
      <c r="AI70" s="3"/>
      <c r="AJ70" s="3"/>
      <c r="AK70" s="3"/>
      <c r="AL70" s="3"/>
      <c r="AM70" s="3">
        <v>0</v>
      </c>
      <c r="AN70" s="3"/>
      <c r="AO70" s="3"/>
      <c r="AP70" s="3"/>
      <c r="AQ70" s="3"/>
      <c r="AR70" s="3"/>
      <c r="AS70" s="3">
        <v>0</v>
      </c>
      <c r="AT70" s="3"/>
      <c r="AU70" s="3"/>
      <c r="AV70" s="3"/>
      <c r="AW70" s="3"/>
      <c r="AX70" s="3"/>
      <c r="AY70" s="3"/>
      <c r="AZ70" s="3">
        <v>0</v>
      </c>
      <c r="BA70" s="3"/>
      <c r="BB70" s="3" t="s">
        <v>876</v>
      </c>
      <c r="BC70" s="3">
        <v>806</v>
      </c>
      <c r="BD70" s="4">
        <v>44167</v>
      </c>
      <c r="BE70" s="4">
        <v>46753</v>
      </c>
      <c r="BF70" s="4">
        <v>46904</v>
      </c>
      <c r="BG70" s="4">
        <v>47177</v>
      </c>
      <c r="BH70" s="3">
        <v>9</v>
      </c>
      <c r="BI70" s="4">
        <v>46904</v>
      </c>
      <c r="BJ70" s="4">
        <v>47087</v>
      </c>
      <c r="BK70" s="3">
        <v>6</v>
      </c>
      <c r="BL70" s="4">
        <v>46904</v>
      </c>
      <c r="BM70" s="4">
        <v>47269</v>
      </c>
      <c r="BN70" s="3">
        <v>12</v>
      </c>
      <c r="BO70" s="4">
        <v>47177</v>
      </c>
      <c r="BP70" s="4">
        <v>46904</v>
      </c>
      <c r="BQ70" s="3">
        <v>9</v>
      </c>
      <c r="BR70" s="4">
        <v>46904</v>
      </c>
      <c r="BS70" s="4">
        <v>47177</v>
      </c>
      <c r="BT70" s="3">
        <v>9</v>
      </c>
      <c r="BU70" s="3" t="s">
        <v>1139</v>
      </c>
      <c r="BV70" s="3" t="s">
        <v>1140</v>
      </c>
      <c r="BW70" s="3" t="s">
        <v>1141</v>
      </c>
      <c r="BX70" s="4">
        <v>47057</v>
      </c>
      <c r="BY70" s="4">
        <v>47422</v>
      </c>
      <c r="BZ70" s="3" t="s">
        <v>136</v>
      </c>
      <c r="CA70" s="3" t="s">
        <v>137</v>
      </c>
      <c r="CB70" s="3" t="s">
        <v>1015</v>
      </c>
      <c r="CC70" s="3"/>
      <c r="CD70" s="3"/>
      <c r="CE70" s="3"/>
      <c r="CF70" s="3"/>
      <c r="CG70" s="3"/>
      <c r="CH70" s="3"/>
      <c r="CI70" s="3"/>
      <c r="CJ70" s="3"/>
      <c r="CK70" s="3"/>
      <c r="CL70" s="3"/>
      <c r="CM70" s="3"/>
      <c r="CN70" s="3"/>
      <c r="CO70" s="3"/>
      <c r="CP70" s="3"/>
      <c r="CQ70" s="3"/>
      <c r="CR70" s="3"/>
      <c r="CS70" s="3"/>
      <c r="CT70" s="3"/>
      <c r="CU70" s="3"/>
      <c r="CV70" s="3"/>
      <c r="CW70" s="3"/>
      <c r="CX70" s="3"/>
      <c r="CY70" s="3"/>
      <c r="CZ70" s="3"/>
      <c r="DA70" s="3"/>
    </row>
    <row r="71" spans="1:105" ht="15" customHeight="1" x14ac:dyDescent="0.2">
      <c r="A71" s="5" t="s">
        <v>1142</v>
      </c>
      <c r="B71" s="5" t="s">
        <v>1143</v>
      </c>
      <c r="C71" s="5" t="s">
        <v>1144</v>
      </c>
      <c r="D71" s="5" t="s">
        <v>280</v>
      </c>
      <c r="E71" s="5" t="s">
        <v>281</v>
      </c>
      <c r="F71" s="5" t="s">
        <v>282</v>
      </c>
      <c r="G71" s="5" t="s">
        <v>110</v>
      </c>
      <c r="H71" s="5" t="s">
        <v>259</v>
      </c>
      <c r="I71" s="5" t="s">
        <v>283</v>
      </c>
      <c r="J71" s="5" t="s">
        <v>113</v>
      </c>
      <c r="K71" s="5" t="s">
        <v>114</v>
      </c>
      <c r="L71" s="5" t="s">
        <v>114</v>
      </c>
      <c r="M71" s="5" t="s">
        <v>114</v>
      </c>
      <c r="N71" s="5" t="s">
        <v>114</v>
      </c>
      <c r="O71" s="5" t="s">
        <v>114</v>
      </c>
      <c r="P71" s="5" t="s">
        <v>114</v>
      </c>
      <c r="Q71" s="5" t="s">
        <v>1145</v>
      </c>
      <c r="R71" s="5" t="s">
        <v>1146</v>
      </c>
      <c r="S71" s="5" t="s">
        <v>965</v>
      </c>
      <c r="T71" s="5" t="s">
        <v>996</v>
      </c>
      <c r="U71" s="5" t="s">
        <v>120</v>
      </c>
      <c r="V71" s="5" t="s">
        <v>119</v>
      </c>
      <c r="W71" s="5" t="s">
        <v>120</v>
      </c>
      <c r="X71" s="5" t="s">
        <v>388</v>
      </c>
      <c r="Y71" s="5" t="s">
        <v>278</v>
      </c>
      <c r="Z71" s="5" t="s">
        <v>119</v>
      </c>
      <c r="AA71" s="5"/>
      <c r="AB71" s="5" t="s">
        <v>122</v>
      </c>
      <c r="AC71" s="5" t="s">
        <v>217</v>
      </c>
      <c r="AD71" s="5" t="s">
        <v>838</v>
      </c>
      <c r="AE71" s="5" t="s">
        <v>1147</v>
      </c>
      <c r="AF71" s="5" t="s">
        <v>278</v>
      </c>
      <c r="AG71" s="5" t="s">
        <v>148</v>
      </c>
      <c r="AH71" s="5"/>
      <c r="AI71" s="5"/>
      <c r="AJ71" s="5"/>
      <c r="AK71" s="5"/>
      <c r="AL71" s="5"/>
      <c r="AM71" s="5">
        <v>0</v>
      </c>
      <c r="AN71" s="5"/>
      <c r="AO71" s="5"/>
      <c r="AP71" s="5"/>
      <c r="AQ71" s="5"/>
      <c r="AR71" s="5"/>
      <c r="AS71" s="5">
        <v>0</v>
      </c>
      <c r="AT71" s="5"/>
      <c r="AU71" s="5"/>
      <c r="AV71" s="5"/>
      <c r="AW71" s="5"/>
      <c r="AX71" s="5"/>
      <c r="AY71" s="5"/>
      <c r="AZ71" s="5">
        <v>0</v>
      </c>
      <c r="BA71" s="5"/>
      <c r="BB71" s="5" t="s">
        <v>876</v>
      </c>
      <c r="BC71" s="5">
        <v>614</v>
      </c>
      <c r="BD71" s="6">
        <v>45275</v>
      </c>
      <c r="BE71" s="6">
        <v>46753</v>
      </c>
      <c r="BF71" s="6">
        <v>46904</v>
      </c>
      <c r="BG71" s="6">
        <v>47177</v>
      </c>
      <c r="BH71" s="5">
        <v>9</v>
      </c>
      <c r="BI71" s="6">
        <v>46904</v>
      </c>
      <c r="BJ71" s="6">
        <v>47087</v>
      </c>
      <c r="BK71" s="5">
        <v>6</v>
      </c>
      <c r="BL71" s="6">
        <v>46904</v>
      </c>
      <c r="BM71" s="6">
        <v>47269</v>
      </c>
      <c r="BN71" s="5">
        <v>12</v>
      </c>
      <c r="BO71" s="6">
        <v>47177</v>
      </c>
      <c r="BP71" s="6">
        <v>46904</v>
      </c>
      <c r="BQ71" s="5">
        <v>9</v>
      </c>
      <c r="BR71" s="6">
        <v>46904</v>
      </c>
      <c r="BS71" s="6">
        <v>47177</v>
      </c>
      <c r="BT71" s="5">
        <v>9</v>
      </c>
      <c r="BU71" s="5" t="s">
        <v>1148</v>
      </c>
      <c r="BV71" s="5" t="s">
        <v>1149</v>
      </c>
      <c r="BW71" s="5" t="s">
        <v>1150</v>
      </c>
      <c r="BX71" s="6">
        <v>46777</v>
      </c>
      <c r="BY71" s="6">
        <v>47630</v>
      </c>
      <c r="BZ71" s="5" t="s">
        <v>136</v>
      </c>
      <c r="CA71" s="5" t="s">
        <v>1115</v>
      </c>
      <c r="CB71" s="5" t="s">
        <v>300</v>
      </c>
      <c r="CC71" s="5" t="s">
        <v>1151</v>
      </c>
      <c r="CD71" s="5" t="s">
        <v>1002</v>
      </c>
      <c r="CE71" s="5"/>
      <c r="CF71" s="5" t="s">
        <v>1152</v>
      </c>
      <c r="CG71" s="5" t="s">
        <v>847</v>
      </c>
      <c r="CH71" s="5" t="s">
        <v>848</v>
      </c>
      <c r="CI71" s="5" t="s">
        <v>849</v>
      </c>
      <c r="CJ71" s="5" t="s">
        <v>850</v>
      </c>
      <c r="CK71" s="5" t="s">
        <v>1051</v>
      </c>
      <c r="CL71" s="5" t="s">
        <v>1052</v>
      </c>
      <c r="CM71" s="5" t="s">
        <v>853</v>
      </c>
      <c r="CN71" s="5" t="s">
        <v>854</v>
      </c>
      <c r="CO71" s="5" t="s">
        <v>1153</v>
      </c>
      <c r="CP71" s="5">
        <v>7.4</v>
      </c>
      <c r="CQ71" s="5"/>
      <c r="CR71" s="5"/>
      <c r="CS71" s="5"/>
      <c r="CT71" s="5"/>
      <c r="CU71" s="5"/>
      <c r="CV71" s="5"/>
      <c r="CW71" s="5"/>
      <c r="CX71" s="5"/>
      <c r="CY71" s="5"/>
      <c r="CZ71" s="5"/>
      <c r="DA71" s="5"/>
    </row>
    <row r="72" spans="1:105" ht="15" customHeight="1" x14ac:dyDescent="0.2">
      <c r="A72" s="3" t="s">
        <v>1154</v>
      </c>
      <c r="B72" s="3" t="s">
        <v>1155</v>
      </c>
      <c r="C72" s="3" t="s">
        <v>1155</v>
      </c>
      <c r="D72" s="3" t="s">
        <v>280</v>
      </c>
      <c r="E72" s="3" t="s">
        <v>281</v>
      </c>
      <c r="F72" s="3" t="s">
        <v>282</v>
      </c>
      <c r="G72" s="3" t="s">
        <v>110</v>
      </c>
      <c r="H72" s="3" t="s">
        <v>259</v>
      </c>
      <c r="I72" s="3"/>
      <c r="J72" s="3" t="s">
        <v>113</v>
      </c>
      <c r="K72" s="3" t="s">
        <v>114</v>
      </c>
      <c r="L72" s="3" t="s">
        <v>114</v>
      </c>
      <c r="M72" s="3" t="s">
        <v>114</v>
      </c>
      <c r="N72" s="3" t="s">
        <v>114</v>
      </c>
      <c r="O72" s="3" t="s">
        <v>114</v>
      </c>
      <c r="P72" s="3" t="s">
        <v>114</v>
      </c>
      <c r="Q72" s="3" t="s">
        <v>1156</v>
      </c>
      <c r="R72" s="3" t="s">
        <v>1157</v>
      </c>
      <c r="S72" s="3" t="s">
        <v>898</v>
      </c>
      <c r="T72" s="3" t="s">
        <v>1137</v>
      </c>
      <c r="U72" s="3" t="s">
        <v>120</v>
      </c>
      <c r="V72" s="3" t="s">
        <v>119</v>
      </c>
      <c r="W72" s="3" t="s">
        <v>120</v>
      </c>
      <c r="X72" s="3" t="s">
        <v>388</v>
      </c>
      <c r="Y72" s="3" t="s">
        <v>278</v>
      </c>
      <c r="Z72" s="3" t="s">
        <v>119</v>
      </c>
      <c r="AA72" s="3"/>
      <c r="AB72" s="3" t="s">
        <v>122</v>
      </c>
      <c r="AC72" s="3" t="s">
        <v>217</v>
      </c>
      <c r="AD72" s="3" t="s">
        <v>145</v>
      </c>
      <c r="AE72" s="3" t="s">
        <v>1158</v>
      </c>
      <c r="AF72" s="3" t="s">
        <v>1159</v>
      </c>
      <c r="AG72" s="3" t="s">
        <v>358</v>
      </c>
      <c r="AH72" s="3"/>
      <c r="AI72" s="3"/>
      <c r="AJ72" s="3"/>
      <c r="AK72" s="3"/>
      <c r="AL72" s="3"/>
      <c r="AM72" s="3">
        <v>0</v>
      </c>
      <c r="AN72" s="3"/>
      <c r="AO72" s="3"/>
      <c r="AP72" s="3"/>
      <c r="AQ72" s="3"/>
      <c r="AR72" s="3"/>
      <c r="AS72" s="3">
        <v>0</v>
      </c>
      <c r="AT72" s="3"/>
      <c r="AU72" s="3"/>
      <c r="AV72" s="3"/>
      <c r="AW72" s="3"/>
      <c r="AX72" s="3"/>
      <c r="AY72" s="3"/>
      <c r="AZ72" s="3">
        <v>0</v>
      </c>
      <c r="BA72" s="3"/>
      <c r="BB72" s="3" t="s">
        <v>876</v>
      </c>
      <c r="BC72" s="3">
        <v>600</v>
      </c>
      <c r="BD72" s="4">
        <v>45436</v>
      </c>
      <c r="BE72" s="4">
        <v>46784</v>
      </c>
      <c r="BF72" s="4">
        <v>46934</v>
      </c>
      <c r="BG72" s="4">
        <v>47299</v>
      </c>
      <c r="BH72" s="3">
        <v>12</v>
      </c>
      <c r="BI72" s="4">
        <v>46934</v>
      </c>
      <c r="BJ72" s="4">
        <v>47118</v>
      </c>
      <c r="BK72" s="3">
        <v>6</v>
      </c>
      <c r="BL72" s="3"/>
      <c r="BM72" s="3"/>
      <c r="BN72" s="3"/>
      <c r="BO72" s="3"/>
      <c r="BP72" s="3"/>
      <c r="BQ72" s="3"/>
      <c r="BR72" s="4">
        <v>46934</v>
      </c>
      <c r="BS72" s="4">
        <v>47299</v>
      </c>
      <c r="BT72" s="3">
        <v>12</v>
      </c>
      <c r="BU72" s="3" t="s">
        <v>1160</v>
      </c>
      <c r="BV72" s="3" t="s">
        <v>1161</v>
      </c>
      <c r="BW72" s="3" t="s">
        <v>1162</v>
      </c>
      <c r="BX72" s="4">
        <v>47168</v>
      </c>
      <c r="BY72" s="4">
        <v>47897</v>
      </c>
      <c r="BZ72" s="3" t="s">
        <v>136</v>
      </c>
      <c r="CA72" s="3" t="s">
        <v>383</v>
      </c>
      <c r="CB72" s="3" t="s">
        <v>1015</v>
      </c>
      <c r="CC72" s="3"/>
      <c r="CD72" s="3"/>
      <c r="CE72" s="3"/>
      <c r="CF72" s="3"/>
      <c r="CG72" s="3"/>
      <c r="CH72" s="3"/>
      <c r="CI72" s="3"/>
      <c r="CJ72" s="3"/>
      <c r="CK72" s="3"/>
      <c r="CL72" s="3"/>
      <c r="CM72" s="3"/>
      <c r="CN72" s="3"/>
      <c r="CO72" s="3"/>
      <c r="CP72" s="3"/>
      <c r="CQ72" s="3"/>
      <c r="CR72" s="3"/>
      <c r="CS72" s="3"/>
      <c r="CT72" s="3"/>
      <c r="CU72" s="3"/>
      <c r="CV72" s="3"/>
      <c r="CW72" s="3"/>
      <c r="CX72" s="3"/>
      <c r="CY72" s="3"/>
      <c r="CZ72" s="3"/>
      <c r="DA72" s="3"/>
    </row>
    <row r="73" spans="1:105" ht="15" customHeight="1" x14ac:dyDescent="0.2">
      <c r="A73" s="5" t="s">
        <v>1163</v>
      </c>
      <c r="B73" s="5" t="s">
        <v>1164</v>
      </c>
      <c r="C73" s="5" t="s">
        <v>1164</v>
      </c>
      <c r="D73" s="5" t="s">
        <v>194</v>
      </c>
      <c r="E73" s="5" t="s">
        <v>194</v>
      </c>
      <c r="F73" s="5" t="s">
        <v>194</v>
      </c>
      <c r="G73" s="5" t="s">
        <v>110</v>
      </c>
      <c r="H73" s="5" t="s">
        <v>572</v>
      </c>
      <c r="I73" s="5"/>
      <c r="J73" s="5" t="s">
        <v>113</v>
      </c>
      <c r="K73" s="5" t="s">
        <v>114</v>
      </c>
      <c r="L73" s="5" t="s">
        <v>114</v>
      </c>
      <c r="M73" s="5" t="s">
        <v>114</v>
      </c>
      <c r="N73" s="5" t="s">
        <v>114</v>
      </c>
      <c r="O73" s="5" t="s">
        <v>114</v>
      </c>
      <c r="P73" s="5" t="s">
        <v>114</v>
      </c>
      <c r="Q73" s="5" t="s">
        <v>1165</v>
      </c>
      <c r="R73" s="5" t="s">
        <v>1166</v>
      </c>
      <c r="S73" s="5" t="s">
        <v>1167</v>
      </c>
      <c r="T73" s="5" t="s">
        <v>1168</v>
      </c>
      <c r="U73" s="5" t="s">
        <v>119</v>
      </c>
      <c r="V73" s="5" t="s">
        <v>119</v>
      </c>
      <c r="W73" s="5" t="s">
        <v>120</v>
      </c>
      <c r="X73" s="5"/>
      <c r="Y73" s="5"/>
      <c r="Z73" s="5" t="s">
        <v>119</v>
      </c>
      <c r="AA73" s="5"/>
      <c r="AB73" s="5" t="s">
        <v>122</v>
      </c>
      <c r="AC73" s="5" t="s">
        <v>217</v>
      </c>
      <c r="AD73" s="5" t="s">
        <v>145</v>
      </c>
      <c r="AE73" s="5" t="s">
        <v>1169</v>
      </c>
      <c r="AF73" s="5" t="s">
        <v>233</v>
      </c>
      <c r="AG73" s="5" t="s">
        <v>166</v>
      </c>
      <c r="AH73" s="5"/>
      <c r="AI73" s="5"/>
      <c r="AJ73" s="5"/>
      <c r="AK73" s="5"/>
      <c r="AL73" s="5"/>
      <c r="AM73" s="5">
        <v>0</v>
      </c>
      <c r="AN73" s="5"/>
      <c r="AO73" s="5"/>
      <c r="AP73" s="5"/>
      <c r="AQ73" s="5"/>
      <c r="AR73" s="5"/>
      <c r="AS73" s="5">
        <v>0</v>
      </c>
      <c r="AT73" s="5"/>
      <c r="AU73" s="5"/>
      <c r="AV73" s="5"/>
      <c r="AW73" s="5"/>
      <c r="AX73" s="5"/>
      <c r="AY73" s="5"/>
      <c r="AZ73" s="5">
        <v>0</v>
      </c>
      <c r="BA73" s="5"/>
      <c r="BB73" s="5" t="s">
        <v>522</v>
      </c>
      <c r="BC73" s="5">
        <v>190</v>
      </c>
      <c r="BD73" s="6">
        <v>45281</v>
      </c>
      <c r="BE73" s="6">
        <v>46813</v>
      </c>
      <c r="BF73" s="6">
        <v>46965</v>
      </c>
      <c r="BG73" s="6">
        <v>47238</v>
      </c>
      <c r="BH73" s="5">
        <v>9</v>
      </c>
      <c r="BI73" s="6">
        <v>46965</v>
      </c>
      <c r="BJ73" s="6">
        <v>47149</v>
      </c>
      <c r="BK73" s="5">
        <v>6</v>
      </c>
      <c r="BL73" s="6">
        <v>46965</v>
      </c>
      <c r="BM73" s="6">
        <v>47330</v>
      </c>
      <c r="BN73" s="5">
        <v>12</v>
      </c>
      <c r="BO73" s="6">
        <v>47238</v>
      </c>
      <c r="BP73" s="6">
        <v>46965</v>
      </c>
      <c r="BQ73" s="5">
        <v>9</v>
      </c>
      <c r="BR73" s="6">
        <v>46965</v>
      </c>
      <c r="BS73" s="6">
        <v>47238</v>
      </c>
      <c r="BT73" s="5">
        <v>9</v>
      </c>
      <c r="BU73" s="5" t="s">
        <v>1170</v>
      </c>
      <c r="BV73" s="5" t="s">
        <v>1171</v>
      </c>
      <c r="BW73" s="5" t="s">
        <v>1172</v>
      </c>
      <c r="BX73" s="6">
        <v>46094</v>
      </c>
      <c r="BY73" s="6">
        <v>46461</v>
      </c>
      <c r="BZ73" s="5" t="s">
        <v>136</v>
      </c>
      <c r="CA73" s="5" t="s">
        <v>137</v>
      </c>
      <c r="CB73" s="5" t="s">
        <v>865</v>
      </c>
      <c r="CC73" s="5" t="s">
        <v>301</v>
      </c>
      <c r="CD73" s="5"/>
      <c r="CE73" s="5"/>
      <c r="CF73" s="5"/>
      <c r="CG73" s="5"/>
      <c r="CH73" s="5"/>
      <c r="CI73" s="5"/>
      <c r="CJ73" s="5"/>
      <c r="CK73" s="5"/>
      <c r="CL73" s="5"/>
      <c r="CM73" s="5"/>
      <c r="CN73" s="5"/>
      <c r="CO73" s="5"/>
      <c r="CP73" s="5"/>
      <c r="CQ73" s="5"/>
      <c r="CR73" s="5"/>
      <c r="CS73" s="5"/>
      <c r="CT73" s="5"/>
      <c r="CU73" s="5"/>
      <c r="CV73" s="5"/>
      <c r="CW73" s="5"/>
      <c r="CX73" s="5"/>
      <c r="CY73" s="5"/>
      <c r="CZ73" s="5"/>
      <c r="DA73" s="5"/>
    </row>
    <row r="74" spans="1:105" ht="15" customHeight="1" x14ac:dyDescent="0.2">
      <c r="A74" s="3" t="s">
        <v>960</v>
      </c>
      <c r="B74" s="3" t="s">
        <v>961</v>
      </c>
      <c r="C74" s="3" t="s">
        <v>961</v>
      </c>
      <c r="D74" s="3" t="s">
        <v>833</v>
      </c>
      <c r="E74" s="3" t="s">
        <v>833</v>
      </c>
      <c r="F74" s="3" t="s">
        <v>350</v>
      </c>
      <c r="G74" s="3" t="s">
        <v>110</v>
      </c>
      <c r="H74" s="3" t="s">
        <v>572</v>
      </c>
      <c r="I74" s="3" t="s">
        <v>181</v>
      </c>
      <c r="J74" s="3" t="s">
        <v>113</v>
      </c>
      <c r="K74" s="3" t="s">
        <v>114</v>
      </c>
      <c r="L74" s="3" t="s">
        <v>114</v>
      </c>
      <c r="M74" s="3" t="s">
        <v>114</v>
      </c>
      <c r="N74" s="3" t="s">
        <v>114</v>
      </c>
      <c r="O74" s="3" t="s">
        <v>114</v>
      </c>
      <c r="P74" s="3" t="s">
        <v>114</v>
      </c>
      <c r="Q74" s="3" t="s">
        <v>1173</v>
      </c>
      <c r="R74" s="3" t="s">
        <v>1174</v>
      </c>
      <c r="S74" s="3" t="s">
        <v>965</v>
      </c>
      <c r="T74" s="3" t="s">
        <v>1175</v>
      </c>
      <c r="U74" s="3" t="s">
        <v>119</v>
      </c>
      <c r="V74" s="3" t="s">
        <v>119</v>
      </c>
      <c r="W74" s="3" t="s">
        <v>120</v>
      </c>
      <c r="X74" s="3" t="s">
        <v>388</v>
      </c>
      <c r="Y74" s="3" t="s">
        <v>368</v>
      </c>
      <c r="Z74" s="3" t="s">
        <v>119</v>
      </c>
      <c r="AA74" s="3" t="s">
        <v>121</v>
      </c>
      <c r="AB74" s="3" t="s">
        <v>122</v>
      </c>
      <c r="AC74" s="3" t="s">
        <v>217</v>
      </c>
      <c r="AD74" s="3" t="s">
        <v>838</v>
      </c>
      <c r="AE74" s="3" t="s">
        <v>1176</v>
      </c>
      <c r="AF74" s="3" t="s">
        <v>368</v>
      </c>
      <c r="AG74" s="3" t="s">
        <v>166</v>
      </c>
      <c r="AH74" s="3"/>
      <c r="AI74" s="3"/>
      <c r="AJ74" s="3"/>
      <c r="AK74" s="3"/>
      <c r="AL74" s="3"/>
      <c r="AM74" s="3">
        <v>0</v>
      </c>
      <c r="AN74" s="3"/>
      <c r="AO74" s="3"/>
      <c r="AP74" s="3"/>
      <c r="AQ74" s="3"/>
      <c r="AR74" s="3"/>
      <c r="AS74" s="3">
        <v>0</v>
      </c>
      <c r="AT74" s="3"/>
      <c r="AU74" s="3"/>
      <c r="AV74" s="3"/>
      <c r="AW74" s="3"/>
      <c r="AX74" s="3"/>
      <c r="AY74" s="3"/>
      <c r="AZ74" s="3">
        <v>0</v>
      </c>
      <c r="BA74" s="3"/>
      <c r="BB74" s="3" t="s">
        <v>876</v>
      </c>
      <c r="BC74" s="3">
        <v>582</v>
      </c>
      <c r="BD74" s="4">
        <v>45411</v>
      </c>
      <c r="BE74" s="4">
        <v>46813</v>
      </c>
      <c r="BF74" s="4">
        <v>46965</v>
      </c>
      <c r="BG74" s="4">
        <v>47238</v>
      </c>
      <c r="BH74" s="3">
        <v>9</v>
      </c>
      <c r="BI74" s="4">
        <v>46965</v>
      </c>
      <c r="BJ74" s="4">
        <v>47149</v>
      </c>
      <c r="BK74" s="3">
        <v>6</v>
      </c>
      <c r="BL74" s="4">
        <v>46965</v>
      </c>
      <c r="BM74" s="4">
        <v>47330</v>
      </c>
      <c r="BN74" s="3">
        <v>12</v>
      </c>
      <c r="BO74" s="4">
        <v>47238</v>
      </c>
      <c r="BP74" s="4">
        <v>46965</v>
      </c>
      <c r="BQ74" s="3">
        <v>9</v>
      </c>
      <c r="BR74" s="4">
        <v>46965</v>
      </c>
      <c r="BS74" s="4">
        <v>47238</v>
      </c>
      <c r="BT74" s="3">
        <v>9</v>
      </c>
      <c r="BU74" s="3" t="s">
        <v>1177</v>
      </c>
      <c r="BV74" s="3" t="s">
        <v>1178</v>
      </c>
      <c r="BW74" s="3" t="s">
        <v>1179</v>
      </c>
      <c r="BX74" s="4">
        <v>46833</v>
      </c>
      <c r="BY74" s="4">
        <v>48359</v>
      </c>
      <c r="BZ74" s="3" t="s">
        <v>136</v>
      </c>
      <c r="CA74" s="3" t="s">
        <v>137</v>
      </c>
      <c r="CB74" s="3" t="s">
        <v>726</v>
      </c>
      <c r="CC74" s="3"/>
      <c r="CD74" s="3" t="s">
        <v>1180</v>
      </c>
      <c r="CE74" s="3"/>
      <c r="CF74" s="3" t="s">
        <v>846</v>
      </c>
      <c r="CG74" s="3" t="s">
        <v>847</v>
      </c>
      <c r="CH74" s="3" t="s">
        <v>848</v>
      </c>
      <c r="CI74" s="3" t="s">
        <v>849</v>
      </c>
      <c r="CJ74" s="3" t="s">
        <v>850</v>
      </c>
      <c r="CK74" s="3" t="s">
        <v>851</v>
      </c>
      <c r="CL74" s="3" t="s">
        <v>852</v>
      </c>
      <c r="CM74" s="3" t="s">
        <v>975</v>
      </c>
      <c r="CN74" s="3" t="s">
        <v>854</v>
      </c>
      <c r="CO74" s="3"/>
      <c r="CP74" s="3">
        <v>4</v>
      </c>
      <c r="CQ74" s="3"/>
      <c r="CR74" s="3"/>
      <c r="CS74" s="3"/>
      <c r="CT74" s="3"/>
      <c r="CU74" s="3"/>
      <c r="CV74" s="3"/>
      <c r="CW74" s="3"/>
      <c r="CX74" s="3"/>
      <c r="CY74" s="3"/>
      <c r="CZ74" s="3"/>
      <c r="DA74" s="3"/>
    </row>
    <row r="75" spans="1:105" ht="15" customHeight="1" x14ac:dyDescent="0.2">
      <c r="A75" s="5" t="s">
        <v>866</v>
      </c>
      <c r="B75" s="5" t="s">
        <v>867</v>
      </c>
      <c r="C75" s="5" t="s">
        <v>868</v>
      </c>
      <c r="D75" s="5" t="s">
        <v>869</v>
      </c>
      <c r="E75" s="5" t="s">
        <v>869</v>
      </c>
      <c r="F75" s="5" t="s">
        <v>869</v>
      </c>
      <c r="G75" s="5" t="s">
        <v>110</v>
      </c>
      <c r="H75" s="5" t="s">
        <v>259</v>
      </c>
      <c r="I75" s="5" t="s">
        <v>283</v>
      </c>
      <c r="J75" s="5" t="s">
        <v>113</v>
      </c>
      <c r="K75" s="5" t="s">
        <v>114</v>
      </c>
      <c r="L75" s="5" t="s">
        <v>114</v>
      </c>
      <c r="M75" s="5" t="s">
        <v>114</v>
      </c>
      <c r="N75" s="5" t="s">
        <v>114</v>
      </c>
      <c r="O75" s="5" t="s">
        <v>114</v>
      </c>
      <c r="P75" s="5" t="s">
        <v>114</v>
      </c>
      <c r="Q75" s="5" t="s">
        <v>1181</v>
      </c>
      <c r="R75" s="5" t="s">
        <v>1182</v>
      </c>
      <c r="S75" s="5" t="s">
        <v>872</v>
      </c>
      <c r="T75" s="5" t="s">
        <v>873</v>
      </c>
      <c r="U75" s="5" t="s">
        <v>120</v>
      </c>
      <c r="V75" s="5" t="s">
        <v>119</v>
      </c>
      <c r="W75" s="5" t="s">
        <v>120</v>
      </c>
      <c r="X75" s="5"/>
      <c r="Y75" s="5"/>
      <c r="Z75" s="5" t="s">
        <v>119</v>
      </c>
      <c r="AA75" s="5"/>
      <c r="AB75" s="5" t="s">
        <v>122</v>
      </c>
      <c r="AC75" s="5" t="s">
        <v>217</v>
      </c>
      <c r="AD75" s="5" t="s">
        <v>736</v>
      </c>
      <c r="AE75" s="5" t="s">
        <v>1183</v>
      </c>
      <c r="AF75" s="5" t="s">
        <v>278</v>
      </c>
      <c r="AG75" s="5" t="s">
        <v>358</v>
      </c>
      <c r="AH75" s="5"/>
      <c r="AI75" s="5"/>
      <c r="AJ75" s="5"/>
      <c r="AK75" s="5"/>
      <c r="AL75" s="5"/>
      <c r="AM75" s="5">
        <v>0</v>
      </c>
      <c r="AN75" s="5"/>
      <c r="AO75" s="5"/>
      <c r="AP75" s="5"/>
      <c r="AQ75" s="5"/>
      <c r="AR75" s="5"/>
      <c r="AS75" s="5">
        <v>0</v>
      </c>
      <c r="AT75" s="5"/>
      <c r="AU75" s="5"/>
      <c r="AV75" s="5"/>
      <c r="AW75" s="5"/>
      <c r="AX75" s="5"/>
      <c r="AY75" s="5"/>
      <c r="AZ75" s="5">
        <v>0</v>
      </c>
      <c r="BA75" s="5"/>
      <c r="BB75" s="5" t="s">
        <v>876</v>
      </c>
      <c r="BC75" s="5">
        <v>780</v>
      </c>
      <c r="BD75" s="6">
        <v>45715</v>
      </c>
      <c r="BE75" s="6">
        <v>46844</v>
      </c>
      <c r="BF75" s="6">
        <v>46996</v>
      </c>
      <c r="BG75" s="6">
        <v>47269</v>
      </c>
      <c r="BH75" s="5">
        <v>9</v>
      </c>
      <c r="BI75" s="6">
        <v>46996</v>
      </c>
      <c r="BJ75" s="6">
        <v>47177</v>
      </c>
      <c r="BK75" s="5">
        <v>5.9</v>
      </c>
      <c r="BL75" s="6">
        <v>46996</v>
      </c>
      <c r="BM75" s="6">
        <v>47361</v>
      </c>
      <c r="BN75" s="5">
        <v>12</v>
      </c>
      <c r="BO75" s="6">
        <v>47269</v>
      </c>
      <c r="BP75" s="6">
        <v>46996</v>
      </c>
      <c r="BQ75" s="5">
        <v>9</v>
      </c>
      <c r="BR75" s="6">
        <v>46996</v>
      </c>
      <c r="BS75" s="6">
        <v>47269</v>
      </c>
      <c r="BT75" s="5">
        <v>9</v>
      </c>
      <c r="BU75" s="5" t="s">
        <v>1184</v>
      </c>
      <c r="BV75" s="5" t="s">
        <v>1185</v>
      </c>
      <c r="BW75" s="5" t="s">
        <v>1186</v>
      </c>
      <c r="BX75" s="6">
        <v>46844</v>
      </c>
      <c r="BY75" s="6">
        <v>47270</v>
      </c>
      <c r="BZ75" s="5" t="s">
        <v>136</v>
      </c>
      <c r="CA75" s="5" t="s">
        <v>191</v>
      </c>
      <c r="CB75" s="5" t="s">
        <v>300</v>
      </c>
      <c r="CC75" s="5" t="s">
        <v>1187</v>
      </c>
      <c r="CD75" s="5"/>
      <c r="CE75" s="5"/>
      <c r="CF75" s="5"/>
      <c r="CG75" s="5"/>
      <c r="CH75" s="5"/>
      <c r="CI75" s="5"/>
      <c r="CJ75" s="5"/>
      <c r="CK75" s="5"/>
      <c r="CL75" s="5"/>
      <c r="CM75" s="5"/>
      <c r="CN75" s="5"/>
      <c r="CO75" s="5"/>
      <c r="CP75" s="5"/>
      <c r="CQ75" s="5"/>
      <c r="CR75" s="5"/>
      <c r="CS75" s="5"/>
      <c r="CT75" s="5"/>
      <c r="CU75" s="5"/>
      <c r="CV75" s="5"/>
      <c r="CW75" s="5"/>
      <c r="CX75" s="5"/>
      <c r="CY75" s="5"/>
      <c r="CZ75" s="5"/>
      <c r="DA75" s="5"/>
    </row>
    <row r="76" spans="1:105" ht="15" customHeight="1" x14ac:dyDescent="0.2">
      <c r="A76" s="3" t="s">
        <v>1188</v>
      </c>
      <c r="B76" s="3" t="s">
        <v>1189</v>
      </c>
      <c r="C76" s="3" t="s">
        <v>1189</v>
      </c>
      <c r="D76" s="3" t="s">
        <v>350</v>
      </c>
      <c r="E76" s="3" t="s">
        <v>350</v>
      </c>
      <c r="F76" s="3" t="s">
        <v>350</v>
      </c>
      <c r="G76" s="3" t="s">
        <v>110</v>
      </c>
      <c r="H76" s="3" t="s">
        <v>572</v>
      </c>
      <c r="I76" s="3" t="s">
        <v>181</v>
      </c>
      <c r="J76" s="3" t="s">
        <v>113</v>
      </c>
      <c r="K76" s="3" t="s">
        <v>114</v>
      </c>
      <c r="L76" s="3" t="s">
        <v>114</v>
      </c>
      <c r="M76" s="3" t="s">
        <v>114</v>
      </c>
      <c r="N76" s="3" t="s">
        <v>114</v>
      </c>
      <c r="O76" s="3" t="s">
        <v>114</v>
      </c>
      <c r="P76" s="3" t="s">
        <v>114</v>
      </c>
      <c r="Q76" s="3" t="s">
        <v>1190</v>
      </c>
      <c r="R76" s="3" t="s">
        <v>1191</v>
      </c>
      <c r="S76" s="3" t="s">
        <v>1192</v>
      </c>
      <c r="T76" s="3" t="s">
        <v>1193</v>
      </c>
      <c r="U76" s="3" t="s">
        <v>120</v>
      </c>
      <c r="V76" s="3" t="s">
        <v>119</v>
      </c>
      <c r="W76" s="3" t="s">
        <v>120</v>
      </c>
      <c r="X76" s="3" t="s">
        <v>388</v>
      </c>
      <c r="Y76" s="3" t="s">
        <v>960</v>
      </c>
      <c r="Z76" s="3" t="s">
        <v>119</v>
      </c>
      <c r="AA76" s="3"/>
      <c r="AB76" s="3" t="s">
        <v>122</v>
      </c>
      <c r="AC76" s="3" t="s">
        <v>217</v>
      </c>
      <c r="AD76" s="3" t="s">
        <v>736</v>
      </c>
      <c r="AE76" s="3" t="s">
        <v>1194</v>
      </c>
      <c r="AF76" s="3" t="s">
        <v>278</v>
      </c>
      <c r="AG76" s="3" t="s">
        <v>358</v>
      </c>
      <c r="AH76" s="3"/>
      <c r="AI76" s="3"/>
      <c r="AJ76" s="3"/>
      <c r="AK76" s="3"/>
      <c r="AL76" s="3"/>
      <c r="AM76" s="3">
        <v>0</v>
      </c>
      <c r="AN76" s="3"/>
      <c r="AO76" s="3"/>
      <c r="AP76" s="3"/>
      <c r="AQ76" s="3"/>
      <c r="AR76" s="3"/>
      <c r="AS76" s="3">
        <v>0</v>
      </c>
      <c r="AT76" s="3"/>
      <c r="AU76" s="3"/>
      <c r="AV76" s="3"/>
      <c r="AW76" s="3"/>
      <c r="AX76" s="3"/>
      <c r="AY76" s="3"/>
      <c r="AZ76" s="3">
        <v>0</v>
      </c>
      <c r="BA76" s="3"/>
      <c r="BB76" s="3" t="s">
        <v>876</v>
      </c>
      <c r="BC76" s="3">
        <v>675</v>
      </c>
      <c r="BD76" s="4">
        <v>45393</v>
      </c>
      <c r="BE76" s="4">
        <v>46844</v>
      </c>
      <c r="BF76" s="4">
        <v>46996</v>
      </c>
      <c r="BG76" s="4">
        <v>47361</v>
      </c>
      <c r="BH76" s="3">
        <v>12</v>
      </c>
      <c r="BI76" s="4">
        <v>46996</v>
      </c>
      <c r="BJ76" s="4">
        <v>47177</v>
      </c>
      <c r="BK76" s="3">
        <v>5.9</v>
      </c>
      <c r="BL76" s="4">
        <v>46996</v>
      </c>
      <c r="BM76" s="4">
        <v>47361</v>
      </c>
      <c r="BN76" s="3">
        <v>12</v>
      </c>
      <c r="BO76" s="4">
        <v>47269</v>
      </c>
      <c r="BP76" s="4">
        <v>46996</v>
      </c>
      <c r="BQ76" s="3">
        <v>9</v>
      </c>
      <c r="BR76" s="4">
        <v>46996</v>
      </c>
      <c r="BS76" s="4">
        <v>47361</v>
      </c>
      <c r="BT76" s="3">
        <v>12</v>
      </c>
      <c r="BU76" s="3" t="s">
        <v>1195</v>
      </c>
      <c r="BV76" s="3" t="s">
        <v>1196</v>
      </c>
      <c r="BW76" s="3" t="s">
        <v>1197</v>
      </c>
      <c r="BX76" s="4">
        <v>47480</v>
      </c>
      <c r="BY76" s="4">
        <v>47480</v>
      </c>
      <c r="BZ76" s="3" t="s">
        <v>136</v>
      </c>
      <c r="CA76" s="3" t="s">
        <v>1115</v>
      </c>
      <c r="CB76" s="3" t="s">
        <v>1198</v>
      </c>
      <c r="CC76" s="3" t="s">
        <v>585</v>
      </c>
      <c r="CD76" s="3" t="s">
        <v>1002</v>
      </c>
      <c r="CE76" s="3"/>
      <c r="CF76" s="3"/>
      <c r="CG76" s="3"/>
      <c r="CH76" s="3"/>
      <c r="CI76" s="3"/>
      <c r="CJ76" s="3"/>
      <c r="CK76" s="3"/>
      <c r="CL76" s="3"/>
      <c r="CM76" s="3"/>
      <c r="CN76" s="3"/>
      <c r="CO76" s="3"/>
      <c r="CP76" s="3"/>
      <c r="CQ76" s="3"/>
      <c r="CR76" s="3"/>
      <c r="CS76" s="3"/>
      <c r="CT76" s="3"/>
      <c r="CU76" s="3"/>
      <c r="CV76" s="3"/>
      <c r="CW76" s="3"/>
      <c r="CX76" s="3"/>
      <c r="CY76" s="3"/>
      <c r="CZ76" s="3"/>
      <c r="DA76" s="3"/>
    </row>
    <row r="77" spans="1:105" ht="15" customHeight="1" x14ac:dyDescent="0.2">
      <c r="A77" s="5" t="s">
        <v>278</v>
      </c>
      <c r="B77" s="5" t="s">
        <v>1199</v>
      </c>
      <c r="C77" s="5" t="s">
        <v>1199</v>
      </c>
      <c r="D77" s="5" t="s">
        <v>318</v>
      </c>
      <c r="E77" s="5" t="s">
        <v>318</v>
      </c>
      <c r="F77" s="5" t="s">
        <v>318</v>
      </c>
      <c r="G77" s="5" t="s">
        <v>110</v>
      </c>
      <c r="H77" s="5" t="s">
        <v>259</v>
      </c>
      <c r="I77" s="5" t="s">
        <v>181</v>
      </c>
      <c r="J77" s="5" t="s">
        <v>113</v>
      </c>
      <c r="K77" s="5" t="s">
        <v>114</v>
      </c>
      <c r="L77" s="5" t="s">
        <v>114</v>
      </c>
      <c r="M77" s="5" t="s">
        <v>114</v>
      </c>
      <c r="N77" s="5" t="s">
        <v>114</v>
      </c>
      <c r="O77" s="5" t="s">
        <v>114</v>
      </c>
      <c r="P77" s="5" t="s">
        <v>114</v>
      </c>
      <c r="Q77" s="5" t="s">
        <v>1200</v>
      </c>
      <c r="R77" s="5" t="s">
        <v>1201</v>
      </c>
      <c r="S77" s="5" t="s">
        <v>286</v>
      </c>
      <c r="T77" s="5" t="s">
        <v>886</v>
      </c>
      <c r="U77" s="5" t="s">
        <v>120</v>
      </c>
      <c r="V77" s="5" t="s">
        <v>120</v>
      </c>
      <c r="W77" s="5" t="s">
        <v>120</v>
      </c>
      <c r="X77" s="5"/>
      <c r="Y77" s="5" t="s">
        <v>1202</v>
      </c>
      <c r="Z77" s="5" t="s">
        <v>119</v>
      </c>
      <c r="AA77" s="5"/>
      <c r="AB77" s="5" t="s">
        <v>122</v>
      </c>
      <c r="AC77" s="5" t="s">
        <v>217</v>
      </c>
      <c r="AD77" s="5" t="s">
        <v>124</v>
      </c>
      <c r="AE77" s="5">
        <v>20210033</v>
      </c>
      <c r="AF77" s="5" t="s">
        <v>279</v>
      </c>
      <c r="AG77" s="5" t="s">
        <v>33</v>
      </c>
      <c r="AH77" s="5"/>
      <c r="AI77" s="5"/>
      <c r="AJ77" s="5"/>
      <c r="AK77" s="5"/>
      <c r="AL77" s="5"/>
      <c r="AM77" s="5">
        <v>0</v>
      </c>
      <c r="AN77" s="5"/>
      <c r="AO77" s="5"/>
      <c r="AP77" s="5"/>
      <c r="AQ77" s="5"/>
      <c r="AR77" s="5"/>
      <c r="AS77" s="5">
        <v>0</v>
      </c>
      <c r="AT77" s="5"/>
      <c r="AU77" s="5"/>
      <c r="AV77" s="5"/>
      <c r="AW77" s="5"/>
      <c r="AX77" s="5"/>
      <c r="AY77" s="5"/>
      <c r="AZ77" s="5">
        <v>0</v>
      </c>
      <c r="BA77" s="5"/>
      <c r="BB77" s="5" t="s">
        <v>522</v>
      </c>
      <c r="BC77" s="5">
        <v>315</v>
      </c>
      <c r="BD77" s="6">
        <v>45544</v>
      </c>
      <c r="BE77" s="6">
        <v>46784</v>
      </c>
      <c r="BF77" s="6">
        <v>46934</v>
      </c>
      <c r="BG77" s="6">
        <v>47299</v>
      </c>
      <c r="BH77" s="5">
        <v>12</v>
      </c>
      <c r="BI77" s="6">
        <v>46934</v>
      </c>
      <c r="BJ77" s="6">
        <v>47299</v>
      </c>
      <c r="BK77" s="5">
        <v>12</v>
      </c>
      <c r="BL77" s="5"/>
      <c r="BM77" s="5"/>
      <c r="BN77" s="5"/>
      <c r="BO77" s="6">
        <v>47208</v>
      </c>
      <c r="BP77" s="6">
        <v>46934</v>
      </c>
      <c r="BQ77" s="5">
        <v>9</v>
      </c>
      <c r="BR77" s="6">
        <v>46934</v>
      </c>
      <c r="BS77" s="6">
        <v>47299</v>
      </c>
      <c r="BT77" s="5">
        <v>12</v>
      </c>
      <c r="BU77" s="5" t="s">
        <v>1203</v>
      </c>
      <c r="BV77" s="5" t="s">
        <v>1204</v>
      </c>
      <c r="BW77" s="5" t="s">
        <v>1205</v>
      </c>
      <c r="BX77" s="6">
        <v>46797</v>
      </c>
      <c r="BY77" s="6">
        <v>46902</v>
      </c>
      <c r="BZ77" s="5" t="s">
        <v>136</v>
      </c>
      <c r="CA77" s="5" t="s">
        <v>492</v>
      </c>
      <c r="CB77" s="5"/>
      <c r="CC77" s="5" t="s">
        <v>585</v>
      </c>
      <c r="CD77" s="5"/>
      <c r="CE77" s="5"/>
      <c r="CF77" s="5"/>
      <c r="CG77" s="5"/>
      <c r="CH77" s="5"/>
      <c r="CI77" s="5"/>
      <c r="CJ77" s="5"/>
      <c r="CK77" s="5"/>
      <c r="CL77" s="5"/>
      <c r="CM77" s="5"/>
      <c r="CN77" s="5"/>
      <c r="CO77" s="5"/>
      <c r="CP77" s="5"/>
      <c r="CQ77" s="5"/>
      <c r="CR77" s="5"/>
      <c r="CS77" s="5"/>
      <c r="CT77" s="5"/>
      <c r="CU77" s="5"/>
      <c r="CV77" s="5"/>
      <c r="CW77" s="5"/>
      <c r="CX77" s="5"/>
      <c r="CY77" s="5"/>
      <c r="CZ77" s="5"/>
      <c r="DA77" s="5"/>
    </row>
    <row r="78" spans="1:105" ht="15" customHeight="1" x14ac:dyDescent="0.2">
      <c r="A78" s="3" t="s">
        <v>1091</v>
      </c>
      <c r="B78" s="3" t="s">
        <v>1092</v>
      </c>
      <c r="C78" s="3" t="s">
        <v>1092</v>
      </c>
      <c r="D78" s="3" t="s">
        <v>1041</v>
      </c>
      <c r="E78" s="3" t="s">
        <v>1093</v>
      </c>
      <c r="F78" s="3" t="s">
        <v>350</v>
      </c>
      <c r="G78" s="3" t="s">
        <v>110</v>
      </c>
      <c r="H78" s="3" t="s">
        <v>351</v>
      </c>
      <c r="I78" s="3"/>
      <c r="J78" s="3" t="s">
        <v>113</v>
      </c>
      <c r="K78" s="3" t="s">
        <v>114</v>
      </c>
      <c r="L78" s="3" t="s">
        <v>114</v>
      </c>
      <c r="M78" s="3" t="s">
        <v>114</v>
      </c>
      <c r="N78" s="3" t="s">
        <v>114</v>
      </c>
      <c r="O78" s="3" t="s">
        <v>114</v>
      </c>
      <c r="P78" s="3" t="s">
        <v>114</v>
      </c>
      <c r="Q78" s="3" t="s">
        <v>1206</v>
      </c>
      <c r="R78" s="3" t="s">
        <v>1207</v>
      </c>
      <c r="S78" s="3" t="s">
        <v>1096</v>
      </c>
      <c r="T78" s="3" t="s">
        <v>1208</v>
      </c>
      <c r="U78" s="3" t="s">
        <v>120</v>
      </c>
      <c r="V78" s="3" t="s">
        <v>119</v>
      </c>
      <c r="W78" s="3" t="s">
        <v>120</v>
      </c>
      <c r="X78" s="3" t="s">
        <v>694</v>
      </c>
      <c r="Y78" s="3" t="s">
        <v>348</v>
      </c>
      <c r="Z78" s="3" t="s">
        <v>119</v>
      </c>
      <c r="AA78" s="3"/>
      <c r="AB78" s="3" t="s">
        <v>122</v>
      </c>
      <c r="AC78" s="3" t="s">
        <v>217</v>
      </c>
      <c r="AD78" s="3" t="s">
        <v>124</v>
      </c>
      <c r="AE78" s="3" t="s">
        <v>1209</v>
      </c>
      <c r="AF78" s="3" t="s">
        <v>938</v>
      </c>
      <c r="AG78" s="3" t="s">
        <v>166</v>
      </c>
      <c r="AH78" s="3"/>
      <c r="AI78" s="3"/>
      <c r="AJ78" s="3"/>
      <c r="AK78" s="3"/>
      <c r="AL78" s="3"/>
      <c r="AM78" s="3">
        <v>0</v>
      </c>
      <c r="AN78" s="3"/>
      <c r="AO78" s="3"/>
      <c r="AP78" s="3"/>
      <c r="AQ78" s="3"/>
      <c r="AR78" s="3"/>
      <c r="AS78" s="3">
        <v>0</v>
      </c>
      <c r="AT78" s="3"/>
      <c r="AU78" s="3"/>
      <c r="AV78" s="3"/>
      <c r="AW78" s="3"/>
      <c r="AX78" s="3"/>
      <c r="AY78" s="3"/>
      <c r="AZ78" s="3">
        <v>0</v>
      </c>
      <c r="BA78" s="3"/>
      <c r="BB78" s="3" t="s">
        <v>876</v>
      </c>
      <c r="BC78" s="3">
        <v>860</v>
      </c>
      <c r="BD78" s="4">
        <v>44610</v>
      </c>
      <c r="BE78" s="4">
        <v>46905</v>
      </c>
      <c r="BF78" s="4">
        <v>47057</v>
      </c>
      <c r="BG78" s="4">
        <v>47330</v>
      </c>
      <c r="BH78" s="3">
        <v>9</v>
      </c>
      <c r="BI78" s="4">
        <v>47057</v>
      </c>
      <c r="BJ78" s="4">
        <v>47238</v>
      </c>
      <c r="BK78" s="3">
        <v>5.9</v>
      </c>
      <c r="BL78" s="4">
        <v>47057</v>
      </c>
      <c r="BM78" s="4">
        <v>47422</v>
      </c>
      <c r="BN78" s="3">
        <v>12</v>
      </c>
      <c r="BO78" s="4">
        <v>47330</v>
      </c>
      <c r="BP78" s="4">
        <v>47057</v>
      </c>
      <c r="BQ78" s="3">
        <v>9</v>
      </c>
      <c r="BR78" s="4">
        <v>47057</v>
      </c>
      <c r="BS78" s="4">
        <v>47330</v>
      </c>
      <c r="BT78" s="3">
        <v>9</v>
      </c>
      <c r="BU78" s="3" t="s">
        <v>1210</v>
      </c>
      <c r="BV78" s="3" t="s">
        <v>1211</v>
      </c>
      <c r="BW78" s="3" t="s">
        <v>1212</v>
      </c>
      <c r="BX78" s="4">
        <v>46946</v>
      </c>
      <c r="BY78" s="4">
        <v>47757</v>
      </c>
      <c r="BZ78" s="3" t="s">
        <v>136</v>
      </c>
      <c r="CA78" s="3" t="s">
        <v>191</v>
      </c>
      <c r="CB78" s="3" t="s">
        <v>685</v>
      </c>
      <c r="CC78" s="3" t="s">
        <v>329</v>
      </c>
      <c r="CD78" s="3" t="s">
        <v>881</v>
      </c>
      <c r="CE78" s="3"/>
      <c r="CF78" s="3"/>
      <c r="CG78" s="3"/>
      <c r="CH78" s="3"/>
      <c r="CI78" s="3"/>
      <c r="CJ78" s="3"/>
      <c r="CK78" s="3"/>
      <c r="CL78" s="3"/>
      <c r="CM78" s="3"/>
      <c r="CN78" s="3"/>
      <c r="CO78" s="3"/>
      <c r="CP78" s="3"/>
      <c r="CQ78" s="3"/>
      <c r="CR78" s="3"/>
      <c r="CS78" s="3"/>
      <c r="CT78" s="3"/>
      <c r="CU78" s="3"/>
      <c r="CV78" s="3"/>
      <c r="CW78" s="3"/>
      <c r="CX78" s="3"/>
      <c r="CY78" s="3"/>
      <c r="CZ78" s="3"/>
      <c r="DA78" s="3"/>
    </row>
    <row r="79" spans="1:105" ht="15" customHeight="1" x14ac:dyDescent="0.2">
      <c r="A79" s="5" t="s">
        <v>1213</v>
      </c>
      <c r="B79" s="5" t="s">
        <v>1214</v>
      </c>
      <c r="C79" s="5" t="s">
        <v>1215</v>
      </c>
      <c r="D79" s="5" t="s">
        <v>1216</v>
      </c>
      <c r="E79" s="5" t="s">
        <v>1216</v>
      </c>
      <c r="F79" s="5" t="s">
        <v>1216</v>
      </c>
      <c r="G79" s="5" t="s">
        <v>110</v>
      </c>
      <c r="H79" s="5" t="s">
        <v>259</v>
      </c>
      <c r="I79" s="5" t="s">
        <v>283</v>
      </c>
      <c r="J79" s="5" t="s">
        <v>113</v>
      </c>
      <c r="K79" s="5" t="s">
        <v>114</v>
      </c>
      <c r="L79" s="5" t="s">
        <v>114</v>
      </c>
      <c r="M79" s="5" t="s">
        <v>114</v>
      </c>
      <c r="N79" s="5" t="s">
        <v>114</v>
      </c>
      <c r="O79" s="5" t="s">
        <v>114</v>
      </c>
      <c r="P79" s="5" t="s">
        <v>114</v>
      </c>
      <c r="Q79" s="5" t="s">
        <v>1217</v>
      </c>
      <c r="R79" s="5" t="s">
        <v>1218</v>
      </c>
      <c r="S79" s="5" t="s">
        <v>1219</v>
      </c>
      <c r="T79" s="5" t="s">
        <v>1220</v>
      </c>
      <c r="U79" s="5" t="s">
        <v>120</v>
      </c>
      <c r="V79" s="5" t="s">
        <v>119</v>
      </c>
      <c r="W79" s="5" t="s">
        <v>120</v>
      </c>
      <c r="X79" s="5" t="s">
        <v>388</v>
      </c>
      <c r="Y79" s="5" t="s">
        <v>278</v>
      </c>
      <c r="Z79" s="5" t="s">
        <v>119</v>
      </c>
      <c r="AA79" s="5"/>
      <c r="AB79" s="5" t="s">
        <v>122</v>
      </c>
      <c r="AC79" s="5" t="s">
        <v>217</v>
      </c>
      <c r="AD79" s="5" t="s">
        <v>127</v>
      </c>
      <c r="AE79" s="5" t="s">
        <v>1221</v>
      </c>
      <c r="AF79" s="5" t="s">
        <v>1222</v>
      </c>
      <c r="AG79" s="5" t="s">
        <v>358</v>
      </c>
      <c r="AH79" s="5"/>
      <c r="AI79" s="5"/>
      <c r="AJ79" s="5"/>
      <c r="AK79" s="5"/>
      <c r="AL79" s="5"/>
      <c r="AM79" s="5">
        <v>0</v>
      </c>
      <c r="AN79" s="5"/>
      <c r="AO79" s="5"/>
      <c r="AP79" s="5"/>
      <c r="AQ79" s="5"/>
      <c r="AR79" s="5"/>
      <c r="AS79" s="5">
        <v>0</v>
      </c>
      <c r="AT79" s="5"/>
      <c r="AU79" s="5"/>
      <c r="AV79" s="5"/>
      <c r="AW79" s="5"/>
      <c r="AX79" s="5"/>
      <c r="AY79" s="5"/>
      <c r="AZ79" s="5">
        <v>0</v>
      </c>
      <c r="BA79" s="5"/>
      <c r="BB79" s="5" t="s">
        <v>876</v>
      </c>
      <c r="BC79" s="5">
        <v>734</v>
      </c>
      <c r="BD79" s="6">
        <v>45504</v>
      </c>
      <c r="BE79" s="6">
        <v>47027</v>
      </c>
      <c r="BF79" s="6">
        <v>47177</v>
      </c>
      <c r="BG79" s="6">
        <v>47452</v>
      </c>
      <c r="BH79" s="5">
        <v>9</v>
      </c>
      <c r="BI79" s="6">
        <v>47177</v>
      </c>
      <c r="BJ79" s="6">
        <v>47361</v>
      </c>
      <c r="BK79" s="5">
        <v>6</v>
      </c>
      <c r="BL79" s="5"/>
      <c r="BM79" s="5"/>
      <c r="BN79" s="5"/>
      <c r="BO79" s="5"/>
      <c r="BP79" s="5"/>
      <c r="BQ79" s="5"/>
      <c r="BR79" s="6">
        <v>47177</v>
      </c>
      <c r="BS79" s="6">
        <v>47452</v>
      </c>
      <c r="BT79" s="5">
        <v>9</v>
      </c>
      <c r="BU79" s="5" t="s">
        <v>1223</v>
      </c>
      <c r="BV79" s="5" t="s">
        <v>1224</v>
      </c>
      <c r="BW79" s="5" t="s">
        <v>1225</v>
      </c>
      <c r="BX79" s="6">
        <v>47027</v>
      </c>
      <c r="BY79" s="6">
        <v>47027</v>
      </c>
      <c r="BZ79" s="5" t="s">
        <v>136</v>
      </c>
      <c r="CA79" s="5" t="s">
        <v>137</v>
      </c>
      <c r="CB79" s="5"/>
      <c r="CC79" s="5" t="s">
        <v>1226</v>
      </c>
      <c r="CD79" s="5" t="s">
        <v>881</v>
      </c>
      <c r="CE79" s="5"/>
      <c r="CF79" s="5"/>
      <c r="CG79" s="5"/>
      <c r="CH79" s="5"/>
      <c r="CI79" s="5"/>
      <c r="CJ79" s="5"/>
      <c r="CK79" s="5"/>
      <c r="CL79" s="5"/>
      <c r="CM79" s="5"/>
      <c r="CN79" s="5"/>
      <c r="CO79" s="5"/>
      <c r="CP79" s="5"/>
      <c r="CQ79" s="5"/>
      <c r="CR79" s="5"/>
      <c r="CS79" s="5"/>
      <c r="CT79" s="5"/>
      <c r="CU79" s="5"/>
      <c r="CV79" s="5"/>
      <c r="CW79" s="5"/>
      <c r="CX79" s="5"/>
      <c r="CY79" s="5"/>
      <c r="CZ79" s="5"/>
      <c r="DA79" s="5"/>
    </row>
    <row r="80" spans="1:105" ht="15" customHeight="1" x14ac:dyDescent="0.2">
      <c r="A80" s="3" t="s">
        <v>1227</v>
      </c>
      <c r="B80" s="3" t="s">
        <v>1228</v>
      </c>
      <c r="C80" s="3" t="s">
        <v>1229</v>
      </c>
      <c r="D80" s="3" t="s">
        <v>107</v>
      </c>
      <c r="E80" s="3" t="s">
        <v>108</v>
      </c>
      <c r="F80" s="3" t="s">
        <v>332</v>
      </c>
      <c r="G80" s="3" t="s">
        <v>110</v>
      </c>
      <c r="H80" s="3" t="s">
        <v>259</v>
      </c>
      <c r="I80" s="3" t="s">
        <v>665</v>
      </c>
      <c r="J80" s="3" t="s">
        <v>113</v>
      </c>
      <c r="K80" s="3" t="s">
        <v>114</v>
      </c>
      <c r="L80" s="3" t="s">
        <v>114</v>
      </c>
      <c r="M80" s="3" t="s">
        <v>114</v>
      </c>
      <c r="N80" s="3" t="s">
        <v>114</v>
      </c>
      <c r="O80" s="3" t="s">
        <v>114</v>
      </c>
      <c r="P80" s="3" t="s">
        <v>114</v>
      </c>
      <c r="Q80" s="3" t="s">
        <v>1230</v>
      </c>
      <c r="R80" s="3" t="s">
        <v>1231</v>
      </c>
      <c r="S80" s="3" t="s">
        <v>898</v>
      </c>
      <c r="T80" s="3" t="s">
        <v>1137</v>
      </c>
      <c r="U80" s="3" t="s">
        <v>120</v>
      </c>
      <c r="V80" s="3" t="s">
        <v>119</v>
      </c>
      <c r="W80" s="3" t="s">
        <v>120</v>
      </c>
      <c r="X80" s="3" t="s">
        <v>388</v>
      </c>
      <c r="Y80" s="3" t="s">
        <v>278</v>
      </c>
      <c r="Z80" s="3" t="s">
        <v>119</v>
      </c>
      <c r="AA80" s="3"/>
      <c r="AB80" s="3" t="s">
        <v>122</v>
      </c>
      <c r="AC80" s="3" t="s">
        <v>217</v>
      </c>
      <c r="AD80" s="3" t="s">
        <v>145</v>
      </c>
      <c r="AE80" s="3" t="s">
        <v>1232</v>
      </c>
      <c r="AF80" s="3" t="s">
        <v>1233</v>
      </c>
      <c r="AG80" s="3" t="s">
        <v>358</v>
      </c>
      <c r="AH80" s="3"/>
      <c r="AI80" s="3"/>
      <c r="AJ80" s="3"/>
      <c r="AK80" s="3"/>
      <c r="AL80" s="3"/>
      <c r="AM80" s="3">
        <v>0</v>
      </c>
      <c r="AN80" s="3"/>
      <c r="AO80" s="3"/>
      <c r="AP80" s="3"/>
      <c r="AQ80" s="3"/>
      <c r="AR80" s="3"/>
      <c r="AS80" s="3">
        <v>0</v>
      </c>
      <c r="AT80" s="3"/>
      <c r="AU80" s="3"/>
      <c r="AV80" s="3"/>
      <c r="AW80" s="3"/>
      <c r="AX80" s="3"/>
      <c r="AY80" s="3"/>
      <c r="AZ80" s="3">
        <v>0</v>
      </c>
      <c r="BA80" s="3"/>
      <c r="BB80" s="3" t="s">
        <v>876</v>
      </c>
      <c r="BC80" s="3">
        <v>600</v>
      </c>
      <c r="BD80" s="4">
        <v>45954</v>
      </c>
      <c r="BE80" s="4">
        <v>47058</v>
      </c>
      <c r="BF80" s="4">
        <v>47208</v>
      </c>
      <c r="BG80" s="4">
        <v>47483</v>
      </c>
      <c r="BH80" s="3">
        <v>9</v>
      </c>
      <c r="BI80" s="4">
        <v>47208</v>
      </c>
      <c r="BJ80" s="4">
        <v>47391</v>
      </c>
      <c r="BK80" s="3">
        <v>6</v>
      </c>
      <c r="BL80" s="4">
        <v>47208</v>
      </c>
      <c r="BM80" s="4">
        <v>47573</v>
      </c>
      <c r="BN80" s="3">
        <v>12</v>
      </c>
      <c r="BO80" s="4">
        <v>47483</v>
      </c>
      <c r="BP80" s="4">
        <v>47208</v>
      </c>
      <c r="BQ80" s="3">
        <v>9</v>
      </c>
      <c r="BR80" s="4">
        <v>47208</v>
      </c>
      <c r="BS80" s="4">
        <v>47483</v>
      </c>
      <c r="BT80" s="3">
        <v>9</v>
      </c>
      <c r="BU80" s="3" t="s">
        <v>1234</v>
      </c>
      <c r="BV80" s="3" t="s">
        <v>1235</v>
      </c>
      <c r="BW80" s="3" t="s">
        <v>1236</v>
      </c>
      <c r="BX80" s="4">
        <v>47087</v>
      </c>
      <c r="BY80" s="4">
        <v>47787</v>
      </c>
      <c r="BZ80" s="3" t="s">
        <v>136</v>
      </c>
      <c r="CA80" s="3" t="s">
        <v>137</v>
      </c>
      <c r="CB80" s="3" t="s">
        <v>905</v>
      </c>
      <c r="CC80" s="3" t="s">
        <v>1237</v>
      </c>
      <c r="CD80" s="3" t="s">
        <v>881</v>
      </c>
      <c r="CE80" s="3"/>
      <c r="CF80" s="3"/>
      <c r="CG80" s="3"/>
      <c r="CH80" s="3"/>
      <c r="CI80" s="3"/>
      <c r="CJ80" s="3"/>
      <c r="CK80" s="3"/>
      <c r="CL80" s="3"/>
      <c r="CM80" s="3"/>
      <c r="CN80" s="3"/>
      <c r="CO80" s="3"/>
      <c r="CP80" s="3"/>
      <c r="CQ80" s="3"/>
      <c r="CR80" s="3"/>
      <c r="CS80" s="3"/>
      <c r="CT80" s="3"/>
      <c r="CU80" s="3"/>
      <c r="CV80" s="3"/>
      <c r="CW80" s="3"/>
      <c r="CX80" s="3"/>
      <c r="CY80" s="3"/>
      <c r="CZ80" s="3"/>
      <c r="DA80" s="3"/>
    </row>
    <row r="81" spans="1:105" ht="15" customHeight="1" x14ac:dyDescent="0.2">
      <c r="A81" s="5" t="s">
        <v>983</v>
      </c>
      <c r="B81" s="5" t="s">
        <v>984</v>
      </c>
      <c r="C81" s="5" t="s">
        <v>984</v>
      </c>
      <c r="D81" s="5" t="s">
        <v>985</v>
      </c>
      <c r="E81" s="5" t="s">
        <v>985</v>
      </c>
      <c r="F81" s="5"/>
      <c r="G81" s="5" t="s">
        <v>110</v>
      </c>
      <c r="H81" s="5"/>
      <c r="I81" s="5"/>
      <c r="J81" s="5" t="s">
        <v>113</v>
      </c>
      <c r="K81" s="5" t="s">
        <v>114</v>
      </c>
      <c r="L81" s="5" t="s">
        <v>114</v>
      </c>
      <c r="M81" s="5" t="s">
        <v>114</v>
      </c>
      <c r="N81" s="5" t="s">
        <v>114</v>
      </c>
      <c r="O81" s="5" t="s">
        <v>114</v>
      </c>
      <c r="P81" s="5"/>
      <c r="Q81" s="5" t="s">
        <v>1238</v>
      </c>
      <c r="R81" s="5"/>
      <c r="S81" s="5" t="s">
        <v>987</v>
      </c>
      <c r="T81" s="5" t="s">
        <v>988</v>
      </c>
      <c r="U81" s="5" t="s">
        <v>120</v>
      </c>
      <c r="V81" s="5" t="s">
        <v>119</v>
      </c>
      <c r="W81" s="5" t="s">
        <v>120</v>
      </c>
      <c r="X81" s="5" t="s">
        <v>694</v>
      </c>
      <c r="Y81" s="5" t="s">
        <v>1239</v>
      </c>
      <c r="Z81" s="5" t="s">
        <v>119</v>
      </c>
      <c r="AA81" s="5"/>
      <c r="AB81" s="5" t="s">
        <v>122</v>
      </c>
      <c r="AC81" s="5" t="s">
        <v>217</v>
      </c>
      <c r="AD81" s="5" t="s">
        <v>989</v>
      </c>
      <c r="AE81" s="5" t="s">
        <v>1240</v>
      </c>
      <c r="AF81" s="5" t="s">
        <v>1241</v>
      </c>
      <c r="AG81" s="5" t="s">
        <v>127</v>
      </c>
      <c r="AH81" s="5"/>
      <c r="AI81" s="5"/>
      <c r="AJ81" s="5"/>
      <c r="AK81" s="5"/>
      <c r="AL81" s="5"/>
      <c r="AM81" s="5">
        <v>0</v>
      </c>
      <c r="AN81" s="5"/>
      <c r="AO81" s="5"/>
      <c r="AP81" s="5"/>
      <c r="AQ81" s="5"/>
      <c r="AR81" s="5"/>
      <c r="AS81" s="5">
        <v>0</v>
      </c>
      <c r="AT81" s="5"/>
      <c r="AU81" s="5"/>
      <c r="AV81" s="5"/>
      <c r="AW81" s="5"/>
      <c r="AX81" s="5"/>
      <c r="AY81" s="5"/>
      <c r="AZ81" s="5">
        <v>0</v>
      </c>
      <c r="BA81" s="5"/>
      <c r="BB81" s="5"/>
      <c r="BC81" s="5"/>
      <c r="BD81" s="5"/>
      <c r="BE81" s="6">
        <v>47149</v>
      </c>
      <c r="BF81" s="6">
        <v>47269</v>
      </c>
      <c r="BG81" s="6">
        <v>47542</v>
      </c>
      <c r="BH81" s="5">
        <v>9</v>
      </c>
      <c r="BI81" s="6">
        <v>47269</v>
      </c>
      <c r="BJ81" s="6">
        <v>47452</v>
      </c>
      <c r="BK81" s="5">
        <v>6</v>
      </c>
      <c r="BL81" s="5"/>
      <c r="BM81" s="5"/>
      <c r="BN81" s="5"/>
      <c r="BO81" s="5"/>
      <c r="BP81" s="5"/>
      <c r="BQ81" s="5"/>
      <c r="BR81" s="6">
        <v>47269</v>
      </c>
      <c r="BS81" s="6">
        <v>47542</v>
      </c>
      <c r="BT81" s="5">
        <v>9</v>
      </c>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row>
    <row r="82" spans="1:105" ht="15" customHeight="1" x14ac:dyDescent="0.2">
      <c r="A82" s="3" t="s">
        <v>1242</v>
      </c>
      <c r="B82" s="3" t="s">
        <v>1243</v>
      </c>
      <c r="C82" s="3" t="s">
        <v>1243</v>
      </c>
      <c r="D82" s="3" t="s">
        <v>1244</v>
      </c>
      <c r="E82" s="3" t="s">
        <v>1244</v>
      </c>
      <c r="F82" s="3"/>
      <c r="G82" s="3" t="s">
        <v>110</v>
      </c>
      <c r="H82" s="3"/>
      <c r="I82" s="3"/>
      <c r="J82" s="3" t="s">
        <v>113</v>
      </c>
      <c r="K82" s="3" t="s">
        <v>114</v>
      </c>
      <c r="L82" s="3" t="s">
        <v>114</v>
      </c>
      <c r="M82" s="3" t="s">
        <v>114</v>
      </c>
      <c r="N82" s="3" t="s">
        <v>114</v>
      </c>
      <c r="O82" s="3" t="s">
        <v>114</v>
      </c>
      <c r="P82" s="3"/>
      <c r="Q82" s="3" t="s">
        <v>1245</v>
      </c>
      <c r="R82" s="3"/>
      <c r="S82" s="3" t="s">
        <v>1246</v>
      </c>
      <c r="T82" s="3" t="s">
        <v>355</v>
      </c>
      <c r="U82" s="3" t="s">
        <v>120</v>
      </c>
      <c r="V82" s="3" t="s">
        <v>119</v>
      </c>
      <c r="W82" s="3" t="s">
        <v>120</v>
      </c>
      <c r="X82" s="3"/>
      <c r="Y82" s="3"/>
      <c r="Z82" s="3" t="s">
        <v>119</v>
      </c>
      <c r="AA82" s="3"/>
      <c r="AB82" s="3" t="s">
        <v>122</v>
      </c>
      <c r="AC82" s="3" t="s">
        <v>217</v>
      </c>
      <c r="AD82" s="3" t="s">
        <v>838</v>
      </c>
      <c r="AE82" s="3"/>
      <c r="AF82" s="3"/>
      <c r="AG82" s="3" t="s">
        <v>127</v>
      </c>
      <c r="AH82" s="3"/>
      <c r="AI82" s="3"/>
      <c r="AJ82" s="3"/>
      <c r="AK82" s="3"/>
      <c r="AL82" s="3"/>
      <c r="AM82" s="3">
        <v>0</v>
      </c>
      <c r="AN82" s="3"/>
      <c r="AO82" s="3"/>
      <c r="AP82" s="3"/>
      <c r="AQ82" s="3"/>
      <c r="AR82" s="3"/>
      <c r="AS82" s="3">
        <v>0</v>
      </c>
      <c r="AT82" s="3"/>
      <c r="AU82" s="3"/>
      <c r="AV82" s="3"/>
      <c r="AW82" s="3"/>
      <c r="AX82" s="3"/>
      <c r="AY82" s="3"/>
      <c r="AZ82" s="3">
        <v>0</v>
      </c>
      <c r="BA82" s="3"/>
      <c r="BB82" s="3"/>
      <c r="BC82" s="3"/>
      <c r="BD82" s="3"/>
      <c r="BE82" s="4">
        <v>47119</v>
      </c>
      <c r="BF82" s="4">
        <v>47269</v>
      </c>
      <c r="BG82" s="4">
        <v>47542</v>
      </c>
      <c r="BH82" s="3">
        <v>9</v>
      </c>
      <c r="BI82" s="4">
        <v>47269</v>
      </c>
      <c r="BJ82" s="4">
        <v>47452</v>
      </c>
      <c r="BK82" s="3">
        <v>6</v>
      </c>
      <c r="BL82" s="4">
        <v>47269</v>
      </c>
      <c r="BM82" s="4">
        <v>47634</v>
      </c>
      <c r="BN82" s="3">
        <v>12</v>
      </c>
      <c r="BO82" s="4">
        <v>47542</v>
      </c>
      <c r="BP82" s="4">
        <v>47269</v>
      </c>
      <c r="BQ82" s="3">
        <v>9</v>
      </c>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row>
    <row r="83" spans="1:105" ht="15" customHeight="1" x14ac:dyDescent="0.2">
      <c r="A83" s="5" t="s">
        <v>1142</v>
      </c>
      <c r="B83" s="5" t="s">
        <v>1143</v>
      </c>
      <c r="C83" s="5" t="s">
        <v>1144</v>
      </c>
      <c r="D83" s="5" t="s">
        <v>280</v>
      </c>
      <c r="E83" s="5" t="s">
        <v>281</v>
      </c>
      <c r="F83" s="5" t="s">
        <v>282</v>
      </c>
      <c r="G83" s="5" t="s">
        <v>110</v>
      </c>
      <c r="H83" s="5" t="s">
        <v>259</v>
      </c>
      <c r="I83" s="5" t="s">
        <v>260</v>
      </c>
      <c r="J83" s="5" t="s">
        <v>113</v>
      </c>
      <c r="K83" s="5" t="s">
        <v>114</v>
      </c>
      <c r="L83" s="5" t="s">
        <v>114</v>
      </c>
      <c r="M83" s="5" t="s">
        <v>114</v>
      </c>
      <c r="N83" s="5" t="s">
        <v>114</v>
      </c>
      <c r="O83" s="5" t="s">
        <v>114</v>
      </c>
      <c r="P83" s="5" t="s">
        <v>114</v>
      </c>
      <c r="Q83" s="5" t="s">
        <v>1247</v>
      </c>
      <c r="R83" s="5" t="s">
        <v>1248</v>
      </c>
      <c r="S83" s="5" t="s">
        <v>965</v>
      </c>
      <c r="T83" s="5" t="s">
        <v>996</v>
      </c>
      <c r="U83" s="5" t="s">
        <v>120</v>
      </c>
      <c r="V83" s="5" t="s">
        <v>119</v>
      </c>
      <c r="W83" s="5" t="s">
        <v>120</v>
      </c>
      <c r="X83" s="5" t="s">
        <v>388</v>
      </c>
      <c r="Y83" s="5" t="s">
        <v>278</v>
      </c>
      <c r="Z83" s="5" t="s">
        <v>119</v>
      </c>
      <c r="AA83" s="5"/>
      <c r="AB83" s="5" t="s">
        <v>122</v>
      </c>
      <c r="AC83" s="5" t="s">
        <v>217</v>
      </c>
      <c r="AD83" s="5" t="s">
        <v>838</v>
      </c>
      <c r="AE83" s="5" t="s">
        <v>1249</v>
      </c>
      <c r="AF83" s="5" t="s">
        <v>1250</v>
      </c>
      <c r="AG83" s="5" t="s">
        <v>148</v>
      </c>
      <c r="AH83" s="5"/>
      <c r="AI83" s="5"/>
      <c r="AJ83" s="5"/>
      <c r="AK83" s="5"/>
      <c r="AL83" s="5"/>
      <c r="AM83" s="5">
        <v>0</v>
      </c>
      <c r="AN83" s="5"/>
      <c r="AO83" s="5"/>
      <c r="AP83" s="5"/>
      <c r="AQ83" s="5"/>
      <c r="AR83" s="5"/>
      <c r="AS83" s="5">
        <v>0</v>
      </c>
      <c r="AT83" s="5"/>
      <c r="AU83" s="5"/>
      <c r="AV83" s="5"/>
      <c r="AW83" s="5"/>
      <c r="AX83" s="5"/>
      <c r="AY83" s="5"/>
      <c r="AZ83" s="5">
        <v>0</v>
      </c>
      <c r="BA83" s="5"/>
      <c r="BB83" s="5" t="s">
        <v>876</v>
      </c>
      <c r="BC83" s="5">
        <v>851</v>
      </c>
      <c r="BD83" s="6">
        <v>45453</v>
      </c>
      <c r="BE83" s="6">
        <v>47119</v>
      </c>
      <c r="BF83" s="6">
        <v>47269</v>
      </c>
      <c r="BG83" s="6">
        <v>47542</v>
      </c>
      <c r="BH83" s="5">
        <v>9</v>
      </c>
      <c r="BI83" s="6">
        <v>47269</v>
      </c>
      <c r="BJ83" s="6">
        <v>47452</v>
      </c>
      <c r="BK83" s="5">
        <v>6</v>
      </c>
      <c r="BL83" s="6">
        <v>47269</v>
      </c>
      <c r="BM83" s="6">
        <v>47634</v>
      </c>
      <c r="BN83" s="5">
        <v>12</v>
      </c>
      <c r="BO83" s="6">
        <v>47542</v>
      </c>
      <c r="BP83" s="6">
        <v>47269</v>
      </c>
      <c r="BQ83" s="5">
        <v>9</v>
      </c>
      <c r="BR83" s="6">
        <v>47269</v>
      </c>
      <c r="BS83" s="6">
        <v>47542</v>
      </c>
      <c r="BT83" s="5">
        <v>9</v>
      </c>
      <c r="BU83" s="5" t="s">
        <v>1251</v>
      </c>
      <c r="BV83" s="5" t="s">
        <v>1252</v>
      </c>
      <c r="BW83" s="5" t="s">
        <v>1253</v>
      </c>
      <c r="BX83" s="6">
        <v>47130</v>
      </c>
      <c r="BY83" s="6">
        <v>47891</v>
      </c>
      <c r="BZ83" s="5" t="s">
        <v>136</v>
      </c>
      <c r="CA83" s="5" t="s">
        <v>137</v>
      </c>
      <c r="CB83" s="5"/>
      <c r="CC83" s="5"/>
      <c r="CD83" s="5"/>
      <c r="CE83" s="5"/>
      <c r="CF83" s="5" t="s">
        <v>1152</v>
      </c>
      <c r="CG83" s="5" t="s">
        <v>847</v>
      </c>
      <c r="CH83" s="5" t="s">
        <v>848</v>
      </c>
      <c r="CI83" s="5" t="s">
        <v>849</v>
      </c>
      <c r="CJ83" s="5" t="s">
        <v>850</v>
      </c>
      <c r="CK83" s="5" t="s">
        <v>1051</v>
      </c>
      <c r="CL83" s="5" t="s">
        <v>1052</v>
      </c>
      <c r="CM83" s="5" t="s">
        <v>853</v>
      </c>
      <c r="CN83" s="5" t="s">
        <v>854</v>
      </c>
      <c r="CO83" s="5" t="s">
        <v>1153</v>
      </c>
      <c r="CP83" s="5">
        <v>7.4</v>
      </c>
      <c r="CQ83" s="5"/>
      <c r="CR83" s="5"/>
      <c r="CS83" s="5"/>
      <c r="CT83" s="5"/>
      <c r="CU83" s="5"/>
      <c r="CV83" s="5"/>
      <c r="CW83" s="5"/>
      <c r="CX83" s="5"/>
      <c r="CY83" s="5"/>
      <c r="CZ83" s="5"/>
      <c r="DA83" s="5"/>
    </row>
    <row r="84" spans="1:105" ht="15" customHeight="1" x14ac:dyDescent="0.2">
      <c r="A84" s="3" t="s">
        <v>1254</v>
      </c>
      <c r="B84" s="3" t="s">
        <v>1255</v>
      </c>
      <c r="C84" s="3" t="s">
        <v>1255</v>
      </c>
      <c r="D84" s="3" t="s">
        <v>571</v>
      </c>
      <c r="E84" s="3" t="s">
        <v>571</v>
      </c>
      <c r="F84" s="3" t="s">
        <v>571</v>
      </c>
      <c r="G84" s="3" t="s">
        <v>110</v>
      </c>
      <c r="H84" s="3" t="s">
        <v>572</v>
      </c>
      <c r="I84" s="3"/>
      <c r="J84" s="3" t="s">
        <v>113</v>
      </c>
      <c r="K84" s="3" t="s">
        <v>114</v>
      </c>
      <c r="L84" s="3" t="s">
        <v>114</v>
      </c>
      <c r="M84" s="3" t="s">
        <v>114</v>
      </c>
      <c r="N84" s="3" t="s">
        <v>114</v>
      </c>
      <c r="O84" s="3" t="s">
        <v>114</v>
      </c>
      <c r="P84" s="3" t="s">
        <v>114</v>
      </c>
      <c r="Q84" s="3" t="s">
        <v>1256</v>
      </c>
      <c r="R84" s="3" t="s">
        <v>1257</v>
      </c>
      <c r="S84" s="3" t="s">
        <v>1258</v>
      </c>
      <c r="T84" s="3" t="s">
        <v>1259</v>
      </c>
      <c r="U84" s="3" t="s">
        <v>120</v>
      </c>
      <c r="V84" s="3" t="s">
        <v>119</v>
      </c>
      <c r="W84" s="3" t="s">
        <v>120</v>
      </c>
      <c r="X84" s="3" t="s">
        <v>694</v>
      </c>
      <c r="Y84" s="3" t="s">
        <v>1260</v>
      </c>
      <c r="Z84" s="3" t="s">
        <v>119</v>
      </c>
      <c r="AA84" s="3"/>
      <c r="AB84" s="3" t="s">
        <v>122</v>
      </c>
      <c r="AC84" s="3" t="s">
        <v>217</v>
      </c>
      <c r="AD84" s="3" t="s">
        <v>124</v>
      </c>
      <c r="AE84" s="3" t="s">
        <v>1261</v>
      </c>
      <c r="AF84" s="3" t="s">
        <v>1262</v>
      </c>
      <c r="AG84" s="3" t="s">
        <v>148</v>
      </c>
      <c r="AH84" s="3"/>
      <c r="AI84" s="3"/>
      <c r="AJ84" s="3"/>
      <c r="AK84" s="3"/>
      <c r="AL84" s="3"/>
      <c r="AM84" s="3">
        <v>0</v>
      </c>
      <c r="AN84" s="3"/>
      <c r="AO84" s="3"/>
      <c r="AP84" s="3"/>
      <c r="AQ84" s="3"/>
      <c r="AR84" s="3"/>
      <c r="AS84" s="3">
        <v>0</v>
      </c>
      <c r="AT84" s="3"/>
      <c r="AU84" s="3"/>
      <c r="AV84" s="3"/>
      <c r="AW84" s="3"/>
      <c r="AX84" s="3"/>
      <c r="AY84" s="3"/>
      <c r="AZ84" s="3">
        <v>0</v>
      </c>
      <c r="BA84" s="3"/>
      <c r="BB84" s="3" t="s">
        <v>522</v>
      </c>
      <c r="BC84" s="3">
        <v>950</v>
      </c>
      <c r="BD84" s="4">
        <v>45146</v>
      </c>
      <c r="BE84" s="4">
        <v>47150</v>
      </c>
      <c r="BF84" s="4">
        <v>47299</v>
      </c>
      <c r="BG84" s="4">
        <v>47573</v>
      </c>
      <c r="BH84" s="3">
        <v>9</v>
      </c>
      <c r="BI84" s="4">
        <v>47299</v>
      </c>
      <c r="BJ84" s="4">
        <v>47483</v>
      </c>
      <c r="BK84" s="3">
        <v>6</v>
      </c>
      <c r="BL84" s="3"/>
      <c r="BM84" s="3"/>
      <c r="BN84" s="3"/>
      <c r="BO84" s="3"/>
      <c r="BP84" s="3"/>
      <c r="BQ84" s="3"/>
      <c r="BR84" s="4">
        <v>47299</v>
      </c>
      <c r="BS84" s="4">
        <v>47573</v>
      </c>
      <c r="BT84" s="3">
        <v>9</v>
      </c>
      <c r="BU84" s="3" t="s">
        <v>1263</v>
      </c>
      <c r="BV84" s="3" t="s">
        <v>1264</v>
      </c>
      <c r="BW84" s="3" t="s">
        <v>1265</v>
      </c>
      <c r="BX84" s="4">
        <v>47499</v>
      </c>
      <c r="BY84" s="4">
        <v>48205</v>
      </c>
      <c r="BZ84" s="3" t="s">
        <v>136</v>
      </c>
      <c r="CA84" s="3" t="s">
        <v>191</v>
      </c>
      <c r="CB84" s="3"/>
      <c r="CC84" s="3" t="s">
        <v>585</v>
      </c>
      <c r="CD84" s="3" t="s">
        <v>881</v>
      </c>
      <c r="CE84" s="3"/>
      <c r="CF84" s="3"/>
      <c r="CG84" s="3"/>
      <c r="CH84" s="3"/>
      <c r="CI84" s="3"/>
      <c r="CJ84" s="3"/>
      <c r="CK84" s="3"/>
      <c r="CL84" s="3"/>
      <c r="CM84" s="3"/>
      <c r="CN84" s="3"/>
      <c r="CO84" s="3"/>
      <c r="CP84" s="3"/>
      <c r="CQ84" s="3"/>
      <c r="CR84" s="3"/>
      <c r="CS84" s="3"/>
      <c r="CT84" s="3"/>
      <c r="CU84" s="3"/>
      <c r="CV84" s="3"/>
      <c r="CW84" s="3"/>
      <c r="CX84" s="3"/>
      <c r="CY84" s="3"/>
      <c r="CZ84" s="3"/>
      <c r="DA84" s="3"/>
    </row>
    <row r="85" spans="1:105" ht="15" customHeight="1" x14ac:dyDescent="0.2">
      <c r="A85" s="5" t="s">
        <v>1254</v>
      </c>
      <c r="B85" s="5" t="s">
        <v>1255</v>
      </c>
      <c r="C85" s="5" t="s">
        <v>1255</v>
      </c>
      <c r="D85" s="5" t="s">
        <v>571</v>
      </c>
      <c r="E85" s="5" t="s">
        <v>571</v>
      </c>
      <c r="F85" s="5" t="s">
        <v>571</v>
      </c>
      <c r="G85" s="5" t="s">
        <v>110</v>
      </c>
      <c r="H85" s="5" t="s">
        <v>572</v>
      </c>
      <c r="I85" s="5" t="s">
        <v>283</v>
      </c>
      <c r="J85" s="5" t="s">
        <v>113</v>
      </c>
      <c r="K85" s="5" t="s">
        <v>114</v>
      </c>
      <c r="L85" s="5" t="s">
        <v>114</v>
      </c>
      <c r="M85" s="5" t="s">
        <v>114</v>
      </c>
      <c r="N85" s="5" t="s">
        <v>114</v>
      </c>
      <c r="O85" s="5" t="s">
        <v>114</v>
      </c>
      <c r="P85" s="5" t="s">
        <v>114</v>
      </c>
      <c r="Q85" s="5" t="s">
        <v>1266</v>
      </c>
      <c r="R85" s="5" t="s">
        <v>1267</v>
      </c>
      <c r="S85" s="5" t="s">
        <v>1258</v>
      </c>
      <c r="T85" s="5" t="s">
        <v>1268</v>
      </c>
      <c r="U85" s="5" t="s">
        <v>120</v>
      </c>
      <c r="V85" s="5" t="s">
        <v>119</v>
      </c>
      <c r="W85" s="5" t="s">
        <v>120</v>
      </c>
      <c r="X85" s="5" t="s">
        <v>694</v>
      </c>
      <c r="Y85" s="5" t="s">
        <v>569</v>
      </c>
      <c r="Z85" s="5" t="s">
        <v>119</v>
      </c>
      <c r="AA85" s="5"/>
      <c r="AB85" s="5" t="s">
        <v>122</v>
      </c>
      <c r="AC85" s="5" t="s">
        <v>217</v>
      </c>
      <c r="AD85" s="5" t="s">
        <v>124</v>
      </c>
      <c r="AE85" s="5" t="s">
        <v>1269</v>
      </c>
      <c r="AF85" s="5" t="s">
        <v>1270</v>
      </c>
      <c r="AG85" s="5" t="s">
        <v>148</v>
      </c>
      <c r="AH85" s="5"/>
      <c r="AI85" s="5"/>
      <c r="AJ85" s="5"/>
      <c r="AK85" s="5"/>
      <c r="AL85" s="5"/>
      <c r="AM85" s="5">
        <v>0</v>
      </c>
      <c r="AN85" s="5"/>
      <c r="AO85" s="5"/>
      <c r="AP85" s="5"/>
      <c r="AQ85" s="5"/>
      <c r="AR85" s="5"/>
      <c r="AS85" s="5">
        <v>0</v>
      </c>
      <c r="AT85" s="5"/>
      <c r="AU85" s="5"/>
      <c r="AV85" s="5"/>
      <c r="AW85" s="5"/>
      <c r="AX85" s="5"/>
      <c r="AY85" s="5"/>
      <c r="AZ85" s="5">
        <v>0</v>
      </c>
      <c r="BA85" s="5"/>
      <c r="BB85" s="5" t="s">
        <v>522</v>
      </c>
      <c r="BC85" s="5">
        <v>850</v>
      </c>
      <c r="BD85" s="6">
        <v>45107</v>
      </c>
      <c r="BE85" s="6">
        <v>47150</v>
      </c>
      <c r="BF85" s="6">
        <v>47299</v>
      </c>
      <c r="BG85" s="6">
        <v>47573</v>
      </c>
      <c r="BH85" s="5">
        <v>9</v>
      </c>
      <c r="BI85" s="6">
        <v>47299</v>
      </c>
      <c r="BJ85" s="6">
        <v>47483</v>
      </c>
      <c r="BK85" s="5">
        <v>6</v>
      </c>
      <c r="BL85" s="5"/>
      <c r="BM85" s="5"/>
      <c r="BN85" s="5"/>
      <c r="BO85" s="5"/>
      <c r="BP85" s="5"/>
      <c r="BQ85" s="5"/>
      <c r="BR85" s="6">
        <v>47299</v>
      </c>
      <c r="BS85" s="6">
        <v>47573</v>
      </c>
      <c r="BT85" s="5">
        <v>9</v>
      </c>
      <c r="BU85" s="5" t="s">
        <v>1271</v>
      </c>
      <c r="BV85" s="5" t="s">
        <v>1272</v>
      </c>
      <c r="BW85" s="5" t="s">
        <v>1273</v>
      </c>
      <c r="BX85" s="6">
        <v>47553</v>
      </c>
      <c r="BY85" s="6">
        <v>48249</v>
      </c>
      <c r="BZ85" s="5" t="s">
        <v>136</v>
      </c>
      <c r="CA85" s="5" t="s">
        <v>191</v>
      </c>
      <c r="CB85" s="5" t="s">
        <v>300</v>
      </c>
      <c r="CC85" s="5" t="s">
        <v>585</v>
      </c>
      <c r="CD85" s="5"/>
      <c r="CE85" s="5"/>
      <c r="CF85" s="5"/>
      <c r="CG85" s="5"/>
      <c r="CH85" s="5"/>
      <c r="CI85" s="5"/>
      <c r="CJ85" s="5"/>
      <c r="CK85" s="5"/>
      <c r="CL85" s="5"/>
      <c r="CM85" s="5"/>
      <c r="CN85" s="5"/>
      <c r="CO85" s="5"/>
      <c r="CP85" s="5"/>
      <c r="CQ85" s="5"/>
      <c r="CR85" s="5"/>
      <c r="CS85" s="5"/>
      <c r="CT85" s="5"/>
      <c r="CU85" s="5"/>
      <c r="CV85" s="5"/>
      <c r="CW85" s="5"/>
      <c r="CX85" s="5"/>
      <c r="CY85" s="5"/>
      <c r="CZ85" s="5"/>
      <c r="DA85" s="5"/>
    </row>
    <row r="86" spans="1:105" ht="15" customHeight="1" x14ac:dyDescent="0.2">
      <c r="A86" s="3" t="s">
        <v>1188</v>
      </c>
      <c r="B86" s="3" t="s">
        <v>1189</v>
      </c>
      <c r="C86" s="3" t="s">
        <v>1189</v>
      </c>
      <c r="D86" s="3" t="s">
        <v>350</v>
      </c>
      <c r="E86" s="3" t="s">
        <v>350</v>
      </c>
      <c r="F86" s="3" t="s">
        <v>350</v>
      </c>
      <c r="G86" s="3" t="s">
        <v>110</v>
      </c>
      <c r="H86" s="3" t="s">
        <v>259</v>
      </c>
      <c r="I86" s="3" t="s">
        <v>260</v>
      </c>
      <c r="J86" s="3" t="s">
        <v>113</v>
      </c>
      <c r="K86" s="3" t="s">
        <v>114</v>
      </c>
      <c r="L86" s="3" t="s">
        <v>114</v>
      </c>
      <c r="M86" s="3" t="s">
        <v>114</v>
      </c>
      <c r="N86" s="3" t="s">
        <v>114</v>
      </c>
      <c r="O86" s="3" t="s">
        <v>114</v>
      </c>
      <c r="P86" s="3" t="s">
        <v>114</v>
      </c>
      <c r="Q86" s="3" t="s">
        <v>1274</v>
      </c>
      <c r="R86" s="3" t="s">
        <v>1275</v>
      </c>
      <c r="S86" s="3" t="s">
        <v>1192</v>
      </c>
      <c r="T86" s="3" t="s">
        <v>1276</v>
      </c>
      <c r="U86" s="3" t="s">
        <v>120</v>
      </c>
      <c r="V86" s="3" t="s">
        <v>119</v>
      </c>
      <c r="W86" s="3" t="s">
        <v>120</v>
      </c>
      <c r="X86" s="3"/>
      <c r="Y86" s="3" t="s">
        <v>1277</v>
      </c>
      <c r="Z86" s="3" t="s">
        <v>119</v>
      </c>
      <c r="AA86" s="3"/>
      <c r="AB86" s="3" t="s">
        <v>122</v>
      </c>
      <c r="AC86" s="3" t="s">
        <v>217</v>
      </c>
      <c r="AD86" s="3" t="s">
        <v>736</v>
      </c>
      <c r="AE86" s="3" t="s">
        <v>1278</v>
      </c>
      <c r="AF86" s="3" t="s">
        <v>1279</v>
      </c>
      <c r="AG86" s="3" t="s">
        <v>358</v>
      </c>
      <c r="AH86" s="3"/>
      <c r="AI86" s="3"/>
      <c r="AJ86" s="3"/>
      <c r="AK86" s="3"/>
      <c r="AL86" s="3"/>
      <c r="AM86" s="3">
        <v>0</v>
      </c>
      <c r="AN86" s="3"/>
      <c r="AO86" s="3"/>
      <c r="AP86" s="3"/>
      <c r="AQ86" s="3"/>
      <c r="AR86" s="3"/>
      <c r="AS86" s="3">
        <v>0</v>
      </c>
      <c r="AT86" s="3"/>
      <c r="AU86" s="3"/>
      <c r="AV86" s="3"/>
      <c r="AW86" s="3"/>
      <c r="AX86" s="3"/>
      <c r="AY86" s="3"/>
      <c r="AZ86" s="3">
        <v>0</v>
      </c>
      <c r="BA86" s="3"/>
      <c r="BB86" s="3" t="s">
        <v>876</v>
      </c>
      <c r="BC86" s="3">
        <v>880</v>
      </c>
      <c r="BD86" s="4">
        <v>45614</v>
      </c>
      <c r="BE86" s="4">
        <v>47150</v>
      </c>
      <c r="BF86" s="4">
        <v>47299</v>
      </c>
      <c r="BG86" s="4">
        <v>47573</v>
      </c>
      <c r="BH86" s="3">
        <v>9</v>
      </c>
      <c r="BI86" s="4">
        <v>47299</v>
      </c>
      <c r="BJ86" s="4">
        <v>47483</v>
      </c>
      <c r="BK86" s="3">
        <v>6</v>
      </c>
      <c r="BL86" s="4">
        <v>47299</v>
      </c>
      <c r="BM86" s="4">
        <v>47664</v>
      </c>
      <c r="BN86" s="3">
        <v>12</v>
      </c>
      <c r="BO86" s="4">
        <v>47573</v>
      </c>
      <c r="BP86" s="4">
        <v>47299</v>
      </c>
      <c r="BQ86" s="3">
        <v>9</v>
      </c>
      <c r="BR86" s="4">
        <v>47299</v>
      </c>
      <c r="BS86" s="4">
        <v>47573</v>
      </c>
      <c r="BT86" s="3">
        <v>9</v>
      </c>
      <c r="BU86" s="3" t="s">
        <v>1280</v>
      </c>
      <c r="BV86" s="3" t="s">
        <v>1281</v>
      </c>
      <c r="BW86" s="3" t="s">
        <v>1282</v>
      </c>
      <c r="BX86" s="4">
        <v>47154</v>
      </c>
      <c r="BY86" s="4">
        <v>47399</v>
      </c>
      <c r="BZ86" s="3" t="s">
        <v>136</v>
      </c>
      <c r="CA86" s="3" t="s">
        <v>191</v>
      </c>
      <c r="CB86" s="3" t="s">
        <v>685</v>
      </c>
      <c r="CC86" s="3"/>
      <c r="CD86" s="3"/>
      <c r="CE86" s="3"/>
      <c r="CF86" s="3"/>
      <c r="CG86" s="3"/>
      <c r="CH86" s="3"/>
      <c r="CI86" s="3"/>
      <c r="CJ86" s="3"/>
      <c r="CK86" s="3"/>
      <c r="CL86" s="3"/>
      <c r="CM86" s="3"/>
      <c r="CN86" s="3"/>
      <c r="CO86" s="3"/>
      <c r="CP86" s="3"/>
      <c r="CQ86" s="3"/>
      <c r="CR86" s="3"/>
      <c r="CS86" s="3"/>
      <c r="CT86" s="3"/>
      <c r="CU86" s="3"/>
      <c r="CV86" s="3"/>
      <c r="CW86" s="3"/>
      <c r="CX86" s="3"/>
      <c r="CY86" s="3"/>
      <c r="CZ86" s="3"/>
      <c r="DA86" s="3"/>
    </row>
    <row r="87" spans="1:105" ht="15" customHeight="1" x14ac:dyDescent="0.2">
      <c r="A87" s="5" t="s">
        <v>1283</v>
      </c>
      <c r="B87" s="5" t="s">
        <v>1284</v>
      </c>
      <c r="C87" s="5" t="s">
        <v>1285</v>
      </c>
      <c r="D87" s="5" t="s">
        <v>1286</v>
      </c>
      <c r="E87" s="5" t="s">
        <v>1286</v>
      </c>
      <c r="F87" s="5" t="s">
        <v>1286</v>
      </c>
      <c r="G87" s="5" t="s">
        <v>110</v>
      </c>
      <c r="H87" s="5" t="s">
        <v>572</v>
      </c>
      <c r="I87" s="5"/>
      <c r="J87" s="5" t="s">
        <v>113</v>
      </c>
      <c r="K87" s="5" t="s">
        <v>114</v>
      </c>
      <c r="L87" s="5" t="s">
        <v>114</v>
      </c>
      <c r="M87" s="5" t="s">
        <v>114</v>
      </c>
      <c r="N87" s="5" t="s">
        <v>114</v>
      </c>
      <c r="O87" s="5" t="s">
        <v>114</v>
      </c>
      <c r="P87" s="5" t="s">
        <v>114</v>
      </c>
      <c r="Q87" s="5" t="s">
        <v>1287</v>
      </c>
      <c r="R87" s="5" t="s">
        <v>1288</v>
      </c>
      <c r="S87" s="5" t="s">
        <v>1289</v>
      </c>
      <c r="T87" s="5" t="s">
        <v>1290</v>
      </c>
      <c r="U87" s="5" t="s">
        <v>120</v>
      </c>
      <c r="V87" s="5" t="s">
        <v>119</v>
      </c>
      <c r="W87" s="5" t="s">
        <v>120</v>
      </c>
      <c r="X87" s="5"/>
      <c r="Y87" s="5" t="s">
        <v>1291</v>
      </c>
      <c r="Z87" s="5" t="s">
        <v>119</v>
      </c>
      <c r="AA87" s="5"/>
      <c r="AB87" s="5" t="s">
        <v>122</v>
      </c>
      <c r="AC87" s="5" t="s">
        <v>217</v>
      </c>
      <c r="AD87" s="5" t="s">
        <v>736</v>
      </c>
      <c r="AE87" s="5" t="s">
        <v>1292</v>
      </c>
      <c r="AF87" s="5" t="s">
        <v>1293</v>
      </c>
      <c r="AG87" s="5" t="s">
        <v>166</v>
      </c>
      <c r="AH87" s="5"/>
      <c r="AI87" s="5"/>
      <c r="AJ87" s="5"/>
      <c r="AK87" s="5"/>
      <c r="AL87" s="5"/>
      <c r="AM87" s="5">
        <v>0</v>
      </c>
      <c r="AN87" s="5"/>
      <c r="AO87" s="5"/>
      <c r="AP87" s="5"/>
      <c r="AQ87" s="5"/>
      <c r="AR87" s="5"/>
      <c r="AS87" s="5">
        <v>0</v>
      </c>
      <c r="AT87" s="5"/>
      <c r="AU87" s="5"/>
      <c r="AV87" s="5"/>
      <c r="AW87" s="5"/>
      <c r="AX87" s="5"/>
      <c r="AY87" s="5"/>
      <c r="AZ87" s="5">
        <v>0</v>
      </c>
      <c r="BA87" s="5"/>
      <c r="BB87" s="5" t="s">
        <v>876</v>
      </c>
      <c r="BC87" s="5">
        <v>1260</v>
      </c>
      <c r="BD87" s="6">
        <v>45664</v>
      </c>
      <c r="BE87" s="6">
        <v>47150</v>
      </c>
      <c r="BF87" s="6">
        <v>47299</v>
      </c>
      <c r="BG87" s="6">
        <v>47573</v>
      </c>
      <c r="BH87" s="5">
        <v>9</v>
      </c>
      <c r="BI87" s="6">
        <v>47299</v>
      </c>
      <c r="BJ87" s="6">
        <v>47483</v>
      </c>
      <c r="BK87" s="5">
        <v>6</v>
      </c>
      <c r="BL87" s="6">
        <v>47299</v>
      </c>
      <c r="BM87" s="6">
        <v>47664</v>
      </c>
      <c r="BN87" s="5">
        <v>12</v>
      </c>
      <c r="BO87" s="6">
        <v>47573</v>
      </c>
      <c r="BP87" s="6">
        <v>47299</v>
      </c>
      <c r="BQ87" s="5">
        <v>9</v>
      </c>
      <c r="BR87" s="6">
        <v>47299</v>
      </c>
      <c r="BS87" s="6">
        <v>47573</v>
      </c>
      <c r="BT87" s="5">
        <v>9</v>
      </c>
      <c r="BU87" s="5" t="s">
        <v>1294</v>
      </c>
      <c r="BV87" s="5" t="s">
        <v>1295</v>
      </c>
      <c r="BW87" s="5" t="s">
        <v>1296</v>
      </c>
      <c r="BX87" s="6">
        <v>47150</v>
      </c>
      <c r="BY87" s="6">
        <v>47543</v>
      </c>
      <c r="BZ87" s="5" t="s">
        <v>136</v>
      </c>
      <c r="CA87" s="5" t="s">
        <v>959</v>
      </c>
      <c r="CB87" s="5"/>
      <c r="CC87" s="5" t="s">
        <v>329</v>
      </c>
      <c r="CD87" s="5" t="s">
        <v>881</v>
      </c>
      <c r="CE87" s="5"/>
      <c r="CF87" s="5"/>
      <c r="CG87" s="5"/>
      <c r="CH87" s="5"/>
      <c r="CI87" s="5"/>
      <c r="CJ87" s="5"/>
      <c r="CK87" s="5"/>
      <c r="CL87" s="5"/>
      <c r="CM87" s="5"/>
      <c r="CN87" s="5"/>
      <c r="CO87" s="5"/>
      <c r="CP87" s="5"/>
      <c r="CQ87" s="5"/>
      <c r="CR87" s="5"/>
      <c r="CS87" s="5"/>
      <c r="CT87" s="5"/>
      <c r="CU87" s="5"/>
      <c r="CV87" s="5"/>
      <c r="CW87" s="5"/>
      <c r="CX87" s="5"/>
      <c r="CY87" s="5"/>
      <c r="CZ87" s="5"/>
      <c r="DA87" s="5"/>
    </row>
    <row r="88" spans="1:105" ht="15" customHeight="1" x14ac:dyDescent="0.2">
      <c r="A88" s="3" t="s">
        <v>1297</v>
      </c>
      <c r="B88" s="3" t="s">
        <v>1298</v>
      </c>
      <c r="C88" s="3">
        <v>707</v>
      </c>
      <c r="D88" s="3" t="s">
        <v>235</v>
      </c>
      <c r="E88" s="3" t="s">
        <v>235</v>
      </c>
      <c r="F88" s="3" t="s">
        <v>235</v>
      </c>
      <c r="G88" s="3" t="s">
        <v>110</v>
      </c>
      <c r="H88" s="3" t="s">
        <v>572</v>
      </c>
      <c r="I88" s="3" t="s">
        <v>1299</v>
      </c>
      <c r="J88" s="3" t="s">
        <v>113</v>
      </c>
      <c r="K88" s="3" t="s">
        <v>114</v>
      </c>
      <c r="L88" s="3" t="s">
        <v>114</v>
      </c>
      <c r="M88" s="3" t="s">
        <v>114</v>
      </c>
      <c r="N88" s="3" t="s">
        <v>114</v>
      </c>
      <c r="O88" s="3" t="s">
        <v>114</v>
      </c>
      <c r="P88" s="3" t="s">
        <v>114</v>
      </c>
      <c r="Q88" s="3" t="s">
        <v>1300</v>
      </c>
      <c r="R88" s="3" t="s">
        <v>1301</v>
      </c>
      <c r="S88" s="3" t="s">
        <v>872</v>
      </c>
      <c r="T88" s="3" t="s">
        <v>873</v>
      </c>
      <c r="U88" s="3" t="s">
        <v>120</v>
      </c>
      <c r="V88" s="3" t="s">
        <v>119</v>
      </c>
      <c r="W88" s="3" t="s">
        <v>120</v>
      </c>
      <c r="X88" s="3" t="s">
        <v>388</v>
      </c>
      <c r="Y88" s="3"/>
      <c r="Z88" s="3" t="s">
        <v>119</v>
      </c>
      <c r="AA88" s="3"/>
      <c r="AB88" s="3" t="s">
        <v>122</v>
      </c>
      <c r="AC88" s="3" t="s">
        <v>217</v>
      </c>
      <c r="AD88" s="3" t="s">
        <v>736</v>
      </c>
      <c r="AE88" s="3" t="s">
        <v>1302</v>
      </c>
      <c r="AF88" s="3" t="s">
        <v>1241</v>
      </c>
      <c r="AG88" s="3" t="s">
        <v>358</v>
      </c>
      <c r="AH88" s="3"/>
      <c r="AI88" s="3"/>
      <c r="AJ88" s="3"/>
      <c r="AK88" s="3"/>
      <c r="AL88" s="3"/>
      <c r="AM88" s="3">
        <v>0</v>
      </c>
      <c r="AN88" s="3"/>
      <c r="AO88" s="3"/>
      <c r="AP88" s="3"/>
      <c r="AQ88" s="3"/>
      <c r="AR88" s="3"/>
      <c r="AS88" s="3">
        <v>0</v>
      </c>
      <c r="AT88" s="3"/>
      <c r="AU88" s="3"/>
      <c r="AV88" s="3"/>
      <c r="AW88" s="3"/>
      <c r="AX88" s="3"/>
      <c r="AY88" s="3"/>
      <c r="AZ88" s="3">
        <v>0</v>
      </c>
      <c r="BA88" s="3"/>
      <c r="BB88" s="3" t="s">
        <v>876</v>
      </c>
      <c r="BC88" s="3">
        <v>1410</v>
      </c>
      <c r="BD88" s="4">
        <v>46028</v>
      </c>
      <c r="BE88" s="4">
        <v>47150</v>
      </c>
      <c r="BF88" s="4">
        <v>47299</v>
      </c>
      <c r="BG88" s="4">
        <v>47664</v>
      </c>
      <c r="BH88" s="3">
        <v>12</v>
      </c>
      <c r="BI88" s="4">
        <v>47299</v>
      </c>
      <c r="BJ88" s="4">
        <v>47483</v>
      </c>
      <c r="BK88" s="3">
        <v>6</v>
      </c>
      <c r="BL88" s="4">
        <v>47299</v>
      </c>
      <c r="BM88" s="4">
        <v>47664</v>
      </c>
      <c r="BN88" s="3">
        <v>12</v>
      </c>
      <c r="BO88" s="4">
        <v>47573</v>
      </c>
      <c r="BP88" s="4">
        <v>47299</v>
      </c>
      <c r="BQ88" s="3">
        <v>9</v>
      </c>
      <c r="BR88" s="4">
        <v>47299</v>
      </c>
      <c r="BS88" s="4">
        <v>47664</v>
      </c>
      <c r="BT88" s="3">
        <v>12</v>
      </c>
      <c r="BU88" s="3" t="s">
        <v>1303</v>
      </c>
      <c r="BV88" s="3" t="s">
        <v>1304</v>
      </c>
      <c r="BW88" s="3" t="s">
        <v>1305</v>
      </c>
      <c r="BX88" s="4">
        <v>47176</v>
      </c>
      <c r="BY88" s="4">
        <v>48452</v>
      </c>
      <c r="BZ88" s="3" t="s">
        <v>136</v>
      </c>
      <c r="CA88" s="3" t="s">
        <v>492</v>
      </c>
      <c r="CB88" s="3"/>
      <c r="CC88" s="3" t="s">
        <v>1306</v>
      </c>
      <c r="CD88" s="3" t="s">
        <v>881</v>
      </c>
      <c r="CE88" s="3"/>
      <c r="CF88" s="3"/>
      <c r="CG88" s="3"/>
      <c r="CH88" s="3"/>
      <c r="CI88" s="3"/>
      <c r="CJ88" s="3"/>
      <c r="CK88" s="3"/>
      <c r="CL88" s="3"/>
      <c r="CM88" s="3"/>
      <c r="CN88" s="3"/>
      <c r="CO88" s="3"/>
      <c r="CP88" s="3"/>
      <c r="CQ88" s="3"/>
      <c r="CR88" s="3"/>
      <c r="CS88" s="3"/>
      <c r="CT88" s="3"/>
      <c r="CU88" s="3"/>
      <c r="CV88" s="3"/>
      <c r="CW88" s="3"/>
      <c r="CX88" s="3"/>
      <c r="CY88" s="3"/>
      <c r="CZ88" s="3"/>
      <c r="DA88" s="3"/>
    </row>
    <row r="89" spans="1:105" ht="15" customHeight="1" x14ac:dyDescent="0.2">
      <c r="A89" s="5" t="s">
        <v>1307</v>
      </c>
      <c r="B89" s="5" t="s">
        <v>1308</v>
      </c>
      <c r="C89" s="5" t="s">
        <v>1308</v>
      </c>
      <c r="D89" s="5" t="s">
        <v>1309</v>
      </c>
      <c r="E89" s="5" t="s">
        <v>1309</v>
      </c>
      <c r="F89" s="5"/>
      <c r="G89" s="5" t="s">
        <v>110</v>
      </c>
      <c r="H89" s="5"/>
      <c r="I89" s="5"/>
      <c r="J89" s="5" t="s">
        <v>113</v>
      </c>
      <c r="K89" s="5" t="s">
        <v>114</v>
      </c>
      <c r="L89" s="5" t="s">
        <v>114</v>
      </c>
      <c r="M89" s="5" t="s">
        <v>114</v>
      </c>
      <c r="N89" s="5" t="s">
        <v>114</v>
      </c>
      <c r="O89" s="5" t="s">
        <v>114</v>
      </c>
      <c r="P89" s="5"/>
      <c r="Q89" s="5" t="s">
        <v>1310</v>
      </c>
      <c r="R89" s="5"/>
      <c r="S89" s="5" t="s">
        <v>161</v>
      </c>
      <c r="T89" s="5" t="s">
        <v>162</v>
      </c>
      <c r="U89" s="5" t="s">
        <v>119</v>
      </c>
      <c r="V89" s="5" t="s">
        <v>119</v>
      </c>
      <c r="W89" s="5" t="s">
        <v>120</v>
      </c>
      <c r="X89" s="5"/>
      <c r="Y89" s="5"/>
      <c r="Z89" s="5" t="s">
        <v>119</v>
      </c>
      <c r="AA89" s="5"/>
      <c r="AB89" s="5" t="s">
        <v>122</v>
      </c>
      <c r="AC89" s="5" t="s">
        <v>217</v>
      </c>
      <c r="AD89" s="5" t="s">
        <v>145</v>
      </c>
      <c r="AE89" s="5"/>
      <c r="AF89" s="5"/>
      <c r="AG89" s="5" t="s">
        <v>127</v>
      </c>
      <c r="AH89" s="5"/>
      <c r="AI89" s="5"/>
      <c r="AJ89" s="5"/>
      <c r="AK89" s="5"/>
      <c r="AL89" s="5"/>
      <c r="AM89" s="5">
        <v>0</v>
      </c>
      <c r="AN89" s="5"/>
      <c r="AO89" s="5"/>
      <c r="AP89" s="5"/>
      <c r="AQ89" s="5"/>
      <c r="AR89" s="5"/>
      <c r="AS89" s="5">
        <v>0</v>
      </c>
      <c r="AT89" s="5"/>
      <c r="AU89" s="5"/>
      <c r="AV89" s="5"/>
      <c r="AW89" s="5"/>
      <c r="AX89" s="5"/>
      <c r="AY89" s="5"/>
      <c r="AZ89" s="5">
        <v>0</v>
      </c>
      <c r="BA89" s="5"/>
      <c r="BB89" s="5"/>
      <c r="BC89" s="5"/>
      <c r="BD89" s="5"/>
      <c r="BE89" s="6">
        <v>47178</v>
      </c>
      <c r="BF89" s="6">
        <v>47330</v>
      </c>
      <c r="BG89" s="6">
        <v>47695</v>
      </c>
      <c r="BH89" s="5">
        <v>12</v>
      </c>
      <c r="BI89" s="6">
        <v>47330</v>
      </c>
      <c r="BJ89" s="6">
        <v>47514</v>
      </c>
      <c r="BK89" s="5">
        <v>6</v>
      </c>
      <c r="BL89" s="5"/>
      <c r="BM89" s="5"/>
      <c r="BN89" s="5"/>
      <c r="BO89" s="5"/>
      <c r="BP89" s="5"/>
      <c r="BQ89" s="5"/>
      <c r="BR89" s="6">
        <v>47330</v>
      </c>
      <c r="BS89" s="6">
        <v>47695</v>
      </c>
      <c r="BT89" s="5">
        <v>12</v>
      </c>
      <c r="BU89" s="5"/>
      <c r="BV89" s="5"/>
      <c r="BW89" s="5"/>
      <c r="BX89" s="5"/>
      <c r="BY89" s="5"/>
      <c r="BZ89" s="5"/>
      <c r="CA89" s="5"/>
      <c r="CB89" s="5" t="s">
        <v>232</v>
      </c>
      <c r="CC89" s="5"/>
      <c r="CD89" s="5"/>
      <c r="CE89" s="5"/>
      <c r="CF89" s="5"/>
      <c r="CG89" s="5"/>
      <c r="CH89" s="5"/>
      <c r="CI89" s="5"/>
      <c r="CJ89" s="5"/>
      <c r="CK89" s="5"/>
      <c r="CL89" s="5"/>
      <c r="CM89" s="5"/>
      <c r="CN89" s="5"/>
      <c r="CO89" s="5"/>
      <c r="CP89" s="5"/>
      <c r="CQ89" s="5"/>
      <c r="CR89" s="5"/>
      <c r="CS89" s="5"/>
      <c r="CT89" s="5"/>
      <c r="CU89" s="5"/>
      <c r="CV89" s="5"/>
      <c r="CW89" s="5"/>
      <c r="CX89" s="5"/>
      <c r="CY89" s="5"/>
      <c r="CZ89" s="5"/>
      <c r="DA89" s="5"/>
    </row>
    <row r="90" spans="1:105" ht="15" customHeight="1" x14ac:dyDescent="0.2">
      <c r="A90" s="3" t="s">
        <v>1311</v>
      </c>
      <c r="B90" s="3" t="s">
        <v>1312</v>
      </c>
      <c r="C90" s="3" t="s">
        <v>1313</v>
      </c>
      <c r="D90" s="3" t="s">
        <v>1314</v>
      </c>
      <c r="E90" s="3" t="s">
        <v>1314</v>
      </c>
      <c r="F90" s="3"/>
      <c r="G90" s="3" t="s">
        <v>110</v>
      </c>
      <c r="H90" s="3" t="s">
        <v>259</v>
      </c>
      <c r="I90" s="3"/>
      <c r="J90" s="3" t="s">
        <v>113</v>
      </c>
      <c r="K90" s="3" t="s">
        <v>114</v>
      </c>
      <c r="L90" s="3" t="s">
        <v>114</v>
      </c>
      <c r="M90" s="3" t="s">
        <v>114</v>
      </c>
      <c r="N90" s="3" t="s">
        <v>114</v>
      </c>
      <c r="O90" s="3" t="s">
        <v>114</v>
      </c>
      <c r="P90" s="3"/>
      <c r="Q90" s="3" t="s">
        <v>1315</v>
      </c>
      <c r="R90" s="3"/>
      <c r="S90" s="3" t="s">
        <v>1316</v>
      </c>
      <c r="T90" s="3" t="s">
        <v>1317</v>
      </c>
      <c r="U90" s="3" t="s">
        <v>120</v>
      </c>
      <c r="V90" s="3" t="s">
        <v>119</v>
      </c>
      <c r="W90" s="3" t="s">
        <v>120</v>
      </c>
      <c r="X90" s="3" t="s">
        <v>388</v>
      </c>
      <c r="Y90" s="3"/>
      <c r="Z90" s="3" t="s">
        <v>119</v>
      </c>
      <c r="AA90" s="3"/>
      <c r="AB90" s="3" t="s">
        <v>122</v>
      </c>
      <c r="AC90" s="3" t="s">
        <v>217</v>
      </c>
      <c r="AD90" s="3" t="s">
        <v>145</v>
      </c>
      <c r="AE90" s="3" t="s">
        <v>1318</v>
      </c>
      <c r="AF90" s="3"/>
      <c r="AG90" s="3" t="s">
        <v>127</v>
      </c>
      <c r="AH90" s="3"/>
      <c r="AI90" s="3"/>
      <c r="AJ90" s="3"/>
      <c r="AK90" s="3"/>
      <c r="AL90" s="3"/>
      <c r="AM90" s="3">
        <v>0</v>
      </c>
      <c r="AN90" s="3"/>
      <c r="AO90" s="3"/>
      <c r="AP90" s="3"/>
      <c r="AQ90" s="3"/>
      <c r="AR90" s="3"/>
      <c r="AS90" s="3">
        <v>0</v>
      </c>
      <c r="AT90" s="3"/>
      <c r="AU90" s="3"/>
      <c r="AV90" s="3"/>
      <c r="AW90" s="3"/>
      <c r="AX90" s="3"/>
      <c r="AY90" s="3"/>
      <c r="AZ90" s="3">
        <v>0</v>
      </c>
      <c r="BA90" s="3"/>
      <c r="BB90" s="3"/>
      <c r="BC90" s="3"/>
      <c r="BD90" s="3"/>
      <c r="BE90" s="4">
        <v>47178</v>
      </c>
      <c r="BF90" s="4">
        <v>47330</v>
      </c>
      <c r="BG90" s="4">
        <v>47695</v>
      </c>
      <c r="BH90" s="3">
        <v>12</v>
      </c>
      <c r="BI90" s="4">
        <v>47330</v>
      </c>
      <c r="BJ90" s="4">
        <v>47514</v>
      </c>
      <c r="BK90" s="3">
        <v>6</v>
      </c>
      <c r="BL90" s="3"/>
      <c r="BM90" s="3"/>
      <c r="BN90" s="3"/>
      <c r="BO90" s="3"/>
      <c r="BP90" s="3"/>
      <c r="BQ90" s="3"/>
      <c r="BR90" s="4">
        <v>47330</v>
      </c>
      <c r="BS90" s="4">
        <v>47695</v>
      </c>
      <c r="BT90" s="3">
        <v>12</v>
      </c>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row>
    <row r="91" spans="1:105" ht="15" customHeight="1" x14ac:dyDescent="0.2">
      <c r="A91" s="5" t="s">
        <v>1319</v>
      </c>
      <c r="B91" s="5" t="s">
        <v>1320</v>
      </c>
      <c r="C91" s="5" t="s">
        <v>1320</v>
      </c>
      <c r="D91" s="5" t="s">
        <v>529</v>
      </c>
      <c r="E91" s="5" t="s">
        <v>1321</v>
      </c>
      <c r="F91" s="5"/>
      <c r="G91" s="5" t="s">
        <v>110</v>
      </c>
      <c r="H91" s="5"/>
      <c r="I91" s="5"/>
      <c r="J91" s="5" t="s">
        <v>113</v>
      </c>
      <c r="K91" s="5" t="s">
        <v>114</v>
      </c>
      <c r="L91" s="5" t="s">
        <v>114</v>
      </c>
      <c r="M91" s="5" t="s">
        <v>114</v>
      </c>
      <c r="N91" s="5" t="s">
        <v>114</v>
      </c>
      <c r="O91" s="5" t="s">
        <v>114</v>
      </c>
      <c r="P91" s="5"/>
      <c r="Q91" s="5" t="s">
        <v>1322</v>
      </c>
      <c r="R91" s="5"/>
      <c r="S91" s="5" t="s">
        <v>1323</v>
      </c>
      <c r="T91" s="5" t="s">
        <v>1324</v>
      </c>
      <c r="U91" s="5" t="s">
        <v>120</v>
      </c>
      <c r="V91" s="5" t="s">
        <v>119</v>
      </c>
      <c r="W91" s="5" t="s">
        <v>120</v>
      </c>
      <c r="X91" s="5"/>
      <c r="Y91" s="5"/>
      <c r="Z91" s="5" t="s">
        <v>119</v>
      </c>
      <c r="AA91" s="5"/>
      <c r="AB91" s="5" t="s">
        <v>122</v>
      </c>
      <c r="AC91" s="5" t="s">
        <v>217</v>
      </c>
      <c r="AD91" s="5" t="s">
        <v>989</v>
      </c>
      <c r="AE91" s="5"/>
      <c r="AF91" s="5"/>
      <c r="AG91" s="5" t="s">
        <v>127</v>
      </c>
      <c r="AH91" s="5"/>
      <c r="AI91" s="5"/>
      <c r="AJ91" s="5"/>
      <c r="AK91" s="5"/>
      <c r="AL91" s="5"/>
      <c r="AM91" s="5">
        <v>0</v>
      </c>
      <c r="AN91" s="5"/>
      <c r="AO91" s="5"/>
      <c r="AP91" s="5"/>
      <c r="AQ91" s="5"/>
      <c r="AR91" s="5"/>
      <c r="AS91" s="5">
        <v>0</v>
      </c>
      <c r="AT91" s="5"/>
      <c r="AU91" s="5"/>
      <c r="AV91" s="5"/>
      <c r="AW91" s="5"/>
      <c r="AX91" s="5"/>
      <c r="AY91" s="5"/>
      <c r="AZ91" s="5">
        <v>0</v>
      </c>
      <c r="BA91" s="5"/>
      <c r="BB91" s="5"/>
      <c r="BC91" s="5"/>
      <c r="BD91" s="5"/>
      <c r="BE91" s="6">
        <v>47270</v>
      </c>
      <c r="BF91" s="6">
        <v>47422</v>
      </c>
      <c r="BG91" s="6">
        <v>47787</v>
      </c>
      <c r="BH91" s="5">
        <v>12</v>
      </c>
      <c r="BI91" s="6">
        <v>47422</v>
      </c>
      <c r="BJ91" s="6">
        <v>47542</v>
      </c>
      <c r="BK91" s="5">
        <v>3.9</v>
      </c>
      <c r="BL91" s="6">
        <v>47422</v>
      </c>
      <c r="BM91" s="6">
        <v>47787</v>
      </c>
      <c r="BN91" s="5">
        <v>12</v>
      </c>
      <c r="BO91" s="6">
        <v>47695</v>
      </c>
      <c r="BP91" s="6">
        <v>47422</v>
      </c>
      <c r="BQ91" s="5">
        <v>9</v>
      </c>
      <c r="BR91" s="6">
        <v>47422</v>
      </c>
      <c r="BS91" s="6">
        <v>47787</v>
      </c>
      <c r="BT91" s="5">
        <v>12</v>
      </c>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row>
    <row r="92" spans="1:105" ht="15" customHeight="1" x14ac:dyDescent="0.2">
      <c r="A92" s="3" t="s">
        <v>1319</v>
      </c>
      <c r="B92" s="3" t="s">
        <v>1320</v>
      </c>
      <c r="C92" s="3" t="s">
        <v>1320</v>
      </c>
      <c r="D92" s="3" t="s">
        <v>529</v>
      </c>
      <c r="E92" s="3" t="s">
        <v>1321</v>
      </c>
      <c r="F92" s="3"/>
      <c r="G92" s="3" t="s">
        <v>110</v>
      </c>
      <c r="H92" s="3"/>
      <c r="I92" s="3"/>
      <c r="J92" s="3" t="s">
        <v>113</v>
      </c>
      <c r="K92" s="3" t="s">
        <v>114</v>
      </c>
      <c r="L92" s="3" t="s">
        <v>114</v>
      </c>
      <c r="M92" s="3" t="s">
        <v>114</v>
      </c>
      <c r="N92" s="3" t="s">
        <v>114</v>
      </c>
      <c r="O92" s="3" t="s">
        <v>114</v>
      </c>
      <c r="P92" s="3"/>
      <c r="Q92" s="3" t="s">
        <v>1325</v>
      </c>
      <c r="R92" s="3"/>
      <c r="S92" s="3" t="s">
        <v>1323</v>
      </c>
      <c r="T92" s="3" t="s">
        <v>1324</v>
      </c>
      <c r="U92" s="3" t="s">
        <v>120</v>
      </c>
      <c r="V92" s="3" t="s">
        <v>119</v>
      </c>
      <c r="W92" s="3" t="s">
        <v>120</v>
      </c>
      <c r="X92" s="3"/>
      <c r="Y92" s="3"/>
      <c r="Z92" s="3" t="s">
        <v>119</v>
      </c>
      <c r="AA92" s="3"/>
      <c r="AB92" s="3" t="s">
        <v>122</v>
      </c>
      <c r="AC92" s="3" t="s">
        <v>217</v>
      </c>
      <c r="AD92" s="3" t="s">
        <v>989</v>
      </c>
      <c r="AE92" s="3"/>
      <c r="AF92" s="3"/>
      <c r="AG92" s="3" t="s">
        <v>127</v>
      </c>
      <c r="AH92" s="3"/>
      <c r="AI92" s="3"/>
      <c r="AJ92" s="3"/>
      <c r="AK92" s="3"/>
      <c r="AL92" s="3"/>
      <c r="AM92" s="3">
        <v>0</v>
      </c>
      <c r="AN92" s="3"/>
      <c r="AO92" s="3"/>
      <c r="AP92" s="3"/>
      <c r="AQ92" s="3"/>
      <c r="AR92" s="3"/>
      <c r="AS92" s="3">
        <v>0</v>
      </c>
      <c r="AT92" s="3"/>
      <c r="AU92" s="3"/>
      <c r="AV92" s="3"/>
      <c r="AW92" s="3"/>
      <c r="AX92" s="3"/>
      <c r="AY92" s="3"/>
      <c r="AZ92" s="3">
        <v>0</v>
      </c>
      <c r="BA92" s="3"/>
      <c r="BB92" s="3"/>
      <c r="BC92" s="3"/>
      <c r="BD92" s="3"/>
      <c r="BE92" s="4">
        <v>47270</v>
      </c>
      <c r="BF92" s="4">
        <v>47422</v>
      </c>
      <c r="BG92" s="4">
        <v>47787</v>
      </c>
      <c r="BH92" s="3">
        <v>12</v>
      </c>
      <c r="BI92" s="4">
        <v>47422</v>
      </c>
      <c r="BJ92" s="4">
        <v>47542</v>
      </c>
      <c r="BK92" s="3">
        <v>3.9</v>
      </c>
      <c r="BL92" s="4">
        <v>47422</v>
      </c>
      <c r="BM92" s="4">
        <v>47787</v>
      </c>
      <c r="BN92" s="3">
        <v>12</v>
      </c>
      <c r="BO92" s="4">
        <v>47695</v>
      </c>
      <c r="BP92" s="4">
        <v>47422</v>
      </c>
      <c r="BQ92" s="3">
        <v>9</v>
      </c>
      <c r="BR92" s="4">
        <v>47422</v>
      </c>
      <c r="BS92" s="4">
        <v>47787</v>
      </c>
      <c r="BT92" s="3">
        <v>12</v>
      </c>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row>
    <row r="93" spans="1:105" ht="15" customHeight="1" x14ac:dyDescent="0.2">
      <c r="A93" s="5" t="s">
        <v>1003</v>
      </c>
      <c r="B93" s="5" t="s">
        <v>1004</v>
      </c>
      <c r="C93" s="5" t="s">
        <v>1005</v>
      </c>
      <c r="D93" s="5" t="s">
        <v>140</v>
      </c>
      <c r="E93" s="5" t="s">
        <v>140</v>
      </c>
      <c r="F93" s="5" t="s">
        <v>140</v>
      </c>
      <c r="G93" s="5" t="s">
        <v>110</v>
      </c>
      <c r="H93" s="5" t="s">
        <v>351</v>
      </c>
      <c r="I93" s="5" t="s">
        <v>544</v>
      </c>
      <c r="J93" s="5" t="s">
        <v>113</v>
      </c>
      <c r="K93" s="5" t="s">
        <v>114</v>
      </c>
      <c r="L93" s="5" t="s">
        <v>114</v>
      </c>
      <c r="M93" s="5" t="s">
        <v>114</v>
      </c>
      <c r="N93" s="5" t="s">
        <v>114</v>
      </c>
      <c r="O93" s="5" t="s">
        <v>114</v>
      </c>
      <c r="P93" s="5" t="s">
        <v>114</v>
      </c>
      <c r="Q93" s="5" t="s">
        <v>1326</v>
      </c>
      <c r="R93" s="5" t="s">
        <v>1327</v>
      </c>
      <c r="S93" s="5" t="s">
        <v>898</v>
      </c>
      <c r="T93" s="5" t="s">
        <v>1328</v>
      </c>
      <c r="U93" s="5" t="s">
        <v>120</v>
      </c>
      <c r="V93" s="5" t="s">
        <v>119</v>
      </c>
      <c r="W93" s="5" t="s">
        <v>120</v>
      </c>
      <c r="X93" s="5" t="s">
        <v>388</v>
      </c>
      <c r="Y93" s="5" t="s">
        <v>348</v>
      </c>
      <c r="Z93" s="5" t="s">
        <v>119</v>
      </c>
      <c r="AA93" s="5"/>
      <c r="AB93" s="5" t="s">
        <v>122</v>
      </c>
      <c r="AC93" s="5" t="s">
        <v>217</v>
      </c>
      <c r="AD93" s="5" t="s">
        <v>145</v>
      </c>
      <c r="AE93" s="5" t="s">
        <v>1329</v>
      </c>
      <c r="AF93" s="5" t="s">
        <v>1330</v>
      </c>
      <c r="AG93" s="5" t="s">
        <v>166</v>
      </c>
      <c r="AH93" s="5"/>
      <c r="AI93" s="5"/>
      <c r="AJ93" s="5"/>
      <c r="AK93" s="5"/>
      <c r="AL93" s="5"/>
      <c r="AM93" s="5">
        <v>0</v>
      </c>
      <c r="AN93" s="5"/>
      <c r="AO93" s="5"/>
      <c r="AP93" s="5"/>
      <c r="AQ93" s="5"/>
      <c r="AR93" s="5"/>
      <c r="AS93" s="5">
        <v>0</v>
      </c>
      <c r="AT93" s="5"/>
      <c r="AU93" s="5"/>
      <c r="AV93" s="5"/>
      <c r="AW93" s="5"/>
      <c r="AX93" s="5"/>
      <c r="AY93" s="5"/>
      <c r="AZ93" s="5">
        <v>0</v>
      </c>
      <c r="BA93" s="5"/>
      <c r="BB93" s="5" t="s">
        <v>876</v>
      </c>
      <c r="BC93" s="5">
        <v>700</v>
      </c>
      <c r="BD93" s="6">
        <v>45743</v>
      </c>
      <c r="BE93" s="6">
        <v>47239</v>
      </c>
      <c r="BF93" s="6">
        <v>47391</v>
      </c>
      <c r="BG93" s="6">
        <v>47664</v>
      </c>
      <c r="BH93" s="5">
        <v>9</v>
      </c>
      <c r="BI93" s="6">
        <v>47391</v>
      </c>
      <c r="BJ93" s="6">
        <v>47573</v>
      </c>
      <c r="BK93" s="5">
        <v>6</v>
      </c>
      <c r="BL93" s="6">
        <v>47391</v>
      </c>
      <c r="BM93" s="6">
        <v>47756</v>
      </c>
      <c r="BN93" s="5">
        <v>12</v>
      </c>
      <c r="BO93" s="6">
        <v>47664</v>
      </c>
      <c r="BP93" s="6">
        <v>47391</v>
      </c>
      <c r="BQ93" s="5">
        <v>9</v>
      </c>
      <c r="BR93" s="6">
        <v>47391</v>
      </c>
      <c r="BS93" s="6">
        <v>47664</v>
      </c>
      <c r="BT93" s="5">
        <v>9</v>
      </c>
      <c r="BU93" s="5" t="s">
        <v>1331</v>
      </c>
      <c r="BV93" s="5" t="s">
        <v>1332</v>
      </c>
      <c r="BW93" s="5" t="s">
        <v>1333</v>
      </c>
      <c r="BX93" s="6">
        <v>47239</v>
      </c>
      <c r="BY93" s="6">
        <v>48245</v>
      </c>
      <c r="BZ93" s="5" t="s">
        <v>136</v>
      </c>
      <c r="CA93" s="5" t="s">
        <v>492</v>
      </c>
      <c r="CB93" s="5" t="s">
        <v>1334</v>
      </c>
      <c r="CC93" s="5" t="s">
        <v>301</v>
      </c>
      <c r="CD93" s="5"/>
      <c r="CE93" s="5"/>
      <c r="CF93" s="5"/>
      <c r="CG93" s="5"/>
      <c r="CH93" s="5"/>
      <c r="CI93" s="5"/>
      <c r="CJ93" s="5"/>
      <c r="CK93" s="5"/>
      <c r="CL93" s="5"/>
      <c r="CM93" s="5"/>
      <c r="CN93" s="5"/>
      <c r="CO93" s="5"/>
      <c r="CP93" s="5"/>
      <c r="CQ93" s="5"/>
      <c r="CR93" s="5"/>
      <c r="CS93" s="5"/>
      <c r="CT93" s="5"/>
      <c r="CU93" s="5"/>
      <c r="CV93" s="5"/>
      <c r="CW93" s="5"/>
      <c r="CX93" s="5"/>
      <c r="CY93" s="5"/>
      <c r="CZ93" s="5"/>
      <c r="DA93" s="5"/>
    </row>
    <row r="94" spans="1:105" ht="15" customHeight="1" x14ac:dyDescent="0.2">
      <c r="A94" s="3" t="s">
        <v>1188</v>
      </c>
      <c r="B94" s="3" t="s">
        <v>1189</v>
      </c>
      <c r="C94" s="3" t="s">
        <v>1189</v>
      </c>
      <c r="D94" s="3" t="s">
        <v>350</v>
      </c>
      <c r="E94" s="3" t="s">
        <v>350</v>
      </c>
      <c r="F94" s="3" t="s">
        <v>350</v>
      </c>
      <c r="G94" s="3" t="s">
        <v>110</v>
      </c>
      <c r="H94" s="3" t="s">
        <v>259</v>
      </c>
      <c r="I94" s="3" t="s">
        <v>181</v>
      </c>
      <c r="J94" s="3" t="s">
        <v>113</v>
      </c>
      <c r="K94" s="3" t="s">
        <v>114</v>
      </c>
      <c r="L94" s="3" t="s">
        <v>114</v>
      </c>
      <c r="M94" s="3" t="s">
        <v>114</v>
      </c>
      <c r="N94" s="3" t="s">
        <v>114</v>
      </c>
      <c r="O94" s="3" t="s">
        <v>114</v>
      </c>
      <c r="P94" s="3" t="s">
        <v>114</v>
      </c>
      <c r="Q94" s="3" t="s">
        <v>1335</v>
      </c>
      <c r="R94" s="3" t="s">
        <v>1336</v>
      </c>
      <c r="S94" s="3" t="s">
        <v>1192</v>
      </c>
      <c r="T94" s="3" t="s">
        <v>1337</v>
      </c>
      <c r="U94" s="3" t="s">
        <v>120</v>
      </c>
      <c r="V94" s="3" t="s">
        <v>119</v>
      </c>
      <c r="W94" s="3" t="s">
        <v>120</v>
      </c>
      <c r="X94" s="3"/>
      <c r="Y94" s="3" t="s">
        <v>1338</v>
      </c>
      <c r="Z94" s="3" t="s">
        <v>119</v>
      </c>
      <c r="AA94" s="3"/>
      <c r="AB94" s="3" t="s">
        <v>122</v>
      </c>
      <c r="AC94" s="3" t="s">
        <v>217</v>
      </c>
      <c r="AD94" s="3" t="s">
        <v>736</v>
      </c>
      <c r="AE94" s="3" t="s">
        <v>1339</v>
      </c>
      <c r="AF94" s="3" t="s">
        <v>875</v>
      </c>
      <c r="AG94" s="3" t="s">
        <v>358</v>
      </c>
      <c r="AH94" s="3"/>
      <c r="AI94" s="3"/>
      <c r="AJ94" s="3"/>
      <c r="AK94" s="3"/>
      <c r="AL94" s="3"/>
      <c r="AM94" s="3">
        <v>0</v>
      </c>
      <c r="AN94" s="3"/>
      <c r="AO94" s="3"/>
      <c r="AP94" s="3"/>
      <c r="AQ94" s="3"/>
      <c r="AR94" s="3"/>
      <c r="AS94" s="3">
        <v>0</v>
      </c>
      <c r="AT94" s="3"/>
      <c r="AU94" s="3"/>
      <c r="AV94" s="3"/>
      <c r="AW94" s="3"/>
      <c r="AX94" s="3"/>
      <c r="AY94" s="3"/>
      <c r="AZ94" s="3">
        <v>0</v>
      </c>
      <c r="BA94" s="3"/>
      <c r="BB94" s="3" t="s">
        <v>876</v>
      </c>
      <c r="BC94" s="3">
        <v>878</v>
      </c>
      <c r="BD94" s="4">
        <v>45623</v>
      </c>
      <c r="BE94" s="4">
        <v>47239</v>
      </c>
      <c r="BF94" s="4">
        <v>47391</v>
      </c>
      <c r="BG94" s="4">
        <v>47664</v>
      </c>
      <c r="BH94" s="3">
        <v>9</v>
      </c>
      <c r="BI94" s="4">
        <v>47391</v>
      </c>
      <c r="BJ94" s="4">
        <v>47573</v>
      </c>
      <c r="BK94" s="3">
        <v>6</v>
      </c>
      <c r="BL94" s="4">
        <v>47391</v>
      </c>
      <c r="BM94" s="4">
        <v>47756</v>
      </c>
      <c r="BN94" s="3">
        <v>12</v>
      </c>
      <c r="BO94" s="4">
        <v>47664</v>
      </c>
      <c r="BP94" s="4">
        <v>47391</v>
      </c>
      <c r="BQ94" s="3">
        <v>9</v>
      </c>
      <c r="BR94" s="4">
        <v>47391</v>
      </c>
      <c r="BS94" s="4">
        <v>47664</v>
      </c>
      <c r="BT94" s="3">
        <v>9</v>
      </c>
      <c r="BU94" s="3" t="s">
        <v>1340</v>
      </c>
      <c r="BV94" s="3" t="s">
        <v>1341</v>
      </c>
      <c r="BW94" s="3" t="s">
        <v>1342</v>
      </c>
      <c r="BX94" s="4">
        <v>47248</v>
      </c>
      <c r="BY94" s="4">
        <v>47567</v>
      </c>
      <c r="BZ94" s="3" t="s">
        <v>136</v>
      </c>
      <c r="CA94" s="3" t="s">
        <v>191</v>
      </c>
      <c r="CB94" s="3" t="s">
        <v>685</v>
      </c>
      <c r="CC94" s="3" t="s">
        <v>1343</v>
      </c>
      <c r="CD94" s="3"/>
      <c r="CE94" s="3"/>
      <c r="CF94" s="3"/>
      <c r="CG94" s="3"/>
      <c r="CH94" s="3"/>
      <c r="CI94" s="3"/>
      <c r="CJ94" s="3"/>
      <c r="CK94" s="3"/>
      <c r="CL94" s="3"/>
      <c r="CM94" s="3"/>
      <c r="CN94" s="3"/>
      <c r="CO94" s="3"/>
      <c r="CP94" s="3"/>
      <c r="CQ94" s="3"/>
      <c r="CR94" s="3"/>
      <c r="CS94" s="3"/>
      <c r="CT94" s="3"/>
      <c r="CU94" s="3"/>
      <c r="CV94" s="3"/>
      <c r="CW94" s="3"/>
      <c r="CX94" s="3"/>
      <c r="CY94" s="3"/>
      <c r="CZ94" s="3"/>
      <c r="DA94" s="3"/>
    </row>
    <row r="95" spans="1:105" ht="15" customHeight="1" x14ac:dyDescent="0.2">
      <c r="A95" s="5" t="s">
        <v>1104</v>
      </c>
      <c r="B95" s="5" t="s">
        <v>1105</v>
      </c>
      <c r="C95" s="5" t="s">
        <v>1106</v>
      </c>
      <c r="D95" s="5" t="s">
        <v>235</v>
      </c>
      <c r="E95" s="5" t="s">
        <v>235</v>
      </c>
      <c r="F95" s="5"/>
      <c r="G95" s="5" t="s">
        <v>110</v>
      </c>
      <c r="H95" s="5" t="s">
        <v>259</v>
      </c>
      <c r="I95" s="5"/>
      <c r="J95" s="5" t="s">
        <v>113</v>
      </c>
      <c r="K95" s="5" t="s">
        <v>114</v>
      </c>
      <c r="L95" s="5" t="s">
        <v>114</v>
      </c>
      <c r="M95" s="5" t="s">
        <v>114</v>
      </c>
      <c r="N95" s="5" t="s">
        <v>114</v>
      </c>
      <c r="O95" s="5" t="s">
        <v>114</v>
      </c>
      <c r="P95" s="5"/>
      <c r="Q95" s="5" t="s">
        <v>1344</v>
      </c>
      <c r="R95" s="5"/>
      <c r="S95" s="5" t="s">
        <v>1109</v>
      </c>
      <c r="T95" s="5" t="s">
        <v>1345</v>
      </c>
      <c r="U95" s="5" t="s">
        <v>119</v>
      </c>
      <c r="V95" s="5" t="s">
        <v>119</v>
      </c>
      <c r="W95" s="5" t="s">
        <v>120</v>
      </c>
      <c r="X95" s="5"/>
      <c r="Y95" s="5"/>
      <c r="Z95" s="5" t="s">
        <v>119</v>
      </c>
      <c r="AA95" s="5"/>
      <c r="AB95" s="5" t="s">
        <v>122</v>
      </c>
      <c r="AC95" s="5" t="s">
        <v>217</v>
      </c>
      <c r="AD95" s="5" t="s">
        <v>838</v>
      </c>
      <c r="AE95" s="5"/>
      <c r="AF95" s="5"/>
      <c r="AG95" s="5" t="s">
        <v>127</v>
      </c>
      <c r="AH95" s="5"/>
      <c r="AI95" s="5"/>
      <c r="AJ95" s="5"/>
      <c r="AK95" s="5"/>
      <c r="AL95" s="5"/>
      <c r="AM95" s="5">
        <v>0</v>
      </c>
      <c r="AN95" s="5"/>
      <c r="AO95" s="5"/>
      <c r="AP95" s="5"/>
      <c r="AQ95" s="5"/>
      <c r="AR95" s="5"/>
      <c r="AS95" s="5">
        <v>0</v>
      </c>
      <c r="AT95" s="5"/>
      <c r="AU95" s="5"/>
      <c r="AV95" s="5"/>
      <c r="AW95" s="5"/>
      <c r="AX95" s="5"/>
      <c r="AY95" s="5"/>
      <c r="AZ95" s="5">
        <v>0</v>
      </c>
      <c r="BA95" s="5"/>
      <c r="BB95" s="5"/>
      <c r="BC95" s="5"/>
      <c r="BD95" s="5"/>
      <c r="BE95" s="6">
        <v>47270</v>
      </c>
      <c r="BF95" s="6">
        <v>47422</v>
      </c>
      <c r="BG95" s="6">
        <v>47695</v>
      </c>
      <c r="BH95" s="5">
        <v>9</v>
      </c>
      <c r="BI95" s="6">
        <v>47422</v>
      </c>
      <c r="BJ95" s="6">
        <v>47603</v>
      </c>
      <c r="BK95" s="5">
        <v>5.9</v>
      </c>
      <c r="BL95" s="6">
        <v>47422</v>
      </c>
      <c r="BM95" s="6">
        <v>47787</v>
      </c>
      <c r="BN95" s="5">
        <v>12</v>
      </c>
      <c r="BO95" s="6">
        <v>47695</v>
      </c>
      <c r="BP95" s="6">
        <v>47422</v>
      </c>
      <c r="BQ95" s="5">
        <v>9</v>
      </c>
      <c r="BR95" s="6">
        <v>47422</v>
      </c>
      <c r="BS95" s="6">
        <v>47695</v>
      </c>
      <c r="BT95" s="5">
        <v>9</v>
      </c>
      <c r="BU95" s="5"/>
      <c r="BV95" s="5"/>
      <c r="BW95" s="5"/>
      <c r="BX95" s="5"/>
      <c r="BY95" s="5"/>
      <c r="BZ95" s="5"/>
      <c r="CA95" s="5"/>
      <c r="CB95" s="5"/>
      <c r="CC95" s="5"/>
      <c r="CD95" s="5"/>
      <c r="CE95" s="5"/>
      <c r="CF95" s="5" t="s">
        <v>1116</v>
      </c>
      <c r="CG95" s="5" t="s">
        <v>1117</v>
      </c>
      <c r="CH95" s="5" t="s">
        <v>1118</v>
      </c>
      <c r="CI95" s="5" t="s">
        <v>1119</v>
      </c>
      <c r="CJ95" s="5" t="s">
        <v>850</v>
      </c>
      <c r="CK95" s="5" t="s">
        <v>1120</v>
      </c>
      <c r="CL95" s="5" t="s">
        <v>852</v>
      </c>
      <c r="CM95" s="5" t="s">
        <v>975</v>
      </c>
      <c r="CN95" s="5" t="s">
        <v>854</v>
      </c>
      <c r="CO95" s="5"/>
      <c r="CP95" s="5">
        <v>4</v>
      </c>
      <c r="CQ95" s="5"/>
      <c r="CR95" s="5"/>
      <c r="CS95" s="5"/>
      <c r="CT95" s="5"/>
      <c r="CU95" s="5"/>
      <c r="CV95" s="5"/>
      <c r="CW95" s="5"/>
      <c r="CX95" s="5"/>
      <c r="CY95" s="5"/>
      <c r="CZ95" s="5"/>
      <c r="DA95" s="5"/>
    </row>
    <row r="96" spans="1:105" ht="15" customHeight="1" x14ac:dyDescent="0.2">
      <c r="A96" s="3" t="s">
        <v>1346</v>
      </c>
      <c r="B96" s="3" t="s">
        <v>1347</v>
      </c>
      <c r="C96" s="3" t="s">
        <v>1348</v>
      </c>
      <c r="D96" s="3" t="s">
        <v>1349</v>
      </c>
      <c r="E96" s="3" t="s">
        <v>1349</v>
      </c>
      <c r="F96" s="3"/>
      <c r="G96" s="3" t="s">
        <v>110</v>
      </c>
      <c r="H96" s="3"/>
      <c r="I96" s="3"/>
      <c r="J96" s="3" t="s">
        <v>113</v>
      </c>
      <c r="K96" s="3" t="s">
        <v>114</v>
      </c>
      <c r="L96" s="3" t="s">
        <v>114</v>
      </c>
      <c r="M96" s="3" t="s">
        <v>114</v>
      </c>
      <c r="N96" s="3" t="s">
        <v>114</v>
      </c>
      <c r="O96" s="3" t="s">
        <v>114</v>
      </c>
      <c r="P96" s="3"/>
      <c r="Q96" s="3" t="s">
        <v>1350</v>
      </c>
      <c r="R96" s="3"/>
      <c r="S96" s="3" t="s">
        <v>1351</v>
      </c>
      <c r="T96" s="3" t="s">
        <v>1220</v>
      </c>
      <c r="U96" s="3" t="s">
        <v>120</v>
      </c>
      <c r="V96" s="3" t="s">
        <v>119</v>
      </c>
      <c r="W96" s="3" t="s">
        <v>120</v>
      </c>
      <c r="X96" s="3" t="s">
        <v>694</v>
      </c>
      <c r="Y96" s="3" t="s">
        <v>278</v>
      </c>
      <c r="Z96" s="3" t="s">
        <v>119</v>
      </c>
      <c r="AA96" s="3"/>
      <c r="AB96" s="3" t="s">
        <v>122</v>
      </c>
      <c r="AC96" s="3" t="s">
        <v>217</v>
      </c>
      <c r="AD96" s="3" t="s">
        <v>1352</v>
      </c>
      <c r="AE96" s="3"/>
      <c r="AF96" s="3"/>
      <c r="AG96" s="3" t="s">
        <v>166</v>
      </c>
      <c r="AH96" s="3"/>
      <c r="AI96" s="3"/>
      <c r="AJ96" s="3"/>
      <c r="AK96" s="3"/>
      <c r="AL96" s="3"/>
      <c r="AM96" s="3">
        <v>0</v>
      </c>
      <c r="AN96" s="3"/>
      <c r="AO96" s="3"/>
      <c r="AP96" s="3"/>
      <c r="AQ96" s="3"/>
      <c r="AR96" s="3"/>
      <c r="AS96" s="3">
        <v>0</v>
      </c>
      <c r="AT96" s="3"/>
      <c r="AU96" s="3"/>
      <c r="AV96" s="3"/>
      <c r="AW96" s="3"/>
      <c r="AX96" s="3"/>
      <c r="AY96" s="3"/>
      <c r="AZ96" s="3">
        <v>0</v>
      </c>
      <c r="BA96" s="3"/>
      <c r="BB96" s="3"/>
      <c r="BC96" s="3"/>
      <c r="BD96" s="3"/>
      <c r="BE96" s="4">
        <v>47299</v>
      </c>
      <c r="BF96" s="4">
        <v>47422</v>
      </c>
      <c r="BG96" s="4">
        <v>47695</v>
      </c>
      <c r="BH96" s="3">
        <v>9</v>
      </c>
      <c r="BI96" s="4">
        <v>47422</v>
      </c>
      <c r="BJ96" s="4">
        <v>47603</v>
      </c>
      <c r="BK96" s="3">
        <v>5.9</v>
      </c>
      <c r="BL96" s="3"/>
      <c r="BM96" s="3"/>
      <c r="BN96" s="3"/>
      <c r="BO96" s="3"/>
      <c r="BP96" s="3"/>
      <c r="BQ96" s="3"/>
      <c r="BR96" s="4">
        <v>47422</v>
      </c>
      <c r="BS96" s="4">
        <v>47695</v>
      </c>
      <c r="BT96" s="3">
        <v>9</v>
      </c>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row>
    <row r="97" spans="1:105" ht="15" customHeight="1" x14ac:dyDescent="0.2">
      <c r="A97" s="5" t="s">
        <v>330</v>
      </c>
      <c r="B97" s="5" t="s">
        <v>331</v>
      </c>
      <c r="C97" s="5" t="s">
        <v>331</v>
      </c>
      <c r="D97" s="5" t="s">
        <v>107</v>
      </c>
      <c r="E97" s="5" t="s">
        <v>108</v>
      </c>
      <c r="F97" s="5" t="s">
        <v>332</v>
      </c>
      <c r="G97" s="5" t="s">
        <v>110</v>
      </c>
      <c r="H97" s="5" t="s">
        <v>763</v>
      </c>
      <c r="I97" s="5" t="s">
        <v>544</v>
      </c>
      <c r="J97" s="5" t="s">
        <v>113</v>
      </c>
      <c r="K97" s="5" t="s">
        <v>114</v>
      </c>
      <c r="L97" s="5" t="s">
        <v>114</v>
      </c>
      <c r="M97" s="5" t="s">
        <v>114</v>
      </c>
      <c r="N97" s="5" t="s">
        <v>114</v>
      </c>
      <c r="O97" s="5" t="s">
        <v>114</v>
      </c>
      <c r="P97" s="5" t="s">
        <v>114</v>
      </c>
      <c r="Q97" s="5" t="s">
        <v>1353</v>
      </c>
      <c r="R97" s="5" t="s">
        <v>1354</v>
      </c>
      <c r="S97" s="5" t="s">
        <v>335</v>
      </c>
      <c r="T97" s="5" t="s">
        <v>1355</v>
      </c>
      <c r="U97" s="5" t="s">
        <v>119</v>
      </c>
      <c r="V97" s="5" t="s">
        <v>119</v>
      </c>
      <c r="W97" s="5" t="s">
        <v>120</v>
      </c>
      <c r="X97" s="5" t="s">
        <v>388</v>
      </c>
      <c r="Y97" s="5" t="s">
        <v>1356</v>
      </c>
      <c r="Z97" s="5" t="s">
        <v>119</v>
      </c>
      <c r="AA97" s="5" t="s">
        <v>144</v>
      </c>
      <c r="AB97" s="5" t="s">
        <v>122</v>
      </c>
      <c r="AC97" s="5" t="s">
        <v>217</v>
      </c>
      <c r="AD97" s="5" t="s">
        <v>145</v>
      </c>
      <c r="AE97" s="5" t="s">
        <v>1357</v>
      </c>
      <c r="AF97" s="5" t="s">
        <v>348</v>
      </c>
      <c r="AG97" s="5" t="s">
        <v>166</v>
      </c>
      <c r="AH97" s="5"/>
      <c r="AI97" s="5"/>
      <c r="AJ97" s="5"/>
      <c r="AK97" s="5"/>
      <c r="AL97" s="5"/>
      <c r="AM97" s="5">
        <v>0</v>
      </c>
      <c r="AN97" s="5"/>
      <c r="AO97" s="5"/>
      <c r="AP97" s="5"/>
      <c r="AQ97" s="5"/>
      <c r="AR97" s="5"/>
      <c r="AS97" s="5">
        <v>0</v>
      </c>
      <c r="AT97" s="5"/>
      <c r="AU97" s="5"/>
      <c r="AV97" s="5"/>
      <c r="AW97" s="5"/>
      <c r="AX97" s="5"/>
      <c r="AY97" s="5"/>
      <c r="AZ97" s="5">
        <v>0</v>
      </c>
      <c r="BA97" s="5"/>
      <c r="BB97" s="5" t="s">
        <v>522</v>
      </c>
      <c r="BC97" s="5">
        <v>71</v>
      </c>
      <c r="BD97" s="6">
        <v>44866</v>
      </c>
      <c r="BE97" s="6">
        <v>47270</v>
      </c>
      <c r="BF97" s="6">
        <v>47422</v>
      </c>
      <c r="BG97" s="6">
        <v>47695</v>
      </c>
      <c r="BH97" s="5">
        <v>9</v>
      </c>
      <c r="BI97" s="6">
        <v>47422</v>
      </c>
      <c r="BJ97" s="6">
        <v>47603</v>
      </c>
      <c r="BK97" s="5">
        <v>5.9</v>
      </c>
      <c r="BL97" s="6">
        <v>47422</v>
      </c>
      <c r="BM97" s="6">
        <v>47787</v>
      </c>
      <c r="BN97" s="5">
        <v>12</v>
      </c>
      <c r="BO97" s="6">
        <v>47695</v>
      </c>
      <c r="BP97" s="6">
        <v>47422</v>
      </c>
      <c r="BQ97" s="5">
        <v>9</v>
      </c>
      <c r="BR97" s="6">
        <v>47422</v>
      </c>
      <c r="BS97" s="6">
        <v>47695</v>
      </c>
      <c r="BT97" s="5">
        <v>9</v>
      </c>
      <c r="BU97" s="5" t="s">
        <v>1358</v>
      </c>
      <c r="BV97" s="5" t="s">
        <v>1359</v>
      </c>
      <c r="BW97" s="5" t="s">
        <v>1360</v>
      </c>
      <c r="BX97" s="6">
        <v>46376</v>
      </c>
      <c r="BY97" s="6">
        <v>47653</v>
      </c>
      <c r="BZ97" s="5" t="s">
        <v>136</v>
      </c>
      <c r="CA97" s="5" t="s">
        <v>137</v>
      </c>
      <c r="CB97" s="5" t="s">
        <v>1361</v>
      </c>
      <c r="CC97" s="5" t="s">
        <v>1362</v>
      </c>
      <c r="CD97" s="5" t="s">
        <v>881</v>
      </c>
      <c r="CE97" s="5"/>
      <c r="CF97" s="5"/>
      <c r="CG97" s="5"/>
      <c r="CH97" s="5"/>
      <c r="CI97" s="5"/>
      <c r="CJ97" s="5"/>
      <c r="CK97" s="5"/>
      <c r="CL97" s="5"/>
      <c r="CM97" s="5"/>
      <c r="CN97" s="5"/>
      <c r="CO97" s="5"/>
      <c r="CP97" s="5"/>
      <c r="CQ97" s="5"/>
      <c r="CR97" s="5"/>
      <c r="CS97" s="5"/>
      <c r="CT97" s="5"/>
      <c r="CU97" s="5"/>
      <c r="CV97" s="5"/>
      <c r="CW97" s="5"/>
      <c r="CX97" s="5"/>
      <c r="CY97" s="5"/>
      <c r="CZ97" s="5"/>
      <c r="DA97" s="5"/>
    </row>
    <row r="98" spans="1:105" ht="15" customHeight="1" x14ac:dyDescent="0.2">
      <c r="A98" s="3" t="s">
        <v>1132</v>
      </c>
      <c r="B98" s="3" t="s">
        <v>1133</v>
      </c>
      <c r="C98" s="3" t="s">
        <v>1133</v>
      </c>
      <c r="D98" s="3" t="s">
        <v>194</v>
      </c>
      <c r="E98" s="3" t="s">
        <v>194</v>
      </c>
      <c r="F98" s="3"/>
      <c r="G98" s="3" t="s">
        <v>110</v>
      </c>
      <c r="H98" s="3" t="s">
        <v>259</v>
      </c>
      <c r="I98" s="3"/>
      <c r="J98" s="3" t="s">
        <v>113</v>
      </c>
      <c r="K98" s="3" t="s">
        <v>114</v>
      </c>
      <c r="L98" s="3" t="s">
        <v>114</v>
      </c>
      <c r="M98" s="3" t="s">
        <v>114</v>
      </c>
      <c r="N98" s="3" t="s">
        <v>114</v>
      </c>
      <c r="O98" s="3" t="s">
        <v>114</v>
      </c>
      <c r="P98" s="3"/>
      <c r="Q98" s="3" t="s">
        <v>1363</v>
      </c>
      <c r="R98" s="3"/>
      <c r="S98" s="3" t="s">
        <v>898</v>
      </c>
      <c r="T98" s="3" t="s">
        <v>1137</v>
      </c>
      <c r="U98" s="3" t="s">
        <v>120</v>
      </c>
      <c r="V98" s="3" t="s">
        <v>119</v>
      </c>
      <c r="W98" s="3" t="s">
        <v>120</v>
      </c>
      <c r="X98" s="3" t="s">
        <v>388</v>
      </c>
      <c r="Y98" s="3" t="s">
        <v>278</v>
      </c>
      <c r="Z98" s="3" t="s">
        <v>119</v>
      </c>
      <c r="AA98" s="3"/>
      <c r="AB98" s="3" t="s">
        <v>122</v>
      </c>
      <c r="AC98" s="3" t="s">
        <v>217</v>
      </c>
      <c r="AD98" s="3" t="s">
        <v>145</v>
      </c>
      <c r="AE98" s="3"/>
      <c r="AF98" s="3"/>
      <c r="AG98" s="3" t="s">
        <v>127</v>
      </c>
      <c r="AH98" s="3"/>
      <c r="AI98" s="3"/>
      <c r="AJ98" s="3"/>
      <c r="AK98" s="3"/>
      <c r="AL98" s="3"/>
      <c r="AM98" s="3">
        <v>0</v>
      </c>
      <c r="AN98" s="3"/>
      <c r="AO98" s="3"/>
      <c r="AP98" s="3"/>
      <c r="AQ98" s="3"/>
      <c r="AR98" s="3"/>
      <c r="AS98" s="3">
        <v>0</v>
      </c>
      <c r="AT98" s="3"/>
      <c r="AU98" s="3"/>
      <c r="AV98" s="3"/>
      <c r="AW98" s="3"/>
      <c r="AX98" s="3"/>
      <c r="AY98" s="3"/>
      <c r="AZ98" s="3">
        <v>0</v>
      </c>
      <c r="BA98" s="3"/>
      <c r="BB98" s="3"/>
      <c r="BC98" s="3"/>
      <c r="BD98" s="3"/>
      <c r="BE98" s="4">
        <v>47330</v>
      </c>
      <c r="BF98" s="4">
        <v>47452</v>
      </c>
      <c r="BG98" s="4">
        <v>47726</v>
      </c>
      <c r="BH98" s="3">
        <v>9</v>
      </c>
      <c r="BI98" s="4">
        <v>47452</v>
      </c>
      <c r="BJ98" s="4">
        <v>47634</v>
      </c>
      <c r="BK98" s="3">
        <v>6</v>
      </c>
      <c r="BL98" s="3"/>
      <c r="BM98" s="3"/>
      <c r="BN98" s="3"/>
      <c r="BO98" s="3"/>
      <c r="BP98" s="3"/>
      <c r="BQ98" s="3"/>
      <c r="BR98" s="4">
        <v>47452</v>
      </c>
      <c r="BS98" s="4">
        <v>47726</v>
      </c>
      <c r="BT98" s="3">
        <v>9</v>
      </c>
      <c r="BU98" s="3"/>
      <c r="BV98" s="3"/>
      <c r="BW98" s="3"/>
      <c r="BX98" s="3"/>
      <c r="BY98" s="3"/>
      <c r="BZ98" s="3"/>
      <c r="CA98" s="3"/>
      <c r="CB98" s="3" t="s">
        <v>1364</v>
      </c>
      <c r="CC98" s="3"/>
      <c r="CD98" s="3"/>
      <c r="CE98" s="3"/>
      <c r="CF98" s="3"/>
      <c r="CG98" s="3"/>
      <c r="CH98" s="3"/>
      <c r="CI98" s="3"/>
      <c r="CJ98" s="3"/>
      <c r="CK98" s="3"/>
      <c r="CL98" s="3"/>
      <c r="CM98" s="3"/>
      <c r="CN98" s="3"/>
      <c r="CO98" s="3"/>
      <c r="CP98" s="3"/>
      <c r="CQ98" s="3"/>
      <c r="CR98" s="3"/>
      <c r="CS98" s="3"/>
      <c r="CT98" s="3"/>
      <c r="CU98" s="3"/>
      <c r="CV98" s="3"/>
      <c r="CW98" s="3"/>
      <c r="CX98" s="3"/>
      <c r="CY98" s="3"/>
      <c r="CZ98" s="3"/>
      <c r="DA98" s="3"/>
    </row>
    <row r="99" spans="1:105" ht="15" customHeight="1" x14ac:dyDescent="0.2">
      <c r="A99" s="5" t="s">
        <v>1365</v>
      </c>
      <c r="B99" s="5" t="s">
        <v>1366</v>
      </c>
      <c r="C99" s="5" t="s">
        <v>1366</v>
      </c>
      <c r="D99" s="5" t="s">
        <v>1367</v>
      </c>
      <c r="E99" s="5" t="s">
        <v>1367</v>
      </c>
      <c r="F99" s="5"/>
      <c r="G99" s="5" t="s">
        <v>110</v>
      </c>
      <c r="H99" s="5"/>
      <c r="I99" s="5"/>
      <c r="J99" s="5" t="s">
        <v>113</v>
      </c>
      <c r="K99" s="5" t="s">
        <v>114</v>
      </c>
      <c r="L99" s="5" t="s">
        <v>114</v>
      </c>
      <c r="M99" s="5" t="s">
        <v>114</v>
      </c>
      <c r="N99" s="5" t="s">
        <v>114</v>
      </c>
      <c r="O99" s="5" t="s">
        <v>114</v>
      </c>
      <c r="P99" s="5"/>
      <c r="Q99" s="5" t="s">
        <v>1368</v>
      </c>
      <c r="R99" s="5"/>
      <c r="S99" s="5" t="s">
        <v>1369</v>
      </c>
      <c r="T99" s="5" t="s">
        <v>1370</v>
      </c>
      <c r="U99" s="5" t="s">
        <v>119</v>
      </c>
      <c r="V99" s="5" t="s">
        <v>119</v>
      </c>
      <c r="W99" s="5" t="s">
        <v>120</v>
      </c>
      <c r="X99" s="5" t="s">
        <v>388</v>
      </c>
      <c r="Y99" s="5" t="s">
        <v>728</v>
      </c>
      <c r="Z99" s="5" t="s">
        <v>119</v>
      </c>
      <c r="AA99" s="5"/>
      <c r="AB99" s="5" t="s">
        <v>122</v>
      </c>
      <c r="AC99" s="5" t="s">
        <v>217</v>
      </c>
      <c r="AD99" s="5" t="s">
        <v>145</v>
      </c>
      <c r="AE99" s="5"/>
      <c r="AF99" s="5"/>
      <c r="AG99" s="5" t="s">
        <v>127</v>
      </c>
      <c r="AH99" s="5"/>
      <c r="AI99" s="5"/>
      <c r="AJ99" s="5"/>
      <c r="AK99" s="5"/>
      <c r="AL99" s="5"/>
      <c r="AM99" s="5">
        <v>0</v>
      </c>
      <c r="AN99" s="5"/>
      <c r="AO99" s="5"/>
      <c r="AP99" s="5"/>
      <c r="AQ99" s="5"/>
      <c r="AR99" s="5"/>
      <c r="AS99" s="5">
        <v>0</v>
      </c>
      <c r="AT99" s="5"/>
      <c r="AU99" s="5"/>
      <c r="AV99" s="5"/>
      <c r="AW99" s="5"/>
      <c r="AX99" s="5"/>
      <c r="AY99" s="5"/>
      <c r="AZ99" s="5">
        <v>0</v>
      </c>
      <c r="BA99" s="5"/>
      <c r="BB99" s="5"/>
      <c r="BC99" s="5"/>
      <c r="BD99" s="5"/>
      <c r="BE99" s="6">
        <v>47362</v>
      </c>
      <c r="BF99" s="6">
        <v>47514</v>
      </c>
      <c r="BG99" s="6">
        <v>47879</v>
      </c>
      <c r="BH99" s="5">
        <v>12</v>
      </c>
      <c r="BI99" s="6">
        <v>47514</v>
      </c>
      <c r="BJ99" s="6">
        <v>47695</v>
      </c>
      <c r="BK99" s="5">
        <v>5.9</v>
      </c>
      <c r="BL99" s="6">
        <v>47514</v>
      </c>
      <c r="BM99" s="6">
        <v>47879</v>
      </c>
      <c r="BN99" s="5">
        <v>12</v>
      </c>
      <c r="BO99" s="6">
        <v>47787</v>
      </c>
      <c r="BP99" s="6">
        <v>47514</v>
      </c>
      <c r="BQ99" s="5">
        <v>9</v>
      </c>
      <c r="BR99" s="6">
        <v>47514</v>
      </c>
      <c r="BS99" s="6">
        <v>47879</v>
      </c>
      <c r="BT99" s="5">
        <v>12</v>
      </c>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row>
    <row r="100" spans="1:105" ht="15" customHeight="1" x14ac:dyDescent="0.2">
      <c r="A100" s="3" t="s">
        <v>1132</v>
      </c>
      <c r="B100" s="3" t="s">
        <v>1133</v>
      </c>
      <c r="C100" s="3" t="s">
        <v>1133</v>
      </c>
      <c r="D100" s="3" t="s">
        <v>194</v>
      </c>
      <c r="E100" s="3" t="s">
        <v>194</v>
      </c>
      <c r="F100" s="3" t="s">
        <v>1134</v>
      </c>
      <c r="G100" s="3" t="s">
        <v>110</v>
      </c>
      <c r="H100" s="3" t="s">
        <v>259</v>
      </c>
      <c r="I100" s="3"/>
      <c r="J100" s="3" t="s">
        <v>113</v>
      </c>
      <c r="K100" s="3" t="s">
        <v>114</v>
      </c>
      <c r="L100" s="3" t="s">
        <v>114</v>
      </c>
      <c r="M100" s="3" t="s">
        <v>114</v>
      </c>
      <c r="N100" s="3" t="s">
        <v>114</v>
      </c>
      <c r="O100" s="3" t="s">
        <v>114</v>
      </c>
      <c r="P100" s="3" t="s">
        <v>114</v>
      </c>
      <c r="Q100" s="3" t="s">
        <v>1371</v>
      </c>
      <c r="R100" s="3" t="s">
        <v>1372</v>
      </c>
      <c r="S100" s="3" t="s">
        <v>898</v>
      </c>
      <c r="T100" s="3" t="s">
        <v>1137</v>
      </c>
      <c r="U100" s="3" t="s">
        <v>120</v>
      </c>
      <c r="V100" s="3" t="s">
        <v>119</v>
      </c>
      <c r="W100" s="3" t="s">
        <v>120</v>
      </c>
      <c r="X100" s="3" t="s">
        <v>388</v>
      </c>
      <c r="Y100" s="3" t="s">
        <v>278</v>
      </c>
      <c r="Z100" s="3" t="s">
        <v>119</v>
      </c>
      <c r="AA100" s="3"/>
      <c r="AB100" s="3" t="s">
        <v>122</v>
      </c>
      <c r="AC100" s="3" t="s">
        <v>217</v>
      </c>
      <c r="AD100" s="3" t="s">
        <v>145</v>
      </c>
      <c r="AE100" s="3" t="s">
        <v>1373</v>
      </c>
      <c r="AF100" s="3" t="s">
        <v>1374</v>
      </c>
      <c r="AG100" s="3" t="s">
        <v>358</v>
      </c>
      <c r="AH100" s="3"/>
      <c r="AI100" s="3"/>
      <c r="AJ100" s="3"/>
      <c r="AK100" s="3"/>
      <c r="AL100" s="3"/>
      <c r="AM100" s="3">
        <v>0</v>
      </c>
      <c r="AN100" s="3"/>
      <c r="AO100" s="3"/>
      <c r="AP100" s="3"/>
      <c r="AQ100" s="3"/>
      <c r="AR100" s="3"/>
      <c r="AS100" s="3">
        <v>0</v>
      </c>
      <c r="AT100" s="3"/>
      <c r="AU100" s="3"/>
      <c r="AV100" s="3"/>
      <c r="AW100" s="3"/>
      <c r="AX100" s="3"/>
      <c r="AY100" s="3"/>
      <c r="AZ100" s="3">
        <v>0</v>
      </c>
      <c r="BA100" s="3"/>
      <c r="BB100" s="3" t="s">
        <v>876</v>
      </c>
      <c r="BC100" s="3">
        <v>630</v>
      </c>
      <c r="BD100" s="4">
        <v>45771</v>
      </c>
      <c r="BE100" s="4">
        <v>47362</v>
      </c>
      <c r="BF100" s="4">
        <v>47514</v>
      </c>
      <c r="BG100" s="4">
        <v>47787</v>
      </c>
      <c r="BH100" s="3">
        <v>9</v>
      </c>
      <c r="BI100" s="4">
        <v>47514</v>
      </c>
      <c r="BJ100" s="4">
        <v>47695</v>
      </c>
      <c r="BK100" s="3">
        <v>5.9</v>
      </c>
      <c r="BL100" s="4">
        <v>47514</v>
      </c>
      <c r="BM100" s="4">
        <v>47879</v>
      </c>
      <c r="BN100" s="3">
        <v>12</v>
      </c>
      <c r="BO100" s="4">
        <v>47787</v>
      </c>
      <c r="BP100" s="4">
        <v>47514</v>
      </c>
      <c r="BQ100" s="3">
        <v>9</v>
      </c>
      <c r="BR100" s="4">
        <v>47514</v>
      </c>
      <c r="BS100" s="4">
        <v>47787</v>
      </c>
      <c r="BT100" s="3">
        <v>9</v>
      </c>
      <c r="BU100" s="3" t="s">
        <v>1375</v>
      </c>
      <c r="BV100" s="3" t="s">
        <v>1376</v>
      </c>
      <c r="BW100" s="3" t="s">
        <v>1377</v>
      </c>
      <c r="BX100" s="4">
        <v>47368</v>
      </c>
      <c r="BY100" s="4">
        <v>48334</v>
      </c>
      <c r="BZ100" s="3" t="s">
        <v>136</v>
      </c>
      <c r="CA100" s="3" t="s">
        <v>191</v>
      </c>
      <c r="CB100" s="3" t="s">
        <v>1378</v>
      </c>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row>
    <row r="101" spans="1:105" ht="15" customHeight="1" x14ac:dyDescent="0.2">
      <c r="A101" s="5" t="s">
        <v>1379</v>
      </c>
      <c r="B101" s="5" t="s">
        <v>1380</v>
      </c>
      <c r="C101" s="5" t="s">
        <v>1380</v>
      </c>
      <c r="D101" s="5" t="s">
        <v>1314</v>
      </c>
      <c r="E101" s="5" t="s">
        <v>1314</v>
      </c>
      <c r="F101" s="5"/>
      <c r="G101" s="5" t="s">
        <v>110</v>
      </c>
      <c r="H101" s="5"/>
      <c r="I101" s="5"/>
      <c r="J101" s="5" t="s">
        <v>113</v>
      </c>
      <c r="K101" s="5" t="s">
        <v>114</v>
      </c>
      <c r="L101" s="5" t="s">
        <v>114</v>
      </c>
      <c r="M101" s="5" t="s">
        <v>114</v>
      </c>
      <c r="N101" s="5" t="s">
        <v>114</v>
      </c>
      <c r="O101" s="5" t="s">
        <v>114</v>
      </c>
      <c r="P101" s="5"/>
      <c r="Q101" s="5" t="s">
        <v>1381</v>
      </c>
      <c r="R101" s="5"/>
      <c r="S101" s="5" t="s">
        <v>1382</v>
      </c>
      <c r="T101" s="5" t="s">
        <v>1383</v>
      </c>
      <c r="U101" s="5" t="s">
        <v>120</v>
      </c>
      <c r="V101" s="5" t="s">
        <v>119</v>
      </c>
      <c r="W101" s="5" t="s">
        <v>120</v>
      </c>
      <c r="X101" s="5" t="s">
        <v>388</v>
      </c>
      <c r="Y101" s="5" t="s">
        <v>1384</v>
      </c>
      <c r="Z101" s="5" t="s">
        <v>119</v>
      </c>
      <c r="AA101" s="5"/>
      <c r="AB101" s="5" t="s">
        <v>122</v>
      </c>
      <c r="AC101" s="5" t="s">
        <v>217</v>
      </c>
      <c r="AD101" s="5" t="s">
        <v>145</v>
      </c>
      <c r="AE101" s="5"/>
      <c r="AF101" s="5"/>
      <c r="AG101" s="5" t="s">
        <v>127</v>
      </c>
      <c r="AH101" s="5"/>
      <c r="AI101" s="5"/>
      <c r="AJ101" s="5"/>
      <c r="AK101" s="5"/>
      <c r="AL101" s="5"/>
      <c r="AM101" s="5">
        <v>0</v>
      </c>
      <c r="AN101" s="5"/>
      <c r="AO101" s="5"/>
      <c r="AP101" s="5"/>
      <c r="AQ101" s="5"/>
      <c r="AR101" s="5"/>
      <c r="AS101" s="5">
        <v>0</v>
      </c>
      <c r="AT101" s="5"/>
      <c r="AU101" s="5"/>
      <c r="AV101" s="5"/>
      <c r="AW101" s="5"/>
      <c r="AX101" s="5"/>
      <c r="AY101" s="5"/>
      <c r="AZ101" s="5">
        <v>0</v>
      </c>
      <c r="BA101" s="5"/>
      <c r="BB101" s="5"/>
      <c r="BC101" s="5"/>
      <c r="BD101" s="5"/>
      <c r="BE101" s="6">
        <v>47362</v>
      </c>
      <c r="BF101" s="6">
        <v>47514</v>
      </c>
      <c r="BG101" s="6">
        <v>47787</v>
      </c>
      <c r="BH101" s="5">
        <v>9</v>
      </c>
      <c r="BI101" s="6">
        <v>47514</v>
      </c>
      <c r="BJ101" s="6">
        <v>47695</v>
      </c>
      <c r="BK101" s="5">
        <v>5.9</v>
      </c>
      <c r="BL101" s="5"/>
      <c r="BM101" s="5"/>
      <c r="BN101" s="5"/>
      <c r="BO101" s="5"/>
      <c r="BP101" s="5"/>
      <c r="BQ101" s="5"/>
      <c r="BR101" s="6">
        <v>47514</v>
      </c>
      <c r="BS101" s="6">
        <v>47787</v>
      </c>
      <c r="BT101" s="5">
        <v>9</v>
      </c>
      <c r="BU101" s="5"/>
      <c r="BV101" s="5"/>
      <c r="BW101" s="5"/>
      <c r="BX101" s="5"/>
      <c r="BY101" s="5"/>
      <c r="BZ101" s="5"/>
      <c r="CA101" s="5"/>
      <c r="CB101" s="5" t="s">
        <v>1385</v>
      </c>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row>
    <row r="102" spans="1:105" ht="15" customHeight="1" x14ac:dyDescent="0.2">
      <c r="A102" s="3" t="s">
        <v>1386</v>
      </c>
      <c r="B102" s="3" t="s">
        <v>1387</v>
      </c>
      <c r="C102" s="3" t="s">
        <v>1387</v>
      </c>
      <c r="D102" s="3" t="s">
        <v>1314</v>
      </c>
      <c r="E102" s="3" t="s">
        <v>1314</v>
      </c>
      <c r="F102" s="3"/>
      <c r="G102" s="3" t="s">
        <v>110</v>
      </c>
      <c r="H102" s="3"/>
      <c r="I102" s="3"/>
      <c r="J102" s="3" t="s">
        <v>113</v>
      </c>
      <c r="K102" s="3" t="s">
        <v>114</v>
      </c>
      <c r="L102" s="3" t="s">
        <v>114</v>
      </c>
      <c r="M102" s="3" t="s">
        <v>114</v>
      </c>
      <c r="N102" s="3" t="s">
        <v>114</v>
      </c>
      <c r="O102" s="3" t="s">
        <v>114</v>
      </c>
      <c r="P102" s="3"/>
      <c r="Q102" s="3" t="s">
        <v>1388</v>
      </c>
      <c r="R102" s="3"/>
      <c r="S102" s="3" t="s">
        <v>898</v>
      </c>
      <c r="T102" s="3" t="s">
        <v>905</v>
      </c>
      <c r="U102" s="3" t="s">
        <v>119</v>
      </c>
      <c r="V102" s="3" t="s">
        <v>119</v>
      </c>
      <c r="W102" s="3" t="s">
        <v>120</v>
      </c>
      <c r="X102" s="3" t="s">
        <v>388</v>
      </c>
      <c r="Y102" s="3"/>
      <c r="Z102" s="3" t="s">
        <v>119</v>
      </c>
      <c r="AA102" s="3"/>
      <c r="AB102" s="3" t="s">
        <v>122</v>
      </c>
      <c r="AC102" s="3" t="s">
        <v>217</v>
      </c>
      <c r="AD102" s="3" t="s">
        <v>145</v>
      </c>
      <c r="AE102" s="3"/>
      <c r="AF102" s="3"/>
      <c r="AG102" s="3" t="s">
        <v>127</v>
      </c>
      <c r="AH102" s="3"/>
      <c r="AI102" s="3"/>
      <c r="AJ102" s="3"/>
      <c r="AK102" s="3"/>
      <c r="AL102" s="3"/>
      <c r="AM102" s="3">
        <v>0</v>
      </c>
      <c r="AN102" s="3"/>
      <c r="AO102" s="3"/>
      <c r="AP102" s="3"/>
      <c r="AQ102" s="3"/>
      <c r="AR102" s="3"/>
      <c r="AS102" s="3">
        <v>0</v>
      </c>
      <c r="AT102" s="3"/>
      <c r="AU102" s="3"/>
      <c r="AV102" s="3"/>
      <c r="AW102" s="3"/>
      <c r="AX102" s="3"/>
      <c r="AY102" s="3"/>
      <c r="AZ102" s="3">
        <v>0</v>
      </c>
      <c r="BA102" s="3"/>
      <c r="BB102" s="3"/>
      <c r="BC102" s="3"/>
      <c r="BD102" s="3"/>
      <c r="BE102" s="4">
        <v>47453</v>
      </c>
      <c r="BF102" s="4">
        <v>47603</v>
      </c>
      <c r="BG102" s="4">
        <v>47968</v>
      </c>
      <c r="BH102" s="3">
        <v>12</v>
      </c>
      <c r="BI102" s="4">
        <v>47603</v>
      </c>
      <c r="BJ102" s="4">
        <v>47787</v>
      </c>
      <c r="BK102" s="3">
        <v>6</v>
      </c>
      <c r="BL102" s="3"/>
      <c r="BM102" s="3"/>
      <c r="BN102" s="3"/>
      <c r="BO102" s="3"/>
      <c r="BP102" s="3"/>
      <c r="BQ102" s="3"/>
      <c r="BR102" s="4">
        <v>47603</v>
      </c>
      <c r="BS102" s="4">
        <v>47968</v>
      </c>
      <c r="BT102" s="3">
        <v>12</v>
      </c>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row>
    <row r="103" spans="1:105" ht="15" customHeight="1" x14ac:dyDescent="0.2">
      <c r="A103" s="5" t="s">
        <v>1389</v>
      </c>
      <c r="B103" s="5" t="s">
        <v>1390</v>
      </c>
      <c r="C103" s="5" t="s">
        <v>1390</v>
      </c>
      <c r="D103" s="5" t="s">
        <v>1391</v>
      </c>
      <c r="E103" s="5" t="s">
        <v>1391</v>
      </c>
      <c r="F103" s="5" t="s">
        <v>1391</v>
      </c>
      <c r="G103" s="5" t="s">
        <v>110</v>
      </c>
      <c r="H103" s="5" t="s">
        <v>259</v>
      </c>
      <c r="I103" s="5"/>
      <c r="J103" s="5" t="s">
        <v>113</v>
      </c>
      <c r="K103" s="5" t="s">
        <v>114</v>
      </c>
      <c r="L103" s="5" t="s">
        <v>114</v>
      </c>
      <c r="M103" s="5" t="s">
        <v>114</v>
      </c>
      <c r="N103" s="5" t="s">
        <v>114</v>
      </c>
      <c r="O103" s="5" t="s">
        <v>114</v>
      </c>
      <c r="P103" s="5" t="s">
        <v>114</v>
      </c>
      <c r="Q103" s="5" t="s">
        <v>1392</v>
      </c>
      <c r="R103" s="5" t="s">
        <v>1393</v>
      </c>
      <c r="S103" s="5" t="s">
        <v>335</v>
      </c>
      <c r="T103" s="5" t="s">
        <v>256</v>
      </c>
      <c r="U103" s="5" t="s">
        <v>119</v>
      </c>
      <c r="V103" s="5" t="s">
        <v>119</v>
      </c>
      <c r="W103" s="5" t="s">
        <v>120</v>
      </c>
      <c r="X103" s="5"/>
      <c r="Y103" s="5"/>
      <c r="Z103" s="5" t="s">
        <v>119</v>
      </c>
      <c r="AA103" s="5"/>
      <c r="AB103" s="5" t="s">
        <v>122</v>
      </c>
      <c r="AC103" s="5" t="s">
        <v>217</v>
      </c>
      <c r="AD103" s="5" t="s">
        <v>145</v>
      </c>
      <c r="AE103" s="5" t="s">
        <v>1394</v>
      </c>
      <c r="AF103" s="5" t="s">
        <v>330</v>
      </c>
      <c r="AG103" s="5" t="s">
        <v>166</v>
      </c>
      <c r="AH103" s="5"/>
      <c r="AI103" s="5"/>
      <c r="AJ103" s="5"/>
      <c r="AK103" s="5"/>
      <c r="AL103" s="5"/>
      <c r="AM103" s="5">
        <v>0</v>
      </c>
      <c r="AN103" s="5"/>
      <c r="AO103" s="5"/>
      <c r="AP103" s="5"/>
      <c r="AQ103" s="5"/>
      <c r="AR103" s="5"/>
      <c r="AS103" s="5">
        <v>0</v>
      </c>
      <c r="AT103" s="5"/>
      <c r="AU103" s="5"/>
      <c r="AV103" s="5"/>
      <c r="AW103" s="5"/>
      <c r="AX103" s="5"/>
      <c r="AY103" s="5"/>
      <c r="AZ103" s="5">
        <v>0</v>
      </c>
      <c r="BA103" s="5"/>
      <c r="BB103" s="5" t="s">
        <v>876</v>
      </c>
      <c r="BC103" s="5">
        <v>450</v>
      </c>
      <c r="BD103" s="6">
        <v>45855</v>
      </c>
      <c r="BE103" s="6">
        <v>47453</v>
      </c>
      <c r="BF103" s="6">
        <v>47603</v>
      </c>
      <c r="BG103" s="6">
        <v>47968</v>
      </c>
      <c r="BH103" s="5">
        <v>12</v>
      </c>
      <c r="BI103" s="6">
        <v>47603</v>
      </c>
      <c r="BJ103" s="6">
        <v>47787</v>
      </c>
      <c r="BK103" s="5">
        <v>6</v>
      </c>
      <c r="BL103" s="5"/>
      <c r="BM103" s="5"/>
      <c r="BN103" s="5"/>
      <c r="BO103" s="5"/>
      <c r="BP103" s="5"/>
      <c r="BQ103" s="5"/>
      <c r="BR103" s="6">
        <v>47603</v>
      </c>
      <c r="BS103" s="6">
        <v>47968</v>
      </c>
      <c r="BT103" s="5">
        <v>12</v>
      </c>
      <c r="BU103" s="5" t="s">
        <v>1395</v>
      </c>
      <c r="BV103" s="5" t="s">
        <v>1396</v>
      </c>
      <c r="BW103" s="5" t="s">
        <v>1397</v>
      </c>
      <c r="BX103" s="6">
        <v>47453</v>
      </c>
      <c r="BY103" s="6">
        <v>47453</v>
      </c>
      <c r="BZ103" s="5" t="s">
        <v>136</v>
      </c>
      <c r="CA103" s="5" t="s">
        <v>1115</v>
      </c>
      <c r="CB103" s="5" t="s">
        <v>256</v>
      </c>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row>
    <row r="104" spans="1:105" ht="15" customHeight="1" x14ac:dyDescent="0.2">
      <c r="A104" s="3" t="s">
        <v>1154</v>
      </c>
      <c r="B104" s="3" t="s">
        <v>1155</v>
      </c>
      <c r="C104" s="3" t="s">
        <v>1155</v>
      </c>
      <c r="D104" s="3" t="s">
        <v>280</v>
      </c>
      <c r="E104" s="3" t="s">
        <v>281</v>
      </c>
      <c r="F104" s="3" t="s">
        <v>282</v>
      </c>
      <c r="G104" s="3" t="s">
        <v>110</v>
      </c>
      <c r="H104" s="3" t="s">
        <v>572</v>
      </c>
      <c r="I104" s="3" t="s">
        <v>181</v>
      </c>
      <c r="J104" s="3" t="s">
        <v>113</v>
      </c>
      <c r="K104" s="3" t="s">
        <v>114</v>
      </c>
      <c r="L104" s="3" t="s">
        <v>114</v>
      </c>
      <c r="M104" s="3" t="s">
        <v>114</v>
      </c>
      <c r="N104" s="3" t="s">
        <v>114</v>
      </c>
      <c r="O104" s="3" t="s">
        <v>114</v>
      </c>
      <c r="P104" s="3" t="s">
        <v>114</v>
      </c>
      <c r="Q104" s="3" t="s">
        <v>1398</v>
      </c>
      <c r="R104" s="3" t="s">
        <v>1399</v>
      </c>
      <c r="S104" s="3" t="s">
        <v>898</v>
      </c>
      <c r="T104" s="3" t="s">
        <v>1137</v>
      </c>
      <c r="U104" s="3" t="s">
        <v>120</v>
      </c>
      <c r="V104" s="3" t="s">
        <v>119</v>
      </c>
      <c r="W104" s="3" t="s">
        <v>120</v>
      </c>
      <c r="X104" s="3" t="s">
        <v>388</v>
      </c>
      <c r="Y104" s="3" t="s">
        <v>775</v>
      </c>
      <c r="Z104" s="3" t="s">
        <v>119</v>
      </c>
      <c r="AA104" s="3"/>
      <c r="AB104" s="3" t="s">
        <v>122</v>
      </c>
      <c r="AC104" s="3" t="s">
        <v>217</v>
      </c>
      <c r="AD104" s="3" t="s">
        <v>145</v>
      </c>
      <c r="AE104" s="3" t="s">
        <v>1400</v>
      </c>
      <c r="AF104" s="3" t="s">
        <v>1401</v>
      </c>
      <c r="AG104" s="3" t="s">
        <v>166</v>
      </c>
      <c r="AH104" s="3"/>
      <c r="AI104" s="3"/>
      <c r="AJ104" s="3"/>
      <c r="AK104" s="3"/>
      <c r="AL104" s="3"/>
      <c r="AM104" s="3">
        <v>0</v>
      </c>
      <c r="AN104" s="3"/>
      <c r="AO104" s="3"/>
      <c r="AP104" s="3"/>
      <c r="AQ104" s="3"/>
      <c r="AR104" s="3"/>
      <c r="AS104" s="3">
        <v>0</v>
      </c>
      <c r="AT104" s="3"/>
      <c r="AU104" s="3"/>
      <c r="AV104" s="3"/>
      <c r="AW104" s="3"/>
      <c r="AX104" s="3"/>
      <c r="AY104" s="3"/>
      <c r="AZ104" s="3">
        <v>0</v>
      </c>
      <c r="BA104" s="3"/>
      <c r="BB104" s="3" t="s">
        <v>876</v>
      </c>
      <c r="BC104" s="3">
        <v>675</v>
      </c>
      <c r="BD104" s="4">
        <v>45938</v>
      </c>
      <c r="BE104" s="4">
        <v>47453</v>
      </c>
      <c r="BF104" s="4">
        <v>47603</v>
      </c>
      <c r="BG104" s="4">
        <v>47879</v>
      </c>
      <c r="BH104" s="3">
        <v>9</v>
      </c>
      <c r="BI104" s="4">
        <v>47603</v>
      </c>
      <c r="BJ104" s="4">
        <v>47787</v>
      </c>
      <c r="BK104" s="3">
        <v>6</v>
      </c>
      <c r="BL104" s="4">
        <v>47603</v>
      </c>
      <c r="BM104" s="4">
        <v>47968</v>
      </c>
      <c r="BN104" s="3">
        <v>12</v>
      </c>
      <c r="BO104" s="3"/>
      <c r="BP104" s="3"/>
      <c r="BQ104" s="3"/>
      <c r="BR104" s="4">
        <v>47603</v>
      </c>
      <c r="BS104" s="4">
        <v>47879</v>
      </c>
      <c r="BT104" s="3">
        <v>9</v>
      </c>
      <c r="BU104" s="3" t="s">
        <v>1402</v>
      </c>
      <c r="BV104" s="3" t="s">
        <v>1403</v>
      </c>
      <c r="BW104" s="3" t="s">
        <v>1404</v>
      </c>
      <c r="BX104" s="4">
        <v>47459</v>
      </c>
      <c r="BY104" s="4">
        <v>48432</v>
      </c>
      <c r="BZ104" s="3" t="s">
        <v>136</v>
      </c>
      <c r="CA104" s="3" t="s">
        <v>1115</v>
      </c>
      <c r="CB104" s="3" t="s">
        <v>905</v>
      </c>
      <c r="CC104" s="3"/>
      <c r="CD104" s="3" t="s">
        <v>586</v>
      </c>
      <c r="CE104" s="3"/>
      <c r="CF104" s="3"/>
      <c r="CG104" s="3"/>
      <c r="CH104" s="3"/>
      <c r="CI104" s="3"/>
      <c r="CJ104" s="3"/>
      <c r="CK104" s="3"/>
      <c r="CL104" s="3"/>
      <c r="CM104" s="3"/>
      <c r="CN104" s="3"/>
      <c r="CO104" s="3"/>
      <c r="CP104" s="3"/>
      <c r="CQ104" s="3"/>
      <c r="CR104" s="3"/>
      <c r="CS104" s="3"/>
      <c r="CT104" s="3"/>
      <c r="CU104" s="3"/>
      <c r="CV104" s="3"/>
      <c r="CW104" s="3"/>
      <c r="CX104" s="3"/>
      <c r="CY104" s="3"/>
      <c r="CZ104" s="3"/>
      <c r="DA104" s="3"/>
    </row>
    <row r="105" spans="1:105" ht="15" customHeight="1" x14ac:dyDescent="0.2">
      <c r="A105" s="5" t="s">
        <v>1405</v>
      </c>
      <c r="B105" s="5"/>
      <c r="C105" s="5"/>
      <c r="D105" s="5" t="s">
        <v>1406</v>
      </c>
      <c r="E105" s="5" t="s">
        <v>1406</v>
      </c>
      <c r="F105" s="5"/>
      <c r="G105" s="5" t="s">
        <v>110</v>
      </c>
      <c r="H105" s="5"/>
      <c r="I105" s="5" t="s">
        <v>1407</v>
      </c>
      <c r="J105" s="5" t="s">
        <v>113</v>
      </c>
      <c r="K105" s="5" t="s">
        <v>114</v>
      </c>
      <c r="L105" s="5" t="s">
        <v>114</v>
      </c>
      <c r="M105" s="5" t="s">
        <v>114</v>
      </c>
      <c r="N105" s="5" t="s">
        <v>114</v>
      </c>
      <c r="O105" s="5" t="s">
        <v>114</v>
      </c>
      <c r="P105" s="5"/>
      <c r="Q105" s="5" t="s">
        <v>1408</v>
      </c>
      <c r="R105" s="5"/>
      <c r="S105" s="5" t="s">
        <v>1409</v>
      </c>
      <c r="T105" s="5" t="s">
        <v>1410</v>
      </c>
      <c r="U105" s="5" t="s">
        <v>120</v>
      </c>
      <c r="V105" s="5" t="s">
        <v>119</v>
      </c>
      <c r="W105" s="5" t="s">
        <v>120</v>
      </c>
      <c r="X105" s="5"/>
      <c r="Y105" s="5"/>
      <c r="Z105" s="5" t="s">
        <v>119</v>
      </c>
      <c r="AA105" s="5"/>
      <c r="AB105" s="5" t="s">
        <v>122</v>
      </c>
      <c r="AC105" s="5" t="s">
        <v>217</v>
      </c>
      <c r="AD105" s="5" t="s">
        <v>1411</v>
      </c>
      <c r="AE105" s="5"/>
      <c r="AF105" s="5"/>
      <c r="AG105" s="5" t="s">
        <v>127</v>
      </c>
      <c r="AH105" s="5"/>
      <c r="AI105" s="5"/>
      <c r="AJ105" s="5"/>
      <c r="AK105" s="5"/>
      <c r="AL105" s="5"/>
      <c r="AM105" s="5">
        <v>0</v>
      </c>
      <c r="AN105" s="5"/>
      <c r="AO105" s="5"/>
      <c r="AP105" s="5"/>
      <c r="AQ105" s="5"/>
      <c r="AR105" s="5"/>
      <c r="AS105" s="5">
        <v>0</v>
      </c>
      <c r="AT105" s="5"/>
      <c r="AU105" s="5"/>
      <c r="AV105" s="5"/>
      <c r="AW105" s="5"/>
      <c r="AX105" s="5"/>
      <c r="AY105" s="5"/>
      <c r="AZ105" s="5">
        <v>0</v>
      </c>
      <c r="BA105" s="5"/>
      <c r="BB105" s="5"/>
      <c r="BC105" s="5"/>
      <c r="BD105" s="5"/>
      <c r="BE105" s="6">
        <v>47453</v>
      </c>
      <c r="BF105" s="5"/>
      <c r="BG105" s="5"/>
      <c r="BH105" s="5"/>
      <c r="BI105" s="6">
        <v>47603</v>
      </c>
      <c r="BJ105" s="6">
        <v>47787</v>
      </c>
      <c r="BK105" s="5">
        <v>6</v>
      </c>
      <c r="BL105" s="6">
        <v>47603</v>
      </c>
      <c r="BM105" s="6">
        <v>47968</v>
      </c>
      <c r="BN105" s="5">
        <v>12</v>
      </c>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row>
    <row r="106" spans="1:105" ht="15" customHeight="1" x14ac:dyDescent="0.2">
      <c r="A106" s="3" t="s">
        <v>1188</v>
      </c>
      <c r="B106" s="3" t="s">
        <v>1189</v>
      </c>
      <c r="C106" s="3" t="s">
        <v>1189</v>
      </c>
      <c r="D106" s="3" t="s">
        <v>350</v>
      </c>
      <c r="E106" s="3" t="s">
        <v>350</v>
      </c>
      <c r="F106" s="3" t="s">
        <v>350</v>
      </c>
      <c r="G106" s="3" t="s">
        <v>110</v>
      </c>
      <c r="H106" s="3" t="s">
        <v>259</v>
      </c>
      <c r="I106" s="3" t="s">
        <v>544</v>
      </c>
      <c r="J106" s="3" t="s">
        <v>113</v>
      </c>
      <c r="K106" s="3" t="s">
        <v>114</v>
      </c>
      <c r="L106" s="3" t="s">
        <v>114</v>
      </c>
      <c r="M106" s="3" t="s">
        <v>114</v>
      </c>
      <c r="N106" s="3" t="s">
        <v>114</v>
      </c>
      <c r="O106" s="3" t="s">
        <v>114</v>
      </c>
      <c r="P106" s="3" t="s">
        <v>114</v>
      </c>
      <c r="Q106" s="3" t="s">
        <v>1412</v>
      </c>
      <c r="R106" s="3" t="s">
        <v>1413</v>
      </c>
      <c r="S106" s="3" t="s">
        <v>1192</v>
      </c>
      <c r="T106" s="3" t="s">
        <v>1414</v>
      </c>
      <c r="U106" s="3" t="s">
        <v>120</v>
      </c>
      <c r="V106" s="3" t="s">
        <v>119</v>
      </c>
      <c r="W106" s="3" t="s">
        <v>120</v>
      </c>
      <c r="X106" s="3"/>
      <c r="Y106" s="3"/>
      <c r="Z106" s="3" t="s">
        <v>119</v>
      </c>
      <c r="AA106" s="3"/>
      <c r="AB106" s="3" t="s">
        <v>122</v>
      </c>
      <c r="AC106" s="3" t="s">
        <v>217</v>
      </c>
      <c r="AD106" s="3" t="s">
        <v>736</v>
      </c>
      <c r="AE106" s="3" t="s">
        <v>1415</v>
      </c>
      <c r="AF106" s="3" t="s">
        <v>278</v>
      </c>
      <c r="AG106" s="3" t="s">
        <v>1416</v>
      </c>
      <c r="AH106" s="3"/>
      <c r="AI106" s="3"/>
      <c r="AJ106" s="3"/>
      <c r="AK106" s="3"/>
      <c r="AL106" s="3"/>
      <c r="AM106" s="3">
        <v>0</v>
      </c>
      <c r="AN106" s="3"/>
      <c r="AO106" s="3"/>
      <c r="AP106" s="3"/>
      <c r="AQ106" s="3"/>
      <c r="AR106" s="3"/>
      <c r="AS106" s="3">
        <v>0</v>
      </c>
      <c r="AT106" s="3"/>
      <c r="AU106" s="3"/>
      <c r="AV106" s="3"/>
      <c r="AW106" s="3"/>
      <c r="AX106" s="3"/>
      <c r="AY106" s="3"/>
      <c r="AZ106" s="3">
        <v>0</v>
      </c>
      <c r="BA106" s="3"/>
      <c r="BB106" s="3" t="s">
        <v>876</v>
      </c>
      <c r="BC106" s="3">
        <v>830</v>
      </c>
      <c r="BD106" s="4">
        <v>45757</v>
      </c>
      <c r="BE106" s="4">
        <v>47484</v>
      </c>
      <c r="BF106" s="4">
        <v>47634</v>
      </c>
      <c r="BG106" s="4">
        <v>47907</v>
      </c>
      <c r="BH106" s="3">
        <v>9</v>
      </c>
      <c r="BI106" s="4">
        <v>47634</v>
      </c>
      <c r="BJ106" s="4">
        <v>47817</v>
      </c>
      <c r="BK106" s="3">
        <v>6</v>
      </c>
      <c r="BL106" s="4">
        <v>47634</v>
      </c>
      <c r="BM106" s="4">
        <v>47999</v>
      </c>
      <c r="BN106" s="3">
        <v>12</v>
      </c>
      <c r="BO106" s="4">
        <v>47907</v>
      </c>
      <c r="BP106" s="4">
        <v>47634</v>
      </c>
      <c r="BQ106" s="3">
        <v>9</v>
      </c>
      <c r="BR106" s="4">
        <v>47634</v>
      </c>
      <c r="BS106" s="4">
        <v>47907</v>
      </c>
      <c r="BT106" s="3">
        <v>9</v>
      </c>
      <c r="BU106" s="3" t="s">
        <v>1417</v>
      </c>
      <c r="BV106" s="3" t="s">
        <v>1418</v>
      </c>
      <c r="BW106" s="3" t="s">
        <v>1419</v>
      </c>
      <c r="BX106" s="4">
        <v>47500</v>
      </c>
      <c r="BY106" s="4">
        <v>47819</v>
      </c>
      <c r="BZ106" s="3" t="s">
        <v>136</v>
      </c>
      <c r="CA106" s="3" t="s">
        <v>191</v>
      </c>
      <c r="CB106" s="3" t="s">
        <v>1198</v>
      </c>
      <c r="CC106" s="3" t="s">
        <v>585</v>
      </c>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row>
    <row r="107" spans="1:105" ht="15" customHeight="1" x14ac:dyDescent="0.2">
      <c r="A107" s="5" t="s">
        <v>831</v>
      </c>
      <c r="B107" s="5" t="s">
        <v>832</v>
      </c>
      <c r="C107" s="5" t="s">
        <v>832</v>
      </c>
      <c r="D107" s="5" t="s">
        <v>833</v>
      </c>
      <c r="E107" s="5" t="s">
        <v>833</v>
      </c>
      <c r="F107" s="5" t="s">
        <v>833</v>
      </c>
      <c r="G107" s="5" t="s">
        <v>110</v>
      </c>
      <c r="H107" s="5" t="s">
        <v>572</v>
      </c>
      <c r="I107" s="5" t="s">
        <v>181</v>
      </c>
      <c r="J107" s="5" t="s">
        <v>113</v>
      </c>
      <c r="K107" s="5" t="s">
        <v>114</v>
      </c>
      <c r="L107" s="5" t="s">
        <v>114</v>
      </c>
      <c r="M107" s="5" t="s">
        <v>114</v>
      </c>
      <c r="N107" s="5" t="s">
        <v>114</v>
      </c>
      <c r="O107" s="5" t="s">
        <v>114</v>
      </c>
      <c r="P107" s="5" t="s">
        <v>114</v>
      </c>
      <c r="Q107" s="5" t="s">
        <v>1420</v>
      </c>
      <c r="R107" s="5" t="s">
        <v>1421</v>
      </c>
      <c r="S107" s="5" t="s">
        <v>836</v>
      </c>
      <c r="T107" s="5" t="s">
        <v>1422</v>
      </c>
      <c r="U107" s="5" t="s">
        <v>120</v>
      </c>
      <c r="V107" s="5" t="s">
        <v>119</v>
      </c>
      <c r="W107" s="5" t="s">
        <v>120</v>
      </c>
      <c r="X107" s="5" t="s">
        <v>388</v>
      </c>
      <c r="Y107" s="5" t="s">
        <v>278</v>
      </c>
      <c r="Z107" s="5" t="s">
        <v>119</v>
      </c>
      <c r="AA107" s="5" t="s">
        <v>121</v>
      </c>
      <c r="AB107" s="5" t="s">
        <v>122</v>
      </c>
      <c r="AC107" s="5" t="s">
        <v>217</v>
      </c>
      <c r="AD107" s="5" t="s">
        <v>838</v>
      </c>
      <c r="AE107" s="5" t="s">
        <v>1423</v>
      </c>
      <c r="AF107" s="5" t="s">
        <v>1424</v>
      </c>
      <c r="AG107" s="5" t="s">
        <v>166</v>
      </c>
      <c r="AH107" s="5"/>
      <c r="AI107" s="5"/>
      <c r="AJ107" s="5"/>
      <c r="AK107" s="5"/>
      <c r="AL107" s="5"/>
      <c r="AM107" s="5">
        <v>0</v>
      </c>
      <c r="AN107" s="5"/>
      <c r="AO107" s="5"/>
      <c r="AP107" s="5"/>
      <c r="AQ107" s="5"/>
      <c r="AR107" s="5"/>
      <c r="AS107" s="5">
        <v>0</v>
      </c>
      <c r="AT107" s="5"/>
      <c r="AU107" s="5"/>
      <c r="AV107" s="5"/>
      <c r="AW107" s="5"/>
      <c r="AX107" s="5"/>
      <c r="AY107" s="5"/>
      <c r="AZ107" s="5">
        <v>0</v>
      </c>
      <c r="BA107" s="5"/>
      <c r="BB107" s="5" t="s">
        <v>876</v>
      </c>
      <c r="BC107" s="5">
        <v>686</v>
      </c>
      <c r="BD107" s="6">
        <v>45954</v>
      </c>
      <c r="BE107" s="6">
        <v>47543</v>
      </c>
      <c r="BF107" s="6">
        <v>47695</v>
      </c>
      <c r="BG107" s="6">
        <v>47968</v>
      </c>
      <c r="BH107" s="5">
        <v>9</v>
      </c>
      <c r="BI107" s="6">
        <v>47695</v>
      </c>
      <c r="BJ107" s="6">
        <v>47879</v>
      </c>
      <c r="BK107" s="5">
        <v>6</v>
      </c>
      <c r="BL107" s="6">
        <v>47695</v>
      </c>
      <c r="BM107" s="6">
        <v>48060</v>
      </c>
      <c r="BN107" s="5">
        <v>12</v>
      </c>
      <c r="BO107" s="6">
        <v>47968</v>
      </c>
      <c r="BP107" s="6">
        <v>47695</v>
      </c>
      <c r="BQ107" s="5">
        <v>9</v>
      </c>
      <c r="BR107" s="6">
        <v>47695</v>
      </c>
      <c r="BS107" s="6">
        <v>47968</v>
      </c>
      <c r="BT107" s="5">
        <v>9</v>
      </c>
      <c r="BU107" s="5" t="s">
        <v>1425</v>
      </c>
      <c r="BV107" s="5" t="s">
        <v>1426</v>
      </c>
      <c r="BW107" s="5" t="s">
        <v>1427</v>
      </c>
      <c r="BX107" s="6">
        <v>47547</v>
      </c>
      <c r="BY107" s="6">
        <v>48400</v>
      </c>
      <c r="BZ107" s="5" t="s">
        <v>136</v>
      </c>
      <c r="CA107" s="5" t="s">
        <v>137</v>
      </c>
      <c r="CB107" s="5" t="s">
        <v>1428</v>
      </c>
      <c r="CC107" s="5" t="s">
        <v>1038</v>
      </c>
      <c r="CD107" s="5"/>
      <c r="CE107" s="5"/>
      <c r="CF107" s="5" t="s">
        <v>846</v>
      </c>
      <c r="CG107" s="5" t="s">
        <v>847</v>
      </c>
      <c r="CH107" s="5" t="s">
        <v>848</v>
      </c>
      <c r="CI107" s="5" t="s">
        <v>849</v>
      </c>
      <c r="CJ107" s="5" t="s">
        <v>850</v>
      </c>
      <c r="CK107" s="5" t="s">
        <v>851</v>
      </c>
      <c r="CL107" s="5" t="s">
        <v>852</v>
      </c>
      <c r="CM107" s="5" t="s">
        <v>853</v>
      </c>
      <c r="CN107" s="5" t="s">
        <v>854</v>
      </c>
      <c r="CO107" s="5"/>
      <c r="CP107" s="5">
        <v>7.6</v>
      </c>
      <c r="CQ107" s="5"/>
      <c r="CR107" s="5"/>
      <c r="CS107" s="5"/>
      <c r="CT107" s="5"/>
      <c r="CU107" s="5"/>
      <c r="CV107" s="5"/>
      <c r="CW107" s="5"/>
      <c r="CX107" s="5"/>
      <c r="CY107" s="5"/>
      <c r="CZ107" s="5"/>
      <c r="DA107" s="5"/>
    </row>
    <row r="108" spans="1:105" ht="15" customHeight="1" x14ac:dyDescent="0.2">
      <c r="A108" s="3" t="s">
        <v>1429</v>
      </c>
      <c r="B108" s="3" t="s">
        <v>1430</v>
      </c>
      <c r="C108" s="3" t="s">
        <v>1431</v>
      </c>
      <c r="D108" s="3" t="s">
        <v>1432</v>
      </c>
      <c r="E108" s="3" t="s">
        <v>1432</v>
      </c>
      <c r="F108" s="3" t="s">
        <v>1432</v>
      </c>
      <c r="G108" s="3" t="s">
        <v>110</v>
      </c>
      <c r="H108" s="3" t="s">
        <v>259</v>
      </c>
      <c r="I108" s="3" t="s">
        <v>181</v>
      </c>
      <c r="J108" s="3" t="s">
        <v>113</v>
      </c>
      <c r="K108" s="3" t="s">
        <v>114</v>
      </c>
      <c r="L108" s="3" t="s">
        <v>114</v>
      </c>
      <c r="M108" s="3" t="s">
        <v>114</v>
      </c>
      <c r="N108" s="3" t="s">
        <v>114</v>
      </c>
      <c r="O108" s="3" t="s">
        <v>114</v>
      </c>
      <c r="P108" s="3" t="s">
        <v>114</v>
      </c>
      <c r="Q108" s="3" t="s">
        <v>1433</v>
      </c>
      <c r="R108" s="3" t="s">
        <v>1434</v>
      </c>
      <c r="S108" s="3" t="s">
        <v>1435</v>
      </c>
      <c r="T108" s="3" t="s">
        <v>1436</v>
      </c>
      <c r="U108" s="3" t="s">
        <v>120</v>
      </c>
      <c r="V108" s="3" t="s">
        <v>119</v>
      </c>
      <c r="W108" s="3" t="s">
        <v>120</v>
      </c>
      <c r="X108" s="3" t="s">
        <v>694</v>
      </c>
      <c r="Y108" s="3" t="s">
        <v>1437</v>
      </c>
      <c r="Z108" s="3" t="s">
        <v>119</v>
      </c>
      <c r="AA108" s="3"/>
      <c r="AB108" s="3" t="s">
        <v>122</v>
      </c>
      <c r="AC108" s="3" t="s">
        <v>217</v>
      </c>
      <c r="AD108" s="3" t="s">
        <v>124</v>
      </c>
      <c r="AE108" s="3" t="s">
        <v>1438</v>
      </c>
      <c r="AF108" s="3" t="s">
        <v>875</v>
      </c>
      <c r="AG108" s="3" t="s">
        <v>148</v>
      </c>
      <c r="AH108" s="3"/>
      <c r="AI108" s="3"/>
      <c r="AJ108" s="3"/>
      <c r="AK108" s="3"/>
      <c r="AL108" s="3"/>
      <c r="AM108" s="3">
        <v>0</v>
      </c>
      <c r="AN108" s="3"/>
      <c r="AO108" s="3"/>
      <c r="AP108" s="3"/>
      <c r="AQ108" s="3"/>
      <c r="AR108" s="3"/>
      <c r="AS108" s="3">
        <v>0</v>
      </c>
      <c r="AT108" s="3"/>
      <c r="AU108" s="3"/>
      <c r="AV108" s="3"/>
      <c r="AW108" s="3"/>
      <c r="AX108" s="3"/>
      <c r="AY108" s="3"/>
      <c r="AZ108" s="3">
        <v>0</v>
      </c>
      <c r="BA108" s="3"/>
      <c r="BB108" s="3" t="s">
        <v>876</v>
      </c>
      <c r="BC108" s="3">
        <v>840</v>
      </c>
      <c r="BD108" s="4">
        <v>45392</v>
      </c>
      <c r="BE108" s="4">
        <v>47635</v>
      </c>
      <c r="BF108" s="4">
        <v>47787</v>
      </c>
      <c r="BG108" s="4">
        <v>48060</v>
      </c>
      <c r="BH108" s="3">
        <v>9</v>
      </c>
      <c r="BI108" s="4">
        <v>47787</v>
      </c>
      <c r="BJ108" s="4">
        <v>47968</v>
      </c>
      <c r="BK108" s="3">
        <v>5.9</v>
      </c>
      <c r="BL108" s="4">
        <v>47787</v>
      </c>
      <c r="BM108" s="4">
        <v>48152</v>
      </c>
      <c r="BN108" s="3">
        <v>12</v>
      </c>
      <c r="BO108" s="4">
        <v>48060</v>
      </c>
      <c r="BP108" s="4">
        <v>47787</v>
      </c>
      <c r="BQ108" s="3">
        <v>9</v>
      </c>
      <c r="BR108" s="4">
        <v>47787</v>
      </c>
      <c r="BS108" s="4">
        <v>48060</v>
      </c>
      <c r="BT108" s="3">
        <v>9</v>
      </c>
      <c r="BU108" s="3" t="s">
        <v>1439</v>
      </c>
      <c r="BV108" s="3" t="s">
        <v>1440</v>
      </c>
      <c r="BW108" s="3" t="s">
        <v>1441</v>
      </c>
      <c r="BX108" s="4">
        <v>48122</v>
      </c>
      <c r="BY108" s="4">
        <v>48122</v>
      </c>
      <c r="BZ108" s="3" t="s">
        <v>136</v>
      </c>
      <c r="CA108" s="3" t="s">
        <v>1442</v>
      </c>
      <c r="CB108" s="3"/>
      <c r="CC108" s="3" t="s">
        <v>301</v>
      </c>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row>
    <row r="109" spans="1:105" ht="15" customHeight="1" x14ac:dyDescent="0.2">
      <c r="A109" s="5" t="s">
        <v>1443</v>
      </c>
      <c r="B109" s="5" t="s">
        <v>1444</v>
      </c>
      <c r="C109" s="5" t="s">
        <v>1444</v>
      </c>
      <c r="D109" s="5" t="s">
        <v>194</v>
      </c>
      <c r="E109" s="5" t="s">
        <v>194</v>
      </c>
      <c r="F109" s="5" t="s">
        <v>194</v>
      </c>
      <c r="G109" s="5" t="s">
        <v>110</v>
      </c>
      <c r="H109" s="5" t="s">
        <v>259</v>
      </c>
      <c r="I109" s="5" t="s">
        <v>181</v>
      </c>
      <c r="J109" s="5" t="s">
        <v>113</v>
      </c>
      <c r="K109" s="5" t="s">
        <v>114</v>
      </c>
      <c r="L109" s="5" t="s">
        <v>114</v>
      </c>
      <c r="M109" s="5" t="s">
        <v>114</v>
      </c>
      <c r="N109" s="5" t="s">
        <v>114</v>
      </c>
      <c r="O109" s="5" t="s">
        <v>114</v>
      </c>
      <c r="P109" s="5" t="s">
        <v>114</v>
      </c>
      <c r="Q109" s="5" t="s">
        <v>1445</v>
      </c>
      <c r="R109" s="5" t="s">
        <v>1446</v>
      </c>
      <c r="S109" s="5" t="s">
        <v>1447</v>
      </c>
      <c r="T109" s="5" t="s">
        <v>1448</v>
      </c>
      <c r="U109" s="5" t="s">
        <v>120</v>
      </c>
      <c r="V109" s="5" t="s">
        <v>119</v>
      </c>
      <c r="W109" s="5" t="s">
        <v>120</v>
      </c>
      <c r="X109" s="5" t="s">
        <v>694</v>
      </c>
      <c r="Y109" s="5" t="s">
        <v>1449</v>
      </c>
      <c r="Z109" s="5" t="s">
        <v>119</v>
      </c>
      <c r="AA109" s="5" t="s">
        <v>356</v>
      </c>
      <c r="AB109" s="5" t="s">
        <v>122</v>
      </c>
      <c r="AC109" s="5" t="s">
        <v>217</v>
      </c>
      <c r="AD109" s="5" t="s">
        <v>124</v>
      </c>
      <c r="AE109" s="5" t="s">
        <v>1450</v>
      </c>
      <c r="AF109" s="5" t="s">
        <v>875</v>
      </c>
      <c r="AG109" s="5" t="s">
        <v>148</v>
      </c>
      <c r="AH109" s="5"/>
      <c r="AI109" s="5"/>
      <c r="AJ109" s="5"/>
      <c r="AK109" s="5"/>
      <c r="AL109" s="5"/>
      <c r="AM109" s="5">
        <v>0</v>
      </c>
      <c r="AN109" s="5"/>
      <c r="AO109" s="5"/>
      <c r="AP109" s="5"/>
      <c r="AQ109" s="5"/>
      <c r="AR109" s="5"/>
      <c r="AS109" s="5">
        <v>0</v>
      </c>
      <c r="AT109" s="5"/>
      <c r="AU109" s="5"/>
      <c r="AV109" s="5"/>
      <c r="AW109" s="5"/>
      <c r="AX109" s="5"/>
      <c r="AY109" s="5"/>
      <c r="AZ109" s="5">
        <v>0</v>
      </c>
      <c r="BA109" s="5"/>
      <c r="BB109" s="5" t="s">
        <v>876</v>
      </c>
      <c r="BC109" s="5">
        <v>1000</v>
      </c>
      <c r="BD109" s="6">
        <v>45572</v>
      </c>
      <c r="BE109" s="6">
        <v>47665</v>
      </c>
      <c r="BF109" s="6">
        <v>47817</v>
      </c>
      <c r="BG109" s="6">
        <v>48091</v>
      </c>
      <c r="BH109" s="5">
        <v>9</v>
      </c>
      <c r="BI109" s="6">
        <v>47817</v>
      </c>
      <c r="BJ109" s="6">
        <v>47999</v>
      </c>
      <c r="BK109" s="5">
        <v>6</v>
      </c>
      <c r="BL109" s="6">
        <v>47817</v>
      </c>
      <c r="BM109" s="6">
        <v>48182</v>
      </c>
      <c r="BN109" s="5">
        <v>12</v>
      </c>
      <c r="BO109" s="6">
        <v>48091</v>
      </c>
      <c r="BP109" s="6">
        <v>47817</v>
      </c>
      <c r="BQ109" s="5">
        <v>9</v>
      </c>
      <c r="BR109" s="6">
        <v>47817</v>
      </c>
      <c r="BS109" s="6">
        <v>48091</v>
      </c>
      <c r="BT109" s="5">
        <v>9</v>
      </c>
      <c r="BU109" s="5" t="s">
        <v>1451</v>
      </c>
      <c r="BV109" s="5" t="s">
        <v>1452</v>
      </c>
      <c r="BW109" s="5" t="s">
        <v>1453</v>
      </c>
      <c r="BX109" s="6">
        <v>47694</v>
      </c>
      <c r="BY109" s="6">
        <v>48430</v>
      </c>
      <c r="BZ109" s="5" t="s">
        <v>136</v>
      </c>
      <c r="CA109" s="5" t="s">
        <v>137</v>
      </c>
      <c r="CB109" s="5" t="s">
        <v>685</v>
      </c>
      <c r="CC109" s="5" t="s">
        <v>1454</v>
      </c>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row>
    <row r="110" spans="1:105" ht="15" customHeight="1" x14ac:dyDescent="0.2">
      <c r="A110" s="3" t="s">
        <v>1455</v>
      </c>
      <c r="B110" s="3" t="s">
        <v>1456</v>
      </c>
      <c r="C110" s="3" t="s">
        <v>1456</v>
      </c>
      <c r="D110" s="3" t="s">
        <v>1432</v>
      </c>
      <c r="E110" s="3" t="s">
        <v>1432</v>
      </c>
      <c r="F110" s="3" t="s">
        <v>1432</v>
      </c>
      <c r="G110" s="3" t="s">
        <v>110</v>
      </c>
      <c r="H110" s="3" t="s">
        <v>259</v>
      </c>
      <c r="I110" s="3" t="s">
        <v>181</v>
      </c>
      <c r="J110" s="3" t="s">
        <v>113</v>
      </c>
      <c r="K110" s="3" t="s">
        <v>1457</v>
      </c>
      <c r="L110" s="3" t="s">
        <v>1457</v>
      </c>
      <c r="M110" s="3" t="s">
        <v>1457</v>
      </c>
      <c r="N110" s="3" t="s">
        <v>1457</v>
      </c>
      <c r="O110" s="3" t="s">
        <v>1457</v>
      </c>
      <c r="P110" s="3" t="s">
        <v>114</v>
      </c>
      <c r="Q110" s="3" t="s">
        <v>1458</v>
      </c>
      <c r="R110" s="3" t="s">
        <v>1459</v>
      </c>
      <c r="S110" s="3" t="s">
        <v>1460</v>
      </c>
      <c r="T110" s="3" t="s">
        <v>1461</v>
      </c>
      <c r="U110" s="3" t="s">
        <v>119</v>
      </c>
      <c r="V110" s="3" t="s">
        <v>119</v>
      </c>
      <c r="W110" s="3" t="s">
        <v>120</v>
      </c>
      <c r="X110" s="3" t="s">
        <v>388</v>
      </c>
      <c r="Y110" s="3" t="s">
        <v>368</v>
      </c>
      <c r="Z110" s="3" t="s">
        <v>119</v>
      </c>
      <c r="AA110" s="3"/>
      <c r="AB110" s="3" t="s">
        <v>122</v>
      </c>
      <c r="AC110" s="3" t="s">
        <v>217</v>
      </c>
      <c r="AD110" s="3" t="s">
        <v>838</v>
      </c>
      <c r="AE110" s="3" t="s">
        <v>1462</v>
      </c>
      <c r="AF110" s="3" t="s">
        <v>368</v>
      </c>
      <c r="AG110" s="3" t="s">
        <v>1057</v>
      </c>
      <c r="AH110" s="3"/>
      <c r="AI110" s="3"/>
      <c r="AJ110" s="3"/>
      <c r="AK110" s="3"/>
      <c r="AL110" s="3"/>
      <c r="AM110" s="3">
        <v>0</v>
      </c>
      <c r="AN110" s="3"/>
      <c r="AO110" s="3"/>
      <c r="AP110" s="3"/>
      <c r="AQ110" s="3"/>
      <c r="AR110" s="3"/>
      <c r="AS110" s="3">
        <v>0</v>
      </c>
      <c r="AT110" s="3"/>
      <c r="AU110" s="3"/>
      <c r="AV110" s="3"/>
      <c r="AW110" s="3"/>
      <c r="AX110" s="3"/>
      <c r="AY110" s="3"/>
      <c r="AZ110" s="3">
        <v>0</v>
      </c>
      <c r="BA110" s="3"/>
      <c r="BB110" s="3" t="s">
        <v>876</v>
      </c>
      <c r="BC110" s="3">
        <v>854</v>
      </c>
      <c r="BD110" s="4">
        <v>45872</v>
      </c>
      <c r="BE110" s="4">
        <v>47727</v>
      </c>
      <c r="BF110" s="4">
        <v>47879</v>
      </c>
      <c r="BG110" s="4">
        <v>48152</v>
      </c>
      <c r="BH110" s="3">
        <v>9</v>
      </c>
      <c r="BI110" s="4">
        <v>47879</v>
      </c>
      <c r="BJ110" s="4">
        <v>48060</v>
      </c>
      <c r="BK110" s="3">
        <v>5.9</v>
      </c>
      <c r="BL110" s="4">
        <v>47879</v>
      </c>
      <c r="BM110" s="4">
        <v>48244</v>
      </c>
      <c r="BN110" s="3">
        <v>12</v>
      </c>
      <c r="BO110" s="4">
        <v>48152</v>
      </c>
      <c r="BP110" s="4">
        <v>47879</v>
      </c>
      <c r="BQ110" s="3">
        <v>9</v>
      </c>
      <c r="BR110" s="4">
        <v>47879</v>
      </c>
      <c r="BS110" s="4">
        <v>48152</v>
      </c>
      <c r="BT110" s="3">
        <v>9</v>
      </c>
      <c r="BU110" s="3" t="s">
        <v>1463</v>
      </c>
      <c r="BV110" s="3" t="s">
        <v>1464</v>
      </c>
      <c r="BW110" s="3" t="s">
        <v>1465</v>
      </c>
      <c r="BX110" s="4">
        <v>49980</v>
      </c>
      <c r="BY110" s="4">
        <v>49980</v>
      </c>
      <c r="BZ110" s="3" t="s">
        <v>136</v>
      </c>
      <c r="CA110" s="3" t="s">
        <v>1442</v>
      </c>
      <c r="CB110" s="3" t="s">
        <v>726</v>
      </c>
      <c r="CC110" s="3"/>
      <c r="CD110" s="3" t="s">
        <v>1466</v>
      </c>
      <c r="CE110" s="3"/>
      <c r="CF110" s="3" t="s">
        <v>1467</v>
      </c>
      <c r="CG110" s="3" t="s">
        <v>847</v>
      </c>
      <c r="CH110" s="3" t="s">
        <v>848</v>
      </c>
      <c r="CI110" s="3" t="s">
        <v>849</v>
      </c>
      <c r="CJ110" s="3" t="s">
        <v>850</v>
      </c>
      <c r="CK110" s="3" t="s">
        <v>1468</v>
      </c>
      <c r="CL110" s="3" t="s">
        <v>852</v>
      </c>
      <c r="CM110" s="3" t="s">
        <v>975</v>
      </c>
      <c r="CN110" s="3" t="s">
        <v>854</v>
      </c>
      <c r="CO110" s="3"/>
      <c r="CP110" s="3">
        <v>6</v>
      </c>
      <c r="CQ110" s="3"/>
      <c r="CR110" s="3"/>
      <c r="CS110" s="3"/>
      <c r="CT110" s="3"/>
      <c r="CU110" s="3"/>
      <c r="CV110" s="3"/>
      <c r="CW110" s="3"/>
      <c r="CX110" s="3"/>
      <c r="CY110" s="3"/>
      <c r="CZ110" s="3"/>
      <c r="DA110" s="3"/>
    </row>
    <row r="111" spans="1:105" ht="15" customHeight="1" x14ac:dyDescent="0.2">
      <c r="A111" s="5" t="s">
        <v>1283</v>
      </c>
      <c r="B111" s="5" t="s">
        <v>1284</v>
      </c>
      <c r="C111" s="5" t="s">
        <v>1285</v>
      </c>
      <c r="D111" s="5" t="s">
        <v>1286</v>
      </c>
      <c r="E111" s="5" t="s">
        <v>1286</v>
      </c>
      <c r="F111" s="5" t="s">
        <v>194</v>
      </c>
      <c r="G111" s="5" t="s">
        <v>110</v>
      </c>
      <c r="H111" s="5" t="s">
        <v>351</v>
      </c>
      <c r="I111" s="5"/>
      <c r="J111" s="5" t="s">
        <v>113</v>
      </c>
      <c r="K111" s="5" t="s">
        <v>114</v>
      </c>
      <c r="L111" s="5" t="s">
        <v>114</v>
      </c>
      <c r="M111" s="5" t="s">
        <v>114</v>
      </c>
      <c r="N111" s="5" t="s">
        <v>114</v>
      </c>
      <c r="O111" s="5" t="s">
        <v>114</v>
      </c>
      <c r="P111" s="5" t="s">
        <v>114</v>
      </c>
      <c r="Q111" s="5" t="s">
        <v>1469</v>
      </c>
      <c r="R111" s="5"/>
      <c r="S111" s="5" t="s">
        <v>1289</v>
      </c>
      <c r="T111" s="5" t="s">
        <v>1470</v>
      </c>
      <c r="U111" s="5" t="s">
        <v>120</v>
      </c>
      <c r="V111" s="5" t="s">
        <v>119</v>
      </c>
      <c r="W111" s="5" t="s">
        <v>120</v>
      </c>
      <c r="X111" s="5"/>
      <c r="Y111" s="5"/>
      <c r="Z111" s="5" t="s">
        <v>119</v>
      </c>
      <c r="AA111" s="5"/>
      <c r="AB111" s="5" t="s">
        <v>122</v>
      </c>
      <c r="AC111" s="5" t="s">
        <v>217</v>
      </c>
      <c r="AD111" s="5" t="s">
        <v>736</v>
      </c>
      <c r="AE111" s="5" t="s">
        <v>1471</v>
      </c>
      <c r="AF111" s="5" t="s">
        <v>348</v>
      </c>
      <c r="AG111" s="5" t="s">
        <v>166</v>
      </c>
      <c r="AH111" s="5"/>
      <c r="AI111" s="5"/>
      <c r="AJ111" s="5"/>
      <c r="AK111" s="5"/>
      <c r="AL111" s="5"/>
      <c r="AM111" s="5">
        <v>0</v>
      </c>
      <c r="AN111" s="5"/>
      <c r="AO111" s="5"/>
      <c r="AP111" s="5"/>
      <c r="AQ111" s="5"/>
      <c r="AR111" s="5"/>
      <c r="AS111" s="5">
        <v>0</v>
      </c>
      <c r="AT111" s="5"/>
      <c r="AU111" s="5"/>
      <c r="AV111" s="5"/>
      <c r="AW111" s="5"/>
      <c r="AX111" s="5"/>
      <c r="AY111" s="5"/>
      <c r="AZ111" s="5">
        <v>0</v>
      </c>
      <c r="BA111" s="5"/>
      <c r="BB111" s="5" t="s">
        <v>876</v>
      </c>
      <c r="BC111" s="5">
        <v>850</v>
      </c>
      <c r="BD111" s="6">
        <v>46097</v>
      </c>
      <c r="BE111" s="6">
        <v>47727</v>
      </c>
      <c r="BF111" s="6">
        <v>47879</v>
      </c>
      <c r="BG111" s="6">
        <v>48152</v>
      </c>
      <c r="BH111" s="5">
        <v>9</v>
      </c>
      <c r="BI111" s="6">
        <v>47879</v>
      </c>
      <c r="BJ111" s="6">
        <v>48060</v>
      </c>
      <c r="BK111" s="5">
        <v>5.9</v>
      </c>
      <c r="BL111" s="6">
        <v>47879</v>
      </c>
      <c r="BM111" s="6">
        <v>48244</v>
      </c>
      <c r="BN111" s="5">
        <v>12</v>
      </c>
      <c r="BO111" s="6">
        <v>48152</v>
      </c>
      <c r="BP111" s="6">
        <v>47879</v>
      </c>
      <c r="BQ111" s="5">
        <v>9</v>
      </c>
      <c r="BR111" s="6">
        <v>47879</v>
      </c>
      <c r="BS111" s="6">
        <v>48152</v>
      </c>
      <c r="BT111" s="5">
        <v>9</v>
      </c>
      <c r="BU111" s="5" t="s">
        <v>1472</v>
      </c>
      <c r="BV111" s="5" t="s">
        <v>1473</v>
      </c>
      <c r="BW111" s="5" t="s">
        <v>1474</v>
      </c>
      <c r="BX111" s="6">
        <v>47744</v>
      </c>
      <c r="BY111" s="6">
        <v>48944</v>
      </c>
      <c r="BZ111" s="5" t="s">
        <v>136</v>
      </c>
      <c r="CA111" s="5" t="s">
        <v>137</v>
      </c>
      <c r="CB111" s="5"/>
      <c r="CC111" s="5" t="s">
        <v>301</v>
      </c>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row>
    <row r="112" spans="1:105" ht="15" customHeight="1" x14ac:dyDescent="0.2">
      <c r="A112" s="3" t="s">
        <v>1475</v>
      </c>
      <c r="B112" s="3" t="s">
        <v>1476</v>
      </c>
      <c r="C112" s="3" t="s">
        <v>1477</v>
      </c>
      <c r="D112" s="3" t="s">
        <v>194</v>
      </c>
      <c r="E112" s="3" t="s">
        <v>194</v>
      </c>
      <c r="F112" s="3" t="s">
        <v>194</v>
      </c>
      <c r="G112" s="3" t="s">
        <v>110</v>
      </c>
      <c r="H112" s="3" t="s">
        <v>259</v>
      </c>
      <c r="I112" s="3" t="s">
        <v>544</v>
      </c>
      <c r="J112" s="3" t="s">
        <v>113</v>
      </c>
      <c r="K112" s="3" t="s">
        <v>114</v>
      </c>
      <c r="L112" s="3" t="s">
        <v>114</v>
      </c>
      <c r="M112" s="3" t="s">
        <v>114</v>
      </c>
      <c r="N112" s="3" t="s">
        <v>114</v>
      </c>
      <c r="O112" s="3" t="s">
        <v>114</v>
      </c>
      <c r="P112" s="3" t="s">
        <v>114</v>
      </c>
      <c r="Q112" s="3" t="s">
        <v>1478</v>
      </c>
      <c r="R112" s="3" t="s">
        <v>1479</v>
      </c>
      <c r="S112" s="3" t="s">
        <v>1480</v>
      </c>
      <c r="T112" s="3" t="s">
        <v>1481</v>
      </c>
      <c r="U112" s="3" t="s">
        <v>120</v>
      </c>
      <c r="V112" s="3" t="s">
        <v>119</v>
      </c>
      <c r="W112" s="3" t="s">
        <v>120</v>
      </c>
      <c r="X112" s="3" t="s">
        <v>388</v>
      </c>
      <c r="Y112" s="3" t="s">
        <v>1482</v>
      </c>
      <c r="Z112" s="3" t="s">
        <v>119</v>
      </c>
      <c r="AA112" s="3"/>
      <c r="AB112" s="3" t="s">
        <v>122</v>
      </c>
      <c r="AC112" s="3" t="s">
        <v>217</v>
      </c>
      <c r="AD112" s="3" t="s">
        <v>145</v>
      </c>
      <c r="AE112" s="3" t="s">
        <v>1483</v>
      </c>
      <c r="AF112" s="3" t="s">
        <v>1484</v>
      </c>
      <c r="AG112" s="3" t="s">
        <v>1416</v>
      </c>
      <c r="AH112" s="3"/>
      <c r="AI112" s="3"/>
      <c r="AJ112" s="3"/>
      <c r="AK112" s="3"/>
      <c r="AL112" s="3"/>
      <c r="AM112" s="3">
        <v>0</v>
      </c>
      <c r="AN112" s="3"/>
      <c r="AO112" s="3"/>
      <c r="AP112" s="3"/>
      <c r="AQ112" s="3"/>
      <c r="AR112" s="3"/>
      <c r="AS112" s="3">
        <v>0</v>
      </c>
      <c r="AT112" s="3"/>
      <c r="AU112" s="3"/>
      <c r="AV112" s="3"/>
      <c r="AW112" s="3"/>
      <c r="AX112" s="3"/>
      <c r="AY112" s="3"/>
      <c r="AZ112" s="3">
        <v>0</v>
      </c>
      <c r="BA112" s="3"/>
      <c r="BB112" s="3" t="s">
        <v>876</v>
      </c>
      <c r="BC112" s="3">
        <v>590</v>
      </c>
      <c r="BD112" s="4">
        <v>46024</v>
      </c>
      <c r="BE112" s="4">
        <v>48061</v>
      </c>
      <c r="BF112" s="4">
        <v>48213</v>
      </c>
      <c r="BG112" s="4">
        <v>48487</v>
      </c>
      <c r="BH112" s="3">
        <v>9</v>
      </c>
      <c r="BI112" s="4">
        <v>48213</v>
      </c>
      <c r="BJ112" s="4">
        <v>48395</v>
      </c>
      <c r="BK112" s="3">
        <v>6</v>
      </c>
      <c r="BL112" s="4">
        <v>48213</v>
      </c>
      <c r="BM112" s="4">
        <v>48579</v>
      </c>
      <c r="BN112" s="3">
        <v>12</v>
      </c>
      <c r="BO112" s="4">
        <v>48487</v>
      </c>
      <c r="BP112" s="4">
        <v>48213</v>
      </c>
      <c r="BQ112" s="3">
        <v>9</v>
      </c>
      <c r="BR112" s="4">
        <v>48213</v>
      </c>
      <c r="BS112" s="4">
        <v>48487</v>
      </c>
      <c r="BT112" s="3">
        <v>9</v>
      </c>
      <c r="BU112" s="3" t="s">
        <v>1485</v>
      </c>
      <c r="BV112" s="3" t="s">
        <v>1486</v>
      </c>
      <c r="BW112" s="3" t="s">
        <v>1487</v>
      </c>
      <c r="BX112" s="4">
        <v>48072</v>
      </c>
      <c r="BY112" s="4">
        <v>48072</v>
      </c>
      <c r="BZ112" s="3" t="s">
        <v>136</v>
      </c>
      <c r="CA112" s="3" t="s">
        <v>191</v>
      </c>
      <c r="CB112" s="3"/>
      <c r="CC112" s="3" t="s">
        <v>1488</v>
      </c>
      <c r="CD112" s="3" t="s">
        <v>881</v>
      </c>
      <c r="CE112" s="3"/>
      <c r="CF112" s="3"/>
      <c r="CG112" s="3"/>
      <c r="CH112" s="3"/>
      <c r="CI112" s="3"/>
      <c r="CJ112" s="3"/>
      <c r="CK112" s="3"/>
      <c r="CL112" s="3"/>
      <c r="CM112" s="3"/>
      <c r="CN112" s="3"/>
      <c r="CO112" s="3"/>
      <c r="CP112" s="3"/>
      <c r="CQ112" s="3"/>
      <c r="CR112" s="3"/>
      <c r="CS112" s="3"/>
      <c r="CT112" s="3"/>
      <c r="CU112" s="3"/>
      <c r="CV112" s="3"/>
      <c r="CW112" s="3"/>
      <c r="CX112" s="3"/>
      <c r="CY112" s="3"/>
      <c r="CZ112" s="3"/>
      <c r="DA112" s="3"/>
    </row>
    <row r="113" spans="1:105" ht="15" customHeight="1" x14ac:dyDescent="0.2">
      <c r="A113" s="5" t="s">
        <v>1283</v>
      </c>
      <c r="B113" s="5" t="s">
        <v>1284</v>
      </c>
      <c r="C113" s="5" t="s">
        <v>1285</v>
      </c>
      <c r="D113" s="5" t="s">
        <v>1286</v>
      </c>
      <c r="E113" s="5" t="s">
        <v>1286</v>
      </c>
      <c r="F113" s="5" t="s">
        <v>194</v>
      </c>
      <c r="G113" s="5" t="s">
        <v>110</v>
      </c>
      <c r="H113" s="5" t="s">
        <v>572</v>
      </c>
      <c r="I113" s="5"/>
      <c r="J113" s="5" t="s">
        <v>113</v>
      </c>
      <c r="K113" s="5" t="s">
        <v>114</v>
      </c>
      <c r="L113" s="5" t="s">
        <v>114</v>
      </c>
      <c r="M113" s="5" t="s">
        <v>114</v>
      </c>
      <c r="N113" s="5" t="s">
        <v>114</v>
      </c>
      <c r="O113" s="5" t="s">
        <v>114</v>
      </c>
      <c r="P113" s="5" t="s">
        <v>114</v>
      </c>
      <c r="Q113" s="5" t="s">
        <v>1489</v>
      </c>
      <c r="R113" s="5"/>
      <c r="S113" s="5" t="s">
        <v>1289</v>
      </c>
      <c r="T113" s="5" t="s">
        <v>449</v>
      </c>
      <c r="U113" s="5" t="s">
        <v>120</v>
      </c>
      <c r="V113" s="5" t="s">
        <v>119</v>
      </c>
      <c r="W113" s="5" t="s">
        <v>120</v>
      </c>
      <c r="X113" s="5"/>
      <c r="Y113" s="5"/>
      <c r="Z113" s="5" t="s">
        <v>119</v>
      </c>
      <c r="AA113" s="5"/>
      <c r="AB113" s="5" t="s">
        <v>122</v>
      </c>
      <c r="AC113" s="5" t="s">
        <v>217</v>
      </c>
      <c r="AD113" s="5" t="s">
        <v>736</v>
      </c>
      <c r="AE113" s="5" t="s">
        <v>1490</v>
      </c>
      <c r="AF113" s="5" t="s">
        <v>278</v>
      </c>
      <c r="AG113" s="5" t="s">
        <v>358</v>
      </c>
      <c r="AH113" s="5"/>
      <c r="AI113" s="5"/>
      <c r="AJ113" s="5"/>
      <c r="AK113" s="5"/>
      <c r="AL113" s="5"/>
      <c r="AM113" s="5">
        <v>0</v>
      </c>
      <c r="AN113" s="5"/>
      <c r="AO113" s="5"/>
      <c r="AP113" s="5"/>
      <c r="AQ113" s="5"/>
      <c r="AR113" s="5"/>
      <c r="AS113" s="5">
        <v>0</v>
      </c>
      <c r="AT113" s="5"/>
      <c r="AU113" s="5"/>
      <c r="AV113" s="5"/>
      <c r="AW113" s="5"/>
      <c r="AX113" s="5"/>
      <c r="AY113" s="5"/>
      <c r="AZ113" s="5">
        <v>0</v>
      </c>
      <c r="BA113" s="5"/>
      <c r="BB113" s="5" t="s">
        <v>876</v>
      </c>
      <c r="BC113" s="5">
        <v>750</v>
      </c>
      <c r="BD113" s="6">
        <v>46093</v>
      </c>
      <c r="BE113" s="6">
        <v>48122</v>
      </c>
      <c r="BF113" s="6">
        <v>48272</v>
      </c>
      <c r="BG113" s="6">
        <v>48548</v>
      </c>
      <c r="BH113" s="5">
        <v>9</v>
      </c>
      <c r="BI113" s="6">
        <v>48272</v>
      </c>
      <c r="BJ113" s="6">
        <v>48457</v>
      </c>
      <c r="BK113" s="5">
        <v>6.1</v>
      </c>
      <c r="BL113" s="6">
        <v>48272</v>
      </c>
      <c r="BM113" s="6">
        <v>48638</v>
      </c>
      <c r="BN113" s="5">
        <v>12</v>
      </c>
      <c r="BO113" s="6">
        <v>48548</v>
      </c>
      <c r="BP113" s="6">
        <v>48272</v>
      </c>
      <c r="BQ113" s="5">
        <v>9</v>
      </c>
      <c r="BR113" s="6">
        <v>48272</v>
      </c>
      <c r="BS113" s="6">
        <v>48548</v>
      </c>
      <c r="BT113" s="5">
        <v>9</v>
      </c>
      <c r="BU113" s="5" t="s">
        <v>1491</v>
      </c>
      <c r="BV113" s="5" t="s">
        <v>1492</v>
      </c>
      <c r="BW113" s="5" t="s">
        <v>1493</v>
      </c>
      <c r="BX113" s="6">
        <v>48135</v>
      </c>
      <c r="BY113" s="6">
        <v>48135</v>
      </c>
      <c r="BZ113" s="5" t="s">
        <v>136</v>
      </c>
      <c r="CA113" s="5" t="s">
        <v>492</v>
      </c>
      <c r="CB113" s="5" t="s">
        <v>881</v>
      </c>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row>
  </sheetData>
  <autoFilter ref="A1:DA113"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A46"/>
  <sheetViews>
    <sheetView zoomScaleNormal="100" workbookViewId="0">
      <pane ySplit="1" topLeftCell="A2" activePane="bottomLeft" state="frozen"/>
      <selection pane="bottomLeft"/>
    </sheetView>
  </sheetViews>
  <sheetFormatPr baseColWidth="10" defaultColWidth="8.6640625" defaultRowHeight="15" customHeight="1" x14ac:dyDescent="0.2"/>
  <sheetData>
    <row r="1" spans="1:105" ht="90.7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row>
    <row r="2" spans="1:105" ht="15" customHeight="1" x14ac:dyDescent="0.2">
      <c r="A2" s="3" t="s">
        <v>156</v>
      </c>
      <c r="B2" s="3" t="s">
        <v>157</v>
      </c>
      <c r="C2" s="3" t="s">
        <v>157</v>
      </c>
      <c r="D2" s="3" t="s">
        <v>107</v>
      </c>
      <c r="E2" s="3" t="s">
        <v>108</v>
      </c>
      <c r="F2" s="3" t="s">
        <v>332</v>
      </c>
      <c r="G2" s="3" t="s">
        <v>110</v>
      </c>
      <c r="H2" s="3" t="s">
        <v>259</v>
      </c>
      <c r="I2" s="3"/>
      <c r="J2" s="3" t="s">
        <v>1494</v>
      </c>
      <c r="K2" s="3" t="s">
        <v>115</v>
      </c>
      <c r="L2" s="3" t="s">
        <v>115</v>
      </c>
      <c r="M2" s="3" t="s">
        <v>114</v>
      </c>
      <c r="N2" s="3"/>
      <c r="O2" s="3" t="s">
        <v>115</v>
      </c>
      <c r="P2" s="3" t="s">
        <v>114</v>
      </c>
      <c r="Q2" s="3" t="s">
        <v>1495</v>
      </c>
      <c r="R2" s="3"/>
      <c r="S2" s="3" t="s">
        <v>161</v>
      </c>
      <c r="T2" s="3" t="s">
        <v>162</v>
      </c>
      <c r="U2" s="3" t="s">
        <v>119</v>
      </c>
      <c r="V2" s="3" t="s">
        <v>119</v>
      </c>
      <c r="W2" s="3" t="s">
        <v>120</v>
      </c>
      <c r="X2" s="3"/>
      <c r="Y2" s="3"/>
      <c r="Z2" s="3" t="s">
        <v>119</v>
      </c>
      <c r="AA2" s="3" t="s">
        <v>163</v>
      </c>
      <c r="AB2" s="3" t="s">
        <v>122</v>
      </c>
      <c r="AC2" s="3" t="s">
        <v>123</v>
      </c>
      <c r="AD2" s="3" t="s">
        <v>145</v>
      </c>
      <c r="AE2" s="3" t="s">
        <v>1496</v>
      </c>
      <c r="AF2" s="3" t="s">
        <v>184</v>
      </c>
      <c r="AG2" s="3" t="s">
        <v>166</v>
      </c>
      <c r="AH2" s="3"/>
      <c r="AI2" s="3"/>
      <c r="AJ2" s="3"/>
      <c r="AK2" s="3"/>
      <c r="AL2" s="3"/>
      <c r="AM2" s="3">
        <v>0</v>
      </c>
      <c r="AN2" s="3" t="s">
        <v>185</v>
      </c>
      <c r="AO2" s="3"/>
      <c r="AP2" s="3" t="s">
        <v>185</v>
      </c>
      <c r="AQ2" s="3"/>
      <c r="AR2" s="3" t="s">
        <v>1497</v>
      </c>
      <c r="AS2" s="3">
        <v>0.2</v>
      </c>
      <c r="AT2" s="3">
        <v>0.71</v>
      </c>
      <c r="AU2" s="3" t="s">
        <v>1498</v>
      </c>
      <c r="AV2" s="3" t="s">
        <v>1498</v>
      </c>
      <c r="AW2" s="3"/>
      <c r="AX2" s="3" t="s">
        <v>1499</v>
      </c>
      <c r="AY2" s="3"/>
      <c r="AZ2" s="3">
        <v>1</v>
      </c>
      <c r="BA2" s="3">
        <v>0.81</v>
      </c>
      <c r="BB2" s="3" t="s">
        <v>132</v>
      </c>
      <c r="BC2" s="3">
        <v>889</v>
      </c>
      <c r="BD2" s="4">
        <v>38718</v>
      </c>
      <c r="BE2" s="4">
        <v>39569</v>
      </c>
      <c r="BF2" s="4">
        <v>39873</v>
      </c>
      <c r="BG2" s="4">
        <v>40295</v>
      </c>
      <c r="BH2" s="3">
        <v>13.8</v>
      </c>
      <c r="BI2" s="4">
        <v>39890</v>
      </c>
      <c r="BJ2" s="4">
        <v>40284</v>
      </c>
      <c r="BK2" s="3">
        <v>12.9</v>
      </c>
      <c r="BL2" s="3"/>
      <c r="BM2" s="3"/>
      <c r="BN2" s="3"/>
      <c r="BO2" s="3"/>
      <c r="BP2" s="3"/>
      <c r="BQ2" s="3"/>
      <c r="BR2" s="4">
        <v>39873</v>
      </c>
      <c r="BS2" s="4">
        <v>40295</v>
      </c>
      <c r="BT2" s="3">
        <v>13.8</v>
      </c>
      <c r="BU2" s="3" t="s">
        <v>1500</v>
      </c>
      <c r="BV2" s="3" t="s">
        <v>1501</v>
      </c>
      <c r="BW2" s="3" t="s">
        <v>1502</v>
      </c>
      <c r="BX2" s="4">
        <v>40483</v>
      </c>
      <c r="BY2" s="4">
        <v>40483</v>
      </c>
      <c r="BZ2" s="3" t="s">
        <v>136</v>
      </c>
      <c r="CA2" s="3" t="s">
        <v>492</v>
      </c>
      <c r="CB2" s="3"/>
      <c r="CC2" s="3"/>
      <c r="CD2" s="3" t="s">
        <v>277</v>
      </c>
      <c r="CE2" s="3"/>
      <c r="CF2" s="3"/>
      <c r="CG2" s="3"/>
      <c r="CH2" s="3"/>
      <c r="CI2" s="3"/>
      <c r="CJ2" s="3"/>
      <c r="CK2" s="3"/>
      <c r="CL2" s="3"/>
      <c r="CM2" s="3"/>
      <c r="CN2" s="3"/>
      <c r="CO2" s="3"/>
      <c r="CP2" s="3"/>
      <c r="CQ2" s="3"/>
      <c r="CR2" s="3"/>
      <c r="CS2" s="3"/>
      <c r="CT2" s="3"/>
      <c r="CU2" s="3"/>
      <c r="CV2" s="3"/>
      <c r="CW2" s="3"/>
      <c r="CX2" s="3"/>
      <c r="CY2" s="3"/>
      <c r="CZ2" s="3"/>
      <c r="DA2" s="3"/>
    </row>
    <row r="3" spans="1:105" ht="15" customHeight="1" x14ac:dyDescent="0.2">
      <c r="A3" s="5" t="s">
        <v>233</v>
      </c>
      <c r="B3" s="5" t="s">
        <v>234</v>
      </c>
      <c r="C3" s="5" t="s">
        <v>234</v>
      </c>
      <c r="D3" s="5" t="s">
        <v>235</v>
      </c>
      <c r="E3" s="5" t="s">
        <v>235</v>
      </c>
      <c r="F3" s="5" t="s">
        <v>235</v>
      </c>
      <c r="G3" s="5" t="s">
        <v>110</v>
      </c>
      <c r="H3" s="5" t="s">
        <v>236</v>
      </c>
      <c r="I3" s="5"/>
      <c r="J3" s="5" t="s">
        <v>1494</v>
      </c>
      <c r="K3" s="5" t="s">
        <v>115</v>
      </c>
      <c r="L3" s="5" t="s">
        <v>115</v>
      </c>
      <c r="M3" s="5" t="s">
        <v>114</v>
      </c>
      <c r="N3" s="5" t="s">
        <v>114</v>
      </c>
      <c r="O3" s="5" t="s">
        <v>115</v>
      </c>
      <c r="P3" s="5" t="s">
        <v>114</v>
      </c>
      <c r="Q3" s="5" t="s">
        <v>1503</v>
      </c>
      <c r="R3" s="5" t="s">
        <v>1504</v>
      </c>
      <c r="S3" s="5" t="s">
        <v>239</v>
      </c>
      <c r="T3" s="5" t="s">
        <v>240</v>
      </c>
      <c r="U3" s="5" t="s">
        <v>119</v>
      </c>
      <c r="V3" s="5" t="s">
        <v>119</v>
      </c>
      <c r="W3" s="5" t="s">
        <v>120</v>
      </c>
      <c r="X3" s="5"/>
      <c r="Y3" s="5"/>
      <c r="Z3" s="5" t="s">
        <v>119</v>
      </c>
      <c r="AA3" s="5" t="s">
        <v>163</v>
      </c>
      <c r="AB3" s="5" t="s">
        <v>122</v>
      </c>
      <c r="AC3" s="5" t="s">
        <v>217</v>
      </c>
      <c r="AD3" s="5" t="s">
        <v>145</v>
      </c>
      <c r="AE3" s="5" t="s">
        <v>1505</v>
      </c>
      <c r="AF3" s="5" t="s">
        <v>1506</v>
      </c>
      <c r="AG3" s="5" t="s">
        <v>166</v>
      </c>
      <c r="AH3" s="5" t="s">
        <v>1507</v>
      </c>
      <c r="AI3" s="5" t="s">
        <v>1508</v>
      </c>
      <c r="AJ3" s="5" t="s">
        <v>1509</v>
      </c>
      <c r="AK3" s="5"/>
      <c r="AL3" s="5"/>
      <c r="AM3" s="5">
        <v>45</v>
      </c>
      <c r="AN3" s="5" t="s">
        <v>1510</v>
      </c>
      <c r="AO3" s="5">
        <v>7.7</v>
      </c>
      <c r="AP3" s="5" t="s">
        <v>1511</v>
      </c>
      <c r="AQ3" s="5"/>
      <c r="AR3" s="5"/>
      <c r="AS3" s="5">
        <v>4.7</v>
      </c>
      <c r="AT3" s="5">
        <v>0.49</v>
      </c>
      <c r="AU3" s="5" t="s">
        <v>1512</v>
      </c>
      <c r="AV3" s="5" t="s">
        <v>1513</v>
      </c>
      <c r="AW3" s="5" t="s">
        <v>1514</v>
      </c>
      <c r="AX3" s="5"/>
      <c r="AY3" s="5"/>
      <c r="AZ3" s="5">
        <v>-0.2</v>
      </c>
      <c r="BA3" s="5">
        <v>0.85</v>
      </c>
      <c r="BB3" s="5" t="s">
        <v>132</v>
      </c>
      <c r="BC3" s="5">
        <v>347</v>
      </c>
      <c r="BD3" s="6">
        <v>40057</v>
      </c>
      <c r="BE3" s="6">
        <v>41061</v>
      </c>
      <c r="BF3" s="6">
        <v>41963</v>
      </c>
      <c r="BG3" s="6">
        <v>42333</v>
      </c>
      <c r="BH3" s="5">
        <v>12.1</v>
      </c>
      <c r="BI3" s="6">
        <v>41333</v>
      </c>
      <c r="BJ3" s="6">
        <v>41598</v>
      </c>
      <c r="BK3" s="5">
        <v>8.6999999999999993</v>
      </c>
      <c r="BL3" s="5"/>
      <c r="BM3" s="5"/>
      <c r="BN3" s="5"/>
      <c r="BO3" s="5"/>
      <c r="BP3" s="5"/>
      <c r="BQ3" s="5"/>
      <c r="BR3" s="6">
        <v>41963</v>
      </c>
      <c r="BS3" s="6">
        <v>42333</v>
      </c>
      <c r="BT3" s="5">
        <v>12.1</v>
      </c>
      <c r="BU3" s="5" t="s">
        <v>1515</v>
      </c>
      <c r="BV3" s="5" t="s">
        <v>1516</v>
      </c>
      <c r="BW3" s="5" t="s">
        <v>1517</v>
      </c>
      <c r="BX3" s="6">
        <v>40969</v>
      </c>
      <c r="BY3" s="6">
        <v>42370</v>
      </c>
      <c r="BZ3" s="5" t="s">
        <v>136</v>
      </c>
      <c r="CA3" s="5" t="s">
        <v>137</v>
      </c>
      <c r="CB3" s="5" t="s">
        <v>254</v>
      </c>
      <c r="CC3" s="5"/>
      <c r="CD3" s="5" t="s">
        <v>1518</v>
      </c>
      <c r="CE3" s="5" t="s">
        <v>256</v>
      </c>
      <c r="CF3" s="5"/>
      <c r="CG3" s="5"/>
      <c r="CH3" s="5"/>
      <c r="CI3" s="5"/>
      <c r="CJ3" s="5"/>
      <c r="CK3" s="5"/>
      <c r="CL3" s="5"/>
      <c r="CM3" s="5"/>
      <c r="CN3" s="5"/>
      <c r="CO3" s="5"/>
      <c r="CP3" s="5"/>
      <c r="CQ3" s="5"/>
      <c r="CR3" s="5"/>
      <c r="CS3" s="5"/>
      <c r="CT3" s="5"/>
      <c r="CU3" s="5"/>
      <c r="CV3" s="5"/>
      <c r="CW3" s="5"/>
      <c r="CX3" s="5"/>
      <c r="CY3" s="5"/>
      <c r="CZ3" s="5"/>
      <c r="DA3" s="5"/>
    </row>
    <row r="4" spans="1:105" ht="15" customHeight="1" x14ac:dyDescent="0.2">
      <c r="A4" s="3" t="s">
        <v>510</v>
      </c>
      <c r="B4" s="3" t="s">
        <v>511</v>
      </c>
      <c r="C4" s="3" t="s">
        <v>511</v>
      </c>
      <c r="D4" s="3" t="s">
        <v>140</v>
      </c>
      <c r="E4" s="3" t="s">
        <v>140</v>
      </c>
      <c r="F4" s="3" t="s">
        <v>140</v>
      </c>
      <c r="G4" s="3" t="s">
        <v>110</v>
      </c>
      <c r="H4" s="3" t="s">
        <v>259</v>
      </c>
      <c r="I4" s="3" t="s">
        <v>544</v>
      </c>
      <c r="J4" s="3" t="s">
        <v>1494</v>
      </c>
      <c r="K4" s="3" t="s">
        <v>115</v>
      </c>
      <c r="L4" s="3" t="s">
        <v>115</v>
      </c>
      <c r="M4" s="3" t="s">
        <v>114</v>
      </c>
      <c r="N4" s="3" t="s">
        <v>115</v>
      </c>
      <c r="O4" s="3" t="s">
        <v>115</v>
      </c>
      <c r="P4" s="3" t="s">
        <v>114</v>
      </c>
      <c r="Q4" s="3" t="s">
        <v>1519</v>
      </c>
      <c r="R4" s="3" t="s">
        <v>1520</v>
      </c>
      <c r="S4" s="3" t="s">
        <v>514</v>
      </c>
      <c r="T4" s="3" t="s">
        <v>1521</v>
      </c>
      <c r="U4" s="3" t="s">
        <v>119</v>
      </c>
      <c r="V4" s="3" t="s">
        <v>119</v>
      </c>
      <c r="W4" s="3" t="s">
        <v>120</v>
      </c>
      <c r="X4" s="3"/>
      <c r="Y4" s="3"/>
      <c r="Z4" s="3" t="s">
        <v>119</v>
      </c>
      <c r="AA4" s="3" t="s">
        <v>163</v>
      </c>
      <c r="AB4" s="3" t="s">
        <v>122</v>
      </c>
      <c r="AC4" s="3" t="s">
        <v>217</v>
      </c>
      <c r="AD4" s="3" t="s">
        <v>124</v>
      </c>
      <c r="AE4" s="3" t="s">
        <v>1522</v>
      </c>
      <c r="AF4" s="3" t="s">
        <v>1523</v>
      </c>
      <c r="AG4" s="3" t="s">
        <v>148</v>
      </c>
      <c r="AH4" s="3" t="s">
        <v>1524</v>
      </c>
      <c r="AI4" s="3" t="s">
        <v>222</v>
      </c>
      <c r="AJ4" s="3" t="s">
        <v>1525</v>
      </c>
      <c r="AK4" s="3"/>
      <c r="AL4" s="3"/>
      <c r="AM4" s="3">
        <v>9</v>
      </c>
      <c r="AN4" s="3" t="s">
        <v>1526</v>
      </c>
      <c r="AO4" s="3">
        <v>4.5</v>
      </c>
      <c r="AP4" s="3" t="s">
        <v>1511</v>
      </c>
      <c r="AQ4" s="3"/>
      <c r="AR4" s="3"/>
      <c r="AS4" s="3">
        <v>1.5</v>
      </c>
      <c r="AT4" s="3">
        <v>0.76</v>
      </c>
      <c r="AU4" s="3" t="s">
        <v>1527</v>
      </c>
      <c r="AV4" s="3" t="s">
        <v>1528</v>
      </c>
      <c r="AW4" s="3" t="s">
        <v>1529</v>
      </c>
      <c r="AX4" s="3"/>
      <c r="AY4" s="3"/>
      <c r="AZ4" s="3">
        <v>1.4</v>
      </c>
      <c r="BA4" s="3">
        <v>0.86</v>
      </c>
      <c r="BB4" s="3" t="s">
        <v>132</v>
      </c>
      <c r="BC4" s="3">
        <v>1253</v>
      </c>
      <c r="BD4" s="4">
        <v>40513</v>
      </c>
      <c r="BE4" s="4">
        <v>41671</v>
      </c>
      <c r="BF4" s="4">
        <v>42038</v>
      </c>
      <c r="BG4" s="4">
        <v>42370</v>
      </c>
      <c r="BH4" s="3">
        <v>10.9</v>
      </c>
      <c r="BI4" s="4">
        <v>41816</v>
      </c>
      <c r="BJ4" s="4">
        <v>41985</v>
      </c>
      <c r="BK4" s="3">
        <v>5.5</v>
      </c>
      <c r="BL4" s="3"/>
      <c r="BM4" s="3"/>
      <c r="BN4" s="3"/>
      <c r="BO4" s="4">
        <v>42541</v>
      </c>
      <c r="BP4" s="4">
        <v>42208</v>
      </c>
      <c r="BQ4" s="3">
        <v>10.9</v>
      </c>
      <c r="BR4" s="4">
        <v>42038</v>
      </c>
      <c r="BS4" s="4">
        <v>42370</v>
      </c>
      <c r="BT4" s="3">
        <v>10.9</v>
      </c>
      <c r="BU4" s="3" t="s">
        <v>1530</v>
      </c>
      <c r="BV4" s="3" t="s">
        <v>1531</v>
      </c>
      <c r="BW4" s="3" t="s">
        <v>1532</v>
      </c>
      <c r="BX4" s="4">
        <v>41609</v>
      </c>
      <c r="BY4" s="4">
        <v>42583</v>
      </c>
      <c r="BZ4" s="3" t="s">
        <v>136</v>
      </c>
      <c r="CA4" s="3" t="s">
        <v>191</v>
      </c>
      <c r="CB4" s="3"/>
      <c r="CC4" s="3"/>
      <c r="CD4" s="3" t="s">
        <v>1533</v>
      </c>
      <c r="CE4" s="3"/>
      <c r="CF4" s="3"/>
      <c r="CG4" s="3"/>
      <c r="CH4" s="3"/>
      <c r="CI4" s="3"/>
      <c r="CJ4" s="3"/>
      <c r="CK4" s="3"/>
      <c r="CL4" s="3"/>
      <c r="CM4" s="3"/>
      <c r="CN4" s="3"/>
      <c r="CO4" s="3"/>
      <c r="CP4" s="3"/>
      <c r="CQ4" s="3"/>
      <c r="CR4" s="3"/>
      <c r="CS4" s="3"/>
      <c r="CT4" s="3"/>
      <c r="CU4" s="3"/>
      <c r="CV4" s="3"/>
      <c r="CW4" s="3"/>
      <c r="CX4" s="3"/>
      <c r="CY4" s="3"/>
      <c r="CZ4" s="3"/>
      <c r="DA4" s="3"/>
    </row>
    <row r="5" spans="1:105" ht="15" customHeight="1" x14ac:dyDescent="0.2">
      <c r="A5" s="5" t="s">
        <v>211</v>
      </c>
      <c r="B5" s="5" t="s">
        <v>212</v>
      </c>
      <c r="C5" s="5" t="s">
        <v>213</v>
      </c>
      <c r="D5" s="5" t="s">
        <v>214</v>
      </c>
      <c r="E5" s="5" t="s">
        <v>214</v>
      </c>
      <c r="F5" s="5" t="s">
        <v>214</v>
      </c>
      <c r="G5" s="5" t="s">
        <v>110</v>
      </c>
      <c r="H5" s="5" t="s">
        <v>111</v>
      </c>
      <c r="I5" s="5" t="s">
        <v>260</v>
      </c>
      <c r="J5" s="5" t="s">
        <v>1494</v>
      </c>
      <c r="K5" s="5" t="s">
        <v>115</v>
      </c>
      <c r="L5" s="5" t="s">
        <v>115</v>
      </c>
      <c r="M5" s="5" t="s">
        <v>115</v>
      </c>
      <c r="N5" s="5"/>
      <c r="O5" s="5" t="s">
        <v>115</v>
      </c>
      <c r="P5" s="5" t="s">
        <v>114</v>
      </c>
      <c r="Q5" s="5" t="s">
        <v>1534</v>
      </c>
      <c r="R5" s="5" t="s">
        <v>1535</v>
      </c>
      <c r="S5" s="5" t="s">
        <v>161</v>
      </c>
      <c r="T5" s="5" t="s">
        <v>216</v>
      </c>
      <c r="U5" s="5" t="s">
        <v>119</v>
      </c>
      <c r="V5" s="5" t="s">
        <v>119</v>
      </c>
      <c r="W5" s="5" t="s">
        <v>120</v>
      </c>
      <c r="X5" s="5"/>
      <c r="Y5" s="5"/>
      <c r="Z5" s="5" t="s">
        <v>119</v>
      </c>
      <c r="AA5" s="5" t="s">
        <v>144</v>
      </c>
      <c r="AB5" s="5" t="s">
        <v>122</v>
      </c>
      <c r="AC5" s="5" t="s">
        <v>217</v>
      </c>
      <c r="AD5" s="5" t="s">
        <v>145</v>
      </c>
      <c r="AE5" s="5" t="s">
        <v>1536</v>
      </c>
      <c r="AF5" s="5" t="s">
        <v>156</v>
      </c>
      <c r="AG5" s="5" t="s">
        <v>166</v>
      </c>
      <c r="AH5" s="5" t="s">
        <v>1537</v>
      </c>
      <c r="AI5" s="5" t="s">
        <v>1538</v>
      </c>
      <c r="AJ5" s="5" t="s">
        <v>1539</v>
      </c>
      <c r="AK5" s="5"/>
      <c r="AL5" s="5"/>
      <c r="AM5" s="5">
        <v>3</v>
      </c>
      <c r="AN5" s="5" t="s">
        <v>1540</v>
      </c>
      <c r="AO5" s="5">
        <v>2.4</v>
      </c>
      <c r="AP5" s="5" t="s">
        <v>1541</v>
      </c>
      <c r="AQ5" s="5"/>
      <c r="AR5" s="5"/>
      <c r="AS5" s="5">
        <v>0.5</v>
      </c>
      <c r="AT5" s="5">
        <v>0.82</v>
      </c>
      <c r="AU5" s="5" t="s">
        <v>1542</v>
      </c>
      <c r="AV5" s="5" t="s">
        <v>1543</v>
      </c>
      <c r="AW5" s="5" t="s">
        <v>1544</v>
      </c>
      <c r="AX5" s="5"/>
      <c r="AY5" s="5"/>
      <c r="AZ5" s="5">
        <v>1</v>
      </c>
      <c r="BA5" s="5">
        <v>0.84</v>
      </c>
      <c r="BB5" s="5" t="s">
        <v>132</v>
      </c>
      <c r="BC5" s="5">
        <v>795</v>
      </c>
      <c r="BD5" s="6">
        <v>40973</v>
      </c>
      <c r="BE5" s="6">
        <v>41883</v>
      </c>
      <c r="BF5" s="6">
        <v>42217</v>
      </c>
      <c r="BG5" s="6">
        <v>42467</v>
      </c>
      <c r="BH5" s="5">
        <v>8.1999999999999993</v>
      </c>
      <c r="BI5" s="6">
        <v>42171</v>
      </c>
      <c r="BJ5" s="6">
        <v>42475</v>
      </c>
      <c r="BK5" s="5">
        <v>10</v>
      </c>
      <c r="BL5" s="6">
        <v>42429</v>
      </c>
      <c r="BM5" s="6">
        <v>42794</v>
      </c>
      <c r="BN5" s="5">
        <v>12</v>
      </c>
      <c r="BO5" s="5"/>
      <c r="BP5" s="5"/>
      <c r="BQ5" s="5"/>
      <c r="BR5" s="6">
        <v>42217</v>
      </c>
      <c r="BS5" s="6">
        <v>42467</v>
      </c>
      <c r="BT5" s="5">
        <v>8.1999999999999993</v>
      </c>
      <c r="BU5" s="5" t="s">
        <v>1545</v>
      </c>
      <c r="BV5" s="5" t="s">
        <v>1546</v>
      </c>
      <c r="BW5" s="5" t="s">
        <v>1547</v>
      </c>
      <c r="BX5" s="6">
        <v>41568</v>
      </c>
      <c r="BY5" s="6">
        <v>43096</v>
      </c>
      <c r="BZ5" s="5" t="s">
        <v>136</v>
      </c>
      <c r="CA5" s="5" t="s">
        <v>137</v>
      </c>
      <c r="CB5" s="5"/>
      <c r="CC5" s="5"/>
      <c r="CD5" s="5" t="s">
        <v>1548</v>
      </c>
      <c r="CE5" s="5"/>
      <c r="CF5" s="5"/>
      <c r="CG5" s="5"/>
      <c r="CH5" s="5"/>
      <c r="CI5" s="5"/>
      <c r="CJ5" s="5"/>
      <c r="CK5" s="5"/>
      <c r="CL5" s="5"/>
      <c r="CM5" s="5"/>
      <c r="CN5" s="5"/>
      <c r="CO5" s="5"/>
      <c r="CP5" s="5"/>
      <c r="CQ5" s="5"/>
      <c r="CR5" s="5"/>
      <c r="CS5" s="5"/>
      <c r="CT5" s="5"/>
      <c r="CU5" s="5"/>
      <c r="CV5" s="5"/>
      <c r="CW5" s="5"/>
      <c r="CX5" s="5"/>
      <c r="CY5" s="5"/>
      <c r="CZ5" s="5"/>
      <c r="DA5" s="5"/>
    </row>
    <row r="6" spans="1:105" ht="15" customHeight="1" x14ac:dyDescent="0.2">
      <c r="A6" s="3" t="s">
        <v>278</v>
      </c>
      <c r="B6" s="3" t="s">
        <v>279</v>
      </c>
      <c r="C6" s="3" t="s">
        <v>279</v>
      </c>
      <c r="D6" s="3" t="s">
        <v>280</v>
      </c>
      <c r="E6" s="3" t="s">
        <v>281</v>
      </c>
      <c r="F6" s="3" t="s">
        <v>282</v>
      </c>
      <c r="G6" s="3" t="s">
        <v>110</v>
      </c>
      <c r="H6" s="3" t="s">
        <v>111</v>
      </c>
      <c r="I6" s="3"/>
      <c r="J6" s="3" t="s">
        <v>1494</v>
      </c>
      <c r="K6" s="3" t="s">
        <v>115</v>
      </c>
      <c r="L6" s="3" t="s">
        <v>115</v>
      </c>
      <c r="M6" s="3" t="s">
        <v>114</v>
      </c>
      <c r="N6" s="3" t="s">
        <v>115</v>
      </c>
      <c r="O6" s="3" t="s">
        <v>115</v>
      </c>
      <c r="P6" s="3" t="s">
        <v>114</v>
      </c>
      <c r="Q6" s="3" t="s">
        <v>1549</v>
      </c>
      <c r="R6" s="3" t="s">
        <v>1550</v>
      </c>
      <c r="S6" s="3" t="s">
        <v>286</v>
      </c>
      <c r="T6" s="3" t="s">
        <v>287</v>
      </c>
      <c r="U6" s="3" t="s">
        <v>120</v>
      </c>
      <c r="V6" s="3" t="s">
        <v>119</v>
      </c>
      <c r="W6" s="3" t="s">
        <v>120</v>
      </c>
      <c r="X6" s="3"/>
      <c r="Y6" s="3"/>
      <c r="Z6" s="3" t="s">
        <v>119</v>
      </c>
      <c r="AA6" s="3" t="s">
        <v>121</v>
      </c>
      <c r="AB6" s="3" t="s">
        <v>122</v>
      </c>
      <c r="AC6" s="3" t="s">
        <v>217</v>
      </c>
      <c r="AD6" s="3" t="s">
        <v>124</v>
      </c>
      <c r="AE6" s="3" t="s">
        <v>1551</v>
      </c>
      <c r="AF6" s="3" t="s">
        <v>1523</v>
      </c>
      <c r="AG6" s="3" t="s">
        <v>148</v>
      </c>
      <c r="AH6" s="3" t="s">
        <v>1552</v>
      </c>
      <c r="AI6" s="3" t="s">
        <v>1553</v>
      </c>
      <c r="AJ6" s="3" t="s">
        <v>1554</v>
      </c>
      <c r="AK6" s="3"/>
      <c r="AL6" s="3"/>
      <c r="AM6" s="3">
        <v>9</v>
      </c>
      <c r="AN6" s="3" t="s">
        <v>1555</v>
      </c>
      <c r="AO6" s="3">
        <v>3.9</v>
      </c>
      <c r="AP6" s="3" t="s">
        <v>1556</v>
      </c>
      <c r="AQ6" s="3"/>
      <c r="AR6" s="3"/>
      <c r="AS6" s="3">
        <v>-0.1</v>
      </c>
      <c r="AT6" s="3">
        <v>0.88</v>
      </c>
      <c r="AU6" s="3" t="s">
        <v>1557</v>
      </c>
      <c r="AV6" s="3" t="s">
        <v>313</v>
      </c>
      <c r="AW6" s="3" t="s">
        <v>1558</v>
      </c>
      <c r="AX6" s="3" t="s">
        <v>296</v>
      </c>
      <c r="AY6" s="3" t="s">
        <v>296</v>
      </c>
      <c r="AZ6" s="3">
        <v>3.4</v>
      </c>
      <c r="BA6" s="3">
        <v>0.55000000000000004</v>
      </c>
      <c r="BB6" s="3" t="s">
        <v>132</v>
      </c>
      <c r="BC6" s="3">
        <v>1034</v>
      </c>
      <c r="BD6" s="4">
        <v>41495</v>
      </c>
      <c r="BE6" s="4">
        <v>42278</v>
      </c>
      <c r="BF6" s="4">
        <v>42378</v>
      </c>
      <c r="BG6" s="4">
        <v>42584</v>
      </c>
      <c r="BH6" s="3">
        <v>6.8</v>
      </c>
      <c r="BI6" s="4">
        <v>42362</v>
      </c>
      <c r="BJ6" s="4">
        <v>42667</v>
      </c>
      <c r="BK6" s="3">
        <v>10</v>
      </c>
      <c r="BL6" s="3"/>
      <c r="BM6" s="3"/>
      <c r="BN6" s="3"/>
      <c r="BO6" s="4">
        <v>42723</v>
      </c>
      <c r="BP6" s="4">
        <v>42649</v>
      </c>
      <c r="BQ6" s="3">
        <v>2.4</v>
      </c>
      <c r="BR6" s="4">
        <v>42378</v>
      </c>
      <c r="BS6" s="4">
        <v>42584</v>
      </c>
      <c r="BT6" s="3">
        <v>6.8</v>
      </c>
      <c r="BU6" s="3" t="s">
        <v>1559</v>
      </c>
      <c r="BV6" s="3" t="s">
        <v>1560</v>
      </c>
      <c r="BW6" s="3" t="s">
        <v>1561</v>
      </c>
      <c r="BX6" s="4">
        <v>42277</v>
      </c>
      <c r="BY6" s="4">
        <v>44104</v>
      </c>
      <c r="BZ6" s="3" t="s">
        <v>136</v>
      </c>
      <c r="CA6" s="3" t="s">
        <v>137</v>
      </c>
      <c r="CB6" s="3" t="s">
        <v>474</v>
      </c>
      <c r="CC6" s="3"/>
      <c r="CD6" s="3" t="s">
        <v>1562</v>
      </c>
      <c r="CE6" s="3" t="s">
        <v>474</v>
      </c>
      <c r="CF6" s="3"/>
      <c r="CG6" s="3"/>
      <c r="CH6" s="3"/>
      <c r="CI6" s="3"/>
      <c r="CJ6" s="3"/>
      <c r="CK6" s="3"/>
      <c r="CL6" s="3"/>
      <c r="CM6" s="3"/>
      <c r="CN6" s="3"/>
      <c r="CO6" s="3"/>
      <c r="CP6" s="3"/>
      <c r="CQ6" s="3"/>
      <c r="CR6" s="3"/>
      <c r="CS6" s="3"/>
      <c r="CT6" s="3"/>
      <c r="CU6" s="3"/>
      <c r="CV6" s="3"/>
      <c r="CW6" s="3"/>
      <c r="CX6" s="3"/>
      <c r="CY6" s="3"/>
      <c r="CZ6" s="3"/>
      <c r="DA6" s="3"/>
    </row>
    <row r="7" spans="1:105" ht="15" customHeight="1" x14ac:dyDescent="0.2">
      <c r="A7" s="5" t="s">
        <v>445</v>
      </c>
      <c r="B7" s="5" t="s">
        <v>446</v>
      </c>
      <c r="C7" s="5" t="s">
        <v>446</v>
      </c>
      <c r="D7" s="5" t="s">
        <v>107</v>
      </c>
      <c r="E7" s="5" t="s">
        <v>108</v>
      </c>
      <c r="F7" s="5" t="s">
        <v>332</v>
      </c>
      <c r="G7" s="5" t="s">
        <v>110</v>
      </c>
      <c r="H7" s="5" t="s">
        <v>111</v>
      </c>
      <c r="I7" s="5" t="s">
        <v>181</v>
      </c>
      <c r="J7" s="5" t="s">
        <v>1494</v>
      </c>
      <c r="K7" s="5" t="s">
        <v>115</v>
      </c>
      <c r="L7" s="5" t="s">
        <v>115</v>
      </c>
      <c r="M7" s="5" t="s">
        <v>114</v>
      </c>
      <c r="N7" s="5" t="s">
        <v>115</v>
      </c>
      <c r="O7" s="5" t="s">
        <v>115</v>
      </c>
      <c r="P7" s="5" t="s">
        <v>114</v>
      </c>
      <c r="Q7" s="5" t="s">
        <v>1563</v>
      </c>
      <c r="R7" s="5" t="s">
        <v>1564</v>
      </c>
      <c r="S7" s="5" t="s">
        <v>354</v>
      </c>
      <c r="T7" s="5" t="s">
        <v>355</v>
      </c>
      <c r="U7" s="5" t="s">
        <v>120</v>
      </c>
      <c r="V7" s="5" t="s">
        <v>119</v>
      </c>
      <c r="W7" s="5" t="s">
        <v>120</v>
      </c>
      <c r="X7" s="5"/>
      <c r="Y7" s="5"/>
      <c r="Z7" s="5" t="s">
        <v>119</v>
      </c>
      <c r="AA7" s="5" t="s">
        <v>356</v>
      </c>
      <c r="AB7" s="5" t="s">
        <v>122</v>
      </c>
      <c r="AC7" s="5" t="s">
        <v>217</v>
      </c>
      <c r="AD7" s="5" t="s">
        <v>124</v>
      </c>
      <c r="AE7" s="5" t="s">
        <v>1565</v>
      </c>
      <c r="AF7" s="5" t="s">
        <v>1523</v>
      </c>
      <c r="AG7" s="5" t="s">
        <v>148</v>
      </c>
      <c r="AH7" s="5" t="s">
        <v>1566</v>
      </c>
      <c r="AI7" s="5" t="s">
        <v>1525</v>
      </c>
      <c r="AJ7" s="5" t="s">
        <v>1567</v>
      </c>
      <c r="AK7" s="5"/>
      <c r="AL7" s="5"/>
      <c r="AM7" s="5">
        <v>1</v>
      </c>
      <c r="AN7" s="5"/>
      <c r="AO7" s="5"/>
      <c r="AP7" s="5"/>
      <c r="AQ7" s="5"/>
      <c r="AR7" s="5"/>
      <c r="AS7" s="5">
        <v>0</v>
      </c>
      <c r="AT7" s="5">
        <v>0.95</v>
      </c>
      <c r="AU7" s="5" t="s">
        <v>1568</v>
      </c>
      <c r="AV7" s="5" t="s">
        <v>1569</v>
      </c>
      <c r="AW7" s="5" t="s">
        <v>1570</v>
      </c>
      <c r="AX7" s="5"/>
      <c r="AY7" s="5"/>
      <c r="AZ7" s="5">
        <v>4.2</v>
      </c>
      <c r="BA7" s="5">
        <v>0.73</v>
      </c>
      <c r="BB7" s="5" t="s">
        <v>132</v>
      </c>
      <c r="BC7" s="5">
        <v>1225</v>
      </c>
      <c r="BD7" s="6">
        <v>41709</v>
      </c>
      <c r="BE7" s="6">
        <v>42278</v>
      </c>
      <c r="BF7" s="6">
        <v>42705</v>
      </c>
      <c r="BG7" s="6">
        <v>43000</v>
      </c>
      <c r="BH7" s="5">
        <v>9.6999999999999993</v>
      </c>
      <c r="BI7" s="6">
        <v>42419</v>
      </c>
      <c r="BJ7" s="6">
        <v>42661</v>
      </c>
      <c r="BK7" s="5">
        <v>7.9</v>
      </c>
      <c r="BL7" s="5"/>
      <c r="BM7" s="5"/>
      <c r="BN7" s="5"/>
      <c r="BO7" s="6">
        <v>43118</v>
      </c>
      <c r="BP7" s="6">
        <v>42783</v>
      </c>
      <c r="BQ7" s="5">
        <v>11</v>
      </c>
      <c r="BR7" s="6">
        <v>42705</v>
      </c>
      <c r="BS7" s="6">
        <v>43000</v>
      </c>
      <c r="BT7" s="5">
        <v>9.6999999999999993</v>
      </c>
      <c r="BU7" s="5" t="s">
        <v>1571</v>
      </c>
      <c r="BV7" s="5" t="s">
        <v>1572</v>
      </c>
      <c r="BW7" s="5" t="s">
        <v>1573</v>
      </c>
      <c r="BX7" s="6">
        <v>42558</v>
      </c>
      <c r="BY7" s="6">
        <v>43474</v>
      </c>
      <c r="BZ7" s="5" t="s">
        <v>136</v>
      </c>
      <c r="CA7" s="5" t="s">
        <v>137</v>
      </c>
      <c r="CB7" s="5"/>
      <c r="CC7" s="5"/>
      <c r="CD7" s="5" t="s">
        <v>1574</v>
      </c>
      <c r="CE7" s="5"/>
      <c r="CF7" s="5"/>
      <c r="CG7" s="5"/>
      <c r="CH7" s="5"/>
      <c r="CI7" s="5"/>
      <c r="CJ7" s="5"/>
      <c r="CK7" s="5"/>
      <c r="CL7" s="5"/>
      <c r="CM7" s="5"/>
      <c r="CN7" s="5"/>
      <c r="CO7" s="5"/>
      <c r="CP7" s="5"/>
      <c r="CQ7" s="5"/>
      <c r="CR7" s="5"/>
      <c r="CS7" s="5"/>
      <c r="CT7" s="5"/>
      <c r="CU7" s="5"/>
      <c r="CV7" s="5"/>
      <c r="CW7" s="5"/>
      <c r="CX7" s="5"/>
      <c r="CY7" s="5"/>
      <c r="CZ7" s="5"/>
      <c r="DA7" s="5"/>
    </row>
    <row r="8" spans="1:105" ht="15" customHeight="1" x14ac:dyDescent="0.2">
      <c r="A8" s="3" t="s">
        <v>368</v>
      </c>
      <c r="B8" s="3" t="s">
        <v>369</v>
      </c>
      <c r="C8" s="3" t="s">
        <v>369</v>
      </c>
      <c r="D8" s="3" t="s">
        <v>350</v>
      </c>
      <c r="E8" s="3" t="s">
        <v>350</v>
      </c>
      <c r="F8" s="3" t="s">
        <v>350</v>
      </c>
      <c r="G8" s="3" t="s">
        <v>110</v>
      </c>
      <c r="H8" s="3" t="s">
        <v>259</v>
      </c>
      <c r="I8" s="3" t="s">
        <v>181</v>
      </c>
      <c r="J8" s="3" t="s">
        <v>1494</v>
      </c>
      <c r="K8" s="3" t="s">
        <v>115</v>
      </c>
      <c r="L8" s="3" t="s">
        <v>115</v>
      </c>
      <c r="M8" s="3" t="s">
        <v>115</v>
      </c>
      <c r="N8" s="3" t="s">
        <v>114</v>
      </c>
      <c r="O8" s="3" t="s">
        <v>115</v>
      </c>
      <c r="P8" s="3" t="s">
        <v>114</v>
      </c>
      <c r="Q8" s="3" t="s">
        <v>1575</v>
      </c>
      <c r="R8" s="3" t="s">
        <v>1576</v>
      </c>
      <c r="S8" s="3" t="s">
        <v>372</v>
      </c>
      <c r="T8" s="3" t="s">
        <v>180</v>
      </c>
      <c r="U8" s="3" t="s">
        <v>119</v>
      </c>
      <c r="V8" s="3" t="s">
        <v>119</v>
      </c>
      <c r="W8" s="3" t="s">
        <v>120</v>
      </c>
      <c r="X8" s="3"/>
      <c r="Y8" s="3"/>
      <c r="Z8" s="3" t="s">
        <v>119</v>
      </c>
      <c r="AA8" s="3" t="s">
        <v>121</v>
      </c>
      <c r="AB8" s="3" t="s">
        <v>122</v>
      </c>
      <c r="AC8" s="3" t="s">
        <v>217</v>
      </c>
      <c r="AD8" s="3" t="s">
        <v>145</v>
      </c>
      <c r="AE8" s="3" t="s">
        <v>1577</v>
      </c>
      <c r="AF8" s="3" t="s">
        <v>165</v>
      </c>
      <c r="AG8" s="3" t="s">
        <v>166</v>
      </c>
      <c r="AH8" s="3" t="s">
        <v>1578</v>
      </c>
      <c r="AI8" s="3" t="s">
        <v>1579</v>
      </c>
      <c r="AJ8" s="3" t="s">
        <v>267</v>
      </c>
      <c r="AK8" s="3"/>
      <c r="AL8" s="3"/>
      <c r="AM8" s="3">
        <v>40</v>
      </c>
      <c r="AN8" s="3" t="s">
        <v>1580</v>
      </c>
      <c r="AO8" s="3">
        <v>10.1</v>
      </c>
      <c r="AP8" s="3" t="s">
        <v>1581</v>
      </c>
      <c r="AQ8" s="3"/>
      <c r="AR8" s="3"/>
      <c r="AS8" s="3">
        <v>5.7</v>
      </c>
      <c r="AT8" s="3">
        <v>0.3</v>
      </c>
      <c r="AU8" s="3" t="s">
        <v>1582</v>
      </c>
      <c r="AV8" s="3" t="s">
        <v>1582</v>
      </c>
      <c r="AW8" s="3"/>
      <c r="AX8" s="3"/>
      <c r="AY8" s="3"/>
      <c r="AZ8" s="3">
        <v>4.3</v>
      </c>
      <c r="BA8" s="3">
        <v>0.87</v>
      </c>
      <c r="BB8" s="3" t="s">
        <v>132</v>
      </c>
      <c r="BC8" s="3">
        <v>421</v>
      </c>
      <c r="BD8" s="4">
        <v>41855</v>
      </c>
      <c r="BE8" s="4">
        <v>42552</v>
      </c>
      <c r="BF8" s="4">
        <v>42675</v>
      </c>
      <c r="BG8" s="4">
        <v>42850</v>
      </c>
      <c r="BH8" s="3">
        <v>5.7</v>
      </c>
      <c r="BI8" s="4">
        <v>42643</v>
      </c>
      <c r="BJ8" s="4">
        <v>42824</v>
      </c>
      <c r="BK8" s="3">
        <v>5.9</v>
      </c>
      <c r="BL8" s="4">
        <v>42769</v>
      </c>
      <c r="BM8" s="4">
        <v>42818</v>
      </c>
      <c r="BN8" s="3">
        <v>1.6</v>
      </c>
      <c r="BO8" s="3"/>
      <c r="BP8" s="3"/>
      <c r="BQ8" s="3"/>
      <c r="BR8" s="4">
        <v>42675</v>
      </c>
      <c r="BS8" s="4">
        <v>42850</v>
      </c>
      <c r="BT8" s="3">
        <v>5.7</v>
      </c>
      <c r="BU8" s="3" t="s">
        <v>1583</v>
      </c>
      <c r="BV8" s="3" t="s">
        <v>1584</v>
      </c>
      <c r="BW8" s="3" t="s">
        <v>1585</v>
      </c>
      <c r="BX8" s="4">
        <v>42475</v>
      </c>
      <c r="BY8" s="4">
        <v>45275</v>
      </c>
      <c r="BZ8" s="3" t="s">
        <v>136</v>
      </c>
      <c r="CA8" s="3" t="s">
        <v>137</v>
      </c>
      <c r="CB8" s="3" t="s">
        <v>1586</v>
      </c>
      <c r="CC8" s="3"/>
      <c r="CD8" s="3" t="s">
        <v>1587</v>
      </c>
      <c r="CE8" s="3" t="s">
        <v>180</v>
      </c>
      <c r="CF8" s="3"/>
      <c r="CG8" s="3"/>
      <c r="CH8" s="3"/>
      <c r="CI8" s="3"/>
      <c r="CJ8" s="3"/>
      <c r="CK8" s="3"/>
      <c r="CL8" s="3"/>
      <c r="CM8" s="3"/>
      <c r="CN8" s="3"/>
      <c r="CO8" s="3"/>
      <c r="CP8" s="3"/>
      <c r="CQ8" s="3"/>
      <c r="CR8" s="3"/>
      <c r="CS8" s="3"/>
      <c r="CT8" s="3"/>
      <c r="CU8" s="3"/>
      <c r="CV8" s="3"/>
      <c r="CW8" s="3"/>
      <c r="CX8" s="3"/>
      <c r="CY8" s="3"/>
      <c r="CZ8" s="3"/>
      <c r="DA8" s="3"/>
    </row>
    <row r="9" spans="1:105" ht="15" customHeight="1" x14ac:dyDescent="0.2">
      <c r="A9" s="5" t="s">
        <v>445</v>
      </c>
      <c r="B9" s="5" t="s">
        <v>446</v>
      </c>
      <c r="C9" s="5" t="s">
        <v>1588</v>
      </c>
      <c r="D9" s="5" t="s">
        <v>107</v>
      </c>
      <c r="E9" s="5" t="s">
        <v>108</v>
      </c>
      <c r="F9" s="5" t="s">
        <v>332</v>
      </c>
      <c r="G9" s="5" t="s">
        <v>110</v>
      </c>
      <c r="H9" s="5" t="s">
        <v>111</v>
      </c>
      <c r="I9" s="5" t="s">
        <v>544</v>
      </c>
      <c r="J9" s="5" t="s">
        <v>1494</v>
      </c>
      <c r="K9" s="5" t="s">
        <v>115</v>
      </c>
      <c r="L9" s="5" t="s">
        <v>115</v>
      </c>
      <c r="M9" s="5" t="s">
        <v>115</v>
      </c>
      <c r="N9" s="5" t="s">
        <v>114</v>
      </c>
      <c r="O9" s="5" t="s">
        <v>115</v>
      </c>
      <c r="P9" s="5" t="s">
        <v>114</v>
      </c>
      <c r="Q9" s="5" t="s">
        <v>1589</v>
      </c>
      <c r="R9" s="5" t="s">
        <v>1590</v>
      </c>
      <c r="S9" s="5" t="s">
        <v>354</v>
      </c>
      <c r="T9" s="5" t="s">
        <v>355</v>
      </c>
      <c r="U9" s="5" t="s">
        <v>120</v>
      </c>
      <c r="V9" s="5" t="s">
        <v>119</v>
      </c>
      <c r="W9" s="5" t="s">
        <v>120</v>
      </c>
      <c r="X9" s="5"/>
      <c r="Y9" s="5"/>
      <c r="Z9" s="5" t="s">
        <v>119</v>
      </c>
      <c r="AA9" s="5" t="s">
        <v>356</v>
      </c>
      <c r="AB9" s="5" t="s">
        <v>122</v>
      </c>
      <c r="AC9" s="5" t="s">
        <v>217</v>
      </c>
      <c r="AD9" s="5" t="s">
        <v>124</v>
      </c>
      <c r="AE9" s="5" t="s">
        <v>1591</v>
      </c>
      <c r="AF9" s="5" t="s">
        <v>1592</v>
      </c>
      <c r="AG9" s="5" t="s">
        <v>127</v>
      </c>
      <c r="AH9" s="5"/>
      <c r="AI9" s="5"/>
      <c r="AJ9" s="5"/>
      <c r="AK9" s="5"/>
      <c r="AL9" s="5"/>
      <c r="AM9" s="5">
        <v>0</v>
      </c>
      <c r="AN9" s="5"/>
      <c r="AO9" s="5"/>
      <c r="AP9" s="5"/>
      <c r="AQ9" s="5"/>
      <c r="AR9" s="5"/>
      <c r="AS9" s="5">
        <v>0</v>
      </c>
      <c r="AT9" s="5"/>
      <c r="AU9" s="5" t="s">
        <v>1593</v>
      </c>
      <c r="AV9" s="5" t="s">
        <v>1593</v>
      </c>
      <c r="AW9" s="5"/>
      <c r="AX9" s="5" t="s">
        <v>343</v>
      </c>
      <c r="AY9" s="5"/>
      <c r="AZ9" s="5">
        <v>0</v>
      </c>
      <c r="BA9" s="5">
        <v>1</v>
      </c>
      <c r="BB9" s="5" t="s">
        <v>132</v>
      </c>
      <c r="BC9" s="5">
        <v>438</v>
      </c>
      <c r="BD9" s="6">
        <v>43461</v>
      </c>
      <c r="BE9" s="6">
        <v>44774</v>
      </c>
      <c r="BF9" s="6">
        <v>44879</v>
      </c>
      <c r="BG9" s="6">
        <v>45307</v>
      </c>
      <c r="BH9" s="5">
        <v>14</v>
      </c>
      <c r="BI9" s="6">
        <v>45245</v>
      </c>
      <c r="BJ9" s="6">
        <v>45548</v>
      </c>
      <c r="BK9" s="5">
        <v>9.9</v>
      </c>
      <c r="BL9" s="6">
        <v>45500</v>
      </c>
      <c r="BM9" s="6">
        <v>45973</v>
      </c>
      <c r="BN9" s="5">
        <v>15.5</v>
      </c>
      <c r="BO9" s="5"/>
      <c r="BP9" s="5"/>
      <c r="BQ9" s="5"/>
      <c r="BR9" s="6">
        <v>44895</v>
      </c>
      <c r="BS9" s="6">
        <v>45167</v>
      </c>
      <c r="BT9" s="5">
        <v>8.9</v>
      </c>
      <c r="BU9" s="5" t="s">
        <v>1594</v>
      </c>
      <c r="BV9" s="5" t="s">
        <v>1595</v>
      </c>
      <c r="BW9" s="5" t="s">
        <v>1596</v>
      </c>
      <c r="BX9" s="6">
        <v>44677</v>
      </c>
      <c r="BY9" s="6">
        <v>45607</v>
      </c>
      <c r="BZ9" s="5" t="s">
        <v>136</v>
      </c>
      <c r="CA9" s="5" t="s">
        <v>959</v>
      </c>
      <c r="CB9" s="5"/>
      <c r="CC9" s="5" t="s">
        <v>1597</v>
      </c>
      <c r="CD9" s="5" t="s">
        <v>1598</v>
      </c>
      <c r="CE9" s="5"/>
      <c r="CF9" s="5"/>
      <c r="CG9" s="5"/>
      <c r="CH9" s="5"/>
      <c r="CI9" s="5"/>
      <c r="CJ9" s="5"/>
      <c r="CK9" s="5"/>
      <c r="CL9" s="5"/>
      <c r="CM9" s="5"/>
      <c r="CN9" s="5"/>
      <c r="CO9" s="5"/>
      <c r="CP9" s="5"/>
      <c r="CQ9" s="5"/>
      <c r="CR9" s="5"/>
      <c r="CS9" s="5"/>
      <c r="CT9" s="5"/>
      <c r="CU9" s="5"/>
      <c r="CV9" s="5"/>
      <c r="CW9" s="5"/>
      <c r="CX9" s="5"/>
      <c r="CY9" s="5"/>
      <c r="CZ9" s="5"/>
      <c r="DA9" s="5"/>
    </row>
    <row r="10" spans="1:105" ht="15" customHeight="1" x14ac:dyDescent="0.2">
      <c r="A10" s="3" t="s">
        <v>728</v>
      </c>
      <c r="B10" s="3" t="s">
        <v>729</v>
      </c>
      <c r="C10" s="3" t="s">
        <v>729</v>
      </c>
      <c r="D10" s="3" t="s">
        <v>730</v>
      </c>
      <c r="E10" s="3" t="s">
        <v>730</v>
      </c>
      <c r="F10" s="3" t="s">
        <v>730</v>
      </c>
      <c r="G10" s="3" t="s">
        <v>110</v>
      </c>
      <c r="H10" s="3" t="s">
        <v>259</v>
      </c>
      <c r="I10" s="3" t="s">
        <v>181</v>
      </c>
      <c r="J10" s="3" t="s">
        <v>1494</v>
      </c>
      <c r="K10" s="3" t="s">
        <v>115</v>
      </c>
      <c r="L10" s="3" t="s">
        <v>115</v>
      </c>
      <c r="M10" s="3" t="s">
        <v>115</v>
      </c>
      <c r="N10" s="3" t="s">
        <v>115</v>
      </c>
      <c r="O10" s="3" t="s">
        <v>115</v>
      </c>
      <c r="P10" s="3" t="s">
        <v>114</v>
      </c>
      <c r="Q10" s="3" t="s">
        <v>1599</v>
      </c>
      <c r="R10" s="3" t="s">
        <v>1600</v>
      </c>
      <c r="S10" s="3" t="s">
        <v>733</v>
      </c>
      <c r="T10" s="3" t="s">
        <v>749</v>
      </c>
      <c r="U10" s="3" t="s">
        <v>119</v>
      </c>
      <c r="V10" s="3" t="s">
        <v>119</v>
      </c>
      <c r="W10" s="3" t="s">
        <v>120</v>
      </c>
      <c r="X10" s="3" t="s">
        <v>388</v>
      </c>
      <c r="Y10" s="3" t="s">
        <v>750</v>
      </c>
      <c r="Z10" s="3" t="s">
        <v>119</v>
      </c>
      <c r="AA10" s="3"/>
      <c r="AB10" s="3" t="s">
        <v>122</v>
      </c>
      <c r="AC10" s="3" t="s">
        <v>217</v>
      </c>
      <c r="AD10" s="3" t="s">
        <v>736</v>
      </c>
      <c r="AE10" s="3" t="s">
        <v>1601</v>
      </c>
      <c r="AF10" s="3" t="s">
        <v>1602</v>
      </c>
      <c r="AG10" s="3" t="s">
        <v>166</v>
      </c>
      <c r="AH10" s="3" t="s">
        <v>1603</v>
      </c>
      <c r="AI10" s="3" t="s">
        <v>1604</v>
      </c>
      <c r="AJ10" s="3" t="s">
        <v>1605</v>
      </c>
      <c r="AK10" s="3" t="s">
        <v>1606</v>
      </c>
      <c r="AL10" s="3" t="s">
        <v>1606</v>
      </c>
      <c r="AM10" s="3">
        <v>24</v>
      </c>
      <c r="AN10" s="3" t="s">
        <v>1607</v>
      </c>
      <c r="AO10" s="3"/>
      <c r="AP10" s="3" t="s">
        <v>1607</v>
      </c>
      <c r="AQ10" s="3"/>
      <c r="AR10" s="3" t="s">
        <v>1606</v>
      </c>
      <c r="AS10" s="3">
        <v>2.1</v>
      </c>
      <c r="AT10" s="3">
        <v>0.44</v>
      </c>
      <c r="AU10" s="3" t="s">
        <v>1608</v>
      </c>
      <c r="AV10" s="3"/>
      <c r="AW10" s="3"/>
      <c r="AX10" s="3"/>
      <c r="AY10" s="3"/>
      <c r="AZ10" s="3">
        <v>2.4</v>
      </c>
      <c r="BA10" s="3">
        <v>0.96</v>
      </c>
      <c r="BB10" s="3" t="s">
        <v>522</v>
      </c>
      <c r="BC10" s="3">
        <v>776</v>
      </c>
      <c r="BD10" s="4">
        <v>44517</v>
      </c>
      <c r="BE10" s="4">
        <v>45170</v>
      </c>
      <c r="BF10" s="4">
        <v>45291</v>
      </c>
      <c r="BG10" s="4">
        <v>45531</v>
      </c>
      <c r="BH10" s="3">
        <v>7.9</v>
      </c>
      <c r="BI10" s="4">
        <v>45250</v>
      </c>
      <c r="BJ10" s="4">
        <v>45554</v>
      </c>
      <c r="BK10" s="3">
        <v>10</v>
      </c>
      <c r="BL10" s="4">
        <v>45268</v>
      </c>
      <c r="BM10" s="4">
        <v>45769</v>
      </c>
      <c r="BN10" s="3">
        <v>16.399999999999999</v>
      </c>
      <c r="BO10" s="4">
        <v>45796</v>
      </c>
      <c r="BP10" s="4">
        <v>45443</v>
      </c>
      <c r="BQ10" s="3">
        <v>11.6</v>
      </c>
      <c r="BR10" s="4">
        <v>45291</v>
      </c>
      <c r="BS10" s="4">
        <v>45608</v>
      </c>
      <c r="BT10" s="3">
        <v>10.4</v>
      </c>
      <c r="BU10" s="3" t="s">
        <v>1609</v>
      </c>
      <c r="BV10" s="3" t="s">
        <v>1610</v>
      </c>
      <c r="BW10" s="3" t="s">
        <v>1611</v>
      </c>
      <c r="BX10" s="4">
        <v>45117</v>
      </c>
      <c r="BY10" s="4">
        <v>46295</v>
      </c>
      <c r="BZ10" s="3" t="s">
        <v>136</v>
      </c>
      <c r="CA10" s="3" t="s">
        <v>137</v>
      </c>
      <c r="CB10" s="3" t="s">
        <v>428</v>
      </c>
      <c r="CC10" s="3"/>
      <c r="CD10" s="3" t="s">
        <v>907</v>
      </c>
      <c r="CE10" s="3" t="s">
        <v>428</v>
      </c>
      <c r="CF10" s="3"/>
      <c r="CG10" s="3"/>
      <c r="CH10" s="3"/>
      <c r="CI10" s="3"/>
      <c r="CJ10" s="3"/>
      <c r="CK10" s="3"/>
      <c r="CL10" s="3"/>
      <c r="CM10" s="3"/>
      <c r="CN10" s="3"/>
      <c r="CO10" s="3"/>
      <c r="CP10" s="3"/>
      <c r="CQ10" s="3"/>
      <c r="CR10" s="3"/>
      <c r="CS10" s="3"/>
      <c r="CT10" s="3"/>
      <c r="CU10" s="3"/>
      <c r="CV10" s="3"/>
      <c r="CW10" s="3"/>
      <c r="CX10" s="3"/>
      <c r="CY10" s="3"/>
      <c r="CZ10" s="3"/>
      <c r="DA10" s="3"/>
    </row>
    <row r="11" spans="1:105" ht="15" customHeight="1" x14ac:dyDescent="0.2">
      <c r="A11" s="5" t="s">
        <v>1213</v>
      </c>
      <c r="B11" s="5" t="s">
        <v>1612</v>
      </c>
      <c r="C11" s="5" t="s">
        <v>1215</v>
      </c>
      <c r="D11" s="5" t="s">
        <v>1216</v>
      </c>
      <c r="E11" s="5" t="s">
        <v>1216</v>
      </c>
      <c r="F11" s="5" t="s">
        <v>1216</v>
      </c>
      <c r="G11" s="5" t="s">
        <v>110</v>
      </c>
      <c r="H11" s="5" t="s">
        <v>259</v>
      </c>
      <c r="I11" s="5" t="s">
        <v>544</v>
      </c>
      <c r="J11" s="5" t="s">
        <v>1494</v>
      </c>
      <c r="K11" s="5" t="s">
        <v>115</v>
      </c>
      <c r="L11" s="5" t="s">
        <v>115</v>
      </c>
      <c r="M11" s="5" t="s">
        <v>114</v>
      </c>
      <c r="N11" s="5" t="s">
        <v>115</v>
      </c>
      <c r="O11" s="5" t="s">
        <v>637</v>
      </c>
      <c r="P11" s="5" t="s">
        <v>114</v>
      </c>
      <c r="Q11" s="5" t="s">
        <v>1613</v>
      </c>
      <c r="R11" s="5" t="s">
        <v>1614</v>
      </c>
      <c r="S11" s="5" t="s">
        <v>1219</v>
      </c>
      <c r="T11" s="5" t="s">
        <v>1615</v>
      </c>
      <c r="U11" s="5" t="s">
        <v>120</v>
      </c>
      <c r="V11" s="5" t="s">
        <v>119</v>
      </c>
      <c r="W11" s="5" t="s">
        <v>120</v>
      </c>
      <c r="X11" s="5" t="s">
        <v>388</v>
      </c>
      <c r="Y11" s="5" t="s">
        <v>1616</v>
      </c>
      <c r="Z11" s="5" t="s">
        <v>119</v>
      </c>
      <c r="AA11" s="5"/>
      <c r="AB11" s="5" t="s">
        <v>122</v>
      </c>
      <c r="AC11" s="5" t="s">
        <v>217</v>
      </c>
      <c r="AD11" s="5" t="s">
        <v>127</v>
      </c>
      <c r="AE11" s="5" t="s">
        <v>1617</v>
      </c>
      <c r="AF11" s="5" t="s">
        <v>1618</v>
      </c>
      <c r="AG11" s="5" t="s">
        <v>148</v>
      </c>
      <c r="AH11" s="5"/>
      <c r="AI11" s="5"/>
      <c r="AJ11" s="5"/>
      <c r="AK11" s="5"/>
      <c r="AL11" s="5"/>
      <c r="AM11" s="5">
        <v>0</v>
      </c>
      <c r="AN11" s="5" t="s">
        <v>1619</v>
      </c>
      <c r="AO11" s="5"/>
      <c r="AP11" s="5" t="s">
        <v>1619</v>
      </c>
      <c r="AQ11" s="5"/>
      <c r="AR11" s="5" t="s">
        <v>1620</v>
      </c>
      <c r="AS11" s="5">
        <v>0.7</v>
      </c>
      <c r="AT11" s="5">
        <v>0.87</v>
      </c>
      <c r="AU11" s="5" t="s">
        <v>1621</v>
      </c>
      <c r="AV11" s="5" t="s">
        <v>1622</v>
      </c>
      <c r="AW11" s="5" t="s">
        <v>1623</v>
      </c>
      <c r="AX11" s="5" t="s">
        <v>1624</v>
      </c>
      <c r="AY11" s="5" t="s">
        <v>1624</v>
      </c>
      <c r="AZ11" s="5">
        <v>3.3</v>
      </c>
      <c r="BA11" s="5">
        <v>0.74</v>
      </c>
      <c r="BB11" s="5" t="s">
        <v>132</v>
      </c>
      <c r="BC11" s="5">
        <v>291</v>
      </c>
      <c r="BD11" s="6">
        <v>42705</v>
      </c>
      <c r="BE11" s="6">
        <v>44927</v>
      </c>
      <c r="BF11" s="6">
        <v>45139</v>
      </c>
      <c r="BG11" s="6">
        <v>45769</v>
      </c>
      <c r="BH11" s="5">
        <v>20.7</v>
      </c>
      <c r="BI11" s="6">
        <v>45275</v>
      </c>
      <c r="BJ11" s="6">
        <v>45580</v>
      </c>
      <c r="BK11" s="5">
        <v>10</v>
      </c>
      <c r="BL11" s="5"/>
      <c r="BM11" s="5"/>
      <c r="BN11" s="5"/>
      <c r="BO11" s="6">
        <v>45915</v>
      </c>
      <c r="BP11" s="6">
        <v>45261</v>
      </c>
      <c r="BQ11" s="5">
        <v>21.4</v>
      </c>
      <c r="BR11" s="6">
        <v>45139</v>
      </c>
      <c r="BS11" s="6">
        <v>46112</v>
      </c>
      <c r="BT11" s="5">
        <v>31.9</v>
      </c>
      <c r="BU11" s="5" t="s">
        <v>1625</v>
      </c>
      <c r="BV11" s="5" t="s">
        <v>1626</v>
      </c>
      <c r="BW11" s="5" t="s">
        <v>1627</v>
      </c>
      <c r="BX11" s="6">
        <v>45559</v>
      </c>
      <c r="BY11" s="6">
        <v>45574</v>
      </c>
      <c r="BZ11" s="5" t="s">
        <v>136</v>
      </c>
      <c r="CA11" s="5" t="s">
        <v>137</v>
      </c>
      <c r="CB11" s="5"/>
      <c r="CC11" s="5"/>
      <c r="CD11" s="5" t="s">
        <v>881</v>
      </c>
      <c r="CE11" s="5"/>
      <c r="CF11" s="5"/>
      <c r="CG11" s="5"/>
      <c r="CH11" s="5"/>
      <c r="CI11" s="5"/>
      <c r="CJ11" s="5"/>
      <c r="CK11" s="5"/>
      <c r="CL11" s="5"/>
      <c r="CM11" s="5"/>
      <c r="CN11" s="5"/>
      <c r="CO11" s="5"/>
      <c r="CP11" s="5"/>
      <c r="CQ11" s="5"/>
      <c r="CR11" s="5"/>
      <c r="CS11" s="5"/>
      <c r="CT11" s="5"/>
      <c r="CU11" s="5"/>
      <c r="CV11" s="5"/>
      <c r="CW11" s="5"/>
      <c r="CX11" s="5"/>
      <c r="CY11" s="5"/>
      <c r="CZ11" s="5"/>
      <c r="DA11" s="5"/>
    </row>
    <row r="12" spans="1:105" ht="15" customHeight="1" x14ac:dyDescent="0.2">
      <c r="A12" s="3" t="s">
        <v>728</v>
      </c>
      <c r="B12" s="3" t="s">
        <v>729</v>
      </c>
      <c r="C12" s="3" t="s">
        <v>1628</v>
      </c>
      <c r="D12" s="3" t="s">
        <v>730</v>
      </c>
      <c r="E12" s="3" t="s">
        <v>730</v>
      </c>
      <c r="F12" s="3" t="s">
        <v>730</v>
      </c>
      <c r="G12" s="3" t="s">
        <v>110</v>
      </c>
      <c r="H12" s="3" t="s">
        <v>259</v>
      </c>
      <c r="I12" s="3"/>
      <c r="J12" s="3" t="s">
        <v>1494</v>
      </c>
      <c r="K12" s="3" t="s">
        <v>115</v>
      </c>
      <c r="L12" s="3" t="s">
        <v>115</v>
      </c>
      <c r="M12" s="3" t="s">
        <v>115</v>
      </c>
      <c r="N12" s="3" t="s">
        <v>115</v>
      </c>
      <c r="O12" s="3" t="s">
        <v>115</v>
      </c>
      <c r="P12" s="3" t="s">
        <v>114</v>
      </c>
      <c r="Q12" s="3" t="s">
        <v>1629</v>
      </c>
      <c r="R12" s="3" t="s">
        <v>1630</v>
      </c>
      <c r="S12" s="3" t="s">
        <v>733</v>
      </c>
      <c r="T12" s="3" t="s">
        <v>749</v>
      </c>
      <c r="U12" s="3" t="s">
        <v>119</v>
      </c>
      <c r="V12" s="3" t="s">
        <v>119</v>
      </c>
      <c r="W12" s="3" t="s">
        <v>120</v>
      </c>
      <c r="X12" s="3" t="s">
        <v>388</v>
      </c>
      <c r="Y12" s="3" t="s">
        <v>750</v>
      </c>
      <c r="Z12" s="3" t="s">
        <v>119</v>
      </c>
      <c r="AA12" s="3"/>
      <c r="AB12" s="3" t="s">
        <v>122</v>
      </c>
      <c r="AC12" s="3" t="s">
        <v>217</v>
      </c>
      <c r="AD12" s="3" t="s">
        <v>736</v>
      </c>
      <c r="AE12" s="3" t="s">
        <v>1631</v>
      </c>
      <c r="AF12" s="3" t="s">
        <v>1632</v>
      </c>
      <c r="AG12" s="3" t="s">
        <v>127</v>
      </c>
      <c r="AH12" s="3" t="s">
        <v>128</v>
      </c>
      <c r="AI12" s="3" t="s">
        <v>128</v>
      </c>
      <c r="AJ12" s="3"/>
      <c r="AK12" s="3" t="s">
        <v>598</v>
      </c>
      <c r="AL12" s="3"/>
      <c r="AM12" s="3">
        <v>-3</v>
      </c>
      <c r="AN12" s="3" t="s">
        <v>1633</v>
      </c>
      <c r="AO12" s="3"/>
      <c r="AP12" s="3" t="s">
        <v>1633</v>
      </c>
      <c r="AQ12" s="3"/>
      <c r="AR12" s="3" t="s">
        <v>598</v>
      </c>
      <c r="AS12" s="3">
        <v>1.8</v>
      </c>
      <c r="AT12" s="3">
        <v>0.84</v>
      </c>
      <c r="AU12" s="3" t="s">
        <v>488</v>
      </c>
      <c r="AV12" s="3" t="s">
        <v>488</v>
      </c>
      <c r="AW12" s="3"/>
      <c r="AX12" s="3" t="s">
        <v>598</v>
      </c>
      <c r="AY12" s="3"/>
      <c r="AZ12" s="3">
        <v>0</v>
      </c>
      <c r="BA12" s="3">
        <v>0.62</v>
      </c>
      <c r="BB12" s="3" t="s">
        <v>522</v>
      </c>
      <c r="BC12" s="3">
        <v>418</v>
      </c>
      <c r="BD12" s="4">
        <v>44778</v>
      </c>
      <c r="BE12" s="4">
        <v>45292</v>
      </c>
      <c r="BF12" s="4">
        <v>45441</v>
      </c>
      <c r="BG12" s="4">
        <v>45754</v>
      </c>
      <c r="BH12" s="3">
        <v>10.3</v>
      </c>
      <c r="BI12" s="4">
        <v>45747</v>
      </c>
      <c r="BJ12" s="4">
        <v>46008</v>
      </c>
      <c r="BK12" s="3">
        <v>8.6</v>
      </c>
      <c r="BL12" s="4">
        <v>45560</v>
      </c>
      <c r="BM12" s="4">
        <v>46013</v>
      </c>
      <c r="BN12" s="3">
        <v>14.9</v>
      </c>
      <c r="BO12" s="4">
        <v>46013</v>
      </c>
      <c r="BP12" s="4">
        <v>45747</v>
      </c>
      <c r="BQ12" s="3">
        <v>8.6999999999999993</v>
      </c>
      <c r="BR12" s="4">
        <v>45441</v>
      </c>
      <c r="BS12" s="4">
        <v>45847</v>
      </c>
      <c r="BT12" s="3">
        <v>13.3</v>
      </c>
      <c r="BU12" s="3" t="s">
        <v>1634</v>
      </c>
      <c r="BV12" s="3" t="s">
        <v>1635</v>
      </c>
      <c r="BW12" s="3" t="s">
        <v>1636</v>
      </c>
      <c r="BX12" s="4">
        <v>45294</v>
      </c>
      <c r="BY12" s="4">
        <v>46568</v>
      </c>
      <c r="BZ12" s="3" t="s">
        <v>136</v>
      </c>
      <c r="CA12" s="3" t="s">
        <v>137</v>
      </c>
      <c r="CB12" s="3" t="s">
        <v>179</v>
      </c>
      <c r="CC12" s="3"/>
      <c r="CD12" s="3" t="s">
        <v>1637</v>
      </c>
      <c r="CE12" s="3"/>
      <c r="CF12" s="3"/>
      <c r="CG12" s="3"/>
      <c r="CH12" s="3"/>
      <c r="CI12" s="3"/>
      <c r="CJ12" s="3"/>
      <c r="CK12" s="3"/>
      <c r="CL12" s="3"/>
      <c r="CM12" s="3"/>
      <c r="CN12" s="3"/>
      <c r="CO12" s="3"/>
      <c r="CP12" s="3"/>
      <c r="CQ12" s="3"/>
      <c r="CR12" s="3"/>
      <c r="CS12" s="3"/>
      <c r="CT12" s="3"/>
      <c r="CU12" s="3"/>
      <c r="CV12" s="3"/>
      <c r="CW12" s="3"/>
      <c r="CX12" s="3"/>
      <c r="CY12" s="3"/>
      <c r="CZ12" s="3"/>
      <c r="DA12" s="3"/>
    </row>
    <row r="13" spans="1:105" ht="15" customHeight="1" x14ac:dyDescent="0.2">
      <c r="A13" s="5" t="s">
        <v>1213</v>
      </c>
      <c r="B13" s="5" t="s">
        <v>1214</v>
      </c>
      <c r="C13" s="5" t="s">
        <v>1215</v>
      </c>
      <c r="D13" s="5" t="s">
        <v>1216</v>
      </c>
      <c r="E13" s="5" t="s">
        <v>1216</v>
      </c>
      <c r="F13" s="5" t="s">
        <v>1216</v>
      </c>
      <c r="G13" s="5" t="s">
        <v>110</v>
      </c>
      <c r="H13" s="5" t="s">
        <v>259</v>
      </c>
      <c r="I13" s="5"/>
      <c r="J13" s="5" t="s">
        <v>1494</v>
      </c>
      <c r="K13" s="5" t="s">
        <v>114</v>
      </c>
      <c r="L13" s="5" t="s">
        <v>1638</v>
      </c>
      <c r="M13" s="5" t="s">
        <v>114</v>
      </c>
      <c r="N13" s="5" t="s">
        <v>114</v>
      </c>
      <c r="O13" s="5" t="s">
        <v>114</v>
      </c>
      <c r="P13" s="5" t="s">
        <v>114</v>
      </c>
      <c r="Q13" s="5" t="s">
        <v>1639</v>
      </c>
      <c r="R13" s="5"/>
      <c r="S13" s="5" t="s">
        <v>1219</v>
      </c>
      <c r="T13" s="5"/>
      <c r="U13" s="5" t="s">
        <v>119</v>
      </c>
      <c r="V13" s="5" t="s">
        <v>119</v>
      </c>
      <c r="W13" s="5" t="s">
        <v>120</v>
      </c>
      <c r="X13" s="5" t="s">
        <v>388</v>
      </c>
      <c r="Y13" s="5"/>
      <c r="Z13" s="5" t="s">
        <v>119</v>
      </c>
      <c r="AA13" s="5"/>
      <c r="AB13" s="5" t="s">
        <v>122</v>
      </c>
      <c r="AC13" s="5" t="s">
        <v>217</v>
      </c>
      <c r="AD13" s="5" t="s">
        <v>127</v>
      </c>
      <c r="AE13" s="5" t="s">
        <v>1640</v>
      </c>
      <c r="AF13" s="5" t="s">
        <v>1641</v>
      </c>
      <c r="AG13" s="5" t="s">
        <v>127</v>
      </c>
      <c r="AH13" s="5"/>
      <c r="AI13" s="5"/>
      <c r="AJ13" s="5"/>
      <c r="AK13" s="5"/>
      <c r="AL13" s="5"/>
      <c r="AM13" s="5">
        <v>0</v>
      </c>
      <c r="AN13" s="5"/>
      <c r="AO13" s="5"/>
      <c r="AP13" s="5"/>
      <c r="AQ13" s="5"/>
      <c r="AR13" s="5"/>
      <c r="AS13" s="5">
        <v>0</v>
      </c>
      <c r="AT13" s="5"/>
      <c r="AU13" s="5" t="s">
        <v>1642</v>
      </c>
      <c r="AV13" s="5"/>
      <c r="AW13" s="5"/>
      <c r="AX13" s="5"/>
      <c r="AY13" s="5"/>
      <c r="AZ13" s="5">
        <v>0.7</v>
      </c>
      <c r="BA13" s="5"/>
      <c r="BB13" s="5" t="s">
        <v>132</v>
      </c>
      <c r="BC13" s="5">
        <v>298</v>
      </c>
      <c r="BD13" s="6">
        <v>42552</v>
      </c>
      <c r="BE13" s="6">
        <v>45352</v>
      </c>
      <c r="BF13" s="6">
        <v>46112</v>
      </c>
      <c r="BG13" s="6">
        <v>46387</v>
      </c>
      <c r="BH13" s="5">
        <v>9</v>
      </c>
      <c r="BI13" s="6">
        <v>46022</v>
      </c>
      <c r="BJ13" s="6">
        <v>46326</v>
      </c>
      <c r="BK13" s="5">
        <v>10</v>
      </c>
      <c r="BL13" s="6">
        <v>46112</v>
      </c>
      <c r="BM13" s="6">
        <v>46477</v>
      </c>
      <c r="BN13" s="5">
        <v>12</v>
      </c>
      <c r="BO13" s="5"/>
      <c r="BP13" s="5"/>
      <c r="BQ13" s="5"/>
      <c r="BR13" s="6">
        <v>46112</v>
      </c>
      <c r="BS13" s="6">
        <v>46387</v>
      </c>
      <c r="BT13" s="5">
        <v>9</v>
      </c>
      <c r="BU13" s="5" t="s">
        <v>1643</v>
      </c>
      <c r="BV13" s="5" t="s">
        <v>1644</v>
      </c>
      <c r="BW13" s="5" t="s">
        <v>1645</v>
      </c>
      <c r="BX13" s="6">
        <v>45625</v>
      </c>
      <c r="BY13" s="6">
        <v>45625</v>
      </c>
      <c r="BZ13" s="5" t="s">
        <v>136</v>
      </c>
      <c r="CA13" s="5" t="s">
        <v>137</v>
      </c>
      <c r="CB13" s="5"/>
      <c r="CC13" s="5" t="s">
        <v>1646</v>
      </c>
      <c r="CD13" s="5"/>
      <c r="CE13" s="5"/>
      <c r="CF13" s="5"/>
      <c r="CG13" s="5"/>
      <c r="CH13" s="5"/>
      <c r="CI13" s="5"/>
      <c r="CJ13" s="5"/>
      <c r="CK13" s="5"/>
      <c r="CL13" s="5"/>
      <c r="CM13" s="5"/>
      <c r="CN13" s="5"/>
      <c r="CO13" s="5"/>
      <c r="CP13" s="5"/>
      <c r="CQ13" s="5"/>
      <c r="CR13" s="5"/>
      <c r="CS13" s="5"/>
      <c r="CT13" s="5"/>
      <c r="CU13" s="5"/>
      <c r="CV13" s="5"/>
      <c r="CW13" s="5"/>
      <c r="CX13" s="5"/>
      <c r="CY13" s="5"/>
      <c r="CZ13" s="5"/>
      <c r="DA13" s="5"/>
    </row>
    <row r="14" spans="1:105" ht="15" customHeight="1" x14ac:dyDescent="0.2">
      <c r="A14" s="3" t="s">
        <v>866</v>
      </c>
      <c r="B14" s="3" t="s">
        <v>867</v>
      </c>
      <c r="C14" s="3" t="s">
        <v>868</v>
      </c>
      <c r="D14" s="3" t="s">
        <v>869</v>
      </c>
      <c r="E14" s="3" t="s">
        <v>869</v>
      </c>
      <c r="F14" s="3" t="s">
        <v>869</v>
      </c>
      <c r="G14" s="3" t="s">
        <v>110</v>
      </c>
      <c r="H14" s="3" t="s">
        <v>572</v>
      </c>
      <c r="I14" s="3" t="s">
        <v>181</v>
      </c>
      <c r="J14" s="3" t="s">
        <v>1494</v>
      </c>
      <c r="K14" s="3" t="s">
        <v>114</v>
      </c>
      <c r="L14" s="3" t="s">
        <v>1638</v>
      </c>
      <c r="M14" s="3" t="s">
        <v>114</v>
      </c>
      <c r="N14" s="3" t="s">
        <v>114</v>
      </c>
      <c r="O14" s="3" t="s">
        <v>114</v>
      </c>
      <c r="P14" s="3" t="s">
        <v>114</v>
      </c>
      <c r="Q14" s="3" t="s">
        <v>1647</v>
      </c>
      <c r="R14" s="3"/>
      <c r="S14" s="3" t="s">
        <v>872</v>
      </c>
      <c r="T14" s="3" t="s">
        <v>1648</v>
      </c>
      <c r="U14" s="3" t="s">
        <v>120</v>
      </c>
      <c r="V14" s="3" t="s">
        <v>119</v>
      </c>
      <c r="W14" s="3" t="s">
        <v>120</v>
      </c>
      <c r="X14" s="3"/>
      <c r="Y14" s="3" t="s">
        <v>887</v>
      </c>
      <c r="Z14" s="3" t="s">
        <v>119</v>
      </c>
      <c r="AA14" s="3"/>
      <c r="AB14" s="3" t="s">
        <v>122</v>
      </c>
      <c r="AC14" s="3" t="s">
        <v>217</v>
      </c>
      <c r="AD14" s="3" t="s">
        <v>736</v>
      </c>
      <c r="AE14" s="3" t="s">
        <v>1649</v>
      </c>
      <c r="AF14" s="3" t="s">
        <v>1650</v>
      </c>
      <c r="AG14" s="3" t="s">
        <v>358</v>
      </c>
      <c r="AH14" s="3" t="s">
        <v>1651</v>
      </c>
      <c r="AI14" s="3" t="s">
        <v>485</v>
      </c>
      <c r="AJ14" s="3" t="s">
        <v>1652</v>
      </c>
      <c r="AK14" s="3" t="s">
        <v>677</v>
      </c>
      <c r="AL14" s="3" t="s">
        <v>677</v>
      </c>
      <c r="AM14" s="3">
        <v>0</v>
      </c>
      <c r="AN14" s="3" t="s">
        <v>1653</v>
      </c>
      <c r="AO14" s="3"/>
      <c r="AP14" s="3" t="s">
        <v>1653</v>
      </c>
      <c r="AQ14" s="3"/>
      <c r="AR14" s="3" t="s">
        <v>677</v>
      </c>
      <c r="AS14" s="3">
        <v>0</v>
      </c>
      <c r="AT14" s="3">
        <v>0.52</v>
      </c>
      <c r="AU14" s="3" t="s">
        <v>1654</v>
      </c>
      <c r="AV14" s="3" t="s">
        <v>1655</v>
      </c>
      <c r="AW14" s="3" t="s">
        <v>701</v>
      </c>
      <c r="AX14" s="3" t="s">
        <v>677</v>
      </c>
      <c r="AY14" s="3" t="s">
        <v>677</v>
      </c>
      <c r="AZ14" s="3">
        <v>0</v>
      </c>
      <c r="BA14" s="3">
        <v>0.79</v>
      </c>
      <c r="BB14" s="3" t="s">
        <v>522</v>
      </c>
      <c r="BC14" s="3">
        <v>420</v>
      </c>
      <c r="BD14" s="4">
        <v>45050</v>
      </c>
      <c r="BE14" s="4">
        <v>45778</v>
      </c>
      <c r="BF14" s="4">
        <v>46142</v>
      </c>
      <c r="BG14" s="4">
        <v>46507</v>
      </c>
      <c r="BH14" s="3">
        <v>12</v>
      </c>
      <c r="BI14" s="4">
        <v>46022</v>
      </c>
      <c r="BJ14" s="4">
        <v>46340</v>
      </c>
      <c r="BK14" s="3">
        <v>10.4</v>
      </c>
      <c r="BL14" s="3"/>
      <c r="BM14" s="3"/>
      <c r="BN14" s="3"/>
      <c r="BO14" s="3"/>
      <c r="BP14" s="3"/>
      <c r="BQ14" s="3"/>
      <c r="BR14" s="4">
        <v>46142</v>
      </c>
      <c r="BS14" s="4">
        <v>46507</v>
      </c>
      <c r="BT14" s="3">
        <v>12</v>
      </c>
      <c r="BU14" s="3" t="s">
        <v>1656</v>
      </c>
      <c r="BV14" s="3" t="s">
        <v>1657</v>
      </c>
      <c r="BW14" s="3" t="s">
        <v>1658</v>
      </c>
      <c r="BX14" s="4">
        <v>45759</v>
      </c>
      <c r="BY14" s="4">
        <v>46387</v>
      </c>
      <c r="BZ14" s="3" t="s">
        <v>136</v>
      </c>
      <c r="CA14" s="3" t="s">
        <v>191</v>
      </c>
      <c r="CB14" s="3" t="s">
        <v>1659</v>
      </c>
      <c r="CC14" s="3" t="s">
        <v>180</v>
      </c>
      <c r="CD14" s="3"/>
      <c r="CE14" s="3"/>
      <c r="CF14" s="3"/>
      <c r="CG14" s="3"/>
      <c r="CH14" s="3"/>
      <c r="CI14" s="3"/>
      <c r="CJ14" s="3"/>
      <c r="CK14" s="3"/>
      <c r="CL14" s="3"/>
      <c r="CM14" s="3"/>
      <c r="CN14" s="3"/>
      <c r="CO14" s="3"/>
      <c r="CP14" s="3"/>
      <c r="CQ14" s="3"/>
      <c r="CR14" s="3"/>
      <c r="CS14" s="3"/>
      <c r="CT14" s="3"/>
      <c r="CU14" s="3"/>
      <c r="CV14" s="3"/>
      <c r="CW14" s="3"/>
      <c r="CX14" s="3"/>
      <c r="CY14" s="3"/>
      <c r="CZ14" s="3"/>
      <c r="DA14" s="3"/>
    </row>
    <row r="15" spans="1:105" ht="15" customHeight="1" x14ac:dyDescent="0.2">
      <c r="A15" s="5" t="s">
        <v>1660</v>
      </c>
      <c r="B15" s="5" t="s">
        <v>1661</v>
      </c>
      <c r="C15" s="5" t="s">
        <v>1662</v>
      </c>
      <c r="D15" s="5" t="s">
        <v>1663</v>
      </c>
      <c r="E15" s="5" t="s">
        <v>1663</v>
      </c>
      <c r="F15" s="5" t="s">
        <v>1663</v>
      </c>
      <c r="G15" s="5" t="s">
        <v>110</v>
      </c>
      <c r="H15" s="5" t="s">
        <v>236</v>
      </c>
      <c r="I15" s="5" t="s">
        <v>181</v>
      </c>
      <c r="J15" s="5" t="s">
        <v>1494</v>
      </c>
      <c r="K15" s="5" t="s">
        <v>114</v>
      </c>
      <c r="L15" s="5" t="s">
        <v>114</v>
      </c>
      <c r="M15" s="5" t="s">
        <v>114</v>
      </c>
      <c r="N15" s="5" t="s">
        <v>114</v>
      </c>
      <c r="O15" s="5" t="s">
        <v>114</v>
      </c>
      <c r="P15" s="5" t="s">
        <v>114</v>
      </c>
      <c r="Q15" s="5" t="s">
        <v>1664</v>
      </c>
      <c r="R15" s="5" t="s">
        <v>1665</v>
      </c>
      <c r="S15" s="5" t="s">
        <v>1369</v>
      </c>
      <c r="T15" s="5" t="s">
        <v>1666</v>
      </c>
      <c r="U15" s="5" t="s">
        <v>119</v>
      </c>
      <c r="V15" s="5" t="s">
        <v>119</v>
      </c>
      <c r="W15" s="5" t="s">
        <v>120</v>
      </c>
      <c r="X15" s="5"/>
      <c r="Y15" s="5"/>
      <c r="Z15" s="5" t="s">
        <v>119</v>
      </c>
      <c r="AA15" s="5"/>
      <c r="AB15" s="5" t="s">
        <v>122</v>
      </c>
      <c r="AC15" s="5" t="s">
        <v>217</v>
      </c>
      <c r="AD15" s="5" t="s">
        <v>145</v>
      </c>
      <c r="AE15" s="5" t="s">
        <v>1667</v>
      </c>
      <c r="AF15" s="5" t="s">
        <v>165</v>
      </c>
      <c r="AG15" s="5" t="s">
        <v>166</v>
      </c>
      <c r="AH15" s="5"/>
      <c r="AI15" s="5"/>
      <c r="AJ15" s="5"/>
      <c r="AK15" s="5"/>
      <c r="AL15" s="5"/>
      <c r="AM15" s="5">
        <v>0</v>
      </c>
      <c r="AN15" s="5"/>
      <c r="AO15" s="5"/>
      <c r="AP15" s="5"/>
      <c r="AQ15" s="5"/>
      <c r="AR15" s="5"/>
      <c r="AS15" s="5">
        <v>0</v>
      </c>
      <c r="AT15" s="5"/>
      <c r="AU15" s="5"/>
      <c r="AV15" s="5"/>
      <c r="AW15" s="5"/>
      <c r="AX15" s="5"/>
      <c r="AY15" s="5"/>
      <c r="AZ15" s="5">
        <v>0</v>
      </c>
      <c r="BA15" s="5"/>
      <c r="BB15" s="5" t="s">
        <v>132</v>
      </c>
      <c r="BC15" s="5">
        <v>151</v>
      </c>
      <c r="BD15" s="6">
        <v>44085</v>
      </c>
      <c r="BE15" s="6">
        <v>46112</v>
      </c>
      <c r="BF15" s="6">
        <v>46234</v>
      </c>
      <c r="BG15" s="6">
        <v>46599</v>
      </c>
      <c r="BH15" s="5">
        <v>12</v>
      </c>
      <c r="BI15" s="6">
        <v>46234</v>
      </c>
      <c r="BJ15" s="6">
        <v>46418</v>
      </c>
      <c r="BK15" s="5">
        <v>6</v>
      </c>
      <c r="BL15" s="6">
        <v>46234</v>
      </c>
      <c r="BM15" s="6">
        <v>46599</v>
      </c>
      <c r="BN15" s="5">
        <v>12</v>
      </c>
      <c r="BO15" s="5"/>
      <c r="BP15" s="5"/>
      <c r="BQ15" s="5"/>
      <c r="BR15" s="6">
        <v>46234</v>
      </c>
      <c r="BS15" s="6">
        <v>46599</v>
      </c>
      <c r="BT15" s="5">
        <v>12</v>
      </c>
      <c r="BU15" s="5" t="s">
        <v>1668</v>
      </c>
      <c r="BV15" s="5" t="s">
        <v>1669</v>
      </c>
      <c r="BW15" s="5" t="s">
        <v>1670</v>
      </c>
      <c r="BX15" s="6">
        <v>45079</v>
      </c>
      <c r="BY15" s="6">
        <v>45632</v>
      </c>
      <c r="BZ15" s="5" t="s">
        <v>136</v>
      </c>
      <c r="CA15" s="5" t="s">
        <v>1115</v>
      </c>
      <c r="CB15" s="5" t="s">
        <v>1032</v>
      </c>
      <c r="CC15" s="5"/>
      <c r="CD15" s="5"/>
      <c r="CE15" s="5"/>
      <c r="CF15" s="5"/>
      <c r="CG15" s="5"/>
      <c r="CH15" s="5"/>
      <c r="CI15" s="5"/>
      <c r="CJ15" s="5"/>
      <c r="CK15" s="5"/>
      <c r="CL15" s="5"/>
      <c r="CM15" s="5"/>
      <c r="CN15" s="5"/>
      <c r="CO15" s="5"/>
      <c r="CP15" s="5"/>
      <c r="CQ15" s="5"/>
      <c r="CR15" s="5"/>
      <c r="CS15" s="5"/>
      <c r="CT15" s="5"/>
      <c r="CU15" s="5"/>
      <c r="CV15" s="5"/>
      <c r="CW15" s="5"/>
      <c r="CX15" s="5"/>
      <c r="CY15" s="5"/>
      <c r="CZ15" s="5"/>
      <c r="DA15" s="5"/>
    </row>
    <row r="16" spans="1:105" ht="15" customHeight="1" x14ac:dyDescent="0.2">
      <c r="A16" s="3" t="s">
        <v>1104</v>
      </c>
      <c r="B16" s="3" t="s">
        <v>1105</v>
      </c>
      <c r="C16" s="3" t="s">
        <v>1106</v>
      </c>
      <c r="D16" s="3" t="s">
        <v>235</v>
      </c>
      <c r="E16" s="3" t="s">
        <v>235</v>
      </c>
      <c r="F16" s="3" t="s">
        <v>235</v>
      </c>
      <c r="G16" s="3" t="s">
        <v>110</v>
      </c>
      <c r="H16" s="3" t="s">
        <v>572</v>
      </c>
      <c r="I16" s="3"/>
      <c r="J16" s="3" t="s">
        <v>1494</v>
      </c>
      <c r="K16" s="3" t="s">
        <v>114</v>
      </c>
      <c r="L16" s="3" t="s">
        <v>114</v>
      </c>
      <c r="M16" s="3" t="s">
        <v>114</v>
      </c>
      <c r="N16" s="3" t="s">
        <v>114</v>
      </c>
      <c r="O16" s="3" t="s">
        <v>114</v>
      </c>
      <c r="P16" s="3" t="s">
        <v>114</v>
      </c>
      <c r="Q16" s="3" t="s">
        <v>1671</v>
      </c>
      <c r="R16" s="3" t="s">
        <v>1672</v>
      </c>
      <c r="S16" s="3" t="s">
        <v>1109</v>
      </c>
      <c r="T16" s="3" t="s">
        <v>1345</v>
      </c>
      <c r="U16" s="3" t="s">
        <v>119</v>
      </c>
      <c r="V16" s="3" t="s">
        <v>119</v>
      </c>
      <c r="W16" s="3" t="s">
        <v>120</v>
      </c>
      <c r="X16" s="3"/>
      <c r="Y16" s="3"/>
      <c r="Z16" s="3" t="s">
        <v>119</v>
      </c>
      <c r="AA16" s="3"/>
      <c r="AB16" s="3" t="s">
        <v>122</v>
      </c>
      <c r="AC16" s="3" t="s">
        <v>217</v>
      </c>
      <c r="AD16" s="3" t="s">
        <v>838</v>
      </c>
      <c r="AE16" s="3" t="s">
        <v>1673</v>
      </c>
      <c r="AF16" s="3" t="s">
        <v>1523</v>
      </c>
      <c r="AG16" s="3" t="s">
        <v>148</v>
      </c>
      <c r="AH16" s="3"/>
      <c r="AI16" s="3"/>
      <c r="AJ16" s="3"/>
      <c r="AK16" s="3"/>
      <c r="AL16" s="3"/>
      <c r="AM16" s="3">
        <v>0</v>
      </c>
      <c r="AN16" s="3"/>
      <c r="AO16" s="3"/>
      <c r="AP16" s="3"/>
      <c r="AQ16" s="3"/>
      <c r="AR16" s="3"/>
      <c r="AS16" s="3">
        <v>0</v>
      </c>
      <c r="AT16" s="3"/>
      <c r="AU16" s="3"/>
      <c r="AV16" s="3"/>
      <c r="AW16" s="3"/>
      <c r="AX16" s="3"/>
      <c r="AY16" s="3"/>
      <c r="AZ16" s="3">
        <v>0</v>
      </c>
      <c r="BA16" s="3"/>
      <c r="BB16" s="3" t="s">
        <v>522</v>
      </c>
      <c r="BC16" s="3">
        <v>703</v>
      </c>
      <c r="BD16" s="4">
        <v>45343</v>
      </c>
      <c r="BE16" s="4">
        <v>46082</v>
      </c>
      <c r="BF16" s="4">
        <v>46234</v>
      </c>
      <c r="BG16" s="4">
        <v>46599</v>
      </c>
      <c r="BH16" s="3">
        <v>12</v>
      </c>
      <c r="BI16" s="4">
        <v>46234</v>
      </c>
      <c r="BJ16" s="4">
        <v>46418</v>
      </c>
      <c r="BK16" s="3">
        <v>6</v>
      </c>
      <c r="BL16" s="4">
        <v>46234</v>
      </c>
      <c r="BM16" s="4">
        <v>46599</v>
      </c>
      <c r="BN16" s="3">
        <v>12</v>
      </c>
      <c r="BO16" s="4">
        <v>46507</v>
      </c>
      <c r="BP16" s="4">
        <v>46234</v>
      </c>
      <c r="BQ16" s="3">
        <v>9</v>
      </c>
      <c r="BR16" s="4">
        <v>46234</v>
      </c>
      <c r="BS16" s="4">
        <v>46599</v>
      </c>
      <c r="BT16" s="3">
        <v>12</v>
      </c>
      <c r="BU16" s="3" t="s">
        <v>1674</v>
      </c>
      <c r="BV16" s="3" t="s">
        <v>1675</v>
      </c>
      <c r="BW16" s="3" t="s">
        <v>1676</v>
      </c>
      <c r="BX16" s="4">
        <v>46093</v>
      </c>
      <c r="BY16" s="4">
        <v>46823</v>
      </c>
      <c r="BZ16" s="3" t="s">
        <v>136</v>
      </c>
      <c r="CA16" s="3" t="s">
        <v>137</v>
      </c>
      <c r="CB16" s="3"/>
      <c r="CC16" s="3"/>
      <c r="CD16" s="3" t="s">
        <v>329</v>
      </c>
      <c r="CE16" s="3"/>
      <c r="CF16" s="3" t="s">
        <v>1116</v>
      </c>
      <c r="CG16" s="3" t="s">
        <v>1117</v>
      </c>
      <c r="CH16" s="3" t="s">
        <v>1118</v>
      </c>
      <c r="CI16" s="3" t="s">
        <v>1119</v>
      </c>
      <c r="CJ16" s="3" t="s">
        <v>850</v>
      </c>
      <c r="CK16" s="3" t="s">
        <v>1120</v>
      </c>
      <c r="CL16" s="3" t="s">
        <v>852</v>
      </c>
      <c r="CM16" s="3" t="s">
        <v>975</v>
      </c>
      <c r="CN16" s="3" t="s">
        <v>854</v>
      </c>
      <c r="CO16" s="3"/>
      <c r="CP16" s="3">
        <v>4</v>
      </c>
      <c r="CQ16" s="3"/>
      <c r="CR16" s="3"/>
      <c r="CS16" s="3"/>
      <c r="CT16" s="3"/>
      <c r="CU16" s="3"/>
      <c r="CV16" s="3"/>
      <c r="CW16" s="3"/>
      <c r="CX16" s="3"/>
      <c r="CY16" s="3"/>
      <c r="CZ16" s="3"/>
      <c r="DA16" s="3"/>
    </row>
    <row r="17" spans="1:105" ht="15" customHeight="1" x14ac:dyDescent="0.2">
      <c r="A17" s="5" t="s">
        <v>1677</v>
      </c>
      <c r="B17" s="5" t="s">
        <v>1678</v>
      </c>
      <c r="C17" s="5" t="s">
        <v>1679</v>
      </c>
      <c r="D17" s="5" t="s">
        <v>1286</v>
      </c>
      <c r="E17" s="5" t="s">
        <v>1286</v>
      </c>
      <c r="F17" s="5" t="s">
        <v>1680</v>
      </c>
      <c r="G17" s="5" t="s">
        <v>110</v>
      </c>
      <c r="H17" s="5" t="s">
        <v>259</v>
      </c>
      <c r="I17" s="5" t="s">
        <v>544</v>
      </c>
      <c r="J17" s="5" t="s">
        <v>1494</v>
      </c>
      <c r="K17" s="5" t="s">
        <v>114</v>
      </c>
      <c r="L17" s="5" t="s">
        <v>114</v>
      </c>
      <c r="M17" s="5" t="s">
        <v>114</v>
      </c>
      <c r="N17" s="5" t="s">
        <v>114</v>
      </c>
      <c r="O17" s="5" t="s">
        <v>114</v>
      </c>
      <c r="P17" s="5" t="s">
        <v>114</v>
      </c>
      <c r="Q17" s="5" t="s">
        <v>1681</v>
      </c>
      <c r="R17" s="5" t="s">
        <v>1682</v>
      </c>
      <c r="S17" s="5" t="s">
        <v>692</v>
      </c>
      <c r="T17" s="5" t="s">
        <v>1683</v>
      </c>
      <c r="U17" s="5" t="s">
        <v>120</v>
      </c>
      <c r="V17" s="5" t="s">
        <v>119</v>
      </c>
      <c r="W17" s="5" t="s">
        <v>120</v>
      </c>
      <c r="X17" s="5"/>
      <c r="Y17" s="5"/>
      <c r="Z17" s="5" t="s">
        <v>119</v>
      </c>
      <c r="AA17" s="5"/>
      <c r="AB17" s="5" t="s">
        <v>122</v>
      </c>
      <c r="AC17" s="5" t="s">
        <v>217</v>
      </c>
      <c r="AD17" s="5" t="s">
        <v>124</v>
      </c>
      <c r="AE17" s="5" t="s">
        <v>1684</v>
      </c>
      <c r="AF17" s="5" t="s">
        <v>1523</v>
      </c>
      <c r="AG17" s="5" t="s">
        <v>148</v>
      </c>
      <c r="AH17" s="5" t="s">
        <v>393</v>
      </c>
      <c r="AI17" s="5" t="s">
        <v>393</v>
      </c>
      <c r="AJ17" s="5"/>
      <c r="AK17" s="5" t="s">
        <v>1685</v>
      </c>
      <c r="AL17" s="5"/>
      <c r="AM17" s="5">
        <v>0</v>
      </c>
      <c r="AN17" s="5" t="s">
        <v>1686</v>
      </c>
      <c r="AO17" s="5"/>
      <c r="AP17" s="5" t="s">
        <v>1686</v>
      </c>
      <c r="AQ17" s="5"/>
      <c r="AR17" s="5" t="s">
        <v>1685</v>
      </c>
      <c r="AS17" s="5">
        <v>0</v>
      </c>
      <c r="AT17" s="5">
        <v>0.69</v>
      </c>
      <c r="AU17" s="5" t="s">
        <v>1687</v>
      </c>
      <c r="AV17" s="5" t="s">
        <v>1687</v>
      </c>
      <c r="AW17" s="5"/>
      <c r="AX17" s="5" t="s">
        <v>1685</v>
      </c>
      <c r="AY17" s="5"/>
      <c r="AZ17" s="5">
        <v>0</v>
      </c>
      <c r="BA17" s="5">
        <v>0.46</v>
      </c>
      <c r="BB17" s="5" t="s">
        <v>876</v>
      </c>
      <c r="BC17" s="5">
        <v>630</v>
      </c>
      <c r="BD17" s="6">
        <v>45105</v>
      </c>
      <c r="BE17" s="6">
        <v>46082</v>
      </c>
      <c r="BF17" s="6">
        <v>46326</v>
      </c>
      <c r="BG17" s="6">
        <v>46691</v>
      </c>
      <c r="BH17" s="5">
        <v>12</v>
      </c>
      <c r="BI17" s="6">
        <v>46326</v>
      </c>
      <c r="BJ17" s="6">
        <v>46507</v>
      </c>
      <c r="BK17" s="5">
        <v>5.9</v>
      </c>
      <c r="BL17" s="6">
        <v>46326</v>
      </c>
      <c r="BM17" s="6">
        <v>46691</v>
      </c>
      <c r="BN17" s="5">
        <v>12</v>
      </c>
      <c r="BO17" s="5"/>
      <c r="BP17" s="5"/>
      <c r="BQ17" s="5"/>
      <c r="BR17" s="6">
        <v>46326</v>
      </c>
      <c r="BS17" s="6">
        <v>46691</v>
      </c>
      <c r="BT17" s="5">
        <v>12</v>
      </c>
      <c r="BU17" s="5" t="s">
        <v>1688</v>
      </c>
      <c r="BV17" s="5" t="s">
        <v>1689</v>
      </c>
      <c r="BW17" s="5" t="s">
        <v>1690</v>
      </c>
      <c r="BX17" s="6">
        <v>46630</v>
      </c>
      <c r="BY17" s="6">
        <v>46996</v>
      </c>
      <c r="BZ17" s="5" t="s">
        <v>136</v>
      </c>
      <c r="CA17" s="5" t="s">
        <v>137</v>
      </c>
      <c r="CB17" s="5"/>
      <c r="CC17" s="5" t="s">
        <v>1691</v>
      </c>
      <c r="CD17" s="5" t="s">
        <v>1692</v>
      </c>
      <c r="CE17" s="5"/>
      <c r="CF17" s="5"/>
      <c r="CG17" s="5"/>
      <c r="CH17" s="5"/>
      <c r="CI17" s="5"/>
      <c r="CJ17" s="5"/>
      <c r="CK17" s="5"/>
      <c r="CL17" s="5"/>
      <c r="CM17" s="5"/>
      <c r="CN17" s="5"/>
      <c r="CO17" s="5"/>
      <c r="CP17" s="5"/>
      <c r="CQ17" s="5"/>
      <c r="CR17" s="5"/>
      <c r="CS17" s="5"/>
      <c r="CT17" s="5"/>
      <c r="CU17" s="5"/>
      <c r="CV17" s="5"/>
      <c r="CW17" s="5"/>
      <c r="CX17" s="5"/>
      <c r="CY17" s="5"/>
      <c r="CZ17" s="5"/>
      <c r="DA17" s="5"/>
    </row>
    <row r="18" spans="1:105" ht="15" customHeight="1" x14ac:dyDescent="0.2">
      <c r="A18" s="3" t="s">
        <v>1693</v>
      </c>
      <c r="B18" s="3" t="s">
        <v>1694</v>
      </c>
      <c r="C18" s="3" t="s">
        <v>1694</v>
      </c>
      <c r="D18" s="3" t="s">
        <v>350</v>
      </c>
      <c r="E18" s="3" t="s">
        <v>350</v>
      </c>
      <c r="F18" s="3" t="s">
        <v>350</v>
      </c>
      <c r="G18" s="3" t="s">
        <v>110</v>
      </c>
      <c r="H18" s="3" t="s">
        <v>259</v>
      </c>
      <c r="I18" s="3" t="s">
        <v>1695</v>
      </c>
      <c r="J18" s="3" t="s">
        <v>1494</v>
      </c>
      <c r="K18" s="3" t="s">
        <v>114</v>
      </c>
      <c r="L18" s="3" t="s">
        <v>114</v>
      </c>
      <c r="M18" s="3" t="s">
        <v>114</v>
      </c>
      <c r="N18" s="3" t="s">
        <v>114</v>
      </c>
      <c r="O18" s="3" t="s">
        <v>114</v>
      </c>
      <c r="P18" s="3" t="s">
        <v>114</v>
      </c>
      <c r="Q18" s="3" t="s">
        <v>1696</v>
      </c>
      <c r="R18" s="3" t="s">
        <v>1697</v>
      </c>
      <c r="S18" s="3" t="s">
        <v>1698</v>
      </c>
      <c r="T18" s="3" t="s">
        <v>1461</v>
      </c>
      <c r="U18" s="3" t="s">
        <v>119</v>
      </c>
      <c r="V18" s="3" t="s">
        <v>119</v>
      </c>
      <c r="W18" s="3" t="s">
        <v>120</v>
      </c>
      <c r="X18" s="3" t="s">
        <v>388</v>
      </c>
      <c r="Y18" s="3" t="s">
        <v>368</v>
      </c>
      <c r="Z18" s="3" t="s">
        <v>119</v>
      </c>
      <c r="AA18" s="3"/>
      <c r="AB18" s="3" t="s">
        <v>122</v>
      </c>
      <c r="AC18" s="3" t="s">
        <v>217</v>
      </c>
      <c r="AD18" s="3" t="s">
        <v>145</v>
      </c>
      <c r="AE18" s="3" t="s">
        <v>1699</v>
      </c>
      <c r="AF18" s="3" t="s">
        <v>1700</v>
      </c>
      <c r="AG18" s="3" t="s">
        <v>166</v>
      </c>
      <c r="AH18" s="3"/>
      <c r="AI18" s="3"/>
      <c r="AJ18" s="3"/>
      <c r="AK18" s="3"/>
      <c r="AL18" s="3"/>
      <c r="AM18" s="3">
        <v>0</v>
      </c>
      <c r="AN18" s="3"/>
      <c r="AO18" s="3"/>
      <c r="AP18" s="3"/>
      <c r="AQ18" s="3"/>
      <c r="AR18" s="3"/>
      <c r="AS18" s="3">
        <v>0</v>
      </c>
      <c r="AT18" s="3"/>
      <c r="AU18" s="3"/>
      <c r="AV18" s="3"/>
      <c r="AW18" s="3"/>
      <c r="AX18" s="3"/>
      <c r="AY18" s="3"/>
      <c r="AZ18" s="3">
        <v>0</v>
      </c>
      <c r="BA18" s="3"/>
      <c r="BB18" s="3" t="s">
        <v>876</v>
      </c>
      <c r="BC18" s="3">
        <v>324</v>
      </c>
      <c r="BD18" s="4">
        <v>44776</v>
      </c>
      <c r="BE18" s="4">
        <v>46204</v>
      </c>
      <c r="BF18" s="4">
        <v>46356</v>
      </c>
      <c r="BG18" s="4">
        <v>46630</v>
      </c>
      <c r="BH18" s="3">
        <v>9</v>
      </c>
      <c r="BI18" s="4">
        <v>46356</v>
      </c>
      <c r="BJ18" s="4">
        <v>46538</v>
      </c>
      <c r="BK18" s="3">
        <v>6</v>
      </c>
      <c r="BL18" s="4">
        <v>46356</v>
      </c>
      <c r="BM18" s="4">
        <v>46721</v>
      </c>
      <c r="BN18" s="3">
        <v>12</v>
      </c>
      <c r="BO18" s="4">
        <v>46630</v>
      </c>
      <c r="BP18" s="4">
        <v>46356</v>
      </c>
      <c r="BQ18" s="3">
        <v>9</v>
      </c>
      <c r="BR18" s="4">
        <v>46356</v>
      </c>
      <c r="BS18" s="4">
        <v>46630</v>
      </c>
      <c r="BT18" s="3">
        <v>9</v>
      </c>
      <c r="BU18" s="3" t="s">
        <v>1701</v>
      </c>
      <c r="BV18" s="3" t="s">
        <v>1702</v>
      </c>
      <c r="BW18" s="3" t="s">
        <v>1703</v>
      </c>
      <c r="BX18" s="4">
        <v>45834</v>
      </c>
      <c r="BY18" s="4">
        <v>46373</v>
      </c>
      <c r="BZ18" s="3" t="s">
        <v>136</v>
      </c>
      <c r="CA18" s="3" t="s">
        <v>137</v>
      </c>
      <c r="CB18" s="3" t="s">
        <v>1704</v>
      </c>
      <c r="CC18" s="3"/>
      <c r="CD18" s="3"/>
      <c r="CE18" s="3"/>
      <c r="CF18" s="3"/>
      <c r="CG18" s="3"/>
      <c r="CH18" s="3"/>
      <c r="CI18" s="3"/>
      <c r="CJ18" s="3"/>
      <c r="CK18" s="3"/>
      <c r="CL18" s="3"/>
      <c r="CM18" s="3"/>
      <c r="CN18" s="3"/>
      <c r="CO18" s="3"/>
      <c r="CP18" s="3"/>
      <c r="CQ18" s="3"/>
      <c r="CR18" s="3"/>
      <c r="CS18" s="3"/>
      <c r="CT18" s="3"/>
      <c r="CU18" s="3"/>
      <c r="CV18" s="3"/>
      <c r="CW18" s="3"/>
      <c r="CX18" s="3"/>
      <c r="CY18" s="3"/>
      <c r="CZ18" s="3"/>
      <c r="DA18" s="3"/>
    </row>
    <row r="19" spans="1:105" ht="15" customHeight="1" x14ac:dyDescent="0.2">
      <c r="A19" s="5" t="s">
        <v>1227</v>
      </c>
      <c r="B19" s="5" t="s">
        <v>1228</v>
      </c>
      <c r="C19" s="5" t="s">
        <v>1229</v>
      </c>
      <c r="D19" s="5" t="s">
        <v>107</v>
      </c>
      <c r="E19" s="5" t="s">
        <v>108</v>
      </c>
      <c r="F19" s="5" t="s">
        <v>332</v>
      </c>
      <c r="G19" s="5" t="s">
        <v>110</v>
      </c>
      <c r="H19" s="5" t="s">
        <v>1705</v>
      </c>
      <c r="I19" s="5" t="s">
        <v>921</v>
      </c>
      <c r="J19" s="5" t="s">
        <v>1494</v>
      </c>
      <c r="K19" s="5" t="s">
        <v>114</v>
      </c>
      <c r="L19" s="5" t="s">
        <v>114</v>
      </c>
      <c r="M19" s="5" t="s">
        <v>114</v>
      </c>
      <c r="N19" s="5" t="s">
        <v>114</v>
      </c>
      <c r="O19" s="5" t="s">
        <v>114</v>
      </c>
      <c r="P19" s="5" t="s">
        <v>114</v>
      </c>
      <c r="Q19" s="5" t="s">
        <v>1706</v>
      </c>
      <c r="R19" s="5" t="s">
        <v>1707</v>
      </c>
      <c r="S19" s="5" t="s">
        <v>898</v>
      </c>
      <c r="T19" s="5" t="s">
        <v>905</v>
      </c>
      <c r="U19" s="5" t="s">
        <v>119</v>
      </c>
      <c r="V19" s="5" t="s">
        <v>119</v>
      </c>
      <c r="W19" s="5" t="s">
        <v>120</v>
      </c>
      <c r="X19" s="5"/>
      <c r="Y19" s="5"/>
      <c r="Z19" s="5" t="s">
        <v>119</v>
      </c>
      <c r="AA19" s="5"/>
      <c r="AB19" s="5" t="s">
        <v>122</v>
      </c>
      <c r="AC19" s="5" t="s">
        <v>217</v>
      </c>
      <c r="AD19" s="5" t="s">
        <v>145</v>
      </c>
      <c r="AE19" s="5" t="s">
        <v>1708</v>
      </c>
      <c r="AF19" s="5" t="s">
        <v>1709</v>
      </c>
      <c r="AG19" s="5" t="s">
        <v>166</v>
      </c>
      <c r="AH19" s="5"/>
      <c r="AI19" s="5"/>
      <c r="AJ19" s="5"/>
      <c r="AK19" s="5"/>
      <c r="AL19" s="5"/>
      <c r="AM19" s="5">
        <v>0</v>
      </c>
      <c r="AN19" s="5"/>
      <c r="AO19" s="5"/>
      <c r="AP19" s="5"/>
      <c r="AQ19" s="5"/>
      <c r="AR19" s="5"/>
      <c r="AS19" s="5">
        <v>0</v>
      </c>
      <c r="AT19" s="5"/>
      <c r="AU19" s="5"/>
      <c r="AV19" s="5"/>
      <c r="AW19" s="5"/>
      <c r="AX19" s="5"/>
      <c r="AY19" s="5"/>
      <c r="AZ19" s="5">
        <v>0</v>
      </c>
      <c r="BA19" s="5"/>
      <c r="BB19" s="5" t="s">
        <v>522</v>
      </c>
      <c r="BC19" s="5">
        <v>338</v>
      </c>
      <c r="BD19" s="6">
        <v>45558</v>
      </c>
      <c r="BE19" s="6">
        <v>46266</v>
      </c>
      <c r="BF19" s="6">
        <v>46418</v>
      </c>
      <c r="BG19" s="6">
        <v>46783</v>
      </c>
      <c r="BH19" s="5">
        <v>12</v>
      </c>
      <c r="BI19" s="6">
        <v>46418</v>
      </c>
      <c r="BJ19" s="6">
        <v>46599</v>
      </c>
      <c r="BK19" s="5">
        <v>5.9</v>
      </c>
      <c r="BL19" s="5"/>
      <c r="BM19" s="5"/>
      <c r="BN19" s="5"/>
      <c r="BO19" s="6">
        <v>46691</v>
      </c>
      <c r="BP19" s="6">
        <v>46418</v>
      </c>
      <c r="BQ19" s="5">
        <v>9</v>
      </c>
      <c r="BR19" s="6">
        <v>46418</v>
      </c>
      <c r="BS19" s="6">
        <v>46783</v>
      </c>
      <c r="BT19" s="5">
        <v>12</v>
      </c>
      <c r="BU19" s="5" t="s">
        <v>1710</v>
      </c>
      <c r="BV19" s="5" t="s">
        <v>1711</v>
      </c>
      <c r="BW19" s="5" t="s">
        <v>1712</v>
      </c>
      <c r="BX19" s="6">
        <v>46660</v>
      </c>
      <c r="BY19" s="6">
        <v>47452</v>
      </c>
      <c r="BZ19" s="5" t="s">
        <v>136</v>
      </c>
      <c r="CA19" s="5" t="s">
        <v>137</v>
      </c>
      <c r="CB19" s="5" t="s">
        <v>905</v>
      </c>
      <c r="CC19" s="5"/>
      <c r="CD19" s="5"/>
      <c r="CE19" s="5"/>
      <c r="CF19" s="5"/>
      <c r="CG19" s="5"/>
      <c r="CH19" s="5"/>
      <c r="CI19" s="5"/>
      <c r="CJ19" s="5"/>
      <c r="CK19" s="5"/>
      <c r="CL19" s="5"/>
      <c r="CM19" s="5"/>
      <c r="CN19" s="5"/>
      <c r="CO19" s="5"/>
      <c r="CP19" s="5"/>
      <c r="CQ19" s="5"/>
      <c r="CR19" s="5"/>
      <c r="CS19" s="5"/>
      <c r="CT19" s="5"/>
      <c r="CU19" s="5"/>
      <c r="CV19" s="5"/>
      <c r="CW19" s="5"/>
      <c r="CX19" s="5"/>
      <c r="CY19" s="5"/>
      <c r="CZ19" s="5"/>
      <c r="DA19" s="5"/>
    </row>
    <row r="20" spans="1:105" ht="15" customHeight="1" x14ac:dyDescent="0.2">
      <c r="A20" s="3" t="s">
        <v>960</v>
      </c>
      <c r="B20" s="3" t="s">
        <v>961</v>
      </c>
      <c r="C20" s="3" t="s">
        <v>961</v>
      </c>
      <c r="D20" s="3" t="s">
        <v>833</v>
      </c>
      <c r="E20" s="3" t="s">
        <v>833</v>
      </c>
      <c r="F20" s="3" t="s">
        <v>350</v>
      </c>
      <c r="G20" s="3" t="s">
        <v>110</v>
      </c>
      <c r="H20" s="3" t="s">
        <v>572</v>
      </c>
      <c r="I20" s="3" t="s">
        <v>181</v>
      </c>
      <c r="J20" s="3" t="s">
        <v>1494</v>
      </c>
      <c r="K20" s="3" t="s">
        <v>114</v>
      </c>
      <c r="L20" s="3" t="s">
        <v>114</v>
      </c>
      <c r="M20" s="3" t="s">
        <v>114</v>
      </c>
      <c r="N20" s="3" t="s">
        <v>114</v>
      </c>
      <c r="O20" s="3" t="s">
        <v>114</v>
      </c>
      <c r="P20" s="3" t="s">
        <v>114</v>
      </c>
      <c r="Q20" s="3" t="s">
        <v>1713</v>
      </c>
      <c r="R20" s="3" t="s">
        <v>1714</v>
      </c>
      <c r="S20" s="3" t="s">
        <v>965</v>
      </c>
      <c r="T20" s="3" t="s">
        <v>1175</v>
      </c>
      <c r="U20" s="3" t="s">
        <v>119</v>
      </c>
      <c r="V20" s="3" t="s">
        <v>119</v>
      </c>
      <c r="W20" s="3" t="s">
        <v>120</v>
      </c>
      <c r="X20" s="3" t="s">
        <v>388</v>
      </c>
      <c r="Y20" s="3" t="s">
        <v>368</v>
      </c>
      <c r="Z20" s="3" t="s">
        <v>119</v>
      </c>
      <c r="AA20" s="3" t="s">
        <v>121</v>
      </c>
      <c r="AB20" s="3" t="s">
        <v>122</v>
      </c>
      <c r="AC20" s="3" t="s">
        <v>217</v>
      </c>
      <c r="AD20" s="3" t="s">
        <v>838</v>
      </c>
      <c r="AE20" s="3" t="s">
        <v>1715</v>
      </c>
      <c r="AF20" s="3" t="s">
        <v>1716</v>
      </c>
      <c r="AG20" s="3" t="s">
        <v>166</v>
      </c>
      <c r="AH20" s="3"/>
      <c r="AI20" s="3"/>
      <c r="AJ20" s="3"/>
      <c r="AK20" s="3"/>
      <c r="AL20" s="3"/>
      <c r="AM20" s="3">
        <v>0</v>
      </c>
      <c r="AN20" s="3"/>
      <c r="AO20" s="3"/>
      <c r="AP20" s="3"/>
      <c r="AQ20" s="3"/>
      <c r="AR20" s="3"/>
      <c r="AS20" s="3">
        <v>0</v>
      </c>
      <c r="AT20" s="3"/>
      <c r="AU20" s="3"/>
      <c r="AV20" s="3"/>
      <c r="AW20" s="3"/>
      <c r="AX20" s="3"/>
      <c r="AY20" s="3"/>
      <c r="AZ20" s="3">
        <v>0</v>
      </c>
      <c r="BA20" s="3"/>
      <c r="BB20" s="3" t="s">
        <v>876</v>
      </c>
      <c r="BC20" s="3">
        <v>744</v>
      </c>
      <c r="BD20" s="4">
        <v>45569</v>
      </c>
      <c r="BE20" s="4">
        <v>46296</v>
      </c>
      <c r="BF20" s="4">
        <v>46446</v>
      </c>
      <c r="BG20" s="4">
        <v>46721</v>
      </c>
      <c r="BH20" s="3">
        <v>9</v>
      </c>
      <c r="BI20" s="4">
        <v>46446</v>
      </c>
      <c r="BJ20" s="4">
        <v>46630</v>
      </c>
      <c r="BK20" s="3">
        <v>6</v>
      </c>
      <c r="BL20" s="4">
        <v>46446</v>
      </c>
      <c r="BM20" s="4">
        <v>46812</v>
      </c>
      <c r="BN20" s="3">
        <v>12</v>
      </c>
      <c r="BO20" s="4">
        <v>46721</v>
      </c>
      <c r="BP20" s="4">
        <v>46446</v>
      </c>
      <c r="BQ20" s="3">
        <v>9</v>
      </c>
      <c r="BR20" s="4">
        <v>46446</v>
      </c>
      <c r="BS20" s="4">
        <v>46721</v>
      </c>
      <c r="BT20" s="3">
        <v>9</v>
      </c>
      <c r="BU20" s="3" t="s">
        <v>1717</v>
      </c>
      <c r="BV20" s="3" t="s">
        <v>1718</v>
      </c>
      <c r="BW20" s="3" t="s">
        <v>1719</v>
      </c>
      <c r="BX20" s="4">
        <v>46295</v>
      </c>
      <c r="BY20" s="4">
        <v>47023</v>
      </c>
      <c r="BZ20" s="3" t="s">
        <v>136</v>
      </c>
      <c r="CA20" s="3" t="s">
        <v>137</v>
      </c>
      <c r="CB20" s="3" t="s">
        <v>1720</v>
      </c>
      <c r="CC20" s="3"/>
      <c r="CD20" s="3" t="s">
        <v>180</v>
      </c>
      <c r="CE20" s="3"/>
      <c r="CF20" s="3" t="s">
        <v>846</v>
      </c>
      <c r="CG20" s="3" t="s">
        <v>847</v>
      </c>
      <c r="CH20" s="3" t="s">
        <v>848</v>
      </c>
      <c r="CI20" s="3" t="s">
        <v>849</v>
      </c>
      <c r="CJ20" s="3" t="s">
        <v>850</v>
      </c>
      <c r="CK20" s="3" t="s">
        <v>851</v>
      </c>
      <c r="CL20" s="3" t="s">
        <v>852</v>
      </c>
      <c r="CM20" s="3" t="s">
        <v>975</v>
      </c>
      <c r="CN20" s="3" t="s">
        <v>854</v>
      </c>
      <c r="CO20" s="3"/>
      <c r="CP20" s="3">
        <v>4</v>
      </c>
      <c r="CQ20" s="3"/>
      <c r="CR20" s="3"/>
      <c r="CS20" s="3"/>
      <c r="CT20" s="3"/>
      <c r="CU20" s="3"/>
      <c r="CV20" s="3"/>
      <c r="CW20" s="3"/>
      <c r="CX20" s="3"/>
      <c r="CY20" s="3"/>
      <c r="CZ20" s="3"/>
      <c r="DA20" s="3"/>
    </row>
    <row r="21" spans="1:105" ht="15" customHeight="1" x14ac:dyDescent="0.2">
      <c r="A21" s="5" t="s">
        <v>1142</v>
      </c>
      <c r="B21" s="5" t="s">
        <v>1143</v>
      </c>
      <c r="C21" s="5" t="s">
        <v>1144</v>
      </c>
      <c r="D21" s="5" t="s">
        <v>280</v>
      </c>
      <c r="E21" s="5" t="s">
        <v>281</v>
      </c>
      <c r="F21" s="5" t="s">
        <v>282</v>
      </c>
      <c r="G21" s="5" t="s">
        <v>110</v>
      </c>
      <c r="H21" s="5" t="s">
        <v>236</v>
      </c>
      <c r="I21" s="5" t="s">
        <v>181</v>
      </c>
      <c r="J21" s="5" t="s">
        <v>1494</v>
      </c>
      <c r="K21" s="5" t="s">
        <v>114</v>
      </c>
      <c r="L21" s="5" t="s">
        <v>114</v>
      </c>
      <c r="M21" s="5" t="s">
        <v>114</v>
      </c>
      <c r="N21" s="5" t="s">
        <v>114</v>
      </c>
      <c r="O21" s="5" t="s">
        <v>114</v>
      </c>
      <c r="P21" s="5" t="s">
        <v>114</v>
      </c>
      <c r="Q21" s="5" t="s">
        <v>1721</v>
      </c>
      <c r="R21" s="5" t="s">
        <v>1722</v>
      </c>
      <c r="S21" s="5" t="s">
        <v>965</v>
      </c>
      <c r="T21" s="5" t="s">
        <v>1002</v>
      </c>
      <c r="U21" s="5" t="s">
        <v>120</v>
      </c>
      <c r="V21" s="5" t="s">
        <v>119</v>
      </c>
      <c r="W21" s="5" t="s">
        <v>120</v>
      </c>
      <c r="X21" s="5"/>
      <c r="Y21" s="5"/>
      <c r="Z21" s="5" t="s">
        <v>119</v>
      </c>
      <c r="AA21" s="5"/>
      <c r="AB21" s="5" t="s">
        <v>122</v>
      </c>
      <c r="AC21" s="5" t="s">
        <v>217</v>
      </c>
      <c r="AD21" s="5" t="s">
        <v>838</v>
      </c>
      <c r="AE21" s="5" t="s">
        <v>1723</v>
      </c>
      <c r="AF21" s="5" t="s">
        <v>1724</v>
      </c>
      <c r="AG21" s="5" t="s">
        <v>358</v>
      </c>
      <c r="AH21" s="5"/>
      <c r="AI21" s="5"/>
      <c r="AJ21" s="5"/>
      <c r="AK21" s="5"/>
      <c r="AL21" s="5"/>
      <c r="AM21" s="5">
        <v>0</v>
      </c>
      <c r="AN21" s="5"/>
      <c r="AO21" s="5"/>
      <c r="AP21" s="5"/>
      <c r="AQ21" s="5"/>
      <c r="AR21" s="5"/>
      <c r="AS21" s="5">
        <v>0</v>
      </c>
      <c r="AT21" s="5"/>
      <c r="AU21" s="5"/>
      <c r="AV21" s="5"/>
      <c r="AW21" s="5"/>
      <c r="AX21" s="5"/>
      <c r="AY21" s="5"/>
      <c r="AZ21" s="5">
        <v>0</v>
      </c>
      <c r="BA21" s="5"/>
      <c r="BB21" s="5" t="s">
        <v>876</v>
      </c>
      <c r="BC21" s="5">
        <v>556</v>
      </c>
      <c r="BD21" s="6">
        <v>45242</v>
      </c>
      <c r="BE21" s="6">
        <v>46508</v>
      </c>
      <c r="BF21" s="6">
        <v>46660</v>
      </c>
      <c r="BG21" s="6">
        <v>46934</v>
      </c>
      <c r="BH21" s="5">
        <v>9</v>
      </c>
      <c r="BI21" s="6">
        <v>46660</v>
      </c>
      <c r="BJ21" s="6">
        <v>46843</v>
      </c>
      <c r="BK21" s="5">
        <v>6</v>
      </c>
      <c r="BL21" s="6">
        <v>46653</v>
      </c>
      <c r="BM21" s="6">
        <v>47026</v>
      </c>
      <c r="BN21" s="5">
        <v>12.2</v>
      </c>
      <c r="BO21" s="6">
        <v>46934</v>
      </c>
      <c r="BP21" s="6">
        <v>46660</v>
      </c>
      <c r="BQ21" s="5">
        <v>9</v>
      </c>
      <c r="BR21" s="6">
        <v>46660</v>
      </c>
      <c r="BS21" s="6">
        <v>46934</v>
      </c>
      <c r="BT21" s="5">
        <v>9</v>
      </c>
      <c r="BU21" s="5" t="s">
        <v>1725</v>
      </c>
      <c r="BV21" s="5" t="s">
        <v>1726</v>
      </c>
      <c r="BW21" s="5" t="s">
        <v>1727</v>
      </c>
      <c r="BX21" s="6">
        <v>46517</v>
      </c>
      <c r="BY21" s="6">
        <v>47553</v>
      </c>
      <c r="BZ21" s="5" t="s">
        <v>136</v>
      </c>
      <c r="CA21" s="5" t="s">
        <v>137</v>
      </c>
      <c r="CB21" s="5" t="s">
        <v>1728</v>
      </c>
      <c r="CC21" s="5"/>
      <c r="CD21" s="5" t="s">
        <v>1175</v>
      </c>
      <c r="CE21" s="5"/>
      <c r="CF21" s="5" t="s">
        <v>1152</v>
      </c>
      <c r="CG21" s="5" t="s">
        <v>847</v>
      </c>
      <c r="CH21" s="5" t="s">
        <v>848</v>
      </c>
      <c r="CI21" s="5" t="s">
        <v>849</v>
      </c>
      <c r="CJ21" s="5" t="s">
        <v>850</v>
      </c>
      <c r="CK21" s="5" t="s">
        <v>1051</v>
      </c>
      <c r="CL21" s="5" t="s">
        <v>1052</v>
      </c>
      <c r="CM21" s="5" t="s">
        <v>853</v>
      </c>
      <c r="CN21" s="5" t="s">
        <v>854</v>
      </c>
      <c r="CO21" s="5" t="s">
        <v>1153</v>
      </c>
      <c r="CP21" s="5">
        <v>7.4</v>
      </c>
      <c r="CQ21" s="5"/>
      <c r="CR21" s="5"/>
      <c r="CS21" s="5"/>
      <c r="CT21" s="5"/>
      <c r="CU21" s="5"/>
      <c r="CV21" s="5"/>
      <c r="CW21" s="5"/>
      <c r="CX21" s="5"/>
      <c r="CY21" s="5"/>
      <c r="CZ21" s="5"/>
      <c r="DA21" s="5"/>
    </row>
    <row r="22" spans="1:105" ht="15" customHeight="1" x14ac:dyDescent="0.2">
      <c r="A22" s="3" t="s">
        <v>893</v>
      </c>
      <c r="B22" s="3" t="s">
        <v>894</v>
      </c>
      <c r="C22" s="3" t="s">
        <v>895</v>
      </c>
      <c r="D22" s="3" t="s">
        <v>318</v>
      </c>
      <c r="E22" s="3" t="s">
        <v>318</v>
      </c>
      <c r="F22" s="3"/>
      <c r="G22" s="3" t="s">
        <v>110</v>
      </c>
      <c r="H22" s="3" t="s">
        <v>259</v>
      </c>
      <c r="I22" s="3"/>
      <c r="J22" s="3" t="s">
        <v>1494</v>
      </c>
      <c r="K22" s="3" t="s">
        <v>114</v>
      </c>
      <c r="L22" s="3" t="s">
        <v>114</v>
      </c>
      <c r="M22" s="3" t="s">
        <v>114</v>
      </c>
      <c r="N22" s="3" t="s">
        <v>114</v>
      </c>
      <c r="O22" s="3" t="s">
        <v>114</v>
      </c>
      <c r="P22" s="3"/>
      <c r="Q22" s="3" t="s">
        <v>1729</v>
      </c>
      <c r="R22" s="3"/>
      <c r="S22" s="3" t="s">
        <v>898</v>
      </c>
      <c r="T22" s="3" t="s">
        <v>905</v>
      </c>
      <c r="U22" s="3" t="s">
        <v>119</v>
      </c>
      <c r="V22" s="3" t="s">
        <v>119</v>
      </c>
      <c r="W22" s="3" t="s">
        <v>120</v>
      </c>
      <c r="X22" s="3"/>
      <c r="Y22" s="3"/>
      <c r="Z22" s="3" t="s">
        <v>119</v>
      </c>
      <c r="AA22" s="3" t="s">
        <v>144</v>
      </c>
      <c r="AB22" s="3" t="s">
        <v>122</v>
      </c>
      <c r="AC22" s="3" t="s">
        <v>217</v>
      </c>
      <c r="AD22" s="3" t="s">
        <v>145</v>
      </c>
      <c r="AE22" s="3"/>
      <c r="AF22" s="3"/>
      <c r="AG22" s="3" t="s">
        <v>127</v>
      </c>
      <c r="AH22" s="3"/>
      <c r="AI22" s="3"/>
      <c r="AJ22" s="3"/>
      <c r="AK22" s="3"/>
      <c r="AL22" s="3"/>
      <c r="AM22" s="3">
        <v>0</v>
      </c>
      <c r="AN22" s="3"/>
      <c r="AO22" s="3"/>
      <c r="AP22" s="3"/>
      <c r="AQ22" s="3"/>
      <c r="AR22" s="3"/>
      <c r="AS22" s="3">
        <v>0</v>
      </c>
      <c r="AT22" s="3"/>
      <c r="AU22" s="3"/>
      <c r="AV22" s="3"/>
      <c r="AW22" s="3"/>
      <c r="AX22" s="3"/>
      <c r="AY22" s="3"/>
      <c r="AZ22" s="3">
        <v>0</v>
      </c>
      <c r="BA22" s="3"/>
      <c r="BB22" s="3"/>
      <c r="BC22" s="3"/>
      <c r="BD22" s="3"/>
      <c r="BE22" s="4">
        <v>46722</v>
      </c>
      <c r="BF22" s="3"/>
      <c r="BG22" s="3"/>
      <c r="BH22" s="3"/>
      <c r="BI22" s="4">
        <v>46873</v>
      </c>
      <c r="BJ22" s="4">
        <v>47057</v>
      </c>
      <c r="BK22" s="3">
        <v>6</v>
      </c>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row>
    <row r="23" spans="1:105" ht="15" customHeight="1" x14ac:dyDescent="0.2">
      <c r="A23" s="5" t="s">
        <v>1379</v>
      </c>
      <c r="B23" s="5" t="s">
        <v>1380</v>
      </c>
      <c r="C23" s="5" t="s">
        <v>1380</v>
      </c>
      <c r="D23" s="5" t="s">
        <v>1314</v>
      </c>
      <c r="E23" s="5" t="s">
        <v>1314</v>
      </c>
      <c r="F23" s="5" t="s">
        <v>1314</v>
      </c>
      <c r="G23" s="5" t="s">
        <v>110</v>
      </c>
      <c r="H23" s="5" t="s">
        <v>259</v>
      </c>
      <c r="I23" s="5" t="s">
        <v>544</v>
      </c>
      <c r="J23" s="5" t="s">
        <v>1494</v>
      </c>
      <c r="K23" s="5" t="s">
        <v>114</v>
      </c>
      <c r="L23" s="5" t="s">
        <v>114</v>
      </c>
      <c r="M23" s="5" t="s">
        <v>114</v>
      </c>
      <c r="N23" s="5" t="s">
        <v>114</v>
      </c>
      <c r="O23" s="5" t="s">
        <v>114</v>
      </c>
      <c r="P23" s="5" t="s">
        <v>114</v>
      </c>
      <c r="Q23" s="5" t="s">
        <v>1730</v>
      </c>
      <c r="R23" s="5" t="s">
        <v>1731</v>
      </c>
      <c r="S23" s="5" t="s">
        <v>1382</v>
      </c>
      <c r="T23" s="5" t="s">
        <v>1732</v>
      </c>
      <c r="U23" s="5" t="s">
        <v>119</v>
      </c>
      <c r="V23" s="5" t="s">
        <v>119</v>
      </c>
      <c r="W23" s="5" t="s">
        <v>120</v>
      </c>
      <c r="X23" s="5"/>
      <c r="Y23" s="5"/>
      <c r="Z23" s="5" t="s">
        <v>119</v>
      </c>
      <c r="AA23" s="5"/>
      <c r="AB23" s="5" t="s">
        <v>122</v>
      </c>
      <c r="AC23" s="5" t="s">
        <v>217</v>
      </c>
      <c r="AD23" s="5" t="s">
        <v>145</v>
      </c>
      <c r="AE23" s="5" t="s">
        <v>1733</v>
      </c>
      <c r="AF23" s="5" t="s">
        <v>1523</v>
      </c>
      <c r="AG23" s="5" t="s">
        <v>358</v>
      </c>
      <c r="AH23" s="5"/>
      <c r="AI23" s="5"/>
      <c r="AJ23" s="5"/>
      <c r="AK23" s="5"/>
      <c r="AL23" s="5"/>
      <c r="AM23" s="5">
        <v>0</v>
      </c>
      <c r="AN23" s="5"/>
      <c r="AO23" s="5"/>
      <c r="AP23" s="5"/>
      <c r="AQ23" s="5"/>
      <c r="AR23" s="5"/>
      <c r="AS23" s="5">
        <v>0</v>
      </c>
      <c r="AT23" s="5"/>
      <c r="AU23" s="5"/>
      <c r="AV23" s="5"/>
      <c r="AW23" s="5"/>
      <c r="AX23" s="5"/>
      <c r="AY23" s="5"/>
      <c r="AZ23" s="5">
        <v>0</v>
      </c>
      <c r="BA23" s="5"/>
      <c r="BB23" s="5" t="s">
        <v>876</v>
      </c>
      <c r="BC23" s="5">
        <v>420</v>
      </c>
      <c r="BD23" s="6">
        <v>45783</v>
      </c>
      <c r="BE23" s="6">
        <v>46722</v>
      </c>
      <c r="BF23" s="6">
        <v>46873</v>
      </c>
      <c r="BG23" s="6">
        <v>47149</v>
      </c>
      <c r="BH23" s="5">
        <v>9</v>
      </c>
      <c r="BI23" s="6">
        <v>46873</v>
      </c>
      <c r="BJ23" s="6">
        <v>47057</v>
      </c>
      <c r="BK23" s="5">
        <v>6</v>
      </c>
      <c r="BL23" s="5"/>
      <c r="BM23" s="5"/>
      <c r="BN23" s="5"/>
      <c r="BO23" s="6">
        <v>47149</v>
      </c>
      <c r="BP23" s="6">
        <v>46873</v>
      </c>
      <c r="BQ23" s="5">
        <v>9</v>
      </c>
      <c r="BR23" s="6">
        <v>46873</v>
      </c>
      <c r="BS23" s="6">
        <v>47149</v>
      </c>
      <c r="BT23" s="5">
        <v>9</v>
      </c>
      <c r="BU23" s="5" t="s">
        <v>1734</v>
      </c>
      <c r="BV23" s="5" t="s">
        <v>1735</v>
      </c>
      <c r="BW23" s="5" t="s">
        <v>1736</v>
      </c>
      <c r="BX23" s="6">
        <v>46722</v>
      </c>
      <c r="BY23" s="6">
        <v>47818</v>
      </c>
      <c r="BZ23" s="5" t="s">
        <v>136</v>
      </c>
      <c r="CA23" s="5" t="s">
        <v>137</v>
      </c>
      <c r="CB23" s="5" t="s">
        <v>1737</v>
      </c>
      <c r="CC23" s="5"/>
      <c r="CD23" s="5" t="s">
        <v>1385</v>
      </c>
      <c r="CE23" s="5"/>
      <c r="CF23" s="5"/>
      <c r="CG23" s="5"/>
      <c r="CH23" s="5"/>
      <c r="CI23" s="5"/>
      <c r="CJ23" s="5"/>
      <c r="CK23" s="5"/>
      <c r="CL23" s="5"/>
      <c r="CM23" s="5"/>
      <c r="CN23" s="5"/>
      <c r="CO23" s="5"/>
      <c r="CP23" s="5"/>
      <c r="CQ23" s="5"/>
      <c r="CR23" s="5"/>
      <c r="CS23" s="5"/>
      <c r="CT23" s="5"/>
      <c r="CU23" s="5"/>
      <c r="CV23" s="5"/>
      <c r="CW23" s="5"/>
      <c r="CX23" s="5"/>
      <c r="CY23" s="5"/>
      <c r="CZ23" s="5"/>
      <c r="DA23" s="5"/>
    </row>
    <row r="24" spans="1:105" ht="15" customHeight="1" x14ac:dyDescent="0.2">
      <c r="A24" s="3" t="s">
        <v>1738</v>
      </c>
      <c r="B24" s="3" t="s">
        <v>1739</v>
      </c>
      <c r="C24" s="3" t="s">
        <v>1739</v>
      </c>
      <c r="D24" s="3" t="s">
        <v>1740</v>
      </c>
      <c r="E24" s="3" t="s">
        <v>1740</v>
      </c>
      <c r="F24" s="3" t="s">
        <v>1740</v>
      </c>
      <c r="G24" s="3" t="s">
        <v>110</v>
      </c>
      <c r="H24" s="3" t="s">
        <v>259</v>
      </c>
      <c r="I24" s="3" t="s">
        <v>544</v>
      </c>
      <c r="J24" s="3" t="s">
        <v>1494</v>
      </c>
      <c r="K24" s="3" t="s">
        <v>114</v>
      </c>
      <c r="L24" s="3" t="s">
        <v>114</v>
      </c>
      <c r="M24" s="3" t="s">
        <v>114</v>
      </c>
      <c r="N24" s="3" t="s">
        <v>114</v>
      </c>
      <c r="O24" s="3" t="s">
        <v>114</v>
      </c>
      <c r="P24" s="3" t="s">
        <v>114</v>
      </c>
      <c r="Q24" s="3" t="s">
        <v>1741</v>
      </c>
      <c r="R24" s="3" t="s">
        <v>1742</v>
      </c>
      <c r="S24" s="3" t="s">
        <v>1743</v>
      </c>
      <c r="T24" s="3" t="s">
        <v>1744</v>
      </c>
      <c r="U24" s="3" t="s">
        <v>120</v>
      </c>
      <c r="V24" s="3" t="s">
        <v>119</v>
      </c>
      <c r="W24" s="3" t="s">
        <v>120</v>
      </c>
      <c r="X24" s="3"/>
      <c r="Y24" s="3"/>
      <c r="Z24" s="3" t="s">
        <v>119</v>
      </c>
      <c r="AA24" s="3" t="s">
        <v>144</v>
      </c>
      <c r="AB24" s="3" t="s">
        <v>122</v>
      </c>
      <c r="AC24" s="3" t="s">
        <v>217</v>
      </c>
      <c r="AD24" s="3" t="s">
        <v>1743</v>
      </c>
      <c r="AE24" s="3" t="s">
        <v>1745</v>
      </c>
      <c r="AF24" s="3" t="s">
        <v>1523</v>
      </c>
      <c r="AG24" s="3" t="s">
        <v>148</v>
      </c>
      <c r="AH24" s="3"/>
      <c r="AI24" s="3"/>
      <c r="AJ24" s="3"/>
      <c r="AK24" s="3"/>
      <c r="AL24" s="3"/>
      <c r="AM24" s="3">
        <v>0</v>
      </c>
      <c r="AN24" s="3"/>
      <c r="AO24" s="3"/>
      <c r="AP24" s="3"/>
      <c r="AQ24" s="3"/>
      <c r="AR24" s="3"/>
      <c r="AS24" s="3">
        <v>0</v>
      </c>
      <c r="AT24" s="3"/>
      <c r="AU24" s="3"/>
      <c r="AV24" s="3"/>
      <c r="AW24" s="3"/>
      <c r="AX24" s="3"/>
      <c r="AY24" s="3"/>
      <c r="AZ24" s="3">
        <v>0</v>
      </c>
      <c r="BA24" s="3"/>
      <c r="BB24" s="3" t="s">
        <v>876</v>
      </c>
      <c r="BC24" s="3">
        <v>363</v>
      </c>
      <c r="BD24" s="4">
        <v>45629</v>
      </c>
      <c r="BE24" s="4">
        <v>46753</v>
      </c>
      <c r="BF24" s="4">
        <v>46904</v>
      </c>
      <c r="BG24" s="4">
        <v>47269</v>
      </c>
      <c r="BH24" s="3">
        <v>12</v>
      </c>
      <c r="BI24" s="4">
        <v>46904</v>
      </c>
      <c r="BJ24" s="4">
        <v>47087</v>
      </c>
      <c r="BK24" s="3">
        <v>6</v>
      </c>
      <c r="BL24" s="3"/>
      <c r="BM24" s="3"/>
      <c r="BN24" s="3"/>
      <c r="BO24" s="3"/>
      <c r="BP24" s="3"/>
      <c r="BQ24" s="3"/>
      <c r="BR24" s="4">
        <v>46904</v>
      </c>
      <c r="BS24" s="4">
        <v>47269</v>
      </c>
      <c r="BT24" s="3">
        <v>12</v>
      </c>
      <c r="BU24" s="3" t="s">
        <v>1746</v>
      </c>
      <c r="BV24" s="3" t="s">
        <v>1747</v>
      </c>
      <c r="BW24" s="3" t="s">
        <v>1748</v>
      </c>
      <c r="BX24" s="4">
        <v>46736</v>
      </c>
      <c r="BY24" s="4">
        <v>47102</v>
      </c>
      <c r="BZ24" s="3" t="s">
        <v>136</v>
      </c>
      <c r="CA24" s="3" t="s">
        <v>137</v>
      </c>
      <c r="CB24" s="3" t="s">
        <v>1749</v>
      </c>
      <c r="CC24" s="3" t="s">
        <v>585</v>
      </c>
      <c r="CD24" s="3" t="s">
        <v>1750</v>
      </c>
      <c r="CE24" s="3"/>
      <c r="CF24" s="3"/>
      <c r="CG24" s="3"/>
      <c r="CH24" s="3"/>
      <c r="CI24" s="3"/>
      <c r="CJ24" s="3"/>
      <c r="CK24" s="3"/>
      <c r="CL24" s="3"/>
      <c r="CM24" s="3"/>
      <c r="CN24" s="3"/>
      <c r="CO24" s="3"/>
      <c r="CP24" s="3"/>
      <c r="CQ24" s="3"/>
      <c r="CR24" s="3"/>
      <c r="CS24" s="3"/>
      <c r="CT24" s="3"/>
      <c r="CU24" s="3"/>
      <c r="CV24" s="3"/>
      <c r="CW24" s="3"/>
      <c r="CX24" s="3"/>
      <c r="CY24" s="3"/>
      <c r="CZ24" s="3"/>
      <c r="DA24" s="3"/>
    </row>
    <row r="25" spans="1:105" ht="15" customHeight="1" x14ac:dyDescent="0.2">
      <c r="A25" s="5" t="s">
        <v>1751</v>
      </c>
      <c r="B25" s="5"/>
      <c r="C25" s="5"/>
      <c r="D25" s="5" t="s">
        <v>1752</v>
      </c>
      <c r="E25" s="5" t="s">
        <v>1752</v>
      </c>
      <c r="F25" s="5"/>
      <c r="G25" s="5" t="s">
        <v>110</v>
      </c>
      <c r="H25" s="5"/>
      <c r="I25" s="5"/>
      <c r="J25" s="5" t="s">
        <v>1494</v>
      </c>
      <c r="K25" s="5" t="s">
        <v>114</v>
      </c>
      <c r="L25" s="5" t="s">
        <v>114</v>
      </c>
      <c r="M25" s="5" t="s">
        <v>114</v>
      </c>
      <c r="N25" s="5" t="s">
        <v>114</v>
      </c>
      <c r="O25" s="5" t="s">
        <v>114</v>
      </c>
      <c r="P25" s="5"/>
      <c r="Q25" s="5" t="s">
        <v>1753</v>
      </c>
      <c r="R25" s="5"/>
      <c r="S25" s="5" t="s">
        <v>1754</v>
      </c>
      <c r="T25" s="5" t="s">
        <v>1755</v>
      </c>
      <c r="U25" s="5" t="s">
        <v>120</v>
      </c>
      <c r="V25" s="5" t="s">
        <v>119</v>
      </c>
      <c r="W25" s="5" t="s">
        <v>120</v>
      </c>
      <c r="X25" s="5"/>
      <c r="Y25" s="5"/>
      <c r="Z25" s="5" t="s">
        <v>119</v>
      </c>
      <c r="AA25" s="5"/>
      <c r="AB25" s="5" t="s">
        <v>122</v>
      </c>
      <c r="AC25" s="5" t="s">
        <v>217</v>
      </c>
      <c r="AD25" s="5" t="s">
        <v>1756</v>
      </c>
      <c r="AE25" s="5"/>
      <c r="AF25" s="5"/>
      <c r="AG25" s="5" t="s">
        <v>127</v>
      </c>
      <c r="AH25" s="5"/>
      <c r="AI25" s="5"/>
      <c r="AJ25" s="5"/>
      <c r="AK25" s="5"/>
      <c r="AL25" s="5"/>
      <c r="AM25" s="5">
        <v>0</v>
      </c>
      <c r="AN25" s="5"/>
      <c r="AO25" s="5"/>
      <c r="AP25" s="5"/>
      <c r="AQ25" s="5"/>
      <c r="AR25" s="5"/>
      <c r="AS25" s="5">
        <v>0</v>
      </c>
      <c r="AT25" s="5"/>
      <c r="AU25" s="5"/>
      <c r="AV25" s="5"/>
      <c r="AW25" s="5"/>
      <c r="AX25" s="5"/>
      <c r="AY25" s="5"/>
      <c r="AZ25" s="5">
        <v>0</v>
      </c>
      <c r="BA25" s="5"/>
      <c r="BB25" s="5"/>
      <c r="BC25" s="5"/>
      <c r="BD25" s="5"/>
      <c r="BE25" s="6">
        <v>46784</v>
      </c>
      <c r="BF25" s="6">
        <v>46934</v>
      </c>
      <c r="BG25" s="6">
        <v>47299</v>
      </c>
      <c r="BH25" s="5">
        <v>12</v>
      </c>
      <c r="BI25" s="6">
        <v>46934</v>
      </c>
      <c r="BJ25" s="6">
        <v>47118</v>
      </c>
      <c r="BK25" s="5">
        <v>6</v>
      </c>
      <c r="BL25" s="5"/>
      <c r="BM25" s="5"/>
      <c r="BN25" s="5"/>
      <c r="BO25" s="5"/>
      <c r="BP25" s="5"/>
      <c r="BQ25" s="5"/>
      <c r="BR25" s="6">
        <v>46934</v>
      </c>
      <c r="BS25" s="6">
        <v>47299</v>
      </c>
      <c r="BT25" s="5">
        <v>12</v>
      </c>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row>
    <row r="26" spans="1:105" ht="15" customHeight="1" x14ac:dyDescent="0.2">
      <c r="A26" s="3" t="s">
        <v>1757</v>
      </c>
      <c r="B26" s="3" t="s">
        <v>1758</v>
      </c>
      <c r="C26" s="3" t="s">
        <v>1759</v>
      </c>
      <c r="D26" s="3" t="s">
        <v>235</v>
      </c>
      <c r="E26" s="3" t="s">
        <v>235</v>
      </c>
      <c r="F26" s="3" t="s">
        <v>235</v>
      </c>
      <c r="G26" s="3" t="s">
        <v>110</v>
      </c>
      <c r="H26" s="3" t="s">
        <v>572</v>
      </c>
      <c r="I26" s="3" t="s">
        <v>544</v>
      </c>
      <c r="J26" s="3" t="s">
        <v>1494</v>
      </c>
      <c r="K26" s="3" t="s">
        <v>114</v>
      </c>
      <c r="L26" s="3" t="s">
        <v>114</v>
      </c>
      <c r="M26" s="3" t="s">
        <v>114</v>
      </c>
      <c r="N26" s="3" t="s">
        <v>114</v>
      </c>
      <c r="O26" s="3" t="s">
        <v>114</v>
      </c>
      <c r="P26" s="3" t="s">
        <v>114</v>
      </c>
      <c r="Q26" s="3" t="s">
        <v>1760</v>
      </c>
      <c r="R26" s="3" t="s">
        <v>1761</v>
      </c>
      <c r="S26" s="3" t="s">
        <v>1246</v>
      </c>
      <c r="T26" s="3" t="s">
        <v>355</v>
      </c>
      <c r="U26" s="3" t="s">
        <v>120</v>
      </c>
      <c r="V26" s="3" t="s">
        <v>119</v>
      </c>
      <c r="W26" s="3" t="s">
        <v>120</v>
      </c>
      <c r="X26" s="3"/>
      <c r="Y26" s="3"/>
      <c r="Z26" s="3" t="s">
        <v>119</v>
      </c>
      <c r="AA26" s="3"/>
      <c r="AB26" s="3" t="s">
        <v>122</v>
      </c>
      <c r="AC26" s="3" t="s">
        <v>217</v>
      </c>
      <c r="AD26" s="3" t="s">
        <v>838</v>
      </c>
      <c r="AE26" s="3" t="s">
        <v>1762</v>
      </c>
      <c r="AF26" s="3" t="s">
        <v>1523</v>
      </c>
      <c r="AG26" s="3" t="s">
        <v>358</v>
      </c>
      <c r="AH26" s="3"/>
      <c r="AI26" s="3"/>
      <c r="AJ26" s="3"/>
      <c r="AK26" s="3"/>
      <c r="AL26" s="3"/>
      <c r="AM26" s="3">
        <v>0</v>
      </c>
      <c r="AN26" s="3"/>
      <c r="AO26" s="3"/>
      <c r="AP26" s="3"/>
      <c r="AQ26" s="3"/>
      <c r="AR26" s="3"/>
      <c r="AS26" s="3">
        <v>0</v>
      </c>
      <c r="AT26" s="3"/>
      <c r="AU26" s="3"/>
      <c r="AV26" s="3"/>
      <c r="AW26" s="3"/>
      <c r="AX26" s="3"/>
      <c r="AY26" s="3"/>
      <c r="AZ26" s="3">
        <v>0</v>
      </c>
      <c r="BA26" s="3"/>
      <c r="BB26" s="3" t="s">
        <v>876</v>
      </c>
      <c r="BC26" s="3">
        <v>680</v>
      </c>
      <c r="BD26" s="4">
        <v>45929</v>
      </c>
      <c r="BE26" s="4">
        <v>46813</v>
      </c>
      <c r="BF26" s="4">
        <v>46965</v>
      </c>
      <c r="BG26" s="4">
        <v>47330</v>
      </c>
      <c r="BH26" s="3">
        <v>12</v>
      </c>
      <c r="BI26" s="4">
        <v>46965</v>
      </c>
      <c r="BJ26" s="4">
        <v>47149</v>
      </c>
      <c r="BK26" s="3">
        <v>6</v>
      </c>
      <c r="BL26" s="4">
        <v>46965</v>
      </c>
      <c r="BM26" s="4">
        <v>47330</v>
      </c>
      <c r="BN26" s="3">
        <v>12</v>
      </c>
      <c r="BO26" s="4">
        <v>47238</v>
      </c>
      <c r="BP26" s="4">
        <v>46965</v>
      </c>
      <c r="BQ26" s="3">
        <v>9</v>
      </c>
      <c r="BR26" s="4">
        <v>46965</v>
      </c>
      <c r="BS26" s="4">
        <v>47330</v>
      </c>
      <c r="BT26" s="3">
        <v>12</v>
      </c>
      <c r="BU26" s="3" t="s">
        <v>1763</v>
      </c>
      <c r="BV26" s="3" t="s">
        <v>1764</v>
      </c>
      <c r="BW26" s="3" t="s">
        <v>1765</v>
      </c>
      <c r="BX26" s="4">
        <v>46822</v>
      </c>
      <c r="BY26" s="4">
        <v>48283</v>
      </c>
      <c r="BZ26" s="3" t="s">
        <v>136</v>
      </c>
      <c r="CA26" s="3" t="s">
        <v>137</v>
      </c>
      <c r="CB26" s="3" t="s">
        <v>474</v>
      </c>
      <c r="CC26" s="3"/>
      <c r="CD26" s="3" t="s">
        <v>329</v>
      </c>
      <c r="CE26" s="3"/>
      <c r="CF26" s="3" t="s">
        <v>1116</v>
      </c>
      <c r="CG26" s="3" t="s">
        <v>1117</v>
      </c>
      <c r="CH26" s="3" t="s">
        <v>1118</v>
      </c>
      <c r="CI26" s="3" t="s">
        <v>1119</v>
      </c>
      <c r="CJ26" s="3" t="s">
        <v>850</v>
      </c>
      <c r="CK26" s="3" t="s">
        <v>1120</v>
      </c>
      <c r="CL26" s="3" t="s">
        <v>852</v>
      </c>
      <c r="CM26" s="3" t="s">
        <v>975</v>
      </c>
      <c r="CN26" s="3" t="s">
        <v>854</v>
      </c>
      <c r="CO26" s="3"/>
      <c r="CP26" s="3" t="s">
        <v>1766</v>
      </c>
      <c r="CQ26" s="3"/>
      <c r="CR26" s="3"/>
      <c r="CS26" s="3"/>
      <c r="CT26" s="3"/>
      <c r="CU26" s="3"/>
      <c r="CV26" s="3"/>
      <c r="CW26" s="3"/>
      <c r="CX26" s="3"/>
      <c r="CY26" s="3"/>
      <c r="CZ26" s="3"/>
      <c r="DA26" s="3"/>
    </row>
    <row r="27" spans="1:105" ht="15" customHeight="1" x14ac:dyDescent="0.2">
      <c r="A27" s="5" t="s">
        <v>1767</v>
      </c>
      <c r="B27" s="5" t="s">
        <v>1768</v>
      </c>
      <c r="C27" s="5" t="s">
        <v>1769</v>
      </c>
      <c r="D27" s="5" t="s">
        <v>1432</v>
      </c>
      <c r="E27" s="5" t="s">
        <v>1432</v>
      </c>
      <c r="F27" s="5" t="s">
        <v>1432</v>
      </c>
      <c r="G27" s="5" t="s">
        <v>110</v>
      </c>
      <c r="H27" s="5" t="s">
        <v>259</v>
      </c>
      <c r="I27" s="5" t="s">
        <v>181</v>
      </c>
      <c r="J27" s="5" t="s">
        <v>1494</v>
      </c>
      <c r="K27" s="5" t="s">
        <v>114</v>
      </c>
      <c r="L27" s="5" t="s">
        <v>114</v>
      </c>
      <c r="M27" s="5" t="s">
        <v>114</v>
      </c>
      <c r="N27" s="5" t="s">
        <v>114</v>
      </c>
      <c r="O27" s="5" t="s">
        <v>114</v>
      </c>
      <c r="P27" s="5" t="s">
        <v>114</v>
      </c>
      <c r="Q27" s="5" t="s">
        <v>1770</v>
      </c>
      <c r="R27" s="5" t="s">
        <v>1771</v>
      </c>
      <c r="S27" s="5" t="s">
        <v>1460</v>
      </c>
      <c r="T27" s="5" t="s">
        <v>1772</v>
      </c>
      <c r="U27" s="5" t="s">
        <v>119</v>
      </c>
      <c r="V27" s="5" t="s">
        <v>119</v>
      </c>
      <c r="W27" s="5" t="s">
        <v>120</v>
      </c>
      <c r="X27" s="5"/>
      <c r="Y27" s="5"/>
      <c r="Z27" s="5" t="s">
        <v>119</v>
      </c>
      <c r="AA27" s="5"/>
      <c r="AB27" s="5" t="s">
        <v>122</v>
      </c>
      <c r="AC27" s="5" t="s">
        <v>217</v>
      </c>
      <c r="AD27" s="5" t="s">
        <v>838</v>
      </c>
      <c r="AE27" s="5" t="s">
        <v>1773</v>
      </c>
      <c r="AF27" s="5" t="s">
        <v>1523</v>
      </c>
      <c r="AG27" s="5" t="s">
        <v>358</v>
      </c>
      <c r="AH27" s="5"/>
      <c r="AI27" s="5"/>
      <c r="AJ27" s="5"/>
      <c r="AK27" s="5"/>
      <c r="AL27" s="5"/>
      <c r="AM27" s="5">
        <v>0</v>
      </c>
      <c r="AN27" s="5"/>
      <c r="AO27" s="5"/>
      <c r="AP27" s="5"/>
      <c r="AQ27" s="5"/>
      <c r="AR27" s="5"/>
      <c r="AS27" s="5">
        <v>0</v>
      </c>
      <c r="AT27" s="5"/>
      <c r="AU27" s="5"/>
      <c r="AV27" s="5"/>
      <c r="AW27" s="5"/>
      <c r="AX27" s="5"/>
      <c r="AY27" s="5"/>
      <c r="AZ27" s="5">
        <v>0</v>
      </c>
      <c r="BA27" s="5"/>
      <c r="BB27" s="5" t="s">
        <v>876</v>
      </c>
      <c r="BC27" s="5">
        <v>698</v>
      </c>
      <c r="BD27" s="6">
        <v>44645</v>
      </c>
      <c r="BE27" s="6">
        <v>46813</v>
      </c>
      <c r="BF27" s="6">
        <v>46965</v>
      </c>
      <c r="BG27" s="6">
        <v>47238</v>
      </c>
      <c r="BH27" s="5">
        <v>9</v>
      </c>
      <c r="BI27" s="6">
        <v>46965</v>
      </c>
      <c r="BJ27" s="6">
        <v>47149</v>
      </c>
      <c r="BK27" s="5">
        <v>6</v>
      </c>
      <c r="BL27" s="6">
        <v>46965</v>
      </c>
      <c r="BM27" s="6">
        <v>47330</v>
      </c>
      <c r="BN27" s="5">
        <v>12</v>
      </c>
      <c r="BO27" s="6">
        <v>47238</v>
      </c>
      <c r="BP27" s="6">
        <v>46965</v>
      </c>
      <c r="BQ27" s="5">
        <v>9</v>
      </c>
      <c r="BR27" s="6">
        <v>46965</v>
      </c>
      <c r="BS27" s="6">
        <v>47238</v>
      </c>
      <c r="BT27" s="5">
        <v>9</v>
      </c>
      <c r="BU27" s="5" t="s">
        <v>1774</v>
      </c>
      <c r="BV27" s="5" t="s">
        <v>1775</v>
      </c>
      <c r="BW27" s="5" t="s">
        <v>1776</v>
      </c>
      <c r="BX27" s="6">
        <v>46813</v>
      </c>
      <c r="BY27" s="6">
        <v>46813</v>
      </c>
      <c r="BZ27" s="5" t="s">
        <v>136</v>
      </c>
      <c r="CA27" s="5" t="s">
        <v>137</v>
      </c>
      <c r="CB27" s="5" t="s">
        <v>1772</v>
      </c>
      <c r="CC27" s="5" t="s">
        <v>232</v>
      </c>
      <c r="CD27" s="5" t="s">
        <v>256</v>
      </c>
      <c r="CE27" s="5"/>
      <c r="CF27" s="5" t="s">
        <v>1116</v>
      </c>
      <c r="CG27" s="5" t="s">
        <v>1117</v>
      </c>
      <c r="CH27" s="5" t="s">
        <v>1118</v>
      </c>
      <c r="CI27" s="5" t="s">
        <v>1119</v>
      </c>
      <c r="CJ27" s="5" t="s">
        <v>850</v>
      </c>
      <c r="CK27" s="5" t="s">
        <v>1120</v>
      </c>
      <c r="CL27" s="5" t="s">
        <v>852</v>
      </c>
      <c r="CM27" s="5" t="s">
        <v>975</v>
      </c>
      <c r="CN27" s="5" t="s">
        <v>854</v>
      </c>
      <c r="CO27" s="5"/>
      <c r="CP27" s="5">
        <v>3.1</v>
      </c>
      <c r="CQ27" s="5"/>
      <c r="CR27" s="5"/>
      <c r="CS27" s="5"/>
      <c r="CT27" s="5"/>
      <c r="CU27" s="5"/>
      <c r="CV27" s="5"/>
      <c r="CW27" s="5"/>
      <c r="CX27" s="5"/>
      <c r="CY27" s="5"/>
      <c r="CZ27" s="5"/>
      <c r="DA27" s="5"/>
    </row>
    <row r="28" spans="1:105" ht="15" customHeight="1" x14ac:dyDescent="0.2">
      <c r="A28" s="3" t="s">
        <v>1777</v>
      </c>
      <c r="B28" s="3" t="s">
        <v>1778</v>
      </c>
      <c r="C28" s="3" t="s">
        <v>1779</v>
      </c>
      <c r="D28" s="3" t="s">
        <v>1780</v>
      </c>
      <c r="E28" s="3" t="s">
        <v>1780</v>
      </c>
      <c r="F28" s="3"/>
      <c r="G28" s="3" t="s">
        <v>110</v>
      </c>
      <c r="H28" s="3" t="s">
        <v>259</v>
      </c>
      <c r="I28" s="3"/>
      <c r="J28" s="3" t="s">
        <v>1494</v>
      </c>
      <c r="K28" s="3" t="s">
        <v>114</v>
      </c>
      <c r="L28" s="3" t="s">
        <v>114</v>
      </c>
      <c r="M28" s="3" t="s">
        <v>114</v>
      </c>
      <c r="N28" s="3" t="s">
        <v>114</v>
      </c>
      <c r="O28" s="3" t="s">
        <v>114</v>
      </c>
      <c r="P28" s="3"/>
      <c r="Q28" s="3" t="s">
        <v>1777</v>
      </c>
      <c r="R28" s="3"/>
      <c r="S28" s="3" t="s">
        <v>1781</v>
      </c>
      <c r="T28" s="3" t="s">
        <v>1782</v>
      </c>
      <c r="U28" s="3" t="s">
        <v>120</v>
      </c>
      <c r="V28" s="3" t="s">
        <v>119</v>
      </c>
      <c r="W28" s="3" t="s">
        <v>120</v>
      </c>
      <c r="X28" s="3"/>
      <c r="Y28" s="3" t="s">
        <v>1783</v>
      </c>
      <c r="Z28" s="3" t="s">
        <v>119</v>
      </c>
      <c r="AA28" s="3"/>
      <c r="AB28" s="3" t="s">
        <v>122</v>
      </c>
      <c r="AC28" s="3" t="s">
        <v>217</v>
      </c>
      <c r="AD28" s="3" t="s">
        <v>838</v>
      </c>
      <c r="AE28" s="3"/>
      <c r="AF28" s="3"/>
      <c r="AG28" s="3" t="s">
        <v>148</v>
      </c>
      <c r="AH28" s="3"/>
      <c r="AI28" s="3"/>
      <c r="AJ28" s="3"/>
      <c r="AK28" s="3"/>
      <c r="AL28" s="3"/>
      <c r="AM28" s="3">
        <v>0</v>
      </c>
      <c r="AN28" s="3"/>
      <c r="AO28" s="3"/>
      <c r="AP28" s="3"/>
      <c r="AQ28" s="3"/>
      <c r="AR28" s="3"/>
      <c r="AS28" s="3">
        <v>0</v>
      </c>
      <c r="AT28" s="3"/>
      <c r="AU28" s="3"/>
      <c r="AV28" s="3"/>
      <c r="AW28" s="3"/>
      <c r="AX28" s="3"/>
      <c r="AY28" s="3"/>
      <c r="AZ28" s="3">
        <v>0</v>
      </c>
      <c r="BA28" s="3"/>
      <c r="BB28" s="3"/>
      <c r="BC28" s="3"/>
      <c r="BD28" s="3"/>
      <c r="BE28" s="4">
        <v>46905</v>
      </c>
      <c r="BF28" s="4">
        <v>47057</v>
      </c>
      <c r="BG28" s="4">
        <v>47422</v>
      </c>
      <c r="BH28" s="3">
        <v>12</v>
      </c>
      <c r="BI28" s="4">
        <v>47057</v>
      </c>
      <c r="BJ28" s="4">
        <v>47238</v>
      </c>
      <c r="BK28" s="3">
        <v>5.9</v>
      </c>
      <c r="BL28" s="3"/>
      <c r="BM28" s="3"/>
      <c r="BN28" s="3"/>
      <c r="BO28" s="3"/>
      <c r="BP28" s="3"/>
      <c r="BQ28" s="3"/>
      <c r="BR28" s="4">
        <v>47057</v>
      </c>
      <c r="BS28" s="4">
        <v>47422</v>
      </c>
      <c r="BT28" s="3">
        <v>12</v>
      </c>
      <c r="BU28" s="3"/>
      <c r="BV28" s="3"/>
      <c r="BW28" s="3"/>
      <c r="BX28" s="3"/>
      <c r="BY28" s="3"/>
      <c r="BZ28" s="3"/>
      <c r="CA28" s="3"/>
      <c r="CB28" s="3" t="s">
        <v>1784</v>
      </c>
      <c r="CC28" s="3"/>
      <c r="CD28" s="3"/>
      <c r="CE28" s="3"/>
      <c r="CF28" s="3" t="s">
        <v>1116</v>
      </c>
      <c r="CG28" s="3" t="s">
        <v>1117</v>
      </c>
      <c r="CH28" s="3" t="s">
        <v>1118</v>
      </c>
      <c r="CI28" s="3" t="s">
        <v>1119</v>
      </c>
      <c r="CJ28" s="3" t="s">
        <v>850</v>
      </c>
      <c r="CK28" s="3" t="s">
        <v>1120</v>
      </c>
      <c r="CL28" s="3" t="s">
        <v>852</v>
      </c>
      <c r="CM28" s="3" t="s">
        <v>975</v>
      </c>
      <c r="CN28" s="3" t="s">
        <v>854</v>
      </c>
      <c r="CO28" s="3" t="s">
        <v>1785</v>
      </c>
      <c r="CP28" s="3">
        <v>4</v>
      </c>
      <c r="CQ28" s="3"/>
      <c r="CR28" s="3"/>
      <c r="CS28" s="3"/>
      <c r="CT28" s="3"/>
      <c r="CU28" s="3"/>
      <c r="CV28" s="3"/>
      <c r="CW28" s="3"/>
      <c r="CX28" s="3"/>
      <c r="CY28" s="3"/>
      <c r="CZ28" s="3"/>
      <c r="DA28" s="3"/>
    </row>
    <row r="29" spans="1:105" ht="15" customHeight="1" x14ac:dyDescent="0.2">
      <c r="A29" s="5" t="s">
        <v>1786</v>
      </c>
      <c r="B29" s="5" t="s">
        <v>1787</v>
      </c>
      <c r="C29" s="5" t="s">
        <v>1788</v>
      </c>
      <c r="D29" s="5" t="s">
        <v>194</v>
      </c>
      <c r="E29" s="5" t="s">
        <v>1789</v>
      </c>
      <c r="F29" s="5" t="s">
        <v>194</v>
      </c>
      <c r="G29" s="5" t="s">
        <v>110</v>
      </c>
      <c r="H29" s="5" t="s">
        <v>259</v>
      </c>
      <c r="I29" s="5" t="s">
        <v>181</v>
      </c>
      <c r="J29" s="5" t="s">
        <v>1494</v>
      </c>
      <c r="K29" s="5" t="s">
        <v>114</v>
      </c>
      <c r="L29" s="5" t="s">
        <v>114</v>
      </c>
      <c r="M29" s="5" t="s">
        <v>114</v>
      </c>
      <c r="N29" s="5" t="s">
        <v>114</v>
      </c>
      <c r="O29" s="5" t="s">
        <v>114</v>
      </c>
      <c r="P29" s="5" t="s">
        <v>114</v>
      </c>
      <c r="Q29" s="5" t="s">
        <v>1790</v>
      </c>
      <c r="R29" s="5" t="s">
        <v>1791</v>
      </c>
      <c r="S29" s="5" t="s">
        <v>1792</v>
      </c>
      <c r="T29" s="5" t="s">
        <v>1793</v>
      </c>
      <c r="U29" s="5" t="s">
        <v>119</v>
      </c>
      <c r="V29" s="5" t="s">
        <v>119</v>
      </c>
      <c r="W29" s="5" t="s">
        <v>120</v>
      </c>
      <c r="X29" s="5"/>
      <c r="Y29" s="5"/>
      <c r="Z29" s="5" t="s">
        <v>119</v>
      </c>
      <c r="AA29" s="5"/>
      <c r="AB29" s="5" t="s">
        <v>122</v>
      </c>
      <c r="AC29" s="5" t="s">
        <v>217</v>
      </c>
      <c r="AD29" s="5" t="s">
        <v>838</v>
      </c>
      <c r="AE29" s="5" t="s">
        <v>1794</v>
      </c>
      <c r="AF29" s="5" t="s">
        <v>1795</v>
      </c>
      <c r="AG29" s="5" t="s">
        <v>166</v>
      </c>
      <c r="AH29" s="5"/>
      <c r="AI29" s="5"/>
      <c r="AJ29" s="5"/>
      <c r="AK29" s="5"/>
      <c r="AL29" s="5"/>
      <c r="AM29" s="5">
        <v>0</v>
      </c>
      <c r="AN29" s="5"/>
      <c r="AO29" s="5"/>
      <c r="AP29" s="5"/>
      <c r="AQ29" s="5"/>
      <c r="AR29" s="5"/>
      <c r="AS29" s="5">
        <v>0</v>
      </c>
      <c r="AT29" s="5"/>
      <c r="AU29" s="5"/>
      <c r="AV29" s="5"/>
      <c r="AW29" s="5"/>
      <c r="AX29" s="5"/>
      <c r="AY29" s="5"/>
      <c r="AZ29" s="5">
        <v>0</v>
      </c>
      <c r="BA29" s="5"/>
      <c r="BB29" s="5" t="s">
        <v>876</v>
      </c>
      <c r="BC29" s="5">
        <v>596</v>
      </c>
      <c r="BD29" s="6">
        <v>45966</v>
      </c>
      <c r="BE29" s="6">
        <v>46997</v>
      </c>
      <c r="BF29" s="6">
        <v>47149</v>
      </c>
      <c r="BG29" s="6">
        <v>47422</v>
      </c>
      <c r="BH29" s="5">
        <v>9</v>
      </c>
      <c r="BI29" s="6">
        <v>47149</v>
      </c>
      <c r="BJ29" s="6">
        <v>47330</v>
      </c>
      <c r="BK29" s="5">
        <v>5.9</v>
      </c>
      <c r="BL29" s="6">
        <v>47149</v>
      </c>
      <c r="BM29" s="6">
        <v>47514</v>
      </c>
      <c r="BN29" s="5">
        <v>12</v>
      </c>
      <c r="BO29" s="6">
        <v>47422</v>
      </c>
      <c r="BP29" s="6">
        <v>47149</v>
      </c>
      <c r="BQ29" s="5">
        <v>9</v>
      </c>
      <c r="BR29" s="6">
        <v>47149</v>
      </c>
      <c r="BS29" s="6">
        <v>47422</v>
      </c>
      <c r="BT29" s="5">
        <v>9</v>
      </c>
      <c r="BU29" s="5" t="s">
        <v>1796</v>
      </c>
      <c r="BV29" s="5" t="s">
        <v>1797</v>
      </c>
      <c r="BW29" s="5" t="s">
        <v>1798</v>
      </c>
      <c r="BX29" s="6">
        <v>47011</v>
      </c>
      <c r="BY29" s="6">
        <v>47983</v>
      </c>
      <c r="BZ29" s="5" t="s">
        <v>136</v>
      </c>
      <c r="CA29" s="5" t="s">
        <v>137</v>
      </c>
      <c r="CB29" s="5" t="s">
        <v>726</v>
      </c>
      <c r="CC29" s="5"/>
      <c r="CD29" s="5"/>
      <c r="CE29" s="5"/>
      <c r="CF29" s="5" t="s">
        <v>1799</v>
      </c>
      <c r="CG29" s="5" t="s">
        <v>847</v>
      </c>
      <c r="CH29" s="5" t="s">
        <v>848</v>
      </c>
      <c r="CI29" s="5" t="s">
        <v>849</v>
      </c>
      <c r="CJ29" s="5" t="s">
        <v>850</v>
      </c>
      <c r="CK29" s="5" t="s">
        <v>851</v>
      </c>
      <c r="CL29" s="5" t="s">
        <v>852</v>
      </c>
      <c r="CM29" s="5" t="s">
        <v>853</v>
      </c>
      <c r="CN29" s="5" t="s">
        <v>854</v>
      </c>
      <c r="CO29" s="5"/>
      <c r="CP29" s="5">
        <v>8</v>
      </c>
      <c r="CQ29" s="5"/>
      <c r="CR29" s="5"/>
      <c r="CS29" s="5"/>
      <c r="CT29" s="5"/>
      <c r="CU29" s="5"/>
      <c r="CV29" s="5"/>
      <c r="CW29" s="5"/>
      <c r="CX29" s="5"/>
      <c r="CY29" s="5"/>
      <c r="CZ29" s="5"/>
      <c r="DA29" s="5"/>
    </row>
    <row r="30" spans="1:105" ht="15" customHeight="1" x14ac:dyDescent="0.2">
      <c r="A30" s="3" t="s">
        <v>983</v>
      </c>
      <c r="B30" s="3" t="s">
        <v>984</v>
      </c>
      <c r="C30" s="3" t="s">
        <v>984</v>
      </c>
      <c r="D30" s="3" t="s">
        <v>985</v>
      </c>
      <c r="E30" s="3" t="s">
        <v>985</v>
      </c>
      <c r="F30" s="3" t="s">
        <v>985</v>
      </c>
      <c r="G30" s="3" t="s">
        <v>110</v>
      </c>
      <c r="H30" s="3" t="s">
        <v>259</v>
      </c>
      <c r="I30" s="3" t="s">
        <v>544</v>
      </c>
      <c r="J30" s="3" t="s">
        <v>1494</v>
      </c>
      <c r="K30" s="3" t="s">
        <v>114</v>
      </c>
      <c r="L30" s="3" t="s">
        <v>114</v>
      </c>
      <c r="M30" s="3" t="s">
        <v>114</v>
      </c>
      <c r="N30" s="3" t="s">
        <v>114</v>
      </c>
      <c r="O30" s="3" t="s">
        <v>114</v>
      </c>
      <c r="P30" s="3" t="s">
        <v>114</v>
      </c>
      <c r="Q30" s="3" t="s">
        <v>1800</v>
      </c>
      <c r="R30" s="3" t="s">
        <v>1801</v>
      </c>
      <c r="S30" s="3" t="s">
        <v>987</v>
      </c>
      <c r="T30" s="3" t="s">
        <v>1802</v>
      </c>
      <c r="U30" s="3" t="s">
        <v>120</v>
      </c>
      <c r="V30" s="3" t="s">
        <v>119</v>
      </c>
      <c r="W30" s="3" t="s">
        <v>120</v>
      </c>
      <c r="X30" s="3" t="s">
        <v>694</v>
      </c>
      <c r="Y30" s="3" t="s">
        <v>1803</v>
      </c>
      <c r="Z30" s="3" t="s">
        <v>119</v>
      </c>
      <c r="AA30" s="3"/>
      <c r="AB30" s="3" t="s">
        <v>122</v>
      </c>
      <c r="AC30" s="3" t="s">
        <v>217</v>
      </c>
      <c r="AD30" s="3" t="s">
        <v>989</v>
      </c>
      <c r="AE30" s="3" t="s">
        <v>1804</v>
      </c>
      <c r="AF30" s="3" t="s">
        <v>1523</v>
      </c>
      <c r="AG30" s="3" t="s">
        <v>148</v>
      </c>
      <c r="AH30" s="3"/>
      <c r="AI30" s="3"/>
      <c r="AJ30" s="3"/>
      <c r="AK30" s="3"/>
      <c r="AL30" s="3"/>
      <c r="AM30" s="3">
        <v>0</v>
      </c>
      <c r="AN30" s="3"/>
      <c r="AO30" s="3"/>
      <c r="AP30" s="3"/>
      <c r="AQ30" s="3"/>
      <c r="AR30" s="3"/>
      <c r="AS30" s="3">
        <v>0</v>
      </c>
      <c r="AT30" s="3"/>
      <c r="AU30" s="3"/>
      <c r="AV30" s="3"/>
      <c r="AW30" s="3"/>
      <c r="AX30" s="3"/>
      <c r="AY30" s="3"/>
      <c r="AZ30" s="3">
        <v>0</v>
      </c>
      <c r="BA30" s="3"/>
      <c r="BB30" s="3" t="s">
        <v>876</v>
      </c>
      <c r="BC30" s="3">
        <v>460</v>
      </c>
      <c r="BD30" s="4">
        <v>45931</v>
      </c>
      <c r="BE30" s="4">
        <v>46997</v>
      </c>
      <c r="BF30" s="4">
        <v>47149</v>
      </c>
      <c r="BG30" s="4">
        <v>47422</v>
      </c>
      <c r="BH30" s="3">
        <v>9</v>
      </c>
      <c r="BI30" s="4">
        <v>47149</v>
      </c>
      <c r="BJ30" s="4">
        <v>47330</v>
      </c>
      <c r="BK30" s="3">
        <v>5.9</v>
      </c>
      <c r="BL30" s="3"/>
      <c r="BM30" s="3"/>
      <c r="BN30" s="3"/>
      <c r="BO30" s="3"/>
      <c r="BP30" s="3"/>
      <c r="BQ30" s="3"/>
      <c r="BR30" s="4">
        <v>47180</v>
      </c>
      <c r="BS30" s="4">
        <v>47422</v>
      </c>
      <c r="BT30" s="3">
        <v>7.9</v>
      </c>
      <c r="BU30" s="3" t="s">
        <v>1805</v>
      </c>
      <c r="BV30" s="3" t="s">
        <v>1806</v>
      </c>
      <c r="BW30" s="3" t="s">
        <v>1807</v>
      </c>
      <c r="BX30" s="4">
        <v>46997</v>
      </c>
      <c r="BY30" s="4">
        <v>47119</v>
      </c>
      <c r="BZ30" s="3" t="s">
        <v>136</v>
      </c>
      <c r="CA30" s="3" t="s">
        <v>137</v>
      </c>
      <c r="CB30" s="3"/>
      <c r="CC30" s="3" t="s">
        <v>256</v>
      </c>
      <c r="CD30" s="3" t="s">
        <v>1808</v>
      </c>
      <c r="CE30" s="3"/>
      <c r="CF30" s="3"/>
      <c r="CG30" s="3"/>
      <c r="CH30" s="3"/>
      <c r="CI30" s="3"/>
      <c r="CJ30" s="3"/>
      <c r="CK30" s="3"/>
      <c r="CL30" s="3"/>
      <c r="CM30" s="3"/>
      <c r="CN30" s="3"/>
      <c r="CO30" s="3"/>
      <c r="CP30" s="3"/>
      <c r="CQ30" s="3"/>
      <c r="CR30" s="3"/>
      <c r="CS30" s="3"/>
      <c r="CT30" s="3"/>
      <c r="CU30" s="3"/>
      <c r="CV30" s="3"/>
      <c r="CW30" s="3"/>
      <c r="CX30" s="3"/>
      <c r="CY30" s="3"/>
      <c r="CZ30" s="3"/>
      <c r="DA30" s="3"/>
    </row>
    <row r="31" spans="1:105" ht="15" customHeight="1" x14ac:dyDescent="0.2">
      <c r="A31" s="5" t="s">
        <v>1142</v>
      </c>
      <c r="B31" s="5" t="s">
        <v>1143</v>
      </c>
      <c r="C31" s="5" t="s">
        <v>1144</v>
      </c>
      <c r="D31" s="5" t="s">
        <v>280</v>
      </c>
      <c r="E31" s="5" t="s">
        <v>281</v>
      </c>
      <c r="F31" s="5" t="s">
        <v>282</v>
      </c>
      <c r="G31" s="5" t="s">
        <v>110</v>
      </c>
      <c r="H31" s="5" t="s">
        <v>259</v>
      </c>
      <c r="I31" s="5" t="s">
        <v>181</v>
      </c>
      <c r="J31" s="5" t="s">
        <v>1494</v>
      </c>
      <c r="K31" s="5" t="s">
        <v>114</v>
      </c>
      <c r="L31" s="5" t="s">
        <v>114</v>
      </c>
      <c r="M31" s="5" t="s">
        <v>114</v>
      </c>
      <c r="N31" s="5" t="s">
        <v>114</v>
      </c>
      <c r="O31" s="5" t="s">
        <v>114</v>
      </c>
      <c r="P31" s="5" t="s">
        <v>114</v>
      </c>
      <c r="Q31" s="5" t="s">
        <v>1809</v>
      </c>
      <c r="R31" s="5" t="s">
        <v>1810</v>
      </c>
      <c r="S31" s="5" t="s">
        <v>965</v>
      </c>
      <c r="T31" s="5" t="s">
        <v>1002</v>
      </c>
      <c r="U31" s="5" t="s">
        <v>119</v>
      </c>
      <c r="V31" s="5" t="s">
        <v>119</v>
      </c>
      <c r="W31" s="5" t="s">
        <v>120</v>
      </c>
      <c r="X31" s="5"/>
      <c r="Y31" s="5"/>
      <c r="Z31" s="5" t="s">
        <v>119</v>
      </c>
      <c r="AA31" s="5"/>
      <c r="AB31" s="5" t="s">
        <v>122</v>
      </c>
      <c r="AC31" s="5" t="s">
        <v>217</v>
      </c>
      <c r="AD31" s="5" t="s">
        <v>838</v>
      </c>
      <c r="AE31" s="5" t="s">
        <v>1811</v>
      </c>
      <c r="AF31" s="5" t="s">
        <v>1812</v>
      </c>
      <c r="AG31" s="5" t="s">
        <v>358</v>
      </c>
      <c r="AH31" s="5"/>
      <c r="AI31" s="5"/>
      <c r="AJ31" s="5"/>
      <c r="AK31" s="5"/>
      <c r="AL31" s="5"/>
      <c r="AM31" s="5">
        <v>0</v>
      </c>
      <c r="AN31" s="5"/>
      <c r="AO31" s="5"/>
      <c r="AP31" s="5"/>
      <c r="AQ31" s="5"/>
      <c r="AR31" s="5"/>
      <c r="AS31" s="5">
        <v>0</v>
      </c>
      <c r="AT31" s="5"/>
      <c r="AU31" s="5"/>
      <c r="AV31" s="5"/>
      <c r="AW31" s="5"/>
      <c r="AX31" s="5"/>
      <c r="AY31" s="5"/>
      <c r="AZ31" s="5">
        <v>0</v>
      </c>
      <c r="BA31" s="5"/>
      <c r="BB31" s="5" t="s">
        <v>876</v>
      </c>
      <c r="BC31" s="5">
        <v>520</v>
      </c>
      <c r="BD31" s="6">
        <v>45454</v>
      </c>
      <c r="BE31" s="6">
        <v>46997</v>
      </c>
      <c r="BF31" s="6">
        <v>47149</v>
      </c>
      <c r="BG31" s="6">
        <v>47422</v>
      </c>
      <c r="BH31" s="5">
        <v>9</v>
      </c>
      <c r="BI31" s="6">
        <v>47149</v>
      </c>
      <c r="BJ31" s="6">
        <v>47330</v>
      </c>
      <c r="BK31" s="5">
        <v>5.9</v>
      </c>
      <c r="BL31" s="6">
        <v>47149</v>
      </c>
      <c r="BM31" s="6">
        <v>47514</v>
      </c>
      <c r="BN31" s="5">
        <v>12</v>
      </c>
      <c r="BO31" s="6">
        <v>47422</v>
      </c>
      <c r="BP31" s="6">
        <v>47149</v>
      </c>
      <c r="BQ31" s="5">
        <v>9</v>
      </c>
      <c r="BR31" s="6">
        <v>47149</v>
      </c>
      <c r="BS31" s="6">
        <v>47422</v>
      </c>
      <c r="BT31" s="5">
        <v>9</v>
      </c>
      <c r="BU31" s="5" t="s">
        <v>1813</v>
      </c>
      <c r="BV31" s="5" t="s">
        <v>1814</v>
      </c>
      <c r="BW31" s="5" t="s">
        <v>1815</v>
      </c>
      <c r="BX31" s="6">
        <v>47008</v>
      </c>
      <c r="BY31" s="6">
        <v>47648</v>
      </c>
      <c r="BZ31" s="5" t="s">
        <v>136</v>
      </c>
      <c r="CA31" s="5" t="s">
        <v>1115</v>
      </c>
      <c r="CB31" s="5" t="s">
        <v>1816</v>
      </c>
      <c r="CC31" s="5"/>
      <c r="CD31" s="5" t="s">
        <v>180</v>
      </c>
      <c r="CE31" s="5"/>
      <c r="CF31" s="5" t="s">
        <v>1152</v>
      </c>
      <c r="CG31" s="5" t="s">
        <v>847</v>
      </c>
      <c r="CH31" s="5" t="s">
        <v>848</v>
      </c>
      <c r="CI31" s="5" t="s">
        <v>849</v>
      </c>
      <c r="CJ31" s="5" t="s">
        <v>850</v>
      </c>
      <c r="CK31" s="5" t="s">
        <v>1051</v>
      </c>
      <c r="CL31" s="5" t="s">
        <v>1052</v>
      </c>
      <c r="CM31" s="5" t="s">
        <v>853</v>
      </c>
      <c r="CN31" s="5" t="s">
        <v>854</v>
      </c>
      <c r="CO31" s="5" t="s">
        <v>1153</v>
      </c>
      <c r="CP31" s="5">
        <v>7.4</v>
      </c>
      <c r="CQ31" s="5"/>
      <c r="CR31" s="5"/>
      <c r="CS31" s="5"/>
      <c r="CT31" s="5"/>
      <c r="CU31" s="5"/>
      <c r="CV31" s="5"/>
      <c r="CW31" s="5"/>
      <c r="CX31" s="5"/>
      <c r="CY31" s="5"/>
      <c r="CZ31" s="5"/>
      <c r="DA31" s="5"/>
    </row>
    <row r="32" spans="1:105" ht="15" customHeight="1" x14ac:dyDescent="0.2">
      <c r="A32" s="3" t="s">
        <v>1319</v>
      </c>
      <c r="B32" s="3" t="s">
        <v>1320</v>
      </c>
      <c r="C32" s="3" t="s">
        <v>1320</v>
      </c>
      <c r="D32" s="3" t="s">
        <v>529</v>
      </c>
      <c r="E32" s="3" t="s">
        <v>1321</v>
      </c>
      <c r="F32" s="3" t="s">
        <v>1817</v>
      </c>
      <c r="G32" s="3" t="s">
        <v>110</v>
      </c>
      <c r="H32" s="3" t="s">
        <v>259</v>
      </c>
      <c r="I32" s="3" t="s">
        <v>260</v>
      </c>
      <c r="J32" s="3" t="s">
        <v>1494</v>
      </c>
      <c r="K32" s="3" t="s">
        <v>114</v>
      </c>
      <c r="L32" s="3" t="s">
        <v>114</v>
      </c>
      <c r="M32" s="3" t="s">
        <v>114</v>
      </c>
      <c r="N32" s="3" t="s">
        <v>114</v>
      </c>
      <c r="O32" s="3" t="s">
        <v>114</v>
      </c>
      <c r="P32" s="3" t="s">
        <v>114</v>
      </c>
      <c r="Q32" s="3" t="s">
        <v>1818</v>
      </c>
      <c r="R32" s="3" t="s">
        <v>1819</v>
      </c>
      <c r="S32" s="3" t="s">
        <v>1323</v>
      </c>
      <c r="T32" s="3" t="s">
        <v>1324</v>
      </c>
      <c r="U32" s="3" t="s">
        <v>120</v>
      </c>
      <c r="V32" s="3" t="s">
        <v>119</v>
      </c>
      <c r="W32" s="3" t="s">
        <v>120</v>
      </c>
      <c r="X32" s="3"/>
      <c r="Y32" s="3"/>
      <c r="Z32" s="3" t="s">
        <v>119</v>
      </c>
      <c r="AA32" s="3"/>
      <c r="AB32" s="3" t="s">
        <v>122</v>
      </c>
      <c r="AC32" s="3" t="s">
        <v>217</v>
      </c>
      <c r="AD32" s="3" t="s">
        <v>989</v>
      </c>
      <c r="AE32" s="3" t="s">
        <v>1820</v>
      </c>
      <c r="AF32" s="3" t="s">
        <v>1523</v>
      </c>
      <c r="AG32" s="3" t="s">
        <v>148</v>
      </c>
      <c r="AH32" s="3"/>
      <c r="AI32" s="3"/>
      <c r="AJ32" s="3"/>
      <c r="AK32" s="3"/>
      <c r="AL32" s="3"/>
      <c r="AM32" s="3">
        <v>0</v>
      </c>
      <c r="AN32" s="3"/>
      <c r="AO32" s="3"/>
      <c r="AP32" s="3"/>
      <c r="AQ32" s="3"/>
      <c r="AR32" s="3"/>
      <c r="AS32" s="3">
        <v>0</v>
      </c>
      <c r="AT32" s="3"/>
      <c r="AU32" s="3"/>
      <c r="AV32" s="3"/>
      <c r="AW32" s="3"/>
      <c r="AX32" s="3"/>
      <c r="AY32" s="3"/>
      <c r="AZ32" s="3">
        <v>0</v>
      </c>
      <c r="BA32" s="3"/>
      <c r="BB32" s="3" t="s">
        <v>876</v>
      </c>
      <c r="BC32" s="3">
        <v>600</v>
      </c>
      <c r="BD32" s="4">
        <v>45987</v>
      </c>
      <c r="BE32" s="4">
        <v>47058</v>
      </c>
      <c r="BF32" s="4">
        <v>47208</v>
      </c>
      <c r="BG32" s="4">
        <v>47573</v>
      </c>
      <c r="BH32" s="3">
        <v>12</v>
      </c>
      <c r="BI32" s="4">
        <v>47208</v>
      </c>
      <c r="BJ32" s="4">
        <v>47391</v>
      </c>
      <c r="BK32" s="3">
        <v>6</v>
      </c>
      <c r="BL32" s="4">
        <v>47208</v>
      </c>
      <c r="BM32" s="4">
        <v>47573</v>
      </c>
      <c r="BN32" s="3">
        <v>12</v>
      </c>
      <c r="BO32" s="4">
        <v>47483</v>
      </c>
      <c r="BP32" s="4">
        <v>47208</v>
      </c>
      <c r="BQ32" s="3">
        <v>9</v>
      </c>
      <c r="BR32" s="4">
        <v>47208</v>
      </c>
      <c r="BS32" s="4">
        <v>47573</v>
      </c>
      <c r="BT32" s="3">
        <v>12</v>
      </c>
      <c r="BU32" s="3" t="s">
        <v>1821</v>
      </c>
      <c r="BV32" s="3" t="s">
        <v>1822</v>
      </c>
      <c r="BW32" s="3" t="s">
        <v>1823</v>
      </c>
      <c r="BX32" s="4">
        <v>47058</v>
      </c>
      <c r="BY32" s="4">
        <v>47453</v>
      </c>
      <c r="BZ32" s="3" t="s">
        <v>136</v>
      </c>
      <c r="CA32" s="3" t="s">
        <v>137</v>
      </c>
      <c r="CB32" s="3"/>
      <c r="CC32" s="3" t="s">
        <v>1824</v>
      </c>
      <c r="CD32" s="3" t="s">
        <v>1825</v>
      </c>
      <c r="CE32" s="3"/>
      <c r="CF32" s="3"/>
      <c r="CG32" s="3"/>
      <c r="CH32" s="3"/>
      <c r="CI32" s="3"/>
      <c r="CJ32" s="3"/>
      <c r="CK32" s="3"/>
      <c r="CL32" s="3"/>
      <c r="CM32" s="3"/>
      <c r="CN32" s="3"/>
      <c r="CO32" s="3"/>
      <c r="CP32" s="3"/>
      <c r="CQ32" s="3"/>
      <c r="CR32" s="3"/>
      <c r="CS32" s="3"/>
      <c r="CT32" s="3"/>
      <c r="CU32" s="3"/>
      <c r="CV32" s="3"/>
      <c r="CW32" s="3"/>
      <c r="CX32" s="3"/>
      <c r="CY32" s="3"/>
      <c r="CZ32" s="3"/>
      <c r="DA32" s="3"/>
    </row>
    <row r="33" spans="1:105" ht="15" customHeight="1" x14ac:dyDescent="0.2">
      <c r="A33" s="5" t="s">
        <v>983</v>
      </c>
      <c r="B33" s="5" t="s">
        <v>984</v>
      </c>
      <c r="C33" s="5" t="s">
        <v>984</v>
      </c>
      <c r="D33" s="5" t="s">
        <v>985</v>
      </c>
      <c r="E33" s="5" t="s">
        <v>985</v>
      </c>
      <c r="F33" s="5"/>
      <c r="G33" s="5" t="s">
        <v>110</v>
      </c>
      <c r="H33" s="5"/>
      <c r="I33" s="5"/>
      <c r="J33" s="5" t="s">
        <v>1494</v>
      </c>
      <c r="K33" s="5" t="s">
        <v>114</v>
      </c>
      <c r="L33" s="5" t="s">
        <v>114</v>
      </c>
      <c r="M33" s="5" t="s">
        <v>114</v>
      </c>
      <c r="N33" s="5" t="s">
        <v>114</v>
      </c>
      <c r="O33" s="5" t="s">
        <v>114</v>
      </c>
      <c r="P33" s="5"/>
      <c r="Q33" s="5" t="s">
        <v>1826</v>
      </c>
      <c r="R33" s="5"/>
      <c r="S33" s="5" t="s">
        <v>987</v>
      </c>
      <c r="T33" s="5" t="s">
        <v>988</v>
      </c>
      <c r="U33" s="5" t="s">
        <v>120</v>
      </c>
      <c r="V33" s="5" t="s">
        <v>119</v>
      </c>
      <c r="W33" s="5" t="s">
        <v>120</v>
      </c>
      <c r="X33" s="5" t="s">
        <v>694</v>
      </c>
      <c r="Y33" s="5" t="s">
        <v>1239</v>
      </c>
      <c r="Z33" s="5" t="s">
        <v>119</v>
      </c>
      <c r="AA33" s="5"/>
      <c r="AB33" s="5" t="s">
        <v>122</v>
      </c>
      <c r="AC33" s="5" t="s">
        <v>217</v>
      </c>
      <c r="AD33" s="5" t="s">
        <v>989</v>
      </c>
      <c r="AE33" s="5" t="s">
        <v>1827</v>
      </c>
      <c r="AF33" s="5" t="s">
        <v>1828</v>
      </c>
      <c r="AG33" s="5" t="s">
        <v>127</v>
      </c>
      <c r="AH33" s="5"/>
      <c r="AI33" s="5"/>
      <c r="AJ33" s="5"/>
      <c r="AK33" s="5"/>
      <c r="AL33" s="5"/>
      <c r="AM33" s="5">
        <v>0</v>
      </c>
      <c r="AN33" s="5"/>
      <c r="AO33" s="5"/>
      <c r="AP33" s="5"/>
      <c r="AQ33" s="5"/>
      <c r="AR33" s="5"/>
      <c r="AS33" s="5">
        <v>0</v>
      </c>
      <c r="AT33" s="5"/>
      <c r="AU33" s="5"/>
      <c r="AV33" s="5"/>
      <c r="AW33" s="5"/>
      <c r="AX33" s="5"/>
      <c r="AY33" s="5"/>
      <c r="AZ33" s="5">
        <v>0</v>
      </c>
      <c r="BA33" s="5"/>
      <c r="BB33" s="5"/>
      <c r="BC33" s="5"/>
      <c r="BD33" s="5"/>
      <c r="BE33" s="6">
        <v>47149</v>
      </c>
      <c r="BF33" s="6">
        <v>47269</v>
      </c>
      <c r="BG33" s="6">
        <v>47542</v>
      </c>
      <c r="BH33" s="5">
        <v>9</v>
      </c>
      <c r="BI33" s="6">
        <v>47269</v>
      </c>
      <c r="BJ33" s="6">
        <v>47452</v>
      </c>
      <c r="BK33" s="5">
        <v>6</v>
      </c>
      <c r="BL33" s="5"/>
      <c r="BM33" s="5"/>
      <c r="BN33" s="5"/>
      <c r="BO33" s="5"/>
      <c r="BP33" s="5"/>
      <c r="BQ33" s="5"/>
      <c r="BR33" s="6">
        <v>47269</v>
      </c>
      <c r="BS33" s="6">
        <v>47542</v>
      </c>
      <c r="BT33" s="5">
        <v>9</v>
      </c>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row>
    <row r="34" spans="1:105" ht="15" customHeight="1" x14ac:dyDescent="0.2">
      <c r="A34" s="3" t="s">
        <v>1829</v>
      </c>
      <c r="B34" s="3"/>
      <c r="C34" s="3"/>
      <c r="D34" s="3" t="s">
        <v>1432</v>
      </c>
      <c r="E34" s="3" t="s">
        <v>1432</v>
      </c>
      <c r="F34" s="3"/>
      <c r="G34" s="3" t="s">
        <v>110</v>
      </c>
      <c r="H34" s="3"/>
      <c r="I34" s="3"/>
      <c r="J34" s="3" t="s">
        <v>1494</v>
      </c>
      <c r="K34" s="3" t="s">
        <v>114</v>
      </c>
      <c r="L34" s="3" t="s">
        <v>114</v>
      </c>
      <c r="M34" s="3" t="s">
        <v>114</v>
      </c>
      <c r="N34" s="3" t="s">
        <v>114</v>
      </c>
      <c r="O34" s="3" t="s">
        <v>114</v>
      </c>
      <c r="P34" s="3"/>
      <c r="Q34" s="3" t="s">
        <v>1830</v>
      </c>
      <c r="R34" s="3"/>
      <c r="S34" s="3" t="s">
        <v>872</v>
      </c>
      <c r="T34" s="3" t="s">
        <v>1831</v>
      </c>
      <c r="U34" s="3" t="s">
        <v>120</v>
      </c>
      <c r="V34" s="3" t="s">
        <v>119</v>
      </c>
      <c r="W34" s="3" t="s">
        <v>120</v>
      </c>
      <c r="X34" s="3" t="s">
        <v>388</v>
      </c>
      <c r="Y34" s="3" t="s">
        <v>1523</v>
      </c>
      <c r="Z34" s="3" t="s">
        <v>119</v>
      </c>
      <c r="AA34" s="3"/>
      <c r="AB34" s="3" t="s">
        <v>122</v>
      </c>
      <c r="AC34" s="3" t="s">
        <v>217</v>
      </c>
      <c r="AD34" s="3" t="s">
        <v>736</v>
      </c>
      <c r="AE34" s="3"/>
      <c r="AF34" s="3"/>
      <c r="AG34" s="3" t="s">
        <v>127</v>
      </c>
      <c r="AH34" s="3"/>
      <c r="AI34" s="3"/>
      <c r="AJ34" s="3"/>
      <c r="AK34" s="3"/>
      <c r="AL34" s="3"/>
      <c r="AM34" s="3">
        <v>0</v>
      </c>
      <c r="AN34" s="3"/>
      <c r="AO34" s="3"/>
      <c r="AP34" s="3"/>
      <c r="AQ34" s="3"/>
      <c r="AR34" s="3"/>
      <c r="AS34" s="3">
        <v>0</v>
      </c>
      <c r="AT34" s="3"/>
      <c r="AU34" s="3"/>
      <c r="AV34" s="3"/>
      <c r="AW34" s="3"/>
      <c r="AX34" s="3"/>
      <c r="AY34" s="3"/>
      <c r="AZ34" s="3">
        <v>0</v>
      </c>
      <c r="BA34" s="3"/>
      <c r="BB34" s="3"/>
      <c r="BC34" s="3"/>
      <c r="BD34" s="3"/>
      <c r="BE34" s="4">
        <v>47119</v>
      </c>
      <c r="BF34" s="3"/>
      <c r="BG34" s="3"/>
      <c r="BH34" s="3"/>
      <c r="BI34" s="4">
        <v>47269</v>
      </c>
      <c r="BJ34" s="4">
        <v>47452</v>
      </c>
      <c r="BK34" s="3">
        <v>6</v>
      </c>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row>
    <row r="35" spans="1:105" ht="15" customHeight="1" x14ac:dyDescent="0.2">
      <c r="A35" s="5" t="s">
        <v>960</v>
      </c>
      <c r="B35" s="5" t="s">
        <v>961</v>
      </c>
      <c r="C35" s="5" t="s">
        <v>961</v>
      </c>
      <c r="D35" s="5" t="s">
        <v>833</v>
      </c>
      <c r="E35" s="5" t="s">
        <v>833</v>
      </c>
      <c r="F35" s="5" t="s">
        <v>350</v>
      </c>
      <c r="G35" s="5" t="s">
        <v>110</v>
      </c>
      <c r="H35" s="5" t="s">
        <v>572</v>
      </c>
      <c r="I35" s="5" t="s">
        <v>181</v>
      </c>
      <c r="J35" s="5" t="s">
        <v>1494</v>
      </c>
      <c r="K35" s="5" t="s">
        <v>114</v>
      </c>
      <c r="L35" s="5" t="s">
        <v>114</v>
      </c>
      <c r="M35" s="5" t="s">
        <v>114</v>
      </c>
      <c r="N35" s="5" t="s">
        <v>114</v>
      </c>
      <c r="O35" s="5" t="s">
        <v>114</v>
      </c>
      <c r="P35" s="5" t="s">
        <v>114</v>
      </c>
      <c r="Q35" s="5" t="s">
        <v>1832</v>
      </c>
      <c r="R35" s="5" t="s">
        <v>1833</v>
      </c>
      <c r="S35" s="5" t="s">
        <v>965</v>
      </c>
      <c r="T35" s="5" t="s">
        <v>1002</v>
      </c>
      <c r="U35" s="5" t="s">
        <v>120</v>
      </c>
      <c r="V35" s="5" t="s">
        <v>119</v>
      </c>
      <c r="W35" s="5" t="s">
        <v>120</v>
      </c>
      <c r="X35" s="5"/>
      <c r="Y35" s="5"/>
      <c r="Z35" s="5" t="s">
        <v>119</v>
      </c>
      <c r="AA35" s="5" t="s">
        <v>121</v>
      </c>
      <c r="AB35" s="5" t="s">
        <v>122</v>
      </c>
      <c r="AC35" s="5" t="s">
        <v>217</v>
      </c>
      <c r="AD35" s="5" t="s">
        <v>838</v>
      </c>
      <c r="AE35" s="5" t="s">
        <v>1834</v>
      </c>
      <c r="AF35" s="5" t="s">
        <v>1523</v>
      </c>
      <c r="AG35" s="5" t="s">
        <v>358</v>
      </c>
      <c r="AH35" s="5"/>
      <c r="AI35" s="5"/>
      <c r="AJ35" s="5"/>
      <c r="AK35" s="5"/>
      <c r="AL35" s="5"/>
      <c r="AM35" s="5">
        <v>0</v>
      </c>
      <c r="AN35" s="5"/>
      <c r="AO35" s="5"/>
      <c r="AP35" s="5"/>
      <c r="AQ35" s="5"/>
      <c r="AR35" s="5"/>
      <c r="AS35" s="5">
        <v>0</v>
      </c>
      <c r="AT35" s="5"/>
      <c r="AU35" s="5"/>
      <c r="AV35" s="5"/>
      <c r="AW35" s="5"/>
      <c r="AX35" s="5"/>
      <c r="AY35" s="5"/>
      <c r="AZ35" s="5">
        <v>0</v>
      </c>
      <c r="BA35" s="5"/>
      <c r="BB35" s="5" t="s">
        <v>876</v>
      </c>
      <c r="BC35" s="5">
        <v>400</v>
      </c>
      <c r="BD35" s="6">
        <v>45961</v>
      </c>
      <c r="BE35" s="6">
        <v>47119</v>
      </c>
      <c r="BF35" s="6">
        <v>47269</v>
      </c>
      <c r="BG35" s="6">
        <v>47542</v>
      </c>
      <c r="BH35" s="5">
        <v>9</v>
      </c>
      <c r="BI35" s="6">
        <v>47269</v>
      </c>
      <c r="BJ35" s="6">
        <v>47452</v>
      </c>
      <c r="BK35" s="5">
        <v>6</v>
      </c>
      <c r="BL35" s="6">
        <v>47269</v>
      </c>
      <c r="BM35" s="6">
        <v>47634</v>
      </c>
      <c r="BN35" s="5">
        <v>12</v>
      </c>
      <c r="BO35" s="6">
        <v>47542</v>
      </c>
      <c r="BP35" s="6">
        <v>47269</v>
      </c>
      <c r="BQ35" s="5">
        <v>9</v>
      </c>
      <c r="BR35" s="6">
        <v>47269</v>
      </c>
      <c r="BS35" s="6">
        <v>47542</v>
      </c>
      <c r="BT35" s="5">
        <v>9</v>
      </c>
      <c r="BU35" s="5" t="s">
        <v>1835</v>
      </c>
      <c r="BV35" s="5" t="s">
        <v>1836</v>
      </c>
      <c r="BW35" s="5" t="s">
        <v>1837</v>
      </c>
      <c r="BX35" s="6">
        <v>47147</v>
      </c>
      <c r="BY35" s="6">
        <v>47147</v>
      </c>
      <c r="BZ35" s="5" t="s">
        <v>136</v>
      </c>
      <c r="CA35" s="5" t="s">
        <v>137</v>
      </c>
      <c r="CB35" s="5" t="s">
        <v>1002</v>
      </c>
      <c r="CC35" s="5" t="s">
        <v>1838</v>
      </c>
      <c r="CD35" s="5"/>
      <c r="CE35" s="5"/>
      <c r="CF35" s="5" t="s">
        <v>846</v>
      </c>
      <c r="CG35" s="5" t="s">
        <v>847</v>
      </c>
      <c r="CH35" s="5" t="s">
        <v>848</v>
      </c>
      <c r="CI35" s="5" t="s">
        <v>849</v>
      </c>
      <c r="CJ35" s="5" t="s">
        <v>850</v>
      </c>
      <c r="CK35" s="5" t="s">
        <v>851</v>
      </c>
      <c r="CL35" s="5" t="s">
        <v>852</v>
      </c>
      <c r="CM35" s="5" t="s">
        <v>975</v>
      </c>
      <c r="CN35" s="5" t="s">
        <v>854</v>
      </c>
      <c r="CO35" s="5"/>
      <c r="CP35" s="5">
        <v>4</v>
      </c>
      <c r="CQ35" s="5"/>
      <c r="CR35" s="5"/>
      <c r="CS35" s="5"/>
      <c r="CT35" s="5"/>
      <c r="CU35" s="5"/>
      <c r="CV35" s="5"/>
      <c r="CW35" s="5"/>
      <c r="CX35" s="5"/>
      <c r="CY35" s="5"/>
      <c r="CZ35" s="5"/>
      <c r="DA35" s="5"/>
    </row>
    <row r="36" spans="1:105" ht="15" customHeight="1" x14ac:dyDescent="0.2">
      <c r="A36" s="3" t="s">
        <v>1319</v>
      </c>
      <c r="B36" s="3" t="s">
        <v>1320</v>
      </c>
      <c r="C36" s="3" t="s">
        <v>1320</v>
      </c>
      <c r="D36" s="3" t="s">
        <v>529</v>
      </c>
      <c r="E36" s="3" t="s">
        <v>1321</v>
      </c>
      <c r="F36" s="3"/>
      <c r="G36" s="3" t="s">
        <v>110</v>
      </c>
      <c r="H36" s="3"/>
      <c r="I36" s="3" t="s">
        <v>181</v>
      </c>
      <c r="J36" s="3" t="s">
        <v>1494</v>
      </c>
      <c r="K36" s="3" t="s">
        <v>114</v>
      </c>
      <c r="L36" s="3" t="s">
        <v>114</v>
      </c>
      <c r="M36" s="3" t="s">
        <v>114</v>
      </c>
      <c r="N36" s="3" t="s">
        <v>114</v>
      </c>
      <c r="O36" s="3" t="s">
        <v>114</v>
      </c>
      <c r="P36" s="3"/>
      <c r="Q36" s="3" t="s">
        <v>1839</v>
      </c>
      <c r="R36" s="3"/>
      <c r="S36" s="3" t="s">
        <v>1323</v>
      </c>
      <c r="T36" s="3" t="s">
        <v>1324</v>
      </c>
      <c r="U36" s="3" t="s">
        <v>120</v>
      </c>
      <c r="V36" s="3" t="s">
        <v>119</v>
      </c>
      <c r="W36" s="3" t="s">
        <v>120</v>
      </c>
      <c r="X36" s="3"/>
      <c r="Y36" s="3"/>
      <c r="Z36" s="3" t="s">
        <v>119</v>
      </c>
      <c r="AA36" s="3"/>
      <c r="AB36" s="3" t="s">
        <v>122</v>
      </c>
      <c r="AC36" s="3" t="s">
        <v>217</v>
      </c>
      <c r="AD36" s="3" t="s">
        <v>989</v>
      </c>
      <c r="AE36" s="3"/>
      <c r="AF36" s="3"/>
      <c r="AG36" s="3" t="s">
        <v>127</v>
      </c>
      <c r="AH36" s="3"/>
      <c r="AI36" s="3"/>
      <c r="AJ36" s="3"/>
      <c r="AK36" s="3"/>
      <c r="AL36" s="3"/>
      <c r="AM36" s="3">
        <v>0</v>
      </c>
      <c r="AN36" s="3"/>
      <c r="AO36" s="3"/>
      <c r="AP36" s="3"/>
      <c r="AQ36" s="3"/>
      <c r="AR36" s="3"/>
      <c r="AS36" s="3">
        <v>0</v>
      </c>
      <c r="AT36" s="3"/>
      <c r="AU36" s="3"/>
      <c r="AV36" s="3"/>
      <c r="AW36" s="3"/>
      <c r="AX36" s="3"/>
      <c r="AY36" s="3"/>
      <c r="AZ36" s="3">
        <v>0</v>
      </c>
      <c r="BA36" s="3"/>
      <c r="BB36" s="3"/>
      <c r="BC36" s="3"/>
      <c r="BD36" s="3"/>
      <c r="BE36" s="4">
        <v>47270</v>
      </c>
      <c r="BF36" s="4">
        <v>47422</v>
      </c>
      <c r="BG36" s="4">
        <v>47787</v>
      </c>
      <c r="BH36" s="3">
        <v>12</v>
      </c>
      <c r="BI36" s="4">
        <v>47422</v>
      </c>
      <c r="BJ36" s="4">
        <v>47542</v>
      </c>
      <c r="BK36" s="3">
        <v>3.9</v>
      </c>
      <c r="BL36" s="4">
        <v>47422</v>
      </c>
      <c r="BM36" s="4">
        <v>47787</v>
      </c>
      <c r="BN36" s="3">
        <v>12</v>
      </c>
      <c r="BO36" s="4">
        <v>47695</v>
      </c>
      <c r="BP36" s="4">
        <v>47422</v>
      </c>
      <c r="BQ36" s="3">
        <v>9</v>
      </c>
      <c r="BR36" s="4">
        <v>47422</v>
      </c>
      <c r="BS36" s="4">
        <v>47787</v>
      </c>
      <c r="BT36" s="3">
        <v>12</v>
      </c>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row>
    <row r="37" spans="1:105" ht="15" customHeight="1" x14ac:dyDescent="0.2">
      <c r="A37" s="5" t="s">
        <v>1840</v>
      </c>
      <c r="B37" s="5" t="s">
        <v>1841</v>
      </c>
      <c r="C37" s="5" t="s">
        <v>1842</v>
      </c>
      <c r="D37" s="5" t="s">
        <v>1843</v>
      </c>
      <c r="E37" s="5" t="s">
        <v>1843</v>
      </c>
      <c r="F37" s="5"/>
      <c r="G37" s="5" t="s">
        <v>110</v>
      </c>
      <c r="H37" s="5"/>
      <c r="I37" s="5" t="s">
        <v>181</v>
      </c>
      <c r="J37" s="5" t="s">
        <v>1494</v>
      </c>
      <c r="K37" s="5" t="s">
        <v>114</v>
      </c>
      <c r="L37" s="5" t="s">
        <v>114</v>
      </c>
      <c r="M37" s="5" t="s">
        <v>114</v>
      </c>
      <c r="N37" s="5" t="s">
        <v>114</v>
      </c>
      <c r="O37" s="5" t="s">
        <v>114</v>
      </c>
      <c r="P37" s="5"/>
      <c r="Q37" s="5" t="s">
        <v>1844</v>
      </c>
      <c r="R37" s="5"/>
      <c r="S37" s="5" t="s">
        <v>1845</v>
      </c>
      <c r="T37" s="5" t="s">
        <v>1846</v>
      </c>
      <c r="U37" s="5" t="s">
        <v>120</v>
      </c>
      <c r="V37" s="5" t="s">
        <v>119</v>
      </c>
      <c r="W37" s="5" t="s">
        <v>120</v>
      </c>
      <c r="X37" s="5" t="s">
        <v>694</v>
      </c>
      <c r="Y37" s="5" t="s">
        <v>278</v>
      </c>
      <c r="Z37" s="5" t="s">
        <v>119</v>
      </c>
      <c r="AA37" s="5"/>
      <c r="AB37" s="5" t="s">
        <v>122</v>
      </c>
      <c r="AC37" s="5" t="s">
        <v>217</v>
      </c>
      <c r="AD37" s="5" t="s">
        <v>1847</v>
      </c>
      <c r="AE37" s="5"/>
      <c r="AF37" s="5"/>
      <c r="AG37" s="5" t="s">
        <v>358</v>
      </c>
      <c r="AH37" s="5"/>
      <c r="AI37" s="5"/>
      <c r="AJ37" s="5"/>
      <c r="AK37" s="5"/>
      <c r="AL37" s="5"/>
      <c r="AM37" s="5">
        <v>0</v>
      </c>
      <c r="AN37" s="5"/>
      <c r="AO37" s="5"/>
      <c r="AP37" s="5"/>
      <c r="AQ37" s="5"/>
      <c r="AR37" s="5"/>
      <c r="AS37" s="5">
        <v>0</v>
      </c>
      <c r="AT37" s="5"/>
      <c r="AU37" s="5"/>
      <c r="AV37" s="5"/>
      <c r="AW37" s="5"/>
      <c r="AX37" s="5"/>
      <c r="AY37" s="5"/>
      <c r="AZ37" s="5">
        <v>0</v>
      </c>
      <c r="BA37" s="5"/>
      <c r="BB37" s="5"/>
      <c r="BC37" s="5"/>
      <c r="BD37" s="5"/>
      <c r="BE37" s="6">
        <v>47239</v>
      </c>
      <c r="BF37" s="6">
        <v>47391</v>
      </c>
      <c r="BG37" s="6">
        <v>47664</v>
      </c>
      <c r="BH37" s="5">
        <v>9</v>
      </c>
      <c r="BI37" s="6">
        <v>47391</v>
      </c>
      <c r="BJ37" s="6">
        <v>47573</v>
      </c>
      <c r="BK37" s="5">
        <v>6</v>
      </c>
      <c r="BL37" s="5"/>
      <c r="BM37" s="5"/>
      <c r="BN37" s="5"/>
      <c r="BO37" s="5"/>
      <c r="BP37" s="5"/>
      <c r="BQ37" s="5"/>
      <c r="BR37" s="6">
        <v>47391</v>
      </c>
      <c r="BS37" s="6">
        <v>47664</v>
      </c>
      <c r="BT37" s="5">
        <v>9</v>
      </c>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row>
    <row r="38" spans="1:105" ht="15" customHeight="1" x14ac:dyDescent="0.2">
      <c r="A38" s="3" t="s">
        <v>1848</v>
      </c>
      <c r="B38" s="3" t="s">
        <v>1849</v>
      </c>
      <c r="C38" s="3" t="s">
        <v>1849</v>
      </c>
      <c r="D38" s="3" t="s">
        <v>1850</v>
      </c>
      <c r="E38" s="3" t="s">
        <v>1850</v>
      </c>
      <c r="F38" s="3"/>
      <c r="G38" s="3" t="s">
        <v>110</v>
      </c>
      <c r="H38" s="3"/>
      <c r="I38" s="3"/>
      <c r="J38" s="3" t="s">
        <v>1494</v>
      </c>
      <c r="K38" s="3" t="s">
        <v>114</v>
      </c>
      <c r="L38" s="3" t="s">
        <v>114</v>
      </c>
      <c r="M38" s="3" t="s">
        <v>114</v>
      </c>
      <c r="N38" s="3" t="s">
        <v>114</v>
      </c>
      <c r="O38" s="3" t="s">
        <v>114</v>
      </c>
      <c r="P38" s="3"/>
      <c r="Q38" s="3" t="s">
        <v>1851</v>
      </c>
      <c r="R38" s="3"/>
      <c r="S38" s="3" t="s">
        <v>1480</v>
      </c>
      <c r="T38" s="3" t="s">
        <v>1852</v>
      </c>
      <c r="U38" s="3" t="s">
        <v>119</v>
      </c>
      <c r="V38" s="3" t="s">
        <v>119</v>
      </c>
      <c r="W38" s="3" t="s">
        <v>120</v>
      </c>
      <c r="X38" s="3"/>
      <c r="Y38" s="3"/>
      <c r="Z38" s="3" t="s">
        <v>119</v>
      </c>
      <c r="AA38" s="3"/>
      <c r="AB38" s="3" t="s">
        <v>122</v>
      </c>
      <c r="AC38" s="3" t="s">
        <v>217</v>
      </c>
      <c r="AD38" s="3" t="s">
        <v>145</v>
      </c>
      <c r="AE38" s="3"/>
      <c r="AF38" s="3"/>
      <c r="AG38" s="3" t="s">
        <v>127</v>
      </c>
      <c r="AH38" s="3"/>
      <c r="AI38" s="3"/>
      <c r="AJ38" s="3"/>
      <c r="AK38" s="3"/>
      <c r="AL38" s="3"/>
      <c r="AM38" s="3">
        <v>0</v>
      </c>
      <c r="AN38" s="3"/>
      <c r="AO38" s="3"/>
      <c r="AP38" s="3"/>
      <c r="AQ38" s="3"/>
      <c r="AR38" s="3"/>
      <c r="AS38" s="3">
        <v>0</v>
      </c>
      <c r="AT38" s="3"/>
      <c r="AU38" s="3"/>
      <c r="AV38" s="3"/>
      <c r="AW38" s="3"/>
      <c r="AX38" s="3"/>
      <c r="AY38" s="3"/>
      <c r="AZ38" s="3">
        <v>0</v>
      </c>
      <c r="BA38" s="3"/>
      <c r="BB38" s="3"/>
      <c r="BC38" s="3"/>
      <c r="BD38" s="3"/>
      <c r="BE38" s="4">
        <v>47270</v>
      </c>
      <c r="BF38" s="4">
        <v>47422</v>
      </c>
      <c r="BG38" s="4">
        <v>47787</v>
      </c>
      <c r="BH38" s="3">
        <v>12</v>
      </c>
      <c r="BI38" s="4">
        <v>47422</v>
      </c>
      <c r="BJ38" s="4">
        <v>47603</v>
      </c>
      <c r="BK38" s="3">
        <v>5.9</v>
      </c>
      <c r="BL38" s="4">
        <v>47422</v>
      </c>
      <c r="BM38" s="4">
        <v>47787</v>
      </c>
      <c r="BN38" s="3">
        <v>12</v>
      </c>
      <c r="BO38" s="3"/>
      <c r="BP38" s="3"/>
      <c r="BQ38" s="3"/>
      <c r="BR38" s="4">
        <v>47422</v>
      </c>
      <c r="BS38" s="4">
        <v>47787</v>
      </c>
      <c r="BT38" s="3">
        <v>12</v>
      </c>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row>
    <row r="39" spans="1:105" ht="15" customHeight="1" x14ac:dyDescent="0.2">
      <c r="A39" s="5" t="s">
        <v>1853</v>
      </c>
      <c r="B39" s="5" t="s">
        <v>1854</v>
      </c>
      <c r="C39" s="5" t="s">
        <v>1854</v>
      </c>
      <c r="D39" s="5" t="s">
        <v>1855</v>
      </c>
      <c r="E39" s="5" t="s">
        <v>1855</v>
      </c>
      <c r="F39" s="5" t="s">
        <v>1855</v>
      </c>
      <c r="G39" s="5" t="s">
        <v>110</v>
      </c>
      <c r="H39" s="5" t="s">
        <v>259</v>
      </c>
      <c r="I39" s="5" t="s">
        <v>181</v>
      </c>
      <c r="J39" s="5" t="s">
        <v>1494</v>
      </c>
      <c r="K39" s="5" t="s">
        <v>114</v>
      </c>
      <c r="L39" s="5" t="s">
        <v>114</v>
      </c>
      <c r="M39" s="5" t="s">
        <v>114</v>
      </c>
      <c r="N39" s="5" t="s">
        <v>114</v>
      </c>
      <c r="O39" s="5" t="s">
        <v>114</v>
      </c>
      <c r="P39" s="5" t="s">
        <v>114</v>
      </c>
      <c r="Q39" s="5" t="s">
        <v>1856</v>
      </c>
      <c r="R39" s="5"/>
      <c r="S39" s="5" t="s">
        <v>1857</v>
      </c>
      <c r="T39" s="5" t="s">
        <v>1858</v>
      </c>
      <c r="U39" s="5" t="s">
        <v>119</v>
      </c>
      <c r="V39" s="5" t="s">
        <v>119</v>
      </c>
      <c r="W39" s="5" t="s">
        <v>120</v>
      </c>
      <c r="X39" s="5" t="s">
        <v>388</v>
      </c>
      <c r="Y39" s="5" t="s">
        <v>1523</v>
      </c>
      <c r="Z39" s="5" t="s">
        <v>119</v>
      </c>
      <c r="AA39" s="5" t="s">
        <v>163</v>
      </c>
      <c r="AB39" s="5" t="s">
        <v>122</v>
      </c>
      <c r="AC39" s="5" t="s">
        <v>217</v>
      </c>
      <c r="AD39" s="5" t="s">
        <v>145</v>
      </c>
      <c r="AE39" s="5" t="s">
        <v>1859</v>
      </c>
      <c r="AF39" s="5" t="s">
        <v>1860</v>
      </c>
      <c r="AG39" s="5" t="s">
        <v>148</v>
      </c>
      <c r="AH39" s="5"/>
      <c r="AI39" s="5"/>
      <c r="AJ39" s="5"/>
      <c r="AK39" s="5"/>
      <c r="AL39" s="5"/>
      <c r="AM39" s="5">
        <v>0</v>
      </c>
      <c r="AN39" s="5"/>
      <c r="AO39" s="5"/>
      <c r="AP39" s="5"/>
      <c r="AQ39" s="5"/>
      <c r="AR39" s="5"/>
      <c r="AS39" s="5">
        <v>0</v>
      </c>
      <c r="AT39" s="5"/>
      <c r="AU39" s="5"/>
      <c r="AV39" s="5"/>
      <c r="AW39" s="5"/>
      <c r="AX39" s="5"/>
      <c r="AY39" s="5"/>
      <c r="AZ39" s="5">
        <v>0</v>
      </c>
      <c r="BA39" s="5"/>
      <c r="BB39" s="5" t="s">
        <v>1861</v>
      </c>
      <c r="BC39" s="5">
        <v>442</v>
      </c>
      <c r="BD39" s="6">
        <v>46174</v>
      </c>
      <c r="BE39" s="6">
        <v>47270</v>
      </c>
      <c r="BF39" s="6">
        <v>47422</v>
      </c>
      <c r="BG39" s="6">
        <v>47787</v>
      </c>
      <c r="BH39" s="5">
        <v>12</v>
      </c>
      <c r="BI39" s="6">
        <v>47422</v>
      </c>
      <c r="BJ39" s="6">
        <v>47603</v>
      </c>
      <c r="BK39" s="5">
        <v>5.9</v>
      </c>
      <c r="BL39" s="6">
        <v>47422</v>
      </c>
      <c r="BM39" s="6">
        <v>47787</v>
      </c>
      <c r="BN39" s="5">
        <v>12</v>
      </c>
      <c r="BO39" s="6">
        <v>47695</v>
      </c>
      <c r="BP39" s="6">
        <v>47422</v>
      </c>
      <c r="BQ39" s="5">
        <v>9</v>
      </c>
      <c r="BR39" s="6">
        <v>47422</v>
      </c>
      <c r="BS39" s="6">
        <v>47787</v>
      </c>
      <c r="BT39" s="5">
        <v>12</v>
      </c>
      <c r="BU39" s="5"/>
      <c r="BV39" s="5" t="s">
        <v>1862</v>
      </c>
      <c r="BW39" s="5" t="s">
        <v>1863</v>
      </c>
      <c r="BX39" s="6">
        <v>47270</v>
      </c>
      <c r="BY39" s="6">
        <v>47453</v>
      </c>
      <c r="BZ39" s="5" t="s">
        <v>136</v>
      </c>
      <c r="CA39" s="5" t="s">
        <v>191</v>
      </c>
      <c r="CB39" s="5"/>
      <c r="CC39" s="5" t="s">
        <v>1864</v>
      </c>
      <c r="CD39" s="5"/>
      <c r="CE39" s="5"/>
      <c r="CF39" s="5"/>
      <c r="CG39" s="5"/>
      <c r="CH39" s="5"/>
      <c r="CI39" s="5"/>
      <c r="CJ39" s="5"/>
      <c r="CK39" s="5"/>
      <c r="CL39" s="5"/>
      <c r="CM39" s="5"/>
      <c r="CN39" s="5"/>
      <c r="CO39" s="5"/>
      <c r="CP39" s="5"/>
      <c r="CQ39" s="5"/>
      <c r="CR39" s="5"/>
      <c r="CS39" s="5"/>
      <c r="CT39" s="5"/>
      <c r="CU39" s="5"/>
      <c r="CV39" s="5"/>
      <c r="CW39" s="5"/>
      <c r="CX39" s="5"/>
      <c r="CY39" s="5"/>
      <c r="CZ39" s="5"/>
      <c r="DA39" s="5"/>
    </row>
    <row r="40" spans="1:105" ht="15" customHeight="1" x14ac:dyDescent="0.2">
      <c r="A40" s="3" t="s">
        <v>1853</v>
      </c>
      <c r="B40" s="3" t="s">
        <v>1854</v>
      </c>
      <c r="C40" s="3" t="s">
        <v>1854</v>
      </c>
      <c r="D40" s="3" t="s">
        <v>1855</v>
      </c>
      <c r="E40" s="3" t="s">
        <v>1855</v>
      </c>
      <c r="F40" s="3" t="s">
        <v>1855</v>
      </c>
      <c r="G40" s="3" t="s">
        <v>110</v>
      </c>
      <c r="H40" s="3" t="s">
        <v>111</v>
      </c>
      <c r="I40" s="3" t="s">
        <v>544</v>
      </c>
      <c r="J40" s="3" t="s">
        <v>1494</v>
      </c>
      <c r="K40" s="3" t="s">
        <v>114</v>
      </c>
      <c r="L40" s="3" t="s">
        <v>114</v>
      </c>
      <c r="M40" s="3" t="s">
        <v>114</v>
      </c>
      <c r="N40" s="3" t="s">
        <v>114</v>
      </c>
      <c r="O40" s="3" t="s">
        <v>114</v>
      </c>
      <c r="P40" s="3" t="s">
        <v>114</v>
      </c>
      <c r="Q40" s="3" t="s">
        <v>1865</v>
      </c>
      <c r="R40" s="3" t="s">
        <v>1866</v>
      </c>
      <c r="S40" s="3" t="s">
        <v>1857</v>
      </c>
      <c r="T40" s="3"/>
      <c r="U40" s="3" t="s">
        <v>119</v>
      </c>
      <c r="V40" s="3" t="s">
        <v>119</v>
      </c>
      <c r="W40" s="3" t="s">
        <v>120</v>
      </c>
      <c r="X40" s="3"/>
      <c r="Y40" s="3"/>
      <c r="Z40" s="3" t="s">
        <v>119</v>
      </c>
      <c r="AA40" s="3" t="s">
        <v>163</v>
      </c>
      <c r="AB40" s="3" t="s">
        <v>122</v>
      </c>
      <c r="AC40" s="3" t="s">
        <v>217</v>
      </c>
      <c r="AD40" s="3" t="s">
        <v>145</v>
      </c>
      <c r="AE40" s="3" t="s">
        <v>1867</v>
      </c>
      <c r="AF40" s="3" t="s">
        <v>1523</v>
      </c>
      <c r="AG40" s="3" t="s">
        <v>148</v>
      </c>
      <c r="AH40" s="3" t="s">
        <v>1868</v>
      </c>
      <c r="AI40" s="3" t="s">
        <v>1868</v>
      </c>
      <c r="AJ40" s="3"/>
      <c r="AK40" s="3" t="s">
        <v>1869</v>
      </c>
      <c r="AL40" s="3"/>
      <c r="AM40" s="3">
        <v>5</v>
      </c>
      <c r="AN40" s="3" t="s">
        <v>1870</v>
      </c>
      <c r="AO40" s="3"/>
      <c r="AP40" s="3" t="s">
        <v>1870</v>
      </c>
      <c r="AQ40" s="3"/>
      <c r="AR40" s="3" t="s">
        <v>1869</v>
      </c>
      <c r="AS40" s="3">
        <v>0.6</v>
      </c>
      <c r="AT40" s="3">
        <v>0.76</v>
      </c>
      <c r="AU40" s="3" t="s">
        <v>1871</v>
      </c>
      <c r="AV40" s="3" t="s">
        <v>1871</v>
      </c>
      <c r="AW40" s="3"/>
      <c r="AX40" s="3" t="s">
        <v>1872</v>
      </c>
      <c r="AY40" s="3"/>
      <c r="AZ40" s="3">
        <v>1.5</v>
      </c>
      <c r="BA40" s="3">
        <v>0.81</v>
      </c>
      <c r="BB40" s="3" t="s">
        <v>132</v>
      </c>
      <c r="BC40" s="3">
        <v>559</v>
      </c>
      <c r="BD40" s="4">
        <v>42339</v>
      </c>
      <c r="BE40" s="4">
        <v>44409</v>
      </c>
      <c r="BF40" s="4">
        <v>47422</v>
      </c>
      <c r="BG40" s="4">
        <v>47787</v>
      </c>
      <c r="BH40" s="3">
        <v>12</v>
      </c>
      <c r="BI40" s="4">
        <v>47422</v>
      </c>
      <c r="BJ40" s="4">
        <v>47603</v>
      </c>
      <c r="BK40" s="3">
        <v>5.9</v>
      </c>
      <c r="BL40" s="4">
        <v>47422</v>
      </c>
      <c r="BM40" s="4">
        <v>47787</v>
      </c>
      <c r="BN40" s="3">
        <v>12</v>
      </c>
      <c r="BO40" s="4">
        <v>47695</v>
      </c>
      <c r="BP40" s="4">
        <v>47422</v>
      </c>
      <c r="BQ40" s="3">
        <v>9</v>
      </c>
      <c r="BR40" s="4">
        <v>47422</v>
      </c>
      <c r="BS40" s="4">
        <v>47787</v>
      </c>
      <c r="BT40" s="3">
        <v>12</v>
      </c>
      <c r="BU40" s="3" t="s">
        <v>1873</v>
      </c>
      <c r="BV40" s="3" t="s">
        <v>1874</v>
      </c>
      <c r="BW40" s="3" t="s">
        <v>1875</v>
      </c>
      <c r="BX40" s="4">
        <v>44278</v>
      </c>
      <c r="BY40" s="4">
        <v>44339</v>
      </c>
      <c r="BZ40" s="3" t="s">
        <v>136</v>
      </c>
      <c r="CA40" s="3" t="s">
        <v>1115</v>
      </c>
      <c r="CB40" s="3"/>
      <c r="CC40" s="3" t="s">
        <v>1876</v>
      </c>
      <c r="CD40" s="3" t="s">
        <v>1877</v>
      </c>
      <c r="CE40" s="3"/>
      <c r="CF40" s="3"/>
      <c r="CG40" s="3"/>
      <c r="CH40" s="3"/>
      <c r="CI40" s="3"/>
      <c r="CJ40" s="3"/>
      <c r="CK40" s="3"/>
      <c r="CL40" s="3"/>
      <c r="CM40" s="3"/>
      <c r="CN40" s="3"/>
      <c r="CO40" s="3"/>
      <c r="CP40" s="3"/>
      <c r="CQ40" s="3"/>
      <c r="CR40" s="3"/>
      <c r="CS40" s="3"/>
      <c r="CT40" s="3"/>
      <c r="CU40" s="3"/>
      <c r="CV40" s="3"/>
      <c r="CW40" s="3"/>
      <c r="CX40" s="3"/>
      <c r="CY40" s="3"/>
      <c r="CZ40" s="3"/>
      <c r="DA40" s="3"/>
    </row>
    <row r="41" spans="1:105" ht="15" customHeight="1" x14ac:dyDescent="0.2">
      <c r="A41" s="5" t="s">
        <v>1878</v>
      </c>
      <c r="B41" s="5" t="s">
        <v>1879</v>
      </c>
      <c r="C41" s="5" t="s">
        <v>1879</v>
      </c>
      <c r="D41" s="5" t="s">
        <v>1880</v>
      </c>
      <c r="E41" s="5" t="s">
        <v>1880</v>
      </c>
      <c r="F41" s="5"/>
      <c r="G41" s="5" t="s">
        <v>110</v>
      </c>
      <c r="H41" s="5"/>
      <c r="I41" s="5"/>
      <c r="J41" s="5" t="s">
        <v>1494</v>
      </c>
      <c r="K41" s="5" t="s">
        <v>114</v>
      </c>
      <c r="L41" s="5" t="s">
        <v>114</v>
      </c>
      <c r="M41" s="5" t="s">
        <v>114</v>
      </c>
      <c r="N41" s="5" t="s">
        <v>114</v>
      </c>
      <c r="O41" s="5" t="s">
        <v>114</v>
      </c>
      <c r="P41" s="5"/>
      <c r="Q41" s="5" t="s">
        <v>1881</v>
      </c>
      <c r="R41" s="5"/>
      <c r="S41" s="5" t="s">
        <v>1882</v>
      </c>
      <c r="T41" s="5" t="s">
        <v>1317</v>
      </c>
      <c r="U41" s="5" t="s">
        <v>119</v>
      </c>
      <c r="V41" s="5" t="s">
        <v>119</v>
      </c>
      <c r="W41" s="5" t="s">
        <v>120</v>
      </c>
      <c r="X41" s="5"/>
      <c r="Y41" s="5"/>
      <c r="Z41" s="5" t="s">
        <v>119</v>
      </c>
      <c r="AA41" s="5"/>
      <c r="AB41" s="5" t="s">
        <v>122</v>
      </c>
      <c r="AC41" s="5" t="s">
        <v>217</v>
      </c>
      <c r="AD41" s="5" t="s">
        <v>1883</v>
      </c>
      <c r="AE41" s="5"/>
      <c r="AF41" s="5"/>
      <c r="AG41" s="5" t="s">
        <v>127</v>
      </c>
      <c r="AH41" s="5"/>
      <c r="AI41" s="5"/>
      <c r="AJ41" s="5"/>
      <c r="AK41" s="5"/>
      <c r="AL41" s="5"/>
      <c r="AM41" s="5">
        <v>0</v>
      </c>
      <c r="AN41" s="5"/>
      <c r="AO41" s="5"/>
      <c r="AP41" s="5"/>
      <c r="AQ41" s="5"/>
      <c r="AR41" s="5"/>
      <c r="AS41" s="5">
        <v>0</v>
      </c>
      <c r="AT41" s="5"/>
      <c r="AU41" s="5"/>
      <c r="AV41" s="5"/>
      <c r="AW41" s="5"/>
      <c r="AX41" s="5"/>
      <c r="AY41" s="5"/>
      <c r="AZ41" s="5">
        <v>0</v>
      </c>
      <c r="BA41" s="5"/>
      <c r="BB41" s="5"/>
      <c r="BC41" s="5"/>
      <c r="BD41" s="5"/>
      <c r="BE41" s="6">
        <v>47391</v>
      </c>
      <c r="BF41" s="6">
        <v>47514</v>
      </c>
      <c r="BG41" s="6">
        <v>47787</v>
      </c>
      <c r="BH41" s="5">
        <v>9</v>
      </c>
      <c r="BI41" s="6">
        <v>47514</v>
      </c>
      <c r="BJ41" s="6">
        <v>47695</v>
      </c>
      <c r="BK41" s="5">
        <v>5.9</v>
      </c>
      <c r="BL41" s="6">
        <v>47514</v>
      </c>
      <c r="BM41" s="6">
        <v>47879</v>
      </c>
      <c r="BN41" s="5">
        <v>12</v>
      </c>
      <c r="BO41" s="6">
        <v>47787</v>
      </c>
      <c r="BP41" s="6">
        <v>47514</v>
      </c>
      <c r="BQ41" s="5">
        <v>9</v>
      </c>
      <c r="BR41" s="6">
        <v>47514</v>
      </c>
      <c r="BS41" s="6">
        <v>47787</v>
      </c>
      <c r="BT41" s="5">
        <v>9</v>
      </c>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row>
    <row r="42" spans="1:105" ht="15" customHeight="1" x14ac:dyDescent="0.2">
      <c r="A42" s="3" t="s">
        <v>1307</v>
      </c>
      <c r="B42" s="3" t="s">
        <v>1308</v>
      </c>
      <c r="C42" s="3" t="s">
        <v>1308</v>
      </c>
      <c r="D42" s="3" t="s">
        <v>1309</v>
      </c>
      <c r="E42" s="3" t="s">
        <v>1309</v>
      </c>
      <c r="F42" s="3"/>
      <c r="G42" s="3" t="s">
        <v>110</v>
      </c>
      <c r="H42" s="3"/>
      <c r="I42" s="3"/>
      <c r="J42" s="3" t="s">
        <v>1494</v>
      </c>
      <c r="K42" s="3" t="s">
        <v>114</v>
      </c>
      <c r="L42" s="3" t="s">
        <v>114</v>
      </c>
      <c r="M42" s="3" t="s">
        <v>114</v>
      </c>
      <c r="N42" s="3" t="s">
        <v>114</v>
      </c>
      <c r="O42" s="3" t="s">
        <v>114</v>
      </c>
      <c r="P42" s="3"/>
      <c r="Q42" s="3" t="s">
        <v>1884</v>
      </c>
      <c r="R42" s="3"/>
      <c r="S42" s="3" t="s">
        <v>161</v>
      </c>
      <c r="T42" s="3" t="s">
        <v>162</v>
      </c>
      <c r="U42" s="3" t="s">
        <v>119</v>
      </c>
      <c r="V42" s="3" t="s">
        <v>119</v>
      </c>
      <c r="W42" s="3" t="s">
        <v>120</v>
      </c>
      <c r="X42" s="3"/>
      <c r="Y42" s="3"/>
      <c r="Z42" s="3" t="s">
        <v>119</v>
      </c>
      <c r="AA42" s="3"/>
      <c r="AB42" s="3" t="s">
        <v>122</v>
      </c>
      <c r="AC42" s="3" t="s">
        <v>217</v>
      </c>
      <c r="AD42" s="3" t="s">
        <v>145</v>
      </c>
      <c r="AE42" s="3"/>
      <c r="AF42" s="3"/>
      <c r="AG42" s="3" t="s">
        <v>127</v>
      </c>
      <c r="AH42" s="3"/>
      <c r="AI42" s="3"/>
      <c r="AJ42" s="3"/>
      <c r="AK42" s="3"/>
      <c r="AL42" s="3"/>
      <c r="AM42" s="3">
        <v>0</v>
      </c>
      <c r="AN42" s="3"/>
      <c r="AO42" s="3"/>
      <c r="AP42" s="3"/>
      <c r="AQ42" s="3"/>
      <c r="AR42" s="3"/>
      <c r="AS42" s="3">
        <v>0</v>
      </c>
      <c r="AT42" s="3"/>
      <c r="AU42" s="3"/>
      <c r="AV42" s="3"/>
      <c r="AW42" s="3"/>
      <c r="AX42" s="3"/>
      <c r="AY42" s="3"/>
      <c r="AZ42" s="3">
        <v>0</v>
      </c>
      <c r="BA42" s="3"/>
      <c r="BB42" s="3"/>
      <c r="BC42" s="3"/>
      <c r="BD42" s="3"/>
      <c r="BE42" s="4">
        <v>47453</v>
      </c>
      <c r="BF42" s="4">
        <v>47603</v>
      </c>
      <c r="BG42" s="4">
        <v>47879</v>
      </c>
      <c r="BH42" s="3">
        <v>9</v>
      </c>
      <c r="BI42" s="4">
        <v>47603</v>
      </c>
      <c r="BJ42" s="4">
        <v>47787</v>
      </c>
      <c r="BK42" s="3">
        <v>6</v>
      </c>
      <c r="BL42" s="3"/>
      <c r="BM42" s="3"/>
      <c r="BN42" s="3"/>
      <c r="BO42" s="3"/>
      <c r="BP42" s="3"/>
      <c r="BQ42" s="3"/>
      <c r="BR42" s="4">
        <v>47603</v>
      </c>
      <c r="BS42" s="4">
        <v>47879</v>
      </c>
      <c r="BT42" s="3">
        <v>9</v>
      </c>
      <c r="BU42" s="3"/>
      <c r="BV42" s="3"/>
      <c r="BW42" s="3"/>
      <c r="BX42" s="3"/>
      <c r="BY42" s="3"/>
      <c r="BZ42" s="3"/>
      <c r="CA42" s="3"/>
      <c r="CB42" s="3" t="s">
        <v>232</v>
      </c>
      <c r="CC42" s="3"/>
      <c r="CD42" s="3"/>
      <c r="CE42" s="3"/>
      <c r="CF42" s="3"/>
      <c r="CG42" s="3"/>
      <c r="CH42" s="3"/>
      <c r="CI42" s="3"/>
      <c r="CJ42" s="3"/>
      <c r="CK42" s="3"/>
      <c r="CL42" s="3"/>
      <c r="CM42" s="3"/>
      <c r="CN42" s="3"/>
      <c r="CO42" s="3"/>
      <c r="CP42" s="3"/>
      <c r="CQ42" s="3"/>
      <c r="CR42" s="3"/>
      <c r="CS42" s="3"/>
      <c r="CT42" s="3"/>
      <c r="CU42" s="3"/>
      <c r="CV42" s="3"/>
      <c r="CW42" s="3"/>
      <c r="CX42" s="3"/>
      <c r="CY42" s="3"/>
      <c r="CZ42" s="3"/>
      <c r="DA42" s="3"/>
    </row>
    <row r="43" spans="1:105" ht="15" customHeight="1" x14ac:dyDescent="0.2">
      <c r="A43" s="5" t="s">
        <v>1242</v>
      </c>
      <c r="B43" s="5" t="s">
        <v>1243</v>
      </c>
      <c r="C43" s="5" t="s">
        <v>1243</v>
      </c>
      <c r="D43" s="5" t="s">
        <v>1244</v>
      </c>
      <c r="E43" s="5" t="s">
        <v>1244</v>
      </c>
      <c r="F43" s="5"/>
      <c r="G43" s="5" t="s">
        <v>110</v>
      </c>
      <c r="H43" s="5"/>
      <c r="I43" s="5" t="s">
        <v>181</v>
      </c>
      <c r="J43" s="5" t="s">
        <v>1494</v>
      </c>
      <c r="K43" s="5" t="s">
        <v>114</v>
      </c>
      <c r="L43" s="5" t="s">
        <v>114</v>
      </c>
      <c r="M43" s="5" t="s">
        <v>114</v>
      </c>
      <c r="N43" s="5" t="s">
        <v>114</v>
      </c>
      <c r="O43" s="5" t="s">
        <v>114</v>
      </c>
      <c r="P43" s="5"/>
      <c r="Q43" s="5" t="s">
        <v>1885</v>
      </c>
      <c r="R43" s="5"/>
      <c r="S43" s="5" t="s">
        <v>1246</v>
      </c>
      <c r="T43" s="5" t="s">
        <v>355</v>
      </c>
      <c r="U43" s="5" t="s">
        <v>120</v>
      </c>
      <c r="V43" s="5" t="s">
        <v>119</v>
      </c>
      <c r="W43" s="5" t="s">
        <v>120</v>
      </c>
      <c r="X43" s="5"/>
      <c r="Y43" s="5"/>
      <c r="Z43" s="5" t="s">
        <v>119</v>
      </c>
      <c r="AA43" s="5"/>
      <c r="AB43" s="5" t="s">
        <v>122</v>
      </c>
      <c r="AC43" s="5" t="s">
        <v>217</v>
      </c>
      <c r="AD43" s="5" t="s">
        <v>838</v>
      </c>
      <c r="AE43" s="5"/>
      <c r="AF43" s="5"/>
      <c r="AG43" s="5" t="s">
        <v>127</v>
      </c>
      <c r="AH43" s="5"/>
      <c r="AI43" s="5"/>
      <c r="AJ43" s="5"/>
      <c r="AK43" s="5"/>
      <c r="AL43" s="5"/>
      <c r="AM43" s="5">
        <v>0</v>
      </c>
      <c r="AN43" s="5"/>
      <c r="AO43" s="5"/>
      <c r="AP43" s="5"/>
      <c r="AQ43" s="5"/>
      <c r="AR43" s="5"/>
      <c r="AS43" s="5">
        <v>0</v>
      </c>
      <c r="AT43" s="5"/>
      <c r="AU43" s="5"/>
      <c r="AV43" s="5"/>
      <c r="AW43" s="5"/>
      <c r="AX43" s="5"/>
      <c r="AY43" s="5"/>
      <c r="AZ43" s="5">
        <v>0</v>
      </c>
      <c r="BA43" s="5"/>
      <c r="BB43" s="5"/>
      <c r="BC43" s="5"/>
      <c r="BD43" s="5"/>
      <c r="BE43" s="6">
        <v>47453</v>
      </c>
      <c r="BF43" s="6">
        <v>47603</v>
      </c>
      <c r="BG43" s="6">
        <v>47968</v>
      </c>
      <c r="BH43" s="5">
        <v>12</v>
      </c>
      <c r="BI43" s="6">
        <v>47603</v>
      </c>
      <c r="BJ43" s="6">
        <v>47787</v>
      </c>
      <c r="BK43" s="5">
        <v>6</v>
      </c>
      <c r="BL43" s="6">
        <v>47603</v>
      </c>
      <c r="BM43" s="6">
        <v>47968</v>
      </c>
      <c r="BN43" s="5">
        <v>12</v>
      </c>
      <c r="BO43" s="6">
        <v>47879</v>
      </c>
      <c r="BP43" s="6">
        <v>47603</v>
      </c>
      <c r="BQ43" s="5">
        <v>9</v>
      </c>
      <c r="BR43" s="6">
        <v>47603</v>
      </c>
      <c r="BS43" s="6">
        <v>47968</v>
      </c>
      <c r="BT43" s="5">
        <v>12</v>
      </c>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row>
    <row r="44" spans="1:105" ht="15" customHeight="1" x14ac:dyDescent="0.2">
      <c r="A44" s="3" t="s">
        <v>1242</v>
      </c>
      <c r="B44" s="3" t="s">
        <v>1243</v>
      </c>
      <c r="C44" s="3" t="s">
        <v>1243</v>
      </c>
      <c r="D44" s="3" t="s">
        <v>1244</v>
      </c>
      <c r="E44" s="3" t="s">
        <v>1244</v>
      </c>
      <c r="F44" s="3" t="s">
        <v>1244</v>
      </c>
      <c r="G44" s="3" t="s">
        <v>110</v>
      </c>
      <c r="H44" s="3" t="s">
        <v>572</v>
      </c>
      <c r="I44" s="3" t="s">
        <v>260</v>
      </c>
      <c r="J44" s="3" t="s">
        <v>1494</v>
      </c>
      <c r="K44" s="3" t="s">
        <v>114</v>
      </c>
      <c r="L44" s="3" t="s">
        <v>114</v>
      </c>
      <c r="M44" s="3" t="s">
        <v>114</v>
      </c>
      <c r="N44" s="3" t="s">
        <v>114</v>
      </c>
      <c r="O44" s="3" t="s">
        <v>114</v>
      </c>
      <c r="P44" s="3" t="s">
        <v>114</v>
      </c>
      <c r="Q44" s="3" t="s">
        <v>1886</v>
      </c>
      <c r="R44" s="3" t="s">
        <v>1887</v>
      </c>
      <c r="S44" s="3" t="s">
        <v>1246</v>
      </c>
      <c r="T44" s="3" t="s">
        <v>355</v>
      </c>
      <c r="U44" s="3" t="s">
        <v>120</v>
      </c>
      <c r="V44" s="3" t="s">
        <v>119</v>
      </c>
      <c r="W44" s="3" t="s">
        <v>120</v>
      </c>
      <c r="X44" s="3" t="s">
        <v>388</v>
      </c>
      <c r="Y44" s="3" t="s">
        <v>1888</v>
      </c>
      <c r="Z44" s="3" t="s">
        <v>119</v>
      </c>
      <c r="AA44" s="3"/>
      <c r="AB44" s="3" t="s">
        <v>122</v>
      </c>
      <c r="AC44" s="3" t="s">
        <v>217</v>
      </c>
      <c r="AD44" s="3" t="s">
        <v>838</v>
      </c>
      <c r="AE44" s="3" t="s">
        <v>1889</v>
      </c>
      <c r="AF44" s="3" t="s">
        <v>1523</v>
      </c>
      <c r="AG44" s="3" t="s">
        <v>358</v>
      </c>
      <c r="AH44" s="3"/>
      <c r="AI44" s="3"/>
      <c r="AJ44" s="3"/>
      <c r="AK44" s="3"/>
      <c r="AL44" s="3"/>
      <c r="AM44" s="3">
        <v>0</v>
      </c>
      <c r="AN44" s="3"/>
      <c r="AO44" s="3"/>
      <c r="AP44" s="3"/>
      <c r="AQ44" s="3"/>
      <c r="AR44" s="3"/>
      <c r="AS44" s="3">
        <v>0</v>
      </c>
      <c r="AT44" s="3"/>
      <c r="AU44" s="3"/>
      <c r="AV44" s="3"/>
      <c r="AW44" s="3"/>
      <c r="AX44" s="3"/>
      <c r="AY44" s="3"/>
      <c r="AZ44" s="3">
        <v>0</v>
      </c>
      <c r="BA44" s="3"/>
      <c r="BB44" s="3" t="s">
        <v>1861</v>
      </c>
      <c r="BC44" s="3">
        <v>671</v>
      </c>
      <c r="BD44" s="4">
        <v>46121</v>
      </c>
      <c r="BE44" s="4">
        <v>47484</v>
      </c>
      <c r="BF44" s="4">
        <v>47634</v>
      </c>
      <c r="BG44" s="4">
        <v>47999</v>
      </c>
      <c r="BH44" s="3">
        <v>12</v>
      </c>
      <c r="BI44" s="4">
        <v>47634</v>
      </c>
      <c r="BJ44" s="4">
        <v>47817</v>
      </c>
      <c r="BK44" s="3">
        <v>6</v>
      </c>
      <c r="BL44" s="4">
        <v>47634</v>
      </c>
      <c r="BM44" s="4">
        <v>47999</v>
      </c>
      <c r="BN44" s="3">
        <v>12</v>
      </c>
      <c r="BO44" s="4">
        <v>47907</v>
      </c>
      <c r="BP44" s="4">
        <v>47634</v>
      </c>
      <c r="BQ44" s="3">
        <v>9</v>
      </c>
      <c r="BR44" s="4">
        <v>47634</v>
      </c>
      <c r="BS44" s="4">
        <v>47999</v>
      </c>
      <c r="BT44" s="3">
        <v>12</v>
      </c>
      <c r="BU44" s="3" t="s">
        <v>1890</v>
      </c>
      <c r="BV44" s="3" t="s">
        <v>1891</v>
      </c>
      <c r="BW44" s="3" t="s">
        <v>1892</v>
      </c>
      <c r="BX44" s="4">
        <v>47498</v>
      </c>
      <c r="BY44" s="4">
        <v>47498</v>
      </c>
      <c r="BZ44" s="3" t="s">
        <v>136</v>
      </c>
      <c r="CA44" s="3" t="s">
        <v>137</v>
      </c>
      <c r="CB44" s="3"/>
      <c r="CC44" s="3"/>
      <c r="CD44" s="3" t="s">
        <v>1893</v>
      </c>
      <c r="CE44" s="3"/>
      <c r="CF44" s="3"/>
      <c r="CG44" s="3"/>
      <c r="CH44" s="3"/>
      <c r="CI44" s="3"/>
      <c r="CJ44" s="3"/>
      <c r="CK44" s="3"/>
      <c r="CL44" s="3"/>
      <c r="CM44" s="3"/>
      <c r="CN44" s="3"/>
      <c r="CO44" s="3"/>
      <c r="CP44" s="3"/>
      <c r="CQ44" s="3"/>
      <c r="CR44" s="3"/>
      <c r="CS44" s="3"/>
      <c r="CT44" s="3"/>
      <c r="CU44" s="3"/>
      <c r="CV44" s="3"/>
      <c r="CW44" s="3"/>
      <c r="CX44" s="3"/>
      <c r="CY44" s="3"/>
      <c r="CZ44" s="3"/>
      <c r="DA44" s="3"/>
    </row>
    <row r="45" spans="1:105" ht="15" customHeight="1" x14ac:dyDescent="0.2">
      <c r="A45" s="5" t="s">
        <v>1455</v>
      </c>
      <c r="B45" s="5" t="s">
        <v>1456</v>
      </c>
      <c r="C45" s="5" t="s">
        <v>1456</v>
      </c>
      <c r="D45" s="5" t="s">
        <v>1432</v>
      </c>
      <c r="E45" s="5" t="s">
        <v>1432</v>
      </c>
      <c r="F45" s="5" t="s">
        <v>1432</v>
      </c>
      <c r="G45" s="5" t="s">
        <v>110</v>
      </c>
      <c r="H45" s="5" t="s">
        <v>259</v>
      </c>
      <c r="I45" s="5" t="s">
        <v>181</v>
      </c>
      <c r="J45" s="5" t="s">
        <v>1494</v>
      </c>
      <c r="K45" s="5" t="s">
        <v>114</v>
      </c>
      <c r="L45" s="5" t="s">
        <v>114</v>
      </c>
      <c r="M45" s="5" t="s">
        <v>114</v>
      </c>
      <c r="N45" s="5" t="s">
        <v>114</v>
      </c>
      <c r="O45" s="5" t="s">
        <v>114</v>
      </c>
      <c r="P45" s="5" t="s">
        <v>114</v>
      </c>
      <c r="Q45" s="5" t="s">
        <v>1894</v>
      </c>
      <c r="R45" s="5" t="s">
        <v>1895</v>
      </c>
      <c r="S45" s="5" t="s">
        <v>1460</v>
      </c>
      <c r="T45" s="5" t="s">
        <v>1772</v>
      </c>
      <c r="U45" s="5" t="s">
        <v>119</v>
      </c>
      <c r="V45" s="5" t="s">
        <v>119</v>
      </c>
      <c r="W45" s="5" t="s">
        <v>120</v>
      </c>
      <c r="X45" s="5"/>
      <c r="Y45" s="5"/>
      <c r="Z45" s="5" t="s">
        <v>119</v>
      </c>
      <c r="AA45" s="5"/>
      <c r="AB45" s="5" t="s">
        <v>122</v>
      </c>
      <c r="AC45" s="5" t="s">
        <v>217</v>
      </c>
      <c r="AD45" s="5" t="s">
        <v>838</v>
      </c>
      <c r="AE45" s="5" t="s">
        <v>1896</v>
      </c>
      <c r="AF45" s="5" t="s">
        <v>1897</v>
      </c>
      <c r="AG45" s="5" t="s">
        <v>1057</v>
      </c>
      <c r="AH45" s="5"/>
      <c r="AI45" s="5"/>
      <c r="AJ45" s="5"/>
      <c r="AK45" s="5"/>
      <c r="AL45" s="5"/>
      <c r="AM45" s="5">
        <v>0</v>
      </c>
      <c r="AN45" s="5"/>
      <c r="AO45" s="5"/>
      <c r="AP45" s="5"/>
      <c r="AQ45" s="5"/>
      <c r="AR45" s="5"/>
      <c r="AS45" s="5">
        <v>0</v>
      </c>
      <c r="AT45" s="5"/>
      <c r="AU45" s="5"/>
      <c r="AV45" s="5"/>
      <c r="AW45" s="5"/>
      <c r="AX45" s="5"/>
      <c r="AY45" s="5"/>
      <c r="AZ45" s="5">
        <v>0</v>
      </c>
      <c r="BA45" s="5"/>
      <c r="BB45" s="5" t="s">
        <v>876</v>
      </c>
      <c r="BC45" s="5">
        <v>430</v>
      </c>
      <c r="BD45" s="6">
        <v>46001</v>
      </c>
      <c r="BE45" s="6">
        <v>47727</v>
      </c>
      <c r="BF45" s="6">
        <v>47879</v>
      </c>
      <c r="BG45" s="6">
        <v>48152</v>
      </c>
      <c r="BH45" s="5">
        <v>9</v>
      </c>
      <c r="BI45" s="6">
        <v>47879</v>
      </c>
      <c r="BJ45" s="6">
        <v>48060</v>
      </c>
      <c r="BK45" s="5">
        <v>5.9</v>
      </c>
      <c r="BL45" s="6">
        <v>47879</v>
      </c>
      <c r="BM45" s="6">
        <v>48244</v>
      </c>
      <c r="BN45" s="5">
        <v>12</v>
      </c>
      <c r="BO45" s="6">
        <v>48152</v>
      </c>
      <c r="BP45" s="6">
        <v>47879</v>
      </c>
      <c r="BQ45" s="5">
        <v>9</v>
      </c>
      <c r="BR45" s="6">
        <v>47879</v>
      </c>
      <c r="BS45" s="6">
        <v>48152</v>
      </c>
      <c r="BT45" s="5">
        <v>9</v>
      </c>
      <c r="BU45" s="5" t="s">
        <v>1898</v>
      </c>
      <c r="BV45" s="5" t="s">
        <v>1899</v>
      </c>
      <c r="BW45" s="5" t="s">
        <v>1900</v>
      </c>
      <c r="BX45" s="6">
        <v>47727</v>
      </c>
      <c r="BY45" s="6">
        <v>47727</v>
      </c>
      <c r="BZ45" s="5" t="s">
        <v>136</v>
      </c>
      <c r="CA45" s="5" t="s">
        <v>959</v>
      </c>
      <c r="CB45" s="5" t="s">
        <v>179</v>
      </c>
      <c r="CC45" s="5"/>
      <c r="CD45" s="5"/>
      <c r="CE45" s="5"/>
      <c r="CF45" s="5" t="s">
        <v>1467</v>
      </c>
      <c r="CG45" s="5" t="s">
        <v>847</v>
      </c>
      <c r="CH45" s="5" t="s">
        <v>848</v>
      </c>
      <c r="CI45" s="5" t="s">
        <v>849</v>
      </c>
      <c r="CJ45" s="5" t="s">
        <v>850</v>
      </c>
      <c r="CK45" s="5" t="s">
        <v>1468</v>
      </c>
      <c r="CL45" s="5" t="s">
        <v>852</v>
      </c>
      <c r="CM45" s="5" t="s">
        <v>975</v>
      </c>
      <c r="CN45" s="5" t="s">
        <v>854</v>
      </c>
      <c r="CO45" s="5"/>
      <c r="CP45" s="5">
        <v>6</v>
      </c>
      <c r="CQ45" s="5"/>
      <c r="CR45" s="5"/>
      <c r="CS45" s="5"/>
      <c r="CT45" s="5"/>
      <c r="CU45" s="5"/>
      <c r="CV45" s="5"/>
      <c r="CW45" s="5"/>
      <c r="CX45" s="5"/>
      <c r="CY45" s="5"/>
      <c r="CZ45" s="5"/>
      <c r="DA45" s="5"/>
    </row>
    <row r="46" spans="1:105" ht="15" customHeight="1" x14ac:dyDescent="0.2">
      <c r="A46" s="3" t="s">
        <v>1901</v>
      </c>
      <c r="B46" s="3" t="s">
        <v>1902</v>
      </c>
      <c r="C46" s="3" t="s">
        <v>1902</v>
      </c>
      <c r="D46" s="3" t="s">
        <v>1903</v>
      </c>
      <c r="E46" s="3" t="s">
        <v>1903</v>
      </c>
      <c r="F46" s="3" t="s">
        <v>1903</v>
      </c>
      <c r="G46" s="3" t="s">
        <v>110</v>
      </c>
      <c r="H46" s="3" t="s">
        <v>259</v>
      </c>
      <c r="I46" s="3" t="s">
        <v>181</v>
      </c>
      <c r="J46" s="3" t="s">
        <v>1494</v>
      </c>
      <c r="K46" s="3" t="s">
        <v>114</v>
      </c>
      <c r="L46" s="3" t="s">
        <v>114</v>
      </c>
      <c r="M46" s="3" t="s">
        <v>114</v>
      </c>
      <c r="N46" s="3" t="s">
        <v>114</v>
      </c>
      <c r="O46" s="3" t="s">
        <v>114</v>
      </c>
      <c r="P46" s="3" t="s">
        <v>114</v>
      </c>
      <c r="Q46" s="3" t="s">
        <v>1904</v>
      </c>
      <c r="R46" s="3"/>
      <c r="S46" s="3" t="s">
        <v>1905</v>
      </c>
      <c r="T46" s="3" t="s">
        <v>1906</v>
      </c>
      <c r="U46" s="3" t="s">
        <v>120</v>
      </c>
      <c r="V46" s="3" t="s">
        <v>119</v>
      </c>
      <c r="W46" s="3" t="s">
        <v>120</v>
      </c>
      <c r="X46" s="3" t="s">
        <v>694</v>
      </c>
      <c r="Y46" s="3" t="s">
        <v>1907</v>
      </c>
      <c r="Z46" s="3" t="s">
        <v>119</v>
      </c>
      <c r="AA46" s="3"/>
      <c r="AB46" s="3" t="s">
        <v>122</v>
      </c>
      <c r="AC46" s="3" t="s">
        <v>217</v>
      </c>
      <c r="AD46" s="3" t="s">
        <v>145</v>
      </c>
      <c r="AE46" s="3" t="s">
        <v>1908</v>
      </c>
      <c r="AF46" s="3"/>
      <c r="AG46" s="3" t="s">
        <v>1909</v>
      </c>
      <c r="AH46" s="3"/>
      <c r="AI46" s="3"/>
      <c r="AJ46" s="3"/>
      <c r="AK46" s="3"/>
      <c r="AL46" s="3"/>
      <c r="AM46" s="3">
        <v>0</v>
      </c>
      <c r="AN46" s="3"/>
      <c r="AO46" s="3"/>
      <c r="AP46" s="3"/>
      <c r="AQ46" s="3"/>
      <c r="AR46" s="3"/>
      <c r="AS46" s="3">
        <v>0</v>
      </c>
      <c r="AT46" s="3"/>
      <c r="AU46" s="3"/>
      <c r="AV46" s="3"/>
      <c r="AW46" s="3"/>
      <c r="AX46" s="3"/>
      <c r="AY46" s="3"/>
      <c r="AZ46" s="3">
        <v>0</v>
      </c>
      <c r="BA46" s="3"/>
      <c r="BB46" s="3" t="s">
        <v>1861</v>
      </c>
      <c r="BC46" s="3">
        <v>750</v>
      </c>
      <c r="BD46" s="4">
        <v>46160</v>
      </c>
      <c r="BE46" s="4">
        <v>47818</v>
      </c>
      <c r="BF46" s="4">
        <v>47968</v>
      </c>
      <c r="BG46" s="4">
        <v>48334</v>
      </c>
      <c r="BH46" s="3">
        <v>12</v>
      </c>
      <c r="BI46" s="4">
        <v>47968</v>
      </c>
      <c r="BJ46" s="4">
        <v>48152</v>
      </c>
      <c r="BK46" s="3">
        <v>6</v>
      </c>
      <c r="BL46" s="3"/>
      <c r="BM46" s="3"/>
      <c r="BN46" s="3"/>
      <c r="BO46" s="3"/>
      <c r="BP46" s="3"/>
      <c r="BQ46" s="3"/>
      <c r="BR46" s="4">
        <v>47968</v>
      </c>
      <c r="BS46" s="4">
        <v>48334</v>
      </c>
      <c r="BT46" s="3">
        <v>12</v>
      </c>
      <c r="BU46" s="3"/>
      <c r="BV46" s="3" t="s">
        <v>1910</v>
      </c>
      <c r="BW46" s="3" t="s">
        <v>1911</v>
      </c>
      <c r="BX46" s="4">
        <v>49674</v>
      </c>
      <c r="BY46" s="4">
        <v>51501</v>
      </c>
      <c r="BZ46" s="3" t="s">
        <v>136</v>
      </c>
      <c r="CA46" s="3" t="s">
        <v>191</v>
      </c>
      <c r="CB46" s="3"/>
      <c r="CC46" s="3" t="s">
        <v>1912</v>
      </c>
      <c r="CD46" s="3" t="s">
        <v>881</v>
      </c>
      <c r="CE46" s="3"/>
      <c r="CF46" s="3"/>
      <c r="CG46" s="3"/>
      <c r="CH46" s="3"/>
      <c r="CI46" s="3"/>
      <c r="CJ46" s="3"/>
      <c r="CK46" s="3"/>
      <c r="CL46" s="3"/>
      <c r="CM46" s="3"/>
      <c r="CN46" s="3"/>
      <c r="CO46" s="3"/>
      <c r="CP46" s="3"/>
      <c r="CQ46" s="3"/>
      <c r="CR46" s="3"/>
      <c r="CS46" s="3"/>
      <c r="CT46" s="3"/>
      <c r="CU46" s="3"/>
      <c r="CV46" s="3"/>
      <c r="CW46" s="3"/>
      <c r="CX46" s="3"/>
      <c r="CY46" s="3"/>
      <c r="CZ46" s="3"/>
      <c r="DA46" s="3"/>
    </row>
  </sheetData>
  <autoFilter ref="A1:DA46"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E77"/>
  <sheetViews>
    <sheetView zoomScaleNormal="100" workbookViewId="0">
      <pane ySplit="1" topLeftCell="A2" activePane="bottomLeft" state="frozen"/>
      <selection pane="bottomLeft" activeCell="M20" sqref="M20"/>
    </sheetView>
  </sheetViews>
  <sheetFormatPr baseColWidth="10" defaultColWidth="8.6640625" defaultRowHeight="15" customHeight="1" x14ac:dyDescent="0.2"/>
  <cols>
    <col min="1" max="16" width="18" customWidth="1"/>
    <col min="17" max="21" width="16" customWidth="1"/>
    <col min="22" max="135" width="5" customWidth="1"/>
  </cols>
  <sheetData>
    <row r="1" spans="1:135" ht="90" customHeight="1" x14ac:dyDescent="0.2">
      <c r="A1" s="2" t="s">
        <v>0</v>
      </c>
      <c r="B1" s="2" t="s">
        <v>2</v>
      </c>
      <c r="C1" s="2" t="s">
        <v>4</v>
      </c>
      <c r="D1" s="2" t="s">
        <v>3</v>
      </c>
      <c r="E1" s="2" t="s">
        <v>5</v>
      </c>
      <c r="F1" s="2" t="s">
        <v>7</v>
      </c>
      <c r="G1" s="2" t="s">
        <v>8</v>
      </c>
      <c r="H1" s="2" t="s">
        <v>11</v>
      </c>
      <c r="I1" s="2" t="s">
        <v>19</v>
      </c>
      <c r="J1" s="2" t="s">
        <v>18</v>
      </c>
      <c r="K1" s="2" t="s">
        <v>79</v>
      </c>
      <c r="L1" s="2" t="s">
        <v>21</v>
      </c>
      <c r="M1" s="2" t="s">
        <v>9</v>
      </c>
      <c r="N1" s="2" t="s">
        <v>20</v>
      </c>
      <c r="O1" s="2" t="s">
        <v>22</v>
      </c>
      <c r="P1" s="2" t="s">
        <v>16</v>
      </c>
      <c r="Q1" s="7" t="s">
        <v>1913</v>
      </c>
      <c r="R1" s="7" t="s">
        <v>1914</v>
      </c>
      <c r="S1" s="7" t="s">
        <v>1915</v>
      </c>
      <c r="T1" s="7" t="s">
        <v>1916</v>
      </c>
      <c r="U1" s="7" t="s">
        <v>1917</v>
      </c>
      <c r="V1" s="8" t="s">
        <v>1918</v>
      </c>
      <c r="W1" s="8" t="s">
        <v>1919</v>
      </c>
      <c r="X1" s="8" t="s">
        <v>1920</v>
      </c>
      <c r="Y1" s="8" t="s">
        <v>1921</v>
      </c>
      <c r="Z1" s="8" t="s">
        <v>1922</v>
      </c>
      <c r="AA1" s="8" t="s">
        <v>1923</v>
      </c>
      <c r="AB1" s="8" t="s">
        <v>1924</v>
      </c>
      <c r="AC1" s="8" t="s">
        <v>1925</v>
      </c>
      <c r="AD1" s="8" t="s">
        <v>1926</v>
      </c>
      <c r="AE1" s="8" t="s">
        <v>1927</v>
      </c>
      <c r="AF1" s="8" t="s">
        <v>1928</v>
      </c>
      <c r="AG1" s="8" t="s">
        <v>1929</v>
      </c>
      <c r="AH1" s="8" t="s">
        <v>1930</v>
      </c>
      <c r="AI1" s="8" t="s">
        <v>1931</v>
      </c>
      <c r="AJ1" s="8" t="s">
        <v>1932</v>
      </c>
      <c r="AK1" s="8" t="s">
        <v>1933</v>
      </c>
      <c r="AL1" s="8" t="s">
        <v>1934</v>
      </c>
      <c r="AM1" s="8" t="s">
        <v>1935</v>
      </c>
      <c r="AN1" s="8" t="s">
        <v>1936</v>
      </c>
      <c r="AO1" s="8" t="s">
        <v>1937</v>
      </c>
      <c r="AP1" s="8" t="s">
        <v>1938</v>
      </c>
      <c r="AQ1" s="8" t="s">
        <v>1939</v>
      </c>
      <c r="AR1" s="8" t="s">
        <v>1940</v>
      </c>
      <c r="AS1" s="8" t="s">
        <v>1941</v>
      </c>
      <c r="AT1" s="8" t="s">
        <v>1942</v>
      </c>
      <c r="AU1" s="8" t="s">
        <v>1943</v>
      </c>
      <c r="AV1" s="8" t="s">
        <v>1944</v>
      </c>
      <c r="AW1" s="8" t="s">
        <v>1945</v>
      </c>
      <c r="AX1" s="8" t="s">
        <v>1946</v>
      </c>
      <c r="AY1" s="8" t="s">
        <v>1947</v>
      </c>
      <c r="AZ1" s="8" t="s">
        <v>1948</v>
      </c>
      <c r="BA1" s="8" t="s">
        <v>1949</v>
      </c>
      <c r="BB1" s="8" t="s">
        <v>1950</v>
      </c>
      <c r="BC1" s="8" t="s">
        <v>1951</v>
      </c>
      <c r="BD1" s="8" t="s">
        <v>1952</v>
      </c>
      <c r="BE1" s="8" t="s">
        <v>1953</v>
      </c>
      <c r="BF1" s="8" t="s">
        <v>1954</v>
      </c>
      <c r="BG1" s="8" t="s">
        <v>1955</v>
      </c>
      <c r="BH1" s="8" t="s">
        <v>1956</v>
      </c>
      <c r="BI1" s="8" t="s">
        <v>1957</v>
      </c>
      <c r="BJ1" s="8" t="s">
        <v>1958</v>
      </c>
      <c r="BK1" s="8" t="s">
        <v>1959</v>
      </c>
      <c r="BL1" s="8" t="s">
        <v>1960</v>
      </c>
      <c r="BM1" s="8" t="s">
        <v>1961</v>
      </c>
      <c r="BN1" s="8" t="s">
        <v>1962</v>
      </c>
      <c r="BO1" s="8" t="s">
        <v>1963</v>
      </c>
      <c r="BP1" s="8" t="s">
        <v>1964</v>
      </c>
      <c r="BQ1" s="8" t="s">
        <v>1965</v>
      </c>
      <c r="BR1" s="8" t="s">
        <v>1966</v>
      </c>
      <c r="BS1" s="8" t="s">
        <v>1967</v>
      </c>
      <c r="BT1" s="8" t="s">
        <v>1968</v>
      </c>
      <c r="BU1" s="8" t="s">
        <v>1969</v>
      </c>
      <c r="BV1" s="8" t="s">
        <v>1970</v>
      </c>
      <c r="BW1" s="8" t="s">
        <v>1971</v>
      </c>
      <c r="BX1" s="8" t="s">
        <v>1972</v>
      </c>
      <c r="BY1" s="8" t="s">
        <v>1973</v>
      </c>
      <c r="BZ1" s="8" t="s">
        <v>1974</v>
      </c>
      <c r="CA1" s="8" t="s">
        <v>1975</v>
      </c>
      <c r="CB1" s="8" t="s">
        <v>1976</v>
      </c>
      <c r="CC1" s="8" t="s">
        <v>1977</v>
      </c>
      <c r="CD1" s="8" t="s">
        <v>1978</v>
      </c>
      <c r="CE1" s="8" t="s">
        <v>1979</v>
      </c>
      <c r="CF1" s="8" t="s">
        <v>1980</v>
      </c>
      <c r="CG1" s="8" t="s">
        <v>1981</v>
      </c>
      <c r="CH1" s="8" t="s">
        <v>1982</v>
      </c>
      <c r="CI1" s="8" t="s">
        <v>1983</v>
      </c>
      <c r="CJ1" s="8" t="s">
        <v>1984</v>
      </c>
      <c r="CK1" s="8" t="s">
        <v>1985</v>
      </c>
      <c r="CL1" s="8" t="s">
        <v>1986</v>
      </c>
      <c r="CM1" s="8" t="s">
        <v>1987</v>
      </c>
      <c r="CN1" s="8" t="s">
        <v>1988</v>
      </c>
      <c r="CO1" s="8" t="s">
        <v>1989</v>
      </c>
      <c r="CP1" s="9" t="s">
        <v>1990</v>
      </c>
      <c r="CQ1" s="9" t="s">
        <v>1991</v>
      </c>
      <c r="CR1" s="9" t="s">
        <v>1992</v>
      </c>
      <c r="CS1" s="9" t="s">
        <v>1993</v>
      </c>
      <c r="CT1" s="9" t="s">
        <v>1994</v>
      </c>
      <c r="CU1" s="9" t="s">
        <v>1995</v>
      </c>
      <c r="CV1" s="9" t="s">
        <v>1996</v>
      </c>
      <c r="CW1" s="9" t="s">
        <v>1997</v>
      </c>
      <c r="CX1" s="9" t="s">
        <v>1998</v>
      </c>
      <c r="CY1" s="9" t="s">
        <v>1999</v>
      </c>
      <c r="CZ1" s="9" t="s">
        <v>2000</v>
      </c>
      <c r="DA1" s="9" t="s">
        <v>2001</v>
      </c>
      <c r="DB1" s="9" t="s">
        <v>2002</v>
      </c>
      <c r="DC1" s="9" t="s">
        <v>2003</v>
      </c>
      <c r="DD1" s="9" t="s">
        <v>2004</v>
      </c>
      <c r="DE1" s="9" t="s">
        <v>2005</v>
      </c>
      <c r="DF1" s="9" t="s">
        <v>2006</v>
      </c>
      <c r="DG1" s="9" t="s">
        <v>2007</v>
      </c>
      <c r="DH1" s="9" t="s">
        <v>2008</v>
      </c>
      <c r="DI1" s="9" t="s">
        <v>2009</v>
      </c>
      <c r="DJ1" s="9" t="s">
        <v>2010</v>
      </c>
      <c r="DK1" s="9" t="s">
        <v>2011</v>
      </c>
      <c r="DL1" s="9" t="s">
        <v>2012</v>
      </c>
      <c r="DM1" s="9" t="s">
        <v>2013</v>
      </c>
      <c r="DN1" s="9" t="s">
        <v>2014</v>
      </c>
      <c r="DO1" s="9" t="s">
        <v>2015</v>
      </c>
      <c r="DP1" s="9" t="s">
        <v>2016</v>
      </c>
      <c r="DQ1" s="9" t="s">
        <v>2017</v>
      </c>
      <c r="DR1" s="9" t="s">
        <v>2018</v>
      </c>
      <c r="DS1" s="9" t="s">
        <v>2019</v>
      </c>
      <c r="DT1" s="9" t="s">
        <v>2020</v>
      </c>
      <c r="DU1" s="9" t="s">
        <v>2021</v>
      </c>
      <c r="DV1" s="9" t="s">
        <v>2022</v>
      </c>
      <c r="DW1" s="9" t="s">
        <v>2023</v>
      </c>
      <c r="DX1" s="9" t="s">
        <v>2024</v>
      </c>
      <c r="DY1" s="9" t="s">
        <v>2025</v>
      </c>
      <c r="DZ1" s="9" t="s">
        <v>2026</v>
      </c>
      <c r="EA1" s="9" t="s">
        <v>2027</v>
      </c>
      <c r="EB1" s="9" t="s">
        <v>2028</v>
      </c>
      <c r="EC1" s="9" t="s">
        <v>2029</v>
      </c>
      <c r="ED1" s="9" t="s">
        <v>2030</v>
      </c>
      <c r="EE1" s="9" t="s">
        <v>2031</v>
      </c>
    </row>
    <row r="2" spans="1:135" ht="15" customHeight="1" x14ac:dyDescent="0.2">
      <c r="A2" s="3" t="s">
        <v>1132</v>
      </c>
      <c r="B2" s="3" t="s">
        <v>1133</v>
      </c>
      <c r="C2" s="3" t="s">
        <v>194</v>
      </c>
      <c r="D2" s="3" t="s">
        <v>194</v>
      </c>
      <c r="E2" s="3" t="s">
        <v>1134</v>
      </c>
      <c r="F2" s="3" t="s">
        <v>259</v>
      </c>
      <c r="G2" s="3" t="s">
        <v>283</v>
      </c>
      <c r="H2" s="3" t="s">
        <v>114</v>
      </c>
      <c r="I2" s="3" t="s">
        <v>1137</v>
      </c>
      <c r="J2" s="3" t="s">
        <v>898</v>
      </c>
      <c r="K2" s="3" t="s">
        <v>1015</v>
      </c>
      <c r="L2" s="3" t="s">
        <v>119</v>
      </c>
      <c r="M2" s="3" t="s">
        <v>113</v>
      </c>
      <c r="N2" s="3" t="s">
        <v>120</v>
      </c>
      <c r="O2" s="3" t="s">
        <v>120</v>
      </c>
      <c r="P2" s="3" t="s">
        <v>1135</v>
      </c>
      <c r="Q2" s="10" t="str">
        <f>IF(F2="Stage IV","Stage IV Only",IF(AND(ISNUMBER(SEARCH("IV",F2)),LEN(F2)&gt;LEN("Stage IV")),"Stage IV + Other",IF(AND(ISNUMBER(SEARCH("III",F2)),NOT(ISNUMBER(SEARCH("IV",F2)))),"Stage III Only","Other")))</f>
        <v>Stage IV Only</v>
      </c>
      <c r="R2" s="10" t="str">
        <f>IF(AND(ISNUMBER(SEARCH("Non-squamous",G2)),ISNUMBER(SEARCH("Squamous",SUBSTITUTE(G2,"Non-squamous","")))),"Both",IF(ISNUMBER(SEARCH("Non-squamous",G2)),"Non-squamous",IF(ISNUMBER(SEARCH("Squamous",G2)),"Squamous","Unspecified")))</f>
        <v>Both</v>
      </c>
      <c r="S2" s="10" t="str">
        <f>IF(OR(ISNUMBER(SEARCH("TPS ≥ 50%",K2)),ISNUMBER(SEARCH("TC ≥ 50%",K2))),"TPS ≥ 50%",IF(OR(ISNUMBER(SEARCH("TPS ≥ 1%",K2)),ISNUMBER(SEARCH("TC ≥ 1%",K2)),ISNUMBER(SEARCH("TPS &lt; 50%",K2)),ISNUMBER(SEARCH("IC ≥ 1%",K2))),"TPS 1-49%","All-comers"))</f>
        <v>TPS ≥ 50%</v>
      </c>
      <c r="T2" s="10">
        <f>IF(H2="Phase III",1,0)</f>
        <v>1</v>
      </c>
      <c r="U2" s="10">
        <f>IF(L2="Yes",1,0)</f>
        <v>0</v>
      </c>
      <c r="V2" s="11">
        <f>IF(ISNUMBER(SEARCH(",ALK,",","&amp;SUBSTITUTE(I2,", ",",")&amp;",")),1,0)</f>
        <v>0</v>
      </c>
      <c r="W2" s="11">
        <f>IF(ISNUMBER(SEARCH(",ALK L1196M,",","&amp;SUBSTITUTE(I2,", ",",")&amp;",")),1,0)</f>
        <v>0</v>
      </c>
      <c r="X2" s="11">
        <f>IF(ISNUMBER(SEARCH(",AXL,",","&amp;SUBSTITUTE(I2,", ",",")&amp;",")),1,0)</f>
        <v>0</v>
      </c>
      <c r="Y2" s="11">
        <f>IF(ISNUMBER(SEARCH(",B7-H1,",","&amp;SUBSTITUTE(I2,", ",",")&amp;",")),1,0)</f>
        <v>0</v>
      </c>
      <c r="Z2" s="11">
        <f>IF(ISNUMBER(SEARCH(",CD152,",","&amp;SUBSTITUTE(I2,", ",",")&amp;",")),1,0)</f>
        <v>0</v>
      </c>
      <c r="AA2" s="11">
        <f>IF(ISNUMBER(SEARCH(",CD274,",","&amp;SUBSTITUTE(I2,", ",",")&amp;",")),1,0)</f>
        <v>0</v>
      </c>
      <c r="AB2" s="11">
        <f>IF(ISNUMBER(SEARCH(",CD279,",","&amp;SUBSTITUTE(I2,", ",",")&amp;",")),1,0)</f>
        <v>1</v>
      </c>
      <c r="AC2" s="11">
        <f>IF(ISNUMBER(SEARCH(",CD73,",","&amp;SUBSTITUTE(I2,", ",",")&amp;",")),1,0)</f>
        <v>0</v>
      </c>
      <c r="AD2" s="11">
        <f>IF(ISNUMBER(SEARCH(",CEA,",","&amp;SUBSTITUTE(I2,", ",",")&amp;",")),1,0)</f>
        <v>0</v>
      </c>
      <c r="AE2" s="11">
        <f>IF(ISNUMBER(SEARCH(",CTLA-4,",","&amp;SUBSTITUTE(I2,", ",",")&amp;",")),1,0)</f>
        <v>0</v>
      </c>
      <c r="AF2" s="11">
        <f>IF(ISNUMBER(SEARCH(",EGFR,",","&amp;SUBSTITUTE(I2,", ",",")&amp;",")),1,0)</f>
        <v>0</v>
      </c>
      <c r="AG2" s="11">
        <f>IF(ISNUMBER(SEARCH(",EGFR C797G,",","&amp;SUBSTITUTE(I2,", ",",")&amp;",")),1,0)</f>
        <v>0</v>
      </c>
      <c r="AH2" s="11">
        <f>IF(ISNUMBER(SEARCH(",EGFR C797S,",","&amp;SUBSTITUTE(I2,", ",",")&amp;",")),1,0)</f>
        <v>0</v>
      </c>
      <c r="AI2" s="11">
        <f>IF(ISNUMBER(SEARCH(",EGFR Exon 19-del,",","&amp;SUBSTITUTE(I2,", ",",")&amp;",")),1,0)</f>
        <v>0</v>
      </c>
      <c r="AJ2" s="11">
        <f>IF(ISNUMBER(SEARCH(",EGFR Exon 20,",","&amp;SUBSTITUTE(I2,", ",",")&amp;",")),1,0)</f>
        <v>0</v>
      </c>
      <c r="AK2" s="11">
        <f>IF(ISNUMBER(SEARCH(",EGFR L858R,",","&amp;SUBSTITUTE(I2,", ",",")&amp;",")),1,0)</f>
        <v>0</v>
      </c>
      <c r="AL2" s="11">
        <f>IF(ISNUMBER(SEARCH(",EGFR T790M,",","&amp;SUBSTITUTE(I2,", ",",")&amp;",")),1,0)</f>
        <v>0</v>
      </c>
      <c r="AM2" s="11">
        <f>IF(ISNUMBER(SEARCH(",ERBB,",","&amp;SUBSTITUTE(I2,", ",",")&amp;",")),1,0)</f>
        <v>0</v>
      </c>
      <c r="AN2" s="11">
        <f>IF(ISNUMBER(SEARCH(",ERBB3,",","&amp;SUBSTITUTE(I2,", ",",")&amp;",")),1,0)</f>
        <v>0</v>
      </c>
      <c r="AO2" s="11">
        <f>IF(ISNUMBER(SEARCH(",FAK,",","&amp;SUBSTITUTE(I2,", ",",")&amp;",")),1,0)</f>
        <v>0</v>
      </c>
      <c r="AP2" s="11">
        <f>IF(ISNUMBER(SEARCH(",GARP,",","&amp;SUBSTITUTE(I2,", ",",")&amp;",")),1,0)</f>
        <v>0</v>
      </c>
      <c r="AQ2" s="11">
        <f>IF(ISNUMBER(SEARCH(",HER1,",","&amp;SUBSTITUTE(I2,", ",",")&amp;",")),1,0)</f>
        <v>0</v>
      </c>
      <c r="AR2" s="11">
        <f>IF(ISNUMBER(SEARCH(",HER2,",","&amp;SUBSTITUTE(I2,", ",",")&amp;",")),1,0)</f>
        <v>0</v>
      </c>
      <c r="AS2" s="11">
        <f>IF(ISNUMBER(SEARCH(",HER2 Exon 20,",","&amp;SUBSTITUTE(I2,", ",",")&amp;",")),1,0)</f>
        <v>0</v>
      </c>
      <c r="AT2" s="11">
        <f>IF(ISNUMBER(SEARCH(",HER3,",","&amp;SUBSTITUTE(I2,", ",",")&amp;",")),1,0)</f>
        <v>0</v>
      </c>
      <c r="AU2" s="11">
        <f>IF(ISNUMBER(SEARCH(",HER4,",","&amp;SUBSTITUTE(I2,", ",",")&amp;",")),1,0)</f>
        <v>0</v>
      </c>
      <c r="AV2" s="11">
        <f>IF(ISNUMBER(SEARCH(",HRAS,",","&amp;SUBSTITUTE(I2,", ",",")&amp;",")),1,0)</f>
        <v>0</v>
      </c>
      <c r="AW2" s="11">
        <f>IF(ISNUMBER(SEARCH(",HSV-TK,",","&amp;SUBSTITUTE(I2,", ",",")&amp;",")),1,0)</f>
        <v>0</v>
      </c>
      <c r="AX2" s="11">
        <f>IF(ISNUMBER(SEARCH(",IL-12,",","&amp;SUBSTITUTE(I2,", ",",")&amp;",")),1,0)</f>
        <v>0</v>
      </c>
      <c r="AY2" s="11">
        <f>IF(ISNUMBER(SEARCH(",IL-15,",","&amp;SUBSTITUTE(I2,", ",",")&amp;",")),1,0)</f>
        <v>0</v>
      </c>
      <c r="AZ2" s="11">
        <f>IF(ISNUMBER(SEARCH(",IL-15R,",","&amp;SUBSTITUTE(I2,", ",",")&amp;",")),1,0)</f>
        <v>0</v>
      </c>
      <c r="BA2" s="11">
        <f>IF(ISNUMBER(SEARCH(",IL-2,",","&amp;SUBSTITUTE(I2,", ",",")&amp;",")),1,0)</f>
        <v>0</v>
      </c>
      <c r="BB2" s="11">
        <f>IF(ISNUMBER(SEARCH(",Integrin β6,",","&amp;SUBSTITUTE(I2,", ",",")&amp;",")),1,0)</f>
        <v>0</v>
      </c>
      <c r="BC2" s="11">
        <f>IF(ISNUMBER(SEARCH(",KDR,",","&amp;SUBSTITUTE(I2,", ",",")&amp;",")),1,0)</f>
        <v>0</v>
      </c>
      <c r="BD2" s="11">
        <f>IF(ISNUMBER(SEARCH(",KLRC1,",","&amp;SUBSTITUTE(I2,", ",",")&amp;",")),1,0)</f>
        <v>0</v>
      </c>
      <c r="BE2" s="11">
        <f>IF(ISNUMBER(SEARCH(",KRAS,",","&amp;SUBSTITUTE(I2,", ",",")&amp;",")),1,0)</f>
        <v>0</v>
      </c>
      <c r="BF2" s="11">
        <f>IF(ISNUMBER(SEARCH(",KRAS G12,",","&amp;SUBSTITUTE(I2,", ",",")&amp;",")),1,0)</f>
        <v>0</v>
      </c>
      <c r="BG2" s="11">
        <f>IF(ISNUMBER(SEARCH(",KRAS G12C,",","&amp;SUBSTITUTE(I2,", ",",")&amp;",")),1,0)</f>
        <v>1</v>
      </c>
      <c r="BH2" s="11">
        <f>IF(ISNUMBER(SEARCH(",KRAS G12D,",","&amp;SUBSTITUTE(I2,", ",",")&amp;",")),1,0)</f>
        <v>0</v>
      </c>
      <c r="BI2" s="11">
        <f>IF(ISNUMBER(SEARCH(",LAG-3,",","&amp;SUBSTITUTE(I2,", ",",")&amp;",")),1,0)</f>
        <v>0</v>
      </c>
      <c r="BJ2" s="11">
        <f>IF(ISNUMBER(SEARCH(",MAGE-A2,",","&amp;SUBSTITUTE(I2,", ",",")&amp;",")),1,0)</f>
        <v>0</v>
      </c>
      <c r="BK2" s="11">
        <f>IF(ISNUMBER(SEARCH(",MAGE-A3,",","&amp;SUBSTITUTE(I2,", ",",")&amp;",")),1,0)</f>
        <v>0</v>
      </c>
      <c r="BL2" s="11">
        <f>IF(ISNUMBER(SEARCH(",MLN19,",","&amp;SUBSTITUTE(I2,", ",",")&amp;",")),1,0)</f>
        <v>0</v>
      </c>
      <c r="BM2" s="11">
        <f>IF(ISNUMBER(SEARCH(",Microtubule,",","&amp;SUBSTITUTE(I2,", ",",")&amp;",")),1,0)</f>
        <v>0</v>
      </c>
      <c r="BN2" s="11">
        <f>IF(ISNUMBER(SEARCH(",NKG2A,",","&amp;SUBSTITUTE(I2,", ",",")&amp;",")),1,0)</f>
        <v>0</v>
      </c>
      <c r="BO2" s="11">
        <f>IF(ISNUMBER(SEARCH(",NRAS,",","&amp;SUBSTITUTE(I2,", ",",")&amp;",")),1,0)</f>
        <v>0</v>
      </c>
      <c r="BP2" s="11">
        <f>IF(ISNUMBER(SEARCH(",NTRK,",","&amp;SUBSTITUTE(I2,", ",",")&amp;",")),1,0)</f>
        <v>0</v>
      </c>
      <c r="BQ2" s="11">
        <f>IF(ISNUMBER(SEARCH(",PARP,",","&amp;SUBSTITUTE(I2,", ",",")&amp;",")),1,0)</f>
        <v>0</v>
      </c>
      <c r="BR2" s="11">
        <f>IF(ISNUMBER(SEARCH(",PD-1,",","&amp;SUBSTITUTE(I2,", ",",")&amp;",")),1,0)</f>
        <v>1</v>
      </c>
      <c r="BS2" s="11">
        <f>IF(ISNUMBER(SEARCH(",PD-L1,",","&amp;SUBSTITUTE(I2,", ",",")&amp;",")),1,0)</f>
        <v>0</v>
      </c>
      <c r="BT2" s="11">
        <f>IF(ISNUMBER(SEARCH(",PRMT5,",","&amp;SUBSTITUTE(I2,", ",",")&amp;",")),1,0)</f>
        <v>0</v>
      </c>
      <c r="BU2" s="11">
        <f>IF(ISNUMBER(SEARCH(",RAS,",","&amp;SUBSTITUTE(I2,", ",",")&amp;",")),1,0)</f>
        <v>0</v>
      </c>
      <c r="BV2" s="11">
        <f>IF(ISNUMBER(SEARCH(",RET,",","&amp;SUBSTITUTE(I2,", ",",")&amp;",")),1,0)</f>
        <v>0</v>
      </c>
      <c r="BW2" s="11">
        <f>IF(ISNUMBER(SEARCH(",ROS,",","&amp;SUBSTITUTE(I2,", ",",")&amp;",")),1,0)</f>
        <v>0</v>
      </c>
      <c r="BX2" s="11">
        <f>IF(ISNUMBER(SEARCH(",ROS1,",","&amp;SUBSTITUTE(I2,", ",",")&amp;",")),1,0)</f>
        <v>0</v>
      </c>
      <c r="BY2" s="11">
        <f>IF(ISNUMBER(SEARCH(",Src,",","&amp;SUBSTITUTE(I2,", ",",")&amp;",")),1,0)</f>
        <v>0</v>
      </c>
      <c r="BZ2" s="11">
        <f>IF(ISNUMBER(SEARCH(",TCGF,",","&amp;SUBSTITUTE(I2,", ",",")&amp;",")),1,0)</f>
        <v>0</v>
      </c>
      <c r="CA2" s="11">
        <f>IF(ISNUMBER(SEARCH(",TGF-β,",","&amp;SUBSTITUTE(I2,", ",",")&amp;",")),1,0)</f>
        <v>0</v>
      </c>
      <c r="CB2" s="11">
        <f>IF(ISNUMBER(SEARCH(",TGF-β1,",","&amp;SUBSTITUTE(I2,", ",",")&amp;",")),1,0)</f>
        <v>0</v>
      </c>
      <c r="CC2" s="11">
        <f>IF(ISNUMBER(SEARCH(",TIGIT,",","&amp;SUBSTITUTE(I2,", ",",")&amp;",")),1,0)</f>
        <v>0</v>
      </c>
      <c r="CD2" s="11">
        <f>IF(ISNUMBER(SEARCH(",TLR,",","&amp;SUBSTITUTE(I2,", ",",")&amp;",")),1,0)</f>
        <v>0</v>
      </c>
      <c r="CE2" s="11">
        <f>IF(ISNUMBER(SEARCH(",TLR7/8,",","&amp;SUBSTITUTE(I2,", ",",")&amp;",")),1,0)</f>
        <v>0</v>
      </c>
      <c r="CF2" s="11">
        <f>IF(ISNUMBER(SEARCH(",TRK,",","&amp;SUBSTITUTE(I2,", ",",")&amp;",")),1,0)</f>
        <v>0</v>
      </c>
      <c r="CG2" s="11">
        <f>IF(ISNUMBER(SEARCH(",TROP2,",","&amp;SUBSTITUTE(I2,", ",",")&amp;",")),1,0)</f>
        <v>0</v>
      </c>
      <c r="CH2" s="11">
        <f>IF(ISNUMBER(SEARCH(",TS,",","&amp;SUBSTITUTE(I2,", ",",")&amp;",")),1,0)</f>
        <v>0</v>
      </c>
      <c r="CI2" s="11">
        <f>IF(ISNUMBER(SEARCH(",TYMS,",","&amp;SUBSTITUTE(I2,", ",",")&amp;",")),1,0)</f>
        <v>0</v>
      </c>
      <c r="CJ2" s="11">
        <f>IF(ISNUMBER(SEARCH(",VEGF,",","&amp;SUBSTITUTE(I2,", ",",")&amp;",")),1,0)</f>
        <v>0</v>
      </c>
      <c r="CK2" s="11">
        <f>IF(ISNUMBER(SEARCH(",VEGFA,",","&amp;SUBSTITUTE(I2,", ",",")&amp;",")),1,0)</f>
        <v>0</v>
      </c>
      <c r="CL2" s="11">
        <f>IF(ISNUMBER(SEARCH(",VEGFR2,",","&amp;SUBSTITUTE(I2,", ",",")&amp;",")),1,0)</f>
        <v>0</v>
      </c>
      <c r="CM2" s="11">
        <f>IF(ISNUMBER(SEARCH(",c-MET/MET,",","&amp;SUBSTITUTE(I2,", ",",")&amp;",")),1,0)</f>
        <v>0</v>
      </c>
      <c r="CN2" s="11">
        <f>IF(ISNUMBER(SEARCH(",p53,",","&amp;SUBSTITUTE(I2,", ",",")&amp;",")),1,0)</f>
        <v>0</v>
      </c>
      <c r="CO2" s="11">
        <f>IF(ISNUMBER(SEARCH(",pan-KRAS,",","&amp;SUBSTITUTE(I2,", ",",")&amp;",")),1,0)</f>
        <v>0</v>
      </c>
      <c r="CP2" s="11">
        <f>IF(ISNUMBER(SEARCH(",ALK,",","&amp;SUBSTITUTE(K2,", ",",")&amp;",")),1,0)</f>
        <v>0</v>
      </c>
      <c r="CQ2" s="11">
        <f>IF(ISNUMBER(SEARCH(",BRAF V600E,",","&amp;SUBSTITUTE(K2,", ",",")&amp;",")),1,0)</f>
        <v>0</v>
      </c>
      <c r="CR2" s="11">
        <f>IF(ISNUMBER(SEARCH(",EGFR,",","&amp;SUBSTITUTE(K2,", ",",")&amp;",")),1,0)</f>
        <v>0</v>
      </c>
      <c r="CS2" s="11">
        <f>IF(ISNUMBER(SEARCH(",EGFR Exon 18,",","&amp;SUBSTITUTE(K2,", ",",")&amp;",")),1,0)</f>
        <v>0</v>
      </c>
      <c r="CT2" s="11">
        <f>IF(ISNUMBER(SEARCH(",EGFR Exon 19-del,",","&amp;SUBSTITUTE(K2,", ",",")&amp;",")),1,0)</f>
        <v>0</v>
      </c>
      <c r="CU2" s="11">
        <f>IF(ISNUMBER(SEARCH(",EGFR Exon 20,",","&amp;SUBSTITUTE(K2,", ",",")&amp;",")),1,0)</f>
        <v>0</v>
      </c>
      <c r="CV2" s="11">
        <f>IF(ISNUMBER(SEARCH(",EGFR Exon 20-ins,",","&amp;SUBSTITUTE(K2,", ",",")&amp;",")),1,0)</f>
        <v>0</v>
      </c>
      <c r="CW2" s="11">
        <f>IF(ISNUMBER(SEARCH(",EGFR Exon 21,",","&amp;SUBSTITUTE(K2,", ",",")&amp;",")),1,0)</f>
        <v>0</v>
      </c>
      <c r="CX2" s="11">
        <f>IF(ISNUMBER(SEARCH(",EGFR G719A,",","&amp;SUBSTITUTE(K2,", ",",")&amp;",")),1,0)</f>
        <v>0</v>
      </c>
      <c r="CY2" s="11">
        <f>IF(ISNUMBER(SEARCH(",EGFR G719C,",","&amp;SUBSTITUTE(K2,", ",",")&amp;",")),1,0)</f>
        <v>0</v>
      </c>
      <c r="CZ2" s="11">
        <f>IF(ISNUMBER(SEARCH(",EGFR G719S,",","&amp;SUBSTITUTE(K2,", ",",")&amp;",")),1,0)</f>
        <v>0</v>
      </c>
      <c r="DA2" s="11">
        <f>IF(ISNUMBER(SEARCH(",EGFR G719X,",","&amp;SUBSTITUTE(K2,", ",",")&amp;",")),1,0)</f>
        <v>0</v>
      </c>
      <c r="DB2" s="11">
        <f>IF(ISNUMBER(SEARCH(",EGFR L858R,",","&amp;SUBSTITUTE(K2,", ",",")&amp;",")),1,0)</f>
        <v>0</v>
      </c>
      <c r="DC2" s="11">
        <f>IF(ISNUMBER(SEARCH(",EGFR L861Q,",","&amp;SUBSTITUTE(K2,", ",",")&amp;",")),1,0)</f>
        <v>0</v>
      </c>
      <c r="DD2" s="11">
        <f>IF(ISNUMBER(SEARCH(",EGFR PACC,",","&amp;SUBSTITUTE(K2,", ",",")&amp;",")),1,0)</f>
        <v>0</v>
      </c>
      <c r="DE2" s="11">
        <f>IF(ISNUMBER(SEARCH(",EGFR S768I,",","&amp;SUBSTITUTE(K2,", ",",")&amp;",")),1,0)</f>
        <v>0</v>
      </c>
      <c r="DF2" s="11">
        <f>IF(ISNUMBER(SEARCH(",EGFR T790M,",","&amp;SUBSTITUTE(K2,", ",",")&amp;",")),1,0)</f>
        <v>0</v>
      </c>
      <c r="DG2" s="11">
        <f>IF(ISNUMBER(SEARCH(",EML4-ALK,",","&amp;SUBSTITUTE(K2,", ",",")&amp;",")),1,0)</f>
        <v>0</v>
      </c>
      <c r="DH2" s="11">
        <f>IF(ISNUMBER(SEARCH(",HER2,",","&amp;SUBSTITUTE(K2,", ",",")&amp;",")),1,0)</f>
        <v>0</v>
      </c>
      <c r="DI2" s="11">
        <f>IF(ISNUMBER(SEARCH(",HER2 Exon 19,",","&amp;SUBSTITUTE(K2,", ",",")&amp;",")),1,0)</f>
        <v>0</v>
      </c>
      <c r="DJ2" s="11">
        <f>IF(ISNUMBER(SEARCH(",HER2 Exon 20,",","&amp;SUBSTITUTE(K2,", ",",")&amp;",")),1,0)</f>
        <v>0</v>
      </c>
      <c r="DK2" s="11">
        <f>IF(ISNUMBER(SEARCH(",HER2 mut,",","&amp;SUBSTITUTE(K2,", ",",")&amp;",")),1,0)</f>
        <v>0</v>
      </c>
      <c r="DL2" s="11">
        <f>IF(ISNUMBER(SEARCH(",HLA-A2,",","&amp;SUBSTITUTE(K2,", ",",")&amp;",")),1,0)</f>
        <v>0</v>
      </c>
      <c r="DM2" s="11">
        <f>IF(ISNUMBER(SEARCH(",HRAS,",","&amp;SUBSTITUTE(K2,", ",",")&amp;",")),1,0)</f>
        <v>0</v>
      </c>
      <c r="DN2" s="11">
        <f>IF(ISNUMBER(SEARCH(",KRAS,",","&amp;SUBSTITUTE(K2,", ",",")&amp;",")),1,0)</f>
        <v>0</v>
      </c>
      <c r="DO2" s="11">
        <f>IF(ISNUMBER(SEARCH(",KRAS G12C,",","&amp;SUBSTITUTE(K2,", ",",")&amp;",")),1,0)</f>
        <v>1</v>
      </c>
      <c r="DP2" s="11">
        <f>IF(ISNUMBER(SEARCH(",NRAS,",","&amp;SUBSTITUTE(K2,", ",",")&amp;",")),1,0)</f>
        <v>0</v>
      </c>
      <c r="DQ2" s="11">
        <f>IF(ISNUMBER(SEARCH(",NTRK,",","&amp;SUBSTITUTE(K2,", ",",")&amp;",")),1,0)</f>
        <v>0</v>
      </c>
      <c r="DR2" s="11">
        <f>IF(ISNUMBER(SEARCH(",PD-L1,",","&amp;SUBSTITUTE(K2,", ",",")&amp;",")),1,0)</f>
        <v>0</v>
      </c>
      <c r="DS2" s="11">
        <f>IF(ISNUMBER(SEARCH(",PD-L1 IC ≥ 1%,",","&amp;SUBSTITUTE(K2,", ",",")&amp;",")),1,0)</f>
        <v>0</v>
      </c>
      <c r="DT2" s="11">
        <f>IF(ISNUMBER(SEARCH(",PD-L1 TC ≥ 1%,",","&amp;SUBSTITUTE(K2,", ",",")&amp;",")),1,0)</f>
        <v>0</v>
      </c>
      <c r="DU2" s="11">
        <f>IF(ISNUMBER(SEARCH(",PD-L1 TC ≥ 50%,",","&amp;SUBSTITUTE(K2,", ",",")&amp;",")),1,0)</f>
        <v>0</v>
      </c>
      <c r="DV2" s="11">
        <f>IF(ISNUMBER(SEARCH(",PD-L1 TPS &lt; 50%,",","&amp;SUBSTITUTE(K2,", ",",")&amp;",")),1,0)</f>
        <v>0</v>
      </c>
      <c r="DW2" s="11">
        <f>IF(ISNUMBER(SEARCH(",PD-L1 TPS ≥ 1%,",","&amp;SUBSTITUTE(K2,", ",",")&amp;",")),1,0)</f>
        <v>0</v>
      </c>
      <c r="DX2" s="11">
        <f>IF(ISNUMBER(SEARCH(",PD-L1 TPS ≥ 50%,",","&amp;SUBSTITUTE(K2,", ",",")&amp;",")),1,0)</f>
        <v>1</v>
      </c>
      <c r="DY2" s="11">
        <f>IF(ISNUMBER(SEARCH(",RAS,",","&amp;SUBSTITUTE(K2,", ",",")&amp;",")),1,0)</f>
        <v>0</v>
      </c>
      <c r="DZ2" s="11">
        <f>IF(ISNUMBER(SEARCH(",RET,",","&amp;SUBSTITUTE(K2,", ",",")&amp;",")),1,0)</f>
        <v>0</v>
      </c>
      <c r="EA2" s="11">
        <f>IF(ISNUMBER(SEARCH(",ROS1,",","&amp;SUBSTITUTE(K2,", ",",")&amp;",")),1,0)</f>
        <v>0</v>
      </c>
      <c r="EB2" s="11">
        <f>IF(ISNUMBER(SEARCH(",TROP2,",","&amp;SUBSTITUTE(K2,", ",",")&amp;",")),1,0)</f>
        <v>0</v>
      </c>
      <c r="EC2" s="11">
        <f>IF(ISNUMBER(SEARCH(",c-MET/MET,",","&amp;SUBSTITUTE(K2,", ",",")&amp;",")),1,0)</f>
        <v>0</v>
      </c>
      <c r="ED2" s="11">
        <f>IF(ISNUMBER(SEARCH(",c-MET/MET Exon 14,",","&amp;SUBSTITUTE(K2,", ",",")&amp;",")),1,0)</f>
        <v>0</v>
      </c>
      <c r="EE2" s="11">
        <f>IF(ISNUMBER(SEARCH(",ctDNA/cfDNA,",","&amp;SUBSTITUTE(K2,", ",",")&amp;",")),1,0)</f>
        <v>0</v>
      </c>
    </row>
    <row r="3" spans="1:135" ht="15" customHeight="1" x14ac:dyDescent="0.2">
      <c r="A3" s="3" t="s">
        <v>1132</v>
      </c>
      <c r="B3" s="3" t="s">
        <v>1133</v>
      </c>
      <c r="C3" s="3" t="s">
        <v>194</v>
      </c>
      <c r="D3" s="3" t="s">
        <v>194</v>
      </c>
      <c r="E3" s="3"/>
      <c r="F3" s="3" t="s">
        <v>259</v>
      </c>
      <c r="G3" s="3"/>
      <c r="H3" s="3" t="s">
        <v>114</v>
      </c>
      <c r="I3" s="3" t="s">
        <v>1137</v>
      </c>
      <c r="J3" s="3" t="s">
        <v>898</v>
      </c>
      <c r="K3" s="3" t="s">
        <v>1364</v>
      </c>
      <c r="L3" s="3" t="s">
        <v>119</v>
      </c>
      <c r="M3" s="3" t="s">
        <v>113</v>
      </c>
      <c r="N3" s="3" t="s">
        <v>120</v>
      </c>
      <c r="O3" s="3" t="s">
        <v>120</v>
      </c>
      <c r="P3" s="3" t="s">
        <v>1363</v>
      </c>
      <c r="Q3" s="10" t="str">
        <f>IF(F3="Stage IV","Stage IV Only",IF(AND(ISNUMBER(SEARCH("IV",F3)),LEN(F3)&gt;LEN("Stage IV")),"Stage IV + Other",IF(AND(ISNUMBER(SEARCH("III",F3)),NOT(ISNUMBER(SEARCH("IV",F3)))),"Stage III Only","Other")))</f>
        <v>Stage IV Only</v>
      </c>
      <c r="R3" s="10" t="str">
        <f>IF(AND(ISNUMBER(SEARCH("Non-squamous",G3)),ISNUMBER(SEARCH("Squamous",SUBSTITUTE(G3,"Non-squamous","")))),"Both",IF(ISNUMBER(SEARCH("Non-squamous",G3)),"Non-squamous",IF(ISNUMBER(SEARCH("Squamous",G3)),"Squamous","Unspecified")))</f>
        <v>Unspecified</v>
      </c>
      <c r="S3" s="10" t="str">
        <f>IF(OR(ISNUMBER(SEARCH("TPS ≥ 50%",K3)),ISNUMBER(SEARCH("TC ≥ 50%",K3))),"TPS ≥ 50%",IF(OR(ISNUMBER(SEARCH("TPS ≥ 1%",K3)),ISNUMBER(SEARCH("TC ≥ 1%",K3)),ISNUMBER(SEARCH("TPS &lt; 50%",K3)),ISNUMBER(SEARCH("IC ≥ 1%",K3))),"TPS 1-49%","All-comers"))</f>
        <v>TPS 1-49%</v>
      </c>
      <c r="T3" s="10">
        <f>IF(H3="Phase III",1,0)</f>
        <v>1</v>
      </c>
      <c r="U3" s="10">
        <f>IF(L3="Yes",1,0)</f>
        <v>0</v>
      </c>
      <c r="V3" s="11">
        <f>IF(ISNUMBER(SEARCH(",ALK,",","&amp;SUBSTITUTE(I3,", ",",")&amp;",")),1,0)</f>
        <v>0</v>
      </c>
      <c r="W3" s="11">
        <f>IF(ISNUMBER(SEARCH(",ALK L1196M,",","&amp;SUBSTITUTE(I3,", ",",")&amp;",")),1,0)</f>
        <v>0</v>
      </c>
      <c r="X3" s="11">
        <f>IF(ISNUMBER(SEARCH(",AXL,",","&amp;SUBSTITUTE(I3,", ",",")&amp;",")),1,0)</f>
        <v>0</v>
      </c>
      <c r="Y3" s="11">
        <f>IF(ISNUMBER(SEARCH(",B7-H1,",","&amp;SUBSTITUTE(I3,", ",",")&amp;",")),1,0)</f>
        <v>0</v>
      </c>
      <c r="Z3" s="11">
        <f>IF(ISNUMBER(SEARCH(",CD152,",","&amp;SUBSTITUTE(I3,", ",",")&amp;",")),1,0)</f>
        <v>0</v>
      </c>
      <c r="AA3" s="11">
        <f>IF(ISNUMBER(SEARCH(",CD274,",","&amp;SUBSTITUTE(I3,", ",",")&amp;",")),1,0)</f>
        <v>0</v>
      </c>
      <c r="AB3" s="11">
        <f>IF(ISNUMBER(SEARCH(",CD279,",","&amp;SUBSTITUTE(I3,", ",",")&amp;",")),1,0)</f>
        <v>1</v>
      </c>
      <c r="AC3" s="11">
        <f>IF(ISNUMBER(SEARCH(",CD73,",","&amp;SUBSTITUTE(I3,", ",",")&amp;",")),1,0)</f>
        <v>0</v>
      </c>
      <c r="AD3" s="11">
        <f>IF(ISNUMBER(SEARCH(",CEA,",","&amp;SUBSTITUTE(I3,", ",",")&amp;",")),1,0)</f>
        <v>0</v>
      </c>
      <c r="AE3" s="11">
        <f>IF(ISNUMBER(SEARCH(",CTLA-4,",","&amp;SUBSTITUTE(I3,", ",",")&amp;",")),1,0)</f>
        <v>0</v>
      </c>
      <c r="AF3" s="11">
        <f>IF(ISNUMBER(SEARCH(",EGFR,",","&amp;SUBSTITUTE(I3,", ",",")&amp;",")),1,0)</f>
        <v>0</v>
      </c>
      <c r="AG3" s="11">
        <f>IF(ISNUMBER(SEARCH(",EGFR C797G,",","&amp;SUBSTITUTE(I3,", ",",")&amp;",")),1,0)</f>
        <v>0</v>
      </c>
      <c r="AH3" s="11">
        <f>IF(ISNUMBER(SEARCH(",EGFR C797S,",","&amp;SUBSTITUTE(I3,", ",",")&amp;",")),1,0)</f>
        <v>0</v>
      </c>
      <c r="AI3" s="11">
        <f>IF(ISNUMBER(SEARCH(",EGFR Exon 19-del,",","&amp;SUBSTITUTE(I3,", ",",")&amp;",")),1,0)</f>
        <v>0</v>
      </c>
      <c r="AJ3" s="11">
        <f>IF(ISNUMBER(SEARCH(",EGFR Exon 20,",","&amp;SUBSTITUTE(I3,", ",",")&amp;",")),1,0)</f>
        <v>0</v>
      </c>
      <c r="AK3" s="11">
        <f>IF(ISNUMBER(SEARCH(",EGFR L858R,",","&amp;SUBSTITUTE(I3,", ",",")&amp;",")),1,0)</f>
        <v>0</v>
      </c>
      <c r="AL3" s="11">
        <f>IF(ISNUMBER(SEARCH(",EGFR T790M,",","&amp;SUBSTITUTE(I3,", ",",")&amp;",")),1,0)</f>
        <v>0</v>
      </c>
      <c r="AM3" s="11">
        <f>IF(ISNUMBER(SEARCH(",ERBB,",","&amp;SUBSTITUTE(I3,", ",",")&amp;",")),1,0)</f>
        <v>0</v>
      </c>
      <c r="AN3" s="11">
        <f>IF(ISNUMBER(SEARCH(",ERBB3,",","&amp;SUBSTITUTE(I3,", ",",")&amp;",")),1,0)</f>
        <v>0</v>
      </c>
      <c r="AO3" s="11">
        <f>IF(ISNUMBER(SEARCH(",FAK,",","&amp;SUBSTITUTE(I3,", ",",")&amp;",")),1,0)</f>
        <v>0</v>
      </c>
      <c r="AP3" s="11">
        <f>IF(ISNUMBER(SEARCH(",GARP,",","&amp;SUBSTITUTE(I3,", ",",")&amp;",")),1,0)</f>
        <v>0</v>
      </c>
      <c r="AQ3" s="11">
        <f>IF(ISNUMBER(SEARCH(",HER1,",","&amp;SUBSTITUTE(I3,", ",",")&amp;",")),1,0)</f>
        <v>0</v>
      </c>
      <c r="AR3" s="11">
        <f>IF(ISNUMBER(SEARCH(",HER2,",","&amp;SUBSTITUTE(I3,", ",",")&amp;",")),1,0)</f>
        <v>0</v>
      </c>
      <c r="AS3" s="11">
        <f>IF(ISNUMBER(SEARCH(",HER2 Exon 20,",","&amp;SUBSTITUTE(I3,", ",",")&amp;",")),1,0)</f>
        <v>0</v>
      </c>
      <c r="AT3" s="11">
        <f>IF(ISNUMBER(SEARCH(",HER3,",","&amp;SUBSTITUTE(I3,", ",",")&amp;",")),1,0)</f>
        <v>0</v>
      </c>
      <c r="AU3" s="11">
        <f>IF(ISNUMBER(SEARCH(",HER4,",","&amp;SUBSTITUTE(I3,", ",",")&amp;",")),1,0)</f>
        <v>0</v>
      </c>
      <c r="AV3" s="11">
        <f>IF(ISNUMBER(SEARCH(",HRAS,",","&amp;SUBSTITUTE(I3,", ",",")&amp;",")),1,0)</f>
        <v>0</v>
      </c>
      <c r="AW3" s="11">
        <f>IF(ISNUMBER(SEARCH(",HSV-TK,",","&amp;SUBSTITUTE(I3,", ",",")&amp;",")),1,0)</f>
        <v>0</v>
      </c>
      <c r="AX3" s="11">
        <f>IF(ISNUMBER(SEARCH(",IL-12,",","&amp;SUBSTITUTE(I3,", ",",")&amp;",")),1,0)</f>
        <v>0</v>
      </c>
      <c r="AY3" s="11">
        <f>IF(ISNUMBER(SEARCH(",IL-15,",","&amp;SUBSTITUTE(I3,", ",",")&amp;",")),1,0)</f>
        <v>0</v>
      </c>
      <c r="AZ3" s="11">
        <f>IF(ISNUMBER(SEARCH(",IL-15R,",","&amp;SUBSTITUTE(I3,", ",",")&amp;",")),1,0)</f>
        <v>0</v>
      </c>
      <c r="BA3" s="11">
        <f>IF(ISNUMBER(SEARCH(",IL-2,",","&amp;SUBSTITUTE(I3,", ",",")&amp;",")),1,0)</f>
        <v>0</v>
      </c>
      <c r="BB3" s="11">
        <f>IF(ISNUMBER(SEARCH(",Integrin β6,",","&amp;SUBSTITUTE(I3,", ",",")&amp;",")),1,0)</f>
        <v>0</v>
      </c>
      <c r="BC3" s="11">
        <f>IF(ISNUMBER(SEARCH(",KDR,",","&amp;SUBSTITUTE(I3,", ",",")&amp;",")),1,0)</f>
        <v>0</v>
      </c>
      <c r="BD3" s="11">
        <f>IF(ISNUMBER(SEARCH(",KLRC1,",","&amp;SUBSTITUTE(I3,", ",",")&amp;",")),1,0)</f>
        <v>0</v>
      </c>
      <c r="BE3" s="11">
        <f>IF(ISNUMBER(SEARCH(",KRAS,",","&amp;SUBSTITUTE(I3,", ",",")&amp;",")),1,0)</f>
        <v>0</v>
      </c>
      <c r="BF3" s="11">
        <f>IF(ISNUMBER(SEARCH(",KRAS G12,",","&amp;SUBSTITUTE(I3,", ",",")&amp;",")),1,0)</f>
        <v>0</v>
      </c>
      <c r="BG3" s="11">
        <f>IF(ISNUMBER(SEARCH(",KRAS G12C,",","&amp;SUBSTITUTE(I3,", ",",")&amp;",")),1,0)</f>
        <v>1</v>
      </c>
      <c r="BH3" s="11">
        <f>IF(ISNUMBER(SEARCH(",KRAS G12D,",","&amp;SUBSTITUTE(I3,", ",",")&amp;",")),1,0)</f>
        <v>0</v>
      </c>
      <c r="BI3" s="11">
        <f>IF(ISNUMBER(SEARCH(",LAG-3,",","&amp;SUBSTITUTE(I3,", ",",")&amp;",")),1,0)</f>
        <v>0</v>
      </c>
      <c r="BJ3" s="11">
        <f>IF(ISNUMBER(SEARCH(",MAGE-A2,",","&amp;SUBSTITUTE(I3,", ",",")&amp;",")),1,0)</f>
        <v>0</v>
      </c>
      <c r="BK3" s="11">
        <f>IF(ISNUMBER(SEARCH(",MAGE-A3,",","&amp;SUBSTITUTE(I3,", ",",")&amp;",")),1,0)</f>
        <v>0</v>
      </c>
      <c r="BL3" s="11">
        <f>IF(ISNUMBER(SEARCH(",MLN19,",","&amp;SUBSTITUTE(I3,", ",",")&amp;",")),1,0)</f>
        <v>0</v>
      </c>
      <c r="BM3" s="11">
        <f>IF(ISNUMBER(SEARCH(",Microtubule,",","&amp;SUBSTITUTE(I3,", ",",")&amp;",")),1,0)</f>
        <v>0</v>
      </c>
      <c r="BN3" s="11">
        <f>IF(ISNUMBER(SEARCH(",NKG2A,",","&amp;SUBSTITUTE(I3,", ",",")&amp;",")),1,0)</f>
        <v>0</v>
      </c>
      <c r="BO3" s="11">
        <f>IF(ISNUMBER(SEARCH(",NRAS,",","&amp;SUBSTITUTE(I3,", ",",")&amp;",")),1,0)</f>
        <v>0</v>
      </c>
      <c r="BP3" s="11">
        <f>IF(ISNUMBER(SEARCH(",NTRK,",","&amp;SUBSTITUTE(I3,", ",",")&amp;",")),1,0)</f>
        <v>0</v>
      </c>
      <c r="BQ3" s="11">
        <f>IF(ISNUMBER(SEARCH(",PARP,",","&amp;SUBSTITUTE(I3,", ",",")&amp;",")),1,0)</f>
        <v>0</v>
      </c>
      <c r="BR3" s="11">
        <f>IF(ISNUMBER(SEARCH(",PD-1,",","&amp;SUBSTITUTE(I3,", ",",")&amp;",")),1,0)</f>
        <v>1</v>
      </c>
      <c r="BS3" s="11">
        <f>IF(ISNUMBER(SEARCH(",PD-L1,",","&amp;SUBSTITUTE(I3,", ",",")&amp;",")),1,0)</f>
        <v>0</v>
      </c>
      <c r="BT3" s="11">
        <f>IF(ISNUMBER(SEARCH(",PRMT5,",","&amp;SUBSTITUTE(I3,", ",",")&amp;",")),1,0)</f>
        <v>0</v>
      </c>
      <c r="BU3" s="11">
        <f>IF(ISNUMBER(SEARCH(",RAS,",","&amp;SUBSTITUTE(I3,", ",",")&amp;",")),1,0)</f>
        <v>0</v>
      </c>
      <c r="BV3" s="11">
        <f>IF(ISNUMBER(SEARCH(",RET,",","&amp;SUBSTITUTE(I3,", ",",")&amp;",")),1,0)</f>
        <v>0</v>
      </c>
      <c r="BW3" s="11">
        <f>IF(ISNUMBER(SEARCH(",ROS,",","&amp;SUBSTITUTE(I3,", ",",")&amp;",")),1,0)</f>
        <v>0</v>
      </c>
      <c r="BX3" s="11">
        <f>IF(ISNUMBER(SEARCH(",ROS1,",","&amp;SUBSTITUTE(I3,", ",",")&amp;",")),1,0)</f>
        <v>0</v>
      </c>
      <c r="BY3" s="11">
        <f>IF(ISNUMBER(SEARCH(",Src,",","&amp;SUBSTITUTE(I3,", ",",")&amp;",")),1,0)</f>
        <v>0</v>
      </c>
      <c r="BZ3" s="11">
        <f>IF(ISNUMBER(SEARCH(",TCGF,",","&amp;SUBSTITUTE(I3,", ",",")&amp;",")),1,0)</f>
        <v>0</v>
      </c>
      <c r="CA3" s="11">
        <f>IF(ISNUMBER(SEARCH(",TGF-β,",","&amp;SUBSTITUTE(I3,", ",",")&amp;",")),1,0)</f>
        <v>0</v>
      </c>
      <c r="CB3" s="11">
        <f>IF(ISNUMBER(SEARCH(",TGF-β1,",","&amp;SUBSTITUTE(I3,", ",",")&amp;",")),1,0)</f>
        <v>0</v>
      </c>
      <c r="CC3" s="11">
        <f>IF(ISNUMBER(SEARCH(",TIGIT,",","&amp;SUBSTITUTE(I3,", ",",")&amp;",")),1,0)</f>
        <v>0</v>
      </c>
      <c r="CD3" s="11">
        <f>IF(ISNUMBER(SEARCH(",TLR,",","&amp;SUBSTITUTE(I3,", ",",")&amp;",")),1,0)</f>
        <v>0</v>
      </c>
      <c r="CE3" s="11">
        <f>IF(ISNUMBER(SEARCH(",TLR7/8,",","&amp;SUBSTITUTE(I3,", ",",")&amp;",")),1,0)</f>
        <v>0</v>
      </c>
      <c r="CF3" s="11">
        <f>IF(ISNUMBER(SEARCH(",TRK,",","&amp;SUBSTITUTE(I3,", ",",")&amp;",")),1,0)</f>
        <v>0</v>
      </c>
      <c r="CG3" s="11">
        <f>IF(ISNUMBER(SEARCH(",TROP2,",","&amp;SUBSTITUTE(I3,", ",",")&amp;",")),1,0)</f>
        <v>0</v>
      </c>
      <c r="CH3" s="11">
        <f>IF(ISNUMBER(SEARCH(",TS,",","&amp;SUBSTITUTE(I3,", ",",")&amp;",")),1,0)</f>
        <v>0</v>
      </c>
      <c r="CI3" s="11">
        <f>IF(ISNUMBER(SEARCH(",TYMS,",","&amp;SUBSTITUTE(I3,", ",",")&amp;",")),1,0)</f>
        <v>0</v>
      </c>
      <c r="CJ3" s="11">
        <f>IF(ISNUMBER(SEARCH(",VEGF,",","&amp;SUBSTITUTE(I3,", ",",")&amp;",")),1,0)</f>
        <v>0</v>
      </c>
      <c r="CK3" s="11">
        <f>IF(ISNUMBER(SEARCH(",VEGFA,",","&amp;SUBSTITUTE(I3,", ",",")&amp;",")),1,0)</f>
        <v>0</v>
      </c>
      <c r="CL3" s="11">
        <f>IF(ISNUMBER(SEARCH(",VEGFR2,",","&amp;SUBSTITUTE(I3,", ",",")&amp;",")),1,0)</f>
        <v>0</v>
      </c>
      <c r="CM3" s="11">
        <f>IF(ISNUMBER(SEARCH(",c-MET/MET,",","&amp;SUBSTITUTE(I3,", ",",")&amp;",")),1,0)</f>
        <v>0</v>
      </c>
      <c r="CN3" s="11">
        <f>IF(ISNUMBER(SEARCH(",p53,",","&amp;SUBSTITUTE(I3,", ",",")&amp;",")),1,0)</f>
        <v>0</v>
      </c>
      <c r="CO3" s="11">
        <f>IF(ISNUMBER(SEARCH(",pan-KRAS,",","&amp;SUBSTITUTE(I3,", ",",")&amp;",")),1,0)</f>
        <v>0</v>
      </c>
      <c r="CP3" s="11">
        <f>IF(ISNUMBER(SEARCH(",ALK,",","&amp;SUBSTITUTE(K3,", ",",")&amp;",")),1,0)</f>
        <v>0</v>
      </c>
      <c r="CQ3" s="11">
        <f>IF(ISNUMBER(SEARCH(",BRAF V600E,",","&amp;SUBSTITUTE(K3,", ",",")&amp;",")),1,0)</f>
        <v>0</v>
      </c>
      <c r="CR3" s="11">
        <f>IF(ISNUMBER(SEARCH(",EGFR,",","&amp;SUBSTITUTE(K3,", ",",")&amp;",")),1,0)</f>
        <v>0</v>
      </c>
      <c r="CS3" s="11">
        <f>IF(ISNUMBER(SEARCH(",EGFR Exon 18,",","&amp;SUBSTITUTE(K3,", ",",")&amp;",")),1,0)</f>
        <v>0</v>
      </c>
      <c r="CT3" s="11">
        <f>IF(ISNUMBER(SEARCH(",EGFR Exon 19-del,",","&amp;SUBSTITUTE(K3,", ",",")&amp;",")),1,0)</f>
        <v>0</v>
      </c>
      <c r="CU3" s="11">
        <f>IF(ISNUMBER(SEARCH(",EGFR Exon 20,",","&amp;SUBSTITUTE(K3,", ",",")&amp;",")),1,0)</f>
        <v>0</v>
      </c>
      <c r="CV3" s="11">
        <f>IF(ISNUMBER(SEARCH(",EGFR Exon 20-ins,",","&amp;SUBSTITUTE(K3,", ",",")&amp;",")),1,0)</f>
        <v>0</v>
      </c>
      <c r="CW3" s="11">
        <f>IF(ISNUMBER(SEARCH(",EGFR Exon 21,",","&amp;SUBSTITUTE(K3,", ",",")&amp;",")),1,0)</f>
        <v>0</v>
      </c>
      <c r="CX3" s="11">
        <f>IF(ISNUMBER(SEARCH(",EGFR G719A,",","&amp;SUBSTITUTE(K3,", ",",")&amp;",")),1,0)</f>
        <v>0</v>
      </c>
      <c r="CY3" s="11">
        <f>IF(ISNUMBER(SEARCH(",EGFR G719C,",","&amp;SUBSTITUTE(K3,", ",",")&amp;",")),1,0)</f>
        <v>0</v>
      </c>
      <c r="CZ3" s="11">
        <f>IF(ISNUMBER(SEARCH(",EGFR G719S,",","&amp;SUBSTITUTE(K3,", ",",")&amp;",")),1,0)</f>
        <v>0</v>
      </c>
      <c r="DA3" s="11">
        <f>IF(ISNUMBER(SEARCH(",EGFR G719X,",","&amp;SUBSTITUTE(K3,", ",",")&amp;",")),1,0)</f>
        <v>0</v>
      </c>
      <c r="DB3" s="11">
        <f>IF(ISNUMBER(SEARCH(",EGFR L858R,",","&amp;SUBSTITUTE(K3,", ",",")&amp;",")),1,0)</f>
        <v>0</v>
      </c>
      <c r="DC3" s="11">
        <f>IF(ISNUMBER(SEARCH(",EGFR L861Q,",","&amp;SUBSTITUTE(K3,", ",",")&amp;",")),1,0)</f>
        <v>0</v>
      </c>
      <c r="DD3" s="11">
        <f>IF(ISNUMBER(SEARCH(",EGFR PACC,",","&amp;SUBSTITUTE(K3,", ",",")&amp;",")),1,0)</f>
        <v>0</v>
      </c>
      <c r="DE3" s="11">
        <f>IF(ISNUMBER(SEARCH(",EGFR S768I,",","&amp;SUBSTITUTE(K3,", ",",")&amp;",")),1,0)</f>
        <v>0</v>
      </c>
      <c r="DF3" s="11">
        <f>IF(ISNUMBER(SEARCH(",EGFR T790M,",","&amp;SUBSTITUTE(K3,", ",",")&amp;",")),1,0)</f>
        <v>0</v>
      </c>
      <c r="DG3" s="11">
        <f>IF(ISNUMBER(SEARCH(",EML4-ALK,",","&amp;SUBSTITUTE(K3,", ",",")&amp;",")),1,0)</f>
        <v>0</v>
      </c>
      <c r="DH3" s="11">
        <f>IF(ISNUMBER(SEARCH(",HER2,",","&amp;SUBSTITUTE(K3,", ",",")&amp;",")),1,0)</f>
        <v>0</v>
      </c>
      <c r="DI3" s="11">
        <f>IF(ISNUMBER(SEARCH(",HER2 Exon 19,",","&amp;SUBSTITUTE(K3,", ",",")&amp;",")),1,0)</f>
        <v>0</v>
      </c>
      <c r="DJ3" s="11">
        <f>IF(ISNUMBER(SEARCH(",HER2 Exon 20,",","&amp;SUBSTITUTE(K3,", ",",")&amp;",")),1,0)</f>
        <v>0</v>
      </c>
      <c r="DK3" s="11">
        <f>IF(ISNUMBER(SEARCH(",HER2 mut,",","&amp;SUBSTITUTE(K3,", ",",")&amp;",")),1,0)</f>
        <v>0</v>
      </c>
      <c r="DL3" s="11">
        <f>IF(ISNUMBER(SEARCH(",HLA-A2,",","&amp;SUBSTITUTE(K3,", ",",")&amp;",")),1,0)</f>
        <v>0</v>
      </c>
      <c r="DM3" s="11">
        <f>IF(ISNUMBER(SEARCH(",HRAS,",","&amp;SUBSTITUTE(K3,", ",",")&amp;",")),1,0)</f>
        <v>0</v>
      </c>
      <c r="DN3" s="11">
        <f>IF(ISNUMBER(SEARCH(",KRAS,",","&amp;SUBSTITUTE(K3,", ",",")&amp;",")),1,0)</f>
        <v>0</v>
      </c>
      <c r="DO3" s="11">
        <f>IF(ISNUMBER(SEARCH(",KRAS G12C,",","&amp;SUBSTITUTE(K3,", ",",")&amp;",")),1,0)</f>
        <v>1</v>
      </c>
      <c r="DP3" s="11">
        <f>IF(ISNUMBER(SEARCH(",NRAS,",","&amp;SUBSTITUTE(K3,", ",",")&amp;",")),1,0)</f>
        <v>0</v>
      </c>
      <c r="DQ3" s="11">
        <f>IF(ISNUMBER(SEARCH(",NTRK,",","&amp;SUBSTITUTE(K3,", ",",")&amp;",")),1,0)</f>
        <v>0</v>
      </c>
      <c r="DR3" s="11">
        <f>IF(ISNUMBER(SEARCH(",PD-L1,",","&amp;SUBSTITUTE(K3,", ",",")&amp;",")),1,0)</f>
        <v>0</v>
      </c>
      <c r="DS3" s="11">
        <f>IF(ISNUMBER(SEARCH(",PD-L1 IC ≥ 1%,",","&amp;SUBSTITUTE(K3,", ",",")&amp;",")),1,0)</f>
        <v>0</v>
      </c>
      <c r="DT3" s="11">
        <f>IF(ISNUMBER(SEARCH(",PD-L1 TC ≥ 1%,",","&amp;SUBSTITUTE(K3,", ",",")&amp;",")),1,0)</f>
        <v>0</v>
      </c>
      <c r="DU3" s="11">
        <f>IF(ISNUMBER(SEARCH(",PD-L1 TC ≥ 50%,",","&amp;SUBSTITUTE(K3,", ",",")&amp;",")),1,0)</f>
        <v>0</v>
      </c>
      <c r="DV3" s="11">
        <f>IF(ISNUMBER(SEARCH(",PD-L1 TPS &lt; 50%,",","&amp;SUBSTITUTE(K3,", ",",")&amp;",")),1,0)</f>
        <v>1</v>
      </c>
      <c r="DW3" s="11">
        <f>IF(ISNUMBER(SEARCH(",PD-L1 TPS ≥ 1%,",","&amp;SUBSTITUTE(K3,", ",",")&amp;",")),1,0)</f>
        <v>0</v>
      </c>
      <c r="DX3" s="11">
        <f>IF(ISNUMBER(SEARCH(",PD-L1 TPS ≥ 50%,",","&amp;SUBSTITUTE(K3,", ",",")&amp;",")),1,0)</f>
        <v>0</v>
      </c>
      <c r="DY3" s="11">
        <f>IF(ISNUMBER(SEARCH(",RAS,",","&amp;SUBSTITUTE(K3,", ",",")&amp;",")),1,0)</f>
        <v>0</v>
      </c>
      <c r="DZ3" s="11">
        <f>IF(ISNUMBER(SEARCH(",RET,",","&amp;SUBSTITUTE(K3,", ",",")&amp;",")),1,0)</f>
        <v>0</v>
      </c>
      <c r="EA3" s="11">
        <f>IF(ISNUMBER(SEARCH(",ROS1,",","&amp;SUBSTITUTE(K3,", ",",")&amp;",")),1,0)</f>
        <v>0</v>
      </c>
      <c r="EB3" s="11">
        <f>IF(ISNUMBER(SEARCH(",TROP2,",","&amp;SUBSTITUTE(K3,", ",",")&amp;",")),1,0)</f>
        <v>0</v>
      </c>
      <c r="EC3" s="11">
        <f>IF(ISNUMBER(SEARCH(",c-MET/MET,",","&amp;SUBSTITUTE(K3,", ",",")&amp;",")),1,0)</f>
        <v>0</v>
      </c>
      <c r="ED3" s="11">
        <f>IF(ISNUMBER(SEARCH(",c-MET/MET Exon 14,",","&amp;SUBSTITUTE(K3,", ",",")&amp;",")),1,0)</f>
        <v>0</v>
      </c>
      <c r="EE3" s="11">
        <f>IF(ISNUMBER(SEARCH(",ctDNA/cfDNA,",","&amp;SUBSTITUTE(K3,", ",",")&amp;",")),1,0)</f>
        <v>0</v>
      </c>
    </row>
    <row r="4" spans="1:135" ht="15" customHeight="1" x14ac:dyDescent="0.2">
      <c r="A4" s="3" t="s">
        <v>1132</v>
      </c>
      <c r="B4" s="3" t="s">
        <v>1133</v>
      </c>
      <c r="C4" s="3" t="s">
        <v>194</v>
      </c>
      <c r="D4" s="3" t="s">
        <v>194</v>
      </c>
      <c r="E4" s="3" t="s">
        <v>1134</v>
      </c>
      <c r="F4" s="3" t="s">
        <v>259</v>
      </c>
      <c r="G4" s="3"/>
      <c r="H4" s="3" t="s">
        <v>114</v>
      </c>
      <c r="I4" s="3" t="s">
        <v>1137</v>
      </c>
      <c r="J4" s="3" t="s">
        <v>898</v>
      </c>
      <c r="K4" s="3" t="s">
        <v>1378</v>
      </c>
      <c r="L4" s="3" t="s">
        <v>119</v>
      </c>
      <c r="M4" s="3" t="s">
        <v>113</v>
      </c>
      <c r="N4" s="3" t="s">
        <v>120</v>
      </c>
      <c r="O4" s="3" t="s">
        <v>120</v>
      </c>
      <c r="P4" s="3" t="s">
        <v>1371</v>
      </c>
      <c r="Q4" s="10" t="str">
        <f>IF(F4="Stage IV","Stage IV Only",IF(AND(ISNUMBER(SEARCH("IV",F4)),LEN(F4)&gt;LEN("Stage IV")),"Stage IV + Other",IF(AND(ISNUMBER(SEARCH("III",F4)),NOT(ISNUMBER(SEARCH("IV",F4)))),"Stage III Only","Other")))</f>
        <v>Stage IV Only</v>
      </c>
      <c r="R4" s="10" t="str">
        <f>IF(AND(ISNUMBER(SEARCH("Non-squamous",G4)),ISNUMBER(SEARCH("Squamous",SUBSTITUTE(G4,"Non-squamous","")))),"Both",IF(ISNUMBER(SEARCH("Non-squamous",G4)),"Non-squamous",IF(ISNUMBER(SEARCH("Squamous",G4)),"Squamous","Unspecified")))</f>
        <v>Unspecified</v>
      </c>
      <c r="S4" s="10" t="str">
        <f>IF(OR(ISNUMBER(SEARCH("TPS ≥ 50%",K4)),ISNUMBER(SEARCH("TC ≥ 50%",K4))),"TPS ≥ 50%",IF(OR(ISNUMBER(SEARCH("TPS ≥ 1%",K4)),ISNUMBER(SEARCH("TC ≥ 1%",K4)),ISNUMBER(SEARCH("TPS &lt; 50%",K4)),ISNUMBER(SEARCH("IC ≥ 1%",K4))),"TPS 1-49%","All-comers"))</f>
        <v>All-comers</v>
      </c>
      <c r="T4" s="10">
        <f>IF(H4="Phase III",1,0)</f>
        <v>1</v>
      </c>
      <c r="U4" s="10">
        <f>IF(L4="Yes",1,0)</f>
        <v>0</v>
      </c>
      <c r="V4" s="11">
        <f>IF(ISNUMBER(SEARCH(",ALK,",","&amp;SUBSTITUTE(I4,", ",",")&amp;",")),1,0)</f>
        <v>0</v>
      </c>
      <c r="W4" s="11">
        <f>IF(ISNUMBER(SEARCH(",ALK L1196M,",","&amp;SUBSTITUTE(I4,", ",",")&amp;",")),1,0)</f>
        <v>0</v>
      </c>
      <c r="X4" s="11">
        <f>IF(ISNUMBER(SEARCH(",AXL,",","&amp;SUBSTITUTE(I4,", ",",")&amp;",")),1,0)</f>
        <v>0</v>
      </c>
      <c r="Y4" s="11">
        <f>IF(ISNUMBER(SEARCH(",B7-H1,",","&amp;SUBSTITUTE(I4,", ",",")&amp;",")),1,0)</f>
        <v>0</v>
      </c>
      <c r="Z4" s="11">
        <f>IF(ISNUMBER(SEARCH(",CD152,",","&amp;SUBSTITUTE(I4,", ",",")&amp;",")),1,0)</f>
        <v>0</v>
      </c>
      <c r="AA4" s="11">
        <f>IF(ISNUMBER(SEARCH(",CD274,",","&amp;SUBSTITUTE(I4,", ",",")&amp;",")),1,0)</f>
        <v>0</v>
      </c>
      <c r="AB4" s="11">
        <f>IF(ISNUMBER(SEARCH(",CD279,",","&amp;SUBSTITUTE(I4,", ",",")&amp;",")),1,0)</f>
        <v>1</v>
      </c>
      <c r="AC4" s="11">
        <f>IF(ISNUMBER(SEARCH(",CD73,",","&amp;SUBSTITUTE(I4,", ",",")&amp;",")),1,0)</f>
        <v>0</v>
      </c>
      <c r="AD4" s="11">
        <f>IF(ISNUMBER(SEARCH(",CEA,",","&amp;SUBSTITUTE(I4,", ",",")&amp;",")),1,0)</f>
        <v>0</v>
      </c>
      <c r="AE4" s="11">
        <f>IF(ISNUMBER(SEARCH(",CTLA-4,",","&amp;SUBSTITUTE(I4,", ",",")&amp;",")),1,0)</f>
        <v>0</v>
      </c>
      <c r="AF4" s="11">
        <f>IF(ISNUMBER(SEARCH(",EGFR,",","&amp;SUBSTITUTE(I4,", ",",")&amp;",")),1,0)</f>
        <v>0</v>
      </c>
      <c r="AG4" s="11">
        <f>IF(ISNUMBER(SEARCH(",EGFR C797G,",","&amp;SUBSTITUTE(I4,", ",",")&amp;",")),1,0)</f>
        <v>0</v>
      </c>
      <c r="AH4" s="11">
        <f>IF(ISNUMBER(SEARCH(",EGFR C797S,",","&amp;SUBSTITUTE(I4,", ",",")&amp;",")),1,0)</f>
        <v>0</v>
      </c>
      <c r="AI4" s="11">
        <f>IF(ISNUMBER(SEARCH(",EGFR Exon 19-del,",","&amp;SUBSTITUTE(I4,", ",",")&amp;",")),1,0)</f>
        <v>0</v>
      </c>
      <c r="AJ4" s="11">
        <f>IF(ISNUMBER(SEARCH(",EGFR Exon 20,",","&amp;SUBSTITUTE(I4,", ",",")&amp;",")),1,0)</f>
        <v>0</v>
      </c>
      <c r="AK4" s="11">
        <f>IF(ISNUMBER(SEARCH(",EGFR L858R,",","&amp;SUBSTITUTE(I4,", ",",")&amp;",")),1,0)</f>
        <v>0</v>
      </c>
      <c r="AL4" s="11">
        <f>IF(ISNUMBER(SEARCH(",EGFR T790M,",","&amp;SUBSTITUTE(I4,", ",",")&amp;",")),1,0)</f>
        <v>0</v>
      </c>
      <c r="AM4" s="11">
        <f>IF(ISNUMBER(SEARCH(",ERBB,",","&amp;SUBSTITUTE(I4,", ",",")&amp;",")),1,0)</f>
        <v>0</v>
      </c>
      <c r="AN4" s="11">
        <f>IF(ISNUMBER(SEARCH(",ERBB3,",","&amp;SUBSTITUTE(I4,", ",",")&amp;",")),1,0)</f>
        <v>0</v>
      </c>
      <c r="AO4" s="11">
        <f>IF(ISNUMBER(SEARCH(",FAK,",","&amp;SUBSTITUTE(I4,", ",",")&amp;",")),1,0)</f>
        <v>0</v>
      </c>
      <c r="AP4" s="11">
        <f>IF(ISNUMBER(SEARCH(",GARP,",","&amp;SUBSTITUTE(I4,", ",",")&amp;",")),1,0)</f>
        <v>0</v>
      </c>
      <c r="AQ4" s="11">
        <f>IF(ISNUMBER(SEARCH(",HER1,",","&amp;SUBSTITUTE(I4,", ",",")&amp;",")),1,0)</f>
        <v>0</v>
      </c>
      <c r="AR4" s="11">
        <f>IF(ISNUMBER(SEARCH(",HER2,",","&amp;SUBSTITUTE(I4,", ",",")&amp;",")),1,0)</f>
        <v>0</v>
      </c>
      <c r="AS4" s="11">
        <f>IF(ISNUMBER(SEARCH(",HER2 Exon 20,",","&amp;SUBSTITUTE(I4,", ",",")&amp;",")),1,0)</f>
        <v>0</v>
      </c>
      <c r="AT4" s="11">
        <f>IF(ISNUMBER(SEARCH(",HER3,",","&amp;SUBSTITUTE(I4,", ",",")&amp;",")),1,0)</f>
        <v>0</v>
      </c>
      <c r="AU4" s="11">
        <f>IF(ISNUMBER(SEARCH(",HER4,",","&amp;SUBSTITUTE(I4,", ",",")&amp;",")),1,0)</f>
        <v>0</v>
      </c>
      <c r="AV4" s="11">
        <f>IF(ISNUMBER(SEARCH(",HRAS,",","&amp;SUBSTITUTE(I4,", ",",")&amp;",")),1,0)</f>
        <v>0</v>
      </c>
      <c r="AW4" s="11">
        <f>IF(ISNUMBER(SEARCH(",HSV-TK,",","&amp;SUBSTITUTE(I4,", ",",")&amp;",")),1,0)</f>
        <v>0</v>
      </c>
      <c r="AX4" s="11">
        <f>IF(ISNUMBER(SEARCH(",IL-12,",","&amp;SUBSTITUTE(I4,", ",",")&amp;",")),1,0)</f>
        <v>0</v>
      </c>
      <c r="AY4" s="11">
        <f>IF(ISNUMBER(SEARCH(",IL-15,",","&amp;SUBSTITUTE(I4,", ",",")&amp;",")),1,0)</f>
        <v>0</v>
      </c>
      <c r="AZ4" s="11">
        <f>IF(ISNUMBER(SEARCH(",IL-15R,",","&amp;SUBSTITUTE(I4,", ",",")&amp;",")),1,0)</f>
        <v>0</v>
      </c>
      <c r="BA4" s="11">
        <f>IF(ISNUMBER(SEARCH(",IL-2,",","&amp;SUBSTITUTE(I4,", ",",")&amp;",")),1,0)</f>
        <v>0</v>
      </c>
      <c r="BB4" s="11">
        <f>IF(ISNUMBER(SEARCH(",Integrin β6,",","&amp;SUBSTITUTE(I4,", ",",")&amp;",")),1,0)</f>
        <v>0</v>
      </c>
      <c r="BC4" s="11">
        <f>IF(ISNUMBER(SEARCH(",KDR,",","&amp;SUBSTITUTE(I4,", ",",")&amp;",")),1,0)</f>
        <v>0</v>
      </c>
      <c r="BD4" s="11">
        <f>IF(ISNUMBER(SEARCH(",KLRC1,",","&amp;SUBSTITUTE(I4,", ",",")&amp;",")),1,0)</f>
        <v>0</v>
      </c>
      <c r="BE4" s="11">
        <f>IF(ISNUMBER(SEARCH(",KRAS,",","&amp;SUBSTITUTE(I4,", ",",")&amp;",")),1,0)</f>
        <v>0</v>
      </c>
      <c r="BF4" s="11">
        <f>IF(ISNUMBER(SEARCH(",KRAS G12,",","&amp;SUBSTITUTE(I4,", ",",")&amp;",")),1,0)</f>
        <v>0</v>
      </c>
      <c r="BG4" s="11">
        <f>IF(ISNUMBER(SEARCH(",KRAS G12C,",","&amp;SUBSTITUTE(I4,", ",",")&amp;",")),1,0)</f>
        <v>1</v>
      </c>
      <c r="BH4" s="11">
        <f>IF(ISNUMBER(SEARCH(",KRAS G12D,",","&amp;SUBSTITUTE(I4,", ",",")&amp;",")),1,0)</f>
        <v>0</v>
      </c>
      <c r="BI4" s="11">
        <f>IF(ISNUMBER(SEARCH(",LAG-3,",","&amp;SUBSTITUTE(I4,", ",",")&amp;",")),1,0)</f>
        <v>0</v>
      </c>
      <c r="BJ4" s="11">
        <f>IF(ISNUMBER(SEARCH(",MAGE-A2,",","&amp;SUBSTITUTE(I4,", ",",")&amp;",")),1,0)</f>
        <v>0</v>
      </c>
      <c r="BK4" s="11">
        <f>IF(ISNUMBER(SEARCH(",MAGE-A3,",","&amp;SUBSTITUTE(I4,", ",",")&amp;",")),1,0)</f>
        <v>0</v>
      </c>
      <c r="BL4" s="11">
        <f>IF(ISNUMBER(SEARCH(",MLN19,",","&amp;SUBSTITUTE(I4,", ",",")&amp;",")),1,0)</f>
        <v>0</v>
      </c>
      <c r="BM4" s="11">
        <f>IF(ISNUMBER(SEARCH(",Microtubule,",","&amp;SUBSTITUTE(I4,", ",",")&amp;",")),1,0)</f>
        <v>0</v>
      </c>
      <c r="BN4" s="11">
        <f>IF(ISNUMBER(SEARCH(",NKG2A,",","&amp;SUBSTITUTE(I4,", ",",")&amp;",")),1,0)</f>
        <v>0</v>
      </c>
      <c r="BO4" s="11">
        <f>IF(ISNUMBER(SEARCH(",NRAS,",","&amp;SUBSTITUTE(I4,", ",",")&amp;",")),1,0)</f>
        <v>0</v>
      </c>
      <c r="BP4" s="11">
        <f>IF(ISNUMBER(SEARCH(",NTRK,",","&amp;SUBSTITUTE(I4,", ",",")&amp;",")),1,0)</f>
        <v>0</v>
      </c>
      <c r="BQ4" s="11">
        <f>IF(ISNUMBER(SEARCH(",PARP,",","&amp;SUBSTITUTE(I4,", ",",")&amp;",")),1,0)</f>
        <v>0</v>
      </c>
      <c r="BR4" s="11">
        <f>IF(ISNUMBER(SEARCH(",PD-1,",","&amp;SUBSTITUTE(I4,", ",",")&amp;",")),1,0)</f>
        <v>1</v>
      </c>
      <c r="BS4" s="11">
        <f>IF(ISNUMBER(SEARCH(",PD-L1,",","&amp;SUBSTITUTE(I4,", ",",")&amp;",")),1,0)</f>
        <v>0</v>
      </c>
      <c r="BT4" s="11">
        <f>IF(ISNUMBER(SEARCH(",PRMT5,",","&amp;SUBSTITUTE(I4,", ",",")&amp;",")),1,0)</f>
        <v>0</v>
      </c>
      <c r="BU4" s="11">
        <f>IF(ISNUMBER(SEARCH(",RAS,",","&amp;SUBSTITUTE(I4,", ",",")&amp;",")),1,0)</f>
        <v>0</v>
      </c>
      <c r="BV4" s="11">
        <f>IF(ISNUMBER(SEARCH(",RET,",","&amp;SUBSTITUTE(I4,", ",",")&amp;",")),1,0)</f>
        <v>0</v>
      </c>
      <c r="BW4" s="11">
        <f>IF(ISNUMBER(SEARCH(",ROS,",","&amp;SUBSTITUTE(I4,", ",",")&amp;",")),1,0)</f>
        <v>0</v>
      </c>
      <c r="BX4" s="11">
        <f>IF(ISNUMBER(SEARCH(",ROS1,",","&amp;SUBSTITUTE(I4,", ",",")&amp;",")),1,0)</f>
        <v>0</v>
      </c>
      <c r="BY4" s="11">
        <f>IF(ISNUMBER(SEARCH(",Src,",","&amp;SUBSTITUTE(I4,", ",",")&amp;",")),1,0)</f>
        <v>0</v>
      </c>
      <c r="BZ4" s="11">
        <f>IF(ISNUMBER(SEARCH(",TCGF,",","&amp;SUBSTITUTE(I4,", ",",")&amp;",")),1,0)</f>
        <v>0</v>
      </c>
      <c r="CA4" s="11">
        <f>IF(ISNUMBER(SEARCH(",TGF-β,",","&amp;SUBSTITUTE(I4,", ",",")&amp;",")),1,0)</f>
        <v>0</v>
      </c>
      <c r="CB4" s="11">
        <f>IF(ISNUMBER(SEARCH(",TGF-β1,",","&amp;SUBSTITUTE(I4,", ",",")&amp;",")),1,0)</f>
        <v>0</v>
      </c>
      <c r="CC4" s="11">
        <f>IF(ISNUMBER(SEARCH(",TIGIT,",","&amp;SUBSTITUTE(I4,", ",",")&amp;",")),1,0)</f>
        <v>0</v>
      </c>
      <c r="CD4" s="11">
        <f>IF(ISNUMBER(SEARCH(",TLR,",","&amp;SUBSTITUTE(I4,", ",",")&amp;",")),1,0)</f>
        <v>0</v>
      </c>
      <c r="CE4" s="11">
        <f>IF(ISNUMBER(SEARCH(",TLR7/8,",","&amp;SUBSTITUTE(I4,", ",",")&amp;",")),1,0)</f>
        <v>0</v>
      </c>
      <c r="CF4" s="11">
        <f>IF(ISNUMBER(SEARCH(",TRK,",","&amp;SUBSTITUTE(I4,", ",",")&amp;",")),1,0)</f>
        <v>0</v>
      </c>
      <c r="CG4" s="11">
        <f>IF(ISNUMBER(SEARCH(",TROP2,",","&amp;SUBSTITUTE(I4,", ",",")&amp;",")),1,0)</f>
        <v>0</v>
      </c>
      <c r="CH4" s="11">
        <f>IF(ISNUMBER(SEARCH(",TS,",","&amp;SUBSTITUTE(I4,", ",",")&amp;",")),1,0)</f>
        <v>0</v>
      </c>
      <c r="CI4" s="11">
        <f>IF(ISNUMBER(SEARCH(",TYMS,",","&amp;SUBSTITUTE(I4,", ",",")&amp;",")),1,0)</f>
        <v>0</v>
      </c>
      <c r="CJ4" s="11">
        <f>IF(ISNUMBER(SEARCH(",VEGF,",","&amp;SUBSTITUTE(I4,", ",",")&amp;",")),1,0)</f>
        <v>0</v>
      </c>
      <c r="CK4" s="11">
        <f>IF(ISNUMBER(SEARCH(",VEGFA,",","&amp;SUBSTITUTE(I4,", ",",")&amp;",")),1,0)</f>
        <v>0</v>
      </c>
      <c r="CL4" s="11">
        <f>IF(ISNUMBER(SEARCH(",VEGFR2,",","&amp;SUBSTITUTE(I4,", ",",")&amp;",")),1,0)</f>
        <v>0</v>
      </c>
      <c r="CM4" s="11">
        <f>IF(ISNUMBER(SEARCH(",c-MET/MET,",","&amp;SUBSTITUTE(I4,", ",",")&amp;",")),1,0)</f>
        <v>0</v>
      </c>
      <c r="CN4" s="11">
        <f>IF(ISNUMBER(SEARCH(",p53,",","&amp;SUBSTITUTE(I4,", ",",")&amp;",")),1,0)</f>
        <v>0</v>
      </c>
      <c r="CO4" s="11">
        <f>IF(ISNUMBER(SEARCH(",pan-KRAS,",","&amp;SUBSTITUTE(I4,", ",",")&amp;",")),1,0)</f>
        <v>0</v>
      </c>
      <c r="CP4" s="11">
        <f>IF(ISNUMBER(SEARCH(",ALK,",","&amp;SUBSTITUTE(K4,", ",",")&amp;",")),1,0)</f>
        <v>0</v>
      </c>
      <c r="CQ4" s="11">
        <f>IF(ISNUMBER(SEARCH(",BRAF V600E,",","&amp;SUBSTITUTE(K4,", ",",")&amp;",")),1,0)</f>
        <v>0</v>
      </c>
      <c r="CR4" s="11">
        <f>IF(ISNUMBER(SEARCH(",EGFR,",","&amp;SUBSTITUTE(K4,", ",",")&amp;",")),1,0)</f>
        <v>0</v>
      </c>
      <c r="CS4" s="11">
        <f>IF(ISNUMBER(SEARCH(",EGFR Exon 18,",","&amp;SUBSTITUTE(K4,", ",",")&amp;",")),1,0)</f>
        <v>0</v>
      </c>
      <c r="CT4" s="11">
        <f>IF(ISNUMBER(SEARCH(",EGFR Exon 19-del,",","&amp;SUBSTITUTE(K4,", ",",")&amp;",")),1,0)</f>
        <v>0</v>
      </c>
      <c r="CU4" s="11">
        <f>IF(ISNUMBER(SEARCH(",EGFR Exon 20,",","&amp;SUBSTITUTE(K4,", ",",")&amp;",")),1,0)</f>
        <v>0</v>
      </c>
      <c r="CV4" s="11">
        <f>IF(ISNUMBER(SEARCH(",EGFR Exon 20-ins,",","&amp;SUBSTITUTE(K4,", ",",")&amp;",")),1,0)</f>
        <v>0</v>
      </c>
      <c r="CW4" s="11">
        <f>IF(ISNUMBER(SEARCH(",EGFR Exon 21,",","&amp;SUBSTITUTE(K4,", ",",")&amp;",")),1,0)</f>
        <v>0</v>
      </c>
      <c r="CX4" s="11">
        <f>IF(ISNUMBER(SEARCH(",EGFR G719A,",","&amp;SUBSTITUTE(K4,", ",",")&amp;",")),1,0)</f>
        <v>0</v>
      </c>
      <c r="CY4" s="11">
        <f>IF(ISNUMBER(SEARCH(",EGFR G719C,",","&amp;SUBSTITUTE(K4,", ",",")&amp;",")),1,0)</f>
        <v>0</v>
      </c>
      <c r="CZ4" s="11">
        <f>IF(ISNUMBER(SEARCH(",EGFR G719S,",","&amp;SUBSTITUTE(K4,", ",",")&amp;",")),1,0)</f>
        <v>0</v>
      </c>
      <c r="DA4" s="11">
        <f>IF(ISNUMBER(SEARCH(",EGFR G719X,",","&amp;SUBSTITUTE(K4,", ",",")&amp;",")),1,0)</f>
        <v>0</v>
      </c>
      <c r="DB4" s="11">
        <f>IF(ISNUMBER(SEARCH(",EGFR L858R,",","&amp;SUBSTITUTE(K4,", ",",")&amp;",")),1,0)</f>
        <v>0</v>
      </c>
      <c r="DC4" s="11">
        <f>IF(ISNUMBER(SEARCH(",EGFR L861Q,",","&amp;SUBSTITUTE(K4,", ",",")&amp;",")),1,0)</f>
        <v>0</v>
      </c>
      <c r="DD4" s="11">
        <f>IF(ISNUMBER(SEARCH(",EGFR PACC,",","&amp;SUBSTITUTE(K4,", ",",")&amp;",")),1,0)</f>
        <v>0</v>
      </c>
      <c r="DE4" s="11">
        <f>IF(ISNUMBER(SEARCH(",EGFR S768I,",","&amp;SUBSTITUTE(K4,", ",",")&amp;",")),1,0)</f>
        <v>0</v>
      </c>
      <c r="DF4" s="11">
        <f>IF(ISNUMBER(SEARCH(",EGFR T790M,",","&amp;SUBSTITUTE(K4,", ",",")&amp;",")),1,0)</f>
        <v>0</v>
      </c>
      <c r="DG4" s="11">
        <f>IF(ISNUMBER(SEARCH(",EML4-ALK,",","&amp;SUBSTITUTE(K4,", ",",")&amp;",")),1,0)</f>
        <v>0</v>
      </c>
      <c r="DH4" s="11">
        <f>IF(ISNUMBER(SEARCH(",HER2,",","&amp;SUBSTITUTE(K4,", ",",")&amp;",")),1,0)</f>
        <v>0</v>
      </c>
      <c r="DI4" s="11">
        <f>IF(ISNUMBER(SEARCH(",HER2 Exon 19,",","&amp;SUBSTITUTE(K4,", ",",")&amp;",")),1,0)</f>
        <v>0</v>
      </c>
      <c r="DJ4" s="11">
        <f>IF(ISNUMBER(SEARCH(",HER2 Exon 20,",","&amp;SUBSTITUTE(K4,", ",",")&amp;",")),1,0)</f>
        <v>0</v>
      </c>
      <c r="DK4" s="11">
        <f>IF(ISNUMBER(SEARCH(",HER2 mut,",","&amp;SUBSTITUTE(K4,", ",",")&amp;",")),1,0)</f>
        <v>0</v>
      </c>
      <c r="DL4" s="11">
        <f>IF(ISNUMBER(SEARCH(",HLA-A2,",","&amp;SUBSTITUTE(K4,", ",",")&amp;",")),1,0)</f>
        <v>0</v>
      </c>
      <c r="DM4" s="11">
        <f>IF(ISNUMBER(SEARCH(",HRAS,",","&amp;SUBSTITUTE(K4,", ",",")&amp;",")),1,0)</f>
        <v>0</v>
      </c>
      <c r="DN4" s="11">
        <f>IF(ISNUMBER(SEARCH(",KRAS,",","&amp;SUBSTITUTE(K4,", ",",")&amp;",")),1,0)</f>
        <v>0</v>
      </c>
      <c r="DO4" s="11">
        <f>IF(ISNUMBER(SEARCH(",KRAS G12C,",","&amp;SUBSTITUTE(K4,", ",",")&amp;",")),1,0)</f>
        <v>1</v>
      </c>
      <c r="DP4" s="11">
        <f>IF(ISNUMBER(SEARCH(",NRAS,",","&amp;SUBSTITUTE(K4,", ",",")&amp;",")),1,0)</f>
        <v>0</v>
      </c>
      <c r="DQ4" s="11">
        <f>IF(ISNUMBER(SEARCH(",NTRK,",","&amp;SUBSTITUTE(K4,", ",",")&amp;",")),1,0)</f>
        <v>0</v>
      </c>
      <c r="DR4" s="11">
        <f>IF(ISNUMBER(SEARCH(",PD-L1,",","&amp;SUBSTITUTE(K4,", ",",")&amp;",")),1,0)</f>
        <v>0</v>
      </c>
      <c r="DS4" s="11">
        <f>IF(ISNUMBER(SEARCH(",PD-L1 IC ≥ 1%,",","&amp;SUBSTITUTE(K4,", ",",")&amp;",")),1,0)</f>
        <v>0</v>
      </c>
      <c r="DT4" s="11">
        <f>IF(ISNUMBER(SEARCH(",PD-L1 TC ≥ 1%,",","&amp;SUBSTITUTE(K4,", ",",")&amp;",")),1,0)</f>
        <v>0</v>
      </c>
      <c r="DU4" s="11">
        <f>IF(ISNUMBER(SEARCH(",PD-L1 TC ≥ 50%,",","&amp;SUBSTITUTE(K4,", ",",")&amp;",")),1,0)</f>
        <v>0</v>
      </c>
      <c r="DV4" s="11">
        <f>IF(ISNUMBER(SEARCH(",PD-L1 TPS &lt; 50%,",","&amp;SUBSTITUTE(K4,", ",",")&amp;",")),1,0)</f>
        <v>0</v>
      </c>
      <c r="DW4" s="11">
        <f>IF(ISNUMBER(SEARCH(",PD-L1 TPS ≥ 1%,",","&amp;SUBSTITUTE(K4,", ",",")&amp;",")),1,0)</f>
        <v>0</v>
      </c>
      <c r="DX4" s="11">
        <f>IF(ISNUMBER(SEARCH(",PD-L1 TPS ≥ 50%,",","&amp;SUBSTITUTE(K4,", ",",")&amp;",")),1,0)</f>
        <v>0</v>
      </c>
      <c r="DY4" s="11">
        <f>IF(ISNUMBER(SEARCH(",RAS,",","&amp;SUBSTITUTE(K4,", ",",")&amp;",")),1,0)</f>
        <v>0</v>
      </c>
      <c r="DZ4" s="11">
        <f>IF(ISNUMBER(SEARCH(",RET,",","&amp;SUBSTITUTE(K4,", ",",")&amp;",")),1,0)</f>
        <v>0</v>
      </c>
      <c r="EA4" s="11">
        <f>IF(ISNUMBER(SEARCH(",ROS1,",","&amp;SUBSTITUTE(K4,", ",",")&amp;",")),1,0)</f>
        <v>0</v>
      </c>
      <c r="EB4" s="11">
        <f>IF(ISNUMBER(SEARCH(",TROP2,",","&amp;SUBSTITUTE(K4,", ",",")&amp;",")),1,0)</f>
        <v>0</v>
      </c>
      <c r="EC4" s="11">
        <f>IF(ISNUMBER(SEARCH(",c-MET/MET,",","&amp;SUBSTITUTE(K4,", ",",")&amp;",")),1,0)</f>
        <v>0</v>
      </c>
      <c r="ED4" s="11">
        <f>IF(ISNUMBER(SEARCH(",c-MET/MET Exon 14,",","&amp;SUBSTITUTE(K4,", ",",")&amp;",")),1,0)</f>
        <v>0</v>
      </c>
      <c r="EE4" s="11">
        <f>IF(ISNUMBER(SEARCH(",ctDNA/cfDNA,",","&amp;SUBSTITUTE(K4,", ",",")&amp;",")),1,0)</f>
        <v>1</v>
      </c>
    </row>
    <row r="5" spans="1:135" ht="15" customHeight="1" x14ac:dyDescent="0.2">
      <c r="A5" s="5" t="s">
        <v>330</v>
      </c>
      <c r="B5" s="5" t="s">
        <v>331</v>
      </c>
      <c r="C5" s="5" t="s">
        <v>108</v>
      </c>
      <c r="D5" s="5" t="s">
        <v>107</v>
      </c>
      <c r="E5" s="5" t="s">
        <v>332</v>
      </c>
      <c r="F5" s="5" t="s">
        <v>763</v>
      </c>
      <c r="G5" s="5" t="s">
        <v>544</v>
      </c>
      <c r="H5" s="5" t="s">
        <v>114</v>
      </c>
      <c r="I5" s="5" t="s">
        <v>1355</v>
      </c>
      <c r="J5" s="5" t="s">
        <v>335</v>
      </c>
      <c r="K5" s="5" t="s">
        <v>1361</v>
      </c>
      <c r="L5" s="5" t="s">
        <v>119</v>
      </c>
      <c r="M5" s="5" t="s">
        <v>113</v>
      </c>
      <c r="N5" s="5" t="s">
        <v>119</v>
      </c>
      <c r="O5" s="5" t="s">
        <v>120</v>
      </c>
      <c r="P5" s="5" t="s">
        <v>1353</v>
      </c>
      <c r="Q5" s="10" t="str">
        <f>IF(F5="Stage IV","Stage IV Only",IF(AND(ISNUMBER(SEARCH("IV",F5)),LEN(F5)&gt;LEN("Stage IV")),"Stage IV + Other",IF(AND(ISNUMBER(SEARCH("III",F5)),NOT(ISNUMBER(SEARCH("IV",F5)))),"Stage III Only","Other")))</f>
        <v>Stage III Only</v>
      </c>
      <c r="R5" s="10" t="str">
        <f>IF(AND(ISNUMBER(SEARCH("Non-squamous",G5)),ISNUMBER(SEARCH("Squamous",SUBSTITUTE(G5,"Non-squamous","")))),"Both",IF(ISNUMBER(SEARCH("Non-squamous",G5)),"Non-squamous",IF(ISNUMBER(SEARCH("Squamous",G5)),"Squamous","Unspecified")))</f>
        <v>Both</v>
      </c>
      <c r="S5" s="10" t="str">
        <f>IF(OR(ISNUMBER(SEARCH("TPS ≥ 50%",K5)),ISNUMBER(SEARCH("TC ≥ 50%",K5))),"TPS ≥ 50%",IF(OR(ISNUMBER(SEARCH("TPS ≥ 1%",K5)),ISNUMBER(SEARCH("TC ≥ 1%",K5)),ISNUMBER(SEARCH("TPS &lt; 50%",K5)),ISNUMBER(SEARCH("IC ≥ 1%",K5))),"TPS 1-49%","All-comers"))</f>
        <v>All-comers</v>
      </c>
      <c r="T5" s="10">
        <f>IF(H5="Phase III",1,0)</f>
        <v>1</v>
      </c>
      <c r="U5" s="10">
        <f>IF(L5="Yes",1,0)</f>
        <v>0</v>
      </c>
      <c r="V5" s="11">
        <f>IF(ISNUMBER(SEARCH(",ALK,",","&amp;SUBSTITUTE(I5,", ",",")&amp;",")),1,0)</f>
        <v>1</v>
      </c>
      <c r="W5" s="11">
        <f>IF(ISNUMBER(SEARCH(",ALK L1196M,",","&amp;SUBSTITUTE(I5,", ",",")&amp;",")),1,0)</f>
        <v>1</v>
      </c>
      <c r="X5" s="11">
        <f>IF(ISNUMBER(SEARCH(",AXL,",","&amp;SUBSTITUTE(I5,", ",",")&amp;",")),1,0)</f>
        <v>0</v>
      </c>
      <c r="Y5" s="11">
        <f>IF(ISNUMBER(SEARCH(",B7-H1,",","&amp;SUBSTITUTE(I5,", ",",")&amp;",")),1,0)</f>
        <v>0</v>
      </c>
      <c r="Z5" s="11">
        <f>IF(ISNUMBER(SEARCH(",CD152,",","&amp;SUBSTITUTE(I5,", ",",")&amp;",")),1,0)</f>
        <v>0</v>
      </c>
      <c r="AA5" s="11">
        <f>IF(ISNUMBER(SEARCH(",CD274,",","&amp;SUBSTITUTE(I5,", ",",")&amp;",")),1,0)</f>
        <v>0</v>
      </c>
      <c r="AB5" s="11">
        <f>IF(ISNUMBER(SEARCH(",CD279,",","&amp;SUBSTITUTE(I5,", ",",")&amp;",")),1,0)</f>
        <v>0</v>
      </c>
      <c r="AC5" s="11">
        <f>IF(ISNUMBER(SEARCH(",CD73,",","&amp;SUBSTITUTE(I5,", ",",")&amp;",")),1,0)</f>
        <v>0</v>
      </c>
      <c r="AD5" s="11">
        <f>IF(ISNUMBER(SEARCH(",CEA,",","&amp;SUBSTITUTE(I5,", ",",")&amp;",")),1,0)</f>
        <v>0</v>
      </c>
      <c r="AE5" s="11">
        <f>IF(ISNUMBER(SEARCH(",CTLA-4,",","&amp;SUBSTITUTE(I5,", ",",")&amp;",")),1,0)</f>
        <v>0</v>
      </c>
      <c r="AF5" s="11">
        <f>IF(ISNUMBER(SEARCH(",EGFR,",","&amp;SUBSTITUTE(I5,", ",",")&amp;",")),1,0)</f>
        <v>0</v>
      </c>
      <c r="AG5" s="11">
        <f>IF(ISNUMBER(SEARCH(",EGFR C797G,",","&amp;SUBSTITUTE(I5,", ",",")&amp;",")),1,0)</f>
        <v>0</v>
      </c>
      <c r="AH5" s="11">
        <f>IF(ISNUMBER(SEARCH(",EGFR C797S,",","&amp;SUBSTITUTE(I5,", ",",")&amp;",")),1,0)</f>
        <v>0</v>
      </c>
      <c r="AI5" s="11">
        <f>IF(ISNUMBER(SEARCH(",EGFR Exon 19-del,",","&amp;SUBSTITUTE(I5,", ",",")&amp;",")),1,0)</f>
        <v>0</v>
      </c>
      <c r="AJ5" s="11">
        <f>IF(ISNUMBER(SEARCH(",EGFR Exon 20,",","&amp;SUBSTITUTE(I5,", ",",")&amp;",")),1,0)</f>
        <v>0</v>
      </c>
      <c r="AK5" s="11">
        <f>IF(ISNUMBER(SEARCH(",EGFR L858R,",","&amp;SUBSTITUTE(I5,", ",",")&amp;",")),1,0)</f>
        <v>0</v>
      </c>
      <c r="AL5" s="11">
        <f>IF(ISNUMBER(SEARCH(",EGFR T790M,",","&amp;SUBSTITUTE(I5,", ",",")&amp;",")),1,0)</f>
        <v>0</v>
      </c>
      <c r="AM5" s="11">
        <f>IF(ISNUMBER(SEARCH(",ERBB,",","&amp;SUBSTITUTE(I5,", ",",")&amp;",")),1,0)</f>
        <v>0</v>
      </c>
      <c r="AN5" s="11">
        <f>IF(ISNUMBER(SEARCH(",ERBB3,",","&amp;SUBSTITUTE(I5,", ",",")&amp;",")),1,0)</f>
        <v>0</v>
      </c>
      <c r="AO5" s="11">
        <f>IF(ISNUMBER(SEARCH(",FAK,",","&amp;SUBSTITUTE(I5,", ",",")&amp;",")),1,0)</f>
        <v>0</v>
      </c>
      <c r="AP5" s="11">
        <f>IF(ISNUMBER(SEARCH(",GARP,",","&amp;SUBSTITUTE(I5,", ",",")&amp;",")),1,0)</f>
        <v>0</v>
      </c>
      <c r="AQ5" s="11">
        <f>IF(ISNUMBER(SEARCH(",HER1,",","&amp;SUBSTITUTE(I5,", ",",")&amp;",")),1,0)</f>
        <v>0</v>
      </c>
      <c r="AR5" s="11">
        <f>IF(ISNUMBER(SEARCH(",HER2,",","&amp;SUBSTITUTE(I5,", ",",")&amp;",")),1,0)</f>
        <v>0</v>
      </c>
      <c r="AS5" s="11">
        <f>IF(ISNUMBER(SEARCH(",HER2 Exon 20,",","&amp;SUBSTITUTE(I5,", ",",")&amp;",")),1,0)</f>
        <v>0</v>
      </c>
      <c r="AT5" s="11">
        <f>IF(ISNUMBER(SEARCH(",HER3,",","&amp;SUBSTITUTE(I5,", ",",")&amp;",")),1,0)</f>
        <v>0</v>
      </c>
      <c r="AU5" s="11">
        <f>IF(ISNUMBER(SEARCH(",HER4,",","&amp;SUBSTITUTE(I5,", ",",")&amp;",")),1,0)</f>
        <v>0</v>
      </c>
      <c r="AV5" s="11">
        <f>IF(ISNUMBER(SEARCH(",HRAS,",","&amp;SUBSTITUTE(I5,", ",",")&amp;",")),1,0)</f>
        <v>0</v>
      </c>
      <c r="AW5" s="11">
        <f>IF(ISNUMBER(SEARCH(",HSV-TK,",","&amp;SUBSTITUTE(I5,", ",",")&amp;",")),1,0)</f>
        <v>0</v>
      </c>
      <c r="AX5" s="11">
        <f>IF(ISNUMBER(SEARCH(",IL-12,",","&amp;SUBSTITUTE(I5,", ",",")&amp;",")),1,0)</f>
        <v>0</v>
      </c>
      <c r="AY5" s="11">
        <f>IF(ISNUMBER(SEARCH(",IL-15,",","&amp;SUBSTITUTE(I5,", ",",")&amp;",")),1,0)</f>
        <v>0</v>
      </c>
      <c r="AZ5" s="11">
        <f>IF(ISNUMBER(SEARCH(",IL-15R,",","&amp;SUBSTITUTE(I5,", ",",")&amp;",")),1,0)</f>
        <v>0</v>
      </c>
      <c r="BA5" s="11">
        <f>IF(ISNUMBER(SEARCH(",IL-2,",","&amp;SUBSTITUTE(I5,", ",",")&amp;",")),1,0)</f>
        <v>0</v>
      </c>
      <c r="BB5" s="11">
        <f>IF(ISNUMBER(SEARCH(",Integrin β6,",","&amp;SUBSTITUTE(I5,", ",",")&amp;",")),1,0)</f>
        <v>0</v>
      </c>
      <c r="BC5" s="11">
        <f>IF(ISNUMBER(SEARCH(",KDR,",","&amp;SUBSTITUTE(I5,", ",",")&amp;",")),1,0)</f>
        <v>0</v>
      </c>
      <c r="BD5" s="11">
        <f>IF(ISNUMBER(SEARCH(",KLRC1,",","&amp;SUBSTITUTE(I5,", ",",")&amp;",")),1,0)</f>
        <v>0</v>
      </c>
      <c r="BE5" s="11">
        <f>IF(ISNUMBER(SEARCH(",KRAS,",","&amp;SUBSTITUTE(I5,", ",",")&amp;",")),1,0)</f>
        <v>0</v>
      </c>
      <c r="BF5" s="11">
        <f>IF(ISNUMBER(SEARCH(",KRAS G12,",","&amp;SUBSTITUTE(I5,", ",",")&amp;",")),1,0)</f>
        <v>0</v>
      </c>
      <c r="BG5" s="11">
        <f>IF(ISNUMBER(SEARCH(",KRAS G12C,",","&amp;SUBSTITUTE(I5,", ",",")&amp;",")),1,0)</f>
        <v>0</v>
      </c>
      <c r="BH5" s="11">
        <f>IF(ISNUMBER(SEARCH(",KRAS G12D,",","&amp;SUBSTITUTE(I5,", ",",")&amp;",")),1,0)</f>
        <v>0</v>
      </c>
      <c r="BI5" s="11">
        <f>IF(ISNUMBER(SEARCH(",LAG-3,",","&amp;SUBSTITUTE(I5,", ",",")&amp;",")),1,0)</f>
        <v>0</v>
      </c>
      <c r="BJ5" s="11">
        <f>IF(ISNUMBER(SEARCH(",MAGE-A2,",","&amp;SUBSTITUTE(I5,", ",",")&amp;",")),1,0)</f>
        <v>0</v>
      </c>
      <c r="BK5" s="11">
        <f>IF(ISNUMBER(SEARCH(",MAGE-A3,",","&amp;SUBSTITUTE(I5,", ",",")&amp;",")),1,0)</f>
        <v>0</v>
      </c>
      <c r="BL5" s="11">
        <f>IF(ISNUMBER(SEARCH(",MLN19,",","&amp;SUBSTITUTE(I5,", ",",")&amp;",")),1,0)</f>
        <v>0</v>
      </c>
      <c r="BM5" s="11">
        <f>IF(ISNUMBER(SEARCH(",Microtubule,",","&amp;SUBSTITUTE(I5,", ",",")&amp;",")),1,0)</f>
        <v>0</v>
      </c>
      <c r="BN5" s="11">
        <f>IF(ISNUMBER(SEARCH(",NKG2A,",","&amp;SUBSTITUTE(I5,", ",",")&amp;",")),1,0)</f>
        <v>0</v>
      </c>
      <c r="BO5" s="11">
        <f>IF(ISNUMBER(SEARCH(",NRAS,",","&amp;SUBSTITUTE(I5,", ",",")&amp;",")),1,0)</f>
        <v>0</v>
      </c>
      <c r="BP5" s="11">
        <f>IF(ISNUMBER(SEARCH(",NTRK,",","&amp;SUBSTITUTE(I5,", ",",")&amp;",")),1,0)</f>
        <v>1</v>
      </c>
      <c r="BQ5" s="11">
        <f>IF(ISNUMBER(SEARCH(",PARP,",","&amp;SUBSTITUTE(I5,", ",",")&amp;",")),1,0)</f>
        <v>0</v>
      </c>
      <c r="BR5" s="11">
        <f>IF(ISNUMBER(SEARCH(",PD-1,",","&amp;SUBSTITUTE(I5,", ",",")&amp;",")),1,0)</f>
        <v>0</v>
      </c>
      <c r="BS5" s="11">
        <f>IF(ISNUMBER(SEARCH(",PD-L1,",","&amp;SUBSTITUTE(I5,", ",",")&amp;",")),1,0)</f>
        <v>0</v>
      </c>
      <c r="BT5" s="11">
        <f>IF(ISNUMBER(SEARCH(",PRMT5,",","&amp;SUBSTITUTE(I5,", ",",")&amp;",")),1,0)</f>
        <v>0</v>
      </c>
      <c r="BU5" s="11">
        <f>IF(ISNUMBER(SEARCH(",RAS,",","&amp;SUBSTITUTE(I5,", ",",")&amp;",")),1,0)</f>
        <v>0</v>
      </c>
      <c r="BV5" s="11">
        <f>IF(ISNUMBER(SEARCH(",RET,",","&amp;SUBSTITUTE(I5,", ",",")&amp;",")),1,0)</f>
        <v>1</v>
      </c>
      <c r="BW5" s="11">
        <f>IF(ISNUMBER(SEARCH(",ROS,",","&amp;SUBSTITUTE(I5,", ",",")&amp;",")),1,0)</f>
        <v>1</v>
      </c>
      <c r="BX5" s="11">
        <f>IF(ISNUMBER(SEARCH(",ROS1,",","&amp;SUBSTITUTE(I5,", ",",")&amp;",")),1,0)</f>
        <v>1</v>
      </c>
      <c r="BY5" s="11">
        <f>IF(ISNUMBER(SEARCH(",Src,",","&amp;SUBSTITUTE(I5,", ",",")&amp;",")),1,0)</f>
        <v>0</v>
      </c>
      <c r="BZ5" s="11">
        <f>IF(ISNUMBER(SEARCH(",TCGF,",","&amp;SUBSTITUTE(I5,", ",",")&amp;",")),1,0)</f>
        <v>0</v>
      </c>
      <c r="CA5" s="11">
        <f>IF(ISNUMBER(SEARCH(",TGF-β,",","&amp;SUBSTITUTE(I5,", ",",")&amp;",")),1,0)</f>
        <v>0</v>
      </c>
      <c r="CB5" s="11">
        <f>IF(ISNUMBER(SEARCH(",TGF-β1,",","&amp;SUBSTITUTE(I5,", ",",")&amp;",")),1,0)</f>
        <v>0</v>
      </c>
      <c r="CC5" s="11">
        <f>IF(ISNUMBER(SEARCH(",TIGIT,",","&amp;SUBSTITUTE(I5,", ",",")&amp;",")),1,0)</f>
        <v>0</v>
      </c>
      <c r="CD5" s="11">
        <f>IF(ISNUMBER(SEARCH(",TLR,",","&amp;SUBSTITUTE(I5,", ",",")&amp;",")),1,0)</f>
        <v>0</v>
      </c>
      <c r="CE5" s="11">
        <f>IF(ISNUMBER(SEARCH(",TLR7/8,",","&amp;SUBSTITUTE(I5,", ",",")&amp;",")),1,0)</f>
        <v>0</v>
      </c>
      <c r="CF5" s="11">
        <f>IF(ISNUMBER(SEARCH(",TRK,",","&amp;SUBSTITUTE(I5,", ",",")&amp;",")),1,0)</f>
        <v>1</v>
      </c>
      <c r="CG5" s="11">
        <f>IF(ISNUMBER(SEARCH(",TROP2,",","&amp;SUBSTITUTE(I5,", ",",")&amp;",")),1,0)</f>
        <v>0</v>
      </c>
      <c r="CH5" s="11">
        <f>IF(ISNUMBER(SEARCH(",TS,",","&amp;SUBSTITUTE(I5,", ",",")&amp;",")),1,0)</f>
        <v>0</v>
      </c>
      <c r="CI5" s="11">
        <f>IF(ISNUMBER(SEARCH(",TYMS,",","&amp;SUBSTITUTE(I5,", ",",")&amp;",")),1,0)</f>
        <v>0</v>
      </c>
      <c r="CJ5" s="11">
        <f>IF(ISNUMBER(SEARCH(",VEGF,",","&amp;SUBSTITUTE(I5,", ",",")&amp;",")),1,0)</f>
        <v>0</v>
      </c>
      <c r="CK5" s="11">
        <f>IF(ISNUMBER(SEARCH(",VEGFA,",","&amp;SUBSTITUTE(I5,", ",",")&amp;",")),1,0)</f>
        <v>0</v>
      </c>
      <c r="CL5" s="11">
        <f>IF(ISNUMBER(SEARCH(",VEGFR2,",","&amp;SUBSTITUTE(I5,", ",",")&amp;",")),1,0)</f>
        <v>0</v>
      </c>
      <c r="CM5" s="11">
        <f>IF(ISNUMBER(SEARCH(",c-MET/MET,",","&amp;SUBSTITUTE(I5,", ",",")&amp;",")),1,0)</f>
        <v>0</v>
      </c>
      <c r="CN5" s="11">
        <f>IF(ISNUMBER(SEARCH(",p53,",","&amp;SUBSTITUTE(I5,", ",",")&amp;",")),1,0)</f>
        <v>0</v>
      </c>
      <c r="CO5" s="11">
        <f>IF(ISNUMBER(SEARCH(",pan-KRAS,",","&amp;SUBSTITUTE(I5,", ",",")&amp;",")),1,0)</f>
        <v>0</v>
      </c>
      <c r="CP5" s="11">
        <f>IF(ISNUMBER(SEARCH(",ALK,",","&amp;SUBSTITUTE(K5,", ",",")&amp;",")),1,0)</f>
        <v>1</v>
      </c>
      <c r="CQ5" s="11">
        <f>IF(ISNUMBER(SEARCH(",BRAF V600E,",","&amp;SUBSTITUTE(K5,", ",",")&amp;",")),1,0)</f>
        <v>0</v>
      </c>
      <c r="CR5" s="11">
        <f>IF(ISNUMBER(SEARCH(",EGFR,",","&amp;SUBSTITUTE(K5,", ",",")&amp;",")),1,0)</f>
        <v>0</v>
      </c>
      <c r="CS5" s="11">
        <f>IF(ISNUMBER(SEARCH(",EGFR Exon 18,",","&amp;SUBSTITUTE(K5,", ",",")&amp;",")),1,0)</f>
        <v>0</v>
      </c>
      <c r="CT5" s="11">
        <f>IF(ISNUMBER(SEARCH(",EGFR Exon 19-del,",","&amp;SUBSTITUTE(K5,", ",",")&amp;",")),1,0)</f>
        <v>0</v>
      </c>
      <c r="CU5" s="11">
        <f>IF(ISNUMBER(SEARCH(",EGFR Exon 20,",","&amp;SUBSTITUTE(K5,", ",",")&amp;",")),1,0)</f>
        <v>0</v>
      </c>
      <c r="CV5" s="11">
        <f>IF(ISNUMBER(SEARCH(",EGFR Exon 20-ins,",","&amp;SUBSTITUTE(K5,", ",",")&amp;",")),1,0)</f>
        <v>0</v>
      </c>
      <c r="CW5" s="11">
        <f>IF(ISNUMBER(SEARCH(",EGFR Exon 21,",","&amp;SUBSTITUTE(K5,", ",",")&amp;",")),1,0)</f>
        <v>0</v>
      </c>
      <c r="CX5" s="11">
        <f>IF(ISNUMBER(SEARCH(",EGFR G719A,",","&amp;SUBSTITUTE(K5,", ",",")&amp;",")),1,0)</f>
        <v>0</v>
      </c>
      <c r="CY5" s="11">
        <f>IF(ISNUMBER(SEARCH(",EGFR G719C,",","&amp;SUBSTITUTE(K5,", ",",")&amp;",")),1,0)</f>
        <v>0</v>
      </c>
      <c r="CZ5" s="11">
        <f>IF(ISNUMBER(SEARCH(",EGFR G719S,",","&amp;SUBSTITUTE(K5,", ",",")&amp;",")),1,0)</f>
        <v>0</v>
      </c>
      <c r="DA5" s="11">
        <f>IF(ISNUMBER(SEARCH(",EGFR G719X,",","&amp;SUBSTITUTE(K5,", ",",")&amp;",")),1,0)</f>
        <v>0</v>
      </c>
      <c r="DB5" s="11">
        <f>IF(ISNUMBER(SEARCH(",EGFR L858R,",","&amp;SUBSTITUTE(K5,", ",",")&amp;",")),1,0)</f>
        <v>0</v>
      </c>
      <c r="DC5" s="11">
        <f>IF(ISNUMBER(SEARCH(",EGFR L861Q,",","&amp;SUBSTITUTE(K5,", ",",")&amp;",")),1,0)</f>
        <v>0</v>
      </c>
      <c r="DD5" s="11">
        <f>IF(ISNUMBER(SEARCH(",EGFR PACC,",","&amp;SUBSTITUTE(K5,", ",",")&amp;",")),1,0)</f>
        <v>0</v>
      </c>
      <c r="DE5" s="11">
        <f>IF(ISNUMBER(SEARCH(",EGFR S768I,",","&amp;SUBSTITUTE(K5,", ",",")&amp;",")),1,0)</f>
        <v>0</v>
      </c>
      <c r="DF5" s="11">
        <f>IF(ISNUMBER(SEARCH(",EGFR T790M,",","&amp;SUBSTITUTE(K5,", ",",")&amp;",")),1,0)</f>
        <v>0</v>
      </c>
      <c r="DG5" s="11">
        <f>IF(ISNUMBER(SEARCH(",EML4-ALK,",","&amp;SUBSTITUTE(K5,", ",",")&amp;",")),1,0)</f>
        <v>0</v>
      </c>
      <c r="DH5" s="11">
        <f>IF(ISNUMBER(SEARCH(",HER2,",","&amp;SUBSTITUTE(K5,", ",",")&amp;",")),1,0)</f>
        <v>0</v>
      </c>
      <c r="DI5" s="11">
        <f>IF(ISNUMBER(SEARCH(",HER2 Exon 19,",","&amp;SUBSTITUTE(K5,", ",",")&amp;",")),1,0)</f>
        <v>0</v>
      </c>
      <c r="DJ5" s="11">
        <f>IF(ISNUMBER(SEARCH(",HER2 Exon 20,",","&amp;SUBSTITUTE(K5,", ",",")&amp;",")),1,0)</f>
        <v>0</v>
      </c>
      <c r="DK5" s="11">
        <f>IF(ISNUMBER(SEARCH(",HER2 mut,",","&amp;SUBSTITUTE(K5,", ",",")&amp;",")),1,0)</f>
        <v>0</v>
      </c>
      <c r="DL5" s="11">
        <f>IF(ISNUMBER(SEARCH(",HLA-A2,",","&amp;SUBSTITUTE(K5,", ",",")&amp;",")),1,0)</f>
        <v>0</v>
      </c>
      <c r="DM5" s="11">
        <f>IF(ISNUMBER(SEARCH(",HRAS,",","&amp;SUBSTITUTE(K5,", ",",")&amp;",")),1,0)</f>
        <v>0</v>
      </c>
      <c r="DN5" s="11">
        <f>IF(ISNUMBER(SEARCH(",KRAS,",","&amp;SUBSTITUTE(K5,", ",",")&amp;",")),1,0)</f>
        <v>0</v>
      </c>
      <c r="DO5" s="11">
        <f>IF(ISNUMBER(SEARCH(",KRAS G12C,",","&amp;SUBSTITUTE(K5,", ",",")&amp;",")),1,0)</f>
        <v>0</v>
      </c>
      <c r="DP5" s="11">
        <f>IF(ISNUMBER(SEARCH(",NRAS,",","&amp;SUBSTITUTE(K5,", ",",")&amp;",")),1,0)</f>
        <v>0</v>
      </c>
      <c r="DQ5" s="11">
        <f>IF(ISNUMBER(SEARCH(",NTRK,",","&amp;SUBSTITUTE(K5,", ",",")&amp;",")),1,0)</f>
        <v>0</v>
      </c>
      <c r="DR5" s="11">
        <f>IF(ISNUMBER(SEARCH(",PD-L1,",","&amp;SUBSTITUTE(K5,", ",",")&amp;",")),1,0)</f>
        <v>0</v>
      </c>
      <c r="DS5" s="11">
        <f>IF(ISNUMBER(SEARCH(",PD-L1 IC ≥ 1%,",","&amp;SUBSTITUTE(K5,", ",",")&amp;",")),1,0)</f>
        <v>0</v>
      </c>
      <c r="DT5" s="11">
        <f>IF(ISNUMBER(SEARCH(",PD-L1 TC ≥ 1%,",","&amp;SUBSTITUTE(K5,", ",",")&amp;",")),1,0)</f>
        <v>0</v>
      </c>
      <c r="DU5" s="11">
        <f>IF(ISNUMBER(SEARCH(",PD-L1 TC ≥ 50%,",","&amp;SUBSTITUTE(K5,", ",",")&amp;",")),1,0)</f>
        <v>0</v>
      </c>
      <c r="DV5" s="11">
        <f>IF(ISNUMBER(SEARCH(",PD-L1 TPS &lt; 50%,",","&amp;SUBSTITUTE(K5,", ",",")&amp;",")),1,0)</f>
        <v>0</v>
      </c>
      <c r="DW5" s="11">
        <f>IF(ISNUMBER(SEARCH(",PD-L1 TPS ≥ 1%,",","&amp;SUBSTITUTE(K5,", ",",")&amp;",")),1,0)</f>
        <v>0</v>
      </c>
      <c r="DX5" s="11">
        <f>IF(ISNUMBER(SEARCH(",PD-L1 TPS ≥ 50%,",","&amp;SUBSTITUTE(K5,", ",",")&amp;",")),1,0)</f>
        <v>0</v>
      </c>
      <c r="DY5" s="11">
        <f>IF(ISNUMBER(SEARCH(",RAS,",","&amp;SUBSTITUTE(K5,", ",",")&amp;",")),1,0)</f>
        <v>0</v>
      </c>
      <c r="DZ5" s="11">
        <f>IF(ISNUMBER(SEARCH(",RET,",","&amp;SUBSTITUTE(K5,", ",",")&amp;",")),1,0)</f>
        <v>1</v>
      </c>
      <c r="EA5" s="11">
        <f>IF(ISNUMBER(SEARCH(",ROS1,",","&amp;SUBSTITUTE(K5,", ",",")&amp;",")),1,0)</f>
        <v>1</v>
      </c>
      <c r="EB5" s="11">
        <f>IF(ISNUMBER(SEARCH(",TROP2,",","&amp;SUBSTITUTE(K5,", ",",")&amp;",")),1,0)</f>
        <v>0</v>
      </c>
      <c r="EC5" s="11">
        <f>IF(ISNUMBER(SEARCH(",c-MET/MET,",","&amp;SUBSTITUTE(K5,", ",",")&amp;",")),1,0)</f>
        <v>0</v>
      </c>
      <c r="ED5" s="11">
        <f>IF(ISNUMBER(SEARCH(",c-MET/MET Exon 14,",","&amp;SUBSTITUTE(K5,", ",",")&amp;",")),1,0)</f>
        <v>0</v>
      </c>
      <c r="EE5" s="11">
        <f>IF(ISNUMBER(SEARCH(",ctDNA/cfDNA,",","&amp;SUBSTITUTE(K5,", ",",")&amp;",")),1,0)</f>
        <v>0</v>
      </c>
    </row>
    <row r="6" spans="1:135" ht="15" customHeight="1" x14ac:dyDescent="0.2">
      <c r="A6" s="3" t="s">
        <v>105</v>
      </c>
      <c r="B6" s="3" t="s">
        <v>480</v>
      </c>
      <c r="C6" s="3" t="s">
        <v>235</v>
      </c>
      <c r="D6" s="3" t="s">
        <v>235</v>
      </c>
      <c r="E6" s="3" t="s">
        <v>235</v>
      </c>
      <c r="F6" s="3" t="s">
        <v>111</v>
      </c>
      <c r="G6" s="3" t="s">
        <v>181</v>
      </c>
      <c r="H6" s="3" t="s">
        <v>115</v>
      </c>
      <c r="I6" s="3" t="s">
        <v>118</v>
      </c>
      <c r="J6" s="3" t="s">
        <v>117</v>
      </c>
      <c r="K6" s="3"/>
      <c r="L6" s="3" t="s">
        <v>120</v>
      </c>
      <c r="M6" s="3" t="s">
        <v>113</v>
      </c>
      <c r="N6" s="3" t="s">
        <v>119</v>
      </c>
      <c r="O6" s="3" t="s">
        <v>120</v>
      </c>
      <c r="P6" s="3" t="s">
        <v>481</v>
      </c>
      <c r="Q6" s="10" t="str">
        <f>IF(F6="Stage IV","Stage IV Only",IF(AND(ISNUMBER(SEARCH("IV",F6)),LEN(F6)&gt;LEN("Stage IV")),"Stage IV + Other",IF(AND(ISNUMBER(SEARCH("III",F6)),NOT(ISNUMBER(SEARCH("IV",F6)))),"Stage III Only","Other")))</f>
        <v>Stage IV + Other</v>
      </c>
      <c r="R6" s="10" t="str">
        <f>IF(AND(ISNUMBER(SEARCH("Non-squamous",G6)),ISNUMBER(SEARCH("Squamous",SUBSTITUTE(G6,"Non-squamous","")))),"Both",IF(ISNUMBER(SEARCH("Non-squamous",G6)),"Non-squamous",IF(ISNUMBER(SEARCH("Squamous",G6)),"Squamous","Unspecified")))</f>
        <v>Non-squamous</v>
      </c>
      <c r="S6" s="10" t="str">
        <f>IF(OR(ISNUMBER(SEARCH("TPS ≥ 50%",K6)),ISNUMBER(SEARCH("TC ≥ 50%",K6))),"TPS ≥ 50%",IF(OR(ISNUMBER(SEARCH("TPS ≥ 1%",K6)),ISNUMBER(SEARCH("TC ≥ 1%",K6)),ISNUMBER(SEARCH("TPS &lt; 50%",K6)),ISNUMBER(SEARCH("IC ≥ 1%",K6))),"TPS 1-49%","All-comers"))</f>
        <v>All-comers</v>
      </c>
      <c r="T6" s="10">
        <f>IF(H6="Phase III",1,0)</f>
        <v>0</v>
      </c>
      <c r="U6" s="10">
        <f>IF(L6="Yes",1,0)</f>
        <v>1</v>
      </c>
      <c r="V6" s="11">
        <f>IF(ISNUMBER(SEARCH(",ALK,",","&amp;SUBSTITUTE(I6,", ",",")&amp;",")),1,0)</f>
        <v>0</v>
      </c>
      <c r="W6" s="11">
        <f>IF(ISNUMBER(SEARCH(",ALK L1196M,",","&amp;SUBSTITUTE(I6,", ",",")&amp;",")),1,0)</f>
        <v>0</v>
      </c>
      <c r="X6" s="11">
        <f>IF(ISNUMBER(SEARCH(",AXL,",","&amp;SUBSTITUTE(I6,", ",",")&amp;",")),1,0)</f>
        <v>0</v>
      </c>
      <c r="Y6" s="11">
        <f>IF(ISNUMBER(SEARCH(",B7-H1,",","&amp;SUBSTITUTE(I6,", ",",")&amp;",")),1,0)</f>
        <v>0</v>
      </c>
      <c r="Z6" s="11">
        <f>IF(ISNUMBER(SEARCH(",CD152,",","&amp;SUBSTITUTE(I6,", ",",")&amp;",")),1,0)</f>
        <v>0</v>
      </c>
      <c r="AA6" s="11">
        <f>IF(ISNUMBER(SEARCH(",CD274,",","&amp;SUBSTITUTE(I6,", ",",")&amp;",")),1,0)</f>
        <v>0</v>
      </c>
      <c r="AB6" s="11">
        <f>IF(ISNUMBER(SEARCH(",CD279,",","&amp;SUBSTITUTE(I6,", ",",")&amp;",")),1,0)</f>
        <v>0</v>
      </c>
      <c r="AC6" s="11">
        <f>IF(ISNUMBER(SEARCH(",CD73,",","&amp;SUBSTITUTE(I6,", ",",")&amp;",")),1,0)</f>
        <v>0</v>
      </c>
      <c r="AD6" s="11">
        <f>IF(ISNUMBER(SEARCH(",CEA,",","&amp;SUBSTITUTE(I6,", ",",")&amp;",")),1,0)</f>
        <v>0</v>
      </c>
      <c r="AE6" s="11">
        <f>IF(ISNUMBER(SEARCH(",CTLA-4,",","&amp;SUBSTITUTE(I6,", ",",")&amp;",")),1,0)</f>
        <v>0</v>
      </c>
      <c r="AF6" s="11">
        <f>IF(ISNUMBER(SEARCH(",EGFR,",","&amp;SUBSTITUTE(I6,", ",",")&amp;",")),1,0)</f>
        <v>0</v>
      </c>
      <c r="AG6" s="11">
        <f>IF(ISNUMBER(SEARCH(",EGFR C797G,",","&amp;SUBSTITUTE(I6,", ",",")&amp;",")),1,0)</f>
        <v>0</v>
      </c>
      <c r="AH6" s="11">
        <f>IF(ISNUMBER(SEARCH(",EGFR C797S,",","&amp;SUBSTITUTE(I6,", ",",")&amp;",")),1,0)</f>
        <v>0</v>
      </c>
      <c r="AI6" s="11">
        <f>IF(ISNUMBER(SEARCH(",EGFR Exon 19-del,",","&amp;SUBSTITUTE(I6,", ",",")&amp;",")),1,0)</f>
        <v>0</v>
      </c>
      <c r="AJ6" s="11">
        <f>IF(ISNUMBER(SEARCH(",EGFR Exon 20,",","&amp;SUBSTITUTE(I6,", ",",")&amp;",")),1,0)</f>
        <v>0</v>
      </c>
      <c r="AK6" s="11">
        <f>IF(ISNUMBER(SEARCH(",EGFR L858R,",","&amp;SUBSTITUTE(I6,", ",",")&amp;",")),1,0)</f>
        <v>0</v>
      </c>
      <c r="AL6" s="11">
        <f>IF(ISNUMBER(SEARCH(",EGFR T790M,",","&amp;SUBSTITUTE(I6,", ",",")&amp;",")),1,0)</f>
        <v>0</v>
      </c>
      <c r="AM6" s="11">
        <f>IF(ISNUMBER(SEARCH(",ERBB,",","&amp;SUBSTITUTE(I6,", ",",")&amp;",")),1,0)</f>
        <v>0</v>
      </c>
      <c r="AN6" s="11">
        <f>IF(ISNUMBER(SEARCH(",ERBB3,",","&amp;SUBSTITUTE(I6,", ",",")&amp;",")),1,0)</f>
        <v>0</v>
      </c>
      <c r="AO6" s="11">
        <f>IF(ISNUMBER(SEARCH(",FAK,",","&amp;SUBSTITUTE(I6,", ",",")&amp;",")),1,0)</f>
        <v>0</v>
      </c>
      <c r="AP6" s="11">
        <f>IF(ISNUMBER(SEARCH(",GARP,",","&amp;SUBSTITUTE(I6,", ",",")&amp;",")),1,0)</f>
        <v>0</v>
      </c>
      <c r="AQ6" s="11">
        <f>IF(ISNUMBER(SEARCH(",HER1,",","&amp;SUBSTITUTE(I6,", ",",")&amp;",")),1,0)</f>
        <v>0</v>
      </c>
      <c r="AR6" s="11">
        <f>IF(ISNUMBER(SEARCH(",HER2,",","&amp;SUBSTITUTE(I6,", ",",")&amp;",")),1,0)</f>
        <v>0</v>
      </c>
      <c r="AS6" s="11">
        <f>IF(ISNUMBER(SEARCH(",HER2 Exon 20,",","&amp;SUBSTITUTE(I6,", ",",")&amp;",")),1,0)</f>
        <v>0</v>
      </c>
      <c r="AT6" s="11">
        <f>IF(ISNUMBER(SEARCH(",HER3,",","&amp;SUBSTITUTE(I6,", ",",")&amp;",")),1,0)</f>
        <v>0</v>
      </c>
      <c r="AU6" s="11">
        <f>IF(ISNUMBER(SEARCH(",HER4,",","&amp;SUBSTITUTE(I6,", ",",")&amp;",")),1,0)</f>
        <v>0</v>
      </c>
      <c r="AV6" s="11">
        <f>IF(ISNUMBER(SEARCH(",HRAS,",","&amp;SUBSTITUTE(I6,", ",",")&amp;",")),1,0)</f>
        <v>0</v>
      </c>
      <c r="AW6" s="11">
        <f>IF(ISNUMBER(SEARCH(",HSV-TK,",","&amp;SUBSTITUTE(I6,", ",",")&amp;",")),1,0)</f>
        <v>0</v>
      </c>
      <c r="AX6" s="11">
        <f>IF(ISNUMBER(SEARCH(",IL-12,",","&amp;SUBSTITUTE(I6,", ",",")&amp;",")),1,0)</f>
        <v>0</v>
      </c>
      <c r="AY6" s="11">
        <f>IF(ISNUMBER(SEARCH(",IL-15,",","&amp;SUBSTITUTE(I6,", ",",")&amp;",")),1,0)</f>
        <v>0</v>
      </c>
      <c r="AZ6" s="11">
        <f>IF(ISNUMBER(SEARCH(",IL-15R,",","&amp;SUBSTITUTE(I6,", ",",")&amp;",")),1,0)</f>
        <v>0</v>
      </c>
      <c r="BA6" s="11">
        <f>IF(ISNUMBER(SEARCH(",IL-2,",","&amp;SUBSTITUTE(I6,", ",",")&amp;",")),1,0)</f>
        <v>0</v>
      </c>
      <c r="BB6" s="11">
        <f>IF(ISNUMBER(SEARCH(",Integrin β6,",","&amp;SUBSTITUTE(I6,", ",",")&amp;",")),1,0)</f>
        <v>0</v>
      </c>
      <c r="BC6" s="11">
        <f>IF(ISNUMBER(SEARCH(",KDR,",","&amp;SUBSTITUTE(I6,", ",",")&amp;",")),1,0)</f>
        <v>0</v>
      </c>
      <c r="BD6" s="11">
        <f>IF(ISNUMBER(SEARCH(",KLRC1,",","&amp;SUBSTITUTE(I6,", ",",")&amp;",")),1,0)</f>
        <v>0</v>
      </c>
      <c r="BE6" s="11">
        <f>IF(ISNUMBER(SEARCH(",KRAS,",","&amp;SUBSTITUTE(I6,", ",",")&amp;",")),1,0)</f>
        <v>0</v>
      </c>
      <c r="BF6" s="11">
        <f>IF(ISNUMBER(SEARCH(",KRAS G12,",","&amp;SUBSTITUTE(I6,", ",",")&amp;",")),1,0)</f>
        <v>0</v>
      </c>
      <c r="BG6" s="11">
        <f>IF(ISNUMBER(SEARCH(",KRAS G12C,",","&amp;SUBSTITUTE(I6,", ",",")&amp;",")),1,0)</f>
        <v>0</v>
      </c>
      <c r="BH6" s="11">
        <f>IF(ISNUMBER(SEARCH(",KRAS G12D,",","&amp;SUBSTITUTE(I6,", ",",")&amp;",")),1,0)</f>
        <v>0</v>
      </c>
      <c r="BI6" s="11">
        <f>IF(ISNUMBER(SEARCH(",LAG-3,",","&amp;SUBSTITUTE(I6,", ",",")&amp;",")),1,0)</f>
        <v>0</v>
      </c>
      <c r="BJ6" s="11">
        <f>IF(ISNUMBER(SEARCH(",MAGE-A2,",","&amp;SUBSTITUTE(I6,", ",",")&amp;",")),1,0)</f>
        <v>0</v>
      </c>
      <c r="BK6" s="11">
        <f>IF(ISNUMBER(SEARCH(",MAGE-A3,",","&amp;SUBSTITUTE(I6,", ",",")&amp;",")),1,0)</f>
        <v>0</v>
      </c>
      <c r="BL6" s="11">
        <f>IF(ISNUMBER(SEARCH(",MLN19,",","&amp;SUBSTITUTE(I6,", ",",")&amp;",")),1,0)</f>
        <v>0</v>
      </c>
      <c r="BM6" s="11">
        <f>IF(ISNUMBER(SEARCH(",Microtubule,",","&amp;SUBSTITUTE(I6,", ",",")&amp;",")),1,0)</f>
        <v>0</v>
      </c>
      <c r="BN6" s="11">
        <f>IF(ISNUMBER(SEARCH(",NKG2A,",","&amp;SUBSTITUTE(I6,", ",",")&amp;",")),1,0)</f>
        <v>0</v>
      </c>
      <c r="BO6" s="11">
        <f>IF(ISNUMBER(SEARCH(",NRAS,",","&amp;SUBSTITUTE(I6,", ",",")&amp;",")),1,0)</f>
        <v>0</v>
      </c>
      <c r="BP6" s="11">
        <f>IF(ISNUMBER(SEARCH(",NTRK,",","&amp;SUBSTITUTE(I6,", ",",")&amp;",")),1,0)</f>
        <v>0</v>
      </c>
      <c r="BQ6" s="11">
        <f>IF(ISNUMBER(SEARCH(",PARP,",","&amp;SUBSTITUTE(I6,", ",",")&amp;",")),1,0)</f>
        <v>0</v>
      </c>
      <c r="BR6" s="11">
        <f>IF(ISNUMBER(SEARCH(",PD-1,",","&amp;SUBSTITUTE(I6,", ",",")&amp;",")),1,0)</f>
        <v>0</v>
      </c>
      <c r="BS6" s="11">
        <f>IF(ISNUMBER(SEARCH(",PD-L1,",","&amp;SUBSTITUTE(I6,", ",",")&amp;",")),1,0)</f>
        <v>0</v>
      </c>
      <c r="BT6" s="11">
        <f>IF(ISNUMBER(SEARCH(",PRMT5,",","&amp;SUBSTITUTE(I6,", ",",")&amp;",")),1,0)</f>
        <v>0</v>
      </c>
      <c r="BU6" s="11">
        <f>IF(ISNUMBER(SEARCH(",RAS,",","&amp;SUBSTITUTE(I6,", ",",")&amp;",")),1,0)</f>
        <v>0</v>
      </c>
      <c r="BV6" s="11">
        <f>IF(ISNUMBER(SEARCH(",RET,",","&amp;SUBSTITUTE(I6,", ",",")&amp;",")),1,0)</f>
        <v>0</v>
      </c>
      <c r="BW6" s="11">
        <f>IF(ISNUMBER(SEARCH(",ROS,",","&amp;SUBSTITUTE(I6,", ",",")&amp;",")),1,0)</f>
        <v>0</v>
      </c>
      <c r="BX6" s="11">
        <f>IF(ISNUMBER(SEARCH(",ROS1,",","&amp;SUBSTITUTE(I6,", ",",")&amp;",")),1,0)</f>
        <v>0</v>
      </c>
      <c r="BY6" s="11">
        <f>IF(ISNUMBER(SEARCH(",Src,",","&amp;SUBSTITUTE(I6,", ",",")&amp;",")),1,0)</f>
        <v>0</v>
      </c>
      <c r="BZ6" s="11">
        <f>IF(ISNUMBER(SEARCH(",TCGF,",","&amp;SUBSTITUTE(I6,", ",",")&amp;",")),1,0)</f>
        <v>0</v>
      </c>
      <c r="CA6" s="11">
        <f>IF(ISNUMBER(SEARCH(",TGF-β,",","&amp;SUBSTITUTE(I6,", ",",")&amp;",")),1,0)</f>
        <v>0</v>
      </c>
      <c r="CB6" s="11">
        <f>IF(ISNUMBER(SEARCH(",TGF-β1,",","&amp;SUBSTITUTE(I6,", ",",")&amp;",")),1,0)</f>
        <v>0</v>
      </c>
      <c r="CC6" s="11">
        <f>IF(ISNUMBER(SEARCH(",TIGIT,",","&amp;SUBSTITUTE(I6,", ",",")&amp;",")),1,0)</f>
        <v>0</v>
      </c>
      <c r="CD6" s="11">
        <f>IF(ISNUMBER(SEARCH(",TLR,",","&amp;SUBSTITUTE(I6,", ",",")&amp;",")),1,0)</f>
        <v>0</v>
      </c>
      <c r="CE6" s="11">
        <f>IF(ISNUMBER(SEARCH(",TLR7/8,",","&amp;SUBSTITUTE(I6,", ",",")&amp;",")),1,0)</f>
        <v>0</v>
      </c>
      <c r="CF6" s="11">
        <f>IF(ISNUMBER(SEARCH(",TRK,",","&amp;SUBSTITUTE(I6,", ",",")&amp;",")),1,0)</f>
        <v>0</v>
      </c>
      <c r="CG6" s="11">
        <f>IF(ISNUMBER(SEARCH(",TROP2,",","&amp;SUBSTITUTE(I6,", ",",")&amp;",")),1,0)</f>
        <v>0</v>
      </c>
      <c r="CH6" s="11">
        <f>IF(ISNUMBER(SEARCH(",TS,",","&amp;SUBSTITUTE(I6,", ",",")&amp;",")),1,0)</f>
        <v>0</v>
      </c>
      <c r="CI6" s="11">
        <f>IF(ISNUMBER(SEARCH(",TYMS,",","&amp;SUBSTITUTE(I6,", ",",")&amp;",")),1,0)</f>
        <v>0</v>
      </c>
      <c r="CJ6" s="11">
        <f>IF(ISNUMBER(SEARCH(",VEGF,",","&amp;SUBSTITUTE(I6,", ",",")&amp;",")),1,0)</f>
        <v>1</v>
      </c>
      <c r="CK6" s="11">
        <f>IF(ISNUMBER(SEARCH(",VEGFA,",","&amp;SUBSTITUTE(I6,", ",",")&amp;",")),1,0)</f>
        <v>0</v>
      </c>
      <c r="CL6" s="11">
        <f>IF(ISNUMBER(SEARCH(",VEGFR2,",","&amp;SUBSTITUTE(I6,", ",",")&amp;",")),1,0)</f>
        <v>0</v>
      </c>
      <c r="CM6" s="11">
        <f>IF(ISNUMBER(SEARCH(",c-MET/MET,",","&amp;SUBSTITUTE(I6,", ",",")&amp;",")),1,0)</f>
        <v>0</v>
      </c>
      <c r="CN6" s="11">
        <f>IF(ISNUMBER(SEARCH(",p53,",","&amp;SUBSTITUTE(I6,", ",",")&amp;",")),1,0)</f>
        <v>0</v>
      </c>
      <c r="CO6" s="11">
        <f>IF(ISNUMBER(SEARCH(",pan-KRAS,",","&amp;SUBSTITUTE(I6,", ",",")&amp;",")),1,0)</f>
        <v>0</v>
      </c>
      <c r="CP6" s="11">
        <f>IF(ISNUMBER(SEARCH(",ALK,",","&amp;SUBSTITUTE(K6,", ",",")&amp;",")),1,0)</f>
        <v>0</v>
      </c>
      <c r="CQ6" s="11">
        <f>IF(ISNUMBER(SEARCH(",BRAF V600E,",","&amp;SUBSTITUTE(K6,", ",",")&amp;",")),1,0)</f>
        <v>0</v>
      </c>
      <c r="CR6" s="11">
        <f>IF(ISNUMBER(SEARCH(",EGFR,",","&amp;SUBSTITUTE(K6,", ",",")&amp;",")),1,0)</f>
        <v>0</v>
      </c>
      <c r="CS6" s="11">
        <f>IF(ISNUMBER(SEARCH(",EGFR Exon 18,",","&amp;SUBSTITUTE(K6,", ",",")&amp;",")),1,0)</f>
        <v>0</v>
      </c>
      <c r="CT6" s="11">
        <f>IF(ISNUMBER(SEARCH(",EGFR Exon 19-del,",","&amp;SUBSTITUTE(K6,", ",",")&amp;",")),1,0)</f>
        <v>0</v>
      </c>
      <c r="CU6" s="11">
        <f>IF(ISNUMBER(SEARCH(",EGFR Exon 20,",","&amp;SUBSTITUTE(K6,", ",",")&amp;",")),1,0)</f>
        <v>0</v>
      </c>
      <c r="CV6" s="11">
        <f>IF(ISNUMBER(SEARCH(",EGFR Exon 20-ins,",","&amp;SUBSTITUTE(K6,", ",",")&amp;",")),1,0)</f>
        <v>0</v>
      </c>
      <c r="CW6" s="11">
        <f>IF(ISNUMBER(SEARCH(",EGFR Exon 21,",","&amp;SUBSTITUTE(K6,", ",",")&amp;",")),1,0)</f>
        <v>0</v>
      </c>
      <c r="CX6" s="11">
        <f>IF(ISNUMBER(SEARCH(",EGFR G719A,",","&amp;SUBSTITUTE(K6,", ",",")&amp;",")),1,0)</f>
        <v>0</v>
      </c>
      <c r="CY6" s="11">
        <f>IF(ISNUMBER(SEARCH(",EGFR G719C,",","&amp;SUBSTITUTE(K6,", ",",")&amp;",")),1,0)</f>
        <v>0</v>
      </c>
      <c r="CZ6" s="11">
        <f>IF(ISNUMBER(SEARCH(",EGFR G719S,",","&amp;SUBSTITUTE(K6,", ",",")&amp;",")),1,0)</f>
        <v>0</v>
      </c>
      <c r="DA6" s="11">
        <f>IF(ISNUMBER(SEARCH(",EGFR G719X,",","&amp;SUBSTITUTE(K6,", ",",")&amp;",")),1,0)</f>
        <v>0</v>
      </c>
      <c r="DB6" s="11">
        <f>IF(ISNUMBER(SEARCH(",EGFR L858R,",","&amp;SUBSTITUTE(K6,", ",",")&amp;",")),1,0)</f>
        <v>0</v>
      </c>
      <c r="DC6" s="11">
        <f>IF(ISNUMBER(SEARCH(",EGFR L861Q,",","&amp;SUBSTITUTE(K6,", ",",")&amp;",")),1,0)</f>
        <v>0</v>
      </c>
      <c r="DD6" s="11">
        <f>IF(ISNUMBER(SEARCH(",EGFR PACC,",","&amp;SUBSTITUTE(K6,", ",",")&amp;",")),1,0)</f>
        <v>0</v>
      </c>
      <c r="DE6" s="11">
        <f>IF(ISNUMBER(SEARCH(",EGFR S768I,",","&amp;SUBSTITUTE(K6,", ",",")&amp;",")),1,0)</f>
        <v>0</v>
      </c>
      <c r="DF6" s="11">
        <f>IF(ISNUMBER(SEARCH(",EGFR T790M,",","&amp;SUBSTITUTE(K6,", ",",")&amp;",")),1,0)</f>
        <v>0</v>
      </c>
      <c r="DG6" s="11">
        <f>IF(ISNUMBER(SEARCH(",EML4-ALK,",","&amp;SUBSTITUTE(K6,", ",",")&amp;",")),1,0)</f>
        <v>0</v>
      </c>
      <c r="DH6" s="11">
        <f>IF(ISNUMBER(SEARCH(",HER2,",","&amp;SUBSTITUTE(K6,", ",",")&amp;",")),1,0)</f>
        <v>0</v>
      </c>
      <c r="DI6" s="11">
        <f>IF(ISNUMBER(SEARCH(",HER2 Exon 19,",","&amp;SUBSTITUTE(K6,", ",",")&amp;",")),1,0)</f>
        <v>0</v>
      </c>
      <c r="DJ6" s="11">
        <f>IF(ISNUMBER(SEARCH(",HER2 Exon 20,",","&amp;SUBSTITUTE(K6,", ",",")&amp;",")),1,0)</f>
        <v>0</v>
      </c>
      <c r="DK6" s="11">
        <f>IF(ISNUMBER(SEARCH(",HER2 mut,",","&amp;SUBSTITUTE(K6,", ",",")&amp;",")),1,0)</f>
        <v>0</v>
      </c>
      <c r="DL6" s="11">
        <f>IF(ISNUMBER(SEARCH(",HLA-A2,",","&amp;SUBSTITUTE(K6,", ",",")&amp;",")),1,0)</f>
        <v>0</v>
      </c>
      <c r="DM6" s="11">
        <f>IF(ISNUMBER(SEARCH(",HRAS,",","&amp;SUBSTITUTE(K6,", ",",")&amp;",")),1,0)</f>
        <v>0</v>
      </c>
      <c r="DN6" s="11">
        <f>IF(ISNUMBER(SEARCH(",KRAS,",","&amp;SUBSTITUTE(K6,", ",",")&amp;",")),1,0)</f>
        <v>0</v>
      </c>
      <c r="DO6" s="11">
        <f>IF(ISNUMBER(SEARCH(",KRAS G12C,",","&amp;SUBSTITUTE(K6,", ",",")&amp;",")),1,0)</f>
        <v>0</v>
      </c>
      <c r="DP6" s="11">
        <f>IF(ISNUMBER(SEARCH(",NRAS,",","&amp;SUBSTITUTE(K6,", ",",")&amp;",")),1,0)</f>
        <v>0</v>
      </c>
      <c r="DQ6" s="11">
        <f>IF(ISNUMBER(SEARCH(",NTRK,",","&amp;SUBSTITUTE(K6,", ",",")&amp;",")),1,0)</f>
        <v>0</v>
      </c>
      <c r="DR6" s="11">
        <f>IF(ISNUMBER(SEARCH(",PD-L1,",","&amp;SUBSTITUTE(K6,", ",",")&amp;",")),1,0)</f>
        <v>0</v>
      </c>
      <c r="DS6" s="11">
        <f>IF(ISNUMBER(SEARCH(",PD-L1 IC ≥ 1%,",","&amp;SUBSTITUTE(K6,", ",",")&amp;",")),1,0)</f>
        <v>0</v>
      </c>
      <c r="DT6" s="11">
        <f>IF(ISNUMBER(SEARCH(",PD-L1 TC ≥ 1%,",","&amp;SUBSTITUTE(K6,", ",",")&amp;",")),1,0)</f>
        <v>0</v>
      </c>
      <c r="DU6" s="11">
        <f>IF(ISNUMBER(SEARCH(",PD-L1 TC ≥ 50%,",","&amp;SUBSTITUTE(K6,", ",",")&amp;",")),1,0)</f>
        <v>0</v>
      </c>
      <c r="DV6" s="11">
        <f>IF(ISNUMBER(SEARCH(",PD-L1 TPS &lt; 50%,",","&amp;SUBSTITUTE(K6,", ",",")&amp;",")),1,0)</f>
        <v>0</v>
      </c>
      <c r="DW6" s="11">
        <f>IF(ISNUMBER(SEARCH(",PD-L1 TPS ≥ 1%,",","&amp;SUBSTITUTE(K6,", ",",")&amp;",")),1,0)</f>
        <v>0</v>
      </c>
      <c r="DX6" s="11">
        <f>IF(ISNUMBER(SEARCH(",PD-L1 TPS ≥ 50%,",","&amp;SUBSTITUTE(K6,", ",",")&amp;",")),1,0)</f>
        <v>0</v>
      </c>
      <c r="DY6" s="11">
        <f>IF(ISNUMBER(SEARCH(",RAS,",","&amp;SUBSTITUTE(K6,", ",",")&amp;",")),1,0)</f>
        <v>0</v>
      </c>
      <c r="DZ6" s="11">
        <f>IF(ISNUMBER(SEARCH(",RET,",","&amp;SUBSTITUTE(K6,", ",",")&amp;",")),1,0)</f>
        <v>0</v>
      </c>
      <c r="EA6" s="11">
        <f>IF(ISNUMBER(SEARCH(",ROS1,",","&amp;SUBSTITUTE(K6,", ",",")&amp;",")),1,0)</f>
        <v>0</v>
      </c>
      <c r="EB6" s="11">
        <f>IF(ISNUMBER(SEARCH(",TROP2,",","&amp;SUBSTITUTE(K6,", ",",")&amp;",")),1,0)</f>
        <v>0</v>
      </c>
      <c r="EC6" s="11">
        <f>IF(ISNUMBER(SEARCH(",c-MET/MET,",","&amp;SUBSTITUTE(K6,", ",",")&amp;",")),1,0)</f>
        <v>0</v>
      </c>
      <c r="ED6" s="11">
        <f>IF(ISNUMBER(SEARCH(",c-MET/MET Exon 14,",","&amp;SUBSTITUTE(K6,", ",",")&amp;",")),1,0)</f>
        <v>0</v>
      </c>
      <c r="EE6" s="11">
        <f>IF(ISNUMBER(SEARCH(",ctDNA/cfDNA,",","&amp;SUBSTITUTE(K6,", ",",")&amp;",")),1,0)</f>
        <v>0</v>
      </c>
    </row>
    <row r="7" spans="1:135" ht="15" customHeight="1" x14ac:dyDescent="0.2">
      <c r="A7" s="3" t="s">
        <v>105</v>
      </c>
      <c r="B7" s="3" t="s">
        <v>603</v>
      </c>
      <c r="C7" s="3" t="s">
        <v>605</v>
      </c>
      <c r="D7" s="3" t="s">
        <v>604</v>
      </c>
      <c r="E7" s="3" t="s">
        <v>606</v>
      </c>
      <c r="F7" s="3" t="s">
        <v>111</v>
      </c>
      <c r="G7" s="3" t="s">
        <v>181</v>
      </c>
      <c r="H7" s="3" t="s">
        <v>115</v>
      </c>
      <c r="I7" s="3" t="s">
        <v>118</v>
      </c>
      <c r="J7" s="3" t="s">
        <v>117</v>
      </c>
      <c r="K7" s="3"/>
      <c r="L7" s="3" t="s">
        <v>120</v>
      </c>
      <c r="M7" s="3" t="s">
        <v>113</v>
      </c>
      <c r="N7" s="3" t="s">
        <v>119</v>
      </c>
      <c r="O7" s="3" t="s">
        <v>120</v>
      </c>
      <c r="P7" s="3" t="s">
        <v>607</v>
      </c>
      <c r="Q7" s="10" t="str">
        <f>IF(F7="Stage IV","Stage IV Only",IF(AND(ISNUMBER(SEARCH("IV",F7)),LEN(F7)&gt;LEN("Stage IV")),"Stage IV + Other",IF(AND(ISNUMBER(SEARCH("III",F7)),NOT(ISNUMBER(SEARCH("IV",F7)))),"Stage III Only","Other")))</f>
        <v>Stage IV + Other</v>
      </c>
      <c r="R7" s="10" t="str">
        <f>IF(AND(ISNUMBER(SEARCH("Non-squamous",G7)),ISNUMBER(SEARCH("Squamous",SUBSTITUTE(G7,"Non-squamous","")))),"Both",IF(ISNUMBER(SEARCH("Non-squamous",G7)),"Non-squamous",IF(ISNUMBER(SEARCH("Squamous",G7)),"Squamous","Unspecified")))</f>
        <v>Non-squamous</v>
      </c>
      <c r="S7" s="10" t="str">
        <f>IF(OR(ISNUMBER(SEARCH("TPS ≥ 50%",K7)),ISNUMBER(SEARCH("TC ≥ 50%",K7))),"TPS ≥ 50%",IF(OR(ISNUMBER(SEARCH("TPS ≥ 1%",K7)),ISNUMBER(SEARCH("TC ≥ 1%",K7)),ISNUMBER(SEARCH("TPS &lt; 50%",K7)),ISNUMBER(SEARCH("IC ≥ 1%",K7))),"TPS 1-49%","All-comers"))</f>
        <v>All-comers</v>
      </c>
      <c r="T7" s="10">
        <f>IF(H7="Phase III",1,0)</f>
        <v>0</v>
      </c>
      <c r="U7" s="10">
        <f>IF(L7="Yes",1,0)</f>
        <v>1</v>
      </c>
      <c r="V7" s="11">
        <f>IF(ISNUMBER(SEARCH(",ALK,",","&amp;SUBSTITUTE(I7,", ",",")&amp;",")),1,0)</f>
        <v>0</v>
      </c>
      <c r="W7" s="11">
        <f>IF(ISNUMBER(SEARCH(",ALK L1196M,",","&amp;SUBSTITUTE(I7,", ",",")&amp;",")),1,0)</f>
        <v>0</v>
      </c>
      <c r="X7" s="11">
        <f>IF(ISNUMBER(SEARCH(",AXL,",","&amp;SUBSTITUTE(I7,", ",",")&amp;",")),1,0)</f>
        <v>0</v>
      </c>
      <c r="Y7" s="11">
        <f>IF(ISNUMBER(SEARCH(",B7-H1,",","&amp;SUBSTITUTE(I7,", ",",")&amp;",")),1,0)</f>
        <v>0</v>
      </c>
      <c r="Z7" s="11">
        <f>IF(ISNUMBER(SEARCH(",CD152,",","&amp;SUBSTITUTE(I7,", ",",")&amp;",")),1,0)</f>
        <v>0</v>
      </c>
      <c r="AA7" s="11">
        <f>IF(ISNUMBER(SEARCH(",CD274,",","&amp;SUBSTITUTE(I7,", ",",")&amp;",")),1,0)</f>
        <v>0</v>
      </c>
      <c r="AB7" s="11">
        <f>IF(ISNUMBER(SEARCH(",CD279,",","&amp;SUBSTITUTE(I7,", ",",")&amp;",")),1,0)</f>
        <v>0</v>
      </c>
      <c r="AC7" s="11">
        <f>IF(ISNUMBER(SEARCH(",CD73,",","&amp;SUBSTITUTE(I7,", ",",")&amp;",")),1,0)</f>
        <v>0</v>
      </c>
      <c r="AD7" s="11">
        <f>IF(ISNUMBER(SEARCH(",CEA,",","&amp;SUBSTITUTE(I7,", ",",")&amp;",")),1,0)</f>
        <v>0</v>
      </c>
      <c r="AE7" s="11">
        <f>IF(ISNUMBER(SEARCH(",CTLA-4,",","&amp;SUBSTITUTE(I7,", ",",")&amp;",")),1,0)</f>
        <v>0</v>
      </c>
      <c r="AF7" s="11">
        <f>IF(ISNUMBER(SEARCH(",EGFR,",","&amp;SUBSTITUTE(I7,", ",",")&amp;",")),1,0)</f>
        <v>0</v>
      </c>
      <c r="AG7" s="11">
        <f>IF(ISNUMBER(SEARCH(",EGFR C797G,",","&amp;SUBSTITUTE(I7,", ",",")&amp;",")),1,0)</f>
        <v>0</v>
      </c>
      <c r="AH7" s="11">
        <f>IF(ISNUMBER(SEARCH(",EGFR C797S,",","&amp;SUBSTITUTE(I7,", ",",")&amp;",")),1,0)</f>
        <v>0</v>
      </c>
      <c r="AI7" s="11">
        <f>IF(ISNUMBER(SEARCH(",EGFR Exon 19-del,",","&amp;SUBSTITUTE(I7,", ",",")&amp;",")),1,0)</f>
        <v>0</v>
      </c>
      <c r="AJ7" s="11">
        <f>IF(ISNUMBER(SEARCH(",EGFR Exon 20,",","&amp;SUBSTITUTE(I7,", ",",")&amp;",")),1,0)</f>
        <v>0</v>
      </c>
      <c r="AK7" s="11">
        <f>IF(ISNUMBER(SEARCH(",EGFR L858R,",","&amp;SUBSTITUTE(I7,", ",",")&amp;",")),1,0)</f>
        <v>0</v>
      </c>
      <c r="AL7" s="11">
        <f>IF(ISNUMBER(SEARCH(",EGFR T790M,",","&amp;SUBSTITUTE(I7,", ",",")&amp;",")),1,0)</f>
        <v>0</v>
      </c>
      <c r="AM7" s="11">
        <f>IF(ISNUMBER(SEARCH(",ERBB,",","&amp;SUBSTITUTE(I7,", ",",")&amp;",")),1,0)</f>
        <v>0</v>
      </c>
      <c r="AN7" s="11">
        <f>IF(ISNUMBER(SEARCH(",ERBB3,",","&amp;SUBSTITUTE(I7,", ",",")&amp;",")),1,0)</f>
        <v>0</v>
      </c>
      <c r="AO7" s="11">
        <f>IF(ISNUMBER(SEARCH(",FAK,",","&amp;SUBSTITUTE(I7,", ",",")&amp;",")),1,0)</f>
        <v>0</v>
      </c>
      <c r="AP7" s="11">
        <f>IF(ISNUMBER(SEARCH(",GARP,",","&amp;SUBSTITUTE(I7,", ",",")&amp;",")),1,0)</f>
        <v>0</v>
      </c>
      <c r="AQ7" s="11">
        <f>IF(ISNUMBER(SEARCH(",HER1,",","&amp;SUBSTITUTE(I7,", ",",")&amp;",")),1,0)</f>
        <v>0</v>
      </c>
      <c r="AR7" s="11">
        <f>IF(ISNUMBER(SEARCH(",HER2,",","&amp;SUBSTITUTE(I7,", ",",")&amp;",")),1,0)</f>
        <v>0</v>
      </c>
      <c r="AS7" s="11">
        <f>IF(ISNUMBER(SEARCH(",HER2 Exon 20,",","&amp;SUBSTITUTE(I7,", ",",")&amp;",")),1,0)</f>
        <v>0</v>
      </c>
      <c r="AT7" s="11">
        <f>IF(ISNUMBER(SEARCH(",HER3,",","&amp;SUBSTITUTE(I7,", ",",")&amp;",")),1,0)</f>
        <v>0</v>
      </c>
      <c r="AU7" s="11">
        <f>IF(ISNUMBER(SEARCH(",HER4,",","&amp;SUBSTITUTE(I7,", ",",")&amp;",")),1,0)</f>
        <v>0</v>
      </c>
      <c r="AV7" s="11">
        <f>IF(ISNUMBER(SEARCH(",HRAS,",","&amp;SUBSTITUTE(I7,", ",",")&amp;",")),1,0)</f>
        <v>0</v>
      </c>
      <c r="AW7" s="11">
        <f>IF(ISNUMBER(SEARCH(",HSV-TK,",","&amp;SUBSTITUTE(I7,", ",",")&amp;",")),1,0)</f>
        <v>0</v>
      </c>
      <c r="AX7" s="11">
        <f>IF(ISNUMBER(SEARCH(",IL-12,",","&amp;SUBSTITUTE(I7,", ",",")&amp;",")),1,0)</f>
        <v>0</v>
      </c>
      <c r="AY7" s="11">
        <f>IF(ISNUMBER(SEARCH(",IL-15,",","&amp;SUBSTITUTE(I7,", ",",")&amp;",")),1,0)</f>
        <v>0</v>
      </c>
      <c r="AZ7" s="11">
        <f>IF(ISNUMBER(SEARCH(",IL-15R,",","&amp;SUBSTITUTE(I7,", ",",")&amp;",")),1,0)</f>
        <v>0</v>
      </c>
      <c r="BA7" s="11">
        <f>IF(ISNUMBER(SEARCH(",IL-2,",","&amp;SUBSTITUTE(I7,", ",",")&amp;",")),1,0)</f>
        <v>0</v>
      </c>
      <c r="BB7" s="11">
        <f>IF(ISNUMBER(SEARCH(",Integrin β6,",","&amp;SUBSTITUTE(I7,", ",",")&amp;",")),1,0)</f>
        <v>0</v>
      </c>
      <c r="BC7" s="11">
        <f>IF(ISNUMBER(SEARCH(",KDR,",","&amp;SUBSTITUTE(I7,", ",",")&amp;",")),1,0)</f>
        <v>0</v>
      </c>
      <c r="BD7" s="11">
        <f>IF(ISNUMBER(SEARCH(",KLRC1,",","&amp;SUBSTITUTE(I7,", ",",")&amp;",")),1,0)</f>
        <v>0</v>
      </c>
      <c r="BE7" s="11">
        <f>IF(ISNUMBER(SEARCH(",KRAS,",","&amp;SUBSTITUTE(I7,", ",",")&amp;",")),1,0)</f>
        <v>0</v>
      </c>
      <c r="BF7" s="11">
        <f>IF(ISNUMBER(SEARCH(",KRAS G12,",","&amp;SUBSTITUTE(I7,", ",",")&amp;",")),1,0)</f>
        <v>0</v>
      </c>
      <c r="BG7" s="11">
        <f>IF(ISNUMBER(SEARCH(",KRAS G12C,",","&amp;SUBSTITUTE(I7,", ",",")&amp;",")),1,0)</f>
        <v>0</v>
      </c>
      <c r="BH7" s="11">
        <f>IF(ISNUMBER(SEARCH(",KRAS G12D,",","&amp;SUBSTITUTE(I7,", ",",")&amp;",")),1,0)</f>
        <v>0</v>
      </c>
      <c r="BI7" s="11">
        <f>IF(ISNUMBER(SEARCH(",LAG-3,",","&amp;SUBSTITUTE(I7,", ",",")&amp;",")),1,0)</f>
        <v>0</v>
      </c>
      <c r="BJ7" s="11">
        <f>IF(ISNUMBER(SEARCH(",MAGE-A2,",","&amp;SUBSTITUTE(I7,", ",",")&amp;",")),1,0)</f>
        <v>0</v>
      </c>
      <c r="BK7" s="11">
        <f>IF(ISNUMBER(SEARCH(",MAGE-A3,",","&amp;SUBSTITUTE(I7,", ",",")&amp;",")),1,0)</f>
        <v>0</v>
      </c>
      <c r="BL7" s="11">
        <f>IF(ISNUMBER(SEARCH(",MLN19,",","&amp;SUBSTITUTE(I7,", ",",")&amp;",")),1,0)</f>
        <v>0</v>
      </c>
      <c r="BM7" s="11">
        <f>IF(ISNUMBER(SEARCH(",Microtubule,",","&amp;SUBSTITUTE(I7,", ",",")&amp;",")),1,0)</f>
        <v>0</v>
      </c>
      <c r="BN7" s="11">
        <f>IF(ISNUMBER(SEARCH(",NKG2A,",","&amp;SUBSTITUTE(I7,", ",",")&amp;",")),1,0)</f>
        <v>0</v>
      </c>
      <c r="BO7" s="11">
        <f>IF(ISNUMBER(SEARCH(",NRAS,",","&amp;SUBSTITUTE(I7,", ",",")&amp;",")),1,0)</f>
        <v>0</v>
      </c>
      <c r="BP7" s="11">
        <f>IF(ISNUMBER(SEARCH(",NTRK,",","&amp;SUBSTITUTE(I7,", ",",")&amp;",")),1,0)</f>
        <v>0</v>
      </c>
      <c r="BQ7" s="11">
        <f>IF(ISNUMBER(SEARCH(",PARP,",","&amp;SUBSTITUTE(I7,", ",",")&amp;",")),1,0)</f>
        <v>0</v>
      </c>
      <c r="BR7" s="11">
        <f>IF(ISNUMBER(SEARCH(",PD-1,",","&amp;SUBSTITUTE(I7,", ",",")&amp;",")),1,0)</f>
        <v>0</v>
      </c>
      <c r="BS7" s="11">
        <f>IF(ISNUMBER(SEARCH(",PD-L1,",","&amp;SUBSTITUTE(I7,", ",",")&amp;",")),1,0)</f>
        <v>0</v>
      </c>
      <c r="BT7" s="11">
        <f>IF(ISNUMBER(SEARCH(",PRMT5,",","&amp;SUBSTITUTE(I7,", ",",")&amp;",")),1,0)</f>
        <v>0</v>
      </c>
      <c r="BU7" s="11">
        <f>IF(ISNUMBER(SEARCH(",RAS,",","&amp;SUBSTITUTE(I7,", ",",")&amp;",")),1,0)</f>
        <v>0</v>
      </c>
      <c r="BV7" s="11">
        <f>IF(ISNUMBER(SEARCH(",RET,",","&amp;SUBSTITUTE(I7,", ",",")&amp;",")),1,0)</f>
        <v>0</v>
      </c>
      <c r="BW7" s="11">
        <f>IF(ISNUMBER(SEARCH(",ROS,",","&amp;SUBSTITUTE(I7,", ",",")&amp;",")),1,0)</f>
        <v>0</v>
      </c>
      <c r="BX7" s="11">
        <f>IF(ISNUMBER(SEARCH(",ROS1,",","&amp;SUBSTITUTE(I7,", ",",")&amp;",")),1,0)</f>
        <v>0</v>
      </c>
      <c r="BY7" s="11">
        <f>IF(ISNUMBER(SEARCH(",Src,",","&amp;SUBSTITUTE(I7,", ",",")&amp;",")),1,0)</f>
        <v>0</v>
      </c>
      <c r="BZ7" s="11">
        <f>IF(ISNUMBER(SEARCH(",TCGF,",","&amp;SUBSTITUTE(I7,", ",",")&amp;",")),1,0)</f>
        <v>0</v>
      </c>
      <c r="CA7" s="11">
        <f>IF(ISNUMBER(SEARCH(",TGF-β,",","&amp;SUBSTITUTE(I7,", ",",")&amp;",")),1,0)</f>
        <v>0</v>
      </c>
      <c r="CB7" s="11">
        <f>IF(ISNUMBER(SEARCH(",TGF-β1,",","&amp;SUBSTITUTE(I7,", ",",")&amp;",")),1,0)</f>
        <v>0</v>
      </c>
      <c r="CC7" s="11">
        <f>IF(ISNUMBER(SEARCH(",TIGIT,",","&amp;SUBSTITUTE(I7,", ",",")&amp;",")),1,0)</f>
        <v>0</v>
      </c>
      <c r="CD7" s="11">
        <f>IF(ISNUMBER(SEARCH(",TLR,",","&amp;SUBSTITUTE(I7,", ",",")&amp;",")),1,0)</f>
        <v>0</v>
      </c>
      <c r="CE7" s="11">
        <f>IF(ISNUMBER(SEARCH(",TLR7/8,",","&amp;SUBSTITUTE(I7,", ",",")&amp;",")),1,0)</f>
        <v>0</v>
      </c>
      <c r="CF7" s="11">
        <f>IF(ISNUMBER(SEARCH(",TRK,",","&amp;SUBSTITUTE(I7,", ",",")&amp;",")),1,0)</f>
        <v>0</v>
      </c>
      <c r="CG7" s="11">
        <f>IF(ISNUMBER(SEARCH(",TROP2,",","&amp;SUBSTITUTE(I7,", ",",")&amp;",")),1,0)</f>
        <v>0</v>
      </c>
      <c r="CH7" s="11">
        <f>IF(ISNUMBER(SEARCH(",TS,",","&amp;SUBSTITUTE(I7,", ",",")&amp;",")),1,0)</f>
        <v>0</v>
      </c>
      <c r="CI7" s="11">
        <f>IF(ISNUMBER(SEARCH(",TYMS,",","&amp;SUBSTITUTE(I7,", ",",")&amp;",")),1,0)</f>
        <v>0</v>
      </c>
      <c r="CJ7" s="11">
        <f>IF(ISNUMBER(SEARCH(",VEGF,",","&amp;SUBSTITUTE(I7,", ",",")&amp;",")),1,0)</f>
        <v>1</v>
      </c>
      <c r="CK7" s="11">
        <f>IF(ISNUMBER(SEARCH(",VEGFA,",","&amp;SUBSTITUTE(I7,", ",",")&amp;",")),1,0)</f>
        <v>0</v>
      </c>
      <c r="CL7" s="11">
        <f>IF(ISNUMBER(SEARCH(",VEGFR2,",","&amp;SUBSTITUTE(I7,", ",",")&amp;",")),1,0)</f>
        <v>0</v>
      </c>
      <c r="CM7" s="11">
        <f>IF(ISNUMBER(SEARCH(",c-MET/MET,",","&amp;SUBSTITUTE(I7,", ",",")&amp;",")),1,0)</f>
        <v>0</v>
      </c>
      <c r="CN7" s="11">
        <f>IF(ISNUMBER(SEARCH(",p53,",","&amp;SUBSTITUTE(I7,", ",",")&amp;",")),1,0)</f>
        <v>0</v>
      </c>
      <c r="CO7" s="11">
        <f>IF(ISNUMBER(SEARCH(",pan-KRAS,",","&amp;SUBSTITUTE(I7,", ",",")&amp;",")),1,0)</f>
        <v>0</v>
      </c>
      <c r="CP7" s="11">
        <f>IF(ISNUMBER(SEARCH(",ALK,",","&amp;SUBSTITUTE(K7,", ",",")&amp;",")),1,0)</f>
        <v>0</v>
      </c>
      <c r="CQ7" s="11">
        <f>IF(ISNUMBER(SEARCH(",BRAF V600E,",","&amp;SUBSTITUTE(K7,", ",",")&amp;",")),1,0)</f>
        <v>0</v>
      </c>
      <c r="CR7" s="11">
        <f>IF(ISNUMBER(SEARCH(",EGFR,",","&amp;SUBSTITUTE(K7,", ",",")&amp;",")),1,0)</f>
        <v>0</v>
      </c>
      <c r="CS7" s="11">
        <f>IF(ISNUMBER(SEARCH(",EGFR Exon 18,",","&amp;SUBSTITUTE(K7,", ",",")&amp;",")),1,0)</f>
        <v>0</v>
      </c>
      <c r="CT7" s="11">
        <f>IF(ISNUMBER(SEARCH(",EGFR Exon 19-del,",","&amp;SUBSTITUTE(K7,", ",",")&amp;",")),1,0)</f>
        <v>0</v>
      </c>
      <c r="CU7" s="11">
        <f>IF(ISNUMBER(SEARCH(",EGFR Exon 20,",","&amp;SUBSTITUTE(K7,", ",",")&amp;",")),1,0)</f>
        <v>0</v>
      </c>
      <c r="CV7" s="11">
        <f>IF(ISNUMBER(SEARCH(",EGFR Exon 20-ins,",","&amp;SUBSTITUTE(K7,", ",",")&amp;",")),1,0)</f>
        <v>0</v>
      </c>
      <c r="CW7" s="11">
        <f>IF(ISNUMBER(SEARCH(",EGFR Exon 21,",","&amp;SUBSTITUTE(K7,", ",",")&amp;",")),1,0)</f>
        <v>0</v>
      </c>
      <c r="CX7" s="11">
        <f>IF(ISNUMBER(SEARCH(",EGFR G719A,",","&amp;SUBSTITUTE(K7,", ",",")&amp;",")),1,0)</f>
        <v>0</v>
      </c>
      <c r="CY7" s="11">
        <f>IF(ISNUMBER(SEARCH(",EGFR G719C,",","&amp;SUBSTITUTE(K7,", ",",")&amp;",")),1,0)</f>
        <v>0</v>
      </c>
      <c r="CZ7" s="11">
        <f>IF(ISNUMBER(SEARCH(",EGFR G719S,",","&amp;SUBSTITUTE(K7,", ",",")&amp;",")),1,0)</f>
        <v>0</v>
      </c>
      <c r="DA7" s="11">
        <f>IF(ISNUMBER(SEARCH(",EGFR G719X,",","&amp;SUBSTITUTE(K7,", ",",")&amp;",")),1,0)</f>
        <v>0</v>
      </c>
      <c r="DB7" s="11">
        <f>IF(ISNUMBER(SEARCH(",EGFR L858R,",","&amp;SUBSTITUTE(K7,", ",",")&amp;",")),1,0)</f>
        <v>0</v>
      </c>
      <c r="DC7" s="11">
        <f>IF(ISNUMBER(SEARCH(",EGFR L861Q,",","&amp;SUBSTITUTE(K7,", ",",")&amp;",")),1,0)</f>
        <v>0</v>
      </c>
      <c r="DD7" s="11">
        <f>IF(ISNUMBER(SEARCH(",EGFR PACC,",","&amp;SUBSTITUTE(K7,", ",",")&amp;",")),1,0)</f>
        <v>0</v>
      </c>
      <c r="DE7" s="11">
        <f>IF(ISNUMBER(SEARCH(",EGFR S768I,",","&amp;SUBSTITUTE(K7,", ",",")&amp;",")),1,0)</f>
        <v>0</v>
      </c>
      <c r="DF7" s="11">
        <f>IF(ISNUMBER(SEARCH(",EGFR T790M,",","&amp;SUBSTITUTE(K7,", ",",")&amp;",")),1,0)</f>
        <v>0</v>
      </c>
      <c r="DG7" s="11">
        <f>IF(ISNUMBER(SEARCH(",EML4-ALK,",","&amp;SUBSTITUTE(K7,", ",",")&amp;",")),1,0)</f>
        <v>0</v>
      </c>
      <c r="DH7" s="11">
        <f>IF(ISNUMBER(SEARCH(",HER2,",","&amp;SUBSTITUTE(K7,", ",",")&amp;",")),1,0)</f>
        <v>0</v>
      </c>
      <c r="DI7" s="11">
        <f>IF(ISNUMBER(SEARCH(",HER2 Exon 19,",","&amp;SUBSTITUTE(K7,", ",",")&amp;",")),1,0)</f>
        <v>0</v>
      </c>
      <c r="DJ7" s="11">
        <f>IF(ISNUMBER(SEARCH(",HER2 Exon 20,",","&amp;SUBSTITUTE(K7,", ",",")&amp;",")),1,0)</f>
        <v>0</v>
      </c>
      <c r="DK7" s="11">
        <f>IF(ISNUMBER(SEARCH(",HER2 mut,",","&amp;SUBSTITUTE(K7,", ",",")&amp;",")),1,0)</f>
        <v>0</v>
      </c>
      <c r="DL7" s="11">
        <f>IF(ISNUMBER(SEARCH(",HLA-A2,",","&amp;SUBSTITUTE(K7,", ",",")&amp;",")),1,0)</f>
        <v>0</v>
      </c>
      <c r="DM7" s="11">
        <f>IF(ISNUMBER(SEARCH(",HRAS,",","&amp;SUBSTITUTE(K7,", ",",")&amp;",")),1,0)</f>
        <v>0</v>
      </c>
      <c r="DN7" s="11">
        <f>IF(ISNUMBER(SEARCH(",KRAS,",","&amp;SUBSTITUTE(K7,", ",",")&amp;",")),1,0)</f>
        <v>0</v>
      </c>
      <c r="DO7" s="11">
        <f>IF(ISNUMBER(SEARCH(",KRAS G12C,",","&amp;SUBSTITUTE(K7,", ",",")&amp;",")),1,0)</f>
        <v>0</v>
      </c>
      <c r="DP7" s="11">
        <f>IF(ISNUMBER(SEARCH(",NRAS,",","&amp;SUBSTITUTE(K7,", ",",")&amp;",")),1,0)</f>
        <v>0</v>
      </c>
      <c r="DQ7" s="11">
        <f>IF(ISNUMBER(SEARCH(",NTRK,",","&amp;SUBSTITUTE(K7,", ",",")&amp;",")),1,0)</f>
        <v>0</v>
      </c>
      <c r="DR7" s="11">
        <f>IF(ISNUMBER(SEARCH(",PD-L1,",","&amp;SUBSTITUTE(K7,", ",",")&amp;",")),1,0)</f>
        <v>0</v>
      </c>
      <c r="DS7" s="11">
        <f>IF(ISNUMBER(SEARCH(",PD-L1 IC ≥ 1%,",","&amp;SUBSTITUTE(K7,", ",",")&amp;",")),1,0)</f>
        <v>0</v>
      </c>
      <c r="DT7" s="11">
        <f>IF(ISNUMBER(SEARCH(",PD-L1 TC ≥ 1%,",","&amp;SUBSTITUTE(K7,", ",",")&amp;",")),1,0)</f>
        <v>0</v>
      </c>
      <c r="DU7" s="11">
        <f>IF(ISNUMBER(SEARCH(",PD-L1 TC ≥ 50%,",","&amp;SUBSTITUTE(K7,", ",",")&amp;",")),1,0)</f>
        <v>0</v>
      </c>
      <c r="DV7" s="11">
        <f>IF(ISNUMBER(SEARCH(",PD-L1 TPS &lt; 50%,",","&amp;SUBSTITUTE(K7,", ",",")&amp;",")),1,0)</f>
        <v>0</v>
      </c>
      <c r="DW7" s="11">
        <f>IF(ISNUMBER(SEARCH(",PD-L1 TPS ≥ 1%,",","&amp;SUBSTITUTE(K7,", ",",")&amp;",")),1,0)</f>
        <v>0</v>
      </c>
      <c r="DX7" s="11">
        <f>IF(ISNUMBER(SEARCH(",PD-L1 TPS ≥ 50%,",","&amp;SUBSTITUTE(K7,", ",",")&amp;",")),1,0)</f>
        <v>0</v>
      </c>
      <c r="DY7" s="11">
        <f>IF(ISNUMBER(SEARCH(",RAS,",","&amp;SUBSTITUTE(K7,", ",",")&amp;",")),1,0)</f>
        <v>0</v>
      </c>
      <c r="DZ7" s="11">
        <f>IF(ISNUMBER(SEARCH(",RET,",","&amp;SUBSTITUTE(K7,", ",",")&amp;",")),1,0)</f>
        <v>0</v>
      </c>
      <c r="EA7" s="11">
        <f>IF(ISNUMBER(SEARCH(",ROS1,",","&amp;SUBSTITUTE(K7,", ",",")&amp;",")),1,0)</f>
        <v>0</v>
      </c>
      <c r="EB7" s="11">
        <f>IF(ISNUMBER(SEARCH(",TROP2,",","&amp;SUBSTITUTE(K7,", ",",")&amp;",")),1,0)</f>
        <v>0</v>
      </c>
      <c r="EC7" s="11">
        <f>IF(ISNUMBER(SEARCH(",c-MET/MET,",","&amp;SUBSTITUTE(K7,", ",",")&amp;",")),1,0)</f>
        <v>0</v>
      </c>
      <c r="ED7" s="11">
        <f>IF(ISNUMBER(SEARCH(",c-MET/MET Exon 14,",","&amp;SUBSTITUTE(K7,", ",",")&amp;",")),1,0)</f>
        <v>0</v>
      </c>
      <c r="EE7" s="11">
        <f>IF(ISNUMBER(SEARCH(",ctDNA/cfDNA,",","&amp;SUBSTITUTE(K7,", ",",")&amp;",")),1,0)</f>
        <v>0</v>
      </c>
    </row>
    <row r="8" spans="1:135" ht="15" customHeight="1" x14ac:dyDescent="0.2">
      <c r="A8" s="5" t="s">
        <v>105</v>
      </c>
      <c r="B8" s="5" t="s">
        <v>616</v>
      </c>
      <c r="C8" s="5" t="s">
        <v>617</v>
      </c>
      <c r="D8" s="5" t="s">
        <v>617</v>
      </c>
      <c r="E8" s="5" t="s">
        <v>618</v>
      </c>
      <c r="F8" s="5" t="s">
        <v>259</v>
      </c>
      <c r="G8" s="5" t="s">
        <v>181</v>
      </c>
      <c r="H8" s="5" t="s">
        <v>115</v>
      </c>
      <c r="I8" s="5" t="s">
        <v>621</v>
      </c>
      <c r="J8" s="5" t="s">
        <v>117</v>
      </c>
      <c r="K8" s="5"/>
      <c r="L8" s="5" t="s">
        <v>120</v>
      </c>
      <c r="M8" s="5" t="s">
        <v>113</v>
      </c>
      <c r="N8" s="5" t="s">
        <v>119</v>
      </c>
      <c r="O8" s="5" t="s">
        <v>120</v>
      </c>
      <c r="P8" s="5" t="s">
        <v>619</v>
      </c>
      <c r="Q8" s="10" t="str">
        <f>IF(F8="Stage IV","Stage IV Only",IF(AND(ISNUMBER(SEARCH("IV",F8)),LEN(F8)&gt;LEN("Stage IV")),"Stage IV + Other",IF(AND(ISNUMBER(SEARCH("III",F8)),NOT(ISNUMBER(SEARCH("IV",F8)))),"Stage III Only","Other")))</f>
        <v>Stage IV Only</v>
      </c>
      <c r="R8" s="10" t="str">
        <f>IF(AND(ISNUMBER(SEARCH("Non-squamous",G8)),ISNUMBER(SEARCH("Squamous",SUBSTITUTE(G8,"Non-squamous","")))),"Both",IF(ISNUMBER(SEARCH("Non-squamous",G8)),"Non-squamous",IF(ISNUMBER(SEARCH("Squamous",G8)),"Squamous","Unspecified")))</f>
        <v>Non-squamous</v>
      </c>
      <c r="S8" s="10" t="str">
        <f>IF(OR(ISNUMBER(SEARCH("TPS ≥ 50%",K8)),ISNUMBER(SEARCH("TC ≥ 50%",K8))),"TPS ≥ 50%",IF(OR(ISNUMBER(SEARCH("TPS ≥ 1%",K8)),ISNUMBER(SEARCH("TC ≥ 1%",K8)),ISNUMBER(SEARCH("TPS &lt; 50%",K8)),ISNUMBER(SEARCH("IC ≥ 1%",K8))),"TPS 1-49%","All-comers"))</f>
        <v>All-comers</v>
      </c>
      <c r="T8" s="10">
        <f>IF(H8="Phase III",1,0)</f>
        <v>0</v>
      </c>
      <c r="U8" s="10">
        <f>IF(L8="Yes",1,0)</f>
        <v>1</v>
      </c>
      <c r="V8" s="11">
        <f>IF(ISNUMBER(SEARCH(",ALK,",","&amp;SUBSTITUTE(I8,", ",",")&amp;",")),1,0)</f>
        <v>0</v>
      </c>
      <c r="W8" s="11">
        <f>IF(ISNUMBER(SEARCH(",ALK L1196M,",","&amp;SUBSTITUTE(I8,", ",",")&amp;",")),1,0)</f>
        <v>0</v>
      </c>
      <c r="X8" s="11">
        <f>IF(ISNUMBER(SEARCH(",AXL,",","&amp;SUBSTITUTE(I8,", ",",")&amp;",")),1,0)</f>
        <v>0</v>
      </c>
      <c r="Y8" s="11">
        <f>IF(ISNUMBER(SEARCH(",B7-H1,",","&amp;SUBSTITUTE(I8,", ",",")&amp;",")),1,0)</f>
        <v>0</v>
      </c>
      <c r="Z8" s="11">
        <f>IF(ISNUMBER(SEARCH(",CD152,",","&amp;SUBSTITUTE(I8,", ",",")&amp;",")),1,0)</f>
        <v>0</v>
      </c>
      <c r="AA8" s="11">
        <f>IF(ISNUMBER(SEARCH(",CD274,",","&amp;SUBSTITUTE(I8,", ",",")&amp;",")),1,0)</f>
        <v>0</v>
      </c>
      <c r="AB8" s="11">
        <f>IF(ISNUMBER(SEARCH(",CD279,",","&amp;SUBSTITUTE(I8,", ",",")&amp;",")),1,0)</f>
        <v>0</v>
      </c>
      <c r="AC8" s="11">
        <f>IF(ISNUMBER(SEARCH(",CD73,",","&amp;SUBSTITUTE(I8,", ",",")&amp;",")),1,0)</f>
        <v>0</v>
      </c>
      <c r="AD8" s="11">
        <f>IF(ISNUMBER(SEARCH(",CEA,",","&amp;SUBSTITUTE(I8,", ",",")&amp;",")),1,0)</f>
        <v>0</v>
      </c>
      <c r="AE8" s="11">
        <f>IF(ISNUMBER(SEARCH(",CTLA-4,",","&amp;SUBSTITUTE(I8,", ",",")&amp;",")),1,0)</f>
        <v>0</v>
      </c>
      <c r="AF8" s="11">
        <f>IF(ISNUMBER(SEARCH(",EGFR,",","&amp;SUBSTITUTE(I8,", ",",")&amp;",")),1,0)</f>
        <v>0</v>
      </c>
      <c r="AG8" s="11">
        <f>IF(ISNUMBER(SEARCH(",EGFR C797G,",","&amp;SUBSTITUTE(I8,", ",",")&amp;",")),1,0)</f>
        <v>0</v>
      </c>
      <c r="AH8" s="11">
        <f>IF(ISNUMBER(SEARCH(",EGFR C797S,",","&amp;SUBSTITUTE(I8,", ",",")&amp;",")),1,0)</f>
        <v>0</v>
      </c>
      <c r="AI8" s="11">
        <f>IF(ISNUMBER(SEARCH(",EGFR Exon 19-del,",","&amp;SUBSTITUTE(I8,", ",",")&amp;",")),1,0)</f>
        <v>0</v>
      </c>
      <c r="AJ8" s="11">
        <f>IF(ISNUMBER(SEARCH(",EGFR Exon 20,",","&amp;SUBSTITUTE(I8,", ",",")&amp;",")),1,0)</f>
        <v>0</v>
      </c>
      <c r="AK8" s="11">
        <f>IF(ISNUMBER(SEARCH(",EGFR L858R,",","&amp;SUBSTITUTE(I8,", ",",")&amp;",")),1,0)</f>
        <v>0</v>
      </c>
      <c r="AL8" s="11">
        <f>IF(ISNUMBER(SEARCH(",EGFR T790M,",","&amp;SUBSTITUTE(I8,", ",",")&amp;",")),1,0)</f>
        <v>0</v>
      </c>
      <c r="AM8" s="11">
        <f>IF(ISNUMBER(SEARCH(",ERBB,",","&amp;SUBSTITUTE(I8,", ",",")&amp;",")),1,0)</f>
        <v>0</v>
      </c>
      <c r="AN8" s="11">
        <f>IF(ISNUMBER(SEARCH(",ERBB3,",","&amp;SUBSTITUTE(I8,", ",",")&amp;",")),1,0)</f>
        <v>0</v>
      </c>
      <c r="AO8" s="11">
        <f>IF(ISNUMBER(SEARCH(",FAK,",","&amp;SUBSTITUTE(I8,", ",",")&amp;",")),1,0)</f>
        <v>0</v>
      </c>
      <c r="AP8" s="11">
        <f>IF(ISNUMBER(SEARCH(",GARP,",","&amp;SUBSTITUTE(I8,", ",",")&amp;",")),1,0)</f>
        <v>0</v>
      </c>
      <c r="AQ8" s="11">
        <f>IF(ISNUMBER(SEARCH(",HER1,",","&amp;SUBSTITUTE(I8,", ",",")&amp;",")),1,0)</f>
        <v>0</v>
      </c>
      <c r="AR8" s="11">
        <f>IF(ISNUMBER(SEARCH(",HER2,",","&amp;SUBSTITUTE(I8,", ",",")&amp;",")),1,0)</f>
        <v>0</v>
      </c>
      <c r="AS8" s="11">
        <f>IF(ISNUMBER(SEARCH(",HER2 Exon 20,",","&amp;SUBSTITUTE(I8,", ",",")&amp;",")),1,0)</f>
        <v>0</v>
      </c>
      <c r="AT8" s="11">
        <f>IF(ISNUMBER(SEARCH(",HER3,",","&amp;SUBSTITUTE(I8,", ",",")&amp;",")),1,0)</f>
        <v>0</v>
      </c>
      <c r="AU8" s="11">
        <f>IF(ISNUMBER(SEARCH(",HER4,",","&amp;SUBSTITUTE(I8,", ",",")&amp;",")),1,0)</f>
        <v>0</v>
      </c>
      <c r="AV8" s="11">
        <f>IF(ISNUMBER(SEARCH(",HRAS,",","&amp;SUBSTITUTE(I8,", ",",")&amp;",")),1,0)</f>
        <v>0</v>
      </c>
      <c r="AW8" s="11">
        <f>IF(ISNUMBER(SEARCH(",HSV-TK,",","&amp;SUBSTITUTE(I8,", ",",")&amp;",")),1,0)</f>
        <v>0</v>
      </c>
      <c r="AX8" s="11">
        <f>IF(ISNUMBER(SEARCH(",IL-12,",","&amp;SUBSTITUTE(I8,", ",",")&amp;",")),1,0)</f>
        <v>0</v>
      </c>
      <c r="AY8" s="11">
        <f>IF(ISNUMBER(SEARCH(",IL-15,",","&amp;SUBSTITUTE(I8,", ",",")&amp;",")),1,0)</f>
        <v>0</v>
      </c>
      <c r="AZ8" s="11">
        <f>IF(ISNUMBER(SEARCH(",IL-15R,",","&amp;SUBSTITUTE(I8,", ",",")&amp;",")),1,0)</f>
        <v>0</v>
      </c>
      <c r="BA8" s="11">
        <f>IF(ISNUMBER(SEARCH(",IL-2,",","&amp;SUBSTITUTE(I8,", ",",")&amp;",")),1,0)</f>
        <v>0</v>
      </c>
      <c r="BB8" s="11">
        <f>IF(ISNUMBER(SEARCH(",Integrin β6,",","&amp;SUBSTITUTE(I8,", ",",")&amp;",")),1,0)</f>
        <v>0</v>
      </c>
      <c r="BC8" s="11">
        <f>IF(ISNUMBER(SEARCH(",KDR,",","&amp;SUBSTITUTE(I8,", ",",")&amp;",")),1,0)</f>
        <v>0</v>
      </c>
      <c r="BD8" s="11">
        <f>IF(ISNUMBER(SEARCH(",KLRC1,",","&amp;SUBSTITUTE(I8,", ",",")&amp;",")),1,0)</f>
        <v>0</v>
      </c>
      <c r="BE8" s="11">
        <f>IF(ISNUMBER(SEARCH(",KRAS,",","&amp;SUBSTITUTE(I8,", ",",")&amp;",")),1,0)</f>
        <v>0</v>
      </c>
      <c r="BF8" s="11">
        <f>IF(ISNUMBER(SEARCH(",KRAS G12,",","&amp;SUBSTITUTE(I8,", ",",")&amp;",")),1,0)</f>
        <v>0</v>
      </c>
      <c r="BG8" s="11">
        <f>IF(ISNUMBER(SEARCH(",KRAS G12C,",","&amp;SUBSTITUTE(I8,", ",",")&amp;",")),1,0)</f>
        <v>0</v>
      </c>
      <c r="BH8" s="11">
        <f>IF(ISNUMBER(SEARCH(",KRAS G12D,",","&amp;SUBSTITUTE(I8,", ",",")&amp;",")),1,0)</f>
        <v>0</v>
      </c>
      <c r="BI8" s="11">
        <f>IF(ISNUMBER(SEARCH(",LAG-3,",","&amp;SUBSTITUTE(I8,", ",",")&amp;",")),1,0)</f>
        <v>0</v>
      </c>
      <c r="BJ8" s="11">
        <f>IF(ISNUMBER(SEARCH(",MAGE-A2,",","&amp;SUBSTITUTE(I8,", ",",")&amp;",")),1,0)</f>
        <v>0</v>
      </c>
      <c r="BK8" s="11">
        <f>IF(ISNUMBER(SEARCH(",MAGE-A3,",","&amp;SUBSTITUTE(I8,", ",",")&amp;",")),1,0)</f>
        <v>0</v>
      </c>
      <c r="BL8" s="11">
        <f>IF(ISNUMBER(SEARCH(",MLN19,",","&amp;SUBSTITUTE(I8,", ",",")&amp;",")),1,0)</f>
        <v>0</v>
      </c>
      <c r="BM8" s="11">
        <f>IF(ISNUMBER(SEARCH(",Microtubule,",","&amp;SUBSTITUTE(I8,", ",",")&amp;",")),1,0)</f>
        <v>1</v>
      </c>
      <c r="BN8" s="11">
        <f>IF(ISNUMBER(SEARCH(",NKG2A,",","&amp;SUBSTITUTE(I8,", ",",")&amp;",")),1,0)</f>
        <v>0</v>
      </c>
      <c r="BO8" s="11">
        <f>IF(ISNUMBER(SEARCH(",NRAS,",","&amp;SUBSTITUTE(I8,", ",",")&amp;",")),1,0)</f>
        <v>0</v>
      </c>
      <c r="BP8" s="11">
        <f>IF(ISNUMBER(SEARCH(",NTRK,",","&amp;SUBSTITUTE(I8,", ",",")&amp;",")),1,0)</f>
        <v>0</v>
      </c>
      <c r="BQ8" s="11">
        <f>IF(ISNUMBER(SEARCH(",PARP,",","&amp;SUBSTITUTE(I8,", ",",")&amp;",")),1,0)</f>
        <v>0</v>
      </c>
      <c r="BR8" s="11">
        <f>IF(ISNUMBER(SEARCH(",PD-1,",","&amp;SUBSTITUTE(I8,", ",",")&amp;",")),1,0)</f>
        <v>0</v>
      </c>
      <c r="BS8" s="11">
        <f>IF(ISNUMBER(SEARCH(",PD-L1,",","&amp;SUBSTITUTE(I8,", ",",")&amp;",")),1,0)</f>
        <v>0</v>
      </c>
      <c r="BT8" s="11">
        <f>IF(ISNUMBER(SEARCH(",PRMT5,",","&amp;SUBSTITUTE(I8,", ",",")&amp;",")),1,0)</f>
        <v>0</v>
      </c>
      <c r="BU8" s="11">
        <f>IF(ISNUMBER(SEARCH(",RAS,",","&amp;SUBSTITUTE(I8,", ",",")&amp;",")),1,0)</f>
        <v>0</v>
      </c>
      <c r="BV8" s="11">
        <f>IF(ISNUMBER(SEARCH(",RET,",","&amp;SUBSTITUTE(I8,", ",",")&amp;",")),1,0)</f>
        <v>0</v>
      </c>
      <c r="BW8" s="11">
        <f>IF(ISNUMBER(SEARCH(",ROS,",","&amp;SUBSTITUTE(I8,", ",",")&amp;",")),1,0)</f>
        <v>0</v>
      </c>
      <c r="BX8" s="11">
        <f>IF(ISNUMBER(SEARCH(",ROS1,",","&amp;SUBSTITUTE(I8,", ",",")&amp;",")),1,0)</f>
        <v>0</v>
      </c>
      <c r="BY8" s="11">
        <f>IF(ISNUMBER(SEARCH(",Src,",","&amp;SUBSTITUTE(I8,", ",",")&amp;",")),1,0)</f>
        <v>0</v>
      </c>
      <c r="BZ8" s="11">
        <f>IF(ISNUMBER(SEARCH(",TCGF,",","&amp;SUBSTITUTE(I8,", ",",")&amp;",")),1,0)</f>
        <v>0</v>
      </c>
      <c r="CA8" s="11">
        <f>IF(ISNUMBER(SEARCH(",TGF-β,",","&amp;SUBSTITUTE(I8,", ",",")&amp;",")),1,0)</f>
        <v>0</v>
      </c>
      <c r="CB8" s="11">
        <f>IF(ISNUMBER(SEARCH(",TGF-β1,",","&amp;SUBSTITUTE(I8,", ",",")&amp;",")),1,0)</f>
        <v>0</v>
      </c>
      <c r="CC8" s="11">
        <f>IF(ISNUMBER(SEARCH(",TIGIT,",","&amp;SUBSTITUTE(I8,", ",",")&amp;",")),1,0)</f>
        <v>0</v>
      </c>
      <c r="CD8" s="11">
        <f>IF(ISNUMBER(SEARCH(",TLR,",","&amp;SUBSTITUTE(I8,", ",",")&amp;",")),1,0)</f>
        <v>0</v>
      </c>
      <c r="CE8" s="11">
        <f>IF(ISNUMBER(SEARCH(",TLR7/8,",","&amp;SUBSTITUTE(I8,", ",",")&amp;",")),1,0)</f>
        <v>0</v>
      </c>
      <c r="CF8" s="11">
        <f>IF(ISNUMBER(SEARCH(",TRK,",","&amp;SUBSTITUTE(I8,", ",",")&amp;",")),1,0)</f>
        <v>0</v>
      </c>
      <c r="CG8" s="11">
        <f>IF(ISNUMBER(SEARCH(",TROP2,",","&amp;SUBSTITUTE(I8,", ",",")&amp;",")),1,0)</f>
        <v>0</v>
      </c>
      <c r="CH8" s="11">
        <f>IF(ISNUMBER(SEARCH(",TS,",","&amp;SUBSTITUTE(I8,", ",",")&amp;",")),1,0)</f>
        <v>0</v>
      </c>
      <c r="CI8" s="11">
        <f>IF(ISNUMBER(SEARCH(",TYMS,",","&amp;SUBSTITUTE(I8,", ",",")&amp;",")),1,0)</f>
        <v>0</v>
      </c>
      <c r="CJ8" s="11">
        <f>IF(ISNUMBER(SEARCH(",VEGF,",","&amp;SUBSTITUTE(I8,", ",",")&amp;",")),1,0)</f>
        <v>1</v>
      </c>
      <c r="CK8" s="11">
        <f>IF(ISNUMBER(SEARCH(",VEGFA,",","&amp;SUBSTITUTE(I8,", ",",")&amp;",")),1,0)</f>
        <v>0</v>
      </c>
      <c r="CL8" s="11">
        <f>IF(ISNUMBER(SEARCH(",VEGFR2,",","&amp;SUBSTITUTE(I8,", ",",")&amp;",")),1,0)</f>
        <v>0</v>
      </c>
      <c r="CM8" s="11">
        <f>IF(ISNUMBER(SEARCH(",c-MET/MET,",","&amp;SUBSTITUTE(I8,", ",",")&amp;",")),1,0)</f>
        <v>0</v>
      </c>
      <c r="CN8" s="11">
        <f>IF(ISNUMBER(SEARCH(",p53,",","&amp;SUBSTITUTE(I8,", ",",")&amp;",")),1,0)</f>
        <v>0</v>
      </c>
      <c r="CO8" s="11">
        <f>IF(ISNUMBER(SEARCH(",pan-KRAS,",","&amp;SUBSTITUTE(I8,", ",",")&amp;",")),1,0)</f>
        <v>0</v>
      </c>
      <c r="CP8" s="11">
        <f>IF(ISNUMBER(SEARCH(",ALK,",","&amp;SUBSTITUTE(K8,", ",",")&amp;",")),1,0)</f>
        <v>0</v>
      </c>
      <c r="CQ8" s="11">
        <f>IF(ISNUMBER(SEARCH(",BRAF V600E,",","&amp;SUBSTITUTE(K8,", ",",")&amp;",")),1,0)</f>
        <v>0</v>
      </c>
      <c r="CR8" s="11">
        <f>IF(ISNUMBER(SEARCH(",EGFR,",","&amp;SUBSTITUTE(K8,", ",",")&amp;",")),1,0)</f>
        <v>0</v>
      </c>
      <c r="CS8" s="11">
        <f>IF(ISNUMBER(SEARCH(",EGFR Exon 18,",","&amp;SUBSTITUTE(K8,", ",",")&amp;",")),1,0)</f>
        <v>0</v>
      </c>
      <c r="CT8" s="11">
        <f>IF(ISNUMBER(SEARCH(",EGFR Exon 19-del,",","&amp;SUBSTITUTE(K8,", ",",")&amp;",")),1,0)</f>
        <v>0</v>
      </c>
      <c r="CU8" s="11">
        <f>IF(ISNUMBER(SEARCH(",EGFR Exon 20,",","&amp;SUBSTITUTE(K8,", ",",")&amp;",")),1,0)</f>
        <v>0</v>
      </c>
      <c r="CV8" s="11">
        <f>IF(ISNUMBER(SEARCH(",EGFR Exon 20-ins,",","&amp;SUBSTITUTE(K8,", ",",")&amp;",")),1,0)</f>
        <v>0</v>
      </c>
      <c r="CW8" s="11">
        <f>IF(ISNUMBER(SEARCH(",EGFR Exon 21,",","&amp;SUBSTITUTE(K8,", ",",")&amp;",")),1,0)</f>
        <v>0</v>
      </c>
      <c r="CX8" s="11">
        <f>IF(ISNUMBER(SEARCH(",EGFR G719A,",","&amp;SUBSTITUTE(K8,", ",",")&amp;",")),1,0)</f>
        <v>0</v>
      </c>
      <c r="CY8" s="11">
        <f>IF(ISNUMBER(SEARCH(",EGFR G719C,",","&amp;SUBSTITUTE(K8,", ",",")&amp;",")),1,0)</f>
        <v>0</v>
      </c>
      <c r="CZ8" s="11">
        <f>IF(ISNUMBER(SEARCH(",EGFR G719S,",","&amp;SUBSTITUTE(K8,", ",",")&amp;",")),1,0)</f>
        <v>0</v>
      </c>
      <c r="DA8" s="11">
        <f>IF(ISNUMBER(SEARCH(",EGFR G719X,",","&amp;SUBSTITUTE(K8,", ",",")&amp;",")),1,0)</f>
        <v>0</v>
      </c>
      <c r="DB8" s="11">
        <f>IF(ISNUMBER(SEARCH(",EGFR L858R,",","&amp;SUBSTITUTE(K8,", ",",")&amp;",")),1,0)</f>
        <v>0</v>
      </c>
      <c r="DC8" s="11">
        <f>IF(ISNUMBER(SEARCH(",EGFR L861Q,",","&amp;SUBSTITUTE(K8,", ",",")&amp;",")),1,0)</f>
        <v>0</v>
      </c>
      <c r="DD8" s="11">
        <f>IF(ISNUMBER(SEARCH(",EGFR PACC,",","&amp;SUBSTITUTE(K8,", ",",")&amp;",")),1,0)</f>
        <v>0</v>
      </c>
      <c r="DE8" s="11">
        <f>IF(ISNUMBER(SEARCH(",EGFR S768I,",","&amp;SUBSTITUTE(K8,", ",",")&amp;",")),1,0)</f>
        <v>0</v>
      </c>
      <c r="DF8" s="11">
        <f>IF(ISNUMBER(SEARCH(",EGFR T790M,",","&amp;SUBSTITUTE(K8,", ",",")&amp;",")),1,0)</f>
        <v>0</v>
      </c>
      <c r="DG8" s="11">
        <f>IF(ISNUMBER(SEARCH(",EML4-ALK,",","&amp;SUBSTITUTE(K8,", ",",")&amp;",")),1,0)</f>
        <v>0</v>
      </c>
      <c r="DH8" s="11">
        <f>IF(ISNUMBER(SEARCH(",HER2,",","&amp;SUBSTITUTE(K8,", ",",")&amp;",")),1,0)</f>
        <v>0</v>
      </c>
      <c r="DI8" s="11">
        <f>IF(ISNUMBER(SEARCH(",HER2 Exon 19,",","&amp;SUBSTITUTE(K8,", ",",")&amp;",")),1,0)</f>
        <v>0</v>
      </c>
      <c r="DJ8" s="11">
        <f>IF(ISNUMBER(SEARCH(",HER2 Exon 20,",","&amp;SUBSTITUTE(K8,", ",",")&amp;",")),1,0)</f>
        <v>0</v>
      </c>
      <c r="DK8" s="11">
        <f>IF(ISNUMBER(SEARCH(",HER2 mut,",","&amp;SUBSTITUTE(K8,", ",",")&amp;",")),1,0)</f>
        <v>0</v>
      </c>
      <c r="DL8" s="11">
        <f>IF(ISNUMBER(SEARCH(",HLA-A2,",","&amp;SUBSTITUTE(K8,", ",",")&amp;",")),1,0)</f>
        <v>0</v>
      </c>
      <c r="DM8" s="11">
        <f>IF(ISNUMBER(SEARCH(",HRAS,",","&amp;SUBSTITUTE(K8,", ",",")&amp;",")),1,0)</f>
        <v>0</v>
      </c>
      <c r="DN8" s="11">
        <f>IF(ISNUMBER(SEARCH(",KRAS,",","&amp;SUBSTITUTE(K8,", ",",")&amp;",")),1,0)</f>
        <v>0</v>
      </c>
      <c r="DO8" s="11">
        <f>IF(ISNUMBER(SEARCH(",KRAS G12C,",","&amp;SUBSTITUTE(K8,", ",",")&amp;",")),1,0)</f>
        <v>0</v>
      </c>
      <c r="DP8" s="11">
        <f>IF(ISNUMBER(SEARCH(",NRAS,",","&amp;SUBSTITUTE(K8,", ",",")&amp;",")),1,0)</f>
        <v>0</v>
      </c>
      <c r="DQ8" s="11">
        <f>IF(ISNUMBER(SEARCH(",NTRK,",","&amp;SUBSTITUTE(K8,", ",",")&amp;",")),1,0)</f>
        <v>0</v>
      </c>
      <c r="DR8" s="11">
        <f>IF(ISNUMBER(SEARCH(",PD-L1,",","&amp;SUBSTITUTE(K8,", ",",")&amp;",")),1,0)</f>
        <v>0</v>
      </c>
      <c r="DS8" s="11">
        <f>IF(ISNUMBER(SEARCH(",PD-L1 IC ≥ 1%,",","&amp;SUBSTITUTE(K8,", ",",")&amp;",")),1,0)</f>
        <v>0</v>
      </c>
      <c r="DT8" s="11">
        <f>IF(ISNUMBER(SEARCH(",PD-L1 TC ≥ 1%,",","&amp;SUBSTITUTE(K8,", ",",")&amp;",")),1,0)</f>
        <v>0</v>
      </c>
      <c r="DU8" s="11">
        <f>IF(ISNUMBER(SEARCH(",PD-L1 TC ≥ 50%,",","&amp;SUBSTITUTE(K8,", ",",")&amp;",")),1,0)</f>
        <v>0</v>
      </c>
      <c r="DV8" s="11">
        <f>IF(ISNUMBER(SEARCH(",PD-L1 TPS &lt; 50%,",","&amp;SUBSTITUTE(K8,", ",",")&amp;",")),1,0)</f>
        <v>0</v>
      </c>
      <c r="DW8" s="11">
        <f>IF(ISNUMBER(SEARCH(",PD-L1 TPS ≥ 1%,",","&amp;SUBSTITUTE(K8,", ",",")&amp;",")),1,0)</f>
        <v>0</v>
      </c>
      <c r="DX8" s="11">
        <f>IF(ISNUMBER(SEARCH(",PD-L1 TPS ≥ 50%,",","&amp;SUBSTITUTE(K8,", ",",")&amp;",")),1,0)</f>
        <v>0</v>
      </c>
      <c r="DY8" s="11">
        <f>IF(ISNUMBER(SEARCH(",RAS,",","&amp;SUBSTITUTE(K8,", ",",")&amp;",")),1,0)</f>
        <v>0</v>
      </c>
      <c r="DZ8" s="11">
        <f>IF(ISNUMBER(SEARCH(",RET,",","&amp;SUBSTITUTE(K8,", ",",")&amp;",")),1,0)</f>
        <v>0</v>
      </c>
      <c r="EA8" s="11">
        <f>IF(ISNUMBER(SEARCH(",ROS1,",","&amp;SUBSTITUTE(K8,", ",",")&amp;",")),1,0)</f>
        <v>0</v>
      </c>
      <c r="EB8" s="11">
        <f>IF(ISNUMBER(SEARCH(",TROP2,",","&amp;SUBSTITUTE(K8,", ",",")&amp;",")),1,0)</f>
        <v>0</v>
      </c>
      <c r="EC8" s="11">
        <f>IF(ISNUMBER(SEARCH(",c-MET/MET,",","&amp;SUBSTITUTE(K8,", ",",")&amp;",")),1,0)</f>
        <v>0</v>
      </c>
      <c r="ED8" s="11">
        <f>IF(ISNUMBER(SEARCH(",c-MET/MET Exon 14,",","&amp;SUBSTITUTE(K8,", ",",")&amp;",")),1,0)</f>
        <v>0</v>
      </c>
      <c r="EE8" s="11">
        <f>IF(ISNUMBER(SEARCH(",ctDNA/cfDNA,",","&amp;SUBSTITUTE(K8,", ",",")&amp;",")),1,0)</f>
        <v>0</v>
      </c>
    </row>
    <row r="9" spans="1:135" ht="15" customHeight="1" x14ac:dyDescent="0.2">
      <c r="A9" s="3" t="s">
        <v>105</v>
      </c>
      <c r="B9" s="3" t="s">
        <v>634</v>
      </c>
      <c r="C9" s="3" t="s">
        <v>635</v>
      </c>
      <c r="D9" s="3" t="s">
        <v>635</v>
      </c>
      <c r="E9" s="3" t="s">
        <v>636</v>
      </c>
      <c r="F9" s="3" t="s">
        <v>259</v>
      </c>
      <c r="G9" s="3" t="s">
        <v>181</v>
      </c>
      <c r="H9" s="3" t="s">
        <v>115</v>
      </c>
      <c r="I9" s="3" t="s">
        <v>118</v>
      </c>
      <c r="J9" s="3" t="s">
        <v>117</v>
      </c>
      <c r="K9" s="3"/>
      <c r="L9" s="3" t="s">
        <v>120</v>
      </c>
      <c r="M9" s="3" t="s">
        <v>113</v>
      </c>
      <c r="N9" s="3" t="s">
        <v>119</v>
      </c>
      <c r="O9" s="3" t="s">
        <v>120</v>
      </c>
      <c r="P9" s="3" t="s">
        <v>638</v>
      </c>
      <c r="Q9" s="10" t="str">
        <f>IF(F9="Stage IV","Stage IV Only",IF(AND(ISNUMBER(SEARCH("IV",F9)),LEN(F9)&gt;LEN("Stage IV")),"Stage IV + Other",IF(AND(ISNUMBER(SEARCH("III",F9)),NOT(ISNUMBER(SEARCH("IV",F9)))),"Stage III Only","Other")))</f>
        <v>Stage IV Only</v>
      </c>
      <c r="R9" s="10" t="str">
        <f>IF(AND(ISNUMBER(SEARCH("Non-squamous",G9)),ISNUMBER(SEARCH("Squamous",SUBSTITUTE(G9,"Non-squamous","")))),"Both",IF(ISNUMBER(SEARCH("Non-squamous",G9)),"Non-squamous",IF(ISNUMBER(SEARCH("Squamous",G9)),"Squamous","Unspecified")))</f>
        <v>Non-squamous</v>
      </c>
      <c r="S9" s="10" t="str">
        <f>IF(OR(ISNUMBER(SEARCH("TPS ≥ 50%",K9)),ISNUMBER(SEARCH("TC ≥ 50%",K9))),"TPS ≥ 50%",IF(OR(ISNUMBER(SEARCH("TPS ≥ 1%",K9)),ISNUMBER(SEARCH("TC ≥ 1%",K9)),ISNUMBER(SEARCH("TPS &lt; 50%",K9)),ISNUMBER(SEARCH("IC ≥ 1%",K9))),"TPS 1-49%","All-comers"))</f>
        <v>All-comers</v>
      </c>
      <c r="T9" s="10">
        <f>IF(H9="Phase III",1,0)</f>
        <v>0</v>
      </c>
      <c r="U9" s="10">
        <f>IF(L9="Yes",1,0)</f>
        <v>1</v>
      </c>
      <c r="V9" s="11">
        <f>IF(ISNUMBER(SEARCH(",ALK,",","&amp;SUBSTITUTE(I9,", ",",")&amp;",")),1,0)</f>
        <v>0</v>
      </c>
      <c r="W9" s="11">
        <f>IF(ISNUMBER(SEARCH(",ALK L1196M,",","&amp;SUBSTITUTE(I9,", ",",")&amp;",")),1,0)</f>
        <v>0</v>
      </c>
      <c r="X9" s="11">
        <f>IF(ISNUMBER(SEARCH(",AXL,",","&amp;SUBSTITUTE(I9,", ",",")&amp;",")),1,0)</f>
        <v>0</v>
      </c>
      <c r="Y9" s="11">
        <f>IF(ISNUMBER(SEARCH(",B7-H1,",","&amp;SUBSTITUTE(I9,", ",",")&amp;",")),1,0)</f>
        <v>0</v>
      </c>
      <c r="Z9" s="11">
        <f>IF(ISNUMBER(SEARCH(",CD152,",","&amp;SUBSTITUTE(I9,", ",",")&amp;",")),1,0)</f>
        <v>0</v>
      </c>
      <c r="AA9" s="11">
        <f>IF(ISNUMBER(SEARCH(",CD274,",","&amp;SUBSTITUTE(I9,", ",",")&amp;",")),1,0)</f>
        <v>0</v>
      </c>
      <c r="AB9" s="11">
        <f>IF(ISNUMBER(SEARCH(",CD279,",","&amp;SUBSTITUTE(I9,", ",",")&amp;",")),1,0)</f>
        <v>0</v>
      </c>
      <c r="AC9" s="11">
        <f>IF(ISNUMBER(SEARCH(",CD73,",","&amp;SUBSTITUTE(I9,", ",",")&amp;",")),1,0)</f>
        <v>0</v>
      </c>
      <c r="AD9" s="11">
        <f>IF(ISNUMBER(SEARCH(",CEA,",","&amp;SUBSTITUTE(I9,", ",",")&amp;",")),1,0)</f>
        <v>0</v>
      </c>
      <c r="AE9" s="11">
        <f>IF(ISNUMBER(SEARCH(",CTLA-4,",","&amp;SUBSTITUTE(I9,", ",",")&amp;",")),1,0)</f>
        <v>0</v>
      </c>
      <c r="AF9" s="11">
        <f>IF(ISNUMBER(SEARCH(",EGFR,",","&amp;SUBSTITUTE(I9,", ",",")&amp;",")),1,0)</f>
        <v>0</v>
      </c>
      <c r="AG9" s="11">
        <f>IF(ISNUMBER(SEARCH(",EGFR C797G,",","&amp;SUBSTITUTE(I9,", ",",")&amp;",")),1,0)</f>
        <v>0</v>
      </c>
      <c r="AH9" s="11">
        <f>IF(ISNUMBER(SEARCH(",EGFR C797S,",","&amp;SUBSTITUTE(I9,", ",",")&amp;",")),1,0)</f>
        <v>0</v>
      </c>
      <c r="AI9" s="11">
        <f>IF(ISNUMBER(SEARCH(",EGFR Exon 19-del,",","&amp;SUBSTITUTE(I9,", ",",")&amp;",")),1,0)</f>
        <v>0</v>
      </c>
      <c r="AJ9" s="11">
        <f>IF(ISNUMBER(SEARCH(",EGFR Exon 20,",","&amp;SUBSTITUTE(I9,", ",",")&amp;",")),1,0)</f>
        <v>0</v>
      </c>
      <c r="AK9" s="11">
        <f>IF(ISNUMBER(SEARCH(",EGFR L858R,",","&amp;SUBSTITUTE(I9,", ",",")&amp;",")),1,0)</f>
        <v>0</v>
      </c>
      <c r="AL9" s="11">
        <f>IF(ISNUMBER(SEARCH(",EGFR T790M,",","&amp;SUBSTITUTE(I9,", ",",")&amp;",")),1,0)</f>
        <v>0</v>
      </c>
      <c r="AM9" s="11">
        <f>IF(ISNUMBER(SEARCH(",ERBB,",","&amp;SUBSTITUTE(I9,", ",",")&amp;",")),1,0)</f>
        <v>0</v>
      </c>
      <c r="AN9" s="11">
        <f>IF(ISNUMBER(SEARCH(",ERBB3,",","&amp;SUBSTITUTE(I9,", ",",")&amp;",")),1,0)</f>
        <v>0</v>
      </c>
      <c r="AO9" s="11">
        <f>IF(ISNUMBER(SEARCH(",FAK,",","&amp;SUBSTITUTE(I9,", ",",")&amp;",")),1,0)</f>
        <v>0</v>
      </c>
      <c r="AP9" s="11">
        <f>IF(ISNUMBER(SEARCH(",GARP,",","&amp;SUBSTITUTE(I9,", ",",")&amp;",")),1,0)</f>
        <v>0</v>
      </c>
      <c r="AQ9" s="11">
        <f>IF(ISNUMBER(SEARCH(",HER1,",","&amp;SUBSTITUTE(I9,", ",",")&amp;",")),1,0)</f>
        <v>0</v>
      </c>
      <c r="AR9" s="11">
        <f>IF(ISNUMBER(SEARCH(",HER2,",","&amp;SUBSTITUTE(I9,", ",",")&amp;",")),1,0)</f>
        <v>0</v>
      </c>
      <c r="AS9" s="11">
        <f>IF(ISNUMBER(SEARCH(",HER2 Exon 20,",","&amp;SUBSTITUTE(I9,", ",",")&amp;",")),1,0)</f>
        <v>0</v>
      </c>
      <c r="AT9" s="11">
        <f>IF(ISNUMBER(SEARCH(",HER3,",","&amp;SUBSTITUTE(I9,", ",",")&amp;",")),1,0)</f>
        <v>0</v>
      </c>
      <c r="AU9" s="11">
        <f>IF(ISNUMBER(SEARCH(",HER4,",","&amp;SUBSTITUTE(I9,", ",",")&amp;",")),1,0)</f>
        <v>0</v>
      </c>
      <c r="AV9" s="11">
        <f>IF(ISNUMBER(SEARCH(",HRAS,",","&amp;SUBSTITUTE(I9,", ",",")&amp;",")),1,0)</f>
        <v>0</v>
      </c>
      <c r="AW9" s="11">
        <f>IF(ISNUMBER(SEARCH(",HSV-TK,",","&amp;SUBSTITUTE(I9,", ",",")&amp;",")),1,0)</f>
        <v>0</v>
      </c>
      <c r="AX9" s="11">
        <f>IF(ISNUMBER(SEARCH(",IL-12,",","&amp;SUBSTITUTE(I9,", ",",")&amp;",")),1,0)</f>
        <v>0</v>
      </c>
      <c r="AY9" s="11">
        <f>IF(ISNUMBER(SEARCH(",IL-15,",","&amp;SUBSTITUTE(I9,", ",",")&amp;",")),1,0)</f>
        <v>0</v>
      </c>
      <c r="AZ9" s="11">
        <f>IF(ISNUMBER(SEARCH(",IL-15R,",","&amp;SUBSTITUTE(I9,", ",",")&amp;",")),1,0)</f>
        <v>0</v>
      </c>
      <c r="BA9" s="11">
        <f>IF(ISNUMBER(SEARCH(",IL-2,",","&amp;SUBSTITUTE(I9,", ",",")&amp;",")),1,0)</f>
        <v>0</v>
      </c>
      <c r="BB9" s="11">
        <f>IF(ISNUMBER(SEARCH(",Integrin β6,",","&amp;SUBSTITUTE(I9,", ",",")&amp;",")),1,0)</f>
        <v>0</v>
      </c>
      <c r="BC9" s="11">
        <f>IF(ISNUMBER(SEARCH(",KDR,",","&amp;SUBSTITUTE(I9,", ",",")&amp;",")),1,0)</f>
        <v>0</v>
      </c>
      <c r="BD9" s="11">
        <f>IF(ISNUMBER(SEARCH(",KLRC1,",","&amp;SUBSTITUTE(I9,", ",",")&amp;",")),1,0)</f>
        <v>0</v>
      </c>
      <c r="BE9" s="11">
        <f>IF(ISNUMBER(SEARCH(",KRAS,",","&amp;SUBSTITUTE(I9,", ",",")&amp;",")),1,0)</f>
        <v>0</v>
      </c>
      <c r="BF9" s="11">
        <f>IF(ISNUMBER(SEARCH(",KRAS G12,",","&amp;SUBSTITUTE(I9,", ",",")&amp;",")),1,0)</f>
        <v>0</v>
      </c>
      <c r="BG9" s="11">
        <f>IF(ISNUMBER(SEARCH(",KRAS G12C,",","&amp;SUBSTITUTE(I9,", ",",")&amp;",")),1,0)</f>
        <v>0</v>
      </c>
      <c r="BH9" s="11">
        <f>IF(ISNUMBER(SEARCH(",KRAS G12D,",","&amp;SUBSTITUTE(I9,", ",",")&amp;",")),1,0)</f>
        <v>0</v>
      </c>
      <c r="BI9" s="11">
        <f>IF(ISNUMBER(SEARCH(",LAG-3,",","&amp;SUBSTITUTE(I9,", ",",")&amp;",")),1,0)</f>
        <v>0</v>
      </c>
      <c r="BJ9" s="11">
        <f>IF(ISNUMBER(SEARCH(",MAGE-A2,",","&amp;SUBSTITUTE(I9,", ",",")&amp;",")),1,0)</f>
        <v>0</v>
      </c>
      <c r="BK9" s="11">
        <f>IF(ISNUMBER(SEARCH(",MAGE-A3,",","&amp;SUBSTITUTE(I9,", ",",")&amp;",")),1,0)</f>
        <v>0</v>
      </c>
      <c r="BL9" s="11">
        <f>IF(ISNUMBER(SEARCH(",MLN19,",","&amp;SUBSTITUTE(I9,", ",",")&amp;",")),1,0)</f>
        <v>0</v>
      </c>
      <c r="BM9" s="11">
        <f>IF(ISNUMBER(SEARCH(",Microtubule,",","&amp;SUBSTITUTE(I9,", ",",")&amp;",")),1,0)</f>
        <v>0</v>
      </c>
      <c r="BN9" s="11">
        <f>IF(ISNUMBER(SEARCH(",NKG2A,",","&amp;SUBSTITUTE(I9,", ",",")&amp;",")),1,0)</f>
        <v>0</v>
      </c>
      <c r="BO9" s="11">
        <f>IF(ISNUMBER(SEARCH(",NRAS,",","&amp;SUBSTITUTE(I9,", ",",")&amp;",")),1,0)</f>
        <v>0</v>
      </c>
      <c r="BP9" s="11">
        <f>IF(ISNUMBER(SEARCH(",NTRK,",","&amp;SUBSTITUTE(I9,", ",",")&amp;",")),1,0)</f>
        <v>0</v>
      </c>
      <c r="BQ9" s="11">
        <f>IF(ISNUMBER(SEARCH(",PARP,",","&amp;SUBSTITUTE(I9,", ",",")&amp;",")),1,0)</f>
        <v>0</v>
      </c>
      <c r="BR9" s="11">
        <f>IF(ISNUMBER(SEARCH(",PD-1,",","&amp;SUBSTITUTE(I9,", ",",")&amp;",")),1,0)</f>
        <v>0</v>
      </c>
      <c r="BS9" s="11">
        <f>IF(ISNUMBER(SEARCH(",PD-L1,",","&amp;SUBSTITUTE(I9,", ",",")&amp;",")),1,0)</f>
        <v>0</v>
      </c>
      <c r="BT9" s="11">
        <f>IF(ISNUMBER(SEARCH(",PRMT5,",","&amp;SUBSTITUTE(I9,", ",",")&amp;",")),1,0)</f>
        <v>0</v>
      </c>
      <c r="BU9" s="11">
        <f>IF(ISNUMBER(SEARCH(",RAS,",","&amp;SUBSTITUTE(I9,", ",",")&amp;",")),1,0)</f>
        <v>0</v>
      </c>
      <c r="BV9" s="11">
        <f>IF(ISNUMBER(SEARCH(",RET,",","&amp;SUBSTITUTE(I9,", ",",")&amp;",")),1,0)</f>
        <v>0</v>
      </c>
      <c r="BW9" s="11">
        <f>IF(ISNUMBER(SEARCH(",ROS,",","&amp;SUBSTITUTE(I9,", ",",")&amp;",")),1,0)</f>
        <v>0</v>
      </c>
      <c r="BX9" s="11">
        <f>IF(ISNUMBER(SEARCH(",ROS1,",","&amp;SUBSTITUTE(I9,", ",",")&amp;",")),1,0)</f>
        <v>0</v>
      </c>
      <c r="BY9" s="11">
        <f>IF(ISNUMBER(SEARCH(",Src,",","&amp;SUBSTITUTE(I9,", ",",")&amp;",")),1,0)</f>
        <v>0</v>
      </c>
      <c r="BZ9" s="11">
        <f>IF(ISNUMBER(SEARCH(",TCGF,",","&amp;SUBSTITUTE(I9,", ",",")&amp;",")),1,0)</f>
        <v>0</v>
      </c>
      <c r="CA9" s="11">
        <f>IF(ISNUMBER(SEARCH(",TGF-β,",","&amp;SUBSTITUTE(I9,", ",",")&amp;",")),1,0)</f>
        <v>0</v>
      </c>
      <c r="CB9" s="11">
        <f>IF(ISNUMBER(SEARCH(",TGF-β1,",","&amp;SUBSTITUTE(I9,", ",",")&amp;",")),1,0)</f>
        <v>0</v>
      </c>
      <c r="CC9" s="11">
        <f>IF(ISNUMBER(SEARCH(",TIGIT,",","&amp;SUBSTITUTE(I9,", ",",")&amp;",")),1,0)</f>
        <v>0</v>
      </c>
      <c r="CD9" s="11">
        <f>IF(ISNUMBER(SEARCH(",TLR,",","&amp;SUBSTITUTE(I9,", ",",")&amp;",")),1,0)</f>
        <v>0</v>
      </c>
      <c r="CE9" s="11">
        <f>IF(ISNUMBER(SEARCH(",TLR7/8,",","&amp;SUBSTITUTE(I9,", ",",")&amp;",")),1,0)</f>
        <v>0</v>
      </c>
      <c r="CF9" s="11">
        <f>IF(ISNUMBER(SEARCH(",TRK,",","&amp;SUBSTITUTE(I9,", ",",")&amp;",")),1,0)</f>
        <v>0</v>
      </c>
      <c r="CG9" s="11">
        <f>IF(ISNUMBER(SEARCH(",TROP2,",","&amp;SUBSTITUTE(I9,", ",",")&amp;",")),1,0)</f>
        <v>0</v>
      </c>
      <c r="CH9" s="11">
        <f>IF(ISNUMBER(SEARCH(",TS,",","&amp;SUBSTITUTE(I9,", ",",")&amp;",")),1,0)</f>
        <v>0</v>
      </c>
      <c r="CI9" s="11">
        <f>IF(ISNUMBER(SEARCH(",TYMS,",","&amp;SUBSTITUTE(I9,", ",",")&amp;",")),1,0)</f>
        <v>0</v>
      </c>
      <c r="CJ9" s="11">
        <f>IF(ISNUMBER(SEARCH(",VEGF,",","&amp;SUBSTITUTE(I9,", ",",")&amp;",")),1,0)</f>
        <v>1</v>
      </c>
      <c r="CK9" s="11">
        <f>IF(ISNUMBER(SEARCH(",VEGFA,",","&amp;SUBSTITUTE(I9,", ",",")&amp;",")),1,0)</f>
        <v>0</v>
      </c>
      <c r="CL9" s="11">
        <f>IF(ISNUMBER(SEARCH(",VEGFR2,",","&amp;SUBSTITUTE(I9,", ",",")&amp;",")),1,0)</f>
        <v>0</v>
      </c>
      <c r="CM9" s="11">
        <f>IF(ISNUMBER(SEARCH(",c-MET/MET,",","&amp;SUBSTITUTE(I9,", ",",")&amp;",")),1,0)</f>
        <v>0</v>
      </c>
      <c r="CN9" s="11">
        <f>IF(ISNUMBER(SEARCH(",p53,",","&amp;SUBSTITUTE(I9,", ",",")&amp;",")),1,0)</f>
        <v>0</v>
      </c>
      <c r="CO9" s="11">
        <f>IF(ISNUMBER(SEARCH(",pan-KRAS,",","&amp;SUBSTITUTE(I9,", ",",")&amp;",")),1,0)</f>
        <v>0</v>
      </c>
      <c r="CP9" s="11">
        <f>IF(ISNUMBER(SEARCH(",ALK,",","&amp;SUBSTITUTE(K9,", ",",")&amp;",")),1,0)</f>
        <v>0</v>
      </c>
      <c r="CQ9" s="11">
        <f>IF(ISNUMBER(SEARCH(",BRAF V600E,",","&amp;SUBSTITUTE(K9,", ",",")&amp;",")),1,0)</f>
        <v>0</v>
      </c>
      <c r="CR9" s="11">
        <f>IF(ISNUMBER(SEARCH(",EGFR,",","&amp;SUBSTITUTE(K9,", ",",")&amp;",")),1,0)</f>
        <v>0</v>
      </c>
      <c r="CS9" s="11">
        <f>IF(ISNUMBER(SEARCH(",EGFR Exon 18,",","&amp;SUBSTITUTE(K9,", ",",")&amp;",")),1,0)</f>
        <v>0</v>
      </c>
      <c r="CT9" s="11">
        <f>IF(ISNUMBER(SEARCH(",EGFR Exon 19-del,",","&amp;SUBSTITUTE(K9,", ",",")&amp;",")),1,0)</f>
        <v>0</v>
      </c>
      <c r="CU9" s="11">
        <f>IF(ISNUMBER(SEARCH(",EGFR Exon 20,",","&amp;SUBSTITUTE(K9,", ",",")&amp;",")),1,0)</f>
        <v>0</v>
      </c>
      <c r="CV9" s="11">
        <f>IF(ISNUMBER(SEARCH(",EGFR Exon 20-ins,",","&amp;SUBSTITUTE(K9,", ",",")&amp;",")),1,0)</f>
        <v>0</v>
      </c>
      <c r="CW9" s="11">
        <f>IF(ISNUMBER(SEARCH(",EGFR Exon 21,",","&amp;SUBSTITUTE(K9,", ",",")&amp;",")),1,0)</f>
        <v>0</v>
      </c>
      <c r="CX9" s="11">
        <f>IF(ISNUMBER(SEARCH(",EGFR G719A,",","&amp;SUBSTITUTE(K9,", ",",")&amp;",")),1,0)</f>
        <v>0</v>
      </c>
      <c r="CY9" s="11">
        <f>IF(ISNUMBER(SEARCH(",EGFR G719C,",","&amp;SUBSTITUTE(K9,", ",",")&amp;",")),1,0)</f>
        <v>0</v>
      </c>
      <c r="CZ9" s="11">
        <f>IF(ISNUMBER(SEARCH(",EGFR G719S,",","&amp;SUBSTITUTE(K9,", ",",")&amp;",")),1,0)</f>
        <v>0</v>
      </c>
      <c r="DA9" s="11">
        <f>IF(ISNUMBER(SEARCH(",EGFR G719X,",","&amp;SUBSTITUTE(K9,", ",",")&amp;",")),1,0)</f>
        <v>0</v>
      </c>
      <c r="DB9" s="11">
        <f>IF(ISNUMBER(SEARCH(",EGFR L858R,",","&amp;SUBSTITUTE(K9,", ",",")&amp;",")),1,0)</f>
        <v>0</v>
      </c>
      <c r="DC9" s="11">
        <f>IF(ISNUMBER(SEARCH(",EGFR L861Q,",","&amp;SUBSTITUTE(K9,", ",",")&amp;",")),1,0)</f>
        <v>0</v>
      </c>
      <c r="DD9" s="11">
        <f>IF(ISNUMBER(SEARCH(",EGFR PACC,",","&amp;SUBSTITUTE(K9,", ",",")&amp;",")),1,0)</f>
        <v>0</v>
      </c>
      <c r="DE9" s="11">
        <f>IF(ISNUMBER(SEARCH(",EGFR S768I,",","&amp;SUBSTITUTE(K9,", ",",")&amp;",")),1,0)</f>
        <v>0</v>
      </c>
      <c r="DF9" s="11">
        <f>IF(ISNUMBER(SEARCH(",EGFR T790M,",","&amp;SUBSTITUTE(K9,", ",",")&amp;",")),1,0)</f>
        <v>0</v>
      </c>
      <c r="DG9" s="11">
        <f>IF(ISNUMBER(SEARCH(",EML4-ALK,",","&amp;SUBSTITUTE(K9,", ",",")&amp;",")),1,0)</f>
        <v>0</v>
      </c>
      <c r="DH9" s="11">
        <f>IF(ISNUMBER(SEARCH(",HER2,",","&amp;SUBSTITUTE(K9,", ",",")&amp;",")),1,0)</f>
        <v>0</v>
      </c>
      <c r="DI9" s="11">
        <f>IF(ISNUMBER(SEARCH(",HER2 Exon 19,",","&amp;SUBSTITUTE(K9,", ",",")&amp;",")),1,0)</f>
        <v>0</v>
      </c>
      <c r="DJ9" s="11">
        <f>IF(ISNUMBER(SEARCH(",HER2 Exon 20,",","&amp;SUBSTITUTE(K9,", ",",")&amp;",")),1,0)</f>
        <v>0</v>
      </c>
      <c r="DK9" s="11">
        <f>IF(ISNUMBER(SEARCH(",HER2 mut,",","&amp;SUBSTITUTE(K9,", ",",")&amp;",")),1,0)</f>
        <v>0</v>
      </c>
      <c r="DL9" s="11">
        <f>IF(ISNUMBER(SEARCH(",HLA-A2,",","&amp;SUBSTITUTE(K9,", ",",")&amp;",")),1,0)</f>
        <v>0</v>
      </c>
      <c r="DM9" s="11">
        <f>IF(ISNUMBER(SEARCH(",HRAS,",","&amp;SUBSTITUTE(K9,", ",",")&amp;",")),1,0)</f>
        <v>0</v>
      </c>
      <c r="DN9" s="11">
        <f>IF(ISNUMBER(SEARCH(",KRAS,",","&amp;SUBSTITUTE(K9,", ",",")&amp;",")),1,0)</f>
        <v>0</v>
      </c>
      <c r="DO9" s="11">
        <f>IF(ISNUMBER(SEARCH(",KRAS G12C,",","&amp;SUBSTITUTE(K9,", ",",")&amp;",")),1,0)</f>
        <v>0</v>
      </c>
      <c r="DP9" s="11">
        <f>IF(ISNUMBER(SEARCH(",NRAS,",","&amp;SUBSTITUTE(K9,", ",",")&amp;",")),1,0)</f>
        <v>0</v>
      </c>
      <c r="DQ9" s="11">
        <f>IF(ISNUMBER(SEARCH(",NTRK,",","&amp;SUBSTITUTE(K9,", ",",")&amp;",")),1,0)</f>
        <v>0</v>
      </c>
      <c r="DR9" s="11">
        <f>IF(ISNUMBER(SEARCH(",PD-L1,",","&amp;SUBSTITUTE(K9,", ",",")&amp;",")),1,0)</f>
        <v>0</v>
      </c>
      <c r="DS9" s="11">
        <f>IF(ISNUMBER(SEARCH(",PD-L1 IC ≥ 1%,",","&amp;SUBSTITUTE(K9,", ",",")&amp;",")),1,0)</f>
        <v>0</v>
      </c>
      <c r="DT9" s="11">
        <f>IF(ISNUMBER(SEARCH(",PD-L1 TC ≥ 1%,",","&amp;SUBSTITUTE(K9,", ",",")&amp;",")),1,0)</f>
        <v>0</v>
      </c>
      <c r="DU9" s="11">
        <f>IF(ISNUMBER(SEARCH(",PD-L1 TC ≥ 50%,",","&amp;SUBSTITUTE(K9,", ",",")&amp;",")),1,0)</f>
        <v>0</v>
      </c>
      <c r="DV9" s="11">
        <f>IF(ISNUMBER(SEARCH(",PD-L1 TPS &lt; 50%,",","&amp;SUBSTITUTE(K9,", ",",")&amp;",")),1,0)</f>
        <v>0</v>
      </c>
      <c r="DW9" s="11">
        <f>IF(ISNUMBER(SEARCH(",PD-L1 TPS ≥ 1%,",","&amp;SUBSTITUTE(K9,", ",",")&amp;",")),1,0)</f>
        <v>0</v>
      </c>
      <c r="DX9" s="11">
        <f>IF(ISNUMBER(SEARCH(",PD-L1 TPS ≥ 50%,",","&amp;SUBSTITUTE(K9,", ",",")&amp;",")),1,0)</f>
        <v>0</v>
      </c>
      <c r="DY9" s="11">
        <f>IF(ISNUMBER(SEARCH(",RAS,",","&amp;SUBSTITUTE(K9,", ",",")&amp;",")),1,0)</f>
        <v>0</v>
      </c>
      <c r="DZ9" s="11">
        <f>IF(ISNUMBER(SEARCH(",RET,",","&amp;SUBSTITUTE(K9,", ",",")&amp;",")),1,0)</f>
        <v>0</v>
      </c>
      <c r="EA9" s="11">
        <f>IF(ISNUMBER(SEARCH(",ROS1,",","&amp;SUBSTITUTE(K9,", ",",")&amp;",")),1,0)</f>
        <v>0</v>
      </c>
      <c r="EB9" s="11">
        <f>IF(ISNUMBER(SEARCH(",TROP2,",","&amp;SUBSTITUTE(K9,", ",",")&amp;",")),1,0)</f>
        <v>0</v>
      </c>
      <c r="EC9" s="11">
        <f>IF(ISNUMBER(SEARCH(",c-MET/MET,",","&amp;SUBSTITUTE(K9,", ",",")&amp;",")),1,0)</f>
        <v>0</v>
      </c>
      <c r="ED9" s="11">
        <f>IF(ISNUMBER(SEARCH(",c-MET/MET Exon 14,",","&amp;SUBSTITUTE(K9,", ",",")&amp;",")),1,0)</f>
        <v>0</v>
      </c>
      <c r="EE9" s="11">
        <f>IF(ISNUMBER(SEARCH(",ctDNA/cfDNA,",","&amp;SUBSTITUTE(K9,", ",",")&amp;",")),1,0)</f>
        <v>0</v>
      </c>
    </row>
    <row r="10" spans="1:135" ht="15" customHeight="1" x14ac:dyDescent="0.2">
      <c r="A10" s="3" t="s">
        <v>105</v>
      </c>
      <c r="B10" s="3" t="s">
        <v>662</v>
      </c>
      <c r="C10" s="3" t="s">
        <v>664</v>
      </c>
      <c r="D10" s="3" t="s">
        <v>663</v>
      </c>
      <c r="E10" s="3" t="s">
        <v>663</v>
      </c>
      <c r="F10" s="3" t="s">
        <v>259</v>
      </c>
      <c r="G10" s="3" t="s">
        <v>665</v>
      </c>
      <c r="H10" s="3" t="s">
        <v>115</v>
      </c>
      <c r="I10" s="3" t="s">
        <v>118</v>
      </c>
      <c r="J10" s="3" t="s">
        <v>117</v>
      </c>
      <c r="K10" s="3"/>
      <c r="L10" s="3" t="s">
        <v>120</v>
      </c>
      <c r="M10" s="3" t="s">
        <v>113</v>
      </c>
      <c r="N10" s="3" t="s">
        <v>119</v>
      </c>
      <c r="O10" s="3" t="s">
        <v>120</v>
      </c>
      <c r="P10" s="3" t="s">
        <v>666</v>
      </c>
      <c r="Q10" s="10" t="str">
        <f>IF(F10="Stage IV","Stage IV Only",IF(AND(ISNUMBER(SEARCH("IV",F10)),LEN(F10)&gt;LEN("Stage IV")),"Stage IV + Other",IF(AND(ISNUMBER(SEARCH("III",F10)),NOT(ISNUMBER(SEARCH("IV",F10)))),"Stage III Only","Other")))</f>
        <v>Stage IV Only</v>
      </c>
      <c r="R10" s="10" t="str">
        <f>IF(AND(ISNUMBER(SEARCH("Non-squamous",G10)),ISNUMBER(SEARCH("Squamous",SUBSTITUTE(G10,"Non-squamous","")))),"Both",IF(ISNUMBER(SEARCH("Non-squamous",G10)),"Non-squamous",IF(ISNUMBER(SEARCH("Squamous",G10)),"Squamous","Unspecified")))</f>
        <v>Non-squamous</v>
      </c>
      <c r="S10" s="10" t="str">
        <f>IF(OR(ISNUMBER(SEARCH("TPS ≥ 50%",K10)),ISNUMBER(SEARCH("TC ≥ 50%",K10))),"TPS ≥ 50%",IF(OR(ISNUMBER(SEARCH("TPS ≥ 1%",K10)),ISNUMBER(SEARCH("TC ≥ 1%",K10)),ISNUMBER(SEARCH("TPS &lt; 50%",K10)),ISNUMBER(SEARCH("IC ≥ 1%",K10))),"TPS 1-49%","All-comers"))</f>
        <v>All-comers</v>
      </c>
      <c r="T10" s="10">
        <f>IF(H10="Phase III",1,0)</f>
        <v>0</v>
      </c>
      <c r="U10" s="10">
        <f>IF(L10="Yes",1,0)</f>
        <v>1</v>
      </c>
      <c r="V10" s="11">
        <f>IF(ISNUMBER(SEARCH(",ALK,",","&amp;SUBSTITUTE(I10,", ",",")&amp;",")),1,0)</f>
        <v>0</v>
      </c>
      <c r="W10" s="11">
        <f>IF(ISNUMBER(SEARCH(",ALK L1196M,",","&amp;SUBSTITUTE(I10,", ",",")&amp;",")),1,0)</f>
        <v>0</v>
      </c>
      <c r="X10" s="11">
        <f>IF(ISNUMBER(SEARCH(",AXL,",","&amp;SUBSTITUTE(I10,", ",",")&amp;",")),1,0)</f>
        <v>0</v>
      </c>
      <c r="Y10" s="11">
        <f>IF(ISNUMBER(SEARCH(",B7-H1,",","&amp;SUBSTITUTE(I10,", ",",")&amp;",")),1,0)</f>
        <v>0</v>
      </c>
      <c r="Z10" s="11">
        <f>IF(ISNUMBER(SEARCH(",CD152,",","&amp;SUBSTITUTE(I10,", ",",")&amp;",")),1,0)</f>
        <v>0</v>
      </c>
      <c r="AA10" s="11">
        <f>IF(ISNUMBER(SEARCH(",CD274,",","&amp;SUBSTITUTE(I10,", ",",")&amp;",")),1,0)</f>
        <v>0</v>
      </c>
      <c r="AB10" s="11">
        <f>IF(ISNUMBER(SEARCH(",CD279,",","&amp;SUBSTITUTE(I10,", ",",")&amp;",")),1,0)</f>
        <v>0</v>
      </c>
      <c r="AC10" s="11">
        <f>IF(ISNUMBER(SEARCH(",CD73,",","&amp;SUBSTITUTE(I10,", ",",")&amp;",")),1,0)</f>
        <v>0</v>
      </c>
      <c r="AD10" s="11">
        <f>IF(ISNUMBER(SEARCH(",CEA,",","&amp;SUBSTITUTE(I10,", ",",")&amp;",")),1,0)</f>
        <v>0</v>
      </c>
      <c r="AE10" s="11">
        <f>IF(ISNUMBER(SEARCH(",CTLA-4,",","&amp;SUBSTITUTE(I10,", ",",")&amp;",")),1,0)</f>
        <v>0</v>
      </c>
      <c r="AF10" s="11">
        <f>IF(ISNUMBER(SEARCH(",EGFR,",","&amp;SUBSTITUTE(I10,", ",",")&amp;",")),1,0)</f>
        <v>0</v>
      </c>
      <c r="AG10" s="11">
        <f>IF(ISNUMBER(SEARCH(",EGFR C797G,",","&amp;SUBSTITUTE(I10,", ",",")&amp;",")),1,0)</f>
        <v>0</v>
      </c>
      <c r="AH10" s="11">
        <f>IF(ISNUMBER(SEARCH(",EGFR C797S,",","&amp;SUBSTITUTE(I10,", ",",")&amp;",")),1,0)</f>
        <v>0</v>
      </c>
      <c r="AI10" s="11">
        <f>IF(ISNUMBER(SEARCH(",EGFR Exon 19-del,",","&amp;SUBSTITUTE(I10,", ",",")&amp;",")),1,0)</f>
        <v>0</v>
      </c>
      <c r="AJ10" s="11">
        <f>IF(ISNUMBER(SEARCH(",EGFR Exon 20,",","&amp;SUBSTITUTE(I10,", ",",")&amp;",")),1,0)</f>
        <v>0</v>
      </c>
      <c r="AK10" s="11">
        <f>IF(ISNUMBER(SEARCH(",EGFR L858R,",","&amp;SUBSTITUTE(I10,", ",",")&amp;",")),1,0)</f>
        <v>0</v>
      </c>
      <c r="AL10" s="11">
        <f>IF(ISNUMBER(SEARCH(",EGFR T790M,",","&amp;SUBSTITUTE(I10,", ",",")&amp;",")),1,0)</f>
        <v>0</v>
      </c>
      <c r="AM10" s="11">
        <f>IF(ISNUMBER(SEARCH(",ERBB,",","&amp;SUBSTITUTE(I10,", ",",")&amp;",")),1,0)</f>
        <v>0</v>
      </c>
      <c r="AN10" s="11">
        <f>IF(ISNUMBER(SEARCH(",ERBB3,",","&amp;SUBSTITUTE(I10,", ",",")&amp;",")),1,0)</f>
        <v>0</v>
      </c>
      <c r="AO10" s="11">
        <f>IF(ISNUMBER(SEARCH(",FAK,",","&amp;SUBSTITUTE(I10,", ",",")&amp;",")),1,0)</f>
        <v>0</v>
      </c>
      <c r="AP10" s="11">
        <f>IF(ISNUMBER(SEARCH(",GARP,",","&amp;SUBSTITUTE(I10,", ",",")&amp;",")),1,0)</f>
        <v>0</v>
      </c>
      <c r="AQ10" s="11">
        <f>IF(ISNUMBER(SEARCH(",HER1,",","&amp;SUBSTITUTE(I10,", ",",")&amp;",")),1,0)</f>
        <v>0</v>
      </c>
      <c r="AR10" s="11">
        <f>IF(ISNUMBER(SEARCH(",HER2,",","&amp;SUBSTITUTE(I10,", ",",")&amp;",")),1,0)</f>
        <v>0</v>
      </c>
      <c r="AS10" s="11">
        <f>IF(ISNUMBER(SEARCH(",HER2 Exon 20,",","&amp;SUBSTITUTE(I10,", ",",")&amp;",")),1,0)</f>
        <v>0</v>
      </c>
      <c r="AT10" s="11">
        <f>IF(ISNUMBER(SEARCH(",HER3,",","&amp;SUBSTITUTE(I10,", ",",")&amp;",")),1,0)</f>
        <v>0</v>
      </c>
      <c r="AU10" s="11">
        <f>IF(ISNUMBER(SEARCH(",HER4,",","&amp;SUBSTITUTE(I10,", ",",")&amp;",")),1,0)</f>
        <v>0</v>
      </c>
      <c r="AV10" s="11">
        <f>IF(ISNUMBER(SEARCH(",HRAS,",","&amp;SUBSTITUTE(I10,", ",",")&amp;",")),1,0)</f>
        <v>0</v>
      </c>
      <c r="AW10" s="11">
        <f>IF(ISNUMBER(SEARCH(",HSV-TK,",","&amp;SUBSTITUTE(I10,", ",",")&amp;",")),1,0)</f>
        <v>0</v>
      </c>
      <c r="AX10" s="11">
        <f>IF(ISNUMBER(SEARCH(",IL-12,",","&amp;SUBSTITUTE(I10,", ",",")&amp;",")),1,0)</f>
        <v>0</v>
      </c>
      <c r="AY10" s="11">
        <f>IF(ISNUMBER(SEARCH(",IL-15,",","&amp;SUBSTITUTE(I10,", ",",")&amp;",")),1,0)</f>
        <v>0</v>
      </c>
      <c r="AZ10" s="11">
        <f>IF(ISNUMBER(SEARCH(",IL-15R,",","&amp;SUBSTITUTE(I10,", ",",")&amp;",")),1,0)</f>
        <v>0</v>
      </c>
      <c r="BA10" s="11">
        <f>IF(ISNUMBER(SEARCH(",IL-2,",","&amp;SUBSTITUTE(I10,", ",",")&amp;",")),1,0)</f>
        <v>0</v>
      </c>
      <c r="BB10" s="11">
        <f>IF(ISNUMBER(SEARCH(",Integrin β6,",","&amp;SUBSTITUTE(I10,", ",",")&amp;",")),1,0)</f>
        <v>0</v>
      </c>
      <c r="BC10" s="11">
        <f>IF(ISNUMBER(SEARCH(",KDR,",","&amp;SUBSTITUTE(I10,", ",",")&amp;",")),1,0)</f>
        <v>0</v>
      </c>
      <c r="BD10" s="11">
        <f>IF(ISNUMBER(SEARCH(",KLRC1,",","&amp;SUBSTITUTE(I10,", ",",")&amp;",")),1,0)</f>
        <v>0</v>
      </c>
      <c r="BE10" s="11">
        <f>IF(ISNUMBER(SEARCH(",KRAS,",","&amp;SUBSTITUTE(I10,", ",",")&amp;",")),1,0)</f>
        <v>0</v>
      </c>
      <c r="BF10" s="11">
        <f>IF(ISNUMBER(SEARCH(",KRAS G12,",","&amp;SUBSTITUTE(I10,", ",",")&amp;",")),1,0)</f>
        <v>0</v>
      </c>
      <c r="BG10" s="11">
        <f>IF(ISNUMBER(SEARCH(",KRAS G12C,",","&amp;SUBSTITUTE(I10,", ",",")&amp;",")),1,0)</f>
        <v>0</v>
      </c>
      <c r="BH10" s="11">
        <f>IF(ISNUMBER(SEARCH(",KRAS G12D,",","&amp;SUBSTITUTE(I10,", ",",")&amp;",")),1,0)</f>
        <v>0</v>
      </c>
      <c r="BI10" s="11">
        <f>IF(ISNUMBER(SEARCH(",LAG-3,",","&amp;SUBSTITUTE(I10,", ",",")&amp;",")),1,0)</f>
        <v>0</v>
      </c>
      <c r="BJ10" s="11">
        <f>IF(ISNUMBER(SEARCH(",MAGE-A2,",","&amp;SUBSTITUTE(I10,", ",",")&amp;",")),1,0)</f>
        <v>0</v>
      </c>
      <c r="BK10" s="11">
        <f>IF(ISNUMBER(SEARCH(",MAGE-A3,",","&amp;SUBSTITUTE(I10,", ",",")&amp;",")),1,0)</f>
        <v>0</v>
      </c>
      <c r="BL10" s="11">
        <f>IF(ISNUMBER(SEARCH(",MLN19,",","&amp;SUBSTITUTE(I10,", ",",")&amp;",")),1,0)</f>
        <v>0</v>
      </c>
      <c r="BM10" s="11">
        <f>IF(ISNUMBER(SEARCH(",Microtubule,",","&amp;SUBSTITUTE(I10,", ",",")&amp;",")),1,0)</f>
        <v>0</v>
      </c>
      <c r="BN10" s="11">
        <f>IF(ISNUMBER(SEARCH(",NKG2A,",","&amp;SUBSTITUTE(I10,", ",",")&amp;",")),1,0)</f>
        <v>0</v>
      </c>
      <c r="BO10" s="11">
        <f>IF(ISNUMBER(SEARCH(",NRAS,",","&amp;SUBSTITUTE(I10,", ",",")&amp;",")),1,0)</f>
        <v>0</v>
      </c>
      <c r="BP10" s="11">
        <f>IF(ISNUMBER(SEARCH(",NTRK,",","&amp;SUBSTITUTE(I10,", ",",")&amp;",")),1,0)</f>
        <v>0</v>
      </c>
      <c r="BQ10" s="11">
        <f>IF(ISNUMBER(SEARCH(",PARP,",","&amp;SUBSTITUTE(I10,", ",",")&amp;",")),1,0)</f>
        <v>0</v>
      </c>
      <c r="BR10" s="11">
        <f>IF(ISNUMBER(SEARCH(",PD-1,",","&amp;SUBSTITUTE(I10,", ",",")&amp;",")),1,0)</f>
        <v>0</v>
      </c>
      <c r="BS10" s="11">
        <f>IF(ISNUMBER(SEARCH(",PD-L1,",","&amp;SUBSTITUTE(I10,", ",",")&amp;",")),1,0)</f>
        <v>0</v>
      </c>
      <c r="BT10" s="11">
        <f>IF(ISNUMBER(SEARCH(",PRMT5,",","&amp;SUBSTITUTE(I10,", ",",")&amp;",")),1,0)</f>
        <v>0</v>
      </c>
      <c r="BU10" s="11">
        <f>IF(ISNUMBER(SEARCH(",RAS,",","&amp;SUBSTITUTE(I10,", ",",")&amp;",")),1,0)</f>
        <v>0</v>
      </c>
      <c r="BV10" s="11">
        <f>IF(ISNUMBER(SEARCH(",RET,",","&amp;SUBSTITUTE(I10,", ",",")&amp;",")),1,0)</f>
        <v>0</v>
      </c>
      <c r="BW10" s="11">
        <f>IF(ISNUMBER(SEARCH(",ROS,",","&amp;SUBSTITUTE(I10,", ",",")&amp;",")),1,0)</f>
        <v>0</v>
      </c>
      <c r="BX10" s="11">
        <f>IF(ISNUMBER(SEARCH(",ROS1,",","&amp;SUBSTITUTE(I10,", ",",")&amp;",")),1,0)</f>
        <v>0</v>
      </c>
      <c r="BY10" s="11">
        <f>IF(ISNUMBER(SEARCH(",Src,",","&amp;SUBSTITUTE(I10,", ",",")&amp;",")),1,0)</f>
        <v>0</v>
      </c>
      <c r="BZ10" s="11">
        <f>IF(ISNUMBER(SEARCH(",TCGF,",","&amp;SUBSTITUTE(I10,", ",",")&amp;",")),1,0)</f>
        <v>0</v>
      </c>
      <c r="CA10" s="11">
        <f>IF(ISNUMBER(SEARCH(",TGF-β,",","&amp;SUBSTITUTE(I10,", ",",")&amp;",")),1,0)</f>
        <v>0</v>
      </c>
      <c r="CB10" s="11">
        <f>IF(ISNUMBER(SEARCH(",TGF-β1,",","&amp;SUBSTITUTE(I10,", ",",")&amp;",")),1,0)</f>
        <v>0</v>
      </c>
      <c r="CC10" s="11">
        <f>IF(ISNUMBER(SEARCH(",TIGIT,",","&amp;SUBSTITUTE(I10,", ",",")&amp;",")),1,0)</f>
        <v>0</v>
      </c>
      <c r="CD10" s="11">
        <f>IF(ISNUMBER(SEARCH(",TLR,",","&amp;SUBSTITUTE(I10,", ",",")&amp;",")),1,0)</f>
        <v>0</v>
      </c>
      <c r="CE10" s="11">
        <f>IF(ISNUMBER(SEARCH(",TLR7/8,",","&amp;SUBSTITUTE(I10,", ",",")&amp;",")),1,0)</f>
        <v>0</v>
      </c>
      <c r="CF10" s="11">
        <f>IF(ISNUMBER(SEARCH(",TRK,",","&amp;SUBSTITUTE(I10,", ",",")&amp;",")),1,0)</f>
        <v>0</v>
      </c>
      <c r="CG10" s="11">
        <f>IF(ISNUMBER(SEARCH(",TROP2,",","&amp;SUBSTITUTE(I10,", ",",")&amp;",")),1,0)</f>
        <v>0</v>
      </c>
      <c r="CH10" s="11">
        <f>IF(ISNUMBER(SEARCH(",TS,",","&amp;SUBSTITUTE(I10,", ",",")&amp;",")),1,0)</f>
        <v>0</v>
      </c>
      <c r="CI10" s="11">
        <f>IF(ISNUMBER(SEARCH(",TYMS,",","&amp;SUBSTITUTE(I10,", ",",")&amp;",")),1,0)</f>
        <v>0</v>
      </c>
      <c r="CJ10" s="11">
        <f>IF(ISNUMBER(SEARCH(",VEGF,",","&amp;SUBSTITUTE(I10,", ",",")&amp;",")),1,0)</f>
        <v>1</v>
      </c>
      <c r="CK10" s="11">
        <f>IF(ISNUMBER(SEARCH(",VEGFA,",","&amp;SUBSTITUTE(I10,", ",",")&amp;",")),1,0)</f>
        <v>0</v>
      </c>
      <c r="CL10" s="11">
        <f>IF(ISNUMBER(SEARCH(",VEGFR2,",","&amp;SUBSTITUTE(I10,", ",",")&amp;",")),1,0)</f>
        <v>0</v>
      </c>
      <c r="CM10" s="11">
        <f>IF(ISNUMBER(SEARCH(",c-MET/MET,",","&amp;SUBSTITUTE(I10,", ",",")&amp;",")),1,0)</f>
        <v>0</v>
      </c>
      <c r="CN10" s="11">
        <f>IF(ISNUMBER(SEARCH(",p53,",","&amp;SUBSTITUTE(I10,", ",",")&amp;",")),1,0)</f>
        <v>0</v>
      </c>
      <c r="CO10" s="11">
        <f>IF(ISNUMBER(SEARCH(",pan-KRAS,",","&amp;SUBSTITUTE(I10,", ",",")&amp;",")),1,0)</f>
        <v>0</v>
      </c>
      <c r="CP10" s="11">
        <f>IF(ISNUMBER(SEARCH(",ALK,",","&amp;SUBSTITUTE(K10,", ",",")&amp;",")),1,0)</f>
        <v>0</v>
      </c>
      <c r="CQ10" s="11">
        <f>IF(ISNUMBER(SEARCH(",BRAF V600E,",","&amp;SUBSTITUTE(K10,", ",",")&amp;",")),1,0)</f>
        <v>0</v>
      </c>
      <c r="CR10" s="11">
        <f>IF(ISNUMBER(SEARCH(",EGFR,",","&amp;SUBSTITUTE(K10,", ",",")&amp;",")),1,0)</f>
        <v>0</v>
      </c>
      <c r="CS10" s="11">
        <f>IF(ISNUMBER(SEARCH(",EGFR Exon 18,",","&amp;SUBSTITUTE(K10,", ",",")&amp;",")),1,0)</f>
        <v>0</v>
      </c>
      <c r="CT10" s="11">
        <f>IF(ISNUMBER(SEARCH(",EGFR Exon 19-del,",","&amp;SUBSTITUTE(K10,", ",",")&amp;",")),1,0)</f>
        <v>0</v>
      </c>
      <c r="CU10" s="11">
        <f>IF(ISNUMBER(SEARCH(",EGFR Exon 20,",","&amp;SUBSTITUTE(K10,", ",",")&amp;",")),1,0)</f>
        <v>0</v>
      </c>
      <c r="CV10" s="11">
        <f>IF(ISNUMBER(SEARCH(",EGFR Exon 20-ins,",","&amp;SUBSTITUTE(K10,", ",",")&amp;",")),1,0)</f>
        <v>0</v>
      </c>
      <c r="CW10" s="11">
        <f>IF(ISNUMBER(SEARCH(",EGFR Exon 21,",","&amp;SUBSTITUTE(K10,", ",",")&amp;",")),1,0)</f>
        <v>0</v>
      </c>
      <c r="CX10" s="11">
        <f>IF(ISNUMBER(SEARCH(",EGFR G719A,",","&amp;SUBSTITUTE(K10,", ",",")&amp;",")),1,0)</f>
        <v>0</v>
      </c>
      <c r="CY10" s="11">
        <f>IF(ISNUMBER(SEARCH(",EGFR G719C,",","&amp;SUBSTITUTE(K10,", ",",")&amp;",")),1,0)</f>
        <v>0</v>
      </c>
      <c r="CZ10" s="11">
        <f>IF(ISNUMBER(SEARCH(",EGFR G719S,",","&amp;SUBSTITUTE(K10,", ",",")&amp;",")),1,0)</f>
        <v>0</v>
      </c>
      <c r="DA10" s="11">
        <f>IF(ISNUMBER(SEARCH(",EGFR G719X,",","&amp;SUBSTITUTE(K10,", ",",")&amp;",")),1,0)</f>
        <v>0</v>
      </c>
      <c r="DB10" s="11">
        <f>IF(ISNUMBER(SEARCH(",EGFR L858R,",","&amp;SUBSTITUTE(K10,", ",",")&amp;",")),1,0)</f>
        <v>0</v>
      </c>
      <c r="DC10" s="11">
        <f>IF(ISNUMBER(SEARCH(",EGFR L861Q,",","&amp;SUBSTITUTE(K10,", ",",")&amp;",")),1,0)</f>
        <v>0</v>
      </c>
      <c r="DD10" s="11">
        <f>IF(ISNUMBER(SEARCH(",EGFR PACC,",","&amp;SUBSTITUTE(K10,", ",",")&amp;",")),1,0)</f>
        <v>0</v>
      </c>
      <c r="DE10" s="11">
        <f>IF(ISNUMBER(SEARCH(",EGFR S768I,",","&amp;SUBSTITUTE(K10,", ",",")&amp;",")),1,0)</f>
        <v>0</v>
      </c>
      <c r="DF10" s="11">
        <f>IF(ISNUMBER(SEARCH(",EGFR T790M,",","&amp;SUBSTITUTE(K10,", ",",")&amp;",")),1,0)</f>
        <v>0</v>
      </c>
      <c r="DG10" s="11">
        <f>IF(ISNUMBER(SEARCH(",EML4-ALK,",","&amp;SUBSTITUTE(K10,", ",",")&amp;",")),1,0)</f>
        <v>0</v>
      </c>
      <c r="DH10" s="11">
        <f>IF(ISNUMBER(SEARCH(",HER2,",","&amp;SUBSTITUTE(K10,", ",",")&amp;",")),1,0)</f>
        <v>0</v>
      </c>
      <c r="DI10" s="11">
        <f>IF(ISNUMBER(SEARCH(",HER2 Exon 19,",","&amp;SUBSTITUTE(K10,", ",",")&amp;",")),1,0)</f>
        <v>0</v>
      </c>
      <c r="DJ10" s="11">
        <f>IF(ISNUMBER(SEARCH(",HER2 Exon 20,",","&amp;SUBSTITUTE(K10,", ",",")&amp;",")),1,0)</f>
        <v>0</v>
      </c>
      <c r="DK10" s="11">
        <f>IF(ISNUMBER(SEARCH(",HER2 mut,",","&amp;SUBSTITUTE(K10,", ",",")&amp;",")),1,0)</f>
        <v>0</v>
      </c>
      <c r="DL10" s="11">
        <f>IF(ISNUMBER(SEARCH(",HLA-A2,",","&amp;SUBSTITUTE(K10,", ",",")&amp;",")),1,0)</f>
        <v>0</v>
      </c>
      <c r="DM10" s="11">
        <f>IF(ISNUMBER(SEARCH(",HRAS,",","&amp;SUBSTITUTE(K10,", ",",")&amp;",")),1,0)</f>
        <v>0</v>
      </c>
      <c r="DN10" s="11">
        <f>IF(ISNUMBER(SEARCH(",KRAS,",","&amp;SUBSTITUTE(K10,", ",",")&amp;",")),1,0)</f>
        <v>0</v>
      </c>
      <c r="DO10" s="11">
        <f>IF(ISNUMBER(SEARCH(",KRAS G12C,",","&amp;SUBSTITUTE(K10,", ",",")&amp;",")),1,0)</f>
        <v>0</v>
      </c>
      <c r="DP10" s="11">
        <f>IF(ISNUMBER(SEARCH(",NRAS,",","&amp;SUBSTITUTE(K10,", ",",")&amp;",")),1,0)</f>
        <v>0</v>
      </c>
      <c r="DQ10" s="11">
        <f>IF(ISNUMBER(SEARCH(",NTRK,",","&amp;SUBSTITUTE(K10,", ",",")&amp;",")),1,0)</f>
        <v>0</v>
      </c>
      <c r="DR10" s="11">
        <f>IF(ISNUMBER(SEARCH(",PD-L1,",","&amp;SUBSTITUTE(K10,", ",",")&amp;",")),1,0)</f>
        <v>0</v>
      </c>
      <c r="DS10" s="11">
        <f>IF(ISNUMBER(SEARCH(",PD-L1 IC ≥ 1%,",","&amp;SUBSTITUTE(K10,", ",",")&amp;",")),1,0)</f>
        <v>0</v>
      </c>
      <c r="DT10" s="11">
        <f>IF(ISNUMBER(SEARCH(",PD-L1 TC ≥ 1%,",","&amp;SUBSTITUTE(K10,", ",",")&amp;",")),1,0)</f>
        <v>0</v>
      </c>
      <c r="DU10" s="11">
        <f>IF(ISNUMBER(SEARCH(",PD-L1 TC ≥ 50%,",","&amp;SUBSTITUTE(K10,", ",",")&amp;",")),1,0)</f>
        <v>0</v>
      </c>
      <c r="DV10" s="11">
        <f>IF(ISNUMBER(SEARCH(",PD-L1 TPS &lt; 50%,",","&amp;SUBSTITUTE(K10,", ",",")&amp;",")),1,0)</f>
        <v>0</v>
      </c>
      <c r="DW10" s="11">
        <f>IF(ISNUMBER(SEARCH(",PD-L1 TPS ≥ 1%,",","&amp;SUBSTITUTE(K10,", ",",")&amp;",")),1,0)</f>
        <v>0</v>
      </c>
      <c r="DX10" s="11">
        <f>IF(ISNUMBER(SEARCH(",PD-L1 TPS ≥ 50%,",","&amp;SUBSTITUTE(K10,", ",",")&amp;",")),1,0)</f>
        <v>0</v>
      </c>
      <c r="DY10" s="11">
        <f>IF(ISNUMBER(SEARCH(",RAS,",","&amp;SUBSTITUTE(K10,", ",",")&amp;",")),1,0)</f>
        <v>0</v>
      </c>
      <c r="DZ10" s="11">
        <f>IF(ISNUMBER(SEARCH(",RET,",","&amp;SUBSTITUTE(K10,", ",",")&amp;",")),1,0)</f>
        <v>0</v>
      </c>
      <c r="EA10" s="11">
        <f>IF(ISNUMBER(SEARCH(",ROS1,",","&amp;SUBSTITUTE(K10,", ",",")&amp;",")),1,0)</f>
        <v>0</v>
      </c>
      <c r="EB10" s="11">
        <f>IF(ISNUMBER(SEARCH(",TROP2,",","&amp;SUBSTITUTE(K10,", ",",")&amp;",")),1,0)</f>
        <v>0</v>
      </c>
      <c r="EC10" s="11">
        <f>IF(ISNUMBER(SEARCH(",c-MET/MET,",","&amp;SUBSTITUTE(K10,", ",",")&amp;",")),1,0)</f>
        <v>0</v>
      </c>
      <c r="ED10" s="11">
        <f>IF(ISNUMBER(SEARCH(",c-MET/MET Exon 14,",","&amp;SUBSTITUTE(K10,", ",",")&amp;",")),1,0)</f>
        <v>0</v>
      </c>
      <c r="EE10" s="11">
        <f>IF(ISNUMBER(SEARCH(",ctDNA/cfDNA,",","&amp;SUBSTITUTE(K10,", ",",")&amp;",")),1,0)</f>
        <v>0</v>
      </c>
    </row>
    <row r="11" spans="1:135" ht="15" customHeight="1" x14ac:dyDescent="0.2">
      <c r="A11" s="3" t="s">
        <v>105</v>
      </c>
      <c r="B11" s="3" t="s">
        <v>821</v>
      </c>
      <c r="C11" s="3" t="s">
        <v>822</v>
      </c>
      <c r="D11" s="3" t="s">
        <v>822</v>
      </c>
      <c r="E11" s="3" t="s">
        <v>822</v>
      </c>
      <c r="F11" s="3" t="s">
        <v>259</v>
      </c>
      <c r="G11" s="3" t="s">
        <v>665</v>
      </c>
      <c r="H11" s="3" t="s">
        <v>114</v>
      </c>
      <c r="I11" s="3" t="s">
        <v>118</v>
      </c>
      <c r="J11" s="3" t="s">
        <v>117</v>
      </c>
      <c r="K11" s="3"/>
      <c r="L11" s="3" t="s">
        <v>120</v>
      </c>
      <c r="M11" s="3" t="s">
        <v>113</v>
      </c>
      <c r="N11" s="3" t="s">
        <v>119</v>
      </c>
      <c r="O11" s="3" t="s">
        <v>120</v>
      </c>
      <c r="P11" s="3" t="s">
        <v>823</v>
      </c>
      <c r="Q11" s="10" t="str">
        <f>IF(F11="Stage IV","Stage IV Only",IF(AND(ISNUMBER(SEARCH("IV",F11)),LEN(F11)&gt;LEN("Stage IV")),"Stage IV + Other",IF(AND(ISNUMBER(SEARCH("III",F11)),NOT(ISNUMBER(SEARCH("IV",F11)))),"Stage III Only","Other")))</f>
        <v>Stage IV Only</v>
      </c>
      <c r="R11" s="10" t="str">
        <f>IF(AND(ISNUMBER(SEARCH("Non-squamous",G11)),ISNUMBER(SEARCH("Squamous",SUBSTITUTE(G11,"Non-squamous","")))),"Both",IF(ISNUMBER(SEARCH("Non-squamous",G11)),"Non-squamous",IF(ISNUMBER(SEARCH("Squamous",G11)),"Squamous","Unspecified")))</f>
        <v>Non-squamous</v>
      </c>
      <c r="S11" s="10" t="str">
        <f>IF(OR(ISNUMBER(SEARCH("TPS ≥ 50%",K11)),ISNUMBER(SEARCH("TC ≥ 50%",K11))),"TPS ≥ 50%",IF(OR(ISNUMBER(SEARCH("TPS ≥ 1%",K11)),ISNUMBER(SEARCH("TC ≥ 1%",K11)),ISNUMBER(SEARCH("TPS &lt; 50%",K11)),ISNUMBER(SEARCH("IC ≥ 1%",K11))),"TPS 1-49%","All-comers"))</f>
        <v>All-comers</v>
      </c>
      <c r="T11" s="10">
        <f>IF(H11="Phase III",1,0)</f>
        <v>1</v>
      </c>
      <c r="U11" s="10">
        <f>IF(L11="Yes",1,0)</f>
        <v>1</v>
      </c>
      <c r="V11" s="11">
        <f>IF(ISNUMBER(SEARCH(",ALK,",","&amp;SUBSTITUTE(I11,", ",",")&amp;",")),1,0)</f>
        <v>0</v>
      </c>
      <c r="W11" s="11">
        <f>IF(ISNUMBER(SEARCH(",ALK L1196M,",","&amp;SUBSTITUTE(I11,", ",",")&amp;",")),1,0)</f>
        <v>0</v>
      </c>
      <c r="X11" s="11">
        <f>IF(ISNUMBER(SEARCH(",AXL,",","&amp;SUBSTITUTE(I11,", ",",")&amp;",")),1,0)</f>
        <v>0</v>
      </c>
      <c r="Y11" s="11">
        <f>IF(ISNUMBER(SEARCH(",B7-H1,",","&amp;SUBSTITUTE(I11,", ",",")&amp;",")),1,0)</f>
        <v>0</v>
      </c>
      <c r="Z11" s="11">
        <f>IF(ISNUMBER(SEARCH(",CD152,",","&amp;SUBSTITUTE(I11,", ",",")&amp;",")),1,0)</f>
        <v>0</v>
      </c>
      <c r="AA11" s="11">
        <f>IF(ISNUMBER(SEARCH(",CD274,",","&amp;SUBSTITUTE(I11,", ",",")&amp;",")),1,0)</f>
        <v>0</v>
      </c>
      <c r="AB11" s="11">
        <f>IF(ISNUMBER(SEARCH(",CD279,",","&amp;SUBSTITUTE(I11,", ",",")&amp;",")),1,0)</f>
        <v>0</v>
      </c>
      <c r="AC11" s="11">
        <f>IF(ISNUMBER(SEARCH(",CD73,",","&amp;SUBSTITUTE(I11,", ",",")&amp;",")),1,0)</f>
        <v>0</v>
      </c>
      <c r="AD11" s="11">
        <f>IF(ISNUMBER(SEARCH(",CEA,",","&amp;SUBSTITUTE(I11,", ",",")&amp;",")),1,0)</f>
        <v>0</v>
      </c>
      <c r="AE11" s="11">
        <f>IF(ISNUMBER(SEARCH(",CTLA-4,",","&amp;SUBSTITUTE(I11,", ",",")&amp;",")),1,0)</f>
        <v>0</v>
      </c>
      <c r="AF11" s="11">
        <f>IF(ISNUMBER(SEARCH(",EGFR,",","&amp;SUBSTITUTE(I11,", ",",")&amp;",")),1,0)</f>
        <v>0</v>
      </c>
      <c r="AG11" s="11">
        <f>IF(ISNUMBER(SEARCH(",EGFR C797G,",","&amp;SUBSTITUTE(I11,", ",",")&amp;",")),1,0)</f>
        <v>0</v>
      </c>
      <c r="AH11" s="11">
        <f>IF(ISNUMBER(SEARCH(",EGFR C797S,",","&amp;SUBSTITUTE(I11,", ",",")&amp;",")),1,0)</f>
        <v>0</v>
      </c>
      <c r="AI11" s="11">
        <f>IF(ISNUMBER(SEARCH(",EGFR Exon 19-del,",","&amp;SUBSTITUTE(I11,", ",",")&amp;",")),1,0)</f>
        <v>0</v>
      </c>
      <c r="AJ11" s="11">
        <f>IF(ISNUMBER(SEARCH(",EGFR Exon 20,",","&amp;SUBSTITUTE(I11,", ",",")&amp;",")),1,0)</f>
        <v>0</v>
      </c>
      <c r="AK11" s="11">
        <f>IF(ISNUMBER(SEARCH(",EGFR L858R,",","&amp;SUBSTITUTE(I11,", ",",")&amp;",")),1,0)</f>
        <v>0</v>
      </c>
      <c r="AL11" s="11">
        <f>IF(ISNUMBER(SEARCH(",EGFR T790M,",","&amp;SUBSTITUTE(I11,", ",",")&amp;",")),1,0)</f>
        <v>0</v>
      </c>
      <c r="AM11" s="11">
        <f>IF(ISNUMBER(SEARCH(",ERBB,",","&amp;SUBSTITUTE(I11,", ",",")&amp;",")),1,0)</f>
        <v>0</v>
      </c>
      <c r="AN11" s="11">
        <f>IF(ISNUMBER(SEARCH(",ERBB3,",","&amp;SUBSTITUTE(I11,", ",",")&amp;",")),1,0)</f>
        <v>0</v>
      </c>
      <c r="AO11" s="11">
        <f>IF(ISNUMBER(SEARCH(",FAK,",","&amp;SUBSTITUTE(I11,", ",",")&amp;",")),1,0)</f>
        <v>0</v>
      </c>
      <c r="AP11" s="11">
        <f>IF(ISNUMBER(SEARCH(",GARP,",","&amp;SUBSTITUTE(I11,", ",",")&amp;",")),1,0)</f>
        <v>0</v>
      </c>
      <c r="AQ11" s="11">
        <f>IF(ISNUMBER(SEARCH(",HER1,",","&amp;SUBSTITUTE(I11,", ",",")&amp;",")),1,0)</f>
        <v>0</v>
      </c>
      <c r="AR11" s="11">
        <f>IF(ISNUMBER(SEARCH(",HER2,",","&amp;SUBSTITUTE(I11,", ",",")&amp;",")),1,0)</f>
        <v>0</v>
      </c>
      <c r="AS11" s="11">
        <f>IF(ISNUMBER(SEARCH(",HER2 Exon 20,",","&amp;SUBSTITUTE(I11,", ",",")&amp;",")),1,0)</f>
        <v>0</v>
      </c>
      <c r="AT11" s="11">
        <f>IF(ISNUMBER(SEARCH(",HER3,",","&amp;SUBSTITUTE(I11,", ",",")&amp;",")),1,0)</f>
        <v>0</v>
      </c>
      <c r="AU11" s="11">
        <f>IF(ISNUMBER(SEARCH(",HER4,",","&amp;SUBSTITUTE(I11,", ",",")&amp;",")),1,0)</f>
        <v>0</v>
      </c>
      <c r="AV11" s="11">
        <f>IF(ISNUMBER(SEARCH(",HRAS,",","&amp;SUBSTITUTE(I11,", ",",")&amp;",")),1,0)</f>
        <v>0</v>
      </c>
      <c r="AW11" s="11">
        <f>IF(ISNUMBER(SEARCH(",HSV-TK,",","&amp;SUBSTITUTE(I11,", ",",")&amp;",")),1,0)</f>
        <v>0</v>
      </c>
      <c r="AX11" s="11">
        <f>IF(ISNUMBER(SEARCH(",IL-12,",","&amp;SUBSTITUTE(I11,", ",",")&amp;",")),1,0)</f>
        <v>0</v>
      </c>
      <c r="AY11" s="11">
        <f>IF(ISNUMBER(SEARCH(",IL-15,",","&amp;SUBSTITUTE(I11,", ",",")&amp;",")),1,0)</f>
        <v>0</v>
      </c>
      <c r="AZ11" s="11">
        <f>IF(ISNUMBER(SEARCH(",IL-15R,",","&amp;SUBSTITUTE(I11,", ",",")&amp;",")),1,0)</f>
        <v>0</v>
      </c>
      <c r="BA11" s="11">
        <f>IF(ISNUMBER(SEARCH(",IL-2,",","&amp;SUBSTITUTE(I11,", ",",")&amp;",")),1,0)</f>
        <v>0</v>
      </c>
      <c r="BB11" s="11">
        <f>IF(ISNUMBER(SEARCH(",Integrin β6,",","&amp;SUBSTITUTE(I11,", ",",")&amp;",")),1,0)</f>
        <v>0</v>
      </c>
      <c r="BC11" s="11">
        <f>IF(ISNUMBER(SEARCH(",KDR,",","&amp;SUBSTITUTE(I11,", ",",")&amp;",")),1,0)</f>
        <v>0</v>
      </c>
      <c r="BD11" s="11">
        <f>IF(ISNUMBER(SEARCH(",KLRC1,",","&amp;SUBSTITUTE(I11,", ",",")&amp;",")),1,0)</f>
        <v>0</v>
      </c>
      <c r="BE11" s="11">
        <f>IF(ISNUMBER(SEARCH(",KRAS,",","&amp;SUBSTITUTE(I11,", ",",")&amp;",")),1,0)</f>
        <v>0</v>
      </c>
      <c r="BF11" s="11">
        <f>IF(ISNUMBER(SEARCH(",KRAS G12,",","&amp;SUBSTITUTE(I11,", ",",")&amp;",")),1,0)</f>
        <v>0</v>
      </c>
      <c r="BG11" s="11">
        <f>IF(ISNUMBER(SEARCH(",KRAS G12C,",","&amp;SUBSTITUTE(I11,", ",",")&amp;",")),1,0)</f>
        <v>0</v>
      </c>
      <c r="BH11" s="11">
        <f>IF(ISNUMBER(SEARCH(",KRAS G12D,",","&amp;SUBSTITUTE(I11,", ",",")&amp;",")),1,0)</f>
        <v>0</v>
      </c>
      <c r="BI11" s="11">
        <f>IF(ISNUMBER(SEARCH(",LAG-3,",","&amp;SUBSTITUTE(I11,", ",",")&amp;",")),1,0)</f>
        <v>0</v>
      </c>
      <c r="BJ11" s="11">
        <f>IF(ISNUMBER(SEARCH(",MAGE-A2,",","&amp;SUBSTITUTE(I11,", ",",")&amp;",")),1,0)</f>
        <v>0</v>
      </c>
      <c r="BK11" s="11">
        <f>IF(ISNUMBER(SEARCH(",MAGE-A3,",","&amp;SUBSTITUTE(I11,", ",",")&amp;",")),1,0)</f>
        <v>0</v>
      </c>
      <c r="BL11" s="11">
        <f>IF(ISNUMBER(SEARCH(",MLN19,",","&amp;SUBSTITUTE(I11,", ",",")&amp;",")),1,0)</f>
        <v>0</v>
      </c>
      <c r="BM11" s="11">
        <f>IF(ISNUMBER(SEARCH(",Microtubule,",","&amp;SUBSTITUTE(I11,", ",",")&amp;",")),1,0)</f>
        <v>0</v>
      </c>
      <c r="BN11" s="11">
        <f>IF(ISNUMBER(SEARCH(",NKG2A,",","&amp;SUBSTITUTE(I11,", ",",")&amp;",")),1,0)</f>
        <v>0</v>
      </c>
      <c r="BO11" s="11">
        <f>IF(ISNUMBER(SEARCH(",NRAS,",","&amp;SUBSTITUTE(I11,", ",",")&amp;",")),1,0)</f>
        <v>0</v>
      </c>
      <c r="BP11" s="11">
        <f>IF(ISNUMBER(SEARCH(",NTRK,",","&amp;SUBSTITUTE(I11,", ",",")&amp;",")),1,0)</f>
        <v>0</v>
      </c>
      <c r="BQ11" s="11">
        <f>IF(ISNUMBER(SEARCH(",PARP,",","&amp;SUBSTITUTE(I11,", ",",")&amp;",")),1,0)</f>
        <v>0</v>
      </c>
      <c r="BR11" s="11">
        <f>IF(ISNUMBER(SEARCH(",PD-1,",","&amp;SUBSTITUTE(I11,", ",",")&amp;",")),1,0)</f>
        <v>0</v>
      </c>
      <c r="BS11" s="11">
        <f>IF(ISNUMBER(SEARCH(",PD-L1,",","&amp;SUBSTITUTE(I11,", ",",")&amp;",")),1,0)</f>
        <v>0</v>
      </c>
      <c r="BT11" s="11">
        <f>IF(ISNUMBER(SEARCH(",PRMT5,",","&amp;SUBSTITUTE(I11,", ",",")&amp;",")),1,0)</f>
        <v>0</v>
      </c>
      <c r="BU11" s="11">
        <f>IF(ISNUMBER(SEARCH(",RAS,",","&amp;SUBSTITUTE(I11,", ",",")&amp;",")),1,0)</f>
        <v>0</v>
      </c>
      <c r="BV11" s="11">
        <f>IF(ISNUMBER(SEARCH(",RET,",","&amp;SUBSTITUTE(I11,", ",",")&amp;",")),1,0)</f>
        <v>0</v>
      </c>
      <c r="BW11" s="11">
        <f>IF(ISNUMBER(SEARCH(",ROS,",","&amp;SUBSTITUTE(I11,", ",",")&amp;",")),1,0)</f>
        <v>0</v>
      </c>
      <c r="BX11" s="11">
        <f>IF(ISNUMBER(SEARCH(",ROS1,",","&amp;SUBSTITUTE(I11,", ",",")&amp;",")),1,0)</f>
        <v>0</v>
      </c>
      <c r="BY11" s="11">
        <f>IF(ISNUMBER(SEARCH(",Src,",","&amp;SUBSTITUTE(I11,", ",",")&amp;",")),1,0)</f>
        <v>0</v>
      </c>
      <c r="BZ11" s="11">
        <f>IF(ISNUMBER(SEARCH(",TCGF,",","&amp;SUBSTITUTE(I11,", ",",")&amp;",")),1,0)</f>
        <v>0</v>
      </c>
      <c r="CA11" s="11">
        <f>IF(ISNUMBER(SEARCH(",TGF-β,",","&amp;SUBSTITUTE(I11,", ",",")&amp;",")),1,0)</f>
        <v>0</v>
      </c>
      <c r="CB11" s="11">
        <f>IF(ISNUMBER(SEARCH(",TGF-β1,",","&amp;SUBSTITUTE(I11,", ",",")&amp;",")),1,0)</f>
        <v>0</v>
      </c>
      <c r="CC11" s="11">
        <f>IF(ISNUMBER(SEARCH(",TIGIT,",","&amp;SUBSTITUTE(I11,", ",",")&amp;",")),1,0)</f>
        <v>0</v>
      </c>
      <c r="CD11" s="11">
        <f>IF(ISNUMBER(SEARCH(",TLR,",","&amp;SUBSTITUTE(I11,", ",",")&amp;",")),1,0)</f>
        <v>0</v>
      </c>
      <c r="CE11" s="11">
        <f>IF(ISNUMBER(SEARCH(",TLR7/8,",","&amp;SUBSTITUTE(I11,", ",",")&amp;",")),1,0)</f>
        <v>0</v>
      </c>
      <c r="CF11" s="11">
        <f>IF(ISNUMBER(SEARCH(",TRK,",","&amp;SUBSTITUTE(I11,", ",",")&amp;",")),1,0)</f>
        <v>0</v>
      </c>
      <c r="CG11" s="11">
        <f>IF(ISNUMBER(SEARCH(",TROP2,",","&amp;SUBSTITUTE(I11,", ",",")&amp;",")),1,0)</f>
        <v>0</v>
      </c>
      <c r="CH11" s="11">
        <f>IF(ISNUMBER(SEARCH(",TS,",","&amp;SUBSTITUTE(I11,", ",",")&amp;",")),1,0)</f>
        <v>0</v>
      </c>
      <c r="CI11" s="11">
        <f>IF(ISNUMBER(SEARCH(",TYMS,",","&amp;SUBSTITUTE(I11,", ",",")&amp;",")),1,0)</f>
        <v>0</v>
      </c>
      <c r="CJ11" s="11">
        <f>IF(ISNUMBER(SEARCH(",VEGF,",","&amp;SUBSTITUTE(I11,", ",",")&amp;",")),1,0)</f>
        <v>1</v>
      </c>
      <c r="CK11" s="11">
        <f>IF(ISNUMBER(SEARCH(",VEGFA,",","&amp;SUBSTITUTE(I11,", ",",")&amp;",")),1,0)</f>
        <v>0</v>
      </c>
      <c r="CL11" s="11">
        <f>IF(ISNUMBER(SEARCH(",VEGFR2,",","&amp;SUBSTITUTE(I11,", ",",")&amp;",")),1,0)</f>
        <v>0</v>
      </c>
      <c r="CM11" s="11">
        <f>IF(ISNUMBER(SEARCH(",c-MET/MET,",","&amp;SUBSTITUTE(I11,", ",",")&amp;",")),1,0)</f>
        <v>0</v>
      </c>
      <c r="CN11" s="11">
        <f>IF(ISNUMBER(SEARCH(",p53,",","&amp;SUBSTITUTE(I11,", ",",")&amp;",")),1,0)</f>
        <v>0</v>
      </c>
      <c r="CO11" s="11">
        <f>IF(ISNUMBER(SEARCH(",pan-KRAS,",","&amp;SUBSTITUTE(I11,", ",",")&amp;",")),1,0)</f>
        <v>0</v>
      </c>
      <c r="CP11" s="11">
        <f>IF(ISNUMBER(SEARCH(",ALK,",","&amp;SUBSTITUTE(K11,", ",",")&amp;",")),1,0)</f>
        <v>0</v>
      </c>
      <c r="CQ11" s="11">
        <f>IF(ISNUMBER(SEARCH(",BRAF V600E,",","&amp;SUBSTITUTE(K11,", ",",")&amp;",")),1,0)</f>
        <v>0</v>
      </c>
      <c r="CR11" s="11">
        <f>IF(ISNUMBER(SEARCH(",EGFR,",","&amp;SUBSTITUTE(K11,", ",",")&amp;",")),1,0)</f>
        <v>0</v>
      </c>
      <c r="CS11" s="11">
        <f>IF(ISNUMBER(SEARCH(",EGFR Exon 18,",","&amp;SUBSTITUTE(K11,", ",",")&amp;",")),1,0)</f>
        <v>0</v>
      </c>
      <c r="CT11" s="11">
        <f>IF(ISNUMBER(SEARCH(",EGFR Exon 19-del,",","&amp;SUBSTITUTE(K11,", ",",")&amp;",")),1,0)</f>
        <v>0</v>
      </c>
      <c r="CU11" s="11">
        <f>IF(ISNUMBER(SEARCH(",EGFR Exon 20,",","&amp;SUBSTITUTE(K11,", ",",")&amp;",")),1,0)</f>
        <v>0</v>
      </c>
      <c r="CV11" s="11">
        <f>IF(ISNUMBER(SEARCH(",EGFR Exon 20-ins,",","&amp;SUBSTITUTE(K11,", ",",")&amp;",")),1,0)</f>
        <v>0</v>
      </c>
      <c r="CW11" s="11">
        <f>IF(ISNUMBER(SEARCH(",EGFR Exon 21,",","&amp;SUBSTITUTE(K11,", ",",")&amp;",")),1,0)</f>
        <v>0</v>
      </c>
      <c r="CX11" s="11">
        <f>IF(ISNUMBER(SEARCH(",EGFR G719A,",","&amp;SUBSTITUTE(K11,", ",",")&amp;",")),1,0)</f>
        <v>0</v>
      </c>
      <c r="CY11" s="11">
        <f>IF(ISNUMBER(SEARCH(",EGFR G719C,",","&amp;SUBSTITUTE(K11,", ",",")&amp;",")),1,0)</f>
        <v>0</v>
      </c>
      <c r="CZ11" s="11">
        <f>IF(ISNUMBER(SEARCH(",EGFR G719S,",","&amp;SUBSTITUTE(K11,", ",",")&amp;",")),1,0)</f>
        <v>0</v>
      </c>
      <c r="DA11" s="11">
        <f>IF(ISNUMBER(SEARCH(",EGFR G719X,",","&amp;SUBSTITUTE(K11,", ",",")&amp;",")),1,0)</f>
        <v>0</v>
      </c>
      <c r="DB11" s="11">
        <f>IF(ISNUMBER(SEARCH(",EGFR L858R,",","&amp;SUBSTITUTE(K11,", ",",")&amp;",")),1,0)</f>
        <v>0</v>
      </c>
      <c r="DC11" s="11">
        <f>IF(ISNUMBER(SEARCH(",EGFR L861Q,",","&amp;SUBSTITUTE(K11,", ",",")&amp;",")),1,0)</f>
        <v>0</v>
      </c>
      <c r="DD11" s="11">
        <f>IF(ISNUMBER(SEARCH(",EGFR PACC,",","&amp;SUBSTITUTE(K11,", ",",")&amp;",")),1,0)</f>
        <v>0</v>
      </c>
      <c r="DE11" s="11">
        <f>IF(ISNUMBER(SEARCH(",EGFR S768I,",","&amp;SUBSTITUTE(K11,", ",",")&amp;",")),1,0)</f>
        <v>0</v>
      </c>
      <c r="DF11" s="11">
        <f>IF(ISNUMBER(SEARCH(",EGFR T790M,",","&amp;SUBSTITUTE(K11,", ",",")&amp;",")),1,0)</f>
        <v>0</v>
      </c>
      <c r="DG11" s="11">
        <f>IF(ISNUMBER(SEARCH(",EML4-ALK,",","&amp;SUBSTITUTE(K11,", ",",")&amp;",")),1,0)</f>
        <v>0</v>
      </c>
      <c r="DH11" s="11">
        <f>IF(ISNUMBER(SEARCH(",HER2,",","&amp;SUBSTITUTE(K11,", ",",")&amp;",")),1,0)</f>
        <v>0</v>
      </c>
      <c r="DI11" s="11">
        <f>IF(ISNUMBER(SEARCH(",HER2 Exon 19,",","&amp;SUBSTITUTE(K11,", ",",")&amp;",")),1,0)</f>
        <v>0</v>
      </c>
      <c r="DJ11" s="11">
        <f>IF(ISNUMBER(SEARCH(",HER2 Exon 20,",","&amp;SUBSTITUTE(K11,", ",",")&amp;",")),1,0)</f>
        <v>0</v>
      </c>
      <c r="DK11" s="11">
        <f>IF(ISNUMBER(SEARCH(",HER2 mut,",","&amp;SUBSTITUTE(K11,", ",",")&amp;",")),1,0)</f>
        <v>0</v>
      </c>
      <c r="DL11" s="11">
        <f>IF(ISNUMBER(SEARCH(",HLA-A2,",","&amp;SUBSTITUTE(K11,", ",",")&amp;",")),1,0)</f>
        <v>0</v>
      </c>
      <c r="DM11" s="11">
        <f>IF(ISNUMBER(SEARCH(",HRAS,",","&amp;SUBSTITUTE(K11,", ",",")&amp;",")),1,0)</f>
        <v>0</v>
      </c>
      <c r="DN11" s="11">
        <f>IF(ISNUMBER(SEARCH(",KRAS,",","&amp;SUBSTITUTE(K11,", ",",")&amp;",")),1,0)</f>
        <v>0</v>
      </c>
      <c r="DO11" s="11">
        <f>IF(ISNUMBER(SEARCH(",KRAS G12C,",","&amp;SUBSTITUTE(K11,", ",",")&amp;",")),1,0)</f>
        <v>0</v>
      </c>
      <c r="DP11" s="11">
        <f>IF(ISNUMBER(SEARCH(",NRAS,",","&amp;SUBSTITUTE(K11,", ",",")&amp;",")),1,0)</f>
        <v>0</v>
      </c>
      <c r="DQ11" s="11">
        <f>IF(ISNUMBER(SEARCH(",NTRK,",","&amp;SUBSTITUTE(K11,", ",",")&amp;",")),1,0)</f>
        <v>0</v>
      </c>
      <c r="DR11" s="11">
        <f>IF(ISNUMBER(SEARCH(",PD-L1,",","&amp;SUBSTITUTE(K11,", ",",")&amp;",")),1,0)</f>
        <v>0</v>
      </c>
      <c r="DS11" s="11">
        <f>IF(ISNUMBER(SEARCH(",PD-L1 IC ≥ 1%,",","&amp;SUBSTITUTE(K11,", ",",")&amp;",")),1,0)</f>
        <v>0</v>
      </c>
      <c r="DT11" s="11">
        <f>IF(ISNUMBER(SEARCH(",PD-L1 TC ≥ 1%,",","&amp;SUBSTITUTE(K11,", ",",")&amp;",")),1,0)</f>
        <v>0</v>
      </c>
      <c r="DU11" s="11">
        <f>IF(ISNUMBER(SEARCH(",PD-L1 TC ≥ 50%,",","&amp;SUBSTITUTE(K11,", ",",")&amp;",")),1,0)</f>
        <v>0</v>
      </c>
      <c r="DV11" s="11">
        <f>IF(ISNUMBER(SEARCH(",PD-L1 TPS &lt; 50%,",","&amp;SUBSTITUTE(K11,", ",",")&amp;",")),1,0)</f>
        <v>0</v>
      </c>
      <c r="DW11" s="11">
        <f>IF(ISNUMBER(SEARCH(",PD-L1 TPS ≥ 1%,",","&amp;SUBSTITUTE(K11,", ",",")&amp;",")),1,0)</f>
        <v>0</v>
      </c>
      <c r="DX11" s="11">
        <f>IF(ISNUMBER(SEARCH(",PD-L1 TPS ≥ 50%,",","&amp;SUBSTITUTE(K11,", ",",")&amp;",")),1,0)</f>
        <v>0</v>
      </c>
      <c r="DY11" s="11">
        <f>IF(ISNUMBER(SEARCH(",RAS,",","&amp;SUBSTITUTE(K11,", ",",")&amp;",")),1,0)</f>
        <v>0</v>
      </c>
      <c r="DZ11" s="11">
        <f>IF(ISNUMBER(SEARCH(",RET,",","&amp;SUBSTITUTE(K11,", ",",")&amp;",")),1,0)</f>
        <v>0</v>
      </c>
      <c r="EA11" s="11">
        <f>IF(ISNUMBER(SEARCH(",ROS1,",","&amp;SUBSTITUTE(K11,", ",",")&amp;",")),1,0)</f>
        <v>0</v>
      </c>
      <c r="EB11" s="11">
        <f>IF(ISNUMBER(SEARCH(",TROP2,",","&amp;SUBSTITUTE(K11,", ",",")&amp;",")),1,0)</f>
        <v>0</v>
      </c>
      <c r="EC11" s="11">
        <f>IF(ISNUMBER(SEARCH(",c-MET/MET,",","&amp;SUBSTITUTE(K11,", ",",")&amp;",")),1,0)</f>
        <v>0</v>
      </c>
      <c r="ED11" s="11">
        <f>IF(ISNUMBER(SEARCH(",c-MET/MET Exon 14,",","&amp;SUBSTITUTE(K11,", ",",")&amp;",")),1,0)</f>
        <v>0</v>
      </c>
      <c r="EE11" s="11">
        <f>IF(ISNUMBER(SEARCH(",ctDNA/cfDNA,",","&amp;SUBSTITUTE(K11,", ",",")&amp;",")),1,0)</f>
        <v>0</v>
      </c>
    </row>
    <row r="12" spans="1:135" ht="15" customHeight="1" x14ac:dyDescent="0.2">
      <c r="A12" s="3" t="s">
        <v>1154</v>
      </c>
      <c r="B12" s="3" t="s">
        <v>1155</v>
      </c>
      <c r="C12" s="3" t="s">
        <v>281</v>
      </c>
      <c r="D12" s="3" t="s">
        <v>280</v>
      </c>
      <c r="E12" s="3" t="s">
        <v>282</v>
      </c>
      <c r="F12" s="3" t="s">
        <v>259</v>
      </c>
      <c r="G12" s="3"/>
      <c r="H12" s="3" t="s">
        <v>114</v>
      </c>
      <c r="I12" s="3" t="s">
        <v>1137</v>
      </c>
      <c r="J12" s="3" t="s">
        <v>898</v>
      </c>
      <c r="K12" s="3" t="s">
        <v>1015</v>
      </c>
      <c r="L12" s="3" t="s">
        <v>119</v>
      </c>
      <c r="M12" s="3" t="s">
        <v>113</v>
      </c>
      <c r="N12" s="3" t="s">
        <v>120</v>
      </c>
      <c r="O12" s="3" t="s">
        <v>120</v>
      </c>
      <c r="P12" s="3" t="s">
        <v>1156</v>
      </c>
      <c r="Q12" s="10" t="str">
        <f>IF(F12="Stage IV","Stage IV Only",IF(AND(ISNUMBER(SEARCH("IV",F12)),LEN(F12)&gt;LEN("Stage IV")),"Stage IV + Other",IF(AND(ISNUMBER(SEARCH("III",F12)),NOT(ISNUMBER(SEARCH("IV",F12)))),"Stage III Only","Other")))</f>
        <v>Stage IV Only</v>
      </c>
      <c r="R12" s="10" t="str">
        <f>IF(AND(ISNUMBER(SEARCH("Non-squamous",G12)),ISNUMBER(SEARCH("Squamous",SUBSTITUTE(G12,"Non-squamous","")))),"Both",IF(ISNUMBER(SEARCH("Non-squamous",G12)),"Non-squamous",IF(ISNUMBER(SEARCH("Squamous",G12)),"Squamous","Unspecified")))</f>
        <v>Unspecified</v>
      </c>
      <c r="S12" s="10" t="str">
        <f>IF(OR(ISNUMBER(SEARCH("TPS ≥ 50%",K12)),ISNUMBER(SEARCH("TC ≥ 50%",K12))),"TPS ≥ 50%",IF(OR(ISNUMBER(SEARCH("TPS ≥ 1%",K12)),ISNUMBER(SEARCH("TC ≥ 1%",K12)),ISNUMBER(SEARCH("TPS &lt; 50%",K12)),ISNUMBER(SEARCH("IC ≥ 1%",K12))),"TPS 1-49%","All-comers"))</f>
        <v>TPS ≥ 50%</v>
      </c>
      <c r="T12" s="10">
        <f>IF(H12="Phase III",1,0)</f>
        <v>1</v>
      </c>
      <c r="U12" s="10">
        <f>IF(L12="Yes",1,0)</f>
        <v>0</v>
      </c>
      <c r="V12" s="11">
        <f>IF(ISNUMBER(SEARCH(",ALK,",","&amp;SUBSTITUTE(I12,", ",",")&amp;",")),1,0)</f>
        <v>0</v>
      </c>
      <c r="W12" s="11">
        <f>IF(ISNUMBER(SEARCH(",ALK L1196M,",","&amp;SUBSTITUTE(I12,", ",",")&amp;",")),1,0)</f>
        <v>0</v>
      </c>
      <c r="X12" s="11">
        <f>IF(ISNUMBER(SEARCH(",AXL,",","&amp;SUBSTITUTE(I12,", ",",")&amp;",")),1,0)</f>
        <v>0</v>
      </c>
      <c r="Y12" s="11">
        <f>IF(ISNUMBER(SEARCH(",B7-H1,",","&amp;SUBSTITUTE(I12,", ",",")&amp;",")),1,0)</f>
        <v>0</v>
      </c>
      <c r="Z12" s="11">
        <f>IF(ISNUMBER(SEARCH(",CD152,",","&amp;SUBSTITUTE(I12,", ",",")&amp;",")),1,0)</f>
        <v>0</v>
      </c>
      <c r="AA12" s="11">
        <f>IF(ISNUMBER(SEARCH(",CD274,",","&amp;SUBSTITUTE(I12,", ",",")&amp;",")),1,0)</f>
        <v>0</v>
      </c>
      <c r="AB12" s="11">
        <f>IF(ISNUMBER(SEARCH(",CD279,",","&amp;SUBSTITUTE(I12,", ",",")&amp;",")),1,0)</f>
        <v>1</v>
      </c>
      <c r="AC12" s="11">
        <f>IF(ISNUMBER(SEARCH(",CD73,",","&amp;SUBSTITUTE(I12,", ",",")&amp;",")),1,0)</f>
        <v>0</v>
      </c>
      <c r="AD12" s="11">
        <f>IF(ISNUMBER(SEARCH(",CEA,",","&amp;SUBSTITUTE(I12,", ",",")&amp;",")),1,0)</f>
        <v>0</v>
      </c>
      <c r="AE12" s="11">
        <f>IF(ISNUMBER(SEARCH(",CTLA-4,",","&amp;SUBSTITUTE(I12,", ",",")&amp;",")),1,0)</f>
        <v>0</v>
      </c>
      <c r="AF12" s="11">
        <f>IF(ISNUMBER(SEARCH(",EGFR,",","&amp;SUBSTITUTE(I12,", ",",")&amp;",")),1,0)</f>
        <v>0</v>
      </c>
      <c r="AG12" s="11">
        <f>IF(ISNUMBER(SEARCH(",EGFR C797G,",","&amp;SUBSTITUTE(I12,", ",",")&amp;",")),1,0)</f>
        <v>0</v>
      </c>
      <c r="AH12" s="11">
        <f>IF(ISNUMBER(SEARCH(",EGFR C797S,",","&amp;SUBSTITUTE(I12,", ",",")&amp;",")),1,0)</f>
        <v>0</v>
      </c>
      <c r="AI12" s="11">
        <f>IF(ISNUMBER(SEARCH(",EGFR Exon 19-del,",","&amp;SUBSTITUTE(I12,", ",",")&amp;",")),1,0)</f>
        <v>0</v>
      </c>
      <c r="AJ12" s="11">
        <f>IF(ISNUMBER(SEARCH(",EGFR Exon 20,",","&amp;SUBSTITUTE(I12,", ",",")&amp;",")),1,0)</f>
        <v>0</v>
      </c>
      <c r="AK12" s="11">
        <f>IF(ISNUMBER(SEARCH(",EGFR L858R,",","&amp;SUBSTITUTE(I12,", ",",")&amp;",")),1,0)</f>
        <v>0</v>
      </c>
      <c r="AL12" s="11">
        <f>IF(ISNUMBER(SEARCH(",EGFR T790M,",","&amp;SUBSTITUTE(I12,", ",",")&amp;",")),1,0)</f>
        <v>0</v>
      </c>
      <c r="AM12" s="11">
        <f>IF(ISNUMBER(SEARCH(",ERBB,",","&amp;SUBSTITUTE(I12,", ",",")&amp;",")),1,0)</f>
        <v>0</v>
      </c>
      <c r="AN12" s="11">
        <f>IF(ISNUMBER(SEARCH(",ERBB3,",","&amp;SUBSTITUTE(I12,", ",",")&amp;",")),1,0)</f>
        <v>0</v>
      </c>
      <c r="AO12" s="11">
        <f>IF(ISNUMBER(SEARCH(",FAK,",","&amp;SUBSTITUTE(I12,", ",",")&amp;",")),1,0)</f>
        <v>0</v>
      </c>
      <c r="AP12" s="11">
        <f>IF(ISNUMBER(SEARCH(",GARP,",","&amp;SUBSTITUTE(I12,", ",",")&amp;",")),1,0)</f>
        <v>0</v>
      </c>
      <c r="AQ12" s="11">
        <f>IF(ISNUMBER(SEARCH(",HER1,",","&amp;SUBSTITUTE(I12,", ",",")&amp;",")),1,0)</f>
        <v>0</v>
      </c>
      <c r="AR12" s="11">
        <f>IF(ISNUMBER(SEARCH(",HER2,",","&amp;SUBSTITUTE(I12,", ",",")&amp;",")),1,0)</f>
        <v>0</v>
      </c>
      <c r="AS12" s="11">
        <f>IF(ISNUMBER(SEARCH(",HER2 Exon 20,",","&amp;SUBSTITUTE(I12,", ",",")&amp;",")),1,0)</f>
        <v>0</v>
      </c>
      <c r="AT12" s="11">
        <f>IF(ISNUMBER(SEARCH(",HER3,",","&amp;SUBSTITUTE(I12,", ",",")&amp;",")),1,0)</f>
        <v>0</v>
      </c>
      <c r="AU12" s="11">
        <f>IF(ISNUMBER(SEARCH(",HER4,",","&amp;SUBSTITUTE(I12,", ",",")&amp;",")),1,0)</f>
        <v>0</v>
      </c>
      <c r="AV12" s="11">
        <f>IF(ISNUMBER(SEARCH(",HRAS,",","&amp;SUBSTITUTE(I12,", ",",")&amp;",")),1,0)</f>
        <v>0</v>
      </c>
      <c r="AW12" s="11">
        <f>IF(ISNUMBER(SEARCH(",HSV-TK,",","&amp;SUBSTITUTE(I12,", ",",")&amp;",")),1,0)</f>
        <v>0</v>
      </c>
      <c r="AX12" s="11">
        <f>IF(ISNUMBER(SEARCH(",IL-12,",","&amp;SUBSTITUTE(I12,", ",",")&amp;",")),1,0)</f>
        <v>0</v>
      </c>
      <c r="AY12" s="11">
        <f>IF(ISNUMBER(SEARCH(",IL-15,",","&amp;SUBSTITUTE(I12,", ",",")&amp;",")),1,0)</f>
        <v>0</v>
      </c>
      <c r="AZ12" s="11">
        <f>IF(ISNUMBER(SEARCH(",IL-15R,",","&amp;SUBSTITUTE(I12,", ",",")&amp;",")),1,0)</f>
        <v>0</v>
      </c>
      <c r="BA12" s="11">
        <f>IF(ISNUMBER(SEARCH(",IL-2,",","&amp;SUBSTITUTE(I12,", ",",")&amp;",")),1,0)</f>
        <v>0</v>
      </c>
      <c r="BB12" s="11">
        <f>IF(ISNUMBER(SEARCH(",Integrin β6,",","&amp;SUBSTITUTE(I12,", ",",")&amp;",")),1,0)</f>
        <v>0</v>
      </c>
      <c r="BC12" s="11">
        <f>IF(ISNUMBER(SEARCH(",KDR,",","&amp;SUBSTITUTE(I12,", ",",")&amp;",")),1,0)</f>
        <v>0</v>
      </c>
      <c r="BD12" s="11">
        <f>IF(ISNUMBER(SEARCH(",KLRC1,",","&amp;SUBSTITUTE(I12,", ",",")&amp;",")),1,0)</f>
        <v>0</v>
      </c>
      <c r="BE12" s="11">
        <f>IF(ISNUMBER(SEARCH(",KRAS,",","&amp;SUBSTITUTE(I12,", ",",")&amp;",")),1,0)</f>
        <v>0</v>
      </c>
      <c r="BF12" s="11">
        <f>IF(ISNUMBER(SEARCH(",KRAS G12,",","&amp;SUBSTITUTE(I12,", ",",")&amp;",")),1,0)</f>
        <v>0</v>
      </c>
      <c r="BG12" s="11">
        <f>IF(ISNUMBER(SEARCH(",KRAS G12C,",","&amp;SUBSTITUTE(I12,", ",",")&amp;",")),1,0)</f>
        <v>1</v>
      </c>
      <c r="BH12" s="11">
        <f>IF(ISNUMBER(SEARCH(",KRAS G12D,",","&amp;SUBSTITUTE(I12,", ",",")&amp;",")),1,0)</f>
        <v>0</v>
      </c>
      <c r="BI12" s="11">
        <f>IF(ISNUMBER(SEARCH(",LAG-3,",","&amp;SUBSTITUTE(I12,", ",",")&amp;",")),1,0)</f>
        <v>0</v>
      </c>
      <c r="BJ12" s="11">
        <f>IF(ISNUMBER(SEARCH(",MAGE-A2,",","&amp;SUBSTITUTE(I12,", ",",")&amp;",")),1,0)</f>
        <v>0</v>
      </c>
      <c r="BK12" s="11">
        <f>IF(ISNUMBER(SEARCH(",MAGE-A3,",","&amp;SUBSTITUTE(I12,", ",",")&amp;",")),1,0)</f>
        <v>0</v>
      </c>
      <c r="BL12" s="11">
        <f>IF(ISNUMBER(SEARCH(",MLN19,",","&amp;SUBSTITUTE(I12,", ",",")&amp;",")),1,0)</f>
        <v>0</v>
      </c>
      <c r="BM12" s="11">
        <f>IF(ISNUMBER(SEARCH(",Microtubule,",","&amp;SUBSTITUTE(I12,", ",",")&amp;",")),1,0)</f>
        <v>0</v>
      </c>
      <c r="BN12" s="11">
        <f>IF(ISNUMBER(SEARCH(",NKG2A,",","&amp;SUBSTITUTE(I12,", ",",")&amp;",")),1,0)</f>
        <v>0</v>
      </c>
      <c r="BO12" s="11">
        <f>IF(ISNUMBER(SEARCH(",NRAS,",","&amp;SUBSTITUTE(I12,", ",",")&amp;",")),1,0)</f>
        <v>0</v>
      </c>
      <c r="BP12" s="11">
        <f>IF(ISNUMBER(SEARCH(",NTRK,",","&amp;SUBSTITUTE(I12,", ",",")&amp;",")),1,0)</f>
        <v>0</v>
      </c>
      <c r="BQ12" s="11">
        <f>IF(ISNUMBER(SEARCH(",PARP,",","&amp;SUBSTITUTE(I12,", ",",")&amp;",")),1,0)</f>
        <v>0</v>
      </c>
      <c r="BR12" s="11">
        <f>IF(ISNUMBER(SEARCH(",PD-1,",","&amp;SUBSTITUTE(I12,", ",",")&amp;",")),1,0)</f>
        <v>1</v>
      </c>
      <c r="BS12" s="11">
        <f>IF(ISNUMBER(SEARCH(",PD-L1,",","&amp;SUBSTITUTE(I12,", ",",")&amp;",")),1,0)</f>
        <v>0</v>
      </c>
      <c r="BT12" s="11">
        <f>IF(ISNUMBER(SEARCH(",PRMT5,",","&amp;SUBSTITUTE(I12,", ",",")&amp;",")),1,0)</f>
        <v>0</v>
      </c>
      <c r="BU12" s="11">
        <f>IF(ISNUMBER(SEARCH(",RAS,",","&amp;SUBSTITUTE(I12,", ",",")&amp;",")),1,0)</f>
        <v>0</v>
      </c>
      <c r="BV12" s="11">
        <f>IF(ISNUMBER(SEARCH(",RET,",","&amp;SUBSTITUTE(I12,", ",",")&amp;",")),1,0)</f>
        <v>0</v>
      </c>
      <c r="BW12" s="11">
        <f>IF(ISNUMBER(SEARCH(",ROS,",","&amp;SUBSTITUTE(I12,", ",",")&amp;",")),1,0)</f>
        <v>0</v>
      </c>
      <c r="BX12" s="11">
        <f>IF(ISNUMBER(SEARCH(",ROS1,",","&amp;SUBSTITUTE(I12,", ",",")&amp;",")),1,0)</f>
        <v>0</v>
      </c>
      <c r="BY12" s="11">
        <f>IF(ISNUMBER(SEARCH(",Src,",","&amp;SUBSTITUTE(I12,", ",",")&amp;",")),1,0)</f>
        <v>0</v>
      </c>
      <c r="BZ12" s="11">
        <f>IF(ISNUMBER(SEARCH(",TCGF,",","&amp;SUBSTITUTE(I12,", ",",")&amp;",")),1,0)</f>
        <v>0</v>
      </c>
      <c r="CA12" s="11">
        <f>IF(ISNUMBER(SEARCH(",TGF-β,",","&amp;SUBSTITUTE(I12,", ",",")&amp;",")),1,0)</f>
        <v>0</v>
      </c>
      <c r="CB12" s="11">
        <f>IF(ISNUMBER(SEARCH(",TGF-β1,",","&amp;SUBSTITUTE(I12,", ",",")&amp;",")),1,0)</f>
        <v>0</v>
      </c>
      <c r="CC12" s="11">
        <f>IF(ISNUMBER(SEARCH(",TIGIT,",","&amp;SUBSTITUTE(I12,", ",",")&amp;",")),1,0)</f>
        <v>0</v>
      </c>
      <c r="CD12" s="11">
        <f>IF(ISNUMBER(SEARCH(",TLR,",","&amp;SUBSTITUTE(I12,", ",",")&amp;",")),1,0)</f>
        <v>0</v>
      </c>
      <c r="CE12" s="11">
        <f>IF(ISNUMBER(SEARCH(",TLR7/8,",","&amp;SUBSTITUTE(I12,", ",",")&amp;",")),1,0)</f>
        <v>0</v>
      </c>
      <c r="CF12" s="11">
        <f>IF(ISNUMBER(SEARCH(",TRK,",","&amp;SUBSTITUTE(I12,", ",",")&amp;",")),1,0)</f>
        <v>0</v>
      </c>
      <c r="CG12" s="11">
        <f>IF(ISNUMBER(SEARCH(",TROP2,",","&amp;SUBSTITUTE(I12,", ",",")&amp;",")),1,0)</f>
        <v>0</v>
      </c>
      <c r="CH12" s="11">
        <f>IF(ISNUMBER(SEARCH(",TS,",","&amp;SUBSTITUTE(I12,", ",",")&amp;",")),1,0)</f>
        <v>0</v>
      </c>
      <c r="CI12" s="11">
        <f>IF(ISNUMBER(SEARCH(",TYMS,",","&amp;SUBSTITUTE(I12,", ",",")&amp;",")),1,0)</f>
        <v>0</v>
      </c>
      <c r="CJ12" s="11">
        <f>IF(ISNUMBER(SEARCH(",VEGF,",","&amp;SUBSTITUTE(I12,", ",",")&amp;",")),1,0)</f>
        <v>0</v>
      </c>
      <c r="CK12" s="11">
        <f>IF(ISNUMBER(SEARCH(",VEGFA,",","&amp;SUBSTITUTE(I12,", ",",")&amp;",")),1,0)</f>
        <v>0</v>
      </c>
      <c r="CL12" s="11">
        <f>IF(ISNUMBER(SEARCH(",VEGFR2,",","&amp;SUBSTITUTE(I12,", ",",")&amp;",")),1,0)</f>
        <v>0</v>
      </c>
      <c r="CM12" s="11">
        <f>IF(ISNUMBER(SEARCH(",c-MET/MET,",","&amp;SUBSTITUTE(I12,", ",",")&amp;",")),1,0)</f>
        <v>0</v>
      </c>
      <c r="CN12" s="11">
        <f>IF(ISNUMBER(SEARCH(",p53,",","&amp;SUBSTITUTE(I12,", ",",")&amp;",")),1,0)</f>
        <v>0</v>
      </c>
      <c r="CO12" s="11">
        <f>IF(ISNUMBER(SEARCH(",pan-KRAS,",","&amp;SUBSTITUTE(I12,", ",",")&amp;",")),1,0)</f>
        <v>0</v>
      </c>
      <c r="CP12" s="11">
        <f>IF(ISNUMBER(SEARCH(",ALK,",","&amp;SUBSTITUTE(K12,", ",",")&amp;",")),1,0)</f>
        <v>0</v>
      </c>
      <c r="CQ12" s="11">
        <f>IF(ISNUMBER(SEARCH(",BRAF V600E,",","&amp;SUBSTITUTE(K12,", ",",")&amp;",")),1,0)</f>
        <v>0</v>
      </c>
      <c r="CR12" s="11">
        <f>IF(ISNUMBER(SEARCH(",EGFR,",","&amp;SUBSTITUTE(K12,", ",",")&amp;",")),1,0)</f>
        <v>0</v>
      </c>
      <c r="CS12" s="11">
        <f>IF(ISNUMBER(SEARCH(",EGFR Exon 18,",","&amp;SUBSTITUTE(K12,", ",",")&amp;",")),1,0)</f>
        <v>0</v>
      </c>
      <c r="CT12" s="11">
        <f>IF(ISNUMBER(SEARCH(",EGFR Exon 19-del,",","&amp;SUBSTITUTE(K12,", ",",")&amp;",")),1,0)</f>
        <v>0</v>
      </c>
      <c r="CU12" s="11">
        <f>IF(ISNUMBER(SEARCH(",EGFR Exon 20,",","&amp;SUBSTITUTE(K12,", ",",")&amp;",")),1,0)</f>
        <v>0</v>
      </c>
      <c r="CV12" s="11">
        <f>IF(ISNUMBER(SEARCH(",EGFR Exon 20-ins,",","&amp;SUBSTITUTE(K12,", ",",")&amp;",")),1,0)</f>
        <v>0</v>
      </c>
      <c r="CW12" s="11">
        <f>IF(ISNUMBER(SEARCH(",EGFR Exon 21,",","&amp;SUBSTITUTE(K12,", ",",")&amp;",")),1,0)</f>
        <v>0</v>
      </c>
      <c r="CX12" s="11">
        <f>IF(ISNUMBER(SEARCH(",EGFR G719A,",","&amp;SUBSTITUTE(K12,", ",",")&amp;",")),1,0)</f>
        <v>0</v>
      </c>
      <c r="CY12" s="11">
        <f>IF(ISNUMBER(SEARCH(",EGFR G719C,",","&amp;SUBSTITUTE(K12,", ",",")&amp;",")),1,0)</f>
        <v>0</v>
      </c>
      <c r="CZ12" s="11">
        <f>IF(ISNUMBER(SEARCH(",EGFR G719S,",","&amp;SUBSTITUTE(K12,", ",",")&amp;",")),1,0)</f>
        <v>0</v>
      </c>
      <c r="DA12" s="11">
        <f>IF(ISNUMBER(SEARCH(",EGFR G719X,",","&amp;SUBSTITUTE(K12,", ",",")&amp;",")),1,0)</f>
        <v>0</v>
      </c>
      <c r="DB12" s="11">
        <f>IF(ISNUMBER(SEARCH(",EGFR L858R,",","&amp;SUBSTITUTE(K12,", ",",")&amp;",")),1,0)</f>
        <v>0</v>
      </c>
      <c r="DC12" s="11">
        <f>IF(ISNUMBER(SEARCH(",EGFR L861Q,",","&amp;SUBSTITUTE(K12,", ",",")&amp;",")),1,0)</f>
        <v>0</v>
      </c>
      <c r="DD12" s="11">
        <f>IF(ISNUMBER(SEARCH(",EGFR PACC,",","&amp;SUBSTITUTE(K12,", ",",")&amp;",")),1,0)</f>
        <v>0</v>
      </c>
      <c r="DE12" s="11">
        <f>IF(ISNUMBER(SEARCH(",EGFR S768I,",","&amp;SUBSTITUTE(K12,", ",",")&amp;",")),1,0)</f>
        <v>0</v>
      </c>
      <c r="DF12" s="11">
        <f>IF(ISNUMBER(SEARCH(",EGFR T790M,",","&amp;SUBSTITUTE(K12,", ",",")&amp;",")),1,0)</f>
        <v>0</v>
      </c>
      <c r="DG12" s="11">
        <f>IF(ISNUMBER(SEARCH(",EML4-ALK,",","&amp;SUBSTITUTE(K12,", ",",")&amp;",")),1,0)</f>
        <v>0</v>
      </c>
      <c r="DH12" s="11">
        <f>IF(ISNUMBER(SEARCH(",HER2,",","&amp;SUBSTITUTE(K12,", ",",")&amp;",")),1,0)</f>
        <v>0</v>
      </c>
      <c r="DI12" s="11">
        <f>IF(ISNUMBER(SEARCH(",HER2 Exon 19,",","&amp;SUBSTITUTE(K12,", ",",")&amp;",")),1,0)</f>
        <v>0</v>
      </c>
      <c r="DJ12" s="11">
        <f>IF(ISNUMBER(SEARCH(",HER2 Exon 20,",","&amp;SUBSTITUTE(K12,", ",",")&amp;",")),1,0)</f>
        <v>0</v>
      </c>
      <c r="DK12" s="11">
        <f>IF(ISNUMBER(SEARCH(",HER2 mut,",","&amp;SUBSTITUTE(K12,", ",",")&amp;",")),1,0)</f>
        <v>0</v>
      </c>
      <c r="DL12" s="11">
        <f>IF(ISNUMBER(SEARCH(",HLA-A2,",","&amp;SUBSTITUTE(K12,", ",",")&amp;",")),1,0)</f>
        <v>0</v>
      </c>
      <c r="DM12" s="11">
        <f>IF(ISNUMBER(SEARCH(",HRAS,",","&amp;SUBSTITUTE(K12,", ",",")&amp;",")),1,0)</f>
        <v>0</v>
      </c>
      <c r="DN12" s="11">
        <f>IF(ISNUMBER(SEARCH(",KRAS,",","&amp;SUBSTITUTE(K12,", ",",")&amp;",")),1,0)</f>
        <v>0</v>
      </c>
      <c r="DO12" s="11">
        <f>IF(ISNUMBER(SEARCH(",KRAS G12C,",","&amp;SUBSTITUTE(K12,", ",",")&amp;",")),1,0)</f>
        <v>1</v>
      </c>
      <c r="DP12" s="11">
        <f>IF(ISNUMBER(SEARCH(",NRAS,",","&amp;SUBSTITUTE(K12,", ",",")&amp;",")),1,0)</f>
        <v>0</v>
      </c>
      <c r="DQ12" s="11">
        <f>IF(ISNUMBER(SEARCH(",NTRK,",","&amp;SUBSTITUTE(K12,", ",",")&amp;",")),1,0)</f>
        <v>0</v>
      </c>
      <c r="DR12" s="11">
        <f>IF(ISNUMBER(SEARCH(",PD-L1,",","&amp;SUBSTITUTE(K12,", ",",")&amp;",")),1,0)</f>
        <v>0</v>
      </c>
      <c r="DS12" s="11">
        <f>IF(ISNUMBER(SEARCH(",PD-L1 IC ≥ 1%,",","&amp;SUBSTITUTE(K12,", ",",")&amp;",")),1,0)</f>
        <v>0</v>
      </c>
      <c r="DT12" s="11">
        <f>IF(ISNUMBER(SEARCH(",PD-L1 TC ≥ 1%,",","&amp;SUBSTITUTE(K12,", ",",")&amp;",")),1,0)</f>
        <v>0</v>
      </c>
      <c r="DU12" s="11">
        <f>IF(ISNUMBER(SEARCH(",PD-L1 TC ≥ 50%,",","&amp;SUBSTITUTE(K12,", ",",")&amp;",")),1,0)</f>
        <v>0</v>
      </c>
      <c r="DV12" s="11">
        <f>IF(ISNUMBER(SEARCH(",PD-L1 TPS &lt; 50%,",","&amp;SUBSTITUTE(K12,", ",",")&amp;",")),1,0)</f>
        <v>0</v>
      </c>
      <c r="DW12" s="11">
        <f>IF(ISNUMBER(SEARCH(",PD-L1 TPS ≥ 1%,",","&amp;SUBSTITUTE(K12,", ",",")&amp;",")),1,0)</f>
        <v>0</v>
      </c>
      <c r="DX12" s="11">
        <f>IF(ISNUMBER(SEARCH(",PD-L1 TPS ≥ 50%,",","&amp;SUBSTITUTE(K12,", ",",")&amp;",")),1,0)</f>
        <v>1</v>
      </c>
      <c r="DY12" s="11">
        <f>IF(ISNUMBER(SEARCH(",RAS,",","&amp;SUBSTITUTE(K12,", ",",")&amp;",")),1,0)</f>
        <v>0</v>
      </c>
      <c r="DZ12" s="11">
        <f>IF(ISNUMBER(SEARCH(",RET,",","&amp;SUBSTITUTE(K12,", ",",")&amp;",")),1,0)</f>
        <v>0</v>
      </c>
      <c r="EA12" s="11">
        <f>IF(ISNUMBER(SEARCH(",ROS1,",","&amp;SUBSTITUTE(K12,", ",",")&amp;",")),1,0)</f>
        <v>0</v>
      </c>
      <c r="EB12" s="11">
        <f>IF(ISNUMBER(SEARCH(",TROP2,",","&amp;SUBSTITUTE(K12,", ",",")&amp;",")),1,0)</f>
        <v>0</v>
      </c>
      <c r="EC12" s="11">
        <f>IF(ISNUMBER(SEARCH(",c-MET/MET,",","&amp;SUBSTITUTE(K12,", ",",")&amp;",")),1,0)</f>
        <v>0</v>
      </c>
      <c r="ED12" s="11">
        <f>IF(ISNUMBER(SEARCH(",c-MET/MET Exon 14,",","&amp;SUBSTITUTE(K12,", ",",")&amp;",")),1,0)</f>
        <v>0</v>
      </c>
      <c r="EE12" s="11">
        <f>IF(ISNUMBER(SEARCH(",ctDNA/cfDNA,",","&amp;SUBSTITUTE(K12,", ",",")&amp;",")),1,0)</f>
        <v>0</v>
      </c>
    </row>
    <row r="13" spans="1:135" ht="15" customHeight="1" x14ac:dyDescent="0.2">
      <c r="A13" s="3" t="s">
        <v>1154</v>
      </c>
      <c r="B13" s="3" t="s">
        <v>1155</v>
      </c>
      <c r="C13" s="3" t="s">
        <v>281</v>
      </c>
      <c r="D13" s="3" t="s">
        <v>280</v>
      </c>
      <c r="E13" s="3" t="s">
        <v>282</v>
      </c>
      <c r="F13" s="3" t="s">
        <v>572</v>
      </c>
      <c r="G13" s="3" t="s">
        <v>181</v>
      </c>
      <c r="H13" s="3" t="s">
        <v>114</v>
      </c>
      <c r="I13" s="3" t="s">
        <v>1137</v>
      </c>
      <c r="J13" s="3" t="s">
        <v>898</v>
      </c>
      <c r="K13" s="3" t="s">
        <v>905</v>
      </c>
      <c r="L13" s="3" t="s">
        <v>119</v>
      </c>
      <c r="M13" s="3" t="s">
        <v>113</v>
      </c>
      <c r="N13" s="3" t="s">
        <v>120</v>
      </c>
      <c r="O13" s="3" t="s">
        <v>120</v>
      </c>
      <c r="P13" s="3" t="s">
        <v>1398</v>
      </c>
      <c r="Q13" s="10" t="str">
        <f>IF(F13="Stage IV","Stage IV Only",IF(AND(ISNUMBER(SEARCH("IV",F13)),LEN(F13)&gt;LEN("Stage IV")),"Stage IV + Other",IF(AND(ISNUMBER(SEARCH("III",F13)),NOT(ISNUMBER(SEARCH("IV",F13)))),"Stage III Only","Other")))</f>
        <v>Stage IV + Other</v>
      </c>
      <c r="R13" s="10" t="str">
        <f>IF(AND(ISNUMBER(SEARCH("Non-squamous",G13)),ISNUMBER(SEARCH("Squamous",SUBSTITUTE(G13,"Non-squamous","")))),"Both",IF(ISNUMBER(SEARCH("Non-squamous",G13)),"Non-squamous",IF(ISNUMBER(SEARCH("Squamous",G13)),"Squamous","Unspecified")))</f>
        <v>Non-squamous</v>
      </c>
      <c r="S13" s="10" t="str">
        <f>IF(OR(ISNUMBER(SEARCH("TPS ≥ 50%",K13)),ISNUMBER(SEARCH("TC ≥ 50%",K13))),"TPS ≥ 50%",IF(OR(ISNUMBER(SEARCH("TPS ≥ 1%",K13)),ISNUMBER(SEARCH("TC ≥ 1%",K13)),ISNUMBER(SEARCH("TPS &lt; 50%",K13)),ISNUMBER(SEARCH("IC ≥ 1%",K13))),"TPS 1-49%","All-comers"))</f>
        <v>All-comers</v>
      </c>
      <c r="T13" s="10">
        <f>IF(H13="Phase III",1,0)</f>
        <v>1</v>
      </c>
      <c r="U13" s="10">
        <f>IF(L13="Yes",1,0)</f>
        <v>0</v>
      </c>
      <c r="V13" s="11">
        <f>IF(ISNUMBER(SEARCH(",ALK,",","&amp;SUBSTITUTE(I13,", ",",")&amp;",")),1,0)</f>
        <v>0</v>
      </c>
      <c r="W13" s="11">
        <f>IF(ISNUMBER(SEARCH(",ALK L1196M,",","&amp;SUBSTITUTE(I13,", ",",")&amp;",")),1,0)</f>
        <v>0</v>
      </c>
      <c r="X13" s="11">
        <f>IF(ISNUMBER(SEARCH(",AXL,",","&amp;SUBSTITUTE(I13,", ",",")&amp;",")),1,0)</f>
        <v>0</v>
      </c>
      <c r="Y13" s="11">
        <f>IF(ISNUMBER(SEARCH(",B7-H1,",","&amp;SUBSTITUTE(I13,", ",",")&amp;",")),1,0)</f>
        <v>0</v>
      </c>
      <c r="Z13" s="11">
        <f>IF(ISNUMBER(SEARCH(",CD152,",","&amp;SUBSTITUTE(I13,", ",",")&amp;",")),1,0)</f>
        <v>0</v>
      </c>
      <c r="AA13" s="11">
        <f>IF(ISNUMBER(SEARCH(",CD274,",","&amp;SUBSTITUTE(I13,", ",",")&amp;",")),1,0)</f>
        <v>0</v>
      </c>
      <c r="AB13" s="11">
        <f>IF(ISNUMBER(SEARCH(",CD279,",","&amp;SUBSTITUTE(I13,", ",",")&amp;",")),1,0)</f>
        <v>1</v>
      </c>
      <c r="AC13" s="11">
        <f>IF(ISNUMBER(SEARCH(",CD73,",","&amp;SUBSTITUTE(I13,", ",",")&amp;",")),1,0)</f>
        <v>0</v>
      </c>
      <c r="AD13" s="11">
        <f>IF(ISNUMBER(SEARCH(",CEA,",","&amp;SUBSTITUTE(I13,", ",",")&amp;",")),1,0)</f>
        <v>0</v>
      </c>
      <c r="AE13" s="11">
        <f>IF(ISNUMBER(SEARCH(",CTLA-4,",","&amp;SUBSTITUTE(I13,", ",",")&amp;",")),1,0)</f>
        <v>0</v>
      </c>
      <c r="AF13" s="11">
        <f>IF(ISNUMBER(SEARCH(",EGFR,",","&amp;SUBSTITUTE(I13,", ",",")&amp;",")),1,0)</f>
        <v>0</v>
      </c>
      <c r="AG13" s="11">
        <f>IF(ISNUMBER(SEARCH(",EGFR C797G,",","&amp;SUBSTITUTE(I13,", ",",")&amp;",")),1,0)</f>
        <v>0</v>
      </c>
      <c r="AH13" s="11">
        <f>IF(ISNUMBER(SEARCH(",EGFR C797S,",","&amp;SUBSTITUTE(I13,", ",",")&amp;",")),1,0)</f>
        <v>0</v>
      </c>
      <c r="AI13" s="11">
        <f>IF(ISNUMBER(SEARCH(",EGFR Exon 19-del,",","&amp;SUBSTITUTE(I13,", ",",")&amp;",")),1,0)</f>
        <v>0</v>
      </c>
      <c r="AJ13" s="11">
        <f>IF(ISNUMBER(SEARCH(",EGFR Exon 20,",","&amp;SUBSTITUTE(I13,", ",",")&amp;",")),1,0)</f>
        <v>0</v>
      </c>
      <c r="AK13" s="11">
        <f>IF(ISNUMBER(SEARCH(",EGFR L858R,",","&amp;SUBSTITUTE(I13,", ",",")&amp;",")),1,0)</f>
        <v>0</v>
      </c>
      <c r="AL13" s="11">
        <f>IF(ISNUMBER(SEARCH(",EGFR T790M,",","&amp;SUBSTITUTE(I13,", ",",")&amp;",")),1,0)</f>
        <v>0</v>
      </c>
      <c r="AM13" s="11">
        <f>IF(ISNUMBER(SEARCH(",ERBB,",","&amp;SUBSTITUTE(I13,", ",",")&amp;",")),1,0)</f>
        <v>0</v>
      </c>
      <c r="AN13" s="11">
        <f>IF(ISNUMBER(SEARCH(",ERBB3,",","&amp;SUBSTITUTE(I13,", ",",")&amp;",")),1,0)</f>
        <v>0</v>
      </c>
      <c r="AO13" s="11">
        <f>IF(ISNUMBER(SEARCH(",FAK,",","&amp;SUBSTITUTE(I13,", ",",")&amp;",")),1,0)</f>
        <v>0</v>
      </c>
      <c r="AP13" s="11">
        <f>IF(ISNUMBER(SEARCH(",GARP,",","&amp;SUBSTITUTE(I13,", ",",")&amp;",")),1,0)</f>
        <v>0</v>
      </c>
      <c r="AQ13" s="11">
        <f>IF(ISNUMBER(SEARCH(",HER1,",","&amp;SUBSTITUTE(I13,", ",",")&amp;",")),1,0)</f>
        <v>0</v>
      </c>
      <c r="AR13" s="11">
        <f>IF(ISNUMBER(SEARCH(",HER2,",","&amp;SUBSTITUTE(I13,", ",",")&amp;",")),1,0)</f>
        <v>0</v>
      </c>
      <c r="AS13" s="11">
        <f>IF(ISNUMBER(SEARCH(",HER2 Exon 20,",","&amp;SUBSTITUTE(I13,", ",",")&amp;",")),1,0)</f>
        <v>0</v>
      </c>
      <c r="AT13" s="11">
        <f>IF(ISNUMBER(SEARCH(",HER3,",","&amp;SUBSTITUTE(I13,", ",",")&amp;",")),1,0)</f>
        <v>0</v>
      </c>
      <c r="AU13" s="11">
        <f>IF(ISNUMBER(SEARCH(",HER4,",","&amp;SUBSTITUTE(I13,", ",",")&amp;",")),1,0)</f>
        <v>0</v>
      </c>
      <c r="AV13" s="11">
        <f>IF(ISNUMBER(SEARCH(",HRAS,",","&amp;SUBSTITUTE(I13,", ",",")&amp;",")),1,0)</f>
        <v>0</v>
      </c>
      <c r="AW13" s="11">
        <f>IF(ISNUMBER(SEARCH(",HSV-TK,",","&amp;SUBSTITUTE(I13,", ",",")&amp;",")),1,0)</f>
        <v>0</v>
      </c>
      <c r="AX13" s="11">
        <f>IF(ISNUMBER(SEARCH(",IL-12,",","&amp;SUBSTITUTE(I13,", ",",")&amp;",")),1,0)</f>
        <v>0</v>
      </c>
      <c r="AY13" s="11">
        <f>IF(ISNUMBER(SEARCH(",IL-15,",","&amp;SUBSTITUTE(I13,", ",",")&amp;",")),1,0)</f>
        <v>0</v>
      </c>
      <c r="AZ13" s="11">
        <f>IF(ISNUMBER(SEARCH(",IL-15R,",","&amp;SUBSTITUTE(I13,", ",",")&amp;",")),1,0)</f>
        <v>0</v>
      </c>
      <c r="BA13" s="11">
        <f>IF(ISNUMBER(SEARCH(",IL-2,",","&amp;SUBSTITUTE(I13,", ",",")&amp;",")),1,0)</f>
        <v>0</v>
      </c>
      <c r="BB13" s="11">
        <f>IF(ISNUMBER(SEARCH(",Integrin β6,",","&amp;SUBSTITUTE(I13,", ",",")&amp;",")),1,0)</f>
        <v>0</v>
      </c>
      <c r="BC13" s="11">
        <f>IF(ISNUMBER(SEARCH(",KDR,",","&amp;SUBSTITUTE(I13,", ",",")&amp;",")),1,0)</f>
        <v>0</v>
      </c>
      <c r="BD13" s="11">
        <f>IF(ISNUMBER(SEARCH(",KLRC1,",","&amp;SUBSTITUTE(I13,", ",",")&amp;",")),1,0)</f>
        <v>0</v>
      </c>
      <c r="BE13" s="11">
        <f>IF(ISNUMBER(SEARCH(",KRAS,",","&amp;SUBSTITUTE(I13,", ",",")&amp;",")),1,0)</f>
        <v>0</v>
      </c>
      <c r="BF13" s="11">
        <f>IF(ISNUMBER(SEARCH(",KRAS G12,",","&amp;SUBSTITUTE(I13,", ",",")&amp;",")),1,0)</f>
        <v>0</v>
      </c>
      <c r="BG13" s="11">
        <f>IF(ISNUMBER(SEARCH(",KRAS G12C,",","&amp;SUBSTITUTE(I13,", ",",")&amp;",")),1,0)</f>
        <v>1</v>
      </c>
      <c r="BH13" s="11">
        <f>IF(ISNUMBER(SEARCH(",KRAS G12D,",","&amp;SUBSTITUTE(I13,", ",",")&amp;",")),1,0)</f>
        <v>0</v>
      </c>
      <c r="BI13" s="11">
        <f>IF(ISNUMBER(SEARCH(",LAG-3,",","&amp;SUBSTITUTE(I13,", ",",")&amp;",")),1,0)</f>
        <v>0</v>
      </c>
      <c r="BJ13" s="11">
        <f>IF(ISNUMBER(SEARCH(",MAGE-A2,",","&amp;SUBSTITUTE(I13,", ",",")&amp;",")),1,0)</f>
        <v>0</v>
      </c>
      <c r="BK13" s="11">
        <f>IF(ISNUMBER(SEARCH(",MAGE-A3,",","&amp;SUBSTITUTE(I13,", ",",")&amp;",")),1,0)</f>
        <v>0</v>
      </c>
      <c r="BL13" s="11">
        <f>IF(ISNUMBER(SEARCH(",MLN19,",","&amp;SUBSTITUTE(I13,", ",",")&amp;",")),1,0)</f>
        <v>0</v>
      </c>
      <c r="BM13" s="11">
        <f>IF(ISNUMBER(SEARCH(",Microtubule,",","&amp;SUBSTITUTE(I13,", ",",")&amp;",")),1,0)</f>
        <v>0</v>
      </c>
      <c r="BN13" s="11">
        <f>IF(ISNUMBER(SEARCH(",NKG2A,",","&amp;SUBSTITUTE(I13,", ",",")&amp;",")),1,0)</f>
        <v>0</v>
      </c>
      <c r="BO13" s="11">
        <f>IF(ISNUMBER(SEARCH(",NRAS,",","&amp;SUBSTITUTE(I13,", ",",")&amp;",")),1,0)</f>
        <v>0</v>
      </c>
      <c r="BP13" s="11">
        <f>IF(ISNUMBER(SEARCH(",NTRK,",","&amp;SUBSTITUTE(I13,", ",",")&amp;",")),1,0)</f>
        <v>0</v>
      </c>
      <c r="BQ13" s="11">
        <f>IF(ISNUMBER(SEARCH(",PARP,",","&amp;SUBSTITUTE(I13,", ",",")&amp;",")),1,0)</f>
        <v>0</v>
      </c>
      <c r="BR13" s="11">
        <f>IF(ISNUMBER(SEARCH(",PD-1,",","&amp;SUBSTITUTE(I13,", ",",")&amp;",")),1,0)</f>
        <v>1</v>
      </c>
      <c r="BS13" s="11">
        <f>IF(ISNUMBER(SEARCH(",PD-L1,",","&amp;SUBSTITUTE(I13,", ",",")&amp;",")),1,0)</f>
        <v>0</v>
      </c>
      <c r="BT13" s="11">
        <f>IF(ISNUMBER(SEARCH(",PRMT5,",","&amp;SUBSTITUTE(I13,", ",",")&amp;",")),1,0)</f>
        <v>0</v>
      </c>
      <c r="BU13" s="11">
        <f>IF(ISNUMBER(SEARCH(",RAS,",","&amp;SUBSTITUTE(I13,", ",",")&amp;",")),1,0)</f>
        <v>0</v>
      </c>
      <c r="BV13" s="11">
        <f>IF(ISNUMBER(SEARCH(",RET,",","&amp;SUBSTITUTE(I13,", ",",")&amp;",")),1,0)</f>
        <v>0</v>
      </c>
      <c r="BW13" s="11">
        <f>IF(ISNUMBER(SEARCH(",ROS,",","&amp;SUBSTITUTE(I13,", ",",")&amp;",")),1,0)</f>
        <v>0</v>
      </c>
      <c r="BX13" s="11">
        <f>IF(ISNUMBER(SEARCH(",ROS1,",","&amp;SUBSTITUTE(I13,", ",",")&amp;",")),1,0)</f>
        <v>0</v>
      </c>
      <c r="BY13" s="11">
        <f>IF(ISNUMBER(SEARCH(",Src,",","&amp;SUBSTITUTE(I13,", ",",")&amp;",")),1,0)</f>
        <v>0</v>
      </c>
      <c r="BZ13" s="11">
        <f>IF(ISNUMBER(SEARCH(",TCGF,",","&amp;SUBSTITUTE(I13,", ",",")&amp;",")),1,0)</f>
        <v>0</v>
      </c>
      <c r="CA13" s="11">
        <f>IF(ISNUMBER(SEARCH(",TGF-β,",","&amp;SUBSTITUTE(I13,", ",",")&amp;",")),1,0)</f>
        <v>0</v>
      </c>
      <c r="CB13" s="11">
        <f>IF(ISNUMBER(SEARCH(",TGF-β1,",","&amp;SUBSTITUTE(I13,", ",",")&amp;",")),1,0)</f>
        <v>0</v>
      </c>
      <c r="CC13" s="11">
        <f>IF(ISNUMBER(SEARCH(",TIGIT,",","&amp;SUBSTITUTE(I13,", ",",")&amp;",")),1,0)</f>
        <v>0</v>
      </c>
      <c r="CD13" s="11">
        <f>IF(ISNUMBER(SEARCH(",TLR,",","&amp;SUBSTITUTE(I13,", ",",")&amp;",")),1,0)</f>
        <v>0</v>
      </c>
      <c r="CE13" s="11">
        <f>IF(ISNUMBER(SEARCH(",TLR7/8,",","&amp;SUBSTITUTE(I13,", ",",")&amp;",")),1,0)</f>
        <v>0</v>
      </c>
      <c r="CF13" s="11">
        <f>IF(ISNUMBER(SEARCH(",TRK,",","&amp;SUBSTITUTE(I13,", ",",")&amp;",")),1,0)</f>
        <v>0</v>
      </c>
      <c r="CG13" s="11">
        <f>IF(ISNUMBER(SEARCH(",TROP2,",","&amp;SUBSTITUTE(I13,", ",",")&amp;",")),1,0)</f>
        <v>0</v>
      </c>
      <c r="CH13" s="11">
        <f>IF(ISNUMBER(SEARCH(",TS,",","&amp;SUBSTITUTE(I13,", ",",")&amp;",")),1,0)</f>
        <v>0</v>
      </c>
      <c r="CI13" s="11">
        <f>IF(ISNUMBER(SEARCH(",TYMS,",","&amp;SUBSTITUTE(I13,", ",",")&amp;",")),1,0)</f>
        <v>0</v>
      </c>
      <c r="CJ13" s="11">
        <f>IF(ISNUMBER(SEARCH(",VEGF,",","&amp;SUBSTITUTE(I13,", ",",")&amp;",")),1,0)</f>
        <v>0</v>
      </c>
      <c r="CK13" s="11">
        <f>IF(ISNUMBER(SEARCH(",VEGFA,",","&amp;SUBSTITUTE(I13,", ",",")&amp;",")),1,0)</f>
        <v>0</v>
      </c>
      <c r="CL13" s="11">
        <f>IF(ISNUMBER(SEARCH(",VEGFR2,",","&amp;SUBSTITUTE(I13,", ",",")&amp;",")),1,0)</f>
        <v>0</v>
      </c>
      <c r="CM13" s="11">
        <f>IF(ISNUMBER(SEARCH(",c-MET/MET,",","&amp;SUBSTITUTE(I13,", ",",")&amp;",")),1,0)</f>
        <v>0</v>
      </c>
      <c r="CN13" s="11">
        <f>IF(ISNUMBER(SEARCH(",p53,",","&amp;SUBSTITUTE(I13,", ",",")&amp;",")),1,0)</f>
        <v>0</v>
      </c>
      <c r="CO13" s="11">
        <f>IF(ISNUMBER(SEARCH(",pan-KRAS,",","&amp;SUBSTITUTE(I13,", ",",")&amp;",")),1,0)</f>
        <v>0</v>
      </c>
      <c r="CP13" s="11">
        <f>IF(ISNUMBER(SEARCH(",ALK,",","&amp;SUBSTITUTE(K13,", ",",")&amp;",")),1,0)</f>
        <v>0</v>
      </c>
      <c r="CQ13" s="11">
        <f>IF(ISNUMBER(SEARCH(",BRAF V600E,",","&amp;SUBSTITUTE(K13,", ",",")&amp;",")),1,0)</f>
        <v>0</v>
      </c>
      <c r="CR13" s="11">
        <f>IF(ISNUMBER(SEARCH(",EGFR,",","&amp;SUBSTITUTE(K13,", ",",")&amp;",")),1,0)</f>
        <v>0</v>
      </c>
      <c r="CS13" s="11">
        <f>IF(ISNUMBER(SEARCH(",EGFR Exon 18,",","&amp;SUBSTITUTE(K13,", ",",")&amp;",")),1,0)</f>
        <v>0</v>
      </c>
      <c r="CT13" s="11">
        <f>IF(ISNUMBER(SEARCH(",EGFR Exon 19-del,",","&amp;SUBSTITUTE(K13,", ",",")&amp;",")),1,0)</f>
        <v>0</v>
      </c>
      <c r="CU13" s="11">
        <f>IF(ISNUMBER(SEARCH(",EGFR Exon 20,",","&amp;SUBSTITUTE(K13,", ",",")&amp;",")),1,0)</f>
        <v>0</v>
      </c>
      <c r="CV13" s="11">
        <f>IF(ISNUMBER(SEARCH(",EGFR Exon 20-ins,",","&amp;SUBSTITUTE(K13,", ",",")&amp;",")),1,0)</f>
        <v>0</v>
      </c>
      <c r="CW13" s="11">
        <f>IF(ISNUMBER(SEARCH(",EGFR Exon 21,",","&amp;SUBSTITUTE(K13,", ",",")&amp;",")),1,0)</f>
        <v>0</v>
      </c>
      <c r="CX13" s="11">
        <f>IF(ISNUMBER(SEARCH(",EGFR G719A,",","&amp;SUBSTITUTE(K13,", ",",")&amp;",")),1,0)</f>
        <v>0</v>
      </c>
      <c r="CY13" s="11">
        <f>IF(ISNUMBER(SEARCH(",EGFR G719C,",","&amp;SUBSTITUTE(K13,", ",",")&amp;",")),1,0)</f>
        <v>0</v>
      </c>
      <c r="CZ13" s="11">
        <f>IF(ISNUMBER(SEARCH(",EGFR G719S,",","&amp;SUBSTITUTE(K13,", ",",")&amp;",")),1,0)</f>
        <v>0</v>
      </c>
      <c r="DA13" s="11">
        <f>IF(ISNUMBER(SEARCH(",EGFR G719X,",","&amp;SUBSTITUTE(K13,", ",",")&amp;",")),1,0)</f>
        <v>0</v>
      </c>
      <c r="DB13" s="11">
        <f>IF(ISNUMBER(SEARCH(",EGFR L858R,",","&amp;SUBSTITUTE(K13,", ",",")&amp;",")),1,0)</f>
        <v>0</v>
      </c>
      <c r="DC13" s="11">
        <f>IF(ISNUMBER(SEARCH(",EGFR L861Q,",","&amp;SUBSTITUTE(K13,", ",",")&amp;",")),1,0)</f>
        <v>0</v>
      </c>
      <c r="DD13" s="11">
        <f>IF(ISNUMBER(SEARCH(",EGFR PACC,",","&amp;SUBSTITUTE(K13,", ",",")&amp;",")),1,0)</f>
        <v>0</v>
      </c>
      <c r="DE13" s="11">
        <f>IF(ISNUMBER(SEARCH(",EGFR S768I,",","&amp;SUBSTITUTE(K13,", ",",")&amp;",")),1,0)</f>
        <v>0</v>
      </c>
      <c r="DF13" s="11">
        <f>IF(ISNUMBER(SEARCH(",EGFR T790M,",","&amp;SUBSTITUTE(K13,", ",",")&amp;",")),1,0)</f>
        <v>0</v>
      </c>
      <c r="DG13" s="11">
        <f>IF(ISNUMBER(SEARCH(",EML4-ALK,",","&amp;SUBSTITUTE(K13,", ",",")&amp;",")),1,0)</f>
        <v>0</v>
      </c>
      <c r="DH13" s="11">
        <f>IF(ISNUMBER(SEARCH(",HER2,",","&amp;SUBSTITUTE(K13,", ",",")&amp;",")),1,0)</f>
        <v>0</v>
      </c>
      <c r="DI13" s="11">
        <f>IF(ISNUMBER(SEARCH(",HER2 Exon 19,",","&amp;SUBSTITUTE(K13,", ",",")&amp;",")),1,0)</f>
        <v>0</v>
      </c>
      <c r="DJ13" s="11">
        <f>IF(ISNUMBER(SEARCH(",HER2 Exon 20,",","&amp;SUBSTITUTE(K13,", ",",")&amp;",")),1,0)</f>
        <v>0</v>
      </c>
      <c r="DK13" s="11">
        <f>IF(ISNUMBER(SEARCH(",HER2 mut,",","&amp;SUBSTITUTE(K13,", ",",")&amp;",")),1,0)</f>
        <v>0</v>
      </c>
      <c r="DL13" s="11">
        <f>IF(ISNUMBER(SEARCH(",HLA-A2,",","&amp;SUBSTITUTE(K13,", ",",")&amp;",")),1,0)</f>
        <v>0</v>
      </c>
      <c r="DM13" s="11">
        <f>IF(ISNUMBER(SEARCH(",HRAS,",","&amp;SUBSTITUTE(K13,", ",",")&amp;",")),1,0)</f>
        <v>0</v>
      </c>
      <c r="DN13" s="11">
        <f>IF(ISNUMBER(SEARCH(",KRAS,",","&amp;SUBSTITUTE(K13,", ",",")&amp;",")),1,0)</f>
        <v>0</v>
      </c>
      <c r="DO13" s="11">
        <f>IF(ISNUMBER(SEARCH(",KRAS G12C,",","&amp;SUBSTITUTE(K13,", ",",")&amp;",")),1,0)</f>
        <v>1</v>
      </c>
      <c r="DP13" s="11">
        <f>IF(ISNUMBER(SEARCH(",NRAS,",","&amp;SUBSTITUTE(K13,", ",",")&amp;",")),1,0)</f>
        <v>0</v>
      </c>
      <c r="DQ13" s="11">
        <f>IF(ISNUMBER(SEARCH(",NTRK,",","&amp;SUBSTITUTE(K13,", ",",")&amp;",")),1,0)</f>
        <v>0</v>
      </c>
      <c r="DR13" s="11">
        <f>IF(ISNUMBER(SEARCH(",PD-L1,",","&amp;SUBSTITUTE(K13,", ",",")&amp;",")),1,0)</f>
        <v>0</v>
      </c>
      <c r="DS13" s="11">
        <f>IF(ISNUMBER(SEARCH(",PD-L1 IC ≥ 1%,",","&amp;SUBSTITUTE(K13,", ",",")&amp;",")),1,0)</f>
        <v>0</v>
      </c>
      <c r="DT13" s="11">
        <f>IF(ISNUMBER(SEARCH(",PD-L1 TC ≥ 1%,",","&amp;SUBSTITUTE(K13,", ",",")&amp;",")),1,0)</f>
        <v>0</v>
      </c>
      <c r="DU13" s="11">
        <f>IF(ISNUMBER(SEARCH(",PD-L1 TC ≥ 50%,",","&amp;SUBSTITUTE(K13,", ",",")&amp;",")),1,0)</f>
        <v>0</v>
      </c>
      <c r="DV13" s="11">
        <f>IF(ISNUMBER(SEARCH(",PD-L1 TPS &lt; 50%,",","&amp;SUBSTITUTE(K13,", ",",")&amp;",")),1,0)</f>
        <v>0</v>
      </c>
      <c r="DW13" s="11">
        <f>IF(ISNUMBER(SEARCH(",PD-L1 TPS ≥ 1%,",","&amp;SUBSTITUTE(K13,", ",",")&amp;",")),1,0)</f>
        <v>0</v>
      </c>
      <c r="DX13" s="11">
        <f>IF(ISNUMBER(SEARCH(",PD-L1 TPS ≥ 50%,",","&amp;SUBSTITUTE(K13,", ",",")&amp;",")),1,0)</f>
        <v>0</v>
      </c>
      <c r="DY13" s="11">
        <f>IF(ISNUMBER(SEARCH(",RAS,",","&amp;SUBSTITUTE(K13,", ",",")&amp;",")),1,0)</f>
        <v>0</v>
      </c>
      <c r="DZ13" s="11">
        <f>IF(ISNUMBER(SEARCH(",RET,",","&amp;SUBSTITUTE(K13,", ",",")&amp;",")),1,0)</f>
        <v>0</v>
      </c>
      <c r="EA13" s="11">
        <f>IF(ISNUMBER(SEARCH(",ROS1,",","&amp;SUBSTITUTE(K13,", ",",")&amp;",")),1,0)</f>
        <v>0</v>
      </c>
      <c r="EB13" s="11">
        <f>IF(ISNUMBER(SEARCH(",TROP2,",","&amp;SUBSTITUTE(K13,", ",",")&amp;",")),1,0)</f>
        <v>0</v>
      </c>
      <c r="EC13" s="11">
        <f>IF(ISNUMBER(SEARCH(",c-MET/MET,",","&amp;SUBSTITUTE(K13,", ",",")&amp;",")),1,0)</f>
        <v>0</v>
      </c>
      <c r="ED13" s="11">
        <f>IF(ISNUMBER(SEARCH(",c-MET/MET Exon 14,",","&amp;SUBSTITUTE(K13,", ",",")&amp;",")),1,0)</f>
        <v>0</v>
      </c>
      <c r="EE13" s="11">
        <f>IF(ISNUMBER(SEARCH(",ctDNA/cfDNA,",","&amp;SUBSTITUTE(K13,", ",",")&amp;",")),1,0)</f>
        <v>0</v>
      </c>
    </row>
    <row r="14" spans="1:135" ht="15" customHeight="1" x14ac:dyDescent="0.2">
      <c r="A14" s="5" t="s">
        <v>1405</v>
      </c>
      <c r="B14" s="5"/>
      <c r="C14" s="5" t="s">
        <v>1406</v>
      </c>
      <c r="D14" s="5" t="s">
        <v>1406</v>
      </c>
      <c r="E14" s="5"/>
      <c r="F14" s="5"/>
      <c r="G14" s="5" t="s">
        <v>1407</v>
      </c>
      <c r="H14" s="5" t="s">
        <v>114</v>
      </c>
      <c r="I14" s="5" t="s">
        <v>1410</v>
      </c>
      <c r="J14" s="5" t="s">
        <v>1409</v>
      </c>
      <c r="K14" s="5"/>
      <c r="L14" s="5" t="s">
        <v>119</v>
      </c>
      <c r="M14" s="5" t="s">
        <v>113</v>
      </c>
      <c r="N14" s="5" t="s">
        <v>120</v>
      </c>
      <c r="O14" s="5" t="s">
        <v>120</v>
      </c>
      <c r="P14" s="5" t="s">
        <v>1408</v>
      </c>
      <c r="Q14" s="10" t="str">
        <f>IF(F14="Stage IV","Stage IV Only",IF(AND(ISNUMBER(SEARCH("IV",F14)),LEN(F14)&gt;LEN("Stage IV")),"Stage IV + Other",IF(AND(ISNUMBER(SEARCH("III",F14)),NOT(ISNUMBER(SEARCH("IV",F14)))),"Stage III Only","Other")))</f>
        <v>Other</v>
      </c>
      <c r="R14" s="10" t="str">
        <f>IF(AND(ISNUMBER(SEARCH("Non-squamous",G14)),ISNUMBER(SEARCH("Squamous",SUBSTITUTE(G14,"Non-squamous","")))),"Both",IF(ISNUMBER(SEARCH("Non-squamous",G14)),"Non-squamous",IF(ISNUMBER(SEARCH("Squamous",G14)),"Squamous","Unspecified")))</f>
        <v>Unspecified</v>
      </c>
      <c r="S14" s="10" t="str">
        <f>IF(OR(ISNUMBER(SEARCH("TPS ≥ 50%",K14)),ISNUMBER(SEARCH("TC ≥ 50%",K14))),"TPS ≥ 50%",IF(OR(ISNUMBER(SEARCH("TPS ≥ 1%",K14)),ISNUMBER(SEARCH("TC ≥ 1%",K14)),ISNUMBER(SEARCH("TPS &lt; 50%",K14)),ISNUMBER(SEARCH("IC ≥ 1%",K14))),"TPS 1-49%","All-comers"))</f>
        <v>All-comers</v>
      </c>
      <c r="T14" s="10">
        <f>IF(H14="Phase III",1,0)</f>
        <v>1</v>
      </c>
      <c r="U14" s="10">
        <f>IF(L14="Yes",1,0)</f>
        <v>0</v>
      </c>
      <c r="V14" s="11">
        <f>IF(ISNUMBER(SEARCH(",ALK,",","&amp;SUBSTITUTE(I14,", ",",")&amp;",")),1,0)</f>
        <v>0</v>
      </c>
      <c r="W14" s="11">
        <f>IF(ISNUMBER(SEARCH(",ALK L1196M,",","&amp;SUBSTITUTE(I14,", ",",")&amp;",")),1,0)</f>
        <v>0</v>
      </c>
      <c r="X14" s="11">
        <f>IF(ISNUMBER(SEARCH(",AXL,",","&amp;SUBSTITUTE(I14,", ",",")&amp;",")),1,0)</f>
        <v>0</v>
      </c>
      <c r="Y14" s="11">
        <f>IF(ISNUMBER(SEARCH(",B7-H1,",","&amp;SUBSTITUTE(I14,", ",",")&amp;",")),1,0)</f>
        <v>0</v>
      </c>
      <c r="Z14" s="11">
        <f>IF(ISNUMBER(SEARCH(",CD152,",","&amp;SUBSTITUTE(I14,", ",",")&amp;",")),1,0)</f>
        <v>0</v>
      </c>
      <c r="AA14" s="11">
        <f>IF(ISNUMBER(SEARCH(",CD274,",","&amp;SUBSTITUTE(I14,", ",",")&amp;",")),1,0)</f>
        <v>0</v>
      </c>
      <c r="AB14" s="11">
        <f>IF(ISNUMBER(SEARCH(",CD279,",","&amp;SUBSTITUTE(I14,", ",",")&amp;",")),1,0)</f>
        <v>0</v>
      </c>
      <c r="AC14" s="11">
        <f>IF(ISNUMBER(SEARCH(",CD73,",","&amp;SUBSTITUTE(I14,", ",",")&amp;",")),1,0)</f>
        <v>0</v>
      </c>
      <c r="AD14" s="11">
        <f>IF(ISNUMBER(SEARCH(",CEA,",","&amp;SUBSTITUTE(I14,", ",",")&amp;",")),1,0)</f>
        <v>0</v>
      </c>
      <c r="AE14" s="11">
        <f>IF(ISNUMBER(SEARCH(",CTLA-4,",","&amp;SUBSTITUTE(I14,", ",",")&amp;",")),1,0)</f>
        <v>1</v>
      </c>
      <c r="AF14" s="11">
        <f>IF(ISNUMBER(SEARCH(",EGFR,",","&amp;SUBSTITUTE(I14,", ",",")&amp;",")),1,0)</f>
        <v>0</v>
      </c>
      <c r="AG14" s="11">
        <f>IF(ISNUMBER(SEARCH(",EGFR C797G,",","&amp;SUBSTITUTE(I14,", ",",")&amp;",")),1,0)</f>
        <v>0</v>
      </c>
      <c r="AH14" s="11">
        <f>IF(ISNUMBER(SEARCH(",EGFR C797S,",","&amp;SUBSTITUTE(I14,", ",",")&amp;",")),1,0)</f>
        <v>0</v>
      </c>
      <c r="AI14" s="11">
        <f>IF(ISNUMBER(SEARCH(",EGFR Exon 19-del,",","&amp;SUBSTITUTE(I14,", ",",")&amp;",")),1,0)</f>
        <v>0</v>
      </c>
      <c r="AJ14" s="11">
        <f>IF(ISNUMBER(SEARCH(",EGFR Exon 20,",","&amp;SUBSTITUTE(I14,", ",",")&amp;",")),1,0)</f>
        <v>0</v>
      </c>
      <c r="AK14" s="11">
        <f>IF(ISNUMBER(SEARCH(",EGFR L858R,",","&amp;SUBSTITUTE(I14,", ",",")&amp;",")),1,0)</f>
        <v>0</v>
      </c>
      <c r="AL14" s="11">
        <f>IF(ISNUMBER(SEARCH(",EGFR T790M,",","&amp;SUBSTITUTE(I14,", ",",")&amp;",")),1,0)</f>
        <v>0</v>
      </c>
      <c r="AM14" s="11">
        <f>IF(ISNUMBER(SEARCH(",ERBB,",","&amp;SUBSTITUTE(I14,", ",",")&amp;",")),1,0)</f>
        <v>0</v>
      </c>
      <c r="AN14" s="11">
        <f>IF(ISNUMBER(SEARCH(",ERBB3,",","&amp;SUBSTITUTE(I14,", ",",")&amp;",")),1,0)</f>
        <v>0</v>
      </c>
      <c r="AO14" s="11">
        <f>IF(ISNUMBER(SEARCH(",FAK,",","&amp;SUBSTITUTE(I14,", ",",")&amp;",")),1,0)</f>
        <v>0</v>
      </c>
      <c r="AP14" s="11">
        <f>IF(ISNUMBER(SEARCH(",GARP,",","&amp;SUBSTITUTE(I14,", ",",")&amp;",")),1,0)</f>
        <v>0</v>
      </c>
      <c r="AQ14" s="11">
        <f>IF(ISNUMBER(SEARCH(",HER1,",","&amp;SUBSTITUTE(I14,", ",",")&amp;",")),1,0)</f>
        <v>0</v>
      </c>
      <c r="AR14" s="11">
        <f>IF(ISNUMBER(SEARCH(",HER2,",","&amp;SUBSTITUTE(I14,", ",",")&amp;",")),1,0)</f>
        <v>0</v>
      </c>
      <c r="AS14" s="11">
        <f>IF(ISNUMBER(SEARCH(",HER2 Exon 20,",","&amp;SUBSTITUTE(I14,", ",",")&amp;",")),1,0)</f>
        <v>0</v>
      </c>
      <c r="AT14" s="11">
        <f>IF(ISNUMBER(SEARCH(",HER3,",","&amp;SUBSTITUTE(I14,", ",",")&amp;",")),1,0)</f>
        <v>0</v>
      </c>
      <c r="AU14" s="11">
        <f>IF(ISNUMBER(SEARCH(",HER4,",","&amp;SUBSTITUTE(I14,", ",",")&amp;",")),1,0)</f>
        <v>0</v>
      </c>
      <c r="AV14" s="11">
        <f>IF(ISNUMBER(SEARCH(",HRAS,",","&amp;SUBSTITUTE(I14,", ",",")&amp;",")),1,0)</f>
        <v>0</v>
      </c>
      <c r="AW14" s="11">
        <f>IF(ISNUMBER(SEARCH(",HSV-TK,",","&amp;SUBSTITUTE(I14,", ",",")&amp;",")),1,0)</f>
        <v>0</v>
      </c>
      <c r="AX14" s="11">
        <f>IF(ISNUMBER(SEARCH(",IL-12,",","&amp;SUBSTITUTE(I14,", ",",")&amp;",")),1,0)</f>
        <v>0</v>
      </c>
      <c r="AY14" s="11">
        <f>IF(ISNUMBER(SEARCH(",IL-15,",","&amp;SUBSTITUTE(I14,", ",",")&amp;",")),1,0)</f>
        <v>0</v>
      </c>
      <c r="AZ14" s="11">
        <f>IF(ISNUMBER(SEARCH(",IL-15R,",","&amp;SUBSTITUTE(I14,", ",",")&amp;",")),1,0)</f>
        <v>0</v>
      </c>
      <c r="BA14" s="11">
        <f>IF(ISNUMBER(SEARCH(",IL-2,",","&amp;SUBSTITUTE(I14,", ",",")&amp;",")),1,0)</f>
        <v>0</v>
      </c>
      <c r="BB14" s="11">
        <f>IF(ISNUMBER(SEARCH(",Integrin β6,",","&amp;SUBSTITUTE(I14,", ",",")&amp;",")),1,0)</f>
        <v>0</v>
      </c>
      <c r="BC14" s="11">
        <f>IF(ISNUMBER(SEARCH(",KDR,",","&amp;SUBSTITUTE(I14,", ",",")&amp;",")),1,0)</f>
        <v>0</v>
      </c>
      <c r="BD14" s="11">
        <f>IF(ISNUMBER(SEARCH(",KLRC1,",","&amp;SUBSTITUTE(I14,", ",",")&amp;",")),1,0)</f>
        <v>0</v>
      </c>
      <c r="BE14" s="11">
        <f>IF(ISNUMBER(SEARCH(",KRAS,",","&amp;SUBSTITUTE(I14,", ",",")&amp;",")),1,0)</f>
        <v>0</v>
      </c>
      <c r="BF14" s="11">
        <f>IF(ISNUMBER(SEARCH(",KRAS G12,",","&amp;SUBSTITUTE(I14,", ",",")&amp;",")),1,0)</f>
        <v>0</v>
      </c>
      <c r="BG14" s="11">
        <f>IF(ISNUMBER(SEARCH(",KRAS G12C,",","&amp;SUBSTITUTE(I14,", ",",")&amp;",")),1,0)</f>
        <v>0</v>
      </c>
      <c r="BH14" s="11">
        <f>IF(ISNUMBER(SEARCH(",KRAS G12D,",","&amp;SUBSTITUTE(I14,", ",",")&amp;",")),1,0)</f>
        <v>0</v>
      </c>
      <c r="BI14" s="11">
        <f>IF(ISNUMBER(SEARCH(",LAG-3,",","&amp;SUBSTITUTE(I14,", ",",")&amp;",")),1,0)</f>
        <v>0</v>
      </c>
      <c r="BJ14" s="11">
        <f>IF(ISNUMBER(SEARCH(",MAGE-A2,",","&amp;SUBSTITUTE(I14,", ",",")&amp;",")),1,0)</f>
        <v>0</v>
      </c>
      <c r="BK14" s="11">
        <f>IF(ISNUMBER(SEARCH(",MAGE-A3,",","&amp;SUBSTITUTE(I14,", ",",")&amp;",")),1,0)</f>
        <v>0</v>
      </c>
      <c r="BL14" s="11">
        <f>IF(ISNUMBER(SEARCH(",MLN19,",","&amp;SUBSTITUTE(I14,", ",",")&amp;",")),1,0)</f>
        <v>0</v>
      </c>
      <c r="BM14" s="11">
        <f>IF(ISNUMBER(SEARCH(",Microtubule,",","&amp;SUBSTITUTE(I14,", ",",")&amp;",")),1,0)</f>
        <v>0</v>
      </c>
      <c r="BN14" s="11">
        <f>IF(ISNUMBER(SEARCH(",NKG2A,",","&amp;SUBSTITUTE(I14,", ",",")&amp;",")),1,0)</f>
        <v>0</v>
      </c>
      <c r="BO14" s="11">
        <f>IF(ISNUMBER(SEARCH(",NRAS,",","&amp;SUBSTITUTE(I14,", ",",")&amp;",")),1,0)</f>
        <v>0</v>
      </c>
      <c r="BP14" s="11">
        <f>IF(ISNUMBER(SEARCH(",NTRK,",","&amp;SUBSTITUTE(I14,", ",",")&amp;",")),1,0)</f>
        <v>0</v>
      </c>
      <c r="BQ14" s="11">
        <f>IF(ISNUMBER(SEARCH(",PARP,",","&amp;SUBSTITUTE(I14,", ",",")&amp;",")),1,0)</f>
        <v>0</v>
      </c>
      <c r="BR14" s="11">
        <f>IF(ISNUMBER(SEARCH(",PD-1,",","&amp;SUBSTITUTE(I14,", ",",")&amp;",")),1,0)</f>
        <v>1</v>
      </c>
      <c r="BS14" s="11">
        <f>IF(ISNUMBER(SEARCH(",PD-L1,",","&amp;SUBSTITUTE(I14,", ",",")&amp;",")),1,0)</f>
        <v>0</v>
      </c>
      <c r="BT14" s="11">
        <f>IF(ISNUMBER(SEARCH(",PRMT5,",","&amp;SUBSTITUTE(I14,", ",",")&amp;",")),1,0)</f>
        <v>0</v>
      </c>
      <c r="BU14" s="11">
        <f>IF(ISNUMBER(SEARCH(",RAS,",","&amp;SUBSTITUTE(I14,", ",",")&amp;",")),1,0)</f>
        <v>0</v>
      </c>
      <c r="BV14" s="11">
        <f>IF(ISNUMBER(SEARCH(",RET,",","&amp;SUBSTITUTE(I14,", ",",")&amp;",")),1,0)</f>
        <v>0</v>
      </c>
      <c r="BW14" s="11">
        <f>IF(ISNUMBER(SEARCH(",ROS,",","&amp;SUBSTITUTE(I14,", ",",")&amp;",")),1,0)</f>
        <v>0</v>
      </c>
      <c r="BX14" s="11">
        <f>IF(ISNUMBER(SEARCH(",ROS1,",","&amp;SUBSTITUTE(I14,", ",",")&amp;",")),1,0)</f>
        <v>0</v>
      </c>
      <c r="BY14" s="11">
        <f>IF(ISNUMBER(SEARCH(",Src,",","&amp;SUBSTITUTE(I14,", ",",")&amp;",")),1,0)</f>
        <v>0</v>
      </c>
      <c r="BZ14" s="11">
        <f>IF(ISNUMBER(SEARCH(",TCGF,",","&amp;SUBSTITUTE(I14,", ",",")&amp;",")),1,0)</f>
        <v>0</v>
      </c>
      <c r="CA14" s="11">
        <f>IF(ISNUMBER(SEARCH(",TGF-β,",","&amp;SUBSTITUTE(I14,", ",",")&amp;",")),1,0)</f>
        <v>0</v>
      </c>
      <c r="CB14" s="11">
        <f>IF(ISNUMBER(SEARCH(",TGF-β1,",","&amp;SUBSTITUTE(I14,", ",",")&amp;",")),1,0)</f>
        <v>0</v>
      </c>
      <c r="CC14" s="11">
        <f>IF(ISNUMBER(SEARCH(",TIGIT,",","&amp;SUBSTITUTE(I14,", ",",")&amp;",")),1,0)</f>
        <v>0</v>
      </c>
      <c r="CD14" s="11">
        <f>IF(ISNUMBER(SEARCH(",TLR,",","&amp;SUBSTITUTE(I14,", ",",")&amp;",")),1,0)</f>
        <v>0</v>
      </c>
      <c r="CE14" s="11">
        <f>IF(ISNUMBER(SEARCH(",TLR7/8,",","&amp;SUBSTITUTE(I14,", ",",")&amp;",")),1,0)</f>
        <v>0</v>
      </c>
      <c r="CF14" s="11">
        <f>IF(ISNUMBER(SEARCH(",TRK,",","&amp;SUBSTITUTE(I14,", ",",")&amp;",")),1,0)</f>
        <v>0</v>
      </c>
      <c r="CG14" s="11">
        <f>IF(ISNUMBER(SEARCH(",TROP2,",","&amp;SUBSTITUTE(I14,", ",",")&amp;",")),1,0)</f>
        <v>0</v>
      </c>
      <c r="CH14" s="11">
        <f>IF(ISNUMBER(SEARCH(",TS,",","&amp;SUBSTITUTE(I14,", ",",")&amp;",")),1,0)</f>
        <v>0</v>
      </c>
      <c r="CI14" s="11">
        <f>IF(ISNUMBER(SEARCH(",TYMS,",","&amp;SUBSTITUTE(I14,", ",",")&amp;",")),1,0)</f>
        <v>0</v>
      </c>
      <c r="CJ14" s="11">
        <f>IF(ISNUMBER(SEARCH(",VEGF,",","&amp;SUBSTITUTE(I14,", ",",")&amp;",")),1,0)</f>
        <v>0</v>
      </c>
      <c r="CK14" s="11">
        <f>IF(ISNUMBER(SEARCH(",VEGFA,",","&amp;SUBSTITUTE(I14,", ",",")&amp;",")),1,0)</f>
        <v>1</v>
      </c>
      <c r="CL14" s="11">
        <f>IF(ISNUMBER(SEARCH(",VEGFR2,",","&amp;SUBSTITUTE(I14,", ",",")&amp;",")),1,0)</f>
        <v>0</v>
      </c>
      <c r="CM14" s="11">
        <f>IF(ISNUMBER(SEARCH(",c-MET/MET,",","&amp;SUBSTITUTE(I14,", ",",")&amp;",")),1,0)</f>
        <v>0</v>
      </c>
      <c r="CN14" s="11">
        <f>IF(ISNUMBER(SEARCH(",p53,",","&amp;SUBSTITUTE(I14,", ",",")&amp;",")),1,0)</f>
        <v>0</v>
      </c>
      <c r="CO14" s="11">
        <f>IF(ISNUMBER(SEARCH(",pan-KRAS,",","&amp;SUBSTITUTE(I14,", ",",")&amp;",")),1,0)</f>
        <v>0</v>
      </c>
      <c r="CP14" s="11">
        <f>IF(ISNUMBER(SEARCH(",ALK,",","&amp;SUBSTITUTE(K14,", ",",")&amp;",")),1,0)</f>
        <v>0</v>
      </c>
      <c r="CQ14" s="11">
        <f>IF(ISNUMBER(SEARCH(",BRAF V600E,",","&amp;SUBSTITUTE(K14,", ",",")&amp;",")),1,0)</f>
        <v>0</v>
      </c>
      <c r="CR14" s="11">
        <f>IF(ISNUMBER(SEARCH(",EGFR,",","&amp;SUBSTITUTE(K14,", ",",")&amp;",")),1,0)</f>
        <v>0</v>
      </c>
      <c r="CS14" s="11">
        <f>IF(ISNUMBER(SEARCH(",EGFR Exon 18,",","&amp;SUBSTITUTE(K14,", ",",")&amp;",")),1,0)</f>
        <v>0</v>
      </c>
      <c r="CT14" s="11">
        <f>IF(ISNUMBER(SEARCH(",EGFR Exon 19-del,",","&amp;SUBSTITUTE(K14,", ",",")&amp;",")),1,0)</f>
        <v>0</v>
      </c>
      <c r="CU14" s="11">
        <f>IF(ISNUMBER(SEARCH(",EGFR Exon 20,",","&amp;SUBSTITUTE(K14,", ",",")&amp;",")),1,0)</f>
        <v>0</v>
      </c>
      <c r="CV14" s="11">
        <f>IF(ISNUMBER(SEARCH(",EGFR Exon 20-ins,",","&amp;SUBSTITUTE(K14,", ",",")&amp;",")),1,0)</f>
        <v>0</v>
      </c>
      <c r="CW14" s="11">
        <f>IF(ISNUMBER(SEARCH(",EGFR Exon 21,",","&amp;SUBSTITUTE(K14,", ",",")&amp;",")),1,0)</f>
        <v>0</v>
      </c>
      <c r="CX14" s="11">
        <f>IF(ISNUMBER(SEARCH(",EGFR G719A,",","&amp;SUBSTITUTE(K14,", ",",")&amp;",")),1,0)</f>
        <v>0</v>
      </c>
      <c r="CY14" s="11">
        <f>IF(ISNUMBER(SEARCH(",EGFR G719C,",","&amp;SUBSTITUTE(K14,", ",",")&amp;",")),1,0)</f>
        <v>0</v>
      </c>
      <c r="CZ14" s="11">
        <f>IF(ISNUMBER(SEARCH(",EGFR G719S,",","&amp;SUBSTITUTE(K14,", ",",")&amp;",")),1,0)</f>
        <v>0</v>
      </c>
      <c r="DA14" s="11">
        <f>IF(ISNUMBER(SEARCH(",EGFR G719X,",","&amp;SUBSTITUTE(K14,", ",",")&amp;",")),1,0)</f>
        <v>0</v>
      </c>
      <c r="DB14" s="11">
        <f>IF(ISNUMBER(SEARCH(",EGFR L858R,",","&amp;SUBSTITUTE(K14,", ",",")&amp;",")),1,0)</f>
        <v>0</v>
      </c>
      <c r="DC14" s="11">
        <f>IF(ISNUMBER(SEARCH(",EGFR L861Q,",","&amp;SUBSTITUTE(K14,", ",",")&amp;",")),1,0)</f>
        <v>0</v>
      </c>
      <c r="DD14" s="11">
        <f>IF(ISNUMBER(SEARCH(",EGFR PACC,",","&amp;SUBSTITUTE(K14,", ",",")&amp;",")),1,0)</f>
        <v>0</v>
      </c>
      <c r="DE14" s="11">
        <f>IF(ISNUMBER(SEARCH(",EGFR S768I,",","&amp;SUBSTITUTE(K14,", ",",")&amp;",")),1,0)</f>
        <v>0</v>
      </c>
      <c r="DF14" s="11">
        <f>IF(ISNUMBER(SEARCH(",EGFR T790M,",","&amp;SUBSTITUTE(K14,", ",",")&amp;",")),1,0)</f>
        <v>0</v>
      </c>
      <c r="DG14" s="11">
        <f>IF(ISNUMBER(SEARCH(",EML4-ALK,",","&amp;SUBSTITUTE(K14,", ",",")&amp;",")),1,0)</f>
        <v>0</v>
      </c>
      <c r="DH14" s="11">
        <f>IF(ISNUMBER(SEARCH(",HER2,",","&amp;SUBSTITUTE(K14,", ",",")&amp;",")),1,0)</f>
        <v>0</v>
      </c>
      <c r="DI14" s="11">
        <f>IF(ISNUMBER(SEARCH(",HER2 Exon 19,",","&amp;SUBSTITUTE(K14,", ",",")&amp;",")),1,0)</f>
        <v>0</v>
      </c>
      <c r="DJ14" s="11">
        <f>IF(ISNUMBER(SEARCH(",HER2 Exon 20,",","&amp;SUBSTITUTE(K14,", ",",")&amp;",")),1,0)</f>
        <v>0</v>
      </c>
      <c r="DK14" s="11">
        <f>IF(ISNUMBER(SEARCH(",HER2 mut,",","&amp;SUBSTITUTE(K14,", ",",")&amp;",")),1,0)</f>
        <v>0</v>
      </c>
      <c r="DL14" s="11">
        <f>IF(ISNUMBER(SEARCH(",HLA-A2,",","&amp;SUBSTITUTE(K14,", ",",")&amp;",")),1,0)</f>
        <v>0</v>
      </c>
      <c r="DM14" s="11">
        <f>IF(ISNUMBER(SEARCH(",HRAS,",","&amp;SUBSTITUTE(K14,", ",",")&amp;",")),1,0)</f>
        <v>0</v>
      </c>
      <c r="DN14" s="11">
        <f>IF(ISNUMBER(SEARCH(",KRAS,",","&amp;SUBSTITUTE(K14,", ",",")&amp;",")),1,0)</f>
        <v>0</v>
      </c>
      <c r="DO14" s="11">
        <f>IF(ISNUMBER(SEARCH(",KRAS G12C,",","&amp;SUBSTITUTE(K14,", ",",")&amp;",")),1,0)</f>
        <v>0</v>
      </c>
      <c r="DP14" s="11">
        <f>IF(ISNUMBER(SEARCH(",NRAS,",","&amp;SUBSTITUTE(K14,", ",",")&amp;",")),1,0)</f>
        <v>0</v>
      </c>
      <c r="DQ14" s="11">
        <f>IF(ISNUMBER(SEARCH(",NTRK,",","&amp;SUBSTITUTE(K14,", ",",")&amp;",")),1,0)</f>
        <v>0</v>
      </c>
      <c r="DR14" s="11">
        <f>IF(ISNUMBER(SEARCH(",PD-L1,",","&amp;SUBSTITUTE(K14,", ",",")&amp;",")),1,0)</f>
        <v>0</v>
      </c>
      <c r="DS14" s="11">
        <f>IF(ISNUMBER(SEARCH(",PD-L1 IC ≥ 1%,",","&amp;SUBSTITUTE(K14,", ",",")&amp;",")),1,0)</f>
        <v>0</v>
      </c>
      <c r="DT14" s="11">
        <f>IF(ISNUMBER(SEARCH(",PD-L1 TC ≥ 1%,",","&amp;SUBSTITUTE(K14,", ",",")&amp;",")),1,0)</f>
        <v>0</v>
      </c>
      <c r="DU14" s="11">
        <f>IF(ISNUMBER(SEARCH(",PD-L1 TC ≥ 50%,",","&amp;SUBSTITUTE(K14,", ",",")&amp;",")),1,0)</f>
        <v>0</v>
      </c>
      <c r="DV14" s="11">
        <f>IF(ISNUMBER(SEARCH(",PD-L1 TPS &lt; 50%,",","&amp;SUBSTITUTE(K14,", ",",")&amp;",")),1,0)</f>
        <v>0</v>
      </c>
      <c r="DW14" s="11">
        <f>IF(ISNUMBER(SEARCH(",PD-L1 TPS ≥ 1%,",","&amp;SUBSTITUTE(K14,", ",",")&amp;",")),1,0)</f>
        <v>0</v>
      </c>
      <c r="DX14" s="11">
        <f>IF(ISNUMBER(SEARCH(",PD-L1 TPS ≥ 50%,",","&amp;SUBSTITUTE(K14,", ",",")&amp;",")),1,0)</f>
        <v>0</v>
      </c>
      <c r="DY14" s="11">
        <f>IF(ISNUMBER(SEARCH(",RAS,",","&amp;SUBSTITUTE(K14,", ",",")&amp;",")),1,0)</f>
        <v>0</v>
      </c>
      <c r="DZ14" s="11">
        <f>IF(ISNUMBER(SEARCH(",RET,",","&amp;SUBSTITUTE(K14,", ",",")&amp;",")),1,0)</f>
        <v>0</v>
      </c>
      <c r="EA14" s="11">
        <f>IF(ISNUMBER(SEARCH(",ROS1,",","&amp;SUBSTITUTE(K14,", ",",")&amp;",")),1,0)</f>
        <v>0</v>
      </c>
      <c r="EB14" s="11">
        <f>IF(ISNUMBER(SEARCH(",TROP2,",","&amp;SUBSTITUTE(K14,", ",",")&amp;",")),1,0)</f>
        <v>0</v>
      </c>
      <c r="EC14" s="11">
        <f>IF(ISNUMBER(SEARCH(",c-MET/MET,",","&amp;SUBSTITUTE(K14,", ",",")&amp;",")),1,0)</f>
        <v>0</v>
      </c>
      <c r="ED14" s="11">
        <f>IF(ISNUMBER(SEARCH(",c-MET/MET Exon 14,",","&amp;SUBSTITUTE(K14,", ",",")&amp;",")),1,0)</f>
        <v>0</v>
      </c>
      <c r="EE14" s="11">
        <f>IF(ISNUMBER(SEARCH(",ctDNA/cfDNA,",","&amp;SUBSTITUTE(K14,", ",",")&amp;",")),1,0)</f>
        <v>0</v>
      </c>
    </row>
    <row r="15" spans="1:135" ht="15" customHeight="1" x14ac:dyDescent="0.2">
      <c r="A15" s="5" t="s">
        <v>1379</v>
      </c>
      <c r="B15" s="5" t="s">
        <v>1380</v>
      </c>
      <c r="C15" s="5" t="s">
        <v>1314</v>
      </c>
      <c r="D15" s="5" t="s">
        <v>1314</v>
      </c>
      <c r="E15" s="5"/>
      <c r="F15" s="5"/>
      <c r="G15" s="5"/>
      <c r="H15" s="5" t="s">
        <v>114</v>
      </c>
      <c r="I15" s="5" t="s">
        <v>1383</v>
      </c>
      <c r="J15" s="5" t="s">
        <v>1382</v>
      </c>
      <c r="K15" s="5" t="s">
        <v>1385</v>
      </c>
      <c r="L15" s="5" t="s">
        <v>119</v>
      </c>
      <c r="M15" s="5" t="s">
        <v>113</v>
      </c>
      <c r="N15" s="5" t="s">
        <v>120</v>
      </c>
      <c r="O15" s="5" t="s">
        <v>120</v>
      </c>
      <c r="P15" s="5" t="s">
        <v>1381</v>
      </c>
      <c r="Q15" s="10" t="str">
        <f>IF(F15="Stage IV","Stage IV Only",IF(AND(ISNUMBER(SEARCH("IV",F15)),LEN(F15)&gt;LEN("Stage IV")),"Stage IV + Other",IF(AND(ISNUMBER(SEARCH("III",F15)),NOT(ISNUMBER(SEARCH("IV",F15)))),"Stage III Only","Other")))</f>
        <v>Other</v>
      </c>
      <c r="R15" s="10" t="str">
        <f>IF(AND(ISNUMBER(SEARCH("Non-squamous",G15)),ISNUMBER(SEARCH("Squamous",SUBSTITUTE(G15,"Non-squamous","")))),"Both",IF(ISNUMBER(SEARCH("Non-squamous",G15)),"Non-squamous",IF(ISNUMBER(SEARCH("Squamous",G15)),"Squamous","Unspecified")))</f>
        <v>Unspecified</v>
      </c>
      <c r="S15" s="10" t="str">
        <f>IF(OR(ISNUMBER(SEARCH("TPS ≥ 50%",K15)),ISNUMBER(SEARCH("TC ≥ 50%",K15))),"TPS ≥ 50%",IF(OR(ISNUMBER(SEARCH("TPS ≥ 1%",K15)),ISNUMBER(SEARCH("TC ≥ 1%",K15)),ISNUMBER(SEARCH("TPS &lt; 50%",K15)),ISNUMBER(SEARCH("IC ≥ 1%",K15))),"TPS 1-49%","All-comers"))</f>
        <v>All-comers</v>
      </c>
      <c r="T15" s="10">
        <f>IF(H15="Phase III",1,0)</f>
        <v>1</v>
      </c>
      <c r="U15" s="10">
        <f>IF(L15="Yes",1,0)</f>
        <v>0</v>
      </c>
      <c r="V15" s="11">
        <f>IF(ISNUMBER(SEARCH(",ALK,",","&amp;SUBSTITUTE(I15,", ",",")&amp;",")),1,0)</f>
        <v>0</v>
      </c>
      <c r="W15" s="11">
        <f>IF(ISNUMBER(SEARCH(",ALK L1196M,",","&amp;SUBSTITUTE(I15,", ",",")&amp;",")),1,0)</f>
        <v>0</v>
      </c>
      <c r="X15" s="11">
        <f>IF(ISNUMBER(SEARCH(",AXL,",","&amp;SUBSTITUTE(I15,", ",",")&amp;",")),1,0)</f>
        <v>0</v>
      </c>
      <c r="Y15" s="11">
        <f>IF(ISNUMBER(SEARCH(",B7-H1,",","&amp;SUBSTITUTE(I15,", ",",")&amp;",")),1,0)</f>
        <v>0</v>
      </c>
      <c r="Z15" s="11">
        <f>IF(ISNUMBER(SEARCH(",CD152,",","&amp;SUBSTITUTE(I15,", ",",")&amp;",")),1,0)</f>
        <v>0</v>
      </c>
      <c r="AA15" s="11">
        <f>IF(ISNUMBER(SEARCH(",CD274,",","&amp;SUBSTITUTE(I15,", ",",")&amp;",")),1,0)</f>
        <v>0</v>
      </c>
      <c r="AB15" s="11">
        <f>IF(ISNUMBER(SEARCH(",CD279,",","&amp;SUBSTITUTE(I15,", ",",")&amp;",")),1,0)</f>
        <v>1</v>
      </c>
      <c r="AC15" s="11">
        <f>IF(ISNUMBER(SEARCH(",CD73,",","&amp;SUBSTITUTE(I15,", ",",")&amp;",")),1,0)</f>
        <v>0</v>
      </c>
      <c r="AD15" s="11">
        <f>IF(ISNUMBER(SEARCH(",CEA,",","&amp;SUBSTITUTE(I15,", ",",")&amp;",")),1,0)</f>
        <v>0</v>
      </c>
      <c r="AE15" s="11">
        <f>IF(ISNUMBER(SEARCH(",CTLA-4,",","&amp;SUBSTITUTE(I15,", ",",")&amp;",")),1,0)</f>
        <v>0</v>
      </c>
      <c r="AF15" s="11">
        <f>IF(ISNUMBER(SEARCH(",EGFR,",","&amp;SUBSTITUTE(I15,", ",",")&amp;",")),1,0)</f>
        <v>0</v>
      </c>
      <c r="AG15" s="11">
        <f>IF(ISNUMBER(SEARCH(",EGFR C797G,",","&amp;SUBSTITUTE(I15,", ",",")&amp;",")),1,0)</f>
        <v>0</v>
      </c>
      <c r="AH15" s="11">
        <f>IF(ISNUMBER(SEARCH(",EGFR C797S,",","&amp;SUBSTITUTE(I15,", ",",")&amp;",")),1,0)</f>
        <v>0</v>
      </c>
      <c r="AI15" s="11">
        <f>IF(ISNUMBER(SEARCH(",EGFR Exon 19-del,",","&amp;SUBSTITUTE(I15,", ",",")&amp;",")),1,0)</f>
        <v>0</v>
      </c>
      <c r="AJ15" s="11">
        <f>IF(ISNUMBER(SEARCH(",EGFR Exon 20,",","&amp;SUBSTITUTE(I15,", ",",")&amp;",")),1,0)</f>
        <v>0</v>
      </c>
      <c r="AK15" s="11">
        <f>IF(ISNUMBER(SEARCH(",EGFR L858R,",","&amp;SUBSTITUTE(I15,", ",",")&amp;",")),1,0)</f>
        <v>0</v>
      </c>
      <c r="AL15" s="11">
        <f>IF(ISNUMBER(SEARCH(",EGFR T790M,",","&amp;SUBSTITUTE(I15,", ",",")&amp;",")),1,0)</f>
        <v>0</v>
      </c>
      <c r="AM15" s="11">
        <f>IF(ISNUMBER(SEARCH(",ERBB,",","&amp;SUBSTITUTE(I15,", ",",")&amp;",")),1,0)</f>
        <v>0</v>
      </c>
      <c r="AN15" s="11">
        <f>IF(ISNUMBER(SEARCH(",ERBB3,",","&amp;SUBSTITUTE(I15,", ",",")&amp;",")),1,0)</f>
        <v>0</v>
      </c>
      <c r="AO15" s="11">
        <f>IF(ISNUMBER(SEARCH(",FAK,",","&amp;SUBSTITUTE(I15,", ",",")&amp;",")),1,0)</f>
        <v>0</v>
      </c>
      <c r="AP15" s="11">
        <f>IF(ISNUMBER(SEARCH(",GARP,",","&amp;SUBSTITUTE(I15,", ",",")&amp;",")),1,0)</f>
        <v>0</v>
      </c>
      <c r="AQ15" s="11">
        <f>IF(ISNUMBER(SEARCH(",HER1,",","&amp;SUBSTITUTE(I15,", ",",")&amp;",")),1,0)</f>
        <v>0</v>
      </c>
      <c r="AR15" s="11">
        <f>IF(ISNUMBER(SEARCH(",HER2,",","&amp;SUBSTITUTE(I15,", ",",")&amp;",")),1,0)</f>
        <v>0</v>
      </c>
      <c r="AS15" s="11">
        <f>IF(ISNUMBER(SEARCH(",HER2 Exon 20,",","&amp;SUBSTITUTE(I15,", ",",")&amp;",")),1,0)</f>
        <v>0</v>
      </c>
      <c r="AT15" s="11">
        <f>IF(ISNUMBER(SEARCH(",HER3,",","&amp;SUBSTITUTE(I15,", ",",")&amp;",")),1,0)</f>
        <v>0</v>
      </c>
      <c r="AU15" s="11">
        <f>IF(ISNUMBER(SEARCH(",HER4,",","&amp;SUBSTITUTE(I15,", ",",")&amp;",")),1,0)</f>
        <v>0</v>
      </c>
      <c r="AV15" s="11">
        <f>IF(ISNUMBER(SEARCH(",HRAS,",","&amp;SUBSTITUTE(I15,", ",",")&amp;",")),1,0)</f>
        <v>1</v>
      </c>
      <c r="AW15" s="11">
        <f>IF(ISNUMBER(SEARCH(",HSV-TK,",","&amp;SUBSTITUTE(I15,", ",",")&amp;",")),1,0)</f>
        <v>0</v>
      </c>
      <c r="AX15" s="11">
        <f>IF(ISNUMBER(SEARCH(",IL-12,",","&amp;SUBSTITUTE(I15,", ",",")&amp;",")),1,0)</f>
        <v>0</v>
      </c>
      <c r="AY15" s="11">
        <f>IF(ISNUMBER(SEARCH(",IL-15,",","&amp;SUBSTITUTE(I15,", ",",")&amp;",")),1,0)</f>
        <v>0</v>
      </c>
      <c r="AZ15" s="11">
        <f>IF(ISNUMBER(SEARCH(",IL-15R,",","&amp;SUBSTITUTE(I15,", ",",")&amp;",")),1,0)</f>
        <v>0</v>
      </c>
      <c r="BA15" s="11">
        <f>IF(ISNUMBER(SEARCH(",IL-2,",","&amp;SUBSTITUTE(I15,", ",",")&amp;",")),1,0)</f>
        <v>0</v>
      </c>
      <c r="BB15" s="11">
        <f>IF(ISNUMBER(SEARCH(",Integrin β6,",","&amp;SUBSTITUTE(I15,", ",",")&amp;",")),1,0)</f>
        <v>0</v>
      </c>
      <c r="BC15" s="11">
        <f>IF(ISNUMBER(SEARCH(",KDR,",","&amp;SUBSTITUTE(I15,", ",",")&amp;",")),1,0)</f>
        <v>0</v>
      </c>
      <c r="BD15" s="11">
        <f>IF(ISNUMBER(SEARCH(",KLRC1,",","&amp;SUBSTITUTE(I15,", ",",")&amp;",")),1,0)</f>
        <v>0</v>
      </c>
      <c r="BE15" s="11">
        <f>IF(ISNUMBER(SEARCH(",KRAS,",","&amp;SUBSTITUTE(I15,", ",",")&amp;",")),1,0)</f>
        <v>1</v>
      </c>
      <c r="BF15" s="11">
        <f>IF(ISNUMBER(SEARCH(",KRAS G12,",","&amp;SUBSTITUTE(I15,", ",",")&amp;",")),1,0)</f>
        <v>1</v>
      </c>
      <c r="BG15" s="11">
        <f>IF(ISNUMBER(SEARCH(",KRAS G12C,",","&amp;SUBSTITUTE(I15,", ",",")&amp;",")),1,0)</f>
        <v>1</v>
      </c>
      <c r="BH15" s="11">
        <f>IF(ISNUMBER(SEARCH(",KRAS G12D,",","&amp;SUBSTITUTE(I15,", ",",")&amp;",")),1,0)</f>
        <v>1</v>
      </c>
      <c r="BI15" s="11">
        <f>IF(ISNUMBER(SEARCH(",LAG-3,",","&amp;SUBSTITUTE(I15,", ",",")&amp;",")),1,0)</f>
        <v>0</v>
      </c>
      <c r="BJ15" s="11">
        <f>IF(ISNUMBER(SEARCH(",MAGE-A2,",","&amp;SUBSTITUTE(I15,", ",",")&amp;",")),1,0)</f>
        <v>0</v>
      </c>
      <c r="BK15" s="11">
        <f>IF(ISNUMBER(SEARCH(",MAGE-A3,",","&amp;SUBSTITUTE(I15,", ",",")&amp;",")),1,0)</f>
        <v>0</v>
      </c>
      <c r="BL15" s="11">
        <f>IF(ISNUMBER(SEARCH(",MLN19,",","&amp;SUBSTITUTE(I15,", ",",")&amp;",")),1,0)</f>
        <v>0</v>
      </c>
      <c r="BM15" s="11">
        <f>IF(ISNUMBER(SEARCH(",Microtubule,",","&amp;SUBSTITUTE(I15,", ",",")&amp;",")),1,0)</f>
        <v>0</v>
      </c>
      <c r="BN15" s="11">
        <f>IF(ISNUMBER(SEARCH(",NKG2A,",","&amp;SUBSTITUTE(I15,", ",",")&amp;",")),1,0)</f>
        <v>0</v>
      </c>
      <c r="BO15" s="11">
        <f>IF(ISNUMBER(SEARCH(",NRAS,",","&amp;SUBSTITUTE(I15,", ",",")&amp;",")),1,0)</f>
        <v>1</v>
      </c>
      <c r="BP15" s="11">
        <f>IF(ISNUMBER(SEARCH(",NTRK,",","&amp;SUBSTITUTE(I15,", ",",")&amp;",")),1,0)</f>
        <v>0</v>
      </c>
      <c r="BQ15" s="11">
        <f>IF(ISNUMBER(SEARCH(",PARP,",","&amp;SUBSTITUTE(I15,", ",",")&amp;",")),1,0)</f>
        <v>0</v>
      </c>
      <c r="BR15" s="11">
        <f>IF(ISNUMBER(SEARCH(",PD-1,",","&amp;SUBSTITUTE(I15,", ",",")&amp;",")),1,0)</f>
        <v>1</v>
      </c>
      <c r="BS15" s="11">
        <f>IF(ISNUMBER(SEARCH(",PD-L1,",","&amp;SUBSTITUTE(I15,", ",",")&amp;",")),1,0)</f>
        <v>0</v>
      </c>
      <c r="BT15" s="11">
        <f>IF(ISNUMBER(SEARCH(",PRMT5,",","&amp;SUBSTITUTE(I15,", ",",")&amp;",")),1,0)</f>
        <v>0</v>
      </c>
      <c r="BU15" s="11">
        <f>IF(ISNUMBER(SEARCH(",RAS,",","&amp;SUBSTITUTE(I15,", ",",")&amp;",")),1,0)</f>
        <v>1</v>
      </c>
      <c r="BV15" s="11">
        <f>IF(ISNUMBER(SEARCH(",RET,",","&amp;SUBSTITUTE(I15,", ",",")&amp;",")),1,0)</f>
        <v>0</v>
      </c>
      <c r="BW15" s="11">
        <f>IF(ISNUMBER(SEARCH(",ROS,",","&amp;SUBSTITUTE(I15,", ",",")&amp;",")),1,0)</f>
        <v>0</v>
      </c>
      <c r="BX15" s="11">
        <f>IF(ISNUMBER(SEARCH(",ROS1,",","&amp;SUBSTITUTE(I15,", ",",")&amp;",")),1,0)</f>
        <v>0</v>
      </c>
      <c r="BY15" s="11">
        <f>IF(ISNUMBER(SEARCH(",Src,",","&amp;SUBSTITUTE(I15,", ",",")&amp;",")),1,0)</f>
        <v>0</v>
      </c>
      <c r="BZ15" s="11">
        <f>IF(ISNUMBER(SEARCH(",TCGF,",","&amp;SUBSTITUTE(I15,", ",",")&amp;",")),1,0)</f>
        <v>0</v>
      </c>
      <c r="CA15" s="11">
        <f>IF(ISNUMBER(SEARCH(",TGF-β,",","&amp;SUBSTITUTE(I15,", ",",")&amp;",")),1,0)</f>
        <v>0</v>
      </c>
      <c r="CB15" s="11">
        <f>IF(ISNUMBER(SEARCH(",TGF-β1,",","&amp;SUBSTITUTE(I15,", ",",")&amp;",")),1,0)</f>
        <v>0</v>
      </c>
      <c r="CC15" s="11">
        <f>IF(ISNUMBER(SEARCH(",TIGIT,",","&amp;SUBSTITUTE(I15,", ",",")&amp;",")),1,0)</f>
        <v>0</v>
      </c>
      <c r="CD15" s="11">
        <f>IF(ISNUMBER(SEARCH(",TLR,",","&amp;SUBSTITUTE(I15,", ",",")&amp;",")),1,0)</f>
        <v>0</v>
      </c>
      <c r="CE15" s="11">
        <f>IF(ISNUMBER(SEARCH(",TLR7/8,",","&amp;SUBSTITUTE(I15,", ",",")&amp;",")),1,0)</f>
        <v>0</v>
      </c>
      <c r="CF15" s="11">
        <f>IF(ISNUMBER(SEARCH(",TRK,",","&amp;SUBSTITUTE(I15,", ",",")&amp;",")),1,0)</f>
        <v>0</v>
      </c>
      <c r="CG15" s="11">
        <f>IF(ISNUMBER(SEARCH(",TROP2,",","&amp;SUBSTITUTE(I15,", ",",")&amp;",")),1,0)</f>
        <v>0</v>
      </c>
      <c r="CH15" s="11">
        <f>IF(ISNUMBER(SEARCH(",TS,",","&amp;SUBSTITUTE(I15,", ",",")&amp;",")),1,0)</f>
        <v>1</v>
      </c>
      <c r="CI15" s="11">
        <f>IF(ISNUMBER(SEARCH(",TYMS,",","&amp;SUBSTITUTE(I15,", ",",")&amp;",")),1,0)</f>
        <v>1</v>
      </c>
      <c r="CJ15" s="11">
        <f>IF(ISNUMBER(SEARCH(",VEGF,",","&amp;SUBSTITUTE(I15,", ",",")&amp;",")),1,0)</f>
        <v>0</v>
      </c>
      <c r="CK15" s="11">
        <f>IF(ISNUMBER(SEARCH(",VEGFA,",","&amp;SUBSTITUTE(I15,", ",",")&amp;",")),1,0)</f>
        <v>0</v>
      </c>
      <c r="CL15" s="11">
        <f>IF(ISNUMBER(SEARCH(",VEGFR2,",","&amp;SUBSTITUTE(I15,", ",",")&amp;",")),1,0)</f>
        <v>0</v>
      </c>
      <c r="CM15" s="11">
        <f>IF(ISNUMBER(SEARCH(",c-MET/MET,",","&amp;SUBSTITUTE(I15,", ",",")&amp;",")),1,0)</f>
        <v>0</v>
      </c>
      <c r="CN15" s="11">
        <f>IF(ISNUMBER(SEARCH(",p53,",","&amp;SUBSTITUTE(I15,", ",",")&amp;",")),1,0)</f>
        <v>0</v>
      </c>
      <c r="CO15" s="11">
        <f>IF(ISNUMBER(SEARCH(",pan-KRAS,",","&amp;SUBSTITUTE(I15,", ",",")&amp;",")),1,0)</f>
        <v>1</v>
      </c>
      <c r="CP15" s="11">
        <f>IF(ISNUMBER(SEARCH(",ALK,",","&amp;SUBSTITUTE(K15,", ",",")&amp;",")),1,0)</f>
        <v>0</v>
      </c>
      <c r="CQ15" s="11">
        <f>IF(ISNUMBER(SEARCH(",BRAF V600E,",","&amp;SUBSTITUTE(K15,", ",",")&amp;",")),1,0)</f>
        <v>0</v>
      </c>
      <c r="CR15" s="11">
        <f>IF(ISNUMBER(SEARCH(",EGFR,",","&amp;SUBSTITUTE(K15,", ",",")&amp;",")),1,0)</f>
        <v>0</v>
      </c>
      <c r="CS15" s="11">
        <f>IF(ISNUMBER(SEARCH(",EGFR Exon 18,",","&amp;SUBSTITUTE(K15,", ",",")&amp;",")),1,0)</f>
        <v>0</v>
      </c>
      <c r="CT15" s="11">
        <f>IF(ISNUMBER(SEARCH(",EGFR Exon 19-del,",","&amp;SUBSTITUTE(K15,", ",",")&amp;",")),1,0)</f>
        <v>0</v>
      </c>
      <c r="CU15" s="11">
        <f>IF(ISNUMBER(SEARCH(",EGFR Exon 20,",","&amp;SUBSTITUTE(K15,", ",",")&amp;",")),1,0)</f>
        <v>0</v>
      </c>
      <c r="CV15" s="11">
        <f>IF(ISNUMBER(SEARCH(",EGFR Exon 20-ins,",","&amp;SUBSTITUTE(K15,", ",",")&amp;",")),1,0)</f>
        <v>0</v>
      </c>
      <c r="CW15" s="11">
        <f>IF(ISNUMBER(SEARCH(",EGFR Exon 21,",","&amp;SUBSTITUTE(K15,", ",",")&amp;",")),1,0)</f>
        <v>0</v>
      </c>
      <c r="CX15" s="11">
        <f>IF(ISNUMBER(SEARCH(",EGFR G719A,",","&amp;SUBSTITUTE(K15,", ",",")&amp;",")),1,0)</f>
        <v>0</v>
      </c>
      <c r="CY15" s="11">
        <f>IF(ISNUMBER(SEARCH(",EGFR G719C,",","&amp;SUBSTITUTE(K15,", ",",")&amp;",")),1,0)</f>
        <v>0</v>
      </c>
      <c r="CZ15" s="11">
        <f>IF(ISNUMBER(SEARCH(",EGFR G719S,",","&amp;SUBSTITUTE(K15,", ",",")&amp;",")),1,0)</f>
        <v>0</v>
      </c>
      <c r="DA15" s="11">
        <f>IF(ISNUMBER(SEARCH(",EGFR G719X,",","&amp;SUBSTITUTE(K15,", ",",")&amp;",")),1,0)</f>
        <v>0</v>
      </c>
      <c r="DB15" s="11">
        <f>IF(ISNUMBER(SEARCH(",EGFR L858R,",","&amp;SUBSTITUTE(K15,", ",",")&amp;",")),1,0)</f>
        <v>0</v>
      </c>
      <c r="DC15" s="11">
        <f>IF(ISNUMBER(SEARCH(",EGFR L861Q,",","&amp;SUBSTITUTE(K15,", ",",")&amp;",")),1,0)</f>
        <v>0</v>
      </c>
      <c r="DD15" s="11">
        <f>IF(ISNUMBER(SEARCH(",EGFR PACC,",","&amp;SUBSTITUTE(K15,", ",",")&amp;",")),1,0)</f>
        <v>0</v>
      </c>
      <c r="DE15" s="11">
        <f>IF(ISNUMBER(SEARCH(",EGFR S768I,",","&amp;SUBSTITUTE(K15,", ",",")&amp;",")),1,0)</f>
        <v>0</v>
      </c>
      <c r="DF15" s="11">
        <f>IF(ISNUMBER(SEARCH(",EGFR T790M,",","&amp;SUBSTITUTE(K15,", ",",")&amp;",")),1,0)</f>
        <v>0</v>
      </c>
      <c r="DG15" s="11">
        <f>IF(ISNUMBER(SEARCH(",EML4-ALK,",","&amp;SUBSTITUTE(K15,", ",",")&amp;",")),1,0)</f>
        <v>0</v>
      </c>
      <c r="DH15" s="11">
        <f>IF(ISNUMBER(SEARCH(",HER2,",","&amp;SUBSTITUTE(K15,", ",",")&amp;",")),1,0)</f>
        <v>0</v>
      </c>
      <c r="DI15" s="11">
        <f>IF(ISNUMBER(SEARCH(",HER2 Exon 19,",","&amp;SUBSTITUTE(K15,", ",",")&amp;",")),1,0)</f>
        <v>0</v>
      </c>
      <c r="DJ15" s="11">
        <f>IF(ISNUMBER(SEARCH(",HER2 Exon 20,",","&amp;SUBSTITUTE(K15,", ",",")&amp;",")),1,0)</f>
        <v>0</v>
      </c>
      <c r="DK15" s="11">
        <f>IF(ISNUMBER(SEARCH(",HER2 mut,",","&amp;SUBSTITUTE(K15,", ",",")&amp;",")),1,0)</f>
        <v>0</v>
      </c>
      <c r="DL15" s="11">
        <f>IF(ISNUMBER(SEARCH(",HLA-A2,",","&amp;SUBSTITUTE(K15,", ",",")&amp;",")),1,0)</f>
        <v>0</v>
      </c>
      <c r="DM15" s="11">
        <f>IF(ISNUMBER(SEARCH(",HRAS,",","&amp;SUBSTITUTE(K15,", ",",")&amp;",")),1,0)</f>
        <v>0</v>
      </c>
      <c r="DN15" s="11">
        <f>IF(ISNUMBER(SEARCH(",KRAS,",","&amp;SUBSTITUTE(K15,", ",",")&amp;",")),1,0)</f>
        <v>0</v>
      </c>
      <c r="DO15" s="11">
        <f>IF(ISNUMBER(SEARCH(",KRAS G12C,",","&amp;SUBSTITUTE(K15,", ",",")&amp;",")),1,0)</f>
        <v>0</v>
      </c>
      <c r="DP15" s="11">
        <f>IF(ISNUMBER(SEARCH(",NRAS,",","&amp;SUBSTITUTE(K15,", ",",")&amp;",")),1,0)</f>
        <v>0</v>
      </c>
      <c r="DQ15" s="11">
        <f>IF(ISNUMBER(SEARCH(",NTRK,",","&amp;SUBSTITUTE(K15,", ",",")&amp;",")),1,0)</f>
        <v>0</v>
      </c>
      <c r="DR15" s="11">
        <f>IF(ISNUMBER(SEARCH(",PD-L1,",","&amp;SUBSTITUTE(K15,", ",",")&amp;",")),1,0)</f>
        <v>0</v>
      </c>
      <c r="DS15" s="11">
        <f>IF(ISNUMBER(SEARCH(",PD-L1 IC ≥ 1%,",","&amp;SUBSTITUTE(K15,", ",",")&amp;",")),1,0)</f>
        <v>0</v>
      </c>
      <c r="DT15" s="11">
        <f>IF(ISNUMBER(SEARCH(",PD-L1 TC ≥ 1%,",","&amp;SUBSTITUTE(K15,", ",",")&amp;",")),1,0)</f>
        <v>0</v>
      </c>
      <c r="DU15" s="11">
        <f>IF(ISNUMBER(SEARCH(",PD-L1 TC ≥ 50%,",","&amp;SUBSTITUTE(K15,", ",",")&amp;",")),1,0)</f>
        <v>0</v>
      </c>
      <c r="DV15" s="11">
        <f>IF(ISNUMBER(SEARCH(",PD-L1 TPS &lt; 50%,",","&amp;SUBSTITUTE(K15,", ",",")&amp;",")),1,0)</f>
        <v>0</v>
      </c>
      <c r="DW15" s="11">
        <f>IF(ISNUMBER(SEARCH(",PD-L1 TPS ≥ 1%,",","&amp;SUBSTITUTE(K15,", ",",")&amp;",")),1,0)</f>
        <v>0</v>
      </c>
      <c r="DX15" s="11">
        <f>IF(ISNUMBER(SEARCH(",PD-L1 TPS ≥ 50%,",","&amp;SUBSTITUTE(K15,", ",",")&amp;",")),1,0)</f>
        <v>0</v>
      </c>
      <c r="DY15" s="11">
        <f>IF(ISNUMBER(SEARCH(",RAS,",","&amp;SUBSTITUTE(K15,", ",",")&amp;",")),1,0)</f>
        <v>1</v>
      </c>
      <c r="DZ15" s="11">
        <f>IF(ISNUMBER(SEARCH(",RET,",","&amp;SUBSTITUTE(K15,", ",",")&amp;",")),1,0)</f>
        <v>0</v>
      </c>
      <c r="EA15" s="11">
        <f>IF(ISNUMBER(SEARCH(",ROS1,",","&amp;SUBSTITUTE(K15,", ",",")&amp;",")),1,0)</f>
        <v>0</v>
      </c>
      <c r="EB15" s="11">
        <f>IF(ISNUMBER(SEARCH(",TROP2,",","&amp;SUBSTITUTE(K15,", ",",")&amp;",")),1,0)</f>
        <v>0</v>
      </c>
      <c r="EC15" s="11">
        <f>IF(ISNUMBER(SEARCH(",c-MET/MET,",","&amp;SUBSTITUTE(K15,", ",",")&amp;",")),1,0)</f>
        <v>0</v>
      </c>
      <c r="ED15" s="11">
        <f>IF(ISNUMBER(SEARCH(",c-MET/MET Exon 14,",","&amp;SUBSTITUTE(K15,", ",",")&amp;",")),1,0)</f>
        <v>0</v>
      </c>
      <c r="EE15" s="11">
        <f>IF(ISNUMBER(SEARCH(",ctDNA/cfDNA,",","&amp;SUBSTITUTE(K15,", ",",")&amp;",")),1,0)</f>
        <v>0</v>
      </c>
    </row>
    <row r="16" spans="1:135" ht="15" customHeight="1" x14ac:dyDescent="0.2">
      <c r="A16" s="5" t="s">
        <v>960</v>
      </c>
      <c r="B16" s="5" t="s">
        <v>962</v>
      </c>
      <c r="C16" s="5" t="s">
        <v>833</v>
      </c>
      <c r="D16" s="5" t="s">
        <v>833</v>
      </c>
      <c r="E16" s="5" t="s">
        <v>350</v>
      </c>
      <c r="F16" s="5" t="s">
        <v>572</v>
      </c>
      <c r="G16" s="5" t="s">
        <v>181</v>
      </c>
      <c r="H16" s="5" t="s">
        <v>114</v>
      </c>
      <c r="I16" s="5" t="s">
        <v>966</v>
      </c>
      <c r="J16" s="5" t="s">
        <v>965</v>
      </c>
      <c r="K16" s="5"/>
      <c r="L16" s="5" t="s">
        <v>119</v>
      </c>
      <c r="M16" s="5" t="s">
        <v>113</v>
      </c>
      <c r="N16" s="5" t="s">
        <v>120</v>
      </c>
      <c r="O16" s="5" t="s">
        <v>120</v>
      </c>
      <c r="P16" s="5" t="s">
        <v>963</v>
      </c>
      <c r="Q16" s="10" t="str">
        <f>IF(F16="Stage IV","Stage IV Only",IF(AND(ISNUMBER(SEARCH("IV",F16)),LEN(F16)&gt;LEN("Stage IV")),"Stage IV + Other",IF(AND(ISNUMBER(SEARCH("III",F16)),NOT(ISNUMBER(SEARCH("IV",F16)))),"Stage III Only","Other")))</f>
        <v>Stage IV + Other</v>
      </c>
      <c r="R16" s="10" t="str">
        <f>IF(AND(ISNUMBER(SEARCH("Non-squamous",G16)),ISNUMBER(SEARCH("Squamous",SUBSTITUTE(G16,"Non-squamous","")))),"Both",IF(ISNUMBER(SEARCH("Non-squamous",G16)),"Non-squamous",IF(ISNUMBER(SEARCH("Squamous",G16)),"Squamous","Unspecified")))</f>
        <v>Non-squamous</v>
      </c>
      <c r="S16" s="10" t="str">
        <f>IF(OR(ISNUMBER(SEARCH("TPS ≥ 50%",K16)),ISNUMBER(SEARCH("TC ≥ 50%",K16))),"TPS ≥ 50%",IF(OR(ISNUMBER(SEARCH("TPS ≥ 1%",K16)),ISNUMBER(SEARCH("TC ≥ 1%",K16)),ISNUMBER(SEARCH("TPS &lt; 50%",K16)),ISNUMBER(SEARCH("IC ≥ 1%",K16))),"TPS 1-49%","All-comers"))</f>
        <v>All-comers</v>
      </c>
      <c r="T16" s="10">
        <f>IF(H16="Phase III",1,0)</f>
        <v>1</v>
      </c>
      <c r="U16" s="10">
        <f>IF(L16="Yes",1,0)</f>
        <v>0</v>
      </c>
      <c r="V16" s="11">
        <f>IF(ISNUMBER(SEARCH(",ALK,",","&amp;SUBSTITUTE(I16,", ",",")&amp;",")),1,0)</f>
        <v>0</v>
      </c>
      <c r="W16" s="11">
        <f>IF(ISNUMBER(SEARCH(",ALK L1196M,",","&amp;SUBSTITUTE(I16,", ",",")&amp;",")),1,0)</f>
        <v>0</v>
      </c>
      <c r="X16" s="11">
        <f>IF(ISNUMBER(SEARCH(",AXL,",","&amp;SUBSTITUTE(I16,", ",",")&amp;",")),1,0)</f>
        <v>0</v>
      </c>
      <c r="Y16" s="11">
        <f>IF(ISNUMBER(SEARCH(",B7-H1,",","&amp;SUBSTITUTE(I16,", ",",")&amp;",")),1,0)</f>
        <v>1</v>
      </c>
      <c r="Z16" s="11">
        <f>IF(ISNUMBER(SEARCH(",CD152,",","&amp;SUBSTITUTE(I16,", ",",")&amp;",")),1,0)</f>
        <v>0</v>
      </c>
      <c r="AA16" s="11">
        <f>IF(ISNUMBER(SEARCH(",CD274,",","&amp;SUBSTITUTE(I16,", ",",")&amp;",")),1,0)</f>
        <v>1</v>
      </c>
      <c r="AB16" s="11">
        <f>IF(ISNUMBER(SEARCH(",CD279,",","&amp;SUBSTITUTE(I16,", ",",")&amp;",")),1,0)</f>
        <v>0</v>
      </c>
      <c r="AC16" s="11">
        <f>IF(ISNUMBER(SEARCH(",CD73,",","&amp;SUBSTITUTE(I16,", ",",")&amp;",")),1,0)</f>
        <v>0</v>
      </c>
      <c r="AD16" s="11">
        <f>IF(ISNUMBER(SEARCH(",CEA,",","&amp;SUBSTITUTE(I16,", ",",")&amp;",")),1,0)</f>
        <v>0</v>
      </c>
      <c r="AE16" s="11">
        <f>IF(ISNUMBER(SEARCH(",CTLA-4,",","&amp;SUBSTITUTE(I16,", ",",")&amp;",")),1,0)</f>
        <v>0</v>
      </c>
      <c r="AF16" s="11">
        <f>IF(ISNUMBER(SEARCH(",EGFR,",","&amp;SUBSTITUTE(I16,", ",",")&amp;",")),1,0)</f>
        <v>0</v>
      </c>
      <c r="AG16" s="11">
        <f>IF(ISNUMBER(SEARCH(",EGFR C797G,",","&amp;SUBSTITUTE(I16,", ",",")&amp;",")),1,0)</f>
        <v>0</v>
      </c>
      <c r="AH16" s="11">
        <f>IF(ISNUMBER(SEARCH(",EGFR C797S,",","&amp;SUBSTITUTE(I16,", ",",")&amp;",")),1,0)</f>
        <v>0</v>
      </c>
      <c r="AI16" s="11">
        <f>IF(ISNUMBER(SEARCH(",EGFR Exon 19-del,",","&amp;SUBSTITUTE(I16,", ",",")&amp;",")),1,0)</f>
        <v>0</v>
      </c>
      <c r="AJ16" s="11">
        <f>IF(ISNUMBER(SEARCH(",EGFR Exon 20,",","&amp;SUBSTITUTE(I16,", ",",")&amp;",")),1,0)</f>
        <v>0</v>
      </c>
      <c r="AK16" s="11">
        <f>IF(ISNUMBER(SEARCH(",EGFR L858R,",","&amp;SUBSTITUTE(I16,", ",",")&amp;",")),1,0)</f>
        <v>0</v>
      </c>
      <c r="AL16" s="11">
        <f>IF(ISNUMBER(SEARCH(",EGFR T790M,",","&amp;SUBSTITUTE(I16,", ",",")&amp;",")),1,0)</f>
        <v>0</v>
      </c>
      <c r="AM16" s="11">
        <f>IF(ISNUMBER(SEARCH(",ERBB,",","&amp;SUBSTITUTE(I16,", ",",")&amp;",")),1,0)</f>
        <v>0</v>
      </c>
      <c r="AN16" s="11">
        <f>IF(ISNUMBER(SEARCH(",ERBB3,",","&amp;SUBSTITUTE(I16,", ",",")&amp;",")),1,0)</f>
        <v>0</v>
      </c>
      <c r="AO16" s="11">
        <f>IF(ISNUMBER(SEARCH(",FAK,",","&amp;SUBSTITUTE(I16,", ",",")&amp;",")),1,0)</f>
        <v>0</v>
      </c>
      <c r="AP16" s="11">
        <f>IF(ISNUMBER(SEARCH(",GARP,",","&amp;SUBSTITUTE(I16,", ",",")&amp;",")),1,0)</f>
        <v>0</v>
      </c>
      <c r="AQ16" s="11">
        <f>IF(ISNUMBER(SEARCH(",HER1,",","&amp;SUBSTITUTE(I16,", ",",")&amp;",")),1,0)</f>
        <v>0</v>
      </c>
      <c r="AR16" s="11">
        <f>IF(ISNUMBER(SEARCH(",HER2,",","&amp;SUBSTITUTE(I16,", ",",")&amp;",")),1,0)</f>
        <v>0</v>
      </c>
      <c r="AS16" s="11">
        <f>IF(ISNUMBER(SEARCH(",HER2 Exon 20,",","&amp;SUBSTITUTE(I16,", ",",")&amp;",")),1,0)</f>
        <v>0</v>
      </c>
      <c r="AT16" s="11">
        <f>IF(ISNUMBER(SEARCH(",HER3,",","&amp;SUBSTITUTE(I16,", ",",")&amp;",")),1,0)</f>
        <v>0</v>
      </c>
      <c r="AU16" s="11">
        <f>IF(ISNUMBER(SEARCH(",HER4,",","&amp;SUBSTITUTE(I16,", ",",")&amp;",")),1,0)</f>
        <v>0</v>
      </c>
      <c r="AV16" s="11">
        <f>IF(ISNUMBER(SEARCH(",HRAS,",","&amp;SUBSTITUTE(I16,", ",",")&amp;",")),1,0)</f>
        <v>0</v>
      </c>
      <c r="AW16" s="11">
        <f>IF(ISNUMBER(SEARCH(",HSV-TK,",","&amp;SUBSTITUTE(I16,", ",",")&amp;",")),1,0)</f>
        <v>0</v>
      </c>
      <c r="AX16" s="11">
        <f>IF(ISNUMBER(SEARCH(",IL-12,",","&amp;SUBSTITUTE(I16,", ",",")&amp;",")),1,0)</f>
        <v>0</v>
      </c>
      <c r="AY16" s="11">
        <f>IF(ISNUMBER(SEARCH(",IL-15,",","&amp;SUBSTITUTE(I16,", ",",")&amp;",")),1,0)</f>
        <v>0</v>
      </c>
      <c r="AZ16" s="11">
        <f>IF(ISNUMBER(SEARCH(",IL-15R,",","&amp;SUBSTITUTE(I16,", ",",")&amp;",")),1,0)</f>
        <v>0</v>
      </c>
      <c r="BA16" s="11">
        <f>IF(ISNUMBER(SEARCH(",IL-2,",","&amp;SUBSTITUTE(I16,", ",",")&amp;",")),1,0)</f>
        <v>0</v>
      </c>
      <c r="BB16" s="11">
        <f>IF(ISNUMBER(SEARCH(",Integrin β6,",","&amp;SUBSTITUTE(I16,", ",",")&amp;",")),1,0)</f>
        <v>0</v>
      </c>
      <c r="BC16" s="11">
        <f>IF(ISNUMBER(SEARCH(",KDR,",","&amp;SUBSTITUTE(I16,", ",",")&amp;",")),1,0)</f>
        <v>0</v>
      </c>
      <c r="BD16" s="11">
        <f>IF(ISNUMBER(SEARCH(",KLRC1,",","&amp;SUBSTITUTE(I16,", ",",")&amp;",")),1,0)</f>
        <v>0</v>
      </c>
      <c r="BE16" s="11">
        <f>IF(ISNUMBER(SEARCH(",KRAS,",","&amp;SUBSTITUTE(I16,", ",",")&amp;",")),1,0)</f>
        <v>0</v>
      </c>
      <c r="BF16" s="11">
        <f>IF(ISNUMBER(SEARCH(",KRAS G12,",","&amp;SUBSTITUTE(I16,", ",",")&amp;",")),1,0)</f>
        <v>0</v>
      </c>
      <c r="BG16" s="11">
        <f>IF(ISNUMBER(SEARCH(",KRAS G12C,",","&amp;SUBSTITUTE(I16,", ",",")&amp;",")),1,0)</f>
        <v>0</v>
      </c>
      <c r="BH16" s="11">
        <f>IF(ISNUMBER(SEARCH(",KRAS G12D,",","&amp;SUBSTITUTE(I16,", ",",")&amp;",")),1,0)</f>
        <v>0</v>
      </c>
      <c r="BI16" s="11">
        <f>IF(ISNUMBER(SEARCH(",LAG-3,",","&amp;SUBSTITUTE(I16,", ",",")&amp;",")),1,0)</f>
        <v>0</v>
      </c>
      <c r="BJ16" s="11">
        <f>IF(ISNUMBER(SEARCH(",MAGE-A2,",","&amp;SUBSTITUTE(I16,", ",",")&amp;",")),1,0)</f>
        <v>0</v>
      </c>
      <c r="BK16" s="11">
        <f>IF(ISNUMBER(SEARCH(",MAGE-A3,",","&amp;SUBSTITUTE(I16,", ",",")&amp;",")),1,0)</f>
        <v>0</v>
      </c>
      <c r="BL16" s="11">
        <f>IF(ISNUMBER(SEARCH(",MLN19,",","&amp;SUBSTITUTE(I16,", ",",")&amp;",")),1,0)</f>
        <v>0</v>
      </c>
      <c r="BM16" s="11">
        <f>IF(ISNUMBER(SEARCH(",Microtubule,",","&amp;SUBSTITUTE(I16,", ",",")&amp;",")),1,0)</f>
        <v>0</v>
      </c>
      <c r="BN16" s="11">
        <f>IF(ISNUMBER(SEARCH(",NKG2A,",","&amp;SUBSTITUTE(I16,", ",",")&amp;",")),1,0)</f>
        <v>0</v>
      </c>
      <c r="BO16" s="11">
        <f>IF(ISNUMBER(SEARCH(",NRAS,",","&amp;SUBSTITUTE(I16,", ",",")&amp;",")),1,0)</f>
        <v>0</v>
      </c>
      <c r="BP16" s="11">
        <f>IF(ISNUMBER(SEARCH(",NTRK,",","&amp;SUBSTITUTE(I16,", ",",")&amp;",")),1,0)</f>
        <v>0</v>
      </c>
      <c r="BQ16" s="11">
        <f>IF(ISNUMBER(SEARCH(",PARP,",","&amp;SUBSTITUTE(I16,", ",",")&amp;",")),1,0)</f>
        <v>0</v>
      </c>
      <c r="BR16" s="11">
        <f>IF(ISNUMBER(SEARCH(",PD-1,",","&amp;SUBSTITUTE(I16,", ",",")&amp;",")),1,0)</f>
        <v>0</v>
      </c>
      <c r="BS16" s="11">
        <f>IF(ISNUMBER(SEARCH(",PD-L1,",","&amp;SUBSTITUTE(I16,", ",",")&amp;",")),1,0)</f>
        <v>1</v>
      </c>
      <c r="BT16" s="11">
        <f>IF(ISNUMBER(SEARCH(",PRMT5,",","&amp;SUBSTITUTE(I16,", ",",")&amp;",")),1,0)</f>
        <v>0</v>
      </c>
      <c r="BU16" s="11">
        <f>IF(ISNUMBER(SEARCH(",RAS,",","&amp;SUBSTITUTE(I16,", ",",")&amp;",")),1,0)</f>
        <v>0</v>
      </c>
      <c r="BV16" s="11">
        <f>IF(ISNUMBER(SEARCH(",RET,",","&amp;SUBSTITUTE(I16,", ",",")&amp;",")),1,0)</f>
        <v>0</v>
      </c>
      <c r="BW16" s="11">
        <f>IF(ISNUMBER(SEARCH(",ROS,",","&amp;SUBSTITUTE(I16,", ",",")&amp;",")),1,0)</f>
        <v>0</v>
      </c>
      <c r="BX16" s="11">
        <f>IF(ISNUMBER(SEARCH(",ROS1,",","&amp;SUBSTITUTE(I16,", ",",")&amp;",")),1,0)</f>
        <v>0</v>
      </c>
      <c r="BY16" s="11">
        <f>IF(ISNUMBER(SEARCH(",Src,",","&amp;SUBSTITUTE(I16,", ",",")&amp;",")),1,0)</f>
        <v>0</v>
      </c>
      <c r="BZ16" s="11">
        <f>IF(ISNUMBER(SEARCH(",TCGF,",","&amp;SUBSTITUTE(I16,", ",",")&amp;",")),1,0)</f>
        <v>0</v>
      </c>
      <c r="CA16" s="11">
        <f>IF(ISNUMBER(SEARCH(",TGF-β,",","&amp;SUBSTITUTE(I16,", ",",")&amp;",")),1,0)</f>
        <v>0</v>
      </c>
      <c r="CB16" s="11">
        <f>IF(ISNUMBER(SEARCH(",TGF-β1,",","&amp;SUBSTITUTE(I16,", ",",")&amp;",")),1,0)</f>
        <v>0</v>
      </c>
      <c r="CC16" s="11">
        <f>IF(ISNUMBER(SEARCH(",TIGIT,",","&amp;SUBSTITUTE(I16,", ",",")&amp;",")),1,0)</f>
        <v>0</v>
      </c>
      <c r="CD16" s="11">
        <f>IF(ISNUMBER(SEARCH(",TLR,",","&amp;SUBSTITUTE(I16,", ",",")&amp;",")),1,0)</f>
        <v>0</v>
      </c>
      <c r="CE16" s="11">
        <f>IF(ISNUMBER(SEARCH(",TLR7/8,",","&amp;SUBSTITUTE(I16,", ",",")&amp;",")),1,0)</f>
        <v>0</v>
      </c>
      <c r="CF16" s="11">
        <f>IF(ISNUMBER(SEARCH(",TRK,",","&amp;SUBSTITUTE(I16,", ",",")&amp;",")),1,0)</f>
        <v>0</v>
      </c>
      <c r="CG16" s="11">
        <f>IF(ISNUMBER(SEARCH(",TROP2,",","&amp;SUBSTITUTE(I16,", ",",")&amp;",")),1,0)</f>
        <v>1</v>
      </c>
      <c r="CH16" s="11">
        <f>IF(ISNUMBER(SEARCH(",TS,",","&amp;SUBSTITUTE(I16,", ",",")&amp;",")),1,0)</f>
        <v>0</v>
      </c>
      <c r="CI16" s="11">
        <f>IF(ISNUMBER(SEARCH(",TYMS,",","&amp;SUBSTITUTE(I16,", ",",")&amp;",")),1,0)</f>
        <v>0</v>
      </c>
      <c r="CJ16" s="11">
        <f>IF(ISNUMBER(SEARCH(",VEGF,",","&amp;SUBSTITUTE(I16,", ",",")&amp;",")),1,0)</f>
        <v>0</v>
      </c>
      <c r="CK16" s="11">
        <f>IF(ISNUMBER(SEARCH(",VEGFA,",","&amp;SUBSTITUTE(I16,", ",",")&amp;",")),1,0)</f>
        <v>0</v>
      </c>
      <c r="CL16" s="11">
        <f>IF(ISNUMBER(SEARCH(",VEGFR2,",","&amp;SUBSTITUTE(I16,", ",",")&amp;",")),1,0)</f>
        <v>0</v>
      </c>
      <c r="CM16" s="11">
        <f>IF(ISNUMBER(SEARCH(",c-MET/MET,",","&amp;SUBSTITUTE(I16,", ",",")&amp;",")),1,0)</f>
        <v>0</v>
      </c>
      <c r="CN16" s="11">
        <f>IF(ISNUMBER(SEARCH(",p53,",","&amp;SUBSTITUTE(I16,", ",",")&amp;",")),1,0)</f>
        <v>0</v>
      </c>
      <c r="CO16" s="11">
        <f>IF(ISNUMBER(SEARCH(",pan-KRAS,",","&amp;SUBSTITUTE(I16,", ",",")&amp;",")),1,0)</f>
        <v>0</v>
      </c>
      <c r="CP16" s="11">
        <f>IF(ISNUMBER(SEARCH(",ALK,",","&amp;SUBSTITUTE(K16,", ",",")&amp;",")),1,0)</f>
        <v>0</v>
      </c>
      <c r="CQ16" s="11">
        <f>IF(ISNUMBER(SEARCH(",BRAF V600E,",","&amp;SUBSTITUTE(K16,", ",",")&amp;",")),1,0)</f>
        <v>0</v>
      </c>
      <c r="CR16" s="11">
        <f>IF(ISNUMBER(SEARCH(",EGFR,",","&amp;SUBSTITUTE(K16,", ",",")&amp;",")),1,0)</f>
        <v>0</v>
      </c>
      <c r="CS16" s="11">
        <f>IF(ISNUMBER(SEARCH(",EGFR Exon 18,",","&amp;SUBSTITUTE(K16,", ",",")&amp;",")),1,0)</f>
        <v>0</v>
      </c>
      <c r="CT16" s="11">
        <f>IF(ISNUMBER(SEARCH(",EGFR Exon 19-del,",","&amp;SUBSTITUTE(K16,", ",",")&amp;",")),1,0)</f>
        <v>0</v>
      </c>
      <c r="CU16" s="11">
        <f>IF(ISNUMBER(SEARCH(",EGFR Exon 20,",","&amp;SUBSTITUTE(K16,", ",",")&amp;",")),1,0)</f>
        <v>0</v>
      </c>
      <c r="CV16" s="11">
        <f>IF(ISNUMBER(SEARCH(",EGFR Exon 20-ins,",","&amp;SUBSTITUTE(K16,", ",",")&amp;",")),1,0)</f>
        <v>0</v>
      </c>
      <c r="CW16" s="11">
        <f>IF(ISNUMBER(SEARCH(",EGFR Exon 21,",","&amp;SUBSTITUTE(K16,", ",",")&amp;",")),1,0)</f>
        <v>0</v>
      </c>
      <c r="CX16" s="11">
        <f>IF(ISNUMBER(SEARCH(",EGFR G719A,",","&amp;SUBSTITUTE(K16,", ",",")&amp;",")),1,0)</f>
        <v>0</v>
      </c>
      <c r="CY16" s="11">
        <f>IF(ISNUMBER(SEARCH(",EGFR G719C,",","&amp;SUBSTITUTE(K16,", ",",")&amp;",")),1,0)</f>
        <v>0</v>
      </c>
      <c r="CZ16" s="11">
        <f>IF(ISNUMBER(SEARCH(",EGFR G719S,",","&amp;SUBSTITUTE(K16,", ",",")&amp;",")),1,0)</f>
        <v>0</v>
      </c>
      <c r="DA16" s="11">
        <f>IF(ISNUMBER(SEARCH(",EGFR G719X,",","&amp;SUBSTITUTE(K16,", ",",")&amp;",")),1,0)</f>
        <v>0</v>
      </c>
      <c r="DB16" s="11">
        <f>IF(ISNUMBER(SEARCH(",EGFR L858R,",","&amp;SUBSTITUTE(K16,", ",",")&amp;",")),1,0)</f>
        <v>0</v>
      </c>
      <c r="DC16" s="11">
        <f>IF(ISNUMBER(SEARCH(",EGFR L861Q,",","&amp;SUBSTITUTE(K16,", ",",")&amp;",")),1,0)</f>
        <v>0</v>
      </c>
      <c r="DD16" s="11">
        <f>IF(ISNUMBER(SEARCH(",EGFR PACC,",","&amp;SUBSTITUTE(K16,", ",",")&amp;",")),1,0)</f>
        <v>0</v>
      </c>
      <c r="DE16" s="11">
        <f>IF(ISNUMBER(SEARCH(",EGFR S768I,",","&amp;SUBSTITUTE(K16,", ",",")&amp;",")),1,0)</f>
        <v>0</v>
      </c>
      <c r="DF16" s="11">
        <f>IF(ISNUMBER(SEARCH(",EGFR T790M,",","&amp;SUBSTITUTE(K16,", ",",")&amp;",")),1,0)</f>
        <v>0</v>
      </c>
      <c r="DG16" s="11">
        <f>IF(ISNUMBER(SEARCH(",EML4-ALK,",","&amp;SUBSTITUTE(K16,", ",",")&amp;",")),1,0)</f>
        <v>0</v>
      </c>
      <c r="DH16" s="11">
        <f>IF(ISNUMBER(SEARCH(",HER2,",","&amp;SUBSTITUTE(K16,", ",",")&amp;",")),1,0)</f>
        <v>0</v>
      </c>
      <c r="DI16" s="11">
        <f>IF(ISNUMBER(SEARCH(",HER2 Exon 19,",","&amp;SUBSTITUTE(K16,", ",",")&amp;",")),1,0)</f>
        <v>0</v>
      </c>
      <c r="DJ16" s="11">
        <f>IF(ISNUMBER(SEARCH(",HER2 Exon 20,",","&amp;SUBSTITUTE(K16,", ",",")&amp;",")),1,0)</f>
        <v>0</v>
      </c>
      <c r="DK16" s="11">
        <f>IF(ISNUMBER(SEARCH(",HER2 mut,",","&amp;SUBSTITUTE(K16,", ",",")&amp;",")),1,0)</f>
        <v>0</v>
      </c>
      <c r="DL16" s="11">
        <f>IF(ISNUMBER(SEARCH(",HLA-A2,",","&amp;SUBSTITUTE(K16,", ",",")&amp;",")),1,0)</f>
        <v>0</v>
      </c>
      <c r="DM16" s="11">
        <f>IF(ISNUMBER(SEARCH(",HRAS,",","&amp;SUBSTITUTE(K16,", ",",")&amp;",")),1,0)</f>
        <v>0</v>
      </c>
      <c r="DN16" s="11">
        <f>IF(ISNUMBER(SEARCH(",KRAS,",","&amp;SUBSTITUTE(K16,", ",",")&amp;",")),1,0)</f>
        <v>0</v>
      </c>
      <c r="DO16" s="11">
        <f>IF(ISNUMBER(SEARCH(",KRAS G12C,",","&amp;SUBSTITUTE(K16,", ",",")&amp;",")),1,0)</f>
        <v>0</v>
      </c>
      <c r="DP16" s="11">
        <f>IF(ISNUMBER(SEARCH(",NRAS,",","&amp;SUBSTITUTE(K16,", ",",")&amp;",")),1,0)</f>
        <v>0</v>
      </c>
      <c r="DQ16" s="11">
        <f>IF(ISNUMBER(SEARCH(",NTRK,",","&amp;SUBSTITUTE(K16,", ",",")&amp;",")),1,0)</f>
        <v>0</v>
      </c>
      <c r="DR16" s="11">
        <f>IF(ISNUMBER(SEARCH(",PD-L1,",","&amp;SUBSTITUTE(K16,", ",",")&amp;",")),1,0)</f>
        <v>0</v>
      </c>
      <c r="DS16" s="11">
        <f>IF(ISNUMBER(SEARCH(",PD-L1 IC ≥ 1%,",","&amp;SUBSTITUTE(K16,", ",",")&amp;",")),1,0)</f>
        <v>0</v>
      </c>
      <c r="DT16" s="11">
        <f>IF(ISNUMBER(SEARCH(",PD-L1 TC ≥ 1%,",","&amp;SUBSTITUTE(K16,", ",",")&amp;",")),1,0)</f>
        <v>0</v>
      </c>
      <c r="DU16" s="11">
        <f>IF(ISNUMBER(SEARCH(",PD-L1 TC ≥ 50%,",","&amp;SUBSTITUTE(K16,", ",",")&amp;",")),1,0)</f>
        <v>0</v>
      </c>
      <c r="DV16" s="11">
        <f>IF(ISNUMBER(SEARCH(",PD-L1 TPS &lt; 50%,",","&amp;SUBSTITUTE(K16,", ",",")&amp;",")),1,0)</f>
        <v>0</v>
      </c>
      <c r="DW16" s="11">
        <f>IF(ISNUMBER(SEARCH(",PD-L1 TPS ≥ 1%,",","&amp;SUBSTITUTE(K16,", ",",")&amp;",")),1,0)</f>
        <v>0</v>
      </c>
      <c r="DX16" s="11">
        <f>IF(ISNUMBER(SEARCH(",PD-L1 TPS ≥ 50%,",","&amp;SUBSTITUTE(K16,", ",",")&amp;",")),1,0)</f>
        <v>0</v>
      </c>
      <c r="DY16" s="11">
        <f>IF(ISNUMBER(SEARCH(",RAS,",","&amp;SUBSTITUTE(K16,", ",",")&amp;",")),1,0)</f>
        <v>0</v>
      </c>
      <c r="DZ16" s="11">
        <f>IF(ISNUMBER(SEARCH(",RET,",","&amp;SUBSTITUTE(K16,", ",",")&amp;",")),1,0)</f>
        <v>0</v>
      </c>
      <c r="EA16" s="11">
        <f>IF(ISNUMBER(SEARCH(",ROS1,",","&amp;SUBSTITUTE(K16,", ",",")&amp;",")),1,0)</f>
        <v>0</v>
      </c>
      <c r="EB16" s="11">
        <f>IF(ISNUMBER(SEARCH(",TROP2,",","&amp;SUBSTITUTE(K16,", ",",")&amp;",")),1,0)</f>
        <v>0</v>
      </c>
      <c r="EC16" s="11">
        <f>IF(ISNUMBER(SEARCH(",c-MET/MET,",","&amp;SUBSTITUTE(K16,", ",",")&amp;",")),1,0)</f>
        <v>0</v>
      </c>
      <c r="ED16" s="11">
        <f>IF(ISNUMBER(SEARCH(",c-MET/MET Exon 14,",","&amp;SUBSTITUTE(K16,", ",",")&amp;",")),1,0)</f>
        <v>0</v>
      </c>
      <c r="EE16" s="11">
        <f>IF(ISNUMBER(SEARCH(",ctDNA/cfDNA,",","&amp;SUBSTITUTE(K16,", ",",")&amp;",")),1,0)</f>
        <v>0</v>
      </c>
    </row>
    <row r="17" spans="1:135" ht="15" customHeight="1" x14ac:dyDescent="0.2">
      <c r="A17" s="3" t="s">
        <v>960</v>
      </c>
      <c r="B17" s="3" t="s">
        <v>961</v>
      </c>
      <c r="C17" s="3" t="s">
        <v>833</v>
      </c>
      <c r="D17" s="3" t="s">
        <v>833</v>
      </c>
      <c r="E17" s="3" t="s">
        <v>833</v>
      </c>
      <c r="F17" s="3" t="s">
        <v>572</v>
      </c>
      <c r="G17" s="3" t="s">
        <v>181</v>
      </c>
      <c r="H17" s="3" t="s">
        <v>114</v>
      </c>
      <c r="I17" s="3" t="s">
        <v>996</v>
      </c>
      <c r="J17" s="3" t="s">
        <v>965</v>
      </c>
      <c r="K17" s="3" t="s">
        <v>300</v>
      </c>
      <c r="L17" s="3" t="s">
        <v>119</v>
      </c>
      <c r="M17" s="3" t="s">
        <v>113</v>
      </c>
      <c r="N17" s="3" t="s">
        <v>120</v>
      </c>
      <c r="O17" s="3" t="s">
        <v>120</v>
      </c>
      <c r="P17" s="3" t="s">
        <v>994</v>
      </c>
      <c r="Q17" s="10" t="str">
        <f>IF(F17="Stage IV","Stage IV Only",IF(AND(ISNUMBER(SEARCH("IV",F17)),LEN(F17)&gt;LEN("Stage IV")),"Stage IV + Other",IF(AND(ISNUMBER(SEARCH("III",F17)),NOT(ISNUMBER(SEARCH("IV",F17)))),"Stage III Only","Other")))</f>
        <v>Stage IV + Other</v>
      </c>
      <c r="R17" s="10" t="str">
        <f>IF(AND(ISNUMBER(SEARCH("Non-squamous",G17)),ISNUMBER(SEARCH("Squamous",SUBSTITUTE(G17,"Non-squamous","")))),"Both",IF(ISNUMBER(SEARCH("Non-squamous",G17)),"Non-squamous",IF(ISNUMBER(SEARCH("Squamous",G17)),"Squamous","Unspecified")))</f>
        <v>Non-squamous</v>
      </c>
      <c r="S17" s="10" t="str">
        <f>IF(OR(ISNUMBER(SEARCH("TPS ≥ 50%",K17)),ISNUMBER(SEARCH("TC ≥ 50%",K17))),"TPS ≥ 50%",IF(OR(ISNUMBER(SEARCH("TPS ≥ 1%",K17)),ISNUMBER(SEARCH("TC ≥ 1%",K17)),ISNUMBER(SEARCH("TPS &lt; 50%",K17)),ISNUMBER(SEARCH("IC ≥ 1%",K17))),"TPS 1-49%","All-comers"))</f>
        <v>TPS ≥ 50%</v>
      </c>
      <c r="T17" s="10">
        <f>IF(H17="Phase III",1,0)</f>
        <v>1</v>
      </c>
      <c r="U17" s="10">
        <f>IF(L17="Yes",1,0)</f>
        <v>0</v>
      </c>
      <c r="V17" s="11">
        <f>IF(ISNUMBER(SEARCH(",ALK,",","&amp;SUBSTITUTE(I17,", ",",")&amp;",")),1,0)</f>
        <v>0</v>
      </c>
      <c r="W17" s="11">
        <f>IF(ISNUMBER(SEARCH(",ALK L1196M,",","&amp;SUBSTITUTE(I17,", ",",")&amp;",")),1,0)</f>
        <v>0</v>
      </c>
      <c r="X17" s="11">
        <f>IF(ISNUMBER(SEARCH(",AXL,",","&amp;SUBSTITUTE(I17,", ",",")&amp;",")),1,0)</f>
        <v>0</v>
      </c>
      <c r="Y17" s="11">
        <f>IF(ISNUMBER(SEARCH(",B7-H1,",","&amp;SUBSTITUTE(I17,", ",",")&amp;",")),1,0)</f>
        <v>0</v>
      </c>
      <c r="Z17" s="11">
        <f>IF(ISNUMBER(SEARCH(",CD152,",","&amp;SUBSTITUTE(I17,", ",",")&amp;",")),1,0)</f>
        <v>0</v>
      </c>
      <c r="AA17" s="11">
        <f>IF(ISNUMBER(SEARCH(",CD274,",","&amp;SUBSTITUTE(I17,", ",",")&amp;",")),1,0)</f>
        <v>0</v>
      </c>
      <c r="AB17" s="11">
        <f>IF(ISNUMBER(SEARCH(",CD279,",","&amp;SUBSTITUTE(I17,", ",",")&amp;",")),1,0)</f>
        <v>1</v>
      </c>
      <c r="AC17" s="11">
        <f>IF(ISNUMBER(SEARCH(",CD73,",","&amp;SUBSTITUTE(I17,", ",",")&amp;",")),1,0)</f>
        <v>0</v>
      </c>
      <c r="AD17" s="11">
        <f>IF(ISNUMBER(SEARCH(",CEA,",","&amp;SUBSTITUTE(I17,", ",",")&amp;",")),1,0)</f>
        <v>0</v>
      </c>
      <c r="AE17" s="11">
        <f>IF(ISNUMBER(SEARCH(",CTLA-4,",","&amp;SUBSTITUTE(I17,", ",",")&amp;",")),1,0)</f>
        <v>0</v>
      </c>
      <c r="AF17" s="11">
        <f>IF(ISNUMBER(SEARCH(",EGFR,",","&amp;SUBSTITUTE(I17,", ",",")&amp;",")),1,0)</f>
        <v>0</v>
      </c>
      <c r="AG17" s="11">
        <f>IF(ISNUMBER(SEARCH(",EGFR C797G,",","&amp;SUBSTITUTE(I17,", ",",")&amp;",")),1,0)</f>
        <v>0</v>
      </c>
      <c r="AH17" s="11">
        <f>IF(ISNUMBER(SEARCH(",EGFR C797S,",","&amp;SUBSTITUTE(I17,", ",",")&amp;",")),1,0)</f>
        <v>0</v>
      </c>
      <c r="AI17" s="11">
        <f>IF(ISNUMBER(SEARCH(",EGFR Exon 19-del,",","&amp;SUBSTITUTE(I17,", ",",")&amp;",")),1,0)</f>
        <v>0</v>
      </c>
      <c r="AJ17" s="11">
        <f>IF(ISNUMBER(SEARCH(",EGFR Exon 20,",","&amp;SUBSTITUTE(I17,", ",",")&amp;",")),1,0)</f>
        <v>0</v>
      </c>
      <c r="AK17" s="11">
        <f>IF(ISNUMBER(SEARCH(",EGFR L858R,",","&amp;SUBSTITUTE(I17,", ",",")&amp;",")),1,0)</f>
        <v>0</v>
      </c>
      <c r="AL17" s="11">
        <f>IF(ISNUMBER(SEARCH(",EGFR T790M,",","&amp;SUBSTITUTE(I17,", ",",")&amp;",")),1,0)</f>
        <v>0</v>
      </c>
      <c r="AM17" s="11">
        <f>IF(ISNUMBER(SEARCH(",ERBB,",","&amp;SUBSTITUTE(I17,", ",",")&amp;",")),1,0)</f>
        <v>0</v>
      </c>
      <c r="AN17" s="11">
        <f>IF(ISNUMBER(SEARCH(",ERBB3,",","&amp;SUBSTITUTE(I17,", ",",")&amp;",")),1,0)</f>
        <v>0</v>
      </c>
      <c r="AO17" s="11">
        <f>IF(ISNUMBER(SEARCH(",FAK,",","&amp;SUBSTITUTE(I17,", ",",")&amp;",")),1,0)</f>
        <v>0</v>
      </c>
      <c r="AP17" s="11">
        <f>IF(ISNUMBER(SEARCH(",GARP,",","&amp;SUBSTITUTE(I17,", ",",")&amp;",")),1,0)</f>
        <v>0</v>
      </c>
      <c r="AQ17" s="11">
        <f>IF(ISNUMBER(SEARCH(",HER1,",","&amp;SUBSTITUTE(I17,", ",",")&amp;",")),1,0)</f>
        <v>0</v>
      </c>
      <c r="AR17" s="11">
        <f>IF(ISNUMBER(SEARCH(",HER2,",","&amp;SUBSTITUTE(I17,", ",",")&amp;",")),1,0)</f>
        <v>0</v>
      </c>
      <c r="AS17" s="11">
        <f>IF(ISNUMBER(SEARCH(",HER2 Exon 20,",","&amp;SUBSTITUTE(I17,", ",",")&amp;",")),1,0)</f>
        <v>0</v>
      </c>
      <c r="AT17" s="11">
        <f>IF(ISNUMBER(SEARCH(",HER3,",","&amp;SUBSTITUTE(I17,", ",",")&amp;",")),1,0)</f>
        <v>0</v>
      </c>
      <c r="AU17" s="11">
        <f>IF(ISNUMBER(SEARCH(",HER4,",","&amp;SUBSTITUTE(I17,", ",",")&amp;",")),1,0)</f>
        <v>0</v>
      </c>
      <c r="AV17" s="11">
        <f>IF(ISNUMBER(SEARCH(",HRAS,",","&amp;SUBSTITUTE(I17,", ",",")&amp;",")),1,0)</f>
        <v>0</v>
      </c>
      <c r="AW17" s="11">
        <f>IF(ISNUMBER(SEARCH(",HSV-TK,",","&amp;SUBSTITUTE(I17,", ",",")&amp;",")),1,0)</f>
        <v>0</v>
      </c>
      <c r="AX17" s="11">
        <f>IF(ISNUMBER(SEARCH(",IL-12,",","&amp;SUBSTITUTE(I17,", ",",")&amp;",")),1,0)</f>
        <v>0</v>
      </c>
      <c r="AY17" s="11">
        <f>IF(ISNUMBER(SEARCH(",IL-15,",","&amp;SUBSTITUTE(I17,", ",",")&amp;",")),1,0)</f>
        <v>0</v>
      </c>
      <c r="AZ17" s="11">
        <f>IF(ISNUMBER(SEARCH(",IL-15R,",","&amp;SUBSTITUTE(I17,", ",",")&amp;",")),1,0)</f>
        <v>0</v>
      </c>
      <c r="BA17" s="11">
        <f>IF(ISNUMBER(SEARCH(",IL-2,",","&amp;SUBSTITUTE(I17,", ",",")&amp;",")),1,0)</f>
        <v>0</v>
      </c>
      <c r="BB17" s="11">
        <f>IF(ISNUMBER(SEARCH(",Integrin β6,",","&amp;SUBSTITUTE(I17,", ",",")&amp;",")),1,0)</f>
        <v>0</v>
      </c>
      <c r="BC17" s="11">
        <f>IF(ISNUMBER(SEARCH(",KDR,",","&amp;SUBSTITUTE(I17,", ",",")&amp;",")),1,0)</f>
        <v>0</v>
      </c>
      <c r="BD17" s="11">
        <f>IF(ISNUMBER(SEARCH(",KLRC1,",","&amp;SUBSTITUTE(I17,", ",",")&amp;",")),1,0)</f>
        <v>0</v>
      </c>
      <c r="BE17" s="11">
        <f>IF(ISNUMBER(SEARCH(",KRAS,",","&amp;SUBSTITUTE(I17,", ",",")&amp;",")),1,0)</f>
        <v>0</v>
      </c>
      <c r="BF17" s="11">
        <f>IF(ISNUMBER(SEARCH(",KRAS G12,",","&amp;SUBSTITUTE(I17,", ",",")&amp;",")),1,0)</f>
        <v>0</v>
      </c>
      <c r="BG17" s="11">
        <f>IF(ISNUMBER(SEARCH(",KRAS G12C,",","&amp;SUBSTITUTE(I17,", ",",")&amp;",")),1,0)</f>
        <v>0</v>
      </c>
      <c r="BH17" s="11">
        <f>IF(ISNUMBER(SEARCH(",KRAS G12D,",","&amp;SUBSTITUTE(I17,", ",",")&amp;",")),1,0)</f>
        <v>0</v>
      </c>
      <c r="BI17" s="11">
        <f>IF(ISNUMBER(SEARCH(",LAG-3,",","&amp;SUBSTITUTE(I17,", ",",")&amp;",")),1,0)</f>
        <v>0</v>
      </c>
      <c r="BJ17" s="11">
        <f>IF(ISNUMBER(SEARCH(",MAGE-A2,",","&amp;SUBSTITUTE(I17,", ",",")&amp;",")),1,0)</f>
        <v>0</v>
      </c>
      <c r="BK17" s="11">
        <f>IF(ISNUMBER(SEARCH(",MAGE-A3,",","&amp;SUBSTITUTE(I17,", ",",")&amp;",")),1,0)</f>
        <v>0</v>
      </c>
      <c r="BL17" s="11">
        <f>IF(ISNUMBER(SEARCH(",MLN19,",","&amp;SUBSTITUTE(I17,", ",",")&amp;",")),1,0)</f>
        <v>0</v>
      </c>
      <c r="BM17" s="11">
        <f>IF(ISNUMBER(SEARCH(",Microtubule,",","&amp;SUBSTITUTE(I17,", ",",")&amp;",")),1,0)</f>
        <v>0</v>
      </c>
      <c r="BN17" s="11">
        <f>IF(ISNUMBER(SEARCH(",NKG2A,",","&amp;SUBSTITUTE(I17,", ",",")&amp;",")),1,0)</f>
        <v>0</v>
      </c>
      <c r="BO17" s="11">
        <f>IF(ISNUMBER(SEARCH(",NRAS,",","&amp;SUBSTITUTE(I17,", ",",")&amp;",")),1,0)</f>
        <v>0</v>
      </c>
      <c r="BP17" s="11">
        <f>IF(ISNUMBER(SEARCH(",NTRK,",","&amp;SUBSTITUTE(I17,", ",",")&amp;",")),1,0)</f>
        <v>0</v>
      </c>
      <c r="BQ17" s="11">
        <f>IF(ISNUMBER(SEARCH(",PARP,",","&amp;SUBSTITUTE(I17,", ",",")&amp;",")),1,0)</f>
        <v>0</v>
      </c>
      <c r="BR17" s="11">
        <f>IF(ISNUMBER(SEARCH(",PD-1,",","&amp;SUBSTITUTE(I17,", ",",")&amp;",")),1,0)</f>
        <v>1</v>
      </c>
      <c r="BS17" s="11">
        <f>IF(ISNUMBER(SEARCH(",PD-L1,",","&amp;SUBSTITUTE(I17,", ",",")&amp;",")),1,0)</f>
        <v>0</v>
      </c>
      <c r="BT17" s="11">
        <f>IF(ISNUMBER(SEARCH(",PRMT5,",","&amp;SUBSTITUTE(I17,", ",",")&amp;",")),1,0)</f>
        <v>0</v>
      </c>
      <c r="BU17" s="11">
        <f>IF(ISNUMBER(SEARCH(",RAS,",","&amp;SUBSTITUTE(I17,", ",",")&amp;",")),1,0)</f>
        <v>0</v>
      </c>
      <c r="BV17" s="11">
        <f>IF(ISNUMBER(SEARCH(",RET,",","&amp;SUBSTITUTE(I17,", ",",")&amp;",")),1,0)</f>
        <v>0</v>
      </c>
      <c r="BW17" s="11">
        <f>IF(ISNUMBER(SEARCH(",ROS,",","&amp;SUBSTITUTE(I17,", ",",")&amp;",")),1,0)</f>
        <v>0</v>
      </c>
      <c r="BX17" s="11">
        <f>IF(ISNUMBER(SEARCH(",ROS1,",","&amp;SUBSTITUTE(I17,", ",",")&amp;",")),1,0)</f>
        <v>0</v>
      </c>
      <c r="BY17" s="11">
        <f>IF(ISNUMBER(SEARCH(",Src,",","&amp;SUBSTITUTE(I17,", ",",")&amp;",")),1,0)</f>
        <v>0</v>
      </c>
      <c r="BZ17" s="11">
        <f>IF(ISNUMBER(SEARCH(",TCGF,",","&amp;SUBSTITUTE(I17,", ",",")&amp;",")),1,0)</f>
        <v>0</v>
      </c>
      <c r="CA17" s="11">
        <f>IF(ISNUMBER(SEARCH(",TGF-β,",","&amp;SUBSTITUTE(I17,", ",",")&amp;",")),1,0)</f>
        <v>0</v>
      </c>
      <c r="CB17" s="11">
        <f>IF(ISNUMBER(SEARCH(",TGF-β1,",","&amp;SUBSTITUTE(I17,", ",",")&amp;",")),1,0)</f>
        <v>0</v>
      </c>
      <c r="CC17" s="11">
        <f>IF(ISNUMBER(SEARCH(",TIGIT,",","&amp;SUBSTITUTE(I17,", ",",")&amp;",")),1,0)</f>
        <v>0</v>
      </c>
      <c r="CD17" s="11">
        <f>IF(ISNUMBER(SEARCH(",TLR,",","&amp;SUBSTITUTE(I17,", ",",")&amp;",")),1,0)</f>
        <v>0</v>
      </c>
      <c r="CE17" s="11">
        <f>IF(ISNUMBER(SEARCH(",TLR7/8,",","&amp;SUBSTITUTE(I17,", ",",")&amp;",")),1,0)</f>
        <v>0</v>
      </c>
      <c r="CF17" s="11">
        <f>IF(ISNUMBER(SEARCH(",TRK,",","&amp;SUBSTITUTE(I17,", ",",")&amp;",")),1,0)</f>
        <v>0</v>
      </c>
      <c r="CG17" s="11">
        <f>IF(ISNUMBER(SEARCH(",TROP2,",","&amp;SUBSTITUTE(I17,", ",",")&amp;",")),1,0)</f>
        <v>1</v>
      </c>
      <c r="CH17" s="11">
        <f>IF(ISNUMBER(SEARCH(",TS,",","&amp;SUBSTITUTE(I17,", ",",")&amp;",")),1,0)</f>
        <v>0</v>
      </c>
      <c r="CI17" s="11">
        <f>IF(ISNUMBER(SEARCH(",TYMS,",","&amp;SUBSTITUTE(I17,", ",",")&amp;",")),1,0)</f>
        <v>0</v>
      </c>
      <c r="CJ17" s="11">
        <f>IF(ISNUMBER(SEARCH(",VEGF,",","&amp;SUBSTITUTE(I17,", ",",")&amp;",")),1,0)</f>
        <v>0</v>
      </c>
      <c r="CK17" s="11">
        <f>IF(ISNUMBER(SEARCH(",VEGFA,",","&amp;SUBSTITUTE(I17,", ",",")&amp;",")),1,0)</f>
        <v>0</v>
      </c>
      <c r="CL17" s="11">
        <f>IF(ISNUMBER(SEARCH(",VEGFR2,",","&amp;SUBSTITUTE(I17,", ",",")&amp;",")),1,0)</f>
        <v>0</v>
      </c>
      <c r="CM17" s="11">
        <f>IF(ISNUMBER(SEARCH(",c-MET/MET,",","&amp;SUBSTITUTE(I17,", ",",")&amp;",")),1,0)</f>
        <v>0</v>
      </c>
      <c r="CN17" s="11">
        <f>IF(ISNUMBER(SEARCH(",p53,",","&amp;SUBSTITUTE(I17,", ",",")&amp;",")),1,0)</f>
        <v>0</v>
      </c>
      <c r="CO17" s="11">
        <f>IF(ISNUMBER(SEARCH(",pan-KRAS,",","&amp;SUBSTITUTE(I17,", ",",")&amp;",")),1,0)</f>
        <v>0</v>
      </c>
      <c r="CP17" s="11">
        <f>IF(ISNUMBER(SEARCH(",ALK,",","&amp;SUBSTITUTE(K17,", ",",")&amp;",")),1,0)</f>
        <v>0</v>
      </c>
      <c r="CQ17" s="11">
        <f>IF(ISNUMBER(SEARCH(",BRAF V600E,",","&amp;SUBSTITUTE(K17,", ",",")&amp;",")),1,0)</f>
        <v>0</v>
      </c>
      <c r="CR17" s="11">
        <f>IF(ISNUMBER(SEARCH(",EGFR,",","&amp;SUBSTITUTE(K17,", ",",")&amp;",")),1,0)</f>
        <v>0</v>
      </c>
      <c r="CS17" s="11">
        <f>IF(ISNUMBER(SEARCH(",EGFR Exon 18,",","&amp;SUBSTITUTE(K17,", ",",")&amp;",")),1,0)</f>
        <v>0</v>
      </c>
      <c r="CT17" s="11">
        <f>IF(ISNUMBER(SEARCH(",EGFR Exon 19-del,",","&amp;SUBSTITUTE(K17,", ",",")&amp;",")),1,0)</f>
        <v>0</v>
      </c>
      <c r="CU17" s="11">
        <f>IF(ISNUMBER(SEARCH(",EGFR Exon 20,",","&amp;SUBSTITUTE(K17,", ",",")&amp;",")),1,0)</f>
        <v>0</v>
      </c>
      <c r="CV17" s="11">
        <f>IF(ISNUMBER(SEARCH(",EGFR Exon 20-ins,",","&amp;SUBSTITUTE(K17,", ",",")&amp;",")),1,0)</f>
        <v>0</v>
      </c>
      <c r="CW17" s="11">
        <f>IF(ISNUMBER(SEARCH(",EGFR Exon 21,",","&amp;SUBSTITUTE(K17,", ",",")&amp;",")),1,0)</f>
        <v>0</v>
      </c>
      <c r="CX17" s="11">
        <f>IF(ISNUMBER(SEARCH(",EGFR G719A,",","&amp;SUBSTITUTE(K17,", ",",")&amp;",")),1,0)</f>
        <v>0</v>
      </c>
      <c r="CY17" s="11">
        <f>IF(ISNUMBER(SEARCH(",EGFR G719C,",","&amp;SUBSTITUTE(K17,", ",",")&amp;",")),1,0)</f>
        <v>0</v>
      </c>
      <c r="CZ17" s="11">
        <f>IF(ISNUMBER(SEARCH(",EGFR G719S,",","&amp;SUBSTITUTE(K17,", ",",")&amp;",")),1,0)</f>
        <v>0</v>
      </c>
      <c r="DA17" s="11">
        <f>IF(ISNUMBER(SEARCH(",EGFR G719X,",","&amp;SUBSTITUTE(K17,", ",",")&amp;",")),1,0)</f>
        <v>0</v>
      </c>
      <c r="DB17" s="11">
        <f>IF(ISNUMBER(SEARCH(",EGFR L858R,",","&amp;SUBSTITUTE(K17,", ",",")&amp;",")),1,0)</f>
        <v>0</v>
      </c>
      <c r="DC17" s="11">
        <f>IF(ISNUMBER(SEARCH(",EGFR L861Q,",","&amp;SUBSTITUTE(K17,", ",",")&amp;",")),1,0)</f>
        <v>0</v>
      </c>
      <c r="DD17" s="11">
        <f>IF(ISNUMBER(SEARCH(",EGFR PACC,",","&amp;SUBSTITUTE(K17,", ",",")&amp;",")),1,0)</f>
        <v>0</v>
      </c>
      <c r="DE17" s="11">
        <f>IF(ISNUMBER(SEARCH(",EGFR S768I,",","&amp;SUBSTITUTE(K17,", ",",")&amp;",")),1,0)</f>
        <v>0</v>
      </c>
      <c r="DF17" s="11">
        <f>IF(ISNUMBER(SEARCH(",EGFR T790M,",","&amp;SUBSTITUTE(K17,", ",",")&amp;",")),1,0)</f>
        <v>0</v>
      </c>
      <c r="DG17" s="11">
        <f>IF(ISNUMBER(SEARCH(",EML4-ALK,",","&amp;SUBSTITUTE(K17,", ",",")&amp;",")),1,0)</f>
        <v>0</v>
      </c>
      <c r="DH17" s="11">
        <f>IF(ISNUMBER(SEARCH(",HER2,",","&amp;SUBSTITUTE(K17,", ",",")&amp;",")),1,0)</f>
        <v>0</v>
      </c>
      <c r="DI17" s="11">
        <f>IF(ISNUMBER(SEARCH(",HER2 Exon 19,",","&amp;SUBSTITUTE(K17,", ",",")&amp;",")),1,0)</f>
        <v>0</v>
      </c>
      <c r="DJ17" s="11">
        <f>IF(ISNUMBER(SEARCH(",HER2 Exon 20,",","&amp;SUBSTITUTE(K17,", ",",")&amp;",")),1,0)</f>
        <v>0</v>
      </c>
      <c r="DK17" s="11">
        <f>IF(ISNUMBER(SEARCH(",HER2 mut,",","&amp;SUBSTITUTE(K17,", ",",")&amp;",")),1,0)</f>
        <v>0</v>
      </c>
      <c r="DL17" s="11">
        <f>IF(ISNUMBER(SEARCH(",HLA-A2,",","&amp;SUBSTITUTE(K17,", ",",")&amp;",")),1,0)</f>
        <v>0</v>
      </c>
      <c r="DM17" s="11">
        <f>IF(ISNUMBER(SEARCH(",HRAS,",","&amp;SUBSTITUTE(K17,", ",",")&amp;",")),1,0)</f>
        <v>0</v>
      </c>
      <c r="DN17" s="11">
        <f>IF(ISNUMBER(SEARCH(",KRAS,",","&amp;SUBSTITUTE(K17,", ",",")&amp;",")),1,0)</f>
        <v>0</v>
      </c>
      <c r="DO17" s="11">
        <f>IF(ISNUMBER(SEARCH(",KRAS G12C,",","&amp;SUBSTITUTE(K17,", ",",")&amp;",")),1,0)</f>
        <v>0</v>
      </c>
      <c r="DP17" s="11">
        <f>IF(ISNUMBER(SEARCH(",NRAS,",","&amp;SUBSTITUTE(K17,", ",",")&amp;",")),1,0)</f>
        <v>0</v>
      </c>
      <c r="DQ17" s="11">
        <f>IF(ISNUMBER(SEARCH(",NTRK,",","&amp;SUBSTITUTE(K17,", ",",")&amp;",")),1,0)</f>
        <v>0</v>
      </c>
      <c r="DR17" s="11">
        <f>IF(ISNUMBER(SEARCH(",PD-L1,",","&amp;SUBSTITUTE(K17,", ",",")&amp;",")),1,0)</f>
        <v>0</v>
      </c>
      <c r="DS17" s="11">
        <f>IF(ISNUMBER(SEARCH(",PD-L1 IC ≥ 1%,",","&amp;SUBSTITUTE(K17,", ",",")&amp;",")),1,0)</f>
        <v>0</v>
      </c>
      <c r="DT17" s="11">
        <f>IF(ISNUMBER(SEARCH(",PD-L1 TC ≥ 1%,",","&amp;SUBSTITUTE(K17,", ",",")&amp;",")),1,0)</f>
        <v>0</v>
      </c>
      <c r="DU17" s="11">
        <f>IF(ISNUMBER(SEARCH(",PD-L1 TC ≥ 50%,",","&amp;SUBSTITUTE(K17,", ",",")&amp;",")),1,0)</f>
        <v>0</v>
      </c>
      <c r="DV17" s="11">
        <f>IF(ISNUMBER(SEARCH(",PD-L1 TPS &lt; 50%,",","&amp;SUBSTITUTE(K17,", ",",")&amp;",")),1,0)</f>
        <v>0</v>
      </c>
      <c r="DW17" s="11">
        <f>IF(ISNUMBER(SEARCH(",PD-L1 TPS ≥ 1%,",","&amp;SUBSTITUTE(K17,", ",",")&amp;",")),1,0)</f>
        <v>0</v>
      </c>
      <c r="DX17" s="11">
        <f>IF(ISNUMBER(SEARCH(",PD-L1 TPS ≥ 50%,",","&amp;SUBSTITUTE(K17,", ",",")&amp;",")),1,0)</f>
        <v>1</v>
      </c>
      <c r="DY17" s="11">
        <f>IF(ISNUMBER(SEARCH(",RAS,",","&amp;SUBSTITUTE(K17,", ",",")&amp;",")),1,0)</f>
        <v>0</v>
      </c>
      <c r="DZ17" s="11">
        <f>IF(ISNUMBER(SEARCH(",RET,",","&amp;SUBSTITUTE(K17,", ",",")&amp;",")),1,0)</f>
        <v>0</v>
      </c>
      <c r="EA17" s="11">
        <f>IF(ISNUMBER(SEARCH(",ROS1,",","&amp;SUBSTITUTE(K17,", ",",")&amp;",")),1,0)</f>
        <v>0</v>
      </c>
      <c r="EB17" s="11">
        <f>IF(ISNUMBER(SEARCH(",TROP2,",","&amp;SUBSTITUTE(K17,", ",",")&amp;",")),1,0)</f>
        <v>0</v>
      </c>
      <c r="EC17" s="11">
        <f>IF(ISNUMBER(SEARCH(",c-MET/MET,",","&amp;SUBSTITUTE(K17,", ",",")&amp;",")),1,0)</f>
        <v>0</v>
      </c>
      <c r="ED17" s="11">
        <f>IF(ISNUMBER(SEARCH(",c-MET/MET Exon 14,",","&amp;SUBSTITUTE(K17,", ",",")&amp;",")),1,0)</f>
        <v>0</v>
      </c>
      <c r="EE17" s="11">
        <f>IF(ISNUMBER(SEARCH(",ctDNA/cfDNA,",","&amp;SUBSTITUTE(K17,", ",",")&amp;",")),1,0)</f>
        <v>0</v>
      </c>
    </row>
    <row r="18" spans="1:135" ht="15" customHeight="1" x14ac:dyDescent="0.2">
      <c r="A18" s="3" t="s">
        <v>960</v>
      </c>
      <c r="B18" s="3" t="s">
        <v>961</v>
      </c>
      <c r="C18" s="3" t="s">
        <v>833</v>
      </c>
      <c r="D18" s="3" t="s">
        <v>833</v>
      </c>
      <c r="E18" s="3" t="s">
        <v>833</v>
      </c>
      <c r="F18" s="3" t="s">
        <v>572</v>
      </c>
      <c r="G18" s="3" t="s">
        <v>181</v>
      </c>
      <c r="H18" s="3" t="s">
        <v>114</v>
      </c>
      <c r="I18" s="3" t="s">
        <v>996</v>
      </c>
      <c r="J18" s="3" t="s">
        <v>965</v>
      </c>
      <c r="K18" s="3" t="s">
        <v>1024</v>
      </c>
      <c r="L18" s="3" t="s">
        <v>119</v>
      </c>
      <c r="M18" s="3" t="s">
        <v>113</v>
      </c>
      <c r="N18" s="3" t="s">
        <v>120</v>
      </c>
      <c r="O18" s="3" t="s">
        <v>120</v>
      </c>
      <c r="P18" s="3" t="s">
        <v>1017</v>
      </c>
      <c r="Q18" s="10" t="str">
        <f>IF(F18="Stage IV","Stage IV Only",IF(AND(ISNUMBER(SEARCH("IV",F18)),LEN(F18)&gt;LEN("Stage IV")),"Stage IV + Other",IF(AND(ISNUMBER(SEARCH("III",F18)),NOT(ISNUMBER(SEARCH("IV",F18)))),"Stage III Only","Other")))</f>
        <v>Stage IV + Other</v>
      </c>
      <c r="R18" s="10" t="str">
        <f>IF(AND(ISNUMBER(SEARCH("Non-squamous",G18)),ISNUMBER(SEARCH("Squamous",SUBSTITUTE(G18,"Non-squamous","")))),"Both",IF(ISNUMBER(SEARCH("Non-squamous",G18)),"Non-squamous",IF(ISNUMBER(SEARCH("Squamous",G18)),"Squamous","Unspecified")))</f>
        <v>Non-squamous</v>
      </c>
      <c r="S18" s="10" t="str">
        <f>IF(OR(ISNUMBER(SEARCH("TPS ≥ 50%",K18)),ISNUMBER(SEARCH("TC ≥ 50%",K18))),"TPS ≥ 50%",IF(OR(ISNUMBER(SEARCH("TPS ≥ 1%",K18)),ISNUMBER(SEARCH("TC ≥ 1%",K18)),ISNUMBER(SEARCH("TPS &lt; 50%",K18)),ISNUMBER(SEARCH("IC ≥ 1%",K18))),"TPS 1-49%","All-comers"))</f>
        <v>TPS 1-49%</v>
      </c>
      <c r="T18" s="10">
        <f>IF(H18="Phase III",1,0)</f>
        <v>1</v>
      </c>
      <c r="U18" s="10">
        <f>IF(L18="Yes",1,0)</f>
        <v>0</v>
      </c>
      <c r="V18" s="11">
        <f>IF(ISNUMBER(SEARCH(",ALK,",","&amp;SUBSTITUTE(I18,", ",",")&amp;",")),1,0)</f>
        <v>0</v>
      </c>
      <c r="W18" s="11">
        <f>IF(ISNUMBER(SEARCH(",ALK L1196M,",","&amp;SUBSTITUTE(I18,", ",",")&amp;",")),1,0)</f>
        <v>0</v>
      </c>
      <c r="X18" s="11">
        <f>IF(ISNUMBER(SEARCH(",AXL,",","&amp;SUBSTITUTE(I18,", ",",")&amp;",")),1,0)</f>
        <v>0</v>
      </c>
      <c r="Y18" s="11">
        <f>IF(ISNUMBER(SEARCH(",B7-H1,",","&amp;SUBSTITUTE(I18,", ",",")&amp;",")),1,0)</f>
        <v>0</v>
      </c>
      <c r="Z18" s="11">
        <f>IF(ISNUMBER(SEARCH(",CD152,",","&amp;SUBSTITUTE(I18,", ",",")&amp;",")),1,0)</f>
        <v>0</v>
      </c>
      <c r="AA18" s="11">
        <f>IF(ISNUMBER(SEARCH(",CD274,",","&amp;SUBSTITUTE(I18,", ",",")&amp;",")),1,0)</f>
        <v>0</v>
      </c>
      <c r="AB18" s="11">
        <f>IF(ISNUMBER(SEARCH(",CD279,",","&amp;SUBSTITUTE(I18,", ",",")&amp;",")),1,0)</f>
        <v>1</v>
      </c>
      <c r="AC18" s="11">
        <f>IF(ISNUMBER(SEARCH(",CD73,",","&amp;SUBSTITUTE(I18,", ",",")&amp;",")),1,0)</f>
        <v>0</v>
      </c>
      <c r="AD18" s="11">
        <f>IF(ISNUMBER(SEARCH(",CEA,",","&amp;SUBSTITUTE(I18,", ",",")&amp;",")),1,0)</f>
        <v>0</v>
      </c>
      <c r="AE18" s="11">
        <f>IF(ISNUMBER(SEARCH(",CTLA-4,",","&amp;SUBSTITUTE(I18,", ",",")&amp;",")),1,0)</f>
        <v>0</v>
      </c>
      <c r="AF18" s="11">
        <f>IF(ISNUMBER(SEARCH(",EGFR,",","&amp;SUBSTITUTE(I18,", ",",")&amp;",")),1,0)</f>
        <v>0</v>
      </c>
      <c r="AG18" s="11">
        <f>IF(ISNUMBER(SEARCH(",EGFR C797G,",","&amp;SUBSTITUTE(I18,", ",",")&amp;",")),1,0)</f>
        <v>0</v>
      </c>
      <c r="AH18" s="11">
        <f>IF(ISNUMBER(SEARCH(",EGFR C797S,",","&amp;SUBSTITUTE(I18,", ",",")&amp;",")),1,0)</f>
        <v>0</v>
      </c>
      <c r="AI18" s="11">
        <f>IF(ISNUMBER(SEARCH(",EGFR Exon 19-del,",","&amp;SUBSTITUTE(I18,", ",",")&amp;",")),1,0)</f>
        <v>0</v>
      </c>
      <c r="AJ18" s="11">
        <f>IF(ISNUMBER(SEARCH(",EGFR Exon 20,",","&amp;SUBSTITUTE(I18,", ",",")&amp;",")),1,0)</f>
        <v>0</v>
      </c>
      <c r="AK18" s="11">
        <f>IF(ISNUMBER(SEARCH(",EGFR L858R,",","&amp;SUBSTITUTE(I18,", ",",")&amp;",")),1,0)</f>
        <v>0</v>
      </c>
      <c r="AL18" s="11">
        <f>IF(ISNUMBER(SEARCH(",EGFR T790M,",","&amp;SUBSTITUTE(I18,", ",",")&amp;",")),1,0)</f>
        <v>0</v>
      </c>
      <c r="AM18" s="11">
        <f>IF(ISNUMBER(SEARCH(",ERBB,",","&amp;SUBSTITUTE(I18,", ",",")&amp;",")),1,0)</f>
        <v>0</v>
      </c>
      <c r="AN18" s="11">
        <f>IF(ISNUMBER(SEARCH(",ERBB3,",","&amp;SUBSTITUTE(I18,", ",",")&amp;",")),1,0)</f>
        <v>0</v>
      </c>
      <c r="AO18" s="11">
        <f>IF(ISNUMBER(SEARCH(",FAK,",","&amp;SUBSTITUTE(I18,", ",",")&amp;",")),1,0)</f>
        <v>0</v>
      </c>
      <c r="AP18" s="11">
        <f>IF(ISNUMBER(SEARCH(",GARP,",","&amp;SUBSTITUTE(I18,", ",",")&amp;",")),1,0)</f>
        <v>0</v>
      </c>
      <c r="AQ18" s="11">
        <f>IF(ISNUMBER(SEARCH(",HER1,",","&amp;SUBSTITUTE(I18,", ",",")&amp;",")),1,0)</f>
        <v>0</v>
      </c>
      <c r="AR18" s="11">
        <f>IF(ISNUMBER(SEARCH(",HER2,",","&amp;SUBSTITUTE(I18,", ",",")&amp;",")),1,0)</f>
        <v>0</v>
      </c>
      <c r="AS18" s="11">
        <f>IF(ISNUMBER(SEARCH(",HER2 Exon 20,",","&amp;SUBSTITUTE(I18,", ",",")&amp;",")),1,0)</f>
        <v>0</v>
      </c>
      <c r="AT18" s="11">
        <f>IF(ISNUMBER(SEARCH(",HER3,",","&amp;SUBSTITUTE(I18,", ",",")&amp;",")),1,0)</f>
        <v>0</v>
      </c>
      <c r="AU18" s="11">
        <f>IF(ISNUMBER(SEARCH(",HER4,",","&amp;SUBSTITUTE(I18,", ",",")&amp;",")),1,0)</f>
        <v>0</v>
      </c>
      <c r="AV18" s="11">
        <f>IF(ISNUMBER(SEARCH(",HRAS,",","&amp;SUBSTITUTE(I18,", ",",")&amp;",")),1,0)</f>
        <v>0</v>
      </c>
      <c r="AW18" s="11">
        <f>IF(ISNUMBER(SEARCH(",HSV-TK,",","&amp;SUBSTITUTE(I18,", ",",")&amp;",")),1,0)</f>
        <v>0</v>
      </c>
      <c r="AX18" s="11">
        <f>IF(ISNUMBER(SEARCH(",IL-12,",","&amp;SUBSTITUTE(I18,", ",",")&amp;",")),1,0)</f>
        <v>0</v>
      </c>
      <c r="AY18" s="11">
        <f>IF(ISNUMBER(SEARCH(",IL-15,",","&amp;SUBSTITUTE(I18,", ",",")&amp;",")),1,0)</f>
        <v>0</v>
      </c>
      <c r="AZ18" s="11">
        <f>IF(ISNUMBER(SEARCH(",IL-15R,",","&amp;SUBSTITUTE(I18,", ",",")&amp;",")),1,0)</f>
        <v>0</v>
      </c>
      <c r="BA18" s="11">
        <f>IF(ISNUMBER(SEARCH(",IL-2,",","&amp;SUBSTITUTE(I18,", ",",")&amp;",")),1,0)</f>
        <v>0</v>
      </c>
      <c r="BB18" s="11">
        <f>IF(ISNUMBER(SEARCH(",Integrin β6,",","&amp;SUBSTITUTE(I18,", ",",")&amp;",")),1,0)</f>
        <v>0</v>
      </c>
      <c r="BC18" s="11">
        <f>IF(ISNUMBER(SEARCH(",KDR,",","&amp;SUBSTITUTE(I18,", ",",")&amp;",")),1,0)</f>
        <v>0</v>
      </c>
      <c r="BD18" s="11">
        <f>IF(ISNUMBER(SEARCH(",KLRC1,",","&amp;SUBSTITUTE(I18,", ",",")&amp;",")),1,0)</f>
        <v>0</v>
      </c>
      <c r="BE18" s="11">
        <f>IF(ISNUMBER(SEARCH(",KRAS,",","&amp;SUBSTITUTE(I18,", ",",")&amp;",")),1,0)</f>
        <v>0</v>
      </c>
      <c r="BF18" s="11">
        <f>IF(ISNUMBER(SEARCH(",KRAS G12,",","&amp;SUBSTITUTE(I18,", ",",")&amp;",")),1,0)</f>
        <v>0</v>
      </c>
      <c r="BG18" s="11">
        <f>IF(ISNUMBER(SEARCH(",KRAS G12C,",","&amp;SUBSTITUTE(I18,", ",",")&amp;",")),1,0)</f>
        <v>0</v>
      </c>
      <c r="BH18" s="11">
        <f>IF(ISNUMBER(SEARCH(",KRAS G12D,",","&amp;SUBSTITUTE(I18,", ",",")&amp;",")),1,0)</f>
        <v>0</v>
      </c>
      <c r="BI18" s="11">
        <f>IF(ISNUMBER(SEARCH(",LAG-3,",","&amp;SUBSTITUTE(I18,", ",",")&amp;",")),1,0)</f>
        <v>0</v>
      </c>
      <c r="BJ18" s="11">
        <f>IF(ISNUMBER(SEARCH(",MAGE-A2,",","&amp;SUBSTITUTE(I18,", ",",")&amp;",")),1,0)</f>
        <v>0</v>
      </c>
      <c r="BK18" s="11">
        <f>IF(ISNUMBER(SEARCH(",MAGE-A3,",","&amp;SUBSTITUTE(I18,", ",",")&amp;",")),1,0)</f>
        <v>0</v>
      </c>
      <c r="BL18" s="11">
        <f>IF(ISNUMBER(SEARCH(",MLN19,",","&amp;SUBSTITUTE(I18,", ",",")&amp;",")),1,0)</f>
        <v>0</v>
      </c>
      <c r="BM18" s="11">
        <f>IF(ISNUMBER(SEARCH(",Microtubule,",","&amp;SUBSTITUTE(I18,", ",",")&amp;",")),1,0)</f>
        <v>0</v>
      </c>
      <c r="BN18" s="11">
        <f>IF(ISNUMBER(SEARCH(",NKG2A,",","&amp;SUBSTITUTE(I18,", ",",")&amp;",")),1,0)</f>
        <v>0</v>
      </c>
      <c r="BO18" s="11">
        <f>IF(ISNUMBER(SEARCH(",NRAS,",","&amp;SUBSTITUTE(I18,", ",",")&amp;",")),1,0)</f>
        <v>0</v>
      </c>
      <c r="BP18" s="11">
        <f>IF(ISNUMBER(SEARCH(",NTRK,",","&amp;SUBSTITUTE(I18,", ",",")&amp;",")),1,0)</f>
        <v>0</v>
      </c>
      <c r="BQ18" s="11">
        <f>IF(ISNUMBER(SEARCH(",PARP,",","&amp;SUBSTITUTE(I18,", ",",")&amp;",")),1,0)</f>
        <v>0</v>
      </c>
      <c r="BR18" s="11">
        <f>IF(ISNUMBER(SEARCH(",PD-1,",","&amp;SUBSTITUTE(I18,", ",",")&amp;",")),1,0)</f>
        <v>1</v>
      </c>
      <c r="BS18" s="11">
        <f>IF(ISNUMBER(SEARCH(",PD-L1,",","&amp;SUBSTITUTE(I18,", ",",")&amp;",")),1,0)</f>
        <v>0</v>
      </c>
      <c r="BT18" s="11">
        <f>IF(ISNUMBER(SEARCH(",PRMT5,",","&amp;SUBSTITUTE(I18,", ",",")&amp;",")),1,0)</f>
        <v>0</v>
      </c>
      <c r="BU18" s="11">
        <f>IF(ISNUMBER(SEARCH(",RAS,",","&amp;SUBSTITUTE(I18,", ",",")&amp;",")),1,0)</f>
        <v>0</v>
      </c>
      <c r="BV18" s="11">
        <f>IF(ISNUMBER(SEARCH(",RET,",","&amp;SUBSTITUTE(I18,", ",",")&amp;",")),1,0)</f>
        <v>0</v>
      </c>
      <c r="BW18" s="11">
        <f>IF(ISNUMBER(SEARCH(",ROS,",","&amp;SUBSTITUTE(I18,", ",",")&amp;",")),1,0)</f>
        <v>0</v>
      </c>
      <c r="BX18" s="11">
        <f>IF(ISNUMBER(SEARCH(",ROS1,",","&amp;SUBSTITUTE(I18,", ",",")&amp;",")),1,0)</f>
        <v>0</v>
      </c>
      <c r="BY18" s="11">
        <f>IF(ISNUMBER(SEARCH(",Src,",","&amp;SUBSTITUTE(I18,", ",",")&amp;",")),1,0)</f>
        <v>0</v>
      </c>
      <c r="BZ18" s="11">
        <f>IF(ISNUMBER(SEARCH(",TCGF,",","&amp;SUBSTITUTE(I18,", ",",")&amp;",")),1,0)</f>
        <v>0</v>
      </c>
      <c r="CA18" s="11">
        <f>IF(ISNUMBER(SEARCH(",TGF-β,",","&amp;SUBSTITUTE(I18,", ",",")&amp;",")),1,0)</f>
        <v>0</v>
      </c>
      <c r="CB18" s="11">
        <f>IF(ISNUMBER(SEARCH(",TGF-β1,",","&amp;SUBSTITUTE(I18,", ",",")&amp;",")),1,0)</f>
        <v>0</v>
      </c>
      <c r="CC18" s="11">
        <f>IF(ISNUMBER(SEARCH(",TIGIT,",","&amp;SUBSTITUTE(I18,", ",",")&amp;",")),1,0)</f>
        <v>0</v>
      </c>
      <c r="CD18" s="11">
        <f>IF(ISNUMBER(SEARCH(",TLR,",","&amp;SUBSTITUTE(I18,", ",",")&amp;",")),1,0)</f>
        <v>0</v>
      </c>
      <c r="CE18" s="11">
        <f>IF(ISNUMBER(SEARCH(",TLR7/8,",","&amp;SUBSTITUTE(I18,", ",",")&amp;",")),1,0)</f>
        <v>0</v>
      </c>
      <c r="CF18" s="11">
        <f>IF(ISNUMBER(SEARCH(",TRK,",","&amp;SUBSTITUTE(I18,", ",",")&amp;",")),1,0)</f>
        <v>0</v>
      </c>
      <c r="CG18" s="11">
        <f>IF(ISNUMBER(SEARCH(",TROP2,",","&amp;SUBSTITUTE(I18,", ",",")&amp;",")),1,0)</f>
        <v>1</v>
      </c>
      <c r="CH18" s="11">
        <f>IF(ISNUMBER(SEARCH(",TS,",","&amp;SUBSTITUTE(I18,", ",",")&amp;",")),1,0)</f>
        <v>0</v>
      </c>
      <c r="CI18" s="11">
        <f>IF(ISNUMBER(SEARCH(",TYMS,",","&amp;SUBSTITUTE(I18,", ",",")&amp;",")),1,0)</f>
        <v>0</v>
      </c>
      <c r="CJ18" s="11">
        <f>IF(ISNUMBER(SEARCH(",VEGF,",","&amp;SUBSTITUTE(I18,", ",",")&amp;",")),1,0)</f>
        <v>0</v>
      </c>
      <c r="CK18" s="11">
        <f>IF(ISNUMBER(SEARCH(",VEGFA,",","&amp;SUBSTITUTE(I18,", ",",")&amp;",")),1,0)</f>
        <v>0</v>
      </c>
      <c r="CL18" s="11">
        <f>IF(ISNUMBER(SEARCH(",VEGFR2,",","&amp;SUBSTITUTE(I18,", ",",")&amp;",")),1,0)</f>
        <v>0</v>
      </c>
      <c r="CM18" s="11">
        <f>IF(ISNUMBER(SEARCH(",c-MET/MET,",","&amp;SUBSTITUTE(I18,", ",",")&amp;",")),1,0)</f>
        <v>0</v>
      </c>
      <c r="CN18" s="11">
        <f>IF(ISNUMBER(SEARCH(",p53,",","&amp;SUBSTITUTE(I18,", ",",")&amp;",")),1,0)</f>
        <v>0</v>
      </c>
      <c r="CO18" s="11">
        <f>IF(ISNUMBER(SEARCH(",pan-KRAS,",","&amp;SUBSTITUTE(I18,", ",",")&amp;",")),1,0)</f>
        <v>0</v>
      </c>
      <c r="CP18" s="11">
        <f>IF(ISNUMBER(SEARCH(",ALK,",","&amp;SUBSTITUTE(K18,", ",",")&amp;",")),1,0)</f>
        <v>0</v>
      </c>
      <c r="CQ18" s="11">
        <f>IF(ISNUMBER(SEARCH(",BRAF V600E,",","&amp;SUBSTITUTE(K18,", ",",")&amp;",")),1,0)</f>
        <v>0</v>
      </c>
      <c r="CR18" s="11">
        <f>IF(ISNUMBER(SEARCH(",EGFR,",","&amp;SUBSTITUTE(K18,", ",",")&amp;",")),1,0)</f>
        <v>0</v>
      </c>
      <c r="CS18" s="11">
        <f>IF(ISNUMBER(SEARCH(",EGFR Exon 18,",","&amp;SUBSTITUTE(K18,", ",",")&amp;",")),1,0)</f>
        <v>0</v>
      </c>
      <c r="CT18" s="11">
        <f>IF(ISNUMBER(SEARCH(",EGFR Exon 19-del,",","&amp;SUBSTITUTE(K18,", ",",")&amp;",")),1,0)</f>
        <v>0</v>
      </c>
      <c r="CU18" s="11">
        <f>IF(ISNUMBER(SEARCH(",EGFR Exon 20,",","&amp;SUBSTITUTE(K18,", ",",")&amp;",")),1,0)</f>
        <v>0</v>
      </c>
      <c r="CV18" s="11">
        <f>IF(ISNUMBER(SEARCH(",EGFR Exon 20-ins,",","&amp;SUBSTITUTE(K18,", ",",")&amp;",")),1,0)</f>
        <v>0</v>
      </c>
      <c r="CW18" s="11">
        <f>IF(ISNUMBER(SEARCH(",EGFR Exon 21,",","&amp;SUBSTITUTE(K18,", ",",")&amp;",")),1,0)</f>
        <v>0</v>
      </c>
      <c r="CX18" s="11">
        <f>IF(ISNUMBER(SEARCH(",EGFR G719A,",","&amp;SUBSTITUTE(K18,", ",",")&amp;",")),1,0)</f>
        <v>0</v>
      </c>
      <c r="CY18" s="11">
        <f>IF(ISNUMBER(SEARCH(",EGFR G719C,",","&amp;SUBSTITUTE(K18,", ",",")&amp;",")),1,0)</f>
        <v>0</v>
      </c>
      <c r="CZ18" s="11">
        <f>IF(ISNUMBER(SEARCH(",EGFR G719S,",","&amp;SUBSTITUTE(K18,", ",",")&amp;",")),1,0)</f>
        <v>0</v>
      </c>
      <c r="DA18" s="11">
        <f>IF(ISNUMBER(SEARCH(",EGFR G719X,",","&amp;SUBSTITUTE(K18,", ",",")&amp;",")),1,0)</f>
        <v>0</v>
      </c>
      <c r="DB18" s="11">
        <f>IF(ISNUMBER(SEARCH(",EGFR L858R,",","&amp;SUBSTITUTE(K18,", ",",")&amp;",")),1,0)</f>
        <v>0</v>
      </c>
      <c r="DC18" s="11">
        <f>IF(ISNUMBER(SEARCH(",EGFR L861Q,",","&amp;SUBSTITUTE(K18,", ",",")&amp;",")),1,0)</f>
        <v>0</v>
      </c>
      <c r="DD18" s="11">
        <f>IF(ISNUMBER(SEARCH(",EGFR PACC,",","&amp;SUBSTITUTE(K18,", ",",")&amp;",")),1,0)</f>
        <v>0</v>
      </c>
      <c r="DE18" s="11">
        <f>IF(ISNUMBER(SEARCH(",EGFR S768I,",","&amp;SUBSTITUTE(K18,", ",",")&amp;",")),1,0)</f>
        <v>0</v>
      </c>
      <c r="DF18" s="11">
        <f>IF(ISNUMBER(SEARCH(",EGFR T790M,",","&amp;SUBSTITUTE(K18,", ",",")&amp;",")),1,0)</f>
        <v>0</v>
      </c>
      <c r="DG18" s="11">
        <f>IF(ISNUMBER(SEARCH(",EML4-ALK,",","&amp;SUBSTITUTE(K18,", ",",")&amp;",")),1,0)</f>
        <v>0</v>
      </c>
      <c r="DH18" s="11">
        <f>IF(ISNUMBER(SEARCH(",HER2,",","&amp;SUBSTITUTE(K18,", ",",")&amp;",")),1,0)</f>
        <v>0</v>
      </c>
      <c r="DI18" s="11">
        <f>IF(ISNUMBER(SEARCH(",HER2 Exon 19,",","&amp;SUBSTITUTE(K18,", ",",")&amp;",")),1,0)</f>
        <v>0</v>
      </c>
      <c r="DJ18" s="11">
        <f>IF(ISNUMBER(SEARCH(",HER2 Exon 20,",","&amp;SUBSTITUTE(K18,", ",",")&amp;",")),1,0)</f>
        <v>0</v>
      </c>
      <c r="DK18" s="11">
        <f>IF(ISNUMBER(SEARCH(",HER2 mut,",","&amp;SUBSTITUTE(K18,", ",",")&amp;",")),1,0)</f>
        <v>0</v>
      </c>
      <c r="DL18" s="11">
        <f>IF(ISNUMBER(SEARCH(",HLA-A2,",","&amp;SUBSTITUTE(K18,", ",",")&amp;",")),1,0)</f>
        <v>0</v>
      </c>
      <c r="DM18" s="11">
        <f>IF(ISNUMBER(SEARCH(",HRAS,",","&amp;SUBSTITUTE(K18,", ",",")&amp;",")),1,0)</f>
        <v>0</v>
      </c>
      <c r="DN18" s="11">
        <f>IF(ISNUMBER(SEARCH(",KRAS,",","&amp;SUBSTITUTE(K18,", ",",")&amp;",")),1,0)</f>
        <v>0</v>
      </c>
      <c r="DO18" s="11">
        <f>IF(ISNUMBER(SEARCH(",KRAS G12C,",","&amp;SUBSTITUTE(K18,", ",",")&amp;",")),1,0)</f>
        <v>0</v>
      </c>
      <c r="DP18" s="11">
        <f>IF(ISNUMBER(SEARCH(",NRAS,",","&amp;SUBSTITUTE(K18,", ",",")&amp;",")),1,0)</f>
        <v>0</v>
      </c>
      <c r="DQ18" s="11">
        <f>IF(ISNUMBER(SEARCH(",NTRK,",","&amp;SUBSTITUTE(K18,", ",",")&amp;",")),1,0)</f>
        <v>0</v>
      </c>
      <c r="DR18" s="11">
        <f>IF(ISNUMBER(SEARCH(",PD-L1,",","&amp;SUBSTITUTE(K18,", ",",")&amp;",")),1,0)</f>
        <v>0</v>
      </c>
      <c r="DS18" s="11">
        <f>IF(ISNUMBER(SEARCH(",PD-L1 IC ≥ 1%,",","&amp;SUBSTITUTE(K18,", ",",")&amp;",")),1,0)</f>
        <v>0</v>
      </c>
      <c r="DT18" s="11">
        <f>IF(ISNUMBER(SEARCH(",PD-L1 TC ≥ 1%,",","&amp;SUBSTITUTE(K18,", ",",")&amp;",")),1,0)</f>
        <v>0</v>
      </c>
      <c r="DU18" s="11">
        <f>IF(ISNUMBER(SEARCH(",PD-L1 TC ≥ 50%,",","&amp;SUBSTITUTE(K18,", ",",")&amp;",")),1,0)</f>
        <v>0</v>
      </c>
      <c r="DV18" s="11">
        <f>IF(ISNUMBER(SEARCH(",PD-L1 TPS &lt; 50%,",","&amp;SUBSTITUTE(K18,", ",",")&amp;",")),1,0)</f>
        <v>1</v>
      </c>
      <c r="DW18" s="11">
        <f>IF(ISNUMBER(SEARCH(",PD-L1 TPS ≥ 1%,",","&amp;SUBSTITUTE(K18,", ",",")&amp;",")),1,0)</f>
        <v>0</v>
      </c>
      <c r="DX18" s="11">
        <f>IF(ISNUMBER(SEARCH(",PD-L1 TPS ≥ 50%,",","&amp;SUBSTITUTE(K18,", ",",")&amp;",")),1,0)</f>
        <v>0</v>
      </c>
      <c r="DY18" s="11">
        <f>IF(ISNUMBER(SEARCH(",RAS,",","&amp;SUBSTITUTE(K18,", ",",")&amp;",")),1,0)</f>
        <v>0</v>
      </c>
      <c r="DZ18" s="11">
        <f>IF(ISNUMBER(SEARCH(",RET,",","&amp;SUBSTITUTE(K18,", ",",")&amp;",")),1,0)</f>
        <v>0</v>
      </c>
      <c r="EA18" s="11">
        <f>IF(ISNUMBER(SEARCH(",ROS1,",","&amp;SUBSTITUTE(K18,", ",",")&amp;",")),1,0)</f>
        <v>0</v>
      </c>
      <c r="EB18" s="11">
        <f>IF(ISNUMBER(SEARCH(",TROP2,",","&amp;SUBSTITUTE(K18,", ",",")&amp;",")),1,0)</f>
        <v>0</v>
      </c>
      <c r="EC18" s="11">
        <f>IF(ISNUMBER(SEARCH(",c-MET/MET,",","&amp;SUBSTITUTE(K18,", ",",")&amp;",")),1,0)</f>
        <v>0</v>
      </c>
      <c r="ED18" s="11">
        <f>IF(ISNUMBER(SEARCH(",c-MET/MET Exon 14,",","&amp;SUBSTITUTE(K18,", ",",")&amp;",")),1,0)</f>
        <v>0</v>
      </c>
      <c r="EE18" s="11">
        <f>IF(ISNUMBER(SEARCH(",ctDNA/cfDNA,",","&amp;SUBSTITUTE(K18,", ",",")&amp;",")),1,0)</f>
        <v>0</v>
      </c>
    </row>
    <row r="19" spans="1:135" ht="15" customHeight="1" x14ac:dyDescent="0.2">
      <c r="A19" s="3" t="s">
        <v>960</v>
      </c>
      <c r="B19" s="3" t="s">
        <v>961</v>
      </c>
      <c r="C19" s="3" t="s">
        <v>833</v>
      </c>
      <c r="D19" s="3" t="s">
        <v>833</v>
      </c>
      <c r="E19" s="3" t="s">
        <v>350</v>
      </c>
      <c r="F19" s="3" t="s">
        <v>572</v>
      </c>
      <c r="G19" s="3" t="s">
        <v>181</v>
      </c>
      <c r="H19" s="3" t="s">
        <v>114</v>
      </c>
      <c r="I19" s="3" t="s">
        <v>1175</v>
      </c>
      <c r="J19" s="3" t="s">
        <v>965</v>
      </c>
      <c r="K19" s="3" t="s">
        <v>726</v>
      </c>
      <c r="L19" s="3" t="s">
        <v>119</v>
      </c>
      <c r="M19" s="3" t="s">
        <v>113</v>
      </c>
      <c r="N19" s="3" t="s">
        <v>119</v>
      </c>
      <c r="O19" s="3" t="s">
        <v>120</v>
      </c>
      <c r="P19" s="3" t="s">
        <v>1173</v>
      </c>
      <c r="Q19" s="10" t="str">
        <f>IF(F19="Stage IV","Stage IV Only",IF(AND(ISNUMBER(SEARCH("IV",F19)),LEN(F19)&gt;LEN("Stage IV")),"Stage IV + Other",IF(AND(ISNUMBER(SEARCH("III",F19)),NOT(ISNUMBER(SEARCH("IV",F19)))),"Stage III Only","Other")))</f>
        <v>Stage IV + Other</v>
      </c>
      <c r="R19" s="10" t="str">
        <f>IF(AND(ISNUMBER(SEARCH("Non-squamous",G19)),ISNUMBER(SEARCH("Squamous",SUBSTITUTE(G19,"Non-squamous","")))),"Both",IF(ISNUMBER(SEARCH("Non-squamous",G19)),"Non-squamous",IF(ISNUMBER(SEARCH("Squamous",G19)),"Squamous","Unspecified")))</f>
        <v>Non-squamous</v>
      </c>
      <c r="S19" s="10" t="str">
        <f>IF(OR(ISNUMBER(SEARCH("TPS ≥ 50%",K19)),ISNUMBER(SEARCH("TC ≥ 50%",K19))),"TPS ≥ 50%",IF(OR(ISNUMBER(SEARCH("TPS ≥ 1%",K19)),ISNUMBER(SEARCH("TC ≥ 1%",K19)),ISNUMBER(SEARCH("TPS &lt; 50%",K19)),ISNUMBER(SEARCH("IC ≥ 1%",K19))),"TPS 1-49%","All-comers"))</f>
        <v>All-comers</v>
      </c>
      <c r="T19" s="10">
        <f>IF(H19="Phase III",1,0)</f>
        <v>1</v>
      </c>
      <c r="U19" s="10">
        <f>IF(L19="Yes",1,0)</f>
        <v>0</v>
      </c>
      <c r="V19" s="11">
        <f>IF(ISNUMBER(SEARCH(",ALK,",","&amp;SUBSTITUTE(I19,", ",",")&amp;",")),1,0)</f>
        <v>0</v>
      </c>
      <c r="W19" s="11">
        <f>IF(ISNUMBER(SEARCH(",ALK L1196M,",","&amp;SUBSTITUTE(I19,", ",",")&amp;",")),1,0)</f>
        <v>0</v>
      </c>
      <c r="X19" s="11">
        <f>IF(ISNUMBER(SEARCH(",AXL,",","&amp;SUBSTITUTE(I19,", ",",")&amp;",")),1,0)</f>
        <v>0</v>
      </c>
      <c r="Y19" s="11">
        <f>IF(ISNUMBER(SEARCH(",B7-H1,",","&amp;SUBSTITUTE(I19,", ",",")&amp;",")),1,0)</f>
        <v>0</v>
      </c>
      <c r="Z19" s="11">
        <f>IF(ISNUMBER(SEARCH(",CD152,",","&amp;SUBSTITUTE(I19,", ",",")&amp;",")),1,0)</f>
        <v>0</v>
      </c>
      <c r="AA19" s="11">
        <f>IF(ISNUMBER(SEARCH(",CD274,",","&amp;SUBSTITUTE(I19,", ",",")&amp;",")),1,0)</f>
        <v>0</v>
      </c>
      <c r="AB19" s="11">
        <f>IF(ISNUMBER(SEARCH(",CD279,",","&amp;SUBSTITUTE(I19,", ",",")&amp;",")),1,0)</f>
        <v>0</v>
      </c>
      <c r="AC19" s="11">
        <f>IF(ISNUMBER(SEARCH(",CD73,",","&amp;SUBSTITUTE(I19,", ",",")&amp;",")),1,0)</f>
        <v>0</v>
      </c>
      <c r="AD19" s="11">
        <f>IF(ISNUMBER(SEARCH(",CEA,",","&amp;SUBSTITUTE(I19,", ",",")&amp;",")),1,0)</f>
        <v>0</v>
      </c>
      <c r="AE19" s="11">
        <f>IF(ISNUMBER(SEARCH(",CTLA-4,",","&amp;SUBSTITUTE(I19,", ",",")&amp;",")),1,0)</f>
        <v>0</v>
      </c>
      <c r="AF19" s="11">
        <f>IF(ISNUMBER(SEARCH(",EGFR,",","&amp;SUBSTITUTE(I19,", ",",")&amp;",")),1,0)</f>
        <v>0</v>
      </c>
      <c r="AG19" s="11">
        <f>IF(ISNUMBER(SEARCH(",EGFR C797G,",","&amp;SUBSTITUTE(I19,", ",",")&amp;",")),1,0)</f>
        <v>0</v>
      </c>
      <c r="AH19" s="11">
        <f>IF(ISNUMBER(SEARCH(",EGFR C797S,",","&amp;SUBSTITUTE(I19,", ",",")&amp;",")),1,0)</f>
        <v>0</v>
      </c>
      <c r="AI19" s="11">
        <f>IF(ISNUMBER(SEARCH(",EGFR Exon 19-del,",","&amp;SUBSTITUTE(I19,", ",",")&amp;",")),1,0)</f>
        <v>0</v>
      </c>
      <c r="AJ19" s="11">
        <f>IF(ISNUMBER(SEARCH(",EGFR Exon 20,",","&amp;SUBSTITUTE(I19,", ",",")&amp;",")),1,0)</f>
        <v>0</v>
      </c>
      <c r="AK19" s="11">
        <f>IF(ISNUMBER(SEARCH(",EGFR L858R,",","&amp;SUBSTITUTE(I19,", ",",")&amp;",")),1,0)</f>
        <v>0</v>
      </c>
      <c r="AL19" s="11">
        <f>IF(ISNUMBER(SEARCH(",EGFR T790M,",","&amp;SUBSTITUTE(I19,", ",",")&amp;",")),1,0)</f>
        <v>1</v>
      </c>
      <c r="AM19" s="11">
        <f>IF(ISNUMBER(SEARCH(",ERBB,",","&amp;SUBSTITUTE(I19,", ",",")&amp;",")),1,0)</f>
        <v>0</v>
      </c>
      <c r="AN19" s="11">
        <f>IF(ISNUMBER(SEARCH(",ERBB3,",","&amp;SUBSTITUTE(I19,", ",",")&amp;",")),1,0)</f>
        <v>0</v>
      </c>
      <c r="AO19" s="11">
        <f>IF(ISNUMBER(SEARCH(",FAK,",","&amp;SUBSTITUTE(I19,", ",",")&amp;",")),1,0)</f>
        <v>0</v>
      </c>
      <c r="AP19" s="11">
        <f>IF(ISNUMBER(SEARCH(",GARP,",","&amp;SUBSTITUTE(I19,", ",",")&amp;",")),1,0)</f>
        <v>0</v>
      </c>
      <c r="AQ19" s="11">
        <f>IF(ISNUMBER(SEARCH(",HER1,",","&amp;SUBSTITUTE(I19,", ",",")&amp;",")),1,0)</f>
        <v>0</v>
      </c>
      <c r="AR19" s="11">
        <f>IF(ISNUMBER(SEARCH(",HER2,",","&amp;SUBSTITUTE(I19,", ",",")&amp;",")),1,0)</f>
        <v>0</v>
      </c>
      <c r="AS19" s="11">
        <f>IF(ISNUMBER(SEARCH(",HER2 Exon 20,",","&amp;SUBSTITUTE(I19,", ",",")&amp;",")),1,0)</f>
        <v>0</v>
      </c>
      <c r="AT19" s="11">
        <f>IF(ISNUMBER(SEARCH(",HER3,",","&amp;SUBSTITUTE(I19,", ",",")&amp;",")),1,0)</f>
        <v>0</v>
      </c>
      <c r="AU19" s="11">
        <f>IF(ISNUMBER(SEARCH(",HER4,",","&amp;SUBSTITUTE(I19,", ",",")&amp;",")),1,0)</f>
        <v>0</v>
      </c>
      <c r="AV19" s="11">
        <f>IF(ISNUMBER(SEARCH(",HRAS,",","&amp;SUBSTITUTE(I19,", ",",")&amp;",")),1,0)</f>
        <v>0</v>
      </c>
      <c r="AW19" s="11">
        <f>IF(ISNUMBER(SEARCH(",HSV-TK,",","&amp;SUBSTITUTE(I19,", ",",")&amp;",")),1,0)</f>
        <v>0</v>
      </c>
      <c r="AX19" s="11">
        <f>IF(ISNUMBER(SEARCH(",IL-12,",","&amp;SUBSTITUTE(I19,", ",",")&amp;",")),1,0)</f>
        <v>0</v>
      </c>
      <c r="AY19" s="11">
        <f>IF(ISNUMBER(SEARCH(",IL-15,",","&amp;SUBSTITUTE(I19,", ",",")&amp;",")),1,0)</f>
        <v>0</v>
      </c>
      <c r="AZ19" s="11">
        <f>IF(ISNUMBER(SEARCH(",IL-15R,",","&amp;SUBSTITUTE(I19,", ",",")&amp;",")),1,0)</f>
        <v>0</v>
      </c>
      <c r="BA19" s="11">
        <f>IF(ISNUMBER(SEARCH(",IL-2,",","&amp;SUBSTITUTE(I19,", ",",")&amp;",")),1,0)</f>
        <v>0</v>
      </c>
      <c r="BB19" s="11">
        <f>IF(ISNUMBER(SEARCH(",Integrin β6,",","&amp;SUBSTITUTE(I19,", ",",")&amp;",")),1,0)</f>
        <v>0</v>
      </c>
      <c r="BC19" s="11">
        <f>IF(ISNUMBER(SEARCH(",KDR,",","&amp;SUBSTITUTE(I19,", ",",")&amp;",")),1,0)</f>
        <v>0</v>
      </c>
      <c r="BD19" s="11">
        <f>IF(ISNUMBER(SEARCH(",KLRC1,",","&amp;SUBSTITUTE(I19,", ",",")&amp;",")),1,0)</f>
        <v>0</v>
      </c>
      <c r="BE19" s="11">
        <f>IF(ISNUMBER(SEARCH(",KRAS,",","&amp;SUBSTITUTE(I19,", ",",")&amp;",")),1,0)</f>
        <v>0</v>
      </c>
      <c r="BF19" s="11">
        <f>IF(ISNUMBER(SEARCH(",KRAS G12,",","&amp;SUBSTITUTE(I19,", ",",")&amp;",")),1,0)</f>
        <v>0</v>
      </c>
      <c r="BG19" s="11">
        <f>IF(ISNUMBER(SEARCH(",KRAS G12C,",","&amp;SUBSTITUTE(I19,", ",",")&amp;",")),1,0)</f>
        <v>0</v>
      </c>
      <c r="BH19" s="11">
        <f>IF(ISNUMBER(SEARCH(",KRAS G12D,",","&amp;SUBSTITUTE(I19,", ",",")&amp;",")),1,0)</f>
        <v>0</v>
      </c>
      <c r="BI19" s="11">
        <f>IF(ISNUMBER(SEARCH(",LAG-3,",","&amp;SUBSTITUTE(I19,", ",",")&amp;",")),1,0)</f>
        <v>0</v>
      </c>
      <c r="BJ19" s="11">
        <f>IF(ISNUMBER(SEARCH(",MAGE-A2,",","&amp;SUBSTITUTE(I19,", ",",")&amp;",")),1,0)</f>
        <v>0</v>
      </c>
      <c r="BK19" s="11">
        <f>IF(ISNUMBER(SEARCH(",MAGE-A3,",","&amp;SUBSTITUTE(I19,", ",",")&amp;",")),1,0)</f>
        <v>0</v>
      </c>
      <c r="BL19" s="11">
        <f>IF(ISNUMBER(SEARCH(",MLN19,",","&amp;SUBSTITUTE(I19,", ",",")&amp;",")),1,0)</f>
        <v>0</v>
      </c>
      <c r="BM19" s="11">
        <f>IF(ISNUMBER(SEARCH(",Microtubule,",","&amp;SUBSTITUTE(I19,", ",",")&amp;",")),1,0)</f>
        <v>0</v>
      </c>
      <c r="BN19" s="11">
        <f>IF(ISNUMBER(SEARCH(",NKG2A,",","&amp;SUBSTITUTE(I19,", ",",")&amp;",")),1,0)</f>
        <v>0</v>
      </c>
      <c r="BO19" s="11">
        <f>IF(ISNUMBER(SEARCH(",NRAS,",","&amp;SUBSTITUTE(I19,", ",",")&amp;",")),1,0)</f>
        <v>0</v>
      </c>
      <c r="BP19" s="11">
        <f>IF(ISNUMBER(SEARCH(",NTRK,",","&amp;SUBSTITUTE(I19,", ",",")&amp;",")),1,0)</f>
        <v>0</v>
      </c>
      <c r="BQ19" s="11">
        <f>IF(ISNUMBER(SEARCH(",PARP,",","&amp;SUBSTITUTE(I19,", ",",")&amp;",")),1,0)</f>
        <v>0</v>
      </c>
      <c r="BR19" s="11">
        <f>IF(ISNUMBER(SEARCH(",PD-1,",","&amp;SUBSTITUTE(I19,", ",",")&amp;",")),1,0)</f>
        <v>0</v>
      </c>
      <c r="BS19" s="11">
        <f>IF(ISNUMBER(SEARCH(",PD-L1,",","&amp;SUBSTITUTE(I19,", ",",")&amp;",")),1,0)</f>
        <v>0</v>
      </c>
      <c r="BT19" s="11">
        <f>IF(ISNUMBER(SEARCH(",PRMT5,",","&amp;SUBSTITUTE(I19,", ",",")&amp;",")),1,0)</f>
        <v>0</v>
      </c>
      <c r="BU19" s="11">
        <f>IF(ISNUMBER(SEARCH(",RAS,",","&amp;SUBSTITUTE(I19,", ",",")&amp;",")),1,0)</f>
        <v>0</v>
      </c>
      <c r="BV19" s="11">
        <f>IF(ISNUMBER(SEARCH(",RET,",","&amp;SUBSTITUTE(I19,", ",",")&amp;",")),1,0)</f>
        <v>0</v>
      </c>
      <c r="BW19" s="11">
        <f>IF(ISNUMBER(SEARCH(",ROS,",","&amp;SUBSTITUTE(I19,", ",",")&amp;",")),1,0)</f>
        <v>0</v>
      </c>
      <c r="BX19" s="11">
        <f>IF(ISNUMBER(SEARCH(",ROS1,",","&amp;SUBSTITUTE(I19,", ",",")&amp;",")),1,0)</f>
        <v>0</v>
      </c>
      <c r="BY19" s="11">
        <f>IF(ISNUMBER(SEARCH(",Src,",","&amp;SUBSTITUTE(I19,", ",",")&amp;",")),1,0)</f>
        <v>0</v>
      </c>
      <c r="BZ19" s="11">
        <f>IF(ISNUMBER(SEARCH(",TCGF,",","&amp;SUBSTITUTE(I19,", ",",")&amp;",")),1,0)</f>
        <v>0</v>
      </c>
      <c r="CA19" s="11">
        <f>IF(ISNUMBER(SEARCH(",TGF-β,",","&amp;SUBSTITUTE(I19,", ",",")&amp;",")),1,0)</f>
        <v>0</v>
      </c>
      <c r="CB19" s="11">
        <f>IF(ISNUMBER(SEARCH(",TGF-β1,",","&amp;SUBSTITUTE(I19,", ",",")&amp;",")),1,0)</f>
        <v>0</v>
      </c>
      <c r="CC19" s="11">
        <f>IF(ISNUMBER(SEARCH(",TIGIT,",","&amp;SUBSTITUTE(I19,", ",",")&amp;",")),1,0)</f>
        <v>0</v>
      </c>
      <c r="CD19" s="11">
        <f>IF(ISNUMBER(SEARCH(",TLR,",","&amp;SUBSTITUTE(I19,", ",",")&amp;",")),1,0)</f>
        <v>0</v>
      </c>
      <c r="CE19" s="11">
        <f>IF(ISNUMBER(SEARCH(",TLR7/8,",","&amp;SUBSTITUTE(I19,", ",",")&amp;",")),1,0)</f>
        <v>0</v>
      </c>
      <c r="CF19" s="11">
        <f>IF(ISNUMBER(SEARCH(",TRK,",","&amp;SUBSTITUTE(I19,", ",",")&amp;",")),1,0)</f>
        <v>0</v>
      </c>
      <c r="CG19" s="11">
        <f>IF(ISNUMBER(SEARCH(",TROP2,",","&amp;SUBSTITUTE(I19,", ",",")&amp;",")),1,0)</f>
        <v>1</v>
      </c>
      <c r="CH19" s="11">
        <f>IF(ISNUMBER(SEARCH(",TS,",","&amp;SUBSTITUTE(I19,", ",",")&amp;",")),1,0)</f>
        <v>0</v>
      </c>
      <c r="CI19" s="11">
        <f>IF(ISNUMBER(SEARCH(",TYMS,",","&amp;SUBSTITUTE(I19,", ",",")&amp;",")),1,0)</f>
        <v>0</v>
      </c>
      <c r="CJ19" s="11">
        <f>IF(ISNUMBER(SEARCH(",VEGF,",","&amp;SUBSTITUTE(I19,", ",",")&amp;",")),1,0)</f>
        <v>0</v>
      </c>
      <c r="CK19" s="11">
        <f>IF(ISNUMBER(SEARCH(",VEGFA,",","&amp;SUBSTITUTE(I19,", ",",")&amp;",")),1,0)</f>
        <v>0</v>
      </c>
      <c r="CL19" s="11">
        <f>IF(ISNUMBER(SEARCH(",VEGFR2,",","&amp;SUBSTITUTE(I19,", ",",")&amp;",")),1,0)</f>
        <v>0</v>
      </c>
      <c r="CM19" s="11">
        <f>IF(ISNUMBER(SEARCH(",c-MET/MET,",","&amp;SUBSTITUTE(I19,", ",",")&amp;",")),1,0)</f>
        <v>0</v>
      </c>
      <c r="CN19" s="11">
        <f>IF(ISNUMBER(SEARCH(",p53,",","&amp;SUBSTITUTE(I19,", ",",")&amp;",")),1,0)</f>
        <v>0</v>
      </c>
      <c r="CO19" s="11">
        <f>IF(ISNUMBER(SEARCH(",pan-KRAS,",","&amp;SUBSTITUTE(I19,", ",",")&amp;",")),1,0)</f>
        <v>0</v>
      </c>
      <c r="CP19" s="11">
        <f>IF(ISNUMBER(SEARCH(",ALK,",","&amp;SUBSTITUTE(K19,", ",",")&amp;",")),1,0)</f>
        <v>0</v>
      </c>
      <c r="CQ19" s="11">
        <f>IF(ISNUMBER(SEARCH(",BRAF V600E,",","&amp;SUBSTITUTE(K19,", ",",")&amp;",")),1,0)</f>
        <v>0</v>
      </c>
      <c r="CR19" s="11">
        <f>IF(ISNUMBER(SEARCH(",EGFR,",","&amp;SUBSTITUTE(K19,", ",",")&amp;",")),1,0)</f>
        <v>1</v>
      </c>
      <c r="CS19" s="11">
        <f>IF(ISNUMBER(SEARCH(",EGFR Exon 18,",","&amp;SUBSTITUTE(K19,", ",",")&amp;",")),1,0)</f>
        <v>0</v>
      </c>
      <c r="CT19" s="11">
        <f>IF(ISNUMBER(SEARCH(",EGFR Exon 19-del,",","&amp;SUBSTITUTE(K19,", ",",")&amp;",")),1,0)</f>
        <v>1</v>
      </c>
      <c r="CU19" s="11">
        <f>IF(ISNUMBER(SEARCH(",EGFR Exon 20,",","&amp;SUBSTITUTE(K19,", ",",")&amp;",")),1,0)</f>
        <v>0</v>
      </c>
      <c r="CV19" s="11">
        <f>IF(ISNUMBER(SEARCH(",EGFR Exon 20-ins,",","&amp;SUBSTITUTE(K19,", ",",")&amp;",")),1,0)</f>
        <v>0</v>
      </c>
      <c r="CW19" s="11">
        <f>IF(ISNUMBER(SEARCH(",EGFR Exon 21,",","&amp;SUBSTITUTE(K19,", ",",")&amp;",")),1,0)</f>
        <v>0</v>
      </c>
      <c r="CX19" s="11">
        <f>IF(ISNUMBER(SEARCH(",EGFR G719A,",","&amp;SUBSTITUTE(K19,", ",",")&amp;",")),1,0)</f>
        <v>0</v>
      </c>
      <c r="CY19" s="11">
        <f>IF(ISNUMBER(SEARCH(",EGFR G719C,",","&amp;SUBSTITUTE(K19,", ",",")&amp;",")),1,0)</f>
        <v>0</v>
      </c>
      <c r="CZ19" s="11">
        <f>IF(ISNUMBER(SEARCH(",EGFR G719S,",","&amp;SUBSTITUTE(K19,", ",",")&amp;",")),1,0)</f>
        <v>0</v>
      </c>
      <c r="DA19" s="11">
        <f>IF(ISNUMBER(SEARCH(",EGFR G719X,",","&amp;SUBSTITUTE(K19,", ",",")&amp;",")),1,0)</f>
        <v>0</v>
      </c>
      <c r="DB19" s="11">
        <f>IF(ISNUMBER(SEARCH(",EGFR L858R,",","&amp;SUBSTITUTE(K19,", ",",")&amp;",")),1,0)</f>
        <v>1</v>
      </c>
      <c r="DC19" s="11">
        <f>IF(ISNUMBER(SEARCH(",EGFR L861Q,",","&amp;SUBSTITUTE(K19,", ",",")&amp;",")),1,0)</f>
        <v>0</v>
      </c>
      <c r="DD19" s="11">
        <f>IF(ISNUMBER(SEARCH(",EGFR PACC,",","&amp;SUBSTITUTE(K19,", ",",")&amp;",")),1,0)</f>
        <v>0</v>
      </c>
      <c r="DE19" s="11">
        <f>IF(ISNUMBER(SEARCH(",EGFR S768I,",","&amp;SUBSTITUTE(K19,", ",",")&amp;",")),1,0)</f>
        <v>0</v>
      </c>
      <c r="DF19" s="11">
        <f>IF(ISNUMBER(SEARCH(",EGFR T790M,",","&amp;SUBSTITUTE(K19,", ",",")&amp;",")),1,0)</f>
        <v>0</v>
      </c>
      <c r="DG19" s="11">
        <f>IF(ISNUMBER(SEARCH(",EML4-ALK,",","&amp;SUBSTITUTE(K19,", ",",")&amp;",")),1,0)</f>
        <v>0</v>
      </c>
      <c r="DH19" s="11">
        <f>IF(ISNUMBER(SEARCH(",HER2,",","&amp;SUBSTITUTE(K19,", ",",")&amp;",")),1,0)</f>
        <v>0</v>
      </c>
      <c r="DI19" s="11">
        <f>IF(ISNUMBER(SEARCH(",HER2 Exon 19,",","&amp;SUBSTITUTE(K19,", ",",")&amp;",")),1,0)</f>
        <v>0</v>
      </c>
      <c r="DJ19" s="11">
        <f>IF(ISNUMBER(SEARCH(",HER2 Exon 20,",","&amp;SUBSTITUTE(K19,", ",",")&amp;",")),1,0)</f>
        <v>0</v>
      </c>
      <c r="DK19" s="11">
        <f>IF(ISNUMBER(SEARCH(",HER2 mut,",","&amp;SUBSTITUTE(K19,", ",",")&amp;",")),1,0)</f>
        <v>0</v>
      </c>
      <c r="DL19" s="11">
        <f>IF(ISNUMBER(SEARCH(",HLA-A2,",","&amp;SUBSTITUTE(K19,", ",",")&amp;",")),1,0)</f>
        <v>0</v>
      </c>
      <c r="DM19" s="11">
        <f>IF(ISNUMBER(SEARCH(",HRAS,",","&amp;SUBSTITUTE(K19,", ",",")&amp;",")),1,0)</f>
        <v>0</v>
      </c>
      <c r="DN19" s="11">
        <f>IF(ISNUMBER(SEARCH(",KRAS,",","&amp;SUBSTITUTE(K19,", ",",")&amp;",")),1,0)</f>
        <v>0</v>
      </c>
      <c r="DO19" s="11">
        <f>IF(ISNUMBER(SEARCH(",KRAS G12C,",","&amp;SUBSTITUTE(K19,", ",",")&amp;",")),1,0)</f>
        <v>0</v>
      </c>
      <c r="DP19" s="11">
        <f>IF(ISNUMBER(SEARCH(",NRAS,",","&amp;SUBSTITUTE(K19,", ",",")&amp;",")),1,0)</f>
        <v>0</v>
      </c>
      <c r="DQ19" s="11">
        <f>IF(ISNUMBER(SEARCH(",NTRK,",","&amp;SUBSTITUTE(K19,", ",",")&amp;",")),1,0)</f>
        <v>0</v>
      </c>
      <c r="DR19" s="11">
        <f>IF(ISNUMBER(SEARCH(",PD-L1,",","&amp;SUBSTITUTE(K19,", ",",")&amp;",")),1,0)</f>
        <v>0</v>
      </c>
      <c r="DS19" s="11">
        <f>IF(ISNUMBER(SEARCH(",PD-L1 IC ≥ 1%,",","&amp;SUBSTITUTE(K19,", ",",")&amp;",")),1,0)</f>
        <v>0</v>
      </c>
      <c r="DT19" s="11">
        <f>IF(ISNUMBER(SEARCH(",PD-L1 TC ≥ 1%,",","&amp;SUBSTITUTE(K19,", ",",")&amp;",")),1,0)</f>
        <v>0</v>
      </c>
      <c r="DU19" s="11">
        <f>IF(ISNUMBER(SEARCH(",PD-L1 TC ≥ 50%,",","&amp;SUBSTITUTE(K19,", ",",")&amp;",")),1,0)</f>
        <v>0</v>
      </c>
      <c r="DV19" s="11">
        <f>IF(ISNUMBER(SEARCH(",PD-L1 TPS &lt; 50%,",","&amp;SUBSTITUTE(K19,", ",",")&amp;",")),1,0)</f>
        <v>0</v>
      </c>
      <c r="DW19" s="11">
        <f>IF(ISNUMBER(SEARCH(",PD-L1 TPS ≥ 1%,",","&amp;SUBSTITUTE(K19,", ",",")&amp;",")),1,0)</f>
        <v>0</v>
      </c>
      <c r="DX19" s="11">
        <f>IF(ISNUMBER(SEARCH(",PD-L1 TPS ≥ 50%,",","&amp;SUBSTITUTE(K19,", ",",")&amp;",")),1,0)</f>
        <v>0</v>
      </c>
      <c r="DY19" s="11">
        <f>IF(ISNUMBER(SEARCH(",RAS,",","&amp;SUBSTITUTE(K19,", ",",")&amp;",")),1,0)</f>
        <v>0</v>
      </c>
      <c r="DZ19" s="11">
        <f>IF(ISNUMBER(SEARCH(",RET,",","&amp;SUBSTITUTE(K19,", ",",")&amp;",")),1,0)</f>
        <v>0</v>
      </c>
      <c r="EA19" s="11">
        <f>IF(ISNUMBER(SEARCH(",ROS1,",","&amp;SUBSTITUTE(K19,", ",",")&amp;",")),1,0)</f>
        <v>0</v>
      </c>
      <c r="EB19" s="11">
        <f>IF(ISNUMBER(SEARCH(",TROP2,",","&amp;SUBSTITUTE(K19,", ",",")&amp;",")),1,0)</f>
        <v>0</v>
      </c>
      <c r="EC19" s="11">
        <f>IF(ISNUMBER(SEARCH(",c-MET/MET,",","&amp;SUBSTITUTE(K19,", ",",")&amp;",")),1,0)</f>
        <v>0</v>
      </c>
      <c r="ED19" s="11">
        <f>IF(ISNUMBER(SEARCH(",c-MET/MET Exon 14,",","&amp;SUBSTITUTE(K19,", ",",")&amp;",")),1,0)</f>
        <v>0</v>
      </c>
      <c r="EE19" s="11">
        <f>IF(ISNUMBER(SEARCH(",ctDNA/cfDNA,",","&amp;SUBSTITUTE(K19,", ",",")&amp;",")),1,0)</f>
        <v>0</v>
      </c>
    </row>
    <row r="20" spans="1:135" ht="15" customHeight="1" x14ac:dyDescent="0.2">
      <c r="A20" s="3" t="s">
        <v>1227</v>
      </c>
      <c r="B20" s="3" t="s">
        <v>1229</v>
      </c>
      <c r="C20" s="3" t="s">
        <v>108</v>
      </c>
      <c r="D20" s="3" t="s">
        <v>107</v>
      </c>
      <c r="E20" s="3" t="s">
        <v>332</v>
      </c>
      <c r="F20" s="3" t="s">
        <v>259</v>
      </c>
      <c r="G20" s="3" t="s">
        <v>665</v>
      </c>
      <c r="H20" s="3" t="s">
        <v>114</v>
      </c>
      <c r="I20" s="3" t="s">
        <v>1137</v>
      </c>
      <c r="J20" s="3" t="s">
        <v>898</v>
      </c>
      <c r="K20" s="3" t="s">
        <v>905</v>
      </c>
      <c r="L20" s="3" t="s">
        <v>119</v>
      </c>
      <c r="M20" s="3" t="s">
        <v>113</v>
      </c>
      <c r="N20" s="3" t="s">
        <v>120</v>
      </c>
      <c r="O20" s="3" t="s">
        <v>120</v>
      </c>
      <c r="P20" s="3" t="s">
        <v>1230</v>
      </c>
      <c r="Q20" s="10" t="str">
        <f>IF(F20="Stage IV","Stage IV Only",IF(AND(ISNUMBER(SEARCH("IV",F20)),LEN(F20)&gt;LEN("Stage IV")),"Stage IV + Other",IF(AND(ISNUMBER(SEARCH("III",F20)),NOT(ISNUMBER(SEARCH("IV",F20)))),"Stage III Only","Other")))</f>
        <v>Stage IV Only</v>
      </c>
      <c r="R20" s="10" t="str">
        <f>IF(AND(ISNUMBER(SEARCH("Non-squamous",G20)),ISNUMBER(SEARCH("Squamous",SUBSTITUTE(G20,"Non-squamous","")))),"Both",IF(ISNUMBER(SEARCH("Non-squamous",G20)),"Non-squamous",IF(ISNUMBER(SEARCH("Squamous",G20)),"Squamous","Unspecified")))</f>
        <v>Non-squamous</v>
      </c>
      <c r="S20" s="10" t="str">
        <f>IF(OR(ISNUMBER(SEARCH("TPS ≥ 50%",K20)),ISNUMBER(SEARCH("TC ≥ 50%",K20))),"TPS ≥ 50%",IF(OR(ISNUMBER(SEARCH("TPS ≥ 1%",K20)),ISNUMBER(SEARCH("TC ≥ 1%",K20)),ISNUMBER(SEARCH("TPS &lt; 50%",K20)),ISNUMBER(SEARCH("IC ≥ 1%",K20))),"TPS 1-49%","All-comers"))</f>
        <v>All-comers</v>
      </c>
      <c r="T20" s="10">
        <f>IF(H20="Phase III",1,0)</f>
        <v>1</v>
      </c>
      <c r="U20" s="10">
        <f>IF(L20="Yes",1,0)</f>
        <v>0</v>
      </c>
      <c r="V20" s="11">
        <f>IF(ISNUMBER(SEARCH(",ALK,",","&amp;SUBSTITUTE(I20,", ",",")&amp;",")),1,0)</f>
        <v>0</v>
      </c>
      <c r="W20" s="11">
        <f>IF(ISNUMBER(SEARCH(",ALK L1196M,",","&amp;SUBSTITUTE(I20,", ",",")&amp;",")),1,0)</f>
        <v>0</v>
      </c>
      <c r="X20" s="11">
        <f>IF(ISNUMBER(SEARCH(",AXL,",","&amp;SUBSTITUTE(I20,", ",",")&amp;",")),1,0)</f>
        <v>0</v>
      </c>
      <c r="Y20" s="11">
        <f>IF(ISNUMBER(SEARCH(",B7-H1,",","&amp;SUBSTITUTE(I20,", ",",")&amp;",")),1,0)</f>
        <v>0</v>
      </c>
      <c r="Z20" s="11">
        <f>IF(ISNUMBER(SEARCH(",CD152,",","&amp;SUBSTITUTE(I20,", ",",")&amp;",")),1,0)</f>
        <v>0</v>
      </c>
      <c r="AA20" s="11">
        <f>IF(ISNUMBER(SEARCH(",CD274,",","&amp;SUBSTITUTE(I20,", ",",")&amp;",")),1,0)</f>
        <v>0</v>
      </c>
      <c r="AB20" s="11">
        <f>IF(ISNUMBER(SEARCH(",CD279,",","&amp;SUBSTITUTE(I20,", ",",")&amp;",")),1,0)</f>
        <v>1</v>
      </c>
      <c r="AC20" s="11">
        <f>IF(ISNUMBER(SEARCH(",CD73,",","&amp;SUBSTITUTE(I20,", ",",")&amp;",")),1,0)</f>
        <v>0</v>
      </c>
      <c r="AD20" s="11">
        <f>IF(ISNUMBER(SEARCH(",CEA,",","&amp;SUBSTITUTE(I20,", ",",")&amp;",")),1,0)</f>
        <v>0</v>
      </c>
      <c r="AE20" s="11">
        <f>IF(ISNUMBER(SEARCH(",CTLA-4,",","&amp;SUBSTITUTE(I20,", ",",")&amp;",")),1,0)</f>
        <v>0</v>
      </c>
      <c r="AF20" s="11">
        <f>IF(ISNUMBER(SEARCH(",EGFR,",","&amp;SUBSTITUTE(I20,", ",",")&amp;",")),1,0)</f>
        <v>0</v>
      </c>
      <c r="AG20" s="11">
        <f>IF(ISNUMBER(SEARCH(",EGFR C797G,",","&amp;SUBSTITUTE(I20,", ",",")&amp;",")),1,0)</f>
        <v>0</v>
      </c>
      <c r="AH20" s="11">
        <f>IF(ISNUMBER(SEARCH(",EGFR C797S,",","&amp;SUBSTITUTE(I20,", ",",")&amp;",")),1,0)</f>
        <v>0</v>
      </c>
      <c r="AI20" s="11">
        <f>IF(ISNUMBER(SEARCH(",EGFR Exon 19-del,",","&amp;SUBSTITUTE(I20,", ",",")&amp;",")),1,0)</f>
        <v>0</v>
      </c>
      <c r="AJ20" s="11">
        <f>IF(ISNUMBER(SEARCH(",EGFR Exon 20,",","&amp;SUBSTITUTE(I20,", ",",")&amp;",")),1,0)</f>
        <v>0</v>
      </c>
      <c r="AK20" s="11">
        <f>IF(ISNUMBER(SEARCH(",EGFR L858R,",","&amp;SUBSTITUTE(I20,", ",",")&amp;",")),1,0)</f>
        <v>0</v>
      </c>
      <c r="AL20" s="11">
        <f>IF(ISNUMBER(SEARCH(",EGFR T790M,",","&amp;SUBSTITUTE(I20,", ",",")&amp;",")),1,0)</f>
        <v>0</v>
      </c>
      <c r="AM20" s="11">
        <f>IF(ISNUMBER(SEARCH(",ERBB,",","&amp;SUBSTITUTE(I20,", ",",")&amp;",")),1,0)</f>
        <v>0</v>
      </c>
      <c r="AN20" s="11">
        <f>IF(ISNUMBER(SEARCH(",ERBB3,",","&amp;SUBSTITUTE(I20,", ",",")&amp;",")),1,0)</f>
        <v>0</v>
      </c>
      <c r="AO20" s="11">
        <f>IF(ISNUMBER(SEARCH(",FAK,",","&amp;SUBSTITUTE(I20,", ",",")&amp;",")),1,0)</f>
        <v>0</v>
      </c>
      <c r="AP20" s="11">
        <f>IF(ISNUMBER(SEARCH(",GARP,",","&amp;SUBSTITUTE(I20,", ",",")&amp;",")),1,0)</f>
        <v>0</v>
      </c>
      <c r="AQ20" s="11">
        <f>IF(ISNUMBER(SEARCH(",HER1,",","&amp;SUBSTITUTE(I20,", ",",")&amp;",")),1,0)</f>
        <v>0</v>
      </c>
      <c r="AR20" s="11">
        <f>IF(ISNUMBER(SEARCH(",HER2,",","&amp;SUBSTITUTE(I20,", ",",")&amp;",")),1,0)</f>
        <v>0</v>
      </c>
      <c r="AS20" s="11">
        <f>IF(ISNUMBER(SEARCH(",HER2 Exon 20,",","&amp;SUBSTITUTE(I20,", ",",")&amp;",")),1,0)</f>
        <v>0</v>
      </c>
      <c r="AT20" s="11">
        <f>IF(ISNUMBER(SEARCH(",HER3,",","&amp;SUBSTITUTE(I20,", ",",")&amp;",")),1,0)</f>
        <v>0</v>
      </c>
      <c r="AU20" s="11">
        <f>IF(ISNUMBER(SEARCH(",HER4,",","&amp;SUBSTITUTE(I20,", ",",")&amp;",")),1,0)</f>
        <v>0</v>
      </c>
      <c r="AV20" s="11">
        <f>IF(ISNUMBER(SEARCH(",HRAS,",","&amp;SUBSTITUTE(I20,", ",",")&amp;",")),1,0)</f>
        <v>0</v>
      </c>
      <c r="AW20" s="11">
        <f>IF(ISNUMBER(SEARCH(",HSV-TK,",","&amp;SUBSTITUTE(I20,", ",",")&amp;",")),1,0)</f>
        <v>0</v>
      </c>
      <c r="AX20" s="11">
        <f>IF(ISNUMBER(SEARCH(",IL-12,",","&amp;SUBSTITUTE(I20,", ",",")&amp;",")),1,0)</f>
        <v>0</v>
      </c>
      <c r="AY20" s="11">
        <f>IF(ISNUMBER(SEARCH(",IL-15,",","&amp;SUBSTITUTE(I20,", ",",")&amp;",")),1,0)</f>
        <v>0</v>
      </c>
      <c r="AZ20" s="11">
        <f>IF(ISNUMBER(SEARCH(",IL-15R,",","&amp;SUBSTITUTE(I20,", ",",")&amp;",")),1,0)</f>
        <v>0</v>
      </c>
      <c r="BA20" s="11">
        <f>IF(ISNUMBER(SEARCH(",IL-2,",","&amp;SUBSTITUTE(I20,", ",",")&amp;",")),1,0)</f>
        <v>0</v>
      </c>
      <c r="BB20" s="11">
        <f>IF(ISNUMBER(SEARCH(",Integrin β6,",","&amp;SUBSTITUTE(I20,", ",",")&amp;",")),1,0)</f>
        <v>0</v>
      </c>
      <c r="BC20" s="11">
        <f>IF(ISNUMBER(SEARCH(",KDR,",","&amp;SUBSTITUTE(I20,", ",",")&amp;",")),1,0)</f>
        <v>0</v>
      </c>
      <c r="BD20" s="11">
        <f>IF(ISNUMBER(SEARCH(",KLRC1,",","&amp;SUBSTITUTE(I20,", ",",")&amp;",")),1,0)</f>
        <v>0</v>
      </c>
      <c r="BE20" s="11">
        <f>IF(ISNUMBER(SEARCH(",KRAS,",","&amp;SUBSTITUTE(I20,", ",",")&amp;",")),1,0)</f>
        <v>0</v>
      </c>
      <c r="BF20" s="11">
        <f>IF(ISNUMBER(SEARCH(",KRAS G12,",","&amp;SUBSTITUTE(I20,", ",",")&amp;",")),1,0)</f>
        <v>0</v>
      </c>
      <c r="BG20" s="11">
        <f>IF(ISNUMBER(SEARCH(",KRAS G12C,",","&amp;SUBSTITUTE(I20,", ",",")&amp;",")),1,0)</f>
        <v>1</v>
      </c>
      <c r="BH20" s="11">
        <f>IF(ISNUMBER(SEARCH(",KRAS G12D,",","&amp;SUBSTITUTE(I20,", ",",")&amp;",")),1,0)</f>
        <v>0</v>
      </c>
      <c r="BI20" s="11">
        <f>IF(ISNUMBER(SEARCH(",LAG-3,",","&amp;SUBSTITUTE(I20,", ",",")&amp;",")),1,0)</f>
        <v>0</v>
      </c>
      <c r="BJ20" s="11">
        <f>IF(ISNUMBER(SEARCH(",MAGE-A2,",","&amp;SUBSTITUTE(I20,", ",",")&amp;",")),1,0)</f>
        <v>0</v>
      </c>
      <c r="BK20" s="11">
        <f>IF(ISNUMBER(SEARCH(",MAGE-A3,",","&amp;SUBSTITUTE(I20,", ",",")&amp;",")),1,0)</f>
        <v>0</v>
      </c>
      <c r="BL20" s="11">
        <f>IF(ISNUMBER(SEARCH(",MLN19,",","&amp;SUBSTITUTE(I20,", ",",")&amp;",")),1,0)</f>
        <v>0</v>
      </c>
      <c r="BM20" s="11">
        <f>IF(ISNUMBER(SEARCH(",Microtubule,",","&amp;SUBSTITUTE(I20,", ",",")&amp;",")),1,0)</f>
        <v>0</v>
      </c>
      <c r="BN20" s="11">
        <f>IF(ISNUMBER(SEARCH(",NKG2A,",","&amp;SUBSTITUTE(I20,", ",",")&amp;",")),1,0)</f>
        <v>0</v>
      </c>
      <c r="BO20" s="11">
        <f>IF(ISNUMBER(SEARCH(",NRAS,",","&amp;SUBSTITUTE(I20,", ",",")&amp;",")),1,0)</f>
        <v>0</v>
      </c>
      <c r="BP20" s="11">
        <f>IF(ISNUMBER(SEARCH(",NTRK,",","&amp;SUBSTITUTE(I20,", ",",")&amp;",")),1,0)</f>
        <v>0</v>
      </c>
      <c r="BQ20" s="11">
        <f>IF(ISNUMBER(SEARCH(",PARP,",","&amp;SUBSTITUTE(I20,", ",",")&amp;",")),1,0)</f>
        <v>0</v>
      </c>
      <c r="BR20" s="11">
        <f>IF(ISNUMBER(SEARCH(",PD-1,",","&amp;SUBSTITUTE(I20,", ",",")&amp;",")),1,0)</f>
        <v>1</v>
      </c>
      <c r="BS20" s="11">
        <f>IF(ISNUMBER(SEARCH(",PD-L1,",","&amp;SUBSTITUTE(I20,", ",",")&amp;",")),1,0)</f>
        <v>0</v>
      </c>
      <c r="BT20" s="11">
        <f>IF(ISNUMBER(SEARCH(",PRMT5,",","&amp;SUBSTITUTE(I20,", ",",")&amp;",")),1,0)</f>
        <v>0</v>
      </c>
      <c r="BU20" s="11">
        <f>IF(ISNUMBER(SEARCH(",RAS,",","&amp;SUBSTITUTE(I20,", ",",")&amp;",")),1,0)</f>
        <v>0</v>
      </c>
      <c r="BV20" s="11">
        <f>IF(ISNUMBER(SEARCH(",RET,",","&amp;SUBSTITUTE(I20,", ",",")&amp;",")),1,0)</f>
        <v>0</v>
      </c>
      <c r="BW20" s="11">
        <f>IF(ISNUMBER(SEARCH(",ROS,",","&amp;SUBSTITUTE(I20,", ",",")&amp;",")),1,0)</f>
        <v>0</v>
      </c>
      <c r="BX20" s="11">
        <f>IF(ISNUMBER(SEARCH(",ROS1,",","&amp;SUBSTITUTE(I20,", ",",")&amp;",")),1,0)</f>
        <v>0</v>
      </c>
      <c r="BY20" s="11">
        <f>IF(ISNUMBER(SEARCH(",Src,",","&amp;SUBSTITUTE(I20,", ",",")&amp;",")),1,0)</f>
        <v>0</v>
      </c>
      <c r="BZ20" s="11">
        <f>IF(ISNUMBER(SEARCH(",TCGF,",","&amp;SUBSTITUTE(I20,", ",",")&amp;",")),1,0)</f>
        <v>0</v>
      </c>
      <c r="CA20" s="11">
        <f>IF(ISNUMBER(SEARCH(",TGF-β,",","&amp;SUBSTITUTE(I20,", ",",")&amp;",")),1,0)</f>
        <v>0</v>
      </c>
      <c r="CB20" s="11">
        <f>IF(ISNUMBER(SEARCH(",TGF-β1,",","&amp;SUBSTITUTE(I20,", ",",")&amp;",")),1,0)</f>
        <v>0</v>
      </c>
      <c r="CC20" s="11">
        <f>IF(ISNUMBER(SEARCH(",TIGIT,",","&amp;SUBSTITUTE(I20,", ",",")&amp;",")),1,0)</f>
        <v>0</v>
      </c>
      <c r="CD20" s="11">
        <f>IF(ISNUMBER(SEARCH(",TLR,",","&amp;SUBSTITUTE(I20,", ",",")&amp;",")),1,0)</f>
        <v>0</v>
      </c>
      <c r="CE20" s="11">
        <f>IF(ISNUMBER(SEARCH(",TLR7/8,",","&amp;SUBSTITUTE(I20,", ",",")&amp;",")),1,0)</f>
        <v>0</v>
      </c>
      <c r="CF20" s="11">
        <f>IF(ISNUMBER(SEARCH(",TRK,",","&amp;SUBSTITUTE(I20,", ",",")&amp;",")),1,0)</f>
        <v>0</v>
      </c>
      <c r="CG20" s="11">
        <f>IF(ISNUMBER(SEARCH(",TROP2,",","&amp;SUBSTITUTE(I20,", ",",")&amp;",")),1,0)</f>
        <v>0</v>
      </c>
      <c r="CH20" s="11">
        <f>IF(ISNUMBER(SEARCH(",TS,",","&amp;SUBSTITUTE(I20,", ",",")&amp;",")),1,0)</f>
        <v>0</v>
      </c>
      <c r="CI20" s="11">
        <f>IF(ISNUMBER(SEARCH(",TYMS,",","&amp;SUBSTITUTE(I20,", ",",")&amp;",")),1,0)</f>
        <v>0</v>
      </c>
      <c r="CJ20" s="11">
        <f>IF(ISNUMBER(SEARCH(",VEGF,",","&amp;SUBSTITUTE(I20,", ",",")&amp;",")),1,0)</f>
        <v>0</v>
      </c>
      <c r="CK20" s="11">
        <f>IF(ISNUMBER(SEARCH(",VEGFA,",","&amp;SUBSTITUTE(I20,", ",",")&amp;",")),1,0)</f>
        <v>0</v>
      </c>
      <c r="CL20" s="11">
        <f>IF(ISNUMBER(SEARCH(",VEGFR2,",","&amp;SUBSTITUTE(I20,", ",",")&amp;",")),1,0)</f>
        <v>0</v>
      </c>
      <c r="CM20" s="11">
        <f>IF(ISNUMBER(SEARCH(",c-MET/MET,",","&amp;SUBSTITUTE(I20,", ",",")&amp;",")),1,0)</f>
        <v>0</v>
      </c>
      <c r="CN20" s="11">
        <f>IF(ISNUMBER(SEARCH(",p53,",","&amp;SUBSTITUTE(I20,", ",",")&amp;",")),1,0)</f>
        <v>0</v>
      </c>
      <c r="CO20" s="11">
        <f>IF(ISNUMBER(SEARCH(",pan-KRAS,",","&amp;SUBSTITUTE(I20,", ",",")&amp;",")),1,0)</f>
        <v>0</v>
      </c>
      <c r="CP20" s="11">
        <f>IF(ISNUMBER(SEARCH(",ALK,",","&amp;SUBSTITUTE(K20,", ",",")&amp;",")),1,0)</f>
        <v>0</v>
      </c>
      <c r="CQ20" s="11">
        <f>IF(ISNUMBER(SEARCH(",BRAF V600E,",","&amp;SUBSTITUTE(K20,", ",",")&amp;",")),1,0)</f>
        <v>0</v>
      </c>
      <c r="CR20" s="11">
        <f>IF(ISNUMBER(SEARCH(",EGFR,",","&amp;SUBSTITUTE(K20,", ",",")&amp;",")),1,0)</f>
        <v>0</v>
      </c>
      <c r="CS20" s="11">
        <f>IF(ISNUMBER(SEARCH(",EGFR Exon 18,",","&amp;SUBSTITUTE(K20,", ",",")&amp;",")),1,0)</f>
        <v>0</v>
      </c>
      <c r="CT20" s="11">
        <f>IF(ISNUMBER(SEARCH(",EGFR Exon 19-del,",","&amp;SUBSTITUTE(K20,", ",",")&amp;",")),1,0)</f>
        <v>0</v>
      </c>
      <c r="CU20" s="11">
        <f>IF(ISNUMBER(SEARCH(",EGFR Exon 20,",","&amp;SUBSTITUTE(K20,", ",",")&amp;",")),1,0)</f>
        <v>0</v>
      </c>
      <c r="CV20" s="11">
        <f>IF(ISNUMBER(SEARCH(",EGFR Exon 20-ins,",","&amp;SUBSTITUTE(K20,", ",",")&amp;",")),1,0)</f>
        <v>0</v>
      </c>
      <c r="CW20" s="11">
        <f>IF(ISNUMBER(SEARCH(",EGFR Exon 21,",","&amp;SUBSTITUTE(K20,", ",",")&amp;",")),1,0)</f>
        <v>0</v>
      </c>
      <c r="CX20" s="11">
        <f>IF(ISNUMBER(SEARCH(",EGFR G719A,",","&amp;SUBSTITUTE(K20,", ",",")&amp;",")),1,0)</f>
        <v>0</v>
      </c>
      <c r="CY20" s="11">
        <f>IF(ISNUMBER(SEARCH(",EGFR G719C,",","&amp;SUBSTITUTE(K20,", ",",")&amp;",")),1,0)</f>
        <v>0</v>
      </c>
      <c r="CZ20" s="11">
        <f>IF(ISNUMBER(SEARCH(",EGFR G719S,",","&amp;SUBSTITUTE(K20,", ",",")&amp;",")),1,0)</f>
        <v>0</v>
      </c>
      <c r="DA20" s="11">
        <f>IF(ISNUMBER(SEARCH(",EGFR G719X,",","&amp;SUBSTITUTE(K20,", ",",")&amp;",")),1,0)</f>
        <v>0</v>
      </c>
      <c r="DB20" s="11">
        <f>IF(ISNUMBER(SEARCH(",EGFR L858R,",","&amp;SUBSTITUTE(K20,", ",",")&amp;",")),1,0)</f>
        <v>0</v>
      </c>
      <c r="DC20" s="11">
        <f>IF(ISNUMBER(SEARCH(",EGFR L861Q,",","&amp;SUBSTITUTE(K20,", ",",")&amp;",")),1,0)</f>
        <v>0</v>
      </c>
      <c r="DD20" s="11">
        <f>IF(ISNUMBER(SEARCH(",EGFR PACC,",","&amp;SUBSTITUTE(K20,", ",",")&amp;",")),1,0)</f>
        <v>0</v>
      </c>
      <c r="DE20" s="11">
        <f>IF(ISNUMBER(SEARCH(",EGFR S768I,",","&amp;SUBSTITUTE(K20,", ",",")&amp;",")),1,0)</f>
        <v>0</v>
      </c>
      <c r="DF20" s="11">
        <f>IF(ISNUMBER(SEARCH(",EGFR T790M,",","&amp;SUBSTITUTE(K20,", ",",")&amp;",")),1,0)</f>
        <v>0</v>
      </c>
      <c r="DG20" s="11">
        <f>IF(ISNUMBER(SEARCH(",EML4-ALK,",","&amp;SUBSTITUTE(K20,", ",",")&amp;",")),1,0)</f>
        <v>0</v>
      </c>
      <c r="DH20" s="11">
        <f>IF(ISNUMBER(SEARCH(",HER2,",","&amp;SUBSTITUTE(K20,", ",",")&amp;",")),1,0)</f>
        <v>0</v>
      </c>
      <c r="DI20" s="11">
        <f>IF(ISNUMBER(SEARCH(",HER2 Exon 19,",","&amp;SUBSTITUTE(K20,", ",",")&amp;",")),1,0)</f>
        <v>0</v>
      </c>
      <c r="DJ20" s="11">
        <f>IF(ISNUMBER(SEARCH(",HER2 Exon 20,",","&amp;SUBSTITUTE(K20,", ",",")&amp;",")),1,0)</f>
        <v>0</v>
      </c>
      <c r="DK20" s="11">
        <f>IF(ISNUMBER(SEARCH(",HER2 mut,",","&amp;SUBSTITUTE(K20,", ",",")&amp;",")),1,0)</f>
        <v>0</v>
      </c>
      <c r="DL20" s="11">
        <f>IF(ISNUMBER(SEARCH(",HLA-A2,",","&amp;SUBSTITUTE(K20,", ",",")&amp;",")),1,0)</f>
        <v>0</v>
      </c>
      <c r="DM20" s="11">
        <f>IF(ISNUMBER(SEARCH(",HRAS,",","&amp;SUBSTITUTE(K20,", ",",")&amp;",")),1,0)</f>
        <v>0</v>
      </c>
      <c r="DN20" s="11">
        <f>IF(ISNUMBER(SEARCH(",KRAS,",","&amp;SUBSTITUTE(K20,", ",",")&amp;",")),1,0)</f>
        <v>0</v>
      </c>
      <c r="DO20" s="11">
        <f>IF(ISNUMBER(SEARCH(",KRAS G12C,",","&amp;SUBSTITUTE(K20,", ",",")&amp;",")),1,0)</f>
        <v>1</v>
      </c>
      <c r="DP20" s="11">
        <f>IF(ISNUMBER(SEARCH(",NRAS,",","&amp;SUBSTITUTE(K20,", ",",")&amp;",")),1,0)</f>
        <v>0</v>
      </c>
      <c r="DQ20" s="11">
        <f>IF(ISNUMBER(SEARCH(",NTRK,",","&amp;SUBSTITUTE(K20,", ",",")&amp;",")),1,0)</f>
        <v>0</v>
      </c>
      <c r="DR20" s="11">
        <f>IF(ISNUMBER(SEARCH(",PD-L1,",","&amp;SUBSTITUTE(K20,", ",",")&amp;",")),1,0)</f>
        <v>0</v>
      </c>
      <c r="DS20" s="11">
        <f>IF(ISNUMBER(SEARCH(",PD-L1 IC ≥ 1%,",","&amp;SUBSTITUTE(K20,", ",",")&amp;",")),1,0)</f>
        <v>0</v>
      </c>
      <c r="DT20" s="11">
        <f>IF(ISNUMBER(SEARCH(",PD-L1 TC ≥ 1%,",","&amp;SUBSTITUTE(K20,", ",",")&amp;",")),1,0)</f>
        <v>0</v>
      </c>
      <c r="DU20" s="11">
        <f>IF(ISNUMBER(SEARCH(",PD-L1 TC ≥ 50%,",","&amp;SUBSTITUTE(K20,", ",",")&amp;",")),1,0)</f>
        <v>0</v>
      </c>
      <c r="DV20" s="11">
        <f>IF(ISNUMBER(SEARCH(",PD-L1 TPS &lt; 50%,",","&amp;SUBSTITUTE(K20,", ",",")&amp;",")),1,0)</f>
        <v>0</v>
      </c>
      <c r="DW20" s="11">
        <f>IF(ISNUMBER(SEARCH(",PD-L1 TPS ≥ 1%,",","&amp;SUBSTITUTE(K20,", ",",")&amp;",")),1,0)</f>
        <v>0</v>
      </c>
      <c r="DX20" s="11">
        <f>IF(ISNUMBER(SEARCH(",PD-L1 TPS ≥ 50%,",","&amp;SUBSTITUTE(K20,", ",",")&amp;",")),1,0)</f>
        <v>0</v>
      </c>
      <c r="DY20" s="11">
        <f>IF(ISNUMBER(SEARCH(",RAS,",","&amp;SUBSTITUTE(K20,", ",",")&amp;",")),1,0)</f>
        <v>0</v>
      </c>
      <c r="DZ20" s="11">
        <f>IF(ISNUMBER(SEARCH(",RET,",","&amp;SUBSTITUTE(K20,", ",",")&amp;",")),1,0)</f>
        <v>0</v>
      </c>
      <c r="EA20" s="11">
        <f>IF(ISNUMBER(SEARCH(",ROS1,",","&amp;SUBSTITUTE(K20,", ",",")&amp;",")),1,0)</f>
        <v>0</v>
      </c>
      <c r="EB20" s="11">
        <f>IF(ISNUMBER(SEARCH(",TROP2,",","&amp;SUBSTITUTE(K20,", ",",")&amp;",")),1,0)</f>
        <v>0</v>
      </c>
      <c r="EC20" s="11">
        <f>IF(ISNUMBER(SEARCH(",c-MET/MET,",","&amp;SUBSTITUTE(K20,", ",",")&amp;",")),1,0)</f>
        <v>0</v>
      </c>
      <c r="ED20" s="11">
        <f>IF(ISNUMBER(SEARCH(",c-MET/MET Exon 14,",","&amp;SUBSTITUTE(K20,", ",",")&amp;",")),1,0)</f>
        <v>0</v>
      </c>
      <c r="EE20" s="11">
        <f>IF(ISNUMBER(SEARCH(",ctDNA/cfDNA,",","&amp;SUBSTITUTE(K20,", ",",")&amp;",")),1,0)</f>
        <v>0</v>
      </c>
    </row>
    <row r="21" spans="1:135" ht="15" customHeight="1" x14ac:dyDescent="0.2">
      <c r="A21" s="5" t="s">
        <v>1091</v>
      </c>
      <c r="B21" s="5" t="s">
        <v>1092</v>
      </c>
      <c r="C21" s="5" t="s">
        <v>1093</v>
      </c>
      <c r="D21" s="5" t="s">
        <v>1041</v>
      </c>
      <c r="E21" s="5" t="s">
        <v>1041</v>
      </c>
      <c r="F21" s="5" t="s">
        <v>259</v>
      </c>
      <c r="G21" s="5" t="s">
        <v>283</v>
      </c>
      <c r="H21" s="5" t="s">
        <v>114</v>
      </c>
      <c r="I21" s="5" t="s">
        <v>1097</v>
      </c>
      <c r="J21" s="5" t="s">
        <v>1096</v>
      </c>
      <c r="K21" s="5"/>
      <c r="L21" s="5" t="s">
        <v>119</v>
      </c>
      <c r="M21" s="5" t="s">
        <v>113</v>
      </c>
      <c r="N21" s="5" t="s">
        <v>120</v>
      </c>
      <c r="O21" s="5" t="s">
        <v>120</v>
      </c>
      <c r="P21" s="5" t="s">
        <v>1094</v>
      </c>
      <c r="Q21" s="10" t="str">
        <f>IF(F21="Stage IV","Stage IV Only",IF(AND(ISNUMBER(SEARCH("IV",F21)),LEN(F21)&gt;LEN("Stage IV")),"Stage IV + Other",IF(AND(ISNUMBER(SEARCH("III",F21)),NOT(ISNUMBER(SEARCH("IV",F21)))),"Stage III Only","Other")))</f>
        <v>Stage IV Only</v>
      </c>
      <c r="R21" s="10" t="str">
        <f>IF(AND(ISNUMBER(SEARCH("Non-squamous",G21)),ISNUMBER(SEARCH("Squamous",SUBSTITUTE(G21,"Non-squamous","")))),"Both",IF(ISNUMBER(SEARCH("Non-squamous",G21)),"Non-squamous",IF(ISNUMBER(SEARCH("Squamous",G21)),"Squamous","Unspecified")))</f>
        <v>Both</v>
      </c>
      <c r="S21" s="10" t="str">
        <f>IF(OR(ISNUMBER(SEARCH("TPS ≥ 50%",K21)),ISNUMBER(SEARCH("TC ≥ 50%",K21))),"TPS ≥ 50%",IF(OR(ISNUMBER(SEARCH("TPS ≥ 1%",K21)),ISNUMBER(SEARCH("TC ≥ 1%",K21)),ISNUMBER(SEARCH("TPS &lt; 50%",K21)),ISNUMBER(SEARCH("IC ≥ 1%",K21))),"TPS 1-49%","All-comers"))</f>
        <v>All-comers</v>
      </c>
      <c r="T21" s="10">
        <f>IF(H21="Phase III",1,0)</f>
        <v>1</v>
      </c>
      <c r="U21" s="10">
        <f>IF(L21="Yes",1,0)</f>
        <v>0</v>
      </c>
      <c r="V21" s="11">
        <f>IF(ISNUMBER(SEARCH(",ALK,",","&amp;SUBSTITUTE(I21,", ",",")&amp;",")),1,0)</f>
        <v>0</v>
      </c>
      <c r="W21" s="11">
        <f>IF(ISNUMBER(SEARCH(",ALK L1196M,",","&amp;SUBSTITUTE(I21,", ",",")&amp;",")),1,0)</f>
        <v>0</v>
      </c>
      <c r="X21" s="11">
        <f>IF(ISNUMBER(SEARCH(",AXL,",","&amp;SUBSTITUTE(I21,", ",",")&amp;",")),1,0)</f>
        <v>0</v>
      </c>
      <c r="Y21" s="11">
        <f>IF(ISNUMBER(SEARCH(",B7-H1,",","&amp;SUBSTITUTE(I21,", ",",")&amp;",")),1,0)</f>
        <v>0</v>
      </c>
      <c r="Z21" s="11">
        <f>IF(ISNUMBER(SEARCH(",CD152,",","&amp;SUBSTITUTE(I21,", ",",")&amp;",")),1,0)</f>
        <v>0</v>
      </c>
      <c r="AA21" s="11">
        <f>IF(ISNUMBER(SEARCH(",CD274,",","&amp;SUBSTITUTE(I21,", ",",")&amp;",")),1,0)</f>
        <v>0</v>
      </c>
      <c r="AB21" s="11">
        <f>IF(ISNUMBER(SEARCH(",CD279,",","&amp;SUBSTITUTE(I21,", ",",")&amp;",")),1,0)</f>
        <v>1</v>
      </c>
      <c r="AC21" s="11">
        <f>IF(ISNUMBER(SEARCH(",CD73,",","&amp;SUBSTITUTE(I21,", ",",")&amp;",")),1,0)</f>
        <v>0</v>
      </c>
      <c r="AD21" s="11">
        <f>IF(ISNUMBER(SEARCH(",CEA,",","&amp;SUBSTITUTE(I21,", ",",")&amp;",")),1,0)</f>
        <v>0</v>
      </c>
      <c r="AE21" s="11">
        <f>IF(ISNUMBER(SEARCH(",CTLA-4,",","&amp;SUBSTITUTE(I21,", ",",")&amp;",")),1,0)</f>
        <v>0</v>
      </c>
      <c r="AF21" s="11">
        <f>IF(ISNUMBER(SEARCH(",EGFR,",","&amp;SUBSTITUTE(I21,", ",",")&amp;",")),1,0)</f>
        <v>0</v>
      </c>
      <c r="AG21" s="11">
        <f>IF(ISNUMBER(SEARCH(",EGFR C797G,",","&amp;SUBSTITUTE(I21,", ",",")&amp;",")),1,0)</f>
        <v>0</v>
      </c>
      <c r="AH21" s="11">
        <f>IF(ISNUMBER(SEARCH(",EGFR C797S,",","&amp;SUBSTITUTE(I21,", ",",")&amp;",")),1,0)</f>
        <v>0</v>
      </c>
      <c r="AI21" s="11">
        <f>IF(ISNUMBER(SEARCH(",EGFR Exon 19-del,",","&amp;SUBSTITUTE(I21,", ",",")&amp;",")),1,0)</f>
        <v>0</v>
      </c>
      <c r="AJ21" s="11">
        <f>IF(ISNUMBER(SEARCH(",EGFR Exon 20,",","&amp;SUBSTITUTE(I21,", ",",")&amp;",")),1,0)</f>
        <v>0</v>
      </c>
      <c r="AK21" s="11">
        <f>IF(ISNUMBER(SEARCH(",EGFR L858R,",","&amp;SUBSTITUTE(I21,", ",",")&amp;",")),1,0)</f>
        <v>0</v>
      </c>
      <c r="AL21" s="11">
        <f>IF(ISNUMBER(SEARCH(",EGFR T790M,",","&amp;SUBSTITUTE(I21,", ",",")&amp;",")),1,0)</f>
        <v>0</v>
      </c>
      <c r="AM21" s="11">
        <f>IF(ISNUMBER(SEARCH(",ERBB,",","&amp;SUBSTITUTE(I21,", ",",")&amp;",")),1,0)</f>
        <v>0</v>
      </c>
      <c r="AN21" s="11">
        <f>IF(ISNUMBER(SEARCH(",ERBB3,",","&amp;SUBSTITUTE(I21,", ",",")&amp;",")),1,0)</f>
        <v>0</v>
      </c>
      <c r="AO21" s="11">
        <f>IF(ISNUMBER(SEARCH(",FAK,",","&amp;SUBSTITUTE(I21,", ",",")&amp;",")),1,0)</f>
        <v>0</v>
      </c>
      <c r="AP21" s="11">
        <f>IF(ISNUMBER(SEARCH(",GARP,",","&amp;SUBSTITUTE(I21,", ",",")&amp;",")),1,0)</f>
        <v>0</v>
      </c>
      <c r="AQ21" s="11">
        <f>IF(ISNUMBER(SEARCH(",HER1,",","&amp;SUBSTITUTE(I21,", ",",")&amp;",")),1,0)</f>
        <v>0</v>
      </c>
      <c r="AR21" s="11">
        <f>IF(ISNUMBER(SEARCH(",HER2,",","&amp;SUBSTITUTE(I21,", ",",")&amp;",")),1,0)</f>
        <v>0</v>
      </c>
      <c r="AS21" s="11">
        <f>IF(ISNUMBER(SEARCH(",HER2 Exon 20,",","&amp;SUBSTITUTE(I21,", ",",")&amp;",")),1,0)</f>
        <v>0</v>
      </c>
      <c r="AT21" s="11">
        <f>IF(ISNUMBER(SEARCH(",HER3,",","&amp;SUBSTITUTE(I21,", ",",")&amp;",")),1,0)</f>
        <v>0</v>
      </c>
      <c r="AU21" s="11">
        <f>IF(ISNUMBER(SEARCH(",HER4,",","&amp;SUBSTITUTE(I21,", ",",")&amp;",")),1,0)</f>
        <v>0</v>
      </c>
      <c r="AV21" s="11">
        <f>IF(ISNUMBER(SEARCH(",HRAS,",","&amp;SUBSTITUTE(I21,", ",",")&amp;",")),1,0)</f>
        <v>0</v>
      </c>
      <c r="AW21" s="11">
        <f>IF(ISNUMBER(SEARCH(",HSV-TK,",","&amp;SUBSTITUTE(I21,", ",",")&amp;",")),1,0)</f>
        <v>0</v>
      </c>
      <c r="AX21" s="11">
        <f>IF(ISNUMBER(SEARCH(",IL-12,",","&amp;SUBSTITUTE(I21,", ",",")&amp;",")),1,0)</f>
        <v>0</v>
      </c>
      <c r="AY21" s="11">
        <f>IF(ISNUMBER(SEARCH(",IL-15,",","&amp;SUBSTITUTE(I21,", ",",")&amp;",")),1,0)</f>
        <v>0</v>
      </c>
      <c r="AZ21" s="11">
        <f>IF(ISNUMBER(SEARCH(",IL-15R,",","&amp;SUBSTITUTE(I21,", ",",")&amp;",")),1,0)</f>
        <v>0</v>
      </c>
      <c r="BA21" s="11">
        <f>IF(ISNUMBER(SEARCH(",IL-2,",","&amp;SUBSTITUTE(I21,", ",",")&amp;",")),1,0)</f>
        <v>0</v>
      </c>
      <c r="BB21" s="11">
        <f>IF(ISNUMBER(SEARCH(",Integrin β6,",","&amp;SUBSTITUTE(I21,", ",",")&amp;",")),1,0)</f>
        <v>0</v>
      </c>
      <c r="BC21" s="11">
        <f>IF(ISNUMBER(SEARCH(",KDR,",","&amp;SUBSTITUTE(I21,", ",",")&amp;",")),1,0)</f>
        <v>0</v>
      </c>
      <c r="BD21" s="11">
        <f>IF(ISNUMBER(SEARCH(",KLRC1,",","&amp;SUBSTITUTE(I21,", ",",")&amp;",")),1,0)</f>
        <v>0</v>
      </c>
      <c r="BE21" s="11">
        <f>IF(ISNUMBER(SEARCH(",KRAS,",","&amp;SUBSTITUTE(I21,", ",",")&amp;",")),1,0)</f>
        <v>0</v>
      </c>
      <c r="BF21" s="11">
        <f>IF(ISNUMBER(SEARCH(",KRAS G12,",","&amp;SUBSTITUTE(I21,", ",",")&amp;",")),1,0)</f>
        <v>0</v>
      </c>
      <c r="BG21" s="11">
        <f>IF(ISNUMBER(SEARCH(",KRAS G12C,",","&amp;SUBSTITUTE(I21,", ",",")&amp;",")),1,0)</f>
        <v>0</v>
      </c>
      <c r="BH21" s="11">
        <f>IF(ISNUMBER(SEARCH(",KRAS G12D,",","&amp;SUBSTITUTE(I21,", ",",")&amp;",")),1,0)</f>
        <v>0</v>
      </c>
      <c r="BI21" s="11">
        <f>IF(ISNUMBER(SEARCH(",LAG-3,",","&amp;SUBSTITUTE(I21,", ",",")&amp;",")),1,0)</f>
        <v>0</v>
      </c>
      <c r="BJ21" s="11">
        <f>IF(ISNUMBER(SEARCH(",MAGE-A2,",","&amp;SUBSTITUTE(I21,", ",",")&amp;",")),1,0)</f>
        <v>0</v>
      </c>
      <c r="BK21" s="11">
        <f>IF(ISNUMBER(SEARCH(",MAGE-A3,",","&amp;SUBSTITUTE(I21,", ",",")&amp;",")),1,0)</f>
        <v>0</v>
      </c>
      <c r="BL21" s="11">
        <f>IF(ISNUMBER(SEARCH(",MLN19,",","&amp;SUBSTITUTE(I21,", ",",")&amp;",")),1,0)</f>
        <v>0</v>
      </c>
      <c r="BM21" s="11">
        <f>IF(ISNUMBER(SEARCH(",Microtubule,",","&amp;SUBSTITUTE(I21,", ",",")&amp;",")),1,0)</f>
        <v>1</v>
      </c>
      <c r="BN21" s="11">
        <f>IF(ISNUMBER(SEARCH(",NKG2A,",","&amp;SUBSTITUTE(I21,", ",",")&amp;",")),1,0)</f>
        <v>0</v>
      </c>
      <c r="BO21" s="11">
        <f>IF(ISNUMBER(SEARCH(",NRAS,",","&amp;SUBSTITUTE(I21,", ",",")&amp;",")),1,0)</f>
        <v>0</v>
      </c>
      <c r="BP21" s="11">
        <f>IF(ISNUMBER(SEARCH(",NTRK,",","&amp;SUBSTITUTE(I21,", ",",")&amp;",")),1,0)</f>
        <v>0</v>
      </c>
      <c r="BQ21" s="11">
        <f>IF(ISNUMBER(SEARCH(",PARP,",","&amp;SUBSTITUTE(I21,", ",",")&amp;",")),1,0)</f>
        <v>0</v>
      </c>
      <c r="BR21" s="11">
        <f>IF(ISNUMBER(SEARCH(",PD-1,",","&amp;SUBSTITUTE(I21,", ",",")&amp;",")),1,0)</f>
        <v>1</v>
      </c>
      <c r="BS21" s="11">
        <f>IF(ISNUMBER(SEARCH(",PD-L1,",","&amp;SUBSTITUTE(I21,", ",",")&amp;",")),1,0)</f>
        <v>0</v>
      </c>
      <c r="BT21" s="11">
        <f>IF(ISNUMBER(SEARCH(",PRMT5,",","&amp;SUBSTITUTE(I21,", ",",")&amp;",")),1,0)</f>
        <v>0</v>
      </c>
      <c r="BU21" s="11">
        <f>IF(ISNUMBER(SEARCH(",RAS,",","&amp;SUBSTITUTE(I21,", ",",")&amp;",")),1,0)</f>
        <v>0</v>
      </c>
      <c r="BV21" s="11">
        <f>IF(ISNUMBER(SEARCH(",RET,",","&amp;SUBSTITUTE(I21,", ",",")&amp;",")),1,0)</f>
        <v>0</v>
      </c>
      <c r="BW21" s="11">
        <f>IF(ISNUMBER(SEARCH(",ROS,",","&amp;SUBSTITUTE(I21,", ",",")&amp;",")),1,0)</f>
        <v>0</v>
      </c>
      <c r="BX21" s="11">
        <f>IF(ISNUMBER(SEARCH(",ROS1,",","&amp;SUBSTITUTE(I21,", ",",")&amp;",")),1,0)</f>
        <v>0</v>
      </c>
      <c r="BY21" s="11">
        <f>IF(ISNUMBER(SEARCH(",Src,",","&amp;SUBSTITUTE(I21,", ",",")&amp;",")),1,0)</f>
        <v>0</v>
      </c>
      <c r="BZ21" s="11">
        <f>IF(ISNUMBER(SEARCH(",TCGF,",","&amp;SUBSTITUTE(I21,", ",",")&amp;",")),1,0)</f>
        <v>0</v>
      </c>
      <c r="CA21" s="11">
        <f>IF(ISNUMBER(SEARCH(",TGF-β,",","&amp;SUBSTITUTE(I21,", ",",")&amp;",")),1,0)</f>
        <v>0</v>
      </c>
      <c r="CB21" s="11">
        <f>IF(ISNUMBER(SEARCH(",TGF-β1,",","&amp;SUBSTITUTE(I21,", ",",")&amp;",")),1,0)</f>
        <v>0</v>
      </c>
      <c r="CC21" s="11">
        <f>IF(ISNUMBER(SEARCH(",TIGIT,",","&amp;SUBSTITUTE(I21,", ",",")&amp;",")),1,0)</f>
        <v>1</v>
      </c>
      <c r="CD21" s="11">
        <f>IF(ISNUMBER(SEARCH(",TLR,",","&amp;SUBSTITUTE(I21,", ",",")&amp;",")),1,0)</f>
        <v>0</v>
      </c>
      <c r="CE21" s="11">
        <f>IF(ISNUMBER(SEARCH(",TLR7/8,",","&amp;SUBSTITUTE(I21,", ",",")&amp;",")),1,0)</f>
        <v>0</v>
      </c>
      <c r="CF21" s="11">
        <f>IF(ISNUMBER(SEARCH(",TRK,",","&amp;SUBSTITUTE(I21,", ",",")&amp;",")),1,0)</f>
        <v>0</v>
      </c>
      <c r="CG21" s="11">
        <f>IF(ISNUMBER(SEARCH(",TROP2,",","&amp;SUBSTITUTE(I21,", ",",")&amp;",")),1,0)</f>
        <v>0</v>
      </c>
      <c r="CH21" s="11">
        <f>IF(ISNUMBER(SEARCH(",TS,",","&amp;SUBSTITUTE(I21,", ",",")&amp;",")),1,0)</f>
        <v>1</v>
      </c>
      <c r="CI21" s="11">
        <f>IF(ISNUMBER(SEARCH(",TYMS,",","&amp;SUBSTITUTE(I21,", ",",")&amp;",")),1,0)</f>
        <v>1</v>
      </c>
      <c r="CJ21" s="11">
        <f>IF(ISNUMBER(SEARCH(",VEGF,",","&amp;SUBSTITUTE(I21,", ",",")&amp;",")),1,0)</f>
        <v>0</v>
      </c>
      <c r="CK21" s="11">
        <f>IF(ISNUMBER(SEARCH(",VEGFA,",","&amp;SUBSTITUTE(I21,", ",",")&amp;",")),1,0)</f>
        <v>0</v>
      </c>
      <c r="CL21" s="11">
        <f>IF(ISNUMBER(SEARCH(",VEGFR2,",","&amp;SUBSTITUTE(I21,", ",",")&amp;",")),1,0)</f>
        <v>0</v>
      </c>
      <c r="CM21" s="11">
        <f>IF(ISNUMBER(SEARCH(",c-MET/MET,",","&amp;SUBSTITUTE(I21,", ",",")&amp;",")),1,0)</f>
        <v>0</v>
      </c>
      <c r="CN21" s="11">
        <f>IF(ISNUMBER(SEARCH(",p53,",","&amp;SUBSTITUTE(I21,", ",",")&amp;",")),1,0)</f>
        <v>0</v>
      </c>
      <c r="CO21" s="11">
        <f>IF(ISNUMBER(SEARCH(",pan-KRAS,",","&amp;SUBSTITUTE(I21,", ",",")&amp;",")),1,0)</f>
        <v>0</v>
      </c>
      <c r="CP21" s="11">
        <f>IF(ISNUMBER(SEARCH(",ALK,",","&amp;SUBSTITUTE(K21,", ",",")&amp;",")),1,0)</f>
        <v>0</v>
      </c>
      <c r="CQ21" s="11">
        <f>IF(ISNUMBER(SEARCH(",BRAF V600E,",","&amp;SUBSTITUTE(K21,", ",",")&amp;",")),1,0)</f>
        <v>0</v>
      </c>
      <c r="CR21" s="11">
        <f>IF(ISNUMBER(SEARCH(",EGFR,",","&amp;SUBSTITUTE(K21,", ",",")&amp;",")),1,0)</f>
        <v>0</v>
      </c>
      <c r="CS21" s="11">
        <f>IF(ISNUMBER(SEARCH(",EGFR Exon 18,",","&amp;SUBSTITUTE(K21,", ",",")&amp;",")),1,0)</f>
        <v>0</v>
      </c>
      <c r="CT21" s="11">
        <f>IF(ISNUMBER(SEARCH(",EGFR Exon 19-del,",","&amp;SUBSTITUTE(K21,", ",",")&amp;",")),1,0)</f>
        <v>0</v>
      </c>
      <c r="CU21" s="11">
        <f>IF(ISNUMBER(SEARCH(",EGFR Exon 20,",","&amp;SUBSTITUTE(K21,", ",",")&amp;",")),1,0)</f>
        <v>0</v>
      </c>
      <c r="CV21" s="11">
        <f>IF(ISNUMBER(SEARCH(",EGFR Exon 20-ins,",","&amp;SUBSTITUTE(K21,", ",",")&amp;",")),1,0)</f>
        <v>0</v>
      </c>
      <c r="CW21" s="11">
        <f>IF(ISNUMBER(SEARCH(",EGFR Exon 21,",","&amp;SUBSTITUTE(K21,", ",",")&amp;",")),1,0)</f>
        <v>0</v>
      </c>
      <c r="CX21" s="11">
        <f>IF(ISNUMBER(SEARCH(",EGFR G719A,",","&amp;SUBSTITUTE(K21,", ",",")&amp;",")),1,0)</f>
        <v>0</v>
      </c>
      <c r="CY21" s="11">
        <f>IF(ISNUMBER(SEARCH(",EGFR G719C,",","&amp;SUBSTITUTE(K21,", ",",")&amp;",")),1,0)</f>
        <v>0</v>
      </c>
      <c r="CZ21" s="11">
        <f>IF(ISNUMBER(SEARCH(",EGFR G719S,",","&amp;SUBSTITUTE(K21,", ",",")&amp;",")),1,0)</f>
        <v>0</v>
      </c>
      <c r="DA21" s="11">
        <f>IF(ISNUMBER(SEARCH(",EGFR G719X,",","&amp;SUBSTITUTE(K21,", ",",")&amp;",")),1,0)</f>
        <v>0</v>
      </c>
      <c r="DB21" s="11">
        <f>IF(ISNUMBER(SEARCH(",EGFR L858R,",","&amp;SUBSTITUTE(K21,", ",",")&amp;",")),1,0)</f>
        <v>0</v>
      </c>
      <c r="DC21" s="11">
        <f>IF(ISNUMBER(SEARCH(",EGFR L861Q,",","&amp;SUBSTITUTE(K21,", ",",")&amp;",")),1,0)</f>
        <v>0</v>
      </c>
      <c r="DD21" s="11">
        <f>IF(ISNUMBER(SEARCH(",EGFR PACC,",","&amp;SUBSTITUTE(K21,", ",",")&amp;",")),1,0)</f>
        <v>0</v>
      </c>
      <c r="DE21" s="11">
        <f>IF(ISNUMBER(SEARCH(",EGFR S768I,",","&amp;SUBSTITUTE(K21,", ",",")&amp;",")),1,0)</f>
        <v>0</v>
      </c>
      <c r="DF21" s="11">
        <f>IF(ISNUMBER(SEARCH(",EGFR T790M,",","&amp;SUBSTITUTE(K21,", ",",")&amp;",")),1,0)</f>
        <v>0</v>
      </c>
      <c r="DG21" s="11">
        <f>IF(ISNUMBER(SEARCH(",EML4-ALK,",","&amp;SUBSTITUTE(K21,", ",",")&amp;",")),1,0)</f>
        <v>0</v>
      </c>
      <c r="DH21" s="11">
        <f>IF(ISNUMBER(SEARCH(",HER2,",","&amp;SUBSTITUTE(K21,", ",",")&amp;",")),1,0)</f>
        <v>0</v>
      </c>
      <c r="DI21" s="11">
        <f>IF(ISNUMBER(SEARCH(",HER2 Exon 19,",","&amp;SUBSTITUTE(K21,", ",",")&amp;",")),1,0)</f>
        <v>0</v>
      </c>
      <c r="DJ21" s="11">
        <f>IF(ISNUMBER(SEARCH(",HER2 Exon 20,",","&amp;SUBSTITUTE(K21,", ",",")&amp;",")),1,0)</f>
        <v>0</v>
      </c>
      <c r="DK21" s="11">
        <f>IF(ISNUMBER(SEARCH(",HER2 mut,",","&amp;SUBSTITUTE(K21,", ",",")&amp;",")),1,0)</f>
        <v>0</v>
      </c>
      <c r="DL21" s="11">
        <f>IF(ISNUMBER(SEARCH(",HLA-A2,",","&amp;SUBSTITUTE(K21,", ",",")&amp;",")),1,0)</f>
        <v>0</v>
      </c>
      <c r="DM21" s="11">
        <f>IF(ISNUMBER(SEARCH(",HRAS,",","&amp;SUBSTITUTE(K21,", ",",")&amp;",")),1,0)</f>
        <v>0</v>
      </c>
      <c r="DN21" s="11">
        <f>IF(ISNUMBER(SEARCH(",KRAS,",","&amp;SUBSTITUTE(K21,", ",",")&amp;",")),1,0)</f>
        <v>0</v>
      </c>
      <c r="DO21" s="11">
        <f>IF(ISNUMBER(SEARCH(",KRAS G12C,",","&amp;SUBSTITUTE(K21,", ",",")&amp;",")),1,0)</f>
        <v>0</v>
      </c>
      <c r="DP21" s="11">
        <f>IF(ISNUMBER(SEARCH(",NRAS,",","&amp;SUBSTITUTE(K21,", ",",")&amp;",")),1,0)</f>
        <v>0</v>
      </c>
      <c r="DQ21" s="11">
        <f>IF(ISNUMBER(SEARCH(",NTRK,",","&amp;SUBSTITUTE(K21,", ",",")&amp;",")),1,0)</f>
        <v>0</v>
      </c>
      <c r="DR21" s="11">
        <f>IF(ISNUMBER(SEARCH(",PD-L1,",","&amp;SUBSTITUTE(K21,", ",",")&amp;",")),1,0)</f>
        <v>0</v>
      </c>
      <c r="DS21" s="11">
        <f>IF(ISNUMBER(SEARCH(",PD-L1 IC ≥ 1%,",","&amp;SUBSTITUTE(K21,", ",",")&amp;",")),1,0)</f>
        <v>0</v>
      </c>
      <c r="DT21" s="11">
        <f>IF(ISNUMBER(SEARCH(",PD-L1 TC ≥ 1%,",","&amp;SUBSTITUTE(K21,", ",",")&amp;",")),1,0)</f>
        <v>0</v>
      </c>
      <c r="DU21" s="11">
        <f>IF(ISNUMBER(SEARCH(",PD-L1 TC ≥ 50%,",","&amp;SUBSTITUTE(K21,", ",",")&amp;",")),1,0)</f>
        <v>0</v>
      </c>
      <c r="DV21" s="11">
        <f>IF(ISNUMBER(SEARCH(",PD-L1 TPS &lt; 50%,",","&amp;SUBSTITUTE(K21,", ",",")&amp;",")),1,0)</f>
        <v>0</v>
      </c>
      <c r="DW21" s="11">
        <f>IF(ISNUMBER(SEARCH(",PD-L1 TPS ≥ 1%,",","&amp;SUBSTITUTE(K21,", ",",")&amp;",")),1,0)</f>
        <v>0</v>
      </c>
      <c r="DX21" s="11">
        <f>IF(ISNUMBER(SEARCH(",PD-L1 TPS ≥ 50%,",","&amp;SUBSTITUTE(K21,", ",",")&amp;",")),1,0)</f>
        <v>0</v>
      </c>
      <c r="DY21" s="11">
        <f>IF(ISNUMBER(SEARCH(",RAS,",","&amp;SUBSTITUTE(K21,", ",",")&amp;",")),1,0)</f>
        <v>0</v>
      </c>
      <c r="DZ21" s="11">
        <f>IF(ISNUMBER(SEARCH(",RET,",","&amp;SUBSTITUTE(K21,", ",",")&amp;",")),1,0)</f>
        <v>0</v>
      </c>
      <c r="EA21" s="11">
        <f>IF(ISNUMBER(SEARCH(",ROS1,",","&amp;SUBSTITUTE(K21,", ",",")&amp;",")),1,0)</f>
        <v>0</v>
      </c>
      <c r="EB21" s="11">
        <f>IF(ISNUMBER(SEARCH(",TROP2,",","&amp;SUBSTITUTE(K21,", ",",")&amp;",")),1,0)</f>
        <v>0</v>
      </c>
      <c r="EC21" s="11">
        <f>IF(ISNUMBER(SEARCH(",c-MET/MET,",","&amp;SUBSTITUTE(K21,", ",",")&amp;",")),1,0)</f>
        <v>0</v>
      </c>
      <c r="ED21" s="11">
        <f>IF(ISNUMBER(SEARCH(",c-MET/MET Exon 14,",","&amp;SUBSTITUTE(K21,", ",",")&amp;",")),1,0)</f>
        <v>0</v>
      </c>
      <c r="EE21" s="11">
        <f>IF(ISNUMBER(SEARCH(",ctDNA/cfDNA,",","&amp;SUBSTITUTE(K21,", ",",")&amp;",")),1,0)</f>
        <v>0</v>
      </c>
    </row>
    <row r="22" spans="1:135" ht="15" customHeight="1" x14ac:dyDescent="0.2">
      <c r="A22" s="3" t="s">
        <v>1091</v>
      </c>
      <c r="B22" s="3" t="s">
        <v>1092</v>
      </c>
      <c r="C22" s="3" t="s">
        <v>1093</v>
      </c>
      <c r="D22" s="3" t="s">
        <v>1041</v>
      </c>
      <c r="E22" s="3" t="s">
        <v>350</v>
      </c>
      <c r="F22" s="3" t="s">
        <v>351</v>
      </c>
      <c r="G22" s="3"/>
      <c r="H22" s="3" t="s">
        <v>114</v>
      </c>
      <c r="I22" s="3" t="s">
        <v>1208</v>
      </c>
      <c r="J22" s="3" t="s">
        <v>1096</v>
      </c>
      <c r="K22" s="3" t="s">
        <v>685</v>
      </c>
      <c r="L22" s="3" t="s">
        <v>119</v>
      </c>
      <c r="M22" s="3" t="s">
        <v>113</v>
      </c>
      <c r="N22" s="3" t="s">
        <v>120</v>
      </c>
      <c r="O22" s="3" t="s">
        <v>120</v>
      </c>
      <c r="P22" s="3" t="s">
        <v>1206</v>
      </c>
      <c r="Q22" s="10" t="str">
        <f>IF(F22="Stage IV","Stage IV Only",IF(AND(ISNUMBER(SEARCH("IV",F22)),LEN(F22)&gt;LEN("Stage IV")),"Stage IV + Other",IF(AND(ISNUMBER(SEARCH("III",F22)),NOT(ISNUMBER(SEARCH("IV",F22)))),"Stage III Only","Other")))</f>
        <v>Stage III Only</v>
      </c>
      <c r="R22" s="10" t="str">
        <f>IF(AND(ISNUMBER(SEARCH("Non-squamous",G22)),ISNUMBER(SEARCH("Squamous",SUBSTITUTE(G22,"Non-squamous","")))),"Both",IF(ISNUMBER(SEARCH("Non-squamous",G22)),"Non-squamous",IF(ISNUMBER(SEARCH("Squamous",G22)),"Squamous","Unspecified")))</f>
        <v>Unspecified</v>
      </c>
      <c r="S22" s="10" t="str">
        <f>IF(OR(ISNUMBER(SEARCH("TPS ≥ 50%",K22)),ISNUMBER(SEARCH("TC ≥ 50%",K22))),"TPS ≥ 50%",IF(OR(ISNUMBER(SEARCH("TPS ≥ 1%",K22)),ISNUMBER(SEARCH("TC ≥ 1%",K22)),ISNUMBER(SEARCH("TPS &lt; 50%",K22)),ISNUMBER(SEARCH("IC ≥ 1%",K22))),"TPS 1-49%","All-comers"))</f>
        <v>TPS 1-49%</v>
      </c>
      <c r="T22" s="10">
        <f>IF(H22="Phase III",1,0)</f>
        <v>1</v>
      </c>
      <c r="U22" s="10">
        <f>IF(L22="Yes",1,0)</f>
        <v>0</v>
      </c>
      <c r="V22" s="11">
        <f>IF(ISNUMBER(SEARCH(",ALK,",","&amp;SUBSTITUTE(I22,", ",",")&amp;",")),1,0)</f>
        <v>0</v>
      </c>
      <c r="W22" s="11">
        <f>IF(ISNUMBER(SEARCH(",ALK L1196M,",","&amp;SUBSTITUTE(I22,", ",",")&amp;",")),1,0)</f>
        <v>0</v>
      </c>
      <c r="X22" s="11">
        <f>IF(ISNUMBER(SEARCH(",AXL,",","&amp;SUBSTITUTE(I22,", ",",")&amp;",")),1,0)</f>
        <v>0</v>
      </c>
      <c r="Y22" s="11">
        <f>IF(ISNUMBER(SEARCH(",B7-H1,",","&amp;SUBSTITUTE(I22,", ",",")&amp;",")),1,0)</f>
        <v>1</v>
      </c>
      <c r="Z22" s="11">
        <f>IF(ISNUMBER(SEARCH(",CD152,",","&amp;SUBSTITUTE(I22,", ",",")&amp;",")),1,0)</f>
        <v>0</v>
      </c>
      <c r="AA22" s="11">
        <f>IF(ISNUMBER(SEARCH(",CD274,",","&amp;SUBSTITUTE(I22,", ",",")&amp;",")),1,0)</f>
        <v>1</v>
      </c>
      <c r="AB22" s="11">
        <f>IF(ISNUMBER(SEARCH(",CD279,",","&amp;SUBSTITUTE(I22,", ",",")&amp;",")),1,0)</f>
        <v>0</v>
      </c>
      <c r="AC22" s="11">
        <f>IF(ISNUMBER(SEARCH(",CD73,",","&amp;SUBSTITUTE(I22,", ",",")&amp;",")),1,0)</f>
        <v>0</v>
      </c>
      <c r="AD22" s="11">
        <f>IF(ISNUMBER(SEARCH(",CEA,",","&amp;SUBSTITUTE(I22,", ",",")&amp;",")),1,0)</f>
        <v>0</v>
      </c>
      <c r="AE22" s="11">
        <f>IF(ISNUMBER(SEARCH(",CTLA-4,",","&amp;SUBSTITUTE(I22,", ",",")&amp;",")),1,0)</f>
        <v>0</v>
      </c>
      <c r="AF22" s="11">
        <f>IF(ISNUMBER(SEARCH(",EGFR,",","&amp;SUBSTITUTE(I22,", ",",")&amp;",")),1,0)</f>
        <v>0</v>
      </c>
      <c r="AG22" s="11">
        <f>IF(ISNUMBER(SEARCH(",EGFR C797G,",","&amp;SUBSTITUTE(I22,", ",",")&amp;",")),1,0)</f>
        <v>0</v>
      </c>
      <c r="AH22" s="11">
        <f>IF(ISNUMBER(SEARCH(",EGFR C797S,",","&amp;SUBSTITUTE(I22,", ",",")&amp;",")),1,0)</f>
        <v>0</v>
      </c>
      <c r="AI22" s="11">
        <f>IF(ISNUMBER(SEARCH(",EGFR Exon 19-del,",","&amp;SUBSTITUTE(I22,", ",",")&amp;",")),1,0)</f>
        <v>0</v>
      </c>
      <c r="AJ22" s="11">
        <f>IF(ISNUMBER(SEARCH(",EGFR Exon 20,",","&amp;SUBSTITUTE(I22,", ",",")&amp;",")),1,0)</f>
        <v>0</v>
      </c>
      <c r="AK22" s="11">
        <f>IF(ISNUMBER(SEARCH(",EGFR L858R,",","&amp;SUBSTITUTE(I22,", ",",")&amp;",")),1,0)</f>
        <v>0</v>
      </c>
      <c r="AL22" s="11">
        <f>IF(ISNUMBER(SEARCH(",EGFR T790M,",","&amp;SUBSTITUTE(I22,", ",",")&amp;",")),1,0)</f>
        <v>0</v>
      </c>
      <c r="AM22" s="11">
        <f>IF(ISNUMBER(SEARCH(",ERBB,",","&amp;SUBSTITUTE(I22,", ",",")&amp;",")),1,0)</f>
        <v>0</v>
      </c>
      <c r="AN22" s="11">
        <f>IF(ISNUMBER(SEARCH(",ERBB3,",","&amp;SUBSTITUTE(I22,", ",",")&amp;",")),1,0)</f>
        <v>0</v>
      </c>
      <c r="AO22" s="11">
        <f>IF(ISNUMBER(SEARCH(",FAK,",","&amp;SUBSTITUTE(I22,", ",",")&amp;",")),1,0)</f>
        <v>0</v>
      </c>
      <c r="AP22" s="11">
        <f>IF(ISNUMBER(SEARCH(",GARP,",","&amp;SUBSTITUTE(I22,", ",",")&amp;",")),1,0)</f>
        <v>0</v>
      </c>
      <c r="AQ22" s="11">
        <f>IF(ISNUMBER(SEARCH(",HER1,",","&amp;SUBSTITUTE(I22,", ",",")&amp;",")),1,0)</f>
        <v>0</v>
      </c>
      <c r="AR22" s="11">
        <f>IF(ISNUMBER(SEARCH(",HER2,",","&amp;SUBSTITUTE(I22,", ",",")&amp;",")),1,0)</f>
        <v>0</v>
      </c>
      <c r="AS22" s="11">
        <f>IF(ISNUMBER(SEARCH(",HER2 Exon 20,",","&amp;SUBSTITUTE(I22,", ",",")&amp;",")),1,0)</f>
        <v>0</v>
      </c>
      <c r="AT22" s="11">
        <f>IF(ISNUMBER(SEARCH(",HER3,",","&amp;SUBSTITUTE(I22,", ",",")&amp;",")),1,0)</f>
        <v>0</v>
      </c>
      <c r="AU22" s="11">
        <f>IF(ISNUMBER(SEARCH(",HER4,",","&amp;SUBSTITUTE(I22,", ",",")&amp;",")),1,0)</f>
        <v>0</v>
      </c>
      <c r="AV22" s="11">
        <f>IF(ISNUMBER(SEARCH(",HRAS,",","&amp;SUBSTITUTE(I22,", ",",")&amp;",")),1,0)</f>
        <v>0</v>
      </c>
      <c r="AW22" s="11">
        <f>IF(ISNUMBER(SEARCH(",HSV-TK,",","&amp;SUBSTITUTE(I22,", ",",")&amp;",")),1,0)</f>
        <v>0</v>
      </c>
      <c r="AX22" s="11">
        <f>IF(ISNUMBER(SEARCH(",IL-12,",","&amp;SUBSTITUTE(I22,", ",",")&amp;",")),1,0)</f>
        <v>0</v>
      </c>
      <c r="AY22" s="11">
        <f>IF(ISNUMBER(SEARCH(",IL-15,",","&amp;SUBSTITUTE(I22,", ",",")&amp;",")),1,0)</f>
        <v>0</v>
      </c>
      <c r="AZ22" s="11">
        <f>IF(ISNUMBER(SEARCH(",IL-15R,",","&amp;SUBSTITUTE(I22,", ",",")&amp;",")),1,0)</f>
        <v>0</v>
      </c>
      <c r="BA22" s="11">
        <f>IF(ISNUMBER(SEARCH(",IL-2,",","&amp;SUBSTITUTE(I22,", ",",")&amp;",")),1,0)</f>
        <v>0</v>
      </c>
      <c r="BB22" s="11">
        <f>IF(ISNUMBER(SEARCH(",Integrin β6,",","&amp;SUBSTITUTE(I22,", ",",")&amp;",")),1,0)</f>
        <v>0</v>
      </c>
      <c r="BC22" s="11">
        <f>IF(ISNUMBER(SEARCH(",KDR,",","&amp;SUBSTITUTE(I22,", ",",")&amp;",")),1,0)</f>
        <v>0</v>
      </c>
      <c r="BD22" s="11">
        <f>IF(ISNUMBER(SEARCH(",KLRC1,",","&amp;SUBSTITUTE(I22,", ",",")&amp;",")),1,0)</f>
        <v>0</v>
      </c>
      <c r="BE22" s="11">
        <f>IF(ISNUMBER(SEARCH(",KRAS,",","&amp;SUBSTITUTE(I22,", ",",")&amp;",")),1,0)</f>
        <v>0</v>
      </c>
      <c r="BF22" s="11">
        <f>IF(ISNUMBER(SEARCH(",KRAS G12,",","&amp;SUBSTITUTE(I22,", ",",")&amp;",")),1,0)</f>
        <v>0</v>
      </c>
      <c r="BG22" s="11">
        <f>IF(ISNUMBER(SEARCH(",KRAS G12C,",","&amp;SUBSTITUTE(I22,", ",",")&amp;",")),1,0)</f>
        <v>0</v>
      </c>
      <c r="BH22" s="11">
        <f>IF(ISNUMBER(SEARCH(",KRAS G12D,",","&amp;SUBSTITUTE(I22,", ",",")&amp;",")),1,0)</f>
        <v>0</v>
      </c>
      <c r="BI22" s="11">
        <f>IF(ISNUMBER(SEARCH(",LAG-3,",","&amp;SUBSTITUTE(I22,", ",",")&amp;",")),1,0)</f>
        <v>0</v>
      </c>
      <c r="BJ22" s="11">
        <f>IF(ISNUMBER(SEARCH(",MAGE-A2,",","&amp;SUBSTITUTE(I22,", ",",")&amp;",")),1,0)</f>
        <v>0</v>
      </c>
      <c r="BK22" s="11">
        <f>IF(ISNUMBER(SEARCH(",MAGE-A3,",","&amp;SUBSTITUTE(I22,", ",",")&amp;",")),1,0)</f>
        <v>0</v>
      </c>
      <c r="BL22" s="11">
        <f>IF(ISNUMBER(SEARCH(",MLN19,",","&amp;SUBSTITUTE(I22,", ",",")&amp;",")),1,0)</f>
        <v>0</v>
      </c>
      <c r="BM22" s="11">
        <f>IF(ISNUMBER(SEARCH(",Microtubule,",","&amp;SUBSTITUTE(I22,", ",",")&amp;",")),1,0)</f>
        <v>0</v>
      </c>
      <c r="BN22" s="11">
        <f>IF(ISNUMBER(SEARCH(",NKG2A,",","&amp;SUBSTITUTE(I22,", ",",")&amp;",")),1,0)</f>
        <v>0</v>
      </c>
      <c r="BO22" s="11">
        <f>IF(ISNUMBER(SEARCH(",NRAS,",","&amp;SUBSTITUTE(I22,", ",",")&amp;",")),1,0)</f>
        <v>0</v>
      </c>
      <c r="BP22" s="11">
        <f>IF(ISNUMBER(SEARCH(",NTRK,",","&amp;SUBSTITUTE(I22,", ",",")&amp;",")),1,0)</f>
        <v>0</v>
      </c>
      <c r="BQ22" s="11">
        <f>IF(ISNUMBER(SEARCH(",PARP,",","&amp;SUBSTITUTE(I22,", ",",")&amp;",")),1,0)</f>
        <v>0</v>
      </c>
      <c r="BR22" s="11">
        <f>IF(ISNUMBER(SEARCH(",PD-1,",","&amp;SUBSTITUTE(I22,", ",",")&amp;",")),1,0)</f>
        <v>0</v>
      </c>
      <c r="BS22" s="11">
        <f>IF(ISNUMBER(SEARCH(",PD-L1,",","&amp;SUBSTITUTE(I22,", ",",")&amp;",")),1,0)</f>
        <v>1</v>
      </c>
      <c r="BT22" s="11">
        <f>IF(ISNUMBER(SEARCH(",PRMT5,",","&amp;SUBSTITUTE(I22,", ",",")&amp;",")),1,0)</f>
        <v>0</v>
      </c>
      <c r="BU22" s="11">
        <f>IF(ISNUMBER(SEARCH(",RAS,",","&amp;SUBSTITUTE(I22,", ",",")&amp;",")),1,0)</f>
        <v>0</v>
      </c>
      <c r="BV22" s="11">
        <f>IF(ISNUMBER(SEARCH(",RET,",","&amp;SUBSTITUTE(I22,", ",",")&amp;",")),1,0)</f>
        <v>0</v>
      </c>
      <c r="BW22" s="11">
        <f>IF(ISNUMBER(SEARCH(",ROS,",","&amp;SUBSTITUTE(I22,", ",",")&amp;",")),1,0)</f>
        <v>0</v>
      </c>
      <c r="BX22" s="11">
        <f>IF(ISNUMBER(SEARCH(",ROS1,",","&amp;SUBSTITUTE(I22,", ",",")&amp;",")),1,0)</f>
        <v>0</v>
      </c>
      <c r="BY22" s="11">
        <f>IF(ISNUMBER(SEARCH(",Src,",","&amp;SUBSTITUTE(I22,", ",",")&amp;",")),1,0)</f>
        <v>0</v>
      </c>
      <c r="BZ22" s="11">
        <f>IF(ISNUMBER(SEARCH(",TCGF,",","&amp;SUBSTITUTE(I22,", ",",")&amp;",")),1,0)</f>
        <v>0</v>
      </c>
      <c r="CA22" s="11">
        <f>IF(ISNUMBER(SEARCH(",TGF-β,",","&amp;SUBSTITUTE(I22,", ",",")&amp;",")),1,0)</f>
        <v>0</v>
      </c>
      <c r="CB22" s="11">
        <f>IF(ISNUMBER(SEARCH(",TGF-β1,",","&amp;SUBSTITUTE(I22,", ",",")&amp;",")),1,0)</f>
        <v>0</v>
      </c>
      <c r="CC22" s="11">
        <f>IF(ISNUMBER(SEARCH(",TIGIT,",","&amp;SUBSTITUTE(I22,", ",",")&amp;",")),1,0)</f>
        <v>1</v>
      </c>
      <c r="CD22" s="11">
        <f>IF(ISNUMBER(SEARCH(",TLR,",","&amp;SUBSTITUTE(I22,", ",",")&amp;",")),1,0)</f>
        <v>0</v>
      </c>
      <c r="CE22" s="11">
        <f>IF(ISNUMBER(SEARCH(",TLR7/8,",","&amp;SUBSTITUTE(I22,", ",",")&amp;",")),1,0)</f>
        <v>0</v>
      </c>
      <c r="CF22" s="11">
        <f>IF(ISNUMBER(SEARCH(",TRK,",","&amp;SUBSTITUTE(I22,", ",",")&amp;",")),1,0)</f>
        <v>0</v>
      </c>
      <c r="CG22" s="11">
        <f>IF(ISNUMBER(SEARCH(",TROP2,",","&amp;SUBSTITUTE(I22,", ",",")&amp;",")),1,0)</f>
        <v>0</v>
      </c>
      <c r="CH22" s="11">
        <f>IF(ISNUMBER(SEARCH(",TS,",","&amp;SUBSTITUTE(I22,", ",",")&amp;",")),1,0)</f>
        <v>0</v>
      </c>
      <c r="CI22" s="11">
        <f>IF(ISNUMBER(SEARCH(",TYMS,",","&amp;SUBSTITUTE(I22,", ",",")&amp;",")),1,0)</f>
        <v>0</v>
      </c>
      <c r="CJ22" s="11">
        <f>IF(ISNUMBER(SEARCH(",VEGF,",","&amp;SUBSTITUTE(I22,", ",",")&amp;",")),1,0)</f>
        <v>0</v>
      </c>
      <c r="CK22" s="11">
        <f>IF(ISNUMBER(SEARCH(",VEGFA,",","&amp;SUBSTITUTE(I22,", ",",")&amp;",")),1,0)</f>
        <v>0</v>
      </c>
      <c r="CL22" s="11">
        <f>IF(ISNUMBER(SEARCH(",VEGFR2,",","&amp;SUBSTITUTE(I22,", ",",")&amp;",")),1,0)</f>
        <v>0</v>
      </c>
      <c r="CM22" s="11">
        <f>IF(ISNUMBER(SEARCH(",c-MET/MET,",","&amp;SUBSTITUTE(I22,", ",",")&amp;",")),1,0)</f>
        <v>0</v>
      </c>
      <c r="CN22" s="11">
        <f>IF(ISNUMBER(SEARCH(",p53,",","&amp;SUBSTITUTE(I22,", ",",")&amp;",")),1,0)</f>
        <v>0</v>
      </c>
      <c r="CO22" s="11">
        <f>IF(ISNUMBER(SEARCH(",pan-KRAS,",","&amp;SUBSTITUTE(I22,", ",",")&amp;",")),1,0)</f>
        <v>0</v>
      </c>
      <c r="CP22" s="11">
        <f>IF(ISNUMBER(SEARCH(",ALK,",","&amp;SUBSTITUTE(K22,", ",",")&amp;",")),1,0)</f>
        <v>0</v>
      </c>
      <c r="CQ22" s="11">
        <f>IF(ISNUMBER(SEARCH(",BRAF V600E,",","&amp;SUBSTITUTE(K22,", ",",")&amp;",")),1,0)</f>
        <v>0</v>
      </c>
      <c r="CR22" s="11">
        <f>IF(ISNUMBER(SEARCH(",EGFR,",","&amp;SUBSTITUTE(K22,", ",",")&amp;",")),1,0)</f>
        <v>0</v>
      </c>
      <c r="CS22" s="11">
        <f>IF(ISNUMBER(SEARCH(",EGFR Exon 18,",","&amp;SUBSTITUTE(K22,", ",",")&amp;",")),1,0)</f>
        <v>0</v>
      </c>
      <c r="CT22" s="11">
        <f>IF(ISNUMBER(SEARCH(",EGFR Exon 19-del,",","&amp;SUBSTITUTE(K22,", ",",")&amp;",")),1,0)</f>
        <v>0</v>
      </c>
      <c r="CU22" s="11">
        <f>IF(ISNUMBER(SEARCH(",EGFR Exon 20,",","&amp;SUBSTITUTE(K22,", ",",")&amp;",")),1,0)</f>
        <v>0</v>
      </c>
      <c r="CV22" s="11">
        <f>IF(ISNUMBER(SEARCH(",EGFR Exon 20-ins,",","&amp;SUBSTITUTE(K22,", ",",")&amp;",")),1,0)</f>
        <v>0</v>
      </c>
      <c r="CW22" s="11">
        <f>IF(ISNUMBER(SEARCH(",EGFR Exon 21,",","&amp;SUBSTITUTE(K22,", ",",")&amp;",")),1,0)</f>
        <v>0</v>
      </c>
      <c r="CX22" s="11">
        <f>IF(ISNUMBER(SEARCH(",EGFR G719A,",","&amp;SUBSTITUTE(K22,", ",",")&amp;",")),1,0)</f>
        <v>0</v>
      </c>
      <c r="CY22" s="11">
        <f>IF(ISNUMBER(SEARCH(",EGFR G719C,",","&amp;SUBSTITUTE(K22,", ",",")&amp;",")),1,0)</f>
        <v>0</v>
      </c>
      <c r="CZ22" s="11">
        <f>IF(ISNUMBER(SEARCH(",EGFR G719S,",","&amp;SUBSTITUTE(K22,", ",",")&amp;",")),1,0)</f>
        <v>0</v>
      </c>
      <c r="DA22" s="11">
        <f>IF(ISNUMBER(SEARCH(",EGFR G719X,",","&amp;SUBSTITUTE(K22,", ",",")&amp;",")),1,0)</f>
        <v>0</v>
      </c>
      <c r="DB22" s="11">
        <f>IF(ISNUMBER(SEARCH(",EGFR L858R,",","&amp;SUBSTITUTE(K22,", ",",")&amp;",")),1,0)</f>
        <v>0</v>
      </c>
      <c r="DC22" s="11">
        <f>IF(ISNUMBER(SEARCH(",EGFR L861Q,",","&amp;SUBSTITUTE(K22,", ",",")&amp;",")),1,0)</f>
        <v>0</v>
      </c>
      <c r="DD22" s="11">
        <f>IF(ISNUMBER(SEARCH(",EGFR PACC,",","&amp;SUBSTITUTE(K22,", ",",")&amp;",")),1,0)</f>
        <v>0</v>
      </c>
      <c r="DE22" s="11">
        <f>IF(ISNUMBER(SEARCH(",EGFR S768I,",","&amp;SUBSTITUTE(K22,", ",",")&amp;",")),1,0)</f>
        <v>0</v>
      </c>
      <c r="DF22" s="11">
        <f>IF(ISNUMBER(SEARCH(",EGFR T790M,",","&amp;SUBSTITUTE(K22,", ",",")&amp;",")),1,0)</f>
        <v>0</v>
      </c>
      <c r="DG22" s="11">
        <f>IF(ISNUMBER(SEARCH(",EML4-ALK,",","&amp;SUBSTITUTE(K22,", ",",")&amp;",")),1,0)</f>
        <v>0</v>
      </c>
      <c r="DH22" s="11">
        <f>IF(ISNUMBER(SEARCH(",HER2,",","&amp;SUBSTITUTE(K22,", ",",")&amp;",")),1,0)</f>
        <v>0</v>
      </c>
      <c r="DI22" s="11">
        <f>IF(ISNUMBER(SEARCH(",HER2 Exon 19,",","&amp;SUBSTITUTE(K22,", ",",")&amp;",")),1,0)</f>
        <v>0</v>
      </c>
      <c r="DJ22" s="11">
        <f>IF(ISNUMBER(SEARCH(",HER2 Exon 20,",","&amp;SUBSTITUTE(K22,", ",",")&amp;",")),1,0)</f>
        <v>0</v>
      </c>
      <c r="DK22" s="11">
        <f>IF(ISNUMBER(SEARCH(",HER2 mut,",","&amp;SUBSTITUTE(K22,", ",",")&amp;",")),1,0)</f>
        <v>0</v>
      </c>
      <c r="DL22" s="11">
        <f>IF(ISNUMBER(SEARCH(",HLA-A2,",","&amp;SUBSTITUTE(K22,", ",",")&amp;",")),1,0)</f>
        <v>0</v>
      </c>
      <c r="DM22" s="11">
        <f>IF(ISNUMBER(SEARCH(",HRAS,",","&amp;SUBSTITUTE(K22,", ",",")&amp;",")),1,0)</f>
        <v>0</v>
      </c>
      <c r="DN22" s="11">
        <f>IF(ISNUMBER(SEARCH(",KRAS,",","&amp;SUBSTITUTE(K22,", ",",")&amp;",")),1,0)</f>
        <v>0</v>
      </c>
      <c r="DO22" s="11">
        <f>IF(ISNUMBER(SEARCH(",KRAS G12C,",","&amp;SUBSTITUTE(K22,", ",",")&amp;",")),1,0)</f>
        <v>0</v>
      </c>
      <c r="DP22" s="11">
        <f>IF(ISNUMBER(SEARCH(",NRAS,",","&amp;SUBSTITUTE(K22,", ",",")&amp;",")),1,0)</f>
        <v>0</v>
      </c>
      <c r="DQ22" s="11">
        <f>IF(ISNUMBER(SEARCH(",NTRK,",","&amp;SUBSTITUTE(K22,", ",",")&amp;",")),1,0)</f>
        <v>0</v>
      </c>
      <c r="DR22" s="11">
        <f>IF(ISNUMBER(SEARCH(",PD-L1,",","&amp;SUBSTITUTE(K22,", ",",")&amp;",")),1,0)</f>
        <v>0</v>
      </c>
      <c r="DS22" s="11">
        <f>IF(ISNUMBER(SEARCH(",PD-L1 IC ≥ 1%,",","&amp;SUBSTITUTE(K22,", ",",")&amp;",")),1,0)</f>
        <v>0</v>
      </c>
      <c r="DT22" s="11">
        <f>IF(ISNUMBER(SEARCH(",PD-L1 TC ≥ 1%,",","&amp;SUBSTITUTE(K22,", ",",")&amp;",")),1,0)</f>
        <v>1</v>
      </c>
      <c r="DU22" s="11">
        <f>IF(ISNUMBER(SEARCH(",PD-L1 TC ≥ 50%,",","&amp;SUBSTITUTE(K22,", ",",")&amp;",")),1,0)</f>
        <v>0</v>
      </c>
      <c r="DV22" s="11">
        <f>IF(ISNUMBER(SEARCH(",PD-L1 TPS &lt; 50%,",","&amp;SUBSTITUTE(K22,", ",",")&amp;",")),1,0)</f>
        <v>0</v>
      </c>
      <c r="DW22" s="11">
        <f>IF(ISNUMBER(SEARCH(",PD-L1 TPS ≥ 1%,",","&amp;SUBSTITUTE(K22,", ",",")&amp;",")),1,0)</f>
        <v>0</v>
      </c>
      <c r="DX22" s="11">
        <f>IF(ISNUMBER(SEARCH(",PD-L1 TPS ≥ 50%,",","&amp;SUBSTITUTE(K22,", ",",")&amp;",")),1,0)</f>
        <v>0</v>
      </c>
      <c r="DY22" s="11">
        <f>IF(ISNUMBER(SEARCH(",RAS,",","&amp;SUBSTITUTE(K22,", ",",")&amp;",")),1,0)</f>
        <v>0</v>
      </c>
      <c r="DZ22" s="11">
        <f>IF(ISNUMBER(SEARCH(",RET,",","&amp;SUBSTITUTE(K22,", ",",")&amp;",")),1,0)</f>
        <v>0</v>
      </c>
      <c r="EA22" s="11">
        <f>IF(ISNUMBER(SEARCH(",ROS1,",","&amp;SUBSTITUTE(K22,", ",",")&amp;",")),1,0)</f>
        <v>0</v>
      </c>
      <c r="EB22" s="11">
        <f>IF(ISNUMBER(SEARCH(",TROP2,",","&amp;SUBSTITUTE(K22,", ",",")&amp;",")),1,0)</f>
        <v>0</v>
      </c>
      <c r="EC22" s="11">
        <f>IF(ISNUMBER(SEARCH(",c-MET/MET,",","&amp;SUBSTITUTE(K22,", ",",")&amp;",")),1,0)</f>
        <v>0</v>
      </c>
      <c r="ED22" s="11">
        <f>IF(ISNUMBER(SEARCH(",c-MET/MET Exon 14,",","&amp;SUBSTITUTE(K22,", ",",")&amp;",")),1,0)</f>
        <v>0</v>
      </c>
      <c r="EE22" s="11">
        <f>IF(ISNUMBER(SEARCH(",ctDNA/cfDNA,",","&amp;SUBSTITUTE(K22,", ",",")&amp;",")),1,0)</f>
        <v>0</v>
      </c>
    </row>
    <row r="23" spans="1:135" ht="15" customHeight="1" x14ac:dyDescent="0.2">
      <c r="A23" s="3" t="s">
        <v>348</v>
      </c>
      <c r="B23" s="3" t="s">
        <v>349</v>
      </c>
      <c r="C23" s="3" t="s">
        <v>350</v>
      </c>
      <c r="D23" s="3" t="s">
        <v>350</v>
      </c>
      <c r="E23" s="3" t="s">
        <v>350</v>
      </c>
      <c r="F23" s="3" t="s">
        <v>1062</v>
      </c>
      <c r="G23" s="3"/>
      <c r="H23" s="3" t="s">
        <v>114</v>
      </c>
      <c r="I23" s="3" t="s">
        <v>355</v>
      </c>
      <c r="J23" s="3" t="s">
        <v>354</v>
      </c>
      <c r="K23" s="3" t="s">
        <v>426</v>
      </c>
      <c r="L23" s="3" t="s">
        <v>119</v>
      </c>
      <c r="M23" s="3" t="s">
        <v>113</v>
      </c>
      <c r="N23" s="3" t="s">
        <v>120</v>
      </c>
      <c r="O23" s="3" t="s">
        <v>120</v>
      </c>
      <c r="P23" s="3" t="s">
        <v>1063</v>
      </c>
      <c r="Q23" s="10" t="str">
        <f>IF(F23="Stage IV","Stage IV Only",IF(AND(ISNUMBER(SEARCH("IV",F23)),LEN(F23)&gt;LEN("Stage IV")),"Stage IV + Other",IF(AND(ISNUMBER(SEARCH("III",F23)),NOT(ISNUMBER(SEARCH("IV",F23)))),"Stage III Only","Other")))</f>
        <v>Other</v>
      </c>
      <c r="R23" s="10" t="str">
        <f>IF(AND(ISNUMBER(SEARCH("Non-squamous",G23)),ISNUMBER(SEARCH("Squamous",SUBSTITUTE(G23,"Non-squamous","")))),"Both",IF(ISNUMBER(SEARCH("Non-squamous",G23)),"Non-squamous",IF(ISNUMBER(SEARCH("Squamous",G23)),"Squamous","Unspecified")))</f>
        <v>Unspecified</v>
      </c>
      <c r="S23" s="10" t="str">
        <f>IF(OR(ISNUMBER(SEARCH("TPS ≥ 50%",K23)),ISNUMBER(SEARCH("TC ≥ 50%",K23))),"TPS ≥ 50%",IF(OR(ISNUMBER(SEARCH("TPS ≥ 1%",K23)),ISNUMBER(SEARCH("TC ≥ 1%",K23)),ISNUMBER(SEARCH("TPS &lt; 50%",K23)),ISNUMBER(SEARCH("IC ≥ 1%",K23))),"TPS 1-49%","All-comers"))</f>
        <v>All-comers</v>
      </c>
      <c r="T23" s="10">
        <f>IF(H23="Phase III",1,0)</f>
        <v>1</v>
      </c>
      <c r="U23" s="10">
        <f>IF(L23="Yes",1,0)</f>
        <v>0</v>
      </c>
      <c r="V23" s="11">
        <f>IF(ISNUMBER(SEARCH(",ALK,",","&amp;SUBSTITUTE(I23,", ",",")&amp;",")),1,0)</f>
        <v>0</v>
      </c>
      <c r="W23" s="11">
        <f>IF(ISNUMBER(SEARCH(",ALK L1196M,",","&amp;SUBSTITUTE(I23,", ",",")&amp;",")),1,0)</f>
        <v>0</v>
      </c>
      <c r="X23" s="11">
        <f>IF(ISNUMBER(SEARCH(",AXL,",","&amp;SUBSTITUTE(I23,", ",",")&amp;",")),1,0)</f>
        <v>0</v>
      </c>
      <c r="Y23" s="11">
        <f>IF(ISNUMBER(SEARCH(",B7-H1,",","&amp;SUBSTITUTE(I23,", ",",")&amp;",")),1,0)</f>
        <v>1</v>
      </c>
      <c r="Z23" s="11">
        <f>IF(ISNUMBER(SEARCH(",CD152,",","&amp;SUBSTITUTE(I23,", ",",")&amp;",")),1,0)</f>
        <v>0</v>
      </c>
      <c r="AA23" s="11">
        <f>IF(ISNUMBER(SEARCH(",CD274,",","&amp;SUBSTITUTE(I23,", ",",")&amp;",")),1,0)</f>
        <v>1</v>
      </c>
      <c r="AB23" s="11">
        <f>IF(ISNUMBER(SEARCH(",CD279,",","&amp;SUBSTITUTE(I23,", ",",")&amp;",")),1,0)</f>
        <v>0</v>
      </c>
      <c r="AC23" s="11">
        <f>IF(ISNUMBER(SEARCH(",CD73,",","&amp;SUBSTITUTE(I23,", ",",")&amp;",")),1,0)</f>
        <v>0</v>
      </c>
      <c r="AD23" s="11">
        <f>IF(ISNUMBER(SEARCH(",CEA,",","&amp;SUBSTITUTE(I23,", ",",")&amp;",")),1,0)</f>
        <v>0</v>
      </c>
      <c r="AE23" s="11">
        <f>IF(ISNUMBER(SEARCH(",CTLA-4,",","&amp;SUBSTITUTE(I23,", ",",")&amp;",")),1,0)</f>
        <v>0</v>
      </c>
      <c r="AF23" s="11">
        <f>IF(ISNUMBER(SEARCH(",EGFR,",","&amp;SUBSTITUTE(I23,", ",",")&amp;",")),1,0)</f>
        <v>0</v>
      </c>
      <c r="AG23" s="11">
        <f>IF(ISNUMBER(SEARCH(",EGFR C797G,",","&amp;SUBSTITUTE(I23,", ",",")&amp;",")),1,0)</f>
        <v>0</v>
      </c>
      <c r="AH23" s="11">
        <f>IF(ISNUMBER(SEARCH(",EGFR C797S,",","&amp;SUBSTITUTE(I23,", ",",")&amp;",")),1,0)</f>
        <v>0</v>
      </c>
      <c r="AI23" s="11">
        <f>IF(ISNUMBER(SEARCH(",EGFR Exon 19-del,",","&amp;SUBSTITUTE(I23,", ",",")&amp;",")),1,0)</f>
        <v>0</v>
      </c>
      <c r="AJ23" s="11">
        <f>IF(ISNUMBER(SEARCH(",EGFR Exon 20,",","&amp;SUBSTITUTE(I23,", ",",")&amp;",")),1,0)</f>
        <v>0</v>
      </c>
      <c r="AK23" s="11">
        <f>IF(ISNUMBER(SEARCH(",EGFR L858R,",","&amp;SUBSTITUTE(I23,", ",",")&amp;",")),1,0)</f>
        <v>0</v>
      </c>
      <c r="AL23" s="11">
        <f>IF(ISNUMBER(SEARCH(",EGFR T790M,",","&amp;SUBSTITUTE(I23,", ",",")&amp;",")),1,0)</f>
        <v>0</v>
      </c>
      <c r="AM23" s="11">
        <f>IF(ISNUMBER(SEARCH(",ERBB,",","&amp;SUBSTITUTE(I23,", ",",")&amp;",")),1,0)</f>
        <v>0</v>
      </c>
      <c r="AN23" s="11">
        <f>IF(ISNUMBER(SEARCH(",ERBB3,",","&amp;SUBSTITUTE(I23,", ",",")&amp;",")),1,0)</f>
        <v>0</v>
      </c>
      <c r="AO23" s="11">
        <f>IF(ISNUMBER(SEARCH(",FAK,",","&amp;SUBSTITUTE(I23,", ",",")&amp;",")),1,0)</f>
        <v>0</v>
      </c>
      <c r="AP23" s="11">
        <f>IF(ISNUMBER(SEARCH(",GARP,",","&amp;SUBSTITUTE(I23,", ",",")&amp;",")),1,0)</f>
        <v>0</v>
      </c>
      <c r="AQ23" s="11">
        <f>IF(ISNUMBER(SEARCH(",HER1,",","&amp;SUBSTITUTE(I23,", ",",")&amp;",")),1,0)</f>
        <v>0</v>
      </c>
      <c r="AR23" s="11">
        <f>IF(ISNUMBER(SEARCH(",HER2,",","&amp;SUBSTITUTE(I23,", ",",")&amp;",")),1,0)</f>
        <v>0</v>
      </c>
      <c r="AS23" s="11">
        <f>IF(ISNUMBER(SEARCH(",HER2 Exon 20,",","&amp;SUBSTITUTE(I23,", ",",")&amp;",")),1,0)</f>
        <v>0</v>
      </c>
      <c r="AT23" s="11">
        <f>IF(ISNUMBER(SEARCH(",HER3,",","&amp;SUBSTITUTE(I23,", ",",")&amp;",")),1,0)</f>
        <v>0</v>
      </c>
      <c r="AU23" s="11">
        <f>IF(ISNUMBER(SEARCH(",HER4,",","&amp;SUBSTITUTE(I23,", ",",")&amp;",")),1,0)</f>
        <v>0</v>
      </c>
      <c r="AV23" s="11">
        <f>IF(ISNUMBER(SEARCH(",HRAS,",","&amp;SUBSTITUTE(I23,", ",",")&amp;",")),1,0)</f>
        <v>0</v>
      </c>
      <c r="AW23" s="11">
        <f>IF(ISNUMBER(SEARCH(",HSV-TK,",","&amp;SUBSTITUTE(I23,", ",",")&amp;",")),1,0)</f>
        <v>0</v>
      </c>
      <c r="AX23" s="11">
        <f>IF(ISNUMBER(SEARCH(",IL-12,",","&amp;SUBSTITUTE(I23,", ",",")&amp;",")),1,0)</f>
        <v>0</v>
      </c>
      <c r="AY23" s="11">
        <f>IF(ISNUMBER(SEARCH(",IL-15,",","&amp;SUBSTITUTE(I23,", ",",")&amp;",")),1,0)</f>
        <v>0</v>
      </c>
      <c r="AZ23" s="11">
        <f>IF(ISNUMBER(SEARCH(",IL-15R,",","&amp;SUBSTITUTE(I23,", ",",")&amp;",")),1,0)</f>
        <v>0</v>
      </c>
      <c r="BA23" s="11">
        <f>IF(ISNUMBER(SEARCH(",IL-2,",","&amp;SUBSTITUTE(I23,", ",",")&amp;",")),1,0)</f>
        <v>0</v>
      </c>
      <c r="BB23" s="11">
        <f>IF(ISNUMBER(SEARCH(",Integrin β6,",","&amp;SUBSTITUTE(I23,", ",",")&amp;",")),1,0)</f>
        <v>0</v>
      </c>
      <c r="BC23" s="11">
        <f>IF(ISNUMBER(SEARCH(",KDR,",","&amp;SUBSTITUTE(I23,", ",",")&amp;",")),1,0)</f>
        <v>0</v>
      </c>
      <c r="BD23" s="11">
        <f>IF(ISNUMBER(SEARCH(",KLRC1,",","&amp;SUBSTITUTE(I23,", ",",")&amp;",")),1,0)</f>
        <v>0</v>
      </c>
      <c r="BE23" s="11">
        <f>IF(ISNUMBER(SEARCH(",KRAS,",","&amp;SUBSTITUTE(I23,", ",",")&amp;",")),1,0)</f>
        <v>0</v>
      </c>
      <c r="BF23" s="11">
        <f>IF(ISNUMBER(SEARCH(",KRAS G12,",","&amp;SUBSTITUTE(I23,", ",",")&amp;",")),1,0)</f>
        <v>0</v>
      </c>
      <c r="BG23" s="11">
        <f>IF(ISNUMBER(SEARCH(",KRAS G12C,",","&amp;SUBSTITUTE(I23,", ",",")&amp;",")),1,0)</f>
        <v>0</v>
      </c>
      <c r="BH23" s="11">
        <f>IF(ISNUMBER(SEARCH(",KRAS G12D,",","&amp;SUBSTITUTE(I23,", ",",")&amp;",")),1,0)</f>
        <v>0</v>
      </c>
      <c r="BI23" s="11">
        <f>IF(ISNUMBER(SEARCH(",LAG-3,",","&amp;SUBSTITUTE(I23,", ",",")&amp;",")),1,0)</f>
        <v>0</v>
      </c>
      <c r="BJ23" s="11">
        <f>IF(ISNUMBER(SEARCH(",MAGE-A2,",","&amp;SUBSTITUTE(I23,", ",",")&amp;",")),1,0)</f>
        <v>0</v>
      </c>
      <c r="BK23" s="11">
        <f>IF(ISNUMBER(SEARCH(",MAGE-A3,",","&amp;SUBSTITUTE(I23,", ",",")&amp;",")),1,0)</f>
        <v>0</v>
      </c>
      <c r="BL23" s="11">
        <f>IF(ISNUMBER(SEARCH(",MLN19,",","&amp;SUBSTITUTE(I23,", ",",")&amp;",")),1,0)</f>
        <v>0</v>
      </c>
      <c r="BM23" s="11">
        <f>IF(ISNUMBER(SEARCH(",Microtubule,",","&amp;SUBSTITUTE(I23,", ",",")&amp;",")),1,0)</f>
        <v>0</v>
      </c>
      <c r="BN23" s="11">
        <f>IF(ISNUMBER(SEARCH(",NKG2A,",","&amp;SUBSTITUTE(I23,", ",",")&amp;",")),1,0)</f>
        <v>0</v>
      </c>
      <c r="BO23" s="11">
        <f>IF(ISNUMBER(SEARCH(",NRAS,",","&amp;SUBSTITUTE(I23,", ",",")&amp;",")),1,0)</f>
        <v>0</v>
      </c>
      <c r="BP23" s="11">
        <f>IF(ISNUMBER(SEARCH(",NTRK,",","&amp;SUBSTITUTE(I23,", ",",")&amp;",")),1,0)</f>
        <v>0</v>
      </c>
      <c r="BQ23" s="11">
        <f>IF(ISNUMBER(SEARCH(",PARP,",","&amp;SUBSTITUTE(I23,", ",",")&amp;",")),1,0)</f>
        <v>0</v>
      </c>
      <c r="BR23" s="11">
        <f>IF(ISNUMBER(SEARCH(",PD-1,",","&amp;SUBSTITUTE(I23,", ",",")&amp;",")),1,0)</f>
        <v>0</v>
      </c>
      <c r="BS23" s="11">
        <f>IF(ISNUMBER(SEARCH(",PD-L1,",","&amp;SUBSTITUTE(I23,", ",",")&amp;",")),1,0)</f>
        <v>1</v>
      </c>
      <c r="BT23" s="11">
        <f>IF(ISNUMBER(SEARCH(",PRMT5,",","&amp;SUBSTITUTE(I23,", ",",")&amp;",")),1,0)</f>
        <v>0</v>
      </c>
      <c r="BU23" s="11">
        <f>IF(ISNUMBER(SEARCH(",RAS,",","&amp;SUBSTITUTE(I23,", ",",")&amp;",")),1,0)</f>
        <v>0</v>
      </c>
      <c r="BV23" s="11">
        <f>IF(ISNUMBER(SEARCH(",RET,",","&amp;SUBSTITUTE(I23,", ",",")&amp;",")),1,0)</f>
        <v>0</v>
      </c>
      <c r="BW23" s="11">
        <f>IF(ISNUMBER(SEARCH(",ROS,",","&amp;SUBSTITUTE(I23,", ",",")&amp;",")),1,0)</f>
        <v>0</v>
      </c>
      <c r="BX23" s="11">
        <f>IF(ISNUMBER(SEARCH(",ROS1,",","&amp;SUBSTITUTE(I23,", ",",")&amp;",")),1,0)</f>
        <v>0</v>
      </c>
      <c r="BY23" s="11">
        <f>IF(ISNUMBER(SEARCH(",Src,",","&amp;SUBSTITUTE(I23,", ",",")&amp;",")),1,0)</f>
        <v>0</v>
      </c>
      <c r="BZ23" s="11">
        <f>IF(ISNUMBER(SEARCH(",TCGF,",","&amp;SUBSTITUTE(I23,", ",",")&amp;",")),1,0)</f>
        <v>0</v>
      </c>
      <c r="CA23" s="11">
        <f>IF(ISNUMBER(SEARCH(",TGF-β,",","&amp;SUBSTITUTE(I23,", ",",")&amp;",")),1,0)</f>
        <v>0</v>
      </c>
      <c r="CB23" s="11">
        <f>IF(ISNUMBER(SEARCH(",TGF-β1,",","&amp;SUBSTITUTE(I23,", ",",")&amp;",")),1,0)</f>
        <v>0</v>
      </c>
      <c r="CC23" s="11">
        <f>IF(ISNUMBER(SEARCH(",TIGIT,",","&amp;SUBSTITUTE(I23,", ",",")&amp;",")),1,0)</f>
        <v>0</v>
      </c>
      <c r="CD23" s="11">
        <f>IF(ISNUMBER(SEARCH(",TLR,",","&amp;SUBSTITUTE(I23,", ",",")&amp;",")),1,0)</f>
        <v>0</v>
      </c>
      <c r="CE23" s="11">
        <f>IF(ISNUMBER(SEARCH(",TLR7/8,",","&amp;SUBSTITUTE(I23,", ",",")&amp;",")),1,0)</f>
        <v>0</v>
      </c>
      <c r="CF23" s="11">
        <f>IF(ISNUMBER(SEARCH(",TRK,",","&amp;SUBSTITUTE(I23,", ",",")&amp;",")),1,0)</f>
        <v>0</v>
      </c>
      <c r="CG23" s="11">
        <f>IF(ISNUMBER(SEARCH(",TROP2,",","&amp;SUBSTITUTE(I23,", ",",")&amp;",")),1,0)</f>
        <v>0</v>
      </c>
      <c r="CH23" s="11">
        <f>IF(ISNUMBER(SEARCH(",TS,",","&amp;SUBSTITUTE(I23,", ",",")&amp;",")),1,0)</f>
        <v>0</v>
      </c>
      <c r="CI23" s="11">
        <f>IF(ISNUMBER(SEARCH(",TYMS,",","&amp;SUBSTITUTE(I23,", ",",")&amp;",")),1,0)</f>
        <v>0</v>
      </c>
      <c r="CJ23" s="11">
        <f>IF(ISNUMBER(SEARCH(",VEGF,",","&amp;SUBSTITUTE(I23,", ",",")&amp;",")),1,0)</f>
        <v>0</v>
      </c>
      <c r="CK23" s="11">
        <f>IF(ISNUMBER(SEARCH(",VEGFA,",","&amp;SUBSTITUTE(I23,", ",",")&amp;",")),1,0)</f>
        <v>0</v>
      </c>
      <c r="CL23" s="11">
        <f>IF(ISNUMBER(SEARCH(",VEGFR2,",","&amp;SUBSTITUTE(I23,", ",",")&amp;",")),1,0)</f>
        <v>0</v>
      </c>
      <c r="CM23" s="11">
        <f>IF(ISNUMBER(SEARCH(",c-MET/MET,",","&amp;SUBSTITUTE(I23,", ",",")&amp;",")),1,0)</f>
        <v>0</v>
      </c>
      <c r="CN23" s="11">
        <f>IF(ISNUMBER(SEARCH(",p53,",","&amp;SUBSTITUTE(I23,", ",",")&amp;",")),1,0)</f>
        <v>0</v>
      </c>
      <c r="CO23" s="11">
        <f>IF(ISNUMBER(SEARCH(",pan-KRAS,",","&amp;SUBSTITUTE(I23,", ",",")&amp;",")),1,0)</f>
        <v>0</v>
      </c>
      <c r="CP23" s="11">
        <f>IF(ISNUMBER(SEARCH(",ALK,",","&amp;SUBSTITUTE(K23,", ",",")&amp;",")),1,0)</f>
        <v>0</v>
      </c>
      <c r="CQ23" s="11">
        <f>IF(ISNUMBER(SEARCH(",BRAF V600E,",","&amp;SUBSTITUTE(K23,", ",",")&amp;",")),1,0)</f>
        <v>0</v>
      </c>
      <c r="CR23" s="11">
        <f>IF(ISNUMBER(SEARCH(",EGFR,",","&amp;SUBSTITUTE(K23,", ",",")&amp;",")),1,0)</f>
        <v>0</v>
      </c>
      <c r="CS23" s="11">
        <f>IF(ISNUMBER(SEARCH(",EGFR Exon 18,",","&amp;SUBSTITUTE(K23,", ",",")&amp;",")),1,0)</f>
        <v>0</v>
      </c>
      <c r="CT23" s="11">
        <f>IF(ISNUMBER(SEARCH(",EGFR Exon 19-del,",","&amp;SUBSTITUTE(K23,", ",",")&amp;",")),1,0)</f>
        <v>1</v>
      </c>
      <c r="CU23" s="11">
        <f>IF(ISNUMBER(SEARCH(",EGFR Exon 20,",","&amp;SUBSTITUTE(K23,", ",",")&amp;",")),1,0)</f>
        <v>0</v>
      </c>
      <c r="CV23" s="11">
        <f>IF(ISNUMBER(SEARCH(",EGFR Exon 20-ins,",","&amp;SUBSTITUTE(K23,", ",",")&amp;",")),1,0)</f>
        <v>0</v>
      </c>
      <c r="CW23" s="11">
        <f>IF(ISNUMBER(SEARCH(",EGFR Exon 21,",","&amp;SUBSTITUTE(K23,", ",",")&amp;",")),1,0)</f>
        <v>0</v>
      </c>
      <c r="CX23" s="11">
        <f>IF(ISNUMBER(SEARCH(",EGFR G719A,",","&amp;SUBSTITUTE(K23,", ",",")&amp;",")),1,0)</f>
        <v>0</v>
      </c>
      <c r="CY23" s="11">
        <f>IF(ISNUMBER(SEARCH(",EGFR G719C,",","&amp;SUBSTITUTE(K23,", ",",")&amp;",")),1,0)</f>
        <v>0</v>
      </c>
      <c r="CZ23" s="11">
        <f>IF(ISNUMBER(SEARCH(",EGFR G719S,",","&amp;SUBSTITUTE(K23,", ",",")&amp;",")),1,0)</f>
        <v>0</v>
      </c>
      <c r="DA23" s="11">
        <f>IF(ISNUMBER(SEARCH(",EGFR G719X,",","&amp;SUBSTITUTE(K23,", ",",")&amp;",")),1,0)</f>
        <v>0</v>
      </c>
      <c r="DB23" s="11">
        <f>IF(ISNUMBER(SEARCH(",EGFR L858R,",","&amp;SUBSTITUTE(K23,", ",",")&amp;",")),1,0)</f>
        <v>1</v>
      </c>
      <c r="DC23" s="11">
        <f>IF(ISNUMBER(SEARCH(",EGFR L861Q,",","&amp;SUBSTITUTE(K23,", ",",")&amp;",")),1,0)</f>
        <v>0</v>
      </c>
      <c r="DD23" s="11">
        <f>IF(ISNUMBER(SEARCH(",EGFR PACC,",","&amp;SUBSTITUTE(K23,", ",",")&amp;",")),1,0)</f>
        <v>0</v>
      </c>
      <c r="DE23" s="11">
        <f>IF(ISNUMBER(SEARCH(",EGFR S768I,",","&amp;SUBSTITUTE(K23,", ",",")&amp;",")),1,0)</f>
        <v>0</v>
      </c>
      <c r="DF23" s="11">
        <f>IF(ISNUMBER(SEARCH(",EGFR T790M,",","&amp;SUBSTITUTE(K23,", ",",")&amp;",")),1,0)</f>
        <v>0</v>
      </c>
      <c r="DG23" s="11">
        <f>IF(ISNUMBER(SEARCH(",EML4-ALK,",","&amp;SUBSTITUTE(K23,", ",",")&amp;",")),1,0)</f>
        <v>0</v>
      </c>
      <c r="DH23" s="11">
        <f>IF(ISNUMBER(SEARCH(",HER2,",","&amp;SUBSTITUTE(K23,", ",",")&amp;",")),1,0)</f>
        <v>0</v>
      </c>
      <c r="DI23" s="11">
        <f>IF(ISNUMBER(SEARCH(",HER2 Exon 19,",","&amp;SUBSTITUTE(K23,", ",",")&amp;",")),1,0)</f>
        <v>0</v>
      </c>
      <c r="DJ23" s="11">
        <f>IF(ISNUMBER(SEARCH(",HER2 Exon 20,",","&amp;SUBSTITUTE(K23,", ",",")&amp;",")),1,0)</f>
        <v>0</v>
      </c>
      <c r="DK23" s="11">
        <f>IF(ISNUMBER(SEARCH(",HER2 mut,",","&amp;SUBSTITUTE(K23,", ",",")&amp;",")),1,0)</f>
        <v>0</v>
      </c>
      <c r="DL23" s="11">
        <f>IF(ISNUMBER(SEARCH(",HLA-A2,",","&amp;SUBSTITUTE(K23,", ",",")&amp;",")),1,0)</f>
        <v>0</v>
      </c>
      <c r="DM23" s="11">
        <f>IF(ISNUMBER(SEARCH(",HRAS,",","&amp;SUBSTITUTE(K23,", ",",")&amp;",")),1,0)</f>
        <v>0</v>
      </c>
      <c r="DN23" s="11">
        <f>IF(ISNUMBER(SEARCH(",KRAS,",","&amp;SUBSTITUTE(K23,", ",",")&amp;",")),1,0)</f>
        <v>0</v>
      </c>
      <c r="DO23" s="11">
        <f>IF(ISNUMBER(SEARCH(",KRAS G12C,",","&amp;SUBSTITUTE(K23,", ",",")&amp;",")),1,0)</f>
        <v>0</v>
      </c>
      <c r="DP23" s="11">
        <f>IF(ISNUMBER(SEARCH(",NRAS,",","&amp;SUBSTITUTE(K23,", ",",")&amp;",")),1,0)</f>
        <v>0</v>
      </c>
      <c r="DQ23" s="11">
        <f>IF(ISNUMBER(SEARCH(",NTRK,",","&amp;SUBSTITUTE(K23,", ",",")&amp;",")),1,0)</f>
        <v>0</v>
      </c>
      <c r="DR23" s="11">
        <f>IF(ISNUMBER(SEARCH(",PD-L1,",","&amp;SUBSTITUTE(K23,", ",",")&amp;",")),1,0)</f>
        <v>0</v>
      </c>
      <c r="DS23" s="11">
        <f>IF(ISNUMBER(SEARCH(",PD-L1 IC ≥ 1%,",","&amp;SUBSTITUTE(K23,", ",",")&amp;",")),1,0)</f>
        <v>0</v>
      </c>
      <c r="DT23" s="11">
        <f>IF(ISNUMBER(SEARCH(",PD-L1 TC ≥ 1%,",","&amp;SUBSTITUTE(K23,", ",",")&amp;",")),1,0)</f>
        <v>0</v>
      </c>
      <c r="DU23" s="11">
        <f>IF(ISNUMBER(SEARCH(",PD-L1 TC ≥ 50%,",","&amp;SUBSTITUTE(K23,", ",",")&amp;",")),1,0)</f>
        <v>0</v>
      </c>
      <c r="DV23" s="11">
        <f>IF(ISNUMBER(SEARCH(",PD-L1 TPS &lt; 50%,",","&amp;SUBSTITUTE(K23,", ",",")&amp;",")),1,0)</f>
        <v>0</v>
      </c>
      <c r="DW23" s="11">
        <f>IF(ISNUMBER(SEARCH(",PD-L1 TPS ≥ 1%,",","&amp;SUBSTITUTE(K23,", ",",")&amp;",")),1,0)</f>
        <v>0</v>
      </c>
      <c r="DX23" s="11">
        <f>IF(ISNUMBER(SEARCH(",PD-L1 TPS ≥ 50%,",","&amp;SUBSTITUTE(K23,", ",",")&amp;",")),1,0)</f>
        <v>0</v>
      </c>
      <c r="DY23" s="11">
        <f>IF(ISNUMBER(SEARCH(",RAS,",","&amp;SUBSTITUTE(K23,", ",",")&amp;",")),1,0)</f>
        <v>0</v>
      </c>
      <c r="DZ23" s="11">
        <f>IF(ISNUMBER(SEARCH(",RET,",","&amp;SUBSTITUTE(K23,", ",",")&amp;",")),1,0)</f>
        <v>0</v>
      </c>
      <c r="EA23" s="11">
        <f>IF(ISNUMBER(SEARCH(",ROS1,",","&amp;SUBSTITUTE(K23,", ",",")&amp;",")),1,0)</f>
        <v>0</v>
      </c>
      <c r="EB23" s="11">
        <f>IF(ISNUMBER(SEARCH(",TROP2,",","&amp;SUBSTITUTE(K23,", ",",")&amp;",")),1,0)</f>
        <v>0</v>
      </c>
      <c r="EC23" s="11">
        <f>IF(ISNUMBER(SEARCH(",c-MET/MET,",","&amp;SUBSTITUTE(K23,", ",",")&amp;",")),1,0)</f>
        <v>0</v>
      </c>
      <c r="ED23" s="11">
        <f>IF(ISNUMBER(SEARCH(",c-MET/MET Exon 14,",","&amp;SUBSTITUTE(K23,", ",",")&amp;",")),1,0)</f>
        <v>0</v>
      </c>
      <c r="EE23" s="11">
        <f>IF(ISNUMBER(SEARCH(",ctDNA/cfDNA,",","&amp;SUBSTITUTE(K23,", ",",")&amp;",")),1,0)</f>
        <v>0</v>
      </c>
    </row>
    <row r="24" spans="1:135" ht="15" customHeight="1" x14ac:dyDescent="0.2">
      <c r="A24" s="3" t="s">
        <v>1386</v>
      </c>
      <c r="B24" s="3" t="s">
        <v>1387</v>
      </c>
      <c r="C24" s="3" t="s">
        <v>1314</v>
      </c>
      <c r="D24" s="3" t="s">
        <v>1314</v>
      </c>
      <c r="E24" s="3"/>
      <c r="F24" s="3"/>
      <c r="G24" s="3"/>
      <c r="H24" s="3" t="s">
        <v>114</v>
      </c>
      <c r="I24" s="3" t="s">
        <v>905</v>
      </c>
      <c r="J24" s="3" t="s">
        <v>898</v>
      </c>
      <c r="K24" s="3"/>
      <c r="L24" s="3" t="s">
        <v>119</v>
      </c>
      <c r="M24" s="3" t="s">
        <v>113</v>
      </c>
      <c r="N24" s="3" t="s">
        <v>119</v>
      </c>
      <c r="O24" s="3" t="s">
        <v>120</v>
      </c>
      <c r="P24" s="3" t="s">
        <v>1388</v>
      </c>
      <c r="Q24" s="10" t="str">
        <f>IF(F24="Stage IV","Stage IV Only",IF(AND(ISNUMBER(SEARCH("IV",F24)),LEN(F24)&gt;LEN("Stage IV")),"Stage IV + Other",IF(AND(ISNUMBER(SEARCH("III",F24)),NOT(ISNUMBER(SEARCH("IV",F24)))),"Stage III Only","Other")))</f>
        <v>Other</v>
      </c>
      <c r="R24" s="10" t="str">
        <f>IF(AND(ISNUMBER(SEARCH("Non-squamous",G24)),ISNUMBER(SEARCH("Squamous",SUBSTITUTE(G24,"Non-squamous","")))),"Both",IF(ISNUMBER(SEARCH("Non-squamous",G24)),"Non-squamous",IF(ISNUMBER(SEARCH("Squamous",G24)),"Squamous","Unspecified")))</f>
        <v>Unspecified</v>
      </c>
      <c r="S24" s="10" t="str">
        <f>IF(OR(ISNUMBER(SEARCH("TPS ≥ 50%",K24)),ISNUMBER(SEARCH("TC ≥ 50%",K24))),"TPS ≥ 50%",IF(OR(ISNUMBER(SEARCH("TPS ≥ 1%",K24)),ISNUMBER(SEARCH("TC ≥ 1%",K24)),ISNUMBER(SEARCH("TPS &lt; 50%",K24)),ISNUMBER(SEARCH("IC ≥ 1%",K24))),"TPS 1-49%","All-comers"))</f>
        <v>All-comers</v>
      </c>
      <c r="T24" s="10">
        <f>IF(H24="Phase III",1,0)</f>
        <v>1</v>
      </c>
      <c r="U24" s="10">
        <f>IF(L24="Yes",1,0)</f>
        <v>0</v>
      </c>
      <c r="V24" s="11">
        <f>IF(ISNUMBER(SEARCH(",ALK,",","&amp;SUBSTITUTE(I24,", ",",")&amp;",")),1,0)</f>
        <v>0</v>
      </c>
      <c r="W24" s="11">
        <f>IF(ISNUMBER(SEARCH(",ALK L1196M,",","&amp;SUBSTITUTE(I24,", ",",")&amp;",")),1,0)</f>
        <v>0</v>
      </c>
      <c r="X24" s="11">
        <f>IF(ISNUMBER(SEARCH(",AXL,",","&amp;SUBSTITUTE(I24,", ",",")&amp;",")),1,0)</f>
        <v>0</v>
      </c>
      <c r="Y24" s="11">
        <f>IF(ISNUMBER(SEARCH(",B7-H1,",","&amp;SUBSTITUTE(I24,", ",",")&amp;",")),1,0)</f>
        <v>0</v>
      </c>
      <c r="Z24" s="11">
        <f>IF(ISNUMBER(SEARCH(",CD152,",","&amp;SUBSTITUTE(I24,", ",",")&amp;",")),1,0)</f>
        <v>0</v>
      </c>
      <c r="AA24" s="11">
        <f>IF(ISNUMBER(SEARCH(",CD274,",","&amp;SUBSTITUTE(I24,", ",",")&amp;",")),1,0)</f>
        <v>0</v>
      </c>
      <c r="AB24" s="11">
        <f>IF(ISNUMBER(SEARCH(",CD279,",","&amp;SUBSTITUTE(I24,", ",",")&amp;",")),1,0)</f>
        <v>0</v>
      </c>
      <c r="AC24" s="11">
        <f>IF(ISNUMBER(SEARCH(",CD73,",","&amp;SUBSTITUTE(I24,", ",",")&amp;",")),1,0)</f>
        <v>0</v>
      </c>
      <c r="AD24" s="11">
        <f>IF(ISNUMBER(SEARCH(",CEA,",","&amp;SUBSTITUTE(I24,", ",",")&amp;",")),1,0)</f>
        <v>0</v>
      </c>
      <c r="AE24" s="11">
        <f>IF(ISNUMBER(SEARCH(",CTLA-4,",","&amp;SUBSTITUTE(I24,", ",",")&amp;",")),1,0)</f>
        <v>0</v>
      </c>
      <c r="AF24" s="11">
        <f>IF(ISNUMBER(SEARCH(",EGFR,",","&amp;SUBSTITUTE(I24,", ",",")&amp;",")),1,0)</f>
        <v>0</v>
      </c>
      <c r="AG24" s="11">
        <f>IF(ISNUMBER(SEARCH(",EGFR C797G,",","&amp;SUBSTITUTE(I24,", ",",")&amp;",")),1,0)</f>
        <v>0</v>
      </c>
      <c r="AH24" s="11">
        <f>IF(ISNUMBER(SEARCH(",EGFR C797S,",","&amp;SUBSTITUTE(I24,", ",",")&amp;",")),1,0)</f>
        <v>0</v>
      </c>
      <c r="AI24" s="11">
        <f>IF(ISNUMBER(SEARCH(",EGFR Exon 19-del,",","&amp;SUBSTITUTE(I24,", ",",")&amp;",")),1,0)</f>
        <v>0</v>
      </c>
      <c r="AJ24" s="11">
        <f>IF(ISNUMBER(SEARCH(",EGFR Exon 20,",","&amp;SUBSTITUTE(I24,", ",",")&amp;",")),1,0)</f>
        <v>0</v>
      </c>
      <c r="AK24" s="11">
        <f>IF(ISNUMBER(SEARCH(",EGFR L858R,",","&amp;SUBSTITUTE(I24,", ",",")&amp;",")),1,0)</f>
        <v>0</v>
      </c>
      <c r="AL24" s="11">
        <f>IF(ISNUMBER(SEARCH(",EGFR T790M,",","&amp;SUBSTITUTE(I24,", ",",")&amp;",")),1,0)</f>
        <v>0</v>
      </c>
      <c r="AM24" s="11">
        <f>IF(ISNUMBER(SEARCH(",ERBB,",","&amp;SUBSTITUTE(I24,", ",",")&amp;",")),1,0)</f>
        <v>0</v>
      </c>
      <c r="AN24" s="11">
        <f>IF(ISNUMBER(SEARCH(",ERBB3,",","&amp;SUBSTITUTE(I24,", ",",")&amp;",")),1,0)</f>
        <v>0</v>
      </c>
      <c r="AO24" s="11">
        <f>IF(ISNUMBER(SEARCH(",FAK,",","&amp;SUBSTITUTE(I24,", ",",")&amp;",")),1,0)</f>
        <v>0</v>
      </c>
      <c r="AP24" s="11">
        <f>IF(ISNUMBER(SEARCH(",GARP,",","&amp;SUBSTITUTE(I24,", ",",")&amp;",")),1,0)</f>
        <v>0</v>
      </c>
      <c r="AQ24" s="11">
        <f>IF(ISNUMBER(SEARCH(",HER1,",","&amp;SUBSTITUTE(I24,", ",",")&amp;",")),1,0)</f>
        <v>0</v>
      </c>
      <c r="AR24" s="11">
        <f>IF(ISNUMBER(SEARCH(",HER2,",","&amp;SUBSTITUTE(I24,", ",",")&amp;",")),1,0)</f>
        <v>0</v>
      </c>
      <c r="AS24" s="11">
        <f>IF(ISNUMBER(SEARCH(",HER2 Exon 20,",","&amp;SUBSTITUTE(I24,", ",",")&amp;",")),1,0)</f>
        <v>0</v>
      </c>
      <c r="AT24" s="11">
        <f>IF(ISNUMBER(SEARCH(",HER3,",","&amp;SUBSTITUTE(I24,", ",",")&amp;",")),1,0)</f>
        <v>0</v>
      </c>
      <c r="AU24" s="11">
        <f>IF(ISNUMBER(SEARCH(",HER4,",","&amp;SUBSTITUTE(I24,", ",",")&amp;",")),1,0)</f>
        <v>0</v>
      </c>
      <c r="AV24" s="11">
        <f>IF(ISNUMBER(SEARCH(",HRAS,",","&amp;SUBSTITUTE(I24,", ",",")&amp;",")),1,0)</f>
        <v>0</v>
      </c>
      <c r="AW24" s="11">
        <f>IF(ISNUMBER(SEARCH(",HSV-TK,",","&amp;SUBSTITUTE(I24,", ",",")&amp;",")),1,0)</f>
        <v>0</v>
      </c>
      <c r="AX24" s="11">
        <f>IF(ISNUMBER(SEARCH(",IL-12,",","&amp;SUBSTITUTE(I24,", ",",")&amp;",")),1,0)</f>
        <v>0</v>
      </c>
      <c r="AY24" s="11">
        <f>IF(ISNUMBER(SEARCH(",IL-15,",","&amp;SUBSTITUTE(I24,", ",",")&amp;",")),1,0)</f>
        <v>0</v>
      </c>
      <c r="AZ24" s="11">
        <f>IF(ISNUMBER(SEARCH(",IL-15R,",","&amp;SUBSTITUTE(I24,", ",",")&amp;",")),1,0)</f>
        <v>0</v>
      </c>
      <c r="BA24" s="11">
        <f>IF(ISNUMBER(SEARCH(",IL-2,",","&amp;SUBSTITUTE(I24,", ",",")&amp;",")),1,0)</f>
        <v>0</v>
      </c>
      <c r="BB24" s="11">
        <f>IF(ISNUMBER(SEARCH(",Integrin β6,",","&amp;SUBSTITUTE(I24,", ",",")&amp;",")),1,0)</f>
        <v>0</v>
      </c>
      <c r="BC24" s="11">
        <f>IF(ISNUMBER(SEARCH(",KDR,",","&amp;SUBSTITUTE(I24,", ",",")&amp;",")),1,0)</f>
        <v>0</v>
      </c>
      <c r="BD24" s="11">
        <f>IF(ISNUMBER(SEARCH(",KLRC1,",","&amp;SUBSTITUTE(I24,", ",",")&amp;",")),1,0)</f>
        <v>0</v>
      </c>
      <c r="BE24" s="11">
        <f>IF(ISNUMBER(SEARCH(",KRAS,",","&amp;SUBSTITUTE(I24,", ",",")&amp;",")),1,0)</f>
        <v>0</v>
      </c>
      <c r="BF24" s="11">
        <f>IF(ISNUMBER(SEARCH(",KRAS G12,",","&amp;SUBSTITUTE(I24,", ",",")&amp;",")),1,0)</f>
        <v>0</v>
      </c>
      <c r="BG24" s="11">
        <f>IF(ISNUMBER(SEARCH(",KRAS G12C,",","&amp;SUBSTITUTE(I24,", ",",")&amp;",")),1,0)</f>
        <v>1</v>
      </c>
      <c r="BH24" s="11">
        <f>IF(ISNUMBER(SEARCH(",KRAS G12D,",","&amp;SUBSTITUTE(I24,", ",",")&amp;",")),1,0)</f>
        <v>0</v>
      </c>
      <c r="BI24" s="11">
        <f>IF(ISNUMBER(SEARCH(",LAG-3,",","&amp;SUBSTITUTE(I24,", ",",")&amp;",")),1,0)</f>
        <v>0</v>
      </c>
      <c r="BJ24" s="11">
        <f>IF(ISNUMBER(SEARCH(",MAGE-A2,",","&amp;SUBSTITUTE(I24,", ",",")&amp;",")),1,0)</f>
        <v>0</v>
      </c>
      <c r="BK24" s="11">
        <f>IF(ISNUMBER(SEARCH(",MAGE-A3,",","&amp;SUBSTITUTE(I24,", ",",")&amp;",")),1,0)</f>
        <v>0</v>
      </c>
      <c r="BL24" s="11">
        <f>IF(ISNUMBER(SEARCH(",MLN19,",","&amp;SUBSTITUTE(I24,", ",",")&amp;",")),1,0)</f>
        <v>0</v>
      </c>
      <c r="BM24" s="11">
        <f>IF(ISNUMBER(SEARCH(",Microtubule,",","&amp;SUBSTITUTE(I24,", ",",")&amp;",")),1,0)</f>
        <v>0</v>
      </c>
      <c r="BN24" s="11">
        <f>IF(ISNUMBER(SEARCH(",NKG2A,",","&amp;SUBSTITUTE(I24,", ",",")&amp;",")),1,0)</f>
        <v>0</v>
      </c>
      <c r="BO24" s="11">
        <f>IF(ISNUMBER(SEARCH(",NRAS,",","&amp;SUBSTITUTE(I24,", ",",")&amp;",")),1,0)</f>
        <v>0</v>
      </c>
      <c r="BP24" s="11">
        <f>IF(ISNUMBER(SEARCH(",NTRK,",","&amp;SUBSTITUTE(I24,", ",",")&amp;",")),1,0)</f>
        <v>0</v>
      </c>
      <c r="BQ24" s="11">
        <f>IF(ISNUMBER(SEARCH(",PARP,",","&amp;SUBSTITUTE(I24,", ",",")&amp;",")),1,0)</f>
        <v>0</v>
      </c>
      <c r="BR24" s="11">
        <f>IF(ISNUMBER(SEARCH(",PD-1,",","&amp;SUBSTITUTE(I24,", ",",")&amp;",")),1,0)</f>
        <v>0</v>
      </c>
      <c r="BS24" s="11">
        <f>IF(ISNUMBER(SEARCH(",PD-L1,",","&amp;SUBSTITUTE(I24,", ",",")&amp;",")),1,0)</f>
        <v>0</v>
      </c>
      <c r="BT24" s="11">
        <f>IF(ISNUMBER(SEARCH(",PRMT5,",","&amp;SUBSTITUTE(I24,", ",",")&amp;",")),1,0)</f>
        <v>0</v>
      </c>
      <c r="BU24" s="11">
        <f>IF(ISNUMBER(SEARCH(",RAS,",","&amp;SUBSTITUTE(I24,", ",",")&amp;",")),1,0)</f>
        <v>0</v>
      </c>
      <c r="BV24" s="11">
        <f>IF(ISNUMBER(SEARCH(",RET,",","&amp;SUBSTITUTE(I24,", ",",")&amp;",")),1,0)</f>
        <v>0</v>
      </c>
      <c r="BW24" s="11">
        <f>IF(ISNUMBER(SEARCH(",ROS,",","&amp;SUBSTITUTE(I24,", ",",")&amp;",")),1,0)</f>
        <v>0</v>
      </c>
      <c r="BX24" s="11">
        <f>IF(ISNUMBER(SEARCH(",ROS1,",","&amp;SUBSTITUTE(I24,", ",",")&amp;",")),1,0)</f>
        <v>0</v>
      </c>
      <c r="BY24" s="11">
        <f>IF(ISNUMBER(SEARCH(",Src,",","&amp;SUBSTITUTE(I24,", ",",")&amp;",")),1,0)</f>
        <v>0</v>
      </c>
      <c r="BZ24" s="11">
        <f>IF(ISNUMBER(SEARCH(",TCGF,",","&amp;SUBSTITUTE(I24,", ",",")&amp;",")),1,0)</f>
        <v>0</v>
      </c>
      <c r="CA24" s="11">
        <f>IF(ISNUMBER(SEARCH(",TGF-β,",","&amp;SUBSTITUTE(I24,", ",",")&amp;",")),1,0)</f>
        <v>0</v>
      </c>
      <c r="CB24" s="11">
        <f>IF(ISNUMBER(SEARCH(",TGF-β1,",","&amp;SUBSTITUTE(I24,", ",",")&amp;",")),1,0)</f>
        <v>0</v>
      </c>
      <c r="CC24" s="11">
        <f>IF(ISNUMBER(SEARCH(",TIGIT,",","&amp;SUBSTITUTE(I24,", ",",")&amp;",")),1,0)</f>
        <v>0</v>
      </c>
      <c r="CD24" s="11">
        <f>IF(ISNUMBER(SEARCH(",TLR,",","&amp;SUBSTITUTE(I24,", ",",")&amp;",")),1,0)</f>
        <v>0</v>
      </c>
      <c r="CE24" s="11">
        <f>IF(ISNUMBER(SEARCH(",TLR7/8,",","&amp;SUBSTITUTE(I24,", ",",")&amp;",")),1,0)</f>
        <v>0</v>
      </c>
      <c r="CF24" s="11">
        <f>IF(ISNUMBER(SEARCH(",TRK,",","&amp;SUBSTITUTE(I24,", ",",")&amp;",")),1,0)</f>
        <v>0</v>
      </c>
      <c r="CG24" s="11">
        <f>IF(ISNUMBER(SEARCH(",TROP2,",","&amp;SUBSTITUTE(I24,", ",",")&amp;",")),1,0)</f>
        <v>0</v>
      </c>
      <c r="CH24" s="11">
        <f>IF(ISNUMBER(SEARCH(",TS,",","&amp;SUBSTITUTE(I24,", ",",")&amp;",")),1,0)</f>
        <v>0</v>
      </c>
      <c r="CI24" s="11">
        <f>IF(ISNUMBER(SEARCH(",TYMS,",","&amp;SUBSTITUTE(I24,", ",",")&amp;",")),1,0)</f>
        <v>0</v>
      </c>
      <c r="CJ24" s="11">
        <f>IF(ISNUMBER(SEARCH(",VEGF,",","&amp;SUBSTITUTE(I24,", ",",")&amp;",")),1,0)</f>
        <v>0</v>
      </c>
      <c r="CK24" s="11">
        <f>IF(ISNUMBER(SEARCH(",VEGFA,",","&amp;SUBSTITUTE(I24,", ",",")&amp;",")),1,0)</f>
        <v>0</v>
      </c>
      <c r="CL24" s="11">
        <f>IF(ISNUMBER(SEARCH(",VEGFR2,",","&amp;SUBSTITUTE(I24,", ",",")&amp;",")),1,0)</f>
        <v>0</v>
      </c>
      <c r="CM24" s="11">
        <f>IF(ISNUMBER(SEARCH(",c-MET/MET,",","&amp;SUBSTITUTE(I24,", ",",")&amp;",")),1,0)</f>
        <v>0</v>
      </c>
      <c r="CN24" s="11">
        <f>IF(ISNUMBER(SEARCH(",p53,",","&amp;SUBSTITUTE(I24,", ",",")&amp;",")),1,0)</f>
        <v>0</v>
      </c>
      <c r="CO24" s="11">
        <f>IF(ISNUMBER(SEARCH(",pan-KRAS,",","&amp;SUBSTITUTE(I24,", ",",")&amp;",")),1,0)</f>
        <v>0</v>
      </c>
      <c r="CP24" s="11">
        <f>IF(ISNUMBER(SEARCH(",ALK,",","&amp;SUBSTITUTE(K24,", ",",")&amp;",")),1,0)</f>
        <v>0</v>
      </c>
      <c r="CQ24" s="11">
        <f>IF(ISNUMBER(SEARCH(",BRAF V600E,",","&amp;SUBSTITUTE(K24,", ",",")&amp;",")),1,0)</f>
        <v>0</v>
      </c>
      <c r="CR24" s="11">
        <f>IF(ISNUMBER(SEARCH(",EGFR,",","&amp;SUBSTITUTE(K24,", ",",")&amp;",")),1,0)</f>
        <v>0</v>
      </c>
      <c r="CS24" s="11">
        <f>IF(ISNUMBER(SEARCH(",EGFR Exon 18,",","&amp;SUBSTITUTE(K24,", ",",")&amp;",")),1,0)</f>
        <v>0</v>
      </c>
      <c r="CT24" s="11">
        <f>IF(ISNUMBER(SEARCH(",EGFR Exon 19-del,",","&amp;SUBSTITUTE(K24,", ",",")&amp;",")),1,0)</f>
        <v>0</v>
      </c>
      <c r="CU24" s="11">
        <f>IF(ISNUMBER(SEARCH(",EGFR Exon 20,",","&amp;SUBSTITUTE(K24,", ",",")&amp;",")),1,0)</f>
        <v>0</v>
      </c>
      <c r="CV24" s="11">
        <f>IF(ISNUMBER(SEARCH(",EGFR Exon 20-ins,",","&amp;SUBSTITUTE(K24,", ",",")&amp;",")),1,0)</f>
        <v>0</v>
      </c>
      <c r="CW24" s="11">
        <f>IF(ISNUMBER(SEARCH(",EGFR Exon 21,",","&amp;SUBSTITUTE(K24,", ",",")&amp;",")),1,0)</f>
        <v>0</v>
      </c>
      <c r="CX24" s="11">
        <f>IF(ISNUMBER(SEARCH(",EGFR G719A,",","&amp;SUBSTITUTE(K24,", ",",")&amp;",")),1,0)</f>
        <v>0</v>
      </c>
      <c r="CY24" s="11">
        <f>IF(ISNUMBER(SEARCH(",EGFR G719C,",","&amp;SUBSTITUTE(K24,", ",",")&amp;",")),1,0)</f>
        <v>0</v>
      </c>
      <c r="CZ24" s="11">
        <f>IF(ISNUMBER(SEARCH(",EGFR G719S,",","&amp;SUBSTITUTE(K24,", ",",")&amp;",")),1,0)</f>
        <v>0</v>
      </c>
      <c r="DA24" s="11">
        <f>IF(ISNUMBER(SEARCH(",EGFR G719X,",","&amp;SUBSTITUTE(K24,", ",",")&amp;",")),1,0)</f>
        <v>0</v>
      </c>
      <c r="DB24" s="11">
        <f>IF(ISNUMBER(SEARCH(",EGFR L858R,",","&amp;SUBSTITUTE(K24,", ",",")&amp;",")),1,0)</f>
        <v>0</v>
      </c>
      <c r="DC24" s="11">
        <f>IF(ISNUMBER(SEARCH(",EGFR L861Q,",","&amp;SUBSTITUTE(K24,", ",",")&amp;",")),1,0)</f>
        <v>0</v>
      </c>
      <c r="DD24" s="11">
        <f>IF(ISNUMBER(SEARCH(",EGFR PACC,",","&amp;SUBSTITUTE(K24,", ",",")&amp;",")),1,0)</f>
        <v>0</v>
      </c>
      <c r="DE24" s="11">
        <f>IF(ISNUMBER(SEARCH(",EGFR S768I,",","&amp;SUBSTITUTE(K24,", ",",")&amp;",")),1,0)</f>
        <v>0</v>
      </c>
      <c r="DF24" s="11">
        <f>IF(ISNUMBER(SEARCH(",EGFR T790M,",","&amp;SUBSTITUTE(K24,", ",",")&amp;",")),1,0)</f>
        <v>0</v>
      </c>
      <c r="DG24" s="11">
        <f>IF(ISNUMBER(SEARCH(",EML4-ALK,",","&amp;SUBSTITUTE(K24,", ",",")&amp;",")),1,0)</f>
        <v>0</v>
      </c>
      <c r="DH24" s="11">
        <f>IF(ISNUMBER(SEARCH(",HER2,",","&amp;SUBSTITUTE(K24,", ",",")&amp;",")),1,0)</f>
        <v>0</v>
      </c>
      <c r="DI24" s="11">
        <f>IF(ISNUMBER(SEARCH(",HER2 Exon 19,",","&amp;SUBSTITUTE(K24,", ",",")&amp;",")),1,0)</f>
        <v>0</v>
      </c>
      <c r="DJ24" s="11">
        <f>IF(ISNUMBER(SEARCH(",HER2 Exon 20,",","&amp;SUBSTITUTE(K24,", ",",")&amp;",")),1,0)</f>
        <v>0</v>
      </c>
      <c r="DK24" s="11">
        <f>IF(ISNUMBER(SEARCH(",HER2 mut,",","&amp;SUBSTITUTE(K24,", ",",")&amp;",")),1,0)</f>
        <v>0</v>
      </c>
      <c r="DL24" s="11">
        <f>IF(ISNUMBER(SEARCH(",HLA-A2,",","&amp;SUBSTITUTE(K24,", ",",")&amp;",")),1,0)</f>
        <v>0</v>
      </c>
      <c r="DM24" s="11">
        <f>IF(ISNUMBER(SEARCH(",HRAS,",","&amp;SUBSTITUTE(K24,", ",",")&amp;",")),1,0)</f>
        <v>0</v>
      </c>
      <c r="DN24" s="11">
        <f>IF(ISNUMBER(SEARCH(",KRAS,",","&amp;SUBSTITUTE(K24,", ",",")&amp;",")),1,0)</f>
        <v>0</v>
      </c>
      <c r="DO24" s="11">
        <f>IF(ISNUMBER(SEARCH(",KRAS G12C,",","&amp;SUBSTITUTE(K24,", ",",")&amp;",")),1,0)</f>
        <v>0</v>
      </c>
      <c r="DP24" s="11">
        <f>IF(ISNUMBER(SEARCH(",NRAS,",","&amp;SUBSTITUTE(K24,", ",",")&amp;",")),1,0)</f>
        <v>0</v>
      </c>
      <c r="DQ24" s="11">
        <f>IF(ISNUMBER(SEARCH(",NTRK,",","&amp;SUBSTITUTE(K24,", ",",")&amp;",")),1,0)</f>
        <v>0</v>
      </c>
      <c r="DR24" s="11">
        <f>IF(ISNUMBER(SEARCH(",PD-L1,",","&amp;SUBSTITUTE(K24,", ",",")&amp;",")),1,0)</f>
        <v>0</v>
      </c>
      <c r="DS24" s="11">
        <f>IF(ISNUMBER(SEARCH(",PD-L1 IC ≥ 1%,",","&amp;SUBSTITUTE(K24,", ",",")&amp;",")),1,0)</f>
        <v>0</v>
      </c>
      <c r="DT24" s="11">
        <f>IF(ISNUMBER(SEARCH(",PD-L1 TC ≥ 1%,",","&amp;SUBSTITUTE(K24,", ",",")&amp;",")),1,0)</f>
        <v>0</v>
      </c>
      <c r="DU24" s="11">
        <f>IF(ISNUMBER(SEARCH(",PD-L1 TC ≥ 50%,",","&amp;SUBSTITUTE(K24,", ",",")&amp;",")),1,0)</f>
        <v>0</v>
      </c>
      <c r="DV24" s="11">
        <f>IF(ISNUMBER(SEARCH(",PD-L1 TPS &lt; 50%,",","&amp;SUBSTITUTE(K24,", ",",")&amp;",")),1,0)</f>
        <v>0</v>
      </c>
      <c r="DW24" s="11">
        <f>IF(ISNUMBER(SEARCH(",PD-L1 TPS ≥ 1%,",","&amp;SUBSTITUTE(K24,", ",",")&amp;",")),1,0)</f>
        <v>0</v>
      </c>
      <c r="DX24" s="11">
        <f>IF(ISNUMBER(SEARCH(",PD-L1 TPS ≥ 50%,",","&amp;SUBSTITUTE(K24,", ",",")&amp;",")),1,0)</f>
        <v>0</v>
      </c>
      <c r="DY24" s="11">
        <f>IF(ISNUMBER(SEARCH(",RAS,",","&amp;SUBSTITUTE(K24,", ",",")&amp;",")),1,0)</f>
        <v>0</v>
      </c>
      <c r="DZ24" s="11">
        <f>IF(ISNUMBER(SEARCH(",RET,",","&amp;SUBSTITUTE(K24,", ",",")&amp;",")),1,0)</f>
        <v>0</v>
      </c>
      <c r="EA24" s="11">
        <f>IF(ISNUMBER(SEARCH(",ROS1,",","&amp;SUBSTITUTE(K24,", ",",")&amp;",")),1,0)</f>
        <v>0</v>
      </c>
      <c r="EB24" s="11">
        <f>IF(ISNUMBER(SEARCH(",TROP2,",","&amp;SUBSTITUTE(K24,", ",",")&amp;",")),1,0)</f>
        <v>0</v>
      </c>
      <c r="EC24" s="11">
        <f>IF(ISNUMBER(SEARCH(",c-MET/MET,",","&amp;SUBSTITUTE(K24,", ",",")&amp;",")),1,0)</f>
        <v>0</v>
      </c>
      <c r="ED24" s="11">
        <f>IF(ISNUMBER(SEARCH(",c-MET/MET Exon 14,",","&amp;SUBSTITUTE(K24,", ",",")&amp;",")),1,0)</f>
        <v>0</v>
      </c>
      <c r="EE24" s="11">
        <f>IF(ISNUMBER(SEARCH(",ctDNA/cfDNA,",","&amp;SUBSTITUTE(K24,", ",",")&amp;",")),1,0)</f>
        <v>0</v>
      </c>
    </row>
    <row r="25" spans="1:135" ht="15" customHeight="1" x14ac:dyDescent="0.2">
      <c r="A25" s="5" t="s">
        <v>1365</v>
      </c>
      <c r="B25" s="5" t="s">
        <v>1366</v>
      </c>
      <c r="C25" s="5" t="s">
        <v>1367</v>
      </c>
      <c r="D25" s="5" t="s">
        <v>1367</v>
      </c>
      <c r="E25" s="5"/>
      <c r="F25" s="5"/>
      <c r="G25" s="5"/>
      <c r="H25" s="5" t="s">
        <v>114</v>
      </c>
      <c r="I25" s="5" t="s">
        <v>1370</v>
      </c>
      <c r="J25" s="5" t="s">
        <v>1369</v>
      </c>
      <c r="K25" s="5"/>
      <c r="L25" s="5" t="s">
        <v>119</v>
      </c>
      <c r="M25" s="5" t="s">
        <v>113</v>
      </c>
      <c r="N25" s="5" t="s">
        <v>119</v>
      </c>
      <c r="O25" s="5" t="s">
        <v>120</v>
      </c>
      <c r="P25" s="5" t="s">
        <v>1368</v>
      </c>
      <c r="Q25" s="10" t="str">
        <f>IF(F25="Stage IV","Stage IV Only",IF(AND(ISNUMBER(SEARCH("IV",F25)),LEN(F25)&gt;LEN("Stage IV")),"Stage IV + Other",IF(AND(ISNUMBER(SEARCH("III",F25)),NOT(ISNUMBER(SEARCH("IV",F25)))),"Stage III Only","Other")))</f>
        <v>Other</v>
      </c>
      <c r="R25" s="10" t="str">
        <f>IF(AND(ISNUMBER(SEARCH("Non-squamous",G25)),ISNUMBER(SEARCH("Squamous",SUBSTITUTE(G25,"Non-squamous","")))),"Both",IF(ISNUMBER(SEARCH("Non-squamous",G25)),"Non-squamous",IF(ISNUMBER(SEARCH("Squamous",G25)),"Squamous","Unspecified")))</f>
        <v>Unspecified</v>
      </c>
      <c r="S25" s="10" t="str">
        <f>IF(OR(ISNUMBER(SEARCH("TPS ≥ 50%",K25)),ISNUMBER(SEARCH("TC ≥ 50%",K25))),"TPS ≥ 50%",IF(OR(ISNUMBER(SEARCH("TPS ≥ 1%",K25)),ISNUMBER(SEARCH("TC ≥ 1%",K25)),ISNUMBER(SEARCH("TPS &lt; 50%",K25)),ISNUMBER(SEARCH("IC ≥ 1%",K25))),"TPS 1-49%","All-comers"))</f>
        <v>All-comers</v>
      </c>
      <c r="T25" s="10">
        <f>IF(H25="Phase III",1,0)</f>
        <v>1</v>
      </c>
      <c r="U25" s="10">
        <f>IF(L25="Yes",1,0)</f>
        <v>0</v>
      </c>
      <c r="V25" s="11">
        <f>IF(ISNUMBER(SEARCH(",ALK,",","&amp;SUBSTITUTE(I25,", ",",")&amp;",")),1,0)</f>
        <v>0</v>
      </c>
      <c r="W25" s="11">
        <f>IF(ISNUMBER(SEARCH(",ALK L1196M,",","&amp;SUBSTITUTE(I25,", ",",")&amp;",")),1,0)</f>
        <v>0</v>
      </c>
      <c r="X25" s="11">
        <f>IF(ISNUMBER(SEARCH(",AXL,",","&amp;SUBSTITUTE(I25,", ",",")&amp;",")),1,0)</f>
        <v>0</v>
      </c>
      <c r="Y25" s="11">
        <f>IF(ISNUMBER(SEARCH(",B7-H1,",","&amp;SUBSTITUTE(I25,", ",",")&amp;",")),1,0)</f>
        <v>0</v>
      </c>
      <c r="Z25" s="11">
        <f>IF(ISNUMBER(SEARCH(",CD152,",","&amp;SUBSTITUTE(I25,", ",",")&amp;",")),1,0)</f>
        <v>0</v>
      </c>
      <c r="AA25" s="11">
        <f>IF(ISNUMBER(SEARCH(",CD274,",","&amp;SUBSTITUTE(I25,", ",",")&amp;",")),1,0)</f>
        <v>0</v>
      </c>
      <c r="AB25" s="11">
        <f>IF(ISNUMBER(SEARCH(",CD279,",","&amp;SUBSTITUTE(I25,", ",",")&amp;",")),1,0)</f>
        <v>0</v>
      </c>
      <c r="AC25" s="11">
        <f>IF(ISNUMBER(SEARCH(",CD73,",","&amp;SUBSTITUTE(I25,", ",",")&amp;",")),1,0)</f>
        <v>0</v>
      </c>
      <c r="AD25" s="11">
        <f>IF(ISNUMBER(SEARCH(",CEA,",","&amp;SUBSTITUTE(I25,", ",",")&amp;",")),1,0)</f>
        <v>0</v>
      </c>
      <c r="AE25" s="11">
        <f>IF(ISNUMBER(SEARCH(",CTLA-4,",","&amp;SUBSTITUTE(I25,", ",",")&amp;",")),1,0)</f>
        <v>0</v>
      </c>
      <c r="AF25" s="11">
        <f>IF(ISNUMBER(SEARCH(",EGFR,",","&amp;SUBSTITUTE(I25,", ",",")&amp;",")),1,0)</f>
        <v>1</v>
      </c>
      <c r="AG25" s="11">
        <f>IF(ISNUMBER(SEARCH(",EGFR C797G,",","&amp;SUBSTITUTE(I25,", ",",")&amp;",")),1,0)</f>
        <v>0</v>
      </c>
      <c r="AH25" s="11">
        <f>IF(ISNUMBER(SEARCH(",EGFR C797S,",","&amp;SUBSTITUTE(I25,", ",",")&amp;",")),1,0)</f>
        <v>0</v>
      </c>
      <c r="AI25" s="11">
        <f>IF(ISNUMBER(SEARCH(",EGFR Exon 19-del,",","&amp;SUBSTITUTE(I25,", ",",")&amp;",")),1,0)</f>
        <v>0</v>
      </c>
      <c r="AJ25" s="11">
        <f>IF(ISNUMBER(SEARCH(",EGFR Exon 20,",","&amp;SUBSTITUTE(I25,", ",",")&amp;",")),1,0)</f>
        <v>1</v>
      </c>
      <c r="AK25" s="11">
        <f>IF(ISNUMBER(SEARCH(",EGFR L858R,",","&amp;SUBSTITUTE(I25,", ",",")&amp;",")),1,0)</f>
        <v>0</v>
      </c>
      <c r="AL25" s="11">
        <f>IF(ISNUMBER(SEARCH(",EGFR T790M,",","&amp;SUBSTITUTE(I25,", ",",")&amp;",")),1,0)</f>
        <v>0</v>
      </c>
      <c r="AM25" s="11">
        <f>IF(ISNUMBER(SEARCH(",ERBB,",","&amp;SUBSTITUTE(I25,", ",",")&amp;",")),1,0)</f>
        <v>1</v>
      </c>
      <c r="AN25" s="11">
        <f>IF(ISNUMBER(SEARCH(",ERBB3,",","&amp;SUBSTITUTE(I25,", ",",")&amp;",")),1,0)</f>
        <v>0</v>
      </c>
      <c r="AO25" s="11">
        <f>IF(ISNUMBER(SEARCH(",FAK,",","&amp;SUBSTITUTE(I25,", ",",")&amp;",")),1,0)</f>
        <v>0</v>
      </c>
      <c r="AP25" s="11">
        <f>IF(ISNUMBER(SEARCH(",GARP,",","&amp;SUBSTITUTE(I25,", ",",")&amp;",")),1,0)</f>
        <v>0</v>
      </c>
      <c r="AQ25" s="11">
        <f>IF(ISNUMBER(SEARCH(",HER1,",","&amp;SUBSTITUTE(I25,", ",",")&amp;",")),1,0)</f>
        <v>1</v>
      </c>
      <c r="AR25" s="11">
        <f>IF(ISNUMBER(SEARCH(",HER2,",","&amp;SUBSTITUTE(I25,", ",",")&amp;",")),1,0)</f>
        <v>1</v>
      </c>
      <c r="AS25" s="11">
        <f>IF(ISNUMBER(SEARCH(",HER2 Exon 20,",","&amp;SUBSTITUTE(I25,", ",",")&amp;",")),1,0)</f>
        <v>1</v>
      </c>
      <c r="AT25" s="11">
        <f>IF(ISNUMBER(SEARCH(",HER3,",","&amp;SUBSTITUTE(I25,", ",",")&amp;",")),1,0)</f>
        <v>0</v>
      </c>
      <c r="AU25" s="11">
        <f>IF(ISNUMBER(SEARCH(",HER4,",","&amp;SUBSTITUTE(I25,", ",",")&amp;",")),1,0)</f>
        <v>0</v>
      </c>
      <c r="AV25" s="11">
        <f>IF(ISNUMBER(SEARCH(",HRAS,",","&amp;SUBSTITUTE(I25,", ",",")&amp;",")),1,0)</f>
        <v>0</v>
      </c>
      <c r="AW25" s="11">
        <f>IF(ISNUMBER(SEARCH(",HSV-TK,",","&amp;SUBSTITUTE(I25,", ",",")&amp;",")),1,0)</f>
        <v>0</v>
      </c>
      <c r="AX25" s="11">
        <f>IF(ISNUMBER(SEARCH(",IL-12,",","&amp;SUBSTITUTE(I25,", ",",")&amp;",")),1,0)</f>
        <v>0</v>
      </c>
      <c r="AY25" s="11">
        <f>IF(ISNUMBER(SEARCH(",IL-15,",","&amp;SUBSTITUTE(I25,", ",",")&amp;",")),1,0)</f>
        <v>0</v>
      </c>
      <c r="AZ25" s="11">
        <f>IF(ISNUMBER(SEARCH(",IL-15R,",","&amp;SUBSTITUTE(I25,", ",",")&amp;",")),1,0)</f>
        <v>0</v>
      </c>
      <c r="BA25" s="11">
        <f>IF(ISNUMBER(SEARCH(",IL-2,",","&amp;SUBSTITUTE(I25,", ",",")&amp;",")),1,0)</f>
        <v>0</v>
      </c>
      <c r="BB25" s="11">
        <f>IF(ISNUMBER(SEARCH(",Integrin β6,",","&amp;SUBSTITUTE(I25,", ",",")&amp;",")),1,0)</f>
        <v>0</v>
      </c>
      <c r="BC25" s="11">
        <f>IF(ISNUMBER(SEARCH(",KDR,",","&amp;SUBSTITUTE(I25,", ",",")&amp;",")),1,0)</f>
        <v>0</v>
      </c>
      <c r="BD25" s="11">
        <f>IF(ISNUMBER(SEARCH(",KLRC1,",","&amp;SUBSTITUTE(I25,", ",",")&amp;",")),1,0)</f>
        <v>0</v>
      </c>
      <c r="BE25" s="11">
        <f>IF(ISNUMBER(SEARCH(",KRAS,",","&amp;SUBSTITUTE(I25,", ",",")&amp;",")),1,0)</f>
        <v>0</v>
      </c>
      <c r="BF25" s="11">
        <f>IF(ISNUMBER(SEARCH(",KRAS G12,",","&amp;SUBSTITUTE(I25,", ",",")&amp;",")),1,0)</f>
        <v>0</v>
      </c>
      <c r="BG25" s="11">
        <f>IF(ISNUMBER(SEARCH(",KRAS G12C,",","&amp;SUBSTITUTE(I25,", ",",")&amp;",")),1,0)</f>
        <v>0</v>
      </c>
      <c r="BH25" s="11">
        <f>IF(ISNUMBER(SEARCH(",KRAS G12D,",","&amp;SUBSTITUTE(I25,", ",",")&amp;",")),1,0)</f>
        <v>0</v>
      </c>
      <c r="BI25" s="11">
        <f>IF(ISNUMBER(SEARCH(",LAG-3,",","&amp;SUBSTITUTE(I25,", ",",")&amp;",")),1,0)</f>
        <v>0</v>
      </c>
      <c r="BJ25" s="11">
        <f>IF(ISNUMBER(SEARCH(",MAGE-A2,",","&amp;SUBSTITUTE(I25,", ",",")&amp;",")),1,0)</f>
        <v>0</v>
      </c>
      <c r="BK25" s="11">
        <f>IF(ISNUMBER(SEARCH(",MAGE-A3,",","&amp;SUBSTITUTE(I25,", ",",")&amp;",")),1,0)</f>
        <v>0</v>
      </c>
      <c r="BL25" s="11">
        <f>IF(ISNUMBER(SEARCH(",MLN19,",","&amp;SUBSTITUTE(I25,", ",",")&amp;",")),1,0)</f>
        <v>0</v>
      </c>
      <c r="BM25" s="11">
        <f>IF(ISNUMBER(SEARCH(",Microtubule,",","&amp;SUBSTITUTE(I25,", ",",")&amp;",")),1,0)</f>
        <v>0</v>
      </c>
      <c r="BN25" s="11">
        <f>IF(ISNUMBER(SEARCH(",NKG2A,",","&amp;SUBSTITUTE(I25,", ",",")&amp;",")),1,0)</f>
        <v>0</v>
      </c>
      <c r="BO25" s="11">
        <f>IF(ISNUMBER(SEARCH(",NRAS,",","&amp;SUBSTITUTE(I25,", ",",")&amp;",")),1,0)</f>
        <v>0</v>
      </c>
      <c r="BP25" s="11">
        <f>IF(ISNUMBER(SEARCH(",NTRK,",","&amp;SUBSTITUTE(I25,", ",",")&amp;",")),1,0)</f>
        <v>0</v>
      </c>
      <c r="BQ25" s="11">
        <f>IF(ISNUMBER(SEARCH(",PARP,",","&amp;SUBSTITUTE(I25,", ",",")&amp;",")),1,0)</f>
        <v>0</v>
      </c>
      <c r="BR25" s="11">
        <f>IF(ISNUMBER(SEARCH(",PD-1,",","&amp;SUBSTITUTE(I25,", ",",")&amp;",")),1,0)</f>
        <v>0</v>
      </c>
      <c r="BS25" s="11">
        <f>IF(ISNUMBER(SEARCH(",PD-L1,",","&amp;SUBSTITUTE(I25,", ",",")&amp;",")),1,0)</f>
        <v>0</v>
      </c>
      <c r="BT25" s="11">
        <f>IF(ISNUMBER(SEARCH(",PRMT5,",","&amp;SUBSTITUTE(I25,", ",",")&amp;",")),1,0)</f>
        <v>0</v>
      </c>
      <c r="BU25" s="11">
        <f>IF(ISNUMBER(SEARCH(",RAS,",","&amp;SUBSTITUTE(I25,", ",",")&amp;",")),1,0)</f>
        <v>0</v>
      </c>
      <c r="BV25" s="11">
        <f>IF(ISNUMBER(SEARCH(",RET,",","&amp;SUBSTITUTE(I25,", ",",")&amp;",")),1,0)</f>
        <v>0</v>
      </c>
      <c r="BW25" s="11">
        <f>IF(ISNUMBER(SEARCH(",ROS,",","&amp;SUBSTITUTE(I25,", ",",")&amp;",")),1,0)</f>
        <v>0</v>
      </c>
      <c r="BX25" s="11">
        <f>IF(ISNUMBER(SEARCH(",ROS1,",","&amp;SUBSTITUTE(I25,", ",",")&amp;",")),1,0)</f>
        <v>0</v>
      </c>
      <c r="BY25" s="11">
        <f>IF(ISNUMBER(SEARCH(",Src,",","&amp;SUBSTITUTE(I25,", ",",")&amp;",")),1,0)</f>
        <v>0</v>
      </c>
      <c r="BZ25" s="11">
        <f>IF(ISNUMBER(SEARCH(",TCGF,",","&amp;SUBSTITUTE(I25,", ",",")&amp;",")),1,0)</f>
        <v>0</v>
      </c>
      <c r="CA25" s="11">
        <f>IF(ISNUMBER(SEARCH(",TGF-β,",","&amp;SUBSTITUTE(I25,", ",",")&amp;",")),1,0)</f>
        <v>0</v>
      </c>
      <c r="CB25" s="11">
        <f>IF(ISNUMBER(SEARCH(",TGF-β1,",","&amp;SUBSTITUTE(I25,", ",",")&amp;",")),1,0)</f>
        <v>0</v>
      </c>
      <c r="CC25" s="11">
        <f>IF(ISNUMBER(SEARCH(",TIGIT,",","&amp;SUBSTITUTE(I25,", ",",")&amp;",")),1,0)</f>
        <v>0</v>
      </c>
      <c r="CD25" s="11">
        <f>IF(ISNUMBER(SEARCH(",TLR,",","&amp;SUBSTITUTE(I25,", ",",")&amp;",")),1,0)</f>
        <v>0</v>
      </c>
      <c r="CE25" s="11">
        <f>IF(ISNUMBER(SEARCH(",TLR7/8,",","&amp;SUBSTITUTE(I25,", ",",")&amp;",")),1,0)</f>
        <v>0</v>
      </c>
      <c r="CF25" s="11">
        <f>IF(ISNUMBER(SEARCH(",TRK,",","&amp;SUBSTITUTE(I25,", ",",")&amp;",")),1,0)</f>
        <v>0</v>
      </c>
      <c r="CG25" s="11">
        <f>IF(ISNUMBER(SEARCH(",TROP2,",","&amp;SUBSTITUTE(I25,", ",",")&amp;",")),1,0)</f>
        <v>0</v>
      </c>
      <c r="CH25" s="11">
        <f>IF(ISNUMBER(SEARCH(",TS,",","&amp;SUBSTITUTE(I25,", ",",")&amp;",")),1,0)</f>
        <v>0</v>
      </c>
      <c r="CI25" s="11">
        <f>IF(ISNUMBER(SEARCH(",TYMS,",","&amp;SUBSTITUTE(I25,", ",",")&amp;",")),1,0)</f>
        <v>0</v>
      </c>
      <c r="CJ25" s="11">
        <f>IF(ISNUMBER(SEARCH(",VEGF,",","&amp;SUBSTITUTE(I25,", ",",")&amp;",")),1,0)</f>
        <v>0</v>
      </c>
      <c r="CK25" s="11">
        <f>IF(ISNUMBER(SEARCH(",VEGFA,",","&amp;SUBSTITUTE(I25,", ",",")&amp;",")),1,0)</f>
        <v>0</v>
      </c>
      <c r="CL25" s="11">
        <f>IF(ISNUMBER(SEARCH(",VEGFR2,",","&amp;SUBSTITUTE(I25,", ",",")&amp;",")),1,0)</f>
        <v>0</v>
      </c>
      <c r="CM25" s="11">
        <f>IF(ISNUMBER(SEARCH(",c-MET/MET,",","&amp;SUBSTITUTE(I25,", ",",")&amp;",")),1,0)</f>
        <v>1</v>
      </c>
      <c r="CN25" s="11">
        <f>IF(ISNUMBER(SEARCH(",p53,",","&amp;SUBSTITUTE(I25,", ",",")&amp;",")),1,0)</f>
        <v>0</v>
      </c>
      <c r="CO25" s="11">
        <f>IF(ISNUMBER(SEARCH(",pan-KRAS,",","&amp;SUBSTITUTE(I25,", ",",")&amp;",")),1,0)</f>
        <v>0</v>
      </c>
      <c r="CP25" s="11">
        <f>IF(ISNUMBER(SEARCH(",ALK,",","&amp;SUBSTITUTE(K25,", ",",")&amp;",")),1,0)</f>
        <v>0</v>
      </c>
      <c r="CQ25" s="11">
        <f>IF(ISNUMBER(SEARCH(",BRAF V600E,",","&amp;SUBSTITUTE(K25,", ",",")&amp;",")),1,0)</f>
        <v>0</v>
      </c>
      <c r="CR25" s="11">
        <f>IF(ISNUMBER(SEARCH(",EGFR,",","&amp;SUBSTITUTE(K25,", ",",")&amp;",")),1,0)</f>
        <v>0</v>
      </c>
      <c r="CS25" s="11">
        <f>IF(ISNUMBER(SEARCH(",EGFR Exon 18,",","&amp;SUBSTITUTE(K25,", ",",")&amp;",")),1,0)</f>
        <v>0</v>
      </c>
      <c r="CT25" s="11">
        <f>IF(ISNUMBER(SEARCH(",EGFR Exon 19-del,",","&amp;SUBSTITUTE(K25,", ",",")&amp;",")),1,0)</f>
        <v>0</v>
      </c>
      <c r="CU25" s="11">
        <f>IF(ISNUMBER(SEARCH(",EGFR Exon 20,",","&amp;SUBSTITUTE(K25,", ",",")&amp;",")),1,0)</f>
        <v>0</v>
      </c>
      <c r="CV25" s="11">
        <f>IF(ISNUMBER(SEARCH(",EGFR Exon 20-ins,",","&amp;SUBSTITUTE(K25,", ",",")&amp;",")),1,0)</f>
        <v>0</v>
      </c>
      <c r="CW25" s="11">
        <f>IF(ISNUMBER(SEARCH(",EGFR Exon 21,",","&amp;SUBSTITUTE(K25,", ",",")&amp;",")),1,0)</f>
        <v>0</v>
      </c>
      <c r="CX25" s="11">
        <f>IF(ISNUMBER(SEARCH(",EGFR G719A,",","&amp;SUBSTITUTE(K25,", ",",")&amp;",")),1,0)</f>
        <v>0</v>
      </c>
      <c r="CY25" s="11">
        <f>IF(ISNUMBER(SEARCH(",EGFR G719C,",","&amp;SUBSTITUTE(K25,", ",",")&amp;",")),1,0)</f>
        <v>0</v>
      </c>
      <c r="CZ25" s="11">
        <f>IF(ISNUMBER(SEARCH(",EGFR G719S,",","&amp;SUBSTITUTE(K25,", ",",")&amp;",")),1,0)</f>
        <v>0</v>
      </c>
      <c r="DA25" s="11">
        <f>IF(ISNUMBER(SEARCH(",EGFR G719X,",","&amp;SUBSTITUTE(K25,", ",",")&amp;",")),1,0)</f>
        <v>0</v>
      </c>
      <c r="DB25" s="11">
        <f>IF(ISNUMBER(SEARCH(",EGFR L858R,",","&amp;SUBSTITUTE(K25,", ",",")&amp;",")),1,0)</f>
        <v>0</v>
      </c>
      <c r="DC25" s="11">
        <f>IF(ISNUMBER(SEARCH(",EGFR L861Q,",","&amp;SUBSTITUTE(K25,", ",",")&amp;",")),1,0)</f>
        <v>0</v>
      </c>
      <c r="DD25" s="11">
        <f>IF(ISNUMBER(SEARCH(",EGFR PACC,",","&amp;SUBSTITUTE(K25,", ",",")&amp;",")),1,0)</f>
        <v>0</v>
      </c>
      <c r="DE25" s="11">
        <f>IF(ISNUMBER(SEARCH(",EGFR S768I,",","&amp;SUBSTITUTE(K25,", ",",")&amp;",")),1,0)</f>
        <v>0</v>
      </c>
      <c r="DF25" s="11">
        <f>IF(ISNUMBER(SEARCH(",EGFR T790M,",","&amp;SUBSTITUTE(K25,", ",",")&amp;",")),1,0)</f>
        <v>0</v>
      </c>
      <c r="DG25" s="11">
        <f>IF(ISNUMBER(SEARCH(",EML4-ALK,",","&amp;SUBSTITUTE(K25,", ",",")&amp;",")),1,0)</f>
        <v>0</v>
      </c>
      <c r="DH25" s="11">
        <f>IF(ISNUMBER(SEARCH(",HER2,",","&amp;SUBSTITUTE(K25,", ",",")&amp;",")),1,0)</f>
        <v>0</v>
      </c>
      <c r="DI25" s="11">
        <f>IF(ISNUMBER(SEARCH(",HER2 Exon 19,",","&amp;SUBSTITUTE(K25,", ",",")&amp;",")),1,0)</f>
        <v>0</v>
      </c>
      <c r="DJ25" s="11">
        <f>IF(ISNUMBER(SEARCH(",HER2 Exon 20,",","&amp;SUBSTITUTE(K25,", ",",")&amp;",")),1,0)</f>
        <v>0</v>
      </c>
      <c r="DK25" s="11">
        <f>IF(ISNUMBER(SEARCH(",HER2 mut,",","&amp;SUBSTITUTE(K25,", ",",")&amp;",")),1,0)</f>
        <v>0</v>
      </c>
      <c r="DL25" s="11">
        <f>IF(ISNUMBER(SEARCH(",HLA-A2,",","&amp;SUBSTITUTE(K25,", ",",")&amp;",")),1,0)</f>
        <v>0</v>
      </c>
      <c r="DM25" s="11">
        <f>IF(ISNUMBER(SEARCH(",HRAS,",","&amp;SUBSTITUTE(K25,", ",",")&amp;",")),1,0)</f>
        <v>0</v>
      </c>
      <c r="DN25" s="11">
        <f>IF(ISNUMBER(SEARCH(",KRAS,",","&amp;SUBSTITUTE(K25,", ",",")&amp;",")),1,0)</f>
        <v>0</v>
      </c>
      <c r="DO25" s="11">
        <f>IF(ISNUMBER(SEARCH(",KRAS G12C,",","&amp;SUBSTITUTE(K25,", ",",")&amp;",")),1,0)</f>
        <v>0</v>
      </c>
      <c r="DP25" s="11">
        <f>IF(ISNUMBER(SEARCH(",NRAS,",","&amp;SUBSTITUTE(K25,", ",",")&amp;",")),1,0)</f>
        <v>0</v>
      </c>
      <c r="DQ25" s="11">
        <f>IF(ISNUMBER(SEARCH(",NTRK,",","&amp;SUBSTITUTE(K25,", ",",")&amp;",")),1,0)</f>
        <v>0</v>
      </c>
      <c r="DR25" s="11">
        <f>IF(ISNUMBER(SEARCH(",PD-L1,",","&amp;SUBSTITUTE(K25,", ",",")&amp;",")),1,0)</f>
        <v>0</v>
      </c>
      <c r="DS25" s="11">
        <f>IF(ISNUMBER(SEARCH(",PD-L1 IC ≥ 1%,",","&amp;SUBSTITUTE(K25,", ",",")&amp;",")),1,0)</f>
        <v>0</v>
      </c>
      <c r="DT25" s="11">
        <f>IF(ISNUMBER(SEARCH(",PD-L1 TC ≥ 1%,",","&amp;SUBSTITUTE(K25,", ",",")&amp;",")),1,0)</f>
        <v>0</v>
      </c>
      <c r="DU25" s="11">
        <f>IF(ISNUMBER(SEARCH(",PD-L1 TC ≥ 50%,",","&amp;SUBSTITUTE(K25,", ",",")&amp;",")),1,0)</f>
        <v>0</v>
      </c>
      <c r="DV25" s="11">
        <f>IF(ISNUMBER(SEARCH(",PD-L1 TPS &lt; 50%,",","&amp;SUBSTITUTE(K25,", ",",")&amp;",")),1,0)</f>
        <v>0</v>
      </c>
      <c r="DW25" s="11">
        <f>IF(ISNUMBER(SEARCH(",PD-L1 TPS ≥ 1%,",","&amp;SUBSTITUTE(K25,", ",",")&amp;",")),1,0)</f>
        <v>0</v>
      </c>
      <c r="DX25" s="11">
        <f>IF(ISNUMBER(SEARCH(",PD-L1 TPS ≥ 50%,",","&amp;SUBSTITUTE(K25,", ",",")&amp;",")),1,0)</f>
        <v>0</v>
      </c>
      <c r="DY25" s="11">
        <f>IF(ISNUMBER(SEARCH(",RAS,",","&amp;SUBSTITUTE(K25,", ",",")&amp;",")),1,0)</f>
        <v>0</v>
      </c>
      <c r="DZ25" s="11">
        <f>IF(ISNUMBER(SEARCH(",RET,",","&amp;SUBSTITUTE(K25,", ",",")&amp;",")),1,0)</f>
        <v>0</v>
      </c>
      <c r="EA25" s="11">
        <f>IF(ISNUMBER(SEARCH(",ROS1,",","&amp;SUBSTITUTE(K25,", ",",")&amp;",")),1,0)</f>
        <v>0</v>
      </c>
      <c r="EB25" s="11">
        <f>IF(ISNUMBER(SEARCH(",TROP2,",","&amp;SUBSTITUTE(K25,", ",",")&amp;",")),1,0)</f>
        <v>0</v>
      </c>
      <c r="EC25" s="11">
        <f>IF(ISNUMBER(SEARCH(",c-MET/MET,",","&amp;SUBSTITUTE(K25,", ",",")&amp;",")),1,0)</f>
        <v>0</v>
      </c>
      <c r="ED25" s="11">
        <f>IF(ISNUMBER(SEARCH(",c-MET/MET Exon 14,",","&amp;SUBSTITUTE(K25,", ",",")&amp;",")),1,0)</f>
        <v>0</v>
      </c>
      <c r="EE25" s="11">
        <f>IF(ISNUMBER(SEARCH(",ctDNA/cfDNA,",","&amp;SUBSTITUTE(K25,", ",",")&amp;",")),1,0)</f>
        <v>0</v>
      </c>
    </row>
    <row r="26" spans="1:135" ht="15" customHeight="1" x14ac:dyDescent="0.2">
      <c r="A26" s="3" t="s">
        <v>855</v>
      </c>
      <c r="B26" s="3" t="s">
        <v>856</v>
      </c>
      <c r="C26" s="3" t="s">
        <v>108</v>
      </c>
      <c r="D26" s="3" t="s">
        <v>107</v>
      </c>
      <c r="E26" s="3" t="s">
        <v>332</v>
      </c>
      <c r="F26" s="3" t="s">
        <v>572</v>
      </c>
      <c r="G26" s="3"/>
      <c r="H26" s="3" t="s">
        <v>114</v>
      </c>
      <c r="I26" s="3" t="s">
        <v>860</v>
      </c>
      <c r="J26" s="3" t="s">
        <v>859</v>
      </c>
      <c r="K26" s="3" t="s">
        <v>865</v>
      </c>
      <c r="L26" s="3" t="s">
        <v>119</v>
      </c>
      <c r="M26" s="3" t="s">
        <v>113</v>
      </c>
      <c r="N26" s="3" t="s">
        <v>119</v>
      </c>
      <c r="O26" s="3" t="s">
        <v>120</v>
      </c>
      <c r="P26" s="3" t="s">
        <v>857</v>
      </c>
      <c r="Q26" s="10" t="str">
        <f>IF(F26="Stage IV","Stage IV Only",IF(AND(ISNUMBER(SEARCH("IV",F26)),LEN(F26)&gt;LEN("Stage IV")),"Stage IV + Other",IF(AND(ISNUMBER(SEARCH("III",F26)),NOT(ISNUMBER(SEARCH("IV",F26)))),"Stage III Only","Other")))</f>
        <v>Stage IV + Other</v>
      </c>
      <c r="R26" s="10" t="str">
        <f>IF(AND(ISNUMBER(SEARCH("Non-squamous",G26)),ISNUMBER(SEARCH("Squamous",SUBSTITUTE(G26,"Non-squamous","")))),"Both",IF(ISNUMBER(SEARCH("Non-squamous",G26)),"Non-squamous",IF(ISNUMBER(SEARCH("Squamous",G26)),"Squamous","Unspecified")))</f>
        <v>Unspecified</v>
      </c>
      <c r="S26" s="10" t="str">
        <f>IF(OR(ISNUMBER(SEARCH("TPS ≥ 50%",K26)),ISNUMBER(SEARCH("TC ≥ 50%",K26))),"TPS ≥ 50%",IF(OR(ISNUMBER(SEARCH("TPS ≥ 1%",K26)),ISNUMBER(SEARCH("TC ≥ 1%",K26)),ISNUMBER(SEARCH("TPS &lt; 50%",K26)),ISNUMBER(SEARCH("IC ≥ 1%",K26))),"TPS 1-49%","All-comers"))</f>
        <v>All-comers</v>
      </c>
      <c r="T26" s="10">
        <f>IF(H26="Phase III",1,0)</f>
        <v>1</v>
      </c>
      <c r="U26" s="10">
        <f>IF(L26="Yes",1,0)</f>
        <v>0</v>
      </c>
      <c r="V26" s="11">
        <f>IF(ISNUMBER(SEARCH(",ALK,",","&amp;SUBSTITUTE(I26,", ",",")&amp;",")),1,0)</f>
        <v>1</v>
      </c>
      <c r="W26" s="11">
        <f>IF(ISNUMBER(SEARCH(",ALK L1196M,",","&amp;SUBSTITUTE(I26,", ",",")&amp;",")),1,0)</f>
        <v>0</v>
      </c>
      <c r="X26" s="11">
        <f>IF(ISNUMBER(SEARCH(",AXL,",","&amp;SUBSTITUTE(I26,", ",",")&amp;",")),1,0)</f>
        <v>0</v>
      </c>
      <c r="Y26" s="11">
        <f>IF(ISNUMBER(SEARCH(",B7-H1,",","&amp;SUBSTITUTE(I26,", ",",")&amp;",")),1,0)</f>
        <v>0</v>
      </c>
      <c r="Z26" s="11">
        <f>IF(ISNUMBER(SEARCH(",CD152,",","&amp;SUBSTITUTE(I26,", ",",")&amp;",")),1,0)</f>
        <v>0</v>
      </c>
      <c r="AA26" s="11">
        <f>IF(ISNUMBER(SEARCH(",CD274,",","&amp;SUBSTITUTE(I26,", ",",")&amp;",")),1,0)</f>
        <v>0</v>
      </c>
      <c r="AB26" s="11">
        <f>IF(ISNUMBER(SEARCH(",CD279,",","&amp;SUBSTITUTE(I26,", ",",")&amp;",")),1,0)</f>
        <v>0</v>
      </c>
      <c r="AC26" s="11">
        <f>IF(ISNUMBER(SEARCH(",CD73,",","&amp;SUBSTITUTE(I26,", ",",")&amp;",")),1,0)</f>
        <v>0</v>
      </c>
      <c r="AD26" s="11">
        <f>IF(ISNUMBER(SEARCH(",CEA,",","&amp;SUBSTITUTE(I26,", ",",")&amp;",")),1,0)</f>
        <v>0</v>
      </c>
      <c r="AE26" s="11">
        <f>IF(ISNUMBER(SEARCH(",CTLA-4,",","&amp;SUBSTITUTE(I26,", ",",")&amp;",")),1,0)</f>
        <v>0</v>
      </c>
      <c r="AF26" s="11">
        <f>IF(ISNUMBER(SEARCH(",EGFR,",","&amp;SUBSTITUTE(I26,", ",",")&amp;",")),1,0)</f>
        <v>0</v>
      </c>
      <c r="AG26" s="11">
        <f>IF(ISNUMBER(SEARCH(",EGFR C797G,",","&amp;SUBSTITUTE(I26,", ",",")&amp;",")),1,0)</f>
        <v>0</v>
      </c>
      <c r="AH26" s="11">
        <f>IF(ISNUMBER(SEARCH(",EGFR C797S,",","&amp;SUBSTITUTE(I26,", ",",")&amp;",")),1,0)</f>
        <v>0</v>
      </c>
      <c r="AI26" s="11">
        <f>IF(ISNUMBER(SEARCH(",EGFR Exon 19-del,",","&amp;SUBSTITUTE(I26,", ",",")&amp;",")),1,0)</f>
        <v>0</v>
      </c>
      <c r="AJ26" s="11">
        <f>IF(ISNUMBER(SEARCH(",EGFR Exon 20,",","&amp;SUBSTITUTE(I26,", ",",")&amp;",")),1,0)</f>
        <v>0</v>
      </c>
      <c r="AK26" s="11">
        <f>IF(ISNUMBER(SEARCH(",EGFR L858R,",","&amp;SUBSTITUTE(I26,", ",",")&amp;",")),1,0)</f>
        <v>0</v>
      </c>
      <c r="AL26" s="11">
        <f>IF(ISNUMBER(SEARCH(",EGFR T790M,",","&amp;SUBSTITUTE(I26,", ",",")&amp;",")),1,0)</f>
        <v>0</v>
      </c>
      <c r="AM26" s="11">
        <f>IF(ISNUMBER(SEARCH(",ERBB,",","&amp;SUBSTITUTE(I26,", ",",")&amp;",")),1,0)</f>
        <v>0</v>
      </c>
      <c r="AN26" s="11">
        <f>IF(ISNUMBER(SEARCH(",ERBB3,",","&amp;SUBSTITUTE(I26,", ",",")&amp;",")),1,0)</f>
        <v>0</v>
      </c>
      <c r="AO26" s="11">
        <f>IF(ISNUMBER(SEARCH(",FAK,",","&amp;SUBSTITUTE(I26,", ",",")&amp;",")),1,0)</f>
        <v>0</v>
      </c>
      <c r="AP26" s="11">
        <f>IF(ISNUMBER(SEARCH(",GARP,",","&amp;SUBSTITUTE(I26,", ",",")&amp;",")),1,0)</f>
        <v>0</v>
      </c>
      <c r="AQ26" s="11">
        <f>IF(ISNUMBER(SEARCH(",HER1,",","&amp;SUBSTITUTE(I26,", ",",")&amp;",")),1,0)</f>
        <v>0</v>
      </c>
      <c r="AR26" s="11">
        <f>IF(ISNUMBER(SEARCH(",HER2,",","&amp;SUBSTITUTE(I26,", ",",")&amp;",")),1,0)</f>
        <v>0</v>
      </c>
      <c r="AS26" s="11">
        <f>IF(ISNUMBER(SEARCH(",HER2 Exon 20,",","&amp;SUBSTITUTE(I26,", ",",")&amp;",")),1,0)</f>
        <v>0</v>
      </c>
      <c r="AT26" s="11">
        <f>IF(ISNUMBER(SEARCH(",HER3,",","&amp;SUBSTITUTE(I26,", ",",")&amp;",")),1,0)</f>
        <v>0</v>
      </c>
      <c r="AU26" s="11">
        <f>IF(ISNUMBER(SEARCH(",HER4,",","&amp;SUBSTITUTE(I26,", ",",")&amp;",")),1,0)</f>
        <v>0</v>
      </c>
      <c r="AV26" s="11">
        <f>IF(ISNUMBER(SEARCH(",HRAS,",","&amp;SUBSTITUTE(I26,", ",",")&amp;",")),1,0)</f>
        <v>0</v>
      </c>
      <c r="AW26" s="11">
        <f>IF(ISNUMBER(SEARCH(",HSV-TK,",","&amp;SUBSTITUTE(I26,", ",",")&amp;",")),1,0)</f>
        <v>0</v>
      </c>
      <c r="AX26" s="11">
        <f>IF(ISNUMBER(SEARCH(",IL-12,",","&amp;SUBSTITUTE(I26,", ",",")&amp;",")),1,0)</f>
        <v>0</v>
      </c>
      <c r="AY26" s="11">
        <f>IF(ISNUMBER(SEARCH(",IL-15,",","&amp;SUBSTITUTE(I26,", ",",")&amp;",")),1,0)</f>
        <v>0</v>
      </c>
      <c r="AZ26" s="11">
        <f>IF(ISNUMBER(SEARCH(",IL-15R,",","&amp;SUBSTITUTE(I26,", ",",")&amp;",")),1,0)</f>
        <v>0</v>
      </c>
      <c r="BA26" s="11">
        <f>IF(ISNUMBER(SEARCH(",IL-2,",","&amp;SUBSTITUTE(I26,", ",",")&amp;",")),1,0)</f>
        <v>0</v>
      </c>
      <c r="BB26" s="11">
        <f>IF(ISNUMBER(SEARCH(",Integrin β6,",","&amp;SUBSTITUTE(I26,", ",",")&amp;",")),1,0)</f>
        <v>0</v>
      </c>
      <c r="BC26" s="11">
        <f>IF(ISNUMBER(SEARCH(",KDR,",","&amp;SUBSTITUTE(I26,", ",",")&amp;",")),1,0)</f>
        <v>0</v>
      </c>
      <c r="BD26" s="11">
        <f>IF(ISNUMBER(SEARCH(",KLRC1,",","&amp;SUBSTITUTE(I26,", ",",")&amp;",")),1,0)</f>
        <v>0</v>
      </c>
      <c r="BE26" s="11">
        <f>IF(ISNUMBER(SEARCH(",KRAS,",","&amp;SUBSTITUTE(I26,", ",",")&amp;",")),1,0)</f>
        <v>0</v>
      </c>
      <c r="BF26" s="11">
        <f>IF(ISNUMBER(SEARCH(",KRAS G12,",","&amp;SUBSTITUTE(I26,", ",",")&amp;",")),1,0)</f>
        <v>0</v>
      </c>
      <c r="BG26" s="11">
        <f>IF(ISNUMBER(SEARCH(",KRAS G12C,",","&amp;SUBSTITUTE(I26,", ",",")&amp;",")),1,0)</f>
        <v>0</v>
      </c>
      <c r="BH26" s="11">
        <f>IF(ISNUMBER(SEARCH(",KRAS G12D,",","&amp;SUBSTITUTE(I26,", ",",")&amp;",")),1,0)</f>
        <v>0</v>
      </c>
      <c r="BI26" s="11">
        <f>IF(ISNUMBER(SEARCH(",LAG-3,",","&amp;SUBSTITUTE(I26,", ",",")&amp;",")),1,0)</f>
        <v>0</v>
      </c>
      <c r="BJ26" s="11">
        <f>IF(ISNUMBER(SEARCH(",MAGE-A2,",","&amp;SUBSTITUTE(I26,", ",",")&amp;",")),1,0)</f>
        <v>0</v>
      </c>
      <c r="BK26" s="11">
        <f>IF(ISNUMBER(SEARCH(",MAGE-A3,",","&amp;SUBSTITUTE(I26,", ",",")&amp;",")),1,0)</f>
        <v>0</v>
      </c>
      <c r="BL26" s="11">
        <f>IF(ISNUMBER(SEARCH(",MLN19,",","&amp;SUBSTITUTE(I26,", ",",")&amp;",")),1,0)</f>
        <v>0</v>
      </c>
      <c r="BM26" s="11">
        <f>IF(ISNUMBER(SEARCH(",Microtubule,",","&amp;SUBSTITUTE(I26,", ",",")&amp;",")),1,0)</f>
        <v>0</v>
      </c>
      <c r="BN26" s="11">
        <f>IF(ISNUMBER(SEARCH(",NKG2A,",","&amp;SUBSTITUTE(I26,", ",",")&amp;",")),1,0)</f>
        <v>0</v>
      </c>
      <c r="BO26" s="11">
        <f>IF(ISNUMBER(SEARCH(",NRAS,",","&amp;SUBSTITUTE(I26,", ",",")&amp;",")),1,0)</f>
        <v>0</v>
      </c>
      <c r="BP26" s="11">
        <f>IF(ISNUMBER(SEARCH(",NTRK,",","&amp;SUBSTITUTE(I26,", ",",")&amp;",")),1,0)</f>
        <v>1</v>
      </c>
      <c r="BQ26" s="11">
        <f>IF(ISNUMBER(SEARCH(",PARP,",","&amp;SUBSTITUTE(I26,", ",",")&amp;",")),1,0)</f>
        <v>0</v>
      </c>
      <c r="BR26" s="11">
        <f>IF(ISNUMBER(SEARCH(",PD-1,",","&amp;SUBSTITUTE(I26,", ",",")&amp;",")),1,0)</f>
        <v>0</v>
      </c>
      <c r="BS26" s="11">
        <f>IF(ISNUMBER(SEARCH(",PD-L1,",","&amp;SUBSTITUTE(I26,", ",",")&amp;",")),1,0)</f>
        <v>0</v>
      </c>
      <c r="BT26" s="11">
        <f>IF(ISNUMBER(SEARCH(",PRMT5,",","&amp;SUBSTITUTE(I26,", ",",")&amp;",")),1,0)</f>
        <v>0</v>
      </c>
      <c r="BU26" s="11">
        <f>IF(ISNUMBER(SEARCH(",RAS,",","&amp;SUBSTITUTE(I26,", ",",")&amp;",")),1,0)</f>
        <v>0</v>
      </c>
      <c r="BV26" s="11">
        <f>IF(ISNUMBER(SEARCH(",RET,",","&amp;SUBSTITUTE(I26,", ",",")&amp;",")),1,0)</f>
        <v>0</v>
      </c>
      <c r="BW26" s="11">
        <f>IF(ISNUMBER(SEARCH(",ROS,",","&amp;SUBSTITUTE(I26,", ",",")&amp;",")),1,0)</f>
        <v>1</v>
      </c>
      <c r="BX26" s="11">
        <f>IF(ISNUMBER(SEARCH(",ROS1,",","&amp;SUBSTITUTE(I26,", ",",")&amp;",")),1,0)</f>
        <v>1</v>
      </c>
      <c r="BY26" s="11">
        <f>IF(ISNUMBER(SEARCH(",Src,",","&amp;SUBSTITUTE(I26,", ",",")&amp;",")),1,0)</f>
        <v>0</v>
      </c>
      <c r="BZ26" s="11">
        <f>IF(ISNUMBER(SEARCH(",TCGF,",","&amp;SUBSTITUTE(I26,", ",",")&amp;",")),1,0)</f>
        <v>0</v>
      </c>
      <c r="CA26" s="11">
        <f>IF(ISNUMBER(SEARCH(",TGF-β,",","&amp;SUBSTITUTE(I26,", ",",")&amp;",")),1,0)</f>
        <v>0</v>
      </c>
      <c r="CB26" s="11">
        <f>IF(ISNUMBER(SEARCH(",TGF-β1,",","&amp;SUBSTITUTE(I26,", ",",")&amp;",")),1,0)</f>
        <v>0</v>
      </c>
      <c r="CC26" s="11">
        <f>IF(ISNUMBER(SEARCH(",TIGIT,",","&amp;SUBSTITUTE(I26,", ",",")&amp;",")),1,0)</f>
        <v>0</v>
      </c>
      <c r="CD26" s="11">
        <f>IF(ISNUMBER(SEARCH(",TLR,",","&amp;SUBSTITUTE(I26,", ",",")&amp;",")),1,0)</f>
        <v>0</v>
      </c>
      <c r="CE26" s="11">
        <f>IF(ISNUMBER(SEARCH(",TLR7/8,",","&amp;SUBSTITUTE(I26,", ",",")&amp;",")),1,0)</f>
        <v>0</v>
      </c>
      <c r="CF26" s="11">
        <f>IF(ISNUMBER(SEARCH(",TRK,",","&amp;SUBSTITUTE(I26,", ",",")&amp;",")),1,0)</f>
        <v>0</v>
      </c>
      <c r="CG26" s="11">
        <f>IF(ISNUMBER(SEARCH(",TROP2,",","&amp;SUBSTITUTE(I26,", ",",")&amp;",")),1,0)</f>
        <v>0</v>
      </c>
      <c r="CH26" s="11">
        <f>IF(ISNUMBER(SEARCH(",TS,",","&amp;SUBSTITUTE(I26,", ",",")&amp;",")),1,0)</f>
        <v>0</v>
      </c>
      <c r="CI26" s="11">
        <f>IF(ISNUMBER(SEARCH(",TYMS,",","&amp;SUBSTITUTE(I26,", ",",")&amp;",")),1,0)</f>
        <v>0</v>
      </c>
      <c r="CJ26" s="11">
        <f>IF(ISNUMBER(SEARCH(",VEGF,",","&amp;SUBSTITUTE(I26,", ",",")&amp;",")),1,0)</f>
        <v>0</v>
      </c>
      <c r="CK26" s="11">
        <f>IF(ISNUMBER(SEARCH(",VEGFA,",","&amp;SUBSTITUTE(I26,", ",",")&amp;",")),1,0)</f>
        <v>0</v>
      </c>
      <c r="CL26" s="11">
        <f>IF(ISNUMBER(SEARCH(",VEGFR2,",","&amp;SUBSTITUTE(I26,", ",",")&amp;",")),1,0)</f>
        <v>0</v>
      </c>
      <c r="CM26" s="11">
        <f>IF(ISNUMBER(SEARCH(",c-MET/MET,",","&amp;SUBSTITUTE(I26,", ",",")&amp;",")),1,0)</f>
        <v>0</v>
      </c>
      <c r="CN26" s="11">
        <f>IF(ISNUMBER(SEARCH(",p53,",","&amp;SUBSTITUTE(I26,", ",",")&amp;",")),1,0)</f>
        <v>0</v>
      </c>
      <c r="CO26" s="11">
        <f>IF(ISNUMBER(SEARCH(",pan-KRAS,",","&amp;SUBSTITUTE(I26,", ",",")&amp;",")),1,0)</f>
        <v>0</v>
      </c>
      <c r="CP26" s="11">
        <f>IF(ISNUMBER(SEARCH(",ALK,",","&amp;SUBSTITUTE(K26,", ",",")&amp;",")),1,0)</f>
        <v>0</v>
      </c>
      <c r="CQ26" s="11">
        <f>IF(ISNUMBER(SEARCH(",BRAF V600E,",","&amp;SUBSTITUTE(K26,", ",",")&amp;",")),1,0)</f>
        <v>0</v>
      </c>
      <c r="CR26" s="11">
        <f>IF(ISNUMBER(SEARCH(",EGFR,",","&amp;SUBSTITUTE(K26,", ",",")&amp;",")),1,0)</f>
        <v>0</v>
      </c>
      <c r="CS26" s="11">
        <f>IF(ISNUMBER(SEARCH(",EGFR Exon 18,",","&amp;SUBSTITUTE(K26,", ",",")&amp;",")),1,0)</f>
        <v>0</v>
      </c>
      <c r="CT26" s="11">
        <f>IF(ISNUMBER(SEARCH(",EGFR Exon 19-del,",","&amp;SUBSTITUTE(K26,", ",",")&amp;",")),1,0)</f>
        <v>0</v>
      </c>
      <c r="CU26" s="11">
        <f>IF(ISNUMBER(SEARCH(",EGFR Exon 20,",","&amp;SUBSTITUTE(K26,", ",",")&amp;",")),1,0)</f>
        <v>0</v>
      </c>
      <c r="CV26" s="11">
        <f>IF(ISNUMBER(SEARCH(",EGFR Exon 20-ins,",","&amp;SUBSTITUTE(K26,", ",",")&amp;",")),1,0)</f>
        <v>0</v>
      </c>
      <c r="CW26" s="11">
        <f>IF(ISNUMBER(SEARCH(",EGFR Exon 21,",","&amp;SUBSTITUTE(K26,", ",",")&amp;",")),1,0)</f>
        <v>0</v>
      </c>
      <c r="CX26" s="11">
        <f>IF(ISNUMBER(SEARCH(",EGFR G719A,",","&amp;SUBSTITUTE(K26,", ",",")&amp;",")),1,0)</f>
        <v>0</v>
      </c>
      <c r="CY26" s="11">
        <f>IF(ISNUMBER(SEARCH(",EGFR G719C,",","&amp;SUBSTITUTE(K26,", ",",")&amp;",")),1,0)</f>
        <v>0</v>
      </c>
      <c r="CZ26" s="11">
        <f>IF(ISNUMBER(SEARCH(",EGFR G719S,",","&amp;SUBSTITUTE(K26,", ",",")&amp;",")),1,0)</f>
        <v>0</v>
      </c>
      <c r="DA26" s="11">
        <f>IF(ISNUMBER(SEARCH(",EGFR G719X,",","&amp;SUBSTITUTE(K26,", ",",")&amp;",")),1,0)</f>
        <v>0</v>
      </c>
      <c r="DB26" s="11">
        <f>IF(ISNUMBER(SEARCH(",EGFR L858R,",","&amp;SUBSTITUTE(K26,", ",",")&amp;",")),1,0)</f>
        <v>0</v>
      </c>
      <c r="DC26" s="11">
        <f>IF(ISNUMBER(SEARCH(",EGFR L861Q,",","&amp;SUBSTITUTE(K26,", ",",")&amp;",")),1,0)</f>
        <v>0</v>
      </c>
      <c r="DD26" s="11">
        <f>IF(ISNUMBER(SEARCH(",EGFR PACC,",","&amp;SUBSTITUTE(K26,", ",",")&amp;",")),1,0)</f>
        <v>0</v>
      </c>
      <c r="DE26" s="11">
        <f>IF(ISNUMBER(SEARCH(",EGFR S768I,",","&amp;SUBSTITUTE(K26,", ",",")&amp;",")),1,0)</f>
        <v>0</v>
      </c>
      <c r="DF26" s="11">
        <f>IF(ISNUMBER(SEARCH(",EGFR T790M,",","&amp;SUBSTITUTE(K26,", ",",")&amp;",")),1,0)</f>
        <v>0</v>
      </c>
      <c r="DG26" s="11">
        <f>IF(ISNUMBER(SEARCH(",EML4-ALK,",","&amp;SUBSTITUTE(K26,", ",",")&amp;",")),1,0)</f>
        <v>0</v>
      </c>
      <c r="DH26" s="11">
        <f>IF(ISNUMBER(SEARCH(",HER2,",","&amp;SUBSTITUTE(K26,", ",",")&amp;",")),1,0)</f>
        <v>0</v>
      </c>
      <c r="DI26" s="11">
        <f>IF(ISNUMBER(SEARCH(",HER2 Exon 19,",","&amp;SUBSTITUTE(K26,", ",",")&amp;",")),1,0)</f>
        <v>0</v>
      </c>
      <c r="DJ26" s="11">
        <f>IF(ISNUMBER(SEARCH(",HER2 Exon 20,",","&amp;SUBSTITUTE(K26,", ",",")&amp;",")),1,0)</f>
        <v>0</v>
      </c>
      <c r="DK26" s="11">
        <f>IF(ISNUMBER(SEARCH(",HER2 mut,",","&amp;SUBSTITUTE(K26,", ",",")&amp;",")),1,0)</f>
        <v>0</v>
      </c>
      <c r="DL26" s="11">
        <f>IF(ISNUMBER(SEARCH(",HLA-A2,",","&amp;SUBSTITUTE(K26,", ",",")&amp;",")),1,0)</f>
        <v>0</v>
      </c>
      <c r="DM26" s="11">
        <f>IF(ISNUMBER(SEARCH(",HRAS,",","&amp;SUBSTITUTE(K26,", ",",")&amp;",")),1,0)</f>
        <v>0</v>
      </c>
      <c r="DN26" s="11">
        <f>IF(ISNUMBER(SEARCH(",KRAS,",","&amp;SUBSTITUTE(K26,", ",",")&amp;",")),1,0)</f>
        <v>0</v>
      </c>
      <c r="DO26" s="11">
        <f>IF(ISNUMBER(SEARCH(",KRAS G12C,",","&amp;SUBSTITUTE(K26,", ",",")&amp;",")),1,0)</f>
        <v>0</v>
      </c>
      <c r="DP26" s="11">
        <f>IF(ISNUMBER(SEARCH(",NRAS,",","&amp;SUBSTITUTE(K26,", ",",")&amp;",")),1,0)</f>
        <v>0</v>
      </c>
      <c r="DQ26" s="11">
        <f>IF(ISNUMBER(SEARCH(",NTRK,",","&amp;SUBSTITUTE(K26,", ",",")&amp;",")),1,0)</f>
        <v>0</v>
      </c>
      <c r="DR26" s="11">
        <f>IF(ISNUMBER(SEARCH(",PD-L1,",","&amp;SUBSTITUTE(K26,", ",",")&amp;",")),1,0)</f>
        <v>0</v>
      </c>
      <c r="DS26" s="11">
        <f>IF(ISNUMBER(SEARCH(",PD-L1 IC ≥ 1%,",","&amp;SUBSTITUTE(K26,", ",",")&amp;",")),1,0)</f>
        <v>0</v>
      </c>
      <c r="DT26" s="11">
        <f>IF(ISNUMBER(SEARCH(",PD-L1 TC ≥ 1%,",","&amp;SUBSTITUTE(K26,", ",",")&amp;",")),1,0)</f>
        <v>0</v>
      </c>
      <c r="DU26" s="11">
        <f>IF(ISNUMBER(SEARCH(",PD-L1 TC ≥ 50%,",","&amp;SUBSTITUTE(K26,", ",",")&amp;",")),1,0)</f>
        <v>0</v>
      </c>
      <c r="DV26" s="11">
        <f>IF(ISNUMBER(SEARCH(",PD-L1 TPS &lt; 50%,",","&amp;SUBSTITUTE(K26,", ",",")&amp;",")),1,0)</f>
        <v>0</v>
      </c>
      <c r="DW26" s="11">
        <f>IF(ISNUMBER(SEARCH(",PD-L1 TPS ≥ 1%,",","&amp;SUBSTITUTE(K26,", ",",")&amp;",")),1,0)</f>
        <v>0</v>
      </c>
      <c r="DX26" s="11">
        <f>IF(ISNUMBER(SEARCH(",PD-L1 TPS ≥ 50%,",","&amp;SUBSTITUTE(K26,", ",",")&amp;",")),1,0)</f>
        <v>0</v>
      </c>
      <c r="DY26" s="11">
        <f>IF(ISNUMBER(SEARCH(",RAS,",","&amp;SUBSTITUTE(K26,", ",",")&amp;",")),1,0)</f>
        <v>0</v>
      </c>
      <c r="DZ26" s="11">
        <f>IF(ISNUMBER(SEARCH(",RET,",","&amp;SUBSTITUTE(K26,", ",",")&amp;",")),1,0)</f>
        <v>0</v>
      </c>
      <c r="EA26" s="11">
        <f>IF(ISNUMBER(SEARCH(",ROS1,",","&amp;SUBSTITUTE(K26,", ",",")&amp;",")),1,0)</f>
        <v>1</v>
      </c>
      <c r="EB26" s="11">
        <f>IF(ISNUMBER(SEARCH(",TROP2,",","&amp;SUBSTITUTE(K26,", ",",")&amp;",")),1,0)</f>
        <v>0</v>
      </c>
      <c r="EC26" s="11">
        <f>IF(ISNUMBER(SEARCH(",c-MET/MET,",","&amp;SUBSTITUTE(K26,", ",",")&amp;",")),1,0)</f>
        <v>0</v>
      </c>
      <c r="ED26" s="11">
        <f>IF(ISNUMBER(SEARCH(",c-MET/MET Exon 14,",","&amp;SUBSTITUTE(K26,", ",",")&amp;",")),1,0)</f>
        <v>0</v>
      </c>
      <c r="EE26" s="11">
        <f>IF(ISNUMBER(SEARCH(",ctDNA/cfDNA,",","&amp;SUBSTITUTE(K26,", ",",")&amp;",")),1,0)</f>
        <v>0</v>
      </c>
    </row>
    <row r="27" spans="1:135" ht="15" customHeight="1" x14ac:dyDescent="0.2">
      <c r="A27" s="3" t="s">
        <v>1254</v>
      </c>
      <c r="B27" s="3" t="s">
        <v>1255</v>
      </c>
      <c r="C27" s="3" t="s">
        <v>571</v>
      </c>
      <c r="D27" s="3" t="s">
        <v>571</v>
      </c>
      <c r="E27" s="3" t="s">
        <v>571</v>
      </c>
      <c r="F27" s="3" t="s">
        <v>572</v>
      </c>
      <c r="G27" s="3"/>
      <c r="H27" s="3" t="s">
        <v>114</v>
      </c>
      <c r="I27" s="3" t="s">
        <v>1259</v>
      </c>
      <c r="J27" s="3" t="s">
        <v>1258</v>
      </c>
      <c r="K27" s="3"/>
      <c r="L27" s="3" t="s">
        <v>119</v>
      </c>
      <c r="M27" s="3" t="s">
        <v>113</v>
      </c>
      <c r="N27" s="3" t="s">
        <v>120</v>
      </c>
      <c r="O27" s="3" t="s">
        <v>120</v>
      </c>
      <c r="P27" s="3" t="s">
        <v>1256</v>
      </c>
      <c r="Q27" s="10" t="str">
        <f>IF(F27="Stage IV","Stage IV Only",IF(AND(ISNUMBER(SEARCH("IV",F27)),LEN(F27)&gt;LEN("Stage IV")),"Stage IV + Other",IF(AND(ISNUMBER(SEARCH("III",F27)),NOT(ISNUMBER(SEARCH("IV",F27)))),"Stage III Only","Other")))</f>
        <v>Stage IV + Other</v>
      </c>
      <c r="R27" s="10" t="str">
        <f>IF(AND(ISNUMBER(SEARCH("Non-squamous",G27)),ISNUMBER(SEARCH("Squamous",SUBSTITUTE(G27,"Non-squamous","")))),"Both",IF(ISNUMBER(SEARCH("Non-squamous",G27)),"Non-squamous",IF(ISNUMBER(SEARCH("Squamous",G27)),"Squamous","Unspecified")))</f>
        <v>Unspecified</v>
      </c>
      <c r="S27" s="10" t="str">
        <f>IF(OR(ISNUMBER(SEARCH("TPS ≥ 50%",K27)),ISNUMBER(SEARCH("TC ≥ 50%",K27))),"TPS ≥ 50%",IF(OR(ISNUMBER(SEARCH("TPS ≥ 1%",K27)),ISNUMBER(SEARCH("TC ≥ 1%",K27)),ISNUMBER(SEARCH("TPS &lt; 50%",K27)),ISNUMBER(SEARCH("IC ≥ 1%",K27))),"TPS 1-49%","All-comers"))</f>
        <v>All-comers</v>
      </c>
      <c r="T27" s="10">
        <f>IF(H27="Phase III",1,0)</f>
        <v>1</v>
      </c>
      <c r="U27" s="10">
        <f>IF(L27="Yes",1,0)</f>
        <v>0</v>
      </c>
      <c r="V27" s="11">
        <f>IF(ISNUMBER(SEARCH(",ALK,",","&amp;SUBSTITUTE(I27,", ",",")&amp;",")),1,0)</f>
        <v>0</v>
      </c>
      <c r="W27" s="11">
        <f>IF(ISNUMBER(SEARCH(",ALK L1196M,",","&amp;SUBSTITUTE(I27,", ",",")&amp;",")),1,0)</f>
        <v>0</v>
      </c>
      <c r="X27" s="11">
        <f>IF(ISNUMBER(SEARCH(",AXL,",","&amp;SUBSTITUTE(I27,", ",",")&amp;",")),1,0)</f>
        <v>0</v>
      </c>
      <c r="Y27" s="11">
        <f>IF(ISNUMBER(SEARCH(",B7-H1,",","&amp;SUBSTITUTE(I27,", ",",")&amp;",")),1,0)</f>
        <v>0</v>
      </c>
      <c r="Z27" s="11">
        <f>IF(ISNUMBER(SEARCH(",CD152,",","&amp;SUBSTITUTE(I27,", ",",")&amp;",")),1,0)</f>
        <v>0</v>
      </c>
      <c r="AA27" s="11">
        <f>IF(ISNUMBER(SEARCH(",CD274,",","&amp;SUBSTITUTE(I27,", ",",")&amp;",")),1,0)</f>
        <v>0</v>
      </c>
      <c r="AB27" s="11">
        <f>IF(ISNUMBER(SEARCH(",CD279,",","&amp;SUBSTITUTE(I27,", ",",")&amp;",")),1,0)</f>
        <v>1</v>
      </c>
      <c r="AC27" s="11">
        <f>IF(ISNUMBER(SEARCH(",CD73,",","&amp;SUBSTITUTE(I27,", ",",")&amp;",")),1,0)</f>
        <v>0</v>
      </c>
      <c r="AD27" s="11">
        <f>IF(ISNUMBER(SEARCH(",CEA,",","&amp;SUBSTITUTE(I27,", ",",")&amp;",")),1,0)</f>
        <v>0</v>
      </c>
      <c r="AE27" s="11">
        <f>IF(ISNUMBER(SEARCH(",CTLA-4,",","&amp;SUBSTITUTE(I27,", ",",")&amp;",")),1,0)</f>
        <v>0</v>
      </c>
      <c r="AF27" s="11">
        <f>IF(ISNUMBER(SEARCH(",EGFR,",","&amp;SUBSTITUTE(I27,", ",",")&amp;",")),1,0)</f>
        <v>0</v>
      </c>
      <c r="AG27" s="11">
        <f>IF(ISNUMBER(SEARCH(",EGFR C797G,",","&amp;SUBSTITUTE(I27,", ",",")&amp;",")),1,0)</f>
        <v>0</v>
      </c>
      <c r="AH27" s="11">
        <f>IF(ISNUMBER(SEARCH(",EGFR C797S,",","&amp;SUBSTITUTE(I27,", ",",")&amp;",")),1,0)</f>
        <v>0</v>
      </c>
      <c r="AI27" s="11">
        <f>IF(ISNUMBER(SEARCH(",EGFR Exon 19-del,",","&amp;SUBSTITUTE(I27,", ",",")&amp;",")),1,0)</f>
        <v>0</v>
      </c>
      <c r="AJ27" s="11">
        <f>IF(ISNUMBER(SEARCH(",EGFR Exon 20,",","&amp;SUBSTITUTE(I27,", ",",")&amp;",")),1,0)</f>
        <v>0</v>
      </c>
      <c r="AK27" s="11">
        <f>IF(ISNUMBER(SEARCH(",EGFR L858R,",","&amp;SUBSTITUTE(I27,", ",",")&amp;",")),1,0)</f>
        <v>0</v>
      </c>
      <c r="AL27" s="11">
        <f>IF(ISNUMBER(SEARCH(",EGFR T790M,",","&amp;SUBSTITUTE(I27,", ",",")&amp;",")),1,0)</f>
        <v>0</v>
      </c>
      <c r="AM27" s="11">
        <f>IF(ISNUMBER(SEARCH(",ERBB,",","&amp;SUBSTITUTE(I27,", ",",")&amp;",")),1,0)</f>
        <v>0</v>
      </c>
      <c r="AN27" s="11">
        <f>IF(ISNUMBER(SEARCH(",ERBB3,",","&amp;SUBSTITUTE(I27,", ",",")&amp;",")),1,0)</f>
        <v>0</v>
      </c>
      <c r="AO27" s="11">
        <f>IF(ISNUMBER(SEARCH(",FAK,",","&amp;SUBSTITUTE(I27,", ",",")&amp;",")),1,0)</f>
        <v>0</v>
      </c>
      <c r="AP27" s="11">
        <f>IF(ISNUMBER(SEARCH(",GARP,",","&amp;SUBSTITUTE(I27,", ",",")&amp;",")),1,0)</f>
        <v>0</v>
      </c>
      <c r="AQ27" s="11">
        <f>IF(ISNUMBER(SEARCH(",HER1,",","&amp;SUBSTITUTE(I27,", ",",")&amp;",")),1,0)</f>
        <v>0</v>
      </c>
      <c r="AR27" s="11">
        <f>IF(ISNUMBER(SEARCH(",HER2,",","&amp;SUBSTITUTE(I27,", ",",")&amp;",")),1,0)</f>
        <v>0</v>
      </c>
      <c r="AS27" s="11">
        <f>IF(ISNUMBER(SEARCH(",HER2 Exon 20,",","&amp;SUBSTITUTE(I27,", ",",")&amp;",")),1,0)</f>
        <v>0</v>
      </c>
      <c r="AT27" s="11">
        <f>IF(ISNUMBER(SEARCH(",HER3,",","&amp;SUBSTITUTE(I27,", ",",")&amp;",")),1,0)</f>
        <v>0</v>
      </c>
      <c r="AU27" s="11">
        <f>IF(ISNUMBER(SEARCH(",HER4,",","&amp;SUBSTITUTE(I27,", ",",")&amp;",")),1,0)</f>
        <v>0</v>
      </c>
      <c r="AV27" s="11">
        <f>IF(ISNUMBER(SEARCH(",HRAS,",","&amp;SUBSTITUTE(I27,", ",",")&amp;",")),1,0)</f>
        <v>0</v>
      </c>
      <c r="AW27" s="11">
        <f>IF(ISNUMBER(SEARCH(",HSV-TK,",","&amp;SUBSTITUTE(I27,", ",",")&amp;",")),1,0)</f>
        <v>0</v>
      </c>
      <c r="AX27" s="11">
        <f>IF(ISNUMBER(SEARCH(",IL-12,",","&amp;SUBSTITUTE(I27,", ",",")&amp;",")),1,0)</f>
        <v>0</v>
      </c>
      <c r="AY27" s="11">
        <f>IF(ISNUMBER(SEARCH(",IL-15,",","&amp;SUBSTITUTE(I27,", ",",")&amp;",")),1,0)</f>
        <v>0</v>
      </c>
      <c r="AZ27" s="11">
        <f>IF(ISNUMBER(SEARCH(",IL-15R,",","&amp;SUBSTITUTE(I27,", ",",")&amp;",")),1,0)</f>
        <v>0</v>
      </c>
      <c r="BA27" s="11">
        <f>IF(ISNUMBER(SEARCH(",IL-2,",","&amp;SUBSTITUTE(I27,", ",",")&amp;",")),1,0)</f>
        <v>0</v>
      </c>
      <c r="BB27" s="11">
        <f>IF(ISNUMBER(SEARCH(",Integrin β6,",","&amp;SUBSTITUTE(I27,", ",",")&amp;",")),1,0)</f>
        <v>0</v>
      </c>
      <c r="BC27" s="11">
        <f>IF(ISNUMBER(SEARCH(",KDR,",","&amp;SUBSTITUTE(I27,", ",",")&amp;",")),1,0)</f>
        <v>0</v>
      </c>
      <c r="BD27" s="11">
        <f>IF(ISNUMBER(SEARCH(",KLRC1,",","&amp;SUBSTITUTE(I27,", ",",")&amp;",")),1,0)</f>
        <v>0</v>
      </c>
      <c r="BE27" s="11">
        <f>IF(ISNUMBER(SEARCH(",KRAS,",","&amp;SUBSTITUTE(I27,", ",",")&amp;",")),1,0)</f>
        <v>0</v>
      </c>
      <c r="BF27" s="11">
        <f>IF(ISNUMBER(SEARCH(",KRAS G12,",","&amp;SUBSTITUTE(I27,", ",",")&amp;",")),1,0)</f>
        <v>0</v>
      </c>
      <c r="BG27" s="11">
        <f>IF(ISNUMBER(SEARCH(",KRAS G12C,",","&amp;SUBSTITUTE(I27,", ",",")&amp;",")),1,0)</f>
        <v>0</v>
      </c>
      <c r="BH27" s="11">
        <f>IF(ISNUMBER(SEARCH(",KRAS G12D,",","&amp;SUBSTITUTE(I27,", ",",")&amp;",")),1,0)</f>
        <v>0</v>
      </c>
      <c r="BI27" s="11">
        <f>IF(ISNUMBER(SEARCH(",LAG-3,",","&amp;SUBSTITUTE(I27,", ",",")&amp;",")),1,0)</f>
        <v>1</v>
      </c>
      <c r="BJ27" s="11">
        <f>IF(ISNUMBER(SEARCH(",MAGE-A2,",","&amp;SUBSTITUTE(I27,", ",",")&amp;",")),1,0)</f>
        <v>0</v>
      </c>
      <c r="BK27" s="11">
        <f>IF(ISNUMBER(SEARCH(",MAGE-A3,",","&amp;SUBSTITUTE(I27,", ",",")&amp;",")),1,0)</f>
        <v>0</v>
      </c>
      <c r="BL27" s="11">
        <f>IF(ISNUMBER(SEARCH(",MLN19,",","&amp;SUBSTITUTE(I27,", ",",")&amp;",")),1,0)</f>
        <v>0</v>
      </c>
      <c r="BM27" s="11">
        <f>IF(ISNUMBER(SEARCH(",Microtubule,",","&amp;SUBSTITUTE(I27,", ",",")&amp;",")),1,0)</f>
        <v>1</v>
      </c>
      <c r="BN27" s="11">
        <f>IF(ISNUMBER(SEARCH(",NKG2A,",","&amp;SUBSTITUTE(I27,", ",",")&amp;",")),1,0)</f>
        <v>0</v>
      </c>
      <c r="BO27" s="11">
        <f>IF(ISNUMBER(SEARCH(",NRAS,",","&amp;SUBSTITUTE(I27,", ",",")&amp;",")),1,0)</f>
        <v>0</v>
      </c>
      <c r="BP27" s="11">
        <f>IF(ISNUMBER(SEARCH(",NTRK,",","&amp;SUBSTITUTE(I27,", ",",")&amp;",")),1,0)</f>
        <v>0</v>
      </c>
      <c r="BQ27" s="11">
        <f>IF(ISNUMBER(SEARCH(",PARP,",","&amp;SUBSTITUTE(I27,", ",",")&amp;",")),1,0)</f>
        <v>0</v>
      </c>
      <c r="BR27" s="11">
        <f>IF(ISNUMBER(SEARCH(",PD-1,",","&amp;SUBSTITUTE(I27,", ",",")&amp;",")),1,0)</f>
        <v>1</v>
      </c>
      <c r="BS27" s="11">
        <f>IF(ISNUMBER(SEARCH(",PD-L1,",","&amp;SUBSTITUTE(I27,", ",",")&amp;",")),1,0)</f>
        <v>0</v>
      </c>
      <c r="BT27" s="11">
        <f>IF(ISNUMBER(SEARCH(",PRMT5,",","&amp;SUBSTITUTE(I27,", ",",")&amp;",")),1,0)</f>
        <v>0</v>
      </c>
      <c r="BU27" s="11">
        <f>IF(ISNUMBER(SEARCH(",RAS,",","&amp;SUBSTITUTE(I27,", ",",")&amp;",")),1,0)</f>
        <v>0</v>
      </c>
      <c r="BV27" s="11">
        <f>IF(ISNUMBER(SEARCH(",RET,",","&amp;SUBSTITUTE(I27,", ",",")&amp;",")),1,0)</f>
        <v>0</v>
      </c>
      <c r="BW27" s="11">
        <f>IF(ISNUMBER(SEARCH(",ROS,",","&amp;SUBSTITUTE(I27,", ",",")&amp;",")),1,0)</f>
        <v>0</v>
      </c>
      <c r="BX27" s="11">
        <f>IF(ISNUMBER(SEARCH(",ROS1,",","&amp;SUBSTITUTE(I27,", ",",")&amp;",")),1,0)</f>
        <v>0</v>
      </c>
      <c r="BY27" s="11">
        <f>IF(ISNUMBER(SEARCH(",Src,",","&amp;SUBSTITUTE(I27,", ",",")&amp;",")),1,0)</f>
        <v>0</v>
      </c>
      <c r="BZ27" s="11">
        <f>IF(ISNUMBER(SEARCH(",TCGF,",","&amp;SUBSTITUTE(I27,", ",",")&amp;",")),1,0)</f>
        <v>0</v>
      </c>
      <c r="CA27" s="11">
        <f>IF(ISNUMBER(SEARCH(",TGF-β,",","&amp;SUBSTITUTE(I27,", ",",")&amp;",")),1,0)</f>
        <v>0</v>
      </c>
      <c r="CB27" s="11">
        <f>IF(ISNUMBER(SEARCH(",TGF-β1,",","&amp;SUBSTITUTE(I27,", ",",")&amp;",")),1,0)</f>
        <v>0</v>
      </c>
      <c r="CC27" s="11">
        <f>IF(ISNUMBER(SEARCH(",TIGIT,",","&amp;SUBSTITUTE(I27,", ",",")&amp;",")),1,0)</f>
        <v>0</v>
      </c>
      <c r="CD27" s="11">
        <f>IF(ISNUMBER(SEARCH(",TLR,",","&amp;SUBSTITUTE(I27,", ",",")&amp;",")),1,0)</f>
        <v>0</v>
      </c>
      <c r="CE27" s="11">
        <f>IF(ISNUMBER(SEARCH(",TLR7/8,",","&amp;SUBSTITUTE(I27,", ",",")&amp;",")),1,0)</f>
        <v>0</v>
      </c>
      <c r="CF27" s="11">
        <f>IF(ISNUMBER(SEARCH(",TRK,",","&amp;SUBSTITUTE(I27,", ",",")&amp;",")),1,0)</f>
        <v>0</v>
      </c>
      <c r="CG27" s="11">
        <f>IF(ISNUMBER(SEARCH(",TROP2,",","&amp;SUBSTITUTE(I27,", ",",")&amp;",")),1,0)</f>
        <v>0</v>
      </c>
      <c r="CH27" s="11">
        <f>IF(ISNUMBER(SEARCH(",TS,",","&amp;SUBSTITUTE(I27,", ",",")&amp;",")),1,0)</f>
        <v>1</v>
      </c>
      <c r="CI27" s="11">
        <f>IF(ISNUMBER(SEARCH(",TYMS,",","&amp;SUBSTITUTE(I27,", ",",")&amp;",")),1,0)</f>
        <v>1</v>
      </c>
      <c r="CJ27" s="11">
        <f>IF(ISNUMBER(SEARCH(",VEGF,",","&amp;SUBSTITUTE(I27,", ",",")&amp;",")),1,0)</f>
        <v>0</v>
      </c>
      <c r="CK27" s="11">
        <f>IF(ISNUMBER(SEARCH(",VEGFA,",","&amp;SUBSTITUTE(I27,", ",",")&amp;",")),1,0)</f>
        <v>0</v>
      </c>
      <c r="CL27" s="11">
        <f>IF(ISNUMBER(SEARCH(",VEGFR2,",","&amp;SUBSTITUTE(I27,", ",",")&amp;",")),1,0)</f>
        <v>0</v>
      </c>
      <c r="CM27" s="11">
        <f>IF(ISNUMBER(SEARCH(",c-MET/MET,",","&amp;SUBSTITUTE(I27,", ",",")&amp;",")),1,0)</f>
        <v>0</v>
      </c>
      <c r="CN27" s="11">
        <f>IF(ISNUMBER(SEARCH(",p53,",","&amp;SUBSTITUTE(I27,", ",",")&amp;",")),1,0)</f>
        <v>0</v>
      </c>
      <c r="CO27" s="11">
        <f>IF(ISNUMBER(SEARCH(",pan-KRAS,",","&amp;SUBSTITUTE(I27,", ",",")&amp;",")),1,0)</f>
        <v>0</v>
      </c>
      <c r="CP27" s="11">
        <f>IF(ISNUMBER(SEARCH(",ALK,",","&amp;SUBSTITUTE(K27,", ",",")&amp;",")),1,0)</f>
        <v>0</v>
      </c>
      <c r="CQ27" s="11">
        <f>IF(ISNUMBER(SEARCH(",BRAF V600E,",","&amp;SUBSTITUTE(K27,", ",",")&amp;",")),1,0)</f>
        <v>0</v>
      </c>
      <c r="CR27" s="11">
        <f>IF(ISNUMBER(SEARCH(",EGFR,",","&amp;SUBSTITUTE(K27,", ",",")&amp;",")),1,0)</f>
        <v>0</v>
      </c>
      <c r="CS27" s="11">
        <f>IF(ISNUMBER(SEARCH(",EGFR Exon 18,",","&amp;SUBSTITUTE(K27,", ",",")&amp;",")),1,0)</f>
        <v>0</v>
      </c>
      <c r="CT27" s="11">
        <f>IF(ISNUMBER(SEARCH(",EGFR Exon 19-del,",","&amp;SUBSTITUTE(K27,", ",",")&amp;",")),1,0)</f>
        <v>0</v>
      </c>
      <c r="CU27" s="11">
        <f>IF(ISNUMBER(SEARCH(",EGFR Exon 20,",","&amp;SUBSTITUTE(K27,", ",",")&amp;",")),1,0)</f>
        <v>0</v>
      </c>
      <c r="CV27" s="11">
        <f>IF(ISNUMBER(SEARCH(",EGFR Exon 20-ins,",","&amp;SUBSTITUTE(K27,", ",",")&amp;",")),1,0)</f>
        <v>0</v>
      </c>
      <c r="CW27" s="11">
        <f>IF(ISNUMBER(SEARCH(",EGFR Exon 21,",","&amp;SUBSTITUTE(K27,", ",",")&amp;",")),1,0)</f>
        <v>0</v>
      </c>
      <c r="CX27" s="11">
        <f>IF(ISNUMBER(SEARCH(",EGFR G719A,",","&amp;SUBSTITUTE(K27,", ",",")&amp;",")),1,0)</f>
        <v>0</v>
      </c>
      <c r="CY27" s="11">
        <f>IF(ISNUMBER(SEARCH(",EGFR G719C,",","&amp;SUBSTITUTE(K27,", ",",")&amp;",")),1,0)</f>
        <v>0</v>
      </c>
      <c r="CZ27" s="11">
        <f>IF(ISNUMBER(SEARCH(",EGFR G719S,",","&amp;SUBSTITUTE(K27,", ",",")&amp;",")),1,0)</f>
        <v>0</v>
      </c>
      <c r="DA27" s="11">
        <f>IF(ISNUMBER(SEARCH(",EGFR G719X,",","&amp;SUBSTITUTE(K27,", ",",")&amp;",")),1,0)</f>
        <v>0</v>
      </c>
      <c r="DB27" s="11">
        <f>IF(ISNUMBER(SEARCH(",EGFR L858R,",","&amp;SUBSTITUTE(K27,", ",",")&amp;",")),1,0)</f>
        <v>0</v>
      </c>
      <c r="DC27" s="11">
        <f>IF(ISNUMBER(SEARCH(",EGFR L861Q,",","&amp;SUBSTITUTE(K27,", ",",")&amp;",")),1,0)</f>
        <v>0</v>
      </c>
      <c r="DD27" s="11">
        <f>IF(ISNUMBER(SEARCH(",EGFR PACC,",","&amp;SUBSTITUTE(K27,", ",",")&amp;",")),1,0)</f>
        <v>0</v>
      </c>
      <c r="DE27" s="11">
        <f>IF(ISNUMBER(SEARCH(",EGFR S768I,",","&amp;SUBSTITUTE(K27,", ",",")&amp;",")),1,0)</f>
        <v>0</v>
      </c>
      <c r="DF27" s="11">
        <f>IF(ISNUMBER(SEARCH(",EGFR T790M,",","&amp;SUBSTITUTE(K27,", ",",")&amp;",")),1,0)</f>
        <v>0</v>
      </c>
      <c r="DG27" s="11">
        <f>IF(ISNUMBER(SEARCH(",EML4-ALK,",","&amp;SUBSTITUTE(K27,", ",",")&amp;",")),1,0)</f>
        <v>0</v>
      </c>
      <c r="DH27" s="11">
        <f>IF(ISNUMBER(SEARCH(",HER2,",","&amp;SUBSTITUTE(K27,", ",",")&amp;",")),1,0)</f>
        <v>0</v>
      </c>
      <c r="DI27" s="11">
        <f>IF(ISNUMBER(SEARCH(",HER2 Exon 19,",","&amp;SUBSTITUTE(K27,", ",",")&amp;",")),1,0)</f>
        <v>0</v>
      </c>
      <c r="DJ27" s="11">
        <f>IF(ISNUMBER(SEARCH(",HER2 Exon 20,",","&amp;SUBSTITUTE(K27,", ",",")&amp;",")),1,0)</f>
        <v>0</v>
      </c>
      <c r="DK27" s="11">
        <f>IF(ISNUMBER(SEARCH(",HER2 mut,",","&amp;SUBSTITUTE(K27,", ",",")&amp;",")),1,0)</f>
        <v>0</v>
      </c>
      <c r="DL27" s="11">
        <f>IF(ISNUMBER(SEARCH(",HLA-A2,",","&amp;SUBSTITUTE(K27,", ",",")&amp;",")),1,0)</f>
        <v>0</v>
      </c>
      <c r="DM27" s="11">
        <f>IF(ISNUMBER(SEARCH(",HRAS,",","&amp;SUBSTITUTE(K27,", ",",")&amp;",")),1,0)</f>
        <v>0</v>
      </c>
      <c r="DN27" s="11">
        <f>IF(ISNUMBER(SEARCH(",KRAS,",","&amp;SUBSTITUTE(K27,", ",",")&amp;",")),1,0)</f>
        <v>0</v>
      </c>
      <c r="DO27" s="11">
        <f>IF(ISNUMBER(SEARCH(",KRAS G12C,",","&amp;SUBSTITUTE(K27,", ",",")&amp;",")),1,0)</f>
        <v>0</v>
      </c>
      <c r="DP27" s="11">
        <f>IF(ISNUMBER(SEARCH(",NRAS,",","&amp;SUBSTITUTE(K27,", ",",")&amp;",")),1,0)</f>
        <v>0</v>
      </c>
      <c r="DQ27" s="11">
        <f>IF(ISNUMBER(SEARCH(",NTRK,",","&amp;SUBSTITUTE(K27,", ",",")&amp;",")),1,0)</f>
        <v>0</v>
      </c>
      <c r="DR27" s="11">
        <f>IF(ISNUMBER(SEARCH(",PD-L1,",","&amp;SUBSTITUTE(K27,", ",",")&amp;",")),1,0)</f>
        <v>0</v>
      </c>
      <c r="DS27" s="11">
        <f>IF(ISNUMBER(SEARCH(",PD-L1 IC ≥ 1%,",","&amp;SUBSTITUTE(K27,", ",",")&amp;",")),1,0)</f>
        <v>0</v>
      </c>
      <c r="DT27" s="11">
        <f>IF(ISNUMBER(SEARCH(",PD-L1 TC ≥ 1%,",","&amp;SUBSTITUTE(K27,", ",",")&amp;",")),1,0)</f>
        <v>0</v>
      </c>
      <c r="DU27" s="11">
        <f>IF(ISNUMBER(SEARCH(",PD-L1 TC ≥ 50%,",","&amp;SUBSTITUTE(K27,", ",",")&amp;",")),1,0)</f>
        <v>0</v>
      </c>
      <c r="DV27" s="11">
        <f>IF(ISNUMBER(SEARCH(",PD-L1 TPS &lt; 50%,",","&amp;SUBSTITUTE(K27,", ",",")&amp;",")),1,0)</f>
        <v>0</v>
      </c>
      <c r="DW27" s="11">
        <f>IF(ISNUMBER(SEARCH(",PD-L1 TPS ≥ 1%,",","&amp;SUBSTITUTE(K27,", ",",")&amp;",")),1,0)</f>
        <v>0</v>
      </c>
      <c r="DX27" s="11">
        <f>IF(ISNUMBER(SEARCH(",PD-L1 TPS ≥ 50%,",","&amp;SUBSTITUTE(K27,", ",",")&amp;",")),1,0)</f>
        <v>0</v>
      </c>
      <c r="DY27" s="11">
        <f>IF(ISNUMBER(SEARCH(",RAS,",","&amp;SUBSTITUTE(K27,", ",",")&amp;",")),1,0)</f>
        <v>0</v>
      </c>
      <c r="DZ27" s="11">
        <f>IF(ISNUMBER(SEARCH(",RET,",","&amp;SUBSTITUTE(K27,", ",",")&amp;",")),1,0)</f>
        <v>0</v>
      </c>
      <c r="EA27" s="11">
        <f>IF(ISNUMBER(SEARCH(",ROS1,",","&amp;SUBSTITUTE(K27,", ",",")&amp;",")),1,0)</f>
        <v>0</v>
      </c>
      <c r="EB27" s="11">
        <f>IF(ISNUMBER(SEARCH(",TROP2,",","&amp;SUBSTITUTE(K27,", ",",")&amp;",")),1,0)</f>
        <v>0</v>
      </c>
      <c r="EC27" s="11">
        <f>IF(ISNUMBER(SEARCH(",c-MET/MET,",","&amp;SUBSTITUTE(K27,", ",",")&amp;",")),1,0)</f>
        <v>0</v>
      </c>
      <c r="ED27" s="11">
        <f>IF(ISNUMBER(SEARCH(",c-MET/MET Exon 14,",","&amp;SUBSTITUTE(K27,", ",",")&amp;",")),1,0)</f>
        <v>0</v>
      </c>
      <c r="EE27" s="11">
        <f>IF(ISNUMBER(SEARCH(",ctDNA/cfDNA,",","&amp;SUBSTITUTE(K27,", ",",")&amp;",")),1,0)</f>
        <v>0</v>
      </c>
    </row>
    <row r="28" spans="1:135" ht="15" customHeight="1" x14ac:dyDescent="0.2">
      <c r="A28" s="5" t="s">
        <v>1254</v>
      </c>
      <c r="B28" s="5" t="s">
        <v>1255</v>
      </c>
      <c r="C28" s="5" t="s">
        <v>571</v>
      </c>
      <c r="D28" s="5" t="s">
        <v>571</v>
      </c>
      <c r="E28" s="5" t="s">
        <v>571</v>
      </c>
      <c r="F28" s="5" t="s">
        <v>572</v>
      </c>
      <c r="G28" s="5" t="s">
        <v>283</v>
      </c>
      <c r="H28" s="5" t="s">
        <v>114</v>
      </c>
      <c r="I28" s="5" t="s">
        <v>1268</v>
      </c>
      <c r="J28" s="5" t="s">
        <v>1258</v>
      </c>
      <c r="K28" s="5" t="s">
        <v>300</v>
      </c>
      <c r="L28" s="5" t="s">
        <v>119</v>
      </c>
      <c r="M28" s="5" t="s">
        <v>113</v>
      </c>
      <c r="N28" s="5" t="s">
        <v>120</v>
      </c>
      <c r="O28" s="5" t="s">
        <v>120</v>
      </c>
      <c r="P28" s="5" t="s">
        <v>1266</v>
      </c>
      <c r="Q28" s="10" t="str">
        <f>IF(F28="Stage IV","Stage IV Only",IF(AND(ISNUMBER(SEARCH("IV",F28)),LEN(F28)&gt;LEN("Stage IV")),"Stage IV + Other",IF(AND(ISNUMBER(SEARCH("III",F28)),NOT(ISNUMBER(SEARCH("IV",F28)))),"Stage III Only","Other")))</f>
        <v>Stage IV + Other</v>
      </c>
      <c r="R28" s="10" t="str">
        <f>IF(AND(ISNUMBER(SEARCH("Non-squamous",G28)),ISNUMBER(SEARCH("Squamous",SUBSTITUTE(G28,"Non-squamous","")))),"Both",IF(ISNUMBER(SEARCH("Non-squamous",G28)),"Non-squamous",IF(ISNUMBER(SEARCH("Squamous",G28)),"Squamous","Unspecified")))</f>
        <v>Both</v>
      </c>
      <c r="S28" s="10" t="str">
        <f>IF(OR(ISNUMBER(SEARCH("TPS ≥ 50%",K28)),ISNUMBER(SEARCH("TC ≥ 50%",K28))),"TPS ≥ 50%",IF(OR(ISNUMBER(SEARCH("TPS ≥ 1%",K28)),ISNUMBER(SEARCH("TC ≥ 1%",K28)),ISNUMBER(SEARCH("TPS &lt; 50%",K28)),ISNUMBER(SEARCH("IC ≥ 1%",K28))),"TPS 1-49%","All-comers"))</f>
        <v>TPS ≥ 50%</v>
      </c>
      <c r="T28" s="10">
        <f>IF(H28="Phase III",1,0)</f>
        <v>1</v>
      </c>
      <c r="U28" s="10">
        <f>IF(L28="Yes",1,0)</f>
        <v>0</v>
      </c>
      <c r="V28" s="11">
        <f>IF(ISNUMBER(SEARCH(",ALK,",","&amp;SUBSTITUTE(I28,", ",",")&amp;",")),1,0)</f>
        <v>0</v>
      </c>
      <c r="W28" s="11">
        <f>IF(ISNUMBER(SEARCH(",ALK L1196M,",","&amp;SUBSTITUTE(I28,", ",",")&amp;",")),1,0)</f>
        <v>0</v>
      </c>
      <c r="X28" s="11">
        <f>IF(ISNUMBER(SEARCH(",AXL,",","&amp;SUBSTITUTE(I28,", ",",")&amp;",")),1,0)</f>
        <v>0</v>
      </c>
      <c r="Y28" s="11">
        <f>IF(ISNUMBER(SEARCH(",B7-H1,",","&amp;SUBSTITUTE(I28,", ",",")&amp;",")),1,0)</f>
        <v>0</v>
      </c>
      <c r="Z28" s="11">
        <f>IF(ISNUMBER(SEARCH(",CD152,",","&amp;SUBSTITUTE(I28,", ",",")&amp;",")),1,0)</f>
        <v>0</v>
      </c>
      <c r="AA28" s="11">
        <f>IF(ISNUMBER(SEARCH(",CD274,",","&amp;SUBSTITUTE(I28,", ",",")&amp;",")),1,0)</f>
        <v>0</v>
      </c>
      <c r="AB28" s="11">
        <f>IF(ISNUMBER(SEARCH(",CD279,",","&amp;SUBSTITUTE(I28,", ",",")&amp;",")),1,0)</f>
        <v>1</v>
      </c>
      <c r="AC28" s="11">
        <f>IF(ISNUMBER(SEARCH(",CD73,",","&amp;SUBSTITUTE(I28,", ",",")&amp;",")),1,0)</f>
        <v>0</v>
      </c>
      <c r="AD28" s="11">
        <f>IF(ISNUMBER(SEARCH(",CEA,",","&amp;SUBSTITUTE(I28,", ",",")&amp;",")),1,0)</f>
        <v>0</v>
      </c>
      <c r="AE28" s="11">
        <f>IF(ISNUMBER(SEARCH(",CTLA-4,",","&amp;SUBSTITUTE(I28,", ",",")&amp;",")),1,0)</f>
        <v>0</v>
      </c>
      <c r="AF28" s="11">
        <f>IF(ISNUMBER(SEARCH(",EGFR,",","&amp;SUBSTITUTE(I28,", ",",")&amp;",")),1,0)</f>
        <v>0</v>
      </c>
      <c r="AG28" s="11">
        <f>IF(ISNUMBER(SEARCH(",EGFR C797G,",","&amp;SUBSTITUTE(I28,", ",",")&amp;",")),1,0)</f>
        <v>0</v>
      </c>
      <c r="AH28" s="11">
        <f>IF(ISNUMBER(SEARCH(",EGFR C797S,",","&amp;SUBSTITUTE(I28,", ",",")&amp;",")),1,0)</f>
        <v>0</v>
      </c>
      <c r="AI28" s="11">
        <f>IF(ISNUMBER(SEARCH(",EGFR Exon 19-del,",","&amp;SUBSTITUTE(I28,", ",",")&amp;",")),1,0)</f>
        <v>0</v>
      </c>
      <c r="AJ28" s="11">
        <f>IF(ISNUMBER(SEARCH(",EGFR Exon 20,",","&amp;SUBSTITUTE(I28,", ",",")&amp;",")),1,0)</f>
        <v>0</v>
      </c>
      <c r="AK28" s="11">
        <f>IF(ISNUMBER(SEARCH(",EGFR L858R,",","&amp;SUBSTITUTE(I28,", ",",")&amp;",")),1,0)</f>
        <v>0</v>
      </c>
      <c r="AL28" s="11">
        <f>IF(ISNUMBER(SEARCH(",EGFR T790M,",","&amp;SUBSTITUTE(I28,", ",",")&amp;",")),1,0)</f>
        <v>0</v>
      </c>
      <c r="AM28" s="11">
        <f>IF(ISNUMBER(SEARCH(",ERBB,",","&amp;SUBSTITUTE(I28,", ",",")&amp;",")),1,0)</f>
        <v>0</v>
      </c>
      <c r="AN28" s="11">
        <f>IF(ISNUMBER(SEARCH(",ERBB3,",","&amp;SUBSTITUTE(I28,", ",",")&amp;",")),1,0)</f>
        <v>0</v>
      </c>
      <c r="AO28" s="11">
        <f>IF(ISNUMBER(SEARCH(",FAK,",","&amp;SUBSTITUTE(I28,", ",",")&amp;",")),1,0)</f>
        <v>0</v>
      </c>
      <c r="AP28" s="11">
        <f>IF(ISNUMBER(SEARCH(",GARP,",","&amp;SUBSTITUTE(I28,", ",",")&amp;",")),1,0)</f>
        <v>0</v>
      </c>
      <c r="AQ28" s="11">
        <f>IF(ISNUMBER(SEARCH(",HER1,",","&amp;SUBSTITUTE(I28,", ",",")&amp;",")),1,0)</f>
        <v>0</v>
      </c>
      <c r="AR28" s="11">
        <f>IF(ISNUMBER(SEARCH(",HER2,",","&amp;SUBSTITUTE(I28,", ",",")&amp;",")),1,0)</f>
        <v>0</v>
      </c>
      <c r="AS28" s="11">
        <f>IF(ISNUMBER(SEARCH(",HER2 Exon 20,",","&amp;SUBSTITUTE(I28,", ",",")&amp;",")),1,0)</f>
        <v>0</v>
      </c>
      <c r="AT28" s="11">
        <f>IF(ISNUMBER(SEARCH(",HER3,",","&amp;SUBSTITUTE(I28,", ",",")&amp;",")),1,0)</f>
        <v>0</v>
      </c>
      <c r="AU28" s="11">
        <f>IF(ISNUMBER(SEARCH(",HER4,",","&amp;SUBSTITUTE(I28,", ",",")&amp;",")),1,0)</f>
        <v>0</v>
      </c>
      <c r="AV28" s="11">
        <f>IF(ISNUMBER(SEARCH(",HRAS,",","&amp;SUBSTITUTE(I28,", ",",")&amp;",")),1,0)</f>
        <v>0</v>
      </c>
      <c r="AW28" s="11">
        <f>IF(ISNUMBER(SEARCH(",HSV-TK,",","&amp;SUBSTITUTE(I28,", ",",")&amp;",")),1,0)</f>
        <v>0</v>
      </c>
      <c r="AX28" s="11">
        <f>IF(ISNUMBER(SEARCH(",IL-12,",","&amp;SUBSTITUTE(I28,", ",",")&amp;",")),1,0)</f>
        <v>0</v>
      </c>
      <c r="AY28" s="11">
        <f>IF(ISNUMBER(SEARCH(",IL-15,",","&amp;SUBSTITUTE(I28,", ",",")&amp;",")),1,0)</f>
        <v>0</v>
      </c>
      <c r="AZ28" s="11">
        <f>IF(ISNUMBER(SEARCH(",IL-15R,",","&amp;SUBSTITUTE(I28,", ",",")&amp;",")),1,0)</f>
        <v>0</v>
      </c>
      <c r="BA28" s="11">
        <f>IF(ISNUMBER(SEARCH(",IL-2,",","&amp;SUBSTITUTE(I28,", ",",")&amp;",")),1,0)</f>
        <v>0</v>
      </c>
      <c r="BB28" s="11">
        <f>IF(ISNUMBER(SEARCH(",Integrin β6,",","&amp;SUBSTITUTE(I28,", ",",")&amp;",")),1,0)</f>
        <v>0</v>
      </c>
      <c r="BC28" s="11">
        <f>IF(ISNUMBER(SEARCH(",KDR,",","&amp;SUBSTITUTE(I28,", ",",")&amp;",")),1,0)</f>
        <v>0</v>
      </c>
      <c r="BD28" s="11">
        <f>IF(ISNUMBER(SEARCH(",KLRC1,",","&amp;SUBSTITUTE(I28,", ",",")&amp;",")),1,0)</f>
        <v>0</v>
      </c>
      <c r="BE28" s="11">
        <f>IF(ISNUMBER(SEARCH(",KRAS,",","&amp;SUBSTITUTE(I28,", ",",")&amp;",")),1,0)</f>
        <v>0</v>
      </c>
      <c r="BF28" s="11">
        <f>IF(ISNUMBER(SEARCH(",KRAS G12,",","&amp;SUBSTITUTE(I28,", ",",")&amp;",")),1,0)</f>
        <v>0</v>
      </c>
      <c r="BG28" s="11">
        <f>IF(ISNUMBER(SEARCH(",KRAS G12C,",","&amp;SUBSTITUTE(I28,", ",",")&amp;",")),1,0)</f>
        <v>0</v>
      </c>
      <c r="BH28" s="11">
        <f>IF(ISNUMBER(SEARCH(",KRAS G12D,",","&amp;SUBSTITUTE(I28,", ",",")&amp;",")),1,0)</f>
        <v>0</v>
      </c>
      <c r="BI28" s="11">
        <f>IF(ISNUMBER(SEARCH(",LAG-3,",","&amp;SUBSTITUTE(I28,", ",",")&amp;",")),1,0)</f>
        <v>1</v>
      </c>
      <c r="BJ28" s="11">
        <f>IF(ISNUMBER(SEARCH(",MAGE-A2,",","&amp;SUBSTITUTE(I28,", ",",")&amp;",")),1,0)</f>
        <v>0</v>
      </c>
      <c r="BK28" s="11">
        <f>IF(ISNUMBER(SEARCH(",MAGE-A3,",","&amp;SUBSTITUTE(I28,", ",",")&amp;",")),1,0)</f>
        <v>0</v>
      </c>
      <c r="BL28" s="11">
        <f>IF(ISNUMBER(SEARCH(",MLN19,",","&amp;SUBSTITUTE(I28,", ",",")&amp;",")),1,0)</f>
        <v>0</v>
      </c>
      <c r="BM28" s="11">
        <f>IF(ISNUMBER(SEARCH(",Microtubule,",","&amp;SUBSTITUTE(I28,", ",",")&amp;",")),1,0)</f>
        <v>0</v>
      </c>
      <c r="BN28" s="11">
        <f>IF(ISNUMBER(SEARCH(",NKG2A,",","&amp;SUBSTITUTE(I28,", ",",")&amp;",")),1,0)</f>
        <v>0</v>
      </c>
      <c r="BO28" s="11">
        <f>IF(ISNUMBER(SEARCH(",NRAS,",","&amp;SUBSTITUTE(I28,", ",",")&amp;",")),1,0)</f>
        <v>0</v>
      </c>
      <c r="BP28" s="11">
        <f>IF(ISNUMBER(SEARCH(",NTRK,",","&amp;SUBSTITUTE(I28,", ",",")&amp;",")),1,0)</f>
        <v>0</v>
      </c>
      <c r="BQ28" s="11">
        <f>IF(ISNUMBER(SEARCH(",PARP,",","&amp;SUBSTITUTE(I28,", ",",")&amp;",")),1,0)</f>
        <v>0</v>
      </c>
      <c r="BR28" s="11">
        <f>IF(ISNUMBER(SEARCH(",PD-1,",","&amp;SUBSTITUTE(I28,", ",",")&amp;",")),1,0)</f>
        <v>1</v>
      </c>
      <c r="BS28" s="11">
        <f>IF(ISNUMBER(SEARCH(",PD-L1,",","&amp;SUBSTITUTE(I28,", ",",")&amp;",")),1,0)</f>
        <v>0</v>
      </c>
      <c r="BT28" s="11">
        <f>IF(ISNUMBER(SEARCH(",PRMT5,",","&amp;SUBSTITUTE(I28,", ",",")&amp;",")),1,0)</f>
        <v>0</v>
      </c>
      <c r="BU28" s="11">
        <f>IF(ISNUMBER(SEARCH(",RAS,",","&amp;SUBSTITUTE(I28,", ",",")&amp;",")),1,0)</f>
        <v>0</v>
      </c>
      <c r="BV28" s="11">
        <f>IF(ISNUMBER(SEARCH(",RET,",","&amp;SUBSTITUTE(I28,", ",",")&amp;",")),1,0)</f>
        <v>0</v>
      </c>
      <c r="BW28" s="11">
        <f>IF(ISNUMBER(SEARCH(",ROS,",","&amp;SUBSTITUTE(I28,", ",",")&amp;",")),1,0)</f>
        <v>0</v>
      </c>
      <c r="BX28" s="11">
        <f>IF(ISNUMBER(SEARCH(",ROS1,",","&amp;SUBSTITUTE(I28,", ",",")&amp;",")),1,0)</f>
        <v>0</v>
      </c>
      <c r="BY28" s="11">
        <f>IF(ISNUMBER(SEARCH(",Src,",","&amp;SUBSTITUTE(I28,", ",",")&amp;",")),1,0)</f>
        <v>0</v>
      </c>
      <c r="BZ28" s="11">
        <f>IF(ISNUMBER(SEARCH(",TCGF,",","&amp;SUBSTITUTE(I28,", ",",")&amp;",")),1,0)</f>
        <v>0</v>
      </c>
      <c r="CA28" s="11">
        <f>IF(ISNUMBER(SEARCH(",TGF-β,",","&amp;SUBSTITUTE(I28,", ",",")&amp;",")),1,0)</f>
        <v>0</v>
      </c>
      <c r="CB28" s="11">
        <f>IF(ISNUMBER(SEARCH(",TGF-β1,",","&amp;SUBSTITUTE(I28,", ",",")&amp;",")),1,0)</f>
        <v>0</v>
      </c>
      <c r="CC28" s="11">
        <f>IF(ISNUMBER(SEARCH(",TIGIT,",","&amp;SUBSTITUTE(I28,", ",",")&amp;",")),1,0)</f>
        <v>0</v>
      </c>
      <c r="CD28" s="11">
        <f>IF(ISNUMBER(SEARCH(",TLR,",","&amp;SUBSTITUTE(I28,", ",",")&amp;",")),1,0)</f>
        <v>0</v>
      </c>
      <c r="CE28" s="11">
        <f>IF(ISNUMBER(SEARCH(",TLR7/8,",","&amp;SUBSTITUTE(I28,", ",",")&amp;",")),1,0)</f>
        <v>0</v>
      </c>
      <c r="CF28" s="11">
        <f>IF(ISNUMBER(SEARCH(",TRK,",","&amp;SUBSTITUTE(I28,", ",",")&amp;",")),1,0)</f>
        <v>0</v>
      </c>
      <c r="CG28" s="11">
        <f>IF(ISNUMBER(SEARCH(",TROP2,",","&amp;SUBSTITUTE(I28,", ",",")&amp;",")),1,0)</f>
        <v>0</v>
      </c>
      <c r="CH28" s="11">
        <f>IF(ISNUMBER(SEARCH(",TS,",","&amp;SUBSTITUTE(I28,", ",",")&amp;",")),1,0)</f>
        <v>0</v>
      </c>
      <c r="CI28" s="11">
        <f>IF(ISNUMBER(SEARCH(",TYMS,",","&amp;SUBSTITUTE(I28,", ",",")&amp;",")),1,0)</f>
        <v>0</v>
      </c>
      <c r="CJ28" s="11">
        <f>IF(ISNUMBER(SEARCH(",VEGF,",","&amp;SUBSTITUTE(I28,", ",",")&amp;",")),1,0)</f>
        <v>0</v>
      </c>
      <c r="CK28" s="11">
        <f>IF(ISNUMBER(SEARCH(",VEGFA,",","&amp;SUBSTITUTE(I28,", ",",")&amp;",")),1,0)</f>
        <v>0</v>
      </c>
      <c r="CL28" s="11">
        <f>IF(ISNUMBER(SEARCH(",VEGFR2,",","&amp;SUBSTITUTE(I28,", ",",")&amp;",")),1,0)</f>
        <v>0</v>
      </c>
      <c r="CM28" s="11">
        <f>IF(ISNUMBER(SEARCH(",c-MET/MET,",","&amp;SUBSTITUTE(I28,", ",",")&amp;",")),1,0)</f>
        <v>0</v>
      </c>
      <c r="CN28" s="11">
        <f>IF(ISNUMBER(SEARCH(",p53,",","&amp;SUBSTITUTE(I28,", ",",")&amp;",")),1,0)</f>
        <v>0</v>
      </c>
      <c r="CO28" s="11">
        <f>IF(ISNUMBER(SEARCH(",pan-KRAS,",","&amp;SUBSTITUTE(I28,", ",",")&amp;",")),1,0)</f>
        <v>0</v>
      </c>
      <c r="CP28" s="11">
        <f>IF(ISNUMBER(SEARCH(",ALK,",","&amp;SUBSTITUTE(K28,", ",",")&amp;",")),1,0)</f>
        <v>0</v>
      </c>
      <c r="CQ28" s="11">
        <f>IF(ISNUMBER(SEARCH(",BRAF V600E,",","&amp;SUBSTITUTE(K28,", ",",")&amp;",")),1,0)</f>
        <v>0</v>
      </c>
      <c r="CR28" s="11">
        <f>IF(ISNUMBER(SEARCH(",EGFR,",","&amp;SUBSTITUTE(K28,", ",",")&amp;",")),1,0)</f>
        <v>0</v>
      </c>
      <c r="CS28" s="11">
        <f>IF(ISNUMBER(SEARCH(",EGFR Exon 18,",","&amp;SUBSTITUTE(K28,", ",",")&amp;",")),1,0)</f>
        <v>0</v>
      </c>
      <c r="CT28" s="11">
        <f>IF(ISNUMBER(SEARCH(",EGFR Exon 19-del,",","&amp;SUBSTITUTE(K28,", ",",")&amp;",")),1,0)</f>
        <v>0</v>
      </c>
      <c r="CU28" s="11">
        <f>IF(ISNUMBER(SEARCH(",EGFR Exon 20,",","&amp;SUBSTITUTE(K28,", ",",")&amp;",")),1,0)</f>
        <v>0</v>
      </c>
      <c r="CV28" s="11">
        <f>IF(ISNUMBER(SEARCH(",EGFR Exon 20-ins,",","&amp;SUBSTITUTE(K28,", ",",")&amp;",")),1,0)</f>
        <v>0</v>
      </c>
      <c r="CW28" s="11">
        <f>IF(ISNUMBER(SEARCH(",EGFR Exon 21,",","&amp;SUBSTITUTE(K28,", ",",")&amp;",")),1,0)</f>
        <v>0</v>
      </c>
      <c r="CX28" s="11">
        <f>IF(ISNUMBER(SEARCH(",EGFR G719A,",","&amp;SUBSTITUTE(K28,", ",",")&amp;",")),1,0)</f>
        <v>0</v>
      </c>
      <c r="CY28" s="11">
        <f>IF(ISNUMBER(SEARCH(",EGFR G719C,",","&amp;SUBSTITUTE(K28,", ",",")&amp;",")),1,0)</f>
        <v>0</v>
      </c>
      <c r="CZ28" s="11">
        <f>IF(ISNUMBER(SEARCH(",EGFR G719S,",","&amp;SUBSTITUTE(K28,", ",",")&amp;",")),1,0)</f>
        <v>0</v>
      </c>
      <c r="DA28" s="11">
        <f>IF(ISNUMBER(SEARCH(",EGFR G719X,",","&amp;SUBSTITUTE(K28,", ",",")&amp;",")),1,0)</f>
        <v>0</v>
      </c>
      <c r="DB28" s="11">
        <f>IF(ISNUMBER(SEARCH(",EGFR L858R,",","&amp;SUBSTITUTE(K28,", ",",")&amp;",")),1,0)</f>
        <v>0</v>
      </c>
      <c r="DC28" s="11">
        <f>IF(ISNUMBER(SEARCH(",EGFR L861Q,",","&amp;SUBSTITUTE(K28,", ",",")&amp;",")),1,0)</f>
        <v>0</v>
      </c>
      <c r="DD28" s="11">
        <f>IF(ISNUMBER(SEARCH(",EGFR PACC,",","&amp;SUBSTITUTE(K28,", ",",")&amp;",")),1,0)</f>
        <v>0</v>
      </c>
      <c r="DE28" s="11">
        <f>IF(ISNUMBER(SEARCH(",EGFR S768I,",","&amp;SUBSTITUTE(K28,", ",",")&amp;",")),1,0)</f>
        <v>0</v>
      </c>
      <c r="DF28" s="11">
        <f>IF(ISNUMBER(SEARCH(",EGFR T790M,",","&amp;SUBSTITUTE(K28,", ",",")&amp;",")),1,0)</f>
        <v>0</v>
      </c>
      <c r="DG28" s="11">
        <f>IF(ISNUMBER(SEARCH(",EML4-ALK,",","&amp;SUBSTITUTE(K28,", ",",")&amp;",")),1,0)</f>
        <v>0</v>
      </c>
      <c r="DH28" s="11">
        <f>IF(ISNUMBER(SEARCH(",HER2,",","&amp;SUBSTITUTE(K28,", ",",")&amp;",")),1,0)</f>
        <v>0</v>
      </c>
      <c r="DI28" s="11">
        <f>IF(ISNUMBER(SEARCH(",HER2 Exon 19,",","&amp;SUBSTITUTE(K28,", ",",")&amp;",")),1,0)</f>
        <v>0</v>
      </c>
      <c r="DJ28" s="11">
        <f>IF(ISNUMBER(SEARCH(",HER2 Exon 20,",","&amp;SUBSTITUTE(K28,", ",",")&amp;",")),1,0)</f>
        <v>0</v>
      </c>
      <c r="DK28" s="11">
        <f>IF(ISNUMBER(SEARCH(",HER2 mut,",","&amp;SUBSTITUTE(K28,", ",",")&amp;",")),1,0)</f>
        <v>0</v>
      </c>
      <c r="DL28" s="11">
        <f>IF(ISNUMBER(SEARCH(",HLA-A2,",","&amp;SUBSTITUTE(K28,", ",",")&amp;",")),1,0)</f>
        <v>0</v>
      </c>
      <c r="DM28" s="11">
        <f>IF(ISNUMBER(SEARCH(",HRAS,",","&amp;SUBSTITUTE(K28,", ",",")&amp;",")),1,0)</f>
        <v>0</v>
      </c>
      <c r="DN28" s="11">
        <f>IF(ISNUMBER(SEARCH(",KRAS,",","&amp;SUBSTITUTE(K28,", ",",")&amp;",")),1,0)</f>
        <v>0</v>
      </c>
      <c r="DO28" s="11">
        <f>IF(ISNUMBER(SEARCH(",KRAS G12C,",","&amp;SUBSTITUTE(K28,", ",",")&amp;",")),1,0)</f>
        <v>0</v>
      </c>
      <c r="DP28" s="11">
        <f>IF(ISNUMBER(SEARCH(",NRAS,",","&amp;SUBSTITUTE(K28,", ",",")&amp;",")),1,0)</f>
        <v>0</v>
      </c>
      <c r="DQ28" s="11">
        <f>IF(ISNUMBER(SEARCH(",NTRK,",","&amp;SUBSTITUTE(K28,", ",",")&amp;",")),1,0)</f>
        <v>0</v>
      </c>
      <c r="DR28" s="11">
        <f>IF(ISNUMBER(SEARCH(",PD-L1,",","&amp;SUBSTITUTE(K28,", ",",")&amp;",")),1,0)</f>
        <v>0</v>
      </c>
      <c r="DS28" s="11">
        <f>IF(ISNUMBER(SEARCH(",PD-L1 IC ≥ 1%,",","&amp;SUBSTITUTE(K28,", ",",")&amp;",")),1,0)</f>
        <v>0</v>
      </c>
      <c r="DT28" s="11">
        <f>IF(ISNUMBER(SEARCH(",PD-L1 TC ≥ 1%,",","&amp;SUBSTITUTE(K28,", ",",")&amp;",")),1,0)</f>
        <v>0</v>
      </c>
      <c r="DU28" s="11">
        <f>IF(ISNUMBER(SEARCH(",PD-L1 TC ≥ 50%,",","&amp;SUBSTITUTE(K28,", ",",")&amp;",")),1,0)</f>
        <v>0</v>
      </c>
      <c r="DV28" s="11">
        <f>IF(ISNUMBER(SEARCH(",PD-L1 TPS &lt; 50%,",","&amp;SUBSTITUTE(K28,", ",",")&amp;",")),1,0)</f>
        <v>0</v>
      </c>
      <c r="DW28" s="11">
        <f>IF(ISNUMBER(SEARCH(",PD-L1 TPS ≥ 1%,",","&amp;SUBSTITUTE(K28,", ",",")&amp;",")),1,0)</f>
        <v>0</v>
      </c>
      <c r="DX28" s="11">
        <f>IF(ISNUMBER(SEARCH(",PD-L1 TPS ≥ 50%,",","&amp;SUBSTITUTE(K28,", ",",")&amp;",")),1,0)</f>
        <v>1</v>
      </c>
      <c r="DY28" s="11">
        <f>IF(ISNUMBER(SEARCH(",RAS,",","&amp;SUBSTITUTE(K28,", ",",")&amp;",")),1,0)</f>
        <v>0</v>
      </c>
      <c r="DZ28" s="11">
        <f>IF(ISNUMBER(SEARCH(",RET,",","&amp;SUBSTITUTE(K28,", ",",")&amp;",")),1,0)</f>
        <v>0</v>
      </c>
      <c r="EA28" s="11">
        <f>IF(ISNUMBER(SEARCH(",ROS1,",","&amp;SUBSTITUTE(K28,", ",",")&amp;",")),1,0)</f>
        <v>0</v>
      </c>
      <c r="EB28" s="11">
        <f>IF(ISNUMBER(SEARCH(",TROP2,",","&amp;SUBSTITUTE(K28,", ",",")&amp;",")),1,0)</f>
        <v>0</v>
      </c>
      <c r="EC28" s="11">
        <f>IF(ISNUMBER(SEARCH(",c-MET/MET,",","&amp;SUBSTITUTE(K28,", ",",")&amp;",")),1,0)</f>
        <v>0</v>
      </c>
      <c r="ED28" s="11">
        <f>IF(ISNUMBER(SEARCH(",c-MET/MET Exon 14,",","&amp;SUBSTITUTE(K28,", ",",")&amp;",")),1,0)</f>
        <v>0</v>
      </c>
      <c r="EE28" s="11">
        <f>IF(ISNUMBER(SEARCH(",ctDNA/cfDNA,",","&amp;SUBSTITUTE(K28,", ",",")&amp;",")),1,0)</f>
        <v>0</v>
      </c>
    </row>
    <row r="29" spans="1:135" ht="15" customHeight="1" x14ac:dyDescent="0.2">
      <c r="A29" s="3" t="s">
        <v>908</v>
      </c>
      <c r="B29" s="3" t="s">
        <v>910</v>
      </c>
      <c r="C29" s="3" t="s">
        <v>911</v>
      </c>
      <c r="D29" s="3" t="s">
        <v>911</v>
      </c>
      <c r="E29" s="3" t="s">
        <v>911</v>
      </c>
      <c r="F29" s="3" t="s">
        <v>259</v>
      </c>
      <c r="G29" s="3" t="s">
        <v>181</v>
      </c>
      <c r="H29" s="3" t="s">
        <v>114</v>
      </c>
      <c r="I29" s="3" t="s">
        <v>180</v>
      </c>
      <c r="J29" s="3" t="s">
        <v>372</v>
      </c>
      <c r="K29" s="3" t="s">
        <v>918</v>
      </c>
      <c r="L29" s="3" t="s">
        <v>119</v>
      </c>
      <c r="M29" s="3" t="s">
        <v>113</v>
      </c>
      <c r="N29" s="3" t="s">
        <v>119</v>
      </c>
      <c r="O29" s="3" t="s">
        <v>120</v>
      </c>
      <c r="P29" s="3" t="s">
        <v>912</v>
      </c>
      <c r="Q29" s="10" t="str">
        <f>IF(F29="Stage IV","Stage IV Only",IF(AND(ISNUMBER(SEARCH("IV",F29)),LEN(F29)&gt;LEN("Stage IV")),"Stage IV + Other",IF(AND(ISNUMBER(SEARCH("III",F29)),NOT(ISNUMBER(SEARCH("IV",F29)))),"Stage III Only","Other")))</f>
        <v>Stage IV Only</v>
      </c>
      <c r="R29" s="10" t="str">
        <f>IF(AND(ISNUMBER(SEARCH("Non-squamous",G29)),ISNUMBER(SEARCH("Squamous",SUBSTITUTE(G29,"Non-squamous","")))),"Both",IF(ISNUMBER(SEARCH("Non-squamous",G29)),"Non-squamous",IF(ISNUMBER(SEARCH("Squamous",G29)),"Squamous","Unspecified")))</f>
        <v>Non-squamous</v>
      </c>
      <c r="S29" s="10" t="str">
        <f>IF(OR(ISNUMBER(SEARCH("TPS ≥ 50%",K29)),ISNUMBER(SEARCH("TC ≥ 50%",K29))),"TPS ≥ 50%",IF(OR(ISNUMBER(SEARCH("TPS ≥ 1%",K29)),ISNUMBER(SEARCH("TC ≥ 1%",K29)),ISNUMBER(SEARCH("TPS &lt; 50%",K29)),ISNUMBER(SEARCH("IC ≥ 1%",K29))),"TPS 1-49%","All-comers"))</f>
        <v>All-comers</v>
      </c>
      <c r="T29" s="10">
        <f>IF(H29="Phase III",1,0)</f>
        <v>1</v>
      </c>
      <c r="U29" s="10">
        <f>IF(L29="Yes",1,0)</f>
        <v>0</v>
      </c>
      <c r="V29" s="11">
        <f>IF(ISNUMBER(SEARCH(",ALK,",","&amp;SUBSTITUTE(I29,", ",",")&amp;",")),1,0)</f>
        <v>0</v>
      </c>
      <c r="W29" s="11">
        <f>IF(ISNUMBER(SEARCH(",ALK L1196M,",","&amp;SUBSTITUTE(I29,", ",",")&amp;",")),1,0)</f>
        <v>0</v>
      </c>
      <c r="X29" s="11">
        <f>IF(ISNUMBER(SEARCH(",AXL,",","&amp;SUBSTITUTE(I29,", ",",")&amp;",")),1,0)</f>
        <v>0</v>
      </c>
      <c r="Y29" s="11">
        <f>IF(ISNUMBER(SEARCH(",B7-H1,",","&amp;SUBSTITUTE(I29,", ",",")&amp;",")),1,0)</f>
        <v>0</v>
      </c>
      <c r="Z29" s="11">
        <f>IF(ISNUMBER(SEARCH(",CD152,",","&amp;SUBSTITUTE(I29,", ",",")&amp;",")),1,0)</f>
        <v>0</v>
      </c>
      <c r="AA29" s="11">
        <f>IF(ISNUMBER(SEARCH(",CD274,",","&amp;SUBSTITUTE(I29,", ",",")&amp;",")),1,0)</f>
        <v>0</v>
      </c>
      <c r="AB29" s="11">
        <f>IF(ISNUMBER(SEARCH(",CD279,",","&amp;SUBSTITUTE(I29,", ",",")&amp;",")),1,0)</f>
        <v>0</v>
      </c>
      <c r="AC29" s="11">
        <f>IF(ISNUMBER(SEARCH(",CD73,",","&amp;SUBSTITUTE(I29,", ",",")&amp;",")),1,0)</f>
        <v>0</v>
      </c>
      <c r="AD29" s="11">
        <f>IF(ISNUMBER(SEARCH(",CEA,",","&amp;SUBSTITUTE(I29,", ",",")&amp;",")),1,0)</f>
        <v>0</v>
      </c>
      <c r="AE29" s="11">
        <f>IF(ISNUMBER(SEARCH(",CTLA-4,",","&amp;SUBSTITUTE(I29,", ",",")&amp;",")),1,0)</f>
        <v>0</v>
      </c>
      <c r="AF29" s="11">
        <f>IF(ISNUMBER(SEARCH(",EGFR,",","&amp;SUBSTITUTE(I29,", ",",")&amp;",")),1,0)</f>
        <v>0</v>
      </c>
      <c r="AG29" s="11">
        <f>IF(ISNUMBER(SEARCH(",EGFR C797G,",","&amp;SUBSTITUTE(I29,", ",",")&amp;",")),1,0)</f>
        <v>0</v>
      </c>
      <c r="AH29" s="11">
        <f>IF(ISNUMBER(SEARCH(",EGFR C797S,",","&amp;SUBSTITUTE(I29,", ",",")&amp;",")),1,0)</f>
        <v>0</v>
      </c>
      <c r="AI29" s="11">
        <f>IF(ISNUMBER(SEARCH(",EGFR Exon 19-del,",","&amp;SUBSTITUTE(I29,", ",",")&amp;",")),1,0)</f>
        <v>0</v>
      </c>
      <c r="AJ29" s="11">
        <f>IF(ISNUMBER(SEARCH(",EGFR Exon 20,",","&amp;SUBSTITUTE(I29,", ",",")&amp;",")),1,0)</f>
        <v>0</v>
      </c>
      <c r="AK29" s="11">
        <f>IF(ISNUMBER(SEARCH(",EGFR L858R,",","&amp;SUBSTITUTE(I29,", ",",")&amp;",")),1,0)</f>
        <v>0</v>
      </c>
      <c r="AL29" s="11">
        <f>IF(ISNUMBER(SEARCH(",EGFR T790M,",","&amp;SUBSTITUTE(I29,", ",",")&amp;",")),1,0)</f>
        <v>1</v>
      </c>
      <c r="AM29" s="11">
        <f>IF(ISNUMBER(SEARCH(",ERBB,",","&amp;SUBSTITUTE(I29,", ",",")&amp;",")),1,0)</f>
        <v>0</v>
      </c>
      <c r="AN29" s="11">
        <f>IF(ISNUMBER(SEARCH(",ERBB3,",","&amp;SUBSTITUTE(I29,", ",",")&amp;",")),1,0)</f>
        <v>0</v>
      </c>
      <c r="AO29" s="11">
        <f>IF(ISNUMBER(SEARCH(",FAK,",","&amp;SUBSTITUTE(I29,", ",",")&amp;",")),1,0)</f>
        <v>0</v>
      </c>
      <c r="AP29" s="11">
        <f>IF(ISNUMBER(SEARCH(",GARP,",","&amp;SUBSTITUTE(I29,", ",",")&amp;",")),1,0)</f>
        <v>0</v>
      </c>
      <c r="AQ29" s="11">
        <f>IF(ISNUMBER(SEARCH(",HER1,",","&amp;SUBSTITUTE(I29,", ",",")&amp;",")),1,0)</f>
        <v>0</v>
      </c>
      <c r="AR29" s="11">
        <f>IF(ISNUMBER(SEARCH(",HER2,",","&amp;SUBSTITUTE(I29,", ",",")&amp;",")),1,0)</f>
        <v>0</v>
      </c>
      <c r="AS29" s="11">
        <f>IF(ISNUMBER(SEARCH(",HER2 Exon 20,",","&amp;SUBSTITUTE(I29,", ",",")&amp;",")),1,0)</f>
        <v>0</v>
      </c>
      <c r="AT29" s="11">
        <f>IF(ISNUMBER(SEARCH(",HER3,",","&amp;SUBSTITUTE(I29,", ",",")&amp;",")),1,0)</f>
        <v>0</v>
      </c>
      <c r="AU29" s="11">
        <f>IF(ISNUMBER(SEARCH(",HER4,",","&amp;SUBSTITUTE(I29,", ",",")&amp;",")),1,0)</f>
        <v>0</v>
      </c>
      <c r="AV29" s="11">
        <f>IF(ISNUMBER(SEARCH(",HRAS,",","&amp;SUBSTITUTE(I29,", ",",")&amp;",")),1,0)</f>
        <v>0</v>
      </c>
      <c r="AW29" s="11">
        <f>IF(ISNUMBER(SEARCH(",HSV-TK,",","&amp;SUBSTITUTE(I29,", ",",")&amp;",")),1,0)</f>
        <v>0</v>
      </c>
      <c r="AX29" s="11">
        <f>IF(ISNUMBER(SEARCH(",IL-12,",","&amp;SUBSTITUTE(I29,", ",",")&amp;",")),1,0)</f>
        <v>0</v>
      </c>
      <c r="AY29" s="11">
        <f>IF(ISNUMBER(SEARCH(",IL-15,",","&amp;SUBSTITUTE(I29,", ",",")&amp;",")),1,0)</f>
        <v>0</v>
      </c>
      <c r="AZ29" s="11">
        <f>IF(ISNUMBER(SEARCH(",IL-15R,",","&amp;SUBSTITUTE(I29,", ",",")&amp;",")),1,0)</f>
        <v>0</v>
      </c>
      <c r="BA29" s="11">
        <f>IF(ISNUMBER(SEARCH(",IL-2,",","&amp;SUBSTITUTE(I29,", ",",")&amp;",")),1,0)</f>
        <v>0</v>
      </c>
      <c r="BB29" s="11">
        <f>IF(ISNUMBER(SEARCH(",Integrin β6,",","&amp;SUBSTITUTE(I29,", ",",")&amp;",")),1,0)</f>
        <v>0</v>
      </c>
      <c r="BC29" s="11">
        <f>IF(ISNUMBER(SEARCH(",KDR,",","&amp;SUBSTITUTE(I29,", ",",")&amp;",")),1,0)</f>
        <v>0</v>
      </c>
      <c r="BD29" s="11">
        <f>IF(ISNUMBER(SEARCH(",KLRC1,",","&amp;SUBSTITUTE(I29,", ",",")&amp;",")),1,0)</f>
        <v>0</v>
      </c>
      <c r="BE29" s="11">
        <f>IF(ISNUMBER(SEARCH(",KRAS,",","&amp;SUBSTITUTE(I29,", ",",")&amp;",")),1,0)</f>
        <v>0</v>
      </c>
      <c r="BF29" s="11">
        <f>IF(ISNUMBER(SEARCH(",KRAS G12,",","&amp;SUBSTITUTE(I29,", ",",")&amp;",")),1,0)</f>
        <v>0</v>
      </c>
      <c r="BG29" s="11">
        <f>IF(ISNUMBER(SEARCH(",KRAS G12C,",","&amp;SUBSTITUTE(I29,", ",",")&amp;",")),1,0)</f>
        <v>0</v>
      </c>
      <c r="BH29" s="11">
        <f>IF(ISNUMBER(SEARCH(",KRAS G12D,",","&amp;SUBSTITUTE(I29,", ",",")&amp;",")),1,0)</f>
        <v>0</v>
      </c>
      <c r="BI29" s="11">
        <f>IF(ISNUMBER(SEARCH(",LAG-3,",","&amp;SUBSTITUTE(I29,", ",",")&amp;",")),1,0)</f>
        <v>0</v>
      </c>
      <c r="BJ29" s="11">
        <f>IF(ISNUMBER(SEARCH(",MAGE-A2,",","&amp;SUBSTITUTE(I29,", ",",")&amp;",")),1,0)</f>
        <v>0</v>
      </c>
      <c r="BK29" s="11">
        <f>IF(ISNUMBER(SEARCH(",MAGE-A3,",","&amp;SUBSTITUTE(I29,", ",",")&amp;",")),1,0)</f>
        <v>0</v>
      </c>
      <c r="BL29" s="11">
        <f>IF(ISNUMBER(SEARCH(",MLN19,",","&amp;SUBSTITUTE(I29,", ",",")&amp;",")),1,0)</f>
        <v>0</v>
      </c>
      <c r="BM29" s="11">
        <f>IF(ISNUMBER(SEARCH(",Microtubule,",","&amp;SUBSTITUTE(I29,", ",",")&amp;",")),1,0)</f>
        <v>0</v>
      </c>
      <c r="BN29" s="11">
        <f>IF(ISNUMBER(SEARCH(",NKG2A,",","&amp;SUBSTITUTE(I29,", ",",")&amp;",")),1,0)</f>
        <v>0</v>
      </c>
      <c r="BO29" s="11">
        <f>IF(ISNUMBER(SEARCH(",NRAS,",","&amp;SUBSTITUTE(I29,", ",",")&amp;",")),1,0)</f>
        <v>0</v>
      </c>
      <c r="BP29" s="11">
        <f>IF(ISNUMBER(SEARCH(",NTRK,",","&amp;SUBSTITUTE(I29,", ",",")&amp;",")),1,0)</f>
        <v>0</v>
      </c>
      <c r="BQ29" s="11">
        <f>IF(ISNUMBER(SEARCH(",PARP,",","&amp;SUBSTITUTE(I29,", ",",")&amp;",")),1,0)</f>
        <v>0</v>
      </c>
      <c r="BR29" s="11">
        <f>IF(ISNUMBER(SEARCH(",PD-1,",","&amp;SUBSTITUTE(I29,", ",",")&amp;",")),1,0)</f>
        <v>0</v>
      </c>
      <c r="BS29" s="11">
        <f>IF(ISNUMBER(SEARCH(",PD-L1,",","&amp;SUBSTITUTE(I29,", ",",")&amp;",")),1,0)</f>
        <v>0</v>
      </c>
      <c r="BT29" s="11">
        <f>IF(ISNUMBER(SEARCH(",PRMT5,",","&amp;SUBSTITUTE(I29,", ",",")&amp;",")),1,0)</f>
        <v>0</v>
      </c>
      <c r="BU29" s="11">
        <f>IF(ISNUMBER(SEARCH(",RAS,",","&amp;SUBSTITUTE(I29,", ",",")&amp;",")),1,0)</f>
        <v>0</v>
      </c>
      <c r="BV29" s="11">
        <f>IF(ISNUMBER(SEARCH(",RET,",","&amp;SUBSTITUTE(I29,", ",",")&amp;",")),1,0)</f>
        <v>0</v>
      </c>
      <c r="BW29" s="11">
        <f>IF(ISNUMBER(SEARCH(",ROS,",","&amp;SUBSTITUTE(I29,", ",",")&amp;",")),1,0)</f>
        <v>0</v>
      </c>
      <c r="BX29" s="11">
        <f>IF(ISNUMBER(SEARCH(",ROS1,",","&amp;SUBSTITUTE(I29,", ",",")&amp;",")),1,0)</f>
        <v>0</v>
      </c>
      <c r="BY29" s="11">
        <f>IF(ISNUMBER(SEARCH(",Src,",","&amp;SUBSTITUTE(I29,", ",",")&amp;",")),1,0)</f>
        <v>0</v>
      </c>
      <c r="BZ29" s="11">
        <f>IF(ISNUMBER(SEARCH(",TCGF,",","&amp;SUBSTITUTE(I29,", ",",")&amp;",")),1,0)</f>
        <v>0</v>
      </c>
      <c r="CA29" s="11">
        <f>IF(ISNUMBER(SEARCH(",TGF-β,",","&amp;SUBSTITUTE(I29,", ",",")&amp;",")),1,0)</f>
        <v>0</v>
      </c>
      <c r="CB29" s="11">
        <f>IF(ISNUMBER(SEARCH(",TGF-β1,",","&amp;SUBSTITUTE(I29,", ",",")&amp;",")),1,0)</f>
        <v>0</v>
      </c>
      <c r="CC29" s="11">
        <f>IF(ISNUMBER(SEARCH(",TIGIT,",","&amp;SUBSTITUTE(I29,", ",",")&amp;",")),1,0)</f>
        <v>0</v>
      </c>
      <c r="CD29" s="11">
        <f>IF(ISNUMBER(SEARCH(",TLR,",","&amp;SUBSTITUTE(I29,", ",",")&amp;",")),1,0)</f>
        <v>0</v>
      </c>
      <c r="CE29" s="11">
        <f>IF(ISNUMBER(SEARCH(",TLR7/8,",","&amp;SUBSTITUTE(I29,", ",",")&amp;",")),1,0)</f>
        <v>0</v>
      </c>
      <c r="CF29" s="11">
        <f>IF(ISNUMBER(SEARCH(",TRK,",","&amp;SUBSTITUTE(I29,", ",",")&amp;",")),1,0)</f>
        <v>0</v>
      </c>
      <c r="CG29" s="11">
        <f>IF(ISNUMBER(SEARCH(",TROP2,",","&amp;SUBSTITUTE(I29,", ",",")&amp;",")),1,0)</f>
        <v>0</v>
      </c>
      <c r="CH29" s="11">
        <f>IF(ISNUMBER(SEARCH(",TS,",","&amp;SUBSTITUTE(I29,", ",",")&amp;",")),1,0)</f>
        <v>0</v>
      </c>
      <c r="CI29" s="11">
        <f>IF(ISNUMBER(SEARCH(",TYMS,",","&amp;SUBSTITUTE(I29,", ",",")&amp;",")),1,0)</f>
        <v>0</v>
      </c>
      <c r="CJ29" s="11">
        <f>IF(ISNUMBER(SEARCH(",VEGF,",","&amp;SUBSTITUTE(I29,", ",",")&amp;",")),1,0)</f>
        <v>0</v>
      </c>
      <c r="CK29" s="11">
        <f>IF(ISNUMBER(SEARCH(",VEGFA,",","&amp;SUBSTITUTE(I29,", ",",")&amp;",")),1,0)</f>
        <v>0</v>
      </c>
      <c r="CL29" s="11">
        <f>IF(ISNUMBER(SEARCH(",VEGFR2,",","&amp;SUBSTITUTE(I29,", ",",")&amp;",")),1,0)</f>
        <v>0</v>
      </c>
      <c r="CM29" s="11">
        <f>IF(ISNUMBER(SEARCH(",c-MET/MET,",","&amp;SUBSTITUTE(I29,", ",",")&amp;",")),1,0)</f>
        <v>0</v>
      </c>
      <c r="CN29" s="11">
        <f>IF(ISNUMBER(SEARCH(",p53,",","&amp;SUBSTITUTE(I29,", ",",")&amp;",")),1,0)</f>
        <v>0</v>
      </c>
      <c r="CO29" s="11">
        <f>IF(ISNUMBER(SEARCH(",pan-KRAS,",","&amp;SUBSTITUTE(I29,", ",",")&amp;",")),1,0)</f>
        <v>0</v>
      </c>
      <c r="CP29" s="11">
        <f>IF(ISNUMBER(SEARCH(",ALK,",","&amp;SUBSTITUTE(K29,", ",",")&amp;",")),1,0)</f>
        <v>0</v>
      </c>
      <c r="CQ29" s="11">
        <f>IF(ISNUMBER(SEARCH(",BRAF V600E,",","&amp;SUBSTITUTE(K29,", ",",")&amp;",")),1,0)</f>
        <v>0</v>
      </c>
      <c r="CR29" s="11">
        <f>IF(ISNUMBER(SEARCH(",EGFR,",","&amp;SUBSTITUTE(K29,", ",",")&amp;",")),1,0)</f>
        <v>0</v>
      </c>
      <c r="CS29" s="11">
        <f>IF(ISNUMBER(SEARCH(",EGFR Exon 18,",","&amp;SUBSTITUTE(K29,", ",",")&amp;",")),1,0)</f>
        <v>0</v>
      </c>
      <c r="CT29" s="11">
        <f>IF(ISNUMBER(SEARCH(",EGFR Exon 19-del,",","&amp;SUBSTITUTE(K29,", ",",")&amp;",")),1,0)</f>
        <v>0</v>
      </c>
      <c r="CU29" s="11">
        <f>IF(ISNUMBER(SEARCH(",EGFR Exon 20,",","&amp;SUBSTITUTE(K29,", ",",")&amp;",")),1,0)</f>
        <v>0</v>
      </c>
      <c r="CV29" s="11">
        <f>IF(ISNUMBER(SEARCH(",EGFR Exon 20-ins,",","&amp;SUBSTITUTE(K29,", ",",")&amp;",")),1,0)</f>
        <v>1</v>
      </c>
      <c r="CW29" s="11">
        <f>IF(ISNUMBER(SEARCH(",EGFR Exon 21,",","&amp;SUBSTITUTE(K29,", ",",")&amp;",")),1,0)</f>
        <v>0</v>
      </c>
      <c r="CX29" s="11">
        <f>IF(ISNUMBER(SEARCH(",EGFR G719A,",","&amp;SUBSTITUTE(K29,", ",",")&amp;",")),1,0)</f>
        <v>0</v>
      </c>
      <c r="CY29" s="11">
        <f>IF(ISNUMBER(SEARCH(",EGFR G719C,",","&amp;SUBSTITUTE(K29,", ",",")&amp;",")),1,0)</f>
        <v>0</v>
      </c>
      <c r="CZ29" s="11">
        <f>IF(ISNUMBER(SEARCH(",EGFR G719S,",","&amp;SUBSTITUTE(K29,", ",",")&amp;",")),1,0)</f>
        <v>0</v>
      </c>
      <c r="DA29" s="11">
        <f>IF(ISNUMBER(SEARCH(",EGFR G719X,",","&amp;SUBSTITUTE(K29,", ",",")&amp;",")),1,0)</f>
        <v>0</v>
      </c>
      <c r="DB29" s="11">
        <f>IF(ISNUMBER(SEARCH(",EGFR L858R,",","&amp;SUBSTITUTE(K29,", ",",")&amp;",")),1,0)</f>
        <v>0</v>
      </c>
      <c r="DC29" s="11">
        <f>IF(ISNUMBER(SEARCH(",EGFR L861Q,",","&amp;SUBSTITUTE(K29,", ",",")&amp;",")),1,0)</f>
        <v>0</v>
      </c>
      <c r="DD29" s="11">
        <f>IF(ISNUMBER(SEARCH(",EGFR PACC,",","&amp;SUBSTITUTE(K29,", ",",")&amp;",")),1,0)</f>
        <v>1</v>
      </c>
      <c r="DE29" s="11">
        <f>IF(ISNUMBER(SEARCH(",EGFR S768I,",","&amp;SUBSTITUTE(K29,", ",",")&amp;",")),1,0)</f>
        <v>0</v>
      </c>
      <c r="DF29" s="11">
        <f>IF(ISNUMBER(SEARCH(",EGFR T790M,",","&amp;SUBSTITUTE(K29,", ",",")&amp;",")),1,0)</f>
        <v>0</v>
      </c>
      <c r="DG29" s="11">
        <f>IF(ISNUMBER(SEARCH(",EML4-ALK,",","&amp;SUBSTITUTE(K29,", ",",")&amp;",")),1,0)</f>
        <v>0</v>
      </c>
      <c r="DH29" s="11">
        <f>IF(ISNUMBER(SEARCH(",HER2,",","&amp;SUBSTITUTE(K29,", ",",")&amp;",")),1,0)</f>
        <v>0</v>
      </c>
      <c r="DI29" s="11">
        <f>IF(ISNUMBER(SEARCH(",HER2 Exon 19,",","&amp;SUBSTITUTE(K29,", ",",")&amp;",")),1,0)</f>
        <v>0</v>
      </c>
      <c r="DJ29" s="11">
        <f>IF(ISNUMBER(SEARCH(",HER2 Exon 20,",","&amp;SUBSTITUTE(K29,", ",",")&amp;",")),1,0)</f>
        <v>0</v>
      </c>
      <c r="DK29" s="11">
        <f>IF(ISNUMBER(SEARCH(",HER2 mut,",","&amp;SUBSTITUTE(K29,", ",",")&amp;",")),1,0)</f>
        <v>0</v>
      </c>
      <c r="DL29" s="11">
        <f>IF(ISNUMBER(SEARCH(",HLA-A2,",","&amp;SUBSTITUTE(K29,", ",",")&amp;",")),1,0)</f>
        <v>0</v>
      </c>
      <c r="DM29" s="11">
        <f>IF(ISNUMBER(SEARCH(",HRAS,",","&amp;SUBSTITUTE(K29,", ",",")&amp;",")),1,0)</f>
        <v>0</v>
      </c>
      <c r="DN29" s="11">
        <f>IF(ISNUMBER(SEARCH(",KRAS,",","&amp;SUBSTITUTE(K29,", ",",")&amp;",")),1,0)</f>
        <v>0</v>
      </c>
      <c r="DO29" s="11">
        <f>IF(ISNUMBER(SEARCH(",KRAS G12C,",","&amp;SUBSTITUTE(K29,", ",",")&amp;",")),1,0)</f>
        <v>0</v>
      </c>
      <c r="DP29" s="11">
        <f>IF(ISNUMBER(SEARCH(",NRAS,",","&amp;SUBSTITUTE(K29,", ",",")&amp;",")),1,0)</f>
        <v>0</v>
      </c>
      <c r="DQ29" s="11">
        <f>IF(ISNUMBER(SEARCH(",NTRK,",","&amp;SUBSTITUTE(K29,", ",",")&amp;",")),1,0)</f>
        <v>0</v>
      </c>
      <c r="DR29" s="11">
        <f>IF(ISNUMBER(SEARCH(",PD-L1,",","&amp;SUBSTITUTE(K29,", ",",")&amp;",")),1,0)</f>
        <v>0</v>
      </c>
      <c r="DS29" s="11">
        <f>IF(ISNUMBER(SEARCH(",PD-L1 IC ≥ 1%,",","&amp;SUBSTITUTE(K29,", ",",")&amp;",")),1,0)</f>
        <v>0</v>
      </c>
      <c r="DT29" s="11">
        <f>IF(ISNUMBER(SEARCH(",PD-L1 TC ≥ 1%,",","&amp;SUBSTITUTE(K29,", ",",")&amp;",")),1,0)</f>
        <v>0</v>
      </c>
      <c r="DU29" s="11">
        <f>IF(ISNUMBER(SEARCH(",PD-L1 TC ≥ 50%,",","&amp;SUBSTITUTE(K29,", ",",")&amp;",")),1,0)</f>
        <v>0</v>
      </c>
      <c r="DV29" s="11">
        <f>IF(ISNUMBER(SEARCH(",PD-L1 TPS &lt; 50%,",","&amp;SUBSTITUTE(K29,", ",",")&amp;",")),1,0)</f>
        <v>0</v>
      </c>
      <c r="DW29" s="11">
        <f>IF(ISNUMBER(SEARCH(",PD-L1 TPS ≥ 1%,",","&amp;SUBSTITUTE(K29,", ",",")&amp;",")),1,0)</f>
        <v>0</v>
      </c>
      <c r="DX29" s="11">
        <f>IF(ISNUMBER(SEARCH(",PD-L1 TPS ≥ 50%,",","&amp;SUBSTITUTE(K29,", ",",")&amp;",")),1,0)</f>
        <v>0</v>
      </c>
      <c r="DY29" s="11">
        <f>IF(ISNUMBER(SEARCH(",RAS,",","&amp;SUBSTITUTE(K29,", ",",")&amp;",")),1,0)</f>
        <v>0</v>
      </c>
      <c r="DZ29" s="11">
        <f>IF(ISNUMBER(SEARCH(",RET,",","&amp;SUBSTITUTE(K29,", ",",")&amp;",")),1,0)</f>
        <v>0</v>
      </c>
      <c r="EA29" s="11">
        <f>IF(ISNUMBER(SEARCH(",ROS1,",","&amp;SUBSTITUTE(K29,", ",",")&amp;",")),1,0)</f>
        <v>0</v>
      </c>
      <c r="EB29" s="11">
        <f>IF(ISNUMBER(SEARCH(",TROP2,",","&amp;SUBSTITUTE(K29,", ",",")&amp;",")),1,0)</f>
        <v>0</v>
      </c>
      <c r="EC29" s="11">
        <f>IF(ISNUMBER(SEARCH(",c-MET/MET,",","&amp;SUBSTITUTE(K29,", ",",")&amp;",")),1,0)</f>
        <v>0</v>
      </c>
      <c r="ED29" s="11">
        <f>IF(ISNUMBER(SEARCH(",c-MET/MET Exon 14,",","&amp;SUBSTITUTE(K29,", ",",")&amp;",")),1,0)</f>
        <v>0</v>
      </c>
      <c r="EE29" s="11">
        <f>IF(ISNUMBER(SEARCH(",ctDNA/cfDNA,",","&amp;SUBSTITUTE(K29,", ",",")&amp;",")),1,0)</f>
        <v>0</v>
      </c>
    </row>
    <row r="30" spans="1:135" ht="15" customHeight="1" x14ac:dyDescent="0.2">
      <c r="A30" s="5" t="s">
        <v>908</v>
      </c>
      <c r="B30" s="5" t="s">
        <v>910</v>
      </c>
      <c r="C30" s="5" t="s">
        <v>911</v>
      </c>
      <c r="D30" s="5" t="s">
        <v>911</v>
      </c>
      <c r="E30" s="5" t="s">
        <v>911</v>
      </c>
      <c r="F30" s="5" t="s">
        <v>259</v>
      </c>
      <c r="G30" s="5" t="s">
        <v>283</v>
      </c>
      <c r="H30" s="5" t="s">
        <v>114</v>
      </c>
      <c r="I30" s="5" t="s">
        <v>180</v>
      </c>
      <c r="J30" s="5" t="s">
        <v>372</v>
      </c>
      <c r="K30" s="5" t="s">
        <v>1061</v>
      </c>
      <c r="L30" s="5" t="s">
        <v>119</v>
      </c>
      <c r="M30" s="5" t="s">
        <v>113</v>
      </c>
      <c r="N30" s="5" t="s">
        <v>119</v>
      </c>
      <c r="O30" s="5" t="s">
        <v>120</v>
      </c>
      <c r="P30" s="5" t="s">
        <v>1053</v>
      </c>
      <c r="Q30" s="10" t="str">
        <f>IF(F30="Stage IV","Stage IV Only",IF(AND(ISNUMBER(SEARCH("IV",F30)),LEN(F30)&gt;LEN("Stage IV")),"Stage IV + Other",IF(AND(ISNUMBER(SEARCH("III",F30)),NOT(ISNUMBER(SEARCH("IV",F30)))),"Stage III Only","Other")))</f>
        <v>Stage IV Only</v>
      </c>
      <c r="R30" s="10" t="str">
        <f>IF(AND(ISNUMBER(SEARCH("Non-squamous",G30)),ISNUMBER(SEARCH("Squamous",SUBSTITUTE(G30,"Non-squamous","")))),"Both",IF(ISNUMBER(SEARCH("Non-squamous",G30)),"Non-squamous",IF(ISNUMBER(SEARCH("Squamous",G30)),"Squamous","Unspecified")))</f>
        <v>Both</v>
      </c>
      <c r="S30" s="10" t="str">
        <f>IF(OR(ISNUMBER(SEARCH("TPS ≥ 50%",K30)),ISNUMBER(SEARCH("TC ≥ 50%",K30))),"TPS ≥ 50%",IF(OR(ISNUMBER(SEARCH("TPS ≥ 1%",K30)),ISNUMBER(SEARCH("TC ≥ 1%",K30)),ISNUMBER(SEARCH("TPS &lt; 50%",K30)),ISNUMBER(SEARCH("IC ≥ 1%",K30))),"TPS 1-49%","All-comers"))</f>
        <v>All-comers</v>
      </c>
      <c r="T30" s="10">
        <f>IF(H30="Phase III",1,0)</f>
        <v>1</v>
      </c>
      <c r="U30" s="10">
        <f>IF(L30="Yes",1,0)</f>
        <v>0</v>
      </c>
      <c r="V30" s="11">
        <f>IF(ISNUMBER(SEARCH(",ALK,",","&amp;SUBSTITUTE(I30,", ",",")&amp;",")),1,0)</f>
        <v>0</v>
      </c>
      <c r="W30" s="11">
        <f>IF(ISNUMBER(SEARCH(",ALK L1196M,",","&amp;SUBSTITUTE(I30,", ",",")&amp;",")),1,0)</f>
        <v>0</v>
      </c>
      <c r="X30" s="11">
        <f>IF(ISNUMBER(SEARCH(",AXL,",","&amp;SUBSTITUTE(I30,", ",",")&amp;",")),1,0)</f>
        <v>0</v>
      </c>
      <c r="Y30" s="11">
        <f>IF(ISNUMBER(SEARCH(",B7-H1,",","&amp;SUBSTITUTE(I30,", ",",")&amp;",")),1,0)</f>
        <v>0</v>
      </c>
      <c r="Z30" s="11">
        <f>IF(ISNUMBER(SEARCH(",CD152,",","&amp;SUBSTITUTE(I30,", ",",")&amp;",")),1,0)</f>
        <v>0</v>
      </c>
      <c r="AA30" s="11">
        <f>IF(ISNUMBER(SEARCH(",CD274,",","&amp;SUBSTITUTE(I30,", ",",")&amp;",")),1,0)</f>
        <v>0</v>
      </c>
      <c r="AB30" s="11">
        <f>IF(ISNUMBER(SEARCH(",CD279,",","&amp;SUBSTITUTE(I30,", ",",")&amp;",")),1,0)</f>
        <v>0</v>
      </c>
      <c r="AC30" s="11">
        <f>IF(ISNUMBER(SEARCH(",CD73,",","&amp;SUBSTITUTE(I30,", ",",")&amp;",")),1,0)</f>
        <v>0</v>
      </c>
      <c r="AD30" s="11">
        <f>IF(ISNUMBER(SEARCH(",CEA,",","&amp;SUBSTITUTE(I30,", ",",")&amp;",")),1,0)</f>
        <v>0</v>
      </c>
      <c r="AE30" s="11">
        <f>IF(ISNUMBER(SEARCH(",CTLA-4,",","&amp;SUBSTITUTE(I30,", ",",")&amp;",")),1,0)</f>
        <v>0</v>
      </c>
      <c r="AF30" s="11">
        <f>IF(ISNUMBER(SEARCH(",EGFR,",","&amp;SUBSTITUTE(I30,", ",",")&amp;",")),1,0)</f>
        <v>0</v>
      </c>
      <c r="AG30" s="11">
        <f>IF(ISNUMBER(SEARCH(",EGFR C797G,",","&amp;SUBSTITUTE(I30,", ",",")&amp;",")),1,0)</f>
        <v>0</v>
      </c>
      <c r="AH30" s="11">
        <f>IF(ISNUMBER(SEARCH(",EGFR C797S,",","&amp;SUBSTITUTE(I30,", ",",")&amp;",")),1,0)</f>
        <v>0</v>
      </c>
      <c r="AI30" s="11">
        <f>IF(ISNUMBER(SEARCH(",EGFR Exon 19-del,",","&amp;SUBSTITUTE(I30,", ",",")&amp;",")),1,0)</f>
        <v>0</v>
      </c>
      <c r="AJ30" s="11">
        <f>IF(ISNUMBER(SEARCH(",EGFR Exon 20,",","&amp;SUBSTITUTE(I30,", ",",")&amp;",")),1,0)</f>
        <v>0</v>
      </c>
      <c r="AK30" s="11">
        <f>IF(ISNUMBER(SEARCH(",EGFR L858R,",","&amp;SUBSTITUTE(I30,", ",",")&amp;",")),1,0)</f>
        <v>0</v>
      </c>
      <c r="AL30" s="11">
        <f>IF(ISNUMBER(SEARCH(",EGFR T790M,",","&amp;SUBSTITUTE(I30,", ",",")&amp;",")),1,0)</f>
        <v>1</v>
      </c>
      <c r="AM30" s="11">
        <f>IF(ISNUMBER(SEARCH(",ERBB,",","&amp;SUBSTITUTE(I30,", ",",")&amp;",")),1,0)</f>
        <v>0</v>
      </c>
      <c r="AN30" s="11">
        <f>IF(ISNUMBER(SEARCH(",ERBB3,",","&amp;SUBSTITUTE(I30,", ",",")&amp;",")),1,0)</f>
        <v>0</v>
      </c>
      <c r="AO30" s="11">
        <f>IF(ISNUMBER(SEARCH(",FAK,",","&amp;SUBSTITUTE(I30,", ",",")&amp;",")),1,0)</f>
        <v>0</v>
      </c>
      <c r="AP30" s="11">
        <f>IF(ISNUMBER(SEARCH(",GARP,",","&amp;SUBSTITUTE(I30,", ",",")&amp;",")),1,0)</f>
        <v>0</v>
      </c>
      <c r="AQ30" s="11">
        <f>IF(ISNUMBER(SEARCH(",HER1,",","&amp;SUBSTITUTE(I30,", ",",")&amp;",")),1,0)</f>
        <v>0</v>
      </c>
      <c r="AR30" s="11">
        <f>IF(ISNUMBER(SEARCH(",HER2,",","&amp;SUBSTITUTE(I30,", ",",")&amp;",")),1,0)</f>
        <v>0</v>
      </c>
      <c r="AS30" s="11">
        <f>IF(ISNUMBER(SEARCH(",HER2 Exon 20,",","&amp;SUBSTITUTE(I30,", ",",")&amp;",")),1,0)</f>
        <v>0</v>
      </c>
      <c r="AT30" s="11">
        <f>IF(ISNUMBER(SEARCH(",HER3,",","&amp;SUBSTITUTE(I30,", ",",")&amp;",")),1,0)</f>
        <v>0</v>
      </c>
      <c r="AU30" s="11">
        <f>IF(ISNUMBER(SEARCH(",HER4,",","&amp;SUBSTITUTE(I30,", ",",")&amp;",")),1,0)</f>
        <v>0</v>
      </c>
      <c r="AV30" s="11">
        <f>IF(ISNUMBER(SEARCH(",HRAS,",","&amp;SUBSTITUTE(I30,", ",",")&amp;",")),1,0)</f>
        <v>0</v>
      </c>
      <c r="AW30" s="11">
        <f>IF(ISNUMBER(SEARCH(",HSV-TK,",","&amp;SUBSTITUTE(I30,", ",",")&amp;",")),1,0)</f>
        <v>0</v>
      </c>
      <c r="AX30" s="11">
        <f>IF(ISNUMBER(SEARCH(",IL-12,",","&amp;SUBSTITUTE(I30,", ",",")&amp;",")),1,0)</f>
        <v>0</v>
      </c>
      <c r="AY30" s="11">
        <f>IF(ISNUMBER(SEARCH(",IL-15,",","&amp;SUBSTITUTE(I30,", ",",")&amp;",")),1,0)</f>
        <v>0</v>
      </c>
      <c r="AZ30" s="11">
        <f>IF(ISNUMBER(SEARCH(",IL-15R,",","&amp;SUBSTITUTE(I30,", ",",")&amp;",")),1,0)</f>
        <v>0</v>
      </c>
      <c r="BA30" s="11">
        <f>IF(ISNUMBER(SEARCH(",IL-2,",","&amp;SUBSTITUTE(I30,", ",",")&amp;",")),1,0)</f>
        <v>0</v>
      </c>
      <c r="BB30" s="11">
        <f>IF(ISNUMBER(SEARCH(",Integrin β6,",","&amp;SUBSTITUTE(I30,", ",",")&amp;",")),1,0)</f>
        <v>0</v>
      </c>
      <c r="BC30" s="11">
        <f>IF(ISNUMBER(SEARCH(",KDR,",","&amp;SUBSTITUTE(I30,", ",",")&amp;",")),1,0)</f>
        <v>0</v>
      </c>
      <c r="BD30" s="11">
        <f>IF(ISNUMBER(SEARCH(",KLRC1,",","&amp;SUBSTITUTE(I30,", ",",")&amp;",")),1,0)</f>
        <v>0</v>
      </c>
      <c r="BE30" s="11">
        <f>IF(ISNUMBER(SEARCH(",KRAS,",","&amp;SUBSTITUTE(I30,", ",",")&amp;",")),1,0)</f>
        <v>0</v>
      </c>
      <c r="BF30" s="11">
        <f>IF(ISNUMBER(SEARCH(",KRAS G12,",","&amp;SUBSTITUTE(I30,", ",",")&amp;",")),1,0)</f>
        <v>0</v>
      </c>
      <c r="BG30" s="11">
        <f>IF(ISNUMBER(SEARCH(",KRAS G12C,",","&amp;SUBSTITUTE(I30,", ",",")&amp;",")),1,0)</f>
        <v>0</v>
      </c>
      <c r="BH30" s="11">
        <f>IF(ISNUMBER(SEARCH(",KRAS G12D,",","&amp;SUBSTITUTE(I30,", ",",")&amp;",")),1,0)</f>
        <v>0</v>
      </c>
      <c r="BI30" s="11">
        <f>IF(ISNUMBER(SEARCH(",LAG-3,",","&amp;SUBSTITUTE(I30,", ",",")&amp;",")),1,0)</f>
        <v>0</v>
      </c>
      <c r="BJ30" s="11">
        <f>IF(ISNUMBER(SEARCH(",MAGE-A2,",","&amp;SUBSTITUTE(I30,", ",",")&amp;",")),1,0)</f>
        <v>0</v>
      </c>
      <c r="BK30" s="11">
        <f>IF(ISNUMBER(SEARCH(",MAGE-A3,",","&amp;SUBSTITUTE(I30,", ",",")&amp;",")),1,0)</f>
        <v>0</v>
      </c>
      <c r="BL30" s="11">
        <f>IF(ISNUMBER(SEARCH(",MLN19,",","&amp;SUBSTITUTE(I30,", ",",")&amp;",")),1,0)</f>
        <v>0</v>
      </c>
      <c r="BM30" s="11">
        <f>IF(ISNUMBER(SEARCH(",Microtubule,",","&amp;SUBSTITUTE(I30,", ",",")&amp;",")),1,0)</f>
        <v>0</v>
      </c>
      <c r="BN30" s="11">
        <f>IF(ISNUMBER(SEARCH(",NKG2A,",","&amp;SUBSTITUTE(I30,", ",",")&amp;",")),1,0)</f>
        <v>0</v>
      </c>
      <c r="BO30" s="11">
        <f>IF(ISNUMBER(SEARCH(",NRAS,",","&amp;SUBSTITUTE(I30,", ",",")&amp;",")),1,0)</f>
        <v>0</v>
      </c>
      <c r="BP30" s="11">
        <f>IF(ISNUMBER(SEARCH(",NTRK,",","&amp;SUBSTITUTE(I30,", ",",")&amp;",")),1,0)</f>
        <v>0</v>
      </c>
      <c r="BQ30" s="11">
        <f>IF(ISNUMBER(SEARCH(",PARP,",","&amp;SUBSTITUTE(I30,", ",",")&amp;",")),1,0)</f>
        <v>0</v>
      </c>
      <c r="BR30" s="11">
        <f>IF(ISNUMBER(SEARCH(",PD-1,",","&amp;SUBSTITUTE(I30,", ",",")&amp;",")),1,0)</f>
        <v>0</v>
      </c>
      <c r="BS30" s="11">
        <f>IF(ISNUMBER(SEARCH(",PD-L1,",","&amp;SUBSTITUTE(I30,", ",",")&amp;",")),1,0)</f>
        <v>0</v>
      </c>
      <c r="BT30" s="11">
        <f>IF(ISNUMBER(SEARCH(",PRMT5,",","&amp;SUBSTITUTE(I30,", ",",")&amp;",")),1,0)</f>
        <v>0</v>
      </c>
      <c r="BU30" s="11">
        <f>IF(ISNUMBER(SEARCH(",RAS,",","&amp;SUBSTITUTE(I30,", ",",")&amp;",")),1,0)</f>
        <v>0</v>
      </c>
      <c r="BV30" s="11">
        <f>IF(ISNUMBER(SEARCH(",RET,",","&amp;SUBSTITUTE(I30,", ",",")&amp;",")),1,0)</f>
        <v>0</v>
      </c>
      <c r="BW30" s="11">
        <f>IF(ISNUMBER(SEARCH(",ROS,",","&amp;SUBSTITUTE(I30,", ",",")&amp;",")),1,0)</f>
        <v>0</v>
      </c>
      <c r="BX30" s="11">
        <f>IF(ISNUMBER(SEARCH(",ROS1,",","&amp;SUBSTITUTE(I30,", ",",")&amp;",")),1,0)</f>
        <v>0</v>
      </c>
      <c r="BY30" s="11">
        <f>IF(ISNUMBER(SEARCH(",Src,",","&amp;SUBSTITUTE(I30,", ",",")&amp;",")),1,0)</f>
        <v>0</v>
      </c>
      <c r="BZ30" s="11">
        <f>IF(ISNUMBER(SEARCH(",TCGF,",","&amp;SUBSTITUTE(I30,", ",",")&amp;",")),1,0)</f>
        <v>0</v>
      </c>
      <c r="CA30" s="11">
        <f>IF(ISNUMBER(SEARCH(",TGF-β,",","&amp;SUBSTITUTE(I30,", ",",")&amp;",")),1,0)</f>
        <v>0</v>
      </c>
      <c r="CB30" s="11">
        <f>IF(ISNUMBER(SEARCH(",TGF-β1,",","&amp;SUBSTITUTE(I30,", ",",")&amp;",")),1,0)</f>
        <v>0</v>
      </c>
      <c r="CC30" s="11">
        <f>IF(ISNUMBER(SEARCH(",TIGIT,",","&amp;SUBSTITUTE(I30,", ",",")&amp;",")),1,0)</f>
        <v>0</v>
      </c>
      <c r="CD30" s="11">
        <f>IF(ISNUMBER(SEARCH(",TLR,",","&amp;SUBSTITUTE(I30,", ",",")&amp;",")),1,0)</f>
        <v>0</v>
      </c>
      <c r="CE30" s="11">
        <f>IF(ISNUMBER(SEARCH(",TLR7/8,",","&amp;SUBSTITUTE(I30,", ",",")&amp;",")),1,0)</f>
        <v>0</v>
      </c>
      <c r="CF30" s="11">
        <f>IF(ISNUMBER(SEARCH(",TRK,",","&amp;SUBSTITUTE(I30,", ",",")&amp;",")),1,0)</f>
        <v>0</v>
      </c>
      <c r="CG30" s="11">
        <f>IF(ISNUMBER(SEARCH(",TROP2,",","&amp;SUBSTITUTE(I30,", ",",")&amp;",")),1,0)</f>
        <v>0</v>
      </c>
      <c r="CH30" s="11">
        <f>IF(ISNUMBER(SEARCH(",TS,",","&amp;SUBSTITUTE(I30,", ",",")&amp;",")),1,0)</f>
        <v>0</v>
      </c>
      <c r="CI30" s="11">
        <f>IF(ISNUMBER(SEARCH(",TYMS,",","&amp;SUBSTITUTE(I30,", ",",")&amp;",")),1,0)</f>
        <v>0</v>
      </c>
      <c r="CJ30" s="11">
        <f>IF(ISNUMBER(SEARCH(",VEGF,",","&amp;SUBSTITUTE(I30,", ",",")&amp;",")),1,0)</f>
        <v>0</v>
      </c>
      <c r="CK30" s="11">
        <f>IF(ISNUMBER(SEARCH(",VEGFA,",","&amp;SUBSTITUTE(I30,", ",",")&amp;",")),1,0)</f>
        <v>0</v>
      </c>
      <c r="CL30" s="11">
        <f>IF(ISNUMBER(SEARCH(",VEGFR2,",","&amp;SUBSTITUTE(I30,", ",",")&amp;",")),1,0)</f>
        <v>0</v>
      </c>
      <c r="CM30" s="11">
        <f>IF(ISNUMBER(SEARCH(",c-MET/MET,",","&amp;SUBSTITUTE(I30,", ",",")&amp;",")),1,0)</f>
        <v>0</v>
      </c>
      <c r="CN30" s="11">
        <f>IF(ISNUMBER(SEARCH(",p53,",","&amp;SUBSTITUTE(I30,", ",",")&amp;",")),1,0)</f>
        <v>0</v>
      </c>
      <c r="CO30" s="11">
        <f>IF(ISNUMBER(SEARCH(",pan-KRAS,",","&amp;SUBSTITUTE(I30,", ",",")&amp;",")),1,0)</f>
        <v>0</v>
      </c>
      <c r="CP30" s="11">
        <f>IF(ISNUMBER(SEARCH(",ALK,",","&amp;SUBSTITUTE(K30,", ",",")&amp;",")),1,0)</f>
        <v>0</v>
      </c>
      <c r="CQ30" s="11">
        <f>IF(ISNUMBER(SEARCH(",BRAF V600E,",","&amp;SUBSTITUTE(K30,", ",",")&amp;",")),1,0)</f>
        <v>0</v>
      </c>
      <c r="CR30" s="11">
        <f>IF(ISNUMBER(SEARCH(",EGFR,",","&amp;SUBSTITUTE(K30,", ",",")&amp;",")),1,0)</f>
        <v>0</v>
      </c>
      <c r="CS30" s="11">
        <f>IF(ISNUMBER(SEARCH(",EGFR Exon 18,",","&amp;SUBSTITUTE(K30,", ",",")&amp;",")),1,0)</f>
        <v>0</v>
      </c>
      <c r="CT30" s="11">
        <f>IF(ISNUMBER(SEARCH(",EGFR Exon 19-del,",","&amp;SUBSTITUTE(K30,", ",",")&amp;",")),1,0)</f>
        <v>0</v>
      </c>
      <c r="CU30" s="11">
        <f>IF(ISNUMBER(SEARCH(",EGFR Exon 20,",","&amp;SUBSTITUTE(K30,", ",",")&amp;",")),1,0)</f>
        <v>0</v>
      </c>
      <c r="CV30" s="11">
        <f>IF(ISNUMBER(SEARCH(",EGFR Exon 20-ins,",","&amp;SUBSTITUTE(K30,", ",",")&amp;",")),1,0)</f>
        <v>0</v>
      </c>
      <c r="CW30" s="11">
        <f>IF(ISNUMBER(SEARCH(",EGFR Exon 21,",","&amp;SUBSTITUTE(K30,", ",",")&amp;",")),1,0)</f>
        <v>0</v>
      </c>
      <c r="CX30" s="11">
        <f>IF(ISNUMBER(SEARCH(",EGFR G719A,",","&amp;SUBSTITUTE(K30,", ",",")&amp;",")),1,0)</f>
        <v>0</v>
      </c>
      <c r="CY30" s="11">
        <f>IF(ISNUMBER(SEARCH(",EGFR G719C,",","&amp;SUBSTITUTE(K30,", ",",")&amp;",")),1,0)</f>
        <v>0</v>
      </c>
      <c r="CZ30" s="11">
        <f>IF(ISNUMBER(SEARCH(",EGFR G719S,",","&amp;SUBSTITUTE(K30,", ",",")&amp;",")),1,0)</f>
        <v>0</v>
      </c>
      <c r="DA30" s="11">
        <f>IF(ISNUMBER(SEARCH(",EGFR G719X,",","&amp;SUBSTITUTE(K30,", ",",")&amp;",")),1,0)</f>
        <v>0</v>
      </c>
      <c r="DB30" s="11">
        <f>IF(ISNUMBER(SEARCH(",EGFR L858R,",","&amp;SUBSTITUTE(K30,", ",",")&amp;",")),1,0)</f>
        <v>0</v>
      </c>
      <c r="DC30" s="11">
        <f>IF(ISNUMBER(SEARCH(",EGFR L861Q,",","&amp;SUBSTITUTE(K30,", ",",")&amp;",")),1,0)</f>
        <v>0</v>
      </c>
      <c r="DD30" s="11">
        <f>IF(ISNUMBER(SEARCH(",EGFR PACC,",","&amp;SUBSTITUTE(K30,", ",",")&amp;",")),1,0)</f>
        <v>1</v>
      </c>
      <c r="DE30" s="11">
        <f>IF(ISNUMBER(SEARCH(",EGFR S768I,",","&amp;SUBSTITUTE(K30,", ",",")&amp;",")),1,0)</f>
        <v>0</v>
      </c>
      <c r="DF30" s="11">
        <f>IF(ISNUMBER(SEARCH(",EGFR T790M,",","&amp;SUBSTITUTE(K30,", ",",")&amp;",")),1,0)</f>
        <v>0</v>
      </c>
      <c r="DG30" s="11">
        <f>IF(ISNUMBER(SEARCH(",EML4-ALK,",","&amp;SUBSTITUTE(K30,", ",",")&amp;",")),1,0)</f>
        <v>0</v>
      </c>
      <c r="DH30" s="11">
        <f>IF(ISNUMBER(SEARCH(",HER2,",","&amp;SUBSTITUTE(K30,", ",",")&amp;",")),1,0)</f>
        <v>0</v>
      </c>
      <c r="DI30" s="11">
        <f>IF(ISNUMBER(SEARCH(",HER2 Exon 19,",","&amp;SUBSTITUTE(K30,", ",",")&amp;",")),1,0)</f>
        <v>0</v>
      </c>
      <c r="DJ30" s="11">
        <f>IF(ISNUMBER(SEARCH(",HER2 Exon 20,",","&amp;SUBSTITUTE(K30,", ",",")&amp;",")),1,0)</f>
        <v>0</v>
      </c>
      <c r="DK30" s="11">
        <f>IF(ISNUMBER(SEARCH(",HER2 mut,",","&amp;SUBSTITUTE(K30,", ",",")&amp;",")),1,0)</f>
        <v>0</v>
      </c>
      <c r="DL30" s="11">
        <f>IF(ISNUMBER(SEARCH(",HLA-A2,",","&amp;SUBSTITUTE(K30,", ",",")&amp;",")),1,0)</f>
        <v>0</v>
      </c>
      <c r="DM30" s="11">
        <f>IF(ISNUMBER(SEARCH(",HRAS,",","&amp;SUBSTITUTE(K30,", ",",")&amp;",")),1,0)</f>
        <v>0</v>
      </c>
      <c r="DN30" s="11">
        <f>IF(ISNUMBER(SEARCH(",KRAS,",","&amp;SUBSTITUTE(K30,", ",",")&amp;",")),1,0)</f>
        <v>0</v>
      </c>
      <c r="DO30" s="11">
        <f>IF(ISNUMBER(SEARCH(",KRAS G12C,",","&amp;SUBSTITUTE(K30,", ",",")&amp;",")),1,0)</f>
        <v>0</v>
      </c>
      <c r="DP30" s="11">
        <f>IF(ISNUMBER(SEARCH(",NRAS,",","&amp;SUBSTITUTE(K30,", ",",")&amp;",")),1,0)</f>
        <v>0</v>
      </c>
      <c r="DQ30" s="11">
        <f>IF(ISNUMBER(SEARCH(",NTRK,",","&amp;SUBSTITUTE(K30,", ",",")&amp;",")),1,0)</f>
        <v>0</v>
      </c>
      <c r="DR30" s="11">
        <f>IF(ISNUMBER(SEARCH(",PD-L1,",","&amp;SUBSTITUTE(K30,", ",",")&amp;",")),1,0)</f>
        <v>0</v>
      </c>
      <c r="DS30" s="11">
        <f>IF(ISNUMBER(SEARCH(",PD-L1 IC ≥ 1%,",","&amp;SUBSTITUTE(K30,", ",",")&amp;",")),1,0)</f>
        <v>0</v>
      </c>
      <c r="DT30" s="11">
        <f>IF(ISNUMBER(SEARCH(",PD-L1 TC ≥ 1%,",","&amp;SUBSTITUTE(K30,", ",",")&amp;",")),1,0)</f>
        <v>0</v>
      </c>
      <c r="DU30" s="11">
        <f>IF(ISNUMBER(SEARCH(",PD-L1 TC ≥ 50%,",","&amp;SUBSTITUTE(K30,", ",",")&amp;",")),1,0)</f>
        <v>0</v>
      </c>
      <c r="DV30" s="11">
        <f>IF(ISNUMBER(SEARCH(",PD-L1 TPS &lt; 50%,",","&amp;SUBSTITUTE(K30,", ",",")&amp;",")),1,0)</f>
        <v>0</v>
      </c>
      <c r="DW30" s="11">
        <f>IF(ISNUMBER(SEARCH(",PD-L1 TPS ≥ 1%,",","&amp;SUBSTITUTE(K30,", ",",")&amp;",")),1,0)</f>
        <v>0</v>
      </c>
      <c r="DX30" s="11">
        <f>IF(ISNUMBER(SEARCH(",PD-L1 TPS ≥ 50%,",","&amp;SUBSTITUTE(K30,", ",",")&amp;",")),1,0)</f>
        <v>0</v>
      </c>
      <c r="DY30" s="11">
        <f>IF(ISNUMBER(SEARCH(",RAS,",","&amp;SUBSTITUTE(K30,", ",",")&amp;",")),1,0)</f>
        <v>0</v>
      </c>
      <c r="DZ30" s="11">
        <f>IF(ISNUMBER(SEARCH(",RET,",","&amp;SUBSTITUTE(K30,", ",",")&amp;",")),1,0)</f>
        <v>0</v>
      </c>
      <c r="EA30" s="11">
        <f>IF(ISNUMBER(SEARCH(",ROS1,",","&amp;SUBSTITUTE(K30,", ",",")&amp;",")),1,0)</f>
        <v>0</v>
      </c>
      <c r="EB30" s="11">
        <f>IF(ISNUMBER(SEARCH(",TROP2,",","&amp;SUBSTITUTE(K30,", ",",")&amp;",")),1,0)</f>
        <v>0</v>
      </c>
      <c r="EC30" s="11">
        <f>IF(ISNUMBER(SEARCH(",c-MET/MET,",","&amp;SUBSTITUTE(K30,", ",",")&amp;",")),1,0)</f>
        <v>0</v>
      </c>
      <c r="ED30" s="11">
        <f>IF(ISNUMBER(SEARCH(",c-MET/MET Exon 14,",","&amp;SUBSTITUTE(K30,", ",",")&amp;",")),1,0)</f>
        <v>0</v>
      </c>
      <c r="EE30" s="11">
        <f>IF(ISNUMBER(SEARCH(",ctDNA/cfDNA,",","&amp;SUBSTITUTE(K30,", ",",")&amp;",")),1,0)</f>
        <v>0</v>
      </c>
    </row>
    <row r="31" spans="1:135" ht="15" customHeight="1" x14ac:dyDescent="0.2">
      <c r="A31" s="3" t="s">
        <v>1242</v>
      </c>
      <c r="B31" s="3" t="s">
        <v>1243</v>
      </c>
      <c r="C31" s="3" t="s">
        <v>1244</v>
      </c>
      <c r="D31" s="3" t="s">
        <v>1244</v>
      </c>
      <c r="E31" s="3"/>
      <c r="F31" s="3"/>
      <c r="G31" s="3"/>
      <c r="H31" s="3" t="s">
        <v>114</v>
      </c>
      <c r="I31" s="3" t="s">
        <v>355</v>
      </c>
      <c r="J31" s="3" t="s">
        <v>1246</v>
      </c>
      <c r="K31" s="3"/>
      <c r="L31" s="3" t="s">
        <v>119</v>
      </c>
      <c r="M31" s="3" t="s">
        <v>113</v>
      </c>
      <c r="N31" s="3" t="s">
        <v>120</v>
      </c>
      <c r="O31" s="3" t="s">
        <v>120</v>
      </c>
      <c r="P31" s="3" t="s">
        <v>1245</v>
      </c>
      <c r="Q31" s="10" t="str">
        <f>IF(F31="Stage IV","Stage IV Only",IF(AND(ISNUMBER(SEARCH("IV",F31)),LEN(F31)&gt;LEN("Stage IV")),"Stage IV + Other",IF(AND(ISNUMBER(SEARCH("III",F31)),NOT(ISNUMBER(SEARCH("IV",F31)))),"Stage III Only","Other")))</f>
        <v>Other</v>
      </c>
      <c r="R31" s="10" t="str">
        <f>IF(AND(ISNUMBER(SEARCH("Non-squamous",G31)),ISNUMBER(SEARCH("Squamous",SUBSTITUTE(G31,"Non-squamous","")))),"Both",IF(ISNUMBER(SEARCH("Non-squamous",G31)),"Non-squamous",IF(ISNUMBER(SEARCH("Squamous",G31)),"Squamous","Unspecified")))</f>
        <v>Unspecified</v>
      </c>
      <c r="S31" s="10" t="str">
        <f>IF(OR(ISNUMBER(SEARCH("TPS ≥ 50%",K31)),ISNUMBER(SEARCH("TC ≥ 50%",K31))),"TPS ≥ 50%",IF(OR(ISNUMBER(SEARCH("TPS ≥ 1%",K31)),ISNUMBER(SEARCH("TC ≥ 1%",K31)),ISNUMBER(SEARCH("TPS &lt; 50%",K31)),ISNUMBER(SEARCH("IC ≥ 1%",K31))),"TPS 1-49%","All-comers"))</f>
        <v>All-comers</v>
      </c>
      <c r="T31" s="10">
        <f>IF(H31="Phase III",1,0)</f>
        <v>1</v>
      </c>
      <c r="U31" s="10">
        <f>IF(L31="Yes",1,0)</f>
        <v>0</v>
      </c>
      <c r="V31" s="11">
        <f>IF(ISNUMBER(SEARCH(",ALK,",","&amp;SUBSTITUTE(I31,", ",",")&amp;",")),1,0)</f>
        <v>0</v>
      </c>
      <c r="W31" s="11">
        <f>IF(ISNUMBER(SEARCH(",ALK L1196M,",","&amp;SUBSTITUTE(I31,", ",",")&amp;",")),1,0)</f>
        <v>0</v>
      </c>
      <c r="X31" s="11">
        <f>IF(ISNUMBER(SEARCH(",AXL,",","&amp;SUBSTITUTE(I31,", ",",")&amp;",")),1,0)</f>
        <v>0</v>
      </c>
      <c r="Y31" s="11">
        <f>IF(ISNUMBER(SEARCH(",B7-H1,",","&amp;SUBSTITUTE(I31,", ",",")&amp;",")),1,0)</f>
        <v>1</v>
      </c>
      <c r="Z31" s="11">
        <f>IF(ISNUMBER(SEARCH(",CD152,",","&amp;SUBSTITUTE(I31,", ",",")&amp;",")),1,0)</f>
        <v>0</v>
      </c>
      <c r="AA31" s="11">
        <f>IF(ISNUMBER(SEARCH(",CD274,",","&amp;SUBSTITUTE(I31,", ",",")&amp;",")),1,0)</f>
        <v>1</v>
      </c>
      <c r="AB31" s="11">
        <f>IF(ISNUMBER(SEARCH(",CD279,",","&amp;SUBSTITUTE(I31,", ",",")&amp;",")),1,0)</f>
        <v>0</v>
      </c>
      <c r="AC31" s="11">
        <f>IF(ISNUMBER(SEARCH(",CD73,",","&amp;SUBSTITUTE(I31,", ",",")&amp;",")),1,0)</f>
        <v>0</v>
      </c>
      <c r="AD31" s="11">
        <f>IF(ISNUMBER(SEARCH(",CEA,",","&amp;SUBSTITUTE(I31,", ",",")&amp;",")),1,0)</f>
        <v>0</v>
      </c>
      <c r="AE31" s="11">
        <f>IF(ISNUMBER(SEARCH(",CTLA-4,",","&amp;SUBSTITUTE(I31,", ",",")&amp;",")),1,0)</f>
        <v>0</v>
      </c>
      <c r="AF31" s="11">
        <f>IF(ISNUMBER(SEARCH(",EGFR,",","&amp;SUBSTITUTE(I31,", ",",")&amp;",")),1,0)</f>
        <v>0</v>
      </c>
      <c r="AG31" s="11">
        <f>IF(ISNUMBER(SEARCH(",EGFR C797G,",","&amp;SUBSTITUTE(I31,", ",",")&amp;",")),1,0)</f>
        <v>0</v>
      </c>
      <c r="AH31" s="11">
        <f>IF(ISNUMBER(SEARCH(",EGFR C797S,",","&amp;SUBSTITUTE(I31,", ",",")&amp;",")),1,0)</f>
        <v>0</v>
      </c>
      <c r="AI31" s="11">
        <f>IF(ISNUMBER(SEARCH(",EGFR Exon 19-del,",","&amp;SUBSTITUTE(I31,", ",",")&amp;",")),1,0)</f>
        <v>0</v>
      </c>
      <c r="AJ31" s="11">
        <f>IF(ISNUMBER(SEARCH(",EGFR Exon 20,",","&amp;SUBSTITUTE(I31,", ",",")&amp;",")),1,0)</f>
        <v>0</v>
      </c>
      <c r="AK31" s="11">
        <f>IF(ISNUMBER(SEARCH(",EGFR L858R,",","&amp;SUBSTITUTE(I31,", ",",")&amp;",")),1,0)</f>
        <v>0</v>
      </c>
      <c r="AL31" s="11">
        <f>IF(ISNUMBER(SEARCH(",EGFR T790M,",","&amp;SUBSTITUTE(I31,", ",",")&amp;",")),1,0)</f>
        <v>0</v>
      </c>
      <c r="AM31" s="11">
        <f>IF(ISNUMBER(SEARCH(",ERBB,",","&amp;SUBSTITUTE(I31,", ",",")&amp;",")),1,0)</f>
        <v>0</v>
      </c>
      <c r="AN31" s="11">
        <f>IF(ISNUMBER(SEARCH(",ERBB3,",","&amp;SUBSTITUTE(I31,", ",",")&amp;",")),1,0)</f>
        <v>0</v>
      </c>
      <c r="AO31" s="11">
        <f>IF(ISNUMBER(SEARCH(",FAK,",","&amp;SUBSTITUTE(I31,", ",",")&amp;",")),1,0)</f>
        <v>0</v>
      </c>
      <c r="AP31" s="11">
        <f>IF(ISNUMBER(SEARCH(",GARP,",","&amp;SUBSTITUTE(I31,", ",",")&amp;",")),1,0)</f>
        <v>0</v>
      </c>
      <c r="AQ31" s="11">
        <f>IF(ISNUMBER(SEARCH(",HER1,",","&amp;SUBSTITUTE(I31,", ",",")&amp;",")),1,0)</f>
        <v>0</v>
      </c>
      <c r="AR31" s="11">
        <f>IF(ISNUMBER(SEARCH(",HER2,",","&amp;SUBSTITUTE(I31,", ",",")&amp;",")),1,0)</f>
        <v>0</v>
      </c>
      <c r="AS31" s="11">
        <f>IF(ISNUMBER(SEARCH(",HER2 Exon 20,",","&amp;SUBSTITUTE(I31,", ",",")&amp;",")),1,0)</f>
        <v>0</v>
      </c>
      <c r="AT31" s="11">
        <f>IF(ISNUMBER(SEARCH(",HER3,",","&amp;SUBSTITUTE(I31,", ",",")&amp;",")),1,0)</f>
        <v>0</v>
      </c>
      <c r="AU31" s="11">
        <f>IF(ISNUMBER(SEARCH(",HER4,",","&amp;SUBSTITUTE(I31,", ",",")&amp;",")),1,0)</f>
        <v>0</v>
      </c>
      <c r="AV31" s="11">
        <f>IF(ISNUMBER(SEARCH(",HRAS,",","&amp;SUBSTITUTE(I31,", ",",")&amp;",")),1,0)</f>
        <v>0</v>
      </c>
      <c r="AW31" s="11">
        <f>IF(ISNUMBER(SEARCH(",HSV-TK,",","&amp;SUBSTITUTE(I31,", ",",")&amp;",")),1,0)</f>
        <v>0</v>
      </c>
      <c r="AX31" s="11">
        <f>IF(ISNUMBER(SEARCH(",IL-12,",","&amp;SUBSTITUTE(I31,", ",",")&amp;",")),1,0)</f>
        <v>0</v>
      </c>
      <c r="AY31" s="11">
        <f>IF(ISNUMBER(SEARCH(",IL-15,",","&amp;SUBSTITUTE(I31,", ",",")&amp;",")),1,0)</f>
        <v>0</v>
      </c>
      <c r="AZ31" s="11">
        <f>IF(ISNUMBER(SEARCH(",IL-15R,",","&amp;SUBSTITUTE(I31,", ",",")&amp;",")),1,0)</f>
        <v>0</v>
      </c>
      <c r="BA31" s="11">
        <f>IF(ISNUMBER(SEARCH(",IL-2,",","&amp;SUBSTITUTE(I31,", ",",")&amp;",")),1,0)</f>
        <v>0</v>
      </c>
      <c r="BB31" s="11">
        <f>IF(ISNUMBER(SEARCH(",Integrin β6,",","&amp;SUBSTITUTE(I31,", ",",")&amp;",")),1,0)</f>
        <v>0</v>
      </c>
      <c r="BC31" s="11">
        <f>IF(ISNUMBER(SEARCH(",KDR,",","&amp;SUBSTITUTE(I31,", ",",")&amp;",")),1,0)</f>
        <v>0</v>
      </c>
      <c r="BD31" s="11">
        <f>IF(ISNUMBER(SEARCH(",KLRC1,",","&amp;SUBSTITUTE(I31,", ",",")&amp;",")),1,0)</f>
        <v>0</v>
      </c>
      <c r="BE31" s="11">
        <f>IF(ISNUMBER(SEARCH(",KRAS,",","&amp;SUBSTITUTE(I31,", ",",")&amp;",")),1,0)</f>
        <v>0</v>
      </c>
      <c r="BF31" s="11">
        <f>IF(ISNUMBER(SEARCH(",KRAS G12,",","&amp;SUBSTITUTE(I31,", ",",")&amp;",")),1,0)</f>
        <v>0</v>
      </c>
      <c r="BG31" s="11">
        <f>IF(ISNUMBER(SEARCH(",KRAS G12C,",","&amp;SUBSTITUTE(I31,", ",",")&amp;",")),1,0)</f>
        <v>0</v>
      </c>
      <c r="BH31" s="11">
        <f>IF(ISNUMBER(SEARCH(",KRAS G12D,",","&amp;SUBSTITUTE(I31,", ",",")&amp;",")),1,0)</f>
        <v>0</v>
      </c>
      <c r="BI31" s="11">
        <f>IF(ISNUMBER(SEARCH(",LAG-3,",","&amp;SUBSTITUTE(I31,", ",",")&amp;",")),1,0)</f>
        <v>0</v>
      </c>
      <c r="BJ31" s="11">
        <f>IF(ISNUMBER(SEARCH(",MAGE-A2,",","&amp;SUBSTITUTE(I31,", ",",")&amp;",")),1,0)</f>
        <v>0</v>
      </c>
      <c r="BK31" s="11">
        <f>IF(ISNUMBER(SEARCH(",MAGE-A3,",","&amp;SUBSTITUTE(I31,", ",",")&amp;",")),1,0)</f>
        <v>0</v>
      </c>
      <c r="BL31" s="11">
        <f>IF(ISNUMBER(SEARCH(",MLN19,",","&amp;SUBSTITUTE(I31,", ",",")&amp;",")),1,0)</f>
        <v>0</v>
      </c>
      <c r="BM31" s="11">
        <f>IF(ISNUMBER(SEARCH(",Microtubule,",","&amp;SUBSTITUTE(I31,", ",",")&amp;",")),1,0)</f>
        <v>0</v>
      </c>
      <c r="BN31" s="11">
        <f>IF(ISNUMBER(SEARCH(",NKG2A,",","&amp;SUBSTITUTE(I31,", ",",")&amp;",")),1,0)</f>
        <v>0</v>
      </c>
      <c r="BO31" s="11">
        <f>IF(ISNUMBER(SEARCH(",NRAS,",","&amp;SUBSTITUTE(I31,", ",",")&amp;",")),1,0)</f>
        <v>0</v>
      </c>
      <c r="BP31" s="11">
        <f>IF(ISNUMBER(SEARCH(",NTRK,",","&amp;SUBSTITUTE(I31,", ",",")&amp;",")),1,0)</f>
        <v>0</v>
      </c>
      <c r="BQ31" s="11">
        <f>IF(ISNUMBER(SEARCH(",PARP,",","&amp;SUBSTITUTE(I31,", ",",")&amp;",")),1,0)</f>
        <v>0</v>
      </c>
      <c r="BR31" s="11">
        <f>IF(ISNUMBER(SEARCH(",PD-1,",","&amp;SUBSTITUTE(I31,", ",",")&amp;",")),1,0)</f>
        <v>0</v>
      </c>
      <c r="BS31" s="11">
        <f>IF(ISNUMBER(SEARCH(",PD-L1,",","&amp;SUBSTITUTE(I31,", ",",")&amp;",")),1,0)</f>
        <v>1</v>
      </c>
      <c r="BT31" s="11">
        <f>IF(ISNUMBER(SEARCH(",PRMT5,",","&amp;SUBSTITUTE(I31,", ",",")&amp;",")),1,0)</f>
        <v>0</v>
      </c>
      <c r="BU31" s="11">
        <f>IF(ISNUMBER(SEARCH(",RAS,",","&amp;SUBSTITUTE(I31,", ",",")&amp;",")),1,0)</f>
        <v>0</v>
      </c>
      <c r="BV31" s="11">
        <f>IF(ISNUMBER(SEARCH(",RET,",","&amp;SUBSTITUTE(I31,", ",",")&amp;",")),1,0)</f>
        <v>0</v>
      </c>
      <c r="BW31" s="11">
        <f>IF(ISNUMBER(SEARCH(",ROS,",","&amp;SUBSTITUTE(I31,", ",",")&amp;",")),1,0)</f>
        <v>0</v>
      </c>
      <c r="BX31" s="11">
        <f>IF(ISNUMBER(SEARCH(",ROS1,",","&amp;SUBSTITUTE(I31,", ",",")&amp;",")),1,0)</f>
        <v>0</v>
      </c>
      <c r="BY31" s="11">
        <f>IF(ISNUMBER(SEARCH(",Src,",","&amp;SUBSTITUTE(I31,", ",",")&amp;",")),1,0)</f>
        <v>0</v>
      </c>
      <c r="BZ31" s="11">
        <f>IF(ISNUMBER(SEARCH(",TCGF,",","&amp;SUBSTITUTE(I31,", ",",")&amp;",")),1,0)</f>
        <v>0</v>
      </c>
      <c r="CA31" s="11">
        <f>IF(ISNUMBER(SEARCH(",TGF-β,",","&amp;SUBSTITUTE(I31,", ",",")&amp;",")),1,0)</f>
        <v>0</v>
      </c>
      <c r="CB31" s="11">
        <f>IF(ISNUMBER(SEARCH(",TGF-β1,",","&amp;SUBSTITUTE(I31,", ",",")&amp;",")),1,0)</f>
        <v>0</v>
      </c>
      <c r="CC31" s="11">
        <f>IF(ISNUMBER(SEARCH(",TIGIT,",","&amp;SUBSTITUTE(I31,", ",",")&amp;",")),1,0)</f>
        <v>0</v>
      </c>
      <c r="CD31" s="11">
        <f>IF(ISNUMBER(SEARCH(",TLR,",","&amp;SUBSTITUTE(I31,", ",",")&amp;",")),1,0)</f>
        <v>0</v>
      </c>
      <c r="CE31" s="11">
        <f>IF(ISNUMBER(SEARCH(",TLR7/8,",","&amp;SUBSTITUTE(I31,", ",",")&amp;",")),1,0)</f>
        <v>0</v>
      </c>
      <c r="CF31" s="11">
        <f>IF(ISNUMBER(SEARCH(",TRK,",","&amp;SUBSTITUTE(I31,", ",",")&amp;",")),1,0)</f>
        <v>0</v>
      </c>
      <c r="CG31" s="11">
        <f>IF(ISNUMBER(SEARCH(",TROP2,",","&amp;SUBSTITUTE(I31,", ",",")&amp;",")),1,0)</f>
        <v>0</v>
      </c>
      <c r="CH31" s="11">
        <f>IF(ISNUMBER(SEARCH(",TS,",","&amp;SUBSTITUTE(I31,", ",",")&amp;",")),1,0)</f>
        <v>0</v>
      </c>
      <c r="CI31" s="11">
        <f>IF(ISNUMBER(SEARCH(",TYMS,",","&amp;SUBSTITUTE(I31,", ",",")&amp;",")),1,0)</f>
        <v>0</v>
      </c>
      <c r="CJ31" s="11">
        <f>IF(ISNUMBER(SEARCH(",VEGF,",","&amp;SUBSTITUTE(I31,", ",",")&amp;",")),1,0)</f>
        <v>0</v>
      </c>
      <c r="CK31" s="11">
        <f>IF(ISNUMBER(SEARCH(",VEGFA,",","&amp;SUBSTITUTE(I31,", ",",")&amp;",")),1,0)</f>
        <v>0</v>
      </c>
      <c r="CL31" s="11">
        <f>IF(ISNUMBER(SEARCH(",VEGFR2,",","&amp;SUBSTITUTE(I31,", ",",")&amp;",")),1,0)</f>
        <v>0</v>
      </c>
      <c r="CM31" s="11">
        <f>IF(ISNUMBER(SEARCH(",c-MET/MET,",","&amp;SUBSTITUTE(I31,", ",",")&amp;",")),1,0)</f>
        <v>0</v>
      </c>
      <c r="CN31" s="11">
        <f>IF(ISNUMBER(SEARCH(",p53,",","&amp;SUBSTITUTE(I31,", ",",")&amp;",")),1,0)</f>
        <v>0</v>
      </c>
      <c r="CO31" s="11">
        <f>IF(ISNUMBER(SEARCH(",pan-KRAS,",","&amp;SUBSTITUTE(I31,", ",",")&amp;",")),1,0)</f>
        <v>0</v>
      </c>
      <c r="CP31" s="11">
        <f>IF(ISNUMBER(SEARCH(",ALK,",","&amp;SUBSTITUTE(K31,", ",",")&amp;",")),1,0)</f>
        <v>0</v>
      </c>
      <c r="CQ31" s="11">
        <f>IF(ISNUMBER(SEARCH(",BRAF V600E,",","&amp;SUBSTITUTE(K31,", ",",")&amp;",")),1,0)</f>
        <v>0</v>
      </c>
      <c r="CR31" s="11">
        <f>IF(ISNUMBER(SEARCH(",EGFR,",","&amp;SUBSTITUTE(K31,", ",",")&amp;",")),1,0)</f>
        <v>0</v>
      </c>
      <c r="CS31" s="11">
        <f>IF(ISNUMBER(SEARCH(",EGFR Exon 18,",","&amp;SUBSTITUTE(K31,", ",",")&amp;",")),1,0)</f>
        <v>0</v>
      </c>
      <c r="CT31" s="11">
        <f>IF(ISNUMBER(SEARCH(",EGFR Exon 19-del,",","&amp;SUBSTITUTE(K31,", ",",")&amp;",")),1,0)</f>
        <v>0</v>
      </c>
      <c r="CU31" s="11">
        <f>IF(ISNUMBER(SEARCH(",EGFR Exon 20,",","&amp;SUBSTITUTE(K31,", ",",")&amp;",")),1,0)</f>
        <v>0</v>
      </c>
      <c r="CV31" s="11">
        <f>IF(ISNUMBER(SEARCH(",EGFR Exon 20-ins,",","&amp;SUBSTITUTE(K31,", ",",")&amp;",")),1,0)</f>
        <v>0</v>
      </c>
      <c r="CW31" s="11">
        <f>IF(ISNUMBER(SEARCH(",EGFR Exon 21,",","&amp;SUBSTITUTE(K31,", ",",")&amp;",")),1,0)</f>
        <v>0</v>
      </c>
      <c r="CX31" s="11">
        <f>IF(ISNUMBER(SEARCH(",EGFR G719A,",","&amp;SUBSTITUTE(K31,", ",",")&amp;",")),1,0)</f>
        <v>0</v>
      </c>
      <c r="CY31" s="11">
        <f>IF(ISNUMBER(SEARCH(",EGFR G719C,",","&amp;SUBSTITUTE(K31,", ",",")&amp;",")),1,0)</f>
        <v>0</v>
      </c>
      <c r="CZ31" s="11">
        <f>IF(ISNUMBER(SEARCH(",EGFR G719S,",","&amp;SUBSTITUTE(K31,", ",",")&amp;",")),1,0)</f>
        <v>0</v>
      </c>
      <c r="DA31" s="11">
        <f>IF(ISNUMBER(SEARCH(",EGFR G719X,",","&amp;SUBSTITUTE(K31,", ",",")&amp;",")),1,0)</f>
        <v>0</v>
      </c>
      <c r="DB31" s="11">
        <f>IF(ISNUMBER(SEARCH(",EGFR L858R,",","&amp;SUBSTITUTE(K31,", ",",")&amp;",")),1,0)</f>
        <v>0</v>
      </c>
      <c r="DC31" s="11">
        <f>IF(ISNUMBER(SEARCH(",EGFR L861Q,",","&amp;SUBSTITUTE(K31,", ",",")&amp;",")),1,0)</f>
        <v>0</v>
      </c>
      <c r="DD31" s="11">
        <f>IF(ISNUMBER(SEARCH(",EGFR PACC,",","&amp;SUBSTITUTE(K31,", ",",")&amp;",")),1,0)</f>
        <v>0</v>
      </c>
      <c r="DE31" s="11">
        <f>IF(ISNUMBER(SEARCH(",EGFR S768I,",","&amp;SUBSTITUTE(K31,", ",",")&amp;",")),1,0)</f>
        <v>0</v>
      </c>
      <c r="DF31" s="11">
        <f>IF(ISNUMBER(SEARCH(",EGFR T790M,",","&amp;SUBSTITUTE(K31,", ",",")&amp;",")),1,0)</f>
        <v>0</v>
      </c>
      <c r="DG31" s="11">
        <f>IF(ISNUMBER(SEARCH(",EML4-ALK,",","&amp;SUBSTITUTE(K31,", ",",")&amp;",")),1,0)</f>
        <v>0</v>
      </c>
      <c r="DH31" s="11">
        <f>IF(ISNUMBER(SEARCH(",HER2,",","&amp;SUBSTITUTE(K31,", ",",")&amp;",")),1,0)</f>
        <v>0</v>
      </c>
      <c r="DI31" s="11">
        <f>IF(ISNUMBER(SEARCH(",HER2 Exon 19,",","&amp;SUBSTITUTE(K31,", ",",")&amp;",")),1,0)</f>
        <v>0</v>
      </c>
      <c r="DJ31" s="11">
        <f>IF(ISNUMBER(SEARCH(",HER2 Exon 20,",","&amp;SUBSTITUTE(K31,", ",",")&amp;",")),1,0)</f>
        <v>0</v>
      </c>
      <c r="DK31" s="11">
        <f>IF(ISNUMBER(SEARCH(",HER2 mut,",","&amp;SUBSTITUTE(K31,", ",",")&amp;",")),1,0)</f>
        <v>0</v>
      </c>
      <c r="DL31" s="11">
        <f>IF(ISNUMBER(SEARCH(",HLA-A2,",","&amp;SUBSTITUTE(K31,", ",",")&amp;",")),1,0)</f>
        <v>0</v>
      </c>
      <c r="DM31" s="11">
        <f>IF(ISNUMBER(SEARCH(",HRAS,",","&amp;SUBSTITUTE(K31,", ",",")&amp;",")),1,0)</f>
        <v>0</v>
      </c>
      <c r="DN31" s="11">
        <f>IF(ISNUMBER(SEARCH(",KRAS,",","&amp;SUBSTITUTE(K31,", ",",")&amp;",")),1,0)</f>
        <v>0</v>
      </c>
      <c r="DO31" s="11">
        <f>IF(ISNUMBER(SEARCH(",KRAS G12C,",","&amp;SUBSTITUTE(K31,", ",",")&amp;",")),1,0)</f>
        <v>0</v>
      </c>
      <c r="DP31" s="11">
        <f>IF(ISNUMBER(SEARCH(",NRAS,",","&amp;SUBSTITUTE(K31,", ",",")&amp;",")),1,0)</f>
        <v>0</v>
      </c>
      <c r="DQ31" s="11">
        <f>IF(ISNUMBER(SEARCH(",NTRK,",","&amp;SUBSTITUTE(K31,", ",",")&amp;",")),1,0)</f>
        <v>0</v>
      </c>
      <c r="DR31" s="11">
        <f>IF(ISNUMBER(SEARCH(",PD-L1,",","&amp;SUBSTITUTE(K31,", ",",")&amp;",")),1,0)</f>
        <v>0</v>
      </c>
      <c r="DS31" s="11">
        <f>IF(ISNUMBER(SEARCH(",PD-L1 IC ≥ 1%,",","&amp;SUBSTITUTE(K31,", ",",")&amp;",")),1,0)</f>
        <v>0</v>
      </c>
      <c r="DT31" s="11">
        <f>IF(ISNUMBER(SEARCH(",PD-L1 TC ≥ 1%,",","&amp;SUBSTITUTE(K31,", ",",")&amp;",")),1,0)</f>
        <v>0</v>
      </c>
      <c r="DU31" s="11">
        <f>IF(ISNUMBER(SEARCH(",PD-L1 TC ≥ 50%,",","&amp;SUBSTITUTE(K31,", ",",")&amp;",")),1,0)</f>
        <v>0</v>
      </c>
      <c r="DV31" s="11">
        <f>IF(ISNUMBER(SEARCH(",PD-L1 TPS &lt; 50%,",","&amp;SUBSTITUTE(K31,", ",",")&amp;",")),1,0)</f>
        <v>0</v>
      </c>
      <c r="DW31" s="11">
        <f>IF(ISNUMBER(SEARCH(",PD-L1 TPS ≥ 1%,",","&amp;SUBSTITUTE(K31,", ",",")&amp;",")),1,0)</f>
        <v>0</v>
      </c>
      <c r="DX31" s="11">
        <f>IF(ISNUMBER(SEARCH(",PD-L1 TPS ≥ 50%,",","&amp;SUBSTITUTE(K31,", ",",")&amp;",")),1,0)</f>
        <v>0</v>
      </c>
      <c r="DY31" s="11">
        <f>IF(ISNUMBER(SEARCH(",RAS,",","&amp;SUBSTITUTE(K31,", ",",")&amp;",")),1,0)</f>
        <v>0</v>
      </c>
      <c r="DZ31" s="11">
        <f>IF(ISNUMBER(SEARCH(",RET,",","&amp;SUBSTITUTE(K31,", ",",")&amp;",")),1,0)</f>
        <v>0</v>
      </c>
      <c r="EA31" s="11">
        <f>IF(ISNUMBER(SEARCH(",ROS1,",","&amp;SUBSTITUTE(K31,", ",",")&amp;",")),1,0)</f>
        <v>0</v>
      </c>
      <c r="EB31" s="11">
        <f>IF(ISNUMBER(SEARCH(",TROP2,",","&amp;SUBSTITUTE(K31,", ",",")&amp;",")),1,0)</f>
        <v>0</v>
      </c>
      <c r="EC31" s="11">
        <f>IF(ISNUMBER(SEARCH(",c-MET/MET,",","&amp;SUBSTITUTE(K31,", ",",")&amp;",")),1,0)</f>
        <v>0</v>
      </c>
      <c r="ED31" s="11">
        <f>IF(ISNUMBER(SEARCH(",c-MET/MET Exon 14,",","&amp;SUBSTITUTE(K31,", ",",")&amp;",")),1,0)</f>
        <v>0</v>
      </c>
      <c r="EE31" s="11">
        <f>IF(ISNUMBER(SEARCH(",ctDNA/cfDNA,",","&amp;SUBSTITUTE(K31,", ",",")&amp;",")),1,0)</f>
        <v>0</v>
      </c>
    </row>
    <row r="32" spans="1:135" ht="15" customHeight="1" x14ac:dyDescent="0.2">
      <c r="A32" s="5" t="s">
        <v>1319</v>
      </c>
      <c r="B32" s="5" t="s">
        <v>1320</v>
      </c>
      <c r="C32" s="5" t="s">
        <v>1321</v>
      </c>
      <c r="D32" s="5" t="s">
        <v>529</v>
      </c>
      <c r="E32" s="5"/>
      <c r="F32" s="5"/>
      <c r="G32" s="5"/>
      <c r="H32" s="5" t="s">
        <v>114</v>
      </c>
      <c r="I32" s="5" t="s">
        <v>1324</v>
      </c>
      <c r="J32" s="5" t="s">
        <v>1323</v>
      </c>
      <c r="K32" s="5"/>
      <c r="L32" s="5" t="s">
        <v>119</v>
      </c>
      <c r="M32" s="5" t="s">
        <v>113</v>
      </c>
      <c r="N32" s="5" t="s">
        <v>120</v>
      </c>
      <c r="O32" s="5" t="s">
        <v>120</v>
      </c>
      <c r="P32" s="5" t="s">
        <v>1322</v>
      </c>
      <c r="Q32" s="10" t="str">
        <f>IF(F32="Stage IV","Stage IV Only",IF(AND(ISNUMBER(SEARCH("IV",F32)),LEN(F32)&gt;LEN("Stage IV")),"Stage IV + Other",IF(AND(ISNUMBER(SEARCH("III",F32)),NOT(ISNUMBER(SEARCH("IV",F32)))),"Stage III Only","Other")))</f>
        <v>Other</v>
      </c>
      <c r="R32" s="10" t="str">
        <f>IF(AND(ISNUMBER(SEARCH("Non-squamous",G32)),ISNUMBER(SEARCH("Squamous",SUBSTITUTE(G32,"Non-squamous","")))),"Both",IF(ISNUMBER(SEARCH("Non-squamous",G32)),"Non-squamous",IF(ISNUMBER(SEARCH("Squamous",G32)),"Squamous","Unspecified")))</f>
        <v>Unspecified</v>
      </c>
      <c r="S32" s="10" t="str">
        <f>IF(OR(ISNUMBER(SEARCH("TPS ≥ 50%",K32)),ISNUMBER(SEARCH("TC ≥ 50%",K32))),"TPS ≥ 50%",IF(OR(ISNUMBER(SEARCH("TPS ≥ 1%",K32)),ISNUMBER(SEARCH("TC ≥ 1%",K32)),ISNUMBER(SEARCH("TPS &lt; 50%",K32)),ISNUMBER(SEARCH("IC ≥ 1%",K32))),"TPS 1-49%","All-comers"))</f>
        <v>All-comers</v>
      </c>
      <c r="T32" s="10">
        <f>IF(H32="Phase III",1,0)</f>
        <v>1</v>
      </c>
      <c r="U32" s="10">
        <f>IF(L32="Yes",1,0)</f>
        <v>0</v>
      </c>
      <c r="V32" s="11">
        <f>IF(ISNUMBER(SEARCH(",ALK,",","&amp;SUBSTITUTE(I32,", ",",")&amp;",")),1,0)</f>
        <v>0</v>
      </c>
      <c r="W32" s="11">
        <f>IF(ISNUMBER(SEARCH(",ALK L1196M,",","&amp;SUBSTITUTE(I32,", ",",")&amp;",")),1,0)</f>
        <v>0</v>
      </c>
      <c r="X32" s="11">
        <f>IF(ISNUMBER(SEARCH(",AXL,",","&amp;SUBSTITUTE(I32,", ",",")&amp;",")),1,0)</f>
        <v>0</v>
      </c>
      <c r="Y32" s="11">
        <f>IF(ISNUMBER(SEARCH(",B7-H1,",","&amp;SUBSTITUTE(I32,", ",",")&amp;",")),1,0)</f>
        <v>0</v>
      </c>
      <c r="Z32" s="11">
        <f>IF(ISNUMBER(SEARCH(",CD152,",","&amp;SUBSTITUTE(I32,", ",",")&amp;",")),1,0)</f>
        <v>0</v>
      </c>
      <c r="AA32" s="11">
        <f>IF(ISNUMBER(SEARCH(",CD274,",","&amp;SUBSTITUTE(I32,", ",",")&amp;",")),1,0)</f>
        <v>0</v>
      </c>
      <c r="AB32" s="11">
        <f>IF(ISNUMBER(SEARCH(",CD279,",","&amp;SUBSTITUTE(I32,", ",",")&amp;",")),1,0)</f>
        <v>1</v>
      </c>
      <c r="AC32" s="11">
        <f>IF(ISNUMBER(SEARCH(",CD73,",","&amp;SUBSTITUTE(I32,", ",",")&amp;",")),1,0)</f>
        <v>0</v>
      </c>
      <c r="AD32" s="11">
        <f>IF(ISNUMBER(SEARCH(",CEA,",","&amp;SUBSTITUTE(I32,", ",",")&amp;",")),1,0)</f>
        <v>0</v>
      </c>
      <c r="AE32" s="11">
        <f>IF(ISNUMBER(SEARCH(",CTLA-4,",","&amp;SUBSTITUTE(I32,", ",",")&amp;",")),1,0)</f>
        <v>0</v>
      </c>
      <c r="AF32" s="11">
        <f>IF(ISNUMBER(SEARCH(",EGFR,",","&amp;SUBSTITUTE(I32,", ",",")&amp;",")),1,0)</f>
        <v>0</v>
      </c>
      <c r="AG32" s="11">
        <f>IF(ISNUMBER(SEARCH(",EGFR C797G,",","&amp;SUBSTITUTE(I32,", ",",")&amp;",")),1,0)</f>
        <v>0</v>
      </c>
      <c r="AH32" s="11">
        <f>IF(ISNUMBER(SEARCH(",EGFR C797S,",","&amp;SUBSTITUTE(I32,", ",",")&amp;",")),1,0)</f>
        <v>0</v>
      </c>
      <c r="AI32" s="11">
        <f>IF(ISNUMBER(SEARCH(",EGFR Exon 19-del,",","&amp;SUBSTITUTE(I32,", ",",")&amp;",")),1,0)</f>
        <v>0</v>
      </c>
      <c r="AJ32" s="11">
        <f>IF(ISNUMBER(SEARCH(",EGFR Exon 20,",","&amp;SUBSTITUTE(I32,", ",",")&amp;",")),1,0)</f>
        <v>0</v>
      </c>
      <c r="AK32" s="11">
        <f>IF(ISNUMBER(SEARCH(",EGFR L858R,",","&amp;SUBSTITUTE(I32,", ",",")&amp;",")),1,0)</f>
        <v>0</v>
      </c>
      <c r="AL32" s="11">
        <f>IF(ISNUMBER(SEARCH(",EGFR T790M,",","&amp;SUBSTITUTE(I32,", ",",")&amp;",")),1,0)</f>
        <v>0</v>
      </c>
      <c r="AM32" s="11">
        <f>IF(ISNUMBER(SEARCH(",ERBB,",","&amp;SUBSTITUTE(I32,", ",",")&amp;",")),1,0)</f>
        <v>0</v>
      </c>
      <c r="AN32" s="11">
        <f>IF(ISNUMBER(SEARCH(",ERBB3,",","&amp;SUBSTITUTE(I32,", ",",")&amp;",")),1,0)</f>
        <v>0</v>
      </c>
      <c r="AO32" s="11">
        <f>IF(ISNUMBER(SEARCH(",FAK,",","&amp;SUBSTITUTE(I32,", ",",")&amp;",")),1,0)</f>
        <v>0</v>
      </c>
      <c r="AP32" s="11">
        <f>IF(ISNUMBER(SEARCH(",GARP,",","&amp;SUBSTITUTE(I32,", ",",")&amp;",")),1,0)</f>
        <v>0</v>
      </c>
      <c r="AQ32" s="11">
        <f>IF(ISNUMBER(SEARCH(",HER1,",","&amp;SUBSTITUTE(I32,", ",",")&amp;",")),1,0)</f>
        <v>0</v>
      </c>
      <c r="AR32" s="11">
        <f>IF(ISNUMBER(SEARCH(",HER2,",","&amp;SUBSTITUTE(I32,", ",",")&amp;",")),1,0)</f>
        <v>0</v>
      </c>
      <c r="AS32" s="11">
        <f>IF(ISNUMBER(SEARCH(",HER2 Exon 20,",","&amp;SUBSTITUTE(I32,", ",",")&amp;",")),1,0)</f>
        <v>0</v>
      </c>
      <c r="AT32" s="11">
        <f>IF(ISNUMBER(SEARCH(",HER3,",","&amp;SUBSTITUTE(I32,", ",",")&amp;",")),1,0)</f>
        <v>0</v>
      </c>
      <c r="AU32" s="11">
        <f>IF(ISNUMBER(SEARCH(",HER4,",","&amp;SUBSTITUTE(I32,", ",",")&amp;",")),1,0)</f>
        <v>0</v>
      </c>
      <c r="AV32" s="11">
        <f>IF(ISNUMBER(SEARCH(",HRAS,",","&amp;SUBSTITUTE(I32,", ",",")&amp;",")),1,0)</f>
        <v>0</v>
      </c>
      <c r="AW32" s="11">
        <f>IF(ISNUMBER(SEARCH(",HSV-TK,",","&amp;SUBSTITUTE(I32,", ",",")&amp;",")),1,0)</f>
        <v>0</v>
      </c>
      <c r="AX32" s="11">
        <f>IF(ISNUMBER(SEARCH(",IL-12,",","&amp;SUBSTITUTE(I32,", ",",")&amp;",")),1,0)</f>
        <v>0</v>
      </c>
      <c r="AY32" s="11">
        <f>IF(ISNUMBER(SEARCH(",IL-15,",","&amp;SUBSTITUTE(I32,", ",",")&amp;",")),1,0)</f>
        <v>0</v>
      </c>
      <c r="AZ32" s="11">
        <f>IF(ISNUMBER(SEARCH(",IL-15R,",","&amp;SUBSTITUTE(I32,", ",",")&amp;",")),1,0)</f>
        <v>0</v>
      </c>
      <c r="BA32" s="11">
        <f>IF(ISNUMBER(SEARCH(",IL-2,",","&amp;SUBSTITUTE(I32,", ",",")&amp;",")),1,0)</f>
        <v>1</v>
      </c>
      <c r="BB32" s="11">
        <f>IF(ISNUMBER(SEARCH(",Integrin β6,",","&amp;SUBSTITUTE(I32,", ",",")&amp;",")),1,0)</f>
        <v>0</v>
      </c>
      <c r="BC32" s="11">
        <f>IF(ISNUMBER(SEARCH(",KDR,",","&amp;SUBSTITUTE(I32,", ",",")&amp;",")),1,0)</f>
        <v>0</v>
      </c>
      <c r="BD32" s="11">
        <f>IF(ISNUMBER(SEARCH(",KLRC1,",","&amp;SUBSTITUTE(I32,", ",",")&amp;",")),1,0)</f>
        <v>0</v>
      </c>
      <c r="BE32" s="11">
        <f>IF(ISNUMBER(SEARCH(",KRAS,",","&amp;SUBSTITUTE(I32,", ",",")&amp;",")),1,0)</f>
        <v>0</v>
      </c>
      <c r="BF32" s="11">
        <f>IF(ISNUMBER(SEARCH(",KRAS G12,",","&amp;SUBSTITUTE(I32,", ",",")&amp;",")),1,0)</f>
        <v>0</v>
      </c>
      <c r="BG32" s="11">
        <f>IF(ISNUMBER(SEARCH(",KRAS G12C,",","&amp;SUBSTITUTE(I32,", ",",")&amp;",")),1,0)</f>
        <v>0</v>
      </c>
      <c r="BH32" s="11">
        <f>IF(ISNUMBER(SEARCH(",KRAS G12D,",","&amp;SUBSTITUTE(I32,", ",",")&amp;",")),1,0)</f>
        <v>0</v>
      </c>
      <c r="BI32" s="11">
        <f>IF(ISNUMBER(SEARCH(",LAG-3,",","&amp;SUBSTITUTE(I32,", ",",")&amp;",")),1,0)</f>
        <v>0</v>
      </c>
      <c r="BJ32" s="11">
        <f>IF(ISNUMBER(SEARCH(",MAGE-A2,",","&amp;SUBSTITUTE(I32,", ",",")&amp;",")),1,0)</f>
        <v>0</v>
      </c>
      <c r="BK32" s="11">
        <f>IF(ISNUMBER(SEARCH(",MAGE-A3,",","&amp;SUBSTITUTE(I32,", ",",")&amp;",")),1,0)</f>
        <v>0</v>
      </c>
      <c r="BL32" s="11">
        <f>IF(ISNUMBER(SEARCH(",MLN19,",","&amp;SUBSTITUTE(I32,", ",",")&amp;",")),1,0)</f>
        <v>0</v>
      </c>
      <c r="BM32" s="11">
        <f>IF(ISNUMBER(SEARCH(",Microtubule,",","&amp;SUBSTITUTE(I32,", ",",")&amp;",")),1,0)</f>
        <v>0</v>
      </c>
      <c r="BN32" s="11">
        <f>IF(ISNUMBER(SEARCH(",NKG2A,",","&amp;SUBSTITUTE(I32,", ",",")&amp;",")),1,0)</f>
        <v>0</v>
      </c>
      <c r="BO32" s="11">
        <f>IF(ISNUMBER(SEARCH(",NRAS,",","&amp;SUBSTITUTE(I32,", ",",")&amp;",")),1,0)</f>
        <v>0</v>
      </c>
      <c r="BP32" s="11">
        <f>IF(ISNUMBER(SEARCH(",NTRK,",","&amp;SUBSTITUTE(I32,", ",",")&amp;",")),1,0)</f>
        <v>0</v>
      </c>
      <c r="BQ32" s="11">
        <f>IF(ISNUMBER(SEARCH(",PARP,",","&amp;SUBSTITUTE(I32,", ",",")&amp;",")),1,0)</f>
        <v>0</v>
      </c>
      <c r="BR32" s="11">
        <f>IF(ISNUMBER(SEARCH(",PD-1,",","&amp;SUBSTITUTE(I32,", ",",")&amp;",")),1,0)</f>
        <v>1</v>
      </c>
      <c r="BS32" s="11">
        <f>IF(ISNUMBER(SEARCH(",PD-L1,",","&amp;SUBSTITUTE(I32,", ",",")&amp;",")),1,0)</f>
        <v>0</v>
      </c>
      <c r="BT32" s="11">
        <f>IF(ISNUMBER(SEARCH(",PRMT5,",","&amp;SUBSTITUTE(I32,", ",",")&amp;",")),1,0)</f>
        <v>0</v>
      </c>
      <c r="BU32" s="11">
        <f>IF(ISNUMBER(SEARCH(",RAS,",","&amp;SUBSTITUTE(I32,", ",",")&amp;",")),1,0)</f>
        <v>0</v>
      </c>
      <c r="BV32" s="11">
        <f>IF(ISNUMBER(SEARCH(",RET,",","&amp;SUBSTITUTE(I32,", ",",")&amp;",")),1,0)</f>
        <v>0</v>
      </c>
      <c r="BW32" s="11">
        <f>IF(ISNUMBER(SEARCH(",ROS,",","&amp;SUBSTITUTE(I32,", ",",")&amp;",")),1,0)</f>
        <v>0</v>
      </c>
      <c r="BX32" s="11">
        <f>IF(ISNUMBER(SEARCH(",ROS1,",","&amp;SUBSTITUTE(I32,", ",",")&amp;",")),1,0)</f>
        <v>0</v>
      </c>
      <c r="BY32" s="11">
        <f>IF(ISNUMBER(SEARCH(",Src,",","&amp;SUBSTITUTE(I32,", ",",")&amp;",")),1,0)</f>
        <v>0</v>
      </c>
      <c r="BZ32" s="11">
        <f>IF(ISNUMBER(SEARCH(",TCGF,",","&amp;SUBSTITUTE(I32,", ",",")&amp;",")),1,0)</f>
        <v>1</v>
      </c>
      <c r="CA32" s="11">
        <f>IF(ISNUMBER(SEARCH(",TGF-β,",","&amp;SUBSTITUTE(I32,", ",",")&amp;",")),1,0)</f>
        <v>0</v>
      </c>
      <c r="CB32" s="11">
        <f>IF(ISNUMBER(SEARCH(",TGF-β1,",","&amp;SUBSTITUTE(I32,", ",",")&amp;",")),1,0)</f>
        <v>0</v>
      </c>
      <c r="CC32" s="11">
        <f>IF(ISNUMBER(SEARCH(",TIGIT,",","&amp;SUBSTITUTE(I32,", ",",")&amp;",")),1,0)</f>
        <v>0</v>
      </c>
      <c r="CD32" s="11">
        <f>IF(ISNUMBER(SEARCH(",TLR,",","&amp;SUBSTITUTE(I32,", ",",")&amp;",")),1,0)</f>
        <v>0</v>
      </c>
      <c r="CE32" s="11">
        <f>IF(ISNUMBER(SEARCH(",TLR7/8,",","&amp;SUBSTITUTE(I32,", ",",")&amp;",")),1,0)</f>
        <v>0</v>
      </c>
      <c r="CF32" s="11">
        <f>IF(ISNUMBER(SEARCH(",TRK,",","&amp;SUBSTITUTE(I32,", ",",")&amp;",")),1,0)</f>
        <v>0</v>
      </c>
      <c r="CG32" s="11">
        <f>IF(ISNUMBER(SEARCH(",TROP2,",","&amp;SUBSTITUTE(I32,", ",",")&amp;",")),1,0)</f>
        <v>0</v>
      </c>
      <c r="CH32" s="11">
        <f>IF(ISNUMBER(SEARCH(",TS,",","&amp;SUBSTITUTE(I32,", ",",")&amp;",")),1,0)</f>
        <v>0</v>
      </c>
      <c r="CI32" s="11">
        <f>IF(ISNUMBER(SEARCH(",TYMS,",","&amp;SUBSTITUTE(I32,", ",",")&amp;",")),1,0)</f>
        <v>0</v>
      </c>
      <c r="CJ32" s="11">
        <f>IF(ISNUMBER(SEARCH(",VEGF,",","&amp;SUBSTITUTE(I32,", ",",")&amp;",")),1,0)</f>
        <v>0</v>
      </c>
      <c r="CK32" s="11">
        <f>IF(ISNUMBER(SEARCH(",VEGFA,",","&amp;SUBSTITUTE(I32,", ",",")&amp;",")),1,0)</f>
        <v>0</v>
      </c>
      <c r="CL32" s="11">
        <f>IF(ISNUMBER(SEARCH(",VEGFR2,",","&amp;SUBSTITUTE(I32,", ",",")&amp;",")),1,0)</f>
        <v>0</v>
      </c>
      <c r="CM32" s="11">
        <f>IF(ISNUMBER(SEARCH(",c-MET/MET,",","&amp;SUBSTITUTE(I32,", ",",")&amp;",")),1,0)</f>
        <v>0</v>
      </c>
      <c r="CN32" s="11">
        <f>IF(ISNUMBER(SEARCH(",p53,",","&amp;SUBSTITUTE(I32,", ",",")&amp;",")),1,0)</f>
        <v>0</v>
      </c>
      <c r="CO32" s="11">
        <f>IF(ISNUMBER(SEARCH(",pan-KRAS,",","&amp;SUBSTITUTE(I32,", ",",")&amp;",")),1,0)</f>
        <v>0</v>
      </c>
      <c r="CP32" s="11">
        <f>IF(ISNUMBER(SEARCH(",ALK,",","&amp;SUBSTITUTE(K32,", ",",")&amp;",")),1,0)</f>
        <v>0</v>
      </c>
      <c r="CQ32" s="11">
        <f>IF(ISNUMBER(SEARCH(",BRAF V600E,",","&amp;SUBSTITUTE(K32,", ",",")&amp;",")),1,0)</f>
        <v>0</v>
      </c>
      <c r="CR32" s="11">
        <f>IF(ISNUMBER(SEARCH(",EGFR,",","&amp;SUBSTITUTE(K32,", ",",")&amp;",")),1,0)</f>
        <v>0</v>
      </c>
      <c r="CS32" s="11">
        <f>IF(ISNUMBER(SEARCH(",EGFR Exon 18,",","&amp;SUBSTITUTE(K32,", ",",")&amp;",")),1,0)</f>
        <v>0</v>
      </c>
      <c r="CT32" s="11">
        <f>IF(ISNUMBER(SEARCH(",EGFR Exon 19-del,",","&amp;SUBSTITUTE(K32,", ",",")&amp;",")),1,0)</f>
        <v>0</v>
      </c>
      <c r="CU32" s="11">
        <f>IF(ISNUMBER(SEARCH(",EGFR Exon 20,",","&amp;SUBSTITUTE(K32,", ",",")&amp;",")),1,0)</f>
        <v>0</v>
      </c>
      <c r="CV32" s="11">
        <f>IF(ISNUMBER(SEARCH(",EGFR Exon 20-ins,",","&amp;SUBSTITUTE(K32,", ",",")&amp;",")),1,0)</f>
        <v>0</v>
      </c>
      <c r="CW32" s="11">
        <f>IF(ISNUMBER(SEARCH(",EGFR Exon 21,",","&amp;SUBSTITUTE(K32,", ",",")&amp;",")),1,0)</f>
        <v>0</v>
      </c>
      <c r="CX32" s="11">
        <f>IF(ISNUMBER(SEARCH(",EGFR G719A,",","&amp;SUBSTITUTE(K32,", ",",")&amp;",")),1,0)</f>
        <v>0</v>
      </c>
      <c r="CY32" s="11">
        <f>IF(ISNUMBER(SEARCH(",EGFR G719C,",","&amp;SUBSTITUTE(K32,", ",",")&amp;",")),1,0)</f>
        <v>0</v>
      </c>
      <c r="CZ32" s="11">
        <f>IF(ISNUMBER(SEARCH(",EGFR G719S,",","&amp;SUBSTITUTE(K32,", ",",")&amp;",")),1,0)</f>
        <v>0</v>
      </c>
      <c r="DA32" s="11">
        <f>IF(ISNUMBER(SEARCH(",EGFR G719X,",","&amp;SUBSTITUTE(K32,", ",",")&amp;",")),1,0)</f>
        <v>0</v>
      </c>
      <c r="DB32" s="11">
        <f>IF(ISNUMBER(SEARCH(",EGFR L858R,",","&amp;SUBSTITUTE(K32,", ",",")&amp;",")),1,0)</f>
        <v>0</v>
      </c>
      <c r="DC32" s="11">
        <f>IF(ISNUMBER(SEARCH(",EGFR L861Q,",","&amp;SUBSTITUTE(K32,", ",",")&amp;",")),1,0)</f>
        <v>0</v>
      </c>
      <c r="DD32" s="11">
        <f>IF(ISNUMBER(SEARCH(",EGFR PACC,",","&amp;SUBSTITUTE(K32,", ",",")&amp;",")),1,0)</f>
        <v>0</v>
      </c>
      <c r="DE32" s="11">
        <f>IF(ISNUMBER(SEARCH(",EGFR S768I,",","&amp;SUBSTITUTE(K32,", ",",")&amp;",")),1,0)</f>
        <v>0</v>
      </c>
      <c r="DF32" s="11">
        <f>IF(ISNUMBER(SEARCH(",EGFR T790M,",","&amp;SUBSTITUTE(K32,", ",",")&amp;",")),1,0)</f>
        <v>0</v>
      </c>
      <c r="DG32" s="11">
        <f>IF(ISNUMBER(SEARCH(",EML4-ALK,",","&amp;SUBSTITUTE(K32,", ",",")&amp;",")),1,0)</f>
        <v>0</v>
      </c>
      <c r="DH32" s="11">
        <f>IF(ISNUMBER(SEARCH(",HER2,",","&amp;SUBSTITUTE(K32,", ",",")&amp;",")),1,0)</f>
        <v>0</v>
      </c>
      <c r="DI32" s="11">
        <f>IF(ISNUMBER(SEARCH(",HER2 Exon 19,",","&amp;SUBSTITUTE(K32,", ",",")&amp;",")),1,0)</f>
        <v>0</v>
      </c>
      <c r="DJ32" s="11">
        <f>IF(ISNUMBER(SEARCH(",HER2 Exon 20,",","&amp;SUBSTITUTE(K32,", ",",")&amp;",")),1,0)</f>
        <v>0</v>
      </c>
      <c r="DK32" s="11">
        <f>IF(ISNUMBER(SEARCH(",HER2 mut,",","&amp;SUBSTITUTE(K32,", ",",")&amp;",")),1,0)</f>
        <v>0</v>
      </c>
      <c r="DL32" s="11">
        <f>IF(ISNUMBER(SEARCH(",HLA-A2,",","&amp;SUBSTITUTE(K32,", ",",")&amp;",")),1,0)</f>
        <v>0</v>
      </c>
      <c r="DM32" s="11">
        <f>IF(ISNUMBER(SEARCH(",HRAS,",","&amp;SUBSTITUTE(K32,", ",",")&amp;",")),1,0)</f>
        <v>0</v>
      </c>
      <c r="DN32" s="11">
        <f>IF(ISNUMBER(SEARCH(",KRAS,",","&amp;SUBSTITUTE(K32,", ",",")&amp;",")),1,0)</f>
        <v>0</v>
      </c>
      <c r="DO32" s="11">
        <f>IF(ISNUMBER(SEARCH(",KRAS G12C,",","&amp;SUBSTITUTE(K32,", ",",")&amp;",")),1,0)</f>
        <v>0</v>
      </c>
      <c r="DP32" s="11">
        <f>IF(ISNUMBER(SEARCH(",NRAS,",","&amp;SUBSTITUTE(K32,", ",",")&amp;",")),1,0)</f>
        <v>0</v>
      </c>
      <c r="DQ32" s="11">
        <f>IF(ISNUMBER(SEARCH(",NTRK,",","&amp;SUBSTITUTE(K32,", ",",")&amp;",")),1,0)</f>
        <v>0</v>
      </c>
      <c r="DR32" s="11">
        <f>IF(ISNUMBER(SEARCH(",PD-L1,",","&amp;SUBSTITUTE(K32,", ",",")&amp;",")),1,0)</f>
        <v>0</v>
      </c>
      <c r="DS32" s="11">
        <f>IF(ISNUMBER(SEARCH(",PD-L1 IC ≥ 1%,",","&amp;SUBSTITUTE(K32,", ",",")&amp;",")),1,0)</f>
        <v>0</v>
      </c>
      <c r="DT32" s="11">
        <f>IF(ISNUMBER(SEARCH(",PD-L1 TC ≥ 1%,",","&amp;SUBSTITUTE(K32,", ",",")&amp;",")),1,0)</f>
        <v>0</v>
      </c>
      <c r="DU32" s="11">
        <f>IF(ISNUMBER(SEARCH(",PD-L1 TC ≥ 50%,",","&amp;SUBSTITUTE(K32,", ",",")&amp;",")),1,0)</f>
        <v>0</v>
      </c>
      <c r="DV32" s="11">
        <f>IF(ISNUMBER(SEARCH(",PD-L1 TPS &lt; 50%,",","&amp;SUBSTITUTE(K32,", ",",")&amp;",")),1,0)</f>
        <v>0</v>
      </c>
      <c r="DW32" s="11">
        <f>IF(ISNUMBER(SEARCH(",PD-L1 TPS ≥ 1%,",","&amp;SUBSTITUTE(K32,", ",",")&amp;",")),1,0)</f>
        <v>0</v>
      </c>
      <c r="DX32" s="11">
        <f>IF(ISNUMBER(SEARCH(",PD-L1 TPS ≥ 50%,",","&amp;SUBSTITUTE(K32,", ",",")&amp;",")),1,0)</f>
        <v>0</v>
      </c>
      <c r="DY32" s="11">
        <f>IF(ISNUMBER(SEARCH(",RAS,",","&amp;SUBSTITUTE(K32,", ",",")&amp;",")),1,0)</f>
        <v>0</v>
      </c>
      <c r="DZ32" s="11">
        <f>IF(ISNUMBER(SEARCH(",RET,",","&amp;SUBSTITUTE(K32,", ",",")&amp;",")),1,0)</f>
        <v>0</v>
      </c>
      <c r="EA32" s="11">
        <f>IF(ISNUMBER(SEARCH(",ROS1,",","&amp;SUBSTITUTE(K32,", ",",")&amp;",")),1,0)</f>
        <v>0</v>
      </c>
      <c r="EB32" s="11">
        <f>IF(ISNUMBER(SEARCH(",TROP2,",","&amp;SUBSTITUTE(K32,", ",",")&amp;",")),1,0)</f>
        <v>0</v>
      </c>
      <c r="EC32" s="11">
        <f>IF(ISNUMBER(SEARCH(",c-MET/MET,",","&amp;SUBSTITUTE(K32,", ",",")&amp;",")),1,0)</f>
        <v>0</v>
      </c>
      <c r="ED32" s="11">
        <f>IF(ISNUMBER(SEARCH(",c-MET/MET Exon 14,",","&amp;SUBSTITUTE(K32,", ",",")&amp;",")),1,0)</f>
        <v>0</v>
      </c>
      <c r="EE32" s="11">
        <f>IF(ISNUMBER(SEARCH(",ctDNA/cfDNA,",","&amp;SUBSTITUTE(K32,", ",",")&amp;",")),1,0)</f>
        <v>0</v>
      </c>
    </row>
    <row r="33" spans="1:135" ht="15" customHeight="1" x14ac:dyDescent="0.2">
      <c r="A33" s="3" t="s">
        <v>1319</v>
      </c>
      <c r="B33" s="3" t="s">
        <v>1320</v>
      </c>
      <c r="C33" s="3" t="s">
        <v>1321</v>
      </c>
      <c r="D33" s="3" t="s">
        <v>529</v>
      </c>
      <c r="E33" s="3"/>
      <c r="F33" s="3"/>
      <c r="G33" s="3"/>
      <c r="H33" s="3" t="s">
        <v>114</v>
      </c>
      <c r="I33" s="3" t="s">
        <v>1324</v>
      </c>
      <c r="J33" s="3" t="s">
        <v>1323</v>
      </c>
      <c r="K33" s="3"/>
      <c r="L33" s="3" t="s">
        <v>119</v>
      </c>
      <c r="M33" s="3" t="s">
        <v>113</v>
      </c>
      <c r="N33" s="3" t="s">
        <v>120</v>
      </c>
      <c r="O33" s="3" t="s">
        <v>120</v>
      </c>
      <c r="P33" s="3" t="s">
        <v>1325</v>
      </c>
      <c r="Q33" s="10" t="str">
        <f>IF(F33="Stage IV","Stage IV Only",IF(AND(ISNUMBER(SEARCH("IV",F33)),LEN(F33)&gt;LEN("Stage IV")),"Stage IV + Other",IF(AND(ISNUMBER(SEARCH("III",F33)),NOT(ISNUMBER(SEARCH("IV",F33)))),"Stage III Only","Other")))</f>
        <v>Other</v>
      </c>
      <c r="R33" s="10" t="str">
        <f>IF(AND(ISNUMBER(SEARCH("Non-squamous",G33)),ISNUMBER(SEARCH("Squamous",SUBSTITUTE(G33,"Non-squamous","")))),"Both",IF(ISNUMBER(SEARCH("Non-squamous",G33)),"Non-squamous",IF(ISNUMBER(SEARCH("Squamous",G33)),"Squamous","Unspecified")))</f>
        <v>Unspecified</v>
      </c>
      <c r="S33" s="10" t="str">
        <f>IF(OR(ISNUMBER(SEARCH("TPS ≥ 50%",K33)),ISNUMBER(SEARCH("TC ≥ 50%",K33))),"TPS ≥ 50%",IF(OR(ISNUMBER(SEARCH("TPS ≥ 1%",K33)),ISNUMBER(SEARCH("TC ≥ 1%",K33)),ISNUMBER(SEARCH("TPS &lt; 50%",K33)),ISNUMBER(SEARCH("IC ≥ 1%",K33))),"TPS 1-49%","All-comers"))</f>
        <v>All-comers</v>
      </c>
      <c r="T33" s="10">
        <f>IF(H33="Phase III",1,0)</f>
        <v>1</v>
      </c>
      <c r="U33" s="10">
        <f>IF(L33="Yes",1,0)</f>
        <v>0</v>
      </c>
      <c r="V33" s="11">
        <f>IF(ISNUMBER(SEARCH(",ALK,",","&amp;SUBSTITUTE(I33,", ",",")&amp;",")),1,0)</f>
        <v>0</v>
      </c>
      <c r="W33" s="11">
        <f>IF(ISNUMBER(SEARCH(",ALK L1196M,",","&amp;SUBSTITUTE(I33,", ",",")&amp;",")),1,0)</f>
        <v>0</v>
      </c>
      <c r="X33" s="11">
        <f>IF(ISNUMBER(SEARCH(",AXL,",","&amp;SUBSTITUTE(I33,", ",",")&amp;",")),1,0)</f>
        <v>0</v>
      </c>
      <c r="Y33" s="11">
        <f>IF(ISNUMBER(SEARCH(",B7-H1,",","&amp;SUBSTITUTE(I33,", ",",")&amp;",")),1,0)</f>
        <v>0</v>
      </c>
      <c r="Z33" s="11">
        <f>IF(ISNUMBER(SEARCH(",CD152,",","&amp;SUBSTITUTE(I33,", ",",")&amp;",")),1,0)</f>
        <v>0</v>
      </c>
      <c r="AA33" s="11">
        <f>IF(ISNUMBER(SEARCH(",CD274,",","&amp;SUBSTITUTE(I33,", ",",")&amp;",")),1,0)</f>
        <v>0</v>
      </c>
      <c r="AB33" s="11">
        <f>IF(ISNUMBER(SEARCH(",CD279,",","&amp;SUBSTITUTE(I33,", ",",")&amp;",")),1,0)</f>
        <v>1</v>
      </c>
      <c r="AC33" s="11">
        <f>IF(ISNUMBER(SEARCH(",CD73,",","&amp;SUBSTITUTE(I33,", ",",")&amp;",")),1,0)</f>
        <v>0</v>
      </c>
      <c r="AD33" s="11">
        <f>IF(ISNUMBER(SEARCH(",CEA,",","&amp;SUBSTITUTE(I33,", ",",")&amp;",")),1,0)</f>
        <v>0</v>
      </c>
      <c r="AE33" s="11">
        <f>IF(ISNUMBER(SEARCH(",CTLA-4,",","&amp;SUBSTITUTE(I33,", ",",")&amp;",")),1,0)</f>
        <v>0</v>
      </c>
      <c r="AF33" s="11">
        <f>IF(ISNUMBER(SEARCH(",EGFR,",","&amp;SUBSTITUTE(I33,", ",",")&amp;",")),1,0)</f>
        <v>0</v>
      </c>
      <c r="AG33" s="11">
        <f>IF(ISNUMBER(SEARCH(",EGFR C797G,",","&amp;SUBSTITUTE(I33,", ",",")&amp;",")),1,0)</f>
        <v>0</v>
      </c>
      <c r="AH33" s="11">
        <f>IF(ISNUMBER(SEARCH(",EGFR C797S,",","&amp;SUBSTITUTE(I33,", ",",")&amp;",")),1,0)</f>
        <v>0</v>
      </c>
      <c r="AI33" s="11">
        <f>IF(ISNUMBER(SEARCH(",EGFR Exon 19-del,",","&amp;SUBSTITUTE(I33,", ",",")&amp;",")),1,0)</f>
        <v>0</v>
      </c>
      <c r="AJ33" s="11">
        <f>IF(ISNUMBER(SEARCH(",EGFR Exon 20,",","&amp;SUBSTITUTE(I33,", ",",")&amp;",")),1,0)</f>
        <v>0</v>
      </c>
      <c r="AK33" s="11">
        <f>IF(ISNUMBER(SEARCH(",EGFR L858R,",","&amp;SUBSTITUTE(I33,", ",",")&amp;",")),1,0)</f>
        <v>0</v>
      </c>
      <c r="AL33" s="11">
        <f>IF(ISNUMBER(SEARCH(",EGFR T790M,",","&amp;SUBSTITUTE(I33,", ",",")&amp;",")),1,0)</f>
        <v>0</v>
      </c>
      <c r="AM33" s="11">
        <f>IF(ISNUMBER(SEARCH(",ERBB,",","&amp;SUBSTITUTE(I33,", ",",")&amp;",")),1,0)</f>
        <v>0</v>
      </c>
      <c r="AN33" s="11">
        <f>IF(ISNUMBER(SEARCH(",ERBB3,",","&amp;SUBSTITUTE(I33,", ",",")&amp;",")),1,0)</f>
        <v>0</v>
      </c>
      <c r="AO33" s="11">
        <f>IF(ISNUMBER(SEARCH(",FAK,",","&amp;SUBSTITUTE(I33,", ",",")&amp;",")),1,0)</f>
        <v>0</v>
      </c>
      <c r="AP33" s="11">
        <f>IF(ISNUMBER(SEARCH(",GARP,",","&amp;SUBSTITUTE(I33,", ",",")&amp;",")),1,0)</f>
        <v>0</v>
      </c>
      <c r="AQ33" s="11">
        <f>IF(ISNUMBER(SEARCH(",HER1,",","&amp;SUBSTITUTE(I33,", ",",")&amp;",")),1,0)</f>
        <v>0</v>
      </c>
      <c r="AR33" s="11">
        <f>IF(ISNUMBER(SEARCH(",HER2,",","&amp;SUBSTITUTE(I33,", ",",")&amp;",")),1,0)</f>
        <v>0</v>
      </c>
      <c r="AS33" s="11">
        <f>IF(ISNUMBER(SEARCH(",HER2 Exon 20,",","&amp;SUBSTITUTE(I33,", ",",")&amp;",")),1,0)</f>
        <v>0</v>
      </c>
      <c r="AT33" s="11">
        <f>IF(ISNUMBER(SEARCH(",HER3,",","&amp;SUBSTITUTE(I33,", ",",")&amp;",")),1,0)</f>
        <v>0</v>
      </c>
      <c r="AU33" s="11">
        <f>IF(ISNUMBER(SEARCH(",HER4,",","&amp;SUBSTITUTE(I33,", ",",")&amp;",")),1,0)</f>
        <v>0</v>
      </c>
      <c r="AV33" s="11">
        <f>IF(ISNUMBER(SEARCH(",HRAS,",","&amp;SUBSTITUTE(I33,", ",",")&amp;",")),1,0)</f>
        <v>0</v>
      </c>
      <c r="AW33" s="11">
        <f>IF(ISNUMBER(SEARCH(",HSV-TK,",","&amp;SUBSTITUTE(I33,", ",",")&amp;",")),1,0)</f>
        <v>0</v>
      </c>
      <c r="AX33" s="11">
        <f>IF(ISNUMBER(SEARCH(",IL-12,",","&amp;SUBSTITUTE(I33,", ",",")&amp;",")),1,0)</f>
        <v>0</v>
      </c>
      <c r="AY33" s="11">
        <f>IF(ISNUMBER(SEARCH(",IL-15,",","&amp;SUBSTITUTE(I33,", ",",")&amp;",")),1,0)</f>
        <v>0</v>
      </c>
      <c r="AZ33" s="11">
        <f>IF(ISNUMBER(SEARCH(",IL-15R,",","&amp;SUBSTITUTE(I33,", ",",")&amp;",")),1,0)</f>
        <v>0</v>
      </c>
      <c r="BA33" s="11">
        <f>IF(ISNUMBER(SEARCH(",IL-2,",","&amp;SUBSTITUTE(I33,", ",",")&amp;",")),1,0)</f>
        <v>1</v>
      </c>
      <c r="BB33" s="11">
        <f>IF(ISNUMBER(SEARCH(",Integrin β6,",","&amp;SUBSTITUTE(I33,", ",",")&amp;",")),1,0)</f>
        <v>0</v>
      </c>
      <c r="BC33" s="11">
        <f>IF(ISNUMBER(SEARCH(",KDR,",","&amp;SUBSTITUTE(I33,", ",",")&amp;",")),1,0)</f>
        <v>0</v>
      </c>
      <c r="BD33" s="11">
        <f>IF(ISNUMBER(SEARCH(",KLRC1,",","&amp;SUBSTITUTE(I33,", ",",")&amp;",")),1,0)</f>
        <v>0</v>
      </c>
      <c r="BE33" s="11">
        <f>IF(ISNUMBER(SEARCH(",KRAS,",","&amp;SUBSTITUTE(I33,", ",",")&amp;",")),1,0)</f>
        <v>0</v>
      </c>
      <c r="BF33" s="11">
        <f>IF(ISNUMBER(SEARCH(",KRAS G12,",","&amp;SUBSTITUTE(I33,", ",",")&amp;",")),1,0)</f>
        <v>0</v>
      </c>
      <c r="BG33" s="11">
        <f>IF(ISNUMBER(SEARCH(",KRAS G12C,",","&amp;SUBSTITUTE(I33,", ",",")&amp;",")),1,0)</f>
        <v>0</v>
      </c>
      <c r="BH33" s="11">
        <f>IF(ISNUMBER(SEARCH(",KRAS G12D,",","&amp;SUBSTITUTE(I33,", ",",")&amp;",")),1,0)</f>
        <v>0</v>
      </c>
      <c r="BI33" s="11">
        <f>IF(ISNUMBER(SEARCH(",LAG-3,",","&amp;SUBSTITUTE(I33,", ",",")&amp;",")),1,0)</f>
        <v>0</v>
      </c>
      <c r="BJ33" s="11">
        <f>IF(ISNUMBER(SEARCH(",MAGE-A2,",","&amp;SUBSTITUTE(I33,", ",",")&amp;",")),1,0)</f>
        <v>0</v>
      </c>
      <c r="BK33" s="11">
        <f>IF(ISNUMBER(SEARCH(",MAGE-A3,",","&amp;SUBSTITUTE(I33,", ",",")&amp;",")),1,0)</f>
        <v>0</v>
      </c>
      <c r="BL33" s="11">
        <f>IF(ISNUMBER(SEARCH(",MLN19,",","&amp;SUBSTITUTE(I33,", ",",")&amp;",")),1,0)</f>
        <v>0</v>
      </c>
      <c r="BM33" s="11">
        <f>IF(ISNUMBER(SEARCH(",Microtubule,",","&amp;SUBSTITUTE(I33,", ",",")&amp;",")),1,0)</f>
        <v>0</v>
      </c>
      <c r="BN33" s="11">
        <f>IF(ISNUMBER(SEARCH(",NKG2A,",","&amp;SUBSTITUTE(I33,", ",",")&amp;",")),1,0)</f>
        <v>0</v>
      </c>
      <c r="BO33" s="11">
        <f>IF(ISNUMBER(SEARCH(",NRAS,",","&amp;SUBSTITUTE(I33,", ",",")&amp;",")),1,0)</f>
        <v>0</v>
      </c>
      <c r="BP33" s="11">
        <f>IF(ISNUMBER(SEARCH(",NTRK,",","&amp;SUBSTITUTE(I33,", ",",")&amp;",")),1,0)</f>
        <v>0</v>
      </c>
      <c r="BQ33" s="11">
        <f>IF(ISNUMBER(SEARCH(",PARP,",","&amp;SUBSTITUTE(I33,", ",",")&amp;",")),1,0)</f>
        <v>0</v>
      </c>
      <c r="BR33" s="11">
        <f>IF(ISNUMBER(SEARCH(",PD-1,",","&amp;SUBSTITUTE(I33,", ",",")&amp;",")),1,0)</f>
        <v>1</v>
      </c>
      <c r="BS33" s="11">
        <f>IF(ISNUMBER(SEARCH(",PD-L1,",","&amp;SUBSTITUTE(I33,", ",",")&amp;",")),1,0)</f>
        <v>0</v>
      </c>
      <c r="BT33" s="11">
        <f>IF(ISNUMBER(SEARCH(",PRMT5,",","&amp;SUBSTITUTE(I33,", ",",")&amp;",")),1,0)</f>
        <v>0</v>
      </c>
      <c r="BU33" s="11">
        <f>IF(ISNUMBER(SEARCH(",RAS,",","&amp;SUBSTITUTE(I33,", ",",")&amp;",")),1,0)</f>
        <v>0</v>
      </c>
      <c r="BV33" s="11">
        <f>IF(ISNUMBER(SEARCH(",RET,",","&amp;SUBSTITUTE(I33,", ",",")&amp;",")),1,0)</f>
        <v>0</v>
      </c>
      <c r="BW33" s="11">
        <f>IF(ISNUMBER(SEARCH(",ROS,",","&amp;SUBSTITUTE(I33,", ",",")&amp;",")),1,0)</f>
        <v>0</v>
      </c>
      <c r="BX33" s="11">
        <f>IF(ISNUMBER(SEARCH(",ROS1,",","&amp;SUBSTITUTE(I33,", ",",")&amp;",")),1,0)</f>
        <v>0</v>
      </c>
      <c r="BY33" s="11">
        <f>IF(ISNUMBER(SEARCH(",Src,",","&amp;SUBSTITUTE(I33,", ",",")&amp;",")),1,0)</f>
        <v>0</v>
      </c>
      <c r="BZ33" s="11">
        <f>IF(ISNUMBER(SEARCH(",TCGF,",","&amp;SUBSTITUTE(I33,", ",",")&amp;",")),1,0)</f>
        <v>1</v>
      </c>
      <c r="CA33" s="11">
        <f>IF(ISNUMBER(SEARCH(",TGF-β,",","&amp;SUBSTITUTE(I33,", ",",")&amp;",")),1,0)</f>
        <v>0</v>
      </c>
      <c r="CB33" s="11">
        <f>IF(ISNUMBER(SEARCH(",TGF-β1,",","&amp;SUBSTITUTE(I33,", ",",")&amp;",")),1,0)</f>
        <v>0</v>
      </c>
      <c r="CC33" s="11">
        <f>IF(ISNUMBER(SEARCH(",TIGIT,",","&amp;SUBSTITUTE(I33,", ",",")&amp;",")),1,0)</f>
        <v>0</v>
      </c>
      <c r="CD33" s="11">
        <f>IF(ISNUMBER(SEARCH(",TLR,",","&amp;SUBSTITUTE(I33,", ",",")&amp;",")),1,0)</f>
        <v>0</v>
      </c>
      <c r="CE33" s="11">
        <f>IF(ISNUMBER(SEARCH(",TLR7/8,",","&amp;SUBSTITUTE(I33,", ",",")&amp;",")),1,0)</f>
        <v>0</v>
      </c>
      <c r="CF33" s="11">
        <f>IF(ISNUMBER(SEARCH(",TRK,",","&amp;SUBSTITUTE(I33,", ",",")&amp;",")),1,0)</f>
        <v>0</v>
      </c>
      <c r="CG33" s="11">
        <f>IF(ISNUMBER(SEARCH(",TROP2,",","&amp;SUBSTITUTE(I33,", ",",")&amp;",")),1,0)</f>
        <v>0</v>
      </c>
      <c r="CH33" s="11">
        <f>IF(ISNUMBER(SEARCH(",TS,",","&amp;SUBSTITUTE(I33,", ",",")&amp;",")),1,0)</f>
        <v>0</v>
      </c>
      <c r="CI33" s="11">
        <f>IF(ISNUMBER(SEARCH(",TYMS,",","&amp;SUBSTITUTE(I33,", ",",")&amp;",")),1,0)</f>
        <v>0</v>
      </c>
      <c r="CJ33" s="11">
        <f>IF(ISNUMBER(SEARCH(",VEGF,",","&amp;SUBSTITUTE(I33,", ",",")&amp;",")),1,0)</f>
        <v>0</v>
      </c>
      <c r="CK33" s="11">
        <f>IF(ISNUMBER(SEARCH(",VEGFA,",","&amp;SUBSTITUTE(I33,", ",",")&amp;",")),1,0)</f>
        <v>0</v>
      </c>
      <c r="CL33" s="11">
        <f>IF(ISNUMBER(SEARCH(",VEGFR2,",","&amp;SUBSTITUTE(I33,", ",",")&amp;",")),1,0)</f>
        <v>0</v>
      </c>
      <c r="CM33" s="11">
        <f>IF(ISNUMBER(SEARCH(",c-MET/MET,",","&amp;SUBSTITUTE(I33,", ",",")&amp;",")),1,0)</f>
        <v>0</v>
      </c>
      <c r="CN33" s="11">
        <f>IF(ISNUMBER(SEARCH(",p53,",","&amp;SUBSTITUTE(I33,", ",",")&amp;",")),1,0)</f>
        <v>0</v>
      </c>
      <c r="CO33" s="11">
        <f>IF(ISNUMBER(SEARCH(",pan-KRAS,",","&amp;SUBSTITUTE(I33,", ",",")&amp;",")),1,0)</f>
        <v>0</v>
      </c>
      <c r="CP33" s="11">
        <f>IF(ISNUMBER(SEARCH(",ALK,",","&amp;SUBSTITUTE(K33,", ",",")&amp;",")),1,0)</f>
        <v>0</v>
      </c>
      <c r="CQ33" s="11">
        <f>IF(ISNUMBER(SEARCH(",BRAF V600E,",","&amp;SUBSTITUTE(K33,", ",",")&amp;",")),1,0)</f>
        <v>0</v>
      </c>
      <c r="CR33" s="11">
        <f>IF(ISNUMBER(SEARCH(",EGFR,",","&amp;SUBSTITUTE(K33,", ",",")&amp;",")),1,0)</f>
        <v>0</v>
      </c>
      <c r="CS33" s="11">
        <f>IF(ISNUMBER(SEARCH(",EGFR Exon 18,",","&amp;SUBSTITUTE(K33,", ",",")&amp;",")),1,0)</f>
        <v>0</v>
      </c>
      <c r="CT33" s="11">
        <f>IF(ISNUMBER(SEARCH(",EGFR Exon 19-del,",","&amp;SUBSTITUTE(K33,", ",",")&amp;",")),1,0)</f>
        <v>0</v>
      </c>
      <c r="CU33" s="11">
        <f>IF(ISNUMBER(SEARCH(",EGFR Exon 20,",","&amp;SUBSTITUTE(K33,", ",",")&amp;",")),1,0)</f>
        <v>0</v>
      </c>
      <c r="CV33" s="11">
        <f>IF(ISNUMBER(SEARCH(",EGFR Exon 20-ins,",","&amp;SUBSTITUTE(K33,", ",",")&amp;",")),1,0)</f>
        <v>0</v>
      </c>
      <c r="CW33" s="11">
        <f>IF(ISNUMBER(SEARCH(",EGFR Exon 21,",","&amp;SUBSTITUTE(K33,", ",",")&amp;",")),1,0)</f>
        <v>0</v>
      </c>
      <c r="CX33" s="11">
        <f>IF(ISNUMBER(SEARCH(",EGFR G719A,",","&amp;SUBSTITUTE(K33,", ",",")&amp;",")),1,0)</f>
        <v>0</v>
      </c>
      <c r="CY33" s="11">
        <f>IF(ISNUMBER(SEARCH(",EGFR G719C,",","&amp;SUBSTITUTE(K33,", ",",")&amp;",")),1,0)</f>
        <v>0</v>
      </c>
      <c r="CZ33" s="11">
        <f>IF(ISNUMBER(SEARCH(",EGFR G719S,",","&amp;SUBSTITUTE(K33,", ",",")&amp;",")),1,0)</f>
        <v>0</v>
      </c>
      <c r="DA33" s="11">
        <f>IF(ISNUMBER(SEARCH(",EGFR G719X,",","&amp;SUBSTITUTE(K33,", ",",")&amp;",")),1,0)</f>
        <v>0</v>
      </c>
      <c r="DB33" s="11">
        <f>IF(ISNUMBER(SEARCH(",EGFR L858R,",","&amp;SUBSTITUTE(K33,", ",",")&amp;",")),1,0)</f>
        <v>0</v>
      </c>
      <c r="DC33" s="11">
        <f>IF(ISNUMBER(SEARCH(",EGFR L861Q,",","&amp;SUBSTITUTE(K33,", ",",")&amp;",")),1,0)</f>
        <v>0</v>
      </c>
      <c r="DD33" s="11">
        <f>IF(ISNUMBER(SEARCH(",EGFR PACC,",","&amp;SUBSTITUTE(K33,", ",",")&amp;",")),1,0)</f>
        <v>0</v>
      </c>
      <c r="DE33" s="11">
        <f>IF(ISNUMBER(SEARCH(",EGFR S768I,",","&amp;SUBSTITUTE(K33,", ",",")&amp;",")),1,0)</f>
        <v>0</v>
      </c>
      <c r="DF33" s="11">
        <f>IF(ISNUMBER(SEARCH(",EGFR T790M,",","&amp;SUBSTITUTE(K33,", ",",")&amp;",")),1,0)</f>
        <v>0</v>
      </c>
      <c r="DG33" s="11">
        <f>IF(ISNUMBER(SEARCH(",EML4-ALK,",","&amp;SUBSTITUTE(K33,", ",",")&amp;",")),1,0)</f>
        <v>0</v>
      </c>
      <c r="DH33" s="11">
        <f>IF(ISNUMBER(SEARCH(",HER2,",","&amp;SUBSTITUTE(K33,", ",",")&amp;",")),1,0)</f>
        <v>0</v>
      </c>
      <c r="DI33" s="11">
        <f>IF(ISNUMBER(SEARCH(",HER2 Exon 19,",","&amp;SUBSTITUTE(K33,", ",",")&amp;",")),1,0)</f>
        <v>0</v>
      </c>
      <c r="DJ33" s="11">
        <f>IF(ISNUMBER(SEARCH(",HER2 Exon 20,",","&amp;SUBSTITUTE(K33,", ",",")&amp;",")),1,0)</f>
        <v>0</v>
      </c>
      <c r="DK33" s="11">
        <f>IF(ISNUMBER(SEARCH(",HER2 mut,",","&amp;SUBSTITUTE(K33,", ",",")&amp;",")),1,0)</f>
        <v>0</v>
      </c>
      <c r="DL33" s="11">
        <f>IF(ISNUMBER(SEARCH(",HLA-A2,",","&amp;SUBSTITUTE(K33,", ",",")&amp;",")),1,0)</f>
        <v>0</v>
      </c>
      <c r="DM33" s="11">
        <f>IF(ISNUMBER(SEARCH(",HRAS,",","&amp;SUBSTITUTE(K33,", ",",")&amp;",")),1,0)</f>
        <v>0</v>
      </c>
      <c r="DN33" s="11">
        <f>IF(ISNUMBER(SEARCH(",KRAS,",","&amp;SUBSTITUTE(K33,", ",",")&amp;",")),1,0)</f>
        <v>0</v>
      </c>
      <c r="DO33" s="11">
        <f>IF(ISNUMBER(SEARCH(",KRAS G12C,",","&amp;SUBSTITUTE(K33,", ",",")&amp;",")),1,0)</f>
        <v>0</v>
      </c>
      <c r="DP33" s="11">
        <f>IF(ISNUMBER(SEARCH(",NRAS,",","&amp;SUBSTITUTE(K33,", ",",")&amp;",")),1,0)</f>
        <v>0</v>
      </c>
      <c r="DQ33" s="11">
        <f>IF(ISNUMBER(SEARCH(",NTRK,",","&amp;SUBSTITUTE(K33,", ",",")&amp;",")),1,0)</f>
        <v>0</v>
      </c>
      <c r="DR33" s="11">
        <f>IF(ISNUMBER(SEARCH(",PD-L1,",","&amp;SUBSTITUTE(K33,", ",",")&amp;",")),1,0)</f>
        <v>0</v>
      </c>
      <c r="DS33" s="11">
        <f>IF(ISNUMBER(SEARCH(",PD-L1 IC ≥ 1%,",","&amp;SUBSTITUTE(K33,", ",",")&amp;",")),1,0)</f>
        <v>0</v>
      </c>
      <c r="DT33" s="11">
        <f>IF(ISNUMBER(SEARCH(",PD-L1 TC ≥ 1%,",","&amp;SUBSTITUTE(K33,", ",",")&amp;",")),1,0)</f>
        <v>0</v>
      </c>
      <c r="DU33" s="11">
        <f>IF(ISNUMBER(SEARCH(",PD-L1 TC ≥ 50%,",","&amp;SUBSTITUTE(K33,", ",",")&amp;",")),1,0)</f>
        <v>0</v>
      </c>
      <c r="DV33" s="11">
        <f>IF(ISNUMBER(SEARCH(",PD-L1 TPS &lt; 50%,",","&amp;SUBSTITUTE(K33,", ",",")&amp;",")),1,0)</f>
        <v>0</v>
      </c>
      <c r="DW33" s="11">
        <f>IF(ISNUMBER(SEARCH(",PD-L1 TPS ≥ 1%,",","&amp;SUBSTITUTE(K33,", ",",")&amp;",")),1,0)</f>
        <v>0</v>
      </c>
      <c r="DX33" s="11">
        <f>IF(ISNUMBER(SEARCH(",PD-L1 TPS ≥ 50%,",","&amp;SUBSTITUTE(K33,", ",",")&amp;",")),1,0)</f>
        <v>0</v>
      </c>
      <c r="DY33" s="11">
        <f>IF(ISNUMBER(SEARCH(",RAS,",","&amp;SUBSTITUTE(K33,", ",",")&amp;",")),1,0)</f>
        <v>0</v>
      </c>
      <c r="DZ33" s="11">
        <f>IF(ISNUMBER(SEARCH(",RET,",","&amp;SUBSTITUTE(K33,", ",",")&amp;",")),1,0)</f>
        <v>0</v>
      </c>
      <c r="EA33" s="11">
        <f>IF(ISNUMBER(SEARCH(",ROS1,",","&amp;SUBSTITUTE(K33,", ",",")&amp;",")),1,0)</f>
        <v>0</v>
      </c>
      <c r="EB33" s="11">
        <f>IF(ISNUMBER(SEARCH(",TROP2,",","&amp;SUBSTITUTE(K33,", ",",")&amp;",")),1,0)</f>
        <v>0</v>
      </c>
      <c r="EC33" s="11">
        <f>IF(ISNUMBER(SEARCH(",c-MET/MET,",","&amp;SUBSTITUTE(K33,", ",",")&amp;",")),1,0)</f>
        <v>0</v>
      </c>
      <c r="ED33" s="11">
        <f>IF(ISNUMBER(SEARCH(",c-MET/MET Exon 14,",","&amp;SUBSTITUTE(K33,", ",",")&amp;",")),1,0)</f>
        <v>0</v>
      </c>
      <c r="EE33" s="11">
        <f>IF(ISNUMBER(SEARCH(",ctDNA/cfDNA,",","&amp;SUBSTITUTE(K33,", ",",")&amp;",")),1,0)</f>
        <v>0</v>
      </c>
    </row>
    <row r="34" spans="1:135" ht="15" customHeight="1" x14ac:dyDescent="0.2">
      <c r="A34" s="5" t="s">
        <v>866</v>
      </c>
      <c r="B34" s="5" t="s">
        <v>868</v>
      </c>
      <c r="C34" s="5" t="s">
        <v>869</v>
      </c>
      <c r="D34" s="5" t="s">
        <v>869</v>
      </c>
      <c r="E34" s="5" t="s">
        <v>869</v>
      </c>
      <c r="F34" s="5" t="s">
        <v>259</v>
      </c>
      <c r="G34" s="5" t="s">
        <v>544</v>
      </c>
      <c r="H34" s="5" t="s">
        <v>114</v>
      </c>
      <c r="I34" s="5" t="s">
        <v>873</v>
      </c>
      <c r="J34" s="5" t="s">
        <v>872</v>
      </c>
      <c r="K34" s="5"/>
      <c r="L34" s="5" t="s">
        <v>119</v>
      </c>
      <c r="M34" s="5" t="s">
        <v>113</v>
      </c>
      <c r="N34" s="5" t="s">
        <v>120</v>
      </c>
      <c r="O34" s="5" t="s">
        <v>120</v>
      </c>
      <c r="P34" s="5" t="s">
        <v>870</v>
      </c>
      <c r="Q34" s="10" t="str">
        <f>IF(F34="Stage IV","Stage IV Only",IF(AND(ISNUMBER(SEARCH("IV",F34)),LEN(F34)&gt;LEN("Stage IV")),"Stage IV + Other",IF(AND(ISNUMBER(SEARCH("III",F34)),NOT(ISNUMBER(SEARCH("IV",F34)))),"Stage III Only","Other")))</f>
        <v>Stage IV Only</v>
      </c>
      <c r="R34" s="10" t="str">
        <f>IF(AND(ISNUMBER(SEARCH("Non-squamous",G34)),ISNUMBER(SEARCH("Squamous",SUBSTITUTE(G34,"Non-squamous","")))),"Both",IF(ISNUMBER(SEARCH("Non-squamous",G34)),"Non-squamous",IF(ISNUMBER(SEARCH("Squamous",G34)),"Squamous","Unspecified")))</f>
        <v>Both</v>
      </c>
      <c r="S34" s="10" t="str">
        <f>IF(OR(ISNUMBER(SEARCH("TPS ≥ 50%",K34)),ISNUMBER(SEARCH("TC ≥ 50%",K34))),"TPS ≥ 50%",IF(OR(ISNUMBER(SEARCH("TPS ≥ 1%",K34)),ISNUMBER(SEARCH("TC ≥ 1%",K34)),ISNUMBER(SEARCH("TPS &lt; 50%",K34)),ISNUMBER(SEARCH("IC ≥ 1%",K34))),"TPS 1-49%","All-comers"))</f>
        <v>All-comers</v>
      </c>
      <c r="T34" s="10">
        <f>IF(H34="Phase III",1,0)</f>
        <v>1</v>
      </c>
      <c r="U34" s="10">
        <f>IF(L34="Yes",1,0)</f>
        <v>0</v>
      </c>
      <c r="V34" s="11">
        <f>IF(ISNUMBER(SEARCH(",ALK,",","&amp;SUBSTITUTE(I34,", ",",")&amp;",")),1,0)</f>
        <v>0</v>
      </c>
      <c r="W34" s="11">
        <f>IF(ISNUMBER(SEARCH(",ALK L1196M,",","&amp;SUBSTITUTE(I34,", ",",")&amp;",")),1,0)</f>
        <v>0</v>
      </c>
      <c r="X34" s="11">
        <f>IF(ISNUMBER(SEARCH(",AXL,",","&amp;SUBSTITUTE(I34,", ",",")&amp;",")),1,0)</f>
        <v>0</v>
      </c>
      <c r="Y34" s="11">
        <f>IF(ISNUMBER(SEARCH(",B7-H1,",","&amp;SUBSTITUTE(I34,", ",",")&amp;",")),1,0)</f>
        <v>0</v>
      </c>
      <c r="Z34" s="11">
        <f>IF(ISNUMBER(SEARCH(",CD152,",","&amp;SUBSTITUTE(I34,", ",",")&amp;",")),1,0)</f>
        <v>0</v>
      </c>
      <c r="AA34" s="11">
        <f>IF(ISNUMBER(SEARCH(",CD274,",","&amp;SUBSTITUTE(I34,", ",",")&amp;",")),1,0)</f>
        <v>0</v>
      </c>
      <c r="AB34" s="11">
        <f>IF(ISNUMBER(SEARCH(",CD279,",","&amp;SUBSTITUTE(I34,", ",",")&amp;",")),1,0)</f>
        <v>1</v>
      </c>
      <c r="AC34" s="11">
        <f>IF(ISNUMBER(SEARCH(",CD73,",","&amp;SUBSTITUTE(I34,", ",",")&amp;",")),1,0)</f>
        <v>0</v>
      </c>
      <c r="AD34" s="11">
        <f>IF(ISNUMBER(SEARCH(",CEA,",","&amp;SUBSTITUTE(I34,", ",",")&amp;",")),1,0)</f>
        <v>0</v>
      </c>
      <c r="AE34" s="11">
        <f>IF(ISNUMBER(SEARCH(",CTLA-4,",","&amp;SUBSTITUTE(I34,", ",",")&amp;",")),1,0)</f>
        <v>0</v>
      </c>
      <c r="AF34" s="11">
        <f>IF(ISNUMBER(SEARCH(",EGFR,",","&amp;SUBSTITUTE(I34,", ",",")&amp;",")),1,0)</f>
        <v>0</v>
      </c>
      <c r="AG34" s="11">
        <f>IF(ISNUMBER(SEARCH(",EGFR C797G,",","&amp;SUBSTITUTE(I34,", ",",")&amp;",")),1,0)</f>
        <v>0</v>
      </c>
      <c r="AH34" s="11">
        <f>IF(ISNUMBER(SEARCH(",EGFR C797S,",","&amp;SUBSTITUTE(I34,", ",",")&amp;",")),1,0)</f>
        <v>0</v>
      </c>
      <c r="AI34" s="11">
        <f>IF(ISNUMBER(SEARCH(",EGFR Exon 19-del,",","&amp;SUBSTITUTE(I34,", ",",")&amp;",")),1,0)</f>
        <v>0</v>
      </c>
      <c r="AJ34" s="11">
        <f>IF(ISNUMBER(SEARCH(",EGFR Exon 20,",","&amp;SUBSTITUTE(I34,", ",",")&amp;",")),1,0)</f>
        <v>0</v>
      </c>
      <c r="AK34" s="11">
        <f>IF(ISNUMBER(SEARCH(",EGFR L858R,",","&amp;SUBSTITUTE(I34,", ",",")&amp;",")),1,0)</f>
        <v>0</v>
      </c>
      <c r="AL34" s="11">
        <f>IF(ISNUMBER(SEARCH(",EGFR T790M,",","&amp;SUBSTITUTE(I34,", ",",")&amp;",")),1,0)</f>
        <v>0</v>
      </c>
      <c r="AM34" s="11">
        <f>IF(ISNUMBER(SEARCH(",ERBB,",","&amp;SUBSTITUTE(I34,", ",",")&amp;",")),1,0)</f>
        <v>0</v>
      </c>
      <c r="AN34" s="11">
        <f>IF(ISNUMBER(SEARCH(",ERBB3,",","&amp;SUBSTITUTE(I34,", ",",")&amp;",")),1,0)</f>
        <v>0</v>
      </c>
      <c r="AO34" s="11">
        <f>IF(ISNUMBER(SEARCH(",FAK,",","&amp;SUBSTITUTE(I34,", ",",")&amp;",")),1,0)</f>
        <v>0</v>
      </c>
      <c r="AP34" s="11">
        <f>IF(ISNUMBER(SEARCH(",GARP,",","&amp;SUBSTITUTE(I34,", ",",")&amp;",")),1,0)</f>
        <v>0</v>
      </c>
      <c r="AQ34" s="11">
        <f>IF(ISNUMBER(SEARCH(",HER1,",","&amp;SUBSTITUTE(I34,", ",",")&amp;",")),1,0)</f>
        <v>0</v>
      </c>
      <c r="AR34" s="11">
        <f>IF(ISNUMBER(SEARCH(",HER2,",","&amp;SUBSTITUTE(I34,", ",",")&amp;",")),1,0)</f>
        <v>0</v>
      </c>
      <c r="AS34" s="11">
        <f>IF(ISNUMBER(SEARCH(",HER2 Exon 20,",","&amp;SUBSTITUTE(I34,", ",",")&amp;",")),1,0)</f>
        <v>0</v>
      </c>
      <c r="AT34" s="11">
        <f>IF(ISNUMBER(SEARCH(",HER3,",","&amp;SUBSTITUTE(I34,", ",",")&amp;",")),1,0)</f>
        <v>0</v>
      </c>
      <c r="AU34" s="11">
        <f>IF(ISNUMBER(SEARCH(",HER4,",","&amp;SUBSTITUTE(I34,", ",",")&amp;",")),1,0)</f>
        <v>0</v>
      </c>
      <c r="AV34" s="11">
        <f>IF(ISNUMBER(SEARCH(",HRAS,",","&amp;SUBSTITUTE(I34,", ",",")&amp;",")),1,0)</f>
        <v>0</v>
      </c>
      <c r="AW34" s="11">
        <f>IF(ISNUMBER(SEARCH(",HSV-TK,",","&amp;SUBSTITUTE(I34,", ",",")&amp;",")),1,0)</f>
        <v>0</v>
      </c>
      <c r="AX34" s="11">
        <f>IF(ISNUMBER(SEARCH(",IL-12,",","&amp;SUBSTITUTE(I34,", ",",")&amp;",")),1,0)</f>
        <v>0</v>
      </c>
      <c r="AY34" s="11">
        <f>IF(ISNUMBER(SEARCH(",IL-15,",","&amp;SUBSTITUTE(I34,", ",",")&amp;",")),1,0)</f>
        <v>0</v>
      </c>
      <c r="AZ34" s="11">
        <f>IF(ISNUMBER(SEARCH(",IL-15R,",","&amp;SUBSTITUTE(I34,", ",",")&amp;",")),1,0)</f>
        <v>0</v>
      </c>
      <c r="BA34" s="11">
        <f>IF(ISNUMBER(SEARCH(",IL-2,",","&amp;SUBSTITUTE(I34,", ",",")&amp;",")),1,0)</f>
        <v>0</v>
      </c>
      <c r="BB34" s="11">
        <f>IF(ISNUMBER(SEARCH(",Integrin β6,",","&amp;SUBSTITUTE(I34,", ",",")&amp;",")),1,0)</f>
        <v>0</v>
      </c>
      <c r="BC34" s="11">
        <f>IF(ISNUMBER(SEARCH(",KDR,",","&amp;SUBSTITUTE(I34,", ",",")&amp;",")),1,0)</f>
        <v>0</v>
      </c>
      <c r="BD34" s="11">
        <f>IF(ISNUMBER(SEARCH(",KLRC1,",","&amp;SUBSTITUTE(I34,", ",",")&amp;",")),1,0)</f>
        <v>0</v>
      </c>
      <c r="BE34" s="11">
        <f>IF(ISNUMBER(SEARCH(",KRAS,",","&amp;SUBSTITUTE(I34,", ",",")&amp;",")),1,0)</f>
        <v>0</v>
      </c>
      <c r="BF34" s="11">
        <f>IF(ISNUMBER(SEARCH(",KRAS G12,",","&amp;SUBSTITUTE(I34,", ",",")&amp;",")),1,0)</f>
        <v>0</v>
      </c>
      <c r="BG34" s="11">
        <f>IF(ISNUMBER(SEARCH(",KRAS G12C,",","&amp;SUBSTITUTE(I34,", ",",")&amp;",")),1,0)</f>
        <v>0</v>
      </c>
      <c r="BH34" s="11">
        <f>IF(ISNUMBER(SEARCH(",KRAS G12D,",","&amp;SUBSTITUTE(I34,", ",",")&amp;",")),1,0)</f>
        <v>0</v>
      </c>
      <c r="BI34" s="11">
        <f>IF(ISNUMBER(SEARCH(",LAG-3,",","&amp;SUBSTITUTE(I34,", ",",")&amp;",")),1,0)</f>
        <v>0</v>
      </c>
      <c r="BJ34" s="11">
        <f>IF(ISNUMBER(SEARCH(",MAGE-A2,",","&amp;SUBSTITUTE(I34,", ",",")&amp;",")),1,0)</f>
        <v>0</v>
      </c>
      <c r="BK34" s="11">
        <f>IF(ISNUMBER(SEARCH(",MAGE-A3,",","&amp;SUBSTITUTE(I34,", ",",")&amp;",")),1,0)</f>
        <v>0</v>
      </c>
      <c r="BL34" s="11">
        <f>IF(ISNUMBER(SEARCH(",MLN19,",","&amp;SUBSTITUTE(I34,", ",",")&amp;",")),1,0)</f>
        <v>0</v>
      </c>
      <c r="BM34" s="11">
        <f>IF(ISNUMBER(SEARCH(",Microtubule,",","&amp;SUBSTITUTE(I34,", ",",")&amp;",")),1,0)</f>
        <v>0</v>
      </c>
      <c r="BN34" s="11">
        <f>IF(ISNUMBER(SEARCH(",NKG2A,",","&amp;SUBSTITUTE(I34,", ",",")&amp;",")),1,0)</f>
        <v>0</v>
      </c>
      <c r="BO34" s="11">
        <f>IF(ISNUMBER(SEARCH(",NRAS,",","&amp;SUBSTITUTE(I34,", ",",")&amp;",")),1,0)</f>
        <v>0</v>
      </c>
      <c r="BP34" s="11">
        <f>IF(ISNUMBER(SEARCH(",NTRK,",","&amp;SUBSTITUTE(I34,", ",",")&amp;",")),1,0)</f>
        <v>0</v>
      </c>
      <c r="BQ34" s="11">
        <f>IF(ISNUMBER(SEARCH(",PARP,",","&amp;SUBSTITUTE(I34,", ",",")&amp;",")),1,0)</f>
        <v>0</v>
      </c>
      <c r="BR34" s="11">
        <f>IF(ISNUMBER(SEARCH(",PD-1,",","&amp;SUBSTITUTE(I34,", ",",")&amp;",")),1,0)</f>
        <v>1</v>
      </c>
      <c r="BS34" s="11">
        <f>IF(ISNUMBER(SEARCH(",PD-L1,",","&amp;SUBSTITUTE(I34,", ",",")&amp;",")),1,0)</f>
        <v>0</v>
      </c>
      <c r="BT34" s="11">
        <f>IF(ISNUMBER(SEARCH(",PRMT5,",","&amp;SUBSTITUTE(I34,", ",",")&amp;",")),1,0)</f>
        <v>0</v>
      </c>
      <c r="BU34" s="11">
        <f>IF(ISNUMBER(SEARCH(",RAS,",","&amp;SUBSTITUTE(I34,", ",",")&amp;",")),1,0)</f>
        <v>0</v>
      </c>
      <c r="BV34" s="11">
        <f>IF(ISNUMBER(SEARCH(",RET,",","&amp;SUBSTITUTE(I34,", ",",")&amp;",")),1,0)</f>
        <v>0</v>
      </c>
      <c r="BW34" s="11">
        <f>IF(ISNUMBER(SEARCH(",ROS,",","&amp;SUBSTITUTE(I34,", ",",")&amp;",")),1,0)</f>
        <v>0</v>
      </c>
      <c r="BX34" s="11">
        <f>IF(ISNUMBER(SEARCH(",ROS1,",","&amp;SUBSTITUTE(I34,", ",",")&amp;",")),1,0)</f>
        <v>0</v>
      </c>
      <c r="BY34" s="11">
        <f>IF(ISNUMBER(SEARCH(",Src,",","&amp;SUBSTITUTE(I34,", ",",")&amp;",")),1,0)</f>
        <v>0</v>
      </c>
      <c r="BZ34" s="11">
        <f>IF(ISNUMBER(SEARCH(",TCGF,",","&amp;SUBSTITUTE(I34,", ",",")&amp;",")),1,0)</f>
        <v>0</v>
      </c>
      <c r="CA34" s="11">
        <f>IF(ISNUMBER(SEARCH(",TGF-β,",","&amp;SUBSTITUTE(I34,", ",",")&amp;",")),1,0)</f>
        <v>0</v>
      </c>
      <c r="CB34" s="11">
        <f>IF(ISNUMBER(SEARCH(",TGF-β1,",","&amp;SUBSTITUTE(I34,", ",",")&amp;",")),1,0)</f>
        <v>0</v>
      </c>
      <c r="CC34" s="11">
        <f>IF(ISNUMBER(SEARCH(",TIGIT,",","&amp;SUBSTITUTE(I34,", ",",")&amp;",")),1,0)</f>
        <v>0</v>
      </c>
      <c r="CD34" s="11">
        <f>IF(ISNUMBER(SEARCH(",TLR,",","&amp;SUBSTITUTE(I34,", ",",")&amp;",")),1,0)</f>
        <v>0</v>
      </c>
      <c r="CE34" s="11">
        <f>IF(ISNUMBER(SEARCH(",TLR7/8,",","&amp;SUBSTITUTE(I34,", ",",")&amp;",")),1,0)</f>
        <v>0</v>
      </c>
      <c r="CF34" s="11">
        <f>IF(ISNUMBER(SEARCH(",TRK,",","&amp;SUBSTITUTE(I34,", ",",")&amp;",")),1,0)</f>
        <v>0</v>
      </c>
      <c r="CG34" s="11">
        <f>IF(ISNUMBER(SEARCH(",TROP2,",","&amp;SUBSTITUTE(I34,", ",",")&amp;",")),1,0)</f>
        <v>0</v>
      </c>
      <c r="CH34" s="11">
        <f>IF(ISNUMBER(SEARCH(",TS,",","&amp;SUBSTITUTE(I34,", ",",")&amp;",")),1,0)</f>
        <v>0</v>
      </c>
      <c r="CI34" s="11">
        <f>IF(ISNUMBER(SEARCH(",TYMS,",","&amp;SUBSTITUTE(I34,", ",",")&amp;",")),1,0)</f>
        <v>0</v>
      </c>
      <c r="CJ34" s="11">
        <f>IF(ISNUMBER(SEARCH(",VEGF,",","&amp;SUBSTITUTE(I34,", ",",")&amp;",")),1,0)</f>
        <v>1</v>
      </c>
      <c r="CK34" s="11">
        <f>IF(ISNUMBER(SEARCH(",VEGFA,",","&amp;SUBSTITUTE(I34,", ",",")&amp;",")),1,0)</f>
        <v>0</v>
      </c>
      <c r="CL34" s="11">
        <f>IF(ISNUMBER(SEARCH(",VEGFR2,",","&amp;SUBSTITUTE(I34,", ",",")&amp;",")),1,0)</f>
        <v>0</v>
      </c>
      <c r="CM34" s="11">
        <f>IF(ISNUMBER(SEARCH(",c-MET/MET,",","&amp;SUBSTITUTE(I34,", ",",")&amp;",")),1,0)</f>
        <v>0</v>
      </c>
      <c r="CN34" s="11">
        <f>IF(ISNUMBER(SEARCH(",p53,",","&amp;SUBSTITUTE(I34,", ",",")&amp;",")),1,0)</f>
        <v>0</v>
      </c>
      <c r="CO34" s="11">
        <f>IF(ISNUMBER(SEARCH(",pan-KRAS,",","&amp;SUBSTITUTE(I34,", ",",")&amp;",")),1,0)</f>
        <v>0</v>
      </c>
      <c r="CP34" s="11">
        <f>IF(ISNUMBER(SEARCH(",ALK,",","&amp;SUBSTITUTE(K34,", ",",")&amp;",")),1,0)</f>
        <v>0</v>
      </c>
      <c r="CQ34" s="11">
        <f>IF(ISNUMBER(SEARCH(",BRAF V600E,",","&amp;SUBSTITUTE(K34,", ",",")&amp;",")),1,0)</f>
        <v>0</v>
      </c>
      <c r="CR34" s="11">
        <f>IF(ISNUMBER(SEARCH(",EGFR,",","&amp;SUBSTITUTE(K34,", ",",")&amp;",")),1,0)</f>
        <v>0</v>
      </c>
      <c r="CS34" s="11">
        <f>IF(ISNUMBER(SEARCH(",EGFR Exon 18,",","&amp;SUBSTITUTE(K34,", ",",")&amp;",")),1,0)</f>
        <v>0</v>
      </c>
      <c r="CT34" s="11">
        <f>IF(ISNUMBER(SEARCH(",EGFR Exon 19-del,",","&amp;SUBSTITUTE(K34,", ",",")&amp;",")),1,0)</f>
        <v>0</v>
      </c>
      <c r="CU34" s="11">
        <f>IF(ISNUMBER(SEARCH(",EGFR Exon 20,",","&amp;SUBSTITUTE(K34,", ",",")&amp;",")),1,0)</f>
        <v>0</v>
      </c>
      <c r="CV34" s="11">
        <f>IF(ISNUMBER(SEARCH(",EGFR Exon 20-ins,",","&amp;SUBSTITUTE(K34,", ",",")&amp;",")),1,0)</f>
        <v>0</v>
      </c>
      <c r="CW34" s="11">
        <f>IF(ISNUMBER(SEARCH(",EGFR Exon 21,",","&amp;SUBSTITUTE(K34,", ",",")&amp;",")),1,0)</f>
        <v>0</v>
      </c>
      <c r="CX34" s="11">
        <f>IF(ISNUMBER(SEARCH(",EGFR G719A,",","&amp;SUBSTITUTE(K34,", ",",")&amp;",")),1,0)</f>
        <v>0</v>
      </c>
      <c r="CY34" s="11">
        <f>IF(ISNUMBER(SEARCH(",EGFR G719C,",","&amp;SUBSTITUTE(K34,", ",",")&amp;",")),1,0)</f>
        <v>0</v>
      </c>
      <c r="CZ34" s="11">
        <f>IF(ISNUMBER(SEARCH(",EGFR G719S,",","&amp;SUBSTITUTE(K34,", ",",")&amp;",")),1,0)</f>
        <v>0</v>
      </c>
      <c r="DA34" s="11">
        <f>IF(ISNUMBER(SEARCH(",EGFR G719X,",","&amp;SUBSTITUTE(K34,", ",",")&amp;",")),1,0)</f>
        <v>0</v>
      </c>
      <c r="DB34" s="11">
        <f>IF(ISNUMBER(SEARCH(",EGFR L858R,",","&amp;SUBSTITUTE(K34,", ",",")&amp;",")),1,0)</f>
        <v>0</v>
      </c>
      <c r="DC34" s="11">
        <f>IF(ISNUMBER(SEARCH(",EGFR L861Q,",","&amp;SUBSTITUTE(K34,", ",",")&amp;",")),1,0)</f>
        <v>0</v>
      </c>
      <c r="DD34" s="11">
        <f>IF(ISNUMBER(SEARCH(",EGFR PACC,",","&amp;SUBSTITUTE(K34,", ",",")&amp;",")),1,0)</f>
        <v>0</v>
      </c>
      <c r="DE34" s="11">
        <f>IF(ISNUMBER(SEARCH(",EGFR S768I,",","&amp;SUBSTITUTE(K34,", ",",")&amp;",")),1,0)</f>
        <v>0</v>
      </c>
      <c r="DF34" s="11">
        <f>IF(ISNUMBER(SEARCH(",EGFR T790M,",","&amp;SUBSTITUTE(K34,", ",",")&amp;",")),1,0)</f>
        <v>0</v>
      </c>
      <c r="DG34" s="11">
        <f>IF(ISNUMBER(SEARCH(",EML4-ALK,",","&amp;SUBSTITUTE(K34,", ",",")&amp;",")),1,0)</f>
        <v>0</v>
      </c>
      <c r="DH34" s="11">
        <f>IF(ISNUMBER(SEARCH(",HER2,",","&amp;SUBSTITUTE(K34,", ",",")&amp;",")),1,0)</f>
        <v>0</v>
      </c>
      <c r="DI34" s="11">
        <f>IF(ISNUMBER(SEARCH(",HER2 Exon 19,",","&amp;SUBSTITUTE(K34,", ",",")&amp;",")),1,0)</f>
        <v>0</v>
      </c>
      <c r="DJ34" s="11">
        <f>IF(ISNUMBER(SEARCH(",HER2 Exon 20,",","&amp;SUBSTITUTE(K34,", ",",")&amp;",")),1,0)</f>
        <v>0</v>
      </c>
      <c r="DK34" s="11">
        <f>IF(ISNUMBER(SEARCH(",HER2 mut,",","&amp;SUBSTITUTE(K34,", ",",")&amp;",")),1,0)</f>
        <v>0</v>
      </c>
      <c r="DL34" s="11">
        <f>IF(ISNUMBER(SEARCH(",HLA-A2,",","&amp;SUBSTITUTE(K34,", ",",")&amp;",")),1,0)</f>
        <v>0</v>
      </c>
      <c r="DM34" s="11">
        <f>IF(ISNUMBER(SEARCH(",HRAS,",","&amp;SUBSTITUTE(K34,", ",",")&amp;",")),1,0)</f>
        <v>0</v>
      </c>
      <c r="DN34" s="11">
        <f>IF(ISNUMBER(SEARCH(",KRAS,",","&amp;SUBSTITUTE(K34,", ",",")&amp;",")),1,0)</f>
        <v>0</v>
      </c>
      <c r="DO34" s="11">
        <f>IF(ISNUMBER(SEARCH(",KRAS G12C,",","&amp;SUBSTITUTE(K34,", ",",")&amp;",")),1,0)</f>
        <v>0</v>
      </c>
      <c r="DP34" s="11">
        <f>IF(ISNUMBER(SEARCH(",NRAS,",","&amp;SUBSTITUTE(K34,", ",",")&amp;",")),1,0)</f>
        <v>0</v>
      </c>
      <c r="DQ34" s="11">
        <f>IF(ISNUMBER(SEARCH(",NTRK,",","&amp;SUBSTITUTE(K34,", ",",")&amp;",")),1,0)</f>
        <v>0</v>
      </c>
      <c r="DR34" s="11">
        <f>IF(ISNUMBER(SEARCH(",PD-L1,",","&amp;SUBSTITUTE(K34,", ",",")&amp;",")),1,0)</f>
        <v>0</v>
      </c>
      <c r="DS34" s="11">
        <f>IF(ISNUMBER(SEARCH(",PD-L1 IC ≥ 1%,",","&amp;SUBSTITUTE(K34,", ",",")&amp;",")),1,0)</f>
        <v>0</v>
      </c>
      <c r="DT34" s="11">
        <f>IF(ISNUMBER(SEARCH(",PD-L1 TC ≥ 1%,",","&amp;SUBSTITUTE(K34,", ",",")&amp;",")),1,0)</f>
        <v>0</v>
      </c>
      <c r="DU34" s="11">
        <f>IF(ISNUMBER(SEARCH(",PD-L1 TC ≥ 50%,",","&amp;SUBSTITUTE(K34,", ",",")&amp;",")),1,0)</f>
        <v>0</v>
      </c>
      <c r="DV34" s="11">
        <f>IF(ISNUMBER(SEARCH(",PD-L1 TPS &lt; 50%,",","&amp;SUBSTITUTE(K34,", ",",")&amp;",")),1,0)</f>
        <v>0</v>
      </c>
      <c r="DW34" s="11">
        <f>IF(ISNUMBER(SEARCH(",PD-L1 TPS ≥ 1%,",","&amp;SUBSTITUTE(K34,", ",",")&amp;",")),1,0)</f>
        <v>0</v>
      </c>
      <c r="DX34" s="11">
        <f>IF(ISNUMBER(SEARCH(",PD-L1 TPS ≥ 50%,",","&amp;SUBSTITUTE(K34,", ",",")&amp;",")),1,0)</f>
        <v>0</v>
      </c>
      <c r="DY34" s="11">
        <f>IF(ISNUMBER(SEARCH(",RAS,",","&amp;SUBSTITUTE(K34,", ",",")&amp;",")),1,0)</f>
        <v>0</v>
      </c>
      <c r="DZ34" s="11">
        <f>IF(ISNUMBER(SEARCH(",RET,",","&amp;SUBSTITUTE(K34,", ",",")&amp;",")),1,0)</f>
        <v>0</v>
      </c>
      <c r="EA34" s="11">
        <f>IF(ISNUMBER(SEARCH(",ROS1,",","&amp;SUBSTITUTE(K34,", ",",")&amp;",")),1,0)</f>
        <v>0</v>
      </c>
      <c r="EB34" s="11">
        <f>IF(ISNUMBER(SEARCH(",TROP2,",","&amp;SUBSTITUTE(K34,", ",",")&amp;",")),1,0)</f>
        <v>0</v>
      </c>
      <c r="EC34" s="11">
        <f>IF(ISNUMBER(SEARCH(",c-MET/MET,",","&amp;SUBSTITUTE(K34,", ",",")&amp;",")),1,0)</f>
        <v>0</v>
      </c>
      <c r="ED34" s="11">
        <f>IF(ISNUMBER(SEARCH(",c-MET/MET Exon 14,",","&amp;SUBSTITUTE(K34,", ",",")&amp;",")),1,0)</f>
        <v>0</v>
      </c>
      <c r="EE34" s="11">
        <f>IF(ISNUMBER(SEARCH(",ctDNA/cfDNA,",","&amp;SUBSTITUTE(K34,", ",",")&amp;",")),1,0)</f>
        <v>0</v>
      </c>
    </row>
    <row r="35" spans="1:135" ht="15" customHeight="1" x14ac:dyDescent="0.2">
      <c r="A35" s="5" t="s">
        <v>866</v>
      </c>
      <c r="B35" s="5" t="s">
        <v>868</v>
      </c>
      <c r="C35" s="5" t="s">
        <v>869</v>
      </c>
      <c r="D35" s="5" t="s">
        <v>869</v>
      </c>
      <c r="E35" s="5" t="s">
        <v>869</v>
      </c>
      <c r="F35" s="5" t="s">
        <v>259</v>
      </c>
      <c r="G35" s="5" t="s">
        <v>283</v>
      </c>
      <c r="H35" s="5" t="s">
        <v>114</v>
      </c>
      <c r="I35" s="5" t="s">
        <v>873</v>
      </c>
      <c r="J35" s="5" t="s">
        <v>872</v>
      </c>
      <c r="K35" s="5" t="s">
        <v>300</v>
      </c>
      <c r="L35" s="5" t="s">
        <v>119</v>
      </c>
      <c r="M35" s="5" t="s">
        <v>113</v>
      </c>
      <c r="N35" s="5" t="s">
        <v>120</v>
      </c>
      <c r="O35" s="5" t="s">
        <v>120</v>
      </c>
      <c r="P35" s="5" t="s">
        <v>1181</v>
      </c>
      <c r="Q35" s="10" t="str">
        <f>IF(F35="Stage IV","Stage IV Only",IF(AND(ISNUMBER(SEARCH("IV",F35)),LEN(F35)&gt;LEN("Stage IV")),"Stage IV + Other",IF(AND(ISNUMBER(SEARCH("III",F35)),NOT(ISNUMBER(SEARCH("IV",F35)))),"Stage III Only","Other")))</f>
        <v>Stage IV Only</v>
      </c>
      <c r="R35" s="10" t="str">
        <f>IF(AND(ISNUMBER(SEARCH("Non-squamous",G35)),ISNUMBER(SEARCH("Squamous",SUBSTITUTE(G35,"Non-squamous","")))),"Both",IF(ISNUMBER(SEARCH("Non-squamous",G35)),"Non-squamous",IF(ISNUMBER(SEARCH("Squamous",G35)),"Squamous","Unspecified")))</f>
        <v>Both</v>
      </c>
      <c r="S35" s="10" t="str">
        <f>IF(OR(ISNUMBER(SEARCH("TPS ≥ 50%",K35)),ISNUMBER(SEARCH("TC ≥ 50%",K35))),"TPS ≥ 50%",IF(OR(ISNUMBER(SEARCH("TPS ≥ 1%",K35)),ISNUMBER(SEARCH("TC ≥ 1%",K35)),ISNUMBER(SEARCH("TPS &lt; 50%",K35)),ISNUMBER(SEARCH("IC ≥ 1%",K35))),"TPS 1-49%","All-comers"))</f>
        <v>TPS ≥ 50%</v>
      </c>
      <c r="T35" s="10">
        <f>IF(H35="Phase III",1,0)</f>
        <v>1</v>
      </c>
      <c r="U35" s="10">
        <f>IF(L35="Yes",1,0)</f>
        <v>0</v>
      </c>
      <c r="V35" s="11">
        <f>IF(ISNUMBER(SEARCH(",ALK,",","&amp;SUBSTITUTE(I35,", ",",")&amp;",")),1,0)</f>
        <v>0</v>
      </c>
      <c r="W35" s="11">
        <f>IF(ISNUMBER(SEARCH(",ALK L1196M,",","&amp;SUBSTITUTE(I35,", ",",")&amp;",")),1,0)</f>
        <v>0</v>
      </c>
      <c r="X35" s="11">
        <f>IF(ISNUMBER(SEARCH(",AXL,",","&amp;SUBSTITUTE(I35,", ",",")&amp;",")),1,0)</f>
        <v>0</v>
      </c>
      <c r="Y35" s="11">
        <f>IF(ISNUMBER(SEARCH(",B7-H1,",","&amp;SUBSTITUTE(I35,", ",",")&amp;",")),1,0)</f>
        <v>0</v>
      </c>
      <c r="Z35" s="11">
        <f>IF(ISNUMBER(SEARCH(",CD152,",","&amp;SUBSTITUTE(I35,", ",",")&amp;",")),1,0)</f>
        <v>0</v>
      </c>
      <c r="AA35" s="11">
        <f>IF(ISNUMBER(SEARCH(",CD274,",","&amp;SUBSTITUTE(I35,", ",",")&amp;",")),1,0)</f>
        <v>0</v>
      </c>
      <c r="AB35" s="11">
        <f>IF(ISNUMBER(SEARCH(",CD279,",","&amp;SUBSTITUTE(I35,", ",",")&amp;",")),1,0)</f>
        <v>1</v>
      </c>
      <c r="AC35" s="11">
        <f>IF(ISNUMBER(SEARCH(",CD73,",","&amp;SUBSTITUTE(I35,", ",",")&amp;",")),1,0)</f>
        <v>0</v>
      </c>
      <c r="AD35" s="11">
        <f>IF(ISNUMBER(SEARCH(",CEA,",","&amp;SUBSTITUTE(I35,", ",",")&amp;",")),1,0)</f>
        <v>0</v>
      </c>
      <c r="AE35" s="11">
        <f>IF(ISNUMBER(SEARCH(",CTLA-4,",","&amp;SUBSTITUTE(I35,", ",",")&amp;",")),1,0)</f>
        <v>0</v>
      </c>
      <c r="AF35" s="11">
        <f>IF(ISNUMBER(SEARCH(",EGFR,",","&amp;SUBSTITUTE(I35,", ",",")&amp;",")),1,0)</f>
        <v>0</v>
      </c>
      <c r="AG35" s="11">
        <f>IF(ISNUMBER(SEARCH(",EGFR C797G,",","&amp;SUBSTITUTE(I35,", ",",")&amp;",")),1,0)</f>
        <v>0</v>
      </c>
      <c r="AH35" s="11">
        <f>IF(ISNUMBER(SEARCH(",EGFR C797S,",","&amp;SUBSTITUTE(I35,", ",",")&amp;",")),1,0)</f>
        <v>0</v>
      </c>
      <c r="AI35" s="11">
        <f>IF(ISNUMBER(SEARCH(",EGFR Exon 19-del,",","&amp;SUBSTITUTE(I35,", ",",")&amp;",")),1,0)</f>
        <v>0</v>
      </c>
      <c r="AJ35" s="11">
        <f>IF(ISNUMBER(SEARCH(",EGFR Exon 20,",","&amp;SUBSTITUTE(I35,", ",",")&amp;",")),1,0)</f>
        <v>0</v>
      </c>
      <c r="AK35" s="11">
        <f>IF(ISNUMBER(SEARCH(",EGFR L858R,",","&amp;SUBSTITUTE(I35,", ",",")&amp;",")),1,0)</f>
        <v>0</v>
      </c>
      <c r="AL35" s="11">
        <f>IF(ISNUMBER(SEARCH(",EGFR T790M,",","&amp;SUBSTITUTE(I35,", ",",")&amp;",")),1,0)</f>
        <v>0</v>
      </c>
      <c r="AM35" s="11">
        <f>IF(ISNUMBER(SEARCH(",ERBB,",","&amp;SUBSTITUTE(I35,", ",",")&amp;",")),1,0)</f>
        <v>0</v>
      </c>
      <c r="AN35" s="11">
        <f>IF(ISNUMBER(SEARCH(",ERBB3,",","&amp;SUBSTITUTE(I35,", ",",")&amp;",")),1,0)</f>
        <v>0</v>
      </c>
      <c r="AO35" s="11">
        <f>IF(ISNUMBER(SEARCH(",FAK,",","&amp;SUBSTITUTE(I35,", ",",")&amp;",")),1,0)</f>
        <v>0</v>
      </c>
      <c r="AP35" s="11">
        <f>IF(ISNUMBER(SEARCH(",GARP,",","&amp;SUBSTITUTE(I35,", ",",")&amp;",")),1,0)</f>
        <v>0</v>
      </c>
      <c r="AQ35" s="11">
        <f>IF(ISNUMBER(SEARCH(",HER1,",","&amp;SUBSTITUTE(I35,", ",",")&amp;",")),1,0)</f>
        <v>0</v>
      </c>
      <c r="AR35" s="11">
        <f>IF(ISNUMBER(SEARCH(",HER2,",","&amp;SUBSTITUTE(I35,", ",",")&amp;",")),1,0)</f>
        <v>0</v>
      </c>
      <c r="AS35" s="11">
        <f>IF(ISNUMBER(SEARCH(",HER2 Exon 20,",","&amp;SUBSTITUTE(I35,", ",",")&amp;",")),1,0)</f>
        <v>0</v>
      </c>
      <c r="AT35" s="11">
        <f>IF(ISNUMBER(SEARCH(",HER3,",","&amp;SUBSTITUTE(I35,", ",",")&amp;",")),1,0)</f>
        <v>0</v>
      </c>
      <c r="AU35" s="11">
        <f>IF(ISNUMBER(SEARCH(",HER4,",","&amp;SUBSTITUTE(I35,", ",",")&amp;",")),1,0)</f>
        <v>0</v>
      </c>
      <c r="AV35" s="11">
        <f>IF(ISNUMBER(SEARCH(",HRAS,",","&amp;SUBSTITUTE(I35,", ",",")&amp;",")),1,0)</f>
        <v>0</v>
      </c>
      <c r="AW35" s="11">
        <f>IF(ISNUMBER(SEARCH(",HSV-TK,",","&amp;SUBSTITUTE(I35,", ",",")&amp;",")),1,0)</f>
        <v>0</v>
      </c>
      <c r="AX35" s="11">
        <f>IF(ISNUMBER(SEARCH(",IL-12,",","&amp;SUBSTITUTE(I35,", ",",")&amp;",")),1,0)</f>
        <v>0</v>
      </c>
      <c r="AY35" s="11">
        <f>IF(ISNUMBER(SEARCH(",IL-15,",","&amp;SUBSTITUTE(I35,", ",",")&amp;",")),1,0)</f>
        <v>0</v>
      </c>
      <c r="AZ35" s="11">
        <f>IF(ISNUMBER(SEARCH(",IL-15R,",","&amp;SUBSTITUTE(I35,", ",",")&amp;",")),1,0)</f>
        <v>0</v>
      </c>
      <c r="BA35" s="11">
        <f>IF(ISNUMBER(SEARCH(",IL-2,",","&amp;SUBSTITUTE(I35,", ",",")&amp;",")),1,0)</f>
        <v>0</v>
      </c>
      <c r="BB35" s="11">
        <f>IF(ISNUMBER(SEARCH(",Integrin β6,",","&amp;SUBSTITUTE(I35,", ",",")&amp;",")),1,0)</f>
        <v>0</v>
      </c>
      <c r="BC35" s="11">
        <f>IF(ISNUMBER(SEARCH(",KDR,",","&amp;SUBSTITUTE(I35,", ",",")&amp;",")),1,0)</f>
        <v>0</v>
      </c>
      <c r="BD35" s="11">
        <f>IF(ISNUMBER(SEARCH(",KLRC1,",","&amp;SUBSTITUTE(I35,", ",",")&amp;",")),1,0)</f>
        <v>0</v>
      </c>
      <c r="BE35" s="11">
        <f>IF(ISNUMBER(SEARCH(",KRAS,",","&amp;SUBSTITUTE(I35,", ",",")&amp;",")),1,0)</f>
        <v>0</v>
      </c>
      <c r="BF35" s="11">
        <f>IF(ISNUMBER(SEARCH(",KRAS G12,",","&amp;SUBSTITUTE(I35,", ",",")&amp;",")),1,0)</f>
        <v>0</v>
      </c>
      <c r="BG35" s="11">
        <f>IF(ISNUMBER(SEARCH(",KRAS G12C,",","&amp;SUBSTITUTE(I35,", ",",")&amp;",")),1,0)</f>
        <v>0</v>
      </c>
      <c r="BH35" s="11">
        <f>IF(ISNUMBER(SEARCH(",KRAS G12D,",","&amp;SUBSTITUTE(I35,", ",",")&amp;",")),1,0)</f>
        <v>0</v>
      </c>
      <c r="BI35" s="11">
        <f>IF(ISNUMBER(SEARCH(",LAG-3,",","&amp;SUBSTITUTE(I35,", ",",")&amp;",")),1,0)</f>
        <v>0</v>
      </c>
      <c r="BJ35" s="11">
        <f>IF(ISNUMBER(SEARCH(",MAGE-A2,",","&amp;SUBSTITUTE(I35,", ",",")&amp;",")),1,0)</f>
        <v>0</v>
      </c>
      <c r="BK35" s="11">
        <f>IF(ISNUMBER(SEARCH(",MAGE-A3,",","&amp;SUBSTITUTE(I35,", ",",")&amp;",")),1,0)</f>
        <v>0</v>
      </c>
      <c r="BL35" s="11">
        <f>IF(ISNUMBER(SEARCH(",MLN19,",","&amp;SUBSTITUTE(I35,", ",",")&amp;",")),1,0)</f>
        <v>0</v>
      </c>
      <c r="BM35" s="11">
        <f>IF(ISNUMBER(SEARCH(",Microtubule,",","&amp;SUBSTITUTE(I35,", ",",")&amp;",")),1,0)</f>
        <v>0</v>
      </c>
      <c r="BN35" s="11">
        <f>IF(ISNUMBER(SEARCH(",NKG2A,",","&amp;SUBSTITUTE(I35,", ",",")&amp;",")),1,0)</f>
        <v>0</v>
      </c>
      <c r="BO35" s="11">
        <f>IF(ISNUMBER(SEARCH(",NRAS,",","&amp;SUBSTITUTE(I35,", ",",")&amp;",")),1,0)</f>
        <v>0</v>
      </c>
      <c r="BP35" s="11">
        <f>IF(ISNUMBER(SEARCH(",NTRK,",","&amp;SUBSTITUTE(I35,", ",",")&amp;",")),1,0)</f>
        <v>0</v>
      </c>
      <c r="BQ35" s="11">
        <f>IF(ISNUMBER(SEARCH(",PARP,",","&amp;SUBSTITUTE(I35,", ",",")&amp;",")),1,0)</f>
        <v>0</v>
      </c>
      <c r="BR35" s="11">
        <f>IF(ISNUMBER(SEARCH(",PD-1,",","&amp;SUBSTITUTE(I35,", ",",")&amp;",")),1,0)</f>
        <v>1</v>
      </c>
      <c r="BS35" s="11">
        <f>IF(ISNUMBER(SEARCH(",PD-L1,",","&amp;SUBSTITUTE(I35,", ",",")&amp;",")),1,0)</f>
        <v>0</v>
      </c>
      <c r="BT35" s="11">
        <f>IF(ISNUMBER(SEARCH(",PRMT5,",","&amp;SUBSTITUTE(I35,", ",",")&amp;",")),1,0)</f>
        <v>0</v>
      </c>
      <c r="BU35" s="11">
        <f>IF(ISNUMBER(SEARCH(",RAS,",","&amp;SUBSTITUTE(I35,", ",",")&amp;",")),1,0)</f>
        <v>0</v>
      </c>
      <c r="BV35" s="11">
        <f>IF(ISNUMBER(SEARCH(",RET,",","&amp;SUBSTITUTE(I35,", ",",")&amp;",")),1,0)</f>
        <v>0</v>
      </c>
      <c r="BW35" s="11">
        <f>IF(ISNUMBER(SEARCH(",ROS,",","&amp;SUBSTITUTE(I35,", ",",")&amp;",")),1,0)</f>
        <v>0</v>
      </c>
      <c r="BX35" s="11">
        <f>IF(ISNUMBER(SEARCH(",ROS1,",","&amp;SUBSTITUTE(I35,", ",",")&amp;",")),1,0)</f>
        <v>0</v>
      </c>
      <c r="BY35" s="11">
        <f>IF(ISNUMBER(SEARCH(",Src,",","&amp;SUBSTITUTE(I35,", ",",")&amp;",")),1,0)</f>
        <v>0</v>
      </c>
      <c r="BZ35" s="11">
        <f>IF(ISNUMBER(SEARCH(",TCGF,",","&amp;SUBSTITUTE(I35,", ",",")&amp;",")),1,0)</f>
        <v>0</v>
      </c>
      <c r="CA35" s="11">
        <f>IF(ISNUMBER(SEARCH(",TGF-β,",","&amp;SUBSTITUTE(I35,", ",",")&amp;",")),1,0)</f>
        <v>0</v>
      </c>
      <c r="CB35" s="11">
        <f>IF(ISNUMBER(SEARCH(",TGF-β1,",","&amp;SUBSTITUTE(I35,", ",",")&amp;",")),1,0)</f>
        <v>0</v>
      </c>
      <c r="CC35" s="11">
        <f>IF(ISNUMBER(SEARCH(",TIGIT,",","&amp;SUBSTITUTE(I35,", ",",")&amp;",")),1,0)</f>
        <v>0</v>
      </c>
      <c r="CD35" s="11">
        <f>IF(ISNUMBER(SEARCH(",TLR,",","&amp;SUBSTITUTE(I35,", ",",")&amp;",")),1,0)</f>
        <v>0</v>
      </c>
      <c r="CE35" s="11">
        <f>IF(ISNUMBER(SEARCH(",TLR7/8,",","&amp;SUBSTITUTE(I35,", ",",")&amp;",")),1,0)</f>
        <v>0</v>
      </c>
      <c r="CF35" s="11">
        <f>IF(ISNUMBER(SEARCH(",TRK,",","&amp;SUBSTITUTE(I35,", ",",")&amp;",")),1,0)</f>
        <v>0</v>
      </c>
      <c r="CG35" s="11">
        <f>IF(ISNUMBER(SEARCH(",TROP2,",","&amp;SUBSTITUTE(I35,", ",",")&amp;",")),1,0)</f>
        <v>0</v>
      </c>
      <c r="CH35" s="11">
        <f>IF(ISNUMBER(SEARCH(",TS,",","&amp;SUBSTITUTE(I35,", ",",")&amp;",")),1,0)</f>
        <v>0</v>
      </c>
      <c r="CI35" s="11">
        <f>IF(ISNUMBER(SEARCH(",TYMS,",","&amp;SUBSTITUTE(I35,", ",",")&amp;",")),1,0)</f>
        <v>0</v>
      </c>
      <c r="CJ35" s="11">
        <f>IF(ISNUMBER(SEARCH(",VEGF,",","&amp;SUBSTITUTE(I35,", ",",")&amp;",")),1,0)</f>
        <v>1</v>
      </c>
      <c r="CK35" s="11">
        <f>IF(ISNUMBER(SEARCH(",VEGFA,",","&amp;SUBSTITUTE(I35,", ",",")&amp;",")),1,0)</f>
        <v>0</v>
      </c>
      <c r="CL35" s="11">
        <f>IF(ISNUMBER(SEARCH(",VEGFR2,",","&amp;SUBSTITUTE(I35,", ",",")&amp;",")),1,0)</f>
        <v>0</v>
      </c>
      <c r="CM35" s="11">
        <f>IF(ISNUMBER(SEARCH(",c-MET/MET,",","&amp;SUBSTITUTE(I35,", ",",")&amp;",")),1,0)</f>
        <v>0</v>
      </c>
      <c r="CN35" s="11">
        <f>IF(ISNUMBER(SEARCH(",p53,",","&amp;SUBSTITUTE(I35,", ",",")&amp;",")),1,0)</f>
        <v>0</v>
      </c>
      <c r="CO35" s="11">
        <f>IF(ISNUMBER(SEARCH(",pan-KRAS,",","&amp;SUBSTITUTE(I35,", ",",")&amp;",")),1,0)</f>
        <v>0</v>
      </c>
      <c r="CP35" s="11">
        <f>IF(ISNUMBER(SEARCH(",ALK,",","&amp;SUBSTITUTE(K35,", ",",")&amp;",")),1,0)</f>
        <v>0</v>
      </c>
      <c r="CQ35" s="11">
        <f>IF(ISNUMBER(SEARCH(",BRAF V600E,",","&amp;SUBSTITUTE(K35,", ",",")&amp;",")),1,0)</f>
        <v>0</v>
      </c>
      <c r="CR35" s="11">
        <f>IF(ISNUMBER(SEARCH(",EGFR,",","&amp;SUBSTITUTE(K35,", ",",")&amp;",")),1,0)</f>
        <v>0</v>
      </c>
      <c r="CS35" s="11">
        <f>IF(ISNUMBER(SEARCH(",EGFR Exon 18,",","&amp;SUBSTITUTE(K35,", ",",")&amp;",")),1,0)</f>
        <v>0</v>
      </c>
      <c r="CT35" s="11">
        <f>IF(ISNUMBER(SEARCH(",EGFR Exon 19-del,",","&amp;SUBSTITUTE(K35,", ",",")&amp;",")),1,0)</f>
        <v>0</v>
      </c>
      <c r="CU35" s="11">
        <f>IF(ISNUMBER(SEARCH(",EGFR Exon 20,",","&amp;SUBSTITUTE(K35,", ",",")&amp;",")),1,0)</f>
        <v>0</v>
      </c>
      <c r="CV35" s="11">
        <f>IF(ISNUMBER(SEARCH(",EGFR Exon 20-ins,",","&amp;SUBSTITUTE(K35,", ",",")&amp;",")),1,0)</f>
        <v>0</v>
      </c>
      <c r="CW35" s="11">
        <f>IF(ISNUMBER(SEARCH(",EGFR Exon 21,",","&amp;SUBSTITUTE(K35,", ",",")&amp;",")),1,0)</f>
        <v>0</v>
      </c>
      <c r="CX35" s="11">
        <f>IF(ISNUMBER(SEARCH(",EGFR G719A,",","&amp;SUBSTITUTE(K35,", ",",")&amp;",")),1,0)</f>
        <v>0</v>
      </c>
      <c r="CY35" s="11">
        <f>IF(ISNUMBER(SEARCH(",EGFR G719C,",","&amp;SUBSTITUTE(K35,", ",",")&amp;",")),1,0)</f>
        <v>0</v>
      </c>
      <c r="CZ35" s="11">
        <f>IF(ISNUMBER(SEARCH(",EGFR G719S,",","&amp;SUBSTITUTE(K35,", ",",")&amp;",")),1,0)</f>
        <v>0</v>
      </c>
      <c r="DA35" s="11">
        <f>IF(ISNUMBER(SEARCH(",EGFR G719X,",","&amp;SUBSTITUTE(K35,", ",",")&amp;",")),1,0)</f>
        <v>0</v>
      </c>
      <c r="DB35" s="11">
        <f>IF(ISNUMBER(SEARCH(",EGFR L858R,",","&amp;SUBSTITUTE(K35,", ",",")&amp;",")),1,0)</f>
        <v>0</v>
      </c>
      <c r="DC35" s="11">
        <f>IF(ISNUMBER(SEARCH(",EGFR L861Q,",","&amp;SUBSTITUTE(K35,", ",",")&amp;",")),1,0)</f>
        <v>0</v>
      </c>
      <c r="DD35" s="11">
        <f>IF(ISNUMBER(SEARCH(",EGFR PACC,",","&amp;SUBSTITUTE(K35,", ",",")&amp;",")),1,0)</f>
        <v>0</v>
      </c>
      <c r="DE35" s="11">
        <f>IF(ISNUMBER(SEARCH(",EGFR S768I,",","&amp;SUBSTITUTE(K35,", ",",")&amp;",")),1,0)</f>
        <v>0</v>
      </c>
      <c r="DF35" s="11">
        <f>IF(ISNUMBER(SEARCH(",EGFR T790M,",","&amp;SUBSTITUTE(K35,", ",",")&amp;",")),1,0)</f>
        <v>0</v>
      </c>
      <c r="DG35" s="11">
        <f>IF(ISNUMBER(SEARCH(",EML4-ALK,",","&amp;SUBSTITUTE(K35,", ",",")&amp;",")),1,0)</f>
        <v>0</v>
      </c>
      <c r="DH35" s="11">
        <f>IF(ISNUMBER(SEARCH(",HER2,",","&amp;SUBSTITUTE(K35,", ",",")&amp;",")),1,0)</f>
        <v>0</v>
      </c>
      <c r="DI35" s="11">
        <f>IF(ISNUMBER(SEARCH(",HER2 Exon 19,",","&amp;SUBSTITUTE(K35,", ",",")&amp;",")),1,0)</f>
        <v>0</v>
      </c>
      <c r="DJ35" s="11">
        <f>IF(ISNUMBER(SEARCH(",HER2 Exon 20,",","&amp;SUBSTITUTE(K35,", ",",")&amp;",")),1,0)</f>
        <v>0</v>
      </c>
      <c r="DK35" s="11">
        <f>IF(ISNUMBER(SEARCH(",HER2 mut,",","&amp;SUBSTITUTE(K35,", ",",")&amp;",")),1,0)</f>
        <v>0</v>
      </c>
      <c r="DL35" s="11">
        <f>IF(ISNUMBER(SEARCH(",HLA-A2,",","&amp;SUBSTITUTE(K35,", ",",")&amp;",")),1,0)</f>
        <v>0</v>
      </c>
      <c r="DM35" s="11">
        <f>IF(ISNUMBER(SEARCH(",HRAS,",","&amp;SUBSTITUTE(K35,", ",",")&amp;",")),1,0)</f>
        <v>0</v>
      </c>
      <c r="DN35" s="11">
        <f>IF(ISNUMBER(SEARCH(",KRAS,",","&amp;SUBSTITUTE(K35,", ",",")&amp;",")),1,0)</f>
        <v>0</v>
      </c>
      <c r="DO35" s="11">
        <f>IF(ISNUMBER(SEARCH(",KRAS G12C,",","&amp;SUBSTITUTE(K35,", ",",")&amp;",")),1,0)</f>
        <v>0</v>
      </c>
      <c r="DP35" s="11">
        <f>IF(ISNUMBER(SEARCH(",NRAS,",","&amp;SUBSTITUTE(K35,", ",",")&amp;",")),1,0)</f>
        <v>0</v>
      </c>
      <c r="DQ35" s="11">
        <f>IF(ISNUMBER(SEARCH(",NTRK,",","&amp;SUBSTITUTE(K35,", ",",")&amp;",")),1,0)</f>
        <v>0</v>
      </c>
      <c r="DR35" s="11">
        <f>IF(ISNUMBER(SEARCH(",PD-L1,",","&amp;SUBSTITUTE(K35,", ",",")&amp;",")),1,0)</f>
        <v>0</v>
      </c>
      <c r="DS35" s="11">
        <f>IF(ISNUMBER(SEARCH(",PD-L1 IC ≥ 1%,",","&amp;SUBSTITUTE(K35,", ",",")&amp;",")),1,0)</f>
        <v>0</v>
      </c>
      <c r="DT35" s="11">
        <f>IF(ISNUMBER(SEARCH(",PD-L1 TC ≥ 1%,",","&amp;SUBSTITUTE(K35,", ",",")&amp;",")),1,0)</f>
        <v>0</v>
      </c>
      <c r="DU35" s="11">
        <f>IF(ISNUMBER(SEARCH(",PD-L1 TC ≥ 50%,",","&amp;SUBSTITUTE(K35,", ",",")&amp;",")),1,0)</f>
        <v>0</v>
      </c>
      <c r="DV35" s="11">
        <f>IF(ISNUMBER(SEARCH(",PD-L1 TPS &lt; 50%,",","&amp;SUBSTITUTE(K35,", ",",")&amp;",")),1,0)</f>
        <v>0</v>
      </c>
      <c r="DW35" s="11">
        <f>IF(ISNUMBER(SEARCH(",PD-L1 TPS ≥ 1%,",","&amp;SUBSTITUTE(K35,", ",",")&amp;",")),1,0)</f>
        <v>0</v>
      </c>
      <c r="DX35" s="11">
        <f>IF(ISNUMBER(SEARCH(",PD-L1 TPS ≥ 50%,",","&amp;SUBSTITUTE(K35,", ",",")&amp;",")),1,0)</f>
        <v>1</v>
      </c>
      <c r="DY35" s="11">
        <f>IF(ISNUMBER(SEARCH(",RAS,",","&amp;SUBSTITUTE(K35,", ",",")&amp;",")),1,0)</f>
        <v>0</v>
      </c>
      <c r="DZ35" s="11">
        <f>IF(ISNUMBER(SEARCH(",RET,",","&amp;SUBSTITUTE(K35,", ",",")&amp;",")),1,0)</f>
        <v>0</v>
      </c>
      <c r="EA35" s="11">
        <f>IF(ISNUMBER(SEARCH(",ROS1,",","&amp;SUBSTITUTE(K35,", ",",")&amp;",")),1,0)</f>
        <v>0</v>
      </c>
      <c r="EB35" s="11">
        <f>IF(ISNUMBER(SEARCH(",TROP2,",","&amp;SUBSTITUTE(K35,", ",",")&amp;",")),1,0)</f>
        <v>0</v>
      </c>
      <c r="EC35" s="11">
        <f>IF(ISNUMBER(SEARCH(",c-MET/MET,",","&amp;SUBSTITUTE(K35,", ",",")&amp;",")),1,0)</f>
        <v>0</v>
      </c>
      <c r="ED35" s="11">
        <f>IF(ISNUMBER(SEARCH(",c-MET/MET Exon 14,",","&amp;SUBSTITUTE(K35,", ",",")&amp;",")),1,0)</f>
        <v>0</v>
      </c>
      <c r="EE35" s="11">
        <f>IF(ISNUMBER(SEARCH(",ctDNA/cfDNA,",","&amp;SUBSTITUTE(K35,", ",",")&amp;",")),1,0)</f>
        <v>0</v>
      </c>
    </row>
    <row r="36" spans="1:135" ht="15" customHeight="1" x14ac:dyDescent="0.2">
      <c r="A36" s="3" t="s">
        <v>1346</v>
      </c>
      <c r="B36" s="3" t="s">
        <v>1348</v>
      </c>
      <c r="C36" s="3" t="s">
        <v>1349</v>
      </c>
      <c r="D36" s="3" t="s">
        <v>1349</v>
      </c>
      <c r="E36" s="3"/>
      <c r="F36" s="3"/>
      <c r="G36" s="3"/>
      <c r="H36" s="3" t="s">
        <v>114</v>
      </c>
      <c r="I36" s="3" t="s">
        <v>1220</v>
      </c>
      <c r="J36" s="3" t="s">
        <v>1351</v>
      </c>
      <c r="K36" s="3"/>
      <c r="L36" s="3" t="s">
        <v>119</v>
      </c>
      <c r="M36" s="3" t="s">
        <v>113</v>
      </c>
      <c r="N36" s="3" t="s">
        <v>120</v>
      </c>
      <c r="O36" s="3" t="s">
        <v>120</v>
      </c>
      <c r="P36" s="3" t="s">
        <v>1350</v>
      </c>
      <c r="Q36" s="10" t="str">
        <f>IF(F36="Stage IV","Stage IV Only",IF(AND(ISNUMBER(SEARCH("IV",F36)),LEN(F36)&gt;LEN("Stage IV")),"Stage IV + Other",IF(AND(ISNUMBER(SEARCH("III",F36)),NOT(ISNUMBER(SEARCH("IV",F36)))),"Stage III Only","Other")))</f>
        <v>Other</v>
      </c>
      <c r="R36" s="10" t="str">
        <f>IF(AND(ISNUMBER(SEARCH("Non-squamous",G36)),ISNUMBER(SEARCH("Squamous",SUBSTITUTE(G36,"Non-squamous","")))),"Both",IF(ISNUMBER(SEARCH("Non-squamous",G36)),"Non-squamous",IF(ISNUMBER(SEARCH("Squamous",G36)),"Squamous","Unspecified")))</f>
        <v>Unspecified</v>
      </c>
      <c r="S36" s="10" t="str">
        <f>IF(OR(ISNUMBER(SEARCH("TPS ≥ 50%",K36)),ISNUMBER(SEARCH("TC ≥ 50%",K36))),"TPS ≥ 50%",IF(OR(ISNUMBER(SEARCH("TPS ≥ 1%",K36)),ISNUMBER(SEARCH("TC ≥ 1%",K36)),ISNUMBER(SEARCH("TPS &lt; 50%",K36)),ISNUMBER(SEARCH("IC ≥ 1%",K36))),"TPS 1-49%","All-comers"))</f>
        <v>All-comers</v>
      </c>
      <c r="T36" s="10">
        <f>IF(H36="Phase III",1,0)</f>
        <v>1</v>
      </c>
      <c r="U36" s="10">
        <f>IF(L36="Yes",1,0)</f>
        <v>0</v>
      </c>
      <c r="V36" s="11">
        <f>IF(ISNUMBER(SEARCH(",ALK,",","&amp;SUBSTITUTE(I36,", ",",")&amp;",")),1,0)</f>
        <v>0</v>
      </c>
      <c r="W36" s="11">
        <f>IF(ISNUMBER(SEARCH(",ALK L1196M,",","&amp;SUBSTITUTE(I36,", ",",")&amp;",")),1,0)</f>
        <v>0</v>
      </c>
      <c r="X36" s="11">
        <f>IF(ISNUMBER(SEARCH(",AXL,",","&amp;SUBSTITUTE(I36,", ",",")&amp;",")),1,0)</f>
        <v>0</v>
      </c>
      <c r="Y36" s="11">
        <f>IF(ISNUMBER(SEARCH(",B7-H1,",","&amp;SUBSTITUTE(I36,", ",",")&amp;",")),1,0)</f>
        <v>0</v>
      </c>
      <c r="Z36" s="11">
        <f>IF(ISNUMBER(SEARCH(",CD152,",","&amp;SUBSTITUTE(I36,", ",",")&amp;",")),1,0)</f>
        <v>0</v>
      </c>
      <c r="AA36" s="11">
        <f>IF(ISNUMBER(SEARCH(",CD274,",","&amp;SUBSTITUTE(I36,", ",",")&amp;",")),1,0)</f>
        <v>0</v>
      </c>
      <c r="AB36" s="11">
        <f>IF(ISNUMBER(SEARCH(",CD279,",","&amp;SUBSTITUTE(I36,", ",",")&amp;",")),1,0)</f>
        <v>1</v>
      </c>
      <c r="AC36" s="11">
        <f>IF(ISNUMBER(SEARCH(",CD73,",","&amp;SUBSTITUTE(I36,", ",",")&amp;",")),1,0)</f>
        <v>0</v>
      </c>
      <c r="AD36" s="11">
        <f>IF(ISNUMBER(SEARCH(",CEA,",","&amp;SUBSTITUTE(I36,", ",",")&amp;",")),1,0)</f>
        <v>0</v>
      </c>
      <c r="AE36" s="11">
        <f>IF(ISNUMBER(SEARCH(",CTLA-4,",","&amp;SUBSTITUTE(I36,", ",",")&amp;",")),1,0)</f>
        <v>0</v>
      </c>
      <c r="AF36" s="11">
        <f>IF(ISNUMBER(SEARCH(",EGFR,",","&amp;SUBSTITUTE(I36,", ",",")&amp;",")),1,0)</f>
        <v>0</v>
      </c>
      <c r="AG36" s="11">
        <f>IF(ISNUMBER(SEARCH(",EGFR C797G,",","&amp;SUBSTITUTE(I36,", ",",")&amp;",")),1,0)</f>
        <v>0</v>
      </c>
      <c r="AH36" s="11">
        <f>IF(ISNUMBER(SEARCH(",EGFR C797S,",","&amp;SUBSTITUTE(I36,", ",",")&amp;",")),1,0)</f>
        <v>0</v>
      </c>
      <c r="AI36" s="11">
        <f>IF(ISNUMBER(SEARCH(",EGFR Exon 19-del,",","&amp;SUBSTITUTE(I36,", ",",")&amp;",")),1,0)</f>
        <v>0</v>
      </c>
      <c r="AJ36" s="11">
        <f>IF(ISNUMBER(SEARCH(",EGFR Exon 20,",","&amp;SUBSTITUTE(I36,", ",",")&amp;",")),1,0)</f>
        <v>0</v>
      </c>
      <c r="AK36" s="11">
        <f>IF(ISNUMBER(SEARCH(",EGFR L858R,",","&amp;SUBSTITUTE(I36,", ",",")&amp;",")),1,0)</f>
        <v>0</v>
      </c>
      <c r="AL36" s="11">
        <f>IF(ISNUMBER(SEARCH(",EGFR T790M,",","&amp;SUBSTITUTE(I36,", ",",")&amp;",")),1,0)</f>
        <v>0</v>
      </c>
      <c r="AM36" s="11">
        <f>IF(ISNUMBER(SEARCH(",ERBB,",","&amp;SUBSTITUTE(I36,", ",",")&amp;",")),1,0)</f>
        <v>0</v>
      </c>
      <c r="AN36" s="11">
        <f>IF(ISNUMBER(SEARCH(",ERBB3,",","&amp;SUBSTITUTE(I36,", ",",")&amp;",")),1,0)</f>
        <v>0</v>
      </c>
      <c r="AO36" s="11">
        <f>IF(ISNUMBER(SEARCH(",FAK,",","&amp;SUBSTITUTE(I36,", ",",")&amp;",")),1,0)</f>
        <v>0</v>
      </c>
      <c r="AP36" s="11">
        <f>IF(ISNUMBER(SEARCH(",GARP,",","&amp;SUBSTITUTE(I36,", ",",")&amp;",")),1,0)</f>
        <v>0</v>
      </c>
      <c r="AQ36" s="11">
        <f>IF(ISNUMBER(SEARCH(",HER1,",","&amp;SUBSTITUTE(I36,", ",",")&amp;",")),1,0)</f>
        <v>0</v>
      </c>
      <c r="AR36" s="11">
        <f>IF(ISNUMBER(SEARCH(",HER2,",","&amp;SUBSTITUTE(I36,", ",",")&amp;",")),1,0)</f>
        <v>0</v>
      </c>
      <c r="AS36" s="11">
        <f>IF(ISNUMBER(SEARCH(",HER2 Exon 20,",","&amp;SUBSTITUTE(I36,", ",",")&amp;",")),1,0)</f>
        <v>0</v>
      </c>
      <c r="AT36" s="11">
        <f>IF(ISNUMBER(SEARCH(",HER3,",","&amp;SUBSTITUTE(I36,", ",",")&amp;",")),1,0)</f>
        <v>0</v>
      </c>
      <c r="AU36" s="11">
        <f>IF(ISNUMBER(SEARCH(",HER4,",","&amp;SUBSTITUTE(I36,", ",",")&amp;",")),1,0)</f>
        <v>0</v>
      </c>
      <c r="AV36" s="11">
        <f>IF(ISNUMBER(SEARCH(",HRAS,",","&amp;SUBSTITUTE(I36,", ",",")&amp;",")),1,0)</f>
        <v>0</v>
      </c>
      <c r="AW36" s="11">
        <f>IF(ISNUMBER(SEARCH(",HSV-TK,",","&amp;SUBSTITUTE(I36,", ",",")&amp;",")),1,0)</f>
        <v>0</v>
      </c>
      <c r="AX36" s="11">
        <f>IF(ISNUMBER(SEARCH(",IL-12,",","&amp;SUBSTITUTE(I36,", ",",")&amp;",")),1,0)</f>
        <v>0</v>
      </c>
      <c r="AY36" s="11">
        <f>IF(ISNUMBER(SEARCH(",IL-15,",","&amp;SUBSTITUTE(I36,", ",",")&amp;",")),1,0)</f>
        <v>0</v>
      </c>
      <c r="AZ36" s="11">
        <f>IF(ISNUMBER(SEARCH(",IL-15R,",","&amp;SUBSTITUTE(I36,", ",",")&amp;",")),1,0)</f>
        <v>0</v>
      </c>
      <c r="BA36" s="11">
        <f>IF(ISNUMBER(SEARCH(",IL-2,",","&amp;SUBSTITUTE(I36,", ",",")&amp;",")),1,0)</f>
        <v>0</v>
      </c>
      <c r="BB36" s="11">
        <f>IF(ISNUMBER(SEARCH(",Integrin β6,",","&amp;SUBSTITUTE(I36,", ",",")&amp;",")),1,0)</f>
        <v>0</v>
      </c>
      <c r="BC36" s="11">
        <f>IF(ISNUMBER(SEARCH(",KDR,",","&amp;SUBSTITUTE(I36,", ",",")&amp;",")),1,0)</f>
        <v>0</v>
      </c>
      <c r="BD36" s="11">
        <f>IF(ISNUMBER(SEARCH(",KLRC1,",","&amp;SUBSTITUTE(I36,", ",",")&amp;",")),1,0)</f>
        <v>0</v>
      </c>
      <c r="BE36" s="11">
        <f>IF(ISNUMBER(SEARCH(",KRAS,",","&amp;SUBSTITUTE(I36,", ",",")&amp;",")),1,0)</f>
        <v>0</v>
      </c>
      <c r="BF36" s="11">
        <f>IF(ISNUMBER(SEARCH(",KRAS G12,",","&amp;SUBSTITUTE(I36,", ",",")&amp;",")),1,0)</f>
        <v>0</v>
      </c>
      <c r="BG36" s="11">
        <f>IF(ISNUMBER(SEARCH(",KRAS G12C,",","&amp;SUBSTITUTE(I36,", ",",")&amp;",")),1,0)</f>
        <v>0</v>
      </c>
      <c r="BH36" s="11">
        <f>IF(ISNUMBER(SEARCH(",KRAS G12D,",","&amp;SUBSTITUTE(I36,", ",",")&amp;",")),1,0)</f>
        <v>0</v>
      </c>
      <c r="BI36" s="11">
        <f>IF(ISNUMBER(SEARCH(",LAG-3,",","&amp;SUBSTITUTE(I36,", ",",")&amp;",")),1,0)</f>
        <v>0</v>
      </c>
      <c r="BJ36" s="11">
        <f>IF(ISNUMBER(SEARCH(",MAGE-A2,",","&amp;SUBSTITUTE(I36,", ",",")&amp;",")),1,0)</f>
        <v>0</v>
      </c>
      <c r="BK36" s="11">
        <f>IF(ISNUMBER(SEARCH(",MAGE-A3,",","&amp;SUBSTITUTE(I36,", ",",")&amp;",")),1,0)</f>
        <v>0</v>
      </c>
      <c r="BL36" s="11">
        <f>IF(ISNUMBER(SEARCH(",MLN19,",","&amp;SUBSTITUTE(I36,", ",",")&amp;",")),1,0)</f>
        <v>0</v>
      </c>
      <c r="BM36" s="11">
        <f>IF(ISNUMBER(SEARCH(",Microtubule,",","&amp;SUBSTITUTE(I36,", ",",")&amp;",")),1,0)</f>
        <v>0</v>
      </c>
      <c r="BN36" s="11">
        <f>IF(ISNUMBER(SEARCH(",NKG2A,",","&amp;SUBSTITUTE(I36,", ",",")&amp;",")),1,0)</f>
        <v>0</v>
      </c>
      <c r="BO36" s="11">
        <f>IF(ISNUMBER(SEARCH(",NRAS,",","&amp;SUBSTITUTE(I36,", ",",")&amp;",")),1,0)</f>
        <v>0</v>
      </c>
      <c r="BP36" s="11">
        <f>IF(ISNUMBER(SEARCH(",NTRK,",","&amp;SUBSTITUTE(I36,", ",",")&amp;",")),1,0)</f>
        <v>0</v>
      </c>
      <c r="BQ36" s="11">
        <f>IF(ISNUMBER(SEARCH(",PARP,",","&amp;SUBSTITUTE(I36,", ",",")&amp;",")),1,0)</f>
        <v>0</v>
      </c>
      <c r="BR36" s="11">
        <f>IF(ISNUMBER(SEARCH(",PD-1,",","&amp;SUBSTITUTE(I36,", ",",")&amp;",")),1,0)</f>
        <v>1</v>
      </c>
      <c r="BS36" s="11">
        <f>IF(ISNUMBER(SEARCH(",PD-L1,",","&amp;SUBSTITUTE(I36,", ",",")&amp;",")),1,0)</f>
        <v>0</v>
      </c>
      <c r="BT36" s="11">
        <f>IF(ISNUMBER(SEARCH(",PRMT5,",","&amp;SUBSTITUTE(I36,", ",",")&amp;",")),1,0)</f>
        <v>0</v>
      </c>
      <c r="BU36" s="11">
        <f>IF(ISNUMBER(SEARCH(",RAS,",","&amp;SUBSTITUTE(I36,", ",",")&amp;",")),1,0)</f>
        <v>0</v>
      </c>
      <c r="BV36" s="11">
        <f>IF(ISNUMBER(SEARCH(",RET,",","&amp;SUBSTITUTE(I36,", ",",")&amp;",")),1,0)</f>
        <v>0</v>
      </c>
      <c r="BW36" s="11">
        <f>IF(ISNUMBER(SEARCH(",ROS,",","&amp;SUBSTITUTE(I36,", ",",")&amp;",")),1,0)</f>
        <v>0</v>
      </c>
      <c r="BX36" s="11">
        <f>IF(ISNUMBER(SEARCH(",ROS1,",","&amp;SUBSTITUTE(I36,", ",",")&amp;",")),1,0)</f>
        <v>0</v>
      </c>
      <c r="BY36" s="11">
        <f>IF(ISNUMBER(SEARCH(",Src,",","&amp;SUBSTITUTE(I36,", ",",")&amp;",")),1,0)</f>
        <v>0</v>
      </c>
      <c r="BZ36" s="11">
        <f>IF(ISNUMBER(SEARCH(",TCGF,",","&amp;SUBSTITUTE(I36,", ",",")&amp;",")),1,0)</f>
        <v>0</v>
      </c>
      <c r="CA36" s="11">
        <f>IF(ISNUMBER(SEARCH(",TGF-β,",","&amp;SUBSTITUTE(I36,", ",",")&amp;",")),1,0)</f>
        <v>0</v>
      </c>
      <c r="CB36" s="11">
        <f>IF(ISNUMBER(SEARCH(",TGF-β1,",","&amp;SUBSTITUTE(I36,", ",",")&amp;",")),1,0)</f>
        <v>0</v>
      </c>
      <c r="CC36" s="11">
        <f>IF(ISNUMBER(SEARCH(",TIGIT,",","&amp;SUBSTITUTE(I36,", ",",")&amp;",")),1,0)</f>
        <v>0</v>
      </c>
      <c r="CD36" s="11">
        <f>IF(ISNUMBER(SEARCH(",TLR,",","&amp;SUBSTITUTE(I36,", ",",")&amp;",")),1,0)</f>
        <v>0</v>
      </c>
      <c r="CE36" s="11">
        <f>IF(ISNUMBER(SEARCH(",TLR7/8,",","&amp;SUBSTITUTE(I36,", ",",")&amp;",")),1,0)</f>
        <v>0</v>
      </c>
      <c r="CF36" s="11">
        <f>IF(ISNUMBER(SEARCH(",TRK,",","&amp;SUBSTITUTE(I36,", ",",")&amp;",")),1,0)</f>
        <v>0</v>
      </c>
      <c r="CG36" s="11">
        <f>IF(ISNUMBER(SEARCH(",TROP2,",","&amp;SUBSTITUTE(I36,", ",",")&amp;",")),1,0)</f>
        <v>0</v>
      </c>
      <c r="CH36" s="11">
        <f>IF(ISNUMBER(SEARCH(",TS,",","&amp;SUBSTITUTE(I36,", ",",")&amp;",")),1,0)</f>
        <v>0</v>
      </c>
      <c r="CI36" s="11">
        <f>IF(ISNUMBER(SEARCH(",TYMS,",","&amp;SUBSTITUTE(I36,", ",",")&amp;",")),1,0)</f>
        <v>0</v>
      </c>
      <c r="CJ36" s="11">
        <f>IF(ISNUMBER(SEARCH(",VEGF,",","&amp;SUBSTITUTE(I36,", ",",")&amp;",")),1,0)</f>
        <v>0</v>
      </c>
      <c r="CK36" s="11">
        <f>IF(ISNUMBER(SEARCH(",VEGFA,",","&amp;SUBSTITUTE(I36,", ",",")&amp;",")),1,0)</f>
        <v>0</v>
      </c>
      <c r="CL36" s="11">
        <f>IF(ISNUMBER(SEARCH(",VEGFR2,",","&amp;SUBSTITUTE(I36,", ",",")&amp;",")),1,0)</f>
        <v>0</v>
      </c>
      <c r="CM36" s="11">
        <f>IF(ISNUMBER(SEARCH(",c-MET/MET,",","&amp;SUBSTITUTE(I36,", ",",")&amp;",")),1,0)</f>
        <v>0</v>
      </c>
      <c r="CN36" s="11">
        <f>IF(ISNUMBER(SEARCH(",p53,",","&amp;SUBSTITUTE(I36,", ",",")&amp;",")),1,0)</f>
        <v>0</v>
      </c>
      <c r="CO36" s="11">
        <f>IF(ISNUMBER(SEARCH(",pan-KRAS,",","&amp;SUBSTITUTE(I36,", ",",")&amp;",")),1,0)</f>
        <v>0</v>
      </c>
      <c r="CP36" s="11">
        <f>IF(ISNUMBER(SEARCH(",ALK,",","&amp;SUBSTITUTE(K36,", ",",")&amp;",")),1,0)</f>
        <v>0</v>
      </c>
      <c r="CQ36" s="11">
        <f>IF(ISNUMBER(SEARCH(",BRAF V600E,",","&amp;SUBSTITUTE(K36,", ",",")&amp;",")),1,0)</f>
        <v>0</v>
      </c>
      <c r="CR36" s="11">
        <f>IF(ISNUMBER(SEARCH(",EGFR,",","&amp;SUBSTITUTE(K36,", ",",")&amp;",")),1,0)</f>
        <v>0</v>
      </c>
      <c r="CS36" s="11">
        <f>IF(ISNUMBER(SEARCH(",EGFR Exon 18,",","&amp;SUBSTITUTE(K36,", ",",")&amp;",")),1,0)</f>
        <v>0</v>
      </c>
      <c r="CT36" s="11">
        <f>IF(ISNUMBER(SEARCH(",EGFR Exon 19-del,",","&amp;SUBSTITUTE(K36,", ",",")&amp;",")),1,0)</f>
        <v>0</v>
      </c>
      <c r="CU36" s="11">
        <f>IF(ISNUMBER(SEARCH(",EGFR Exon 20,",","&amp;SUBSTITUTE(K36,", ",",")&amp;",")),1,0)</f>
        <v>0</v>
      </c>
      <c r="CV36" s="11">
        <f>IF(ISNUMBER(SEARCH(",EGFR Exon 20-ins,",","&amp;SUBSTITUTE(K36,", ",",")&amp;",")),1,0)</f>
        <v>0</v>
      </c>
      <c r="CW36" s="11">
        <f>IF(ISNUMBER(SEARCH(",EGFR Exon 21,",","&amp;SUBSTITUTE(K36,", ",",")&amp;",")),1,0)</f>
        <v>0</v>
      </c>
      <c r="CX36" s="11">
        <f>IF(ISNUMBER(SEARCH(",EGFR G719A,",","&amp;SUBSTITUTE(K36,", ",",")&amp;",")),1,0)</f>
        <v>0</v>
      </c>
      <c r="CY36" s="11">
        <f>IF(ISNUMBER(SEARCH(",EGFR G719C,",","&amp;SUBSTITUTE(K36,", ",",")&amp;",")),1,0)</f>
        <v>0</v>
      </c>
      <c r="CZ36" s="11">
        <f>IF(ISNUMBER(SEARCH(",EGFR G719S,",","&amp;SUBSTITUTE(K36,", ",",")&amp;",")),1,0)</f>
        <v>0</v>
      </c>
      <c r="DA36" s="11">
        <f>IF(ISNUMBER(SEARCH(",EGFR G719X,",","&amp;SUBSTITUTE(K36,", ",",")&amp;",")),1,0)</f>
        <v>0</v>
      </c>
      <c r="DB36" s="11">
        <f>IF(ISNUMBER(SEARCH(",EGFR L858R,",","&amp;SUBSTITUTE(K36,", ",",")&amp;",")),1,0)</f>
        <v>0</v>
      </c>
      <c r="DC36" s="11">
        <f>IF(ISNUMBER(SEARCH(",EGFR L861Q,",","&amp;SUBSTITUTE(K36,", ",",")&amp;",")),1,0)</f>
        <v>0</v>
      </c>
      <c r="DD36" s="11">
        <f>IF(ISNUMBER(SEARCH(",EGFR PACC,",","&amp;SUBSTITUTE(K36,", ",",")&amp;",")),1,0)</f>
        <v>0</v>
      </c>
      <c r="DE36" s="11">
        <f>IF(ISNUMBER(SEARCH(",EGFR S768I,",","&amp;SUBSTITUTE(K36,", ",",")&amp;",")),1,0)</f>
        <v>0</v>
      </c>
      <c r="DF36" s="11">
        <f>IF(ISNUMBER(SEARCH(",EGFR T790M,",","&amp;SUBSTITUTE(K36,", ",",")&amp;",")),1,0)</f>
        <v>0</v>
      </c>
      <c r="DG36" s="11">
        <f>IF(ISNUMBER(SEARCH(",EML4-ALK,",","&amp;SUBSTITUTE(K36,", ",",")&amp;",")),1,0)</f>
        <v>0</v>
      </c>
      <c r="DH36" s="11">
        <f>IF(ISNUMBER(SEARCH(",HER2,",","&amp;SUBSTITUTE(K36,", ",",")&amp;",")),1,0)</f>
        <v>0</v>
      </c>
      <c r="DI36" s="11">
        <f>IF(ISNUMBER(SEARCH(",HER2 Exon 19,",","&amp;SUBSTITUTE(K36,", ",",")&amp;",")),1,0)</f>
        <v>0</v>
      </c>
      <c r="DJ36" s="11">
        <f>IF(ISNUMBER(SEARCH(",HER2 Exon 20,",","&amp;SUBSTITUTE(K36,", ",",")&amp;",")),1,0)</f>
        <v>0</v>
      </c>
      <c r="DK36" s="11">
        <f>IF(ISNUMBER(SEARCH(",HER2 mut,",","&amp;SUBSTITUTE(K36,", ",",")&amp;",")),1,0)</f>
        <v>0</v>
      </c>
      <c r="DL36" s="11">
        <f>IF(ISNUMBER(SEARCH(",HLA-A2,",","&amp;SUBSTITUTE(K36,", ",",")&amp;",")),1,0)</f>
        <v>0</v>
      </c>
      <c r="DM36" s="11">
        <f>IF(ISNUMBER(SEARCH(",HRAS,",","&amp;SUBSTITUTE(K36,", ",",")&amp;",")),1,0)</f>
        <v>0</v>
      </c>
      <c r="DN36" s="11">
        <f>IF(ISNUMBER(SEARCH(",KRAS,",","&amp;SUBSTITUTE(K36,", ",",")&amp;",")),1,0)</f>
        <v>0</v>
      </c>
      <c r="DO36" s="11">
        <f>IF(ISNUMBER(SEARCH(",KRAS G12C,",","&amp;SUBSTITUTE(K36,", ",",")&amp;",")),1,0)</f>
        <v>0</v>
      </c>
      <c r="DP36" s="11">
        <f>IF(ISNUMBER(SEARCH(",NRAS,",","&amp;SUBSTITUTE(K36,", ",",")&amp;",")),1,0)</f>
        <v>0</v>
      </c>
      <c r="DQ36" s="11">
        <f>IF(ISNUMBER(SEARCH(",NTRK,",","&amp;SUBSTITUTE(K36,", ",",")&amp;",")),1,0)</f>
        <v>0</v>
      </c>
      <c r="DR36" s="11">
        <f>IF(ISNUMBER(SEARCH(",PD-L1,",","&amp;SUBSTITUTE(K36,", ",",")&amp;",")),1,0)</f>
        <v>0</v>
      </c>
      <c r="DS36" s="11">
        <f>IF(ISNUMBER(SEARCH(",PD-L1 IC ≥ 1%,",","&amp;SUBSTITUTE(K36,", ",",")&amp;",")),1,0)</f>
        <v>0</v>
      </c>
      <c r="DT36" s="11">
        <f>IF(ISNUMBER(SEARCH(",PD-L1 TC ≥ 1%,",","&amp;SUBSTITUTE(K36,", ",",")&amp;",")),1,0)</f>
        <v>0</v>
      </c>
      <c r="DU36" s="11">
        <f>IF(ISNUMBER(SEARCH(",PD-L1 TC ≥ 50%,",","&amp;SUBSTITUTE(K36,", ",",")&amp;",")),1,0)</f>
        <v>0</v>
      </c>
      <c r="DV36" s="11">
        <f>IF(ISNUMBER(SEARCH(",PD-L1 TPS &lt; 50%,",","&amp;SUBSTITUTE(K36,", ",",")&amp;",")),1,0)</f>
        <v>0</v>
      </c>
      <c r="DW36" s="11">
        <f>IF(ISNUMBER(SEARCH(",PD-L1 TPS ≥ 1%,",","&amp;SUBSTITUTE(K36,", ",",")&amp;",")),1,0)</f>
        <v>0</v>
      </c>
      <c r="DX36" s="11">
        <f>IF(ISNUMBER(SEARCH(",PD-L1 TPS ≥ 50%,",","&amp;SUBSTITUTE(K36,", ",",")&amp;",")),1,0)</f>
        <v>0</v>
      </c>
      <c r="DY36" s="11">
        <f>IF(ISNUMBER(SEARCH(",RAS,",","&amp;SUBSTITUTE(K36,", ",",")&amp;",")),1,0)</f>
        <v>0</v>
      </c>
      <c r="DZ36" s="11">
        <f>IF(ISNUMBER(SEARCH(",RET,",","&amp;SUBSTITUTE(K36,", ",",")&amp;",")),1,0)</f>
        <v>0</v>
      </c>
      <c r="EA36" s="11">
        <f>IF(ISNUMBER(SEARCH(",ROS1,",","&amp;SUBSTITUTE(K36,", ",",")&amp;",")),1,0)</f>
        <v>0</v>
      </c>
      <c r="EB36" s="11">
        <f>IF(ISNUMBER(SEARCH(",TROP2,",","&amp;SUBSTITUTE(K36,", ",",")&amp;",")),1,0)</f>
        <v>0</v>
      </c>
      <c r="EC36" s="11">
        <f>IF(ISNUMBER(SEARCH(",c-MET/MET,",","&amp;SUBSTITUTE(K36,", ",",")&amp;",")),1,0)</f>
        <v>0</v>
      </c>
      <c r="ED36" s="11">
        <f>IF(ISNUMBER(SEARCH(",c-MET/MET Exon 14,",","&amp;SUBSTITUTE(K36,", ",",")&amp;",")),1,0)</f>
        <v>0</v>
      </c>
      <c r="EE36" s="11">
        <f>IF(ISNUMBER(SEARCH(",ctDNA/cfDNA,",","&amp;SUBSTITUTE(K36,", ",",")&amp;",")),1,0)</f>
        <v>0</v>
      </c>
    </row>
    <row r="37" spans="1:135" ht="15" customHeight="1" x14ac:dyDescent="0.2">
      <c r="A37" s="3" t="s">
        <v>1429</v>
      </c>
      <c r="B37" s="3" t="s">
        <v>1431</v>
      </c>
      <c r="C37" s="3" t="s">
        <v>1432</v>
      </c>
      <c r="D37" s="3" t="s">
        <v>1432</v>
      </c>
      <c r="E37" s="3" t="s">
        <v>1432</v>
      </c>
      <c r="F37" s="3" t="s">
        <v>259</v>
      </c>
      <c r="G37" s="3" t="s">
        <v>181</v>
      </c>
      <c r="H37" s="3" t="s">
        <v>114</v>
      </c>
      <c r="I37" s="3" t="s">
        <v>1436</v>
      </c>
      <c r="J37" s="3" t="s">
        <v>1435</v>
      </c>
      <c r="K37" s="3"/>
      <c r="L37" s="3" t="s">
        <v>119</v>
      </c>
      <c r="M37" s="3" t="s">
        <v>113</v>
      </c>
      <c r="N37" s="3" t="s">
        <v>120</v>
      </c>
      <c r="O37" s="3" t="s">
        <v>120</v>
      </c>
      <c r="P37" s="3" t="s">
        <v>1433</v>
      </c>
      <c r="Q37" s="10" t="str">
        <f>IF(F37="Stage IV","Stage IV Only",IF(AND(ISNUMBER(SEARCH("IV",F37)),LEN(F37)&gt;LEN("Stage IV")),"Stage IV + Other",IF(AND(ISNUMBER(SEARCH("III",F37)),NOT(ISNUMBER(SEARCH("IV",F37)))),"Stage III Only","Other")))</f>
        <v>Stage IV Only</v>
      </c>
      <c r="R37" s="10" t="str">
        <f>IF(AND(ISNUMBER(SEARCH("Non-squamous",G37)),ISNUMBER(SEARCH("Squamous",SUBSTITUTE(G37,"Non-squamous","")))),"Both",IF(ISNUMBER(SEARCH("Non-squamous",G37)),"Non-squamous",IF(ISNUMBER(SEARCH("Squamous",G37)),"Squamous","Unspecified")))</f>
        <v>Non-squamous</v>
      </c>
      <c r="S37" s="10" t="str">
        <f>IF(OR(ISNUMBER(SEARCH("TPS ≥ 50%",K37)),ISNUMBER(SEARCH("TC ≥ 50%",K37))),"TPS ≥ 50%",IF(OR(ISNUMBER(SEARCH("TPS ≥ 1%",K37)),ISNUMBER(SEARCH("TC ≥ 1%",K37)),ISNUMBER(SEARCH("TPS &lt; 50%",K37)),ISNUMBER(SEARCH("IC ≥ 1%",K37))),"TPS 1-49%","All-comers"))</f>
        <v>All-comers</v>
      </c>
      <c r="T37" s="10">
        <f>IF(H37="Phase III",1,0)</f>
        <v>1</v>
      </c>
      <c r="U37" s="10">
        <f>IF(L37="Yes",1,0)</f>
        <v>0</v>
      </c>
      <c r="V37" s="11">
        <f>IF(ISNUMBER(SEARCH(",ALK,",","&amp;SUBSTITUTE(I37,", ",",")&amp;",")),1,0)</f>
        <v>0</v>
      </c>
      <c r="W37" s="11">
        <f>IF(ISNUMBER(SEARCH(",ALK L1196M,",","&amp;SUBSTITUTE(I37,", ",",")&amp;",")),1,0)</f>
        <v>0</v>
      </c>
      <c r="X37" s="11">
        <f>IF(ISNUMBER(SEARCH(",AXL,",","&amp;SUBSTITUTE(I37,", ",",")&amp;",")),1,0)</f>
        <v>0</v>
      </c>
      <c r="Y37" s="11">
        <f>IF(ISNUMBER(SEARCH(",B7-H1,",","&amp;SUBSTITUTE(I37,", ",",")&amp;",")),1,0)</f>
        <v>0</v>
      </c>
      <c r="Z37" s="11">
        <f>IF(ISNUMBER(SEARCH(",CD152,",","&amp;SUBSTITUTE(I37,", ",",")&amp;",")),1,0)</f>
        <v>0</v>
      </c>
      <c r="AA37" s="11">
        <f>IF(ISNUMBER(SEARCH(",CD274,",","&amp;SUBSTITUTE(I37,", ",",")&amp;",")),1,0)</f>
        <v>0</v>
      </c>
      <c r="AB37" s="11">
        <f>IF(ISNUMBER(SEARCH(",CD279,",","&amp;SUBSTITUTE(I37,", ",",")&amp;",")),1,0)</f>
        <v>1</v>
      </c>
      <c r="AC37" s="11">
        <f>IF(ISNUMBER(SEARCH(",CD73,",","&amp;SUBSTITUTE(I37,", ",",")&amp;",")),1,0)</f>
        <v>0</v>
      </c>
      <c r="AD37" s="11">
        <f>IF(ISNUMBER(SEARCH(",CEA,",","&amp;SUBSTITUTE(I37,", ",",")&amp;",")),1,0)</f>
        <v>0</v>
      </c>
      <c r="AE37" s="11">
        <f>IF(ISNUMBER(SEARCH(",CTLA-4,",","&amp;SUBSTITUTE(I37,", ",",")&amp;",")),1,0)</f>
        <v>0</v>
      </c>
      <c r="AF37" s="11">
        <f>IF(ISNUMBER(SEARCH(",EGFR,",","&amp;SUBSTITUTE(I37,", ",",")&amp;",")),1,0)</f>
        <v>0</v>
      </c>
      <c r="AG37" s="11">
        <f>IF(ISNUMBER(SEARCH(",EGFR C797G,",","&amp;SUBSTITUTE(I37,", ",",")&amp;",")),1,0)</f>
        <v>0</v>
      </c>
      <c r="AH37" s="11">
        <f>IF(ISNUMBER(SEARCH(",EGFR C797S,",","&amp;SUBSTITUTE(I37,", ",",")&amp;",")),1,0)</f>
        <v>0</v>
      </c>
      <c r="AI37" s="11">
        <f>IF(ISNUMBER(SEARCH(",EGFR Exon 19-del,",","&amp;SUBSTITUTE(I37,", ",",")&amp;",")),1,0)</f>
        <v>0</v>
      </c>
      <c r="AJ37" s="11">
        <f>IF(ISNUMBER(SEARCH(",EGFR Exon 20,",","&amp;SUBSTITUTE(I37,", ",",")&amp;",")),1,0)</f>
        <v>0</v>
      </c>
      <c r="AK37" s="11">
        <f>IF(ISNUMBER(SEARCH(",EGFR L858R,",","&amp;SUBSTITUTE(I37,", ",",")&amp;",")),1,0)</f>
        <v>0</v>
      </c>
      <c r="AL37" s="11">
        <f>IF(ISNUMBER(SEARCH(",EGFR T790M,",","&amp;SUBSTITUTE(I37,", ",",")&amp;",")),1,0)</f>
        <v>0</v>
      </c>
      <c r="AM37" s="11">
        <f>IF(ISNUMBER(SEARCH(",ERBB,",","&amp;SUBSTITUTE(I37,", ",",")&amp;",")),1,0)</f>
        <v>0</v>
      </c>
      <c r="AN37" s="11">
        <f>IF(ISNUMBER(SEARCH(",ERBB3,",","&amp;SUBSTITUTE(I37,", ",",")&amp;",")),1,0)</f>
        <v>0</v>
      </c>
      <c r="AO37" s="11">
        <f>IF(ISNUMBER(SEARCH(",FAK,",","&amp;SUBSTITUTE(I37,", ",",")&amp;",")),1,0)</f>
        <v>0</v>
      </c>
      <c r="AP37" s="11">
        <f>IF(ISNUMBER(SEARCH(",GARP,",","&amp;SUBSTITUTE(I37,", ",",")&amp;",")),1,0)</f>
        <v>1</v>
      </c>
      <c r="AQ37" s="11">
        <f>IF(ISNUMBER(SEARCH(",HER1,",","&amp;SUBSTITUTE(I37,", ",",")&amp;",")),1,0)</f>
        <v>0</v>
      </c>
      <c r="AR37" s="11">
        <f>IF(ISNUMBER(SEARCH(",HER2,",","&amp;SUBSTITUTE(I37,", ",",")&amp;",")),1,0)</f>
        <v>0</v>
      </c>
      <c r="AS37" s="11">
        <f>IF(ISNUMBER(SEARCH(",HER2 Exon 20,",","&amp;SUBSTITUTE(I37,", ",",")&amp;",")),1,0)</f>
        <v>0</v>
      </c>
      <c r="AT37" s="11">
        <f>IF(ISNUMBER(SEARCH(",HER3,",","&amp;SUBSTITUTE(I37,", ",",")&amp;",")),1,0)</f>
        <v>0</v>
      </c>
      <c r="AU37" s="11">
        <f>IF(ISNUMBER(SEARCH(",HER4,",","&amp;SUBSTITUTE(I37,", ",",")&amp;",")),1,0)</f>
        <v>0</v>
      </c>
      <c r="AV37" s="11">
        <f>IF(ISNUMBER(SEARCH(",HRAS,",","&amp;SUBSTITUTE(I37,", ",",")&amp;",")),1,0)</f>
        <v>0</v>
      </c>
      <c r="AW37" s="11">
        <f>IF(ISNUMBER(SEARCH(",HSV-TK,",","&amp;SUBSTITUTE(I37,", ",",")&amp;",")),1,0)</f>
        <v>0</v>
      </c>
      <c r="AX37" s="11">
        <f>IF(ISNUMBER(SEARCH(",IL-12,",","&amp;SUBSTITUTE(I37,", ",",")&amp;",")),1,0)</f>
        <v>0</v>
      </c>
      <c r="AY37" s="11">
        <f>IF(ISNUMBER(SEARCH(",IL-15,",","&amp;SUBSTITUTE(I37,", ",",")&amp;",")),1,0)</f>
        <v>0</v>
      </c>
      <c r="AZ37" s="11">
        <f>IF(ISNUMBER(SEARCH(",IL-15R,",","&amp;SUBSTITUTE(I37,", ",",")&amp;",")),1,0)</f>
        <v>0</v>
      </c>
      <c r="BA37" s="11">
        <f>IF(ISNUMBER(SEARCH(",IL-2,",","&amp;SUBSTITUTE(I37,", ",",")&amp;",")),1,0)</f>
        <v>0</v>
      </c>
      <c r="BB37" s="11">
        <f>IF(ISNUMBER(SEARCH(",Integrin β6,",","&amp;SUBSTITUTE(I37,", ",",")&amp;",")),1,0)</f>
        <v>0</v>
      </c>
      <c r="BC37" s="11">
        <f>IF(ISNUMBER(SEARCH(",KDR,",","&amp;SUBSTITUTE(I37,", ",",")&amp;",")),1,0)</f>
        <v>0</v>
      </c>
      <c r="BD37" s="11">
        <f>IF(ISNUMBER(SEARCH(",KLRC1,",","&amp;SUBSTITUTE(I37,", ",",")&amp;",")),1,0)</f>
        <v>0</v>
      </c>
      <c r="BE37" s="11">
        <f>IF(ISNUMBER(SEARCH(",KRAS,",","&amp;SUBSTITUTE(I37,", ",",")&amp;",")),1,0)</f>
        <v>0</v>
      </c>
      <c r="BF37" s="11">
        <f>IF(ISNUMBER(SEARCH(",KRAS G12,",","&amp;SUBSTITUTE(I37,", ",",")&amp;",")),1,0)</f>
        <v>0</v>
      </c>
      <c r="BG37" s="11">
        <f>IF(ISNUMBER(SEARCH(",KRAS G12C,",","&amp;SUBSTITUTE(I37,", ",",")&amp;",")),1,0)</f>
        <v>0</v>
      </c>
      <c r="BH37" s="11">
        <f>IF(ISNUMBER(SEARCH(",KRAS G12D,",","&amp;SUBSTITUTE(I37,", ",",")&amp;",")),1,0)</f>
        <v>0</v>
      </c>
      <c r="BI37" s="11">
        <f>IF(ISNUMBER(SEARCH(",LAG-3,",","&amp;SUBSTITUTE(I37,", ",",")&amp;",")),1,0)</f>
        <v>0</v>
      </c>
      <c r="BJ37" s="11">
        <f>IF(ISNUMBER(SEARCH(",MAGE-A2,",","&amp;SUBSTITUTE(I37,", ",",")&amp;",")),1,0)</f>
        <v>0</v>
      </c>
      <c r="BK37" s="11">
        <f>IF(ISNUMBER(SEARCH(",MAGE-A3,",","&amp;SUBSTITUTE(I37,", ",",")&amp;",")),1,0)</f>
        <v>0</v>
      </c>
      <c r="BL37" s="11">
        <f>IF(ISNUMBER(SEARCH(",MLN19,",","&amp;SUBSTITUTE(I37,", ",",")&amp;",")),1,0)</f>
        <v>0</v>
      </c>
      <c r="BM37" s="11">
        <f>IF(ISNUMBER(SEARCH(",Microtubule,",","&amp;SUBSTITUTE(I37,", ",",")&amp;",")),1,0)</f>
        <v>0</v>
      </c>
      <c r="BN37" s="11">
        <f>IF(ISNUMBER(SEARCH(",NKG2A,",","&amp;SUBSTITUTE(I37,", ",",")&amp;",")),1,0)</f>
        <v>0</v>
      </c>
      <c r="BO37" s="11">
        <f>IF(ISNUMBER(SEARCH(",NRAS,",","&amp;SUBSTITUTE(I37,", ",",")&amp;",")),1,0)</f>
        <v>0</v>
      </c>
      <c r="BP37" s="11">
        <f>IF(ISNUMBER(SEARCH(",NTRK,",","&amp;SUBSTITUTE(I37,", ",",")&amp;",")),1,0)</f>
        <v>0</v>
      </c>
      <c r="BQ37" s="11">
        <f>IF(ISNUMBER(SEARCH(",PARP,",","&amp;SUBSTITUTE(I37,", ",",")&amp;",")),1,0)</f>
        <v>0</v>
      </c>
      <c r="BR37" s="11">
        <f>IF(ISNUMBER(SEARCH(",PD-1,",","&amp;SUBSTITUTE(I37,", ",",")&amp;",")),1,0)</f>
        <v>1</v>
      </c>
      <c r="BS37" s="11">
        <f>IF(ISNUMBER(SEARCH(",PD-L1,",","&amp;SUBSTITUTE(I37,", ",",")&amp;",")),1,0)</f>
        <v>0</v>
      </c>
      <c r="BT37" s="11">
        <f>IF(ISNUMBER(SEARCH(",PRMT5,",","&amp;SUBSTITUTE(I37,", ",",")&amp;",")),1,0)</f>
        <v>0</v>
      </c>
      <c r="BU37" s="11">
        <f>IF(ISNUMBER(SEARCH(",RAS,",","&amp;SUBSTITUTE(I37,", ",",")&amp;",")),1,0)</f>
        <v>0</v>
      </c>
      <c r="BV37" s="11">
        <f>IF(ISNUMBER(SEARCH(",RET,",","&amp;SUBSTITUTE(I37,", ",",")&amp;",")),1,0)</f>
        <v>0</v>
      </c>
      <c r="BW37" s="11">
        <f>IF(ISNUMBER(SEARCH(",ROS,",","&amp;SUBSTITUTE(I37,", ",",")&amp;",")),1,0)</f>
        <v>0</v>
      </c>
      <c r="BX37" s="11">
        <f>IF(ISNUMBER(SEARCH(",ROS1,",","&amp;SUBSTITUTE(I37,", ",",")&amp;",")),1,0)</f>
        <v>0</v>
      </c>
      <c r="BY37" s="11">
        <f>IF(ISNUMBER(SEARCH(",Src,",","&amp;SUBSTITUTE(I37,", ",",")&amp;",")),1,0)</f>
        <v>0</v>
      </c>
      <c r="BZ37" s="11">
        <f>IF(ISNUMBER(SEARCH(",TCGF,",","&amp;SUBSTITUTE(I37,", ",",")&amp;",")),1,0)</f>
        <v>0</v>
      </c>
      <c r="CA37" s="11">
        <f>IF(ISNUMBER(SEARCH(",TGF-β,",","&amp;SUBSTITUTE(I37,", ",",")&amp;",")),1,0)</f>
        <v>1</v>
      </c>
      <c r="CB37" s="11">
        <f>IF(ISNUMBER(SEARCH(",TGF-β1,",","&amp;SUBSTITUTE(I37,", ",",")&amp;",")),1,0)</f>
        <v>1</v>
      </c>
      <c r="CC37" s="11">
        <f>IF(ISNUMBER(SEARCH(",TIGIT,",","&amp;SUBSTITUTE(I37,", ",",")&amp;",")),1,0)</f>
        <v>0</v>
      </c>
      <c r="CD37" s="11">
        <f>IF(ISNUMBER(SEARCH(",TLR,",","&amp;SUBSTITUTE(I37,", ",",")&amp;",")),1,0)</f>
        <v>0</v>
      </c>
      <c r="CE37" s="11">
        <f>IF(ISNUMBER(SEARCH(",TLR7/8,",","&amp;SUBSTITUTE(I37,", ",",")&amp;",")),1,0)</f>
        <v>0</v>
      </c>
      <c r="CF37" s="11">
        <f>IF(ISNUMBER(SEARCH(",TRK,",","&amp;SUBSTITUTE(I37,", ",",")&amp;",")),1,0)</f>
        <v>0</v>
      </c>
      <c r="CG37" s="11">
        <f>IF(ISNUMBER(SEARCH(",TROP2,",","&amp;SUBSTITUTE(I37,", ",",")&amp;",")),1,0)</f>
        <v>0</v>
      </c>
      <c r="CH37" s="11">
        <f>IF(ISNUMBER(SEARCH(",TS,",","&amp;SUBSTITUTE(I37,", ",",")&amp;",")),1,0)</f>
        <v>1</v>
      </c>
      <c r="CI37" s="11">
        <f>IF(ISNUMBER(SEARCH(",TYMS,",","&amp;SUBSTITUTE(I37,", ",",")&amp;",")),1,0)</f>
        <v>1</v>
      </c>
      <c r="CJ37" s="11">
        <f>IF(ISNUMBER(SEARCH(",VEGF,",","&amp;SUBSTITUTE(I37,", ",",")&amp;",")),1,0)</f>
        <v>0</v>
      </c>
      <c r="CK37" s="11">
        <f>IF(ISNUMBER(SEARCH(",VEGFA,",","&amp;SUBSTITUTE(I37,", ",",")&amp;",")),1,0)</f>
        <v>0</v>
      </c>
      <c r="CL37" s="11">
        <f>IF(ISNUMBER(SEARCH(",VEGFR2,",","&amp;SUBSTITUTE(I37,", ",",")&amp;",")),1,0)</f>
        <v>0</v>
      </c>
      <c r="CM37" s="11">
        <f>IF(ISNUMBER(SEARCH(",c-MET/MET,",","&amp;SUBSTITUTE(I37,", ",",")&amp;",")),1,0)</f>
        <v>0</v>
      </c>
      <c r="CN37" s="11">
        <f>IF(ISNUMBER(SEARCH(",p53,",","&amp;SUBSTITUTE(I37,", ",",")&amp;",")),1,0)</f>
        <v>0</v>
      </c>
      <c r="CO37" s="11">
        <f>IF(ISNUMBER(SEARCH(",pan-KRAS,",","&amp;SUBSTITUTE(I37,", ",",")&amp;",")),1,0)</f>
        <v>0</v>
      </c>
      <c r="CP37" s="11">
        <f>IF(ISNUMBER(SEARCH(",ALK,",","&amp;SUBSTITUTE(K37,", ",",")&amp;",")),1,0)</f>
        <v>0</v>
      </c>
      <c r="CQ37" s="11">
        <f>IF(ISNUMBER(SEARCH(",BRAF V600E,",","&amp;SUBSTITUTE(K37,", ",",")&amp;",")),1,0)</f>
        <v>0</v>
      </c>
      <c r="CR37" s="11">
        <f>IF(ISNUMBER(SEARCH(",EGFR,",","&amp;SUBSTITUTE(K37,", ",",")&amp;",")),1,0)</f>
        <v>0</v>
      </c>
      <c r="CS37" s="11">
        <f>IF(ISNUMBER(SEARCH(",EGFR Exon 18,",","&amp;SUBSTITUTE(K37,", ",",")&amp;",")),1,0)</f>
        <v>0</v>
      </c>
      <c r="CT37" s="11">
        <f>IF(ISNUMBER(SEARCH(",EGFR Exon 19-del,",","&amp;SUBSTITUTE(K37,", ",",")&amp;",")),1,0)</f>
        <v>0</v>
      </c>
      <c r="CU37" s="11">
        <f>IF(ISNUMBER(SEARCH(",EGFR Exon 20,",","&amp;SUBSTITUTE(K37,", ",",")&amp;",")),1,0)</f>
        <v>0</v>
      </c>
      <c r="CV37" s="11">
        <f>IF(ISNUMBER(SEARCH(",EGFR Exon 20-ins,",","&amp;SUBSTITUTE(K37,", ",",")&amp;",")),1,0)</f>
        <v>0</v>
      </c>
      <c r="CW37" s="11">
        <f>IF(ISNUMBER(SEARCH(",EGFR Exon 21,",","&amp;SUBSTITUTE(K37,", ",",")&amp;",")),1,0)</f>
        <v>0</v>
      </c>
      <c r="CX37" s="11">
        <f>IF(ISNUMBER(SEARCH(",EGFR G719A,",","&amp;SUBSTITUTE(K37,", ",",")&amp;",")),1,0)</f>
        <v>0</v>
      </c>
      <c r="CY37" s="11">
        <f>IF(ISNUMBER(SEARCH(",EGFR G719C,",","&amp;SUBSTITUTE(K37,", ",",")&amp;",")),1,0)</f>
        <v>0</v>
      </c>
      <c r="CZ37" s="11">
        <f>IF(ISNUMBER(SEARCH(",EGFR G719S,",","&amp;SUBSTITUTE(K37,", ",",")&amp;",")),1,0)</f>
        <v>0</v>
      </c>
      <c r="DA37" s="11">
        <f>IF(ISNUMBER(SEARCH(",EGFR G719X,",","&amp;SUBSTITUTE(K37,", ",",")&amp;",")),1,0)</f>
        <v>0</v>
      </c>
      <c r="DB37" s="11">
        <f>IF(ISNUMBER(SEARCH(",EGFR L858R,",","&amp;SUBSTITUTE(K37,", ",",")&amp;",")),1,0)</f>
        <v>0</v>
      </c>
      <c r="DC37" s="11">
        <f>IF(ISNUMBER(SEARCH(",EGFR L861Q,",","&amp;SUBSTITUTE(K37,", ",",")&amp;",")),1,0)</f>
        <v>0</v>
      </c>
      <c r="DD37" s="11">
        <f>IF(ISNUMBER(SEARCH(",EGFR PACC,",","&amp;SUBSTITUTE(K37,", ",",")&amp;",")),1,0)</f>
        <v>0</v>
      </c>
      <c r="DE37" s="11">
        <f>IF(ISNUMBER(SEARCH(",EGFR S768I,",","&amp;SUBSTITUTE(K37,", ",",")&amp;",")),1,0)</f>
        <v>0</v>
      </c>
      <c r="DF37" s="11">
        <f>IF(ISNUMBER(SEARCH(",EGFR T790M,",","&amp;SUBSTITUTE(K37,", ",",")&amp;",")),1,0)</f>
        <v>0</v>
      </c>
      <c r="DG37" s="11">
        <f>IF(ISNUMBER(SEARCH(",EML4-ALK,",","&amp;SUBSTITUTE(K37,", ",",")&amp;",")),1,0)</f>
        <v>0</v>
      </c>
      <c r="DH37" s="11">
        <f>IF(ISNUMBER(SEARCH(",HER2,",","&amp;SUBSTITUTE(K37,", ",",")&amp;",")),1,0)</f>
        <v>0</v>
      </c>
      <c r="DI37" s="11">
        <f>IF(ISNUMBER(SEARCH(",HER2 Exon 19,",","&amp;SUBSTITUTE(K37,", ",",")&amp;",")),1,0)</f>
        <v>0</v>
      </c>
      <c r="DJ37" s="11">
        <f>IF(ISNUMBER(SEARCH(",HER2 Exon 20,",","&amp;SUBSTITUTE(K37,", ",",")&amp;",")),1,0)</f>
        <v>0</v>
      </c>
      <c r="DK37" s="11">
        <f>IF(ISNUMBER(SEARCH(",HER2 mut,",","&amp;SUBSTITUTE(K37,", ",",")&amp;",")),1,0)</f>
        <v>0</v>
      </c>
      <c r="DL37" s="11">
        <f>IF(ISNUMBER(SEARCH(",HLA-A2,",","&amp;SUBSTITUTE(K37,", ",",")&amp;",")),1,0)</f>
        <v>0</v>
      </c>
      <c r="DM37" s="11">
        <f>IF(ISNUMBER(SEARCH(",HRAS,",","&amp;SUBSTITUTE(K37,", ",",")&amp;",")),1,0)</f>
        <v>0</v>
      </c>
      <c r="DN37" s="11">
        <f>IF(ISNUMBER(SEARCH(",KRAS,",","&amp;SUBSTITUTE(K37,", ",",")&amp;",")),1,0)</f>
        <v>0</v>
      </c>
      <c r="DO37" s="11">
        <f>IF(ISNUMBER(SEARCH(",KRAS G12C,",","&amp;SUBSTITUTE(K37,", ",",")&amp;",")),1,0)</f>
        <v>0</v>
      </c>
      <c r="DP37" s="11">
        <f>IF(ISNUMBER(SEARCH(",NRAS,",","&amp;SUBSTITUTE(K37,", ",",")&amp;",")),1,0)</f>
        <v>0</v>
      </c>
      <c r="DQ37" s="11">
        <f>IF(ISNUMBER(SEARCH(",NTRK,",","&amp;SUBSTITUTE(K37,", ",",")&amp;",")),1,0)</f>
        <v>0</v>
      </c>
      <c r="DR37" s="11">
        <f>IF(ISNUMBER(SEARCH(",PD-L1,",","&amp;SUBSTITUTE(K37,", ",",")&amp;",")),1,0)</f>
        <v>0</v>
      </c>
      <c r="DS37" s="11">
        <f>IF(ISNUMBER(SEARCH(",PD-L1 IC ≥ 1%,",","&amp;SUBSTITUTE(K37,", ",",")&amp;",")),1,0)</f>
        <v>0</v>
      </c>
      <c r="DT37" s="11">
        <f>IF(ISNUMBER(SEARCH(",PD-L1 TC ≥ 1%,",","&amp;SUBSTITUTE(K37,", ",",")&amp;",")),1,0)</f>
        <v>0</v>
      </c>
      <c r="DU37" s="11">
        <f>IF(ISNUMBER(SEARCH(",PD-L1 TC ≥ 50%,",","&amp;SUBSTITUTE(K37,", ",",")&amp;",")),1,0)</f>
        <v>0</v>
      </c>
      <c r="DV37" s="11">
        <f>IF(ISNUMBER(SEARCH(",PD-L1 TPS &lt; 50%,",","&amp;SUBSTITUTE(K37,", ",",")&amp;",")),1,0)</f>
        <v>0</v>
      </c>
      <c r="DW37" s="11">
        <f>IF(ISNUMBER(SEARCH(",PD-L1 TPS ≥ 1%,",","&amp;SUBSTITUTE(K37,", ",",")&amp;",")),1,0)</f>
        <v>0</v>
      </c>
      <c r="DX37" s="11">
        <f>IF(ISNUMBER(SEARCH(",PD-L1 TPS ≥ 50%,",","&amp;SUBSTITUTE(K37,", ",",")&amp;",")),1,0)</f>
        <v>0</v>
      </c>
      <c r="DY37" s="11">
        <f>IF(ISNUMBER(SEARCH(",RAS,",","&amp;SUBSTITUTE(K37,", ",",")&amp;",")),1,0)</f>
        <v>0</v>
      </c>
      <c r="DZ37" s="11">
        <f>IF(ISNUMBER(SEARCH(",RET,",","&amp;SUBSTITUTE(K37,", ",",")&amp;",")),1,0)</f>
        <v>0</v>
      </c>
      <c r="EA37" s="11">
        <f>IF(ISNUMBER(SEARCH(",ROS1,",","&amp;SUBSTITUTE(K37,", ",",")&amp;",")),1,0)</f>
        <v>0</v>
      </c>
      <c r="EB37" s="11">
        <f>IF(ISNUMBER(SEARCH(",TROP2,",","&amp;SUBSTITUTE(K37,", ",",")&amp;",")),1,0)</f>
        <v>0</v>
      </c>
      <c r="EC37" s="11">
        <f>IF(ISNUMBER(SEARCH(",c-MET/MET,",","&amp;SUBSTITUTE(K37,", ",",")&amp;",")),1,0)</f>
        <v>0</v>
      </c>
      <c r="ED37" s="11">
        <f>IF(ISNUMBER(SEARCH(",c-MET/MET Exon 14,",","&amp;SUBSTITUTE(K37,", ",",")&amp;",")),1,0)</f>
        <v>0</v>
      </c>
      <c r="EE37" s="11">
        <f>IF(ISNUMBER(SEARCH(",ctDNA/cfDNA,",","&amp;SUBSTITUTE(K37,", ",",")&amp;",")),1,0)</f>
        <v>0</v>
      </c>
    </row>
    <row r="38" spans="1:135" ht="15" customHeight="1" x14ac:dyDescent="0.2">
      <c r="A38" s="5" t="s">
        <v>942</v>
      </c>
      <c r="B38" s="5" t="s">
        <v>943</v>
      </c>
      <c r="C38" s="5" t="s">
        <v>350</v>
      </c>
      <c r="D38" s="5" t="s">
        <v>350</v>
      </c>
      <c r="E38" s="5" t="s">
        <v>350</v>
      </c>
      <c r="F38" s="5" t="s">
        <v>351</v>
      </c>
      <c r="G38" s="5"/>
      <c r="H38" s="5" t="s">
        <v>114</v>
      </c>
      <c r="I38" s="5" t="s">
        <v>946</v>
      </c>
      <c r="J38" s="5" t="s">
        <v>945</v>
      </c>
      <c r="K38" s="5"/>
      <c r="L38" s="5" t="s">
        <v>119</v>
      </c>
      <c r="M38" s="5" t="s">
        <v>113</v>
      </c>
      <c r="N38" s="5" t="s">
        <v>120</v>
      </c>
      <c r="O38" s="5" t="s">
        <v>120</v>
      </c>
      <c r="P38" s="5" t="s">
        <v>933</v>
      </c>
      <c r="Q38" s="10" t="str">
        <f>IF(F38="Stage IV","Stage IV Only",IF(AND(ISNUMBER(SEARCH("IV",F38)),LEN(F38)&gt;LEN("Stage IV")),"Stage IV + Other",IF(AND(ISNUMBER(SEARCH("III",F38)),NOT(ISNUMBER(SEARCH("IV",F38)))),"Stage III Only","Other")))</f>
        <v>Stage III Only</v>
      </c>
      <c r="R38" s="10" t="str">
        <f>IF(AND(ISNUMBER(SEARCH("Non-squamous",G38)),ISNUMBER(SEARCH("Squamous",SUBSTITUTE(G38,"Non-squamous","")))),"Both",IF(ISNUMBER(SEARCH("Non-squamous",G38)),"Non-squamous",IF(ISNUMBER(SEARCH("Squamous",G38)),"Squamous","Unspecified")))</f>
        <v>Unspecified</v>
      </c>
      <c r="S38" s="10" t="str">
        <f>IF(OR(ISNUMBER(SEARCH("TPS ≥ 50%",K38)),ISNUMBER(SEARCH("TC ≥ 50%",K38))),"TPS ≥ 50%",IF(OR(ISNUMBER(SEARCH("TPS ≥ 1%",K38)),ISNUMBER(SEARCH("TC ≥ 1%",K38)),ISNUMBER(SEARCH("TPS &lt; 50%",K38)),ISNUMBER(SEARCH("IC ≥ 1%",K38))),"TPS 1-49%","All-comers"))</f>
        <v>All-comers</v>
      </c>
      <c r="T38" s="10">
        <f>IF(H38="Phase III",1,0)</f>
        <v>1</v>
      </c>
      <c r="U38" s="10">
        <f>IF(L38="Yes",1,0)</f>
        <v>0</v>
      </c>
      <c r="V38" s="11">
        <f>IF(ISNUMBER(SEARCH(",ALK,",","&amp;SUBSTITUTE(I38,", ",",")&amp;",")),1,0)</f>
        <v>0</v>
      </c>
      <c r="W38" s="11">
        <f>IF(ISNUMBER(SEARCH(",ALK L1196M,",","&amp;SUBSTITUTE(I38,", ",",")&amp;",")),1,0)</f>
        <v>0</v>
      </c>
      <c r="X38" s="11">
        <f>IF(ISNUMBER(SEARCH(",AXL,",","&amp;SUBSTITUTE(I38,", ",",")&amp;",")),1,0)</f>
        <v>0</v>
      </c>
      <c r="Y38" s="11">
        <f>IF(ISNUMBER(SEARCH(",B7-H1,",","&amp;SUBSTITUTE(I38,", ",",")&amp;",")),1,0)</f>
        <v>1</v>
      </c>
      <c r="Z38" s="11">
        <f>IF(ISNUMBER(SEARCH(",CD152,",","&amp;SUBSTITUTE(I38,", ",",")&amp;",")),1,0)</f>
        <v>0</v>
      </c>
      <c r="AA38" s="11">
        <f>IF(ISNUMBER(SEARCH(",CD274,",","&amp;SUBSTITUTE(I38,", ",",")&amp;",")),1,0)</f>
        <v>1</v>
      </c>
      <c r="AB38" s="11">
        <f>IF(ISNUMBER(SEARCH(",CD279,",","&amp;SUBSTITUTE(I38,", ",",")&amp;",")),1,0)</f>
        <v>0</v>
      </c>
      <c r="AC38" s="11">
        <f>IF(ISNUMBER(SEARCH(",CD73,",","&amp;SUBSTITUTE(I38,", ",",")&amp;",")),1,0)</f>
        <v>0</v>
      </c>
      <c r="AD38" s="11">
        <f>IF(ISNUMBER(SEARCH(",CEA,",","&amp;SUBSTITUTE(I38,", ",",")&amp;",")),1,0)</f>
        <v>0</v>
      </c>
      <c r="AE38" s="11">
        <f>IF(ISNUMBER(SEARCH(",CTLA-4,",","&amp;SUBSTITUTE(I38,", ",",")&amp;",")),1,0)</f>
        <v>0</v>
      </c>
      <c r="AF38" s="11">
        <f>IF(ISNUMBER(SEARCH(",EGFR,",","&amp;SUBSTITUTE(I38,", ",",")&amp;",")),1,0)</f>
        <v>0</v>
      </c>
      <c r="AG38" s="11">
        <f>IF(ISNUMBER(SEARCH(",EGFR C797G,",","&amp;SUBSTITUTE(I38,", ",",")&amp;",")),1,0)</f>
        <v>0</v>
      </c>
      <c r="AH38" s="11">
        <f>IF(ISNUMBER(SEARCH(",EGFR C797S,",","&amp;SUBSTITUTE(I38,", ",",")&amp;",")),1,0)</f>
        <v>0</v>
      </c>
      <c r="AI38" s="11">
        <f>IF(ISNUMBER(SEARCH(",EGFR Exon 19-del,",","&amp;SUBSTITUTE(I38,", ",",")&amp;",")),1,0)</f>
        <v>0</v>
      </c>
      <c r="AJ38" s="11">
        <f>IF(ISNUMBER(SEARCH(",EGFR Exon 20,",","&amp;SUBSTITUTE(I38,", ",",")&amp;",")),1,0)</f>
        <v>0</v>
      </c>
      <c r="AK38" s="11">
        <f>IF(ISNUMBER(SEARCH(",EGFR L858R,",","&amp;SUBSTITUTE(I38,", ",",")&amp;",")),1,0)</f>
        <v>0</v>
      </c>
      <c r="AL38" s="11">
        <f>IF(ISNUMBER(SEARCH(",EGFR T790M,",","&amp;SUBSTITUTE(I38,", ",",")&amp;",")),1,0)</f>
        <v>0</v>
      </c>
      <c r="AM38" s="11">
        <f>IF(ISNUMBER(SEARCH(",ERBB,",","&amp;SUBSTITUTE(I38,", ",",")&amp;",")),1,0)</f>
        <v>0</v>
      </c>
      <c r="AN38" s="11">
        <f>IF(ISNUMBER(SEARCH(",ERBB3,",","&amp;SUBSTITUTE(I38,", ",",")&amp;",")),1,0)</f>
        <v>0</v>
      </c>
      <c r="AO38" s="11">
        <f>IF(ISNUMBER(SEARCH(",FAK,",","&amp;SUBSTITUTE(I38,", ",",")&amp;",")),1,0)</f>
        <v>0</v>
      </c>
      <c r="AP38" s="11">
        <f>IF(ISNUMBER(SEARCH(",GARP,",","&amp;SUBSTITUTE(I38,", ",",")&amp;",")),1,0)</f>
        <v>0</v>
      </c>
      <c r="AQ38" s="11">
        <f>IF(ISNUMBER(SEARCH(",HER1,",","&amp;SUBSTITUTE(I38,", ",",")&amp;",")),1,0)</f>
        <v>0</v>
      </c>
      <c r="AR38" s="11">
        <f>IF(ISNUMBER(SEARCH(",HER2,",","&amp;SUBSTITUTE(I38,", ",",")&amp;",")),1,0)</f>
        <v>0</v>
      </c>
      <c r="AS38" s="11">
        <f>IF(ISNUMBER(SEARCH(",HER2 Exon 20,",","&amp;SUBSTITUTE(I38,", ",",")&amp;",")),1,0)</f>
        <v>0</v>
      </c>
      <c r="AT38" s="11">
        <f>IF(ISNUMBER(SEARCH(",HER3,",","&amp;SUBSTITUTE(I38,", ",",")&amp;",")),1,0)</f>
        <v>0</v>
      </c>
      <c r="AU38" s="11">
        <f>IF(ISNUMBER(SEARCH(",HER4,",","&amp;SUBSTITUTE(I38,", ",",")&amp;",")),1,0)</f>
        <v>0</v>
      </c>
      <c r="AV38" s="11">
        <f>IF(ISNUMBER(SEARCH(",HRAS,",","&amp;SUBSTITUTE(I38,", ",",")&amp;",")),1,0)</f>
        <v>0</v>
      </c>
      <c r="AW38" s="11">
        <f>IF(ISNUMBER(SEARCH(",HSV-TK,",","&amp;SUBSTITUTE(I38,", ",",")&amp;",")),1,0)</f>
        <v>0</v>
      </c>
      <c r="AX38" s="11">
        <f>IF(ISNUMBER(SEARCH(",IL-12,",","&amp;SUBSTITUTE(I38,", ",",")&amp;",")),1,0)</f>
        <v>0</v>
      </c>
      <c r="AY38" s="11">
        <f>IF(ISNUMBER(SEARCH(",IL-15,",","&amp;SUBSTITUTE(I38,", ",",")&amp;",")),1,0)</f>
        <v>0</v>
      </c>
      <c r="AZ38" s="11">
        <f>IF(ISNUMBER(SEARCH(",IL-15R,",","&amp;SUBSTITUTE(I38,", ",",")&amp;",")),1,0)</f>
        <v>0</v>
      </c>
      <c r="BA38" s="11">
        <f>IF(ISNUMBER(SEARCH(",IL-2,",","&amp;SUBSTITUTE(I38,", ",",")&amp;",")),1,0)</f>
        <v>0</v>
      </c>
      <c r="BB38" s="11">
        <f>IF(ISNUMBER(SEARCH(",Integrin β6,",","&amp;SUBSTITUTE(I38,", ",",")&amp;",")),1,0)</f>
        <v>0</v>
      </c>
      <c r="BC38" s="11">
        <f>IF(ISNUMBER(SEARCH(",KDR,",","&amp;SUBSTITUTE(I38,", ",",")&amp;",")),1,0)</f>
        <v>0</v>
      </c>
      <c r="BD38" s="11">
        <f>IF(ISNUMBER(SEARCH(",KLRC1,",","&amp;SUBSTITUTE(I38,", ",",")&amp;",")),1,0)</f>
        <v>1</v>
      </c>
      <c r="BE38" s="11">
        <f>IF(ISNUMBER(SEARCH(",KRAS,",","&amp;SUBSTITUTE(I38,", ",",")&amp;",")),1,0)</f>
        <v>0</v>
      </c>
      <c r="BF38" s="11">
        <f>IF(ISNUMBER(SEARCH(",KRAS G12,",","&amp;SUBSTITUTE(I38,", ",",")&amp;",")),1,0)</f>
        <v>0</v>
      </c>
      <c r="BG38" s="11">
        <f>IF(ISNUMBER(SEARCH(",KRAS G12C,",","&amp;SUBSTITUTE(I38,", ",",")&amp;",")),1,0)</f>
        <v>0</v>
      </c>
      <c r="BH38" s="11">
        <f>IF(ISNUMBER(SEARCH(",KRAS G12D,",","&amp;SUBSTITUTE(I38,", ",",")&amp;",")),1,0)</f>
        <v>0</v>
      </c>
      <c r="BI38" s="11">
        <f>IF(ISNUMBER(SEARCH(",LAG-3,",","&amp;SUBSTITUTE(I38,", ",",")&amp;",")),1,0)</f>
        <v>0</v>
      </c>
      <c r="BJ38" s="11">
        <f>IF(ISNUMBER(SEARCH(",MAGE-A2,",","&amp;SUBSTITUTE(I38,", ",",")&amp;",")),1,0)</f>
        <v>0</v>
      </c>
      <c r="BK38" s="11">
        <f>IF(ISNUMBER(SEARCH(",MAGE-A3,",","&amp;SUBSTITUTE(I38,", ",",")&amp;",")),1,0)</f>
        <v>0</v>
      </c>
      <c r="BL38" s="11">
        <f>IF(ISNUMBER(SEARCH(",MLN19,",","&amp;SUBSTITUTE(I38,", ",",")&amp;",")),1,0)</f>
        <v>0</v>
      </c>
      <c r="BM38" s="11">
        <f>IF(ISNUMBER(SEARCH(",Microtubule,",","&amp;SUBSTITUTE(I38,", ",",")&amp;",")),1,0)</f>
        <v>0</v>
      </c>
      <c r="BN38" s="11">
        <f>IF(ISNUMBER(SEARCH(",NKG2A,",","&amp;SUBSTITUTE(I38,", ",",")&amp;",")),1,0)</f>
        <v>1</v>
      </c>
      <c r="BO38" s="11">
        <f>IF(ISNUMBER(SEARCH(",NRAS,",","&amp;SUBSTITUTE(I38,", ",",")&amp;",")),1,0)</f>
        <v>0</v>
      </c>
      <c r="BP38" s="11">
        <f>IF(ISNUMBER(SEARCH(",NTRK,",","&amp;SUBSTITUTE(I38,", ",",")&amp;",")),1,0)</f>
        <v>0</v>
      </c>
      <c r="BQ38" s="11">
        <f>IF(ISNUMBER(SEARCH(",PARP,",","&amp;SUBSTITUTE(I38,", ",",")&amp;",")),1,0)</f>
        <v>0</v>
      </c>
      <c r="BR38" s="11">
        <f>IF(ISNUMBER(SEARCH(",PD-1,",","&amp;SUBSTITUTE(I38,", ",",")&amp;",")),1,0)</f>
        <v>0</v>
      </c>
      <c r="BS38" s="11">
        <f>IF(ISNUMBER(SEARCH(",PD-L1,",","&amp;SUBSTITUTE(I38,", ",",")&amp;",")),1,0)</f>
        <v>1</v>
      </c>
      <c r="BT38" s="11">
        <f>IF(ISNUMBER(SEARCH(",PRMT5,",","&amp;SUBSTITUTE(I38,", ",",")&amp;",")),1,0)</f>
        <v>0</v>
      </c>
      <c r="BU38" s="11">
        <f>IF(ISNUMBER(SEARCH(",RAS,",","&amp;SUBSTITUTE(I38,", ",",")&amp;",")),1,0)</f>
        <v>0</v>
      </c>
      <c r="BV38" s="11">
        <f>IF(ISNUMBER(SEARCH(",RET,",","&amp;SUBSTITUTE(I38,", ",",")&amp;",")),1,0)</f>
        <v>0</v>
      </c>
      <c r="BW38" s="11">
        <f>IF(ISNUMBER(SEARCH(",ROS,",","&amp;SUBSTITUTE(I38,", ",",")&amp;",")),1,0)</f>
        <v>0</v>
      </c>
      <c r="BX38" s="11">
        <f>IF(ISNUMBER(SEARCH(",ROS1,",","&amp;SUBSTITUTE(I38,", ",",")&amp;",")),1,0)</f>
        <v>0</v>
      </c>
      <c r="BY38" s="11">
        <f>IF(ISNUMBER(SEARCH(",Src,",","&amp;SUBSTITUTE(I38,", ",",")&amp;",")),1,0)</f>
        <v>0</v>
      </c>
      <c r="BZ38" s="11">
        <f>IF(ISNUMBER(SEARCH(",TCGF,",","&amp;SUBSTITUTE(I38,", ",",")&amp;",")),1,0)</f>
        <v>0</v>
      </c>
      <c r="CA38" s="11">
        <f>IF(ISNUMBER(SEARCH(",TGF-β,",","&amp;SUBSTITUTE(I38,", ",",")&amp;",")),1,0)</f>
        <v>0</v>
      </c>
      <c r="CB38" s="11">
        <f>IF(ISNUMBER(SEARCH(",TGF-β1,",","&amp;SUBSTITUTE(I38,", ",",")&amp;",")),1,0)</f>
        <v>0</v>
      </c>
      <c r="CC38" s="11">
        <f>IF(ISNUMBER(SEARCH(",TIGIT,",","&amp;SUBSTITUTE(I38,", ",",")&amp;",")),1,0)</f>
        <v>0</v>
      </c>
      <c r="CD38" s="11">
        <f>IF(ISNUMBER(SEARCH(",TLR,",","&amp;SUBSTITUTE(I38,", ",",")&amp;",")),1,0)</f>
        <v>0</v>
      </c>
      <c r="CE38" s="11">
        <f>IF(ISNUMBER(SEARCH(",TLR7/8,",","&amp;SUBSTITUTE(I38,", ",",")&amp;",")),1,0)</f>
        <v>0</v>
      </c>
      <c r="CF38" s="11">
        <f>IF(ISNUMBER(SEARCH(",TRK,",","&amp;SUBSTITUTE(I38,", ",",")&amp;",")),1,0)</f>
        <v>0</v>
      </c>
      <c r="CG38" s="11">
        <f>IF(ISNUMBER(SEARCH(",TROP2,",","&amp;SUBSTITUTE(I38,", ",",")&amp;",")),1,0)</f>
        <v>0</v>
      </c>
      <c r="CH38" s="11">
        <f>IF(ISNUMBER(SEARCH(",TS,",","&amp;SUBSTITUTE(I38,", ",",")&amp;",")),1,0)</f>
        <v>0</v>
      </c>
      <c r="CI38" s="11">
        <f>IF(ISNUMBER(SEARCH(",TYMS,",","&amp;SUBSTITUTE(I38,", ",",")&amp;",")),1,0)</f>
        <v>0</v>
      </c>
      <c r="CJ38" s="11">
        <f>IF(ISNUMBER(SEARCH(",VEGF,",","&amp;SUBSTITUTE(I38,", ",",")&amp;",")),1,0)</f>
        <v>0</v>
      </c>
      <c r="CK38" s="11">
        <f>IF(ISNUMBER(SEARCH(",VEGFA,",","&amp;SUBSTITUTE(I38,", ",",")&amp;",")),1,0)</f>
        <v>0</v>
      </c>
      <c r="CL38" s="11">
        <f>IF(ISNUMBER(SEARCH(",VEGFR2,",","&amp;SUBSTITUTE(I38,", ",",")&amp;",")),1,0)</f>
        <v>0</v>
      </c>
      <c r="CM38" s="11">
        <f>IF(ISNUMBER(SEARCH(",c-MET/MET,",","&amp;SUBSTITUTE(I38,", ",",")&amp;",")),1,0)</f>
        <v>0</v>
      </c>
      <c r="CN38" s="11">
        <f>IF(ISNUMBER(SEARCH(",p53,",","&amp;SUBSTITUTE(I38,", ",",")&amp;",")),1,0)</f>
        <v>0</v>
      </c>
      <c r="CO38" s="11">
        <f>IF(ISNUMBER(SEARCH(",pan-KRAS,",","&amp;SUBSTITUTE(I38,", ",",")&amp;",")),1,0)</f>
        <v>0</v>
      </c>
      <c r="CP38" s="11">
        <f>IF(ISNUMBER(SEARCH(",ALK,",","&amp;SUBSTITUTE(K38,", ",",")&amp;",")),1,0)</f>
        <v>0</v>
      </c>
      <c r="CQ38" s="11">
        <f>IF(ISNUMBER(SEARCH(",BRAF V600E,",","&amp;SUBSTITUTE(K38,", ",",")&amp;",")),1,0)</f>
        <v>0</v>
      </c>
      <c r="CR38" s="11">
        <f>IF(ISNUMBER(SEARCH(",EGFR,",","&amp;SUBSTITUTE(K38,", ",",")&amp;",")),1,0)</f>
        <v>0</v>
      </c>
      <c r="CS38" s="11">
        <f>IF(ISNUMBER(SEARCH(",EGFR Exon 18,",","&amp;SUBSTITUTE(K38,", ",",")&amp;",")),1,0)</f>
        <v>0</v>
      </c>
      <c r="CT38" s="11">
        <f>IF(ISNUMBER(SEARCH(",EGFR Exon 19-del,",","&amp;SUBSTITUTE(K38,", ",",")&amp;",")),1,0)</f>
        <v>0</v>
      </c>
      <c r="CU38" s="11">
        <f>IF(ISNUMBER(SEARCH(",EGFR Exon 20,",","&amp;SUBSTITUTE(K38,", ",",")&amp;",")),1,0)</f>
        <v>0</v>
      </c>
      <c r="CV38" s="11">
        <f>IF(ISNUMBER(SEARCH(",EGFR Exon 20-ins,",","&amp;SUBSTITUTE(K38,", ",",")&amp;",")),1,0)</f>
        <v>0</v>
      </c>
      <c r="CW38" s="11">
        <f>IF(ISNUMBER(SEARCH(",EGFR Exon 21,",","&amp;SUBSTITUTE(K38,", ",",")&amp;",")),1,0)</f>
        <v>0</v>
      </c>
      <c r="CX38" s="11">
        <f>IF(ISNUMBER(SEARCH(",EGFR G719A,",","&amp;SUBSTITUTE(K38,", ",",")&amp;",")),1,0)</f>
        <v>0</v>
      </c>
      <c r="CY38" s="11">
        <f>IF(ISNUMBER(SEARCH(",EGFR G719C,",","&amp;SUBSTITUTE(K38,", ",",")&amp;",")),1,0)</f>
        <v>0</v>
      </c>
      <c r="CZ38" s="11">
        <f>IF(ISNUMBER(SEARCH(",EGFR G719S,",","&amp;SUBSTITUTE(K38,", ",",")&amp;",")),1,0)</f>
        <v>0</v>
      </c>
      <c r="DA38" s="11">
        <f>IF(ISNUMBER(SEARCH(",EGFR G719X,",","&amp;SUBSTITUTE(K38,", ",",")&amp;",")),1,0)</f>
        <v>0</v>
      </c>
      <c r="DB38" s="11">
        <f>IF(ISNUMBER(SEARCH(",EGFR L858R,",","&amp;SUBSTITUTE(K38,", ",",")&amp;",")),1,0)</f>
        <v>0</v>
      </c>
      <c r="DC38" s="11">
        <f>IF(ISNUMBER(SEARCH(",EGFR L861Q,",","&amp;SUBSTITUTE(K38,", ",",")&amp;",")),1,0)</f>
        <v>0</v>
      </c>
      <c r="DD38" s="11">
        <f>IF(ISNUMBER(SEARCH(",EGFR PACC,",","&amp;SUBSTITUTE(K38,", ",",")&amp;",")),1,0)</f>
        <v>0</v>
      </c>
      <c r="DE38" s="11">
        <f>IF(ISNUMBER(SEARCH(",EGFR S768I,",","&amp;SUBSTITUTE(K38,", ",",")&amp;",")),1,0)</f>
        <v>0</v>
      </c>
      <c r="DF38" s="11">
        <f>IF(ISNUMBER(SEARCH(",EGFR T790M,",","&amp;SUBSTITUTE(K38,", ",",")&amp;",")),1,0)</f>
        <v>0</v>
      </c>
      <c r="DG38" s="11">
        <f>IF(ISNUMBER(SEARCH(",EML4-ALK,",","&amp;SUBSTITUTE(K38,", ",",")&amp;",")),1,0)</f>
        <v>0</v>
      </c>
      <c r="DH38" s="11">
        <f>IF(ISNUMBER(SEARCH(",HER2,",","&amp;SUBSTITUTE(K38,", ",",")&amp;",")),1,0)</f>
        <v>0</v>
      </c>
      <c r="DI38" s="11">
        <f>IF(ISNUMBER(SEARCH(",HER2 Exon 19,",","&amp;SUBSTITUTE(K38,", ",",")&amp;",")),1,0)</f>
        <v>0</v>
      </c>
      <c r="DJ38" s="11">
        <f>IF(ISNUMBER(SEARCH(",HER2 Exon 20,",","&amp;SUBSTITUTE(K38,", ",",")&amp;",")),1,0)</f>
        <v>0</v>
      </c>
      <c r="DK38" s="11">
        <f>IF(ISNUMBER(SEARCH(",HER2 mut,",","&amp;SUBSTITUTE(K38,", ",",")&amp;",")),1,0)</f>
        <v>0</v>
      </c>
      <c r="DL38" s="11">
        <f>IF(ISNUMBER(SEARCH(",HLA-A2,",","&amp;SUBSTITUTE(K38,", ",",")&amp;",")),1,0)</f>
        <v>0</v>
      </c>
      <c r="DM38" s="11">
        <f>IF(ISNUMBER(SEARCH(",HRAS,",","&amp;SUBSTITUTE(K38,", ",",")&amp;",")),1,0)</f>
        <v>0</v>
      </c>
      <c r="DN38" s="11">
        <f>IF(ISNUMBER(SEARCH(",KRAS,",","&amp;SUBSTITUTE(K38,", ",",")&amp;",")),1,0)</f>
        <v>0</v>
      </c>
      <c r="DO38" s="11">
        <f>IF(ISNUMBER(SEARCH(",KRAS G12C,",","&amp;SUBSTITUTE(K38,", ",",")&amp;",")),1,0)</f>
        <v>0</v>
      </c>
      <c r="DP38" s="11">
        <f>IF(ISNUMBER(SEARCH(",NRAS,",","&amp;SUBSTITUTE(K38,", ",",")&amp;",")),1,0)</f>
        <v>0</v>
      </c>
      <c r="DQ38" s="11">
        <f>IF(ISNUMBER(SEARCH(",NTRK,",","&amp;SUBSTITUTE(K38,", ",",")&amp;",")),1,0)</f>
        <v>0</v>
      </c>
      <c r="DR38" s="11">
        <f>IF(ISNUMBER(SEARCH(",PD-L1,",","&amp;SUBSTITUTE(K38,", ",",")&amp;",")),1,0)</f>
        <v>0</v>
      </c>
      <c r="DS38" s="11">
        <f>IF(ISNUMBER(SEARCH(",PD-L1 IC ≥ 1%,",","&amp;SUBSTITUTE(K38,", ",",")&amp;",")),1,0)</f>
        <v>0</v>
      </c>
      <c r="DT38" s="11">
        <f>IF(ISNUMBER(SEARCH(",PD-L1 TC ≥ 1%,",","&amp;SUBSTITUTE(K38,", ",",")&amp;",")),1,0)</f>
        <v>0</v>
      </c>
      <c r="DU38" s="11">
        <f>IF(ISNUMBER(SEARCH(",PD-L1 TC ≥ 50%,",","&amp;SUBSTITUTE(K38,", ",",")&amp;",")),1,0)</f>
        <v>0</v>
      </c>
      <c r="DV38" s="11">
        <f>IF(ISNUMBER(SEARCH(",PD-L1 TPS &lt; 50%,",","&amp;SUBSTITUTE(K38,", ",",")&amp;",")),1,0)</f>
        <v>0</v>
      </c>
      <c r="DW38" s="11">
        <f>IF(ISNUMBER(SEARCH(",PD-L1 TPS ≥ 1%,",","&amp;SUBSTITUTE(K38,", ",",")&amp;",")),1,0)</f>
        <v>0</v>
      </c>
      <c r="DX38" s="11">
        <f>IF(ISNUMBER(SEARCH(",PD-L1 TPS ≥ 50%,",","&amp;SUBSTITUTE(K38,", ",",")&amp;",")),1,0)</f>
        <v>0</v>
      </c>
      <c r="DY38" s="11">
        <f>IF(ISNUMBER(SEARCH(",RAS,",","&amp;SUBSTITUTE(K38,", ",",")&amp;",")),1,0)</f>
        <v>0</v>
      </c>
      <c r="DZ38" s="11">
        <f>IF(ISNUMBER(SEARCH(",RET,",","&amp;SUBSTITUTE(K38,", ",",")&amp;",")),1,0)</f>
        <v>0</v>
      </c>
      <c r="EA38" s="11">
        <f>IF(ISNUMBER(SEARCH(",ROS1,",","&amp;SUBSTITUTE(K38,", ",",")&amp;",")),1,0)</f>
        <v>0</v>
      </c>
      <c r="EB38" s="11">
        <f>IF(ISNUMBER(SEARCH(",TROP2,",","&amp;SUBSTITUTE(K38,", ",",")&amp;",")),1,0)</f>
        <v>0</v>
      </c>
      <c r="EC38" s="11">
        <f>IF(ISNUMBER(SEARCH(",c-MET/MET,",","&amp;SUBSTITUTE(K38,", ",",")&amp;",")),1,0)</f>
        <v>0</v>
      </c>
      <c r="ED38" s="11">
        <f>IF(ISNUMBER(SEARCH(",c-MET/MET Exon 14,",","&amp;SUBSTITUTE(K38,", ",",")&amp;",")),1,0)</f>
        <v>0</v>
      </c>
      <c r="EE38" s="11">
        <f>IF(ISNUMBER(SEARCH(",ctDNA/cfDNA,",","&amp;SUBSTITUTE(K38,", ",",")&amp;",")),1,0)</f>
        <v>0</v>
      </c>
    </row>
    <row r="39" spans="1:135" ht="15" customHeight="1" x14ac:dyDescent="0.2">
      <c r="A39" s="3" t="s">
        <v>1475</v>
      </c>
      <c r="B39" s="3" t="s">
        <v>1477</v>
      </c>
      <c r="C39" s="3" t="s">
        <v>194</v>
      </c>
      <c r="D39" s="3" t="s">
        <v>194</v>
      </c>
      <c r="E39" s="3" t="s">
        <v>194</v>
      </c>
      <c r="F39" s="3" t="s">
        <v>259</v>
      </c>
      <c r="G39" s="3" t="s">
        <v>544</v>
      </c>
      <c r="H39" s="3" t="s">
        <v>114</v>
      </c>
      <c r="I39" s="3" t="s">
        <v>1481</v>
      </c>
      <c r="J39" s="3" t="s">
        <v>1480</v>
      </c>
      <c r="K39" s="3"/>
      <c r="L39" s="3" t="s">
        <v>119</v>
      </c>
      <c r="M39" s="3" t="s">
        <v>113</v>
      </c>
      <c r="N39" s="3" t="s">
        <v>120</v>
      </c>
      <c r="O39" s="3" t="s">
        <v>120</v>
      </c>
      <c r="P39" s="3" t="s">
        <v>1478</v>
      </c>
      <c r="Q39" s="10" t="str">
        <f>IF(F39="Stage IV","Stage IV Only",IF(AND(ISNUMBER(SEARCH("IV",F39)),LEN(F39)&gt;LEN("Stage IV")),"Stage IV + Other",IF(AND(ISNUMBER(SEARCH("III",F39)),NOT(ISNUMBER(SEARCH("IV",F39)))),"Stage III Only","Other")))</f>
        <v>Stage IV Only</v>
      </c>
      <c r="R39" s="10" t="str">
        <f>IF(AND(ISNUMBER(SEARCH("Non-squamous",G39)),ISNUMBER(SEARCH("Squamous",SUBSTITUTE(G39,"Non-squamous","")))),"Both",IF(ISNUMBER(SEARCH("Non-squamous",G39)),"Non-squamous",IF(ISNUMBER(SEARCH("Squamous",G39)),"Squamous","Unspecified")))</f>
        <v>Both</v>
      </c>
      <c r="S39" s="10" t="str">
        <f>IF(OR(ISNUMBER(SEARCH("TPS ≥ 50%",K39)),ISNUMBER(SEARCH("TC ≥ 50%",K39))),"TPS ≥ 50%",IF(OR(ISNUMBER(SEARCH("TPS ≥ 1%",K39)),ISNUMBER(SEARCH("TC ≥ 1%",K39)),ISNUMBER(SEARCH("TPS &lt; 50%",K39)),ISNUMBER(SEARCH("IC ≥ 1%",K39))),"TPS 1-49%","All-comers"))</f>
        <v>All-comers</v>
      </c>
      <c r="T39" s="10">
        <f>IF(H39="Phase III",1,0)</f>
        <v>1</v>
      </c>
      <c r="U39" s="10">
        <f>IF(L39="Yes",1,0)</f>
        <v>0</v>
      </c>
      <c r="V39" s="11">
        <f>IF(ISNUMBER(SEARCH(",ALK,",","&amp;SUBSTITUTE(I39,", ",",")&amp;",")),1,0)</f>
        <v>0</v>
      </c>
      <c r="W39" s="11">
        <f>IF(ISNUMBER(SEARCH(",ALK L1196M,",","&amp;SUBSTITUTE(I39,", ",",")&amp;",")),1,0)</f>
        <v>0</v>
      </c>
      <c r="X39" s="11">
        <f>IF(ISNUMBER(SEARCH(",AXL,",","&amp;SUBSTITUTE(I39,", ",",")&amp;",")),1,0)</f>
        <v>0</v>
      </c>
      <c r="Y39" s="11">
        <f>IF(ISNUMBER(SEARCH(",B7-H1,",","&amp;SUBSTITUTE(I39,", ",",")&amp;",")),1,0)</f>
        <v>0</v>
      </c>
      <c r="Z39" s="11">
        <f>IF(ISNUMBER(SEARCH(",CD152,",","&amp;SUBSTITUTE(I39,", ",",")&amp;",")),1,0)</f>
        <v>0</v>
      </c>
      <c r="AA39" s="11">
        <f>IF(ISNUMBER(SEARCH(",CD274,",","&amp;SUBSTITUTE(I39,", ",",")&amp;",")),1,0)</f>
        <v>0</v>
      </c>
      <c r="AB39" s="11">
        <f>IF(ISNUMBER(SEARCH(",CD279,",","&amp;SUBSTITUTE(I39,", ",",")&amp;",")),1,0)</f>
        <v>1</v>
      </c>
      <c r="AC39" s="11">
        <f>IF(ISNUMBER(SEARCH(",CD73,",","&amp;SUBSTITUTE(I39,", ",",")&amp;",")),1,0)</f>
        <v>0</v>
      </c>
      <c r="AD39" s="11">
        <f>IF(ISNUMBER(SEARCH(",CEA,",","&amp;SUBSTITUTE(I39,", ",",")&amp;",")),1,0)</f>
        <v>0</v>
      </c>
      <c r="AE39" s="11">
        <f>IF(ISNUMBER(SEARCH(",CTLA-4,",","&amp;SUBSTITUTE(I39,", ",",")&amp;",")),1,0)</f>
        <v>0</v>
      </c>
      <c r="AF39" s="11">
        <f>IF(ISNUMBER(SEARCH(",EGFR,",","&amp;SUBSTITUTE(I39,", ",",")&amp;",")),1,0)</f>
        <v>0</v>
      </c>
      <c r="AG39" s="11">
        <f>IF(ISNUMBER(SEARCH(",EGFR C797G,",","&amp;SUBSTITUTE(I39,", ",",")&amp;",")),1,0)</f>
        <v>0</v>
      </c>
      <c r="AH39" s="11">
        <f>IF(ISNUMBER(SEARCH(",EGFR C797S,",","&amp;SUBSTITUTE(I39,", ",",")&amp;",")),1,0)</f>
        <v>0</v>
      </c>
      <c r="AI39" s="11">
        <f>IF(ISNUMBER(SEARCH(",EGFR Exon 19-del,",","&amp;SUBSTITUTE(I39,", ",",")&amp;",")),1,0)</f>
        <v>0</v>
      </c>
      <c r="AJ39" s="11">
        <f>IF(ISNUMBER(SEARCH(",EGFR Exon 20,",","&amp;SUBSTITUTE(I39,", ",",")&amp;",")),1,0)</f>
        <v>0</v>
      </c>
      <c r="AK39" s="11">
        <f>IF(ISNUMBER(SEARCH(",EGFR L858R,",","&amp;SUBSTITUTE(I39,", ",",")&amp;",")),1,0)</f>
        <v>0</v>
      </c>
      <c r="AL39" s="11">
        <f>IF(ISNUMBER(SEARCH(",EGFR T790M,",","&amp;SUBSTITUTE(I39,", ",",")&amp;",")),1,0)</f>
        <v>0</v>
      </c>
      <c r="AM39" s="11">
        <f>IF(ISNUMBER(SEARCH(",ERBB,",","&amp;SUBSTITUTE(I39,", ",",")&amp;",")),1,0)</f>
        <v>0</v>
      </c>
      <c r="AN39" s="11">
        <f>IF(ISNUMBER(SEARCH(",ERBB3,",","&amp;SUBSTITUTE(I39,", ",",")&amp;",")),1,0)</f>
        <v>0</v>
      </c>
      <c r="AO39" s="11">
        <f>IF(ISNUMBER(SEARCH(",FAK,",","&amp;SUBSTITUTE(I39,", ",",")&amp;",")),1,0)</f>
        <v>0</v>
      </c>
      <c r="AP39" s="11">
        <f>IF(ISNUMBER(SEARCH(",GARP,",","&amp;SUBSTITUTE(I39,", ",",")&amp;",")),1,0)</f>
        <v>0</v>
      </c>
      <c r="AQ39" s="11">
        <f>IF(ISNUMBER(SEARCH(",HER1,",","&amp;SUBSTITUTE(I39,", ",",")&amp;",")),1,0)</f>
        <v>0</v>
      </c>
      <c r="AR39" s="11">
        <f>IF(ISNUMBER(SEARCH(",HER2,",","&amp;SUBSTITUTE(I39,", ",",")&amp;",")),1,0)</f>
        <v>0</v>
      </c>
      <c r="AS39" s="11">
        <f>IF(ISNUMBER(SEARCH(",HER2 Exon 20,",","&amp;SUBSTITUTE(I39,", ",",")&amp;",")),1,0)</f>
        <v>0</v>
      </c>
      <c r="AT39" s="11">
        <f>IF(ISNUMBER(SEARCH(",HER3,",","&amp;SUBSTITUTE(I39,", ",",")&amp;",")),1,0)</f>
        <v>0</v>
      </c>
      <c r="AU39" s="11">
        <f>IF(ISNUMBER(SEARCH(",HER4,",","&amp;SUBSTITUTE(I39,", ",",")&amp;",")),1,0)</f>
        <v>0</v>
      </c>
      <c r="AV39" s="11">
        <f>IF(ISNUMBER(SEARCH(",HRAS,",","&amp;SUBSTITUTE(I39,", ",",")&amp;",")),1,0)</f>
        <v>0</v>
      </c>
      <c r="AW39" s="11">
        <f>IF(ISNUMBER(SEARCH(",HSV-TK,",","&amp;SUBSTITUTE(I39,", ",",")&amp;",")),1,0)</f>
        <v>0</v>
      </c>
      <c r="AX39" s="11">
        <f>IF(ISNUMBER(SEARCH(",IL-12,",","&amp;SUBSTITUTE(I39,", ",",")&amp;",")),1,0)</f>
        <v>0</v>
      </c>
      <c r="AY39" s="11">
        <f>IF(ISNUMBER(SEARCH(",IL-15,",","&amp;SUBSTITUTE(I39,", ",",")&amp;",")),1,0)</f>
        <v>0</v>
      </c>
      <c r="AZ39" s="11">
        <f>IF(ISNUMBER(SEARCH(",IL-15R,",","&amp;SUBSTITUTE(I39,", ",",")&amp;",")),1,0)</f>
        <v>0</v>
      </c>
      <c r="BA39" s="11">
        <f>IF(ISNUMBER(SEARCH(",IL-2,",","&amp;SUBSTITUTE(I39,", ",",")&amp;",")),1,0)</f>
        <v>0</v>
      </c>
      <c r="BB39" s="11">
        <f>IF(ISNUMBER(SEARCH(",Integrin β6,",","&amp;SUBSTITUTE(I39,", ",",")&amp;",")),1,0)</f>
        <v>0</v>
      </c>
      <c r="BC39" s="11">
        <f>IF(ISNUMBER(SEARCH(",KDR,",","&amp;SUBSTITUTE(I39,", ",",")&amp;",")),1,0)</f>
        <v>0</v>
      </c>
      <c r="BD39" s="11">
        <f>IF(ISNUMBER(SEARCH(",KLRC1,",","&amp;SUBSTITUTE(I39,", ",",")&amp;",")),1,0)</f>
        <v>0</v>
      </c>
      <c r="BE39" s="11">
        <f>IF(ISNUMBER(SEARCH(",KRAS,",","&amp;SUBSTITUTE(I39,", ",",")&amp;",")),1,0)</f>
        <v>0</v>
      </c>
      <c r="BF39" s="11">
        <f>IF(ISNUMBER(SEARCH(",KRAS G12,",","&amp;SUBSTITUTE(I39,", ",",")&amp;",")),1,0)</f>
        <v>0</v>
      </c>
      <c r="BG39" s="11">
        <f>IF(ISNUMBER(SEARCH(",KRAS G12C,",","&amp;SUBSTITUTE(I39,", ",",")&amp;",")),1,0)</f>
        <v>0</v>
      </c>
      <c r="BH39" s="11">
        <f>IF(ISNUMBER(SEARCH(",KRAS G12D,",","&amp;SUBSTITUTE(I39,", ",",")&amp;",")),1,0)</f>
        <v>0</v>
      </c>
      <c r="BI39" s="11">
        <f>IF(ISNUMBER(SEARCH(",LAG-3,",","&amp;SUBSTITUTE(I39,", ",",")&amp;",")),1,0)</f>
        <v>0</v>
      </c>
      <c r="BJ39" s="11">
        <f>IF(ISNUMBER(SEARCH(",MAGE-A2,",","&amp;SUBSTITUTE(I39,", ",",")&amp;",")),1,0)</f>
        <v>0</v>
      </c>
      <c r="BK39" s="11">
        <f>IF(ISNUMBER(SEARCH(",MAGE-A3,",","&amp;SUBSTITUTE(I39,", ",",")&amp;",")),1,0)</f>
        <v>0</v>
      </c>
      <c r="BL39" s="11">
        <f>IF(ISNUMBER(SEARCH(",MLN19,",","&amp;SUBSTITUTE(I39,", ",",")&amp;",")),1,0)</f>
        <v>0</v>
      </c>
      <c r="BM39" s="11">
        <f>IF(ISNUMBER(SEARCH(",Microtubule,",","&amp;SUBSTITUTE(I39,", ",",")&amp;",")),1,0)</f>
        <v>1</v>
      </c>
      <c r="BN39" s="11">
        <f>IF(ISNUMBER(SEARCH(",NKG2A,",","&amp;SUBSTITUTE(I39,", ",",")&amp;",")),1,0)</f>
        <v>0</v>
      </c>
      <c r="BO39" s="11">
        <f>IF(ISNUMBER(SEARCH(",NRAS,",","&amp;SUBSTITUTE(I39,", ",",")&amp;",")),1,0)</f>
        <v>0</v>
      </c>
      <c r="BP39" s="11">
        <f>IF(ISNUMBER(SEARCH(",NTRK,",","&amp;SUBSTITUTE(I39,", ",",")&amp;",")),1,0)</f>
        <v>0</v>
      </c>
      <c r="BQ39" s="11">
        <f>IF(ISNUMBER(SEARCH(",PARP,",","&amp;SUBSTITUTE(I39,", ",",")&amp;",")),1,0)</f>
        <v>0</v>
      </c>
      <c r="BR39" s="11">
        <f>IF(ISNUMBER(SEARCH(",PD-1,",","&amp;SUBSTITUTE(I39,", ",",")&amp;",")),1,0)</f>
        <v>1</v>
      </c>
      <c r="BS39" s="11">
        <f>IF(ISNUMBER(SEARCH(",PD-L1,",","&amp;SUBSTITUTE(I39,", ",",")&amp;",")),1,0)</f>
        <v>0</v>
      </c>
      <c r="BT39" s="11">
        <f>IF(ISNUMBER(SEARCH(",PRMT5,",","&amp;SUBSTITUTE(I39,", ",",")&amp;",")),1,0)</f>
        <v>1</v>
      </c>
      <c r="BU39" s="11">
        <f>IF(ISNUMBER(SEARCH(",RAS,",","&amp;SUBSTITUTE(I39,", ",",")&amp;",")),1,0)</f>
        <v>0</v>
      </c>
      <c r="BV39" s="11">
        <f>IF(ISNUMBER(SEARCH(",RET,",","&amp;SUBSTITUTE(I39,", ",",")&amp;",")),1,0)</f>
        <v>0</v>
      </c>
      <c r="BW39" s="11">
        <f>IF(ISNUMBER(SEARCH(",ROS,",","&amp;SUBSTITUTE(I39,", ",",")&amp;",")),1,0)</f>
        <v>0</v>
      </c>
      <c r="BX39" s="11">
        <f>IF(ISNUMBER(SEARCH(",ROS1,",","&amp;SUBSTITUTE(I39,", ",",")&amp;",")),1,0)</f>
        <v>0</v>
      </c>
      <c r="BY39" s="11">
        <f>IF(ISNUMBER(SEARCH(",Src,",","&amp;SUBSTITUTE(I39,", ",",")&amp;",")),1,0)</f>
        <v>0</v>
      </c>
      <c r="BZ39" s="11">
        <f>IF(ISNUMBER(SEARCH(",TCGF,",","&amp;SUBSTITUTE(I39,", ",",")&amp;",")),1,0)</f>
        <v>0</v>
      </c>
      <c r="CA39" s="11">
        <f>IF(ISNUMBER(SEARCH(",TGF-β,",","&amp;SUBSTITUTE(I39,", ",",")&amp;",")),1,0)</f>
        <v>0</v>
      </c>
      <c r="CB39" s="11">
        <f>IF(ISNUMBER(SEARCH(",TGF-β1,",","&amp;SUBSTITUTE(I39,", ",",")&amp;",")),1,0)</f>
        <v>0</v>
      </c>
      <c r="CC39" s="11">
        <f>IF(ISNUMBER(SEARCH(",TIGIT,",","&amp;SUBSTITUTE(I39,", ",",")&amp;",")),1,0)</f>
        <v>0</v>
      </c>
      <c r="CD39" s="11">
        <f>IF(ISNUMBER(SEARCH(",TLR,",","&amp;SUBSTITUTE(I39,", ",",")&amp;",")),1,0)</f>
        <v>0</v>
      </c>
      <c r="CE39" s="11">
        <f>IF(ISNUMBER(SEARCH(",TLR7/8,",","&amp;SUBSTITUTE(I39,", ",",")&amp;",")),1,0)</f>
        <v>0</v>
      </c>
      <c r="CF39" s="11">
        <f>IF(ISNUMBER(SEARCH(",TRK,",","&amp;SUBSTITUTE(I39,", ",",")&amp;",")),1,0)</f>
        <v>0</v>
      </c>
      <c r="CG39" s="11">
        <f>IF(ISNUMBER(SEARCH(",TROP2,",","&amp;SUBSTITUTE(I39,", ",",")&amp;",")),1,0)</f>
        <v>0</v>
      </c>
      <c r="CH39" s="11">
        <f>IF(ISNUMBER(SEARCH(",TS,",","&amp;SUBSTITUTE(I39,", ",",")&amp;",")),1,0)</f>
        <v>1</v>
      </c>
      <c r="CI39" s="11">
        <f>IF(ISNUMBER(SEARCH(",TYMS,",","&amp;SUBSTITUTE(I39,", ",",")&amp;",")),1,0)</f>
        <v>1</v>
      </c>
      <c r="CJ39" s="11">
        <f>IF(ISNUMBER(SEARCH(",VEGF,",","&amp;SUBSTITUTE(I39,", ",",")&amp;",")),1,0)</f>
        <v>0</v>
      </c>
      <c r="CK39" s="11">
        <f>IF(ISNUMBER(SEARCH(",VEGFA,",","&amp;SUBSTITUTE(I39,", ",",")&amp;",")),1,0)</f>
        <v>0</v>
      </c>
      <c r="CL39" s="11">
        <f>IF(ISNUMBER(SEARCH(",VEGFR2,",","&amp;SUBSTITUTE(I39,", ",",")&amp;",")),1,0)</f>
        <v>0</v>
      </c>
      <c r="CM39" s="11">
        <f>IF(ISNUMBER(SEARCH(",c-MET/MET,",","&amp;SUBSTITUTE(I39,", ",",")&amp;",")),1,0)</f>
        <v>0</v>
      </c>
      <c r="CN39" s="11">
        <f>IF(ISNUMBER(SEARCH(",p53,",","&amp;SUBSTITUTE(I39,", ",",")&amp;",")),1,0)</f>
        <v>0</v>
      </c>
      <c r="CO39" s="11">
        <f>IF(ISNUMBER(SEARCH(",pan-KRAS,",","&amp;SUBSTITUTE(I39,", ",",")&amp;",")),1,0)</f>
        <v>0</v>
      </c>
      <c r="CP39" s="11">
        <f>IF(ISNUMBER(SEARCH(",ALK,",","&amp;SUBSTITUTE(K39,", ",",")&amp;",")),1,0)</f>
        <v>0</v>
      </c>
      <c r="CQ39" s="11">
        <f>IF(ISNUMBER(SEARCH(",BRAF V600E,",","&amp;SUBSTITUTE(K39,", ",",")&amp;",")),1,0)</f>
        <v>0</v>
      </c>
      <c r="CR39" s="11">
        <f>IF(ISNUMBER(SEARCH(",EGFR,",","&amp;SUBSTITUTE(K39,", ",",")&amp;",")),1,0)</f>
        <v>0</v>
      </c>
      <c r="CS39" s="11">
        <f>IF(ISNUMBER(SEARCH(",EGFR Exon 18,",","&amp;SUBSTITUTE(K39,", ",",")&amp;",")),1,0)</f>
        <v>0</v>
      </c>
      <c r="CT39" s="11">
        <f>IF(ISNUMBER(SEARCH(",EGFR Exon 19-del,",","&amp;SUBSTITUTE(K39,", ",",")&amp;",")),1,0)</f>
        <v>0</v>
      </c>
      <c r="CU39" s="11">
        <f>IF(ISNUMBER(SEARCH(",EGFR Exon 20,",","&amp;SUBSTITUTE(K39,", ",",")&amp;",")),1,0)</f>
        <v>0</v>
      </c>
      <c r="CV39" s="11">
        <f>IF(ISNUMBER(SEARCH(",EGFR Exon 20-ins,",","&amp;SUBSTITUTE(K39,", ",",")&amp;",")),1,0)</f>
        <v>0</v>
      </c>
      <c r="CW39" s="11">
        <f>IF(ISNUMBER(SEARCH(",EGFR Exon 21,",","&amp;SUBSTITUTE(K39,", ",",")&amp;",")),1,0)</f>
        <v>0</v>
      </c>
      <c r="CX39" s="11">
        <f>IF(ISNUMBER(SEARCH(",EGFR G719A,",","&amp;SUBSTITUTE(K39,", ",",")&amp;",")),1,0)</f>
        <v>0</v>
      </c>
      <c r="CY39" s="11">
        <f>IF(ISNUMBER(SEARCH(",EGFR G719C,",","&amp;SUBSTITUTE(K39,", ",",")&amp;",")),1,0)</f>
        <v>0</v>
      </c>
      <c r="CZ39" s="11">
        <f>IF(ISNUMBER(SEARCH(",EGFR G719S,",","&amp;SUBSTITUTE(K39,", ",",")&amp;",")),1,0)</f>
        <v>0</v>
      </c>
      <c r="DA39" s="11">
        <f>IF(ISNUMBER(SEARCH(",EGFR G719X,",","&amp;SUBSTITUTE(K39,", ",",")&amp;",")),1,0)</f>
        <v>0</v>
      </c>
      <c r="DB39" s="11">
        <f>IF(ISNUMBER(SEARCH(",EGFR L858R,",","&amp;SUBSTITUTE(K39,", ",",")&amp;",")),1,0)</f>
        <v>0</v>
      </c>
      <c r="DC39" s="11">
        <f>IF(ISNUMBER(SEARCH(",EGFR L861Q,",","&amp;SUBSTITUTE(K39,", ",",")&amp;",")),1,0)</f>
        <v>0</v>
      </c>
      <c r="DD39" s="11">
        <f>IF(ISNUMBER(SEARCH(",EGFR PACC,",","&amp;SUBSTITUTE(K39,", ",",")&amp;",")),1,0)</f>
        <v>0</v>
      </c>
      <c r="DE39" s="11">
        <f>IF(ISNUMBER(SEARCH(",EGFR S768I,",","&amp;SUBSTITUTE(K39,", ",",")&amp;",")),1,0)</f>
        <v>0</v>
      </c>
      <c r="DF39" s="11">
        <f>IF(ISNUMBER(SEARCH(",EGFR T790M,",","&amp;SUBSTITUTE(K39,", ",",")&amp;",")),1,0)</f>
        <v>0</v>
      </c>
      <c r="DG39" s="11">
        <f>IF(ISNUMBER(SEARCH(",EML4-ALK,",","&amp;SUBSTITUTE(K39,", ",",")&amp;",")),1,0)</f>
        <v>0</v>
      </c>
      <c r="DH39" s="11">
        <f>IF(ISNUMBER(SEARCH(",HER2,",","&amp;SUBSTITUTE(K39,", ",",")&amp;",")),1,0)</f>
        <v>0</v>
      </c>
      <c r="DI39" s="11">
        <f>IF(ISNUMBER(SEARCH(",HER2 Exon 19,",","&amp;SUBSTITUTE(K39,", ",",")&amp;",")),1,0)</f>
        <v>0</v>
      </c>
      <c r="DJ39" s="11">
        <f>IF(ISNUMBER(SEARCH(",HER2 Exon 20,",","&amp;SUBSTITUTE(K39,", ",",")&amp;",")),1,0)</f>
        <v>0</v>
      </c>
      <c r="DK39" s="11">
        <f>IF(ISNUMBER(SEARCH(",HER2 mut,",","&amp;SUBSTITUTE(K39,", ",",")&amp;",")),1,0)</f>
        <v>0</v>
      </c>
      <c r="DL39" s="11">
        <f>IF(ISNUMBER(SEARCH(",HLA-A2,",","&amp;SUBSTITUTE(K39,", ",",")&amp;",")),1,0)</f>
        <v>0</v>
      </c>
      <c r="DM39" s="11">
        <f>IF(ISNUMBER(SEARCH(",HRAS,",","&amp;SUBSTITUTE(K39,", ",",")&amp;",")),1,0)</f>
        <v>0</v>
      </c>
      <c r="DN39" s="11">
        <f>IF(ISNUMBER(SEARCH(",KRAS,",","&amp;SUBSTITUTE(K39,", ",",")&amp;",")),1,0)</f>
        <v>0</v>
      </c>
      <c r="DO39" s="11">
        <f>IF(ISNUMBER(SEARCH(",KRAS G12C,",","&amp;SUBSTITUTE(K39,", ",",")&amp;",")),1,0)</f>
        <v>0</v>
      </c>
      <c r="DP39" s="11">
        <f>IF(ISNUMBER(SEARCH(",NRAS,",","&amp;SUBSTITUTE(K39,", ",",")&amp;",")),1,0)</f>
        <v>0</v>
      </c>
      <c r="DQ39" s="11">
        <f>IF(ISNUMBER(SEARCH(",NTRK,",","&amp;SUBSTITUTE(K39,", ",",")&amp;",")),1,0)</f>
        <v>0</v>
      </c>
      <c r="DR39" s="11">
        <f>IF(ISNUMBER(SEARCH(",PD-L1,",","&amp;SUBSTITUTE(K39,", ",",")&amp;",")),1,0)</f>
        <v>0</v>
      </c>
      <c r="DS39" s="11">
        <f>IF(ISNUMBER(SEARCH(",PD-L1 IC ≥ 1%,",","&amp;SUBSTITUTE(K39,", ",",")&amp;",")),1,0)</f>
        <v>0</v>
      </c>
      <c r="DT39" s="11">
        <f>IF(ISNUMBER(SEARCH(",PD-L1 TC ≥ 1%,",","&amp;SUBSTITUTE(K39,", ",",")&amp;",")),1,0)</f>
        <v>0</v>
      </c>
      <c r="DU39" s="11">
        <f>IF(ISNUMBER(SEARCH(",PD-L1 TC ≥ 50%,",","&amp;SUBSTITUTE(K39,", ",",")&amp;",")),1,0)</f>
        <v>0</v>
      </c>
      <c r="DV39" s="11">
        <f>IF(ISNUMBER(SEARCH(",PD-L1 TPS &lt; 50%,",","&amp;SUBSTITUTE(K39,", ",",")&amp;",")),1,0)</f>
        <v>0</v>
      </c>
      <c r="DW39" s="11">
        <f>IF(ISNUMBER(SEARCH(",PD-L1 TPS ≥ 1%,",","&amp;SUBSTITUTE(K39,", ",",")&amp;",")),1,0)</f>
        <v>0</v>
      </c>
      <c r="DX39" s="11">
        <f>IF(ISNUMBER(SEARCH(",PD-L1 TPS ≥ 50%,",","&amp;SUBSTITUTE(K39,", ",",")&amp;",")),1,0)</f>
        <v>0</v>
      </c>
      <c r="DY39" s="11">
        <f>IF(ISNUMBER(SEARCH(",RAS,",","&amp;SUBSTITUTE(K39,", ",",")&amp;",")),1,0)</f>
        <v>0</v>
      </c>
      <c r="DZ39" s="11">
        <f>IF(ISNUMBER(SEARCH(",RET,",","&amp;SUBSTITUTE(K39,", ",",")&amp;",")),1,0)</f>
        <v>0</v>
      </c>
      <c r="EA39" s="11">
        <f>IF(ISNUMBER(SEARCH(",ROS1,",","&amp;SUBSTITUTE(K39,", ",",")&amp;",")),1,0)</f>
        <v>0</v>
      </c>
      <c r="EB39" s="11">
        <f>IF(ISNUMBER(SEARCH(",TROP2,",","&amp;SUBSTITUTE(K39,", ",",")&amp;",")),1,0)</f>
        <v>0</v>
      </c>
      <c r="EC39" s="11">
        <f>IF(ISNUMBER(SEARCH(",c-MET/MET,",","&amp;SUBSTITUTE(K39,", ",",")&amp;",")),1,0)</f>
        <v>0</v>
      </c>
      <c r="ED39" s="11">
        <f>IF(ISNUMBER(SEARCH(",c-MET/MET Exon 14,",","&amp;SUBSTITUTE(K39,", ",",")&amp;",")),1,0)</f>
        <v>0</v>
      </c>
      <c r="EE39" s="11">
        <f>IF(ISNUMBER(SEARCH(",ctDNA/cfDNA,",","&amp;SUBSTITUTE(K39,", ",",")&amp;",")),1,0)</f>
        <v>0</v>
      </c>
    </row>
    <row r="40" spans="1:135" ht="15" customHeight="1" x14ac:dyDescent="0.2">
      <c r="A40" s="5" t="s">
        <v>1389</v>
      </c>
      <c r="B40" s="5" t="s">
        <v>1390</v>
      </c>
      <c r="C40" s="5" t="s">
        <v>1391</v>
      </c>
      <c r="D40" s="5" t="s">
        <v>1391</v>
      </c>
      <c r="E40" s="5" t="s">
        <v>1391</v>
      </c>
      <c r="F40" s="5" t="s">
        <v>259</v>
      </c>
      <c r="G40" s="5"/>
      <c r="H40" s="5" t="s">
        <v>114</v>
      </c>
      <c r="I40" s="5" t="s">
        <v>256</v>
      </c>
      <c r="J40" s="5" t="s">
        <v>335</v>
      </c>
      <c r="K40" s="5" t="s">
        <v>256</v>
      </c>
      <c r="L40" s="5" t="s">
        <v>119</v>
      </c>
      <c r="M40" s="5" t="s">
        <v>113</v>
      </c>
      <c r="N40" s="5" t="s">
        <v>119</v>
      </c>
      <c r="O40" s="5" t="s">
        <v>120</v>
      </c>
      <c r="P40" s="5" t="s">
        <v>1392</v>
      </c>
      <c r="Q40" s="10" t="str">
        <f>IF(F40="Stage IV","Stage IV Only",IF(AND(ISNUMBER(SEARCH("IV",F40)),LEN(F40)&gt;LEN("Stage IV")),"Stage IV + Other",IF(AND(ISNUMBER(SEARCH("III",F40)),NOT(ISNUMBER(SEARCH("IV",F40)))),"Stage III Only","Other")))</f>
        <v>Stage IV Only</v>
      </c>
      <c r="R40" s="10" t="str">
        <f>IF(AND(ISNUMBER(SEARCH("Non-squamous",G40)),ISNUMBER(SEARCH("Squamous",SUBSTITUTE(G40,"Non-squamous","")))),"Both",IF(ISNUMBER(SEARCH("Non-squamous",G40)),"Non-squamous",IF(ISNUMBER(SEARCH("Squamous",G40)),"Squamous","Unspecified")))</f>
        <v>Unspecified</v>
      </c>
      <c r="S40" s="10" t="str">
        <f>IF(OR(ISNUMBER(SEARCH("TPS ≥ 50%",K40)),ISNUMBER(SEARCH("TC ≥ 50%",K40))),"TPS ≥ 50%",IF(OR(ISNUMBER(SEARCH("TPS ≥ 1%",K40)),ISNUMBER(SEARCH("TC ≥ 1%",K40)),ISNUMBER(SEARCH("TPS &lt; 50%",K40)),ISNUMBER(SEARCH("IC ≥ 1%",K40))),"TPS 1-49%","All-comers"))</f>
        <v>All-comers</v>
      </c>
      <c r="T40" s="10">
        <f>IF(H40="Phase III",1,0)</f>
        <v>1</v>
      </c>
      <c r="U40" s="10">
        <f>IF(L40="Yes",1,0)</f>
        <v>0</v>
      </c>
      <c r="V40" s="11">
        <f>IF(ISNUMBER(SEARCH(",ALK,",","&amp;SUBSTITUTE(I40,", ",",")&amp;",")),1,0)</f>
        <v>1</v>
      </c>
      <c r="W40" s="11">
        <f>IF(ISNUMBER(SEARCH(",ALK L1196M,",","&amp;SUBSTITUTE(I40,", ",",")&amp;",")),1,0)</f>
        <v>0</v>
      </c>
      <c r="X40" s="11">
        <f>IF(ISNUMBER(SEARCH(",AXL,",","&amp;SUBSTITUTE(I40,", ",",")&amp;",")),1,0)</f>
        <v>0</v>
      </c>
      <c r="Y40" s="11">
        <f>IF(ISNUMBER(SEARCH(",B7-H1,",","&amp;SUBSTITUTE(I40,", ",",")&amp;",")),1,0)</f>
        <v>0</v>
      </c>
      <c r="Z40" s="11">
        <f>IF(ISNUMBER(SEARCH(",CD152,",","&amp;SUBSTITUTE(I40,", ",",")&amp;",")),1,0)</f>
        <v>0</v>
      </c>
      <c r="AA40" s="11">
        <f>IF(ISNUMBER(SEARCH(",CD274,",","&amp;SUBSTITUTE(I40,", ",",")&amp;",")),1,0)</f>
        <v>0</v>
      </c>
      <c r="AB40" s="11">
        <f>IF(ISNUMBER(SEARCH(",CD279,",","&amp;SUBSTITUTE(I40,", ",",")&amp;",")),1,0)</f>
        <v>0</v>
      </c>
      <c r="AC40" s="11">
        <f>IF(ISNUMBER(SEARCH(",CD73,",","&amp;SUBSTITUTE(I40,", ",",")&amp;",")),1,0)</f>
        <v>0</v>
      </c>
      <c r="AD40" s="11">
        <f>IF(ISNUMBER(SEARCH(",CEA,",","&amp;SUBSTITUTE(I40,", ",",")&amp;",")),1,0)</f>
        <v>0</v>
      </c>
      <c r="AE40" s="11">
        <f>IF(ISNUMBER(SEARCH(",CTLA-4,",","&amp;SUBSTITUTE(I40,", ",",")&amp;",")),1,0)</f>
        <v>0</v>
      </c>
      <c r="AF40" s="11">
        <f>IF(ISNUMBER(SEARCH(",EGFR,",","&amp;SUBSTITUTE(I40,", ",",")&amp;",")),1,0)</f>
        <v>0</v>
      </c>
      <c r="AG40" s="11">
        <f>IF(ISNUMBER(SEARCH(",EGFR C797G,",","&amp;SUBSTITUTE(I40,", ",",")&amp;",")),1,0)</f>
        <v>0</v>
      </c>
      <c r="AH40" s="11">
        <f>IF(ISNUMBER(SEARCH(",EGFR C797S,",","&amp;SUBSTITUTE(I40,", ",",")&amp;",")),1,0)</f>
        <v>0</v>
      </c>
      <c r="AI40" s="11">
        <f>IF(ISNUMBER(SEARCH(",EGFR Exon 19-del,",","&amp;SUBSTITUTE(I40,", ",",")&amp;",")),1,0)</f>
        <v>0</v>
      </c>
      <c r="AJ40" s="11">
        <f>IF(ISNUMBER(SEARCH(",EGFR Exon 20,",","&amp;SUBSTITUTE(I40,", ",",")&amp;",")),1,0)</f>
        <v>0</v>
      </c>
      <c r="AK40" s="11">
        <f>IF(ISNUMBER(SEARCH(",EGFR L858R,",","&amp;SUBSTITUTE(I40,", ",",")&amp;",")),1,0)</f>
        <v>0</v>
      </c>
      <c r="AL40" s="11">
        <f>IF(ISNUMBER(SEARCH(",EGFR T790M,",","&amp;SUBSTITUTE(I40,", ",",")&amp;",")),1,0)</f>
        <v>0</v>
      </c>
      <c r="AM40" s="11">
        <f>IF(ISNUMBER(SEARCH(",ERBB,",","&amp;SUBSTITUTE(I40,", ",",")&amp;",")),1,0)</f>
        <v>0</v>
      </c>
      <c r="AN40" s="11">
        <f>IF(ISNUMBER(SEARCH(",ERBB3,",","&amp;SUBSTITUTE(I40,", ",",")&amp;",")),1,0)</f>
        <v>0</v>
      </c>
      <c r="AO40" s="11">
        <f>IF(ISNUMBER(SEARCH(",FAK,",","&amp;SUBSTITUTE(I40,", ",",")&amp;",")),1,0)</f>
        <v>0</v>
      </c>
      <c r="AP40" s="11">
        <f>IF(ISNUMBER(SEARCH(",GARP,",","&amp;SUBSTITUTE(I40,", ",",")&amp;",")),1,0)</f>
        <v>0</v>
      </c>
      <c r="AQ40" s="11">
        <f>IF(ISNUMBER(SEARCH(",HER1,",","&amp;SUBSTITUTE(I40,", ",",")&amp;",")),1,0)</f>
        <v>0</v>
      </c>
      <c r="AR40" s="11">
        <f>IF(ISNUMBER(SEARCH(",HER2,",","&amp;SUBSTITUTE(I40,", ",",")&amp;",")),1,0)</f>
        <v>0</v>
      </c>
      <c r="AS40" s="11">
        <f>IF(ISNUMBER(SEARCH(",HER2 Exon 20,",","&amp;SUBSTITUTE(I40,", ",",")&amp;",")),1,0)</f>
        <v>0</v>
      </c>
      <c r="AT40" s="11">
        <f>IF(ISNUMBER(SEARCH(",HER3,",","&amp;SUBSTITUTE(I40,", ",",")&amp;",")),1,0)</f>
        <v>0</v>
      </c>
      <c r="AU40" s="11">
        <f>IF(ISNUMBER(SEARCH(",HER4,",","&amp;SUBSTITUTE(I40,", ",",")&amp;",")),1,0)</f>
        <v>0</v>
      </c>
      <c r="AV40" s="11">
        <f>IF(ISNUMBER(SEARCH(",HRAS,",","&amp;SUBSTITUTE(I40,", ",",")&amp;",")),1,0)</f>
        <v>0</v>
      </c>
      <c r="AW40" s="11">
        <f>IF(ISNUMBER(SEARCH(",HSV-TK,",","&amp;SUBSTITUTE(I40,", ",",")&amp;",")),1,0)</f>
        <v>0</v>
      </c>
      <c r="AX40" s="11">
        <f>IF(ISNUMBER(SEARCH(",IL-12,",","&amp;SUBSTITUTE(I40,", ",",")&amp;",")),1,0)</f>
        <v>0</v>
      </c>
      <c r="AY40" s="11">
        <f>IF(ISNUMBER(SEARCH(",IL-15,",","&amp;SUBSTITUTE(I40,", ",",")&amp;",")),1,0)</f>
        <v>0</v>
      </c>
      <c r="AZ40" s="11">
        <f>IF(ISNUMBER(SEARCH(",IL-15R,",","&amp;SUBSTITUTE(I40,", ",",")&amp;",")),1,0)</f>
        <v>0</v>
      </c>
      <c r="BA40" s="11">
        <f>IF(ISNUMBER(SEARCH(",IL-2,",","&amp;SUBSTITUTE(I40,", ",",")&amp;",")),1,0)</f>
        <v>0</v>
      </c>
      <c r="BB40" s="11">
        <f>IF(ISNUMBER(SEARCH(",Integrin β6,",","&amp;SUBSTITUTE(I40,", ",",")&amp;",")),1,0)</f>
        <v>0</v>
      </c>
      <c r="BC40" s="11">
        <f>IF(ISNUMBER(SEARCH(",KDR,",","&amp;SUBSTITUTE(I40,", ",",")&amp;",")),1,0)</f>
        <v>0</v>
      </c>
      <c r="BD40" s="11">
        <f>IF(ISNUMBER(SEARCH(",KLRC1,",","&amp;SUBSTITUTE(I40,", ",",")&amp;",")),1,0)</f>
        <v>0</v>
      </c>
      <c r="BE40" s="11">
        <f>IF(ISNUMBER(SEARCH(",KRAS,",","&amp;SUBSTITUTE(I40,", ",",")&amp;",")),1,0)</f>
        <v>0</v>
      </c>
      <c r="BF40" s="11">
        <f>IF(ISNUMBER(SEARCH(",KRAS G12,",","&amp;SUBSTITUTE(I40,", ",",")&amp;",")),1,0)</f>
        <v>0</v>
      </c>
      <c r="BG40" s="11">
        <f>IF(ISNUMBER(SEARCH(",KRAS G12C,",","&amp;SUBSTITUTE(I40,", ",",")&amp;",")),1,0)</f>
        <v>0</v>
      </c>
      <c r="BH40" s="11">
        <f>IF(ISNUMBER(SEARCH(",KRAS G12D,",","&amp;SUBSTITUTE(I40,", ",",")&amp;",")),1,0)</f>
        <v>0</v>
      </c>
      <c r="BI40" s="11">
        <f>IF(ISNUMBER(SEARCH(",LAG-3,",","&amp;SUBSTITUTE(I40,", ",",")&amp;",")),1,0)</f>
        <v>0</v>
      </c>
      <c r="BJ40" s="11">
        <f>IF(ISNUMBER(SEARCH(",MAGE-A2,",","&amp;SUBSTITUTE(I40,", ",",")&amp;",")),1,0)</f>
        <v>0</v>
      </c>
      <c r="BK40" s="11">
        <f>IF(ISNUMBER(SEARCH(",MAGE-A3,",","&amp;SUBSTITUTE(I40,", ",",")&amp;",")),1,0)</f>
        <v>0</v>
      </c>
      <c r="BL40" s="11">
        <f>IF(ISNUMBER(SEARCH(",MLN19,",","&amp;SUBSTITUTE(I40,", ",",")&amp;",")),1,0)</f>
        <v>0</v>
      </c>
      <c r="BM40" s="11">
        <f>IF(ISNUMBER(SEARCH(",Microtubule,",","&amp;SUBSTITUTE(I40,", ",",")&amp;",")),1,0)</f>
        <v>0</v>
      </c>
      <c r="BN40" s="11">
        <f>IF(ISNUMBER(SEARCH(",NKG2A,",","&amp;SUBSTITUTE(I40,", ",",")&amp;",")),1,0)</f>
        <v>0</v>
      </c>
      <c r="BO40" s="11">
        <f>IF(ISNUMBER(SEARCH(",NRAS,",","&amp;SUBSTITUTE(I40,", ",",")&amp;",")),1,0)</f>
        <v>0</v>
      </c>
      <c r="BP40" s="11">
        <f>IF(ISNUMBER(SEARCH(",NTRK,",","&amp;SUBSTITUTE(I40,", ",",")&amp;",")),1,0)</f>
        <v>0</v>
      </c>
      <c r="BQ40" s="11">
        <f>IF(ISNUMBER(SEARCH(",PARP,",","&amp;SUBSTITUTE(I40,", ",",")&amp;",")),1,0)</f>
        <v>0</v>
      </c>
      <c r="BR40" s="11">
        <f>IF(ISNUMBER(SEARCH(",PD-1,",","&amp;SUBSTITUTE(I40,", ",",")&amp;",")),1,0)</f>
        <v>0</v>
      </c>
      <c r="BS40" s="11">
        <f>IF(ISNUMBER(SEARCH(",PD-L1,",","&amp;SUBSTITUTE(I40,", ",",")&amp;",")),1,0)</f>
        <v>0</v>
      </c>
      <c r="BT40" s="11">
        <f>IF(ISNUMBER(SEARCH(",PRMT5,",","&amp;SUBSTITUTE(I40,", ",",")&amp;",")),1,0)</f>
        <v>0</v>
      </c>
      <c r="BU40" s="11">
        <f>IF(ISNUMBER(SEARCH(",RAS,",","&amp;SUBSTITUTE(I40,", ",",")&amp;",")),1,0)</f>
        <v>0</v>
      </c>
      <c r="BV40" s="11">
        <f>IF(ISNUMBER(SEARCH(",RET,",","&amp;SUBSTITUTE(I40,", ",",")&amp;",")),1,0)</f>
        <v>0</v>
      </c>
      <c r="BW40" s="11">
        <f>IF(ISNUMBER(SEARCH(",ROS,",","&amp;SUBSTITUTE(I40,", ",",")&amp;",")),1,0)</f>
        <v>0</v>
      </c>
      <c r="BX40" s="11">
        <f>IF(ISNUMBER(SEARCH(",ROS1,",","&amp;SUBSTITUTE(I40,", ",",")&amp;",")),1,0)</f>
        <v>0</v>
      </c>
      <c r="BY40" s="11">
        <f>IF(ISNUMBER(SEARCH(",Src,",","&amp;SUBSTITUTE(I40,", ",",")&amp;",")),1,0)</f>
        <v>0</v>
      </c>
      <c r="BZ40" s="11">
        <f>IF(ISNUMBER(SEARCH(",TCGF,",","&amp;SUBSTITUTE(I40,", ",",")&amp;",")),1,0)</f>
        <v>0</v>
      </c>
      <c r="CA40" s="11">
        <f>IF(ISNUMBER(SEARCH(",TGF-β,",","&amp;SUBSTITUTE(I40,", ",",")&amp;",")),1,0)</f>
        <v>0</v>
      </c>
      <c r="CB40" s="11">
        <f>IF(ISNUMBER(SEARCH(",TGF-β1,",","&amp;SUBSTITUTE(I40,", ",",")&amp;",")),1,0)</f>
        <v>0</v>
      </c>
      <c r="CC40" s="11">
        <f>IF(ISNUMBER(SEARCH(",TIGIT,",","&amp;SUBSTITUTE(I40,", ",",")&amp;",")),1,0)</f>
        <v>0</v>
      </c>
      <c r="CD40" s="11">
        <f>IF(ISNUMBER(SEARCH(",TLR,",","&amp;SUBSTITUTE(I40,", ",",")&amp;",")),1,0)</f>
        <v>0</v>
      </c>
      <c r="CE40" s="11">
        <f>IF(ISNUMBER(SEARCH(",TLR7/8,",","&amp;SUBSTITUTE(I40,", ",",")&amp;",")),1,0)</f>
        <v>0</v>
      </c>
      <c r="CF40" s="11">
        <f>IF(ISNUMBER(SEARCH(",TRK,",","&amp;SUBSTITUTE(I40,", ",",")&amp;",")),1,0)</f>
        <v>0</v>
      </c>
      <c r="CG40" s="11">
        <f>IF(ISNUMBER(SEARCH(",TROP2,",","&amp;SUBSTITUTE(I40,", ",",")&amp;",")),1,0)</f>
        <v>0</v>
      </c>
      <c r="CH40" s="11">
        <f>IF(ISNUMBER(SEARCH(",TS,",","&amp;SUBSTITUTE(I40,", ",",")&amp;",")),1,0)</f>
        <v>0</v>
      </c>
      <c r="CI40" s="11">
        <f>IF(ISNUMBER(SEARCH(",TYMS,",","&amp;SUBSTITUTE(I40,", ",",")&amp;",")),1,0)</f>
        <v>0</v>
      </c>
      <c r="CJ40" s="11">
        <f>IF(ISNUMBER(SEARCH(",VEGF,",","&amp;SUBSTITUTE(I40,", ",",")&amp;",")),1,0)</f>
        <v>0</v>
      </c>
      <c r="CK40" s="11">
        <f>IF(ISNUMBER(SEARCH(",VEGFA,",","&amp;SUBSTITUTE(I40,", ",",")&amp;",")),1,0)</f>
        <v>0</v>
      </c>
      <c r="CL40" s="11">
        <f>IF(ISNUMBER(SEARCH(",VEGFR2,",","&amp;SUBSTITUTE(I40,", ",",")&amp;",")),1,0)</f>
        <v>0</v>
      </c>
      <c r="CM40" s="11">
        <f>IF(ISNUMBER(SEARCH(",c-MET/MET,",","&amp;SUBSTITUTE(I40,", ",",")&amp;",")),1,0)</f>
        <v>0</v>
      </c>
      <c r="CN40" s="11">
        <f>IF(ISNUMBER(SEARCH(",p53,",","&amp;SUBSTITUTE(I40,", ",",")&amp;",")),1,0)</f>
        <v>0</v>
      </c>
      <c r="CO40" s="11">
        <f>IF(ISNUMBER(SEARCH(",pan-KRAS,",","&amp;SUBSTITUTE(I40,", ",",")&amp;",")),1,0)</f>
        <v>0</v>
      </c>
      <c r="CP40" s="11">
        <f>IF(ISNUMBER(SEARCH(",ALK,",","&amp;SUBSTITUTE(K40,", ",",")&amp;",")),1,0)</f>
        <v>1</v>
      </c>
      <c r="CQ40" s="11">
        <f>IF(ISNUMBER(SEARCH(",BRAF V600E,",","&amp;SUBSTITUTE(K40,", ",",")&amp;",")),1,0)</f>
        <v>0</v>
      </c>
      <c r="CR40" s="11">
        <f>IF(ISNUMBER(SEARCH(",EGFR,",","&amp;SUBSTITUTE(K40,", ",",")&amp;",")),1,0)</f>
        <v>0</v>
      </c>
      <c r="CS40" s="11">
        <f>IF(ISNUMBER(SEARCH(",EGFR Exon 18,",","&amp;SUBSTITUTE(K40,", ",",")&amp;",")),1,0)</f>
        <v>0</v>
      </c>
      <c r="CT40" s="11">
        <f>IF(ISNUMBER(SEARCH(",EGFR Exon 19-del,",","&amp;SUBSTITUTE(K40,", ",",")&amp;",")),1,0)</f>
        <v>0</v>
      </c>
      <c r="CU40" s="11">
        <f>IF(ISNUMBER(SEARCH(",EGFR Exon 20,",","&amp;SUBSTITUTE(K40,", ",",")&amp;",")),1,0)</f>
        <v>0</v>
      </c>
      <c r="CV40" s="11">
        <f>IF(ISNUMBER(SEARCH(",EGFR Exon 20-ins,",","&amp;SUBSTITUTE(K40,", ",",")&amp;",")),1,0)</f>
        <v>0</v>
      </c>
      <c r="CW40" s="11">
        <f>IF(ISNUMBER(SEARCH(",EGFR Exon 21,",","&amp;SUBSTITUTE(K40,", ",",")&amp;",")),1,0)</f>
        <v>0</v>
      </c>
      <c r="CX40" s="11">
        <f>IF(ISNUMBER(SEARCH(",EGFR G719A,",","&amp;SUBSTITUTE(K40,", ",",")&amp;",")),1,0)</f>
        <v>0</v>
      </c>
      <c r="CY40" s="11">
        <f>IF(ISNUMBER(SEARCH(",EGFR G719C,",","&amp;SUBSTITUTE(K40,", ",",")&amp;",")),1,0)</f>
        <v>0</v>
      </c>
      <c r="CZ40" s="11">
        <f>IF(ISNUMBER(SEARCH(",EGFR G719S,",","&amp;SUBSTITUTE(K40,", ",",")&amp;",")),1,0)</f>
        <v>0</v>
      </c>
      <c r="DA40" s="11">
        <f>IF(ISNUMBER(SEARCH(",EGFR G719X,",","&amp;SUBSTITUTE(K40,", ",",")&amp;",")),1,0)</f>
        <v>0</v>
      </c>
      <c r="DB40" s="11">
        <f>IF(ISNUMBER(SEARCH(",EGFR L858R,",","&amp;SUBSTITUTE(K40,", ",",")&amp;",")),1,0)</f>
        <v>0</v>
      </c>
      <c r="DC40" s="11">
        <f>IF(ISNUMBER(SEARCH(",EGFR L861Q,",","&amp;SUBSTITUTE(K40,", ",",")&amp;",")),1,0)</f>
        <v>0</v>
      </c>
      <c r="DD40" s="11">
        <f>IF(ISNUMBER(SEARCH(",EGFR PACC,",","&amp;SUBSTITUTE(K40,", ",",")&amp;",")),1,0)</f>
        <v>0</v>
      </c>
      <c r="DE40" s="11">
        <f>IF(ISNUMBER(SEARCH(",EGFR S768I,",","&amp;SUBSTITUTE(K40,", ",",")&amp;",")),1,0)</f>
        <v>0</v>
      </c>
      <c r="DF40" s="11">
        <f>IF(ISNUMBER(SEARCH(",EGFR T790M,",","&amp;SUBSTITUTE(K40,", ",",")&amp;",")),1,0)</f>
        <v>0</v>
      </c>
      <c r="DG40" s="11">
        <f>IF(ISNUMBER(SEARCH(",EML4-ALK,",","&amp;SUBSTITUTE(K40,", ",",")&amp;",")),1,0)</f>
        <v>0</v>
      </c>
      <c r="DH40" s="11">
        <f>IF(ISNUMBER(SEARCH(",HER2,",","&amp;SUBSTITUTE(K40,", ",",")&amp;",")),1,0)</f>
        <v>0</v>
      </c>
      <c r="DI40" s="11">
        <f>IF(ISNUMBER(SEARCH(",HER2 Exon 19,",","&amp;SUBSTITUTE(K40,", ",",")&amp;",")),1,0)</f>
        <v>0</v>
      </c>
      <c r="DJ40" s="11">
        <f>IF(ISNUMBER(SEARCH(",HER2 Exon 20,",","&amp;SUBSTITUTE(K40,", ",",")&amp;",")),1,0)</f>
        <v>0</v>
      </c>
      <c r="DK40" s="11">
        <f>IF(ISNUMBER(SEARCH(",HER2 mut,",","&amp;SUBSTITUTE(K40,", ",",")&amp;",")),1,0)</f>
        <v>0</v>
      </c>
      <c r="DL40" s="11">
        <f>IF(ISNUMBER(SEARCH(",HLA-A2,",","&amp;SUBSTITUTE(K40,", ",",")&amp;",")),1,0)</f>
        <v>0</v>
      </c>
      <c r="DM40" s="11">
        <f>IF(ISNUMBER(SEARCH(",HRAS,",","&amp;SUBSTITUTE(K40,", ",",")&amp;",")),1,0)</f>
        <v>0</v>
      </c>
      <c r="DN40" s="11">
        <f>IF(ISNUMBER(SEARCH(",KRAS,",","&amp;SUBSTITUTE(K40,", ",",")&amp;",")),1,0)</f>
        <v>0</v>
      </c>
      <c r="DO40" s="11">
        <f>IF(ISNUMBER(SEARCH(",KRAS G12C,",","&amp;SUBSTITUTE(K40,", ",",")&amp;",")),1,0)</f>
        <v>0</v>
      </c>
      <c r="DP40" s="11">
        <f>IF(ISNUMBER(SEARCH(",NRAS,",","&amp;SUBSTITUTE(K40,", ",",")&amp;",")),1,0)</f>
        <v>0</v>
      </c>
      <c r="DQ40" s="11">
        <f>IF(ISNUMBER(SEARCH(",NTRK,",","&amp;SUBSTITUTE(K40,", ",",")&amp;",")),1,0)</f>
        <v>0</v>
      </c>
      <c r="DR40" s="11">
        <f>IF(ISNUMBER(SEARCH(",PD-L1,",","&amp;SUBSTITUTE(K40,", ",",")&amp;",")),1,0)</f>
        <v>0</v>
      </c>
      <c r="DS40" s="11">
        <f>IF(ISNUMBER(SEARCH(",PD-L1 IC ≥ 1%,",","&amp;SUBSTITUTE(K40,", ",",")&amp;",")),1,0)</f>
        <v>0</v>
      </c>
      <c r="DT40" s="11">
        <f>IF(ISNUMBER(SEARCH(",PD-L1 TC ≥ 1%,",","&amp;SUBSTITUTE(K40,", ",",")&amp;",")),1,0)</f>
        <v>0</v>
      </c>
      <c r="DU40" s="11">
        <f>IF(ISNUMBER(SEARCH(",PD-L1 TC ≥ 50%,",","&amp;SUBSTITUTE(K40,", ",",")&amp;",")),1,0)</f>
        <v>0</v>
      </c>
      <c r="DV40" s="11">
        <f>IF(ISNUMBER(SEARCH(",PD-L1 TPS &lt; 50%,",","&amp;SUBSTITUTE(K40,", ",",")&amp;",")),1,0)</f>
        <v>0</v>
      </c>
      <c r="DW40" s="11">
        <f>IF(ISNUMBER(SEARCH(",PD-L1 TPS ≥ 1%,",","&amp;SUBSTITUTE(K40,", ",",")&amp;",")),1,0)</f>
        <v>0</v>
      </c>
      <c r="DX40" s="11">
        <f>IF(ISNUMBER(SEARCH(",PD-L1 TPS ≥ 50%,",","&amp;SUBSTITUTE(K40,", ",",")&amp;",")),1,0)</f>
        <v>0</v>
      </c>
      <c r="DY40" s="11">
        <f>IF(ISNUMBER(SEARCH(",RAS,",","&amp;SUBSTITUTE(K40,", ",",")&amp;",")),1,0)</f>
        <v>0</v>
      </c>
      <c r="DZ40" s="11">
        <f>IF(ISNUMBER(SEARCH(",RET,",","&amp;SUBSTITUTE(K40,", ",",")&amp;",")),1,0)</f>
        <v>0</v>
      </c>
      <c r="EA40" s="11">
        <f>IF(ISNUMBER(SEARCH(",ROS1,",","&amp;SUBSTITUTE(K40,", ",",")&amp;",")),1,0)</f>
        <v>0</v>
      </c>
      <c r="EB40" s="11">
        <f>IF(ISNUMBER(SEARCH(",TROP2,",","&amp;SUBSTITUTE(K40,", ",",")&amp;",")),1,0)</f>
        <v>0</v>
      </c>
      <c r="EC40" s="11">
        <f>IF(ISNUMBER(SEARCH(",c-MET/MET,",","&amp;SUBSTITUTE(K40,", ",",")&amp;",")),1,0)</f>
        <v>0</v>
      </c>
      <c r="ED40" s="11">
        <f>IF(ISNUMBER(SEARCH(",c-MET/MET Exon 14,",","&amp;SUBSTITUTE(K40,", ",",")&amp;",")),1,0)</f>
        <v>0</v>
      </c>
      <c r="EE40" s="11">
        <f>IF(ISNUMBER(SEARCH(",ctDNA/cfDNA,",","&amp;SUBSTITUTE(K40,", ",",")&amp;",")),1,0)</f>
        <v>0</v>
      </c>
    </row>
    <row r="41" spans="1:135" ht="15" customHeight="1" x14ac:dyDescent="0.2">
      <c r="A41" s="5" t="s">
        <v>983</v>
      </c>
      <c r="B41" s="5" t="s">
        <v>984</v>
      </c>
      <c r="C41" s="5" t="s">
        <v>985</v>
      </c>
      <c r="D41" s="5" t="s">
        <v>985</v>
      </c>
      <c r="E41" s="5" t="s">
        <v>985</v>
      </c>
      <c r="F41" s="5" t="s">
        <v>236</v>
      </c>
      <c r="G41" s="5"/>
      <c r="H41" s="5" t="s">
        <v>114</v>
      </c>
      <c r="I41" s="5" t="s">
        <v>988</v>
      </c>
      <c r="J41" s="5" t="s">
        <v>987</v>
      </c>
      <c r="K41" s="5" t="s">
        <v>474</v>
      </c>
      <c r="L41" s="5" t="s">
        <v>119</v>
      </c>
      <c r="M41" s="5" t="s">
        <v>113</v>
      </c>
      <c r="N41" s="5" t="s">
        <v>120</v>
      </c>
      <c r="O41" s="5" t="s">
        <v>120</v>
      </c>
      <c r="P41" s="5" t="s">
        <v>986</v>
      </c>
      <c r="Q41" s="10" t="str">
        <f>IF(F41="Stage IV","Stage IV Only",IF(AND(ISNUMBER(SEARCH("IV",F41)),LEN(F41)&gt;LEN("Stage IV")),"Stage IV + Other",IF(AND(ISNUMBER(SEARCH("III",F41)),NOT(ISNUMBER(SEARCH("IV",F41)))),"Stage III Only","Other")))</f>
        <v>Stage IV + Other</v>
      </c>
      <c r="R41" s="10" t="str">
        <f>IF(AND(ISNUMBER(SEARCH("Non-squamous",G41)),ISNUMBER(SEARCH("Squamous",SUBSTITUTE(G41,"Non-squamous","")))),"Both",IF(ISNUMBER(SEARCH("Non-squamous",G41)),"Non-squamous",IF(ISNUMBER(SEARCH("Squamous",G41)),"Squamous","Unspecified")))</f>
        <v>Unspecified</v>
      </c>
      <c r="S41" s="10" t="str">
        <f>IF(OR(ISNUMBER(SEARCH("TPS ≥ 50%",K41)),ISNUMBER(SEARCH("TC ≥ 50%",K41))),"TPS ≥ 50%",IF(OR(ISNUMBER(SEARCH("TPS ≥ 1%",K41)),ISNUMBER(SEARCH("TC ≥ 1%",K41)),ISNUMBER(SEARCH("TPS &lt; 50%",K41)),ISNUMBER(SEARCH("IC ≥ 1%",K41))),"TPS 1-49%","All-comers"))</f>
        <v>TPS 1-49%</v>
      </c>
      <c r="T41" s="10">
        <f>IF(H41="Phase III",1,0)</f>
        <v>1</v>
      </c>
      <c r="U41" s="10">
        <f>IF(L41="Yes",1,0)</f>
        <v>0</v>
      </c>
      <c r="V41" s="11">
        <f>IF(ISNUMBER(SEARCH(",ALK,",","&amp;SUBSTITUTE(I41,", ",",")&amp;",")),1,0)</f>
        <v>0</v>
      </c>
      <c r="W41" s="11">
        <f>IF(ISNUMBER(SEARCH(",ALK L1196M,",","&amp;SUBSTITUTE(I41,", ",",")&amp;",")),1,0)</f>
        <v>0</v>
      </c>
      <c r="X41" s="11">
        <f>IF(ISNUMBER(SEARCH(",AXL,",","&amp;SUBSTITUTE(I41,", ",",")&amp;",")),1,0)</f>
        <v>0</v>
      </c>
      <c r="Y41" s="11">
        <f>IF(ISNUMBER(SEARCH(",B7-H1,",","&amp;SUBSTITUTE(I41,", ",",")&amp;",")),1,0)</f>
        <v>0</v>
      </c>
      <c r="Z41" s="11">
        <f>IF(ISNUMBER(SEARCH(",CD152,",","&amp;SUBSTITUTE(I41,", ",",")&amp;",")),1,0)</f>
        <v>0</v>
      </c>
      <c r="AA41" s="11">
        <f>IF(ISNUMBER(SEARCH(",CD274,",","&amp;SUBSTITUTE(I41,", ",",")&amp;",")),1,0)</f>
        <v>0</v>
      </c>
      <c r="AB41" s="11">
        <f>IF(ISNUMBER(SEARCH(",CD279,",","&amp;SUBSTITUTE(I41,", ",",")&amp;",")),1,0)</f>
        <v>1</v>
      </c>
      <c r="AC41" s="11">
        <f>IF(ISNUMBER(SEARCH(",CD73,",","&amp;SUBSTITUTE(I41,", ",",")&amp;",")),1,0)</f>
        <v>0</v>
      </c>
      <c r="AD41" s="11">
        <f>IF(ISNUMBER(SEARCH(",CEA,",","&amp;SUBSTITUTE(I41,", ",",")&amp;",")),1,0)</f>
        <v>0</v>
      </c>
      <c r="AE41" s="11">
        <f>IF(ISNUMBER(SEARCH(",CTLA-4,",","&amp;SUBSTITUTE(I41,", ",",")&amp;",")),1,0)</f>
        <v>0</v>
      </c>
      <c r="AF41" s="11">
        <f>IF(ISNUMBER(SEARCH(",EGFR,",","&amp;SUBSTITUTE(I41,", ",",")&amp;",")),1,0)</f>
        <v>0</v>
      </c>
      <c r="AG41" s="11">
        <f>IF(ISNUMBER(SEARCH(",EGFR C797G,",","&amp;SUBSTITUTE(I41,", ",",")&amp;",")),1,0)</f>
        <v>0</v>
      </c>
      <c r="AH41" s="11">
        <f>IF(ISNUMBER(SEARCH(",EGFR C797S,",","&amp;SUBSTITUTE(I41,", ",",")&amp;",")),1,0)</f>
        <v>0</v>
      </c>
      <c r="AI41" s="11">
        <f>IF(ISNUMBER(SEARCH(",EGFR Exon 19-del,",","&amp;SUBSTITUTE(I41,", ",",")&amp;",")),1,0)</f>
        <v>0</v>
      </c>
      <c r="AJ41" s="11">
        <f>IF(ISNUMBER(SEARCH(",EGFR Exon 20,",","&amp;SUBSTITUTE(I41,", ",",")&amp;",")),1,0)</f>
        <v>0</v>
      </c>
      <c r="AK41" s="11">
        <f>IF(ISNUMBER(SEARCH(",EGFR L858R,",","&amp;SUBSTITUTE(I41,", ",",")&amp;",")),1,0)</f>
        <v>0</v>
      </c>
      <c r="AL41" s="11">
        <f>IF(ISNUMBER(SEARCH(",EGFR T790M,",","&amp;SUBSTITUTE(I41,", ",",")&amp;",")),1,0)</f>
        <v>0</v>
      </c>
      <c r="AM41" s="11">
        <f>IF(ISNUMBER(SEARCH(",ERBB,",","&amp;SUBSTITUTE(I41,", ",",")&amp;",")),1,0)</f>
        <v>0</v>
      </c>
      <c r="AN41" s="11">
        <f>IF(ISNUMBER(SEARCH(",ERBB3,",","&amp;SUBSTITUTE(I41,", ",",")&amp;",")),1,0)</f>
        <v>0</v>
      </c>
      <c r="AO41" s="11">
        <f>IF(ISNUMBER(SEARCH(",FAK,",","&amp;SUBSTITUTE(I41,", ",",")&amp;",")),1,0)</f>
        <v>0</v>
      </c>
      <c r="AP41" s="11">
        <f>IF(ISNUMBER(SEARCH(",GARP,",","&amp;SUBSTITUTE(I41,", ",",")&amp;",")),1,0)</f>
        <v>0</v>
      </c>
      <c r="AQ41" s="11">
        <f>IF(ISNUMBER(SEARCH(",HER1,",","&amp;SUBSTITUTE(I41,", ",",")&amp;",")),1,0)</f>
        <v>0</v>
      </c>
      <c r="AR41" s="11">
        <f>IF(ISNUMBER(SEARCH(",HER2,",","&amp;SUBSTITUTE(I41,", ",",")&amp;",")),1,0)</f>
        <v>0</v>
      </c>
      <c r="AS41" s="11">
        <f>IF(ISNUMBER(SEARCH(",HER2 Exon 20,",","&amp;SUBSTITUTE(I41,", ",",")&amp;",")),1,0)</f>
        <v>0</v>
      </c>
      <c r="AT41" s="11">
        <f>IF(ISNUMBER(SEARCH(",HER3,",","&amp;SUBSTITUTE(I41,", ",",")&amp;",")),1,0)</f>
        <v>0</v>
      </c>
      <c r="AU41" s="11">
        <f>IF(ISNUMBER(SEARCH(",HER4,",","&amp;SUBSTITUTE(I41,", ",",")&amp;",")),1,0)</f>
        <v>0</v>
      </c>
      <c r="AV41" s="11">
        <f>IF(ISNUMBER(SEARCH(",HRAS,",","&amp;SUBSTITUTE(I41,", ",",")&amp;",")),1,0)</f>
        <v>0</v>
      </c>
      <c r="AW41" s="11">
        <f>IF(ISNUMBER(SEARCH(",HSV-TK,",","&amp;SUBSTITUTE(I41,", ",",")&amp;",")),1,0)</f>
        <v>0</v>
      </c>
      <c r="AX41" s="11">
        <f>IF(ISNUMBER(SEARCH(",IL-12,",","&amp;SUBSTITUTE(I41,", ",",")&amp;",")),1,0)</f>
        <v>0</v>
      </c>
      <c r="AY41" s="11">
        <f>IF(ISNUMBER(SEARCH(",IL-15,",","&amp;SUBSTITUTE(I41,", ",",")&amp;",")),1,0)</f>
        <v>1</v>
      </c>
      <c r="AZ41" s="11">
        <f>IF(ISNUMBER(SEARCH(",IL-15R,",","&amp;SUBSTITUTE(I41,", ",",")&amp;",")),1,0)</f>
        <v>1</v>
      </c>
      <c r="BA41" s="11">
        <f>IF(ISNUMBER(SEARCH(",IL-2,",","&amp;SUBSTITUTE(I41,", ",",")&amp;",")),1,0)</f>
        <v>0</v>
      </c>
      <c r="BB41" s="11">
        <f>IF(ISNUMBER(SEARCH(",Integrin β6,",","&amp;SUBSTITUTE(I41,", ",",")&amp;",")),1,0)</f>
        <v>0</v>
      </c>
      <c r="BC41" s="11">
        <f>IF(ISNUMBER(SEARCH(",KDR,",","&amp;SUBSTITUTE(I41,", ",",")&amp;",")),1,0)</f>
        <v>0</v>
      </c>
      <c r="BD41" s="11">
        <f>IF(ISNUMBER(SEARCH(",KLRC1,",","&amp;SUBSTITUTE(I41,", ",",")&amp;",")),1,0)</f>
        <v>0</v>
      </c>
      <c r="BE41" s="11">
        <f>IF(ISNUMBER(SEARCH(",KRAS,",","&amp;SUBSTITUTE(I41,", ",",")&amp;",")),1,0)</f>
        <v>0</v>
      </c>
      <c r="BF41" s="11">
        <f>IF(ISNUMBER(SEARCH(",KRAS G12,",","&amp;SUBSTITUTE(I41,", ",",")&amp;",")),1,0)</f>
        <v>0</v>
      </c>
      <c r="BG41" s="11">
        <f>IF(ISNUMBER(SEARCH(",KRAS G12C,",","&amp;SUBSTITUTE(I41,", ",",")&amp;",")),1,0)</f>
        <v>0</v>
      </c>
      <c r="BH41" s="11">
        <f>IF(ISNUMBER(SEARCH(",KRAS G12D,",","&amp;SUBSTITUTE(I41,", ",",")&amp;",")),1,0)</f>
        <v>0</v>
      </c>
      <c r="BI41" s="11">
        <f>IF(ISNUMBER(SEARCH(",LAG-3,",","&amp;SUBSTITUTE(I41,", ",",")&amp;",")),1,0)</f>
        <v>0</v>
      </c>
      <c r="BJ41" s="11">
        <f>IF(ISNUMBER(SEARCH(",MAGE-A2,",","&amp;SUBSTITUTE(I41,", ",",")&amp;",")),1,0)</f>
        <v>0</v>
      </c>
      <c r="BK41" s="11">
        <f>IF(ISNUMBER(SEARCH(",MAGE-A3,",","&amp;SUBSTITUTE(I41,", ",",")&amp;",")),1,0)</f>
        <v>0</v>
      </c>
      <c r="BL41" s="11">
        <f>IF(ISNUMBER(SEARCH(",MLN19,",","&amp;SUBSTITUTE(I41,", ",",")&amp;",")),1,0)</f>
        <v>0</v>
      </c>
      <c r="BM41" s="11">
        <f>IF(ISNUMBER(SEARCH(",Microtubule,",","&amp;SUBSTITUTE(I41,", ",",")&amp;",")),1,0)</f>
        <v>0</v>
      </c>
      <c r="BN41" s="11">
        <f>IF(ISNUMBER(SEARCH(",NKG2A,",","&amp;SUBSTITUTE(I41,", ",",")&amp;",")),1,0)</f>
        <v>0</v>
      </c>
      <c r="BO41" s="11">
        <f>IF(ISNUMBER(SEARCH(",NRAS,",","&amp;SUBSTITUTE(I41,", ",",")&amp;",")),1,0)</f>
        <v>0</v>
      </c>
      <c r="BP41" s="11">
        <f>IF(ISNUMBER(SEARCH(",NTRK,",","&amp;SUBSTITUTE(I41,", ",",")&amp;",")),1,0)</f>
        <v>0</v>
      </c>
      <c r="BQ41" s="11">
        <f>IF(ISNUMBER(SEARCH(",PARP,",","&amp;SUBSTITUTE(I41,", ",",")&amp;",")),1,0)</f>
        <v>0</v>
      </c>
      <c r="BR41" s="11">
        <f>IF(ISNUMBER(SEARCH(",PD-1,",","&amp;SUBSTITUTE(I41,", ",",")&amp;",")),1,0)</f>
        <v>1</v>
      </c>
      <c r="BS41" s="11">
        <f>IF(ISNUMBER(SEARCH(",PD-L1,",","&amp;SUBSTITUTE(I41,", ",",")&amp;",")),1,0)</f>
        <v>0</v>
      </c>
      <c r="BT41" s="11">
        <f>IF(ISNUMBER(SEARCH(",PRMT5,",","&amp;SUBSTITUTE(I41,", ",",")&amp;",")),1,0)</f>
        <v>0</v>
      </c>
      <c r="BU41" s="11">
        <f>IF(ISNUMBER(SEARCH(",RAS,",","&amp;SUBSTITUTE(I41,", ",",")&amp;",")),1,0)</f>
        <v>0</v>
      </c>
      <c r="BV41" s="11">
        <f>IF(ISNUMBER(SEARCH(",RET,",","&amp;SUBSTITUTE(I41,", ",",")&amp;",")),1,0)</f>
        <v>0</v>
      </c>
      <c r="BW41" s="11">
        <f>IF(ISNUMBER(SEARCH(",ROS,",","&amp;SUBSTITUTE(I41,", ",",")&amp;",")),1,0)</f>
        <v>0</v>
      </c>
      <c r="BX41" s="11">
        <f>IF(ISNUMBER(SEARCH(",ROS1,",","&amp;SUBSTITUTE(I41,", ",",")&amp;",")),1,0)</f>
        <v>0</v>
      </c>
      <c r="BY41" s="11">
        <f>IF(ISNUMBER(SEARCH(",Src,",","&amp;SUBSTITUTE(I41,", ",",")&amp;",")),1,0)</f>
        <v>0</v>
      </c>
      <c r="BZ41" s="11">
        <f>IF(ISNUMBER(SEARCH(",TCGF,",","&amp;SUBSTITUTE(I41,", ",",")&amp;",")),1,0)</f>
        <v>0</v>
      </c>
      <c r="CA41" s="11">
        <f>IF(ISNUMBER(SEARCH(",TGF-β,",","&amp;SUBSTITUTE(I41,", ",",")&amp;",")),1,0)</f>
        <v>0</v>
      </c>
      <c r="CB41" s="11">
        <f>IF(ISNUMBER(SEARCH(",TGF-β1,",","&amp;SUBSTITUTE(I41,", ",",")&amp;",")),1,0)</f>
        <v>0</v>
      </c>
      <c r="CC41" s="11">
        <f>IF(ISNUMBER(SEARCH(",TIGIT,",","&amp;SUBSTITUTE(I41,", ",",")&amp;",")),1,0)</f>
        <v>0</v>
      </c>
      <c r="CD41" s="11">
        <f>IF(ISNUMBER(SEARCH(",TLR,",","&amp;SUBSTITUTE(I41,", ",",")&amp;",")),1,0)</f>
        <v>0</v>
      </c>
      <c r="CE41" s="11">
        <f>IF(ISNUMBER(SEARCH(",TLR7/8,",","&amp;SUBSTITUTE(I41,", ",",")&amp;",")),1,0)</f>
        <v>0</v>
      </c>
      <c r="CF41" s="11">
        <f>IF(ISNUMBER(SEARCH(",TRK,",","&amp;SUBSTITUTE(I41,", ",",")&amp;",")),1,0)</f>
        <v>0</v>
      </c>
      <c r="CG41" s="11">
        <f>IF(ISNUMBER(SEARCH(",TROP2,",","&amp;SUBSTITUTE(I41,", ",",")&amp;",")),1,0)</f>
        <v>0</v>
      </c>
      <c r="CH41" s="11">
        <f>IF(ISNUMBER(SEARCH(",TS,",","&amp;SUBSTITUTE(I41,", ",",")&amp;",")),1,0)</f>
        <v>0</v>
      </c>
      <c r="CI41" s="11">
        <f>IF(ISNUMBER(SEARCH(",TYMS,",","&amp;SUBSTITUTE(I41,", ",",")&amp;",")),1,0)</f>
        <v>0</v>
      </c>
      <c r="CJ41" s="11">
        <f>IF(ISNUMBER(SEARCH(",VEGF,",","&amp;SUBSTITUTE(I41,", ",",")&amp;",")),1,0)</f>
        <v>0</v>
      </c>
      <c r="CK41" s="11">
        <f>IF(ISNUMBER(SEARCH(",VEGFA,",","&amp;SUBSTITUTE(I41,", ",",")&amp;",")),1,0)</f>
        <v>0</v>
      </c>
      <c r="CL41" s="11">
        <f>IF(ISNUMBER(SEARCH(",VEGFR2,",","&amp;SUBSTITUTE(I41,", ",",")&amp;",")),1,0)</f>
        <v>0</v>
      </c>
      <c r="CM41" s="11">
        <f>IF(ISNUMBER(SEARCH(",c-MET/MET,",","&amp;SUBSTITUTE(I41,", ",",")&amp;",")),1,0)</f>
        <v>0</v>
      </c>
      <c r="CN41" s="11">
        <f>IF(ISNUMBER(SEARCH(",p53,",","&amp;SUBSTITUTE(I41,", ",",")&amp;",")),1,0)</f>
        <v>0</v>
      </c>
      <c r="CO41" s="11">
        <f>IF(ISNUMBER(SEARCH(",pan-KRAS,",","&amp;SUBSTITUTE(I41,", ",",")&amp;",")),1,0)</f>
        <v>0</v>
      </c>
      <c r="CP41" s="11">
        <f>IF(ISNUMBER(SEARCH(",ALK,",","&amp;SUBSTITUTE(K41,", ",",")&amp;",")),1,0)</f>
        <v>0</v>
      </c>
      <c r="CQ41" s="11">
        <f>IF(ISNUMBER(SEARCH(",BRAF V600E,",","&amp;SUBSTITUTE(K41,", ",",")&amp;",")),1,0)</f>
        <v>0</v>
      </c>
      <c r="CR41" s="11">
        <f>IF(ISNUMBER(SEARCH(",EGFR,",","&amp;SUBSTITUTE(K41,", ",",")&amp;",")),1,0)</f>
        <v>0</v>
      </c>
      <c r="CS41" s="11">
        <f>IF(ISNUMBER(SEARCH(",EGFR Exon 18,",","&amp;SUBSTITUTE(K41,", ",",")&amp;",")),1,0)</f>
        <v>0</v>
      </c>
      <c r="CT41" s="11">
        <f>IF(ISNUMBER(SEARCH(",EGFR Exon 19-del,",","&amp;SUBSTITUTE(K41,", ",",")&amp;",")),1,0)</f>
        <v>0</v>
      </c>
      <c r="CU41" s="11">
        <f>IF(ISNUMBER(SEARCH(",EGFR Exon 20,",","&amp;SUBSTITUTE(K41,", ",",")&amp;",")),1,0)</f>
        <v>0</v>
      </c>
      <c r="CV41" s="11">
        <f>IF(ISNUMBER(SEARCH(",EGFR Exon 20-ins,",","&amp;SUBSTITUTE(K41,", ",",")&amp;",")),1,0)</f>
        <v>0</v>
      </c>
      <c r="CW41" s="11">
        <f>IF(ISNUMBER(SEARCH(",EGFR Exon 21,",","&amp;SUBSTITUTE(K41,", ",",")&amp;",")),1,0)</f>
        <v>0</v>
      </c>
      <c r="CX41" s="11">
        <f>IF(ISNUMBER(SEARCH(",EGFR G719A,",","&amp;SUBSTITUTE(K41,", ",",")&amp;",")),1,0)</f>
        <v>0</v>
      </c>
      <c r="CY41" s="11">
        <f>IF(ISNUMBER(SEARCH(",EGFR G719C,",","&amp;SUBSTITUTE(K41,", ",",")&amp;",")),1,0)</f>
        <v>0</v>
      </c>
      <c r="CZ41" s="11">
        <f>IF(ISNUMBER(SEARCH(",EGFR G719S,",","&amp;SUBSTITUTE(K41,", ",",")&amp;",")),1,0)</f>
        <v>0</v>
      </c>
      <c r="DA41" s="11">
        <f>IF(ISNUMBER(SEARCH(",EGFR G719X,",","&amp;SUBSTITUTE(K41,", ",",")&amp;",")),1,0)</f>
        <v>0</v>
      </c>
      <c r="DB41" s="11">
        <f>IF(ISNUMBER(SEARCH(",EGFR L858R,",","&amp;SUBSTITUTE(K41,", ",",")&amp;",")),1,0)</f>
        <v>0</v>
      </c>
      <c r="DC41" s="11">
        <f>IF(ISNUMBER(SEARCH(",EGFR L861Q,",","&amp;SUBSTITUTE(K41,", ",",")&amp;",")),1,0)</f>
        <v>0</v>
      </c>
      <c r="DD41" s="11">
        <f>IF(ISNUMBER(SEARCH(",EGFR PACC,",","&amp;SUBSTITUTE(K41,", ",",")&amp;",")),1,0)</f>
        <v>0</v>
      </c>
      <c r="DE41" s="11">
        <f>IF(ISNUMBER(SEARCH(",EGFR S768I,",","&amp;SUBSTITUTE(K41,", ",",")&amp;",")),1,0)</f>
        <v>0</v>
      </c>
      <c r="DF41" s="11">
        <f>IF(ISNUMBER(SEARCH(",EGFR T790M,",","&amp;SUBSTITUTE(K41,", ",",")&amp;",")),1,0)</f>
        <v>0</v>
      </c>
      <c r="DG41" s="11">
        <f>IF(ISNUMBER(SEARCH(",EML4-ALK,",","&amp;SUBSTITUTE(K41,", ",",")&amp;",")),1,0)</f>
        <v>0</v>
      </c>
      <c r="DH41" s="11">
        <f>IF(ISNUMBER(SEARCH(",HER2,",","&amp;SUBSTITUTE(K41,", ",",")&amp;",")),1,0)</f>
        <v>0</v>
      </c>
      <c r="DI41" s="11">
        <f>IF(ISNUMBER(SEARCH(",HER2 Exon 19,",","&amp;SUBSTITUTE(K41,", ",",")&amp;",")),1,0)</f>
        <v>0</v>
      </c>
      <c r="DJ41" s="11">
        <f>IF(ISNUMBER(SEARCH(",HER2 Exon 20,",","&amp;SUBSTITUTE(K41,", ",",")&amp;",")),1,0)</f>
        <v>0</v>
      </c>
      <c r="DK41" s="11">
        <f>IF(ISNUMBER(SEARCH(",HER2 mut,",","&amp;SUBSTITUTE(K41,", ",",")&amp;",")),1,0)</f>
        <v>0</v>
      </c>
      <c r="DL41" s="11">
        <f>IF(ISNUMBER(SEARCH(",HLA-A2,",","&amp;SUBSTITUTE(K41,", ",",")&amp;",")),1,0)</f>
        <v>0</v>
      </c>
      <c r="DM41" s="11">
        <f>IF(ISNUMBER(SEARCH(",HRAS,",","&amp;SUBSTITUTE(K41,", ",",")&amp;",")),1,0)</f>
        <v>0</v>
      </c>
      <c r="DN41" s="11">
        <f>IF(ISNUMBER(SEARCH(",KRAS,",","&amp;SUBSTITUTE(K41,", ",",")&amp;",")),1,0)</f>
        <v>0</v>
      </c>
      <c r="DO41" s="11">
        <f>IF(ISNUMBER(SEARCH(",KRAS G12C,",","&amp;SUBSTITUTE(K41,", ",",")&amp;",")),1,0)</f>
        <v>0</v>
      </c>
      <c r="DP41" s="11">
        <f>IF(ISNUMBER(SEARCH(",NRAS,",","&amp;SUBSTITUTE(K41,", ",",")&amp;",")),1,0)</f>
        <v>0</v>
      </c>
      <c r="DQ41" s="11">
        <f>IF(ISNUMBER(SEARCH(",NTRK,",","&amp;SUBSTITUTE(K41,", ",",")&amp;",")),1,0)</f>
        <v>0</v>
      </c>
      <c r="DR41" s="11">
        <f>IF(ISNUMBER(SEARCH(",PD-L1,",","&amp;SUBSTITUTE(K41,", ",",")&amp;",")),1,0)</f>
        <v>0</v>
      </c>
      <c r="DS41" s="11">
        <f>IF(ISNUMBER(SEARCH(",PD-L1 IC ≥ 1%,",","&amp;SUBSTITUTE(K41,", ",",")&amp;",")),1,0)</f>
        <v>0</v>
      </c>
      <c r="DT41" s="11">
        <f>IF(ISNUMBER(SEARCH(",PD-L1 TC ≥ 1%,",","&amp;SUBSTITUTE(K41,", ",",")&amp;",")),1,0)</f>
        <v>0</v>
      </c>
      <c r="DU41" s="11">
        <f>IF(ISNUMBER(SEARCH(",PD-L1 TC ≥ 50%,",","&amp;SUBSTITUTE(K41,", ",",")&amp;",")),1,0)</f>
        <v>0</v>
      </c>
      <c r="DV41" s="11">
        <f>IF(ISNUMBER(SEARCH(",PD-L1 TPS &lt; 50%,",","&amp;SUBSTITUTE(K41,", ",",")&amp;",")),1,0)</f>
        <v>0</v>
      </c>
      <c r="DW41" s="11">
        <f>IF(ISNUMBER(SEARCH(",PD-L1 TPS ≥ 1%,",","&amp;SUBSTITUTE(K41,", ",",")&amp;",")),1,0)</f>
        <v>1</v>
      </c>
      <c r="DX41" s="11">
        <f>IF(ISNUMBER(SEARCH(",PD-L1 TPS ≥ 50%,",","&amp;SUBSTITUTE(K41,", ",",")&amp;",")),1,0)</f>
        <v>0</v>
      </c>
      <c r="DY41" s="11">
        <f>IF(ISNUMBER(SEARCH(",RAS,",","&amp;SUBSTITUTE(K41,", ",",")&amp;",")),1,0)</f>
        <v>0</v>
      </c>
      <c r="DZ41" s="11">
        <f>IF(ISNUMBER(SEARCH(",RET,",","&amp;SUBSTITUTE(K41,", ",",")&amp;",")),1,0)</f>
        <v>0</v>
      </c>
      <c r="EA41" s="11">
        <f>IF(ISNUMBER(SEARCH(",ROS1,",","&amp;SUBSTITUTE(K41,", ",",")&amp;",")),1,0)</f>
        <v>0</v>
      </c>
      <c r="EB41" s="11">
        <f>IF(ISNUMBER(SEARCH(",TROP2,",","&amp;SUBSTITUTE(K41,", ",",")&amp;",")),1,0)</f>
        <v>0</v>
      </c>
      <c r="EC41" s="11">
        <f>IF(ISNUMBER(SEARCH(",c-MET/MET,",","&amp;SUBSTITUTE(K41,", ",",")&amp;",")),1,0)</f>
        <v>0</v>
      </c>
      <c r="ED41" s="11">
        <f>IF(ISNUMBER(SEARCH(",c-MET/MET Exon 14,",","&amp;SUBSTITUTE(K41,", ",",")&amp;",")),1,0)</f>
        <v>0</v>
      </c>
      <c r="EE41" s="11">
        <f>IF(ISNUMBER(SEARCH(",ctDNA/cfDNA,",","&amp;SUBSTITUTE(K41,", ",",")&amp;",")),1,0)</f>
        <v>0</v>
      </c>
    </row>
    <row r="42" spans="1:135" ht="15" customHeight="1" x14ac:dyDescent="0.2">
      <c r="A42" s="5" t="s">
        <v>983</v>
      </c>
      <c r="B42" s="5" t="s">
        <v>984</v>
      </c>
      <c r="C42" s="5" t="s">
        <v>985</v>
      </c>
      <c r="D42" s="5" t="s">
        <v>985</v>
      </c>
      <c r="E42" s="5"/>
      <c r="F42" s="5"/>
      <c r="G42" s="5"/>
      <c r="H42" s="5" t="s">
        <v>114</v>
      </c>
      <c r="I42" s="5" t="s">
        <v>988</v>
      </c>
      <c r="J42" s="5" t="s">
        <v>987</v>
      </c>
      <c r="K42" s="5"/>
      <c r="L42" s="5" t="s">
        <v>119</v>
      </c>
      <c r="M42" s="5" t="s">
        <v>113</v>
      </c>
      <c r="N42" s="5" t="s">
        <v>120</v>
      </c>
      <c r="O42" s="5" t="s">
        <v>120</v>
      </c>
      <c r="P42" s="5" t="s">
        <v>1238</v>
      </c>
      <c r="Q42" s="10" t="str">
        <f>IF(F42="Stage IV","Stage IV Only",IF(AND(ISNUMBER(SEARCH("IV",F42)),LEN(F42)&gt;LEN("Stage IV")),"Stage IV + Other",IF(AND(ISNUMBER(SEARCH("III",F42)),NOT(ISNUMBER(SEARCH("IV",F42)))),"Stage III Only","Other")))</f>
        <v>Other</v>
      </c>
      <c r="R42" s="10" t="str">
        <f>IF(AND(ISNUMBER(SEARCH("Non-squamous",G42)),ISNUMBER(SEARCH("Squamous",SUBSTITUTE(G42,"Non-squamous","")))),"Both",IF(ISNUMBER(SEARCH("Non-squamous",G42)),"Non-squamous",IF(ISNUMBER(SEARCH("Squamous",G42)),"Squamous","Unspecified")))</f>
        <v>Unspecified</v>
      </c>
      <c r="S42" s="10" t="str">
        <f>IF(OR(ISNUMBER(SEARCH("TPS ≥ 50%",K42)),ISNUMBER(SEARCH("TC ≥ 50%",K42))),"TPS ≥ 50%",IF(OR(ISNUMBER(SEARCH("TPS ≥ 1%",K42)),ISNUMBER(SEARCH("TC ≥ 1%",K42)),ISNUMBER(SEARCH("TPS &lt; 50%",K42)),ISNUMBER(SEARCH("IC ≥ 1%",K42))),"TPS 1-49%","All-comers"))</f>
        <v>All-comers</v>
      </c>
      <c r="T42" s="10">
        <f>IF(H42="Phase III",1,0)</f>
        <v>1</v>
      </c>
      <c r="U42" s="10">
        <f>IF(L42="Yes",1,0)</f>
        <v>0</v>
      </c>
      <c r="V42" s="11">
        <f>IF(ISNUMBER(SEARCH(",ALK,",","&amp;SUBSTITUTE(I42,", ",",")&amp;",")),1,0)</f>
        <v>0</v>
      </c>
      <c r="W42" s="11">
        <f>IF(ISNUMBER(SEARCH(",ALK L1196M,",","&amp;SUBSTITUTE(I42,", ",",")&amp;",")),1,0)</f>
        <v>0</v>
      </c>
      <c r="X42" s="11">
        <f>IF(ISNUMBER(SEARCH(",AXL,",","&amp;SUBSTITUTE(I42,", ",",")&amp;",")),1,0)</f>
        <v>0</v>
      </c>
      <c r="Y42" s="11">
        <f>IF(ISNUMBER(SEARCH(",B7-H1,",","&amp;SUBSTITUTE(I42,", ",",")&amp;",")),1,0)</f>
        <v>0</v>
      </c>
      <c r="Z42" s="11">
        <f>IF(ISNUMBER(SEARCH(",CD152,",","&amp;SUBSTITUTE(I42,", ",",")&amp;",")),1,0)</f>
        <v>0</v>
      </c>
      <c r="AA42" s="11">
        <f>IF(ISNUMBER(SEARCH(",CD274,",","&amp;SUBSTITUTE(I42,", ",",")&amp;",")),1,0)</f>
        <v>0</v>
      </c>
      <c r="AB42" s="11">
        <f>IF(ISNUMBER(SEARCH(",CD279,",","&amp;SUBSTITUTE(I42,", ",",")&amp;",")),1,0)</f>
        <v>1</v>
      </c>
      <c r="AC42" s="11">
        <f>IF(ISNUMBER(SEARCH(",CD73,",","&amp;SUBSTITUTE(I42,", ",",")&amp;",")),1,0)</f>
        <v>0</v>
      </c>
      <c r="AD42" s="11">
        <f>IF(ISNUMBER(SEARCH(",CEA,",","&amp;SUBSTITUTE(I42,", ",",")&amp;",")),1,0)</f>
        <v>0</v>
      </c>
      <c r="AE42" s="11">
        <f>IF(ISNUMBER(SEARCH(",CTLA-4,",","&amp;SUBSTITUTE(I42,", ",",")&amp;",")),1,0)</f>
        <v>0</v>
      </c>
      <c r="AF42" s="11">
        <f>IF(ISNUMBER(SEARCH(",EGFR,",","&amp;SUBSTITUTE(I42,", ",",")&amp;",")),1,0)</f>
        <v>0</v>
      </c>
      <c r="AG42" s="11">
        <f>IF(ISNUMBER(SEARCH(",EGFR C797G,",","&amp;SUBSTITUTE(I42,", ",",")&amp;",")),1,0)</f>
        <v>0</v>
      </c>
      <c r="AH42" s="11">
        <f>IF(ISNUMBER(SEARCH(",EGFR C797S,",","&amp;SUBSTITUTE(I42,", ",",")&amp;",")),1,0)</f>
        <v>0</v>
      </c>
      <c r="AI42" s="11">
        <f>IF(ISNUMBER(SEARCH(",EGFR Exon 19-del,",","&amp;SUBSTITUTE(I42,", ",",")&amp;",")),1,0)</f>
        <v>0</v>
      </c>
      <c r="AJ42" s="11">
        <f>IF(ISNUMBER(SEARCH(",EGFR Exon 20,",","&amp;SUBSTITUTE(I42,", ",",")&amp;",")),1,0)</f>
        <v>0</v>
      </c>
      <c r="AK42" s="11">
        <f>IF(ISNUMBER(SEARCH(",EGFR L858R,",","&amp;SUBSTITUTE(I42,", ",",")&amp;",")),1,0)</f>
        <v>0</v>
      </c>
      <c r="AL42" s="11">
        <f>IF(ISNUMBER(SEARCH(",EGFR T790M,",","&amp;SUBSTITUTE(I42,", ",",")&amp;",")),1,0)</f>
        <v>0</v>
      </c>
      <c r="AM42" s="11">
        <f>IF(ISNUMBER(SEARCH(",ERBB,",","&amp;SUBSTITUTE(I42,", ",",")&amp;",")),1,0)</f>
        <v>0</v>
      </c>
      <c r="AN42" s="11">
        <f>IF(ISNUMBER(SEARCH(",ERBB3,",","&amp;SUBSTITUTE(I42,", ",",")&amp;",")),1,0)</f>
        <v>0</v>
      </c>
      <c r="AO42" s="11">
        <f>IF(ISNUMBER(SEARCH(",FAK,",","&amp;SUBSTITUTE(I42,", ",",")&amp;",")),1,0)</f>
        <v>0</v>
      </c>
      <c r="AP42" s="11">
        <f>IF(ISNUMBER(SEARCH(",GARP,",","&amp;SUBSTITUTE(I42,", ",",")&amp;",")),1,0)</f>
        <v>0</v>
      </c>
      <c r="AQ42" s="11">
        <f>IF(ISNUMBER(SEARCH(",HER1,",","&amp;SUBSTITUTE(I42,", ",",")&amp;",")),1,0)</f>
        <v>0</v>
      </c>
      <c r="AR42" s="11">
        <f>IF(ISNUMBER(SEARCH(",HER2,",","&amp;SUBSTITUTE(I42,", ",",")&amp;",")),1,0)</f>
        <v>0</v>
      </c>
      <c r="AS42" s="11">
        <f>IF(ISNUMBER(SEARCH(",HER2 Exon 20,",","&amp;SUBSTITUTE(I42,", ",",")&amp;",")),1,0)</f>
        <v>0</v>
      </c>
      <c r="AT42" s="11">
        <f>IF(ISNUMBER(SEARCH(",HER3,",","&amp;SUBSTITUTE(I42,", ",",")&amp;",")),1,0)</f>
        <v>0</v>
      </c>
      <c r="AU42" s="11">
        <f>IF(ISNUMBER(SEARCH(",HER4,",","&amp;SUBSTITUTE(I42,", ",",")&amp;",")),1,0)</f>
        <v>0</v>
      </c>
      <c r="AV42" s="11">
        <f>IF(ISNUMBER(SEARCH(",HRAS,",","&amp;SUBSTITUTE(I42,", ",",")&amp;",")),1,0)</f>
        <v>0</v>
      </c>
      <c r="AW42" s="11">
        <f>IF(ISNUMBER(SEARCH(",HSV-TK,",","&amp;SUBSTITUTE(I42,", ",",")&amp;",")),1,0)</f>
        <v>0</v>
      </c>
      <c r="AX42" s="11">
        <f>IF(ISNUMBER(SEARCH(",IL-12,",","&amp;SUBSTITUTE(I42,", ",",")&amp;",")),1,0)</f>
        <v>0</v>
      </c>
      <c r="AY42" s="11">
        <f>IF(ISNUMBER(SEARCH(",IL-15,",","&amp;SUBSTITUTE(I42,", ",",")&amp;",")),1,0)</f>
        <v>1</v>
      </c>
      <c r="AZ42" s="11">
        <f>IF(ISNUMBER(SEARCH(",IL-15R,",","&amp;SUBSTITUTE(I42,", ",",")&amp;",")),1,0)</f>
        <v>1</v>
      </c>
      <c r="BA42" s="11">
        <f>IF(ISNUMBER(SEARCH(",IL-2,",","&amp;SUBSTITUTE(I42,", ",",")&amp;",")),1,0)</f>
        <v>0</v>
      </c>
      <c r="BB42" s="11">
        <f>IF(ISNUMBER(SEARCH(",Integrin β6,",","&amp;SUBSTITUTE(I42,", ",",")&amp;",")),1,0)</f>
        <v>0</v>
      </c>
      <c r="BC42" s="11">
        <f>IF(ISNUMBER(SEARCH(",KDR,",","&amp;SUBSTITUTE(I42,", ",",")&amp;",")),1,0)</f>
        <v>0</v>
      </c>
      <c r="BD42" s="11">
        <f>IF(ISNUMBER(SEARCH(",KLRC1,",","&amp;SUBSTITUTE(I42,", ",",")&amp;",")),1,0)</f>
        <v>0</v>
      </c>
      <c r="BE42" s="11">
        <f>IF(ISNUMBER(SEARCH(",KRAS,",","&amp;SUBSTITUTE(I42,", ",",")&amp;",")),1,0)</f>
        <v>0</v>
      </c>
      <c r="BF42" s="11">
        <f>IF(ISNUMBER(SEARCH(",KRAS G12,",","&amp;SUBSTITUTE(I42,", ",",")&amp;",")),1,0)</f>
        <v>0</v>
      </c>
      <c r="BG42" s="11">
        <f>IF(ISNUMBER(SEARCH(",KRAS G12C,",","&amp;SUBSTITUTE(I42,", ",",")&amp;",")),1,0)</f>
        <v>0</v>
      </c>
      <c r="BH42" s="11">
        <f>IF(ISNUMBER(SEARCH(",KRAS G12D,",","&amp;SUBSTITUTE(I42,", ",",")&amp;",")),1,0)</f>
        <v>0</v>
      </c>
      <c r="BI42" s="11">
        <f>IF(ISNUMBER(SEARCH(",LAG-3,",","&amp;SUBSTITUTE(I42,", ",",")&amp;",")),1,0)</f>
        <v>0</v>
      </c>
      <c r="BJ42" s="11">
        <f>IF(ISNUMBER(SEARCH(",MAGE-A2,",","&amp;SUBSTITUTE(I42,", ",",")&amp;",")),1,0)</f>
        <v>0</v>
      </c>
      <c r="BK42" s="11">
        <f>IF(ISNUMBER(SEARCH(",MAGE-A3,",","&amp;SUBSTITUTE(I42,", ",",")&amp;",")),1,0)</f>
        <v>0</v>
      </c>
      <c r="BL42" s="11">
        <f>IF(ISNUMBER(SEARCH(",MLN19,",","&amp;SUBSTITUTE(I42,", ",",")&amp;",")),1,0)</f>
        <v>0</v>
      </c>
      <c r="BM42" s="11">
        <f>IF(ISNUMBER(SEARCH(",Microtubule,",","&amp;SUBSTITUTE(I42,", ",",")&amp;",")),1,0)</f>
        <v>0</v>
      </c>
      <c r="BN42" s="11">
        <f>IF(ISNUMBER(SEARCH(",NKG2A,",","&amp;SUBSTITUTE(I42,", ",",")&amp;",")),1,0)</f>
        <v>0</v>
      </c>
      <c r="BO42" s="11">
        <f>IF(ISNUMBER(SEARCH(",NRAS,",","&amp;SUBSTITUTE(I42,", ",",")&amp;",")),1,0)</f>
        <v>0</v>
      </c>
      <c r="BP42" s="11">
        <f>IF(ISNUMBER(SEARCH(",NTRK,",","&amp;SUBSTITUTE(I42,", ",",")&amp;",")),1,0)</f>
        <v>0</v>
      </c>
      <c r="BQ42" s="11">
        <f>IF(ISNUMBER(SEARCH(",PARP,",","&amp;SUBSTITUTE(I42,", ",",")&amp;",")),1,0)</f>
        <v>0</v>
      </c>
      <c r="BR42" s="11">
        <f>IF(ISNUMBER(SEARCH(",PD-1,",","&amp;SUBSTITUTE(I42,", ",",")&amp;",")),1,0)</f>
        <v>1</v>
      </c>
      <c r="BS42" s="11">
        <f>IF(ISNUMBER(SEARCH(",PD-L1,",","&amp;SUBSTITUTE(I42,", ",",")&amp;",")),1,0)</f>
        <v>0</v>
      </c>
      <c r="BT42" s="11">
        <f>IF(ISNUMBER(SEARCH(",PRMT5,",","&amp;SUBSTITUTE(I42,", ",",")&amp;",")),1,0)</f>
        <v>0</v>
      </c>
      <c r="BU42" s="11">
        <f>IF(ISNUMBER(SEARCH(",RAS,",","&amp;SUBSTITUTE(I42,", ",",")&amp;",")),1,0)</f>
        <v>0</v>
      </c>
      <c r="BV42" s="11">
        <f>IF(ISNUMBER(SEARCH(",RET,",","&amp;SUBSTITUTE(I42,", ",",")&amp;",")),1,0)</f>
        <v>0</v>
      </c>
      <c r="BW42" s="11">
        <f>IF(ISNUMBER(SEARCH(",ROS,",","&amp;SUBSTITUTE(I42,", ",",")&amp;",")),1,0)</f>
        <v>0</v>
      </c>
      <c r="BX42" s="11">
        <f>IF(ISNUMBER(SEARCH(",ROS1,",","&amp;SUBSTITUTE(I42,", ",",")&amp;",")),1,0)</f>
        <v>0</v>
      </c>
      <c r="BY42" s="11">
        <f>IF(ISNUMBER(SEARCH(",Src,",","&amp;SUBSTITUTE(I42,", ",",")&amp;",")),1,0)</f>
        <v>0</v>
      </c>
      <c r="BZ42" s="11">
        <f>IF(ISNUMBER(SEARCH(",TCGF,",","&amp;SUBSTITUTE(I42,", ",",")&amp;",")),1,0)</f>
        <v>0</v>
      </c>
      <c r="CA42" s="11">
        <f>IF(ISNUMBER(SEARCH(",TGF-β,",","&amp;SUBSTITUTE(I42,", ",",")&amp;",")),1,0)</f>
        <v>0</v>
      </c>
      <c r="CB42" s="11">
        <f>IF(ISNUMBER(SEARCH(",TGF-β1,",","&amp;SUBSTITUTE(I42,", ",",")&amp;",")),1,0)</f>
        <v>0</v>
      </c>
      <c r="CC42" s="11">
        <f>IF(ISNUMBER(SEARCH(",TIGIT,",","&amp;SUBSTITUTE(I42,", ",",")&amp;",")),1,0)</f>
        <v>0</v>
      </c>
      <c r="CD42" s="11">
        <f>IF(ISNUMBER(SEARCH(",TLR,",","&amp;SUBSTITUTE(I42,", ",",")&amp;",")),1,0)</f>
        <v>0</v>
      </c>
      <c r="CE42" s="11">
        <f>IF(ISNUMBER(SEARCH(",TLR7/8,",","&amp;SUBSTITUTE(I42,", ",",")&amp;",")),1,0)</f>
        <v>0</v>
      </c>
      <c r="CF42" s="11">
        <f>IF(ISNUMBER(SEARCH(",TRK,",","&amp;SUBSTITUTE(I42,", ",",")&amp;",")),1,0)</f>
        <v>0</v>
      </c>
      <c r="CG42" s="11">
        <f>IF(ISNUMBER(SEARCH(",TROP2,",","&amp;SUBSTITUTE(I42,", ",",")&amp;",")),1,0)</f>
        <v>0</v>
      </c>
      <c r="CH42" s="11">
        <f>IF(ISNUMBER(SEARCH(",TS,",","&amp;SUBSTITUTE(I42,", ",",")&amp;",")),1,0)</f>
        <v>0</v>
      </c>
      <c r="CI42" s="11">
        <f>IF(ISNUMBER(SEARCH(",TYMS,",","&amp;SUBSTITUTE(I42,", ",",")&amp;",")),1,0)</f>
        <v>0</v>
      </c>
      <c r="CJ42" s="11">
        <f>IF(ISNUMBER(SEARCH(",VEGF,",","&amp;SUBSTITUTE(I42,", ",",")&amp;",")),1,0)</f>
        <v>0</v>
      </c>
      <c r="CK42" s="11">
        <f>IF(ISNUMBER(SEARCH(",VEGFA,",","&amp;SUBSTITUTE(I42,", ",",")&amp;",")),1,0)</f>
        <v>0</v>
      </c>
      <c r="CL42" s="11">
        <f>IF(ISNUMBER(SEARCH(",VEGFR2,",","&amp;SUBSTITUTE(I42,", ",",")&amp;",")),1,0)</f>
        <v>0</v>
      </c>
      <c r="CM42" s="11">
        <f>IF(ISNUMBER(SEARCH(",c-MET/MET,",","&amp;SUBSTITUTE(I42,", ",",")&amp;",")),1,0)</f>
        <v>0</v>
      </c>
      <c r="CN42" s="11">
        <f>IF(ISNUMBER(SEARCH(",p53,",","&amp;SUBSTITUTE(I42,", ",",")&amp;",")),1,0)</f>
        <v>0</v>
      </c>
      <c r="CO42" s="11">
        <f>IF(ISNUMBER(SEARCH(",pan-KRAS,",","&amp;SUBSTITUTE(I42,", ",",")&amp;",")),1,0)</f>
        <v>0</v>
      </c>
      <c r="CP42" s="11">
        <f>IF(ISNUMBER(SEARCH(",ALK,",","&amp;SUBSTITUTE(K42,", ",",")&amp;",")),1,0)</f>
        <v>0</v>
      </c>
      <c r="CQ42" s="11">
        <f>IF(ISNUMBER(SEARCH(",BRAF V600E,",","&amp;SUBSTITUTE(K42,", ",",")&amp;",")),1,0)</f>
        <v>0</v>
      </c>
      <c r="CR42" s="11">
        <f>IF(ISNUMBER(SEARCH(",EGFR,",","&amp;SUBSTITUTE(K42,", ",",")&amp;",")),1,0)</f>
        <v>0</v>
      </c>
      <c r="CS42" s="11">
        <f>IF(ISNUMBER(SEARCH(",EGFR Exon 18,",","&amp;SUBSTITUTE(K42,", ",",")&amp;",")),1,0)</f>
        <v>0</v>
      </c>
      <c r="CT42" s="11">
        <f>IF(ISNUMBER(SEARCH(",EGFR Exon 19-del,",","&amp;SUBSTITUTE(K42,", ",",")&amp;",")),1,0)</f>
        <v>0</v>
      </c>
      <c r="CU42" s="11">
        <f>IF(ISNUMBER(SEARCH(",EGFR Exon 20,",","&amp;SUBSTITUTE(K42,", ",",")&amp;",")),1,0)</f>
        <v>0</v>
      </c>
      <c r="CV42" s="11">
        <f>IF(ISNUMBER(SEARCH(",EGFR Exon 20-ins,",","&amp;SUBSTITUTE(K42,", ",",")&amp;",")),1,0)</f>
        <v>0</v>
      </c>
      <c r="CW42" s="11">
        <f>IF(ISNUMBER(SEARCH(",EGFR Exon 21,",","&amp;SUBSTITUTE(K42,", ",",")&amp;",")),1,0)</f>
        <v>0</v>
      </c>
      <c r="CX42" s="11">
        <f>IF(ISNUMBER(SEARCH(",EGFR G719A,",","&amp;SUBSTITUTE(K42,", ",",")&amp;",")),1,0)</f>
        <v>0</v>
      </c>
      <c r="CY42" s="11">
        <f>IF(ISNUMBER(SEARCH(",EGFR G719C,",","&amp;SUBSTITUTE(K42,", ",",")&amp;",")),1,0)</f>
        <v>0</v>
      </c>
      <c r="CZ42" s="11">
        <f>IF(ISNUMBER(SEARCH(",EGFR G719S,",","&amp;SUBSTITUTE(K42,", ",",")&amp;",")),1,0)</f>
        <v>0</v>
      </c>
      <c r="DA42" s="11">
        <f>IF(ISNUMBER(SEARCH(",EGFR G719X,",","&amp;SUBSTITUTE(K42,", ",",")&amp;",")),1,0)</f>
        <v>0</v>
      </c>
      <c r="DB42" s="11">
        <f>IF(ISNUMBER(SEARCH(",EGFR L858R,",","&amp;SUBSTITUTE(K42,", ",",")&amp;",")),1,0)</f>
        <v>0</v>
      </c>
      <c r="DC42" s="11">
        <f>IF(ISNUMBER(SEARCH(",EGFR L861Q,",","&amp;SUBSTITUTE(K42,", ",",")&amp;",")),1,0)</f>
        <v>0</v>
      </c>
      <c r="DD42" s="11">
        <f>IF(ISNUMBER(SEARCH(",EGFR PACC,",","&amp;SUBSTITUTE(K42,", ",",")&amp;",")),1,0)</f>
        <v>0</v>
      </c>
      <c r="DE42" s="11">
        <f>IF(ISNUMBER(SEARCH(",EGFR S768I,",","&amp;SUBSTITUTE(K42,", ",",")&amp;",")),1,0)</f>
        <v>0</v>
      </c>
      <c r="DF42" s="11">
        <f>IF(ISNUMBER(SEARCH(",EGFR T790M,",","&amp;SUBSTITUTE(K42,", ",",")&amp;",")),1,0)</f>
        <v>0</v>
      </c>
      <c r="DG42" s="11">
        <f>IF(ISNUMBER(SEARCH(",EML4-ALK,",","&amp;SUBSTITUTE(K42,", ",",")&amp;",")),1,0)</f>
        <v>0</v>
      </c>
      <c r="DH42" s="11">
        <f>IF(ISNUMBER(SEARCH(",HER2,",","&amp;SUBSTITUTE(K42,", ",",")&amp;",")),1,0)</f>
        <v>0</v>
      </c>
      <c r="DI42" s="11">
        <f>IF(ISNUMBER(SEARCH(",HER2 Exon 19,",","&amp;SUBSTITUTE(K42,", ",",")&amp;",")),1,0)</f>
        <v>0</v>
      </c>
      <c r="DJ42" s="11">
        <f>IF(ISNUMBER(SEARCH(",HER2 Exon 20,",","&amp;SUBSTITUTE(K42,", ",",")&amp;",")),1,0)</f>
        <v>0</v>
      </c>
      <c r="DK42" s="11">
        <f>IF(ISNUMBER(SEARCH(",HER2 mut,",","&amp;SUBSTITUTE(K42,", ",",")&amp;",")),1,0)</f>
        <v>0</v>
      </c>
      <c r="DL42" s="11">
        <f>IF(ISNUMBER(SEARCH(",HLA-A2,",","&amp;SUBSTITUTE(K42,", ",",")&amp;",")),1,0)</f>
        <v>0</v>
      </c>
      <c r="DM42" s="11">
        <f>IF(ISNUMBER(SEARCH(",HRAS,",","&amp;SUBSTITUTE(K42,", ",",")&amp;",")),1,0)</f>
        <v>0</v>
      </c>
      <c r="DN42" s="11">
        <f>IF(ISNUMBER(SEARCH(",KRAS,",","&amp;SUBSTITUTE(K42,", ",",")&amp;",")),1,0)</f>
        <v>0</v>
      </c>
      <c r="DO42" s="11">
        <f>IF(ISNUMBER(SEARCH(",KRAS G12C,",","&amp;SUBSTITUTE(K42,", ",",")&amp;",")),1,0)</f>
        <v>0</v>
      </c>
      <c r="DP42" s="11">
        <f>IF(ISNUMBER(SEARCH(",NRAS,",","&amp;SUBSTITUTE(K42,", ",",")&amp;",")),1,0)</f>
        <v>0</v>
      </c>
      <c r="DQ42" s="11">
        <f>IF(ISNUMBER(SEARCH(",NTRK,",","&amp;SUBSTITUTE(K42,", ",",")&amp;",")),1,0)</f>
        <v>0</v>
      </c>
      <c r="DR42" s="11">
        <f>IF(ISNUMBER(SEARCH(",PD-L1,",","&amp;SUBSTITUTE(K42,", ",",")&amp;",")),1,0)</f>
        <v>0</v>
      </c>
      <c r="DS42" s="11">
        <f>IF(ISNUMBER(SEARCH(",PD-L1 IC ≥ 1%,",","&amp;SUBSTITUTE(K42,", ",",")&amp;",")),1,0)</f>
        <v>0</v>
      </c>
      <c r="DT42" s="11">
        <f>IF(ISNUMBER(SEARCH(",PD-L1 TC ≥ 1%,",","&amp;SUBSTITUTE(K42,", ",",")&amp;",")),1,0)</f>
        <v>0</v>
      </c>
      <c r="DU42" s="11">
        <f>IF(ISNUMBER(SEARCH(",PD-L1 TC ≥ 50%,",","&amp;SUBSTITUTE(K42,", ",",")&amp;",")),1,0)</f>
        <v>0</v>
      </c>
      <c r="DV42" s="11">
        <f>IF(ISNUMBER(SEARCH(",PD-L1 TPS &lt; 50%,",","&amp;SUBSTITUTE(K42,", ",",")&amp;",")),1,0)</f>
        <v>0</v>
      </c>
      <c r="DW42" s="11">
        <f>IF(ISNUMBER(SEARCH(",PD-L1 TPS ≥ 1%,",","&amp;SUBSTITUTE(K42,", ",",")&amp;",")),1,0)</f>
        <v>0</v>
      </c>
      <c r="DX42" s="11">
        <f>IF(ISNUMBER(SEARCH(",PD-L1 TPS ≥ 50%,",","&amp;SUBSTITUTE(K42,", ",",")&amp;",")),1,0)</f>
        <v>0</v>
      </c>
      <c r="DY42" s="11">
        <f>IF(ISNUMBER(SEARCH(",RAS,",","&amp;SUBSTITUTE(K42,", ",",")&amp;",")),1,0)</f>
        <v>0</v>
      </c>
      <c r="DZ42" s="11">
        <f>IF(ISNUMBER(SEARCH(",RET,",","&amp;SUBSTITUTE(K42,", ",",")&amp;",")),1,0)</f>
        <v>0</v>
      </c>
      <c r="EA42" s="11">
        <f>IF(ISNUMBER(SEARCH(",ROS1,",","&amp;SUBSTITUTE(K42,", ",",")&amp;",")),1,0)</f>
        <v>0</v>
      </c>
      <c r="EB42" s="11">
        <f>IF(ISNUMBER(SEARCH(",TROP2,",","&amp;SUBSTITUTE(K42,", ",",")&amp;",")),1,0)</f>
        <v>0</v>
      </c>
      <c r="EC42" s="11">
        <f>IF(ISNUMBER(SEARCH(",c-MET/MET,",","&amp;SUBSTITUTE(K42,", ",",")&amp;",")),1,0)</f>
        <v>0</v>
      </c>
      <c r="ED42" s="11">
        <f>IF(ISNUMBER(SEARCH(",c-MET/MET Exon 14,",","&amp;SUBSTITUTE(K42,", ",",")&amp;",")),1,0)</f>
        <v>0</v>
      </c>
      <c r="EE42" s="11">
        <f>IF(ISNUMBER(SEARCH(",ctDNA/cfDNA,",","&amp;SUBSTITUTE(K42,", ",",")&amp;",")),1,0)</f>
        <v>0</v>
      </c>
    </row>
    <row r="43" spans="1:135" ht="15" customHeight="1" x14ac:dyDescent="0.2">
      <c r="A43" s="5" t="s">
        <v>919</v>
      </c>
      <c r="B43" s="5" t="s">
        <v>920</v>
      </c>
      <c r="C43" s="5" t="s">
        <v>350</v>
      </c>
      <c r="D43" s="5" t="s">
        <v>350</v>
      </c>
      <c r="E43" s="5" t="s">
        <v>282</v>
      </c>
      <c r="F43" s="5" t="s">
        <v>763</v>
      </c>
      <c r="G43" s="5" t="s">
        <v>921</v>
      </c>
      <c r="H43" s="5" t="s">
        <v>114</v>
      </c>
      <c r="I43" s="5" t="s">
        <v>925</v>
      </c>
      <c r="J43" s="5" t="s">
        <v>924</v>
      </c>
      <c r="K43" s="5"/>
      <c r="L43" s="5" t="s">
        <v>119</v>
      </c>
      <c r="M43" s="5" t="s">
        <v>113</v>
      </c>
      <c r="N43" s="5" t="s">
        <v>120</v>
      </c>
      <c r="O43" s="5" t="s">
        <v>120</v>
      </c>
      <c r="P43" s="5" t="s">
        <v>922</v>
      </c>
      <c r="Q43" s="10" t="str">
        <f>IF(F43="Stage IV","Stage IV Only",IF(AND(ISNUMBER(SEARCH("IV",F43)),LEN(F43)&gt;LEN("Stage IV")),"Stage IV + Other",IF(AND(ISNUMBER(SEARCH("III",F43)),NOT(ISNUMBER(SEARCH("IV",F43)))),"Stage III Only","Other")))</f>
        <v>Stage III Only</v>
      </c>
      <c r="R43" s="10" t="str">
        <f>IF(AND(ISNUMBER(SEARCH("Non-squamous",G43)),ISNUMBER(SEARCH("Squamous",SUBSTITUTE(G43,"Non-squamous","")))),"Both",IF(ISNUMBER(SEARCH("Non-squamous",G43)),"Non-squamous",IF(ISNUMBER(SEARCH("Squamous",G43)),"Squamous","Unspecified")))</f>
        <v>Unspecified</v>
      </c>
      <c r="S43" s="10" t="str">
        <f>IF(OR(ISNUMBER(SEARCH("TPS ≥ 50%",K43)),ISNUMBER(SEARCH("TC ≥ 50%",K43))),"TPS ≥ 50%",IF(OR(ISNUMBER(SEARCH("TPS ≥ 1%",K43)),ISNUMBER(SEARCH("TC ≥ 1%",K43)),ISNUMBER(SEARCH("TPS &lt; 50%",K43)),ISNUMBER(SEARCH("IC ≥ 1%",K43))),"TPS 1-49%","All-comers"))</f>
        <v>All-comers</v>
      </c>
      <c r="T43" s="10">
        <f>IF(H43="Phase III",1,0)</f>
        <v>1</v>
      </c>
      <c r="U43" s="10">
        <f>IF(L43="Yes",1,0)</f>
        <v>0</v>
      </c>
      <c r="V43" s="11">
        <f>IF(ISNUMBER(SEARCH(",ALK,",","&amp;SUBSTITUTE(I43,", ",",")&amp;",")),1,0)</f>
        <v>0</v>
      </c>
      <c r="W43" s="11">
        <f>IF(ISNUMBER(SEARCH(",ALK L1196M,",","&amp;SUBSTITUTE(I43,", ",",")&amp;",")),1,0)</f>
        <v>0</v>
      </c>
      <c r="X43" s="11">
        <f>IF(ISNUMBER(SEARCH(",AXL,",","&amp;SUBSTITUTE(I43,", ",",")&amp;",")),1,0)</f>
        <v>0</v>
      </c>
      <c r="Y43" s="11">
        <f>IF(ISNUMBER(SEARCH(",B7-H1,",","&amp;SUBSTITUTE(I43,", ",",")&amp;",")),1,0)</f>
        <v>0</v>
      </c>
      <c r="Z43" s="11">
        <f>IF(ISNUMBER(SEARCH(",CD152,",","&amp;SUBSTITUTE(I43,", ",",")&amp;",")),1,0)</f>
        <v>0</v>
      </c>
      <c r="AA43" s="11">
        <f>IF(ISNUMBER(SEARCH(",CD274,",","&amp;SUBSTITUTE(I43,", ",",")&amp;",")),1,0)</f>
        <v>0</v>
      </c>
      <c r="AB43" s="11">
        <f>IF(ISNUMBER(SEARCH(",CD279,",","&amp;SUBSTITUTE(I43,", ",",")&amp;",")),1,0)</f>
        <v>1</v>
      </c>
      <c r="AC43" s="11">
        <f>IF(ISNUMBER(SEARCH(",CD73,",","&amp;SUBSTITUTE(I43,", ",",")&amp;",")),1,0)</f>
        <v>0</v>
      </c>
      <c r="AD43" s="11">
        <f>IF(ISNUMBER(SEARCH(",CEA,",","&amp;SUBSTITUTE(I43,", ",",")&amp;",")),1,0)</f>
        <v>0</v>
      </c>
      <c r="AE43" s="11">
        <f>IF(ISNUMBER(SEARCH(",CTLA-4,",","&amp;SUBSTITUTE(I43,", ",",")&amp;",")),1,0)</f>
        <v>0</v>
      </c>
      <c r="AF43" s="11">
        <f>IF(ISNUMBER(SEARCH(",EGFR,",","&amp;SUBSTITUTE(I43,", ",",")&amp;",")),1,0)</f>
        <v>0</v>
      </c>
      <c r="AG43" s="11">
        <f>IF(ISNUMBER(SEARCH(",EGFR C797G,",","&amp;SUBSTITUTE(I43,", ",",")&amp;",")),1,0)</f>
        <v>0</v>
      </c>
      <c r="AH43" s="11">
        <f>IF(ISNUMBER(SEARCH(",EGFR C797S,",","&amp;SUBSTITUTE(I43,", ",",")&amp;",")),1,0)</f>
        <v>0</v>
      </c>
      <c r="AI43" s="11">
        <f>IF(ISNUMBER(SEARCH(",EGFR Exon 19-del,",","&amp;SUBSTITUTE(I43,", ",",")&amp;",")),1,0)</f>
        <v>0</v>
      </c>
      <c r="AJ43" s="11">
        <f>IF(ISNUMBER(SEARCH(",EGFR Exon 20,",","&amp;SUBSTITUTE(I43,", ",",")&amp;",")),1,0)</f>
        <v>0</v>
      </c>
      <c r="AK43" s="11">
        <f>IF(ISNUMBER(SEARCH(",EGFR L858R,",","&amp;SUBSTITUTE(I43,", ",",")&amp;",")),1,0)</f>
        <v>0</v>
      </c>
      <c r="AL43" s="11">
        <f>IF(ISNUMBER(SEARCH(",EGFR T790M,",","&amp;SUBSTITUTE(I43,", ",",")&amp;",")),1,0)</f>
        <v>0</v>
      </c>
      <c r="AM43" s="11">
        <f>IF(ISNUMBER(SEARCH(",ERBB,",","&amp;SUBSTITUTE(I43,", ",",")&amp;",")),1,0)</f>
        <v>0</v>
      </c>
      <c r="AN43" s="11">
        <f>IF(ISNUMBER(SEARCH(",ERBB3,",","&amp;SUBSTITUTE(I43,", ",",")&amp;",")),1,0)</f>
        <v>0</v>
      </c>
      <c r="AO43" s="11">
        <f>IF(ISNUMBER(SEARCH(",FAK,",","&amp;SUBSTITUTE(I43,", ",",")&amp;",")),1,0)</f>
        <v>0</v>
      </c>
      <c r="AP43" s="11">
        <f>IF(ISNUMBER(SEARCH(",GARP,",","&amp;SUBSTITUTE(I43,", ",",")&amp;",")),1,0)</f>
        <v>0</v>
      </c>
      <c r="AQ43" s="11">
        <f>IF(ISNUMBER(SEARCH(",HER1,",","&amp;SUBSTITUTE(I43,", ",",")&amp;",")),1,0)</f>
        <v>0</v>
      </c>
      <c r="AR43" s="11">
        <f>IF(ISNUMBER(SEARCH(",HER2,",","&amp;SUBSTITUTE(I43,", ",",")&amp;",")),1,0)</f>
        <v>0</v>
      </c>
      <c r="AS43" s="11">
        <f>IF(ISNUMBER(SEARCH(",HER2 Exon 20,",","&amp;SUBSTITUTE(I43,", ",",")&amp;",")),1,0)</f>
        <v>0</v>
      </c>
      <c r="AT43" s="11">
        <f>IF(ISNUMBER(SEARCH(",HER3,",","&amp;SUBSTITUTE(I43,", ",",")&amp;",")),1,0)</f>
        <v>0</v>
      </c>
      <c r="AU43" s="11">
        <f>IF(ISNUMBER(SEARCH(",HER4,",","&amp;SUBSTITUTE(I43,", ",",")&amp;",")),1,0)</f>
        <v>0</v>
      </c>
      <c r="AV43" s="11">
        <f>IF(ISNUMBER(SEARCH(",HRAS,",","&amp;SUBSTITUTE(I43,", ",",")&amp;",")),1,0)</f>
        <v>0</v>
      </c>
      <c r="AW43" s="11">
        <f>IF(ISNUMBER(SEARCH(",HSV-TK,",","&amp;SUBSTITUTE(I43,", ",",")&amp;",")),1,0)</f>
        <v>0</v>
      </c>
      <c r="AX43" s="11">
        <f>IF(ISNUMBER(SEARCH(",IL-12,",","&amp;SUBSTITUTE(I43,", ",",")&amp;",")),1,0)</f>
        <v>0</v>
      </c>
      <c r="AY43" s="11">
        <f>IF(ISNUMBER(SEARCH(",IL-15,",","&amp;SUBSTITUTE(I43,", ",",")&amp;",")),1,0)</f>
        <v>0</v>
      </c>
      <c r="AZ43" s="11">
        <f>IF(ISNUMBER(SEARCH(",IL-15R,",","&amp;SUBSTITUTE(I43,", ",",")&amp;",")),1,0)</f>
        <v>0</v>
      </c>
      <c r="BA43" s="11">
        <f>IF(ISNUMBER(SEARCH(",IL-2,",","&amp;SUBSTITUTE(I43,", ",",")&amp;",")),1,0)</f>
        <v>0</v>
      </c>
      <c r="BB43" s="11">
        <f>IF(ISNUMBER(SEARCH(",Integrin β6,",","&amp;SUBSTITUTE(I43,", ",",")&amp;",")),1,0)</f>
        <v>0</v>
      </c>
      <c r="BC43" s="11">
        <f>IF(ISNUMBER(SEARCH(",KDR,",","&amp;SUBSTITUTE(I43,", ",",")&amp;",")),1,0)</f>
        <v>0</v>
      </c>
      <c r="BD43" s="11">
        <f>IF(ISNUMBER(SEARCH(",KLRC1,",","&amp;SUBSTITUTE(I43,", ",",")&amp;",")),1,0)</f>
        <v>0</v>
      </c>
      <c r="BE43" s="11">
        <f>IF(ISNUMBER(SEARCH(",KRAS,",","&amp;SUBSTITUTE(I43,", ",",")&amp;",")),1,0)</f>
        <v>0</v>
      </c>
      <c r="BF43" s="11">
        <f>IF(ISNUMBER(SEARCH(",KRAS G12,",","&amp;SUBSTITUTE(I43,", ",",")&amp;",")),1,0)</f>
        <v>0</v>
      </c>
      <c r="BG43" s="11">
        <f>IF(ISNUMBER(SEARCH(",KRAS G12C,",","&amp;SUBSTITUTE(I43,", ",",")&amp;",")),1,0)</f>
        <v>0</v>
      </c>
      <c r="BH43" s="11">
        <f>IF(ISNUMBER(SEARCH(",KRAS G12D,",","&amp;SUBSTITUTE(I43,", ",",")&amp;",")),1,0)</f>
        <v>0</v>
      </c>
      <c r="BI43" s="11">
        <f>IF(ISNUMBER(SEARCH(",LAG-3,",","&amp;SUBSTITUTE(I43,", ",",")&amp;",")),1,0)</f>
        <v>0</v>
      </c>
      <c r="BJ43" s="11">
        <f>IF(ISNUMBER(SEARCH(",MAGE-A2,",","&amp;SUBSTITUTE(I43,", ",",")&amp;",")),1,0)</f>
        <v>0</v>
      </c>
      <c r="BK43" s="11">
        <f>IF(ISNUMBER(SEARCH(",MAGE-A3,",","&amp;SUBSTITUTE(I43,", ",",")&amp;",")),1,0)</f>
        <v>0</v>
      </c>
      <c r="BL43" s="11">
        <f>IF(ISNUMBER(SEARCH(",MLN19,",","&amp;SUBSTITUTE(I43,", ",",")&amp;",")),1,0)</f>
        <v>0</v>
      </c>
      <c r="BM43" s="11">
        <f>IF(ISNUMBER(SEARCH(",Microtubule,",","&amp;SUBSTITUTE(I43,", ",",")&amp;",")),1,0)</f>
        <v>0</v>
      </c>
      <c r="BN43" s="11">
        <f>IF(ISNUMBER(SEARCH(",NKG2A,",","&amp;SUBSTITUTE(I43,", ",",")&amp;",")),1,0)</f>
        <v>0</v>
      </c>
      <c r="BO43" s="11">
        <f>IF(ISNUMBER(SEARCH(",NRAS,",","&amp;SUBSTITUTE(I43,", ",",")&amp;",")),1,0)</f>
        <v>0</v>
      </c>
      <c r="BP43" s="11">
        <f>IF(ISNUMBER(SEARCH(",NTRK,",","&amp;SUBSTITUTE(I43,", ",",")&amp;",")),1,0)</f>
        <v>0</v>
      </c>
      <c r="BQ43" s="11">
        <f>IF(ISNUMBER(SEARCH(",PARP,",","&amp;SUBSTITUTE(I43,", ",",")&amp;",")),1,0)</f>
        <v>1</v>
      </c>
      <c r="BR43" s="11">
        <f>IF(ISNUMBER(SEARCH(",PD-1,",","&amp;SUBSTITUTE(I43,", ",",")&amp;",")),1,0)</f>
        <v>1</v>
      </c>
      <c r="BS43" s="11">
        <f>IF(ISNUMBER(SEARCH(",PD-L1,",","&amp;SUBSTITUTE(I43,", ",",")&amp;",")),1,0)</f>
        <v>0</v>
      </c>
      <c r="BT43" s="11">
        <f>IF(ISNUMBER(SEARCH(",PRMT5,",","&amp;SUBSTITUTE(I43,", ",",")&amp;",")),1,0)</f>
        <v>0</v>
      </c>
      <c r="BU43" s="11">
        <f>IF(ISNUMBER(SEARCH(",RAS,",","&amp;SUBSTITUTE(I43,", ",",")&amp;",")),1,0)</f>
        <v>0</v>
      </c>
      <c r="BV43" s="11">
        <f>IF(ISNUMBER(SEARCH(",RET,",","&amp;SUBSTITUTE(I43,", ",",")&amp;",")),1,0)</f>
        <v>0</v>
      </c>
      <c r="BW43" s="11">
        <f>IF(ISNUMBER(SEARCH(",ROS,",","&amp;SUBSTITUTE(I43,", ",",")&amp;",")),1,0)</f>
        <v>0</v>
      </c>
      <c r="BX43" s="11">
        <f>IF(ISNUMBER(SEARCH(",ROS1,",","&amp;SUBSTITUTE(I43,", ",",")&amp;",")),1,0)</f>
        <v>0</v>
      </c>
      <c r="BY43" s="11">
        <f>IF(ISNUMBER(SEARCH(",Src,",","&amp;SUBSTITUTE(I43,", ",",")&amp;",")),1,0)</f>
        <v>0</v>
      </c>
      <c r="BZ43" s="11">
        <f>IF(ISNUMBER(SEARCH(",TCGF,",","&amp;SUBSTITUTE(I43,", ",",")&amp;",")),1,0)</f>
        <v>0</v>
      </c>
      <c r="CA43" s="11">
        <f>IF(ISNUMBER(SEARCH(",TGF-β,",","&amp;SUBSTITUTE(I43,", ",",")&amp;",")),1,0)</f>
        <v>0</v>
      </c>
      <c r="CB43" s="11">
        <f>IF(ISNUMBER(SEARCH(",TGF-β1,",","&amp;SUBSTITUTE(I43,", ",",")&amp;",")),1,0)</f>
        <v>0</v>
      </c>
      <c r="CC43" s="11">
        <f>IF(ISNUMBER(SEARCH(",TIGIT,",","&amp;SUBSTITUTE(I43,", ",",")&amp;",")),1,0)</f>
        <v>0</v>
      </c>
      <c r="CD43" s="11">
        <f>IF(ISNUMBER(SEARCH(",TLR,",","&amp;SUBSTITUTE(I43,", ",",")&amp;",")),1,0)</f>
        <v>0</v>
      </c>
      <c r="CE43" s="11">
        <f>IF(ISNUMBER(SEARCH(",TLR7/8,",","&amp;SUBSTITUTE(I43,", ",",")&amp;",")),1,0)</f>
        <v>0</v>
      </c>
      <c r="CF43" s="11">
        <f>IF(ISNUMBER(SEARCH(",TRK,",","&amp;SUBSTITUTE(I43,", ",",")&amp;",")),1,0)</f>
        <v>0</v>
      </c>
      <c r="CG43" s="11">
        <f>IF(ISNUMBER(SEARCH(",TROP2,",","&amp;SUBSTITUTE(I43,", ",",")&amp;",")),1,0)</f>
        <v>0</v>
      </c>
      <c r="CH43" s="11">
        <f>IF(ISNUMBER(SEARCH(",TS,",","&amp;SUBSTITUTE(I43,", ",",")&amp;",")),1,0)</f>
        <v>0</v>
      </c>
      <c r="CI43" s="11">
        <f>IF(ISNUMBER(SEARCH(",TYMS,",","&amp;SUBSTITUTE(I43,", ",",")&amp;",")),1,0)</f>
        <v>0</v>
      </c>
      <c r="CJ43" s="11">
        <f>IF(ISNUMBER(SEARCH(",VEGF,",","&amp;SUBSTITUTE(I43,", ",",")&amp;",")),1,0)</f>
        <v>0</v>
      </c>
      <c r="CK43" s="11">
        <f>IF(ISNUMBER(SEARCH(",VEGFA,",","&amp;SUBSTITUTE(I43,", ",",")&amp;",")),1,0)</f>
        <v>0</v>
      </c>
      <c r="CL43" s="11">
        <f>IF(ISNUMBER(SEARCH(",VEGFR2,",","&amp;SUBSTITUTE(I43,", ",",")&amp;",")),1,0)</f>
        <v>0</v>
      </c>
      <c r="CM43" s="11">
        <f>IF(ISNUMBER(SEARCH(",c-MET/MET,",","&amp;SUBSTITUTE(I43,", ",",")&amp;",")),1,0)</f>
        <v>0</v>
      </c>
      <c r="CN43" s="11">
        <f>IF(ISNUMBER(SEARCH(",p53,",","&amp;SUBSTITUTE(I43,", ",",")&amp;",")),1,0)</f>
        <v>0</v>
      </c>
      <c r="CO43" s="11">
        <f>IF(ISNUMBER(SEARCH(",pan-KRAS,",","&amp;SUBSTITUTE(I43,", ",",")&amp;",")),1,0)</f>
        <v>0</v>
      </c>
      <c r="CP43" s="11">
        <f>IF(ISNUMBER(SEARCH(",ALK,",","&amp;SUBSTITUTE(K43,", ",",")&amp;",")),1,0)</f>
        <v>0</v>
      </c>
      <c r="CQ43" s="11">
        <f>IF(ISNUMBER(SEARCH(",BRAF V600E,",","&amp;SUBSTITUTE(K43,", ",",")&amp;",")),1,0)</f>
        <v>0</v>
      </c>
      <c r="CR43" s="11">
        <f>IF(ISNUMBER(SEARCH(",EGFR,",","&amp;SUBSTITUTE(K43,", ",",")&amp;",")),1,0)</f>
        <v>0</v>
      </c>
      <c r="CS43" s="11">
        <f>IF(ISNUMBER(SEARCH(",EGFR Exon 18,",","&amp;SUBSTITUTE(K43,", ",",")&amp;",")),1,0)</f>
        <v>0</v>
      </c>
      <c r="CT43" s="11">
        <f>IF(ISNUMBER(SEARCH(",EGFR Exon 19-del,",","&amp;SUBSTITUTE(K43,", ",",")&amp;",")),1,0)</f>
        <v>0</v>
      </c>
      <c r="CU43" s="11">
        <f>IF(ISNUMBER(SEARCH(",EGFR Exon 20,",","&amp;SUBSTITUTE(K43,", ",",")&amp;",")),1,0)</f>
        <v>0</v>
      </c>
      <c r="CV43" s="11">
        <f>IF(ISNUMBER(SEARCH(",EGFR Exon 20-ins,",","&amp;SUBSTITUTE(K43,", ",",")&amp;",")),1,0)</f>
        <v>0</v>
      </c>
      <c r="CW43" s="11">
        <f>IF(ISNUMBER(SEARCH(",EGFR Exon 21,",","&amp;SUBSTITUTE(K43,", ",",")&amp;",")),1,0)</f>
        <v>0</v>
      </c>
      <c r="CX43" s="11">
        <f>IF(ISNUMBER(SEARCH(",EGFR G719A,",","&amp;SUBSTITUTE(K43,", ",",")&amp;",")),1,0)</f>
        <v>0</v>
      </c>
      <c r="CY43" s="11">
        <f>IF(ISNUMBER(SEARCH(",EGFR G719C,",","&amp;SUBSTITUTE(K43,", ",",")&amp;",")),1,0)</f>
        <v>0</v>
      </c>
      <c r="CZ43" s="11">
        <f>IF(ISNUMBER(SEARCH(",EGFR G719S,",","&amp;SUBSTITUTE(K43,", ",",")&amp;",")),1,0)</f>
        <v>0</v>
      </c>
      <c r="DA43" s="11">
        <f>IF(ISNUMBER(SEARCH(",EGFR G719X,",","&amp;SUBSTITUTE(K43,", ",",")&amp;",")),1,0)</f>
        <v>0</v>
      </c>
      <c r="DB43" s="11">
        <f>IF(ISNUMBER(SEARCH(",EGFR L858R,",","&amp;SUBSTITUTE(K43,", ",",")&amp;",")),1,0)</f>
        <v>0</v>
      </c>
      <c r="DC43" s="11">
        <f>IF(ISNUMBER(SEARCH(",EGFR L861Q,",","&amp;SUBSTITUTE(K43,", ",",")&amp;",")),1,0)</f>
        <v>0</v>
      </c>
      <c r="DD43" s="11">
        <f>IF(ISNUMBER(SEARCH(",EGFR PACC,",","&amp;SUBSTITUTE(K43,", ",",")&amp;",")),1,0)</f>
        <v>0</v>
      </c>
      <c r="DE43" s="11">
        <f>IF(ISNUMBER(SEARCH(",EGFR S768I,",","&amp;SUBSTITUTE(K43,", ",",")&amp;",")),1,0)</f>
        <v>0</v>
      </c>
      <c r="DF43" s="11">
        <f>IF(ISNUMBER(SEARCH(",EGFR T790M,",","&amp;SUBSTITUTE(K43,", ",",")&amp;",")),1,0)</f>
        <v>0</v>
      </c>
      <c r="DG43" s="11">
        <f>IF(ISNUMBER(SEARCH(",EML4-ALK,",","&amp;SUBSTITUTE(K43,", ",",")&amp;",")),1,0)</f>
        <v>0</v>
      </c>
      <c r="DH43" s="11">
        <f>IF(ISNUMBER(SEARCH(",HER2,",","&amp;SUBSTITUTE(K43,", ",",")&amp;",")),1,0)</f>
        <v>0</v>
      </c>
      <c r="DI43" s="11">
        <f>IF(ISNUMBER(SEARCH(",HER2 Exon 19,",","&amp;SUBSTITUTE(K43,", ",",")&amp;",")),1,0)</f>
        <v>0</v>
      </c>
      <c r="DJ43" s="11">
        <f>IF(ISNUMBER(SEARCH(",HER2 Exon 20,",","&amp;SUBSTITUTE(K43,", ",",")&amp;",")),1,0)</f>
        <v>0</v>
      </c>
      <c r="DK43" s="11">
        <f>IF(ISNUMBER(SEARCH(",HER2 mut,",","&amp;SUBSTITUTE(K43,", ",",")&amp;",")),1,0)</f>
        <v>0</v>
      </c>
      <c r="DL43" s="11">
        <f>IF(ISNUMBER(SEARCH(",HLA-A2,",","&amp;SUBSTITUTE(K43,", ",",")&amp;",")),1,0)</f>
        <v>0</v>
      </c>
      <c r="DM43" s="11">
        <f>IF(ISNUMBER(SEARCH(",HRAS,",","&amp;SUBSTITUTE(K43,", ",",")&amp;",")),1,0)</f>
        <v>0</v>
      </c>
      <c r="DN43" s="11">
        <f>IF(ISNUMBER(SEARCH(",KRAS,",","&amp;SUBSTITUTE(K43,", ",",")&amp;",")),1,0)</f>
        <v>0</v>
      </c>
      <c r="DO43" s="11">
        <f>IF(ISNUMBER(SEARCH(",KRAS G12C,",","&amp;SUBSTITUTE(K43,", ",",")&amp;",")),1,0)</f>
        <v>0</v>
      </c>
      <c r="DP43" s="11">
        <f>IF(ISNUMBER(SEARCH(",NRAS,",","&amp;SUBSTITUTE(K43,", ",",")&amp;",")),1,0)</f>
        <v>0</v>
      </c>
      <c r="DQ43" s="11">
        <f>IF(ISNUMBER(SEARCH(",NTRK,",","&amp;SUBSTITUTE(K43,", ",",")&amp;",")),1,0)</f>
        <v>0</v>
      </c>
      <c r="DR43" s="11">
        <f>IF(ISNUMBER(SEARCH(",PD-L1,",","&amp;SUBSTITUTE(K43,", ",",")&amp;",")),1,0)</f>
        <v>0</v>
      </c>
      <c r="DS43" s="11">
        <f>IF(ISNUMBER(SEARCH(",PD-L1 IC ≥ 1%,",","&amp;SUBSTITUTE(K43,", ",",")&amp;",")),1,0)</f>
        <v>0</v>
      </c>
      <c r="DT43" s="11">
        <f>IF(ISNUMBER(SEARCH(",PD-L1 TC ≥ 1%,",","&amp;SUBSTITUTE(K43,", ",",")&amp;",")),1,0)</f>
        <v>0</v>
      </c>
      <c r="DU43" s="11">
        <f>IF(ISNUMBER(SEARCH(",PD-L1 TC ≥ 50%,",","&amp;SUBSTITUTE(K43,", ",",")&amp;",")),1,0)</f>
        <v>0</v>
      </c>
      <c r="DV43" s="11">
        <f>IF(ISNUMBER(SEARCH(",PD-L1 TPS &lt; 50%,",","&amp;SUBSTITUTE(K43,", ",",")&amp;",")),1,0)</f>
        <v>0</v>
      </c>
      <c r="DW43" s="11">
        <f>IF(ISNUMBER(SEARCH(",PD-L1 TPS ≥ 1%,",","&amp;SUBSTITUTE(K43,", ",",")&amp;",")),1,0)</f>
        <v>0</v>
      </c>
      <c r="DX43" s="11">
        <f>IF(ISNUMBER(SEARCH(",PD-L1 TPS ≥ 50%,",","&amp;SUBSTITUTE(K43,", ",",")&amp;",")),1,0)</f>
        <v>0</v>
      </c>
      <c r="DY43" s="11">
        <f>IF(ISNUMBER(SEARCH(",RAS,",","&amp;SUBSTITUTE(K43,", ",",")&amp;",")),1,0)</f>
        <v>0</v>
      </c>
      <c r="DZ43" s="11">
        <f>IF(ISNUMBER(SEARCH(",RET,",","&amp;SUBSTITUTE(K43,", ",",")&amp;",")),1,0)</f>
        <v>0</v>
      </c>
      <c r="EA43" s="11">
        <f>IF(ISNUMBER(SEARCH(",ROS1,",","&amp;SUBSTITUTE(K43,", ",",")&amp;",")),1,0)</f>
        <v>0</v>
      </c>
      <c r="EB43" s="11">
        <f>IF(ISNUMBER(SEARCH(",TROP2,",","&amp;SUBSTITUTE(K43,", ",",")&amp;",")),1,0)</f>
        <v>0</v>
      </c>
      <c r="EC43" s="11">
        <f>IF(ISNUMBER(SEARCH(",c-MET/MET,",","&amp;SUBSTITUTE(K43,", ",",")&amp;",")),1,0)</f>
        <v>0</v>
      </c>
      <c r="ED43" s="11">
        <f>IF(ISNUMBER(SEARCH(",c-MET/MET Exon 14,",","&amp;SUBSTITUTE(K43,", ",",")&amp;",")),1,0)</f>
        <v>0</v>
      </c>
      <c r="EE43" s="11">
        <f>IF(ISNUMBER(SEARCH(",ctDNA/cfDNA,",","&amp;SUBSTITUTE(K43,", ",",")&amp;",")),1,0)</f>
        <v>0</v>
      </c>
    </row>
    <row r="44" spans="1:135" ht="15" customHeight="1" x14ac:dyDescent="0.2">
      <c r="A44" s="3" t="s">
        <v>931</v>
      </c>
      <c r="B44" s="3" t="s">
        <v>932</v>
      </c>
      <c r="C44" s="3" t="s">
        <v>350</v>
      </c>
      <c r="D44" s="3" t="s">
        <v>350</v>
      </c>
      <c r="E44" s="3" t="s">
        <v>350</v>
      </c>
      <c r="F44" s="3" t="s">
        <v>351</v>
      </c>
      <c r="G44" s="3"/>
      <c r="H44" s="3" t="s">
        <v>114</v>
      </c>
      <c r="I44" s="3" t="s">
        <v>936</v>
      </c>
      <c r="J44" s="3" t="s">
        <v>935</v>
      </c>
      <c r="K44" s="3"/>
      <c r="L44" s="3" t="s">
        <v>119</v>
      </c>
      <c r="M44" s="3" t="s">
        <v>113</v>
      </c>
      <c r="N44" s="3" t="s">
        <v>120</v>
      </c>
      <c r="O44" s="3" t="s">
        <v>120</v>
      </c>
      <c r="P44" s="3" t="s">
        <v>933</v>
      </c>
      <c r="Q44" s="10" t="str">
        <f>IF(F44="Stage IV","Stage IV Only",IF(AND(ISNUMBER(SEARCH("IV",F44)),LEN(F44)&gt;LEN("Stage IV")),"Stage IV + Other",IF(AND(ISNUMBER(SEARCH("III",F44)),NOT(ISNUMBER(SEARCH("IV",F44)))),"Stage III Only","Other")))</f>
        <v>Stage III Only</v>
      </c>
      <c r="R44" s="10" t="str">
        <f>IF(AND(ISNUMBER(SEARCH("Non-squamous",G44)),ISNUMBER(SEARCH("Squamous",SUBSTITUTE(G44,"Non-squamous","")))),"Both",IF(ISNUMBER(SEARCH("Non-squamous",G44)),"Non-squamous",IF(ISNUMBER(SEARCH("Squamous",G44)),"Squamous","Unspecified")))</f>
        <v>Unspecified</v>
      </c>
      <c r="S44" s="10" t="str">
        <f>IF(OR(ISNUMBER(SEARCH("TPS ≥ 50%",K44)),ISNUMBER(SEARCH("TC ≥ 50%",K44))),"TPS ≥ 50%",IF(OR(ISNUMBER(SEARCH("TPS ≥ 1%",K44)),ISNUMBER(SEARCH("TC ≥ 1%",K44)),ISNUMBER(SEARCH("TPS &lt; 50%",K44)),ISNUMBER(SEARCH("IC ≥ 1%",K44))),"TPS 1-49%","All-comers"))</f>
        <v>All-comers</v>
      </c>
      <c r="T44" s="10">
        <f>IF(H44="Phase III",1,0)</f>
        <v>1</v>
      </c>
      <c r="U44" s="10">
        <f>IF(L44="Yes",1,0)</f>
        <v>0</v>
      </c>
      <c r="V44" s="11">
        <f>IF(ISNUMBER(SEARCH(",ALK,",","&amp;SUBSTITUTE(I44,", ",",")&amp;",")),1,0)</f>
        <v>0</v>
      </c>
      <c r="W44" s="11">
        <f>IF(ISNUMBER(SEARCH(",ALK L1196M,",","&amp;SUBSTITUTE(I44,", ",",")&amp;",")),1,0)</f>
        <v>0</v>
      </c>
      <c r="X44" s="11">
        <f>IF(ISNUMBER(SEARCH(",AXL,",","&amp;SUBSTITUTE(I44,", ",",")&amp;",")),1,0)</f>
        <v>0</v>
      </c>
      <c r="Y44" s="11">
        <f>IF(ISNUMBER(SEARCH(",B7-H1,",","&amp;SUBSTITUTE(I44,", ",",")&amp;",")),1,0)</f>
        <v>1</v>
      </c>
      <c r="Z44" s="11">
        <f>IF(ISNUMBER(SEARCH(",CD152,",","&amp;SUBSTITUTE(I44,", ",",")&amp;",")),1,0)</f>
        <v>0</v>
      </c>
      <c r="AA44" s="11">
        <f>IF(ISNUMBER(SEARCH(",CD274,",","&amp;SUBSTITUTE(I44,", ",",")&amp;",")),1,0)</f>
        <v>1</v>
      </c>
      <c r="AB44" s="11">
        <f>IF(ISNUMBER(SEARCH(",CD279,",","&amp;SUBSTITUTE(I44,", ",",")&amp;",")),1,0)</f>
        <v>0</v>
      </c>
      <c r="AC44" s="11">
        <f>IF(ISNUMBER(SEARCH(",CD73,",","&amp;SUBSTITUTE(I44,", ",",")&amp;",")),1,0)</f>
        <v>1</v>
      </c>
      <c r="AD44" s="11">
        <f>IF(ISNUMBER(SEARCH(",CEA,",","&amp;SUBSTITUTE(I44,", ",",")&amp;",")),1,0)</f>
        <v>0</v>
      </c>
      <c r="AE44" s="11">
        <f>IF(ISNUMBER(SEARCH(",CTLA-4,",","&amp;SUBSTITUTE(I44,", ",",")&amp;",")),1,0)</f>
        <v>0</v>
      </c>
      <c r="AF44" s="11">
        <f>IF(ISNUMBER(SEARCH(",EGFR,",","&amp;SUBSTITUTE(I44,", ",",")&amp;",")),1,0)</f>
        <v>0</v>
      </c>
      <c r="AG44" s="11">
        <f>IF(ISNUMBER(SEARCH(",EGFR C797G,",","&amp;SUBSTITUTE(I44,", ",",")&amp;",")),1,0)</f>
        <v>0</v>
      </c>
      <c r="AH44" s="11">
        <f>IF(ISNUMBER(SEARCH(",EGFR C797S,",","&amp;SUBSTITUTE(I44,", ",",")&amp;",")),1,0)</f>
        <v>0</v>
      </c>
      <c r="AI44" s="11">
        <f>IF(ISNUMBER(SEARCH(",EGFR Exon 19-del,",","&amp;SUBSTITUTE(I44,", ",",")&amp;",")),1,0)</f>
        <v>0</v>
      </c>
      <c r="AJ44" s="11">
        <f>IF(ISNUMBER(SEARCH(",EGFR Exon 20,",","&amp;SUBSTITUTE(I44,", ",",")&amp;",")),1,0)</f>
        <v>0</v>
      </c>
      <c r="AK44" s="11">
        <f>IF(ISNUMBER(SEARCH(",EGFR L858R,",","&amp;SUBSTITUTE(I44,", ",",")&amp;",")),1,0)</f>
        <v>0</v>
      </c>
      <c r="AL44" s="11">
        <f>IF(ISNUMBER(SEARCH(",EGFR T790M,",","&amp;SUBSTITUTE(I44,", ",",")&amp;",")),1,0)</f>
        <v>0</v>
      </c>
      <c r="AM44" s="11">
        <f>IF(ISNUMBER(SEARCH(",ERBB,",","&amp;SUBSTITUTE(I44,", ",",")&amp;",")),1,0)</f>
        <v>0</v>
      </c>
      <c r="AN44" s="11">
        <f>IF(ISNUMBER(SEARCH(",ERBB3,",","&amp;SUBSTITUTE(I44,", ",",")&amp;",")),1,0)</f>
        <v>0</v>
      </c>
      <c r="AO44" s="11">
        <f>IF(ISNUMBER(SEARCH(",FAK,",","&amp;SUBSTITUTE(I44,", ",",")&amp;",")),1,0)</f>
        <v>0</v>
      </c>
      <c r="AP44" s="11">
        <f>IF(ISNUMBER(SEARCH(",GARP,",","&amp;SUBSTITUTE(I44,", ",",")&amp;",")),1,0)</f>
        <v>0</v>
      </c>
      <c r="AQ44" s="11">
        <f>IF(ISNUMBER(SEARCH(",HER1,",","&amp;SUBSTITUTE(I44,", ",",")&amp;",")),1,0)</f>
        <v>0</v>
      </c>
      <c r="AR44" s="11">
        <f>IF(ISNUMBER(SEARCH(",HER2,",","&amp;SUBSTITUTE(I44,", ",",")&amp;",")),1,0)</f>
        <v>0</v>
      </c>
      <c r="AS44" s="11">
        <f>IF(ISNUMBER(SEARCH(",HER2 Exon 20,",","&amp;SUBSTITUTE(I44,", ",",")&amp;",")),1,0)</f>
        <v>0</v>
      </c>
      <c r="AT44" s="11">
        <f>IF(ISNUMBER(SEARCH(",HER3,",","&amp;SUBSTITUTE(I44,", ",",")&amp;",")),1,0)</f>
        <v>0</v>
      </c>
      <c r="AU44" s="11">
        <f>IF(ISNUMBER(SEARCH(",HER4,",","&amp;SUBSTITUTE(I44,", ",",")&amp;",")),1,0)</f>
        <v>0</v>
      </c>
      <c r="AV44" s="11">
        <f>IF(ISNUMBER(SEARCH(",HRAS,",","&amp;SUBSTITUTE(I44,", ",",")&amp;",")),1,0)</f>
        <v>0</v>
      </c>
      <c r="AW44" s="11">
        <f>IF(ISNUMBER(SEARCH(",HSV-TK,",","&amp;SUBSTITUTE(I44,", ",",")&amp;",")),1,0)</f>
        <v>0</v>
      </c>
      <c r="AX44" s="11">
        <f>IF(ISNUMBER(SEARCH(",IL-12,",","&amp;SUBSTITUTE(I44,", ",",")&amp;",")),1,0)</f>
        <v>0</v>
      </c>
      <c r="AY44" s="11">
        <f>IF(ISNUMBER(SEARCH(",IL-15,",","&amp;SUBSTITUTE(I44,", ",",")&amp;",")),1,0)</f>
        <v>0</v>
      </c>
      <c r="AZ44" s="11">
        <f>IF(ISNUMBER(SEARCH(",IL-15R,",","&amp;SUBSTITUTE(I44,", ",",")&amp;",")),1,0)</f>
        <v>0</v>
      </c>
      <c r="BA44" s="11">
        <f>IF(ISNUMBER(SEARCH(",IL-2,",","&amp;SUBSTITUTE(I44,", ",",")&amp;",")),1,0)</f>
        <v>0</v>
      </c>
      <c r="BB44" s="11">
        <f>IF(ISNUMBER(SEARCH(",Integrin β6,",","&amp;SUBSTITUTE(I44,", ",",")&amp;",")),1,0)</f>
        <v>0</v>
      </c>
      <c r="BC44" s="11">
        <f>IF(ISNUMBER(SEARCH(",KDR,",","&amp;SUBSTITUTE(I44,", ",",")&amp;",")),1,0)</f>
        <v>0</v>
      </c>
      <c r="BD44" s="11">
        <f>IF(ISNUMBER(SEARCH(",KLRC1,",","&amp;SUBSTITUTE(I44,", ",",")&amp;",")),1,0)</f>
        <v>0</v>
      </c>
      <c r="BE44" s="11">
        <f>IF(ISNUMBER(SEARCH(",KRAS,",","&amp;SUBSTITUTE(I44,", ",",")&amp;",")),1,0)</f>
        <v>0</v>
      </c>
      <c r="BF44" s="11">
        <f>IF(ISNUMBER(SEARCH(",KRAS G12,",","&amp;SUBSTITUTE(I44,", ",",")&amp;",")),1,0)</f>
        <v>0</v>
      </c>
      <c r="BG44" s="11">
        <f>IF(ISNUMBER(SEARCH(",KRAS G12C,",","&amp;SUBSTITUTE(I44,", ",",")&amp;",")),1,0)</f>
        <v>0</v>
      </c>
      <c r="BH44" s="11">
        <f>IF(ISNUMBER(SEARCH(",KRAS G12D,",","&amp;SUBSTITUTE(I44,", ",",")&amp;",")),1,0)</f>
        <v>0</v>
      </c>
      <c r="BI44" s="11">
        <f>IF(ISNUMBER(SEARCH(",LAG-3,",","&amp;SUBSTITUTE(I44,", ",",")&amp;",")),1,0)</f>
        <v>0</v>
      </c>
      <c r="BJ44" s="11">
        <f>IF(ISNUMBER(SEARCH(",MAGE-A2,",","&amp;SUBSTITUTE(I44,", ",",")&amp;",")),1,0)</f>
        <v>0</v>
      </c>
      <c r="BK44" s="11">
        <f>IF(ISNUMBER(SEARCH(",MAGE-A3,",","&amp;SUBSTITUTE(I44,", ",",")&amp;",")),1,0)</f>
        <v>0</v>
      </c>
      <c r="BL44" s="11">
        <f>IF(ISNUMBER(SEARCH(",MLN19,",","&amp;SUBSTITUTE(I44,", ",",")&amp;",")),1,0)</f>
        <v>0</v>
      </c>
      <c r="BM44" s="11">
        <f>IF(ISNUMBER(SEARCH(",Microtubule,",","&amp;SUBSTITUTE(I44,", ",",")&amp;",")),1,0)</f>
        <v>0</v>
      </c>
      <c r="BN44" s="11">
        <f>IF(ISNUMBER(SEARCH(",NKG2A,",","&amp;SUBSTITUTE(I44,", ",",")&amp;",")),1,0)</f>
        <v>0</v>
      </c>
      <c r="BO44" s="11">
        <f>IF(ISNUMBER(SEARCH(",NRAS,",","&amp;SUBSTITUTE(I44,", ",",")&amp;",")),1,0)</f>
        <v>0</v>
      </c>
      <c r="BP44" s="11">
        <f>IF(ISNUMBER(SEARCH(",NTRK,",","&amp;SUBSTITUTE(I44,", ",",")&amp;",")),1,0)</f>
        <v>0</v>
      </c>
      <c r="BQ44" s="11">
        <f>IF(ISNUMBER(SEARCH(",PARP,",","&amp;SUBSTITUTE(I44,", ",",")&amp;",")),1,0)</f>
        <v>0</v>
      </c>
      <c r="BR44" s="11">
        <f>IF(ISNUMBER(SEARCH(",PD-1,",","&amp;SUBSTITUTE(I44,", ",",")&amp;",")),1,0)</f>
        <v>0</v>
      </c>
      <c r="BS44" s="11">
        <f>IF(ISNUMBER(SEARCH(",PD-L1,",","&amp;SUBSTITUTE(I44,", ",",")&amp;",")),1,0)</f>
        <v>1</v>
      </c>
      <c r="BT44" s="11">
        <f>IF(ISNUMBER(SEARCH(",PRMT5,",","&amp;SUBSTITUTE(I44,", ",",")&amp;",")),1,0)</f>
        <v>0</v>
      </c>
      <c r="BU44" s="11">
        <f>IF(ISNUMBER(SEARCH(",RAS,",","&amp;SUBSTITUTE(I44,", ",",")&amp;",")),1,0)</f>
        <v>0</v>
      </c>
      <c r="BV44" s="11">
        <f>IF(ISNUMBER(SEARCH(",RET,",","&amp;SUBSTITUTE(I44,", ",",")&amp;",")),1,0)</f>
        <v>0</v>
      </c>
      <c r="BW44" s="11">
        <f>IF(ISNUMBER(SEARCH(",ROS,",","&amp;SUBSTITUTE(I44,", ",",")&amp;",")),1,0)</f>
        <v>0</v>
      </c>
      <c r="BX44" s="11">
        <f>IF(ISNUMBER(SEARCH(",ROS1,",","&amp;SUBSTITUTE(I44,", ",",")&amp;",")),1,0)</f>
        <v>0</v>
      </c>
      <c r="BY44" s="11">
        <f>IF(ISNUMBER(SEARCH(",Src,",","&amp;SUBSTITUTE(I44,", ",",")&amp;",")),1,0)</f>
        <v>0</v>
      </c>
      <c r="BZ44" s="11">
        <f>IF(ISNUMBER(SEARCH(",TCGF,",","&amp;SUBSTITUTE(I44,", ",",")&amp;",")),1,0)</f>
        <v>0</v>
      </c>
      <c r="CA44" s="11">
        <f>IF(ISNUMBER(SEARCH(",TGF-β,",","&amp;SUBSTITUTE(I44,", ",",")&amp;",")),1,0)</f>
        <v>0</v>
      </c>
      <c r="CB44" s="11">
        <f>IF(ISNUMBER(SEARCH(",TGF-β1,",","&amp;SUBSTITUTE(I44,", ",",")&amp;",")),1,0)</f>
        <v>0</v>
      </c>
      <c r="CC44" s="11">
        <f>IF(ISNUMBER(SEARCH(",TIGIT,",","&amp;SUBSTITUTE(I44,", ",",")&amp;",")),1,0)</f>
        <v>0</v>
      </c>
      <c r="CD44" s="11">
        <f>IF(ISNUMBER(SEARCH(",TLR,",","&amp;SUBSTITUTE(I44,", ",",")&amp;",")),1,0)</f>
        <v>0</v>
      </c>
      <c r="CE44" s="11">
        <f>IF(ISNUMBER(SEARCH(",TLR7/8,",","&amp;SUBSTITUTE(I44,", ",",")&amp;",")),1,0)</f>
        <v>0</v>
      </c>
      <c r="CF44" s="11">
        <f>IF(ISNUMBER(SEARCH(",TRK,",","&amp;SUBSTITUTE(I44,", ",",")&amp;",")),1,0)</f>
        <v>0</v>
      </c>
      <c r="CG44" s="11">
        <f>IF(ISNUMBER(SEARCH(",TROP2,",","&amp;SUBSTITUTE(I44,", ",",")&amp;",")),1,0)</f>
        <v>0</v>
      </c>
      <c r="CH44" s="11">
        <f>IF(ISNUMBER(SEARCH(",TS,",","&amp;SUBSTITUTE(I44,", ",",")&amp;",")),1,0)</f>
        <v>0</v>
      </c>
      <c r="CI44" s="11">
        <f>IF(ISNUMBER(SEARCH(",TYMS,",","&amp;SUBSTITUTE(I44,", ",",")&amp;",")),1,0)</f>
        <v>0</v>
      </c>
      <c r="CJ44" s="11">
        <f>IF(ISNUMBER(SEARCH(",VEGF,",","&amp;SUBSTITUTE(I44,", ",",")&amp;",")),1,0)</f>
        <v>0</v>
      </c>
      <c r="CK44" s="11">
        <f>IF(ISNUMBER(SEARCH(",VEGFA,",","&amp;SUBSTITUTE(I44,", ",",")&amp;",")),1,0)</f>
        <v>0</v>
      </c>
      <c r="CL44" s="11">
        <f>IF(ISNUMBER(SEARCH(",VEGFR2,",","&amp;SUBSTITUTE(I44,", ",",")&amp;",")),1,0)</f>
        <v>0</v>
      </c>
      <c r="CM44" s="11">
        <f>IF(ISNUMBER(SEARCH(",c-MET/MET,",","&amp;SUBSTITUTE(I44,", ",",")&amp;",")),1,0)</f>
        <v>0</v>
      </c>
      <c r="CN44" s="11">
        <f>IF(ISNUMBER(SEARCH(",p53,",","&amp;SUBSTITUTE(I44,", ",",")&amp;",")),1,0)</f>
        <v>0</v>
      </c>
      <c r="CO44" s="11">
        <f>IF(ISNUMBER(SEARCH(",pan-KRAS,",","&amp;SUBSTITUTE(I44,", ",",")&amp;",")),1,0)</f>
        <v>0</v>
      </c>
      <c r="CP44" s="11">
        <f>IF(ISNUMBER(SEARCH(",ALK,",","&amp;SUBSTITUTE(K44,", ",",")&amp;",")),1,0)</f>
        <v>0</v>
      </c>
      <c r="CQ44" s="11">
        <f>IF(ISNUMBER(SEARCH(",BRAF V600E,",","&amp;SUBSTITUTE(K44,", ",",")&amp;",")),1,0)</f>
        <v>0</v>
      </c>
      <c r="CR44" s="11">
        <f>IF(ISNUMBER(SEARCH(",EGFR,",","&amp;SUBSTITUTE(K44,", ",",")&amp;",")),1,0)</f>
        <v>0</v>
      </c>
      <c r="CS44" s="11">
        <f>IF(ISNUMBER(SEARCH(",EGFR Exon 18,",","&amp;SUBSTITUTE(K44,", ",",")&amp;",")),1,0)</f>
        <v>0</v>
      </c>
      <c r="CT44" s="11">
        <f>IF(ISNUMBER(SEARCH(",EGFR Exon 19-del,",","&amp;SUBSTITUTE(K44,", ",",")&amp;",")),1,0)</f>
        <v>0</v>
      </c>
      <c r="CU44" s="11">
        <f>IF(ISNUMBER(SEARCH(",EGFR Exon 20,",","&amp;SUBSTITUTE(K44,", ",",")&amp;",")),1,0)</f>
        <v>0</v>
      </c>
      <c r="CV44" s="11">
        <f>IF(ISNUMBER(SEARCH(",EGFR Exon 20-ins,",","&amp;SUBSTITUTE(K44,", ",",")&amp;",")),1,0)</f>
        <v>0</v>
      </c>
      <c r="CW44" s="11">
        <f>IF(ISNUMBER(SEARCH(",EGFR Exon 21,",","&amp;SUBSTITUTE(K44,", ",",")&amp;",")),1,0)</f>
        <v>0</v>
      </c>
      <c r="CX44" s="11">
        <f>IF(ISNUMBER(SEARCH(",EGFR G719A,",","&amp;SUBSTITUTE(K44,", ",",")&amp;",")),1,0)</f>
        <v>0</v>
      </c>
      <c r="CY44" s="11">
        <f>IF(ISNUMBER(SEARCH(",EGFR G719C,",","&amp;SUBSTITUTE(K44,", ",",")&amp;",")),1,0)</f>
        <v>0</v>
      </c>
      <c r="CZ44" s="11">
        <f>IF(ISNUMBER(SEARCH(",EGFR G719S,",","&amp;SUBSTITUTE(K44,", ",",")&amp;",")),1,0)</f>
        <v>0</v>
      </c>
      <c r="DA44" s="11">
        <f>IF(ISNUMBER(SEARCH(",EGFR G719X,",","&amp;SUBSTITUTE(K44,", ",",")&amp;",")),1,0)</f>
        <v>0</v>
      </c>
      <c r="DB44" s="11">
        <f>IF(ISNUMBER(SEARCH(",EGFR L858R,",","&amp;SUBSTITUTE(K44,", ",",")&amp;",")),1,0)</f>
        <v>0</v>
      </c>
      <c r="DC44" s="11">
        <f>IF(ISNUMBER(SEARCH(",EGFR L861Q,",","&amp;SUBSTITUTE(K44,", ",",")&amp;",")),1,0)</f>
        <v>0</v>
      </c>
      <c r="DD44" s="11">
        <f>IF(ISNUMBER(SEARCH(",EGFR PACC,",","&amp;SUBSTITUTE(K44,", ",",")&amp;",")),1,0)</f>
        <v>0</v>
      </c>
      <c r="DE44" s="11">
        <f>IF(ISNUMBER(SEARCH(",EGFR S768I,",","&amp;SUBSTITUTE(K44,", ",",")&amp;",")),1,0)</f>
        <v>0</v>
      </c>
      <c r="DF44" s="11">
        <f>IF(ISNUMBER(SEARCH(",EGFR T790M,",","&amp;SUBSTITUTE(K44,", ",",")&amp;",")),1,0)</f>
        <v>0</v>
      </c>
      <c r="DG44" s="11">
        <f>IF(ISNUMBER(SEARCH(",EML4-ALK,",","&amp;SUBSTITUTE(K44,", ",",")&amp;",")),1,0)</f>
        <v>0</v>
      </c>
      <c r="DH44" s="11">
        <f>IF(ISNUMBER(SEARCH(",HER2,",","&amp;SUBSTITUTE(K44,", ",",")&amp;",")),1,0)</f>
        <v>0</v>
      </c>
      <c r="DI44" s="11">
        <f>IF(ISNUMBER(SEARCH(",HER2 Exon 19,",","&amp;SUBSTITUTE(K44,", ",",")&amp;",")),1,0)</f>
        <v>0</v>
      </c>
      <c r="DJ44" s="11">
        <f>IF(ISNUMBER(SEARCH(",HER2 Exon 20,",","&amp;SUBSTITUTE(K44,", ",",")&amp;",")),1,0)</f>
        <v>0</v>
      </c>
      <c r="DK44" s="11">
        <f>IF(ISNUMBER(SEARCH(",HER2 mut,",","&amp;SUBSTITUTE(K44,", ",",")&amp;",")),1,0)</f>
        <v>0</v>
      </c>
      <c r="DL44" s="11">
        <f>IF(ISNUMBER(SEARCH(",HLA-A2,",","&amp;SUBSTITUTE(K44,", ",",")&amp;",")),1,0)</f>
        <v>0</v>
      </c>
      <c r="DM44" s="11">
        <f>IF(ISNUMBER(SEARCH(",HRAS,",","&amp;SUBSTITUTE(K44,", ",",")&amp;",")),1,0)</f>
        <v>0</v>
      </c>
      <c r="DN44" s="11">
        <f>IF(ISNUMBER(SEARCH(",KRAS,",","&amp;SUBSTITUTE(K44,", ",",")&amp;",")),1,0)</f>
        <v>0</v>
      </c>
      <c r="DO44" s="11">
        <f>IF(ISNUMBER(SEARCH(",KRAS G12C,",","&amp;SUBSTITUTE(K44,", ",",")&amp;",")),1,0)</f>
        <v>0</v>
      </c>
      <c r="DP44" s="11">
        <f>IF(ISNUMBER(SEARCH(",NRAS,",","&amp;SUBSTITUTE(K44,", ",",")&amp;",")),1,0)</f>
        <v>0</v>
      </c>
      <c r="DQ44" s="11">
        <f>IF(ISNUMBER(SEARCH(",NTRK,",","&amp;SUBSTITUTE(K44,", ",",")&amp;",")),1,0)</f>
        <v>0</v>
      </c>
      <c r="DR44" s="11">
        <f>IF(ISNUMBER(SEARCH(",PD-L1,",","&amp;SUBSTITUTE(K44,", ",",")&amp;",")),1,0)</f>
        <v>0</v>
      </c>
      <c r="DS44" s="11">
        <f>IF(ISNUMBER(SEARCH(",PD-L1 IC ≥ 1%,",","&amp;SUBSTITUTE(K44,", ",",")&amp;",")),1,0)</f>
        <v>0</v>
      </c>
      <c r="DT44" s="11">
        <f>IF(ISNUMBER(SEARCH(",PD-L1 TC ≥ 1%,",","&amp;SUBSTITUTE(K44,", ",",")&amp;",")),1,0)</f>
        <v>0</v>
      </c>
      <c r="DU44" s="11">
        <f>IF(ISNUMBER(SEARCH(",PD-L1 TC ≥ 50%,",","&amp;SUBSTITUTE(K44,", ",",")&amp;",")),1,0)</f>
        <v>0</v>
      </c>
      <c r="DV44" s="11">
        <f>IF(ISNUMBER(SEARCH(",PD-L1 TPS &lt; 50%,",","&amp;SUBSTITUTE(K44,", ",",")&amp;",")),1,0)</f>
        <v>0</v>
      </c>
      <c r="DW44" s="11">
        <f>IF(ISNUMBER(SEARCH(",PD-L1 TPS ≥ 1%,",","&amp;SUBSTITUTE(K44,", ",",")&amp;",")),1,0)</f>
        <v>0</v>
      </c>
      <c r="DX44" s="11">
        <f>IF(ISNUMBER(SEARCH(",PD-L1 TPS ≥ 50%,",","&amp;SUBSTITUTE(K44,", ",",")&amp;",")),1,0)</f>
        <v>0</v>
      </c>
      <c r="DY44" s="11">
        <f>IF(ISNUMBER(SEARCH(",RAS,",","&amp;SUBSTITUTE(K44,", ",",")&amp;",")),1,0)</f>
        <v>0</v>
      </c>
      <c r="DZ44" s="11">
        <f>IF(ISNUMBER(SEARCH(",RET,",","&amp;SUBSTITUTE(K44,", ",",")&amp;",")),1,0)</f>
        <v>0</v>
      </c>
      <c r="EA44" s="11">
        <f>IF(ISNUMBER(SEARCH(",ROS1,",","&amp;SUBSTITUTE(K44,", ",",")&amp;",")),1,0)</f>
        <v>0</v>
      </c>
      <c r="EB44" s="11">
        <f>IF(ISNUMBER(SEARCH(",TROP2,",","&amp;SUBSTITUTE(K44,", ",",")&amp;",")),1,0)</f>
        <v>0</v>
      </c>
      <c r="EC44" s="11">
        <f>IF(ISNUMBER(SEARCH(",c-MET/MET,",","&amp;SUBSTITUTE(K44,", ",",")&amp;",")),1,0)</f>
        <v>0</v>
      </c>
      <c r="ED44" s="11">
        <f>IF(ISNUMBER(SEARCH(",c-MET/MET Exon 14,",","&amp;SUBSTITUTE(K44,", ",",")&amp;",")),1,0)</f>
        <v>0</v>
      </c>
      <c r="EE44" s="11">
        <f>IF(ISNUMBER(SEARCH(",ctDNA/cfDNA,",","&amp;SUBSTITUTE(K44,", ",",")&amp;",")),1,0)</f>
        <v>0</v>
      </c>
    </row>
    <row r="45" spans="1:135" ht="15" customHeight="1" x14ac:dyDescent="0.2">
      <c r="A45" s="5" t="s">
        <v>1003</v>
      </c>
      <c r="B45" s="5" t="s">
        <v>1005</v>
      </c>
      <c r="C45" s="5" t="s">
        <v>140</v>
      </c>
      <c r="D45" s="5" t="s">
        <v>140</v>
      </c>
      <c r="E45" s="5" t="s">
        <v>140</v>
      </c>
      <c r="F45" s="5" t="s">
        <v>572</v>
      </c>
      <c r="G45" s="5"/>
      <c r="H45" s="5" t="s">
        <v>114</v>
      </c>
      <c r="I45" s="5" t="s">
        <v>1008</v>
      </c>
      <c r="J45" s="5" t="s">
        <v>898</v>
      </c>
      <c r="K45" s="5" t="s">
        <v>1015</v>
      </c>
      <c r="L45" s="5" t="s">
        <v>119</v>
      </c>
      <c r="M45" s="5" t="s">
        <v>113</v>
      </c>
      <c r="N45" s="5" t="s">
        <v>120</v>
      </c>
      <c r="O45" s="5" t="s">
        <v>120</v>
      </c>
      <c r="P45" s="5" t="s">
        <v>1006</v>
      </c>
      <c r="Q45" s="10" t="str">
        <f>IF(F45="Stage IV","Stage IV Only",IF(AND(ISNUMBER(SEARCH("IV",F45)),LEN(F45)&gt;LEN("Stage IV")),"Stage IV + Other",IF(AND(ISNUMBER(SEARCH("III",F45)),NOT(ISNUMBER(SEARCH("IV",F45)))),"Stage III Only","Other")))</f>
        <v>Stage IV + Other</v>
      </c>
      <c r="R45" s="10" t="str">
        <f>IF(AND(ISNUMBER(SEARCH("Non-squamous",G45)),ISNUMBER(SEARCH("Squamous",SUBSTITUTE(G45,"Non-squamous","")))),"Both",IF(ISNUMBER(SEARCH("Non-squamous",G45)),"Non-squamous",IF(ISNUMBER(SEARCH("Squamous",G45)),"Squamous","Unspecified")))</f>
        <v>Unspecified</v>
      </c>
      <c r="S45" s="10" t="str">
        <f>IF(OR(ISNUMBER(SEARCH("TPS ≥ 50%",K45)),ISNUMBER(SEARCH("TC ≥ 50%",K45))),"TPS ≥ 50%",IF(OR(ISNUMBER(SEARCH("TPS ≥ 1%",K45)),ISNUMBER(SEARCH("TC ≥ 1%",K45)),ISNUMBER(SEARCH("TPS &lt; 50%",K45)),ISNUMBER(SEARCH("IC ≥ 1%",K45))),"TPS 1-49%","All-comers"))</f>
        <v>TPS ≥ 50%</v>
      </c>
      <c r="T45" s="10">
        <f>IF(H45="Phase III",1,0)</f>
        <v>1</v>
      </c>
      <c r="U45" s="10">
        <f>IF(L45="Yes",1,0)</f>
        <v>0</v>
      </c>
      <c r="V45" s="11">
        <f>IF(ISNUMBER(SEARCH(",ALK,",","&amp;SUBSTITUTE(I45,", ",",")&amp;",")),1,0)</f>
        <v>0</v>
      </c>
      <c r="W45" s="11">
        <f>IF(ISNUMBER(SEARCH(",ALK L1196M,",","&amp;SUBSTITUTE(I45,", ",",")&amp;",")),1,0)</f>
        <v>0</v>
      </c>
      <c r="X45" s="11">
        <f>IF(ISNUMBER(SEARCH(",AXL,",","&amp;SUBSTITUTE(I45,", ",",")&amp;",")),1,0)</f>
        <v>0</v>
      </c>
      <c r="Y45" s="11">
        <f>IF(ISNUMBER(SEARCH(",B7-H1,",","&amp;SUBSTITUTE(I45,", ",",")&amp;",")),1,0)</f>
        <v>0</v>
      </c>
      <c r="Z45" s="11">
        <f>IF(ISNUMBER(SEARCH(",CD152,",","&amp;SUBSTITUTE(I45,", ",",")&amp;",")),1,0)</f>
        <v>0</v>
      </c>
      <c r="AA45" s="11">
        <f>IF(ISNUMBER(SEARCH(",CD274,",","&amp;SUBSTITUTE(I45,", ",",")&amp;",")),1,0)</f>
        <v>0</v>
      </c>
      <c r="AB45" s="11">
        <f>IF(ISNUMBER(SEARCH(",CD279,",","&amp;SUBSTITUTE(I45,", ",",")&amp;",")),1,0)</f>
        <v>1</v>
      </c>
      <c r="AC45" s="11">
        <f>IF(ISNUMBER(SEARCH(",CD73,",","&amp;SUBSTITUTE(I45,", ",",")&amp;",")),1,0)</f>
        <v>0</v>
      </c>
      <c r="AD45" s="11">
        <f>IF(ISNUMBER(SEARCH(",CEA,",","&amp;SUBSTITUTE(I45,", ",",")&amp;",")),1,0)</f>
        <v>0</v>
      </c>
      <c r="AE45" s="11">
        <f>IF(ISNUMBER(SEARCH(",CTLA-4,",","&amp;SUBSTITUTE(I45,", ",",")&amp;",")),1,0)</f>
        <v>0</v>
      </c>
      <c r="AF45" s="11">
        <f>IF(ISNUMBER(SEARCH(",EGFR,",","&amp;SUBSTITUTE(I45,", ",",")&amp;",")),1,0)</f>
        <v>0</v>
      </c>
      <c r="AG45" s="11">
        <f>IF(ISNUMBER(SEARCH(",EGFR C797G,",","&amp;SUBSTITUTE(I45,", ",",")&amp;",")),1,0)</f>
        <v>0</v>
      </c>
      <c r="AH45" s="11">
        <f>IF(ISNUMBER(SEARCH(",EGFR C797S,",","&amp;SUBSTITUTE(I45,", ",",")&amp;",")),1,0)</f>
        <v>0</v>
      </c>
      <c r="AI45" s="11">
        <f>IF(ISNUMBER(SEARCH(",EGFR Exon 19-del,",","&amp;SUBSTITUTE(I45,", ",",")&amp;",")),1,0)</f>
        <v>0</v>
      </c>
      <c r="AJ45" s="11">
        <f>IF(ISNUMBER(SEARCH(",EGFR Exon 20,",","&amp;SUBSTITUTE(I45,", ",",")&amp;",")),1,0)</f>
        <v>0</v>
      </c>
      <c r="AK45" s="11">
        <f>IF(ISNUMBER(SEARCH(",EGFR L858R,",","&amp;SUBSTITUTE(I45,", ",",")&amp;",")),1,0)</f>
        <v>0</v>
      </c>
      <c r="AL45" s="11">
        <f>IF(ISNUMBER(SEARCH(",EGFR T790M,",","&amp;SUBSTITUTE(I45,", ",",")&amp;",")),1,0)</f>
        <v>0</v>
      </c>
      <c r="AM45" s="11">
        <f>IF(ISNUMBER(SEARCH(",ERBB,",","&amp;SUBSTITUTE(I45,", ",",")&amp;",")),1,0)</f>
        <v>0</v>
      </c>
      <c r="AN45" s="11">
        <f>IF(ISNUMBER(SEARCH(",ERBB3,",","&amp;SUBSTITUTE(I45,", ",",")&amp;",")),1,0)</f>
        <v>0</v>
      </c>
      <c r="AO45" s="11">
        <f>IF(ISNUMBER(SEARCH(",FAK,",","&amp;SUBSTITUTE(I45,", ",",")&amp;",")),1,0)</f>
        <v>0</v>
      </c>
      <c r="AP45" s="11">
        <f>IF(ISNUMBER(SEARCH(",GARP,",","&amp;SUBSTITUTE(I45,", ",",")&amp;",")),1,0)</f>
        <v>0</v>
      </c>
      <c r="AQ45" s="11">
        <f>IF(ISNUMBER(SEARCH(",HER1,",","&amp;SUBSTITUTE(I45,", ",",")&amp;",")),1,0)</f>
        <v>0</v>
      </c>
      <c r="AR45" s="11">
        <f>IF(ISNUMBER(SEARCH(",HER2,",","&amp;SUBSTITUTE(I45,", ",",")&amp;",")),1,0)</f>
        <v>0</v>
      </c>
      <c r="AS45" s="11">
        <f>IF(ISNUMBER(SEARCH(",HER2 Exon 20,",","&amp;SUBSTITUTE(I45,", ",",")&amp;",")),1,0)</f>
        <v>0</v>
      </c>
      <c r="AT45" s="11">
        <f>IF(ISNUMBER(SEARCH(",HER3,",","&amp;SUBSTITUTE(I45,", ",",")&amp;",")),1,0)</f>
        <v>0</v>
      </c>
      <c r="AU45" s="11">
        <f>IF(ISNUMBER(SEARCH(",HER4,",","&amp;SUBSTITUTE(I45,", ",",")&amp;",")),1,0)</f>
        <v>0</v>
      </c>
      <c r="AV45" s="11">
        <f>IF(ISNUMBER(SEARCH(",HRAS,",","&amp;SUBSTITUTE(I45,", ",",")&amp;",")),1,0)</f>
        <v>0</v>
      </c>
      <c r="AW45" s="11">
        <f>IF(ISNUMBER(SEARCH(",HSV-TK,",","&amp;SUBSTITUTE(I45,", ",",")&amp;",")),1,0)</f>
        <v>0</v>
      </c>
      <c r="AX45" s="11">
        <f>IF(ISNUMBER(SEARCH(",IL-12,",","&amp;SUBSTITUTE(I45,", ",",")&amp;",")),1,0)</f>
        <v>0</v>
      </c>
      <c r="AY45" s="11">
        <f>IF(ISNUMBER(SEARCH(",IL-15,",","&amp;SUBSTITUTE(I45,", ",",")&amp;",")),1,0)</f>
        <v>0</v>
      </c>
      <c r="AZ45" s="11">
        <f>IF(ISNUMBER(SEARCH(",IL-15R,",","&amp;SUBSTITUTE(I45,", ",",")&amp;",")),1,0)</f>
        <v>0</v>
      </c>
      <c r="BA45" s="11">
        <f>IF(ISNUMBER(SEARCH(",IL-2,",","&amp;SUBSTITUTE(I45,", ",",")&amp;",")),1,0)</f>
        <v>0</v>
      </c>
      <c r="BB45" s="11">
        <f>IF(ISNUMBER(SEARCH(",Integrin β6,",","&amp;SUBSTITUTE(I45,", ",",")&amp;",")),1,0)</f>
        <v>0</v>
      </c>
      <c r="BC45" s="11">
        <f>IF(ISNUMBER(SEARCH(",KDR,",","&amp;SUBSTITUTE(I45,", ",",")&amp;",")),1,0)</f>
        <v>0</v>
      </c>
      <c r="BD45" s="11">
        <f>IF(ISNUMBER(SEARCH(",KLRC1,",","&amp;SUBSTITUTE(I45,", ",",")&amp;",")),1,0)</f>
        <v>0</v>
      </c>
      <c r="BE45" s="11">
        <f>IF(ISNUMBER(SEARCH(",KRAS,",","&amp;SUBSTITUTE(I45,", ",",")&amp;",")),1,0)</f>
        <v>0</v>
      </c>
      <c r="BF45" s="11">
        <f>IF(ISNUMBER(SEARCH(",KRAS G12,",","&amp;SUBSTITUTE(I45,", ",",")&amp;",")),1,0)</f>
        <v>0</v>
      </c>
      <c r="BG45" s="11">
        <f>IF(ISNUMBER(SEARCH(",KRAS G12C,",","&amp;SUBSTITUTE(I45,", ",",")&amp;",")),1,0)</f>
        <v>1</v>
      </c>
      <c r="BH45" s="11">
        <f>IF(ISNUMBER(SEARCH(",KRAS G12D,",","&amp;SUBSTITUTE(I45,", ",",")&amp;",")),1,0)</f>
        <v>0</v>
      </c>
      <c r="BI45" s="11">
        <f>IF(ISNUMBER(SEARCH(",LAG-3,",","&amp;SUBSTITUTE(I45,", ",",")&amp;",")),1,0)</f>
        <v>0</v>
      </c>
      <c r="BJ45" s="11">
        <f>IF(ISNUMBER(SEARCH(",MAGE-A2,",","&amp;SUBSTITUTE(I45,", ",",")&amp;",")),1,0)</f>
        <v>0</v>
      </c>
      <c r="BK45" s="11">
        <f>IF(ISNUMBER(SEARCH(",MAGE-A3,",","&amp;SUBSTITUTE(I45,", ",",")&amp;",")),1,0)</f>
        <v>0</v>
      </c>
      <c r="BL45" s="11">
        <f>IF(ISNUMBER(SEARCH(",MLN19,",","&amp;SUBSTITUTE(I45,", ",",")&amp;",")),1,0)</f>
        <v>0</v>
      </c>
      <c r="BM45" s="11">
        <f>IF(ISNUMBER(SEARCH(",Microtubule,",","&amp;SUBSTITUTE(I45,", ",",")&amp;",")),1,0)</f>
        <v>0</v>
      </c>
      <c r="BN45" s="11">
        <f>IF(ISNUMBER(SEARCH(",NKG2A,",","&amp;SUBSTITUTE(I45,", ",",")&amp;",")),1,0)</f>
        <v>0</v>
      </c>
      <c r="BO45" s="11">
        <f>IF(ISNUMBER(SEARCH(",NRAS,",","&amp;SUBSTITUTE(I45,", ",",")&amp;",")),1,0)</f>
        <v>0</v>
      </c>
      <c r="BP45" s="11">
        <f>IF(ISNUMBER(SEARCH(",NTRK,",","&amp;SUBSTITUTE(I45,", ",",")&amp;",")),1,0)</f>
        <v>0</v>
      </c>
      <c r="BQ45" s="11">
        <f>IF(ISNUMBER(SEARCH(",PARP,",","&amp;SUBSTITUTE(I45,", ",",")&amp;",")),1,0)</f>
        <v>0</v>
      </c>
      <c r="BR45" s="11">
        <f>IF(ISNUMBER(SEARCH(",PD-1,",","&amp;SUBSTITUTE(I45,", ",",")&amp;",")),1,0)</f>
        <v>1</v>
      </c>
      <c r="BS45" s="11">
        <f>IF(ISNUMBER(SEARCH(",PD-L1,",","&amp;SUBSTITUTE(I45,", ",",")&amp;",")),1,0)</f>
        <v>0</v>
      </c>
      <c r="BT45" s="11">
        <f>IF(ISNUMBER(SEARCH(",PRMT5,",","&amp;SUBSTITUTE(I45,", ",",")&amp;",")),1,0)</f>
        <v>0</v>
      </c>
      <c r="BU45" s="11">
        <f>IF(ISNUMBER(SEARCH(",RAS,",","&amp;SUBSTITUTE(I45,", ",",")&amp;",")),1,0)</f>
        <v>0</v>
      </c>
      <c r="BV45" s="11">
        <f>IF(ISNUMBER(SEARCH(",RET,",","&amp;SUBSTITUTE(I45,", ",",")&amp;",")),1,0)</f>
        <v>0</v>
      </c>
      <c r="BW45" s="11">
        <f>IF(ISNUMBER(SEARCH(",ROS,",","&amp;SUBSTITUTE(I45,", ",",")&amp;",")),1,0)</f>
        <v>0</v>
      </c>
      <c r="BX45" s="11">
        <f>IF(ISNUMBER(SEARCH(",ROS1,",","&amp;SUBSTITUTE(I45,", ",",")&amp;",")),1,0)</f>
        <v>0</v>
      </c>
      <c r="BY45" s="11">
        <f>IF(ISNUMBER(SEARCH(",Src,",","&amp;SUBSTITUTE(I45,", ",",")&amp;",")),1,0)</f>
        <v>0</v>
      </c>
      <c r="BZ45" s="11">
        <f>IF(ISNUMBER(SEARCH(",TCGF,",","&amp;SUBSTITUTE(I45,", ",",")&amp;",")),1,0)</f>
        <v>0</v>
      </c>
      <c r="CA45" s="11">
        <f>IF(ISNUMBER(SEARCH(",TGF-β,",","&amp;SUBSTITUTE(I45,", ",",")&amp;",")),1,0)</f>
        <v>0</v>
      </c>
      <c r="CB45" s="11">
        <f>IF(ISNUMBER(SEARCH(",TGF-β1,",","&amp;SUBSTITUTE(I45,", ",",")&amp;",")),1,0)</f>
        <v>0</v>
      </c>
      <c r="CC45" s="11">
        <f>IF(ISNUMBER(SEARCH(",TIGIT,",","&amp;SUBSTITUTE(I45,", ",",")&amp;",")),1,0)</f>
        <v>0</v>
      </c>
      <c r="CD45" s="11">
        <f>IF(ISNUMBER(SEARCH(",TLR,",","&amp;SUBSTITUTE(I45,", ",",")&amp;",")),1,0)</f>
        <v>0</v>
      </c>
      <c r="CE45" s="11">
        <f>IF(ISNUMBER(SEARCH(",TLR7/8,",","&amp;SUBSTITUTE(I45,", ",",")&amp;",")),1,0)</f>
        <v>0</v>
      </c>
      <c r="CF45" s="11">
        <f>IF(ISNUMBER(SEARCH(",TRK,",","&amp;SUBSTITUTE(I45,", ",",")&amp;",")),1,0)</f>
        <v>0</v>
      </c>
      <c r="CG45" s="11">
        <f>IF(ISNUMBER(SEARCH(",TROP2,",","&amp;SUBSTITUTE(I45,", ",",")&amp;",")),1,0)</f>
        <v>0</v>
      </c>
      <c r="CH45" s="11">
        <f>IF(ISNUMBER(SEARCH(",TS,",","&amp;SUBSTITUTE(I45,", ",",")&amp;",")),1,0)</f>
        <v>1</v>
      </c>
      <c r="CI45" s="11">
        <f>IF(ISNUMBER(SEARCH(",TYMS,",","&amp;SUBSTITUTE(I45,", ",",")&amp;",")),1,0)</f>
        <v>1</v>
      </c>
      <c r="CJ45" s="11">
        <f>IF(ISNUMBER(SEARCH(",VEGF,",","&amp;SUBSTITUTE(I45,", ",",")&amp;",")),1,0)</f>
        <v>0</v>
      </c>
      <c r="CK45" s="11">
        <f>IF(ISNUMBER(SEARCH(",VEGFA,",","&amp;SUBSTITUTE(I45,", ",",")&amp;",")),1,0)</f>
        <v>0</v>
      </c>
      <c r="CL45" s="11">
        <f>IF(ISNUMBER(SEARCH(",VEGFR2,",","&amp;SUBSTITUTE(I45,", ",",")&amp;",")),1,0)</f>
        <v>0</v>
      </c>
      <c r="CM45" s="11">
        <f>IF(ISNUMBER(SEARCH(",c-MET/MET,",","&amp;SUBSTITUTE(I45,", ",",")&amp;",")),1,0)</f>
        <v>0</v>
      </c>
      <c r="CN45" s="11">
        <f>IF(ISNUMBER(SEARCH(",p53,",","&amp;SUBSTITUTE(I45,", ",",")&amp;",")),1,0)</f>
        <v>0</v>
      </c>
      <c r="CO45" s="11">
        <f>IF(ISNUMBER(SEARCH(",pan-KRAS,",","&amp;SUBSTITUTE(I45,", ",",")&amp;",")),1,0)</f>
        <v>0</v>
      </c>
      <c r="CP45" s="11">
        <f>IF(ISNUMBER(SEARCH(",ALK,",","&amp;SUBSTITUTE(K45,", ",",")&amp;",")),1,0)</f>
        <v>0</v>
      </c>
      <c r="CQ45" s="11">
        <f>IF(ISNUMBER(SEARCH(",BRAF V600E,",","&amp;SUBSTITUTE(K45,", ",",")&amp;",")),1,0)</f>
        <v>0</v>
      </c>
      <c r="CR45" s="11">
        <f>IF(ISNUMBER(SEARCH(",EGFR,",","&amp;SUBSTITUTE(K45,", ",",")&amp;",")),1,0)</f>
        <v>0</v>
      </c>
      <c r="CS45" s="11">
        <f>IF(ISNUMBER(SEARCH(",EGFR Exon 18,",","&amp;SUBSTITUTE(K45,", ",",")&amp;",")),1,0)</f>
        <v>0</v>
      </c>
      <c r="CT45" s="11">
        <f>IF(ISNUMBER(SEARCH(",EGFR Exon 19-del,",","&amp;SUBSTITUTE(K45,", ",",")&amp;",")),1,0)</f>
        <v>0</v>
      </c>
      <c r="CU45" s="11">
        <f>IF(ISNUMBER(SEARCH(",EGFR Exon 20,",","&amp;SUBSTITUTE(K45,", ",",")&amp;",")),1,0)</f>
        <v>0</v>
      </c>
      <c r="CV45" s="11">
        <f>IF(ISNUMBER(SEARCH(",EGFR Exon 20-ins,",","&amp;SUBSTITUTE(K45,", ",",")&amp;",")),1,0)</f>
        <v>0</v>
      </c>
      <c r="CW45" s="11">
        <f>IF(ISNUMBER(SEARCH(",EGFR Exon 21,",","&amp;SUBSTITUTE(K45,", ",",")&amp;",")),1,0)</f>
        <v>0</v>
      </c>
      <c r="CX45" s="11">
        <f>IF(ISNUMBER(SEARCH(",EGFR G719A,",","&amp;SUBSTITUTE(K45,", ",",")&amp;",")),1,0)</f>
        <v>0</v>
      </c>
      <c r="CY45" s="11">
        <f>IF(ISNUMBER(SEARCH(",EGFR G719C,",","&amp;SUBSTITUTE(K45,", ",",")&amp;",")),1,0)</f>
        <v>0</v>
      </c>
      <c r="CZ45" s="11">
        <f>IF(ISNUMBER(SEARCH(",EGFR G719S,",","&amp;SUBSTITUTE(K45,", ",",")&amp;",")),1,0)</f>
        <v>0</v>
      </c>
      <c r="DA45" s="11">
        <f>IF(ISNUMBER(SEARCH(",EGFR G719X,",","&amp;SUBSTITUTE(K45,", ",",")&amp;",")),1,0)</f>
        <v>0</v>
      </c>
      <c r="DB45" s="11">
        <f>IF(ISNUMBER(SEARCH(",EGFR L858R,",","&amp;SUBSTITUTE(K45,", ",",")&amp;",")),1,0)</f>
        <v>0</v>
      </c>
      <c r="DC45" s="11">
        <f>IF(ISNUMBER(SEARCH(",EGFR L861Q,",","&amp;SUBSTITUTE(K45,", ",",")&amp;",")),1,0)</f>
        <v>0</v>
      </c>
      <c r="DD45" s="11">
        <f>IF(ISNUMBER(SEARCH(",EGFR PACC,",","&amp;SUBSTITUTE(K45,", ",",")&amp;",")),1,0)</f>
        <v>0</v>
      </c>
      <c r="DE45" s="11">
        <f>IF(ISNUMBER(SEARCH(",EGFR S768I,",","&amp;SUBSTITUTE(K45,", ",",")&amp;",")),1,0)</f>
        <v>0</v>
      </c>
      <c r="DF45" s="11">
        <f>IF(ISNUMBER(SEARCH(",EGFR T790M,",","&amp;SUBSTITUTE(K45,", ",",")&amp;",")),1,0)</f>
        <v>0</v>
      </c>
      <c r="DG45" s="11">
        <f>IF(ISNUMBER(SEARCH(",EML4-ALK,",","&amp;SUBSTITUTE(K45,", ",",")&amp;",")),1,0)</f>
        <v>0</v>
      </c>
      <c r="DH45" s="11">
        <f>IF(ISNUMBER(SEARCH(",HER2,",","&amp;SUBSTITUTE(K45,", ",",")&amp;",")),1,0)</f>
        <v>0</v>
      </c>
      <c r="DI45" s="11">
        <f>IF(ISNUMBER(SEARCH(",HER2 Exon 19,",","&amp;SUBSTITUTE(K45,", ",",")&amp;",")),1,0)</f>
        <v>0</v>
      </c>
      <c r="DJ45" s="11">
        <f>IF(ISNUMBER(SEARCH(",HER2 Exon 20,",","&amp;SUBSTITUTE(K45,", ",",")&amp;",")),1,0)</f>
        <v>0</v>
      </c>
      <c r="DK45" s="11">
        <f>IF(ISNUMBER(SEARCH(",HER2 mut,",","&amp;SUBSTITUTE(K45,", ",",")&amp;",")),1,0)</f>
        <v>0</v>
      </c>
      <c r="DL45" s="11">
        <f>IF(ISNUMBER(SEARCH(",HLA-A2,",","&amp;SUBSTITUTE(K45,", ",",")&amp;",")),1,0)</f>
        <v>0</v>
      </c>
      <c r="DM45" s="11">
        <f>IF(ISNUMBER(SEARCH(",HRAS,",","&amp;SUBSTITUTE(K45,", ",",")&amp;",")),1,0)</f>
        <v>0</v>
      </c>
      <c r="DN45" s="11">
        <f>IF(ISNUMBER(SEARCH(",KRAS,",","&amp;SUBSTITUTE(K45,", ",",")&amp;",")),1,0)</f>
        <v>0</v>
      </c>
      <c r="DO45" s="11">
        <f>IF(ISNUMBER(SEARCH(",KRAS G12C,",","&amp;SUBSTITUTE(K45,", ",",")&amp;",")),1,0)</f>
        <v>1</v>
      </c>
      <c r="DP45" s="11">
        <f>IF(ISNUMBER(SEARCH(",NRAS,",","&amp;SUBSTITUTE(K45,", ",",")&amp;",")),1,0)</f>
        <v>0</v>
      </c>
      <c r="DQ45" s="11">
        <f>IF(ISNUMBER(SEARCH(",NTRK,",","&amp;SUBSTITUTE(K45,", ",",")&amp;",")),1,0)</f>
        <v>0</v>
      </c>
      <c r="DR45" s="11">
        <f>IF(ISNUMBER(SEARCH(",PD-L1,",","&amp;SUBSTITUTE(K45,", ",",")&amp;",")),1,0)</f>
        <v>0</v>
      </c>
      <c r="DS45" s="11">
        <f>IF(ISNUMBER(SEARCH(",PD-L1 IC ≥ 1%,",","&amp;SUBSTITUTE(K45,", ",",")&amp;",")),1,0)</f>
        <v>0</v>
      </c>
      <c r="DT45" s="11">
        <f>IF(ISNUMBER(SEARCH(",PD-L1 TC ≥ 1%,",","&amp;SUBSTITUTE(K45,", ",",")&amp;",")),1,0)</f>
        <v>0</v>
      </c>
      <c r="DU45" s="11">
        <f>IF(ISNUMBER(SEARCH(",PD-L1 TC ≥ 50%,",","&amp;SUBSTITUTE(K45,", ",",")&amp;",")),1,0)</f>
        <v>0</v>
      </c>
      <c r="DV45" s="11">
        <f>IF(ISNUMBER(SEARCH(",PD-L1 TPS &lt; 50%,",","&amp;SUBSTITUTE(K45,", ",",")&amp;",")),1,0)</f>
        <v>0</v>
      </c>
      <c r="DW45" s="11">
        <f>IF(ISNUMBER(SEARCH(",PD-L1 TPS ≥ 1%,",","&amp;SUBSTITUTE(K45,", ",",")&amp;",")),1,0)</f>
        <v>0</v>
      </c>
      <c r="DX45" s="11">
        <f>IF(ISNUMBER(SEARCH(",PD-L1 TPS ≥ 50%,",","&amp;SUBSTITUTE(K45,", ",",")&amp;",")),1,0)</f>
        <v>1</v>
      </c>
      <c r="DY45" s="11">
        <f>IF(ISNUMBER(SEARCH(",RAS,",","&amp;SUBSTITUTE(K45,", ",",")&amp;",")),1,0)</f>
        <v>0</v>
      </c>
      <c r="DZ45" s="11">
        <f>IF(ISNUMBER(SEARCH(",RET,",","&amp;SUBSTITUTE(K45,", ",",")&amp;",")),1,0)</f>
        <v>0</v>
      </c>
      <c r="EA45" s="11">
        <f>IF(ISNUMBER(SEARCH(",ROS1,",","&amp;SUBSTITUTE(K45,", ",",")&amp;",")),1,0)</f>
        <v>0</v>
      </c>
      <c r="EB45" s="11">
        <f>IF(ISNUMBER(SEARCH(",TROP2,",","&amp;SUBSTITUTE(K45,", ",",")&amp;",")),1,0)</f>
        <v>0</v>
      </c>
      <c r="EC45" s="11">
        <f>IF(ISNUMBER(SEARCH(",c-MET/MET,",","&amp;SUBSTITUTE(K45,", ",",")&amp;",")),1,0)</f>
        <v>0</v>
      </c>
      <c r="ED45" s="11">
        <f>IF(ISNUMBER(SEARCH(",c-MET/MET Exon 14,",","&amp;SUBSTITUTE(K45,", ",",")&amp;",")),1,0)</f>
        <v>0</v>
      </c>
      <c r="EE45" s="11">
        <f>IF(ISNUMBER(SEARCH(",ctDNA/cfDNA,",","&amp;SUBSTITUTE(K45,", ",",")&amp;",")),1,0)</f>
        <v>0</v>
      </c>
    </row>
    <row r="46" spans="1:135" ht="15" customHeight="1" x14ac:dyDescent="0.2">
      <c r="A46" s="5" t="s">
        <v>1003</v>
      </c>
      <c r="B46" s="5" t="s">
        <v>1005</v>
      </c>
      <c r="C46" s="5" t="s">
        <v>140</v>
      </c>
      <c r="D46" s="5" t="s">
        <v>140</v>
      </c>
      <c r="E46" s="5" t="s">
        <v>140</v>
      </c>
      <c r="F46" s="5" t="s">
        <v>351</v>
      </c>
      <c r="G46" s="5" t="s">
        <v>544</v>
      </c>
      <c r="H46" s="5" t="s">
        <v>114</v>
      </c>
      <c r="I46" s="5" t="s">
        <v>1328</v>
      </c>
      <c r="J46" s="5" t="s">
        <v>898</v>
      </c>
      <c r="K46" s="5" t="s">
        <v>1334</v>
      </c>
      <c r="L46" s="5" t="s">
        <v>119</v>
      </c>
      <c r="M46" s="5" t="s">
        <v>113</v>
      </c>
      <c r="N46" s="5" t="s">
        <v>120</v>
      </c>
      <c r="O46" s="5" t="s">
        <v>120</v>
      </c>
      <c r="P46" s="5" t="s">
        <v>1326</v>
      </c>
      <c r="Q46" s="10" t="str">
        <f>IF(F46="Stage IV","Stage IV Only",IF(AND(ISNUMBER(SEARCH("IV",F46)),LEN(F46)&gt;LEN("Stage IV")),"Stage IV + Other",IF(AND(ISNUMBER(SEARCH("III",F46)),NOT(ISNUMBER(SEARCH("IV",F46)))),"Stage III Only","Other")))</f>
        <v>Stage III Only</v>
      </c>
      <c r="R46" s="10" t="str">
        <f>IF(AND(ISNUMBER(SEARCH("Non-squamous",G46)),ISNUMBER(SEARCH("Squamous",SUBSTITUTE(G46,"Non-squamous","")))),"Both",IF(ISNUMBER(SEARCH("Non-squamous",G46)),"Non-squamous",IF(ISNUMBER(SEARCH("Squamous",G46)),"Squamous","Unspecified")))</f>
        <v>Both</v>
      </c>
      <c r="S46" s="10" t="str">
        <f>IF(OR(ISNUMBER(SEARCH("TPS ≥ 50%",K46)),ISNUMBER(SEARCH("TC ≥ 50%",K46))),"TPS ≥ 50%",IF(OR(ISNUMBER(SEARCH("TPS ≥ 1%",K46)),ISNUMBER(SEARCH("TC ≥ 1%",K46)),ISNUMBER(SEARCH("TPS &lt; 50%",K46)),ISNUMBER(SEARCH("IC ≥ 1%",K46))),"TPS 1-49%","All-comers"))</f>
        <v>All-comers</v>
      </c>
      <c r="T46" s="10">
        <f>IF(H46="Phase III",1,0)</f>
        <v>1</v>
      </c>
      <c r="U46" s="10">
        <f>IF(L46="Yes",1,0)</f>
        <v>0</v>
      </c>
      <c r="V46" s="11">
        <f>IF(ISNUMBER(SEARCH(",ALK,",","&amp;SUBSTITUTE(I46,", ",",")&amp;",")),1,0)</f>
        <v>0</v>
      </c>
      <c r="W46" s="11">
        <f>IF(ISNUMBER(SEARCH(",ALK L1196M,",","&amp;SUBSTITUTE(I46,", ",",")&amp;",")),1,0)</f>
        <v>0</v>
      </c>
      <c r="X46" s="11">
        <f>IF(ISNUMBER(SEARCH(",AXL,",","&amp;SUBSTITUTE(I46,", ",",")&amp;",")),1,0)</f>
        <v>0</v>
      </c>
      <c r="Y46" s="11">
        <f>IF(ISNUMBER(SEARCH(",B7-H1,",","&amp;SUBSTITUTE(I46,", ",",")&amp;",")),1,0)</f>
        <v>1</v>
      </c>
      <c r="Z46" s="11">
        <f>IF(ISNUMBER(SEARCH(",CD152,",","&amp;SUBSTITUTE(I46,", ",",")&amp;",")),1,0)</f>
        <v>0</v>
      </c>
      <c r="AA46" s="11">
        <f>IF(ISNUMBER(SEARCH(",CD274,",","&amp;SUBSTITUTE(I46,", ",",")&amp;",")),1,0)</f>
        <v>1</v>
      </c>
      <c r="AB46" s="11">
        <f>IF(ISNUMBER(SEARCH(",CD279,",","&amp;SUBSTITUTE(I46,", ",",")&amp;",")),1,0)</f>
        <v>0</v>
      </c>
      <c r="AC46" s="11">
        <f>IF(ISNUMBER(SEARCH(",CD73,",","&amp;SUBSTITUTE(I46,", ",",")&amp;",")),1,0)</f>
        <v>0</v>
      </c>
      <c r="AD46" s="11">
        <f>IF(ISNUMBER(SEARCH(",CEA,",","&amp;SUBSTITUTE(I46,", ",",")&amp;",")),1,0)</f>
        <v>0</v>
      </c>
      <c r="AE46" s="11">
        <f>IF(ISNUMBER(SEARCH(",CTLA-4,",","&amp;SUBSTITUTE(I46,", ",",")&amp;",")),1,0)</f>
        <v>0</v>
      </c>
      <c r="AF46" s="11">
        <f>IF(ISNUMBER(SEARCH(",EGFR,",","&amp;SUBSTITUTE(I46,", ",",")&amp;",")),1,0)</f>
        <v>0</v>
      </c>
      <c r="AG46" s="11">
        <f>IF(ISNUMBER(SEARCH(",EGFR C797G,",","&amp;SUBSTITUTE(I46,", ",",")&amp;",")),1,0)</f>
        <v>0</v>
      </c>
      <c r="AH46" s="11">
        <f>IF(ISNUMBER(SEARCH(",EGFR C797S,",","&amp;SUBSTITUTE(I46,", ",",")&amp;",")),1,0)</f>
        <v>0</v>
      </c>
      <c r="AI46" s="11">
        <f>IF(ISNUMBER(SEARCH(",EGFR Exon 19-del,",","&amp;SUBSTITUTE(I46,", ",",")&amp;",")),1,0)</f>
        <v>0</v>
      </c>
      <c r="AJ46" s="11">
        <f>IF(ISNUMBER(SEARCH(",EGFR Exon 20,",","&amp;SUBSTITUTE(I46,", ",",")&amp;",")),1,0)</f>
        <v>0</v>
      </c>
      <c r="AK46" s="11">
        <f>IF(ISNUMBER(SEARCH(",EGFR L858R,",","&amp;SUBSTITUTE(I46,", ",",")&amp;",")),1,0)</f>
        <v>0</v>
      </c>
      <c r="AL46" s="11">
        <f>IF(ISNUMBER(SEARCH(",EGFR T790M,",","&amp;SUBSTITUTE(I46,", ",",")&amp;",")),1,0)</f>
        <v>0</v>
      </c>
      <c r="AM46" s="11">
        <f>IF(ISNUMBER(SEARCH(",ERBB,",","&amp;SUBSTITUTE(I46,", ",",")&amp;",")),1,0)</f>
        <v>0</v>
      </c>
      <c r="AN46" s="11">
        <f>IF(ISNUMBER(SEARCH(",ERBB3,",","&amp;SUBSTITUTE(I46,", ",",")&amp;",")),1,0)</f>
        <v>0</v>
      </c>
      <c r="AO46" s="11">
        <f>IF(ISNUMBER(SEARCH(",FAK,",","&amp;SUBSTITUTE(I46,", ",",")&amp;",")),1,0)</f>
        <v>0</v>
      </c>
      <c r="AP46" s="11">
        <f>IF(ISNUMBER(SEARCH(",GARP,",","&amp;SUBSTITUTE(I46,", ",",")&amp;",")),1,0)</f>
        <v>0</v>
      </c>
      <c r="AQ46" s="11">
        <f>IF(ISNUMBER(SEARCH(",HER1,",","&amp;SUBSTITUTE(I46,", ",",")&amp;",")),1,0)</f>
        <v>0</v>
      </c>
      <c r="AR46" s="11">
        <f>IF(ISNUMBER(SEARCH(",HER2,",","&amp;SUBSTITUTE(I46,", ",",")&amp;",")),1,0)</f>
        <v>0</v>
      </c>
      <c r="AS46" s="11">
        <f>IF(ISNUMBER(SEARCH(",HER2 Exon 20,",","&amp;SUBSTITUTE(I46,", ",",")&amp;",")),1,0)</f>
        <v>0</v>
      </c>
      <c r="AT46" s="11">
        <f>IF(ISNUMBER(SEARCH(",HER3,",","&amp;SUBSTITUTE(I46,", ",",")&amp;",")),1,0)</f>
        <v>0</v>
      </c>
      <c r="AU46" s="11">
        <f>IF(ISNUMBER(SEARCH(",HER4,",","&amp;SUBSTITUTE(I46,", ",",")&amp;",")),1,0)</f>
        <v>0</v>
      </c>
      <c r="AV46" s="11">
        <f>IF(ISNUMBER(SEARCH(",HRAS,",","&amp;SUBSTITUTE(I46,", ",",")&amp;",")),1,0)</f>
        <v>0</v>
      </c>
      <c r="AW46" s="11">
        <f>IF(ISNUMBER(SEARCH(",HSV-TK,",","&amp;SUBSTITUTE(I46,", ",",")&amp;",")),1,0)</f>
        <v>0</v>
      </c>
      <c r="AX46" s="11">
        <f>IF(ISNUMBER(SEARCH(",IL-12,",","&amp;SUBSTITUTE(I46,", ",",")&amp;",")),1,0)</f>
        <v>0</v>
      </c>
      <c r="AY46" s="11">
        <f>IF(ISNUMBER(SEARCH(",IL-15,",","&amp;SUBSTITUTE(I46,", ",",")&amp;",")),1,0)</f>
        <v>0</v>
      </c>
      <c r="AZ46" s="11">
        <f>IF(ISNUMBER(SEARCH(",IL-15R,",","&amp;SUBSTITUTE(I46,", ",",")&amp;",")),1,0)</f>
        <v>0</v>
      </c>
      <c r="BA46" s="11">
        <f>IF(ISNUMBER(SEARCH(",IL-2,",","&amp;SUBSTITUTE(I46,", ",",")&amp;",")),1,0)</f>
        <v>0</v>
      </c>
      <c r="BB46" s="11">
        <f>IF(ISNUMBER(SEARCH(",Integrin β6,",","&amp;SUBSTITUTE(I46,", ",",")&amp;",")),1,0)</f>
        <v>0</v>
      </c>
      <c r="BC46" s="11">
        <f>IF(ISNUMBER(SEARCH(",KDR,",","&amp;SUBSTITUTE(I46,", ",",")&amp;",")),1,0)</f>
        <v>0</v>
      </c>
      <c r="BD46" s="11">
        <f>IF(ISNUMBER(SEARCH(",KLRC1,",","&amp;SUBSTITUTE(I46,", ",",")&amp;",")),1,0)</f>
        <v>0</v>
      </c>
      <c r="BE46" s="11">
        <f>IF(ISNUMBER(SEARCH(",KRAS,",","&amp;SUBSTITUTE(I46,", ",",")&amp;",")),1,0)</f>
        <v>0</v>
      </c>
      <c r="BF46" s="11">
        <f>IF(ISNUMBER(SEARCH(",KRAS G12,",","&amp;SUBSTITUTE(I46,", ",",")&amp;",")),1,0)</f>
        <v>0</v>
      </c>
      <c r="BG46" s="11">
        <f>IF(ISNUMBER(SEARCH(",KRAS G12C,",","&amp;SUBSTITUTE(I46,", ",",")&amp;",")),1,0)</f>
        <v>1</v>
      </c>
      <c r="BH46" s="11">
        <f>IF(ISNUMBER(SEARCH(",KRAS G12D,",","&amp;SUBSTITUTE(I46,", ",",")&amp;",")),1,0)</f>
        <v>0</v>
      </c>
      <c r="BI46" s="11">
        <f>IF(ISNUMBER(SEARCH(",LAG-3,",","&amp;SUBSTITUTE(I46,", ",",")&amp;",")),1,0)</f>
        <v>0</v>
      </c>
      <c r="BJ46" s="11">
        <f>IF(ISNUMBER(SEARCH(",MAGE-A2,",","&amp;SUBSTITUTE(I46,", ",",")&amp;",")),1,0)</f>
        <v>0</v>
      </c>
      <c r="BK46" s="11">
        <f>IF(ISNUMBER(SEARCH(",MAGE-A3,",","&amp;SUBSTITUTE(I46,", ",",")&amp;",")),1,0)</f>
        <v>0</v>
      </c>
      <c r="BL46" s="11">
        <f>IF(ISNUMBER(SEARCH(",MLN19,",","&amp;SUBSTITUTE(I46,", ",",")&amp;",")),1,0)</f>
        <v>0</v>
      </c>
      <c r="BM46" s="11">
        <f>IF(ISNUMBER(SEARCH(",Microtubule,",","&amp;SUBSTITUTE(I46,", ",",")&amp;",")),1,0)</f>
        <v>0</v>
      </c>
      <c r="BN46" s="11">
        <f>IF(ISNUMBER(SEARCH(",NKG2A,",","&amp;SUBSTITUTE(I46,", ",",")&amp;",")),1,0)</f>
        <v>0</v>
      </c>
      <c r="BO46" s="11">
        <f>IF(ISNUMBER(SEARCH(",NRAS,",","&amp;SUBSTITUTE(I46,", ",",")&amp;",")),1,0)</f>
        <v>0</v>
      </c>
      <c r="BP46" s="11">
        <f>IF(ISNUMBER(SEARCH(",NTRK,",","&amp;SUBSTITUTE(I46,", ",",")&amp;",")),1,0)</f>
        <v>0</v>
      </c>
      <c r="BQ46" s="11">
        <f>IF(ISNUMBER(SEARCH(",PARP,",","&amp;SUBSTITUTE(I46,", ",",")&amp;",")),1,0)</f>
        <v>0</v>
      </c>
      <c r="BR46" s="11">
        <f>IF(ISNUMBER(SEARCH(",PD-1,",","&amp;SUBSTITUTE(I46,", ",",")&amp;",")),1,0)</f>
        <v>0</v>
      </c>
      <c r="BS46" s="11">
        <f>IF(ISNUMBER(SEARCH(",PD-L1,",","&amp;SUBSTITUTE(I46,", ",",")&amp;",")),1,0)</f>
        <v>1</v>
      </c>
      <c r="BT46" s="11">
        <f>IF(ISNUMBER(SEARCH(",PRMT5,",","&amp;SUBSTITUTE(I46,", ",",")&amp;",")),1,0)</f>
        <v>0</v>
      </c>
      <c r="BU46" s="11">
        <f>IF(ISNUMBER(SEARCH(",RAS,",","&amp;SUBSTITUTE(I46,", ",",")&amp;",")),1,0)</f>
        <v>0</v>
      </c>
      <c r="BV46" s="11">
        <f>IF(ISNUMBER(SEARCH(",RET,",","&amp;SUBSTITUTE(I46,", ",",")&amp;",")),1,0)</f>
        <v>0</v>
      </c>
      <c r="BW46" s="11">
        <f>IF(ISNUMBER(SEARCH(",ROS,",","&amp;SUBSTITUTE(I46,", ",",")&amp;",")),1,0)</f>
        <v>0</v>
      </c>
      <c r="BX46" s="11">
        <f>IF(ISNUMBER(SEARCH(",ROS1,",","&amp;SUBSTITUTE(I46,", ",",")&amp;",")),1,0)</f>
        <v>0</v>
      </c>
      <c r="BY46" s="11">
        <f>IF(ISNUMBER(SEARCH(",Src,",","&amp;SUBSTITUTE(I46,", ",",")&amp;",")),1,0)</f>
        <v>0</v>
      </c>
      <c r="BZ46" s="11">
        <f>IF(ISNUMBER(SEARCH(",TCGF,",","&amp;SUBSTITUTE(I46,", ",",")&amp;",")),1,0)</f>
        <v>0</v>
      </c>
      <c r="CA46" s="11">
        <f>IF(ISNUMBER(SEARCH(",TGF-β,",","&amp;SUBSTITUTE(I46,", ",",")&amp;",")),1,0)</f>
        <v>0</v>
      </c>
      <c r="CB46" s="11">
        <f>IF(ISNUMBER(SEARCH(",TGF-β1,",","&amp;SUBSTITUTE(I46,", ",",")&amp;",")),1,0)</f>
        <v>0</v>
      </c>
      <c r="CC46" s="11">
        <f>IF(ISNUMBER(SEARCH(",TIGIT,",","&amp;SUBSTITUTE(I46,", ",",")&amp;",")),1,0)</f>
        <v>0</v>
      </c>
      <c r="CD46" s="11">
        <f>IF(ISNUMBER(SEARCH(",TLR,",","&amp;SUBSTITUTE(I46,", ",",")&amp;",")),1,0)</f>
        <v>0</v>
      </c>
      <c r="CE46" s="11">
        <f>IF(ISNUMBER(SEARCH(",TLR7/8,",","&amp;SUBSTITUTE(I46,", ",",")&amp;",")),1,0)</f>
        <v>0</v>
      </c>
      <c r="CF46" s="11">
        <f>IF(ISNUMBER(SEARCH(",TRK,",","&amp;SUBSTITUTE(I46,", ",",")&amp;",")),1,0)</f>
        <v>0</v>
      </c>
      <c r="CG46" s="11">
        <f>IF(ISNUMBER(SEARCH(",TROP2,",","&amp;SUBSTITUTE(I46,", ",",")&amp;",")),1,0)</f>
        <v>0</v>
      </c>
      <c r="CH46" s="11">
        <f>IF(ISNUMBER(SEARCH(",TS,",","&amp;SUBSTITUTE(I46,", ",",")&amp;",")),1,0)</f>
        <v>0</v>
      </c>
      <c r="CI46" s="11">
        <f>IF(ISNUMBER(SEARCH(",TYMS,",","&amp;SUBSTITUTE(I46,", ",",")&amp;",")),1,0)</f>
        <v>0</v>
      </c>
      <c r="CJ46" s="11">
        <f>IF(ISNUMBER(SEARCH(",VEGF,",","&amp;SUBSTITUTE(I46,", ",",")&amp;",")),1,0)</f>
        <v>0</v>
      </c>
      <c r="CK46" s="11">
        <f>IF(ISNUMBER(SEARCH(",VEGFA,",","&amp;SUBSTITUTE(I46,", ",",")&amp;",")),1,0)</f>
        <v>0</v>
      </c>
      <c r="CL46" s="11">
        <f>IF(ISNUMBER(SEARCH(",VEGFR2,",","&amp;SUBSTITUTE(I46,", ",",")&amp;",")),1,0)</f>
        <v>0</v>
      </c>
      <c r="CM46" s="11">
        <f>IF(ISNUMBER(SEARCH(",c-MET/MET,",","&amp;SUBSTITUTE(I46,", ",",")&amp;",")),1,0)</f>
        <v>0</v>
      </c>
      <c r="CN46" s="11">
        <f>IF(ISNUMBER(SEARCH(",p53,",","&amp;SUBSTITUTE(I46,", ",",")&amp;",")),1,0)</f>
        <v>0</v>
      </c>
      <c r="CO46" s="11">
        <f>IF(ISNUMBER(SEARCH(",pan-KRAS,",","&amp;SUBSTITUTE(I46,", ",",")&amp;",")),1,0)</f>
        <v>0</v>
      </c>
      <c r="CP46" s="11">
        <f>IF(ISNUMBER(SEARCH(",ALK,",","&amp;SUBSTITUTE(K46,", ",",")&amp;",")),1,0)</f>
        <v>0</v>
      </c>
      <c r="CQ46" s="11">
        <f>IF(ISNUMBER(SEARCH(",BRAF V600E,",","&amp;SUBSTITUTE(K46,", ",",")&amp;",")),1,0)</f>
        <v>0</v>
      </c>
      <c r="CR46" s="11">
        <f>IF(ISNUMBER(SEARCH(",EGFR,",","&amp;SUBSTITUTE(K46,", ",",")&amp;",")),1,0)</f>
        <v>0</v>
      </c>
      <c r="CS46" s="11">
        <f>IF(ISNUMBER(SEARCH(",EGFR Exon 18,",","&amp;SUBSTITUTE(K46,", ",",")&amp;",")),1,0)</f>
        <v>0</v>
      </c>
      <c r="CT46" s="11">
        <f>IF(ISNUMBER(SEARCH(",EGFR Exon 19-del,",","&amp;SUBSTITUTE(K46,", ",",")&amp;",")),1,0)</f>
        <v>0</v>
      </c>
      <c r="CU46" s="11">
        <f>IF(ISNUMBER(SEARCH(",EGFR Exon 20,",","&amp;SUBSTITUTE(K46,", ",",")&amp;",")),1,0)</f>
        <v>0</v>
      </c>
      <c r="CV46" s="11">
        <f>IF(ISNUMBER(SEARCH(",EGFR Exon 20-ins,",","&amp;SUBSTITUTE(K46,", ",",")&amp;",")),1,0)</f>
        <v>0</v>
      </c>
      <c r="CW46" s="11">
        <f>IF(ISNUMBER(SEARCH(",EGFR Exon 21,",","&amp;SUBSTITUTE(K46,", ",",")&amp;",")),1,0)</f>
        <v>0</v>
      </c>
      <c r="CX46" s="11">
        <f>IF(ISNUMBER(SEARCH(",EGFR G719A,",","&amp;SUBSTITUTE(K46,", ",",")&amp;",")),1,0)</f>
        <v>0</v>
      </c>
      <c r="CY46" s="11">
        <f>IF(ISNUMBER(SEARCH(",EGFR G719C,",","&amp;SUBSTITUTE(K46,", ",",")&amp;",")),1,0)</f>
        <v>0</v>
      </c>
      <c r="CZ46" s="11">
        <f>IF(ISNUMBER(SEARCH(",EGFR G719S,",","&amp;SUBSTITUTE(K46,", ",",")&amp;",")),1,0)</f>
        <v>0</v>
      </c>
      <c r="DA46" s="11">
        <f>IF(ISNUMBER(SEARCH(",EGFR G719X,",","&amp;SUBSTITUTE(K46,", ",",")&amp;",")),1,0)</f>
        <v>0</v>
      </c>
      <c r="DB46" s="11">
        <f>IF(ISNUMBER(SEARCH(",EGFR L858R,",","&amp;SUBSTITUTE(K46,", ",",")&amp;",")),1,0)</f>
        <v>0</v>
      </c>
      <c r="DC46" s="11">
        <f>IF(ISNUMBER(SEARCH(",EGFR L861Q,",","&amp;SUBSTITUTE(K46,", ",",")&amp;",")),1,0)</f>
        <v>0</v>
      </c>
      <c r="DD46" s="11">
        <f>IF(ISNUMBER(SEARCH(",EGFR PACC,",","&amp;SUBSTITUTE(K46,", ",",")&amp;",")),1,0)</f>
        <v>0</v>
      </c>
      <c r="DE46" s="11">
        <f>IF(ISNUMBER(SEARCH(",EGFR S768I,",","&amp;SUBSTITUTE(K46,", ",",")&amp;",")),1,0)</f>
        <v>0</v>
      </c>
      <c r="DF46" s="11">
        <f>IF(ISNUMBER(SEARCH(",EGFR T790M,",","&amp;SUBSTITUTE(K46,", ",",")&amp;",")),1,0)</f>
        <v>0</v>
      </c>
      <c r="DG46" s="11">
        <f>IF(ISNUMBER(SEARCH(",EML4-ALK,",","&amp;SUBSTITUTE(K46,", ",",")&amp;",")),1,0)</f>
        <v>0</v>
      </c>
      <c r="DH46" s="11">
        <f>IF(ISNUMBER(SEARCH(",HER2,",","&amp;SUBSTITUTE(K46,", ",",")&amp;",")),1,0)</f>
        <v>0</v>
      </c>
      <c r="DI46" s="11">
        <f>IF(ISNUMBER(SEARCH(",HER2 Exon 19,",","&amp;SUBSTITUTE(K46,", ",",")&amp;",")),1,0)</f>
        <v>0</v>
      </c>
      <c r="DJ46" s="11">
        <f>IF(ISNUMBER(SEARCH(",HER2 Exon 20,",","&amp;SUBSTITUTE(K46,", ",",")&amp;",")),1,0)</f>
        <v>0</v>
      </c>
      <c r="DK46" s="11">
        <f>IF(ISNUMBER(SEARCH(",HER2 mut,",","&amp;SUBSTITUTE(K46,", ",",")&amp;",")),1,0)</f>
        <v>0</v>
      </c>
      <c r="DL46" s="11">
        <f>IF(ISNUMBER(SEARCH(",HLA-A2,",","&amp;SUBSTITUTE(K46,", ",",")&amp;",")),1,0)</f>
        <v>0</v>
      </c>
      <c r="DM46" s="11">
        <f>IF(ISNUMBER(SEARCH(",HRAS,",","&amp;SUBSTITUTE(K46,", ",",")&amp;",")),1,0)</f>
        <v>0</v>
      </c>
      <c r="DN46" s="11">
        <f>IF(ISNUMBER(SEARCH(",KRAS,",","&amp;SUBSTITUTE(K46,", ",",")&amp;",")),1,0)</f>
        <v>0</v>
      </c>
      <c r="DO46" s="11">
        <f>IF(ISNUMBER(SEARCH(",KRAS G12C,",","&amp;SUBSTITUTE(K46,", ",",")&amp;",")),1,0)</f>
        <v>1</v>
      </c>
      <c r="DP46" s="11">
        <f>IF(ISNUMBER(SEARCH(",NRAS,",","&amp;SUBSTITUTE(K46,", ",",")&amp;",")),1,0)</f>
        <v>0</v>
      </c>
      <c r="DQ46" s="11">
        <f>IF(ISNUMBER(SEARCH(",NTRK,",","&amp;SUBSTITUTE(K46,", ",",")&amp;",")),1,0)</f>
        <v>0</v>
      </c>
      <c r="DR46" s="11">
        <f>IF(ISNUMBER(SEARCH(",PD-L1,",","&amp;SUBSTITUTE(K46,", ",",")&amp;",")),1,0)</f>
        <v>1</v>
      </c>
      <c r="DS46" s="11">
        <f>IF(ISNUMBER(SEARCH(",PD-L1 IC ≥ 1%,",","&amp;SUBSTITUTE(K46,", ",",")&amp;",")),1,0)</f>
        <v>0</v>
      </c>
      <c r="DT46" s="11">
        <f>IF(ISNUMBER(SEARCH(",PD-L1 TC ≥ 1%,",","&amp;SUBSTITUTE(K46,", ",",")&amp;",")),1,0)</f>
        <v>0</v>
      </c>
      <c r="DU46" s="11">
        <f>IF(ISNUMBER(SEARCH(",PD-L1 TC ≥ 50%,",","&amp;SUBSTITUTE(K46,", ",",")&amp;",")),1,0)</f>
        <v>0</v>
      </c>
      <c r="DV46" s="11">
        <f>IF(ISNUMBER(SEARCH(",PD-L1 TPS &lt; 50%,",","&amp;SUBSTITUTE(K46,", ",",")&amp;",")),1,0)</f>
        <v>0</v>
      </c>
      <c r="DW46" s="11">
        <f>IF(ISNUMBER(SEARCH(",PD-L1 TPS ≥ 1%,",","&amp;SUBSTITUTE(K46,", ",",")&amp;",")),1,0)</f>
        <v>0</v>
      </c>
      <c r="DX46" s="11">
        <f>IF(ISNUMBER(SEARCH(",PD-L1 TPS ≥ 50%,",","&amp;SUBSTITUTE(K46,", ",",")&amp;",")),1,0)</f>
        <v>0</v>
      </c>
      <c r="DY46" s="11">
        <f>IF(ISNUMBER(SEARCH(",RAS,",","&amp;SUBSTITUTE(K46,", ",",")&amp;",")),1,0)</f>
        <v>0</v>
      </c>
      <c r="DZ46" s="11">
        <f>IF(ISNUMBER(SEARCH(",RET,",","&amp;SUBSTITUTE(K46,", ",",")&amp;",")),1,0)</f>
        <v>0</v>
      </c>
      <c r="EA46" s="11">
        <f>IF(ISNUMBER(SEARCH(",ROS1,",","&amp;SUBSTITUTE(K46,", ",",")&amp;",")),1,0)</f>
        <v>0</v>
      </c>
      <c r="EB46" s="11">
        <f>IF(ISNUMBER(SEARCH(",TROP2,",","&amp;SUBSTITUTE(K46,", ",",")&amp;",")),1,0)</f>
        <v>0</v>
      </c>
      <c r="EC46" s="11">
        <f>IF(ISNUMBER(SEARCH(",c-MET/MET,",","&amp;SUBSTITUTE(K46,", ",",")&amp;",")),1,0)</f>
        <v>0</v>
      </c>
      <c r="ED46" s="11">
        <f>IF(ISNUMBER(SEARCH(",c-MET/MET Exon 14,",","&amp;SUBSTITUTE(K46,", ",",")&amp;",")),1,0)</f>
        <v>0</v>
      </c>
      <c r="EE46" s="11">
        <f>IF(ISNUMBER(SEARCH(",ctDNA/cfDNA,",","&amp;SUBSTITUTE(K46,", ",",")&amp;",")),1,0)</f>
        <v>0</v>
      </c>
    </row>
    <row r="47" spans="1:135" ht="15" customHeight="1" x14ac:dyDescent="0.2">
      <c r="A47" s="3" t="s">
        <v>278</v>
      </c>
      <c r="B47" s="3" t="s">
        <v>882</v>
      </c>
      <c r="C47" s="3" t="s">
        <v>883</v>
      </c>
      <c r="D47" s="3" t="s">
        <v>883</v>
      </c>
      <c r="E47" s="3" t="s">
        <v>883</v>
      </c>
      <c r="F47" s="3" t="s">
        <v>259</v>
      </c>
      <c r="G47" s="3" t="s">
        <v>181</v>
      </c>
      <c r="H47" s="3" t="s">
        <v>114</v>
      </c>
      <c r="I47" s="3" t="s">
        <v>886</v>
      </c>
      <c r="J47" s="3" t="s">
        <v>286</v>
      </c>
      <c r="K47" s="3"/>
      <c r="L47" s="3" t="s">
        <v>120</v>
      </c>
      <c r="M47" s="3" t="s">
        <v>113</v>
      </c>
      <c r="N47" s="3" t="s">
        <v>120</v>
      </c>
      <c r="O47" s="3" t="s">
        <v>120</v>
      </c>
      <c r="P47" s="3" t="s">
        <v>884</v>
      </c>
      <c r="Q47" s="10" t="str">
        <f>IF(F47="Stage IV","Stage IV Only",IF(AND(ISNUMBER(SEARCH("IV",F47)),LEN(F47)&gt;LEN("Stage IV")),"Stage IV + Other",IF(AND(ISNUMBER(SEARCH("III",F47)),NOT(ISNUMBER(SEARCH("IV",F47)))),"Stage III Only","Other")))</f>
        <v>Stage IV Only</v>
      </c>
      <c r="R47" s="10" t="str">
        <f>IF(AND(ISNUMBER(SEARCH("Non-squamous",G47)),ISNUMBER(SEARCH("Squamous",SUBSTITUTE(G47,"Non-squamous","")))),"Both",IF(ISNUMBER(SEARCH("Non-squamous",G47)),"Non-squamous",IF(ISNUMBER(SEARCH("Squamous",G47)),"Squamous","Unspecified")))</f>
        <v>Non-squamous</v>
      </c>
      <c r="S47" s="10" t="str">
        <f>IF(OR(ISNUMBER(SEARCH("TPS ≥ 50%",K47)),ISNUMBER(SEARCH("TC ≥ 50%",K47))),"TPS ≥ 50%",IF(OR(ISNUMBER(SEARCH("TPS ≥ 1%",K47)),ISNUMBER(SEARCH("TC ≥ 1%",K47)),ISNUMBER(SEARCH("TPS &lt; 50%",K47)),ISNUMBER(SEARCH("IC ≥ 1%",K47))),"TPS 1-49%","All-comers"))</f>
        <v>All-comers</v>
      </c>
      <c r="T47" s="10">
        <f>IF(H47="Phase III",1,0)</f>
        <v>1</v>
      </c>
      <c r="U47" s="10">
        <f>IF(L47="Yes",1,0)</f>
        <v>1</v>
      </c>
      <c r="V47" s="11">
        <f>IF(ISNUMBER(SEARCH(",ALK,",","&amp;SUBSTITUTE(I47,", ",",")&amp;",")),1,0)</f>
        <v>0</v>
      </c>
      <c r="W47" s="11">
        <f>IF(ISNUMBER(SEARCH(",ALK L1196M,",","&amp;SUBSTITUTE(I47,", ",",")&amp;",")),1,0)</f>
        <v>0</v>
      </c>
      <c r="X47" s="11">
        <f>IF(ISNUMBER(SEARCH(",AXL,",","&amp;SUBSTITUTE(I47,", ",",")&amp;",")),1,0)</f>
        <v>0</v>
      </c>
      <c r="Y47" s="11">
        <f>IF(ISNUMBER(SEARCH(",B7-H1,",","&amp;SUBSTITUTE(I47,", ",",")&amp;",")),1,0)</f>
        <v>0</v>
      </c>
      <c r="Z47" s="11">
        <f>IF(ISNUMBER(SEARCH(",CD152,",","&amp;SUBSTITUTE(I47,", ",",")&amp;",")),1,0)</f>
        <v>0</v>
      </c>
      <c r="AA47" s="11">
        <f>IF(ISNUMBER(SEARCH(",CD274,",","&amp;SUBSTITUTE(I47,", ",",")&amp;",")),1,0)</f>
        <v>0</v>
      </c>
      <c r="AB47" s="11">
        <f>IF(ISNUMBER(SEARCH(",CD279,",","&amp;SUBSTITUTE(I47,", ",",")&amp;",")),1,0)</f>
        <v>1</v>
      </c>
      <c r="AC47" s="11">
        <f>IF(ISNUMBER(SEARCH(",CD73,",","&amp;SUBSTITUTE(I47,", ",",")&amp;",")),1,0)</f>
        <v>0</v>
      </c>
      <c r="AD47" s="11">
        <f>IF(ISNUMBER(SEARCH(",CEA,",","&amp;SUBSTITUTE(I47,", ",",")&amp;",")),1,0)</f>
        <v>0</v>
      </c>
      <c r="AE47" s="11">
        <f>IF(ISNUMBER(SEARCH(",CTLA-4,",","&amp;SUBSTITUTE(I47,", ",",")&amp;",")),1,0)</f>
        <v>0</v>
      </c>
      <c r="AF47" s="11">
        <f>IF(ISNUMBER(SEARCH(",EGFR,",","&amp;SUBSTITUTE(I47,", ",",")&amp;",")),1,0)</f>
        <v>0</v>
      </c>
      <c r="AG47" s="11">
        <f>IF(ISNUMBER(SEARCH(",EGFR C797G,",","&amp;SUBSTITUTE(I47,", ",",")&amp;",")),1,0)</f>
        <v>0</v>
      </c>
      <c r="AH47" s="11">
        <f>IF(ISNUMBER(SEARCH(",EGFR C797S,",","&amp;SUBSTITUTE(I47,", ",",")&amp;",")),1,0)</f>
        <v>0</v>
      </c>
      <c r="AI47" s="11">
        <f>IF(ISNUMBER(SEARCH(",EGFR Exon 19-del,",","&amp;SUBSTITUTE(I47,", ",",")&amp;",")),1,0)</f>
        <v>0</v>
      </c>
      <c r="AJ47" s="11">
        <f>IF(ISNUMBER(SEARCH(",EGFR Exon 20,",","&amp;SUBSTITUTE(I47,", ",",")&amp;",")),1,0)</f>
        <v>0</v>
      </c>
      <c r="AK47" s="11">
        <f>IF(ISNUMBER(SEARCH(",EGFR L858R,",","&amp;SUBSTITUTE(I47,", ",",")&amp;",")),1,0)</f>
        <v>0</v>
      </c>
      <c r="AL47" s="11">
        <f>IF(ISNUMBER(SEARCH(",EGFR T790M,",","&amp;SUBSTITUTE(I47,", ",",")&amp;",")),1,0)</f>
        <v>0</v>
      </c>
      <c r="AM47" s="11">
        <f>IF(ISNUMBER(SEARCH(",ERBB,",","&amp;SUBSTITUTE(I47,", ",",")&amp;",")),1,0)</f>
        <v>0</v>
      </c>
      <c r="AN47" s="11">
        <f>IF(ISNUMBER(SEARCH(",ERBB3,",","&amp;SUBSTITUTE(I47,", ",",")&amp;",")),1,0)</f>
        <v>0</v>
      </c>
      <c r="AO47" s="11">
        <f>IF(ISNUMBER(SEARCH(",FAK,",","&amp;SUBSTITUTE(I47,", ",",")&amp;",")),1,0)</f>
        <v>0</v>
      </c>
      <c r="AP47" s="11">
        <f>IF(ISNUMBER(SEARCH(",GARP,",","&amp;SUBSTITUTE(I47,", ",",")&amp;",")),1,0)</f>
        <v>0</v>
      </c>
      <c r="AQ47" s="11">
        <f>IF(ISNUMBER(SEARCH(",HER1,",","&amp;SUBSTITUTE(I47,", ",",")&amp;",")),1,0)</f>
        <v>0</v>
      </c>
      <c r="AR47" s="11">
        <f>IF(ISNUMBER(SEARCH(",HER2,",","&amp;SUBSTITUTE(I47,", ",",")&amp;",")),1,0)</f>
        <v>0</v>
      </c>
      <c r="AS47" s="11">
        <f>IF(ISNUMBER(SEARCH(",HER2 Exon 20,",","&amp;SUBSTITUTE(I47,", ",",")&amp;",")),1,0)</f>
        <v>0</v>
      </c>
      <c r="AT47" s="11">
        <f>IF(ISNUMBER(SEARCH(",HER3,",","&amp;SUBSTITUTE(I47,", ",",")&amp;",")),1,0)</f>
        <v>0</v>
      </c>
      <c r="AU47" s="11">
        <f>IF(ISNUMBER(SEARCH(",HER4,",","&amp;SUBSTITUTE(I47,", ",",")&amp;",")),1,0)</f>
        <v>0</v>
      </c>
      <c r="AV47" s="11">
        <f>IF(ISNUMBER(SEARCH(",HRAS,",","&amp;SUBSTITUTE(I47,", ",",")&amp;",")),1,0)</f>
        <v>0</v>
      </c>
      <c r="AW47" s="11">
        <f>IF(ISNUMBER(SEARCH(",HSV-TK,",","&amp;SUBSTITUTE(I47,", ",",")&amp;",")),1,0)</f>
        <v>0</v>
      </c>
      <c r="AX47" s="11">
        <f>IF(ISNUMBER(SEARCH(",IL-12,",","&amp;SUBSTITUTE(I47,", ",",")&amp;",")),1,0)</f>
        <v>0</v>
      </c>
      <c r="AY47" s="11">
        <f>IF(ISNUMBER(SEARCH(",IL-15,",","&amp;SUBSTITUTE(I47,", ",",")&amp;",")),1,0)</f>
        <v>0</v>
      </c>
      <c r="AZ47" s="11">
        <f>IF(ISNUMBER(SEARCH(",IL-15R,",","&amp;SUBSTITUTE(I47,", ",",")&amp;",")),1,0)</f>
        <v>0</v>
      </c>
      <c r="BA47" s="11">
        <f>IF(ISNUMBER(SEARCH(",IL-2,",","&amp;SUBSTITUTE(I47,", ",",")&amp;",")),1,0)</f>
        <v>0</v>
      </c>
      <c r="BB47" s="11">
        <f>IF(ISNUMBER(SEARCH(",Integrin β6,",","&amp;SUBSTITUTE(I47,", ",",")&amp;",")),1,0)</f>
        <v>0</v>
      </c>
      <c r="BC47" s="11">
        <f>IF(ISNUMBER(SEARCH(",KDR,",","&amp;SUBSTITUTE(I47,", ",",")&amp;",")),1,0)</f>
        <v>0</v>
      </c>
      <c r="BD47" s="11">
        <f>IF(ISNUMBER(SEARCH(",KLRC1,",","&amp;SUBSTITUTE(I47,", ",",")&amp;",")),1,0)</f>
        <v>0</v>
      </c>
      <c r="BE47" s="11">
        <f>IF(ISNUMBER(SEARCH(",KRAS,",","&amp;SUBSTITUTE(I47,", ",",")&amp;",")),1,0)</f>
        <v>0</v>
      </c>
      <c r="BF47" s="11">
        <f>IF(ISNUMBER(SEARCH(",KRAS G12,",","&amp;SUBSTITUTE(I47,", ",",")&amp;",")),1,0)</f>
        <v>0</v>
      </c>
      <c r="BG47" s="11">
        <f>IF(ISNUMBER(SEARCH(",KRAS G12C,",","&amp;SUBSTITUTE(I47,", ",",")&amp;",")),1,0)</f>
        <v>0</v>
      </c>
      <c r="BH47" s="11">
        <f>IF(ISNUMBER(SEARCH(",KRAS G12D,",","&amp;SUBSTITUTE(I47,", ",",")&amp;",")),1,0)</f>
        <v>0</v>
      </c>
      <c r="BI47" s="11">
        <f>IF(ISNUMBER(SEARCH(",LAG-3,",","&amp;SUBSTITUTE(I47,", ",",")&amp;",")),1,0)</f>
        <v>0</v>
      </c>
      <c r="BJ47" s="11">
        <f>IF(ISNUMBER(SEARCH(",MAGE-A2,",","&amp;SUBSTITUTE(I47,", ",",")&amp;",")),1,0)</f>
        <v>0</v>
      </c>
      <c r="BK47" s="11">
        <f>IF(ISNUMBER(SEARCH(",MAGE-A3,",","&amp;SUBSTITUTE(I47,", ",",")&amp;",")),1,0)</f>
        <v>0</v>
      </c>
      <c r="BL47" s="11">
        <f>IF(ISNUMBER(SEARCH(",MLN19,",","&amp;SUBSTITUTE(I47,", ",",")&amp;",")),1,0)</f>
        <v>0</v>
      </c>
      <c r="BM47" s="11">
        <f>IF(ISNUMBER(SEARCH(",Microtubule,",","&amp;SUBSTITUTE(I47,", ",",")&amp;",")),1,0)</f>
        <v>0</v>
      </c>
      <c r="BN47" s="11">
        <f>IF(ISNUMBER(SEARCH(",NKG2A,",","&amp;SUBSTITUTE(I47,", ",",")&amp;",")),1,0)</f>
        <v>0</v>
      </c>
      <c r="BO47" s="11">
        <f>IF(ISNUMBER(SEARCH(",NRAS,",","&amp;SUBSTITUTE(I47,", ",",")&amp;",")),1,0)</f>
        <v>0</v>
      </c>
      <c r="BP47" s="11">
        <f>IF(ISNUMBER(SEARCH(",NTRK,",","&amp;SUBSTITUTE(I47,", ",",")&amp;",")),1,0)</f>
        <v>0</v>
      </c>
      <c r="BQ47" s="11">
        <f>IF(ISNUMBER(SEARCH(",PARP,",","&amp;SUBSTITUTE(I47,", ",",")&amp;",")),1,0)</f>
        <v>0</v>
      </c>
      <c r="BR47" s="11">
        <f>IF(ISNUMBER(SEARCH(",PD-1,",","&amp;SUBSTITUTE(I47,", ",",")&amp;",")),1,0)</f>
        <v>1</v>
      </c>
      <c r="BS47" s="11">
        <f>IF(ISNUMBER(SEARCH(",PD-L1,",","&amp;SUBSTITUTE(I47,", ",",")&amp;",")),1,0)</f>
        <v>0</v>
      </c>
      <c r="BT47" s="11">
        <f>IF(ISNUMBER(SEARCH(",PRMT5,",","&amp;SUBSTITUTE(I47,", ",",")&amp;",")),1,0)</f>
        <v>0</v>
      </c>
      <c r="BU47" s="11">
        <f>IF(ISNUMBER(SEARCH(",RAS,",","&amp;SUBSTITUTE(I47,", ",",")&amp;",")),1,0)</f>
        <v>0</v>
      </c>
      <c r="BV47" s="11">
        <f>IF(ISNUMBER(SEARCH(",RET,",","&amp;SUBSTITUTE(I47,", ",",")&amp;",")),1,0)</f>
        <v>0</v>
      </c>
      <c r="BW47" s="11">
        <f>IF(ISNUMBER(SEARCH(",ROS,",","&amp;SUBSTITUTE(I47,", ",",")&amp;",")),1,0)</f>
        <v>0</v>
      </c>
      <c r="BX47" s="11">
        <f>IF(ISNUMBER(SEARCH(",ROS1,",","&amp;SUBSTITUTE(I47,", ",",")&amp;",")),1,0)</f>
        <v>0</v>
      </c>
      <c r="BY47" s="11">
        <f>IF(ISNUMBER(SEARCH(",Src,",","&amp;SUBSTITUTE(I47,", ",",")&amp;",")),1,0)</f>
        <v>0</v>
      </c>
      <c r="BZ47" s="11">
        <f>IF(ISNUMBER(SEARCH(",TCGF,",","&amp;SUBSTITUTE(I47,", ",",")&amp;",")),1,0)</f>
        <v>0</v>
      </c>
      <c r="CA47" s="11">
        <f>IF(ISNUMBER(SEARCH(",TGF-β,",","&amp;SUBSTITUTE(I47,", ",",")&amp;",")),1,0)</f>
        <v>0</v>
      </c>
      <c r="CB47" s="11">
        <f>IF(ISNUMBER(SEARCH(",TGF-β1,",","&amp;SUBSTITUTE(I47,", ",",")&amp;",")),1,0)</f>
        <v>0</v>
      </c>
      <c r="CC47" s="11">
        <f>IF(ISNUMBER(SEARCH(",TIGIT,",","&amp;SUBSTITUTE(I47,", ",",")&amp;",")),1,0)</f>
        <v>0</v>
      </c>
      <c r="CD47" s="11">
        <f>IF(ISNUMBER(SEARCH(",TLR,",","&amp;SUBSTITUTE(I47,", ",",")&amp;",")),1,0)</f>
        <v>0</v>
      </c>
      <c r="CE47" s="11">
        <f>IF(ISNUMBER(SEARCH(",TLR7/8,",","&amp;SUBSTITUTE(I47,", ",",")&amp;",")),1,0)</f>
        <v>0</v>
      </c>
      <c r="CF47" s="11">
        <f>IF(ISNUMBER(SEARCH(",TRK,",","&amp;SUBSTITUTE(I47,", ",",")&amp;",")),1,0)</f>
        <v>0</v>
      </c>
      <c r="CG47" s="11">
        <f>IF(ISNUMBER(SEARCH(",TROP2,",","&amp;SUBSTITUTE(I47,", ",",")&amp;",")),1,0)</f>
        <v>0</v>
      </c>
      <c r="CH47" s="11">
        <f>IF(ISNUMBER(SEARCH(",TS,",","&amp;SUBSTITUTE(I47,", ",",")&amp;",")),1,0)</f>
        <v>1</v>
      </c>
      <c r="CI47" s="11">
        <f>IF(ISNUMBER(SEARCH(",TYMS,",","&amp;SUBSTITUTE(I47,", ",",")&amp;",")),1,0)</f>
        <v>1</v>
      </c>
      <c r="CJ47" s="11">
        <f>IF(ISNUMBER(SEARCH(",VEGF,",","&amp;SUBSTITUTE(I47,", ",",")&amp;",")),1,0)</f>
        <v>0</v>
      </c>
      <c r="CK47" s="11">
        <f>IF(ISNUMBER(SEARCH(",VEGFA,",","&amp;SUBSTITUTE(I47,", ",",")&amp;",")),1,0)</f>
        <v>0</v>
      </c>
      <c r="CL47" s="11">
        <f>IF(ISNUMBER(SEARCH(",VEGFR2,",","&amp;SUBSTITUTE(I47,", ",",")&amp;",")),1,0)</f>
        <v>0</v>
      </c>
      <c r="CM47" s="11">
        <f>IF(ISNUMBER(SEARCH(",c-MET/MET,",","&amp;SUBSTITUTE(I47,", ",",")&amp;",")),1,0)</f>
        <v>0</v>
      </c>
      <c r="CN47" s="11">
        <f>IF(ISNUMBER(SEARCH(",p53,",","&amp;SUBSTITUTE(I47,", ",",")&amp;",")),1,0)</f>
        <v>0</v>
      </c>
      <c r="CO47" s="11">
        <f>IF(ISNUMBER(SEARCH(",pan-KRAS,",","&amp;SUBSTITUTE(I47,", ",",")&amp;",")),1,0)</f>
        <v>0</v>
      </c>
      <c r="CP47" s="11">
        <f>IF(ISNUMBER(SEARCH(",ALK,",","&amp;SUBSTITUTE(K47,", ",",")&amp;",")),1,0)</f>
        <v>0</v>
      </c>
      <c r="CQ47" s="11">
        <f>IF(ISNUMBER(SEARCH(",BRAF V600E,",","&amp;SUBSTITUTE(K47,", ",",")&amp;",")),1,0)</f>
        <v>0</v>
      </c>
      <c r="CR47" s="11">
        <f>IF(ISNUMBER(SEARCH(",EGFR,",","&amp;SUBSTITUTE(K47,", ",",")&amp;",")),1,0)</f>
        <v>0</v>
      </c>
      <c r="CS47" s="11">
        <f>IF(ISNUMBER(SEARCH(",EGFR Exon 18,",","&amp;SUBSTITUTE(K47,", ",",")&amp;",")),1,0)</f>
        <v>0</v>
      </c>
      <c r="CT47" s="11">
        <f>IF(ISNUMBER(SEARCH(",EGFR Exon 19-del,",","&amp;SUBSTITUTE(K47,", ",",")&amp;",")),1,0)</f>
        <v>0</v>
      </c>
      <c r="CU47" s="11">
        <f>IF(ISNUMBER(SEARCH(",EGFR Exon 20,",","&amp;SUBSTITUTE(K47,", ",",")&amp;",")),1,0)</f>
        <v>0</v>
      </c>
      <c r="CV47" s="11">
        <f>IF(ISNUMBER(SEARCH(",EGFR Exon 20-ins,",","&amp;SUBSTITUTE(K47,", ",",")&amp;",")),1,0)</f>
        <v>0</v>
      </c>
      <c r="CW47" s="11">
        <f>IF(ISNUMBER(SEARCH(",EGFR Exon 21,",","&amp;SUBSTITUTE(K47,", ",",")&amp;",")),1,0)</f>
        <v>0</v>
      </c>
      <c r="CX47" s="11">
        <f>IF(ISNUMBER(SEARCH(",EGFR G719A,",","&amp;SUBSTITUTE(K47,", ",",")&amp;",")),1,0)</f>
        <v>0</v>
      </c>
      <c r="CY47" s="11">
        <f>IF(ISNUMBER(SEARCH(",EGFR G719C,",","&amp;SUBSTITUTE(K47,", ",",")&amp;",")),1,0)</f>
        <v>0</v>
      </c>
      <c r="CZ47" s="11">
        <f>IF(ISNUMBER(SEARCH(",EGFR G719S,",","&amp;SUBSTITUTE(K47,", ",",")&amp;",")),1,0)</f>
        <v>0</v>
      </c>
      <c r="DA47" s="11">
        <f>IF(ISNUMBER(SEARCH(",EGFR G719X,",","&amp;SUBSTITUTE(K47,", ",",")&amp;",")),1,0)</f>
        <v>0</v>
      </c>
      <c r="DB47" s="11">
        <f>IF(ISNUMBER(SEARCH(",EGFR L858R,",","&amp;SUBSTITUTE(K47,", ",",")&amp;",")),1,0)</f>
        <v>0</v>
      </c>
      <c r="DC47" s="11">
        <f>IF(ISNUMBER(SEARCH(",EGFR L861Q,",","&amp;SUBSTITUTE(K47,", ",",")&amp;",")),1,0)</f>
        <v>0</v>
      </c>
      <c r="DD47" s="11">
        <f>IF(ISNUMBER(SEARCH(",EGFR PACC,",","&amp;SUBSTITUTE(K47,", ",",")&amp;",")),1,0)</f>
        <v>0</v>
      </c>
      <c r="DE47" s="11">
        <f>IF(ISNUMBER(SEARCH(",EGFR S768I,",","&amp;SUBSTITUTE(K47,", ",",")&amp;",")),1,0)</f>
        <v>0</v>
      </c>
      <c r="DF47" s="11">
        <f>IF(ISNUMBER(SEARCH(",EGFR T790M,",","&amp;SUBSTITUTE(K47,", ",",")&amp;",")),1,0)</f>
        <v>0</v>
      </c>
      <c r="DG47" s="11">
        <f>IF(ISNUMBER(SEARCH(",EML4-ALK,",","&amp;SUBSTITUTE(K47,", ",",")&amp;",")),1,0)</f>
        <v>0</v>
      </c>
      <c r="DH47" s="11">
        <f>IF(ISNUMBER(SEARCH(",HER2,",","&amp;SUBSTITUTE(K47,", ",",")&amp;",")),1,0)</f>
        <v>0</v>
      </c>
      <c r="DI47" s="11">
        <f>IF(ISNUMBER(SEARCH(",HER2 Exon 19,",","&amp;SUBSTITUTE(K47,", ",",")&amp;",")),1,0)</f>
        <v>0</v>
      </c>
      <c r="DJ47" s="11">
        <f>IF(ISNUMBER(SEARCH(",HER2 Exon 20,",","&amp;SUBSTITUTE(K47,", ",",")&amp;",")),1,0)</f>
        <v>0</v>
      </c>
      <c r="DK47" s="11">
        <f>IF(ISNUMBER(SEARCH(",HER2 mut,",","&amp;SUBSTITUTE(K47,", ",",")&amp;",")),1,0)</f>
        <v>0</v>
      </c>
      <c r="DL47" s="11">
        <f>IF(ISNUMBER(SEARCH(",HLA-A2,",","&amp;SUBSTITUTE(K47,", ",",")&amp;",")),1,0)</f>
        <v>0</v>
      </c>
      <c r="DM47" s="11">
        <f>IF(ISNUMBER(SEARCH(",HRAS,",","&amp;SUBSTITUTE(K47,", ",",")&amp;",")),1,0)</f>
        <v>0</v>
      </c>
      <c r="DN47" s="11">
        <f>IF(ISNUMBER(SEARCH(",KRAS,",","&amp;SUBSTITUTE(K47,", ",",")&amp;",")),1,0)</f>
        <v>0</v>
      </c>
      <c r="DO47" s="11">
        <f>IF(ISNUMBER(SEARCH(",KRAS G12C,",","&amp;SUBSTITUTE(K47,", ",",")&amp;",")),1,0)</f>
        <v>0</v>
      </c>
      <c r="DP47" s="11">
        <f>IF(ISNUMBER(SEARCH(",NRAS,",","&amp;SUBSTITUTE(K47,", ",",")&amp;",")),1,0)</f>
        <v>0</v>
      </c>
      <c r="DQ47" s="11">
        <f>IF(ISNUMBER(SEARCH(",NTRK,",","&amp;SUBSTITUTE(K47,", ",",")&amp;",")),1,0)</f>
        <v>0</v>
      </c>
      <c r="DR47" s="11">
        <f>IF(ISNUMBER(SEARCH(",PD-L1,",","&amp;SUBSTITUTE(K47,", ",",")&amp;",")),1,0)</f>
        <v>0</v>
      </c>
      <c r="DS47" s="11">
        <f>IF(ISNUMBER(SEARCH(",PD-L1 IC ≥ 1%,",","&amp;SUBSTITUTE(K47,", ",",")&amp;",")),1,0)</f>
        <v>0</v>
      </c>
      <c r="DT47" s="11">
        <f>IF(ISNUMBER(SEARCH(",PD-L1 TC ≥ 1%,",","&amp;SUBSTITUTE(K47,", ",",")&amp;",")),1,0)</f>
        <v>0</v>
      </c>
      <c r="DU47" s="11">
        <f>IF(ISNUMBER(SEARCH(",PD-L1 TC ≥ 50%,",","&amp;SUBSTITUTE(K47,", ",",")&amp;",")),1,0)</f>
        <v>0</v>
      </c>
      <c r="DV47" s="11">
        <f>IF(ISNUMBER(SEARCH(",PD-L1 TPS &lt; 50%,",","&amp;SUBSTITUTE(K47,", ",",")&amp;",")),1,0)</f>
        <v>0</v>
      </c>
      <c r="DW47" s="11">
        <f>IF(ISNUMBER(SEARCH(",PD-L1 TPS ≥ 1%,",","&amp;SUBSTITUTE(K47,", ",",")&amp;",")),1,0)</f>
        <v>0</v>
      </c>
      <c r="DX47" s="11">
        <f>IF(ISNUMBER(SEARCH(",PD-L1 TPS ≥ 50%,",","&amp;SUBSTITUTE(K47,", ",",")&amp;",")),1,0)</f>
        <v>0</v>
      </c>
      <c r="DY47" s="11">
        <f>IF(ISNUMBER(SEARCH(",RAS,",","&amp;SUBSTITUTE(K47,", ",",")&amp;",")),1,0)</f>
        <v>0</v>
      </c>
      <c r="DZ47" s="11">
        <f>IF(ISNUMBER(SEARCH(",RET,",","&amp;SUBSTITUTE(K47,", ",",")&amp;",")),1,0)</f>
        <v>0</v>
      </c>
      <c r="EA47" s="11">
        <f>IF(ISNUMBER(SEARCH(",ROS1,",","&amp;SUBSTITUTE(K47,", ",",")&amp;",")),1,0)</f>
        <v>0</v>
      </c>
      <c r="EB47" s="11">
        <f>IF(ISNUMBER(SEARCH(",TROP2,",","&amp;SUBSTITUTE(K47,", ",",")&amp;",")),1,0)</f>
        <v>0</v>
      </c>
      <c r="EC47" s="11">
        <f>IF(ISNUMBER(SEARCH(",c-MET/MET,",","&amp;SUBSTITUTE(K47,", ",",")&amp;",")),1,0)</f>
        <v>0</v>
      </c>
      <c r="ED47" s="11">
        <f>IF(ISNUMBER(SEARCH(",c-MET/MET Exon 14,",","&amp;SUBSTITUTE(K47,", ",",")&amp;",")),1,0)</f>
        <v>0</v>
      </c>
      <c r="EE47" s="11">
        <f>IF(ISNUMBER(SEARCH(",ctDNA/cfDNA,",","&amp;SUBSTITUTE(K47,", ",",")&amp;",")),1,0)</f>
        <v>0</v>
      </c>
    </row>
    <row r="48" spans="1:135" ht="15" customHeight="1" x14ac:dyDescent="0.2">
      <c r="A48" s="3" t="s">
        <v>278</v>
      </c>
      <c r="B48" s="3" t="s">
        <v>976</v>
      </c>
      <c r="C48" s="3" t="s">
        <v>606</v>
      </c>
      <c r="D48" s="3" t="s">
        <v>606</v>
      </c>
      <c r="E48" s="3" t="s">
        <v>606</v>
      </c>
      <c r="F48" s="3" t="s">
        <v>259</v>
      </c>
      <c r="G48" s="3" t="s">
        <v>181</v>
      </c>
      <c r="H48" s="3" t="s">
        <v>114</v>
      </c>
      <c r="I48" s="3" t="s">
        <v>886</v>
      </c>
      <c r="J48" s="3" t="s">
        <v>286</v>
      </c>
      <c r="K48" s="3"/>
      <c r="L48" s="3" t="s">
        <v>120</v>
      </c>
      <c r="M48" s="3" t="s">
        <v>113</v>
      </c>
      <c r="N48" s="3" t="s">
        <v>120</v>
      </c>
      <c r="O48" s="3" t="s">
        <v>120</v>
      </c>
      <c r="P48" s="3" t="s">
        <v>977</v>
      </c>
      <c r="Q48" s="10" t="str">
        <f>IF(F48="Stage IV","Stage IV Only",IF(AND(ISNUMBER(SEARCH("IV",F48)),LEN(F48)&gt;LEN("Stage IV")),"Stage IV + Other",IF(AND(ISNUMBER(SEARCH("III",F48)),NOT(ISNUMBER(SEARCH("IV",F48)))),"Stage III Only","Other")))</f>
        <v>Stage IV Only</v>
      </c>
      <c r="R48" s="10" t="str">
        <f>IF(AND(ISNUMBER(SEARCH("Non-squamous",G48)),ISNUMBER(SEARCH("Squamous",SUBSTITUTE(G48,"Non-squamous","")))),"Both",IF(ISNUMBER(SEARCH("Non-squamous",G48)),"Non-squamous",IF(ISNUMBER(SEARCH("Squamous",G48)),"Squamous","Unspecified")))</f>
        <v>Non-squamous</v>
      </c>
      <c r="S48" s="10" t="str">
        <f>IF(OR(ISNUMBER(SEARCH("TPS ≥ 50%",K48)),ISNUMBER(SEARCH("TC ≥ 50%",K48))),"TPS ≥ 50%",IF(OR(ISNUMBER(SEARCH("TPS ≥ 1%",K48)),ISNUMBER(SEARCH("TC ≥ 1%",K48)),ISNUMBER(SEARCH("TPS &lt; 50%",K48)),ISNUMBER(SEARCH("IC ≥ 1%",K48))),"TPS 1-49%","All-comers"))</f>
        <v>All-comers</v>
      </c>
      <c r="T48" s="10">
        <f>IF(H48="Phase III",1,0)</f>
        <v>1</v>
      </c>
      <c r="U48" s="10">
        <f>IF(L48="Yes",1,0)</f>
        <v>1</v>
      </c>
      <c r="V48" s="11">
        <f>IF(ISNUMBER(SEARCH(",ALK,",","&amp;SUBSTITUTE(I48,", ",",")&amp;",")),1,0)</f>
        <v>0</v>
      </c>
      <c r="W48" s="11">
        <f>IF(ISNUMBER(SEARCH(",ALK L1196M,",","&amp;SUBSTITUTE(I48,", ",",")&amp;",")),1,0)</f>
        <v>0</v>
      </c>
      <c r="X48" s="11">
        <f>IF(ISNUMBER(SEARCH(",AXL,",","&amp;SUBSTITUTE(I48,", ",",")&amp;",")),1,0)</f>
        <v>0</v>
      </c>
      <c r="Y48" s="11">
        <f>IF(ISNUMBER(SEARCH(",B7-H1,",","&amp;SUBSTITUTE(I48,", ",",")&amp;",")),1,0)</f>
        <v>0</v>
      </c>
      <c r="Z48" s="11">
        <f>IF(ISNUMBER(SEARCH(",CD152,",","&amp;SUBSTITUTE(I48,", ",",")&amp;",")),1,0)</f>
        <v>0</v>
      </c>
      <c r="AA48" s="11">
        <f>IF(ISNUMBER(SEARCH(",CD274,",","&amp;SUBSTITUTE(I48,", ",",")&amp;",")),1,0)</f>
        <v>0</v>
      </c>
      <c r="AB48" s="11">
        <f>IF(ISNUMBER(SEARCH(",CD279,",","&amp;SUBSTITUTE(I48,", ",",")&amp;",")),1,0)</f>
        <v>1</v>
      </c>
      <c r="AC48" s="11">
        <f>IF(ISNUMBER(SEARCH(",CD73,",","&amp;SUBSTITUTE(I48,", ",",")&amp;",")),1,0)</f>
        <v>0</v>
      </c>
      <c r="AD48" s="11">
        <f>IF(ISNUMBER(SEARCH(",CEA,",","&amp;SUBSTITUTE(I48,", ",",")&amp;",")),1,0)</f>
        <v>0</v>
      </c>
      <c r="AE48" s="11">
        <f>IF(ISNUMBER(SEARCH(",CTLA-4,",","&amp;SUBSTITUTE(I48,", ",",")&amp;",")),1,0)</f>
        <v>0</v>
      </c>
      <c r="AF48" s="11">
        <f>IF(ISNUMBER(SEARCH(",EGFR,",","&amp;SUBSTITUTE(I48,", ",",")&amp;",")),1,0)</f>
        <v>0</v>
      </c>
      <c r="AG48" s="11">
        <f>IF(ISNUMBER(SEARCH(",EGFR C797G,",","&amp;SUBSTITUTE(I48,", ",",")&amp;",")),1,0)</f>
        <v>0</v>
      </c>
      <c r="AH48" s="11">
        <f>IF(ISNUMBER(SEARCH(",EGFR C797S,",","&amp;SUBSTITUTE(I48,", ",",")&amp;",")),1,0)</f>
        <v>0</v>
      </c>
      <c r="AI48" s="11">
        <f>IF(ISNUMBER(SEARCH(",EGFR Exon 19-del,",","&amp;SUBSTITUTE(I48,", ",",")&amp;",")),1,0)</f>
        <v>0</v>
      </c>
      <c r="AJ48" s="11">
        <f>IF(ISNUMBER(SEARCH(",EGFR Exon 20,",","&amp;SUBSTITUTE(I48,", ",",")&amp;",")),1,0)</f>
        <v>0</v>
      </c>
      <c r="AK48" s="11">
        <f>IF(ISNUMBER(SEARCH(",EGFR L858R,",","&amp;SUBSTITUTE(I48,", ",",")&amp;",")),1,0)</f>
        <v>0</v>
      </c>
      <c r="AL48" s="11">
        <f>IF(ISNUMBER(SEARCH(",EGFR T790M,",","&amp;SUBSTITUTE(I48,", ",",")&amp;",")),1,0)</f>
        <v>0</v>
      </c>
      <c r="AM48" s="11">
        <f>IF(ISNUMBER(SEARCH(",ERBB,",","&amp;SUBSTITUTE(I48,", ",",")&amp;",")),1,0)</f>
        <v>0</v>
      </c>
      <c r="AN48" s="11">
        <f>IF(ISNUMBER(SEARCH(",ERBB3,",","&amp;SUBSTITUTE(I48,", ",",")&amp;",")),1,0)</f>
        <v>0</v>
      </c>
      <c r="AO48" s="11">
        <f>IF(ISNUMBER(SEARCH(",FAK,",","&amp;SUBSTITUTE(I48,", ",",")&amp;",")),1,0)</f>
        <v>0</v>
      </c>
      <c r="AP48" s="11">
        <f>IF(ISNUMBER(SEARCH(",GARP,",","&amp;SUBSTITUTE(I48,", ",",")&amp;",")),1,0)</f>
        <v>0</v>
      </c>
      <c r="AQ48" s="11">
        <f>IF(ISNUMBER(SEARCH(",HER1,",","&amp;SUBSTITUTE(I48,", ",",")&amp;",")),1,0)</f>
        <v>0</v>
      </c>
      <c r="AR48" s="11">
        <f>IF(ISNUMBER(SEARCH(",HER2,",","&amp;SUBSTITUTE(I48,", ",",")&amp;",")),1,0)</f>
        <v>0</v>
      </c>
      <c r="AS48" s="11">
        <f>IF(ISNUMBER(SEARCH(",HER2 Exon 20,",","&amp;SUBSTITUTE(I48,", ",",")&amp;",")),1,0)</f>
        <v>0</v>
      </c>
      <c r="AT48" s="11">
        <f>IF(ISNUMBER(SEARCH(",HER3,",","&amp;SUBSTITUTE(I48,", ",",")&amp;",")),1,0)</f>
        <v>0</v>
      </c>
      <c r="AU48" s="11">
        <f>IF(ISNUMBER(SEARCH(",HER4,",","&amp;SUBSTITUTE(I48,", ",",")&amp;",")),1,0)</f>
        <v>0</v>
      </c>
      <c r="AV48" s="11">
        <f>IF(ISNUMBER(SEARCH(",HRAS,",","&amp;SUBSTITUTE(I48,", ",",")&amp;",")),1,0)</f>
        <v>0</v>
      </c>
      <c r="AW48" s="11">
        <f>IF(ISNUMBER(SEARCH(",HSV-TK,",","&amp;SUBSTITUTE(I48,", ",",")&amp;",")),1,0)</f>
        <v>0</v>
      </c>
      <c r="AX48" s="11">
        <f>IF(ISNUMBER(SEARCH(",IL-12,",","&amp;SUBSTITUTE(I48,", ",",")&amp;",")),1,0)</f>
        <v>0</v>
      </c>
      <c r="AY48" s="11">
        <f>IF(ISNUMBER(SEARCH(",IL-15,",","&amp;SUBSTITUTE(I48,", ",",")&amp;",")),1,0)</f>
        <v>0</v>
      </c>
      <c r="AZ48" s="11">
        <f>IF(ISNUMBER(SEARCH(",IL-15R,",","&amp;SUBSTITUTE(I48,", ",",")&amp;",")),1,0)</f>
        <v>0</v>
      </c>
      <c r="BA48" s="11">
        <f>IF(ISNUMBER(SEARCH(",IL-2,",","&amp;SUBSTITUTE(I48,", ",",")&amp;",")),1,0)</f>
        <v>0</v>
      </c>
      <c r="BB48" s="11">
        <f>IF(ISNUMBER(SEARCH(",Integrin β6,",","&amp;SUBSTITUTE(I48,", ",",")&amp;",")),1,0)</f>
        <v>0</v>
      </c>
      <c r="BC48" s="11">
        <f>IF(ISNUMBER(SEARCH(",KDR,",","&amp;SUBSTITUTE(I48,", ",",")&amp;",")),1,0)</f>
        <v>0</v>
      </c>
      <c r="BD48" s="11">
        <f>IF(ISNUMBER(SEARCH(",KLRC1,",","&amp;SUBSTITUTE(I48,", ",",")&amp;",")),1,0)</f>
        <v>0</v>
      </c>
      <c r="BE48" s="11">
        <f>IF(ISNUMBER(SEARCH(",KRAS,",","&amp;SUBSTITUTE(I48,", ",",")&amp;",")),1,0)</f>
        <v>0</v>
      </c>
      <c r="BF48" s="11">
        <f>IF(ISNUMBER(SEARCH(",KRAS G12,",","&amp;SUBSTITUTE(I48,", ",",")&amp;",")),1,0)</f>
        <v>0</v>
      </c>
      <c r="BG48" s="11">
        <f>IF(ISNUMBER(SEARCH(",KRAS G12C,",","&amp;SUBSTITUTE(I48,", ",",")&amp;",")),1,0)</f>
        <v>0</v>
      </c>
      <c r="BH48" s="11">
        <f>IF(ISNUMBER(SEARCH(",KRAS G12D,",","&amp;SUBSTITUTE(I48,", ",",")&amp;",")),1,0)</f>
        <v>0</v>
      </c>
      <c r="BI48" s="11">
        <f>IF(ISNUMBER(SEARCH(",LAG-3,",","&amp;SUBSTITUTE(I48,", ",",")&amp;",")),1,0)</f>
        <v>0</v>
      </c>
      <c r="BJ48" s="11">
        <f>IF(ISNUMBER(SEARCH(",MAGE-A2,",","&amp;SUBSTITUTE(I48,", ",",")&amp;",")),1,0)</f>
        <v>0</v>
      </c>
      <c r="BK48" s="11">
        <f>IF(ISNUMBER(SEARCH(",MAGE-A3,",","&amp;SUBSTITUTE(I48,", ",",")&amp;",")),1,0)</f>
        <v>0</v>
      </c>
      <c r="BL48" s="11">
        <f>IF(ISNUMBER(SEARCH(",MLN19,",","&amp;SUBSTITUTE(I48,", ",",")&amp;",")),1,0)</f>
        <v>0</v>
      </c>
      <c r="BM48" s="11">
        <f>IF(ISNUMBER(SEARCH(",Microtubule,",","&amp;SUBSTITUTE(I48,", ",",")&amp;",")),1,0)</f>
        <v>0</v>
      </c>
      <c r="BN48" s="11">
        <f>IF(ISNUMBER(SEARCH(",NKG2A,",","&amp;SUBSTITUTE(I48,", ",",")&amp;",")),1,0)</f>
        <v>0</v>
      </c>
      <c r="BO48" s="11">
        <f>IF(ISNUMBER(SEARCH(",NRAS,",","&amp;SUBSTITUTE(I48,", ",",")&amp;",")),1,0)</f>
        <v>0</v>
      </c>
      <c r="BP48" s="11">
        <f>IF(ISNUMBER(SEARCH(",NTRK,",","&amp;SUBSTITUTE(I48,", ",",")&amp;",")),1,0)</f>
        <v>0</v>
      </c>
      <c r="BQ48" s="11">
        <f>IF(ISNUMBER(SEARCH(",PARP,",","&amp;SUBSTITUTE(I48,", ",",")&amp;",")),1,0)</f>
        <v>0</v>
      </c>
      <c r="BR48" s="11">
        <f>IF(ISNUMBER(SEARCH(",PD-1,",","&amp;SUBSTITUTE(I48,", ",",")&amp;",")),1,0)</f>
        <v>1</v>
      </c>
      <c r="BS48" s="11">
        <f>IF(ISNUMBER(SEARCH(",PD-L1,",","&amp;SUBSTITUTE(I48,", ",",")&amp;",")),1,0)</f>
        <v>0</v>
      </c>
      <c r="BT48" s="11">
        <f>IF(ISNUMBER(SEARCH(",PRMT5,",","&amp;SUBSTITUTE(I48,", ",",")&amp;",")),1,0)</f>
        <v>0</v>
      </c>
      <c r="BU48" s="11">
        <f>IF(ISNUMBER(SEARCH(",RAS,",","&amp;SUBSTITUTE(I48,", ",",")&amp;",")),1,0)</f>
        <v>0</v>
      </c>
      <c r="BV48" s="11">
        <f>IF(ISNUMBER(SEARCH(",RET,",","&amp;SUBSTITUTE(I48,", ",",")&amp;",")),1,0)</f>
        <v>0</v>
      </c>
      <c r="BW48" s="11">
        <f>IF(ISNUMBER(SEARCH(",ROS,",","&amp;SUBSTITUTE(I48,", ",",")&amp;",")),1,0)</f>
        <v>0</v>
      </c>
      <c r="BX48" s="11">
        <f>IF(ISNUMBER(SEARCH(",ROS1,",","&amp;SUBSTITUTE(I48,", ",",")&amp;",")),1,0)</f>
        <v>0</v>
      </c>
      <c r="BY48" s="11">
        <f>IF(ISNUMBER(SEARCH(",Src,",","&amp;SUBSTITUTE(I48,", ",",")&amp;",")),1,0)</f>
        <v>0</v>
      </c>
      <c r="BZ48" s="11">
        <f>IF(ISNUMBER(SEARCH(",TCGF,",","&amp;SUBSTITUTE(I48,", ",",")&amp;",")),1,0)</f>
        <v>0</v>
      </c>
      <c r="CA48" s="11">
        <f>IF(ISNUMBER(SEARCH(",TGF-β,",","&amp;SUBSTITUTE(I48,", ",",")&amp;",")),1,0)</f>
        <v>0</v>
      </c>
      <c r="CB48" s="11">
        <f>IF(ISNUMBER(SEARCH(",TGF-β1,",","&amp;SUBSTITUTE(I48,", ",",")&amp;",")),1,0)</f>
        <v>0</v>
      </c>
      <c r="CC48" s="11">
        <f>IF(ISNUMBER(SEARCH(",TIGIT,",","&amp;SUBSTITUTE(I48,", ",",")&amp;",")),1,0)</f>
        <v>0</v>
      </c>
      <c r="CD48" s="11">
        <f>IF(ISNUMBER(SEARCH(",TLR,",","&amp;SUBSTITUTE(I48,", ",",")&amp;",")),1,0)</f>
        <v>0</v>
      </c>
      <c r="CE48" s="11">
        <f>IF(ISNUMBER(SEARCH(",TLR7/8,",","&amp;SUBSTITUTE(I48,", ",",")&amp;",")),1,0)</f>
        <v>0</v>
      </c>
      <c r="CF48" s="11">
        <f>IF(ISNUMBER(SEARCH(",TRK,",","&amp;SUBSTITUTE(I48,", ",",")&amp;",")),1,0)</f>
        <v>0</v>
      </c>
      <c r="CG48" s="11">
        <f>IF(ISNUMBER(SEARCH(",TROP2,",","&amp;SUBSTITUTE(I48,", ",",")&amp;",")),1,0)</f>
        <v>0</v>
      </c>
      <c r="CH48" s="11">
        <f>IF(ISNUMBER(SEARCH(",TS,",","&amp;SUBSTITUTE(I48,", ",",")&amp;",")),1,0)</f>
        <v>1</v>
      </c>
      <c r="CI48" s="11">
        <f>IF(ISNUMBER(SEARCH(",TYMS,",","&amp;SUBSTITUTE(I48,", ",",")&amp;",")),1,0)</f>
        <v>1</v>
      </c>
      <c r="CJ48" s="11">
        <f>IF(ISNUMBER(SEARCH(",VEGF,",","&amp;SUBSTITUTE(I48,", ",",")&amp;",")),1,0)</f>
        <v>0</v>
      </c>
      <c r="CK48" s="11">
        <f>IF(ISNUMBER(SEARCH(",VEGFA,",","&amp;SUBSTITUTE(I48,", ",",")&amp;",")),1,0)</f>
        <v>0</v>
      </c>
      <c r="CL48" s="11">
        <f>IF(ISNUMBER(SEARCH(",VEGFR2,",","&amp;SUBSTITUTE(I48,", ",",")&amp;",")),1,0)</f>
        <v>0</v>
      </c>
      <c r="CM48" s="11">
        <f>IF(ISNUMBER(SEARCH(",c-MET/MET,",","&amp;SUBSTITUTE(I48,", ",",")&amp;",")),1,0)</f>
        <v>0</v>
      </c>
      <c r="CN48" s="11">
        <f>IF(ISNUMBER(SEARCH(",p53,",","&amp;SUBSTITUTE(I48,", ",",")&amp;",")),1,0)</f>
        <v>0</v>
      </c>
      <c r="CO48" s="11">
        <f>IF(ISNUMBER(SEARCH(",pan-KRAS,",","&amp;SUBSTITUTE(I48,", ",",")&amp;",")),1,0)</f>
        <v>0</v>
      </c>
      <c r="CP48" s="11">
        <f>IF(ISNUMBER(SEARCH(",ALK,",","&amp;SUBSTITUTE(K48,", ",",")&amp;",")),1,0)</f>
        <v>0</v>
      </c>
      <c r="CQ48" s="11">
        <f>IF(ISNUMBER(SEARCH(",BRAF V600E,",","&amp;SUBSTITUTE(K48,", ",",")&amp;",")),1,0)</f>
        <v>0</v>
      </c>
      <c r="CR48" s="11">
        <f>IF(ISNUMBER(SEARCH(",EGFR,",","&amp;SUBSTITUTE(K48,", ",",")&amp;",")),1,0)</f>
        <v>0</v>
      </c>
      <c r="CS48" s="11">
        <f>IF(ISNUMBER(SEARCH(",EGFR Exon 18,",","&amp;SUBSTITUTE(K48,", ",",")&amp;",")),1,0)</f>
        <v>0</v>
      </c>
      <c r="CT48" s="11">
        <f>IF(ISNUMBER(SEARCH(",EGFR Exon 19-del,",","&amp;SUBSTITUTE(K48,", ",",")&amp;",")),1,0)</f>
        <v>0</v>
      </c>
      <c r="CU48" s="11">
        <f>IF(ISNUMBER(SEARCH(",EGFR Exon 20,",","&amp;SUBSTITUTE(K48,", ",",")&amp;",")),1,0)</f>
        <v>0</v>
      </c>
      <c r="CV48" s="11">
        <f>IF(ISNUMBER(SEARCH(",EGFR Exon 20-ins,",","&amp;SUBSTITUTE(K48,", ",",")&amp;",")),1,0)</f>
        <v>0</v>
      </c>
      <c r="CW48" s="11">
        <f>IF(ISNUMBER(SEARCH(",EGFR Exon 21,",","&amp;SUBSTITUTE(K48,", ",",")&amp;",")),1,0)</f>
        <v>0</v>
      </c>
      <c r="CX48" s="11">
        <f>IF(ISNUMBER(SEARCH(",EGFR G719A,",","&amp;SUBSTITUTE(K48,", ",",")&amp;",")),1,0)</f>
        <v>0</v>
      </c>
      <c r="CY48" s="11">
        <f>IF(ISNUMBER(SEARCH(",EGFR G719C,",","&amp;SUBSTITUTE(K48,", ",",")&amp;",")),1,0)</f>
        <v>0</v>
      </c>
      <c r="CZ48" s="11">
        <f>IF(ISNUMBER(SEARCH(",EGFR G719S,",","&amp;SUBSTITUTE(K48,", ",",")&amp;",")),1,0)</f>
        <v>0</v>
      </c>
      <c r="DA48" s="11">
        <f>IF(ISNUMBER(SEARCH(",EGFR G719X,",","&amp;SUBSTITUTE(K48,", ",",")&amp;",")),1,0)</f>
        <v>0</v>
      </c>
      <c r="DB48" s="11">
        <f>IF(ISNUMBER(SEARCH(",EGFR L858R,",","&amp;SUBSTITUTE(K48,", ",",")&amp;",")),1,0)</f>
        <v>0</v>
      </c>
      <c r="DC48" s="11">
        <f>IF(ISNUMBER(SEARCH(",EGFR L861Q,",","&amp;SUBSTITUTE(K48,", ",",")&amp;",")),1,0)</f>
        <v>0</v>
      </c>
      <c r="DD48" s="11">
        <f>IF(ISNUMBER(SEARCH(",EGFR PACC,",","&amp;SUBSTITUTE(K48,", ",",")&amp;",")),1,0)</f>
        <v>0</v>
      </c>
      <c r="DE48" s="11">
        <f>IF(ISNUMBER(SEARCH(",EGFR S768I,",","&amp;SUBSTITUTE(K48,", ",",")&amp;",")),1,0)</f>
        <v>0</v>
      </c>
      <c r="DF48" s="11">
        <f>IF(ISNUMBER(SEARCH(",EGFR T790M,",","&amp;SUBSTITUTE(K48,", ",",")&amp;",")),1,0)</f>
        <v>0</v>
      </c>
      <c r="DG48" s="11">
        <f>IF(ISNUMBER(SEARCH(",EML4-ALK,",","&amp;SUBSTITUTE(K48,", ",",")&amp;",")),1,0)</f>
        <v>0</v>
      </c>
      <c r="DH48" s="11">
        <f>IF(ISNUMBER(SEARCH(",HER2,",","&amp;SUBSTITUTE(K48,", ",",")&amp;",")),1,0)</f>
        <v>0</v>
      </c>
      <c r="DI48" s="11">
        <f>IF(ISNUMBER(SEARCH(",HER2 Exon 19,",","&amp;SUBSTITUTE(K48,", ",",")&amp;",")),1,0)</f>
        <v>0</v>
      </c>
      <c r="DJ48" s="11">
        <f>IF(ISNUMBER(SEARCH(",HER2 Exon 20,",","&amp;SUBSTITUTE(K48,", ",",")&amp;",")),1,0)</f>
        <v>0</v>
      </c>
      <c r="DK48" s="11">
        <f>IF(ISNUMBER(SEARCH(",HER2 mut,",","&amp;SUBSTITUTE(K48,", ",",")&amp;",")),1,0)</f>
        <v>0</v>
      </c>
      <c r="DL48" s="11">
        <f>IF(ISNUMBER(SEARCH(",HLA-A2,",","&amp;SUBSTITUTE(K48,", ",",")&amp;",")),1,0)</f>
        <v>0</v>
      </c>
      <c r="DM48" s="11">
        <f>IF(ISNUMBER(SEARCH(",HRAS,",","&amp;SUBSTITUTE(K48,", ",",")&amp;",")),1,0)</f>
        <v>0</v>
      </c>
      <c r="DN48" s="11">
        <f>IF(ISNUMBER(SEARCH(",KRAS,",","&amp;SUBSTITUTE(K48,", ",",")&amp;",")),1,0)</f>
        <v>0</v>
      </c>
      <c r="DO48" s="11">
        <f>IF(ISNUMBER(SEARCH(",KRAS G12C,",","&amp;SUBSTITUTE(K48,", ",",")&amp;",")),1,0)</f>
        <v>0</v>
      </c>
      <c r="DP48" s="11">
        <f>IF(ISNUMBER(SEARCH(",NRAS,",","&amp;SUBSTITUTE(K48,", ",",")&amp;",")),1,0)</f>
        <v>0</v>
      </c>
      <c r="DQ48" s="11">
        <f>IF(ISNUMBER(SEARCH(",NTRK,",","&amp;SUBSTITUTE(K48,", ",",")&amp;",")),1,0)</f>
        <v>0</v>
      </c>
      <c r="DR48" s="11">
        <f>IF(ISNUMBER(SEARCH(",PD-L1,",","&amp;SUBSTITUTE(K48,", ",",")&amp;",")),1,0)</f>
        <v>0</v>
      </c>
      <c r="DS48" s="11">
        <f>IF(ISNUMBER(SEARCH(",PD-L1 IC ≥ 1%,",","&amp;SUBSTITUTE(K48,", ",",")&amp;",")),1,0)</f>
        <v>0</v>
      </c>
      <c r="DT48" s="11">
        <f>IF(ISNUMBER(SEARCH(",PD-L1 TC ≥ 1%,",","&amp;SUBSTITUTE(K48,", ",",")&amp;",")),1,0)</f>
        <v>0</v>
      </c>
      <c r="DU48" s="11">
        <f>IF(ISNUMBER(SEARCH(",PD-L1 TC ≥ 50%,",","&amp;SUBSTITUTE(K48,", ",",")&amp;",")),1,0)</f>
        <v>0</v>
      </c>
      <c r="DV48" s="11">
        <f>IF(ISNUMBER(SEARCH(",PD-L1 TPS &lt; 50%,",","&amp;SUBSTITUTE(K48,", ",",")&amp;",")),1,0)</f>
        <v>0</v>
      </c>
      <c r="DW48" s="11">
        <f>IF(ISNUMBER(SEARCH(",PD-L1 TPS ≥ 1%,",","&amp;SUBSTITUTE(K48,", ",",")&amp;",")),1,0)</f>
        <v>0</v>
      </c>
      <c r="DX48" s="11">
        <f>IF(ISNUMBER(SEARCH(",PD-L1 TPS ≥ 50%,",","&amp;SUBSTITUTE(K48,", ",",")&amp;",")),1,0)</f>
        <v>0</v>
      </c>
      <c r="DY48" s="11">
        <f>IF(ISNUMBER(SEARCH(",RAS,",","&amp;SUBSTITUTE(K48,", ",",")&amp;",")),1,0)</f>
        <v>0</v>
      </c>
      <c r="DZ48" s="11">
        <f>IF(ISNUMBER(SEARCH(",RET,",","&amp;SUBSTITUTE(K48,", ",",")&amp;",")),1,0)</f>
        <v>0</v>
      </c>
      <c r="EA48" s="11">
        <f>IF(ISNUMBER(SEARCH(",ROS1,",","&amp;SUBSTITUTE(K48,", ",",")&amp;",")),1,0)</f>
        <v>0</v>
      </c>
      <c r="EB48" s="11">
        <f>IF(ISNUMBER(SEARCH(",TROP2,",","&amp;SUBSTITUTE(K48,", ",",")&amp;",")),1,0)</f>
        <v>0</v>
      </c>
      <c r="EC48" s="11">
        <f>IF(ISNUMBER(SEARCH(",c-MET/MET,",","&amp;SUBSTITUTE(K48,", ",",")&amp;",")),1,0)</f>
        <v>0</v>
      </c>
      <c r="ED48" s="11">
        <f>IF(ISNUMBER(SEARCH(",c-MET/MET Exon 14,",","&amp;SUBSTITUTE(K48,", ",",")&amp;",")),1,0)</f>
        <v>0</v>
      </c>
      <c r="EE48" s="11">
        <f>IF(ISNUMBER(SEARCH(",ctDNA/cfDNA,",","&amp;SUBSTITUTE(K48,", ",",")&amp;",")),1,0)</f>
        <v>0</v>
      </c>
    </row>
    <row r="49" spans="1:135" ht="15" customHeight="1" x14ac:dyDescent="0.2">
      <c r="A49" s="3" t="s">
        <v>278</v>
      </c>
      <c r="B49" s="3" t="s">
        <v>1082</v>
      </c>
      <c r="C49" s="3" t="s">
        <v>664</v>
      </c>
      <c r="D49" s="3" t="s">
        <v>664</v>
      </c>
      <c r="E49" s="3" t="s">
        <v>663</v>
      </c>
      <c r="F49" s="3" t="s">
        <v>259</v>
      </c>
      <c r="G49" s="3" t="s">
        <v>181</v>
      </c>
      <c r="H49" s="3" t="s">
        <v>114</v>
      </c>
      <c r="I49" s="3" t="s">
        <v>886</v>
      </c>
      <c r="J49" s="3" t="s">
        <v>286</v>
      </c>
      <c r="K49" s="3"/>
      <c r="L49" s="3" t="s">
        <v>120</v>
      </c>
      <c r="M49" s="3" t="s">
        <v>113</v>
      </c>
      <c r="N49" s="3" t="s">
        <v>120</v>
      </c>
      <c r="O49" s="3" t="s">
        <v>120</v>
      </c>
      <c r="P49" s="3" t="s">
        <v>1083</v>
      </c>
      <c r="Q49" s="10" t="str">
        <f>IF(F49="Stage IV","Stage IV Only",IF(AND(ISNUMBER(SEARCH("IV",F49)),LEN(F49)&gt;LEN("Stage IV")),"Stage IV + Other",IF(AND(ISNUMBER(SEARCH("III",F49)),NOT(ISNUMBER(SEARCH("IV",F49)))),"Stage III Only","Other")))</f>
        <v>Stage IV Only</v>
      </c>
      <c r="R49" s="10" t="str">
        <f>IF(AND(ISNUMBER(SEARCH("Non-squamous",G49)),ISNUMBER(SEARCH("Squamous",SUBSTITUTE(G49,"Non-squamous","")))),"Both",IF(ISNUMBER(SEARCH("Non-squamous",G49)),"Non-squamous",IF(ISNUMBER(SEARCH("Squamous",G49)),"Squamous","Unspecified")))</f>
        <v>Non-squamous</v>
      </c>
      <c r="S49" s="10" t="str">
        <f>IF(OR(ISNUMBER(SEARCH("TPS ≥ 50%",K49)),ISNUMBER(SEARCH("TC ≥ 50%",K49))),"TPS ≥ 50%",IF(OR(ISNUMBER(SEARCH("TPS ≥ 1%",K49)),ISNUMBER(SEARCH("TC ≥ 1%",K49)),ISNUMBER(SEARCH("TPS &lt; 50%",K49)),ISNUMBER(SEARCH("IC ≥ 1%",K49))),"TPS 1-49%","All-comers"))</f>
        <v>All-comers</v>
      </c>
      <c r="T49" s="10">
        <f>IF(H49="Phase III",1,0)</f>
        <v>1</v>
      </c>
      <c r="U49" s="10">
        <f>IF(L49="Yes",1,0)</f>
        <v>1</v>
      </c>
      <c r="V49" s="11">
        <f>IF(ISNUMBER(SEARCH(",ALK,",","&amp;SUBSTITUTE(I49,", ",",")&amp;",")),1,0)</f>
        <v>0</v>
      </c>
      <c r="W49" s="11">
        <f>IF(ISNUMBER(SEARCH(",ALK L1196M,",","&amp;SUBSTITUTE(I49,", ",",")&amp;",")),1,0)</f>
        <v>0</v>
      </c>
      <c r="X49" s="11">
        <f>IF(ISNUMBER(SEARCH(",AXL,",","&amp;SUBSTITUTE(I49,", ",",")&amp;",")),1,0)</f>
        <v>0</v>
      </c>
      <c r="Y49" s="11">
        <f>IF(ISNUMBER(SEARCH(",B7-H1,",","&amp;SUBSTITUTE(I49,", ",",")&amp;",")),1,0)</f>
        <v>0</v>
      </c>
      <c r="Z49" s="11">
        <f>IF(ISNUMBER(SEARCH(",CD152,",","&amp;SUBSTITUTE(I49,", ",",")&amp;",")),1,0)</f>
        <v>0</v>
      </c>
      <c r="AA49" s="11">
        <f>IF(ISNUMBER(SEARCH(",CD274,",","&amp;SUBSTITUTE(I49,", ",",")&amp;",")),1,0)</f>
        <v>0</v>
      </c>
      <c r="AB49" s="11">
        <f>IF(ISNUMBER(SEARCH(",CD279,",","&amp;SUBSTITUTE(I49,", ",",")&amp;",")),1,0)</f>
        <v>1</v>
      </c>
      <c r="AC49" s="11">
        <f>IF(ISNUMBER(SEARCH(",CD73,",","&amp;SUBSTITUTE(I49,", ",",")&amp;",")),1,0)</f>
        <v>0</v>
      </c>
      <c r="AD49" s="11">
        <f>IF(ISNUMBER(SEARCH(",CEA,",","&amp;SUBSTITUTE(I49,", ",",")&amp;",")),1,0)</f>
        <v>0</v>
      </c>
      <c r="AE49" s="11">
        <f>IF(ISNUMBER(SEARCH(",CTLA-4,",","&amp;SUBSTITUTE(I49,", ",",")&amp;",")),1,0)</f>
        <v>0</v>
      </c>
      <c r="AF49" s="11">
        <f>IF(ISNUMBER(SEARCH(",EGFR,",","&amp;SUBSTITUTE(I49,", ",",")&amp;",")),1,0)</f>
        <v>0</v>
      </c>
      <c r="AG49" s="11">
        <f>IF(ISNUMBER(SEARCH(",EGFR C797G,",","&amp;SUBSTITUTE(I49,", ",",")&amp;",")),1,0)</f>
        <v>0</v>
      </c>
      <c r="AH49" s="11">
        <f>IF(ISNUMBER(SEARCH(",EGFR C797S,",","&amp;SUBSTITUTE(I49,", ",",")&amp;",")),1,0)</f>
        <v>0</v>
      </c>
      <c r="AI49" s="11">
        <f>IF(ISNUMBER(SEARCH(",EGFR Exon 19-del,",","&amp;SUBSTITUTE(I49,", ",",")&amp;",")),1,0)</f>
        <v>0</v>
      </c>
      <c r="AJ49" s="11">
        <f>IF(ISNUMBER(SEARCH(",EGFR Exon 20,",","&amp;SUBSTITUTE(I49,", ",",")&amp;",")),1,0)</f>
        <v>0</v>
      </c>
      <c r="AK49" s="11">
        <f>IF(ISNUMBER(SEARCH(",EGFR L858R,",","&amp;SUBSTITUTE(I49,", ",",")&amp;",")),1,0)</f>
        <v>0</v>
      </c>
      <c r="AL49" s="11">
        <f>IF(ISNUMBER(SEARCH(",EGFR T790M,",","&amp;SUBSTITUTE(I49,", ",",")&amp;",")),1,0)</f>
        <v>0</v>
      </c>
      <c r="AM49" s="11">
        <f>IF(ISNUMBER(SEARCH(",ERBB,",","&amp;SUBSTITUTE(I49,", ",",")&amp;",")),1,0)</f>
        <v>0</v>
      </c>
      <c r="AN49" s="11">
        <f>IF(ISNUMBER(SEARCH(",ERBB3,",","&amp;SUBSTITUTE(I49,", ",",")&amp;",")),1,0)</f>
        <v>0</v>
      </c>
      <c r="AO49" s="11">
        <f>IF(ISNUMBER(SEARCH(",FAK,",","&amp;SUBSTITUTE(I49,", ",",")&amp;",")),1,0)</f>
        <v>0</v>
      </c>
      <c r="AP49" s="11">
        <f>IF(ISNUMBER(SEARCH(",GARP,",","&amp;SUBSTITUTE(I49,", ",",")&amp;",")),1,0)</f>
        <v>0</v>
      </c>
      <c r="AQ49" s="11">
        <f>IF(ISNUMBER(SEARCH(",HER1,",","&amp;SUBSTITUTE(I49,", ",",")&amp;",")),1,0)</f>
        <v>0</v>
      </c>
      <c r="AR49" s="11">
        <f>IF(ISNUMBER(SEARCH(",HER2,",","&amp;SUBSTITUTE(I49,", ",",")&amp;",")),1,0)</f>
        <v>0</v>
      </c>
      <c r="AS49" s="11">
        <f>IF(ISNUMBER(SEARCH(",HER2 Exon 20,",","&amp;SUBSTITUTE(I49,", ",",")&amp;",")),1,0)</f>
        <v>0</v>
      </c>
      <c r="AT49" s="11">
        <f>IF(ISNUMBER(SEARCH(",HER3,",","&amp;SUBSTITUTE(I49,", ",",")&amp;",")),1,0)</f>
        <v>0</v>
      </c>
      <c r="AU49" s="11">
        <f>IF(ISNUMBER(SEARCH(",HER4,",","&amp;SUBSTITUTE(I49,", ",",")&amp;",")),1,0)</f>
        <v>0</v>
      </c>
      <c r="AV49" s="11">
        <f>IF(ISNUMBER(SEARCH(",HRAS,",","&amp;SUBSTITUTE(I49,", ",",")&amp;",")),1,0)</f>
        <v>0</v>
      </c>
      <c r="AW49" s="11">
        <f>IF(ISNUMBER(SEARCH(",HSV-TK,",","&amp;SUBSTITUTE(I49,", ",",")&amp;",")),1,0)</f>
        <v>0</v>
      </c>
      <c r="AX49" s="11">
        <f>IF(ISNUMBER(SEARCH(",IL-12,",","&amp;SUBSTITUTE(I49,", ",",")&amp;",")),1,0)</f>
        <v>0</v>
      </c>
      <c r="AY49" s="11">
        <f>IF(ISNUMBER(SEARCH(",IL-15,",","&amp;SUBSTITUTE(I49,", ",",")&amp;",")),1,0)</f>
        <v>0</v>
      </c>
      <c r="AZ49" s="11">
        <f>IF(ISNUMBER(SEARCH(",IL-15R,",","&amp;SUBSTITUTE(I49,", ",",")&amp;",")),1,0)</f>
        <v>0</v>
      </c>
      <c r="BA49" s="11">
        <f>IF(ISNUMBER(SEARCH(",IL-2,",","&amp;SUBSTITUTE(I49,", ",",")&amp;",")),1,0)</f>
        <v>0</v>
      </c>
      <c r="BB49" s="11">
        <f>IF(ISNUMBER(SEARCH(",Integrin β6,",","&amp;SUBSTITUTE(I49,", ",",")&amp;",")),1,0)</f>
        <v>0</v>
      </c>
      <c r="BC49" s="11">
        <f>IF(ISNUMBER(SEARCH(",KDR,",","&amp;SUBSTITUTE(I49,", ",",")&amp;",")),1,0)</f>
        <v>0</v>
      </c>
      <c r="BD49" s="11">
        <f>IF(ISNUMBER(SEARCH(",KLRC1,",","&amp;SUBSTITUTE(I49,", ",",")&amp;",")),1,0)</f>
        <v>0</v>
      </c>
      <c r="BE49" s="11">
        <f>IF(ISNUMBER(SEARCH(",KRAS,",","&amp;SUBSTITUTE(I49,", ",",")&amp;",")),1,0)</f>
        <v>0</v>
      </c>
      <c r="BF49" s="11">
        <f>IF(ISNUMBER(SEARCH(",KRAS G12,",","&amp;SUBSTITUTE(I49,", ",",")&amp;",")),1,0)</f>
        <v>0</v>
      </c>
      <c r="BG49" s="11">
        <f>IF(ISNUMBER(SEARCH(",KRAS G12C,",","&amp;SUBSTITUTE(I49,", ",",")&amp;",")),1,0)</f>
        <v>0</v>
      </c>
      <c r="BH49" s="11">
        <f>IF(ISNUMBER(SEARCH(",KRAS G12D,",","&amp;SUBSTITUTE(I49,", ",",")&amp;",")),1,0)</f>
        <v>0</v>
      </c>
      <c r="BI49" s="11">
        <f>IF(ISNUMBER(SEARCH(",LAG-3,",","&amp;SUBSTITUTE(I49,", ",",")&amp;",")),1,0)</f>
        <v>0</v>
      </c>
      <c r="BJ49" s="11">
        <f>IF(ISNUMBER(SEARCH(",MAGE-A2,",","&amp;SUBSTITUTE(I49,", ",",")&amp;",")),1,0)</f>
        <v>0</v>
      </c>
      <c r="BK49" s="11">
        <f>IF(ISNUMBER(SEARCH(",MAGE-A3,",","&amp;SUBSTITUTE(I49,", ",",")&amp;",")),1,0)</f>
        <v>0</v>
      </c>
      <c r="BL49" s="11">
        <f>IF(ISNUMBER(SEARCH(",MLN19,",","&amp;SUBSTITUTE(I49,", ",",")&amp;",")),1,0)</f>
        <v>0</v>
      </c>
      <c r="BM49" s="11">
        <f>IF(ISNUMBER(SEARCH(",Microtubule,",","&amp;SUBSTITUTE(I49,", ",",")&amp;",")),1,0)</f>
        <v>0</v>
      </c>
      <c r="BN49" s="11">
        <f>IF(ISNUMBER(SEARCH(",NKG2A,",","&amp;SUBSTITUTE(I49,", ",",")&amp;",")),1,0)</f>
        <v>0</v>
      </c>
      <c r="BO49" s="11">
        <f>IF(ISNUMBER(SEARCH(",NRAS,",","&amp;SUBSTITUTE(I49,", ",",")&amp;",")),1,0)</f>
        <v>0</v>
      </c>
      <c r="BP49" s="11">
        <f>IF(ISNUMBER(SEARCH(",NTRK,",","&amp;SUBSTITUTE(I49,", ",",")&amp;",")),1,0)</f>
        <v>0</v>
      </c>
      <c r="BQ49" s="11">
        <f>IF(ISNUMBER(SEARCH(",PARP,",","&amp;SUBSTITUTE(I49,", ",",")&amp;",")),1,0)</f>
        <v>0</v>
      </c>
      <c r="BR49" s="11">
        <f>IF(ISNUMBER(SEARCH(",PD-1,",","&amp;SUBSTITUTE(I49,", ",",")&amp;",")),1,0)</f>
        <v>1</v>
      </c>
      <c r="BS49" s="11">
        <f>IF(ISNUMBER(SEARCH(",PD-L1,",","&amp;SUBSTITUTE(I49,", ",",")&amp;",")),1,0)</f>
        <v>0</v>
      </c>
      <c r="BT49" s="11">
        <f>IF(ISNUMBER(SEARCH(",PRMT5,",","&amp;SUBSTITUTE(I49,", ",",")&amp;",")),1,0)</f>
        <v>0</v>
      </c>
      <c r="BU49" s="11">
        <f>IF(ISNUMBER(SEARCH(",RAS,",","&amp;SUBSTITUTE(I49,", ",",")&amp;",")),1,0)</f>
        <v>0</v>
      </c>
      <c r="BV49" s="11">
        <f>IF(ISNUMBER(SEARCH(",RET,",","&amp;SUBSTITUTE(I49,", ",",")&amp;",")),1,0)</f>
        <v>0</v>
      </c>
      <c r="BW49" s="11">
        <f>IF(ISNUMBER(SEARCH(",ROS,",","&amp;SUBSTITUTE(I49,", ",",")&amp;",")),1,0)</f>
        <v>0</v>
      </c>
      <c r="BX49" s="11">
        <f>IF(ISNUMBER(SEARCH(",ROS1,",","&amp;SUBSTITUTE(I49,", ",",")&amp;",")),1,0)</f>
        <v>0</v>
      </c>
      <c r="BY49" s="11">
        <f>IF(ISNUMBER(SEARCH(",Src,",","&amp;SUBSTITUTE(I49,", ",",")&amp;",")),1,0)</f>
        <v>0</v>
      </c>
      <c r="BZ49" s="11">
        <f>IF(ISNUMBER(SEARCH(",TCGF,",","&amp;SUBSTITUTE(I49,", ",",")&amp;",")),1,0)</f>
        <v>0</v>
      </c>
      <c r="CA49" s="11">
        <f>IF(ISNUMBER(SEARCH(",TGF-β,",","&amp;SUBSTITUTE(I49,", ",",")&amp;",")),1,0)</f>
        <v>0</v>
      </c>
      <c r="CB49" s="11">
        <f>IF(ISNUMBER(SEARCH(",TGF-β1,",","&amp;SUBSTITUTE(I49,", ",",")&amp;",")),1,0)</f>
        <v>0</v>
      </c>
      <c r="CC49" s="11">
        <f>IF(ISNUMBER(SEARCH(",TIGIT,",","&amp;SUBSTITUTE(I49,", ",",")&amp;",")),1,0)</f>
        <v>0</v>
      </c>
      <c r="CD49" s="11">
        <f>IF(ISNUMBER(SEARCH(",TLR,",","&amp;SUBSTITUTE(I49,", ",",")&amp;",")),1,0)</f>
        <v>0</v>
      </c>
      <c r="CE49" s="11">
        <f>IF(ISNUMBER(SEARCH(",TLR7/8,",","&amp;SUBSTITUTE(I49,", ",",")&amp;",")),1,0)</f>
        <v>0</v>
      </c>
      <c r="CF49" s="11">
        <f>IF(ISNUMBER(SEARCH(",TRK,",","&amp;SUBSTITUTE(I49,", ",",")&amp;",")),1,0)</f>
        <v>0</v>
      </c>
      <c r="CG49" s="11">
        <f>IF(ISNUMBER(SEARCH(",TROP2,",","&amp;SUBSTITUTE(I49,", ",",")&amp;",")),1,0)</f>
        <v>0</v>
      </c>
      <c r="CH49" s="11">
        <f>IF(ISNUMBER(SEARCH(",TS,",","&amp;SUBSTITUTE(I49,", ",",")&amp;",")),1,0)</f>
        <v>1</v>
      </c>
      <c r="CI49" s="11">
        <f>IF(ISNUMBER(SEARCH(",TYMS,",","&amp;SUBSTITUTE(I49,", ",",")&amp;",")),1,0)</f>
        <v>1</v>
      </c>
      <c r="CJ49" s="11">
        <f>IF(ISNUMBER(SEARCH(",VEGF,",","&amp;SUBSTITUTE(I49,", ",",")&amp;",")),1,0)</f>
        <v>0</v>
      </c>
      <c r="CK49" s="11">
        <f>IF(ISNUMBER(SEARCH(",VEGFA,",","&amp;SUBSTITUTE(I49,", ",",")&amp;",")),1,0)</f>
        <v>0</v>
      </c>
      <c r="CL49" s="11">
        <f>IF(ISNUMBER(SEARCH(",VEGFR2,",","&amp;SUBSTITUTE(I49,", ",",")&amp;",")),1,0)</f>
        <v>0</v>
      </c>
      <c r="CM49" s="11">
        <f>IF(ISNUMBER(SEARCH(",c-MET/MET,",","&amp;SUBSTITUTE(I49,", ",",")&amp;",")),1,0)</f>
        <v>0</v>
      </c>
      <c r="CN49" s="11">
        <f>IF(ISNUMBER(SEARCH(",p53,",","&amp;SUBSTITUTE(I49,", ",",")&amp;",")),1,0)</f>
        <v>0</v>
      </c>
      <c r="CO49" s="11">
        <f>IF(ISNUMBER(SEARCH(",pan-KRAS,",","&amp;SUBSTITUTE(I49,", ",",")&amp;",")),1,0)</f>
        <v>0</v>
      </c>
      <c r="CP49" s="11">
        <f>IF(ISNUMBER(SEARCH(",ALK,",","&amp;SUBSTITUTE(K49,", ",",")&amp;",")),1,0)</f>
        <v>0</v>
      </c>
      <c r="CQ49" s="11">
        <f>IF(ISNUMBER(SEARCH(",BRAF V600E,",","&amp;SUBSTITUTE(K49,", ",",")&amp;",")),1,0)</f>
        <v>0</v>
      </c>
      <c r="CR49" s="11">
        <f>IF(ISNUMBER(SEARCH(",EGFR,",","&amp;SUBSTITUTE(K49,", ",",")&amp;",")),1,0)</f>
        <v>0</v>
      </c>
      <c r="CS49" s="11">
        <f>IF(ISNUMBER(SEARCH(",EGFR Exon 18,",","&amp;SUBSTITUTE(K49,", ",",")&amp;",")),1,0)</f>
        <v>0</v>
      </c>
      <c r="CT49" s="11">
        <f>IF(ISNUMBER(SEARCH(",EGFR Exon 19-del,",","&amp;SUBSTITUTE(K49,", ",",")&amp;",")),1,0)</f>
        <v>0</v>
      </c>
      <c r="CU49" s="11">
        <f>IF(ISNUMBER(SEARCH(",EGFR Exon 20,",","&amp;SUBSTITUTE(K49,", ",",")&amp;",")),1,0)</f>
        <v>0</v>
      </c>
      <c r="CV49" s="11">
        <f>IF(ISNUMBER(SEARCH(",EGFR Exon 20-ins,",","&amp;SUBSTITUTE(K49,", ",",")&amp;",")),1,0)</f>
        <v>0</v>
      </c>
      <c r="CW49" s="11">
        <f>IF(ISNUMBER(SEARCH(",EGFR Exon 21,",","&amp;SUBSTITUTE(K49,", ",",")&amp;",")),1,0)</f>
        <v>0</v>
      </c>
      <c r="CX49" s="11">
        <f>IF(ISNUMBER(SEARCH(",EGFR G719A,",","&amp;SUBSTITUTE(K49,", ",",")&amp;",")),1,0)</f>
        <v>0</v>
      </c>
      <c r="CY49" s="11">
        <f>IF(ISNUMBER(SEARCH(",EGFR G719C,",","&amp;SUBSTITUTE(K49,", ",",")&amp;",")),1,0)</f>
        <v>0</v>
      </c>
      <c r="CZ49" s="11">
        <f>IF(ISNUMBER(SEARCH(",EGFR G719S,",","&amp;SUBSTITUTE(K49,", ",",")&amp;",")),1,0)</f>
        <v>0</v>
      </c>
      <c r="DA49" s="11">
        <f>IF(ISNUMBER(SEARCH(",EGFR G719X,",","&amp;SUBSTITUTE(K49,", ",",")&amp;",")),1,0)</f>
        <v>0</v>
      </c>
      <c r="DB49" s="11">
        <f>IF(ISNUMBER(SEARCH(",EGFR L858R,",","&amp;SUBSTITUTE(K49,", ",",")&amp;",")),1,0)</f>
        <v>0</v>
      </c>
      <c r="DC49" s="11">
        <f>IF(ISNUMBER(SEARCH(",EGFR L861Q,",","&amp;SUBSTITUTE(K49,", ",",")&amp;",")),1,0)</f>
        <v>0</v>
      </c>
      <c r="DD49" s="11">
        <f>IF(ISNUMBER(SEARCH(",EGFR PACC,",","&amp;SUBSTITUTE(K49,", ",",")&amp;",")),1,0)</f>
        <v>0</v>
      </c>
      <c r="DE49" s="11">
        <f>IF(ISNUMBER(SEARCH(",EGFR S768I,",","&amp;SUBSTITUTE(K49,", ",",")&amp;",")),1,0)</f>
        <v>0</v>
      </c>
      <c r="DF49" s="11">
        <f>IF(ISNUMBER(SEARCH(",EGFR T790M,",","&amp;SUBSTITUTE(K49,", ",",")&amp;",")),1,0)</f>
        <v>0</v>
      </c>
      <c r="DG49" s="11">
        <f>IF(ISNUMBER(SEARCH(",EML4-ALK,",","&amp;SUBSTITUTE(K49,", ",",")&amp;",")),1,0)</f>
        <v>0</v>
      </c>
      <c r="DH49" s="11">
        <f>IF(ISNUMBER(SEARCH(",HER2,",","&amp;SUBSTITUTE(K49,", ",",")&amp;",")),1,0)</f>
        <v>0</v>
      </c>
      <c r="DI49" s="11">
        <f>IF(ISNUMBER(SEARCH(",HER2 Exon 19,",","&amp;SUBSTITUTE(K49,", ",",")&amp;",")),1,0)</f>
        <v>0</v>
      </c>
      <c r="DJ49" s="11">
        <f>IF(ISNUMBER(SEARCH(",HER2 Exon 20,",","&amp;SUBSTITUTE(K49,", ",",")&amp;",")),1,0)</f>
        <v>0</v>
      </c>
      <c r="DK49" s="11">
        <f>IF(ISNUMBER(SEARCH(",HER2 mut,",","&amp;SUBSTITUTE(K49,", ",",")&amp;",")),1,0)</f>
        <v>0</v>
      </c>
      <c r="DL49" s="11">
        <f>IF(ISNUMBER(SEARCH(",HLA-A2,",","&amp;SUBSTITUTE(K49,", ",",")&amp;",")),1,0)</f>
        <v>0</v>
      </c>
      <c r="DM49" s="11">
        <f>IF(ISNUMBER(SEARCH(",HRAS,",","&amp;SUBSTITUTE(K49,", ",",")&amp;",")),1,0)</f>
        <v>0</v>
      </c>
      <c r="DN49" s="11">
        <f>IF(ISNUMBER(SEARCH(",KRAS,",","&amp;SUBSTITUTE(K49,", ",",")&amp;",")),1,0)</f>
        <v>0</v>
      </c>
      <c r="DO49" s="11">
        <f>IF(ISNUMBER(SEARCH(",KRAS G12C,",","&amp;SUBSTITUTE(K49,", ",",")&amp;",")),1,0)</f>
        <v>0</v>
      </c>
      <c r="DP49" s="11">
        <f>IF(ISNUMBER(SEARCH(",NRAS,",","&amp;SUBSTITUTE(K49,", ",",")&amp;",")),1,0)</f>
        <v>0</v>
      </c>
      <c r="DQ49" s="11">
        <f>IF(ISNUMBER(SEARCH(",NTRK,",","&amp;SUBSTITUTE(K49,", ",",")&amp;",")),1,0)</f>
        <v>0</v>
      </c>
      <c r="DR49" s="11">
        <f>IF(ISNUMBER(SEARCH(",PD-L1,",","&amp;SUBSTITUTE(K49,", ",",")&amp;",")),1,0)</f>
        <v>0</v>
      </c>
      <c r="DS49" s="11">
        <f>IF(ISNUMBER(SEARCH(",PD-L1 IC ≥ 1%,",","&amp;SUBSTITUTE(K49,", ",",")&amp;",")),1,0)</f>
        <v>0</v>
      </c>
      <c r="DT49" s="11">
        <f>IF(ISNUMBER(SEARCH(",PD-L1 TC ≥ 1%,",","&amp;SUBSTITUTE(K49,", ",",")&amp;",")),1,0)</f>
        <v>0</v>
      </c>
      <c r="DU49" s="11">
        <f>IF(ISNUMBER(SEARCH(",PD-L1 TC ≥ 50%,",","&amp;SUBSTITUTE(K49,", ",",")&amp;",")),1,0)</f>
        <v>0</v>
      </c>
      <c r="DV49" s="11">
        <f>IF(ISNUMBER(SEARCH(",PD-L1 TPS &lt; 50%,",","&amp;SUBSTITUTE(K49,", ",",")&amp;",")),1,0)</f>
        <v>0</v>
      </c>
      <c r="DW49" s="11">
        <f>IF(ISNUMBER(SEARCH(",PD-L1 TPS ≥ 1%,",","&amp;SUBSTITUTE(K49,", ",",")&amp;",")),1,0)</f>
        <v>0</v>
      </c>
      <c r="DX49" s="11">
        <f>IF(ISNUMBER(SEARCH(",PD-L1 TPS ≥ 50%,",","&amp;SUBSTITUTE(K49,", ",",")&amp;",")),1,0)</f>
        <v>0</v>
      </c>
      <c r="DY49" s="11">
        <f>IF(ISNUMBER(SEARCH(",RAS,",","&amp;SUBSTITUTE(K49,", ",",")&amp;",")),1,0)</f>
        <v>0</v>
      </c>
      <c r="DZ49" s="11">
        <f>IF(ISNUMBER(SEARCH(",RET,",","&amp;SUBSTITUTE(K49,", ",",")&amp;",")),1,0)</f>
        <v>0</v>
      </c>
      <c r="EA49" s="11">
        <f>IF(ISNUMBER(SEARCH(",ROS1,",","&amp;SUBSTITUTE(K49,", ",",")&amp;",")),1,0)</f>
        <v>0</v>
      </c>
      <c r="EB49" s="11">
        <f>IF(ISNUMBER(SEARCH(",TROP2,",","&amp;SUBSTITUTE(K49,", ",",")&amp;",")),1,0)</f>
        <v>0</v>
      </c>
      <c r="EC49" s="11">
        <f>IF(ISNUMBER(SEARCH(",c-MET/MET,",","&amp;SUBSTITUTE(K49,", ",",")&amp;",")),1,0)</f>
        <v>0</v>
      </c>
      <c r="ED49" s="11">
        <f>IF(ISNUMBER(SEARCH(",c-MET/MET Exon 14,",","&amp;SUBSTITUTE(K49,", ",",")&amp;",")),1,0)</f>
        <v>0</v>
      </c>
      <c r="EE49" s="11">
        <f>IF(ISNUMBER(SEARCH(",ctDNA/cfDNA,",","&amp;SUBSTITUTE(K49,", ",",")&amp;",")),1,0)</f>
        <v>0</v>
      </c>
    </row>
    <row r="50" spans="1:135" ht="15" customHeight="1" x14ac:dyDescent="0.2">
      <c r="A50" s="5" t="s">
        <v>278</v>
      </c>
      <c r="B50" s="5" t="s">
        <v>1199</v>
      </c>
      <c r="C50" s="5" t="s">
        <v>318</v>
      </c>
      <c r="D50" s="5" t="s">
        <v>318</v>
      </c>
      <c r="E50" s="5" t="s">
        <v>318</v>
      </c>
      <c r="F50" s="5" t="s">
        <v>259</v>
      </c>
      <c r="G50" s="5" t="s">
        <v>181</v>
      </c>
      <c r="H50" s="5" t="s">
        <v>114</v>
      </c>
      <c r="I50" s="5" t="s">
        <v>886</v>
      </c>
      <c r="J50" s="5" t="s">
        <v>286</v>
      </c>
      <c r="K50" s="5"/>
      <c r="L50" s="5" t="s">
        <v>120</v>
      </c>
      <c r="M50" s="5" t="s">
        <v>113</v>
      </c>
      <c r="N50" s="5" t="s">
        <v>120</v>
      </c>
      <c r="O50" s="5" t="s">
        <v>120</v>
      </c>
      <c r="P50" s="5" t="s">
        <v>1200</v>
      </c>
      <c r="Q50" s="10" t="str">
        <f>IF(F50="Stage IV","Stage IV Only",IF(AND(ISNUMBER(SEARCH("IV",F50)),LEN(F50)&gt;LEN("Stage IV")),"Stage IV + Other",IF(AND(ISNUMBER(SEARCH("III",F50)),NOT(ISNUMBER(SEARCH("IV",F50)))),"Stage III Only","Other")))</f>
        <v>Stage IV Only</v>
      </c>
      <c r="R50" s="10" t="str">
        <f>IF(AND(ISNUMBER(SEARCH("Non-squamous",G50)),ISNUMBER(SEARCH("Squamous",SUBSTITUTE(G50,"Non-squamous","")))),"Both",IF(ISNUMBER(SEARCH("Non-squamous",G50)),"Non-squamous",IF(ISNUMBER(SEARCH("Squamous",G50)),"Squamous","Unspecified")))</f>
        <v>Non-squamous</v>
      </c>
      <c r="S50" s="10" t="str">
        <f>IF(OR(ISNUMBER(SEARCH("TPS ≥ 50%",K50)),ISNUMBER(SEARCH("TC ≥ 50%",K50))),"TPS ≥ 50%",IF(OR(ISNUMBER(SEARCH("TPS ≥ 1%",K50)),ISNUMBER(SEARCH("TC ≥ 1%",K50)),ISNUMBER(SEARCH("TPS &lt; 50%",K50)),ISNUMBER(SEARCH("IC ≥ 1%",K50))),"TPS 1-49%","All-comers"))</f>
        <v>All-comers</v>
      </c>
      <c r="T50" s="10">
        <f>IF(H50="Phase III",1,0)</f>
        <v>1</v>
      </c>
      <c r="U50" s="10">
        <f>IF(L50="Yes",1,0)</f>
        <v>1</v>
      </c>
      <c r="V50" s="11">
        <f>IF(ISNUMBER(SEARCH(",ALK,",","&amp;SUBSTITUTE(I50,", ",",")&amp;",")),1,0)</f>
        <v>0</v>
      </c>
      <c r="W50" s="11">
        <f>IF(ISNUMBER(SEARCH(",ALK L1196M,",","&amp;SUBSTITUTE(I50,", ",",")&amp;",")),1,0)</f>
        <v>0</v>
      </c>
      <c r="X50" s="11">
        <f>IF(ISNUMBER(SEARCH(",AXL,",","&amp;SUBSTITUTE(I50,", ",",")&amp;",")),1,0)</f>
        <v>0</v>
      </c>
      <c r="Y50" s="11">
        <f>IF(ISNUMBER(SEARCH(",B7-H1,",","&amp;SUBSTITUTE(I50,", ",",")&amp;",")),1,0)</f>
        <v>0</v>
      </c>
      <c r="Z50" s="11">
        <f>IF(ISNUMBER(SEARCH(",CD152,",","&amp;SUBSTITUTE(I50,", ",",")&amp;",")),1,0)</f>
        <v>0</v>
      </c>
      <c r="AA50" s="11">
        <f>IF(ISNUMBER(SEARCH(",CD274,",","&amp;SUBSTITUTE(I50,", ",",")&amp;",")),1,0)</f>
        <v>0</v>
      </c>
      <c r="AB50" s="11">
        <f>IF(ISNUMBER(SEARCH(",CD279,",","&amp;SUBSTITUTE(I50,", ",",")&amp;",")),1,0)</f>
        <v>1</v>
      </c>
      <c r="AC50" s="11">
        <f>IF(ISNUMBER(SEARCH(",CD73,",","&amp;SUBSTITUTE(I50,", ",",")&amp;",")),1,0)</f>
        <v>0</v>
      </c>
      <c r="AD50" s="11">
        <f>IF(ISNUMBER(SEARCH(",CEA,",","&amp;SUBSTITUTE(I50,", ",",")&amp;",")),1,0)</f>
        <v>0</v>
      </c>
      <c r="AE50" s="11">
        <f>IF(ISNUMBER(SEARCH(",CTLA-4,",","&amp;SUBSTITUTE(I50,", ",",")&amp;",")),1,0)</f>
        <v>0</v>
      </c>
      <c r="AF50" s="11">
        <f>IF(ISNUMBER(SEARCH(",EGFR,",","&amp;SUBSTITUTE(I50,", ",",")&amp;",")),1,0)</f>
        <v>0</v>
      </c>
      <c r="AG50" s="11">
        <f>IF(ISNUMBER(SEARCH(",EGFR C797G,",","&amp;SUBSTITUTE(I50,", ",",")&amp;",")),1,0)</f>
        <v>0</v>
      </c>
      <c r="AH50" s="11">
        <f>IF(ISNUMBER(SEARCH(",EGFR C797S,",","&amp;SUBSTITUTE(I50,", ",",")&amp;",")),1,0)</f>
        <v>0</v>
      </c>
      <c r="AI50" s="11">
        <f>IF(ISNUMBER(SEARCH(",EGFR Exon 19-del,",","&amp;SUBSTITUTE(I50,", ",",")&amp;",")),1,0)</f>
        <v>0</v>
      </c>
      <c r="AJ50" s="11">
        <f>IF(ISNUMBER(SEARCH(",EGFR Exon 20,",","&amp;SUBSTITUTE(I50,", ",",")&amp;",")),1,0)</f>
        <v>0</v>
      </c>
      <c r="AK50" s="11">
        <f>IF(ISNUMBER(SEARCH(",EGFR L858R,",","&amp;SUBSTITUTE(I50,", ",",")&amp;",")),1,0)</f>
        <v>0</v>
      </c>
      <c r="AL50" s="11">
        <f>IF(ISNUMBER(SEARCH(",EGFR T790M,",","&amp;SUBSTITUTE(I50,", ",",")&amp;",")),1,0)</f>
        <v>0</v>
      </c>
      <c r="AM50" s="11">
        <f>IF(ISNUMBER(SEARCH(",ERBB,",","&amp;SUBSTITUTE(I50,", ",",")&amp;",")),1,0)</f>
        <v>0</v>
      </c>
      <c r="AN50" s="11">
        <f>IF(ISNUMBER(SEARCH(",ERBB3,",","&amp;SUBSTITUTE(I50,", ",",")&amp;",")),1,0)</f>
        <v>0</v>
      </c>
      <c r="AO50" s="11">
        <f>IF(ISNUMBER(SEARCH(",FAK,",","&amp;SUBSTITUTE(I50,", ",",")&amp;",")),1,0)</f>
        <v>0</v>
      </c>
      <c r="AP50" s="11">
        <f>IF(ISNUMBER(SEARCH(",GARP,",","&amp;SUBSTITUTE(I50,", ",",")&amp;",")),1,0)</f>
        <v>0</v>
      </c>
      <c r="AQ50" s="11">
        <f>IF(ISNUMBER(SEARCH(",HER1,",","&amp;SUBSTITUTE(I50,", ",",")&amp;",")),1,0)</f>
        <v>0</v>
      </c>
      <c r="AR50" s="11">
        <f>IF(ISNUMBER(SEARCH(",HER2,",","&amp;SUBSTITUTE(I50,", ",",")&amp;",")),1,0)</f>
        <v>0</v>
      </c>
      <c r="AS50" s="11">
        <f>IF(ISNUMBER(SEARCH(",HER2 Exon 20,",","&amp;SUBSTITUTE(I50,", ",",")&amp;",")),1,0)</f>
        <v>0</v>
      </c>
      <c r="AT50" s="11">
        <f>IF(ISNUMBER(SEARCH(",HER3,",","&amp;SUBSTITUTE(I50,", ",",")&amp;",")),1,0)</f>
        <v>0</v>
      </c>
      <c r="AU50" s="11">
        <f>IF(ISNUMBER(SEARCH(",HER4,",","&amp;SUBSTITUTE(I50,", ",",")&amp;",")),1,0)</f>
        <v>0</v>
      </c>
      <c r="AV50" s="11">
        <f>IF(ISNUMBER(SEARCH(",HRAS,",","&amp;SUBSTITUTE(I50,", ",",")&amp;",")),1,0)</f>
        <v>0</v>
      </c>
      <c r="AW50" s="11">
        <f>IF(ISNUMBER(SEARCH(",HSV-TK,",","&amp;SUBSTITUTE(I50,", ",",")&amp;",")),1,0)</f>
        <v>0</v>
      </c>
      <c r="AX50" s="11">
        <f>IF(ISNUMBER(SEARCH(",IL-12,",","&amp;SUBSTITUTE(I50,", ",",")&amp;",")),1,0)</f>
        <v>0</v>
      </c>
      <c r="AY50" s="11">
        <f>IF(ISNUMBER(SEARCH(",IL-15,",","&amp;SUBSTITUTE(I50,", ",",")&amp;",")),1,0)</f>
        <v>0</v>
      </c>
      <c r="AZ50" s="11">
        <f>IF(ISNUMBER(SEARCH(",IL-15R,",","&amp;SUBSTITUTE(I50,", ",",")&amp;",")),1,0)</f>
        <v>0</v>
      </c>
      <c r="BA50" s="11">
        <f>IF(ISNUMBER(SEARCH(",IL-2,",","&amp;SUBSTITUTE(I50,", ",",")&amp;",")),1,0)</f>
        <v>0</v>
      </c>
      <c r="BB50" s="11">
        <f>IF(ISNUMBER(SEARCH(",Integrin β6,",","&amp;SUBSTITUTE(I50,", ",",")&amp;",")),1,0)</f>
        <v>0</v>
      </c>
      <c r="BC50" s="11">
        <f>IF(ISNUMBER(SEARCH(",KDR,",","&amp;SUBSTITUTE(I50,", ",",")&amp;",")),1,0)</f>
        <v>0</v>
      </c>
      <c r="BD50" s="11">
        <f>IF(ISNUMBER(SEARCH(",KLRC1,",","&amp;SUBSTITUTE(I50,", ",",")&amp;",")),1,0)</f>
        <v>0</v>
      </c>
      <c r="BE50" s="11">
        <f>IF(ISNUMBER(SEARCH(",KRAS,",","&amp;SUBSTITUTE(I50,", ",",")&amp;",")),1,0)</f>
        <v>0</v>
      </c>
      <c r="BF50" s="11">
        <f>IF(ISNUMBER(SEARCH(",KRAS G12,",","&amp;SUBSTITUTE(I50,", ",",")&amp;",")),1,0)</f>
        <v>0</v>
      </c>
      <c r="BG50" s="11">
        <f>IF(ISNUMBER(SEARCH(",KRAS G12C,",","&amp;SUBSTITUTE(I50,", ",",")&amp;",")),1,0)</f>
        <v>0</v>
      </c>
      <c r="BH50" s="11">
        <f>IF(ISNUMBER(SEARCH(",KRAS G12D,",","&amp;SUBSTITUTE(I50,", ",",")&amp;",")),1,0)</f>
        <v>0</v>
      </c>
      <c r="BI50" s="11">
        <f>IF(ISNUMBER(SEARCH(",LAG-3,",","&amp;SUBSTITUTE(I50,", ",",")&amp;",")),1,0)</f>
        <v>0</v>
      </c>
      <c r="BJ50" s="11">
        <f>IF(ISNUMBER(SEARCH(",MAGE-A2,",","&amp;SUBSTITUTE(I50,", ",",")&amp;",")),1,0)</f>
        <v>0</v>
      </c>
      <c r="BK50" s="11">
        <f>IF(ISNUMBER(SEARCH(",MAGE-A3,",","&amp;SUBSTITUTE(I50,", ",",")&amp;",")),1,0)</f>
        <v>0</v>
      </c>
      <c r="BL50" s="11">
        <f>IF(ISNUMBER(SEARCH(",MLN19,",","&amp;SUBSTITUTE(I50,", ",",")&amp;",")),1,0)</f>
        <v>0</v>
      </c>
      <c r="BM50" s="11">
        <f>IF(ISNUMBER(SEARCH(",Microtubule,",","&amp;SUBSTITUTE(I50,", ",",")&amp;",")),1,0)</f>
        <v>0</v>
      </c>
      <c r="BN50" s="11">
        <f>IF(ISNUMBER(SEARCH(",NKG2A,",","&amp;SUBSTITUTE(I50,", ",",")&amp;",")),1,0)</f>
        <v>0</v>
      </c>
      <c r="BO50" s="11">
        <f>IF(ISNUMBER(SEARCH(",NRAS,",","&amp;SUBSTITUTE(I50,", ",",")&amp;",")),1,0)</f>
        <v>0</v>
      </c>
      <c r="BP50" s="11">
        <f>IF(ISNUMBER(SEARCH(",NTRK,",","&amp;SUBSTITUTE(I50,", ",",")&amp;",")),1,0)</f>
        <v>0</v>
      </c>
      <c r="BQ50" s="11">
        <f>IF(ISNUMBER(SEARCH(",PARP,",","&amp;SUBSTITUTE(I50,", ",",")&amp;",")),1,0)</f>
        <v>0</v>
      </c>
      <c r="BR50" s="11">
        <f>IF(ISNUMBER(SEARCH(",PD-1,",","&amp;SUBSTITUTE(I50,", ",",")&amp;",")),1,0)</f>
        <v>1</v>
      </c>
      <c r="BS50" s="11">
        <f>IF(ISNUMBER(SEARCH(",PD-L1,",","&amp;SUBSTITUTE(I50,", ",",")&amp;",")),1,0)</f>
        <v>0</v>
      </c>
      <c r="BT50" s="11">
        <f>IF(ISNUMBER(SEARCH(",PRMT5,",","&amp;SUBSTITUTE(I50,", ",",")&amp;",")),1,0)</f>
        <v>0</v>
      </c>
      <c r="BU50" s="11">
        <f>IF(ISNUMBER(SEARCH(",RAS,",","&amp;SUBSTITUTE(I50,", ",",")&amp;",")),1,0)</f>
        <v>0</v>
      </c>
      <c r="BV50" s="11">
        <f>IF(ISNUMBER(SEARCH(",RET,",","&amp;SUBSTITUTE(I50,", ",",")&amp;",")),1,0)</f>
        <v>0</v>
      </c>
      <c r="BW50" s="11">
        <f>IF(ISNUMBER(SEARCH(",ROS,",","&amp;SUBSTITUTE(I50,", ",",")&amp;",")),1,0)</f>
        <v>0</v>
      </c>
      <c r="BX50" s="11">
        <f>IF(ISNUMBER(SEARCH(",ROS1,",","&amp;SUBSTITUTE(I50,", ",",")&amp;",")),1,0)</f>
        <v>0</v>
      </c>
      <c r="BY50" s="11">
        <f>IF(ISNUMBER(SEARCH(",Src,",","&amp;SUBSTITUTE(I50,", ",",")&amp;",")),1,0)</f>
        <v>0</v>
      </c>
      <c r="BZ50" s="11">
        <f>IF(ISNUMBER(SEARCH(",TCGF,",","&amp;SUBSTITUTE(I50,", ",",")&amp;",")),1,0)</f>
        <v>0</v>
      </c>
      <c r="CA50" s="11">
        <f>IF(ISNUMBER(SEARCH(",TGF-β,",","&amp;SUBSTITUTE(I50,", ",",")&amp;",")),1,0)</f>
        <v>0</v>
      </c>
      <c r="CB50" s="11">
        <f>IF(ISNUMBER(SEARCH(",TGF-β1,",","&amp;SUBSTITUTE(I50,", ",",")&amp;",")),1,0)</f>
        <v>0</v>
      </c>
      <c r="CC50" s="11">
        <f>IF(ISNUMBER(SEARCH(",TIGIT,",","&amp;SUBSTITUTE(I50,", ",",")&amp;",")),1,0)</f>
        <v>0</v>
      </c>
      <c r="CD50" s="11">
        <f>IF(ISNUMBER(SEARCH(",TLR,",","&amp;SUBSTITUTE(I50,", ",",")&amp;",")),1,0)</f>
        <v>0</v>
      </c>
      <c r="CE50" s="11">
        <f>IF(ISNUMBER(SEARCH(",TLR7/8,",","&amp;SUBSTITUTE(I50,", ",",")&amp;",")),1,0)</f>
        <v>0</v>
      </c>
      <c r="CF50" s="11">
        <f>IF(ISNUMBER(SEARCH(",TRK,",","&amp;SUBSTITUTE(I50,", ",",")&amp;",")),1,0)</f>
        <v>0</v>
      </c>
      <c r="CG50" s="11">
        <f>IF(ISNUMBER(SEARCH(",TROP2,",","&amp;SUBSTITUTE(I50,", ",",")&amp;",")),1,0)</f>
        <v>0</v>
      </c>
      <c r="CH50" s="11">
        <f>IF(ISNUMBER(SEARCH(",TS,",","&amp;SUBSTITUTE(I50,", ",",")&amp;",")),1,0)</f>
        <v>1</v>
      </c>
      <c r="CI50" s="11">
        <f>IF(ISNUMBER(SEARCH(",TYMS,",","&amp;SUBSTITUTE(I50,", ",",")&amp;",")),1,0)</f>
        <v>1</v>
      </c>
      <c r="CJ50" s="11">
        <f>IF(ISNUMBER(SEARCH(",VEGF,",","&amp;SUBSTITUTE(I50,", ",",")&amp;",")),1,0)</f>
        <v>0</v>
      </c>
      <c r="CK50" s="11">
        <f>IF(ISNUMBER(SEARCH(",VEGFA,",","&amp;SUBSTITUTE(I50,", ",",")&amp;",")),1,0)</f>
        <v>0</v>
      </c>
      <c r="CL50" s="11">
        <f>IF(ISNUMBER(SEARCH(",VEGFR2,",","&amp;SUBSTITUTE(I50,", ",",")&amp;",")),1,0)</f>
        <v>0</v>
      </c>
      <c r="CM50" s="11">
        <f>IF(ISNUMBER(SEARCH(",c-MET/MET,",","&amp;SUBSTITUTE(I50,", ",",")&amp;",")),1,0)</f>
        <v>0</v>
      </c>
      <c r="CN50" s="11">
        <f>IF(ISNUMBER(SEARCH(",p53,",","&amp;SUBSTITUTE(I50,", ",",")&amp;",")),1,0)</f>
        <v>0</v>
      </c>
      <c r="CO50" s="11">
        <f>IF(ISNUMBER(SEARCH(",pan-KRAS,",","&amp;SUBSTITUTE(I50,", ",",")&amp;",")),1,0)</f>
        <v>0</v>
      </c>
      <c r="CP50" s="11">
        <f>IF(ISNUMBER(SEARCH(",ALK,",","&amp;SUBSTITUTE(K50,", ",",")&amp;",")),1,0)</f>
        <v>0</v>
      </c>
      <c r="CQ50" s="11">
        <f>IF(ISNUMBER(SEARCH(",BRAF V600E,",","&amp;SUBSTITUTE(K50,", ",",")&amp;",")),1,0)</f>
        <v>0</v>
      </c>
      <c r="CR50" s="11">
        <f>IF(ISNUMBER(SEARCH(",EGFR,",","&amp;SUBSTITUTE(K50,", ",",")&amp;",")),1,0)</f>
        <v>0</v>
      </c>
      <c r="CS50" s="11">
        <f>IF(ISNUMBER(SEARCH(",EGFR Exon 18,",","&amp;SUBSTITUTE(K50,", ",",")&amp;",")),1,0)</f>
        <v>0</v>
      </c>
      <c r="CT50" s="11">
        <f>IF(ISNUMBER(SEARCH(",EGFR Exon 19-del,",","&amp;SUBSTITUTE(K50,", ",",")&amp;",")),1,0)</f>
        <v>0</v>
      </c>
      <c r="CU50" s="11">
        <f>IF(ISNUMBER(SEARCH(",EGFR Exon 20,",","&amp;SUBSTITUTE(K50,", ",",")&amp;",")),1,0)</f>
        <v>0</v>
      </c>
      <c r="CV50" s="11">
        <f>IF(ISNUMBER(SEARCH(",EGFR Exon 20-ins,",","&amp;SUBSTITUTE(K50,", ",",")&amp;",")),1,0)</f>
        <v>0</v>
      </c>
      <c r="CW50" s="11">
        <f>IF(ISNUMBER(SEARCH(",EGFR Exon 21,",","&amp;SUBSTITUTE(K50,", ",",")&amp;",")),1,0)</f>
        <v>0</v>
      </c>
      <c r="CX50" s="11">
        <f>IF(ISNUMBER(SEARCH(",EGFR G719A,",","&amp;SUBSTITUTE(K50,", ",",")&amp;",")),1,0)</f>
        <v>0</v>
      </c>
      <c r="CY50" s="11">
        <f>IF(ISNUMBER(SEARCH(",EGFR G719C,",","&amp;SUBSTITUTE(K50,", ",",")&amp;",")),1,0)</f>
        <v>0</v>
      </c>
      <c r="CZ50" s="11">
        <f>IF(ISNUMBER(SEARCH(",EGFR G719S,",","&amp;SUBSTITUTE(K50,", ",",")&amp;",")),1,0)</f>
        <v>0</v>
      </c>
      <c r="DA50" s="11">
        <f>IF(ISNUMBER(SEARCH(",EGFR G719X,",","&amp;SUBSTITUTE(K50,", ",",")&amp;",")),1,0)</f>
        <v>0</v>
      </c>
      <c r="DB50" s="11">
        <f>IF(ISNUMBER(SEARCH(",EGFR L858R,",","&amp;SUBSTITUTE(K50,", ",",")&amp;",")),1,0)</f>
        <v>0</v>
      </c>
      <c r="DC50" s="11">
        <f>IF(ISNUMBER(SEARCH(",EGFR L861Q,",","&amp;SUBSTITUTE(K50,", ",",")&amp;",")),1,0)</f>
        <v>0</v>
      </c>
      <c r="DD50" s="11">
        <f>IF(ISNUMBER(SEARCH(",EGFR PACC,",","&amp;SUBSTITUTE(K50,", ",",")&amp;",")),1,0)</f>
        <v>0</v>
      </c>
      <c r="DE50" s="11">
        <f>IF(ISNUMBER(SEARCH(",EGFR S768I,",","&amp;SUBSTITUTE(K50,", ",",")&amp;",")),1,0)</f>
        <v>0</v>
      </c>
      <c r="DF50" s="11">
        <f>IF(ISNUMBER(SEARCH(",EGFR T790M,",","&amp;SUBSTITUTE(K50,", ",",")&amp;",")),1,0)</f>
        <v>0</v>
      </c>
      <c r="DG50" s="11">
        <f>IF(ISNUMBER(SEARCH(",EML4-ALK,",","&amp;SUBSTITUTE(K50,", ",",")&amp;",")),1,0)</f>
        <v>0</v>
      </c>
      <c r="DH50" s="11">
        <f>IF(ISNUMBER(SEARCH(",HER2,",","&amp;SUBSTITUTE(K50,", ",",")&amp;",")),1,0)</f>
        <v>0</v>
      </c>
      <c r="DI50" s="11">
        <f>IF(ISNUMBER(SEARCH(",HER2 Exon 19,",","&amp;SUBSTITUTE(K50,", ",",")&amp;",")),1,0)</f>
        <v>0</v>
      </c>
      <c r="DJ50" s="11">
        <f>IF(ISNUMBER(SEARCH(",HER2 Exon 20,",","&amp;SUBSTITUTE(K50,", ",",")&amp;",")),1,0)</f>
        <v>0</v>
      </c>
      <c r="DK50" s="11">
        <f>IF(ISNUMBER(SEARCH(",HER2 mut,",","&amp;SUBSTITUTE(K50,", ",",")&amp;",")),1,0)</f>
        <v>0</v>
      </c>
      <c r="DL50" s="11">
        <f>IF(ISNUMBER(SEARCH(",HLA-A2,",","&amp;SUBSTITUTE(K50,", ",",")&amp;",")),1,0)</f>
        <v>0</v>
      </c>
      <c r="DM50" s="11">
        <f>IF(ISNUMBER(SEARCH(",HRAS,",","&amp;SUBSTITUTE(K50,", ",",")&amp;",")),1,0)</f>
        <v>0</v>
      </c>
      <c r="DN50" s="11">
        <f>IF(ISNUMBER(SEARCH(",KRAS,",","&amp;SUBSTITUTE(K50,", ",",")&amp;",")),1,0)</f>
        <v>0</v>
      </c>
      <c r="DO50" s="11">
        <f>IF(ISNUMBER(SEARCH(",KRAS G12C,",","&amp;SUBSTITUTE(K50,", ",",")&amp;",")),1,0)</f>
        <v>0</v>
      </c>
      <c r="DP50" s="11">
        <f>IF(ISNUMBER(SEARCH(",NRAS,",","&amp;SUBSTITUTE(K50,", ",",")&amp;",")),1,0)</f>
        <v>0</v>
      </c>
      <c r="DQ50" s="11">
        <f>IF(ISNUMBER(SEARCH(",NTRK,",","&amp;SUBSTITUTE(K50,", ",",")&amp;",")),1,0)</f>
        <v>0</v>
      </c>
      <c r="DR50" s="11">
        <f>IF(ISNUMBER(SEARCH(",PD-L1,",","&amp;SUBSTITUTE(K50,", ",",")&amp;",")),1,0)</f>
        <v>0</v>
      </c>
      <c r="DS50" s="11">
        <f>IF(ISNUMBER(SEARCH(",PD-L1 IC ≥ 1%,",","&amp;SUBSTITUTE(K50,", ",",")&amp;",")),1,0)</f>
        <v>0</v>
      </c>
      <c r="DT50" s="11">
        <f>IF(ISNUMBER(SEARCH(",PD-L1 TC ≥ 1%,",","&amp;SUBSTITUTE(K50,", ",",")&amp;",")),1,0)</f>
        <v>0</v>
      </c>
      <c r="DU50" s="11">
        <f>IF(ISNUMBER(SEARCH(",PD-L1 TC ≥ 50%,",","&amp;SUBSTITUTE(K50,", ",",")&amp;",")),1,0)</f>
        <v>0</v>
      </c>
      <c r="DV50" s="11">
        <f>IF(ISNUMBER(SEARCH(",PD-L1 TPS &lt; 50%,",","&amp;SUBSTITUTE(K50,", ",",")&amp;",")),1,0)</f>
        <v>0</v>
      </c>
      <c r="DW50" s="11">
        <f>IF(ISNUMBER(SEARCH(",PD-L1 TPS ≥ 1%,",","&amp;SUBSTITUTE(K50,", ",",")&amp;",")),1,0)</f>
        <v>0</v>
      </c>
      <c r="DX50" s="11">
        <f>IF(ISNUMBER(SEARCH(",PD-L1 TPS ≥ 50%,",","&amp;SUBSTITUTE(K50,", ",",")&amp;",")),1,0)</f>
        <v>0</v>
      </c>
      <c r="DY50" s="11">
        <f>IF(ISNUMBER(SEARCH(",RAS,",","&amp;SUBSTITUTE(K50,", ",",")&amp;",")),1,0)</f>
        <v>0</v>
      </c>
      <c r="DZ50" s="11">
        <f>IF(ISNUMBER(SEARCH(",RET,",","&amp;SUBSTITUTE(K50,", ",",")&amp;",")),1,0)</f>
        <v>0</v>
      </c>
      <c r="EA50" s="11">
        <f>IF(ISNUMBER(SEARCH(",ROS1,",","&amp;SUBSTITUTE(K50,", ",",")&amp;",")),1,0)</f>
        <v>0</v>
      </c>
      <c r="EB50" s="11">
        <f>IF(ISNUMBER(SEARCH(",TROP2,",","&amp;SUBSTITUTE(K50,", ",",")&amp;",")),1,0)</f>
        <v>0</v>
      </c>
      <c r="EC50" s="11">
        <f>IF(ISNUMBER(SEARCH(",c-MET/MET,",","&amp;SUBSTITUTE(K50,", ",",")&amp;",")),1,0)</f>
        <v>0</v>
      </c>
      <c r="ED50" s="11">
        <f>IF(ISNUMBER(SEARCH(",c-MET/MET Exon 14,",","&amp;SUBSTITUTE(K50,", ",",")&amp;",")),1,0)</f>
        <v>0</v>
      </c>
      <c r="EE50" s="11">
        <f>IF(ISNUMBER(SEARCH(",ctDNA/cfDNA,",","&amp;SUBSTITUTE(K50,", ",",")&amp;",")),1,0)</f>
        <v>0</v>
      </c>
    </row>
    <row r="51" spans="1:135" ht="15" customHeight="1" x14ac:dyDescent="0.2">
      <c r="A51" s="3" t="s">
        <v>1297</v>
      </c>
      <c r="B51" s="3">
        <v>707</v>
      </c>
      <c r="C51" s="3" t="s">
        <v>235</v>
      </c>
      <c r="D51" s="3" t="s">
        <v>235</v>
      </c>
      <c r="E51" s="3" t="s">
        <v>235</v>
      </c>
      <c r="F51" s="3" t="s">
        <v>572</v>
      </c>
      <c r="G51" s="3" t="s">
        <v>1299</v>
      </c>
      <c r="H51" s="3" t="s">
        <v>114</v>
      </c>
      <c r="I51" s="3" t="s">
        <v>873</v>
      </c>
      <c r="J51" s="3" t="s">
        <v>872</v>
      </c>
      <c r="K51" s="3"/>
      <c r="L51" s="3" t="s">
        <v>119</v>
      </c>
      <c r="M51" s="3" t="s">
        <v>113</v>
      </c>
      <c r="N51" s="3" t="s">
        <v>120</v>
      </c>
      <c r="O51" s="3" t="s">
        <v>120</v>
      </c>
      <c r="P51" s="3" t="s">
        <v>1300</v>
      </c>
      <c r="Q51" s="10" t="str">
        <f>IF(F51="Stage IV","Stage IV Only",IF(AND(ISNUMBER(SEARCH("IV",F51)),LEN(F51)&gt;LEN("Stage IV")),"Stage IV + Other",IF(AND(ISNUMBER(SEARCH("III",F51)),NOT(ISNUMBER(SEARCH("IV",F51)))),"Stage III Only","Other")))</f>
        <v>Stage IV + Other</v>
      </c>
      <c r="R51" s="10" t="str">
        <f>IF(AND(ISNUMBER(SEARCH("Non-squamous",G51)),ISNUMBER(SEARCH("Squamous",SUBSTITUTE(G51,"Non-squamous","")))),"Both",IF(ISNUMBER(SEARCH("Non-squamous",G51)),"Non-squamous",IF(ISNUMBER(SEARCH("Squamous",G51)),"Squamous","Unspecified")))</f>
        <v>Both</v>
      </c>
      <c r="S51" s="10" t="str">
        <f>IF(OR(ISNUMBER(SEARCH("TPS ≥ 50%",K51)),ISNUMBER(SEARCH("TC ≥ 50%",K51))),"TPS ≥ 50%",IF(OR(ISNUMBER(SEARCH("TPS ≥ 1%",K51)),ISNUMBER(SEARCH("TC ≥ 1%",K51)),ISNUMBER(SEARCH("TPS &lt; 50%",K51)),ISNUMBER(SEARCH("IC ≥ 1%",K51))),"TPS 1-49%","All-comers"))</f>
        <v>All-comers</v>
      </c>
      <c r="T51" s="10">
        <f>IF(H51="Phase III",1,0)</f>
        <v>1</v>
      </c>
      <c r="U51" s="10">
        <f>IF(L51="Yes",1,0)</f>
        <v>0</v>
      </c>
      <c r="V51" s="11">
        <f>IF(ISNUMBER(SEARCH(",ALK,",","&amp;SUBSTITUTE(I51,", ",",")&amp;",")),1,0)</f>
        <v>0</v>
      </c>
      <c r="W51" s="11">
        <f>IF(ISNUMBER(SEARCH(",ALK L1196M,",","&amp;SUBSTITUTE(I51,", ",",")&amp;",")),1,0)</f>
        <v>0</v>
      </c>
      <c r="X51" s="11">
        <f>IF(ISNUMBER(SEARCH(",AXL,",","&amp;SUBSTITUTE(I51,", ",",")&amp;",")),1,0)</f>
        <v>0</v>
      </c>
      <c r="Y51" s="11">
        <f>IF(ISNUMBER(SEARCH(",B7-H1,",","&amp;SUBSTITUTE(I51,", ",",")&amp;",")),1,0)</f>
        <v>0</v>
      </c>
      <c r="Z51" s="11">
        <f>IF(ISNUMBER(SEARCH(",CD152,",","&amp;SUBSTITUTE(I51,", ",",")&amp;",")),1,0)</f>
        <v>0</v>
      </c>
      <c r="AA51" s="11">
        <f>IF(ISNUMBER(SEARCH(",CD274,",","&amp;SUBSTITUTE(I51,", ",",")&amp;",")),1,0)</f>
        <v>0</v>
      </c>
      <c r="AB51" s="11">
        <f>IF(ISNUMBER(SEARCH(",CD279,",","&amp;SUBSTITUTE(I51,", ",",")&amp;",")),1,0)</f>
        <v>1</v>
      </c>
      <c r="AC51" s="11">
        <f>IF(ISNUMBER(SEARCH(",CD73,",","&amp;SUBSTITUTE(I51,", ",",")&amp;",")),1,0)</f>
        <v>0</v>
      </c>
      <c r="AD51" s="11">
        <f>IF(ISNUMBER(SEARCH(",CEA,",","&amp;SUBSTITUTE(I51,", ",",")&amp;",")),1,0)</f>
        <v>0</v>
      </c>
      <c r="AE51" s="11">
        <f>IF(ISNUMBER(SEARCH(",CTLA-4,",","&amp;SUBSTITUTE(I51,", ",",")&amp;",")),1,0)</f>
        <v>0</v>
      </c>
      <c r="AF51" s="11">
        <f>IF(ISNUMBER(SEARCH(",EGFR,",","&amp;SUBSTITUTE(I51,", ",",")&amp;",")),1,0)</f>
        <v>0</v>
      </c>
      <c r="AG51" s="11">
        <f>IF(ISNUMBER(SEARCH(",EGFR C797G,",","&amp;SUBSTITUTE(I51,", ",",")&amp;",")),1,0)</f>
        <v>0</v>
      </c>
      <c r="AH51" s="11">
        <f>IF(ISNUMBER(SEARCH(",EGFR C797S,",","&amp;SUBSTITUTE(I51,", ",",")&amp;",")),1,0)</f>
        <v>0</v>
      </c>
      <c r="AI51" s="11">
        <f>IF(ISNUMBER(SEARCH(",EGFR Exon 19-del,",","&amp;SUBSTITUTE(I51,", ",",")&amp;",")),1,0)</f>
        <v>0</v>
      </c>
      <c r="AJ51" s="11">
        <f>IF(ISNUMBER(SEARCH(",EGFR Exon 20,",","&amp;SUBSTITUTE(I51,", ",",")&amp;",")),1,0)</f>
        <v>0</v>
      </c>
      <c r="AK51" s="11">
        <f>IF(ISNUMBER(SEARCH(",EGFR L858R,",","&amp;SUBSTITUTE(I51,", ",",")&amp;",")),1,0)</f>
        <v>0</v>
      </c>
      <c r="AL51" s="11">
        <f>IF(ISNUMBER(SEARCH(",EGFR T790M,",","&amp;SUBSTITUTE(I51,", ",",")&amp;",")),1,0)</f>
        <v>0</v>
      </c>
      <c r="AM51" s="11">
        <f>IF(ISNUMBER(SEARCH(",ERBB,",","&amp;SUBSTITUTE(I51,", ",",")&amp;",")),1,0)</f>
        <v>0</v>
      </c>
      <c r="AN51" s="11">
        <f>IF(ISNUMBER(SEARCH(",ERBB3,",","&amp;SUBSTITUTE(I51,", ",",")&amp;",")),1,0)</f>
        <v>0</v>
      </c>
      <c r="AO51" s="11">
        <f>IF(ISNUMBER(SEARCH(",FAK,",","&amp;SUBSTITUTE(I51,", ",",")&amp;",")),1,0)</f>
        <v>0</v>
      </c>
      <c r="AP51" s="11">
        <f>IF(ISNUMBER(SEARCH(",GARP,",","&amp;SUBSTITUTE(I51,", ",",")&amp;",")),1,0)</f>
        <v>0</v>
      </c>
      <c r="AQ51" s="11">
        <f>IF(ISNUMBER(SEARCH(",HER1,",","&amp;SUBSTITUTE(I51,", ",",")&amp;",")),1,0)</f>
        <v>0</v>
      </c>
      <c r="AR51" s="11">
        <f>IF(ISNUMBER(SEARCH(",HER2,",","&amp;SUBSTITUTE(I51,", ",",")&amp;",")),1,0)</f>
        <v>0</v>
      </c>
      <c r="AS51" s="11">
        <f>IF(ISNUMBER(SEARCH(",HER2 Exon 20,",","&amp;SUBSTITUTE(I51,", ",",")&amp;",")),1,0)</f>
        <v>0</v>
      </c>
      <c r="AT51" s="11">
        <f>IF(ISNUMBER(SEARCH(",HER3,",","&amp;SUBSTITUTE(I51,", ",",")&amp;",")),1,0)</f>
        <v>0</v>
      </c>
      <c r="AU51" s="11">
        <f>IF(ISNUMBER(SEARCH(",HER4,",","&amp;SUBSTITUTE(I51,", ",",")&amp;",")),1,0)</f>
        <v>0</v>
      </c>
      <c r="AV51" s="11">
        <f>IF(ISNUMBER(SEARCH(",HRAS,",","&amp;SUBSTITUTE(I51,", ",",")&amp;",")),1,0)</f>
        <v>0</v>
      </c>
      <c r="AW51" s="11">
        <f>IF(ISNUMBER(SEARCH(",HSV-TK,",","&amp;SUBSTITUTE(I51,", ",",")&amp;",")),1,0)</f>
        <v>0</v>
      </c>
      <c r="AX51" s="11">
        <f>IF(ISNUMBER(SEARCH(",IL-12,",","&amp;SUBSTITUTE(I51,", ",",")&amp;",")),1,0)</f>
        <v>0</v>
      </c>
      <c r="AY51" s="11">
        <f>IF(ISNUMBER(SEARCH(",IL-15,",","&amp;SUBSTITUTE(I51,", ",",")&amp;",")),1,0)</f>
        <v>0</v>
      </c>
      <c r="AZ51" s="11">
        <f>IF(ISNUMBER(SEARCH(",IL-15R,",","&amp;SUBSTITUTE(I51,", ",",")&amp;",")),1,0)</f>
        <v>0</v>
      </c>
      <c r="BA51" s="11">
        <f>IF(ISNUMBER(SEARCH(",IL-2,",","&amp;SUBSTITUTE(I51,", ",",")&amp;",")),1,0)</f>
        <v>0</v>
      </c>
      <c r="BB51" s="11">
        <f>IF(ISNUMBER(SEARCH(",Integrin β6,",","&amp;SUBSTITUTE(I51,", ",",")&amp;",")),1,0)</f>
        <v>0</v>
      </c>
      <c r="BC51" s="11">
        <f>IF(ISNUMBER(SEARCH(",KDR,",","&amp;SUBSTITUTE(I51,", ",",")&amp;",")),1,0)</f>
        <v>0</v>
      </c>
      <c r="BD51" s="11">
        <f>IF(ISNUMBER(SEARCH(",KLRC1,",","&amp;SUBSTITUTE(I51,", ",",")&amp;",")),1,0)</f>
        <v>0</v>
      </c>
      <c r="BE51" s="11">
        <f>IF(ISNUMBER(SEARCH(",KRAS,",","&amp;SUBSTITUTE(I51,", ",",")&amp;",")),1,0)</f>
        <v>0</v>
      </c>
      <c r="BF51" s="11">
        <f>IF(ISNUMBER(SEARCH(",KRAS G12,",","&amp;SUBSTITUTE(I51,", ",",")&amp;",")),1,0)</f>
        <v>0</v>
      </c>
      <c r="BG51" s="11">
        <f>IF(ISNUMBER(SEARCH(",KRAS G12C,",","&amp;SUBSTITUTE(I51,", ",",")&amp;",")),1,0)</f>
        <v>0</v>
      </c>
      <c r="BH51" s="11">
        <f>IF(ISNUMBER(SEARCH(",KRAS G12D,",","&amp;SUBSTITUTE(I51,", ",",")&amp;",")),1,0)</f>
        <v>0</v>
      </c>
      <c r="BI51" s="11">
        <f>IF(ISNUMBER(SEARCH(",LAG-3,",","&amp;SUBSTITUTE(I51,", ",",")&amp;",")),1,0)</f>
        <v>0</v>
      </c>
      <c r="BJ51" s="11">
        <f>IF(ISNUMBER(SEARCH(",MAGE-A2,",","&amp;SUBSTITUTE(I51,", ",",")&amp;",")),1,0)</f>
        <v>0</v>
      </c>
      <c r="BK51" s="11">
        <f>IF(ISNUMBER(SEARCH(",MAGE-A3,",","&amp;SUBSTITUTE(I51,", ",",")&amp;",")),1,0)</f>
        <v>0</v>
      </c>
      <c r="BL51" s="11">
        <f>IF(ISNUMBER(SEARCH(",MLN19,",","&amp;SUBSTITUTE(I51,", ",",")&amp;",")),1,0)</f>
        <v>0</v>
      </c>
      <c r="BM51" s="11">
        <f>IF(ISNUMBER(SEARCH(",Microtubule,",","&amp;SUBSTITUTE(I51,", ",",")&amp;",")),1,0)</f>
        <v>0</v>
      </c>
      <c r="BN51" s="11">
        <f>IF(ISNUMBER(SEARCH(",NKG2A,",","&amp;SUBSTITUTE(I51,", ",",")&amp;",")),1,0)</f>
        <v>0</v>
      </c>
      <c r="BO51" s="11">
        <f>IF(ISNUMBER(SEARCH(",NRAS,",","&amp;SUBSTITUTE(I51,", ",",")&amp;",")),1,0)</f>
        <v>0</v>
      </c>
      <c r="BP51" s="11">
        <f>IF(ISNUMBER(SEARCH(",NTRK,",","&amp;SUBSTITUTE(I51,", ",",")&amp;",")),1,0)</f>
        <v>0</v>
      </c>
      <c r="BQ51" s="11">
        <f>IF(ISNUMBER(SEARCH(",PARP,",","&amp;SUBSTITUTE(I51,", ",",")&amp;",")),1,0)</f>
        <v>0</v>
      </c>
      <c r="BR51" s="11">
        <f>IF(ISNUMBER(SEARCH(",PD-1,",","&amp;SUBSTITUTE(I51,", ",",")&amp;",")),1,0)</f>
        <v>1</v>
      </c>
      <c r="BS51" s="11">
        <f>IF(ISNUMBER(SEARCH(",PD-L1,",","&amp;SUBSTITUTE(I51,", ",",")&amp;",")),1,0)</f>
        <v>0</v>
      </c>
      <c r="BT51" s="11">
        <f>IF(ISNUMBER(SEARCH(",PRMT5,",","&amp;SUBSTITUTE(I51,", ",",")&amp;",")),1,0)</f>
        <v>0</v>
      </c>
      <c r="BU51" s="11">
        <f>IF(ISNUMBER(SEARCH(",RAS,",","&amp;SUBSTITUTE(I51,", ",",")&amp;",")),1,0)</f>
        <v>0</v>
      </c>
      <c r="BV51" s="11">
        <f>IF(ISNUMBER(SEARCH(",RET,",","&amp;SUBSTITUTE(I51,", ",",")&amp;",")),1,0)</f>
        <v>0</v>
      </c>
      <c r="BW51" s="11">
        <f>IF(ISNUMBER(SEARCH(",ROS,",","&amp;SUBSTITUTE(I51,", ",",")&amp;",")),1,0)</f>
        <v>0</v>
      </c>
      <c r="BX51" s="11">
        <f>IF(ISNUMBER(SEARCH(",ROS1,",","&amp;SUBSTITUTE(I51,", ",",")&amp;",")),1,0)</f>
        <v>0</v>
      </c>
      <c r="BY51" s="11">
        <f>IF(ISNUMBER(SEARCH(",Src,",","&amp;SUBSTITUTE(I51,", ",",")&amp;",")),1,0)</f>
        <v>0</v>
      </c>
      <c r="BZ51" s="11">
        <f>IF(ISNUMBER(SEARCH(",TCGF,",","&amp;SUBSTITUTE(I51,", ",",")&amp;",")),1,0)</f>
        <v>0</v>
      </c>
      <c r="CA51" s="11">
        <f>IF(ISNUMBER(SEARCH(",TGF-β,",","&amp;SUBSTITUTE(I51,", ",",")&amp;",")),1,0)</f>
        <v>0</v>
      </c>
      <c r="CB51" s="11">
        <f>IF(ISNUMBER(SEARCH(",TGF-β1,",","&amp;SUBSTITUTE(I51,", ",",")&amp;",")),1,0)</f>
        <v>0</v>
      </c>
      <c r="CC51" s="11">
        <f>IF(ISNUMBER(SEARCH(",TIGIT,",","&amp;SUBSTITUTE(I51,", ",",")&amp;",")),1,0)</f>
        <v>0</v>
      </c>
      <c r="CD51" s="11">
        <f>IF(ISNUMBER(SEARCH(",TLR,",","&amp;SUBSTITUTE(I51,", ",",")&amp;",")),1,0)</f>
        <v>0</v>
      </c>
      <c r="CE51" s="11">
        <f>IF(ISNUMBER(SEARCH(",TLR7/8,",","&amp;SUBSTITUTE(I51,", ",",")&amp;",")),1,0)</f>
        <v>0</v>
      </c>
      <c r="CF51" s="11">
        <f>IF(ISNUMBER(SEARCH(",TRK,",","&amp;SUBSTITUTE(I51,", ",",")&amp;",")),1,0)</f>
        <v>0</v>
      </c>
      <c r="CG51" s="11">
        <f>IF(ISNUMBER(SEARCH(",TROP2,",","&amp;SUBSTITUTE(I51,", ",",")&amp;",")),1,0)</f>
        <v>0</v>
      </c>
      <c r="CH51" s="11">
        <f>IF(ISNUMBER(SEARCH(",TS,",","&amp;SUBSTITUTE(I51,", ",",")&amp;",")),1,0)</f>
        <v>0</v>
      </c>
      <c r="CI51" s="11">
        <f>IF(ISNUMBER(SEARCH(",TYMS,",","&amp;SUBSTITUTE(I51,", ",",")&amp;",")),1,0)</f>
        <v>0</v>
      </c>
      <c r="CJ51" s="11">
        <f>IF(ISNUMBER(SEARCH(",VEGF,",","&amp;SUBSTITUTE(I51,", ",",")&amp;",")),1,0)</f>
        <v>1</v>
      </c>
      <c r="CK51" s="11">
        <f>IF(ISNUMBER(SEARCH(",VEGFA,",","&amp;SUBSTITUTE(I51,", ",",")&amp;",")),1,0)</f>
        <v>0</v>
      </c>
      <c r="CL51" s="11">
        <f>IF(ISNUMBER(SEARCH(",VEGFR2,",","&amp;SUBSTITUTE(I51,", ",",")&amp;",")),1,0)</f>
        <v>0</v>
      </c>
      <c r="CM51" s="11">
        <f>IF(ISNUMBER(SEARCH(",c-MET/MET,",","&amp;SUBSTITUTE(I51,", ",",")&amp;",")),1,0)</f>
        <v>0</v>
      </c>
      <c r="CN51" s="11">
        <f>IF(ISNUMBER(SEARCH(",p53,",","&amp;SUBSTITUTE(I51,", ",",")&amp;",")),1,0)</f>
        <v>0</v>
      </c>
      <c r="CO51" s="11">
        <f>IF(ISNUMBER(SEARCH(",pan-KRAS,",","&amp;SUBSTITUTE(I51,", ",",")&amp;",")),1,0)</f>
        <v>0</v>
      </c>
      <c r="CP51" s="11">
        <f>IF(ISNUMBER(SEARCH(",ALK,",","&amp;SUBSTITUTE(K51,", ",",")&amp;",")),1,0)</f>
        <v>0</v>
      </c>
      <c r="CQ51" s="11">
        <f>IF(ISNUMBER(SEARCH(",BRAF V600E,",","&amp;SUBSTITUTE(K51,", ",",")&amp;",")),1,0)</f>
        <v>0</v>
      </c>
      <c r="CR51" s="11">
        <f>IF(ISNUMBER(SEARCH(",EGFR,",","&amp;SUBSTITUTE(K51,", ",",")&amp;",")),1,0)</f>
        <v>0</v>
      </c>
      <c r="CS51" s="11">
        <f>IF(ISNUMBER(SEARCH(",EGFR Exon 18,",","&amp;SUBSTITUTE(K51,", ",",")&amp;",")),1,0)</f>
        <v>0</v>
      </c>
      <c r="CT51" s="11">
        <f>IF(ISNUMBER(SEARCH(",EGFR Exon 19-del,",","&amp;SUBSTITUTE(K51,", ",",")&amp;",")),1,0)</f>
        <v>0</v>
      </c>
      <c r="CU51" s="11">
        <f>IF(ISNUMBER(SEARCH(",EGFR Exon 20,",","&amp;SUBSTITUTE(K51,", ",",")&amp;",")),1,0)</f>
        <v>0</v>
      </c>
      <c r="CV51" s="11">
        <f>IF(ISNUMBER(SEARCH(",EGFR Exon 20-ins,",","&amp;SUBSTITUTE(K51,", ",",")&amp;",")),1,0)</f>
        <v>0</v>
      </c>
      <c r="CW51" s="11">
        <f>IF(ISNUMBER(SEARCH(",EGFR Exon 21,",","&amp;SUBSTITUTE(K51,", ",",")&amp;",")),1,0)</f>
        <v>0</v>
      </c>
      <c r="CX51" s="11">
        <f>IF(ISNUMBER(SEARCH(",EGFR G719A,",","&amp;SUBSTITUTE(K51,", ",",")&amp;",")),1,0)</f>
        <v>0</v>
      </c>
      <c r="CY51" s="11">
        <f>IF(ISNUMBER(SEARCH(",EGFR G719C,",","&amp;SUBSTITUTE(K51,", ",",")&amp;",")),1,0)</f>
        <v>0</v>
      </c>
      <c r="CZ51" s="11">
        <f>IF(ISNUMBER(SEARCH(",EGFR G719S,",","&amp;SUBSTITUTE(K51,", ",",")&amp;",")),1,0)</f>
        <v>0</v>
      </c>
      <c r="DA51" s="11">
        <f>IF(ISNUMBER(SEARCH(",EGFR G719X,",","&amp;SUBSTITUTE(K51,", ",",")&amp;",")),1,0)</f>
        <v>0</v>
      </c>
      <c r="DB51" s="11">
        <f>IF(ISNUMBER(SEARCH(",EGFR L858R,",","&amp;SUBSTITUTE(K51,", ",",")&amp;",")),1,0)</f>
        <v>0</v>
      </c>
      <c r="DC51" s="11">
        <f>IF(ISNUMBER(SEARCH(",EGFR L861Q,",","&amp;SUBSTITUTE(K51,", ",",")&amp;",")),1,0)</f>
        <v>0</v>
      </c>
      <c r="DD51" s="11">
        <f>IF(ISNUMBER(SEARCH(",EGFR PACC,",","&amp;SUBSTITUTE(K51,", ",",")&amp;",")),1,0)</f>
        <v>0</v>
      </c>
      <c r="DE51" s="11">
        <f>IF(ISNUMBER(SEARCH(",EGFR S768I,",","&amp;SUBSTITUTE(K51,", ",",")&amp;",")),1,0)</f>
        <v>0</v>
      </c>
      <c r="DF51" s="11">
        <f>IF(ISNUMBER(SEARCH(",EGFR T790M,",","&amp;SUBSTITUTE(K51,", ",",")&amp;",")),1,0)</f>
        <v>0</v>
      </c>
      <c r="DG51" s="11">
        <f>IF(ISNUMBER(SEARCH(",EML4-ALK,",","&amp;SUBSTITUTE(K51,", ",",")&amp;",")),1,0)</f>
        <v>0</v>
      </c>
      <c r="DH51" s="11">
        <f>IF(ISNUMBER(SEARCH(",HER2,",","&amp;SUBSTITUTE(K51,", ",",")&amp;",")),1,0)</f>
        <v>0</v>
      </c>
      <c r="DI51" s="11">
        <f>IF(ISNUMBER(SEARCH(",HER2 Exon 19,",","&amp;SUBSTITUTE(K51,", ",",")&amp;",")),1,0)</f>
        <v>0</v>
      </c>
      <c r="DJ51" s="11">
        <f>IF(ISNUMBER(SEARCH(",HER2 Exon 20,",","&amp;SUBSTITUTE(K51,", ",",")&amp;",")),1,0)</f>
        <v>0</v>
      </c>
      <c r="DK51" s="11">
        <f>IF(ISNUMBER(SEARCH(",HER2 mut,",","&amp;SUBSTITUTE(K51,", ",",")&amp;",")),1,0)</f>
        <v>0</v>
      </c>
      <c r="DL51" s="11">
        <f>IF(ISNUMBER(SEARCH(",HLA-A2,",","&amp;SUBSTITUTE(K51,", ",",")&amp;",")),1,0)</f>
        <v>0</v>
      </c>
      <c r="DM51" s="11">
        <f>IF(ISNUMBER(SEARCH(",HRAS,",","&amp;SUBSTITUTE(K51,", ",",")&amp;",")),1,0)</f>
        <v>0</v>
      </c>
      <c r="DN51" s="11">
        <f>IF(ISNUMBER(SEARCH(",KRAS,",","&amp;SUBSTITUTE(K51,", ",",")&amp;",")),1,0)</f>
        <v>0</v>
      </c>
      <c r="DO51" s="11">
        <f>IF(ISNUMBER(SEARCH(",KRAS G12C,",","&amp;SUBSTITUTE(K51,", ",",")&amp;",")),1,0)</f>
        <v>0</v>
      </c>
      <c r="DP51" s="11">
        <f>IF(ISNUMBER(SEARCH(",NRAS,",","&amp;SUBSTITUTE(K51,", ",",")&amp;",")),1,0)</f>
        <v>0</v>
      </c>
      <c r="DQ51" s="11">
        <f>IF(ISNUMBER(SEARCH(",NTRK,",","&amp;SUBSTITUTE(K51,", ",",")&amp;",")),1,0)</f>
        <v>0</v>
      </c>
      <c r="DR51" s="11">
        <f>IF(ISNUMBER(SEARCH(",PD-L1,",","&amp;SUBSTITUTE(K51,", ",",")&amp;",")),1,0)</f>
        <v>0</v>
      </c>
      <c r="DS51" s="11">
        <f>IF(ISNUMBER(SEARCH(",PD-L1 IC ≥ 1%,",","&amp;SUBSTITUTE(K51,", ",",")&amp;",")),1,0)</f>
        <v>0</v>
      </c>
      <c r="DT51" s="11">
        <f>IF(ISNUMBER(SEARCH(",PD-L1 TC ≥ 1%,",","&amp;SUBSTITUTE(K51,", ",",")&amp;",")),1,0)</f>
        <v>0</v>
      </c>
      <c r="DU51" s="11">
        <f>IF(ISNUMBER(SEARCH(",PD-L1 TC ≥ 50%,",","&amp;SUBSTITUTE(K51,", ",",")&amp;",")),1,0)</f>
        <v>0</v>
      </c>
      <c r="DV51" s="11">
        <f>IF(ISNUMBER(SEARCH(",PD-L1 TPS &lt; 50%,",","&amp;SUBSTITUTE(K51,", ",",")&amp;",")),1,0)</f>
        <v>0</v>
      </c>
      <c r="DW51" s="11">
        <f>IF(ISNUMBER(SEARCH(",PD-L1 TPS ≥ 1%,",","&amp;SUBSTITUTE(K51,", ",",")&amp;",")),1,0)</f>
        <v>0</v>
      </c>
      <c r="DX51" s="11">
        <f>IF(ISNUMBER(SEARCH(",PD-L1 TPS ≥ 50%,",","&amp;SUBSTITUTE(K51,", ",",")&amp;",")),1,0)</f>
        <v>0</v>
      </c>
      <c r="DY51" s="11">
        <f>IF(ISNUMBER(SEARCH(",RAS,",","&amp;SUBSTITUTE(K51,", ",",")&amp;",")),1,0)</f>
        <v>0</v>
      </c>
      <c r="DZ51" s="11">
        <f>IF(ISNUMBER(SEARCH(",RET,",","&amp;SUBSTITUTE(K51,", ",",")&amp;",")),1,0)</f>
        <v>0</v>
      </c>
      <c r="EA51" s="11">
        <f>IF(ISNUMBER(SEARCH(",ROS1,",","&amp;SUBSTITUTE(K51,", ",",")&amp;",")),1,0)</f>
        <v>0</v>
      </c>
      <c r="EB51" s="11">
        <f>IF(ISNUMBER(SEARCH(",TROP2,",","&amp;SUBSTITUTE(K51,", ",",")&amp;",")),1,0)</f>
        <v>0</v>
      </c>
      <c r="EC51" s="11">
        <f>IF(ISNUMBER(SEARCH(",c-MET/MET,",","&amp;SUBSTITUTE(K51,", ",",")&amp;",")),1,0)</f>
        <v>0</v>
      </c>
      <c r="ED51" s="11">
        <f>IF(ISNUMBER(SEARCH(",c-MET/MET Exon 14,",","&amp;SUBSTITUTE(K51,", ",",")&amp;",")),1,0)</f>
        <v>0</v>
      </c>
      <c r="EE51" s="11">
        <f>IF(ISNUMBER(SEARCH(",ctDNA/cfDNA,",","&amp;SUBSTITUTE(K51,", ",",")&amp;",")),1,0)</f>
        <v>0</v>
      </c>
    </row>
    <row r="52" spans="1:135" ht="15" customHeight="1" x14ac:dyDescent="0.2">
      <c r="A52" s="5" t="s">
        <v>1283</v>
      </c>
      <c r="B52" s="5" t="s">
        <v>1285</v>
      </c>
      <c r="C52" s="5" t="s">
        <v>1286</v>
      </c>
      <c r="D52" s="5" t="s">
        <v>1286</v>
      </c>
      <c r="E52" s="5" t="s">
        <v>1286</v>
      </c>
      <c r="F52" s="5" t="s">
        <v>572</v>
      </c>
      <c r="G52" s="5"/>
      <c r="H52" s="5" t="s">
        <v>114</v>
      </c>
      <c r="I52" s="5" t="s">
        <v>1290</v>
      </c>
      <c r="J52" s="5" t="s">
        <v>1289</v>
      </c>
      <c r="K52" s="5"/>
      <c r="L52" s="5" t="s">
        <v>119</v>
      </c>
      <c r="M52" s="5" t="s">
        <v>113</v>
      </c>
      <c r="N52" s="5" t="s">
        <v>120</v>
      </c>
      <c r="O52" s="5" t="s">
        <v>120</v>
      </c>
      <c r="P52" s="5" t="s">
        <v>1287</v>
      </c>
      <c r="Q52" s="10" t="str">
        <f>IF(F52="Stage IV","Stage IV Only",IF(AND(ISNUMBER(SEARCH("IV",F52)),LEN(F52)&gt;LEN("Stage IV")),"Stage IV + Other",IF(AND(ISNUMBER(SEARCH("III",F52)),NOT(ISNUMBER(SEARCH("IV",F52)))),"Stage III Only","Other")))</f>
        <v>Stage IV + Other</v>
      </c>
      <c r="R52" s="10" t="str">
        <f>IF(AND(ISNUMBER(SEARCH("Non-squamous",G52)),ISNUMBER(SEARCH("Squamous",SUBSTITUTE(G52,"Non-squamous","")))),"Both",IF(ISNUMBER(SEARCH("Non-squamous",G52)),"Non-squamous",IF(ISNUMBER(SEARCH("Squamous",G52)),"Squamous","Unspecified")))</f>
        <v>Unspecified</v>
      </c>
      <c r="S52" s="10" t="str">
        <f>IF(OR(ISNUMBER(SEARCH("TPS ≥ 50%",K52)),ISNUMBER(SEARCH("TC ≥ 50%",K52))),"TPS ≥ 50%",IF(OR(ISNUMBER(SEARCH("TPS ≥ 1%",K52)),ISNUMBER(SEARCH("TC ≥ 1%",K52)),ISNUMBER(SEARCH("TPS &lt; 50%",K52)),ISNUMBER(SEARCH("IC ≥ 1%",K52))),"TPS 1-49%","All-comers"))</f>
        <v>All-comers</v>
      </c>
      <c r="T52" s="10">
        <f>IF(H52="Phase III",1,0)</f>
        <v>1</v>
      </c>
      <c r="U52" s="10">
        <f>IF(L52="Yes",1,0)</f>
        <v>0</v>
      </c>
      <c r="V52" s="11">
        <f>IF(ISNUMBER(SEARCH(",ALK,",","&amp;SUBSTITUTE(I52,", ",",")&amp;",")),1,0)</f>
        <v>0</v>
      </c>
      <c r="W52" s="11">
        <f>IF(ISNUMBER(SEARCH(",ALK L1196M,",","&amp;SUBSTITUTE(I52,", ",",")&amp;",")),1,0)</f>
        <v>0</v>
      </c>
      <c r="X52" s="11">
        <f>IF(ISNUMBER(SEARCH(",AXL,",","&amp;SUBSTITUTE(I52,", ",",")&amp;",")),1,0)</f>
        <v>0</v>
      </c>
      <c r="Y52" s="11">
        <f>IF(ISNUMBER(SEARCH(",B7-H1,",","&amp;SUBSTITUTE(I52,", ",",")&amp;",")),1,0)</f>
        <v>1</v>
      </c>
      <c r="Z52" s="11">
        <f>IF(ISNUMBER(SEARCH(",CD152,",","&amp;SUBSTITUTE(I52,", ",",")&amp;",")),1,0)</f>
        <v>0</v>
      </c>
      <c r="AA52" s="11">
        <f>IF(ISNUMBER(SEARCH(",CD274,",","&amp;SUBSTITUTE(I52,", ",",")&amp;",")),1,0)</f>
        <v>1</v>
      </c>
      <c r="AB52" s="11">
        <f>IF(ISNUMBER(SEARCH(",CD279,",","&amp;SUBSTITUTE(I52,", ",",")&amp;",")),1,0)</f>
        <v>0</v>
      </c>
      <c r="AC52" s="11">
        <f>IF(ISNUMBER(SEARCH(",CD73,",","&amp;SUBSTITUTE(I52,", ",",")&amp;",")),1,0)</f>
        <v>0</v>
      </c>
      <c r="AD52" s="11">
        <f>IF(ISNUMBER(SEARCH(",CEA,",","&amp;SUBSTITUTE(I52,", ",",")&amp;",")),1,0)</f>
        <v>0</v>
      </c>
      <c r="AE52" s="11">
        <f>IF(ISNUMBER(SEARCH(",CTLA-4,",","&amp;SUBSTITUTE(I52,", ",",")&amp;",")),1,0)</f>
        <v>0</v>
      </c>
      <c r="AF52" s="11">
        <f>IF(ISNUMBER(SEARCH(",EGFR,",","&amp;SUBSTITUTE(I52,", ",",")&amp;",")),1,0)</f>
        <v>0</v>
      </c>
      <c r="AG52" s="11">
        <f>IF(ISNUMBER(SEARCH(",EGFR C797G,",","&amp;SUBSTITUTE(I52,", ",",")&amp;",")),1,0)</f>
        <v>0</v>
      </c>
      <c r="AH52" s="11">
        <f>IF(ISNUMBER(SEARCH(",EGFR C797S,",","&amp;SUBSTITUTE(I52,", ",",")&amp;",")),1,0)</f>
        <v>0</v>
      </c>
      <c r="AI52" s="11">
        <f>IF(ISNUMBER(SEARCH(",EGFR Exon 19-del,",","&amp;SUBSTITUTE(I52,", ",",")&amp;",")),1,0)</f>
        <v>0</v>
      </c>
      <c r="AJ52" s="11">
        <f>IF(ISNUMBER(SEARCH(",EGFR Exon 20,",","&amp;SUBSTITUTE(I52,", ",",")&amp;",")),1,0)</f>
        <v>0</v>
      </c>
      <c r="AK52" s="11">
        <f>IF(ISNUMBER(SEARCH(",EGFR L858R,",","&amp;SUBSTITUTE(I52,", ",",")&amp;",")),1,0)</f>
        <v>0</v>
      </c>
      <c r="AL52" s="11">
        <f>IF(ISNUMBER(SEARCH(",EGFR T790M,",","&amp;SUBSTITUTE(I52,", ",",")&amp;",")),1,0)</f>
        <v>0</v>
      </c>
      <c r="AM52" s="11">
        <f>IF(ISNUMBER(SEARCH(",ERBB,",","&amp;SUBSTITUTE(I52,", ",",")&amp;",")),1,0)</f>
        <v>0</v>
      </c>
      <c r="AN52" s="11">
        <f>IF(ISNUMBER(SEARCH(",ERBB3,",","&amp;SUBSTITUTE(I52,", ",",")&amp;",")),1,0)</f>
        <v>0</v>
      </c>
      <c r="AO52" s="11">
        <f>IF(ISNUMBER(SEARCH(",FAK,",","&amp;SUBSTITUTE(I52,", ",",")&amp;",")),1,0)</f>
        <v>0</v>
      </c>
      <c r="AP52" s="11">
        <f>IF(ISNUMBER(SEARCH(",GARP,",","&amp;SUBSTITUTE(I52,", ",",")&amp;",")),1,0)</f>
        <v>0</v>
      </c>
      <c r="AQ52" s="11">
        <f>IF(ISNUMBER(SEARCH(",HER1,",","&amp;SUBSTITUTE(I52,", ",",")&amp;",")),1,0)</f>
        <v>0</v>
      </c>
      <c r="AR52" s="11">
        <f>IF(ISNUMBER(SEARCH(",HER2,",","&amp;SUBSTITUTE(I52,", ",",")&amp;",")),1,0)</f>
        <v>0</v>
      </c>
      <c r="AS52" s="11">
        <f>IF(ISNUMBER(SEARCH(",HER2 Exon 20,",","&amp;SUBSTITUTE(I52,", ",",")&amp;",")),1,0)</f>
        <v>0</v>
      </c>
      <c r="AT52" s="11">
        <f>IF(ISNUMBER(SEARCH(",HER3,",","&amp;SUBSTITUTE(I52,", ",",")&amp;",")),1,0)</f>
        <v>0</v>
      </c>
      <c r="AU52" s="11">
        <f>IF(ISNUMBER(SEARCH(",HER4,",","&amp;SUBSTITUTE(I52,", ",",")&amp;",")),1,0)</f>
        <v>0</v>
      </c>
      <c r="AV52" s="11">
        <f>IF(ISNUMBER(SEARCH(",HRAS,",","&amp;SUBSTITUTE(I52,", ",",")&amp;",")),1,0)</f>
        <v>0</v>
      </c>
      <c r="AW52" s="11">
        <f>IF(ISNUMBER(SEARCH(",HSV-TK,",","&amp;SUBSTITUTE(I52,", ",",")&amp;",")),1,0)</f>
        <v>0</v>
      </c>
      <c r="AX52" s="11">
        <f>IF(ISNUMBER(SEARCH(",IL-12,",","&amp;SUBSTITUTE(I52,", ",",")&amp;",")),1,0)</f>
        <v>0</v>
      </c>
      <c r="AY52" s="11">
        <f>IF(ISNUMBER(SEARCH(",IL-15,",","&amp;SUBSTITUTE(I52,", ",",")&amp;",")),1,0)</f>
        <v>0</v>
      </c>
      <c r="AZ52" s="11">
        <f>IF(ISNUMBER(SEARCH(",IL-15R,",","&amp;SUBSTITUTE(I52,", ",",")&amp;",")),1,0)</f>
        <v>0</v>
      </c>
      <c r="BA52" s="11">
        <f>IF(ISNUMBER(SEARCH(",IL-2,",","&amp;SUBSTITUTE(I52,", ",",")&amp;",")),1,0)</f>
        <v>0</v>
      </c>
      <c r="BB52" s="11">
        <f>IF(ISNUMBER(SEARCH(",Integrin β6,",","&amp;SUBSTITUTE(I52,", ",",")&amp;",")),1,0)</f>
        <v>0</v>
      </c>
      <c r="BC52" s="11">
        <f>IF(ISNUMBER(SEARCH(",KDR,",","&amp;SUBSTITUTE(I52,", ",",")&amp;",")),1,0)</f>
        <v>0</v>
      </c>
      <c r="BD52" s="11">
        <f>IF(ISNUMBER(SEARCH(",KLRC1,",","&amp;SUBSTITUTE(I52,", ",",")&amp;",")),1,0)</f>
        <v>0</v>
      </c>
      <c r="BE52" s="11">
        <f>IF(ISNUMBER(SEARCH(",KRAS,",","&amp;SUBSTITUTE(I52,", ",",")&amp;",")),1,0)</f>
        <v>0</v>
      </c>
      <c r="BF52" s="11">
        <f>IF(ISNUMBER(SEARCH(",KRAS G12,",","&amp;SUBSTITUTE(I52,", ",",")&amp;",")),1,0)</f>
        <v>0</v>
      </c>
      <c r="BG52" s="11">
        <f>IF(ISNUMBER(SEARCH(",KRAS G12C,",","&amp;SUBSTITUTE(I52,", ",",")&amp;",")),1,0)</f>
        <v>0</v>
      </c>
      <c r="BH52" s="11">
        <f>IF(ISNUMBER(SEARCH(",KRAS G12D,",","&amp;SUBSTITUTE(I52,", ",",")&amp;",")),1,0)</f>
        <v>0</v>
      </c>
      <c r="BI52" s="11">
        <f>IF(ISNUMBER(SEARCH(",LAG-3,",","&amp;SUBSTITUTE(I52,", ",",")&amp;",")),1,0)</f>
        <v>0</v>
      </c>
      <c r="BJ52" s="11">
        <f>IF(ISNUMBER(SEARCH(",MAGE-A2,",","&amp;SUBSTITUTE(I52,", ",",")&amp;",")),1,0)</f>
        <v>0</v>
      </c>
      <c r="BK52" s="11">
        <f>IF(ISNUMBER(SEARCH(",MAGE-A3,",","&amp;SUBSTITUTE(I52,", ",",")&amp;",")),1,0)</f>
        <v>0</v>
      </c>
      <c r="BL52" s="11">
        <f>IF(ISNUMBER(SEARCH(",MLN19,",","&amp;SUBSTITUTE(I52,", ",",")&amp;",")),1,0)</f>
        <v>0</v>
      </c>
      <c r="BM52" s="11">
        <f>IF(ISNUMBER(SEARCH(",Microtubule,",","&amp;SUBSTITUTE(I52,", ",",")&amp;",")),1,0)</f>
        <v>1</v>
      </c>
      <c r="BN52" s="11">
        <f>IF(ISNUMBER(SEARCH(",NKG2A,",","&amp;SUBSTITUTE(I52,", ",",")&amp;",")),1,0)</f>
        <v>0</v>
      </c>
      <c r="BO52" s="11">
        <f>IF(ISNUMBER(SEARCH(",NRAS,",","&amp;SUBSTITUTE(I52,", ",",")&amp;",")),1,0)</f>
        <v>0</v>
      </c>
      <c r="BP52" s="11">
        <f>IF(ISNUMBER(SEARCH(",NTRK,",","&amp;SUBSTITUTE(I52,", ",",")&amp;",")),1,0)</f>
        <v>0</v>
      </c>
      <c r="BQ52" s="11">
        <f>IF(ISNUMBER(SEARCH(",PARP,",","&amp;SUBSTITUTE(I52,", ",",")&amp;",")),1,0)</f>
        <v>0</v>
      </c>
      <c r="BR52" s="11">
        <f>IF(ISNUMBER(SEARCH(",PD-1,",","&amp;SUBSTITUTE(I52,", ",",")&amp;",")),1,0)</f>
        <v>0</v>
      </c>
      <c r="BS52" s="11">
        <f>IF(ISNUMBER(SEARCH(",PD-L1,",","&amp;SUBSTITUTE(I52,", ",",")&amp;",")),1,0)</f>
        <v>1</v>
      </c>
      <c r="BT52" s="11">
        <f>IF(ISNUMBER(SEARCH(",PRMT5,",","&amp;SUBSTITUTE(I52,", ",",")&amp;",")),1,0)</f>
        <v>0</v>
      </c>
      <c r="BU52" s="11">
        <f>IF(ISNUMBER(SEARCH(",RAS,",","&amp;SUBSTITUTE(I52,", ",",")&amp;",")),1,0)</f>
        <v>0</v>
      </c>
      <c r="BV52" s="11">
        <f>IF(ISNUMBER(SEARCH(",RET,",","&amp;SUBSTITUTE(I52,", ",",")&amp;",")),1,0)</f>
        <v>0</v>
      </c>
      <c r="BW52" s="11">
        <f>IF(ISNUMBER(SEARCH(",ROS,",","&amp;SUBSTITUTE(I52,", ",",")&amp;",")),1,0)</f>
        <v>0</v>
      </c>
      <c r="BX52" s="11">
        <f>IF(ISNUMBER(SEARCH(",ROS1,",","&amp;SUBSTITUTE(I52,", ",",")&amp;",")),1,0)</f>
        <v>0</v>
      </c>
      <c r="BY52" s="11">
        <f>IF(ISNUMBER(SEARCH(",Src,",","&amp;SUBSTITUTE(I52,", ",",")&amp;",")),1,0)</f>
        <v>0</v>
      </c>
      <c r="BZ52" s="11">
        <f>IF(ISNUMBER(SEARCH(",TCGF,",","&amp;SUBSTITUTE(I52,", ",",")&amp;",")),1,0)</f>
        <v>0</v>
      </c>
      <c r="CA52" s="11">
        <f>IF(ISNUMBER(SEARCH(",TGF-β,",","&amp;SUBSTITUTE(I52,", ",",")&amp;",")),1,0)</f>
        <v>0</v>
      </c>
      <c r="CB52" s="11">
        <f>IF(ISNUMBER(SEARCH(",TGF-β1,",","&amp;SUBSTITUTE(I52,", ",",")&amp;",")),1,0)</f>
        <v>0</v>
      </c>
      <c r="CC52" s="11">
        <f>IF(ISNUMBER(SEARCH(",TIGIT,",","&amp;SUBSTITUTE(I52,", ",",")&amp;",")),1,0)</f>
        <v>0</v>
      </c>
      <c r="CD52" s="11">
        <f>IF(ISNUMBER(SEARCH(",TLR,",","&amp;SUBSTITUTE(I52,", ",",")&amp;",")),1,0)</f>
        <v>0</v>
      </c>
      <c r="CE52" s="11">
        <f>IF(ISNUMBER(SEARCH(",TLR7/8,",","&amp;SUBSTITUTE(I52,", ",",")&amp;",")),1,0)</f>
        <v>0</v>
      </c>
      <c r="CF52" s="11">
        <f>IF(ISNUMBER(SEARCH(",TRK,",","&amp;SUBSTITUTE(I52,", ",",")&amp;",")),1,0)</f>
        <v>0</v>
      </c>
      <c r="CG52" s="11">
        <f>IF(ISNUMBER(SEARCH(",TROP2,",","&amp;SUBSTITUTE(I52,", ",",")&amp;",")),1,0)</f>
        <v>0</v>
      </c>
      <c r="CH52" s="11">
        <f>IF(ISNUMBER(SEARCH(",TS,",","&amp;SUBSTITUTE(I52,", ",",")&amp;",")),1,0)</f>
        <v>1</v>
      </c>
      <c r="CI52" s="11">
        <f>IF(ISNUMBER(SEARCH(",TYMS,",","&amp;SUBSTITUTE(I52,", ",",")&amp;",")),1,0)</f>
        <v>1</v>
      </c>
      <c r="CJ52" s="11">
        <f>IF(ISNUMBER(SEARCH(",VEGF,",","&amp;SUBSTITUTE(I52,", ",",")&amp;",")),1,0)</f>
        <v>1</v>
      </c>
      <c r="CK52" s="11">
        <f>IF(ISNUMBER(SEARCH(",VEGFA,",","&amp;SUBSTITUTE(I52,", ",",")&amp;",")),1,0)</f>
        <v>0</v>
      </c>
      <c r="CL52" s="11">
        <f>IF(ISNUMBER(SEARCH(",VEGFR2,",","&amp;SUBSTITUTE(I52,", ",",")&amp;",")),1,0)</f>
        <v>0</v>
      </c>
      <c r="CM52" s="11">
        <f>IF(ISNUMBER(SEARCH(",c-MET/MET,",","&amp;SUBSTITUTE(I52,", ",",")&amp;",")),1,0)</f>
        <v>0</v>
      </c>
      <c r="CN52" s="11">
        <f>IF(ISNUMBER(SEARCH(",p53,",","&amp;SUBSTITUTE(I52,", ",",")&amp;",")),1,0)</f>
        <v>0</v>
      </c>
      <c r="CO52" s="11">
        <f>IF(ISNUMBER(SEARCH(",pan-KRAS,",","&amp;SUBSTITUTE(I52,", ",",")&amp;",")),1,0)</f>
        <v>0</v>
      </c>
      <c r="CP52" s="11">
        <f>IF(ISNUMBER(SEARCH(",ALK,",","&amp;SUBSTITUTE(K52,", ",",")&amp;",")),1,0)</f>
        <v>0</v>
      </c>
      <c r="CQ52" s="11">
        <f>IF(ISNUMBER(SEARCH(",BRAF V600E,",","&amp;SUBSTITUTE(K52,", ",",")&amp;",")),1,0)</f>
        <v>0</v>
      </c>
      <c r="CR52" s="11">
        <f>IF(ISNUMBER(SEARCH(",EGFR,",","&amp;SUBSTITUTE(K52,", ",",")&amp;",")),1,0)</f>
        <v>0</v>
      </c>
      <c r="CS52" s="11">
        <f>IF(ISNUMBER(SEARCH(",EGFR Exon 18,",","&amp;SUBSTITUTE(K52,", ",",")&amp;",")),1,0)</f>
        <v>0</v>
      </c>
      <c r="CT52" s="11">
        <f>IF(ISNUMBER(SEARCH(",EGFR Exon 19-del,",","&amp;SUBSTITUTE(K52,", ",",")&amp;",")),1,0)</f>
        <v>0</v>
      </c>
      <c r="CU52" s="11">
        <f>IF(ISNUMBER(SEARCH(",EGFR Exon 20,",","&amp;SUBSTITUTE(K52,", ",",")&amp;",")),1,0)</f>
        <v>0</v>
      </c>
      <c r="CV52" s="11">
        <f>IF(ISNUMBER(SEARCH(",EGFR Exon 20-ins,",","&amp;SUBSTITUTE(K52,", ",",")&amp;",")),1,0)</f>
        <v>0</v>
      </c>
      <c r="CW52" s="11">
        <f>IF(ISNUMBER(SEARCH(",EGFR Exon 21,",","&amp;SUBSTITUTE(K52,", ",",")&amp;",")),1,0)</f>
        <v>0</v>
      </c>
      <c r="CX52" s="11">
        <f>IF(ISNUMBER(SEARCH(",EGFR G719A,",","&amp;SUBSTITUTE(K52,", ",",")&amp;",")),1,0)</f>
        <v>0</v>
      </c>
      <c r="CY52" s="11">
        <f>IF(ISNUMBER(SEARCH(",EGFR G719C,",","&amp;SUBSTITUTE(K52,", ",",")&amp;",")),1,0)</f>
        <v>0</v>
      </c>
      <c r="CZ52" s="11">
        <f>IF(ISNUMBER(SEARCH(",EGFR G719S,",","&amp;SUBSTITUTE(K52,", ",",")&amp;",")),1,0)</f>
        <v>0</v>
      </c>
      <c r="DA52" s="11">
        <f>IF(ISNUMBER(SEARCH(",EGFR G719X,",","&amp;SUBSTITUTE(K52,", ",",")&amp;",")),1,0)</f>
        <v>0</v>
      </c>
      <c r="DB52" s="11">
        <f>IF(ISNUMBER(SEARCH(",EGFR L858R,",","&amp;SUBSTITUTE(K52,", ",",")&amp;",")),1,0)</f>
        <v>0</v>
      </c>
      <c r="DC52" s="11">
        <f>IF(ISNUMBER(SEARCH(",EGFR L861Q,",","&amp;SUBSTITUTE(K52,", ",",")&amp;",")),1,0)</f>
        <v>0</v>
      </c>
      <c r="DD52" s="11">
        <f>IF(ISNUMBER(SEARCH(",EGFR PACC,",","&amp;SUBSTITUTE(K52,", ",",")&amp;",")),1,0)</f>
        <v>0</v>
      </c>
      <c r="DE52" s="11">
        <f>IF(ISNUMBER(SEARCH(",EGFR S768I,",","&amp;SUBSTITUTE(K52,", ",",")&amp;",")),1,0)</f>
        <v>0</v>
      </c>
      <c r="DF52" s="11">
        <f>IF(ISNUMBER(SEARCH(",EGFR T790M,",","&amp;SUBSTITUTE(K52,", ",",")&amp;",")),1,0)</f>
        <v>0</v>
      </c>
      <c r="DG52" s="11">
        <f>IF(ISNUMBER(SEARCH(",EML4-ALK,",","&amp;SUBSTITUTE(K52,", ",",")&amp;",")),1,0)</f>
        <v>0</v>
      </c>
      <c r="DH52" s="11">
        <f>IF(ISNUMBER(SEARCH(",HER2,",","&amp;SUBSTITUTE(K52,", ",",")&amp;",")),1,0)</f>
        <v>0</v>
      </c>
      <c r="DI52" s="11">
        <f>IF(ISNUMBER(SEARCH(",HER2 Exon 19,",","&amp;SUBSTITUTE(K52,", ",",")&amp;",")),1,0)</f>
        <v>0</v>
      </c>
      <c r="DJ52" s="11">
        <f>IF(ISNUMBER(SEARCH(",HER2 Exon 20,",","&amp;SUBSTITUTE(K52,", ",",")&amp;",")),1,0)</f>
        <v>0</v>
      </c>
      <c r="DK52" s="11">
        <f>IF(ISNUMBER(SEARCH(",HER2 mut,",","&amp;SUBSTITUTE(K52,", ",",")&amp;",")),1,0)</f>
        <v>0</v>
      </c>
      <c r="DL52" s="11">
        <f>IF(ISNUMBER(SEARCH(",HLA-A2,",","&amp;SUBSTITUTE(K52,", ",",")&amp;",")),1,0)</f>
        <v>0</v>
      </c>
      <c r="DM52" s="11">
        <f>IF(ISNUMBER(SEARCH(",HRAS,",","&amp;SUBSTITUTE(K52,", ",",")&amp;",")),1,0)</f>
        <v>0</v>
      </c>
      <c r="DN52" s="11">
        <f>IF(ISNUMBER(SEARCH(",KRAS,",","&amp;SUBSTITUTE(K52,", ",",")&amp;",")),1,0)</f>
        <v>0</v>
      </c>
      <c r="DO52" s="11">
        <f>IF(ISNUMBER(SEARCH(",KRAS G12C,",","&amp;SUBSTITUTE(K52,", ",",")&amp;",")),1,0)</f>
        <v>0</v>
      </c>
      <c r="DP52" s="11">
        <f>IF(ISNUMBER(SEARCH(",NRAS,",","&amp;SUBSTITUTE(K52,", ",",")&amp;",")),1,0)</f>
        <v>0</v>
      </c>
      <c r="DQ52" s="11">
        <f>IF(ISNUMBER(SEARCH(",NTRK,",","&amp;SUBSTITUTE(K52,", ",",")&amp;",")),1,0)</f>
        <v>0</v>
      </c>
      <c r="DR52" s="11">
        <f>IF(ISNUMBER(SEARCH(",PD-L1,",","&amp;SUBSTITUTE(K52,", ",",")&amp;",")),1,0)</f>
        <v>0</v>
      </c>
      <c r="DS52" s="11">
        <f>IF(ISNUMBER(SEARCH(",PD-L1 IC ≥ 1%,",","&amp;SUBSTITUTE(K52,", ",",")&amp;",")),1,0)</f>
        <v>0</v>
      </c>
      <c r="DT52" s="11">
        <f>IF(ISNUMBER(SEARCH(",PD-L1 TC ≥ 1%,",","&amp;SUBSTITUTE(K52,", ",",")&amp;",")),1,0)</f>
        <v>0</v>
      </c>
      <c r="DU52" s="11">
        <f>IF(ISNUMBER(SEARCH(",PD-L1 TC ≥ 50%,",","&amp;SUBSTITUTE(K52,", ",",")&amp;",")),1,0)</f>
        <v>0</v>
      </c>
      <c r="DV52" s="11">
        <f>IF(ISNUMBER(SEARCH(",PD-L1 TPS &lt; 50%,",","&amp;SUBSTITUTE(K52,", ",",")&amp;",")),1,0)</f>
        <v>0</v>
      </c>
      <c r="DW52" s="11">
        <f>IF(ISNUMBER(SEARCH(",PD-L1 TPS ≥ 1%,",","&amp;SUBSTITUTE(K52,", ",",")&amp;",")),1,0)</f>
        <v>0</v>
      </c>
      <c r="DX52" s="11">
        <f>IF(ISNUMBER(SEARCH(",PD-L1 TPS ≥ 50%,",","&amp;SUBSTITUTE(K52,", ",",")&amp;",")),1,0)</f>
        <v>0</v>
      </c>
      <c r="DY52" s="11">
        <f>IF(ISNUMBER(SEARCH(",RAS,",","&amp;SUBSTITUTE(K52,", ",",")&amp;",")),1,0)</f>
        <v>0</v>
      </c>
      <c r="DZ52" s="11">
        <f>IF(ISNUMBER(SEARCH(",RET,",","&amp;SUBSTITUTE(K52,", ",",")&amp;",")),1,0)</f>
        <v>0</v>
      </c>
      <c r="EA52" s="11">
        <f>IF(ISNUMBER(SEARCH(",ROS1,",","&amp;SUBSTITUTE(K52,", ",",")&amp;",")),1,0)</f>
        <v>0</v>
      </c>
      <c r="EB52" s="11">
        <f>IF(ISNUMBER(SEARCH(",TROP2,",","&amp;SUBSTITUTE(K52,", ",",")&amp;",")),1,0)</f>
        <v>0</v>
      </c>
      <c r="EC52" s="11">
        <f>IF(ISNUMBER(SEARCH(",c-MET/MET,",","&amp;SUBSTITUTE(K52,", ",",")&amp;",")),1,0)</f>
        <v>0</v>
      </c>
      <c r="ED52" s="11">
        <f>IF(ISNUMBER(SEARCH(",c-MET/MET Exon 14,",","&amp;SUBSTITUTE(K52,", ",",")&amp;",")),1,0)</f>
        <v>0</v>
      </c>
      <c r="EE52" s="11">
        <f>IF(ISNUMBER(SEARCH(",ctDNA/cfDNA,",","&amp;SUBSTITUTE(K52,", ",",")&amp;",")),1,0)</f>
        <v>0</v>
      </c>
    </row>
    <row r="53" spans="1:135" ht="15" customHeight="1" x14ac:dyDescent="0.2">
      <c r="A53" s="5" t="s">
        <v>1283</v>
      </c>
      <c r="B53" s="5" t="s">
        <v>1285</v>
      </c>
      <c r="C53" s="5" t="s">
        <v>1286</v>
      </c>
      <c r="D53" s="5" t="s">
        <v>1286</v>
      </c>
      <c r="E53" s="5" t="s">
        <v>194</v>
      </c>
      <c r="F53" s="5" t="s">
        <v>351</v>
      </c>
      <c r="G53" s="5"/>
      <c r="H53" s="5" t="s">
        <v>114</v>
      </c>
      <c r="I53" s="5" t="s">
        <v>1470</v>
      </c>
      <c r="J53" s="5" t="s">
        <v>1289</v>
      </c>
      <c r="K53" s="5"/>
      <c r="L53" s="5" t="s">
        <v>119</v>
      </c>
      <c r="M53" s="5" t="s">
        <v>113</v>
      </c>
      <c r="N53" s="5" t="s">
        <v>120</v>
      </c>
      <c r="O53" s="5" t="s">
        <v>120</v>
      </c>
      <c r="P53" s="5" t="s">
        <v>1469</v>
      </c>
      <c r="Q53" s="10" t="str">
        <f>IF(F53="Stage IV","Stage IV Only",IF(AND(ISNUMBER(SEARCH("IV",F53)),LEN(F53)&gt;LEN("Stage IV")),"Stage IV + Other",IF(AND(ISNUMBER(SEARCH("III",F53)),NOT(ISNUMBER(SEARCH("IV",F53)))),"Stage III Only","Other")))</f>
        <v>Stage III Only</v>
      </c>
      <c r="R53" s="10" t="str">
        <f>IF(AND(ISNUMBER(SEARCH("Non-squamous",G53)),ISNUMBER(SEARCH("Squamous",SUBSTITUTE(G53,"Non-squamous","")))),"Both",IF(ISNUMBER(SEARCH("Non-squamous",G53)),"Non-squamous",IF(ISNUMBER(SEARCH("Squamous",G53)),"Squamous","Unspecified")))</f>
        <v>Unspecified</v>
      </c>
      <c r="S53" s="10" t="str">
        <f>IF(OR(ISNUMBER(SEARCH("TPS ≥ 50%",K53)),ISNUMBER(SEARCH("TC ≥ 50%",K53))),"TPS ≥ 50%",IF(OR(ISNUMBER(SEARCH("TPS ≥ 1%",K53)),ISNUMBER(SEARCH("TC ≥ 1%",K53)),ISNUMBER(SEARCH("TPS &lt; 50%",K53)),ISNUMBER(SEARCH("IC ≥ 1%",K53))),"TPS 1-49%","All-comers"))</f>
        <v>All-comers</v>
      </c>
      <c r="T53" s="10">
        <f>IF(H53="Phase III",1,0)</f>
        <v>1</v>
      </c>
      <c r="U53" s="10">
        <f>IF(L53="Yes",1,0)</f>
        <v>0</v>
      </c>
      <c r="V53" s="11">
        <f>IF(ISNUMBER(SEARCH(",ALK,",","&amp;SUBSTITUTE(I53,", ",",")&amp;",")),1,0)</f>
        <v>0</v>
      </c>
      <c r="W53" s="11">
        <f>IF(ISNUMBER(SEARCH(",ALK L1196M,",","&amp;SUBSTITUTE(I53,", ",",")&amp;",")),1,0)</f>
        <v>0</v>
      </c>
      <c r="X53" s="11">
        <f>IF(ISNUMBER(SEARCH(",AXL,",","&amp;SUBSTITUTE(I53,", ",",")&amp;",")),1,0)</f>
        <v>0</v>
      </c>
      <c r="Y53" s="11">
        <f>IF(ISNUMBER(SEARCH(",B7-H1,",","&amp;SUBSTITUTE(I53,", ",",")&amp;",")),1,0)</f>
        <v>0</v>
      </c>
      <c r="Z53" s="11">
        <f>IF(ISNUMBER(SEARCH(",CD152,",","&amp;SUBSTITUTE(I53,", ",",")&amp;",")),1,0)</f>
        <v>0</v>
      </c>
      <c r="AA53" s="11">
        <f>IF(ISNUMBER(SEARCH(",CD274,",","&amp;SUBSTITUTE(I53,", ",",")&amp;",")),1,0)</f>
        <v>0</v>
      </c>
      <c r="AB53" s="11">
        <f>IF(ISNUMBER(SEARCH(",CD279,",","&amp;SUBSTITUTE(I53,", ",",")&amp;",")),1,0)</f>
        <v>0</v>
      </c>
      <c r="AC53" s="11">
        <f>IF(ISNUMBER(SEARCH(",CD73,",","&amp;SUBSTITUTE(I53,", ",",")&amp;",")),1,0)</f>
        <v>0</v>
      </c>
      <c r="AD53" s="11">
        <f>IF(ISNUMBER(SEARCH(",CEA,",","&amp;SUBSTITUTE(I53,", ",",")&amp;",")),1,0)</f>
        <v>0</v>
      </c>
      <c r="AE53" s="11">
        <f>IF(ISNUMBER(SEARCH(",CTLA-4,",","&amp;SUBSTITUTE(I53,", ",",")&amp;",")),1,0)</f>
        <v>0</v>
      </c>
      <c r="AF53" s="11">
        <f>IF(ISNUMBER(SEARCH(",EGFR,",","&amp;SUBSTITUTE(I53,", ",",")&amp;",")),1,0)</f>
        <v>0</v>
      </c>
      <c r="AG53" s="11">
        <f>IF(ISNUMBER(SEARCH(",EGFR C797G,",","&amp;SUBSTITUTE(I53,", ",",")&amp;",")),1,0)</f>
        <v>0</v>
      </c>
      <c r="AH53" s="11">
        <f>IF(ISNUMBER(SEARCH(",EGFR C797S,",","&amp;SUBSTITUTE(I53,", ",",")&amp;",")),1,0)</f>
        <v>0</v>
      </c>
      <c r="AI53" s="11">
        <f>IF(ISNUMBER(SEARCH(",EGFR Exon 19-del,",","&amp;SUBSTITUTE(I53,", ",",")&amp;",")),1,0)</f>
        <v>0</v>
      </c>
      <c r="AJ53" s="11">
        <f>IF(ISNUMBER(SEARCH(",EGFR Exon 20,",","&amp;SUBSTITUTE(I53,", ",",")&amp;",")),1,0)</f>
        <v>0</v>
      </c>
      <c r="AK53" s="11">
        <f>IF(ISNUMBER(SEARCH(",EGFR L858R,",","&amp;SUBSTITUTE(I53,", ",",")&amp;",")),1,0)</f>
        <v>0</v>
      </c>
      <c r="AL53" s="11">
        <f>IF(ISNUMBER(SEARCH(",EGFR T790M,",","&amp;SUBSTITUTE(I53,", ",",")&amp;",")),1,0)</f>
        <v>0</v>
      </c>
      <c r="AM53" s="11">
        <f>IF(ISNUMBER(SEARCH(",ERBB,",","&amp;SUBSTITUTE(I53,", ",",")&amp;",")),1,0)</f>
        <v>0</v>
      </c>
      <c r="AN53" s="11">
        <f>IF(ISNUMBER(SEARCH(",ERBB3,",","&amp;SUBSTITUTE(I53,", ",",")&amp;",")),1,0)</f>
        <v>0</v>
      </c>
      <c r="AO53" s="11">
        <f>IF(ISNUMBER(SEARCH(",FAK,",","&amp;SUBSTITUTE(I53,", ",",")&amp;",")),1,0)</f>
        <v>0</v>
      </c>
      <c r="AP53" s="11">
        <f>IF(ISNUMBER(SEARCH(",GARP,",","&amp;SUBSTITUTE(I53,", ",",")&amp;",")),1,0)</f>
        <v>0</v>
      </c>
      <c r="AQ53" s="11">
        <f>IF(ISNUMBER(SEARCH(",HER1,",","&amp;SUBSTITUTE(I53,", ",",")&amp;",")),1,0)</f>
        <v>0</v>
      </c>
      <c r="AR53" s="11">
        <f>IF(ISNUMBER(SEARCH(",HER2,",","&amp;SUBSTITUTE(I53,", ",",")&amp;",")),1,0)</f>
        <v>0</v>
      </c>
      <c r="AS53" s="11">
        <f>IF(ISNUMBER(SEARCH(",HER2 Exon 20,",","&amp;SUBSTITUTE(I53,", ",",")&amp;",")),1,0)</f>
        <v>0</v>
      </c>
      <c r="AT53" s="11">
        <f>IF(ISNUMBER(SEARCH(",HER3,",","&amp;SUBSTITUTE(I53,", ",",")&amp;",")),1,0)</f>
        <v>0</v>
      </c>
      <c r="AU53" s="11">
        <f>IF(ISNUMBER(SEARCH(",HER4,",","&amp;SUBSTITUTE(I53,", ",",")&amp;",")),1,0)</f>
        <v>0</v>
      </c>
      <c r="AV53" s="11">
        <f>IF(ISNUMBER(SEARCH(",HRAS,",","&amp;SUBSTITUTE(I53,", ",",")&amp;",")),1,0)</f>
        <v>0</v>
      </c>
      <c r="AW53" s="11">
        <f>IF(ISNUMBER(SEARCH(",HSV-TK,",","&amp;SUBSTITUTE(I53,", ",",")&amp;",")),1,0)</f>
        <v>0</v>
      </c>
      <c r="AX53" s="11">
        <f>IF(ISNUMBER(SEARCH(",IL-12,",","&amp;SUBSTITUTE(I53,", ",",")&amp;",")),1,0)</f>
        <v>0</v>
      </c>
      <c r="AY53" s="11">
        <f>IF(ISNUMBER(SEARCH(",IL-15,",","&amp;SUBSTITUTE(I53,", ",",")&amp;",")),1,0)</f>
        <v>0</v>
      </c>
      <c r="AZ53" s="11">
        <f>IF(ISNUMBER(SEARCH(",IL-15R,",","&amp;SUBSTITUTE(I53,", ",",")&amp;",")),1,0)</f>
        <v>0</v>
      </c>
      <c r="BA53" s="11">
        <f>IF(ISNUMBER(SEARCH(",IL-2,",","&amp;SUBSTITUTE(I53,", ",",")&amp;",")),1,0)</f>
        <v>0</v>
      </c>
      <c r="BB53" s="11">
        <f>IF(ISNUMBER(SEARCH(",Integrin β6,",","&amp;SUBSTITUTE(I53,", ",",")&amp;",")),1,0)</f>
        <v>0</v>
      </c>
      <c r="BC53" s="11">
        <f>IF(ISNUMBER(SEARCH(",KDR,",","&amp;SUBSTITUTE(I53,", ",",")&amp;",")),1,0)</f>
        <v>0</v>
      </c>
      <c r="BD53" s="11">
        <f>IF(ISNUMBER(SEARCH(",KLRC1,",","&amp;SUBSTITUTE(I53,", ",",")&amp;",")),1,0)</f>
        <v>0</v>
      </c>
      <c r="BE53" s="11">
        <f>IF(ISNUMBER(SEARCH(",KRAS,",","&amp;SUBSTITUTE(I53,", ",",")&amp;",")),1,0)</f>
        <v>0</v>
      </c>
      <c r="BF53" s="11">
        <f>IF(ISNUMBER(SEARCH(",KRAS G12,",","&amp;SUBSTITUTE(I53,", ",",")&amp;",")),1,0)</f>
        <v>0</v>
      </c>
      <c r="BG53" s="11">
        <f>IF(ISNUMBER(SEARCH(",KRAS G12C,",","&amp;SUBSTITUTE(I53,", ",",")&amp;",")),1,0)</f>
        <v>0</v>
      </c>
      <c r="BH53" s="11">
        <f>IF(ISNUMBER(SEARCH(",KRAS G12D,",","&amp;SUBSTITUTE(I53,", ",",")&amp;",")),1,0)</f>
        <v>0</v>
      </c>
      <c r="BI53" s="11">
        <f>IF(ISNUMBER(SEARCH(",LAG-3,",","&amp;SUBSTITUTE(I53,", ",",")&amp;",")),1,0)</f>
        <v>0</v>
      </c>
      <c r="BJ53" s="11">
        <f>IF(ISNUMBER(SEARCH(",MAGE-A2,",","&amp;SUBSTITUTE(I53,", ",",")&amp;",")),1,0)</f>
        <v>0</v>
      </c>
      <c r="BK53" s="11">
        <f>IF(ISNUMBER(SEARCH(",MAGE-A3,",","&amp;SUBSTITUTE(I53,", ",",")&amp;",")),1,0)</f>
        <v>0</v>
      </c>
      <c r="BL53" s="11">
        <f>IF(ISNUMBER(SEARCH(",MLN19,",","&amp;SUBSTITUTE(I53,", ",",")&amp;",")),1,0)</f>
        <v>0</v>
      </c>
      <c r="BM53" s="11">
        <f>IF(ISNUMBER(SEARCH(",Microtubule,",","&amp;SUBSTITUTE(I53,", ",",")&amp;",")),1,0)</f>
        <v>0</v>
      </c>
      <c r="BN53" s="11">
        <f>IF(ISNUMBER(SEARCH(",NKG2A,",","&amp;SUBSTITUTE(I53,", ",",")&amp;",")),1,0)</f>
        <v>0</v>
      </c>
      <c r="BO53" s="11">
        <f>IF(ISNUMBER(SEARCH(",NRAS,",","&amp;SUBSTITUTE(I53,", ",",")&amp;",")),1,0)</f>
        <v>0</v>
      </c>
      <c r="BP53" s="11">
        <f>IF(ISNUMBER(SEARCH(",NTRK,",","&amp;SUBSTITUTE(I53,", ",",")&amp;",")),1,0)</f>
        <v>0</v>
      </c>
      <c r="BQ53" s="11">
        <f>IF(ISNUMBER(SEARCH(",PARP,",","&amp;SUBSTITUTE(I53,", ",",")&amp;",")),1,0)</f>
        <v>0</v>
      </c>
      <c r="BR53" s="11">
        <f>IF(ISNUMBER(SEARCH(",PD-1,",","&amp;SUBSTITUTE(I53,", ",",")&amp;",")),1,0)</f>
        <v>0</v>
      </c>
      <c r="BS53" s="11">
        <f>IF(ISNUMBER(SEARCH(",PD-L1,",","&amp;SUBSTITUTE(I53,", ",",")&amp;",")),1,0)</f>
        <v>1</v>
      </c>
      <c r="BT53" s="11">
        <f>IF(ISNUMBER(SEARCH(",PRMT5,",","&amp;SUBSTITUTE(I53,", ",",")&amp;",")),1,0)</f>
        <v>0</v>
      </c>
      <c r="BU53" s="11">
        <f>IF(ISNUMBER(SEARCH(",RAS,",","&amp;SUBSTITUTE(I53,", ",",")&amp;",")),1,0)</f>
        <v>0</v>
      </c>
      <c r="BV53" s="11">
        <f>IF(ISNUMBER(SEARCH(",RET,",","&amp;SUBSTITUTE(I53,", ",",")&amp;",")),1,0)</f>
        <v>0</v>
      </c>
      <c r="BW53" s="11">
        <f>IF(ISNUMBER(SEARCH(",ROS,",","&amp;SUBSTITUTE(I53,", ",",")&amp;",")),1,0)</f>
        <v>0</v>
      </c>
      <c r="BX53" s="11">
        <f>IF(ISNUMBER(SEARCH(",ROS1,",","&amp;SUBSTITUTE(I53,", ",",")&amp;",")),1,0)</f>
        <v>0</v>
      </c>
      <c r="BY53" s="11">
        <f>IF(ISNUMBER(SEARCH(",Src,",","&amp;SUBSTITUTE(I53,", ",",")&amp;",")),1,0)</f>
        <v>0</v>
      </c>
      <c r="BZ53" s="11">
        <f>IF(ISNUMBER(SEARCH(",TCGF,",","&amp;SUBSTITUTE(I53,", ",",")&amp;",")),1,0)</f>
        <v>0</v>
      </c>
      <c r="CA53" s="11">
        <f>IF(ISNUMBER(SEARCH(",TGF-β,",","&amp;SUBSTITUTE(I53,", ",",")&amp;",")),1,0)</f>
        <v>0</v>
      </c>
      <c r="CB53" s="11">
        <f>IF(ISNUMBER(SEARCH(",TGF-β1,",","&amp;SUBSTITUTE(I53,", ",",")&amp;",")),1,0)</f>
        <v>0</v>
      </c>
      <c r="CC53" s="11">
        <f>IF(ISNUMBER(SEARCH(",TIGIT,",","&amp;SUBSTITUTE(I53,", ",",")&amp;",")),1,0)</f>
        <v>0</v>
      </c>
      <c r="CD53" s="11">
        <f>IF(ISNUMBER(SEARCH(",TLR,",","&amp;SUBSTITUTE(I53,", ",",")&amp;",")),1,0)</f>
        <v>0</v>
      </c>
      <c r="CE53" s="11">
        <f>IF(ISNUMBER(SEARCH(",TLR7/8,",","&amp;SUBSTITUTE(I53,", ",",")&amp;",")),1,0)</f>
        <v>0</v>
      </c>
      <c r="CF53" s="11">
        <f>IF(ISNUMBER(SEARCH(",TRK,",","&amp;SUBSTITUTE(I53,", ",",")&amp;",")),1,0)</f>
        <v>0</v>
      </c>
      <c r="CG53" s="11">
        <f>IF(ISNUMBER(SEARCH(",TROP2,",","&amp;SUBSTITUTE(I53,", ",",")&amp;",")),1,0)</f>
        <v>0</v>
      </c>
      <c r="CH53" s="11">
        <f>IF(ISNUMBER(SEARCH(",TS,",","&amp;SUBSTITUTE(I53,", ",",")&amp;",")),1,0)</f>
        <v>0</v>
      </c>
      <c r="CI53" s="11">
        <f>IF(ISNUMBER(SEARCH(",TYMS,",","&amp;SUBSTITUTE(I53,", ",",")&amp;",")),1,0)</f>
        <v>0</v>
      </c>
      <c r="CJ53" s="11">
        <f>IF(ISNUMBER(SEARCH(",VEGF,",","&amp;SUBSTITUTE(I53,", ",",")&amp;",")),1,0)</f>
        <v>1</v>
      </c>
      <c r="CK53" s="11">
        <f>IF(ISNUMBER(SEARCH(",VEGFA,",","&amp;SUBSTITUTE(I53,", ",",")&amp;",")),1,0)</f>
        <v>0</v>
      </c>
      <c r="CL53" s="11">
        <f>IF(ISNUMBER(SEARCH(",VEGFR2,",","&amp;SUBSTITUTE(I53,", ",",")&amp;",")),1,0)</f>
        <v>0</v>
      </c>
      <c r="CM53" s="11">
        <f>IF(ISNUMBER(SEARCH(",c-MET/MET,",","&amp;SUBSTITUTE(I53,", ",",")&amp;",")),1,0)</f>
        <v>0</v>
      </c>
      <c r="CN53" s="11">
        <f>IF(ISNUMBER(SEARCH(",p53,",","&amp;SUBSTITUTE(I53,", ",",")&amp;",")),1,0)</f>
        <v>0</v>
      </c>
      <c r="CO53" s="11">
        <f>IF(ISNUMBER(SEARCH(",pan-KRAS,",","&amp;SUBSTITUTE(I53,", ",",")&amp;",")),1,0)</f>
        <v>0</v>
      </c>
      <c r="CP53" s="11">
        <f>IF(ISNUMBER(SEARCH(",ALK,",","&amp;SUBSTITUTE(K53,", ",",")&amp;",")),1,0)</f>
        <v>0</v>
      </c>
      <c r="CQ53" s="11">
        <f>IF(ISNUMBER(SEARCH(",BRAF V600E,",","&amp;SUBSTITUTE(K53,", ",",")&amp;",")),1,0)</f>
        <v>0</v>
      </c>
      <c r="CR53" s="11">
        <f>IF(ISNUMBER(SEARCH(",EGFR,",","&amp;SUBSTITUTE(K53,", ",",")&amp;",")),1,0)</f>
        <v>0</v>
      </c>
      <c r="CS53" s="11">
        <f>IF(ISNUMBER(SEARCH(",EGFR Exon 18,",","&amp;SUBSTITUTE(K53,", ",",")&amp;",")),1,0)</f>
        <v>0</v>
      </c>
      <c r="CT53" s="11">
        <f>IF(ISNUMBER(SEARCH(",EGFR Exon 19-del,",","&amp;SUBSTITUTE(K53,", ",",")&amp;",")),1,0)</f>
        <v>0</v>
      </c>
      <c r="CU53" s="11">
        <f>IF(ISNUMBER(SEARCH(",EGFR Exon 20,",","&amp;SUBSTITUTE(K53,", ",",")&amp;",")),1,0)</f>
        <v>0</v>
      </c>
      <c r="CV53" s="11">
        <f>IF(ISNUMBER(SEARCH(",EGFR Exon 20-ins,",","&amp;SUBSTITUTE(K53,", ",",")&amp;",")),1,0)</f>
        <v>0</v>
      </c>
      <c r="CW53" s="11">
        <f>IF(ISNUMBER(SEARCH(",EGFR Exon 21,",","&amp;SUBSTITUTE(K53,", ",",")&amp;",")),1,0)</f>
        <v>0</v>
      </c>
      <c r="CX53" s="11">
        <f>IF(ISNUMBER(SEARCH(",EGFR G719A,",","&amp;SUBSTITUTE(K53,", ",",")&amp;",")),1,0)</f>
        <v>0</v>
      </c>
      <c r="CY53" s="11">
        <f>IF(ISNUMBER(SEARCH(",EGFR G719C,",","&amp;SUBSTITUTE(K53,", ",",")&amp;",")),1,0)</f>
        <v>0</v>
      </c>
      <c r="CZ53" s="11">
        <f>IF(ISNUMBER(SEARCH(",EGFR G719S,",","&amp;SUBSTITUTE(K53,", ",",")&amp;",")),1,0)</f>
        <v>0</v>
      </c>
      <c r="DA53" s="11">
        <f>IF(ISNUMBER(SEARCH(",EGFR G719X,",","&amp;SUBSTITUTE(K53,", ",",")&amp;",")),1,0)</f>
        <v>0</v>
      </c>
      <c r="DB53" s="11">
        <f>IF(ISNUMBER(SEARCH(",EGFR L858R,",","&amp;SUBSTITUTE(K53,", ",",")&amp;",")),1,0)</f>
        <v>0</v>
      </c>
      <c r="DC53" s="11">
        <f>IF(ISNUMBER(SEARCH(",EGFR L861Q,",","&amp;SUBSTITUTE(K53,", ",",")&amp;",")),1,0)</f>
        <v>0</v>
      </c>
      <c r="DD53" s="11">
        <f>IF(ISNUMBER(SEARCH(",EGFR PACC,",","&amp;SUBSTITUTE(K53,", ",",")&amp;",")),1,0)</f>
        <v>0</v>
      </c>
      <c r="DE53" s="11">
        <f>IF(ISNUMBER(SEARCH(",EGFR S768I,",","&amp;SUBSTITUTE(K53,", ",",")&amp;",")),1,0)</f>
        <v>0</v>
      </c>
      <c r="DF53" s="11">
        <f>IF(ISNUMBER(SEARCH(",EGFR T790M,",","&amp;SUBSTITUTE(K53,", ",",")&amp;",")),1,0)</f>
        <v>0</v>
      </c>
      <c r="DG53" s="11">
        <f>IF(ISNUMBER(SEARCH(",EML4-ALK,",","&amp;SUBSTITUTE(K53,", ",",")&amp;",")),1,0)</f>
        <v>0</v>
      </c>
      <c r="DH53" s="11">
        <f>IF(ISNUMBER(SEARCH(",HER2,",","&amp;SUBSTITUTE(K53,", ",",")&amp;",")),1,0)</f>
        <v>0</v>
      </c>
      <c r="DI53" s="11">
        <f>IF(ISNUMBER(SEARCH(",HER2 Exon 19,",","&amp;SUBSTITUTE(K53,", ",",")&amp;",")),1,0)</f>
        <v>0</v>
      </c>
      <c r="DJ53" s="11">
        <f>IF(ISNUMBER(SEARCH(",HER2 Exon 20,",","&amp;SUBSTITUTE(K53,", ",",")&amp;",")),1,0)</f>
        <v>0</v>
      </c>
      <c r="DK53" s="11">
        <f>IF(ISNUMBER(SEARCH(",HER2 mut,",","&amp;SUBSTITUTE(K53,", ",",")&amp;",")),1,0)</f>
        <v>0</v>
      </c>
      <c r="DL53" s="11">
        <f>IF(ISNUMBER(SEARCH(",HLA-A2,",","&amp;SUBSTITUTE(K53,", ",",")&amp;",")),1,0)</f>
        <v>0</v>
      </c>
      <c r="DM53" s="11">
        <f>IF(ISNUMBER(SEARCH(",HRAS,",","&amp;SUBSTITUTE(K53,", ",",")&amp;",")),1,0)</f>
        <v>0</v>
      </c>
      <c r="DN53" s="11">
        <f>IF(ISNUMBER(SEARCH(",KRAS,",","&amp;SUBSTITUTE(K53,", ",",")&amp;",")),1,0)</f>
        <v>0</v>
      </c>
      <c r="DO53" s="11">
        <f>IF(ISNUMBER(SEARCH(",KRAS G12C,",","&amp;SUBSTITUTE(K53,", ",",")&amp;",")),1,0)</f>
        <v>0</v>
      </c>
      <c r="DP53" s="11">
        <f>IF(ISNUMBER(SEARCH(",NRAS,",","&amp;SUBSTITUTE(K53,", ",",")&amp;",")),1,0)</f>
        <v>0</v>
      </c>
      <c r="DQ53" s="11">
        <f>IF(ISNUMBER(SEARCH(",NTRK,",","&amp;SUBSTITUTE(K53,", ",",")&amp;",")),1,0)</f>
        <v>0</v>
      </c>
      <c r="DR53" s="11">
        <f>IF(ISNUMBER(SEARCH(",PD-L1,",","&amp;SUBSTITUTE(K53,", ",",")&amp;",")),1,0)</f>
        <v>0</v>
      </c>
      <c r="DS53" s="11">
        <f>IF(ISNUMBER(SEARCH(",PD-L1 IC ≥ 1%,",","&amp;SUBSTITUTE(K53,", ",",")&amp;",")),1,0)</f>
        <v>0</v>
      </c>
      <c r="DT53" s="11">
        <f>IF(ISNUMBER(SEARCH(",PD-L1 TC ≥ 1%,",","&amp;SUBSTITUTE(K53,", ",",")&amp;",")),1,0)</f>
        <v>0</v>
      </c>
      <c r="DU53" s="11">
        <f>IF(ISNUMBER(SEARCH(",PD-L1 TC ≥ 50%,",","&amp;SUBSTITUTE(K53,", ",",")&amp;",")),1,0)</f>
        <v>0</v>
      </c>
      <c r="DV53" s="11">
        <f>IF(ISNUMBER(SEARCH(",PD-L1 TPS &lt; 50%,",","&amp;SUBSTITUTE(K53,", ",",")&amp;",")),1,0)</f>
        <v>0</v>
      </c>
      <c r="DW53" s="11">
        <f>IF(ISNUMBER(SEARCH(",PD-L1 TPS ≥ 1%,",","&amp;SUBSTITUTE(K53,", ",",")&amp;",")),1,0)</f>
        <v>0</v>
      </c>
      <c r="DX53" s="11">
        <f>IF(ISNUMBER(SEARCH(",PD-L1 TPS ≥ 50%,",","&amp;SUBSTITUTE(K53,", ",",")&amp;",")),1,0)</f>
        <v>0</v>
      </c>
      <c r="DY53" s="11">
        <f>IF(ISNUMBER(SEARCH(",RAS,",","&amp;SUBSTITUTE(K53,", ",",")&amp;",")),1,0)</f>
        <v>0</v>
      </c>
      <c r="DZ53" s="11">
        <f>IF(ISNUMBER(SEARCH(",RET,",","&amp;SUBSTITUTE(K53,", ",",")&amp;",")),1,0)</f>
        <v>0</v>
      </c>
      <c r="EA53" s="11">
        <f>IF(ISNUMBER(SEARCH(",ROS1,",","&amp;SUBSTITUTE(K53,", ",",")&amp;",")),1,0)</f>
        <v>0</v>
      </c>
      <c r="EB53" s="11">
        <f>IF(ISNUMBER(SEARCH(",TROP2,",","&amp;SUBSTITUTE(K53,", ",",")&amp;",")),1,0)</f>
        <v>0</v>
      </c>
      <c r="EC53" s="11">
        <f>IF(ISNUMBER(SEARCH(",c-MET/MET,",","&amp;SUBSTITUTE(K53,", ",",")&amp;",")),1,0)</f>
        <v>0</v>
      </c>
      <c r="ED53" s="11">
        <f>IF(ISNUMBER(SEARCH(",c-MET/MET Exon 14,",","&amp;SUBSTITUTE(K53,", ",",")&amp;",")),1,0)</f>
        <v>0</v>
      </c>
      <c r="EE53" s="11">
        <f>IF(ISNUMBER(SEARCH(",ctDNA/cfDNA,",","&amp;SUBSTITUTE(K53,", ",",")&amp;",")),1,0)</f>
        <v>0</v>
      </c>
    </row>
    <row r="54" spans="1:135" ht="15" customHeight="1" x14ac:dyDescent="0.2">
      <c r="A54" s="5" t="s">
        <v>1283</v>
      </c>
      <c r="B54" s="5" t="s">
        <v>1285</v>
      </c>
      <c r="C54" s="5" t="s">
        <v>1286</v>
      </c>
      <c r="D54" s="5" t="s">
        <v>1286</v>
      </c>
      <c r="E54" s="5" t="s">
        <v>194</v>
      </c>
      <c r="F54" s="5" t="s">
        <v>572</v>
      </c>
      <c r="G54" s="5"/>
      <c r="H54" s="5" t="s">
        <v>114</v>
      </c>
      <c r="I54" s="5" t="s">
        <v>449</v>
      </c>
      <c r="J54" s="5" t="s">
        <v>1289</v>
      </c>
      <c r="K54" s="5" t="s">
        <v>881</v>
      </c>
      <c r="L54" s="5" t="s">
        <v>119</v>
      </c>
      <c r="M54" s="5" t="s">
        <v>113</v>
      </c>
      <c r="N54" s="5" t="s">
        <v>120</v>
      </c>
      <c r="O54" s="5" t="s">
        <v>120</v>
      </c>
      <c r="P54" s="5" t="s">
        <v>1489</v>
      </c>
      <c r="Q54" s="10" t="str">
        <f>IF(F54="Stage IV","Stage IV Only",IF(AND(ISNUMBER(SEARCH("IV",F54)),LEN(F54)&gt;LEN("Stage IV")),"Stage IV + Other",IF(AND(ISNUMBER(SEARCH("III",F54)),NOT(ISNUMBER(SEARCH("IV",F54)))),"Stage III Only","Other")))</f>
        <v>Stage IV + Other</v>
      </c>
      <c r="R54" s="10" t="str">
        <f>IF(AND(ISNUMBER(SEARCH("Non-squamous",G54)),ISNUMBER(SEARCH("Squamous",SUBSTITUTE(G54,"Non-squamous","")))),"Both",IF(ISNUMBER(SEARCH("Non-squamous",G54)),"Non-squamous",IF(ISNUMBER(SEARCH("Squamous",G54)),"Squamous","Unspecified")))</f>
        <v>Unspecified</v>
      </c>
      <c r="S54" s="10" t="str">
        <f>IF(OR(ISNUMBER(SEARCH("TPS ≥ 50%",K54)),ISNUMBER(SEARCH("TC ≥ 50%",K54))),"TPS ≥ 50%",IF(OR(ISNUMBER(SEARCH("TPS ≥ 1%",K54)),ISNUMBER(SEARCH("TC ≥ 1%",K54)),ISNUMBER(SEARCH("TPS &lt; 50%",K54)),ISNUMBER(SEARCH("IC ≥ 1%",K54))),"TPS 1-49%","All-comers"))</f>
        <v>All-comers</v>
      </c>
      <c r="T54" s="10">
        <f>IF(H54="Phase III",1,0)</f>
        <v>1</v>
      </c>
      <c r="U54" s="10">
        <f>IF(L54="Yes",1,0)</f>
        <v>0</v>
      </c>
      <c r="V54" s="11">
        <f>IF(ISNUMBER(SEARCH(",ALK,",","&amp;SUBSTITUTE(I54,", ",",")&amp;",")),1,0)</f>
        <v>0</v>
      </c>
      <c r="W54" s="11">
        <f>IF(ISNUMBER(SEARCH(",ALK L1196M,",","&amp;SUBSTITUTE(I54,", ",",")&amp;",")),1,0)</f>
        <v>0</v>
      </c>
      <c r="X54" s="11">
        <f>IF(ISNUMBER(SEARCH(",AXL,",","&amp;SUBSTITUTE(I54,", ",",")&amp;",")),1,0)</f>
        <v>0</v>
      </c>
      <c r="Y54" s="11">
        <f>IF(ISNUMBER(SEARCH(",B7-H1,",","&amp;SUBSTITUTE(I54,", ",",")&amp;",")),1,0)</f>
        <v>1</v>
      </c>
      <c r="Z54" s="11">
        <f>IF(ISNUMBER(SEARCH(",CD152,",","&amp;SUBSTITUTE(I54,", ",",")&amp;",")),1,0)</f>
        <v>0</v>
      </c>
      <c r="AA54" s="11">
        <f>IF(ISNUMBER(SEARCH(",CD274,",","&amp;SUBSTITUTE(I54,", ",",")&amp;",")),1,0)</f>
        <v>1</v>
      </c>
      <c r="AB54" s="11">
        <f>IF(ISNUMBER(SEARCH(",CD279,",","&amp;SUBSTITUTE(I54,", ",",")&amp;",")),1,0)</f>
        <v>0</v>
      </c>
      <c r="AC54" s="11">
        <f>IF(ISNUMBER(SEARCH(",CD73,",","&amp;SUBSTITUTE(I54,", ",",")&amp;",")),1,0)</f>
        <v>0</v>
      </c>
      <c r="AD54" s="11">
        <f>IF(ISNUMBER(SEARCH(",CEA,",","&amp;SUBSTITUTE(I54,", ",",")&amp;",")),1,0)</f>
        <v>0</v>
      </c>
      <c r="AE54" s="11">
        <f>IF(ISNUMBER(SEARCH(",CTLA-4,",","&amp;SUBSTITUTE(I54,", ",",")&amp;",")),1,0)</f>
        <v>0</v>
      </c>
      <c r="AF54" s="11">
        <f>IF(ISNUMBER(SEARCH(",EGFR,",","&amp;SUBSTITUTE(I54,", ",",")&amp;",")),1,0)</f>
        <v>0</v>
      </c>
      <c r="AG54" s="11">
        <f>IF(ISNUMBER(SEARCH(",EGFR C797G,",","&amp;SUBSTITUTE(I54,", ",",")&amp;",")),1,0)</f>
        <v>0</v>
      </c>
      <c r="AH54" s="11">
        <f>IF(ISNUMBER(SEARCH(",EGFR C797S,",","&amp;SUBSTITUTE(I54,", ",",")&amp;",")),1,0)</f>
        <v>0</v>
      </c>
      <c r="AI54" s="11">
        <f>IF(ISNUMBER(SEARCH(",EGFR Exon 19-del,",","&amp;SUBSTITUTE(I54,", ",",")&amp;",")),1,0)</f>
        <v>0</v>
      </c>
      <c r="AJ54" s="11">
        <f>IF(ISNUMBER(SEARCH(",EGFR Exon 20,",","&amp;SUBSTITUTE(I54,", ",",")&amp;",")),1,0)</f>
        <v>0</v>
      </c>
      <c r="AK54" s="11">
        <f>IF(ISNUMBER(SEARCH(",EGFR L858R,",","&amp;SUBSTITUTE(I54,", ",",")&amp;",")),1,0)</f>
        <v>0</v>
      </c>
      <c r="AL54" s="11">
        <f>IF(ISNUMBER(SEARCH(",EGFR T790M,",","&amp;SUBSTITUTE(I54,", ",",")&amp;",")),1,0)</f>
        <v>0</v>
      </c>
      <c r="AM54" s="11">
        <f>IF(ISNUMBER(SEARCH(",ERBB,",","&amp;SUBSTITUTE(I54,", ",",")&amp;",")),1,0)</f>
        <v>0</v>
      </c>
      <c r="AN54" s="11">
        <f>IF(ISNUMBER(SEARCH(",ERBB3,",","&amp;SUBSTITUTE(I54,", ",",")&amp;",")),1,0)</f>
        <v>0</v>
      </c>
      <c r="AO54" s="11">
        <f>IF(ISNUMBER(SEARCH(",FAK,",","&amp;SUBSTITUTE(I54,", ",",")&amp;",")),1,0)</f>
        <v>0</v>
      </c>
      <c r="AP54" s="11">
        <f>IF(ISNUMBER(SEARCH(",GARP,",","&amp;SUBSTITUTE(I54,", ",",")&amp;",")),1,0)</f>
        <v>0</v>
      </c>
      <c r="AQ54" s="11">
        <f>IF(ISNUMBER(SEARCH(",HER1,",","&amp;SUBSTITUTE(I54,", ",",")&amp;",")),1,0)</f>
        <v>0</v>
      </c>
      <c r="AR54" s="11">
        <f>IF(ISNUMBER(SEARCH(",HER2,",","&amp;SUBSTITUTE(I54,", ",",")&amp;",")),1,0)</f>
        <v>0</v>
      </c>
      <c r="AS54" s="11">
        <f>IF(ISNUMBER(SEARCH(",HER2 Exon 20,",","&amp;SUBSTITUTE(I54,", ",",")&amp;",")),1,0)</f>
        <v>0</v>
      </c>
      <c r="AT54" s="11">
        <f>IF(ISNUMBER(SEARCH(",HER3,",","&amp;SUBSTITUTE(I54,", ",",")&amp;",")),1,0)</f>
        <v>0</v>
      </c>
      <c r="AU54" s="11">
        <f>IF(ISNUMBER(SEARCH(",HER4,",","&amp;SUBSTITUTE(I54,", ",",")&amp;",")),1,0)</f>
        <v>0</v>
      </c>
      <c r="AV54" s="11">
        <f>IF(ISNUMBER(SEARCH(",HRAS,",","&amp;SUBSTITUTE(I54,", ",",")&amp;",")),1,0)</f>
        <v>0</v>
      </c>
      <c r="AW54" s="11">
        <f>IF(ISNUMBER(SEARCH(",HSV-TK,",","&amp;SUBSTITUTE(I54,", ",",")&amp;",")),1,0)</f>
        <v>0</v>
      </c>
      <c r="AX54" s="11">
        <f>IF(ISNUMBER(SEARCH(",IL-12,",","&amp;SUBSTITUTE(I54,", ",",")&amp;",")),1,0)</f>
        <v>0</v>
      </c>
      <c r="AY54" s="11">
        <f>IF(ISNUMBER(SEARCH(",IL-15,",","&amp;SUBSTITUTE(I54,", ",",")&amp;",")),1,0)</f>
        <v>0</v>
      </c>
      <c r="AZ54" s="11">
        <f>IF(ISNUMBER(SEARCH(",IL-15R,",","&amp;SUBSTITUTE(I54,", ",",")&amp;",")),1,0)</f>
        <v>0</v>
      </c>
      <c r="BA54" s="11">
        <f>IF(ISNUMBER(SEARCH(",IL-2,",","&amp;SUBSTITUTE(I54,", ",",")&amp;",")),1,0)</f>
        <v>0</v>
      </c>
      <c r="BB54" s="11">
        <f>IF(ISNUMBER(SEARCH(",Integrin β6,",","&amp;SUBSTITUTE(I54,", ",",")&amp;",")),1,0)</f>
        <v>0</v>
      </c>
      <c r="BC54" s="11">
        <f>IF(ISNUMBER(SEARCH(",KDR,",","&amp;SUBSTITUTE(I54,", ",",")&amp;",")),1,0)</f>
        <v>0</v>
      </c>
      <c r="BD54" s="11">
        <f>IF(ISNUMBER(SEARCH(",KLRC1,",","&amp;SUBSTITUTE(I54,", ",",")&amp;",")),1,0)</f>
        <v>0</v>
      </c>
      <c r="BE54" s="11">
        <f>IF(ISNUMBER(SEARCH(",KRAS,",","&amp;SUBSTITUTE(I54,", ",",")&amp;",")),1,0)</f>
        <v>0</v>
      </c>
      <c r="BF54" s="11">
        <f>IF(ISNUMBER(SEARCH(",KRAS G12,",","&amp;SUBSTITUTE(I54,", ",",")&amp;",")),1,0)</f>
        <v>0</v>
      </c>
      <c r="BG54" s="11">
        <f>IF(ISNUMBER(SEARCH(",KRAS G12C,",","&amp;SUBSTITUTE(I54,", ",",")&amp;",")),1,0)</f>
        <v>0</v>
      </c>
      <c r="BH54" s="11">
        <f>IF(ISNUMBER(SEARCH(",KRAS G12D,",","&amp;SUBSTITUTE(I54,", ",",")&amp;",")),1,0)</f>
        <v>0</v>
      </c>
      <c r="BI54" s="11">
        <f>IF(ISNUMBER(SEARCH(",LAG-3,",","&amp;SUBSTITUTE(I54,", ",",")&amp;",")),1,0)</f>
        <v>0</v>
      </c>
      <c r="BJ54" s="11">
        <f>IF(ISNUMBER(SEARCH(",MAGE-A2,",","&amp;SUBSTITUTE(I54,", ",",")&amp;",")),1,0)</f>
        <v>0</v>
      </c>
      <c r="BK54" s="11">
        <f>IF(ISNUMBER(SEARCH(",MAGE-A3,",","&amp;SUBSTITUTE(I54,", ",",")&amp;",")),1,0)</f>
        <v>0</v>
      </c>
      <c r="BL54" s="11">
        <f>IF(ISNUMBER(SEARCH(",MLN19,",","&amp;SUBSTITUTE(I54,", ",",")&amp;",")),1,0)</f>
        <v>0</v>
      </c>
      <c r="BM54" s="11">
        <f>IF(ISNUMBER(SEARCH(",Microtubule,",","&amp;SUBSTITUTE(I54,", ",",")&amp;",")),1,0)</f>
        <v>0</v>
      </c>
      <c r="BN54" s="11">
        <f>IF(ISNUMBER(SEARCH(",NKG2A,",","&amp;SUBSTITUTE(I54,", ",",")&amp;",")),1,0)</f>
        <v>0</v>
      </c>
      <c r="BO54" s="11">
        <f>IF(ISNUMBER(SEARCH(",NRAS,",","&amp;SUBSTITUTE(I54,", ",",")&amp;",")),1,0)</f>
        <v>0</v>
      </c>
      <c r="BP54" s="11">
        <f>IF(ISNUMBER(SEARCH(",NTRK,",","&amp;SUBSTITUTE(I54,", ",",")&amp;",")),1,0)</f>
        <v>0</v>
      </c>
      <c r="BQ54" s="11">
        <f>IF(ISNUMBER(SEARCH(",PARP,",","&amp;SUBSTITUTE(I54,", ",",")&amp;",")),1,0)</f>
        <v>0</v>
      </c>
      <c r="BR54" s="11">
        <f>IF(ISNUMBER(SEARCH(",PD-1,",","&amp;SUBSTITUTE(I54,", ",",")&amp;",")),1,0)</f>
        <v>0</v>
      </c>
      <c r="BS54" s="11">
        <f>IF(ISNUMBER(SEARCH(",PD-L1,",","&amp;SUBSTITUTE(I54,", ",",")&amp;",")),1,0)</f>
        <v>1</v>
      </c>
      <c r="BT54" s="11">
        <f>IF(ISNUMBER(SEARCH(",PRMT5,",","&amp;SUBSTITUTE(I54,", ",",")&amp;",")),1,0)</f>
        <v>0</v>
      </c>
      <c r="BU54" s="11">
        <f>IF(ISNUMBER(SEARCH(",RAS,",","&amp;SUBSTITUTE(I54,", ",",")&amp;",")),1,0)</f>
        <v>0</v>
      </c>
      <c r="BV54" s="11">
        <f>IF(ISNUMBER(SEARCH(",RET,",","&amp;SUBSTITUTE(I54,", ",",")&amp;",")),1,0)</f>
        <v>0</v>
      </c>
      <c r="BW54" s="11">
        <f>IF(ISNUMBER(SEARCH(",ROS,",","&amp;SUBSTITUTE(I54,", ",",")&amp;",")),1,0)</f>
        <v>0</v>
      </c>
      <c r="BX54" s="11">
        <f>IF(ISNUMBER(SEARCH(",ROS1,",","&amp;SUBSTITUTE(I54,", ",",")&amp;",")),1,0)</f>
        <v>0</v>
      </c>
      <c r="BY54" s="11">
        <f>IF(ISNUMBER(SEARCH(",Src,",","&amp;SUBSTITUTE(I54,", ",",")&amp;",")),1,0)</f>
        <v>0</v>
      </c>
      <c r="BZ54" s="11">
        <f>IF(ISNUMBER(SEARCH(",TCGF,",","&amp;SUBSTITUTE(I54,", ",",")&amp;",")),1,0)</f>
        <v>0</v>
      </c>
      <c r="CA54" s="11">
        <f>IF(ISNUMBER(SEARCH(",TGF-β,",","&amp;SUBSTITUTE(I54,", ",",")&amp;",")),1,0)</f>
        <v>0</v>
      </c>
      <c r="CB54" s="11">
        <f>IF(ISNUMBER(SEARCH(",TGF-β1,",","&amp;SUBSTITUTE(I54,", ",",")&amp;",")),1,0)</f>
        <v>0</v>
      </c>
      <c r="CC54" s="11">
        <f>IF(ISNUMBER(SEARCH(",TIGIT,",","&amp;SUBSTITUTE(I54,", ",",")&amp;",")),1,0)</f>
        <v>0</v>
      </c>
      <c r="CD54" s="11">
        <f>IF(ISNUMBER(SEARCH(",TLR,",","&amp;SUBSTITUTE(I54,", ",",")&amp;",")),1,0)</f>
        <v>0</v>
      </c>
      <c r="CE54" s="11">
        <f>IF(ISNUMBER(SEARCH(",TLR7/8,",","&amp;SUBSTITUTE(I54,", ",",")&amp;",")),1,0)</f>
        <v>0</v>
      </c>
      <c r="CF54" s="11">
        <f>IF(ISNUMBER(SEARCH(",TRK,",","&amp;SUBSTITUTE(I54,", ",",")&amp;",")),1,0)</f>
        <v>0</v>
      </c>
      <c r="CG54" s="11">
        <f>IF(ISNUMBER(SEARCH(",TROP2,",","&amp;SUBSTITUTE(I54,", ",",")&amp;",")),1,0)</f>
        <v>0</v>
      </c>
      <c r="CH54" s="11">
        <f>IF(ISNUMBER(SEARCH(",TS,",","&amp;SUBSTITUTE(I54,", ",",")&amp;",")),1,0)</f>
        <v>0</v>
      </c>
      <c r="CI54" s="11">
        <f>IF(ISNUMBER(SEARCH(",TYMS,",","&amp;SUBSTITUTE(I54,", ",",")&amp;",")),1,0)</f>
        <v>0</v>
      </c>
      <c r="CJ54" s="11">
        <f>IF(ISNUMBER(SEARCH(",VEGF,",","&amp;SUBSTITUTE(I54,", ",",")&amp;",")),1,0)</f>
        <v>1</v>
      </c>
      <c r="CK54" s="11">
        <f>IF(ISNUMBER(SEARCH(",VEGFA,",","&amp;SUBSTITUTE(I54,", ",",")&amp;",")),1,0)</f>
        <v>0</v>
      </c>
      <c r="CL54" s="11">
        <f>IF(ISNUMBER(SEARCH(",VEGFR2,",","&amp;SUBSTITUTE(I54,", ",",")&amp;",")),1,0)</f>
        <v>0</v>
      </c>
      <c r="CM54" s="11">
        <f>IF(ISNUMBER(SEARCH(",c-MET/MET,",","&amp;SUBSTITUTE(I54,", ",",")&amp;",")),1,0)</f>
        <v>0</v>
      </c>
      <c r="CN54" s="11">
        <f>IF(ISNUMBER(SEARCH(",p53,",","&amp;SUBSTITUTE(I54,", ",",")&amp;",")),1,0)</f>
        <v>0</v>
      </c>
      <c r="CO54" s="11">
        <f>IF(ISNUMBER(SEARCH(",pan-KRAS,",","&amp;SUBSTITUTE(I54,", ",",")&amp;",")),1,0)</f>
        <v>0</v>
      </c>
      <c r="CP54" s="11">
        <f>IF(ISNUMBER(SEARCH(",ALK,",","&amp;SUBSTITUTE(K54,", ",",")&amp;",")),1,0)</f>
        <v>0</v>
      </c>
      <c r="CQ54" s="11">
        <f>IF(ISNUMBER(SEARCH(",BRAF V600E,",","&amp;SUBSTITUTE(K54,", ",",")&amp;",")),1,0)</f>
        <v>0</v>
      </c>
      <c r="CR54" s="11">
        <f>IF(ISNUMBER(SEARCH(",EGFR,",","&amp;SUBSTITUTE(K54,", ",",")&amp;",")),1,0)</f>
        <v>0</v>
      </c>
      <c r="CS54" s="11">
        <f>IF(ISNUMBER(SEARCH(",EGFR Exon 18,",","&amp;SUBSTITUTE(K54,", ",",")&amp;",")),1,0)</f>
        <v>0</v>
      </c>
      <c r="CT54" s="11">
        <f>IF(ISNUMBER(SEARCH(",EGFR Exon 19-del,",","&amp;SUBSTITUTE(K54,", ",",")&amp;",")),1,0)</f>
        <v>0</v>
      </c>
      <c r="CU54" s="11">
        <f>IF(ISNUMBER(SEARCH(",EGFR Exon 20,",","&amp;SUBSTITUTE(K54,", ",",")&amp;",")),1,0)</f>
        <v>0</v>
      </c>
      <c r="CV54" s="11">
        <f>IF(ISNUMBER(SEARCH(",EGFR Exon 20-ins,",","&amp;SUBSTITUTE(K54,", ",",")&amp;",")),1,0)</f>
        <v>0</v>
      </c>
      <c r="CW54" s="11">
        <f>IF(ISNUMBER(SEARCH(",EGFR Exon 21,",","&amp;SUBSTITUTE(K54,", ",",")&amp;",")),1,0)</f>
        <v>0</v>
      </c>
      <c r="CX54" s="11">
        <f>IF(ISNUMBER(SEARCH(",EGFR G719A,",","&amp;SUBSTITUTE(K54,", ",",")&amp;",")),1,0)</f>
        <v>0</v>
      </c>
      <c r="CY54" s="11">
        <f>IF(ISNUMBER(SEARCH(",EGFR G719C,",","&amp;SUBSTITUTE(K54,", ",",")&amp;",")),1,0)</f>
        <v>0</v>
      </c>
      <c r="CZ54" s="11">
        <f>IF(ISNUMBER(SEARCH(",EGFR G719S,",","&amp;SUBSTITUTE(K54,", ",",")&amp;",")),1,0)</f>
        <v>0</v>
      </c>
      <c r="DA54" s="11">
        <f>IF(ISNUMBER(SEARCH(",EGFR G719X,",","&amp;SUBSTITUTE(K54,", ",",")&amp;",")),1,0)</f>
        <v>0</v>
      </c>
      <c r="DB54" s="11">
        <f>IF(ISNUMBER(SEARCH(",EGFR L858R,",","&amp;SUBSTITUTE(K54,", ",",")&amp;",")),1,0)</f>
        <v>0</v>
      </c>
      <c r="DC54" s="11">
        <f>IF(ISNUMBER(SEARCH(",EGFR L861Q,",","&amp;SUBSTITUTE(K54,", ",",")&amp;",")),1,0)</f>
        <v>0</v>
      </c>
      <c r="DD54" s="11">
        <f>IF(ISNUMBER(SEARCH(",EGFR PACC,",","&amp;SUBSTITUTE(K54,", ",",")&amp;",")),1,0)</f>
        <v>0</v>
      </c>
      <c r="DE54" s="11">
        <f>IF(ISNUMBER(SEARCH(",EGFR S768I,",","&amp;SUBSTITUTE(K54,", ",",")&amp;",")),1,0)</f>
        <v>0</v>
      </c>
      <c r="DF54" s="11">
        <f>IF(ISNUMBER(SEARCH(",EGFR T790M,",","&amp;SUBSTITUTE(K54,", ",",")&amp;",")),1,0)</f>
        <v>0</v>
      </c>
      <c r="DG54" s="11">
        <f>IF(ISNUMBER(SEARCH(",EML4-ALK,",","&amp;SUBSTITUTE(K54,", ",",")&amp;",")),1,0)</f>
        <v>0</v>
      </c>
      <c r="DH54" s="11">
        <f>IF(ISNUMBER(SEARCH(",HER2,",","&amp;SUBSTITUTE(K54,", ",",")&amp;",")),1,0)</f>
        <v>0</v>
      </c>
      <c r="DI54" s="11">
        <f>IF(ISNUMBER(SEARCH(",HER2 Exon 19,",","&amp;SUBSTITUTE(K54,", ",",")&amp;",")),1,0)</f>
        <v>0</v>
      </c>
      <c r="DJ54" s="11">
        <f>IF(ISNUMBER(SEARCH(",HER2 Exon 20,",","&amp;SUBSTITUTE(K54,", ",",")&amp;",")),1,0)</f>
        <v>0</v>
      </c>
      <c r="DK54" s="11">
        <f>IF(ISNUMBER(SEARCH(",HER2 mut,",","&amp;SUBSTITUTE(K54,", ",",")&amp;",")),1,0)</f>
        <v>0</v>
      </c>
      <c r="DL54" s="11">
        <f>IF(ISNUMBER(SEARCH(",HLA-A2,",","&amp;SUBSTITUTE(K54,", ",",")&amp;",")),1,0)</f>
        <v>0</v>
      </c>
      <c r="DM54" s="11">
        <f>IF(ISNUMBER(SEARCH(",HRAS,",","&amp;SUBSTITUTE(K54,", ",",")&amp;",")),1,0)</f>
        <v>0</v>
      </c>
      <c r="DN54" s="11">
        <f>IF(ISNUMBER(SEARCH(",KRAS,",","&amp;SUBSTITUTE(K54,", ",",")&amp;",")),1,0)</f>
        <v>0</v>
      </c>
      <c r="DO54" s="11">
        <f>IF(ISNUMBER(SEARCH(",KRAS G12C,",","&amp;SUBSTITUTE(K54,", ",",")&amp;",")),1,0)</f>
        <v>0</v>
      </c>
      <c r="DP54" s="11">
        <f>IF(ISNUMBER(SEARCH(",NRAS,",","&amp;SUBSTITUTE(K54,", ",",")&amp;",")),1,0)</f>
        <v>0</v>
      </c>
      <c r="DQ54" s="11">
        <f>IF(ISNUMBER(SEARCH(",NTRK,",","&amp;SUBSTITUTE(K54,", ",",")&amp;",")),1,0)</f>
        <v>0</v>
      </c>
      <c r="DR54" s="11">
        <f>IF(ISNUMBER(SEARCH(",PD-L1,",","&amp;SUBSTITUTE(K54,", ",",")&amp;",")),1,0)</f>
        <v>1</v>
      </c>
      <c r="DS54" s="11">
        <f>IF(ISNUMBER(SEARCH(",PD-L1 IC ≥ 1%,",","&amp;SUBSTITUTE(K54,", ",",")&amp;",")),1,0)</f>
        <v>0</v>
      </c>
      <c r="DT54" s="11">
        <f>IF(ISNUMBER(SEARCH(",PD-L1 TC ≥ 1%,",","&amp;SUBSTITUTE(K54,", ",",")&amp;",")),1,0)</f>
        <v>0</v>
      </c>
      <c r="DU54" s="11">
        <f>IF(ISNUMBER(SEARCH(",PD-L1 TC ≥ 50%,",","&amp;SUBSTITUTE(K54,", ",",")&amp;",")),1,0)</f>
        <v>0</v>
      </c>
      <c r="DV54" s="11">
        <f>IF(ISNUMBER(SEARCH(",PD-L1 TPS &lt; 50%,",","&amp;SUBSTITUTE(K54,", ",",")&amp;",")),1,0)</f>
        <v>0</v>
      </c>
      <c r="DW54" s="11">
        <f>IF(ISNUMBER(SEARCH(",PD-L1 TPS ≥ 1%,",","&amp;SUBSTITUTE(K54,", ",",")&amp;",")),1,0)</f>
        <v>0</v>
      </c>
      <c r="DX54" s="11">
        <f>IF(ISNUMBER(SEARCH(",PD-L1 TPS ≥ 50%,",","&amp;SUBSTITUTE(K54,", ",",")&amp;",")),1,0)</f>
        <v>0</v>
      </c>
      <c r="DY54" s="11">
        <f>IF(ISNUMBER(SEARCH(",RAS,",","&amp;SUBSTITUTE(K54,", ",",")&amp;",")),1,0)</f>
        <v>0</v>
      </c>
      <c r="DZ54" s="11">
        <f>IF(ISNUMBER(SEARCH(",RET,",","&amp;SUBSTITUTE(K54,", ",",")&amp;",")),1,0)</f>
        <v>0</v>
      </c>
      <c r="EA54" s="11">
        <f>IF(ISNUMBER(SEARCH(",ROS1,",","&amp;SUBSTITUTE(K54,", ",",")&amp;",")),1,0)</f>
        <v>0</v>
      </c>
      <c r="EB54" s="11">
        <f>IF(ISNUMBER(SEARCH(",TROP2,",","&amp;SUBSTITUTE(K54,", ",",")&amp;",")),1,0)</f>
        <v>0</v>
      </c>
      <c r="EC54" s="11">
        <f>IF(ISNUMBER(SEARCH(",c-MET/MET,",","&amp;SUBSTITUTE(K54,", ",",")&amp;",")),1,0)</f>
        <v>0</v>
      </c>
      <c r="ED54" s="11">
        <f>IF(ISNUMBER(SEARCH(",c-MET/MET Exon 14,",","&amp;SUBSTITUTE(K54,", ",",")&amp;",")),1,0)</f>
        <v>0</v>
      </c>
      <c r="EE54" s="11">
        <f>IF(ISNUMBER(SEARCH(",ctDNA/cfDNA,",","&amp;SUBSTITUTE(K54,", ",",")&amp;",")),1,0)</f>
        <v>0</v>
      </c>
    </row>
    <row r="55" spans="1:135" ht="15" customHeight="1" x14ac:dyDescent="0.2">
      <c r="A55" s="5" t="s">
        <v>1443</v>
      </c>
      <c r="B55" s="5" t="s">
        <v>1444</v>
      </c>
      <c r="C55" s="5" t="s">
        <v>194</v>
      </c>
      <c r="D55" s="5" t="s">
        <v>194</v>
      </c>
      <c r="E55" s="5" t="s">
        <v>194</v>
      </c>
      <c r="F55" s="5" t="s">
        <v>259</v>
      </c>
      <c r="G55" s="5" t="s">
        <v>181</v>
      </c>
      <c r="H55" s="5" t="s">
        <v>114</v>
      </c>
      <c r="I55" s="5" t="s">
        <v>1448</v>
      </c>
      <c r="J55" s="5" t="s">
        <v>1447</v>
      </c>
      <c r="K55" s="5" t="s">
        <v>685</v>
      </c>
      <c r="L55" s="5" t="s">
        <v>119</v>
      </c>
      <c r="M55" s="5" t="s">
        <v>113</v>
      </c>
      <c r="N55" s="5" t="s">
        <v>120</v>
      </c>
      <c r="O55" s="5" t="s">
        <v>120</v>
      </c>
      <c r="P55" s="5" t="s">
        <v>1445</v>
      </c>
      <c r="Q55" s="10" t="str">
        <f>IF(F55="Stage IV","Stage IV Only",IF(AND(ISNUMBER(SEARCH("IV",F55)),LEN(F55)&gt;LEN("Stage IV")),"Stage IV + Other",IF(AND(ISNUMBER(SEARCH("III",F55)),NOT(ISNUMBER(SEARCH("IV",F55)))),"Stage III Only","Other")))</f>
        <v>Stage IV Only</v>
      </c>
      <c r="R55" s="10" t="str">
        <f>IF(AND(ISNUMBER(SEARCH("Non-squamous",G55)),ISNUMBER(SEARCH("Squamous",SUBSTITUTE(G55,"Non-squamous","")))),"Both",IF(ISNUMBER(SEARCH("Non-squamous",G55)),"Non-squamous",IF(ISNUMBER(SEARCH("Squamous",G55)),"Squamous","Unspecified")))</f>
        <v>Non-squamous</v>
      </c>
      <c r="S55" s="10" t="str">
        <f>IF(OR(ISNUMBER(SEARCH("TPS ≥ 50%",K55)),ISNUMBER(SEARCH("TC ≥ 50%",K55))),"TPS ≥ 50%",IF(OR(ISNUMBER(SEARCH("TPS ≥ 1%",K55)),ISNUMBER(SEARCH("TC ≥ 1%",K55)),ISNUMBER(SEARCH("TPS &lt; 50%",K55)),ISNUMBER(SEARCH("IC ≥ 1%",K55))),"TPS 1-49%","All-comers"))</f>
        <v>TPS 1-49%</v>
      </c>
      <c r="T55" s="10">
        <f>IF(H55="Phase III",1,0)</f>
        <v>1</v>
      </c>
      <c r="U55" s="10">
        <f>IF(L55="Yes",1,0)</f>
        <v>0</v>
      </c>
      <c r="V55" s="11">
        <f>IF(ISNUMBER(SEARCH(",ALK,",","&amp;SUBSTITUTE(I55,", ",",")&amp;",")),1,0)</f>
        <v>0</v>
      </c>
      <c r="W55" s="11">
        <f>IF(ISNUMBER(SEARCH(",ALK L1196M,",","&amp;SUBSTITUTE(I55,", ",",")&amp;",")),1,0)</f>
        <v>0</v>
      </c>
      <c r="X55" s="11">
        <f>IF(ISNUMBER(SEARCH(",AXL,",","&amp;SUBSTITUTE(I55,", ",",")&amp;",")),1,0)</f>
        <v>0</v>
      </c>
      <c r="Y55" s="11">
        <f>IF(ISNUMBER(SEARCH(",B7-H1,",","&amp;SUBSTITUTE(I55,", ",",")&amp;",")),1,0)</f>
        <v>0</v>
      </c>
      <c r="Z55" s="11">
        <f>IF(ISNUMBER(SEARCH(",CD152,",","&amp;SUBSTITUTE(I55,", ",",")&amp;",")),1,0)</f>
        <v>0</v>
      </c>
      <c r="AA55" s="11">
        <f>IF(ISNUMBER(SEARCH(",CD274,",","&amp;SUBSTITUTE(I55,", ",",")&amp;",")),1,0)</f>
        <v>0</v>
      </c>
      <c r="AB55" s="11">
        <f>IF(ISNUMBER(SEARCH(",CD279,",","&amp;SUBSTITUTE(I55,", ",",")&amp;",")),1,0)</f>
        <v>1</v>
      </c>
      <c r="AC55" s="11">
        <f>IF(ISNUMBER(SEARCH(",CD73,",","&amp;SUBSTITUTE(I55,", ",",")&amp;",")),1,0)</f>
        <v>0</v>
      </c>
      <c r="AD55" s="11">
        <f>IF(ISNUMBER(SEARCH(",CEA,",","&amp;SUBSTITUTE(I55,", ",",")&amp;",")),1,0)</f>
        <v>0</v>
      </c>
      <c r="AE55" s="11">
        <f>IF(ISNUMBER(SEARCH(",CTLA-4,",","&amp;SUBSTITUTE(I55,", ",",")&amp;",")),1,0)</f>
        <v>0</v>
      </c>
      <c r="AF55" s="11">
        <f>IF(ISNUMBER(SEARCH(",EGFR,",","&amp;SUBSTITUTE(I55,", ",",")&amp;",")),1,0)</f>
        <v>0</v>
      </c>
      <c r="AG55" s="11">
        <f>IF(ISNUMBER(SEARCH(",EGFR C797G,",","&amp;SUBSTITUTE(I55,", ",",")&amp;",")),1,0)</f>
        <v>0</v>
      </c>
      <c r="AH55" s="11">
        <f>IF(ISNUMBER(SEARCH(",EGFR C797S,",","&amp;SUBSTITUTE(I55,", ",",")&amp;",")),1,0)</f>
        <v>0</v>
      </c>
      <c r="AI55" s="11">
        <f>IF(ISNUMBER(SEARCH(",EGFR Exon 19-del,",","&amp;SUBSTITUTE(I55,", ",",")&amp;",")),1,0)</f>
        <v>0</v>
      </c>
      <c r="AJ55" s="11">
        <f>IF(ISNUMBER(SEARCH(",EGFR Exon 20,",","&amp;SUBSTITUTE(I55,", ",",")&amp;",")),1,0)</f>
        <v>0</v>
      </c>
      <c r="AK55" s="11">
        <f>IF(ISNUMBER(SEARCH(",EGFR L858R,",","&amp;SUBSTITUTE(I55,", ",",")&amp;",")),1,0)</f>
        <v>0</v>
      </c>
      <c r="AL55" s="11">
        <f>IF(ISNUMBER(SEARCH(",EGFR T790M,",","&amp;SUBSTITUTE(I55,", ",",")&amp;",")),1,0)</f>
        <v>0</v>
      </c>
      <c r="AM55" s="11">
        <f>IF(ISNUMBER(SEARCH(",ERBB,",","&amp;SUBSTITUTE(I55,", ",",")&amp;",")),1,0)</f>
        <v>0</v>
      </c>
      <c r="AN55" s="11">
        <f>IF(ISNUMBER(SEARCH(",ERBB3,",","&amp;SUBSTITUTE(I55,", ",",")&amp;",")),1,0)</f>
        <v>0</v>
      </c>
      <c r="AO55" s="11">
        <f>IF(ISNUMBER(SEARCH(",FAK,",","&amp;SUBSTITUTE(I55,", ",",")&amp;",")),1,0)</f>
        <v>0</v>
      </c>
      <c r="AP55" s="11">
        <f>IF(ISNUMBER(SEARCH(",GARP,",","&amp;SUBSTITUTE(I55,", ",",")&amp;",")),1,0)</f>
        <v>0</v>
      </c>
      <c r="AQ55" s="11">
        <f>IF(ISNUMBER(SEARCH(",HER1,",","&amp;SUBSTITUTE(I55,", ",",")&amp;",")),1,0)</f>
        <v>0</v>
      </c>
      <c r="AR55" s="11">
        <f>IF(ISNUMBER(SEARCH(",HER2,",","&amp;SUBSTITUTE(I55,", ",",")&amp;",")),1,0)</f>
        <v>0</v>
      </c>
      <c r="AS55" s="11">
        <f>IF(ISNUMBER(SEARCH(",HER2 Exon 20,",","&amp;SUBSTITUTE(I55,", ",",")&amp;",")),1,0)</f>
        <v>0</v>
      </c>
      <c r="AT55" s="11">
        <f>IF(ISNUMBER(SEARCH(",HER3,",","&amp;SUBSTITUTE(I55,", ",",")&amp;",")),1,0)</f>
        <v>0</v>
      </c>
      <c r="AU55" s="11">
        <f>IF(ISNUMBER(SEARCH(",HER4,",","&amp;SUBSTITUTE(I55,", ",",")&amp;",")),1,0)</f>
        <v>0</v>
      </c>
      <c r="AV55" s="11">
        <f>IF(ISNUMBER(SEARCH(",HRAS,",","&amp;SUBSTITUTE(I55,", ",",")&amp;",")),1,0)</f>
        <v>0</v>
      </c>
      <c r="AW55" s="11">
        <f>IF(ISNUMBER(SEARCH(",HSV-TK,",","&amp;SUBSTITUTE(I55,", ",",")&amp;",")),1,0)</f>
        <v>0</v>
      </c>
      <c r="AX55" s="11">
        <f>IF(ISNUMBER(SEARCH(",IL-12,",","&amp;SUBSTITUTE(I55,", ",",")&amp;",")),1,0)</f>
        <v>0</v>
      </c>
      <c r="AY55" s="11">
        <f>IF(ISNUMBER(SEARCH(",IL-15,",","&amp;SUBSTITUTE(I55,", ",",")&amp;",")),1,0)</f>
        <v>0</v>
      </c>
      <c r="AZ55" s="11">
        <f>IF(ISNUMBER(SEARCH(",IL-15R,",","&amp;SUBSTITUTE(I55,", ",",")&amp;",")),1,0)</f>
        <v>0</v>
      </c>
      <c r="BA55" s="11">
        <f>IF(ISNUMBER(SEARCH(",IL-2,",","&amp;SUBSTITUTE(I55,", ",",")&amp;",")),1,0)</f>
        <v>0</v>
      </c>
      <c r="BB55" s="11">
        <f>IF(ISNUMBER(SEARCH(",Integrin β6,",","&amp;SUBSTITUTE(I55,", ",",")&amp;",")),1,0)</f>
        <v>0</v>
      </c>
      <c r="BC55" s="11">
        <f>IF(ISNUMBER(SEARCH(",KDR,",","&amp;SUBSTITUTE(I55,", ",",")&amp;",")),1,0)</f>
        <v>0</v>
      </c>
      <c r="BD55" s="11">
        <f>IF(ISNUMBER(SEARCH(",KLRC1,",","&amp;SUBSTITUTE(I55,", ",",")&amp;",")),1,0)</f>
        <v>0</v>
      </c>
      <c r="BE55" s="11">
        <f>IF(ISNUMBER(SEARCH(",KRAS,",","&amp;SUBSTITUTE(I55,", ",",")&amp;",")),1,0)</f>
        <v>0</v>
      </c>
      <c r="BF55" s="11">
        <f>IF(ISNUMBER(SEARCH(",KRAS G12,",","&amp;SUBSTITUTE(I55,", ",",")&amp;",")),1,0)</f>
        <v>0</v>
      </c>
      <c r="BG55" s="11">
        <f>IF(ISNUMBER(SEARCH(",KRAS G12C,",","&amp;SUBSTITUTE(I55,", ",",")&amp;",")),1,0)</f>
        <v>0</v>
      </c>
      <c r="BH55" s="11">
        <f>IF(ISNUMBER(SEARCH(",KRAS G12D,",","&amp;SUBSTITUTE(I55,", ",",")&amp;",")),1,0)</f>
        <v>0</v>
      </c>
      <c r="BI55" s="11">
        <f>IF(ISNUMBER(SEARCH(",LAG-3,",","&amp;SUBSTITUTE(I55,", ",",")&amp;",")),1,0)</f>
        <v>1</v>
      </c>
      <c r="BJ55" s="11">
        <f>IF(ISNUMBER(SEARCH(",MAGE-A2,",","&amp;SUBSTITUTE(I55,", ",",")&amp;",")),1,0)</f>
        <v>0</v>
      </c>
      <c r="BK55" s="11">
        <f>IF(ISNUMBER(SEARCH(",MAGE-A3,",","&amp;SUBSTITUTE(I55,", ",",")&amp;",")),1,0)</f>
        <v>0</v>
      </c>
      <c r="BL55" s="11">
        <f>IF(ISNUMBER(SEARCH(",MLN19,",","&amp;SUBSTITUTE(I55,", ",",")&amp;",")),1,0)</f>
        <v>0</v>
      </c>
      <c r="BM55" s="11">
        <f>IF(ISNUMBER(SEARCH(",Microtubule,",","&amp;SUBSTITUTE(I55,", ",",")&amp;",")),1,0)</f>
        <v>0</v>
      </c>
      <c r="BN55" s="11">
        <f>IF(ISNUMBER(SEARCH(",NKG2A,",","&amp;SUBSTITUTE(I55,", ",",")&amp;",")),1,0)</f>
        <v>0</v>
      </c>
      <c r="BO55" s="11">
        <f>IF(ISNUMBER(SEARCH(",NRAS,",","&amp;SUBSTITUTE(I55,", ",",")&amp;",")),1,0)</f>
        <v>0</v>
      </c>
      <c r="BP55" s="11">
        <f>IF(ISNUMBER(SEARCH(",NTRK,",","&amp;SUBSTITUTE(I55,", ",",")&amp;",")),1,0)</f>
        <v>0</v>
      </c>
      <c r="BQ55" s="11">
        <f>IF(ISNUMBER(SEARCH(",PARP,",","&amp;SUBSTITUTE(I55,", ",",")&amp;",")),1,0)</f>
        <v>0</v>
      </c>
      <c r="BR55" s="11">
        <f>IF(ISNUMBER(SEARCH(",PD-1,",","&amp;SUBSTITUTE(I55,", ",",")&amp;",")),1,0)</f>
        <v>1</v>
      </c>
      <c r="BS55" s="11">
        <f>IF(ISNUMBER(SEARCH(",PD-L1,",","&amp;SUBSTITUTE(I55,", ",",")&amp;",")),1,0)</f>
        <v>0</v>
      </c>
      <c r="BT55" s="11">
        <f>IF(ISNUMBER(SEARCH(",PRMT5,",","&amp;SUBSTITUTE(I55,", ",",")&amp;",")),1,0)</f>
        <v>0</v>
      </c>
      <c r="BU55" s="11">
        <f>IF(ISNUMBER(SEARCH(",RAS,",","&amp;SUBSTITUTE(I55,", ",",")&amp;",")),1,0)</f>
        <v>0</v>
      </c>
      <c r="BV55" s="11">
        <f>IF(ISNUMBER(SEARCH(",RET,",","&amp;SUBSTITUTE(I55,", ",",")&amp;",")),1,0)</f>
        <v>0</v>
      </c>
      <c r="BW55" s="11">
        <f>IF(ISNUMBER(SEARCH(",ROS,",","&amp;SUBSTITUTE(I55,", ",",")&amp;",")),1,0)</f>
        <v>0</v>
      </c>
      <c r="BX55" s="11">
        <f>IF(ISNUMBER(SEARCH(",ROS1,",","&amp;SUBSTITUTE(I55,", ",",")&amp;",")),1,0)</f>
        <v>0</v>
      </c>
      <c r="BY55" s="11">
        <f>IF(ISNUMBER(SEARCH(",Src,",","&amp;SUBSTITUTE(I55,", ",",")&amp;",")),1,0)</f>
        <v>0</v>
      </c>
      <c r="BZ55" s="11">
        <f>IF(ISNUMBER(SEARCH(",TCGF,",","&amp;SUBSTITUTE(I55,", ",",")&amp;",")),1,0)</f>
        <v>0</v>
      </c>
      <c r="CA55" s="11">
        <f>IF(ISNUMBER(SEARCH(",TGF-β,",","&amp;SUBSTITUTE(I55,", ",",")&amp;",")),1,0)</f>
        <v>0</v>
      </c>
      <c r="CB55" s="11">
        <f>IF(ISNUMBER(SEARCH(",TGF-β1,",","&amp;SUBSTITUTE(I55,", ",",")&amp;",")),1,0)</f>
        <v>0</v>
      </c>
      <c r="CC55" s="11">
        <f>IF(ISNUMBER(SEARCH(",TIGIT,",","&amp;SUBSTITUTE(I55,", ",",")&amp;",")),1,0)</f>
        <v>0</v>
      </c>
      <c r="CD55" s="11">
        <f>IF(ISNUMBER(SEARCH(",TLR,",","&amp;SUBSTITUTE(I55,", ",",")&amp;",")),1,0)</f>
        <v>0</v>
      </c>
      <c r="CE55" s="11">
        <f>IF(ISNUMBER(SEARCH(",TLR7/8,",","&amp;SUBSTITUTE(I55,", ",",")&amp;",")),1,0)</f>
        <v>0</v>
      </c>
      <c r="CF55" s="11">
        <f>IF(ISNUMBER(SEARCH(",TRK,",","&amp;SUBSTITUTE(I55,", ",",")&amp;",")),1,0)</f>
        <v>0</v>
      </c>
      <c r="CG55" s="11">
        <f>IF(ISNUMBER(SEARCH(",TROP2,",","&amp;SUBSTITUTE(I55,", ",",")&amp;",")),1,0)</f>
        <v>0</v>
      </c>
      <c r="CH55" s="11">
        <f>IF(ISNUMBER(SEARCH(",TS,",","&amp;SUBSTITUTE(I55,", ",",")&amp;",")),1,0)</f>
        <v>1</v>
      </c>
      <c r="CI55" s="11">
        <f>IF(ISNUMBER(SEARCH(",TYMS,",","&amp;SUBSTITUTE(I55,", ",",")&amp;",")),1,0)</f>
        <v>1</v>
      </c>
      <c r="CJ55" s="11">
        <f>IF(ISNUMBER(SEARCH(",VEGF,",","&amp;SUBSTITUTE(I55,", ",",")&amp;",")),1,0)</f>
        <v>0</v>
      </c>
      <c r="CK55" s="11">
        <f>IF(ISNUMBER(SEARCH(",VEGFA,",","&amp;SUBSTITUTE(I55,", ",",")&amp;",")),1,0)</f>
        <v>0</v>
      </c>
      <c r="CL55" s="11">
        <f>IF(ISNUMBER(SEARCH(",VEGFR2,",","&amp;SUBSTITUTE(I55,", ",",")&amp;",")),1,0)</f>
        <v>0</v>
      </c>
      <c r="CM55" s="11">
        <f>IF(ISNUMBER(SEARCH(",c-MET/MET,",","&amp;SUBSTITUTE(I55,", ",",")&amp;",")),1,0)</f>
        <v>0</v>
      </c>
      <c r="CN55" s="11">
        <f>IF(ISNUMBER(SEARCH(",p53,",","&amp;SUBSTITUTE(I55,", ",",")&amp;",")),1,0)</f>
        <v>0</v>
      </c>
      <c r="CO55" s="11">
        <f>IF(ISNUMBER(SEARCH(",pan-KRAS,",","&amp;SUBSTITUTE(I55,", ",",")&amp;",")),1,0)</f>
        <v>0</v>
      </c>
      <c r="CP55" s="11">
        <f>IF(ISNUMBER(SEARCH(",ALK,",","&amp;SUBSTITUTE(K55,", ",",")&amp;",")),1,0)</f>
        <v>0</v>
      </c>
      <c r="CQ55" s="11">
        <f>IF(ISNUMBER(SEARCH(",BRAF V600E,",","&amp;SUBSTITUTE(K55,", ",",")&amp;",")),1,0)</f>
        <v>0</v>
      </c>
      <c r="CR55" s="11">
        <f>IF(ISNUMBER(SEARCH(",EGFR,",","&amp;SUBSTITUTE(K55,", ",",")&amp;",")),1,0)</f>
        <v>0</v>
      </c>
      <c r="CS55" s="11">
        <f>IF(ISNUMBER(SEARCH(",EGFR Exon 18,",","&amp;SUBSTITUTE(K55,", ",",")&amp;",")),1,0)</f>
        <v>0</v>
      </c>
      <c r="CT55" s="11">
        <f>IF(ISNUMBER(SEARCH(",EGFR Exon 19-del,",","&amp;SUBSTITUTE(K55,", ",",")&amp;",")),1,0)</f>
        <v>0</v>
      </c>
      <c r="CU55" s="11">
        <f>IF(ISNUMBER(SEARCH(",EGFR Exon 20,",","&amp;SUBSTITUTE(K55,", ",",")&amp;",")),1,0)</f>
        <v>0</v>
      </c>
      <c r="CV55" s="11">
        <f>IF(ISNUMBER(SEARCH(",EGFR Exon 20-ins,",","&amp;SUBSTITUTE(K55,", ",",")&amp;",")),1,0)</f>
        <v>0</v>
      </c>
      <c r="CW55" s="11">
        <f>IF(ISNUMBER(SEARCH(",EGFR Exon 21,",","&amp;SUBSTITUTE(K55,", ",",")&amp;",")),1,0)</f>
        <v>0</v>
      </c>
      <c r="CX55" s="11">
        <f>IF(ISNUMBER(SEARCH(",EGFR G719A,",","&amp;SUBSTITUTE(K55,", ",",")&amp;",")),1,0)</f>
        <v>0</v>
      </c>
      <c r="CY55" s="11">
        <f>IF(ISNUMBER(SEARCH(",EGFR G719C,",","&amp;SUBSTITUTE(K55,", ",",")&amp;",")),1,0)</f>
        <v>0</v>
      </c>
      <c r="CZ55" s="11">
        <f>IF(ISNUMBER(SEARCH(",EGFR G719S,",","&amp;SUBSTITUTE(K55,", ",",")&amp;",")),1,0)</f>
        <v>0</v>
      </c>
      <c r="DA55" s="11">
        <f>IF(ISNUMBER(SEARCH(",EGFR G719X,",","&amp;SUBSTITUTE(K55,", ",",")&amp;",")),1,0)</f>
        <v>0</v>
      </c>
      <c r="DB55" s="11">
        <f>IF(ISNUMBER(SEARCH(",EGFR L858R,",","&amp;SUBSTITUTE(K55,", ",",")&amp;",")),1,0)</f>
        <v>0</v>
      </c>
      <c r="DC55" s="11">
        <f>IF(ISNUMBER(SEARCH(",EGFR L861Q,",","&amp;SUBSTITUTE(K55,", ",",")&amp;",")),1,0)</f>
        <v>0</v>
      </c>
      <c r="DD55" s="11">
        <f>IF(ISNUMBER(SEARCH(",EGFR PACC,",","&amp;SUBSTITUTE(K55,", ",",")&amp;",")),1,0)</f>
        <v>0</v>
      </c>
      <c r="DE55" s="11">
        <f>IF(ISNUMBER(SEARCH(",EGFR S768I,",","&amp;SUBSTITUTE(K55,", ",",")&amp;",")),1,0)</f>
        <v>0</v>
      </c>
      <c r="DF55" s="11">
        <f>IF(ISNUMBER(SEARCH(",EGFR T790M,",","&amp;SUBSTITUTE(K55,", ",",")&amp;",")),1,0)</f>
        <v>0</v>
      </c>
      <c r="DG55" s="11">
        <f>IF(ISNUMBER(SEARCH(",EML4-ALK,",","&amp;SUBSTITUTE(K55,", ",",")&amp;",")),1,0)</f>
        <v>0</v>
      </c>
      <c r="DH55" s="11">
        <f>IF(ISNUMBER(SEARCH(",HER2,",","&amp;SUBSTITUTE(K55,", ",",")&amp;",")),1,0)</f>
        <v>0</v>
      </c>
      <c r="DI55" s="11">
        <f>IF(ISNUMBER(SEARCH(",HER2 Exon 19,",","&amp;SUBSTITUTE(K55,", ",",")&amp;",")),1,0)</f>
        <v>0</v>
      </c>
      <c r="DJ55" s="11">
        <f>IF(ISNUMBER(SEARCH(",HER2 Exon 20,",","&amp;SUBSTITUTE(K55,", ",",")&amp;",")),1,0)</f>
        <v>0</v>
      </c>
      <c r="DK55" s="11">
        <f>IF(ISNUMBER(SEARCH(",HER2 mut,",","&amp;SUBSTITUTE(K55,", ",",")&amp;",")),1,0)</f>
        <v>0</v>
      </c>
      <c r="DL55" s="11">
        <f>IF(ISNUMBER(SEARCH(",HLA-A2,",","&amp;SUBSTITUTE(K55,", ",",")&amp;",")),1,0)</f>
        <v>0</v>
      </c>
      <c r="DM55" s="11">
        <f>IF(ISNUMBER(SEARCH(",HRAS,",","&amp;SUBSTITUTE(K55,", ",",")&amp;",")),1,0)</f>
        <v>0</v>
      </c>
      <c r="DN55" s="11">
        <f>IF(ISNUMBER(SEARCH(",KRAS,",","&amp;SUBSTITUTE(K55,", ",",")&amp;",")),1,0)</f>
        <v>0</v>
      </c>
      <c r="DO55" s="11">
        <f>IF(ISNUMBER(SEARCH(",KRAS G12C,",","&amp;SUBSTITUTE(K55,", ",",")&amp;",")),1,0)</f>
        <v>0</v>
      </c>
      <c r="DP55" s="11">
        <f>IF(ISNUMBER(SEARCH(",NRAS,",","&amp;SUBSTITUTE(K55,", ",",")&amp;",")),1,0)</f>
        <v>0</v>
      </c>
      <c r="DQ55" s="11">
        <f>IF(ISNUMBER(SEARCH(",NTRK,",","&amp;SUBSTITUTE(K55,", ",",")&amp;",")),1,0)</f>
        <v>0</v>
      </c>
      <c r="DR55" s="11">
        <f>IF(ISNUMBER(SEARCH(",PD-L1,",","&amp;SUBSTITUTE(K55,", ",",")&amp;",")),1,0)</f>
        <v>0</v>
      </c>
      <c r="DS55" s="11">
        <f>IF(ISNUMBER(SEARCH(",PD-L1 IC ≥ 1%,",","&amp;SUBSTITUTE(K55,", ",",")&amp;",")),1,0)</f>
        <v>0</v>
      </c>
      <c r="DT55" s="11">
        <f>IF(ISNUMBER(SEARCH(",PD-L1 TC ≥ 1%,",","&amp;SUBSTITUTE(K55,", ",",")&amp;",")),1,0)</f>
        <v>1</v>
      </c>
      <c r="DU55" s="11">
        <f>IF(ISNUMBER(SEARCH(",PD-L1 TC ≥ 50%,",","&amp;SUBSTITUTE(K55,", ",",")&amp;",")),1,0)</f>
        <v>0</v>
      </c>
      <c r="DV55" s="11">
        <f>IF(ISNUMBER(SEARCH(",PD-L1 TPS &lt; 50%,",","&amp;SUBSTITUTE(K55,", ",",")&amp;",")),1,0)</f>
        <v>0</v>
      </c>
      <c r="DW55" s="11">
        <f>IF(ISNUMBER(SEARCH(",PD-L1 TPS ≥ 1%,",","&amp;SUBSTITUTE(K55,", ",",")&amp;",")),1,0)</f>
        <v>0</v>
      </c>
      <c r="DX55" s="11">
        <f>IF(ISNUMBER(SEARCH(",PD-L1 TPS ≥ 50%,",","&amp;SUBSTITUTE(K55,", ",",")&amp;",")),1,0)</f>
        <v>0</v>
      </c>
      <c r="DY55" s="11">
        <f>IF(ISNUMBER(SEARCH(",RAS,",","&amp;SUBSTITUTE(K55,", ",",")&amp;",")),1,0)</f>
        <v>0</v>
      </c>
      <c r="DZ55" s="11">
        <f>IF(ISNUMBER(SEARCH(",RET,",","&amp;SUBSTITUTE(K55,", ",",")&amp;",")),1,0)</f>
        <v>0</v>
      </c>
      <c r="EA55" s="11">
        <f>IF(ISNUMBER(SEARCH(",ROS1,",","&amp;SUBSTITUTE(K55,", ",",")&amp;",")),1,0)</f>
        <v>0</v>
      </c>
      <c r="EB55" s="11">
        <f>IF(ISNUMBER(SEARCH(",TROP2,",","&amp;SUBSTITUTE(K55,", ",",")&amp;",")),1,0)</f>
        <v>0</v>
      </c>
      <c r="EC55" s="11">
        <f>IF(ISNUMBER(SEARCH(",c-MET/MET,",","&amp;SUBSTITUTE(K55,", ",",")&amp;",")),1,0)</f>
        <v>0</v>
      </c>
      <c r="ED55" s="11">
        <f>IF(ISNUMBER(SEARCH(",c-MET/MET Exon 14,",","&amp;SUBSTITUTE(K55,", ",",")&amp;",")),1,0)</f>
        <v>0</v>
      </c>
      <c r="EE55" s="11">
        <f>IF(ISNUMBER(SEARCH(",ctDNA/cfDNA,",","&amp;SUBSTITUTE(K55,", ",",")&amp;",")),1,0)</f>
        <v>0</v>
      </c>
    </row>
    <row r="56" spans="1:135" ht="15" customHeight="1" x14ac:dyDescent="0.2">
      <c r="A56" s="5" t="s">
        <v>1163</v>
      </c>
      <c r="B56" s="5" t="s">
        <v>1164</v>
      </c>
      <c r="C56" s="5" t="s">
        <v>194</v>
      </c>
      <c r="D56" s="5" t="s">
        <v>194</v>
      </c>
      <c r="E56" s="5" t="s">
        <v>194</v>
      </c>
      <c r="F56" s="5" t="s">
        <v>572</v>
      </c>
      <c r="G56" s="5"/>
      <c r="H56" s="5" t="s">
        <v>114</v>
      </c>
      <c r="I56" s="5" t="s">
        <v>1168</v>
      </c>
      <c r="J56" s="5" t="s">
        <v>1167</v>
      </c>
      <c r="K56" s="5" t="s">
        <v>865</v>
      </c>
      <c r="L56" s="5" t="s">
        <v>119</v>
      </c>
      <c r="M56" s="5" t="s">
        <v>113</v>
      </c>
      <c r="N56" s="5" t="s">
        <v>119</v>
      </c>
      <c r="O56" s="5" t="s">
        <v>120</v>
      </c>
      <c r="P56" s="5" t="s">
        <v>1165</v>
      </c>
      <c r="Q56" s="10" t="str">
        <f>IF(F56="Stage IV","Stage IV Only",IF(AND(ISNUMBER(SEARCH("IV",F56)),LEN(F56)&gt;LEN("Stage IV")),"Stage IV + Other",IF(AND(ISNUMBER(SEARCH("III",F56)),NOT(ISNUMBER(SEARCH("IV",F56)))),"Stage III Only","Other")))</f>
        <v>Stage IV + Other</v>
      </c>
      <c r="R56" s="10" t="str">
        <f>IF(AND(ISNUMBER(SEARCH("Non-squamous",G56)),ISNUMBER(SEARCH("Squamous",SUBSTITUTE(G56,"Non-squamous","")))),"Both",IF(ISNUMBER(SEARCH("Non-squamous",G56)),"Non-squamous",IF(ISNUMBER(SEARCH("Squamous",G56)),"Squamous","Unspecified")))</f>
        <v>Unspecified</v>
      </c>
      <c r="S56" s="10" t="str">
        <f>IF(OR(ISNUMBER(SEARCH("TPS ≥ 50%",K56)),ISNUMBER(SEARCH("TC ≥ 50%",K56))),"TPS ≥ 50%",IF(OR(ISNUMBER(SEARCH("TPS ≥ 1%",K56)),ISNUMBER(SEARCH("TC ≥ 1%",K56)),ISNUMBER(SEARCH("TPS &lt; 50%",K56)),ISNUMBER(SEARCH("IC ≥ 1%",K56))),"TPS 1-49%","All-comers"))</f>
        <v>All-comers</v>
      </c>
      <c r="T56" s="10">
        <f>IF(H56="Phase III",1,0)</f>
        <v>1</v>
      </c>
      <c r="U56" s="10">
        <f>IF(L56="Yes",1,0)</f>
        <v>0</v>
      </c>
      <c r="V56" s="11">
        <f>IF(ISNUMBER(SEARCH(",ALK,",","&amp;SUBSTITUTE(I56,", ",",")&amp;",")),1,0)</f>
        <v>1</v>
      </c>
      <c r="W56" s="11">
        <f>IF(ISNUMBER(SEARCH(",ALK L1196M,",","&amp;SUBSTITUTE(I56,", ",",")&amp;",")),1,0)</f>
        <v>0</v>
      </c>
      <c r="X56" s="11">
        <f>IF(ISNUMBER(SEARCH(",AXL,",","&amp;SUBSTITUTE(I56,", ",",")&amp;",")),1,0)</f>
        <v>0</v>
      </c>
      <c r="Y56" s="11">
        <f>IF(ISNUMBER(SEARCH(",B7-H1,",","&amp;SUBSTITUTE(I56,", ",",")&amp;",")),1,0)</f>
        <v>0</v>
      </c>
      <c r="Z56" s="11">
        <f>IF(ISNUMBER(SEARCH(",CD152,",","&amp;SUBSTITUTE(I56,", ",",")&amp;",")),1,0)</f>
        <v>0</v>
      </c>
      <c r="AA56" s="11">
        <f>IF(ISNUMBER(SEARCH(",CD274,",","&amp;SUBSTITUTE(I56,", ",",")&amp;",")),1,0)</f>
        <v>0</v>
      </c>
      <c r="AB56" s="11">
        <f>IF(ISNUMBER(SEARCH(",CD279,",","&amp;SUBSTITUTE(I56,", ",",")&amp;",")),1,0)</f>
        <v>0</v>
      </c>
      <c r="AC56" s="11">
        <f>IF(ISNUMBER(SEARCH(",CD73,",","&amp;SUBSTITUTE(I56,", ",",")&amp;",")),1,0)</f>
        <v>0</v>
      </c>
      <c r="AD56" s="11">
        <f>IF(ISNUMBER(SEARCH(",CEA,",","&amp;SUBSTITUTE(I56,", ",",")&amp;",")),1,0)</f>
        <v>0</v>
      </c>
      <c r="AE56" s="11">
        <f>IF(ISNUMBER(SEARCH(",CTLA-4,",","&amp;SUBSTITUTE(I56,", ",",")&amp;",")),1,0)</f>
        <v>0</v>
      </c>
      <c r="AF56" s="11">
        <f>IF(ISNUMBER(SEARCH(",EGFR,",","&amp;SUBSTITUTE(I56,", ",",")&amp;",")),1,0)</f>
        <v>0</v>
      </c>
      <c r="AG56" s="11">
        <f>IF(ISNUMBER(SEARCH(",EGFR C797G,",","&amp;SUBSTITUTE(I56,", ",",")&amp;",")),1,0)</f>
        <v>0</v>
      </c>
      <c r="AH56" s="11">
        <f>IF(ISNUMBER(SEARCH(",EGFR C797S,",","&amp;SUBSTITUTE(I56,", ",",")&amp;",")),1,0)</f>
        <v>0</v>
      </c>
      <c r="AI56" s="11">
        <f>IF(ISNUMBER(SEARCH(",EGFR Exon 19-del,",","&amp;SUBSTITUTE(I56,", ",",")&amp;",")),1,0)</f>
        <v>0</v>
      </c>
      <c r="AJ56" s="11">
        <f>IF(ISNUMBER(SEARCH(",EGFR Exon 20,",","&amp;SUBSTITUTE(I56,", ",",")&amp;",")),1,0)</f>
        <v>0</v>
      </c>
      <c r="AK56" s="11">
        <f>IF(ISNUMBER(SEARCH(",EGFR L858R,",","&amp;SUBSTITUTE(I56,", ",",")&amp;",")),1,0)</f>
        <v>0</v>
      </c>
      <c r="AL56" s="11">
        <f>IF(ISNUMBER(SEARCH(",EGFR T790M,",","&amp;SUBSTITUTE(I56,", ",",")&amp;",")),1,0)</f>
        <v>0</v>
      </c>
      <c r="AM56" s="11">
        <f>IF(ISNUMBER(SEARCH(",ERBB,",","&amp;SUBSTITUTE(I56,", ",",")&amp;",")),1,0)</f>
        <v>0</v>
      </c>
      <c r="AN56" s="11">
        <f>IF(ISNUMBER(SEARCH(",ERBB3,",","&amp;SUBSTITUTE(I56,", ",",")&amp;",")),1,0)</f>
        <v>0</v>
      </c>
      <c r="AO56" s="11">
        <f>IF(ISNUMBER(SEARCH(",FAK,",","&amp;SUBSTITUTE(I56,", ",",")&amp;",")),1,0)</f>
        <v>1</v>
      </c>
      <c r="AP56" s="11">
        <f>IF(ISNUMBER(SEARCH(",GARP,",","&amp;SUBSTITUTE(I56,", ",",")&amp;",")),1,0)</f>
        <v>0</v>
      </c>
      <c r="AQ56" s="11">
        <f>IF(ISNUMBER(SEARCH(",HER1,",","&amp;SUBSTITUTE(I56,", ",",")&amp;",")),1,0)</f>
        <v>0</v>
      </c>
      <c r="AR56" s="11">
        <f>IF(ISNUMBER(SEARCH(",HER2,",","&amp;SUBSTITUTE(I56,", ",",")&amp;",")),1,0)</f>
        <v>0</v>
      </c>
      <c r="AS56" s="11">
        <f>IF(ISNUMBER(SEARCH(",HER2 Exon 20,",","&amp;SUBSTITUTE(I56,", ",",")&amp;",")),1,0)</f>
        <v>0</v>
      </c>
      <c r="AT56" s="11">
        <f>IF(ISNUMBER(SEARCH(",HER3,",","&amp;SUBSTITUTE(I56,", ",",")&amp;",")),1,0)</f>
        <v>0</v>
      </c>
      <c r="AU56" s="11">
        <f>IF(ISNUMBER(SEARCH(",HER4,",","&amp;SUBSTITUTE(I56,", ",",")&amp;",")),1,0)</f>
        <v>0</v>
      </c>
      <c r="AV56" s="11">
        <f>IF(ISNUMBER(SEARCH(",HRAS,",","&amp;SUBSTITUTE(I56,", ",",")&amp;",")),1,0)</f>
        <v>0</v>
      </c>
      <c r="AW56" s="11">
        <f>IF(ISNUMBER(SEARCH(",HSV-TK,",","&amp;SUBSTITUTE(I56,", ",",")&amp;",")),1,0)</f>
        <v>0</v>
      </c>
      <c r="AX56" s="11">
        <f>IF(ISNUMBER(SEARCH(",IL-12,",","&amp;SUBSTITUTE(I56,", ",",")&amp;",")),1,0)</f>
        <v>0</v>
      </c>
      <c r="AY56" s="11">
        <f>IF(ISNUMBER(SEARCH(",IL-15,",","&amp;SUBSTITUTE(I56,", ",",")&amp;",")),1,0)</f>
        <v>0</v>
      </c>
      <c r="AZ56" s="11">
        <f>IF(ISNUMBER(SEARCH(",IL-15R,",","&amp;SUBSTITUTE(I56,", ",",")&amp;",")),1,0)</f>
        <v>0</v>
      </c>
      <c r="BA56" s="11">
        <f>IF(ISNUMBER(SEARCH(",IL-2,",","&amp;SUBSTITUTE(I56,", ",",")&amp;",")),1,0)</f>
        <v>0</v>
      </c>
      <c r="BB56" s="11">
        <f>IF(ISNUMBER(SEARCH(",Integrin β6,",","&amp;SUBSTITUTE(I56,", ",",")&amp;",")),1,0)</f>
        <v>0</v>
      </c>
      <c r="BC56" s="11">
        <f>IF(ISNUMBER(SEARCH(",KDR,",","&amp;SUBSTITUTE(I56,", ",",")&amp;",")),1,0)</f>
        <v>0</v>
      </c>
      <c r="BD56" s="11">
        <f>IF(ISNUMBER(SEARCH(",KLRC1,",","&amp;SUBSTITUTE(I56,", ",",")&amp;",")),1,0)</f>
        <v>0</v>
      </c>
      <c r="BE56" s="11">
        <f>IF(ISNUMBER(SEARCH(",KRAS,",","&amp;SUBSTITUTE(I56,", ",",")&amp;",")),1,0)</f>
        <v>0</v>
      </c>
      <c r="BF56" s="11">
        <f>IF(ISNUMBER(SEARCH(",KRAS G12,",","&amp;SUBSTITUTE(I56,", ",",")&amp;",")),1,0)</f>
        <v>0</v>
      </c>
      <c r="BG56" s="11">
        <f>IF(ISNUMBER(SEARCH(",KRAS G12C,",","&amp;SUBSTITUTE(I56,", ",",")&amp;",")),1,0)</f>
        <v>0</v>
      </c>
      <c r="BH56" s="11">
        <f>IF(ISNUMBER(SEARCH(",KRAS G12D,",","&amp;SUBSTITUTE(I56,", ",",")&amp;",")),1,0)</f>
        <v>0</v>
      </c>
      <c r="BI56" s="11">
        <f>IF(ISNUMBER(SEARCH(",LAG-3,",","&amp;SUBSTITUTE(I56,", ",",")&amp;",")),1,0)</f>
        <v>0</v>
      </c>
      <c r="BJ56" s="11">
        <f>IF(ISNUMBER(SEARCH(",MAGE-A2,",","&amp;SUBSTITUTE(I56,", ",",")&amp;",")),1,0)</f>
        <v>0</v>
      </c>
      <c r="BK56" s="11">
        <f>IF(ISNUMBER(SEARCH(",MAGE-A3,",","&amp;SUBSTITUTE(I56,", ",",")&amp;",")),1,0)</f>
        <v>0</v>
      </c>
      <c r="BL56" s="11">
        <f>IF(ISNUMBER(SEARCH(",MLN19,",","&amp;SUBSTITUTE(I56,", ",",")&amp;",")),1,0)</f>
        <v>0</v>
      </c>
      <c r="BM56" s="11">
        <f>IF(ISNUMBER(SEARCH(",Microtubule,",","&amp;SUBSTITUTE(I56,", ",",")&amp;",")),1,0)</f>
        <v>0</v>
      </c>
      <c r="BN56" s="11">
        <f>IF(ISNUMBER(SEARCH(",NKG2A,",","&amp;SUBSTITUTE(I56,", ",",")&amp;",")),1,0)</f>
        <v>0</v>
      </c>
      <c r="BO56" s="11">
        <f>IF(ISNUMBER(SEARCH(",NRAS,",","&amp;SUBSTITUTE(I56,", ",",")&amp;",")),1,0)</f>
        <v>0</v>
      </c>
      <c r="BP56" s="11">
        <f>IF(ISNUMBER(SEARCH(",NTRK,",","&amp;SUBSTITUTE(I56,", ",",")&amp;",")),1,0)</f>
        <v>1</v>
      </c>
      <c r="BQ56" s="11">
        <f>IF(ISNUMBER(SEARCH(",PARP,",","&amp;SUBSTITUTE(I56,", ",",")&amp;",")),1,0)</f>
        <v>0</v>
      </c>
      <c r="BR56" s="11">
        <f>IF(ISNUMBER(SEARCH(",PD-1,",","&amp;SUBSTITUTE(I56,", ",",")&amp;",")),1,0)</f>
        <v>0</v>
      </c>
      <c r="BS56" s="11">
        <f>IF(ISNUMBER(SEARCH(",PD-L1,",","&amp;SUBSTITUTE(I56,", ",",")&amp;",")),1,0)</f>
        <v>0</v>
      </c>
      <c r="BT56" s="11">
        <f>IF(ISNUMBER(SEARCH(",PRMT5,",","&amp;SUBSTITUTE(I56,", ",",")&amp;",")),1,0)</f>
        <v>0</v>
      </c>
      <c r="BU56" s="11">
        <f>IF(ISNUMBER(SEARCH(",RAS,",","&amp;SUBSTITUTE(I56,", ",",")&amp;",")),1,0)</f>
        <v>0</v>
      </c>
      <c r="BV56" s="11">
        <f>IF(ISNUMBER(SEARCH(",RET,",","&amp;SUBSTITUTE(I56,", ",",")&amp;",")),1,0)</f>
        <v>0</v>
      </c>
      <c r="BW56" s="11">
        <f>IF(ISNUMBER(SEARCH(",ROS,",","&amp;SUBSTITUTE(I56,", ",",")&amp;",")),1,0)</f>
        <v>0</v>
      </c>
      <c r="BX56" s="11">
        <f>IF(ISNUMBER(SEARCH(",ROS1,",","&amp;SUBSTITUTE(I56,", ",",")&amp;",")),1,0)</f>
        <v>1</v>
      </c>
      <c r="BY56" s="11">
        <f>IF(ISNUMBER(SEARCH(",Src,",","&amp;SUBSTITUTE(I56,", ",",")&amp;",")),1,0)</f>
        <v>1</v>
      </c>
      <c r="BZ56" s="11">
        <f>IF(ISNUMBER(SEARCH(",TCGF,",","&amp;SUBSTITUTE(I56,", ",",")&amp;",")),1,0)</f>
        <v>0</v>
      </c>
      <c r="CA56" s="11">
        <f>IF(ISNUMBER(SEARCH(",TGF-β,",","&amp;SUBSTITUTE(I56,", ",",")&amp;",")),1,0)</f>
        <v>0</v>
      </c>
      <c r="CB56" s="11">
        <f>IF(ISNUMBER(SEARCH(",TGF-β1,",","&amp;SUBSTITUTE(I56,", ",",")&amp;",")),1,0)</f>
        <v>0</v>
      </c>
      <c r="CC56" s="11">
        <f>IF(ISNUMBER(SEARCH(",TIGIT,",","&amp;SUBSTITUTE(I56,", ",",")&amp;",")),1,0)</f>
        <v>0</v>
      </c>
      <c r="CD56" s="11">
        <f>IF(ISNUMBER(SEARCH(",TLR,",","&amp;SUBSTITUTE(I56,", ",",")&amp;",")),1,0)</f>
        <v>0</v>
      </c>
      <c r="CE56" s="11">
        <f>IF(ISNUMBER(SEARCH(",TLR7/8,",","&amp;SUBSTITUTE(I56,", ",",")&amp;",")),1,0)</f>
        <v>0</v>
      </c>
      <c r="CF56" s="11">
        <f>IF(ISNUMBER(SEARCH(",TRK,",","&amp;SUBSTITUTE(I56,", ",",")&amp;",")),1,0)</f>
        <v>0</v>
      </c>
      <c r="CG56" s="11">
        <f>IF(ISNUMBER(SEARCH(",TROP2,",","&amp;SUBSTITUTE(I56,", ",",")&amp;",")),1,0)</f>
        <v>0</v>
      </c>
      <c r="CH56" s="11">
        <f>IF(ISNUMBER(SEARCH(",TS,",","&amp;SUBSTITUTE(I56,", ",",")&amp;",")),1,0)</f>
        <v>0</v>
      </c>
      <c r="CI56" s="11">
        <f>IF(ISNUMBER(SEARCH(",TYMS,",","&amp;SUBSTITUTE(I56,", ",",")&amp;",")),1,0)</f>
        <v>0</v>
      </c>
      <c r="CJ56" s="11">
        <f>IF(ISNUMBER(SEARCH(",VEGF,",","&amp;SUBSTITUTE(I56,", ",",")&amp;",")),1,0)</f>
        <v>0</v>
      </c>
      <c r="CK56" s="11">
        <f>IF(ISNUMBER(SEARCH(",VEGFA,",","&amp;SUBSTITUTE(I56,", ",",")&amp;",")),1,0)</f>
        <v>0</v>
      </c>
      <c r="CL56" s="11">
        <f>IF(ISNUMBER(SEARCH(",VEGFR2,",","&amp;SUBSTITUTE(I56,", ",",")&amp;",")),1,0)</f>
        <v>0</v>
      </c>
      <c r="CM56" s="11">
        <f>IF(ISNUMBER(SEARCH(",c-MET/MET,",","&amp;SUBSTITUTE(I56,", ",",")&amp;",")),1,0)</f>
        <v>0</v>
      </c>
      <c r="CN56" s="11">
        <f>IF(ISNUMBER(SEARCH(",p53,",","&amp;SUBSTITUTE(I56,", ",",")&amp;",")),1,0)</f>
        <v>0</v>
      </c>
      <c r="CO56" s="11">
        <f>IF(ISNUMBER(SEARCH(",pan-KRAS,",","&amp;SUBSTITUTE(I56,", ",",")&amp;",")),1,0)</f>
        <v>0</v>
      </c>
      <c r="CP56" s="11">
        <f>IF(ISNUMBER(SEARCH(",ALK,",","&amp;SUBSTITUTE(K56,", ",",")&amp;",")),1,0)</f>
        <v>0</v>
      </c>
      <c r="CQ56" s="11">
        <f>IF(ISNUMBER(SEARCH(",BRAF V600E,",","&amp;SUBSTITUTE(K56,", ",",")&amp;",")),1,0)</f>
        <v>0</v>
      </c>
      <c r="CR56" s="11">
        <f>IF(ISNUMBER(SEARCH(",EGFR,",","&amp;SUBSTITUTE(K56,", ",",")&amp;",")),1,0)</f>
        <v>0</v>
      </c>
      <c r="CS56" s="11">
        <f>IF(ISNUMBER(SEARCH(",EGFR Exon 18,",","&amp;SUBSTITUTE(K56,", ",",")&amp;",")),1,0)</f>
        <v>0</v>
      </c>
      <c r="CT56" s="11">
        <f>IF(ISNUMBER(SEARCH(",EGFR Exon 19-del,",","&amp;SUBSTITUTE(K56,", ",",")&amp;",")),1,0)</f>
        <v>0</v>
      </c>
      <c r="CU56" s="11">
        <f>IF(ISNUMBER(SEARCH(",EGFR Exon 20,",","&amp;SUBSTITUTE(K56,", ",",")&amp;",")),1,0)</f>
        <v>0</v>
      </c>
      <c r="CV56" s="11">
        <f>IF(ISNUMBER(SEARCH(",EGFR Exon 20-ins,",","&amp;SUBSTITUTE(K56,", ",",")&amp;",")),1,0)</f>
        <v>0</v>
      </c>
      <c r="CW56" s="11">
        <f>IF(ISNUMBER(SEARCH(",EGFR Exon 21,",","&amp;SUBSTITUTE(K56,", ",",")&amp;",")),1,0)</f>
        <v>0</v>
      </c>
      <c r="CX56" s="11">
        <f>IF(ISNUMBER(SEARCH(",EGFR G719A,",","&amp;SUBSTITUTE(K56,", ",",")&amp;",")),1,0)</f>
        <v>0</v>
      </c>
      <c r="CY56" s="11">
        <f>IF(ISNUMBER(SEARCH(",EGFR G719C,",","&amp;SUBSTITUTE(K56,", ",",")&amp;",")),1,0)</f>
        <v>0</v>
      </c>
      <c r="CZ56" s="11">
        <f>IF(ISNUMBER(SEARCH(",EGFR G719S,",","&amp;SUBSTITUTE(K56,", ",",")&amp;",")),1,0)</f>
        <v>0</v>
      </c>
      <c r="DA56" s="11">
        <f>IF(ISNUMBER(SEARCH(",EGFR G719X,",","&amp;SUBSTITUTE(K56,", ",",")&amp;",")),1,0)</f>
        <v>0</v>
      </c>
      <c r="DB56" s="11">
        <f>IF(ISNUMBER(SEARCH(",EGFR L858R,",","&amp;SUBSTITUTE(K56,", ",",")&amp;",")),1,0)</f>
        <v>0</v>
      </c>
      <c r="DC56" s="11">
        <f>IF(ISNUMBER(SEARCH(",EGFR L861Q,",","&amp;SUBSTITUTE(K56,", ",",")&amp;",")),1,0)</f>
        <v>0</v>
      </c>
      <c r="DD56" s="11">
        <f>IF(ISNUMBER(SEARCH(",EGFR PACC,",","&amp;SUBSTITUTE(K56,", ",",")&amp;",")),1,0)</f>
        <v>0</v>
      </c>
      <c r="DE56" s="11">
        <f>IF(ISNUMBER(SEARCH(",EGFR S768I,",","&amp;SUBSTITUTE(K56,", ",",")&amp;",")),1,0)</f>
        <v>0</v>
      </c>
      <c r="DF56" s="11">
        <f>IF(ISNUMBER(SEARCH(",EGFR T790M,",","&amp;SUBSTITUTE(K56,", ",",")&amp;",")),1,0)</f>
        <v>0</v>
      </c>
      <c r="DG56" s="11">
        <f>IF(ISNUMBER(SEARCH(",EML4-ALK,",","&amp;SUBSTITUTE(K56,", ",",")&amp;",")),1,0)</f>
        <v>0</v>
      </c>
      <c r="DH56" s="11">
        <f>IF(ISNUMBER(SEARCH(",HER2,",","&amp;SUBSTITUTE(K56,", ",",")&amp;",")),1,0)</f>
        <v>0</v>
      </c>
      <c r="DI56" s="11">
        <f>IF(ISNUMBER(SEARCH(",HER2 Exon 19,",","&amp;SUBSTITUTE(K56,", ",",")&amp;",")),1,0)</f>
        <v>0</v>
      </c>
      <c r="DJ56" s="11">
        <f>IF(ISNUMBER(SEARCH(",HER2 Exon 20,",","&amp;SUBSTITUTE(K56,", ",",")&amp;",")),1,0)</f>
        <v>0</v>
      </c>
      <c r="DK56" s="11">
        <f>IF(ISNUMBER(SEARCH(",HER2 mut,",","&amp;SUBSTITUTE(K56,", ",",")&amp;",")),1,0)</f>
        <v>0</v>
      </c>
      <c r="DL56" s="11">
        <f>IF(ISNUMBER(SEARCH(",HLA-A2,",","&amp;SUBSTITUTE(K56,", ",",")&amp;",")),1,0)</f>
        <v>0</v>
      </c>
      <c r="DM56" s="11">
        <f>IF(ISNUMBER(SEARCH(",HRAS,",","&amp;SUBSTITUTE(K56,", ",",")&amp;",")),1,0)</f>
        <v>0</v>
      </c>
      <c r="DN56" s="11">
        <f>IF(ISNUMBER(SEARCH(",KRAS,",","&amp;SUBSTITUTE(K56,", ",",")&amp;",")),1,0)</f>
        <v>0</v>
      </c>
      <c r="DO56" s="11">
        <f>IF(ISNUMBER(SEARCH(",KRAS G12C,",","&amp;SUBSTITUTE(K56,", ",",")&amp;",")),1,0)</f>
        <v>0</v>
      </c>
      <c r="DP56" s="11">
        <f>IF(ISNUMBER(SEARCH(",NRAS,",","&amp;SUBSTITUTE(K56,", ",",")&amp;",")),1,0)</f>
        <v>0</v>
      </c>
      <c r="DQ56" s="11">
        <f>IF(ISNUMBER(SEARCH(",NTRK,",","&amp;SUBSTITUTE(K56,", ",",")&amp;",")),1,0)</f>
        <v>0</v>
      </c>
      <c r="DR56" s="11">
        <f>IF(ISNUMBER(SEARCH(",PD-L1,",","&amp;SUBSTITUTE(K56,", ",",")&amp;",")),1,0)</f>
        <v>0</v>
      </c>
      <c r="DS56" s="11">
        <f>IF(ISNUMBER(SEARCH(",PD-L1 IC ≥ 1%,",","&amp;SUBSTITUTE(K56,", ",",")&amp;",")),1,0)</f>
        <v>0</v>
      </c>
      <c r="DT56" s="11">
        <f>IF(ISNUMBER(SEARCH(",PD-L1 TC ≥ 1%,",","&amp;SUBSTITUTE(K56,", ",",")&amp;",")),1,0)</f>
        <v>0</v>
      </c>
      <c r="DU56" s="11">
        <f>IF(ISNUMBER(SEARCH(",PD-L1 TC ≥ 50%,",","&amp;SUBSTITUTE(K56,", ",",")&amp;",")),1,0)</f>
        <v>0</v>
      </c>
      <c r="DV56" s="11">
        <f>IF(ISNUMBER(SEARCH(",PD-L1 TPS &lt; 50%,",","&amp;SUBSTITUTE(K56,", ",",")&amp;",")),1,0)</f>
        <v>0</v>
      </c>
      <c r="DW56" s="11">
        <f>IF(ISNUMBER(SEARCH(",PD-L1 TPS ≥ 1%,",","&amp;SUBSTITUTE(K56,", ",",")&amp;",")),1,0)</f>
        <v>0</v>
      </c>
      <c r="DX56" s="11">
        <f>IF(ISNUMBER(SEARCH(",PD-L1 TPS ≥ 50%,",","&amp;SUBSTITUTE(K56,", ",",")&amp;",")),1,0)</f>
        <v>0</v>
      </c>
      <c r="DY56" s="11">
        <f>IF(ISNUMBER(SEARCH(",RAS,",","&amp;SUBSTITUTE(K56,", ",",")&amp;",")),1,0)</f>
        <v>0</v>
      </c>
      <c r="DZ56" s="11">
        <f>IF(ISNUMBER(SEARCH(",RET,",","&amp;SUBSTITUTE(K56,", ",",")&amp;",")),1,0)</f>
        <v>0</v>
      </c>
      <c r="EA56" s="11">
        <f>IF(ISNUMBER(SEARCH(",ROS1,",","&amp;SUBSTITUTE(K56,", ",",")&amp;",")),1,0)</f>
        <v>1</v>
      </c>
      <c r="EB56" s="11">
        <f>IF(ISNUMBER(SEARCH(",TROP2,",","&amp;SUBSTITUTE(K56,", ",",")&amp;",")),1,0)</f>
        <v>0</v>
      </c>
      <c r="EC56" s="11">
        <f>IF(ISNUMBER(SEARCH(",c-MET/MET,",","&amp;SUBSTITUTE(K56,", ",",")&amp;",")),1,0)</f>
        <v>0</v>
      </c>
      <c r="ED56" s="11">
        <f>IF(ISNUMBER(SEARCH(",c-MET/MET Exon 14,",","&amp;SUBSTITUTE(K56,", ",",")&amp;",")),1,0)</f>
        <v>0</v>
      </c>
      <c r="EE56" s="11">
        <f>IF(ISNUMBER(SEARCH(",ctDNA/cfDNA,",","&amp;SUBSTITUTE(K56,", ",",")&amp;",")),1,0)</f>
        <v>0</v>
      </c>
    </row>
    <row r="57" spans="1:135" ht="15" customHeight="1" x14ac:dyDescent="0.2">
      <c r="A57" s="3" t="s">
        <v>791</v>
      </c>
      <c r="B57" s="3" t="s">
        <v>792</v>
      </c>
      <c r="C57" s="3" t="s">
        <v>793</v>
      </c>
      <c r="D57" s="3" t="s">
        <v>793</v>
      </c>
      <c r="E57" s="3" t="s">
        <v>793</v>
      </c>
      <c r="F57" s="3" t="s">
        <v>259</v>
      </c>
      <c r="G57" s="3" t="s">
        <v>544</v>
      </c>
      <c r="H57" s="3" t="s">
        <v>114</v>
      </c>
      <c r="I57" s="3" t="s">
        <v>780</v>
      </c>
      <c r="J57" s="3" t="s">
        <v>286</v>
      </c>
      <c r="K57" s="3"/>
      <c r="L57" s="3" t="s">
        <v>119</v>
      </c>
      <c r="M57" s="3" t="s">
        <v>113</v>
      </c>
      <c r="N57" s="3" t="s">
        <v>120</v>
      </c>
      <c r="O57" s="3" t="s">
        <v>120</v>
      </c>
      <c r="P57" s="3" t="s">
        <v>794</v>
      </c>
      <c r="Q57" s="10" t="str">
        <f>IF(F57="Stage IV","Stage IV Only",IF(AND(ISNUMBER(SEARCH("IV",F57)),LEN(F57)&gt;LEN("Stage IV")),"Stage IV + Other",IF(AND(ISNUMBER(SEARCH("III",F57)),NOT(ISNUMBER(SEARCH("IV",F57)))),"Stage III Only","Other")))</f>
        <v>Stage IV Only</v>
      </c>
      <c r="R57" s="10" t="str">
        <f>IF(AND(ISNUMBER(SEARCH("Non-squamous",G57)),ISNUMBER(SEARCH("Squamous",SUBSTITUTE(G57,"Non-squamous","")))),"Both",IF(ISNUMBER(SEARCH("Non-squamous",G57)),"Non-squamous",IF(ISNUMBER(SEARCH("Squamous",G57)),"Squamous","Unspecified")))</f>
        <v>Both</v>
      </c>
      <c r="S57" s="10" t="str">
        <f>IF(OR(ISNUMBER(SEARCH("TPS ≥ 50%",K57)),ISNUMBER(SEARCH("TC ≥ 50%",K57))),"TPS ≥ 50%",IF(OR(ISNUMBER(SEARCH("TPS ≥ 1%",K57)),ISNUMBER(SEARCH("TC ≥ 1%",K57)),ISNUMBER(SEARCH("TPS &lt; 50%",K57)),ISNUMBER(SEARCH("IC ≥ 1%",K57))),"TPS 1-49%","All-comers"))</f>
        <v>All-comers</v>
      </c>
      <c r="T57" s="10">
        <f>IF(H57="Phase III",1,0)</f>
        <v>1</v>
      </c>
      <c r="U57" s="10">
        <f>IF(L57="Yes",1,0)</f>
        <v>0</v>
      </c>
      <c r="V57" s="11">
        <f>IF(ISNUMBER(SEARCH(",ALK,",","&amp;SUBSTITUTE(I57,", ",",")&amp;",")),1,0)</f>
        <v>0</v>
      </c>
      <c r="W57" s="11">
        <f>IF(ISNUMBER(SEARCH(",ALK L1196M,",","&amp;SUBSTITUTE(I57,", ",",")&amp;",")),1,0)</f>
        <v>0</v>
      </c>
      <c r="X57" s="11">
        <f>IF(ISNUMBER(SEARCH(",AXL,",","&amp;SUBSTITUTE(I57,", ",",")&amp;",")),1,0)</f>
        <v>0</v>
      </c>
      <c r="Y57" s="11">
        <f>IF(ISNUMBER(SEARCH(",B7-H1,",","&amp;SUBSTITUTE(I57,", ",",")&amp;",")),1,0)</f>
        <v>0</v>
      </c>
      <c r="Z57" s="11">
        <f>IF(ISNUMBER(SEARCH(",CD152,",","&amp;SUBSTITUTE(I57,", ",",")&amp;",")),1,0)</f>
        <v>0</v>
      </c>
      <c r="AA57" s="11">
        <f>IF(ISNUMBER(SEARCH(",CD274,",","&amp;SUBSTITUTE(I57,", ",",")&amp;",")),1,0)</f>
        <v>0</v>
      </c>
      <c r="AB57" s="11">
        <f>IF(ISNUMBER(SEARCH(",CD279,",","&amp;SUBSTITUTE(I57,", ",",")&amp;",")),1,0)</f>
        <v>1</v>
      </c>
      <c r="AC57" s="11">
        <f>IF(ISNUMBER(SEARCH(",CD73,",","&amp;SUBSTITUTE(I57,", ",",")&amp;",")),1,0)</f>
        <v>0</v>
      </c>
      <c r="AD57" s="11">
        <f>IF(ISNUMBER(SEARCH(",CEA,",","&amp;SUBSTITUTE(I57,", ",",")&amp;",")),1,0)</f>
        <v>0</v>
      </c>
      <c r="AE57" s="11">
        <f>IF(ISNUMBER(SEARCH(",CTLA-4,",","&amp;SUBSTITUTE(I57,", ",",")&amp;",")),1,0)</f>
        <v>0</v>
      </c>
      <c r="AF57" s="11">
        <f>IF(ISNUMBER(SEARCH(",EGFR,",","&amp;SUBSTITUTE(I57,", ",",")&amp;",")),1,0)</f>
        <v>0</v>
      </c>
      <c r="AG57" s="11">
        <f>IF(ISNUMBER(SEARCH(",EGFR C797G,",","&amp;SUBSTITUTE(I57,", ",",")&amp;",")),1,0)</f>
        <v>0</v>
      </c>
      <c r="AH57" s="11">
        <f>IF(ISNUMBER(SEARCH(",EGFR C797S,",","&amp;SUBSTITUTE(I57,", ",",")&amp;",")),1,0)</f>
        <v>0</v>
      </c>
      <c r="AI57" s="11">
        <f>IF(ISNUMBER(SEARCH(",EGFR Exon 19-del,",","&amp;SUBSTITUTE(I57,", ",",")&amp;",")),1,0)</f>
        <v>0</v>
      </c>
      <c r="AJ57" s="11">
        <f>IF(ISNUMBER(SEARCH(",EGFR Exon 20,",","&amp;SUBSTITUTE(I57,", ",",")&amp;",")),1,0)</f>
        <v>0</v>
      </c>
      <c r="AK57" s="11">
        <f>IF(ISNUMBER(SEARCH(",EGFR L858R,",","&amp;SUBSTITUTE(I57,", ",",")&amp;",")),1,0)</f>
        <v>0</v>
      </c>
      <c r="AL57" s="11">
        <f>IF(ISNUMBER(SEARCH(",EGFR T790M,",","&amp;SUBSTITUTE(I57,", ",",")&amp;",")),1,0)</f>
        <v>0</v>
      </c>
      <c r="AM57" s="11">
        <f>IF(ISNUMBER(SEARCH(",ERBB,",","&amp;SUBSTITUTE(I57,", ",",")&amp;",")),1,0)</f>
        <v>0</v>
      </c>
      <c r="AN57" s="11">
        <f>IF(ISNUMBER(SEARCH(",ERBB3,",","&amp;SUBSTITUTE(I57,", ",",")&amp;",")),1,0)</f>
        <v>0</v>
      </c>
      <c r="AO57" s="11">
        <f>IF(ISNUMBER(SEARCH(",FAK,",","&amp;SUBSTITUTE(I57,", ",",")&amp;",")),1,0)</f>
        <v>0</v>
      </c>
      <c r="AP57" s="11">
        <f>IF(ISNUMBER(SEARCH(",GARP,",","&amp;SUBSTITUTE(I57,", ",",")&amp;",")),1,0)</f>
        <v>0</v>
      </c>
      <c r="AQ57" s="11">
        <f>IF(ISNUMBER(SEARCH(",HER1,",","&amp;SUBSTITUTE(I57,", ",",")&amp;",")),1,0)</f>
        <v>0</v>
      </c>
      <c r="AR57" s="11">
        <f>IF(ISNUMBER(SEARCH(",HER2,",","&amp;SUBSTITUTE(I57,", ",",")&amp;",")),1,0)</f>
        <v>0</v>
      </c>
      <c r="AS57" s="11">
        <f>IF(ISNUMBER(SEARCH(",HER2 Exon 20,",","&amp;SUBSTITUTE(I57,", ",",")&amp;",")),1,0)</f>
        <v>0</v>
      </c>
      <c r="AT57" s="11">
        <f>IF(ISNUMBER(SEARCH(",HER3,",","&amp;SUBSTITUTE(I57,", ",",")&amp;",")),1,0)</f>
        <v>0</v>
      </c>
      <c r="AU57" s="11">
        <f>IF(ISNUMBER(SEARCH(",HER4,",","&amp;SUBSTITUTE(I57,", ",",")&amp;",")),1,0)</f>
        <v>0</v>
      </c>
      <c r="AV57" s="11">
        <f>IF(ISNUMBER(SEARCH(",HRAS,",","&amp;SUBSTITUTE(I57,", ",",")&amp;",")),1,0)</f>
        <v>0</v>
      </c>
      <c r="AW57" s="11">
        <f>IF(ISNUMBER(SEARCH(",HSV-TK,",","&amp;SUBSTITUTE(I57,", ",",")&amp;",")),1,0)</f>
        <v>0</v>
      </c>
      <c r="AX57" s="11">
        <f>IF(ISNUMBER(SEARCH(",IL-12,",","&amp;SUBSTITUTE(I57,", ",",")&amp;",")),1,0)</f>
        <v>0</v>
      </c>
      <c r="AY57" s="11">
        <f>IF(ISNUMBER(SEARCH(",IL-15,",","&amp;SUBSTITUTE(I57,", ",",")&amp;",")),1,0)</f>
        <v>0</v>
      </c>
      <c r="AZ57" s="11">
        <f>IF(ISNUMBER(SEARCH(",IL-15R,",","&amp;SUBSTITUTE(I57,", ",",")&amp;",")),1,0)</f>
        <v>0</v>
      </c>
      <c r="BA57" s="11">
        <f>IF(ISNUMBER(SEARCH(",IL-2,",","&amp;SUBSTITUTE(I57,", ",",")&amp;",")),1,0)</f>
        <v>0</v>
      </c>
      <c r="BB57" s="11">
        <f>IF(ISNUMBER(SEARCH(",Integrin β6,",","&amp;SUBSTITUTE(I57,", ",",")&amp;",")),1,0)</f>
        <v>0</v>
      </c>
      <c r="BC57" s="11">
        <f>IF(ISNUMBER(SEARCH(",KDR,",","&amp;SUBSTITUTE(I57,", ",",")&amp;",")),1,0)</f>
        <v>0</v>
      </c>
      <c r="BD57" s="11">
        <f>IF(ISNUMBER(SEARCH(",KLRC1,",","&amp;SUBSTITUTE(I57,", ",",")&amp;",")),1,0)</f>
        <v>0</v>
      </c>
      <c r="BE57" s="11">
        <f>IF(ISNUMBER(SEARCH(",KRAS,",","&amp;SUBSTITUTE(I57,", ",",")&amp;",")),1,0)</f>
        <v>0</v>
      </c>
      <c r="BF57" s="11">
        <f>IF(ISNUMBER(SEARCH(",KRAS G12,",","&amp;SUBSTITUTE(I57,", ",",")&amp;",")),1,0)</f>
        <v>0</v>
      </c>
      <c r="BG57" s="11">
        <f>IF(ISNUMBER(SEARCH(",KRAS G12C,",","&amp;SUBSTITUTE(I57,", ",",")&amp;",")),1,0)</f>
        <v>0</v>
      </c>
      <c r="BH57" s="11">
        <f>IF(ISNUMBER(SEARCH(",KRAS G12D,",","&amp;SUBSTITUTE(I57,", ",",")&amp;",")),1,0)</f>
        <v>0</v>
      </c>
      <c r="BI57" s="11">
        <f>IF(ISNUMBER(SEARCH(",LAG-3,",","&amp;SUBSTITUTE(I57,", ",",")&amp;",")),1,0)</f>
        <v>0</v>
      </c>
      <c r="BJ57" s="11">
        <f>IF(ISNUMBER(SEARCH(",MAGE-A2,",","&amp;SUBSTITUTE(I57,", ",",")&amp;",")),1,0)</f>
        <v>0</v>
      </c>
      <c r="BK57" s="11">
        <f>IF(ISNUMBER(SEARCH(",MAGE-A3,",","&amp;SUBSTITUTE(I57,", ",",")&amp;",")),1,0)</f>
        <v>0</v>
      </c>
      <c r="BL57" s="11">
        <f>IF(ISNUMBER(SEARCH(",MLN19,",","&amp;SUBSTITUTE(I57,", ",",")&amp;",")),1,0)</f>
        <v>0</v>
      </c>
      <c r="BM57" s="11">
        <f>IF(ISNUMBER(SEARCH(",Microtubule,",","&amp;SUBSTITUTE(I57,", ",",")&amp;",")),1,0)</f>
        <v>1</v>
      </c>
      <c r="BN57" s="11">
        <f>IF(ISNUMBER(SEARCH(",NKG2A,",","&amp;SUBSTITUTE(I57,", ",",")&amp;",")),1,0)</f>
        <v>0</v>
      </c>
      <c r="BO57" s="11">
        <f>IF(ISNUMBER(SEARCH(",NRAS,",","&amp;SUBSTITUTE(I57,", ",",")&amp;",")),1,0)</f>
        <v>0</v>
      </c>
      <c r="BP57" s="11">
        <f>IF(ISNUMBER(SEARCH(",NTRK,",","&amp;SUBSTITUTE(I57,", ",",")&amp;",")),1,0)</f>
        <v>0</v>
      </c>
      <c r="BQ57" s="11">
        <f>IF(ISNUMBER(SEARCH(",PARP,",","&amp;SUBSTITUTE(I57,", ",",")&amp;",")),1,0)</f>
        <v>0</v>
      </c>
      <c r="BR57" s="11">
        <f>IF(ISNUMBER(SEARCH(",PD-1,",","&amp;SUBSTITUTE(I57,", ",",")&amp;",")),1,0)</f>
        <v>1</v>
      </c>
      <c r="BS57" s="11">
        <f>IF(ISNUMBER(SEARCH(",PD-L1,",","&amp;SUBSTITUTE(I57,", ",",")&amp;",")),1,0)</f>
        <v>0</v>
      </c>
      <c r="BT57" s="11">
        <f>IF(ISNUMBER(SEARCH(",PRMT5,",","&amp;SUBSTITUTE(I57,", ",",")&amp;",")),1,0)</f>
        <v>0</v>
      </c>
      <c r="BU57" s="11">
        <f>IF(ISNUMBER(SEARCH(",RAS,",","&amp;SUBSTITUTE(I57,", ",",")&amp;",")),1,0)</f>
        <v>0</v>
      </c>
      <c r="BV57" s="11">
        <f>IF(ISNUMBER(SEARCH(",RET,",","&amp;SUBSTITUTE(I57,", ",",")&amp;",")),1,0)</f>
        <v>0</v>
      </c>
      <c r="BW57" s="11">
        <f>IF(ISNUMBER(SEARCH(",ROS,",","&amp;SUBSTITUTE(I57,", ",",")&amp;",")),1,0)</f>
        <v>0</v>
      </c>
      <c r="BX57" s="11">
        <f>IF(ISNUMBER(SEARCH(",ROS1,",","&amp;SUBSTITUTE(I57,", ",",")&amp;",")),1,0)</f>
        <v>0</v>
      </c>
      <c r="BY57" s="11">
        <f>IF(ISNUMBER(SEARCH(",Src,",","&amp;SUBSTITUTE(I57,", ",",")&amp;",")),1,0)</f>
        <v>0</v>
      </c>
      <c r="BZ57" s="11">
        <f>IF(ISNUMBER(SEARCH(",TCGF,",","&amp;SUBSTITUTE(I57,", ",",")&amp;",")),1,0)</f>
        <v>0</v>
      </c>
      <c r="CA57" s="11">
        <f>IF(ISNUMBER(SEARCH(",TGF-β,",","&amp;SUBSTITUTE(I57,", ",",")&amp;",")),1,0)</f>
        <v>0</v>
      </c>
      <c r="CB57" s="11">
        <f>IF(ISNUMBER(SEARCH(",TGF-β1,",","&amp;SUBSTITUTE(I57,", ",",")&amp;",")),1,0)</f>
        <v>0</v>
      </c>
      <c r="CC57" s="11">
        <f>IF(ISNUMBER(SEARCH(",TIGIT,",","&amp;SUBSTITUTE(I57,", ",",")&amp;",")),1,0)</f>
        <v>0</v>
      </c>
      <c r="CD57" s="11">
        <f>IF(ISNUMBER(SEARCH(",TLR,",","&amp;SUBSTITUTE(I57,", ",",")&amp;",")),1,0)</f>
        <v>0</v>
      </c>
      <c r="CE57" s="11">
        <f>IF(ISNUMBER(SEARCH(",TLR7/8,",","&amp;SUBSTITUTE(I57,", ",",")&amp;",")),1,0)</f>
        <v>0</v>
      </c>
      <c r="CF57" s="11">
        <f>IF(ISNUMBER(SEARCH(",TRK,",","&amp;SUBSTITUTE(I57,", ",",")&amp;",")),1,0)</f>
        <v>0</v>
      </c>
      <c r="CG57" s="11">
        <f>IF(ISNUMBER(SEARCH(",TROP2,",","&amp;SUBSTITUTE(I57,", ",",")&amp;",")),1,0)</f>
        <v>0</v>
      </c>
      <c r="CH57" s="11">
        <f>IF(ISNUMBER(SEARCH(",TS,",","&amp;SUBSTITUTE(I57,", ",",")&amp;",")),1,0)</f>
        <v>1</v>
      </c>
      <c r="CI57" s="11">
        <f>IF(ISNUMBER(SEARCH(",TYMS,",","&amp;SUBSTITUTE(I57,", ",",")&amp;",")),1,0)</f>
        <v>1</v>
      </c>
      <c r="CJ57" s="11">
        <f>IF(ISNUMBER(SEARCH(",VEGF,",","&amp;SUBSTITUTE(I57,", ",",")&amp;",")),1,0)</f>
        <v>0</v>
      </c>
      <c r="CK57" s="11">
        <f>IF(ISNUMBER(SEARCH(",VEGFA,",","&amp;SUBSTITUTE(I57,", ",",")&amp;",")),1,0)</f>
        <v>0</v>
      </c>
      <c r="CL57" s="11">
        <f>IF(ISNUMBER(SEARCH(",VEGFR2,",","&amp;SUBSTITUTE(I57,", ",",")&amp;",")),1,0)</f>
        <v>0</v>
      </c>
      <c r="CM57" s="11">
        <f>IF(ISNUMBER(SEARCH(",c-MET/MET,",","&amp;SUBSTITUTE(I57,", ",",")&amp;",")),1,0)</f>
        <v>0</v>
      </c>
      <c r="CN57" s="11">
        <f>IF(ISNUMBER(SEARCH(",p53,",","&amp;SUBSTITUTE(I57,", ",",")&amp;",")),1,0)</f>
        <v>0</v>
      </c>
      <c r="CO57" s="11">
        <f>IF(ISNUMBER(SEARCH(",pan-KRAS,",","&amp;SUBSTITUTE(I57,", ",",")&amp;",")),1,0)</f>
        <v>0</v>
      </c>
      <c r="CP57" s="11">
        <f>IF(ISNUMBER(SEARCH(",ALK,",","&amp;SUBSTITUTE(K57,", ",",")&amp;",")),1,0)</f>
        <v>0</v>
      </c>
      <c r="CQ57" s="11">
        <f>IF(ISNUMBER(SEARCH(",BRAF V600E,",","&amp;SUBSTITUTE(K57,", ",",")&amp;",")),1,0)</f>
        <v>0</v>
      </c>
      <c r="CR57" s="11">
        <f>IF(ISNUMBER(SEARCH(",EGFR,",","&amp;SUBSTITUTE(K57,", ",",")&amp;",")),1,0)</f>
        <v>0</v>
      </c>
      <c r="CS57" s="11">
        <f>IF(ISNUMBER(SEARCH(",EGFR Exon 18,",","&amp;SUBSTITUTE(K57,", ",",")&amp;",")),1,0)</f>
        <v>0</v>
      </c>
      <c r="CT57" s="11">
        <f>IF(ISNUMBER(SEARCH(",EGFR Exon 19-del,",","&amp;SUBSTITUTE(K57,", ",",")&amp;",")),1,0)</f>
        <v>0</v>
      </c>
      <c r="CU57" s="11">
        <f>IF(ISNUMBER(SEARCH(",EGFR Exon 20,",","&amp;SUBSTITUTE(K57,", ",",")&amp;",")),1,0)</f>
        <v>0</v>
      </c>
      <c r="CV57" s="11">
        <f>IF(ISNUMBER(SEARCH(",EGFR Exon 20-ins,",","&amp;SUBSTITUTE(K57,", ",",")&amp;",")),1,0)</f>
        <v>0</v>
      </c>
      <c r="CW57" s="11">
        <f>IF(ISNUMBER(SEARCH(",EGFR Exon 21,",","&amp;SUBSTITUTE(K57,", ",",")&amp;",")),1,0)</f>
        <v>0</v>
      </c>
      <c r="CX57" s="11">
        <f>IF(ISNUMBER(SEARCH(",EGFR G719A,",","&amp;SUBSTITUTE(K57,", ",",")&amp;",")),1,0)</f>
        <v>0</v>
      </c>
      <c r="CY57" s="11">
        <f>IF(ISNUMBER(SEARCH(",EGFR G719C,",","&amp;SUBSTITUTE(K57,", ",",")&amp;",")),1,0)</f>
        <v>0</v>
      </c>
      <c r="CZ57" s="11">
        <f>IF(ISNUMBER(SEARCH(",EGFR G719S,",","&amp;SUBSTITUTE(K57,", ",",")&amp;",")),1,0)</f>
        <v>0</v>
      </c>
      <c r="DA57" s="11">
        <f>IF(ISNUMBER(SEARCH(",EGFR G719X,",","&amp;SUBSTITUTE(K57,", ",",")&amp;",")),1,0)</f>
        <v>0</v>
      </c>
      <c r="DB57" s="11">
        <f>IF(ISNUMBER(SEARCH(",EGFR L858R,",","&amp;SUBSTITUTE(K57,", ",",")&amp;",")),1,0)</f>
        <v>0</v>
      </c>
      <c r="DC57" s="11">
        <f>IF(ISNUMBER(SEARCH(",EGFR L861Q,",","&amp;SUBSTITUTE(K57,", ",",")&amp;",")),1,0)</f>
        <v>0</v>
      </c>
      <c r="DD57" s="11">
        <f>IF(ISNUMBER(SEARCH(",EGFR PACC,",","&amp;SUBSTITUTE(K57,", ",",")&amp;",")),1,0)</f>
        <v>0</v>
      </c>
      <c r="DE57" s="11">
        <f>IF(ISNUMBER(SEARCH(",EGFR S768I,",","&amp;SUBSTITUTE(K57,", ",",")&amp;",")),1,0)</f>
        <v>0</v>
      </c>
      <c r="DF57" s="11">
        <f>IF(ISNUMBER(SEARCH(",EGFR T790M,",","&amp;SUBSTITUTE(K57,", ",",")&amp;",")),1,0)</f>
        <v>0</v>
      </c>
      <c r="DG57" s="11">
        <f>IF(ISNUMBER(SEARCH(",EML4-ALK,",","&amp;SUBSTITUTE(K57,", ",",")&amp;",")),1,0)</f>
        <v>0</v>
      </c>
      <c r="DH57" s="11">
        <f>IF(ISNUMBER(SEARCH(",HER2,",","&amp;SUBSTITUTE(K57,", ",",")&amp;",")),1,0)</f>
        <v>0</v>
      </c>
      <c r="DI57" s="11">
        <f>IF(ISNUMBER(SEARCH(",HER2 Exon 19,",","&amp;SUBSTITUTE(K57,", ",",")&amp;",")),1,0)</f>
        <v>0</v>
      </c>
      <c r="DJ57" s="11">
        <f>IF(ISNUMBER(SEARCH(",HER2 Exon 20,",","&amp;SUBSTITUTE(K57,", ",",")&amp;",")),1,0)</f>
        <v>0</v>
      </c>
      <c r="DK57" s="11">
        <f>IF(ISNUMBER(SEARCH(",HER2 mut,",","&amp;SUBSTITUTE(K57,", ",",")&amp;",")),1,0)</f>
        <v>0</v>
      </c>
      <c r="DL57" s="11">
        <f>IF(ISNUMBER(SEARCH(",HLA-A2,",","&amp;SUBSTITUTE(K57,", ",",")&amp;",")),1,0)</f>
        <v>0</v>
      </c>
      <c r="DM57" s="11">
        <f>IF(ISNUMBER(SEARCH(",HRAS,",","&amp;SUBSTITUTE(K57,", ",",")&amp;",")),1,0)</f>
        <v>0</v>
      </c>
      <c r="DN57" s="11">
        <f>IF(ISNUMBER(SEARCH(",KRAS,",","&amp;SUBSTITUTE(K57,", ",",")&amp;",")),1,0)</f>
        <v>0</v>
      </c>
      <c r="DO57" s="11">
        <f>IF(ISNUMBER(SEARCH(",KRAS G12C,",","&amp;SUBSTITUTE(K57,", ",",")&amp;",")),1,0)</f>
        <v>0</v>
      </c>
      <c r="DP57" s="11">
        <f>IF(ISNUMBER(SEARCH(",NRAS,",","&amp;SUBSTITUTE(K57,", ",",")&amp;",")),1,0)</f>
        <v>0</v>
      </c>
      <c r="DQ57" s="11">
        <f>IF(ISNUMBER(SEARCH(",NTRK,",","&amp;SUBSTITUTE(K57,", ",",")&amp;",")),1,0)</f>
        <v>0</v>
      </c>
      <c r="DR57" s="11">
        <f>IF(ISNUMBER(SEARCH(",PD-L1,",","&amp;SUBSTITUTE(K57,", ",",")&amp;",")),1,0)</f>
        <v>0</v>
      </c>
      <c r="DS57" s="11">
        <f>IF(ISNUMBER(SEARCH(",PD-L1 IC ≥ 1%,",","&amp;SUBSTITUTE(K57,", ",",")&amp;",")),1,0)</f>
        <v>0</v>
      </c>
      <c r="DT57" s="11">
        <f>IF(ISNUMBER(SEARCH(",PD-L1 TC ≥ 1%,",","&amp;SUBSTITUTE(K57,", ",",")&amp;",")),1,0)</f>
        <v>0</v>
      </c>
      <c r="DU57" s="11">
        <f>IF(ISNUMBER(SEARCH(",PD-L1 TC ≥ 50%,",","&amp;SUBSTITUTE(K57,", ",",")&amp;",")),1,0)</f>
        <v>0</v>
      </c>
      <c r="DV57" s="11">
        <f>IF(ISNUMBER(SEARCH(",PD-L1 TPS &lt; 50%,",","&amp;SUBSTITUTE(K57,", ",",")&amp;",")),1,0)</f>
        <v>0</v>
      </c>
      <c r="DW57" s="11">
        <f>IF(ISNUMBER(SEARCH(",PD-L1 TPS ≥ 1%,",","&amp;SUBSTITUTE(K57,", ",",")&amp;",")),1,0)</f>
        <v>0</v>
      </c>
      <c r="DX57" s="11">
        <f>IF(ISNUMBER(SEARCH(",PD-L1 TPS ≥ 50%,",","&amp;SUBSTITUTE(K57,", ",",")&amp;",")),1,0)</f>
        <v>0</v>
      </c>
      <c r="DY57" s="11">
        <f>IF(ISNUMBER(SEARCH(",RAS,",","&amp;SUBSTITUTE(K57,", ",",")&amp;",")),1,0)</f>
        <v>0</v>
      </c>
      <c r="DZ57" s="11">
        <f>IF(ISNUMBER(SEARCH(",RET,",","&amp;SUBSTITUTE(K57,", ",",")&amp;",")),1,0)</f>
        <v>0</v>
      </c>
      <c r="EA57" s="11">
        <f>IF(ISNUMBER(SEARCH(",ROS1,",","&amp;SUBSTITUTE(K57,", ",",")&amp;",")),1,0)</f>
        <v>0</v>
      </c>
      <c r="EB57" s="11">
        <f>IF(ISNUMBER(SEARCH(",TROP2,",","&amp;SUBSTITUTE(K57,", ",",")&amp;",")),1,0)</f>
        <v>0</v>
      </c>
      <c r="EC57" s="11">
        <f>IF(ISNUMBER(SEARCH(",c-MET/MET,",","&amp;SUBSTITUTE(K57,", ",",")&amp;",")),1,0)</f>
        <v>0</v>
      </c>
      <c r="ED57" s="11">
        <f>IF(ISNUMBER(SEARCH(",c-MET/MET Exon 14,",","&amp;SUBSTITUTE(K57,", ",",")&amp;",")),1,0)</f>
        <v>0</v>
      </c>
      <c r="EE57" s="11">
        <f>IF(ISNUMBER(SEARCH(",ctDNA/cfDNA,",","&amp;SUBSTITUTE(K57,", ",",")&amp;",")),1,0)</f>
        <v>0</v>
      </c>
    </row>
    <row r="58" spans="1:135" ht="15" customHeight="1" x14ac:dyDescent="0.2">
      <c r="A58" s="3" t="s">
        <v>1188</v>
      </c>
      <c r="B58" s="3" t="s">
        <v>1189</v>
      </c>
      <c r="C58" s="3" t="s">
        <v>350</v>
      </c>
      <c r="D58" s="3" t="s">
        <v>350</v>
      </c>
      <c r="E58" s="3" t="s">
        <v>350</v>
      </c>
      <c r="F58" s="3" t="s">
        <v>572</v>
      </c>
      <c r="G58" s="3" t="s">
        <v>181</v>
      </c>
      <c r="H58" s="3" t="s">
        <v>114</v>
      </c>
      <c r="I58" s="3" t="s">
        <v>1193</v>
      </c>
      <c r="J58" s="3" t="s">
        <v>1192</v>
      </c>
      <c r="K58" s="3" t="s">
        <v>1198</v>
      </c>
      <c r="L58" s="3" t="s">
        <v>119</v>
      </c>
      <c r="M58" s="3" t="s">
        <v>113</v>
      </c>
      <c r="N58" s="3" t="s">
        <v>120</v>
      </c>
      <c r="O58" s="3" t="s">
        <v>120</v>
      </c>
      <c r="P58" s="3" t="s">
        <v>1190</v>
      </c>
      <c r="Q58" s="10" t="str">
        <f>IF(F58="Stage IV","Stage IV Only",IF(AND(ISNUMBER(SEARCH("IV",F58)),LEN(F58)&gt;LEN("Stage IV")),"Stage IV + Other",IF(AND(ISNUMBER(SEARCH("III",F58)),NOT(ISNUMBER(SEARCH("IV",F58)))),"Stage III Only","Other")))</f>
        <v>Stage IV + Other</v>
      </c>
      <c r="R58" s="10" t="str">
        <f>IF(AND(ISNUMBER(SEARCH("Non-squamous",G58)),ISNUMBER(SEARCH("Squamous",SUBSTITUTE(G58,"Non-squamous","")))),"Both",IF(ISNUMBER(SEARCH("Non-squamous",G58)),"Non-squamous",IF(ISNUMBER(SEARCH("Squamous",G58)),"Squamous","Unspecified")))</f>
        <v>Non-squamous</v>
      </c>
      <c r="S58" s="10" t="str">
        <f>IF(OR(ISNUMBER(SEARCH("TPS ≥ 50%",K58)),ISNUMBER(SEARCH("TC ≥ 50%",K58))),"TPS ≥ 50%",IF(OR(ISNUMBER(SEARCH("TPS ≥ 1%",K58)),ISNUMBER(SEARCH("TC ≥ 1%",K58)),ISNUMBER(SEARCH("TPS &lt; 50%",K58)),ISNUMBER(SEARCH("IC ≥ 1%",K58))),"TPS 1-49%","All-comers"))</f>
        <v>TPS ≥ 50%</v>
      </c>
      <c r="T58" s="10">
        <f>IF(H58="Phase III",1,0)</f>
        <v>1</v>
      </c>
      <c r="U58" s="10">
        <f>IF(L58="Yes",1,0)</f>
        <v>0</v>
      </c>
      <c r="V58" s="11">
        <f>IF(ISNUMBER(SEARCH(",ALK,",","&amp;SUBSTITUTE(I58,", ",",")&amp;",")),1,0)</f>
        <v>0</v>
      </c>
      <c r="W58" s="11">
        <f>IF(ISNUMBER(SEARCH(",ALK L1196M,",","&amp;SUBSTITUTE(I58,", ",",")&amp;",")),1,0)</f>
        <v>0</v>
      </c>
      <c r="X58" s="11">
        <f>IF(ISNUMBER(SEARCH(",AXL,",","&amp;SUBSTITUTE(I58,", ",",")&amp;",")),1,0)</f>
        <v>0</v>
      </c>
      <c r="Y58" s="11">
        <f>IF(ISNUMBER(SEARCH(",B7-H1,",","&amp;SUBSTITUTE(I58,", ",",")&amp;",")),1,0)</f>
        <v>0</v>
      </c>
      <c r="Z58" s="11">
        <f>IF(ISNUMBER(SEARCH(",CD152,",","&amp;SUBSTITUTE(I58,", ",",")&amp;",")),1,0)</f>
        <v>0</v>
      </c>
      <c r="AA58" s="11">
        <f>IF(ISNUMBER(SEARCH(",CD274,",","&amp;SUBSTITUTE(I58,", ",",")&amp;",")),1,0)</f>
        <v>0</v>
      </c>
      <c r="AB58" s="11">
        <f>IF(ISNUMBER(SEARCH(",CD279,",","&amp;SUBSTITUTE(I58,", ",",")&amp;",")),1,0)</f>
        <v>1</v>
      </c>
      <c r="AC58" s="11">
        <f>IF(ISNUMBER(SEARCH(",CD73,",","&amp;SUBSTITUTE(I58,", ",",")&amp;",")),1,0)</f>
        <v>0</v>
      </c>
      <c r="AD58" s="11">
        <f>IF(ISNUMBER(SEARCH(",CEA,",","&amp;SUBSTITUTE(I58,", ",",")&amp;",")),1,0)</f>
        <v>0</v>
      </c>
      <c r="AE58" s="11">
        <f>IF(ISNUMBER(SEARCH(",CTLA-4,",","&amp;SUBSTITUTE(I58,", ",",")&amp;",")),1,0)</f>
        <v>0</v>
      </c>
      <c r="AF58" s="11">
        <f>IF(ISNUMBER(SEARCH(",EGFR,",","&amp;SUBSTITUTE(I58,", ",",")&amp;",")),1,0)</f>
        <v>0</v>
      </c>
      <c r="AG58" s="11">
        <f>IF(ISNUMBER(SEARCH(",EGFR C797G,",","&amp;SUBSTITUTE(I58,", ",",")&amp;",")),1,0)</f>
        <v>0</v>
      </c>
      <c r="AH58" s="11">
        <f>IF(ISNUMBER(SEARCH(",EGFR C797S,",","&amp;SUBSTITUTE(I58,", ",",")&amp;",")),1,0)</f>
        <v>0</v>
      </c>
      <c r="AI58" s="11">
        <f>IF(ISNUMBER(SEARCH(",EGFR Exon 19-del,",","&amp;SUBSTITUTE(I58,", ",",")&amp;",")),1,0)</f>
        <v>0</v>
      </c>
      <c r="AJ58" s="11">
        <f>IF(ISNUMBER(SEARCH(",EGFR Exon 20,",","&amp;SUBSTITUTE(I58,", ",",")&amp;",")),1,0)</f>
        <v>0</v>
      </c>
      <c r="AK58" s="11">
        <f>IF(ISNUMBER(SEARCH(",EGFR L858R,",","&amp;SUBSTITUTE(I58,", ",",")&amp;",")),1,0)</f>
        <v>0</v>
      </c>
      <c r="AL58" s="11">
        <f>IF(ISNUMBER(SEARCH(",EGFR T790M,",","&amp;SUBSTITUTE(I58,", ",",")&amp;",")),1,0)</f>
        <v>0</v>
      </c>
      <c r="AM58" s="11">
        <f>IF(ISNUMBER(SEARCH(",ERBB,",","&amp;SUBSTITUTE(I58,", ",",")&amp;",")),1,0)</f>
        <v>0</v>
      </c>
      <c r="AN58" s="11">
        <f>IF(ISNUMBER(SEARCH(",ERBB3,",","&amp;SUBSTITUTE(I58,", ",",")&amp;",")),1,0)</f>
        <v>0</v>
      </c>
      <c r="AO58" s="11">
        <f>IF(ISNUMBER(SEARCH(",FAK,",","&amp;SUBSTITUTE(I58,", ",",")&amp;",")),1,0)</f>
        <v>0</v>
      </c>
      <c r="AP58" s="11">
        <f>IF(ISNUMBER(SEARCH(",GARP,",","&amp;SUBSTITUTE(I58,", ",",")&amp;",")),1,0)</f>
        <v>0</v>
      </c>
      <c r="AQ58" s="11">
        <f>IF(ISNUMBER(SEARCH(",HER1,",","&amp;SUBSTITUTE(I58,", ",",")&amp;",")),1,0)</f>
        <v>0</v>
      </c>
      <c r="AR58" s="11">
        <f>IF(ISNUMBER(SEARCH(",HER2,",","&amp;SUBSTITUTE(I58,", ",",")&amp;",")),1,0)</f>
        <v>0</v>
      </c>
      <c r="AS58" s="11">
        <f>IF(ISNUMBER(SEARCH(",HER2 Exon 20,",","&amp;SUBSTITUTE(I58,", ",",")&amp;",")),1,0)</f>
        <v>0</v>
      </c>
      <c r="AT58" s="11">
        <f>IF(ISNUMBER(SEARCH(",HER3,",","&amp;SUBSTITUTE(I58,", ",",")&amp;",")),1,0)</f>
        <v>0</v>
      </c>
      <c r="AU58" s="11">
        <f>IF(ISNUMBER(SEARCH(",HER4,",","&amp;SUBSTITUTE(I58,", ",",")&amp;",")),1,0)</f>
        <v>0</v>
      </c>
      <c r="AV58" s="11">
        <f>IF(ISNUMBER(SEARCH(",HRAS,",","&amp;SUBSTITUTE(I58,", ",",")&amp;",")),1,0)</f>
        <v>0</v>
      </c>
      <c r="AW58" s="11">
        <f>IF(ISNUMBER(SEARCH(",HSV-TK,",","&amp;SUBSTITUTE(I58,", ",",")&amp;",")),1,0)</f>
        <v>0</v>
      </c>
      <c r="AX58" s="11">
        <f>IF(ISNUMBER(SEARCH(",IL-12,",","&amp;SUBSTITUTE(I58,", ",",")&amp;",")),1,0)</f>
        <v>0</v>
      </c>
      <c r="AY58" s="11">
        <f>IF(ISNUMBER(SEARCH(",IL-15,",","&amp;SUBSTITUTE(I58,", ",",")&amp;",")),1,0)</f>
        <v>0</v>
      </c>
      <c r="AZ58" s="11">
        <f>IF(ISNUMBER(SEARCH(",IL-15R,",","&amp;SUBSTITUTE(I58,", ",",")&amp;",")),1,0)</f>
        <v>0</v>
      </c>
      <c r="BA58" s="11">
        <f>IF(ISNUMBER(SEARCH(",IL-2,",","&amp;SUBSTITUTE(I58,", ",",")&amp;",")),1,0)</f>
        <v>0</v>
      </c>
      <c r="BB58" s="11">
        <f>IF(ISNUMBER(SEARCH(",Integrin β6,",","&amp;SUBSTITUTE(I58,", ",",")&amp;",")),1,0)</f>
        <v>0</v>
      </c>
      <c r="BC58" s="11">
        <f>IF(ISNUMBER(SEARCH(",KDR,",","&amp;SUBSTITUTE(I58,", ",",")&amp;",")),1,0)</f>
        <v>0</v>
      </c>
      <c r="BD58" s="11">
        <f>IF(ISNUMBER(SEARCH(",KLRC1,",","&amp;SUBSTITUTE(I58,", ",",")&amp;",")),1,0)</f>
        <v>0</v>
      </c>
      <c r="BE58" s="11">
        <f>IF(ISNUMBER(SEARCH(",KRAS,",","&amp;SUBSTITUTE(I58,", ",",")&amp;",")),1,0)</f>
        <v>0</v>
      </c>
      <c r="BF58" s="11">
        <f>IF(ISNUMBER(SEARCH(",KRAS G12,",","&amp;SUBSTITUTE(I58,", ",",")&amp;",")),1,0)</f>
        <v>0</v>
      </c>
      <c r="BG58" s="11">
        <f>IF(ISNUMBER(SEARCH(",KRAS G12C,",","&amp;SUBSTITUTE(I58,", ",",")&amp;",")),1,0)</f>
        <v>0</v>
      </c>
      <c r="BH58" s="11">
        <f>IF(ISNUMBER(SEARCH(",KRAS G12D,",","&amp;SUBSTITUTE(I58,", ",",")&amp;",")),1,0)</f>
        <v>0</v>
      </c>
      <c r="BI58" s="11">
        <f>IF(ISNUMBER(SEARCH(",LAG-3,",","&amp;SUBSTITUTE(I58,", ",",")&amp;",")),1,0)</f>
        <v>0</v>
      </c>
      <c r="BJ58" s="11">
        <f>IF(ISNUMBER(SEARCH(",MAGE-A2,",","&amp;SUBSTITUTE(I58,", ",",")&amp;",")),1,0)</f>
        <v>0</v>
      </c>
      <c r="BK58" s="11">
        <f>IF(ISNUMBER(SEARCH(",MAGE-A3,",","&amp;SUBSTITUTE(I58,", ",",")&amp;",")),1,0)</f>
        <v>0</v>
      </c>
      <c r="BL58" s="11">
        <f>IF(ISNUMBER(SEARCH(",MLN19,",","&amp;SUBSTITUTE(I58,", ",",")&amp;",")),1,0)</f>
        <v>0</v>
      </c>
      <c r="BM58" s="11">
        <f>IF(ISNUMBER(SEARCH(",Microtubule,",","&amp;SUBSTITUTE(I58,", ",",")&amp;",")),1,0)</f>
        <v>0</v>
      </c>
      <c r="BN58" s="11">
        <f>IF(ISNUMBER(SEARCH(",NKG2A,",","&amp;SUBSTITUTE(I58,", ",",")&amp;",")),1,0)</f>
        <v>0</v>
      </c>
      <c r="BO58" s="11">
        <f>IF(ISNUMBER(SEARCH(",NRAS,",","&amp;SUBSTITUTE(I58,", ",",")&amp;",")),1,0)</f>
        <v>0</v>
      </c>
      <c r="BP58" s="11">
        <f>IF(ISNUMBER(SEARCH(",NTRK,",","&amp;SUBSTITUTE(I58,", ",",")&amp;",")),1,0)</f>
        <v>0</v>
      </c>
      <c r="BQ58" s="11">
        <f>IF(ISNUMBER(SEARCH(",PARP,",","&amp;SUBSTITUTE(I58,", ",",")&amp;",")),1,0)</f>
        <v>0</v>
      </c>
      <c r="BR58" s="11">
        <f>IF(ISNUMBER(SEARCH(",PD-1,",","&amp;SUBSTITUTE(I58,", ",",")&amp;",")),1,0)</f>
        <v>1</v>
      </c>
      <c r="BS58" s="11">
        <f>IF(ISNUMBER(SEARCH(",PD-L1,",","&amp;SUBSTITUTE(I58,", ",",")&amp;",")),1,0)</f>
        <v>0</v>
      </c>
      <c r="BT58" s="11">
        <f>IF(ISNUMBER(SEARCH(",PRMT5,",","&amp;SUBSTITUTE(I58,", ",",")&amp;",")),1,0)</f>
        <v>0</v>
      </c>
      <c r="BU58" s="11">
        <f>IF(ISNUMBER(SEARCH(",RAS,",","&amp;SUBSTITUTE(I58,", ",",")&amp;",")),1,0)</f>
        <v>0</v>
      </c>
      <c r="BV58" s="11">
        <f>IF(ISNUMBER(SEARCH(",RET,",","&amp;SUBSTITUTE(I58,", ",",")&amp;",")),1,0)</f>
        <v>0</v>
      </c>
      <c r="BW58" s="11">
        <f>IF(ISNUMBER(SEARCH(",ROS,",","&amp;SUBSTITUTE(I58,", ",",")&amp;",")),1,0)</f>
        <v>0</v>
      </c>
      <c r="BX58" s="11">
        <f>IF(ISNUMBER(SEARCH(",ROS1,",","&amp;SUBSTITUTE(I58,", ",",")&amp;",")),1,0)</f>
        <v>0</v>
      </c>
      <c r="BY58" s="11">
        <f>IF(ISNUMBER(SEARCH(",Src,",","&amp;SUBSTITUTE(I58,", ",",")&amp;",")),1,0)</f>
        <v>0</v>
      </c>
      <c r="BZ58" s="11">
        <f>IF(ISNUMBER(SEARCH(",TCGF,",","&amp;SUBSTITUTE(I58,", ",",")&amp;",")),1,0)</f>
        <v>0</v>
      </c>
      <c r="CA58" s="11">
        <f>IF(ISNUMBER(SEARCH(",TGF-β,",","&amp;SUBSTITUTE(I58,", ",",")&amp;",")),1,0)</f>
        <v>0</v>
      </c>
      <c r="CB58" s="11">
        <f>IF(ISNUMBER(SEARCH(",TGF-β1,",","&amp;SUBSTITUTE(I58,", ",",")&amp;",")),1,0)</f>
        <v>0</v>
      </c>
      <c r="CC58" s="11">
        <f>IF(ISNUMBER(SEARCH(",TIGIT,",","&amp;SUBSTITUTE(I58,", ",",")&amp;",")),1,0)</f>
        <v>1</v>
      </c>
      <c r="CD58" s="11">
        <f>IF(ISNUMBER(SEARCH(",TLR,",","&amp;SUBSTITUTE(I58,", ",",")&amp;",")),1,0)</f>
        <v>0</v>
      </c>
      <c r="CE58" s="11">
        <f>IF(ISNUMBER(SEARCH(",TLR7/8,",","&amp;SUBSTITUTE(I58,", ",",")&amp;",")),1,0)</f>
        <v>0</v>
      </c>
      <c r="CF58" s="11">
        <f>IF(ISNUMBER(SEARCH(",TRK,",","&amp;SUBSTITUTE(I58,", ",",")&amp;",")),1,0)</f>
        <v>0</v>
      </c>
      <c r="CG58" s="11">
        <f>IF(ISNUMBER(SEARCH(",TROP2,",","&amp;SUBSTITUTE(I58,", ",",")&amp;",")),1,0)</f>
        <v>1</v>
      </c>
      <c r="CH58" s="11">
        <f>IF(ISNUMBER(SEARCH(",TS,",","&amp;SUBSTITUTE(I58,", ",",")&amp;",")),1,0)</f>
        <v>0</v>
      </c>
      <c r="CI58" s="11">
        <f>IF(ISNUMBER(SEARCH(",TYMS,",","&amp;SUBSTITUTE(I58,", ",",")&amp;",")),1,0)</f>
        <v>0</v>
      </c>
      <c r="CJ58" s="11">
        <f>IF(ISNUMBER(SEARCH(",VEGF,",","&amp;SUBSTITUTE(I58,", ",",")&amp;",")),1,0)</f>
        <v>0</v>
      </c>
      <c r="CK58" s="11">
        <f>IF(ISNUMBER(SEARCH(",VEGFA,",","&amp;SUBSTITUTE(I58,", ",",")&amp;",")),1,0)</f>
        <v>0</v>
      </c>
      <c r="CL58" s="11">
        <f>IF(ISNUMBER(SEARCH(",VEGFR2,",","&amp;SUBSTITUTE(I58,", ",",")&amp;",")),1,0)</f>
        <v>0</v>
      </c>
      <c r="CM58" s="11">
        <f>IF(ISNUMBER(SEARCH(",c-MET/MET,",","&amp;SUBSTITUTE(I58,", ",",")&amp;",")),1,0)</f>
        <v>0</v>
      </c>
      <c r="CN58" s="11">
        <f>IF(ISNUMBER(SEARCH(",p53,",","&amp;SUBSTITUTE(I58,", ",",")&amp;",")),1,0)</f>
        <v>0</v>
      </c>
      <c r="CO58" s="11">
        <f>IF(ISNUMBER(SEARCH(",pan-KRAS,",","&amp;SUBSTITUTE(I58,", ",",")&amp;",")),1,0)</f>
        <v>0</v>
      </c>
      <c r="CP58" s="11">
        <f>IF(ISNUMBER(SEARCH(",ALK,",","&amp;SUBSTITUTE(K58,", ",",")&amp;",")),1,0)</f>
        <v>0</v>
      </c>
      <c r="CQ58" s="11">
        <f>IF(ISNUMBER(SEARCH(",BRAF V600E,",","&amp;SUBSTITUTE(K58,", ",",")&amp;",")),1,0)</f>
        <v>0</v>
      </c>
      <c r="CR58" s="11">
        <f>IF(ISNUMBER(SEARCH(",EGFR,",","&amp;SUBSTITUTE(K58,", ",",")&amp;",")),1,0)</f>
        <v>0</v>
      </c>
      <c r="CS58" s="11">
        <f>IF(ISNUMBER(SEARCH(",EGFR Exon 18,",","&amp;SUBSTITUTE(K58,", ",",")&amp;",")),1,0)</f>
        <v>0</v>
      </c>
      <c r="CT58" s="11">
        <f>IF(ISNUMBER(SEARCH(",EGFR Exon 19-del,",","&amp;SUBSTITUTE(K58,", ",",")&amp;",")),1,0)</f>
        <v>0</v>
      </c>
      <c r="CU58" s="11">
        <f>IF(ISNUMBER(SEARCH(",EGFR Exon 20,",","&amp;SUBSTITUTE(K58,", ",",")&amp;",")),1,0)</f>
        <v>0</v>
      </c>
      <c r="CV58" s="11">
        <f>IF(ISNUMBER(SEARCH(",EGFR Exon 20-ins,",","&amp;SUBSTITUTE(K58,", ",",")&amp;",")),1,0)</f>
        <v>0</v>
      </c>
      <c r="CW58" s="11">
        <f>IF(ISNUMBER(SEARCH(",EGFR Exon 21,",","&amp;SUBSTITUTE(K58,", ",",")&amp;",")),1,0)</f>
        <v>0</v>
      </c>
      <c r="CX58" s="11">
        <f>IF(ISNUMBER(SEARCH(",EGFR G719A,",","&amp;SUBSTITUTE(K58,", ",",")&amp;",")),1,0)</f>
        <v>0</v>
      </c>
      <c r="CY58" s="11">
        <f>IF(ISNUMBER(SEARCH(",EGFR G719C,",","&amp;SUBSTITUTE(K58,", ",",")&amp;",")),1,0)</f>
        <v>0</v>
      </c>
      <c r="CZ58" s="11">
        <f>IF(ISNUMBER(SEARCH(",EGFR G719S,",","&amp;SUBSTITUTE(K58,", ",",")&amp;",")),1,0)</f>
        <v>0</v>
      </c>
      <c r="DA58" s="11">
        <f>IF(ISNUMBER(SEARCH(",EGFR G719X,",","&amp;SUBSTITUTE(K58,", ",",")&amp;",")),1,0)</f>
        <v>0</v>
      </c>
      <c r="DB58" s="11">
        <f>IF(ISNUMBER(SEARCH(",EGFR L858R,",","&amp;SUBSTITUTE(K58,", ",",")&amp;",")),1,0)</f>
        <v>0</v>
      </c>
      <c r="DC58" s="11">
        <f>IF(ISNUMBER(SEARCH(",EGFR L861Q,",","&amp;SUBSTITUTE(K58,", ",",")&amp;",")),1,0)</f>
        <v>0</v>
      </c>
      <c r="DD58" s="11">
        <f>IF(ISNUMBER(SEARCH(",EGFR PACC,",","&amp;SUBSTITUTE(K58,", ",",")&amp;",")),1,0)</f>
        <v>0</v>
      </c>
      <c r="DE58" s="11">
        <f>IF(ISNUMBER(SEARCH(",EGFR S768I,",","&amp;SUBSTITUTE(K58,", ",",")&amp;",")),1,0)</f>
        <v>0</v>
      </c>
      <c r="DF58" s="11">
        <f>IF(ISNUMBER(SEARCH(",EGFR T790M,",","&amp;SUBSTITUTE(K58,", ",",")&amp;",")),1,0)</f>
        <v>0</v>
      </c>
      <c r="DG58" s="11">
        <f>IF(ISNUMBER(SEARCH(",EML4-ALK,",","&amp;SUBSTITUTE(K58,", ",",")&amp;",")),1,0)</f>
        <v>0</v>
      </c>
      <c r="DH58" s="11">
        <f>IF(ISNUMBER(SEARCH(",HER2,",","&amp;SUBSTITUTE(K58,", ",",")&amp;",")),1,0)</f>
        <v>0</v>
      </c>
      <c r="DI58" s="11">
        <f>IF(ISNUMBER(SEARCH(",HER2 Exon 19,",","&amp;SUBSTITUTE(K58,", ",",")&amp;",")),1,0)</f>
        <v>0</v>
      </c>
      <c r="DJ58" s="11">
        <f>IF(ISNUMBER(SEARCH(",HER2 Exon 20,",","&amp;SUBSTITUTE(K58,", ",",")&amp;",")),1,0)</f>
        <v>0</v>
      </c>
      <c r="DK58" s="11">
        <f>IF(ISNUMBER(SEARCH(",HER2 mut,",","&amp;SUBSTITUTE(K58,", ",",")&amp;",")),1,0)</f>
        <v>0</v>
      </c>
      <c r="DL58" s="11">
        <f>IF(ISNUMBER(SEARCH(",HLA-A2,",","&amp;SUBSTITUTE(K58,", ",",")&amp;",")),1,0)</f>
        <v>0</v>
      </c>
      <c r="DM58" s="11">
        <f>IF(ISNUMBER(SEARCH(",HRAS,",","&amp;SUBSTITUTE(K58,", ",",")&amp;",")),1,0)</f>
        <v>0</v>
      </c>
      <c r="DN58" s="11">
        <f>IF(ISNUMBER(SEARCH(",KRAS,",","&amp;SUBSTITUTE(K58,", ",",")&amp;",")),1,0)</f>
        <v>0</v>
      </c>
      <c r="DO58" s="11">
        <f>IF(ISNUMBER(SEARCH(",KRAS G12C,",","&amp;SUBSTITUTE(K58,", ",",")&amp;",")),1,0)</f>
        <v>0</v>
      </c>
      <c r="DP58" s="11">
        <f>IF(ISNUMBER(SEARCH(",NRAS,",","&amp;SUBSTITUTE(K58,", ",",")&amp;",")),1,0)</f>
        <v>0</v>
      </c>
      <c r="DQ58" s="11">
        <f>IF(ISNUMBER(SEARCH(",NTRK,",","&amp;SUBSTITUTE(K58,", ",",")&amp;",")),1,0)</f>
        <v>0</v>
      </c>
      <c r="DR58" s="11">
        <f>IF(ISNUMBER(SEARCH(",PD-L1,",","&amp;SUBSTITUTE(K58,", ",",")&amp;",")),1,0)</f>
        <v>0</v>
      </c>
      <c r="DS58" s="11">
        <f>IF(ISNUMBER(SEARCH(",PD-L1 IC ≥ 1%,",","&amp;SUBSTITUTE(K58,", ",",")&amp;",")),1,0)</f>
        <v>0</v>
      </c>
      <c r="DT58" s="11">
        <f>IF(ISNUMBER(SEARCH(",PD-L1 TC ≥ 1%,",","&amp;SUBSTITUTE(K58,", ",",")&amp;",")),1,0)</f>
        <v>0</v>
      </c>
      <c r="DU58" s="11">
        <f>IF(ISNUMBER(SEARCH(",PD-L1 TC ≥ 50%,",","&amp;SUBSTITUTE(K58,", ",",")&amp;",")),1,0)</f>
        <v>1</v>
      </c>
      <c r="DV58" s="11">
        <f>IF(ISNUMBER(SEARCH(",PD-L1 TPS &lt; 50%,",","&amp;SUBSTITUTE(K58,", ",",")&amp;",")),1,0)</f>
        <v>0</v>
      </c>
      <c r="DW58" s="11">
        <f>IF(ISNUMBER(SEARCH(",PD-L1 TPS ≥ 1%,",","&amp;SUBSTITUTE(K58,", ",",")&amp;",")),1,0)</f>
        <v>0</v>
      </c>
      <c r="DX58" s="11">
        <f>IF(ISNUMBER(SEARCH(",PD-L1 TPS ≥ 50%,",","&amp;SUBSTITUTE(K58,", ",",")&amp;",")),1,0)</f>
        <v>0</v>
      </c>
      <c r="DY58" s="11">
        <f>IF(ISNUMBER(SEARCH(",RAS,",","&amp;SUBSTITUTE(K58,", ",",")&amp;",")),1,0)</f>
        <v>0</v>
      </c>
      <c r="DZ58" s="11">
        <f>IF(ISNUMBER(SEARCH(",RET,",","&amp;SUBSTITUTE(K58,", ",",")&amp;",")),1,0)</f>
        <v>0</v>
      </c>
      <c r="EA58" s="11">
        <f>IF(ISNUMBER(SEARCH(",ROS1,",","&amp;SUBSTITUTE(K58,", ",",")&amp;",")),1,0)</f>
        <v>0</v>
      </c>
      <c r="EB58" s="11">
        <f>IF(ISNUMBER(SEARCH(",TROP2,",","&amp;SUBSTITUTE(K58,", ",",")&amp;",")),1,0)</f>
        <v>0</v>
      </c>
      <c r="EC58" s="11">
        <f>IF(ISNUMBER(SEARCH(",c-MET/MET,",","&amp;SUBSTITUTE(K58,", ",",")&amp;",")),1,0)</f>
        <v>0</v>
      </c>
      <c r="ED58" s="11">
        <f>IF(ISNUMBER(SEARCH(",c-MET/MET Exon 14,",","&amp;SUBSTITUTE(K58,", ",",")&amp;",")),1,0)</f>
        <v>0</v>
      </c>
      <c r="EE58" s="11">
        <f>IF(ISNUMBER(SEARCH(",ctDNA/cfDNA,",","&amp;SUBSTITUTE(K58,", ",",")&amp;",")),1,0)</f>
        <v>0</v>
      </c>
    </row>
    <row r="59" spans="1:135" ht="15" customHeight="1" x14ac:dyDescent="0.2">
      <c r="A59" s="3" t="s">
        <v>1188</v>
      </c>
      <c r="B59" s="3" t="s">
        <v>1189</v>
      </c>
      <c r="C59" s="3" t="s">
        <v>350</v>
      </c>
      <c r="D59" s="3" t="s">
        <v>350</v>
      </c>
      <c r="E59" s="3" t="s">
        <v>350</v>
      </c>
      <c r="F59" s="3" t="s">
        <v>259</v>
      </c>
      <c r="G59" s="3" t="s">
        <v>260</v>
      </c>
      <c r="H59" s="3" t="s">
        <v>114</v>
      </c>
      <c r="I59" s="3" t="s">
        <v>1276</v>
      </c>
      <c r="J59" s="3" t="s">
        <v>1192</v>
      </c>
      <c r="K59" s="3" t="s">
        <v>685</v>
      </c>
      <c r="L59" s="3" t="s">
        <v>119</v>
      </c>
      <c r="M59" s="3" t="s">
        <v>113</v>
      </c>
      <c r="N59" s="3" t="s">
        <v>120</v>
      </c>
      <c r="O59" s="3" t="s">
        <v>120</v>
      </c>
      <c r="P59" s="3" t="s">
        <v>1274</v>
      </c>
      <c r="Q59" s="10" t="str">
        <f>IF(F59="Stage IV","Stage IV Only",IF(AND(ISNUMBER(SEARCH("IV",F59)),LEN(F59)&gt;LEN("Stage IV")),"Stage IV + Other",IF(AND(ISNUMBER(SEARCH("III",F59)),NOT(ISNUMBER(SEARCH("IV",F59)))),"Stage III Only","Other")))</f>
        <v>Stage IV Only</v>
      </c>
      <c r="R59" s="10" t="str">
        <f>IF(AND(ISNUMBER(SEARCH("Non-squamous",G59)),ISNUMBER(SEARCH("Squamous",SUBSTITUTE(G59,"Non-squamous","")))),"Both",IF(ISNUMBER(SEARCH("Non-squamous",G59)),"Non-squamous",IF(ISNUMBER(SEARCH("Squamous",G59)),"Squamous","Unspecified")))</f>
        <v>Squamous</v>
      </c>
      <c r="S59" s="10" t="str">
        <f>IF(OR(ISNUMBER(SEARCH("TPS ≥ 50%",K59)),ISNUMBER(SEARCH("TC ≥ 50%",K59))),"TPS ≥ 50%",IF(OR(ISNUMBER(SEARCH("TPS ≥ 1%",K59)),ISNUMBER(SEARCH("TC ≥ 1%",K59)),ISNUMBER(SEARCH("TPS &lt; 50%",K59)),ISNUMBER(SEARCH("IC ≥ 1%",K59))),"TPS 1-49%","All-comers"))</f>
        <v>TPS 1-49%</v>
      </c>
      <c r="T59" s="10">
        <f>IF(H59="Phase III",1,0)</f>
        <v>1</v>
      </c>
      <c r="U59" s="10">
        <f>IF(L59="Yes",1,0)</f>
        <v>0</v>
      </c>
      <c r="V59" s="11">
        <f>IF(ISNUMBER(SEARCH(",ALK,",","&amp;SUBSTITUTE(I59,", ",",")&amp;",")),1,0)</f>
        <v>0</v>
      </c>
      <c r="W59" s="11">
        <f>IF(ISNUMBER(SEARCH(",ALK L1196M,",","&amp;SUBSTITUTE(I59,", ",",")&amp;",")),1,0)</f>
        <v>0</v>
      </c>
      <c r="X59" s="11">
        <f>IF(ISNUMBER(SEARCH(",AXL,",","&amp;SUBSTITUTE(I59,", ",",")&amp;",")),1,0)</f>
        <v>0</v>
      </c>
      <c r="Y59" s="11">
        <f>IF(ISNUMBER(SEARCH(",B7-H1,",","&amp;SUBSTITUTE(I59,", ",",")&amp;",")),1,0)</f>
        <v>0</v>
      </c>
      <c r="Z59" s="11">
        <f>IF(ISNUMBER(SEARCH(",CD152,",","&amp;SUBSTITUTE(I59,", ",",")&amp;",")),1,0)</f>
        <v>0</v>
      </c>
      <c r="AA59" s="11">
        <f>IF(ISNUMBER(SEARCH(",CD274,",","&amp;SUBSTITUTE(I59,", ",",")&amp;",")),1,0)</f>
        <v>0</v>
      </c>
      <c r="AB59" s="11">
        <f>IF(ISNUMBER(SEARCH(",CD279,",","&amp;SUBSTITUTE(I59,", ",",")&amp;",")),1,0)</f>
        <v>1</v>
      </c>
      <c r="AC59" s="11">
        <f>IF(ISNUMBER(SEARCH(",CD73,",","&amp;SUBSTITUTE(I59,", ",",")&amp;",")),1,0)</f>
        <v>0</v>
      </c>
      <c r="AD59" s="11">
        <f>IF(ISNUMBER(SEARCH(",CEA,",","&amp;SUBSTITUTE(I59,", ",",")&amp;",")),1,0)</f>
        <v>0</v>
      </c>
      <c r="AE59" s="11">
        <f>IF(ISNUMBER(SEARCH(",CTLA-4,",","&amp;SUBSTITUTE(I59,", ",",")&amp;",")),1,0)</f>
        <v>0</v>
      </c>
      <c r="AF59" s="11">
        <f>IF(ISNUMBER(SEARCH(",EGFR,",","&amp;SUBSTITUTE(I59,", ",",")&amp;",")),1,0)</f>
        <v>0</v>
      </c>
      <c r="AG59" s="11">
        <f>IF(ISNUMBER(SEARCH(",EGFR C797G,",","&amp;SUBSTITUTE(I59,", ",",")&amp;",")),1,0)</f>
        <v>0</v>
      </c>
      <c r="AH59" s="11">
        <f>IF(ISNUMBER(SEARCH(",EGFR C797S,",","&amp;SUBSTITUTE(I59,", ",",")&amp;",")),1,0)</f>
        <v>0</v>
      </c>
      <c r="AI59" s="11">
        <f>IF(ISNUMBER(SEARCH(",EGFR Exon 19-del,",","&amp;SUBSTITUTE(I59,", ",",")&amp;",")),1,0)</f>
        <v>0</v>
      </c>
      <c r="AJ59" s="11">
        <f>IF(ISNUMBER(SEARCH(",EGFR Exon 20,",","&amp;SUBSTITUTE(I59,", ",",")&amp;",")),1,0)</f>
        <v>0</v>
      </c>
      <c r="AK59" s="11">
        <f>IF(ISNUMBER(SEARCH(",EGFR L858R,",","&amp;SUBSTITUTE(I59,", ",",")&amp;",")),1,0)</f>
        <v>0</v>
      </c>
      <c r="AL59" s="11">
        <f>IF(ISNUMBER(SEARCH(",EGFR T790M,",","&amp;SUBSTITUTE(I59,", ",",")&amp;",")),1,0)</f>
        <v>0</v>
      </c>
      <c r="AM59" s="11">
        <f>IF(ISNUMBER(SEARCH(",ERBB,",","&amp;SUBSTITUTE(I59,", ",",")&amp;",")),1,0)</f>
        <v>0</v>
      </c>
      <c r="AN59" s="11">
        <f>IF(ISNUMBER(SEARCH(",ERBB3,",","&amp;SUBSTITUTE(I59,", ",",")&amp;",")),1,0)</f>
        <v>0</v>
      </c>
      <c r="AO59" s="11">
        <f>IF(ISNUMBER(SEARCH(",FAK,",","&amp;SUBSTITUTE(I59,", ",",")&amp;",")),1,0)</f>
        <v>0</v>
      </c>
      <c r="AP59" s="11">
        <f>IF(ISNUMBER(SEARCH(",GARP,",","&amp;SUBSTITUTE(I59,", ",",")&amp;",")),1,0)</f>
        <v>0</v>
      </c>
      <c r="AQ59" s="11">
        <f>IF(ISNUMBER(SEARCH(",HER1,",","&amp;SUBSTITUTE(I59,", ",",")&amp;",")),1,0)</f>
        <v>0</v>
      </c>
      <c r="AR59" s="11">
        <f>IF(ISNUMBER(SEARCH(",HER2,",","&amp;SUBSTITUTE(I59,", ",",")&amp;",")),1,0)</f>
        <v>0</v>
      </c>
      <c r="AS59" s="11">
        <f>IF(ISNUMBER(SEARCH(",HER2 Exon 20,",","&amp;SUBSTITUTE(I59,", ",",")&amp;",")),1,0)</f>
        <v>0</v>
      </c>
      <c r="AT59" s="11">
        <f>IF(ISNUMBER(SEARCH(",HER3,",","&amp;SUBSTITUTE(I59,", ",",")&amp;",")),1,0)</f>
        <v>0</v>
      </c>
      <c r="AU59" s="11">
        <f>IF(ISNUMBER(SEARCH(",HER4,",","&amp;SUBSTITUTE(I59,", ",",")&amp;",")),1,0)</f>
        <v>0</v>
      </c>
      <c r="AV59" s="11">
        <f>IF(ISNUMBER(SEARCH(",HRAS,",","&amp;SUBSTITUTE(I59,", ",",")&amp;",")),1,0)</f>
        <v>0</v>
      </c>
      <c r="AW59" s="11">
        <f>IF(ISNUMBER(SEARCH(",HSV-TK,",","&amp;SUBSTITUTE(I59,", ",",")&amp;",")),1,0)</f>
        <v>0</v>
      </c>
      <c r="AX59" s="11">
        <f>IF(ISNUMBER(SEARCH(",IL-12,",","&amp;SUBSTITUTE(I59,", ",",")&amp;",")),1,0)</f>
        <v>0</v>
      </c>
      <c r="AY59" s="11">
        <f>IF(ISNUMBER(SEARCH(",IL-15,",","&amp;SUBSTITUTE(I59,", ",",")&amp;",")),1,0)</f>
        <v>0</v>
      </c>
      <c r="AZ59" s="11">
        <f>IF(ISNUMBER(SEARCH(",IL-15R,",","&amp;SUBSTITUTE(I59,", ",",")&amp;",")),1,0)</f>
        <v>0</v>
      </c>
      <c r="BA59" s="11">
        <f>IF(ISNUMBER(SEARCH(",IL-2,",","&amp;SUBSTITUTE(I59,", ",",")&amp;",")),1,0)</f>
        <v>0</v>
      </c>
      <c r="BB59" s="11">
        <f>IF(ISNUMBER(SEARCH(",Integrin β6,",","&amp;SUBSTITUTE(I59,", ",",")&amp;",")),1,0)</f>
        <v>0</v>
      </c>
      <c r="BC59" s="11">
        <f>IF(ISNUMBER(SEARCH(",KDR,",","&amp;SUBSTITUTE(I59,", ",",")&amp;",")),1,0)</f>
        <v>0</v>
      </c>
      <c r="BD59" s="11">
        <f>IF(ISNUMBER(SEARCH(",KLRC1,",","&amp;SUBSTITUTE(I59,", ",",")&amp;",")),1,0)</f>
        <v>0</v>
      </c>
      <c r="BE59" s="11">
        <f>IF(ISNUMBER(SEARCH(",KRAS,",","&amp;SUBSTITUTE(I59,", ",",")&amp;",")),1,0)</f>
        <v>0</v>
      </c>
      <c r="BF59" s="11">
        <f>IF(ISNUMBER(SEARCH(",KRAS G12,",","&amp;SUBSTITUTE(I59,", ",",")&amp;",")),1,0)</f>
        <v>0</v>
      </c>
      <c r="BG59" s="11">
        <f>IF(ISNUMBER(SEARCH(",KRAS G12C,",","&amp;SUBSTITUTE(I59,", ",",")&amp;",")),1,0)</f>
        <v>0</v>
      </c>
      <c r="BH59" s="11">
        <f>IF(ISNUMBER(SEARCH(",KRAS G12D,",","&amp;SUBSTITUTE(I59,", ",",")&amp;",")),1,0)</f>
        <v>0</v>
      </c>
      <c r="BI59" s="11">
        <f>IF(ISNUMBER(SEARCH(",LAG-3,",","&amp;SUBSTITUTE(I59,", ",",")&amp;",")),1,0)</f>
        <v>0</v>
      </c>
      <c r="BJ59" s="11">
        <f>IF(ISNUMBER(SEARCH(",MAGE-A2,",","&amp;SUBSTITUTE(I59,", ",",")&amp;",")),1,0)</f>
        <v>0</v>
      </c>
      <c r="BK59" s="11">
        <f>IF(ISNUMBER(SEARCH(",MAGE-A3,",","&amp;SUBSTITUTE(I59,", ",",")&amp;",")),1,0)</f>
        <v>0</v>
      </c>
      <c r="BL59" s="11">
        <f>IF(ISNUMBER(SEARCH(",MLN19,",","&amp;SUBSTITUTE(I59,", ",",")&amp;",")),1,0)</f>
        <v>0</v>
      </c>
      <c r="BM59" s="11">
        <f>IF(ISNUMBER(SEARCH(",Microtubule,",","&amp;SUBSTITUTE(I59,", ",",")&amp;",")),1,0)</f>
        <v>1</v>
      </c>
      <c r="BN59" s="11">
        <f>IF(ISNUMBER(SEARCH(",NKG2A,",","&amp;SUBSTITUTE(I59,", ",",")&amp;",")),1,0)</f>
        <v>0</v>
      </c>
      <c r="BO59" s="11">
        <f>IF(ISNUMBER(SEARCH(",NRAS,",","&amp;SUBSTITUTE(I59,", ",",")&amp;",")),1,0)</f>
        <v>0</v>
      </c>
      <c r="BP59" s="11">
        <f>IF(ISNUMBER(SEARCH(",NTRK,",","&amp;SUBSTITUTE(I59,", ",",")&amp;",")),1,0)</f>
        <v>0</v>
      </c>
      <c r="BQ59" s="11">
        <f>IF(ISNUMBER(SEARCH(",PARP,",","&amp;SUBSTITUTE(I59,", ",",")&amp;",")),1,0)</f>
        <v>0</v>
      </c>
      <c r="BR59" s="11">
        <f>IF(ISNUMBER(SEARCH(",PD-1,",","&amp;SUBSTITUTE(I59,", ",",")&amp;",")),1,0)</f>
        <v>1</v>
      </c>
      <c r="BS59" s="11">
        <f>IF(ISNUMBER(SEARCH(",PD-L1,",","&amp;SUBSTITUTE(I59,", ",",")&amp;",")),1,0)</f>
        <v>0</v>
      </c>
      <c r="BT59" s="11">
        <f>IF(ISNUMBER(SEARCH(",PRMT5,",","&amp;SUBSTITUTE(I59,", ",",")&amp;",")),1,0)</f>
        <v>0</v>
      </c>
      <c r="BU59" s="11">
        <f>IF(ISNUMBER(SEARCH(",RAS,",","&amp;SUBSTITUTE(I59,", ",",")&amp;",")),1,0)</f>
        <v>0</v>
      </c>
      <c r="BV59" s="11">
        <f>IF(ISNUMBER(SEARCH(",RET,",","&amp;SUBSTITUTE(I59,", ",",")&amp;",")),1,0)</f>
        <v>0</v>
      </c>
      <c r="BW59" s="11">
        <f>IF(ISNUMBER(SEARCH(",ROS,",","&amp;SUBSTITUTE(I59,", ",",")&amp;",")),1,0)</f>
        <v>0</v>
      </c>
      <c r="BX59" s="11">
        <f>IF(ISNUMBER(SEARCH(",ROS1,",","&amp;SUBSTITUTE(I59,", ",",")&amp;",")),1,0)</f>
        <v>0</v>
      </c>
      <c r="BY59" s="11">
        <f>IF(ISNUMBER(SEARCH(",Src,",","&amp;SUBSTITUTE(I59,", ",",")&amp;",")),1,0)</f>
        <v>0</v>
      </c>
      <c r="BZ59" s="11">
        <f>IF(ISNUMBER(SEARCH(",TCGF,",","&amp;SUBSTITUTE(I59,", ",",")&amp;",")),1,0)</f>
        <v>0</v>
      </c>
      <c r="CA59" s="11">
        <f>IF(ISNUMBER(SEARCH(",TGF-β,",","&amp;SUBSTITUTE(I59,", ",",")&amp;",")),1,0)</f>
        <v>0</v>
      </c>
      <c r="CB59" s="11">
        <f>IF(ISNUMBER(SEARCH(",TGF-β1,",","&amp;SUBSTITUTE(I59,", ",",")&amp;",")),1,0)</f>
        <v>0</v>
      </c>
      <c r="CC59" s="11">
        <f>IF(ISNUMBER(SEARCH(",TIGIT,",","&amp;SUBSTITUTE(I59,", ",",")&amp;",")),1,0)</f>
        <v>1</v>
      </c>
      <c r="CD59" s="11">
        <f>IF(ISNUMBER(SEARCH(",TLR,",","&amp;SUBSTITUTE(I59,", ",",")&amp;",")),1,0)</f>
        <v>0</v>
      </c>
      <c r="CE59" s="11">
        <f>IF(ISNUMBER(SEARCH(",TLR7/8,",","&amp;SUBSTITUTE(I59,", ",",")&amp;",")),1,0)</f>
        <v>0</v>
      </c>
      <c r="CF59" s="11">
        <f>IF(ISNUMBER(SEARCH(",TRK,",","&amp;SUBSTITUTE(I59,", ",",")&amp;",")),1,0)</f>
        <v>0</v>
      </c>
      <c r="CG59" s="11">
        <f>IF(ISNUMBER(SEARCH(",TROP2,",","&amp;SUBSTITUTE(I59,", ",",")&amp;",")),1,0)</f>
        <v>0</v>
      </c>
      <c r="CH59" s="11">
        <f>IF(ISNUMBER(SEARCH(",TS,",","&amp;SUBSTITUTE(I59,", ",",")&amp;",")),1,0)</f>
        <v>0</v>
      </c>
      <c r="CI59" s="11">
        <f>IF(ISNUMBER(SEARCH(",TYMS,",","&amp;SUBSTITUTE(I59,", ",",")&amp;",")),1,0)</f>
        <v>0</v>
      </c>
      <c r="CJ59" s="11">
        <f>IF(ISNUMBER(SEARCH(",VEGF,",","&amp;SUBSTITUTE(I59,", ",",")&amp;",")),1,0)</f>
        <v>0</v>
      </c>
      <c r="CK59" s="11">
        <f>IF(ISNUMBER(SEARCH(",VEGFA,",","&amp;SUBSTITUTE(I59,", ",",")&amp;",")),1,0)</f>
        <v>0</v>
      </c>
      <c r="CL59" s="11">
        <f>IF(ISNUMBER(SEARCH(",VEGFR2,",","&amp;SUBSTITUTE(I59,", ",",")&amp;",")),1,0)</f>
        <v>0</v>
      </c>
      <c r="CM59" s="11">
        <f>IF(ISNUMBER(SEARCH(",c-MET/MET,",","&amp;SUBSTITUTE(I59,", ",",")&amp;",")),1,0)</f>
        <v>0</v>
      </c>
      <c r="CN59" s="11">
        <f>IF(ISNUMBER(SEARCH(",p53,",","&amp;SUBSTITUTE(I59,", ",",")&amp;",")),1,0)</f>
        <v>0</v>
      </c>
      <c r="CO59" s="11">
        <f>IF(ISNUMBER(SEARCH(",pan-KRAS,",","&amp;SUBSTITUTE(I59,", ",",")&amp;",")),1,0)</f>
        <v>0</v>
      </c>
      <c r="CP59" s="11">
        <f>IF(ISNUMBER(SEARCH(",ALK,",","&amp;SUBSTITUTE(K59,", ",",")&amp;",")),1,0)</f>
        <v>0</v>
      </c>
      <c r="CQ59" s="11">
        <f>IF(ISNUMBER(SEARCH(",BRAF V600E,",","&amp;SUBSTITUTE(K59,", ",",")&amp;",")),1,0)</f>
        <v>0</v>
      </c>
      <c r="CR59" s="11">
        <f>IF(ISNUMBER(SEARCH(",EGFR,",","&amp;SUBSTITUTE(K59,", ",",")&amp;",")),1,0)</f>
        <v>0</v>
      </c>
      <c r="CS59" s="11">
        <f>IF(ISNUMBER(SEARCH(",EGFR Exon 18,",","&amp;SUBSTITUTE(K59,", ",",")&amp;",")),1,0)</f>
        <v>0</v>
      </c>
      <c r="CT59" s="11">
        <f>IF(ISNUMBER(SEARCH(",EGFR Exon 19-del,",","&amp;SUBSTITUTE(K59,", ",",")&amp;",")),1,0)</f>
        <v>0</v>
      </c>
      <c r="CU59" s="11">
        <f>IF(ISNUMBER(SEARCH(",EGFR Exon 20,",","&amp;SUBSTITUTE(K59,", ",",")&amp;",")),1,0)</f>
        <v>0</v>
      </c>
      <c r="CV59" s="11">
        <f>IF(ISNUMBER(SEARCH(",EGFR Exon 20-ins,",","&amp;SUBSTITUTE(K59,", ",",")&amp;",")),1,0)</f>
        <v>0</v>
      </c>
      <c r="CW59" s="11">
        <f>IF(ISNUMBER(SEARCH(",EGFR Exon 21,",","&amp;SUBSTITUTE(K59,", ",",")&amp;",")),1,0)</f>
        <v>0</v>
      </c>
      <c r="CX59" s="11">
        <f>IF(ISNUMBER(SEARCH(",EGFR G719A,",","&amp;SUBSTITUTE(K59,", ",",")&amp;",")),1,0)</f>
        <v>0</v>
      </c>
      <c r="CY59" s="11">
        <f>IF(ISNUMBER(SEARCH(",EGFR G719C,",","&amp;SUBSTITUTE(K59,", ",",")&amp;",")),1,0)</f>
        <v>0</v>
      </c>
      <c r="CZ59" s="11">
        <f>IF(ISNUMBER(SEARCH(",EGFR G719S,",","&amp;SUBSTITUTE(K59,", ",",")&amp;",")),1,0)</f>
        <v>0</v>
      </c>
      <c r="DA59" s="11">
        <f>IF(ISNUMBER(SEARCH(",EGFR G719X,",","&amp;SUBSTITUTE(K59,", ",",")&amp;",")),1,0)</f>
        <v>0</v>
      </c>
      <c r="DB59" s="11">
        <f>IF(ISNUMBER(SEARCH(",EGFR L858R,",","&amp;SUBSTITUTE(K59,", ",",")&amp;",")),1,0)</f>
        <v>0</v>
      </c>
      <c r="DC59" s="11">
        <f>IF(ISNUMBER(SEARCH(",EGFR L861Q,",","&amp;SUBSTITUTE(K59,", ",",")&amp;",")),1,0)</f>
        <v>0</v>
      </c>
      <c r="DD59" s="11">
        <f>IF(ISNUMBER(SEARCH(",EGFR PACC,",","&amp;SUBSTITUTE(K59,", ",",")&amp;",")),1,0)</f>
        <v>0</v>
      </c>
      <c r="DE59" s="11">
        <f>IF(ISNUMBER(SEARCH(",EGFR S768I,",","&amp;SUBSTITUTE(K59,", ",",")&amp;",")),1,0)</f>
        <v>0</v>
      </c>
      <c r="DF59" s="11">
        <f>IF(ISNUMBER(SEARCH(",EGFR T790M,",","&amp;SUBSTITUTE(K59,", ",",")&amp;",")),1,0)</f>
        <v>0</v>
      </c>
      <c r="DG59" s="11">
        <f>IF(ISNUMBER(SEARCH(",EML4-ALK,",","&amp;SUBSTITUTE(K59,", ",",")&amp;",")),1,0)</f>
        <v>0</v>
      </c>
      <c r="DH59" s="11">
        <f>IF(ISNUMBER(SEARCH(",HER2,",","&amp;SUBSTITUTE(K59,", ",",")&amp;",")),1,0)</f>
        <v>0</v>
      </c>
      <c r="DI59" s="11">
        <f>IF(ISNUMBER(SEARCH(",HER2 Exon 19,",","&amp;SUBSTITUTE(K59,", ",",")&amp;",")),1,0)</f>
        <v>0</v>
      </c>
      <c r="DJ59" s="11">
        <f>IF(ISNUMBER(SEARCH(",HER2 Exon 20,",","&amp;SUBSTITUTE(K59,", ",",")&amp;",")),1,0)</f>
        <v>0</v>
      </c>
      <c r="DK59" s="11">
        <f>IF(ISNUMBER(SEARCH(",HER2 mut,",","&amp;SUBSTITUTE(K59,", ",",")&amp;",")),1,0)</f>
        <v>0</v>
      </c>
      <c r="DL59" s="11">
        <f>IF(ISNUMBER(SEARCH(",HLA-A2,",","&amp;SUBSTITUTE(K59,", ",",")&amp;",")),1,0)</f>
        <v>0</v>
      </c>
      <c r="DM59" s="11">
        <f>IF(ISNUMBER(SEARCH(",HRAS,",","&amp;SUBSTITUTE(K59,", ",",")&amp;",")),1,0)</f>
        <v>0</v>
      </c>
      <c r="DN59" s="11">
        <f>IF(ISNUMBER(SEARCH(",KRAS,",","&amp;SUBSTITUTE(K59,", ",",")&amp;",")),1,0)</f>
        <v>0</v>
      </c>
      <c r="DO59" s="11">
        <f>IF(ISNUMBER(SEARCH(",KRAS G12C,",","&amp;SUBSTITUTE(K59,", ",",")&amp;",")),1,0)</f>
        <v>0</v>
      </c>
      <c r="DP59" s="11">
        <f>IF(ISNUMBER(SEARCH(",NRAS,",","&amp;SUBSTITUTE(K59,", ",",")&amp;",")),1,0)</f>
        <v>0</v>
      </c>
      <c r="DQ59" s="11">
        <f>IF(ISNUMBER(SEARCH(",NTRK,",","&amp;SUBSTITUTE(K59,", ",",")&amp;",")),1,0)</f>
        <v>0</v>
      </c>
      <c r="DR59" s="11">
        <f>IF(ISNUMBER(SEARCH(",PD-L1,",","&amp;SUBSTITUTE(K59,", ",",")&amp;",")),1,0)</f>
        <v>0</v>
      </c>
      <c r="DS59" s="11">
        <f>IF(ISNUMBER(SEARCH(",PD-L1 IC ≥ 1%,",","&amp;SUBSTITUTE(K59,", ",",")&amp;",")),1,0)</f>
        <v>0</v>
      </c>
      <c r="DT59" s="11">
        <f>IF(ISNUMBER(SEARCH(",PD-L1 TC ≥ 1%,",","&amp;SUBSTITUTE(K59,", ",",")&amp;",")),1,0)</f>
        <v>1</v>
      </c>
      <c r="DU59" s="11">
        <f>IF(ISNUMBER(SEARCH(",PD-L1 TC ≥ 50%,",","&amp;SUBSTITUTE(K59,", ",",")&amp;",")),1,0)</f>
        <v>0</v>
      </c>
      <c r="DV59" s="11">
        <f>IF(ISNUMBER(SEARCH(",PD-L1 TPS &lt; 50%,",","&amp;SUBSTITUTE(K59,", ",",")&amp;",")),1,0)</f>
        <v>0</v>
      </c>
      <c r="DW59" s="11">
        <f>IF(ISNUMBER(SEARCH(",PD-L1 TPS ≥ 1%,",","&amp;SUBSTITUTE(K59,", ",",")&amp;",")),1,0)</f>
        <v>0</v>
      </c>
      <c r="DX59" s="11">
        <f>IF(ISNUMBER(SEARCH(",PD-L1 TPS ≥ 50%,",","&amp;SUBSTITUTE(K59,", ",",")&amp;",")),1,0)</f>
        <v>0</v>
      </c>
      <c r="DY59" s="11">
        <f>IF(ISNUMBER(SEARCH(",RAS,",","&amp;SUBSTITUTE(K59,", ",",")&amp;",")),1,0)</f>
        <v>0</v>
      </c>
      <c r="DZ59" s="11">
        <f>IF(ISNUMBER(SEARCH(",RET,",","&amp;SUBSTITUTE(K59,", ",",")&amp;",")),1,0)</f>
        <v>0</v>
      </c>
      <c r="EA59" s="11">
        <f>IF(ISNUMBER(SEARCH(",ROS1,",","&amp;SUBSTITUTE(K59,", ",",")&amp;",")),1,0)</f>
        <v>0</v>
      </c>
      <c r="EB59" s="11">
        <f>IF(ISNUMBER(SEARCH(",TROP2,",","&amp;SUBSTITUTE(K59,", ",",")&amp;",")),1,0)</f>
        <v>0</v>
      </c>
      <c r="EC59" s="11">
        <f>IF(ISNUMBER(SEARCH(",c-MET/MET,",","&amp;SUBSTITUTE(K59,", ",",")&amp;",")),1,0)</f>
        <v>0</v>
      </c>
      <c r="ED59" s="11">
        <f>IF(ISNUMBER(SEARCH(",c-MET/MET Exon 14,",","&amp;SUBSTITUTE(K59,", ",",")&amp;",")),1,0)</f>
        <v>0</v>
      </c>
      <c r="EE59" s="11">
        <f>IF(ISNUMBER(SEARCH(",ctDNA/cfDNA,",","&amp;SUBSTITUTE(K59,", ",",")&amp;",")),1,0)</f>
        <v>0</v>
      </c>
    </row>
    <row r="60" spans="1:135" ht="15" customHeight="1" x14ac:dyDescent="0.2">
      <c r="A60" s="3" t="s">
        <v>1188</v>
      </c>
      <c r="B60" s="3" t="s">
        <v>1189</v>
      </c>
      <c r="C60" s="3" t="s">
        <v>350</v>
      </c>
      <c r="D60" s="3" t="s">
        <v>350</v>
      </c>
      <c r="E60" s="3" t="s">
        <v>350</v>
      </c>
      <c r="F60" s="3" t="s">
        <v>259</v>
      </c>
      <c r="G60" s="3" t="s">
        <v>181</v>
      </c>
      <c r="H60" s="3" t="s">
        <v>114</v>
      </c>
      <c r="I60" s="3" t="s">
        <v>1337</v>
      </c>
      <c r="J60" s="3" t="s">
        <v>1192</v>
      </c>
      <c r="K60" s="3" t="s">
        <v>685</v>
      </c>
      <c r="L60" s="3" t="s">
        <v>119</v>
      </c>
      <c r="M60" s="3" t="s">
        <v>113</v>
      </c>
      <c r="N60" s="3" t="s">
        <v>120</v>
      </c>
      <c r="O60" s="3" t="s">
        <v>120</v>
      </c>
      <c r="P60" s="3" t="s">
        <v>1335</v>
      </c>
      <c r="Q60" s="10" t="str">
        <f>IF(F60="Stage IV","Stage IV Only",IF(AND(ISNUMBER(SEARCH("IV",F60)),LEN(F60)&gt;LEN("Stage IV")),"Stage IV + Other",IF(AND(ISNUMBER(SEARCH("III",F60)),NOT(ISNUMBER(SEARCH("IV",F60)))),"Stage III Only","Other")))</f>
        <v>Stage IV Only</v>
      </c>
      <c r="R60" s="10" t="str">
        <f>IF(AND(ISNUMBER(SEARCH("Non-squamous",G60)),ISNUMBER(SEARCH("Squamous",SUBSTITUTE(G60,"Non-squamous","")))),"Both",IF(ISNUMBER(SEARCH("Non-squamous",G60)),"Non-squamous",IF(ISNUMBER(SEARCH("Squamous",G60)),"Squamous","Unspecified")))</f>
        <v>Non-squamous</v>
      </c>
      <c r="S60" s="10" t="str">
        <f>IF(OR(ISNUMBER(SEARCH("TPS ≥ 50%",K60)),ISNUMBER(SEARCH("TC ≥ 50%",K60))),"TPS ≥ 50%",IF(OR(ISNUMBER(SEARCH("TPS ≥ 1%",K60)),ISNUMBER(SEARCH("TC ≥ 1%",K60)),ISNUMBER(SEARCH("TPS &lt; 50%",K60)),ISNUMBER(SEARCH("IC ≥ 1%",K60))),"TPS 1-49%","All-comers"))</f>
        <v>TPS 1-49%</v>
      </c>
      <c r="T60" s="10">
        <f>IF(H60="Phase III",1,0)</f>
        <v>1</v>
      </c>
      <c r="U60" s="10">
        <f>IF(L60="Yes",1,0)</f>
        <v>0</v>
      </c>
      <c r="V60" s="11">
        <f>IF(ISNUMBER(SEARCH(",ALK,",","&amp;SUBSTITUTE(I60,", ",",")&amp;",")),1,0)</f>
        <v>0</v>
      </c>
      <c r="W60" s="11">
        <f>IF(ISNUMBER(SEARCH(",ALK L1196M,",","&amp;SUBSTITUTE(I60,", ",",")&amp;",")),1,0)</f>
        <v>0</v>
      </c>
      <c r="X60" s="11">
        <f>IF(ISNUMBER(SEARCH(",AXL,",","&amp;SUBSTITUTE(I60,", ",",")&amp;",")),1,0)</f>
        <v>0</v>
      </c>
      <c r="Y60" s="11">
        <f>IF(ISNUMBER(SEARCH(",B7-H1,",","&amp;SUBSTITUTE(I60,", ",",")&amp;",")),1,0)</f>
        <v>0</v>
      </c>
      <c r="Z60" s="11">
        <f>IF(ISNUMBER(SEARCH(",CD152,",","&amp;SUBSTITUTE(I60,", ",",")&amp;",")),1,0)</f>
        <v>0</v>
      </c>
      <c r="AA60" s="11">
        <f>IF(ISNUMBER(SEARCH(",CD274,",","&amp;SUBSTITUTE(I60,", ",",")&amp;",")),1,0)</f>
        <v>0</v>
      </c>
      <c r="AB60" s="11">
        <f>IF(ISNUMBER(SEARCH(",CD279,",","&amp;SUBSTITUTE(I60,", ",",")&amp;",")),1,0)</f>
        <v>1</v>
      </c>
      <c r="AC60" s="11">
        <f>IF(ISNUMBER(SEARCH(",CD73,",","&amp;SUBSTITUTE(I60,", ",",")&amp;",")),1,0)</f>
        <v>0</v>
      </c>
      <c r="AD60" s="11">
        <f>IF(ISNUMBER(SEARCH(",CEA,",","&amp;SUBSTITUTE(I60,", ",",")&amp;",")),1,0)</f>
        <v>0</v>
      </c>
      <c r="AE60" s="11">
        <f>IF(ISNUMBER(SEARCH(",CTLA-4,",","&amp;SUBSTITUTE(I60,", ",",")&amp;",")),1,0)</f>
        <v>0</v>
      </c>
      <c r="AF60" s="11">
        <f>IF(ISNUMBER(SEARCH(",EGFR,",","&amp;SUBSTITUTE(I60,", ",",")&amp;",")),1,0)</f>
        <v>0</v>
      </c>
      <c r="AG60" s="11">
        <f>IF(ISNUMBER(SEARCH(",EGFR C797G,",","&amp;SUBSTITUTE(I60,", ",",")&amp;",")),1,0)</f>
        <v>0</v>
      </c>
      <c r="AH60" s="11">
        <f>IF(ISNUMBER(SEARCH(",EGFR C797S,",","&amp;SUBSTITUTE(I60,", ",",")&amp;",")),1,0)</f>
        <v>0</v>
      </c>
      <c r="AI60" s="11">
        <f>IF(ISNUMBER(SEARCH(",EGFR Exon 19-del,",","&amp;SUBSTITUTE(I60,", ",",")&amp;",")),1,0)</f>
        <v>0</v>
      </c>
      <c r="AJ60" s="11">
        <f>IF(ISNUMBER(SEARCH(",EGFR Exon 20,",","&amp;SUBSTITUTE(I60,", ",",")&amp;",")),1,0)</f>
        <v>0</v>
      </c>
      <c r="AK60" s="11">
        <f>IF(ISNUMBER(SEARCH(",EGFR L858R,",","&amp;SUBSTITUTE(I60,", ",",")&amp;",")),1,0)</f>
        <v>0</v>
      </c>
      <c r="AL60" s="11">
        <f>IF(ISNUMBER(SEARCH(",EGFR T790M,",","&amp;SUBSTITUTE(I60,", ",",")&amp;",")),1,0)</f>
        <v>0</v>
      </c>
      <c r="AM60" s="11">
        <f>IF(ISNUMBER(SEARCH(",ERBB,",","&amp;SUBSTITUTE(I60,", ",",")&amp;",")),1,0)</f>
        <v>0</v>
      </c>
      <c r="AN60" s="11">
        <f>IF(ISNUMBER(SEARCH(",ERBB3,",","&amp;SUBSTITUTE(I60,", ",",")&amp;",")),1,0)</f>
        <v>0</v>
      </c>
      <c r="AO60" s="11">
        <f>IF(ISNUMBER(SEARCH(",FAK,",","&amp;SUBSTITUTE(I60,", ",",")&amp;",")),1,0)</f>
        <v>0</v>
      </c>
      <c r="AP60" s="11">
        <f>IF(ISNUMBER(SEARCH(",GARP,",","&amp;SUBSTITUTE(I60,", ",",")&amp;",")),1,0)</f>
        <v>0</v>
      </c>
      <c r="AQ60" s="11">
        <f>IF(ISNUMBER(SEARCH(",HER1,",","&amp;SUBSTITUTE(I60,", ",",")&amp;",")),1,0)</f>
        <v>0</v>
      </c>
      <c r="AR60" s="11">
        <f>IF(ISNUMBER(SEARCH(",HER2,",","&amp;SUBSTITUTE(I60,", ",",")&amp;",")),1,0)</f>
        <v>0</v>
      </c>
      <c r="AS60" s="11">
        <f>IF(ISNUMBER(SEARCH(",HER2 Exon 20,",","&amp;SUBSTITUTE(I60,", ",",")&amp;",")),1,0)</f>
        <v>0</v>
      </c>
      <c r="AT60" s="11">
        <f>IF(ISNUMBER(SEARCH(",HER3,",","&amp;SUBSTITUTE(I60,", ",",")&amp;",")),1,0)</f>
        <v>0</v>
      </c>
      <c r="AU60" s="11">
        <f>IF(ISNUMBER(SEARCH(",HER4,",","&amp;SUBSTITUTE(I60,", ",",")&amp;",")),1,0)</f>
        <v>0</v>
      </c>
      <c r="AV60" s="11">
        <f>IF(ISNUMBER(SEARCH(",HRAS,",","&amp;SUBSTITUTE(I60,", ",",")&amp;",")),1,0)</f>
        <v>0</v>
      </c>
      <c r="AW60" s="11">
        <f>IF(ISNUMBER(SEARCH(",HSV-TK,",","&amp;SUBSTITUTE(I60,", ",",")&amp;",")),1,0)</f>
        <v>0</v>
      </c>
      <c r="AX60" s="11">
        <f>IF(ISNUMBER(SEARCH(",IL-12,",","&amp;SUBSTITUTE(I60,", ",",")&amp;",")),1,0)</f>
        <v>0</v>
      </c>
      <c r="AY60" s="11">
        <f>IF(ISNUMBER(SEARCH(",IL-15,",","&amp;SUBSTITUTE(I60,", ",",")&amp;",")),1,0)</f>
        <v>0</v>
      </c>
      <c r="AZ60" s="11">
        <f>IF(ISNUMBER(SEARCH(",IL-15R,",","&amp;SUBSTITUTE(I60,", ",",")&amp;",")),1,0)</f>
        <v>0</v>
      </c>
      <c r="BA60" s="11">
        <f>IF(ISNUMBER(SEARCH(",IL-2,",","&amp;SUBSTITUTE(I60,", ",",")&amp;",")),1,0)</f>
        <v>0</v>
      </c>
      <c r="BB60" s="11">
        <f>IF(ISNUMBER(SEARCH(",Integrin β6,",","&amp;SUBSTITUTE(I60,", ",",")&amp;",")),1,0)</f>
        <v>0</v>
      </c>
      <c r="BC60" s="11">
        <f>IF(ISNUMBER(SEARCH(",KDR,",","&amp;SUBSTITUTE(I60,", ",",")&amp;",")),1,0)</f>
        <v>0</v>
      </c>
      <c r="BD60" s="11">
        <f>IF(ISNUMBER(SEARCH(",KLRC1,",","&amp;SUBSTITUTE(I60,", ",",")&amp;",")),1,0)</f>
        <v>0</v>
      </c>
      <c r="BE60" s="11">
        <f>IF(ISNUMBER(SEARCH(",KRAS,",","&amp;SUBSTITUTE(I60,", ",",")&amp;",")),1,0)</f>
        <v>0</v>
      </c>
      <c r="BF60" s="11">
        <f>IF(ISNUMBER(SEARCH(",KRAS G12,",","&amp;SUBSTITUTE(I60,", ",",")&amp;",")),1,0)</f>
        <v>0</v>
      </c>
      <c r="BG60" s="11">
        <f>IF(ISNUMBER(SEARCH(",KRAS G12C,",","&amp;SUBSTITUTE(I60,", ",",")&amp;",")),1,0)</f>
        <v>0</v>
      </c>
      <c r="BH60" s="11">
        <f>IF(ISNUMBER(SEARCH(",KRAS G12D,",","&amp;SUBSTITUTE(I60,", ",",")&amp;",")),1,0)</f>
        <v>0</v>
      </c>
      <c r="BI60" s="11">
        <f>IF(ISNUMBER(SEARCH(",LAG-3,",","&amp;SUBSTITUTE(I60,", ",",")&amp;",")),1,0)</f>
        <v>0</v>
      </c>
      <c r="BJ60" s="11">
        <f>IF(ISNUMBER(SEARCH(",MAGE-A2,",","&amp;SUBSTITUTE(I60,", ",",")&amp;",")),1,0)</f>
        <v>0</v>
      </c>
      <c r="BK60" s="11">
        <f>IF(ISNUMBER(SEARCH(",MAGE-A3,",","&amp;SUBSTITUTE(I60,", ",",")&amp;",")),1,0)</f>
        <v>0</v>
      </c>
      <c r="BL60" s="11">
        <f>IF(ISNUMBER(SEARCH(",MLN19,",","&amp;SUBSTITUTE(I60,", ",",")&amp;",")),1,0)</f>
        <v>0</v>
      </c>
      <c r="BM60" s="11">
        <f>IF(ISNUMBER(SEARCH(",Microtubule,",","&amp;SUBSTITUTE(I60,", ",",")&amp;",")),1,0)</f>
        <v>0</v>
      </c>
      <c r="BN60" s="11">
        <f>IF(ISNUMBER(SEARCH(",NKG2A,",","&amp;SUBSTITUTE(I60,", ",",")&amp;",")),1,0)</f>
        <v>0</v>
      </c>
      <c r="BO60" s="11">
        <f>IF(ISNUMBER(SEARCH(",NRAS,",","&amp;SUBSTITUTE(I60,", ",",")&amp;",")),1,0)</f>
        <v>0</v>
      </c>
      <c r="BP60" s="11">
        <f>IF(ISNUMBER(SEARCH(",NTRK,",","&amp;SUBSTITUTE(I60,", ",",")&amp;",")),1,0)</f>
        <v>0</v>
      </c>
      <c r="BQ60" s="11">
        <f>IF(ISNUMBER(SEARCH(",PARP,",","&amp;SUBSTITUTE(I60,", ",",")&amp;",")),1,0)</f>
        <v>0</v>
      </c>
      <c r="BR60" s="11">
        <f>IF(ISNUMBER(SEARCH(",PD-1,",","&amp;SUBSTITUTE(I60,", ",",")&amp;",")),1,0)</f>
        <v>1</v>
      </c>
      <c r="BS60" s="11">
        <f>IF(ISNUMBER(SEARCH(",PD-L1,",","&amp;SUBSTITUTE(I60,", ",",")&amp;",")),1,0)</f>
        <v>0</v>
      </c>
      <c r="BT60" s="11">
        <f>IF(ISNUMBER(SEARCH(",PRMT5,",","&amp;SUBSTITUTE(I60,", ",",")&amp;",")),1,0)</f>
        <v>0</v>
      </c>
      <c r="BU60" s="11">
        <f>IF(ISNUMBER(SEARCH(",RAS,",","&amp;SUBSTITUTE(I60,", ",",")&amp;",")),1,0)</f>
        <v>0</v>
      </c>
      <c r="BV60" s="11">
        <f>IF(ISNUMBER(SEARCH(",RET,",","&amp;SUBSTITUTE(I60,", ",",")&amp;",")),1,0)</f>
        <v>0</v>
      </c>
      <c r="BW60" s="11">
        <f>IF(ISNUMBER(SEARCH(",ROS,",","&amp;SUBSTITUTE(I60,", ",",")&amp;",")),1,0)</f>
        <v>0</v>
      </c>
      <c r="BX60" s="11">
        <f>IF(ISNUMBER(SEARCH(",ROS1,",","&amp;SUBSTITUTE(I60,", ",",")&amp;",")),1,0)</f>
        <v>0</v>
      </c>
      <c r="BY60" s="11">
        <f>IF(ISNUMBER(SEARCH(",Src,",","&amp;SUBSTITUTE(I60,", ",",")&amp;",")),1,0)</f>
        <v>0</v>
      </c>
      <c r="BZ60" s="11">
        <f>IF(ISNUMBER(SEARCH(",TCGF,",","&amp;SUBSTITUTE(I60,", ",",")&amp;",")),1,0)</f>
        <v>0</v>
      </c>
      <c r="CA60" s="11">
        <f>IF(ISNUMBER(SEARCH(",TGF-β,",","&amp;SUBSTITUTE(I60,", ",",")&amp;",")),1,0)</f>
        <v>0</v>
      </c>
      <c r="CB60" s="11">
        <f>IF(ISNUMBER(SEARCH(",TGF-β1,",","&amp;SUBSTITUTE(I60,", ",",")&amp;",")),1,0)</f>
        <v>0</v>
      </c>
      <c r="CC60" s="11">
        <f>IF(ISNUMBER(SEARCH(",TIGIT,",","&amp;SUBSTITUTE(I60,", ",",")&amp;",")),1,0)</f>
        <v>1</v>
      </c>
      <c r="CD60" s="11">
        <f>IF(ISNUMBER(SEARCH(",TLR,",","&amp;SUBSTITUTE(I60,", ",",")&amp;",")),1,0)</f>
        <v>0</v>
      </c>
      <c r="CE60" s="11">
        <f>IF(ISNUMBER(SEARCH(",TLR7/8,",","&amp;SUBSTITUTE(I60,", ",",")&amp;",")),1,0)</f>
        <v>0</v>
      </c>
      <c r="CF60" s="11">
        <f>IF(ISNUMBER(SEARCH(",TRK,",","&amp;SUBSTITUTE(I60,", ",",")&amp;",")),1,0)</f>
        <v>0</v>
      </c>
      <c r="CG60" s="11">
        <f>IF(ISNUMBER(SEARCH(",TROP2,",","&amp;SUBSTITUTE(I60,", ",",")&amp;",")),1,0)</f>
        <v>0</v>
      </c>
      <c r="CH60" s="11">
        <f>IF(ISNUMBER(SEARCH(",TS,",","&amp;SUBSTITUTE(I60,", ",",")&amp;",")),1,0)</f>
        <v>1</v>
      </c>
      <c r="CI60" s="11">
        <f>IF(ISNUMBER(SEARCH(",TYMS,",","&amp;SUBSTITUTE(I60,", ",",")&amp;",")),1,0)</f>
        <v>1</v>
      </c>
      <c r="CJ60" s="11">
        <f>IF(ISNUMBER(SEARCH(",VEGF,",","&amp;SUBSTITUTE(I60,", ",",")&amp;",")),1,0)</f>
        <v>0</v>
      </c>
      <c r="CK60" s="11">
        <f>IF(ISNUMBER(SEARCH(",VEGFA,",","&amp;SUBSTITUTE(I60,", ",",")&amp;",")),1,0)</f>
        <v>0</v>
      </c>
      <c r="CL60" s="11">
        <f>IF(ISNUMBER(SEARCH(",VEGFR2,",","&amp;SUBSTITUTE(I60,", ",",")&amp;",")),1,0)</f>
        <v>0</v>
      </c>
      <c r="CM60" s="11">
        <f>IF(ISNUMBER(SEARCH(",c-MET/MET,",","&amp;SUBSTITUTE(I60,", ",",")&amp;",")),1,0)</f>
        <v>0</v>
      </c>
      <c r="CN60" s="11">
        <f>IF(ISNUMBER(SEARCH(",p53,",","&amp;SUBSTITUTE(I60,", ",",")&amp;",")),1,0)</f>
        <v>0</v>
      </c>
      <c r="CO60" s="11">
        <f>IF(ISNUMBER(SEARCH(",pan-KRAS,",","&amp;SUBSTITUTE(I60,", ",",")&amp;",")),1,0)</f>
        <v>0</v>
      </c>
      <c r="CP60" s="11">
        <f>IF(ISNUMBER(SEARCH(",ALK,",","&amp;SUBSTITUTE(K60,", ",",")&amp;",")),1,0)</f>
        <v>0</v>
      </c>
      <c r="CQ60" s="11">
        <f>IF(ISNUMBER(SEARCH(",BRAF V600E,",","&amp;SUBSTITUTE(K60,", ",",")&amp;",")),1,0)</f>
        <v>0</v>
      </c>
      <c r="CR60" s="11">
        <f>IF(ISNUMBER(SEARCH(",EGFR,",","&amp;SUBSTITUTE(K60,", ",",")&amp;",")),1,0)</f>
        <v>0</v>
      </c>
      <c r="CS60" s="11">
        <f>IF(ISNUMBER(SEARCH(",EGFR Exon 18,",","&amp;SUBSTITUTE(K60,", ",",")&amp;",")),1,0)</f>
        <v>0</v>
      </c>
      <c r="CT60" s="11">
        <f>IF(ISNUMBER(SEARCH(",EGFR Exon 19-del,",","&amp;SUBSTITUTE(K60,", ",",")&amp;",")),1,0)</f>
        <v>0</v>
      </c>
      <c r="CU60" s="11">
        <f>IF(ISNUMBER(SEARCH(",EGFR Exon 20,",","&amp;SUBSTITUTE(K60,", ",",")&amp;",")),1,0)</f>
        <v>0</v>
      </c>
      <c r="CV60" s="11">
        <f>IF(ISNUMBER(SEARCH(",EGFR Exon 20-ins,",","&amp;SUBSTITUTE(K60,", ",",")&amp;",")),1,0)</f>
        <v>0</v>
      </c>
      <c r="CW60" s="11">
        <f>IF(ISNUMBER(SEARCH(",EGFR Exon 21,",","&amp;SUBSTITUTE(K60,", ",",")&amp;",")),1,0)</f>
        <v>0</v>
      </c>
      <c r="CX60" s="11">
        <f>IF(ISNUMBER(SEARCH(",EGFR G719A,",","&amp;SUBSTITUTE(K60,", ",",")&amp;",")),1,0)</f>
        <v>0</v>
      </c>
      <c r="CY60" s="11">
        <f>IF(ISNUMBER(SEARCH(",EGFR G719C,",","&amp;SUBSTITUTE(K60,", ",",")&amp;",")),1,0)</f>
        <v>0</v>
      </c>
      <c r="CZ60" s="11">
        <f>IF(ISNUMBER(SEARCH(",EGFR G719S,",","&amp;SUBSTITUTE(K60,", ",",")&amp;",")),1,0)</f>
        <v>0</v>
      </c>
      <c r="DA60" s="11">
        <f>IF(ISNUMBER(SEARCH(",EGFR G719X,",","&amp;SUBSTITUTE(K60,", ",",")&amp;",")),1,0)</f>
        <v>0</v>
      </c>
      <c r="DB60" s="11">
        <f>IF(ISNUMBER(SEARCH(",EGFR L858R,",","&amp;SUBSTITUTE(K60,", ",",")&amp;",")),1,0)</f>
        <v>0</v>
      </c>
      <c r="DC60" s="11">
        <f>IF(ISNUMBER(SEARCH(",EGFR L861Q,",","&amp;SUBSTITUTE(K60,", ",",")&amp;",")),1,0)</f>
        <v>0</v>
      </c>
      <c r="DD60" s="11">
        <f>IF(ISNUMBER(SEARCH(",EGFR PACC,",","&amp;SUBSTITUTE(K60,", ",",")&amp;",")),1,0)</f>
        <v>0</v>
      </c>
      <c r="DE60" s="11">
        <f>IF(ISNUMBER(SEARCH(",EGFR S768I,",","&amp;SUBSTITUTE(K60,", ",",")&amp;",")),1,0)</f>
        <v>0</v>
      </c>
      <c r="DF60" s="11">
        <f>IF(ISNUMBER(SEARCH(",EGFR T790M,",","&amp;SUBSTITUTE(K60,", ",",")&amp;",")),1,0)</f>
        <v>0</v>
      </c>
      <c r="DG60" s="11">
        <f>IF(ISNUMBER(SEARCH(",EML4-ALK,",","&amp;SUBSTITUTE(K60,", ",",")&amp;",")),1,0)</f>
        <v>0</v>
      </c>
      <c r="DH60" s="11">
        <f>IF(ISNUMBER(SEARCH(",HER2,",","&amp;SUBSTITUTE(K60,", ",",")&amp;",")),1,0)</f>
        <v>0</v>
      </c>
      <c r="DI60" s="11">
        <f>IF(ISNUMBER(SEARCH(",HER2 Exon 19,",","&amp;SUBSTITUTE(K60,", ",",")&amp;",")),1,0)</f>
        <v>0</v>
      </c>
      <c r="DJ60" s="11">
        <f>IF(ISNUMBER(SEARCH(",HER2 Exon 20,",","&amp;SUBSTITUTE(K60,", ",",")&amp;",")),1,0)</f>
        <v>0</v>
      </c>
      <c r="DK60" s="11">
        <f>IF(ISNUMBER(SEARCH(",HER2 mut,",","&amp;SUBSTITUTE(K60,", ",",")&amp;",")),1,0)</f>
        <v>0</v>
      </c>
      <c r="DL60" s="11">
        <f>IF(ISNUMBER(SEARCH(",HLA-A2,",","&amp;SUBSTITUTE(K60,", ",",")&amp;",")),1,0)</f>
        <v>0</v>
      </c>
      <c r="DM60" s="11">
        <f>IF(ISNUMBER(SEARCH(",HRAS,",","&amp;SUBSTITUTE(K60,", ",",")&amp;",")),1,0)</f>
        <v>0</v>
      </c>
      <c r="DN60" s="11">
        <f>IF(ISNUMBER(SEARCH(",KRAS,",","&amp;SUBSTITUTE(K60,", ",",")&amp;",")),1,0)</f>
        <v>0</v>
      </c>
      <c r="DO60" s="11">
        <f>IF(ISNUMBER(SEARCH(",KRAS G12C,",","&amp;SUBSTITUTE(K60,", ",",")&amp;",")),1,0)</f>
        <v>0</v>
      </c>
      <c r="DP60" s="11">
        <f>IF(ISNUMBER(SEARCH(",NRAS,",","&amp;SUBSTITUTE(K60,", ",",")&amp;",")),1,0)</f>
        <v>0</v>
      </c>
      <c r="DQ60" s="11">
        <f>IF(ISNUMBER(SEARCH(",NTRK,",","&amp;SUBSTITUTE(K60,", ",",")&amp;",")),1,0)</f>
        <v>0</v>
      </c>
      <c r="DR60" s="11">
        <f>IF(ISNUMBER(SEARCH(",PD-L1,",","&amp;SUBSTITUTE(K60,", ",",")&amp;",")),1,0)</f>
        <v>0</v>
      </c>
      <c r="DS60" s="11">
        <f>IF(ISNUMBER(SEARCH(",PD-L1 IC ≥ 1%,",","&amp;SUBSTITUTE(K60,", ",",")&amp;",")),1,0)</f>
        <v>0</v>
      </c>
      <c r="DT60" s="11">
        <f>IF(ISNUMBER(SEARCH(",PD-L1 TC ≥ 1%,",","&amp;SUBSTITUTE(K60,", ",",")&amp;",")),1,0)</f>
        <v>1</v>
      </c>
      <c r="DU60" s="11">
        <f>IF(ISNUMBER(SEARCH(",PD-L1 TC ≥ 50%,",","&amp;SUBSTITUTE(K60,", ",",")&amp;",")),1,0)</f>
        <v>0</v>
      </c>
      <c r="DV60" s="11">
        <f>IF(ISNUMBER(SEARCH(",PD-L1 TPS &lt; 50%,",","&amp;SUBSTITUTE(K60,", ",",")&amp;",")),1,0)</f>
        <v>0</v>
      </c>
      <c r="DW60" s="11">
        <f>IF(ISNUMBER(SEARCH(",PD-L1 TPS ≥ 1%,",","&amp;SUBSTITUTE(K60,", ",",")&amp;",")),1,0)</f>
        <v>0</v>
      </c>
      <c r="DX60" s="11">
        <f>IF(ISNUMBER(SEARCH(",PD-L1 TPS ≥ 50%,",","&amp;SUBSTITUTE(K60,", ",",")&amp;",")),1,0)</f>
        <v>0</v>
      </c>
      <c r="DY60" s="11">
        <f>IF(ISNUMBER(SEARCH(",RAS,",","&amp;SUBSTITUTE(K60,", ",",")&amp;",")),1,0)</f>
        <v>0</v>
      </c>
      <c r="DZ60" s="11">
        <f>IF(ISNUMBER(SEARCH(",RET,",","&amp;SUBSTITUTE(K60,", ",",")&amp;",")),1,0)</f>
        <v>0</v>
      </c>
      <c r="EA60" s="11">
        <f>IF(ISNUMBER(SEARCH(",ROS1,",","&amp;SUBSTITUTE(K60,", ",",")&amp;",")),1,0)</f>
        <v>0</v>
      </c>
      <c r="EB60" s="11">
        <f>IF(ISNUMBER(SEARCH(",TROP2,",","&amp;SUBSTITUTE(K60,", ",",")&amp;",")),1,0)</f>
        <v>0</v>
      </c>
      <c r="EC60" s="11">
        <f>IF(ISNUMBER(SEARCH(",c-MET/MET,",","&amp;SUBSTITUTE(K60,", ",",")&amp;",")),1,0)</f>
        <v>0</v>
      </c>
      <c r="ED60" s="11">
        <f>IF(ISNUMBER(SEARCH(",c-MET/MET Exon 14,",","&amp;SUBSTITUTE(K60,", ",",")&amp;",")),1,0)</f>
        <v>0</v>
      </c>
      <c r="EE60" s="11">
        <f>IF(ISNUMBER(SEARCH(",ctDNA/cfDNA,",","&amp;SUBSTITUTE(K60,", ",",")&amp;",")),1,0)</f>
        <v>0</v>
      </c>
    </row>
    <row r="61" spans="1:135" ht="15" customHeight="1" x14ac:dyDescent="0.2">
      <c r="A61" s="3" t="s">
        <v>1188</v>
      </c>
      <c r="B61" s="3" t="s">
        <v>1189</v>
      </c>
      <c r="C61" s="3" t="s">
        <v>350</v>
      </c>
      <c r="D61" s="3" t="s">
        <v>350</v>
      </c>
      <c r="E61" s="3" t="s">
        <v>350</v>
      </c>
      <c r="F61" s="3" t="s">
        <v>259</v>
      </c>
      <c r="G61" s="3" t="s">
        <v>544</v>
      </c>
      <c r="H61" s="3" t="s">
        <v>114</v>
      </c>
      <c r="I61" s="3" t="s">
        <v>1414</v>
      </c>
      <c r="J61" s="3" t="s">
        <v>1192</v>
      </c>
      <c r="K61" s="3" t="s">
        <v>1198</v>
      </c>
      <c r="L61" s="3" t="s">
        <v>119</v>
      </c>
      <c r="M61" s="3" t="s">
        <v>113</v>
      </c>
      <c r="N61" s="3" t="s">
        <v>120</v>
      </c>
      <c r="O61" s="3" t="s">
        <v>120</v>
      </c>
      <c r="P61" s="3" t="s">
        <v>1412</v>
      </c>
      <c r="Q61" s="10" t="str">
        <f>IF(F61="Stage IV","Stage IV Only",IF(AND(ISNUMBER(SEARCH("IV",F61)),LEN(F61)&gt;LEN("Stage IV")),"Stage IV + Other",IF(AND(ISNUMBER(SEARCH("III",F61)),NOT(ISNUMBER(SEARCH("IV",F61)))),"Stage III Only","Other")))</f>
        <v>Stage IV Only</v>
      </c>
      <c r="R61" s="10" t="str">
        <f>IF(AND(ISNUMBER(SEARCH("Non-squamous",G61)),ISNUMBER(SEARCH("Squamous",SUBSTITUTE(G61,"Non-squamous","")))),"Both",IF(ISNUMBER(SEARCH("Non-squamous",G61)),"Non-squamous",IF(ISNUMBER(SEARCH("Squamous",G61)),"Squamous","Unspecified")))</f>
        <v>Both</v>
      </c>
      <c r="S61" s="10" t="str">
        <f>IF(OR(ISNUMBER(SEARCH("TPS ≥ 50%",K61)),ISNUMBER(SEARCH("TC ≥ 50%",K61))),"TPS ≥ 50%",IF(OR(ISNUMBER(SEARCH("TPS ≥ 1%",K61)),ISNUMBER(SEARCH("TC ≥ 1%",K61)),ISNUMBER(SEARCH("TPS &lt; 50%",K61)),ISNUMBER(SEARCH("IC ≥ 1%",K61))),"TPS 1-49%","All-comers"))</f>
        <v>TPS ≥ 50%</v>
      </c>
      <c r="T61" s="10">
        <f>IF(H61="Phase III",1,0)</f>
        <v>1</v>
      </c>
      <c r="U61" s="10">
        <f>IF(L61="Yes",1,0)</f>
        <v>0</v>
      </c>
      <c r="V61" s="11">
        <f>IF(ISNUMBER(SEARCH(",ALK,",","&amp;SUBSTITUTE(I61,", ",",")&amp;",")),1,0)</f>
        <v>0</v>
      </c>
      <c r="W61" s="11">
        <f>IF(ISNUMBER(SEARCH(",ALK L1196M,",","&amp;SUBSTITUTE(I61,", ",",")&amp;",")),1,0)</f>
        <v>0</v>
      </c>
      <c r="X61" s="11">
        <f>IF(ISNUMBER(SEARCH(",AXL,",","&amp;SUBSTITUTE(I61,", ",",")&amp;",")),1,0)</f>
        <v>0</v>
      </c>
      <c r="Y61" s="11">
        <f>IF(ISNUMBER(SEARCH(",B7-H1,",","&amp;SUBSTITUTE(I61,", ",",")&amp;",")),1,0)</f>
        <v>0</v>
      </c>
      <c r="Z61" s="11">
        <f>IF(ISNUMBER(SEARCH(",CD152,",","&amp;SUBSTITUTE(I61,", ",",")&amp;",")),1,0)</f>
        <v>0</v>
      </c>
      <c r="AA61" s="11">
        <f>IF(ISNUMBER(SEARCH(",CD274,",","&amp;SUBSTITUTE(I61,", ",",")&amp;",")),1,0)</f>
        <v>0</v>
      </c>
      <c r="AB61" s="11">
        <f>IF(ISNUMBER(SEARCH(",CD279,",","&amp;SUBSTITUTE(I61,", ",",")&amp;",")),1,0)</f>
        <v>1</v>
      </c>
      <c r="AC61" s="11">
        <f>IF(ISNUMBER(SEARCH(",CD73,",","&amp;SUBSTITUTE(I61,", ",",")&amp;",")),1,0)</f>
        <v>0</v>
      </c>
      <c r="AD61" s="11">
        <f>IF(ISNUMBER(SEARCH(",CEA,",","&amp;SUBSTITUTE(I61,", ",",")&amp;",")),1,0)</f>
        <v>0</v>
      </c>
      <c r="AE61" s="11">
        <f>IF(ISNUMBER(SEARCH(",CTLA-4,",","&amp;SUBSTITUTE(I61,", ",",")&amp;",")),1,0)</f>
        <v>0</v>
      </c>
      <c r="AF61" s="11">
        <f>IF(ISNUMBER(SEARCH(",EGFR,",","&amp;SUBSTITUTE(I61,", ",",")&amp;",")),1,0)</f>
        <v>0</v>
      </c>
      <c r="AG61" s="11">
        <f>IF(ISNUMBER(SEARCH(",EGFR C797G,",","&amp;SUBSTITUTE(I61,", ",",")&amp;",")),1,0)</f>
        <v>0</v>
      </c>
      <c r="AH61" s="11">
        <f>IF(ISNUMBER(SEARCH(",EGFR C797S,",","&amp;SUBSTITUTE(I61,", ",",")&amp;",")),1,0)</f>
        <v>0</v>
      </c>
      <c r="AI61" s="11">
        <f>IF(ISNUMBER(SEARCH(",EGFR Exon 19-del,",","&amp;SUBSTITUTE(I61,", ",",")&amp;",")),1,0)</f>
        <v>0</v>
      </c>
      <c r="AJ61" s="11">
        <f>IF(ISNUMBER(SEARCH(",EGFR Exon 20,",","&amp;SUBSTITUTE(I61,", ",",")&amp;",")),1,0)</f>
        <v>0</v>
      </c>
      <c r="AK61" s="11">
        <f>IF(ISNUMBER(SEARCH(",EGFR L858R,",","&amp;SUBSTITUTE(I61,", ",",")&amp;",")),1,0)</f>
        <v>0</v>
      </c>
      <c r="AL61" s="11">
        <f>IF(ISNUMBER(SEARCH(",EGFR T790M,",","&amp;SUBSTITUTE(I61,", ",",")&amp;",")),1,0)</f>
        <v>0</v>
      </c>
      <c r="AM61" s="11">
        <f>IF(ISNUMBER(SEARCH(",ERBB,",","&amp;SUBSTITUTE(I61,", ",",")&amp;",")),1,0)</f>
        <v>0</v>
      </c>
      <c r="AN61" s="11">
        <f>IF(ISNUMBER(SEARCH(",ERBB3,",","&amp;SUBSTITUTE(I61,", ",",")&amp;",")),1,0)</f>
        <v>0</v>
      </c>
      <c r="AO61" s="11">
        <f>IF(ISNUMBER(SEARCH(",FAK,",","&amp;SUBSTITUTE(I61,", ",",")&amp;",")),1,0)</f>
        <v>0</v>
      </c>
      <c r="AP61" s="11">
        <f>IF(ISNUMBER(SEARCH(",GARP,",","&amp;SUBSTITUTE(I61,", ",",")&amp;",")),1,0)</f>
        <v>0</v>
      </c>
      <c r="AQ61" s="11">
        <f>IF(ISNUMBER(SEARCH(",HER1,",","&amp;SUBSTITUTE(I61,", ",",")&amp;",")),1,0)</f>
        <v>0</v>
      </c>
      <c r="AR61" s="11">
        <f>IF(ISNUMBER(SEARCH(",HER2,",","&amp;SUBSTITUTE(I61,", ",",")&amp;",")),1,0)</f>
        <v>0</v>
      </c>
      <c r="AS61" s="11">
        <f>IF(ISNUMBER(SEARCH(",HER2 Exon 20,",","&amp;SUBSTITUTE(I61,", ",",")&amp;",")),1,0)</f>
        <v>0</v>
      </c>
      <c r="AT61" s="11">
        <f>IF(ISNUMBER(SEARCH(",HER3,",","&amp;SUBSTITUTE(I61,", ",",")&amp;",")),1,0)</f>
        <v>0</v>
      </c>
      <c r="AU61" s="11">
        <f>IF(ISNUMBER(SEARCH(",HER4,",","&amp;SUBSTITUTE(I61,", ",",")&amp;",")),1,0)</f>
        <v>0</v>
      </c>
      <c r="AV61" s="11">
        <f>IF(ISNUMBER(SEARCH(",HRAS,",","&amp;SUBSTITUTE(I61,", ",",")&amp;",")),1,0)</f>
        <v>0</v>
      </c>
      <c r="AW61" s="11">
        <f>IF(ISNUMBER(SEARCH(",HSV-TK,",","&amp;SUBSTITUTE(I61,", ",",")&amp;",")),1,0)</f>
        <v>0</v>
      </c>
      <c r="AX61" s="11">
        <f>IF(ISNUMBER(SEARCH(",IL-12,",","&amp;SUBSTITUTE(I61,", ",",")&amp;",")),1,0)</f>
        <v>0</v>
      </c>
      <c r="AY61" s="11">
        <f>IF(ISNUMBER(SEARCH(",IL-15,",","&amp;SUBSTITUTE(I61,", ",",")&amp;",")),1,0)</f>
        <v>0</v>
      </c>
      <c r="AZ61" s="11">
        <f>IF(ISNUMBER(SEARCH(",IL-15R,",","&amp;SUBSTITUTE(I61,", ",",")&amp;",")),1,0)</f>
        <v>0</v>
      </c>
      <c r="BA61" s="11">
        <f>IF(ISNUMBER(SEARCH(",IL-2,",","&amp;SUBSTITUTE(I61,", ",",")&amp;",")),1,0)</f>
        <v>0</v>
      </c>
      <c r="BB61" s="11">
        <f>IF(ISNUMBER(SEARCH(",Integrin β6,",","&amp;SUBSTITUTE(I61,", ",",")&amp;",")),1,0)</f>
        <v>0</v>
      </c>
      <c r="BC61" s="11">
        <f>IF(ISNUMBER(SEARCH(",KDR,",","&amp;SUBSTITUTE(I61,", ",",")&amp;",")),1,0)</f>
        <v>0</v>
      </c>
      <c r="BD61" s="11">
        <f>IF(ISNUMBER(SEARCH(",KLRC1,",","&amp;SUBSTITUTE(I61,", ",",")&amp;",")),1,0)</f>
        <v>0</v>
      </c>
      <c r="BE61" s="11">
        <f>IF(ISNUMBER(SEARCH(",KRAS,",","&amp;SUBSTITUTE(I61,", ",",")&amp;",")),1,0)</f>
        <v>0</v>
      </c>
      <c r="BF61" s="11">
        <f>IF(ISNUMBER(SEARCH(",KRAS G12,",","&amp;SUBSTITUTE(I61,", ",",")&amp;",")),1,0)</f>
        <v>0</v>
      </c>
      <c r="BG61" s="11">
        <f>IF(ISNUMBER(SEARCH(",KRAS G12C,",","&amp;SUBSTITUTE(I61,", ",",")&amp;",")),1,0)</f>
        <v>0</v>
      </c>
      <c r="BH61" s="11">
        <f>IF(ISNUMBER(SEARCH(",KRAS G12D,",","&amp;SUBSTITUTE(I61,", ",",")&amp;",")),1,0)</f>
        <v>0</v>
      </c>
      <c r="BI61" s="11">
        <f>IF(ISNUMBER(SEARCH(",LAG-3,",","&amp;SUBSTITUTE(I61,", ",",")&amp;",")),1,0)</f>
        <v>0</v>
      </c>
      <c r="BJ61" s="11">
        <f>IF(ISNUMBER(SEARCH(",MAGE-A2,",","&amp;SUBSTITUTE(I61,", ",",")&amp;",")),1,0)</f>
        <v>0</v>
      </c>
      <c r="BK61" s="11">
        <f>IF(ISNUMBER(SEARCH(",MAGE-A3,",","&amp;SUBSTITUTE(I61,", ",",")&amp;",")),1,0)</f>
        <v>0</v>
      </c>
      <c r="BL61" s="11">
        <f>IF(ISNUMBER(SEARCH(",MLN19,",","&amp;SUBSTITUTE(I61,", ",",")&amp;",")),1,0)</f>
        <v>0</v>
      </c>
      <c r="BM61" s="11">
        <f>IF(ISNUMBER(SEARCH(",Microtubule,",","&amp;SUBSTITUTE(I61,", ",",")&amp;",")),1,0)</f>
        <v>0</v>
      </c>
      <c r="BN61" s="11">
        <f>IF(ISNUMBER(SEARCH(",NKG2A,",","&amp;SUBSTITUTE(I61,", ",",")&amp;",")),1,0)</f>
        <v>0</v>
      </c>
      <c r="BO61" s="11">
        <f>IF(ISNUMBER(SEARCH(",NRAS,",","&amp;SUBSTITUTE(I61,", ",",")&amp;",")),1,0)</f>
        <v>0</v>
      </c>
      <c r="BP61" s="11">
        <f>IF(ISNUMBER(SEARCH(",NTRK,",","&amp;SUBSTITUTE(I61,", ",",")&amp;",")),1,0)</f>
        <v>0</v>
      </c>
      <c r="BQ61" s="11">
        <f>IF(ISNUMBER(SEARCH(",PARP,",","&amp;SUBSTITUTE(I61,", ",",")&amp;",")),1,0)</f>
        <v>0</v>
      </c>
      <c r="BR61" s="11">
        <f>IF(ISNUMBER(SEARCH(",PD-1,",","&amp;SUBSTITUTE(I61,", ",",")&amp;",")),1,0)</f>
        <v>1</v>
      </c>
      <c r="BS61" s="11">
        <f>IF(ISNUMBER(SEARCH(",PD-L1,",","&amp;SUBSTITUTE(I61,", ",",")&amp;",")),1,0)</f>
        <v>0</v>
      </c>
      <c r="BT61" s="11">
        <f>IF(ISNUMBER(SEARCH(",PRMT5,",","&amp;SUBSTITUTE(I61,", ",",")&amp;",")),1,0)</f>
        <v>0</v>
      </c>
      <c r="BU61" s="11">
        <f>IF(ISNUMBER(SEARCH(",RAS,",","&amp;SUBSTITUTE(I61,", ",",")&amp;",")),1,0)</f>
        <v>0</v>
      </c>
      <c r="BV61" s="11">
        <f>IF(ISNUMBER(SEARCH(",RET,",","&amp;SUBSTITUTE(I61,", ",",")&amp;",")),1,0)</f>
        <v>0</v>
      </c>
      <c r="BW61" s="11">
        <f>IF(ISNUMBER(SEARCH(",ROS,",","&amp;SUBSTITUTE(I61,", ",",")&amp;",")),1,0)</f>
        <v>0</v>
      </c>
      <c r="BX61" s="11">
        <f>IF(ISNUMBER(SEARCH(",ROS1,",","&amp;SUBSTITUTE(I61,", ",",")&amp;",")),1,0)</f>
        <v>0</v>
      </c>
      <c r="BY61" s="11">
        <f>IF(ISNUMBER(SEARCH(",Src,",","&amp;SUBSTITUTE(I61,", ",",")&amp;",")),1,0)</f>
        <v>0</v>
      </c>
      <c r="BZ61" s="11">
        <f>IF(ISNUMBER(SEARCH(",TCGF,",","&amp;SUBSTITUTE(I61,", ",",")&amp;",")),1,0)</f>
        <v>0</v>
      </c>
      <c r="CA61" s="11">
        <f>IF(ISNUMBER(SEARCH(",TGF-β,",","&amp;SUBSTITUTE(I61,", ",",")&amp;",")),1,0)</f>
        <v>0</v>
      </c>
      <c r="CB61" s="11">
        <f>IF(ISNUMBER(SEARCH(",TGF-β1,",","&amp;SUBSTITUTE(I61,", ",",")&amp;",")),1,0)</f>
        <v>0</v>
      </c>
      <c r="CC61" s="11">
        <f>IF(ISNUMBER(SEARCH(",TIGIT,",","&amp;SUBSTITUTE(I61,", ",",")&amp;",")),1,0)</f>
        <v>1</v>
      </c>
      <c r="CD61" s="11">
        <f>IF(ISNUMBER(SEARCH(",TLR,",","&amp;SUBSTITUTE(I61,", ",",")&amp;",")),1,0)</f>
        <v>0</v>
      </c>
      <c r="CE61" s="11">
        <f>IF(ISNUMBER(SEARCH(",TLR7/8,",","&amp;SUBSTITUTE(I61,", ",",")&amp;",")),1,0)</f>
        <v>0</v>
      </c>
      <c r="CF61" s="11">
        <f>IF(ISNUMBER(SEARCH(",TRK,",","&amp;SUBSTITUTE(I61,", ",",")&amp;",")),1,0)</f>
        <v>0</v>
      </c>
      <c r="CG61" s="11">
        <f>IF(ISNUMBER(SEARCH(",TROP2,",","&amp;SUBSTITUTE(I61,", ",",")&amp;",")),1,0)</f>
        <v>0</v>
      </c>
      <c r="CH61" s="11">
        <f>IF(ISNUMBER(SEARCH(",TS,",","&amp;SUBSTITUTE(I61,", ",",")&amp;",")),1,0)</f>
        <v>0</v>
      </c>
      <c r="CI61" s="11">
        <f>IF(ISNUMBER(SEARCH(",TYMS,",","&amp;SUBSTITUTE(I61,", ",",")&amp;",")),1,0)</f>
        <v>0</v>
      </c>
      <c r="CJ61" s="11">
        <f>IF(ISNUMBER(SEARCH(",VEGF,",","&amp;SUBSTITUTE(I61,", ",",")&amp;",")),1,0)</f>
        <v>0</v>
      </c>
      <c r="CK61" s="11">
        <f>IF(ISNUMBER(SEARCH(",VEGFA,",","&amp;SUBSTITUTE(I61,", ",",")&amp;",")),1,0)</f>
        <v>0</v>
      </c>
      <c r="CL61" s="11">
        <f>IF(ISNUMBER(SEARCH(",VEGFR2,",","&amp;SUBSTITUTE(I61,", ",",")&amp;",")),1,0)</f>
        <v>0</v>
      </c>
      <c r="CM61" s="11">
        <f>IF(ISNUMBER(SEARCH(",c-MET/MET,",","&amp;SUBSTITUTE(I61,", ",",")&amp;",")),1,0)</f>
        <v>0</v>
      </c>
      <c r="CN61" s="11">
        <f>IF(ISNUMBER(SEARCH(",p53,",","&amp;SUBSTITUTE(I61,", ",",")&amp;",")),1,0)</f>
        <v>0</v>
      </c>
      <c r="CO61" s="11">
        <f>IF(ISNUMBER(SEARCH(",pan-KRAS,",","&amp;SUBSTITUTE(I61,", ",",")&amp;",")),1,0)</f>
        <v>0</v>
      </c>
      <c r="CP61" s="11">
        <f>IF(ISNUMBER(SEARCH(",ALK,",","&amp;SUBSTITUTE(K61,", ",",")&amp;",")),1,0)</f>
        <v>0</v>
      </c>
      <c r="CQ61" s="11">
        <f>IF(ISNUMBER(SEARCH(",BRAF V600E,",","&amp;SUBSTITUTE(K61,", ",",")&amp;",")),1,0)</f>
        <v>0</v>
      </c>
      <c r="CR61" s="11">
        <f>IF(ISNUMBER(SEARCH(",EGFR,",","&amp;SUBSTITUTE(K61,", ",",")&amp;",")),1,0)</f>
        <v>0</v>
      </c>
      <c r="CS61" s="11">
        <f>IF(ISNUMBER(SEARCH(",EGFR Exon 18,",","&amp;SUBSTITUTE(K61,", ",",")&amp;",")),1,0)</f>
        <v>0</v>
      </c>
      <c r="CT61" s="11">
        <f>IF(ISNUMBER(SEARCH(",EGFR Exon 19-del,",","&amp;SUBSTITUTE(K61,", ",",")&amp;",")),1,0)</f>
        <v>0</v>
      </c>
      <c r="CU61" s="11">
        <f>IF(ISNUMBER(SEARCH(",EGFR Exon 20,",","&amp;SUBSTITUTE(K61,", ",",")&amp;",")),1,0)</f>
        <v>0</v>
      </c>
      <c r="CV61" s="11">
        <f>IF(ISNUMBER(SEARCH(",EGFR Exon 20-ins,",","&amp;SUBSTITUTE(K61,", ",",")&amp;",")),1,0)</f>
        <v>0</v>
      </c>
      <c r="CW61" s="11">
        <f>IF(ISNUMBER(SEARCH(",EGFR Exon 21,",","&amp;SUBSTITUTE(K61,", ",",")&amp;",")),1,0)</f>
        <v>0</v>
      </c>
      <c r="CX61" s="11">
        <f>IF(ISNUMBER(SEARCH(",EGFR G719A,",","&amp;SUBSTITUTE(K61,", ",",")&amp;",")),1,0)</f>
        <v>0</v>
      </c>
      <c r="CY61" s="11">
        <f>IF(ISNUMBER(SEARCH(",EGFR G719C,",","&amp;SUBSTITUTE(K61,", ",",")&amp;",")),1,0)</f>
        <v>0</v>
      </c>
      <c r="CZ61" s="11">
        <f>IF(ISNUMBER(SEARCH(",EGFR G719S,",","&amp;SUBSTITUTE(K61,", ",",")&amp;",")),1,0)</f>
        <v>0</v>
      </c>
      <c r="DA61" s="11">
        <f>IF(ISNUMBER(SEARCH(",EGFR G719X,",","&amp;SUBSTITUTE(K61,", ",",")&amp;",")),1,0)</f>
        <v>0</v>
      </c>
      <c r="DB61" s="11">
        <f>IF(ISNUMBER(SEARCH(",EGFR L858R,",","&amp;SUBSTITUTE(K61,", ",",")&amp;",")),1,0)</f>
        <v>0</v>
      </c>
      <c r="DC61" s="11">
        <f>IF(ISNUMBER(SEARCH(",EGFR L861Q,",","&amp;SUBSTITUTE(K61,", ",",")&amp;",")),1,0)</f>
        <v>0</v>
      </c>
      <c r="DD61" s="11">
        <f>IF(ISNUMBER(SEARCH(",EGFR PACC,",","&amp;SUBSTITUTE(K61,", ",",")&amp;",")),1,0)</f>
        <v>0</v>
      </c>
      <c r="DE61" s="11">
        <f>IF(ISNUMBER(SEARCH(",EGFR S768I,",","&amp;SUBSTITUTE(K61,", ",",")&amp;",")),1,0)</f>
        <v>0</v>
      </c>
      <c r="DF61" s="11">
        <f>IF(ISNUMBER(SEARCH(",EGFR T790M,",","&amp;SUBSTITUTE(K61,", ",",")&amp;",")),1,0)</f>
        <v>0</v>
      </c>
      <c r="DG61" s="11">
        <f>IF(ISNUMBER(SEARCH(",EML4-ALK,",","&amp;SUBSTITUTE(K61,", ",",")&amp;",")),1,0)</f>
        <v>0</v>
      </c>
      <c r="DH61" s="11">
        <f>IF(ISNUMBER(SEARCH(",HER2,",","&amp;SUBSTITUTE(K61,", ",",")&amp;",")),1,0)</f>
        <v>0</v>
      </c>
      <c r="DI61" s="11">
        <f>IF(ISNUMBER(SEARCH(",HER2 Exon 19,",","&amp;SUBSTITUTE(K61,", ",",")&amp;",")),1,0)</f>
        <v>0</v>
      </c>
      <c r="DJ61" s="11">
        <f>IF(ISNUMBER(SEARCH(",HER2 Exon 20,",","&amp;SUBSTITUTE(K61,", ",",")&amp;",")),1,0)</f>
        <v>0</v>
      </c>
      <c r="DK61" s="11">
        <f>IF(ISNUMBER(SEARCH(",HER2 mut,",","&amp;SUBSTITUTE(K61,", ",",")&amp;",")),1,0)</f>
        <v>0</v>
      </c>
      <c r="DL61" s="11">
        <f>IF(ISNUMBER(SEARCH(",HLA-A2,",","&amp;SUBSTITUTE(K61,", ",",")&amp;",")),1,0)</f>
        <v>0</v>
      </c>
      <c r="DM61" s="11">
        <f>IF(ISNUMBER(SEARCH(",HRAS,",","&amp;SUBSTITUTE(K61,", ",",")&amp;",")),1,0)</f>
        <v>0</v>
      </c>
      <c r="DN61" s="11">
        <f>IF(ISNUMBER(SEARCH(",KRAS,",","&amp;SUBSTITUTE(K61,", ",",")&amp;",")),1,0)</f>
        <v>0</v>
      </c>
      <c r="DO61" s="11">
        <f>IF(ISNUMBER(SEARCH(",KRAS G12C,",","&amp;SUBSTITUTE(K61,", ",",")&amp;",")),1,0)</f>
        <v>0</v>
      </c>
      <c r="DP61" s="11">
        <f>IF(ISNUMBER(SEARCH(",NRAS,",","&amp;SUBSTITUTE(K61,", ",",")&amp;",")),1,0)</f>
        <v>0</v>
      </c>
      <c r="DQ61" s="11">
        <f>IF(ISNUMBER(SEARCH(",NTRK,",","&amp;SUBSTITUTE(K61,", ",",")&amp;",")),1,0)</f>
        <v>0</v>
      </c>
      <c r="DR61" s="11">
        <f>IF(ISNUMBER(SEARCH(",PD-L1,",","&amp;SUBSTITUTE(K61,", ",",")&amp;",")),1,0)</f>
        <v>0</v>
      </c>
      <c r="DS61" s="11">
        <f>IF(ISNUMBER(SEARCH(",PD-L1 IC ≥ 1%,",","&amp;SUBSTITUTE(K61,", ",",")&amp;",")),1,0)</f>
        <v>0</v>
      </c>
      <c r="DT61" s="11">
        <f>IF(ISNUMBER(SEARCH(",PD-L1 TC ≥ 1%,",","&amp;SUBSTITUTE(K61,", ",",")&amp;",")),1,0)</f>
        <v>0</v>
      </c>
      <c r="DU61" s="11">
        <f>IF(ISNUMBER(SEARCH(",PD-L1 TC ≥ 50%,",","&amp;SUBSTITUTE(K61,", ",",")&amp;",")),1,0)</f>
        <v>1</v>
      </c>
      <c r="DV61" s="11">
        <f>IF(ISNUMBER(SEARCH(",PD-L1 TPS &lt; 50%,",","&amp;SUBSTITUTE(K61,", ",",")&amp;",")),1,0)</f>
        <v>0</v>
      </c>
      <c r="DW61" s="11">
        <f>IF(ISNUMBER(SEARCH(",PD-L1 TPS ≥ 1%,",","&amp;SUBSTITUTE(K61,", ",",")&amp;",")),1,0)</f>
        <v>0</v>
      </c>
      <c r="DX61" s="11">
        <f>IF(ISNUMBER(SEARCH(",PD-L1 TPS ≥ 50%,",","&amp;SUBSTITUTE(K61,", ",",")&amp;",")),1,0)</f>
        <v>0</v>
      </c>
      <c r="DY61" s="11">
        <f>IF(ISNUMBER(SEARCH(",RAS,",","&amp;SUBSTITUTE(K61,", ",",")&amp;",")),1,0)</f>
        <v>0</v>
      </c>
      <c r="DZ61" s="11">
        <f>IF(ISNUMBER(SEARCH(",RET,",","&amp;SUBSTITUTE(K61,", ",",")&amp;",")),1,0)</f>
        <v>0</v>
      </c>
      <c r="EA61" s="11">
        <f>IF(ISNUMBER(SEARCH(",ROS1,",","&amp;SUBSTITUTE(K61,", ",",")&amp;",")),1,0)</f>
        <v>0</v>
      </c>
      <c r="EB61" s="11">
        <f>IF(ISNUMBER(SEARCH(",TROP2,",","&amp;SUBSTITUTE(K61,", ",",")&amp;",")),1,0)</f>
        <v>0</v>
      </c>
      <c r="EC61" s="11">
        <f>IF(ISNUMBER(SEARCH(",c-MET/MET,",","&amp;SUBSTITUTE(K61,", ",",")&amp;",")),1,0)</f>
        <v>0</v>
      </c>
      <c r="ED61" s="11">
        <f>IF(ISNUMBER(SEARCH(",c-MET/MET Exon 14,",","&amp;SUBSTITUTE(K61,", ",",")&amp;",")),1,0)</f>
        <v>0</v>
      </c>
      <c r="EE61" s="11">
        <f>IF(ISNUMBER(SEARCH(",ctDNA/cfDNA,",","&amp;SUBSTITUTE(K61,", ",",")&amp;",")),1,0)</f>
        <v>0</v>
      </c>
    </row>
    <row r="62" spans="1:135" ht="15" customHeight="1" x14ac:dyDescent="0.2">
      <c r="A62" s="3" t="s">
        <v>1039</v>
      </c>
      <c r="B62" s="3" t="s">
        <v>1040</v>
      </c>
      <c r="C62" s="3" t="s">
        <v>1041</v>
      </c>
      <c r="D62" s="3" t="s">
        <v>1041</v>
      </c>
      <c r="E62" s="3" t="s">
        <v>282</v>
      </c>
      <c r="F62" s="3" t="s">
        <v>259</v>
      </c>
      <c r="G62" s="3"/>
      <c r="H62" s="3" t="s">
        <v>114</v>
      </c>
      <c r="I62" s="3" t="s">
        <v>996</v>
      </c>
      <c r="J62" s="3" t="s">
        <v>965</v>
      </c>
      <c r="K62" s="3" t="s">
        <v>300</v>
      </c>
      <c r="L62" s="3" t="s">
        <v>119</v>
      </c>
      <c r="M62" s="3" t="s">
        <v>113</v>
      </c>
      <c r="N62" s="3" t="s">
        <v>120</v>
      </c>
      <c r="O62" s="3" t="s">
        <v>120</v>
      </c>
      <c r="P62" s="3" t="s">
        <v>1042</v>
      </c>
      <c r="Q62" s="10" t="str">
        <f>IF(F62="Stage IV","Stage IV Only",IF(AND(ISNUMBER(SEARCH("IV",F62)),LEN(F62)&gt;LEN("Stage IV")),"Stage IV + Other",IF(AND(ISNUMBER(SEARCH("III",F62)),NOT(ISNUMBER(SEARCH("IV",F62)))),"Stage III Only","Other")))</f>
        <v>Stage IV Only</v>
      </c>
      <c r="R62" s="10" t="str">
        <f>IF(AND(ISNUMBER(SEARCH("Non-squamous",G62)),ISNUMBER(SEARCH("Squamous",SUBSTITUTE(G62,"Non-squamous","")))),"Both",IF(ISNUMBER(SEARCH("Non-squamous",G62)),"Non-squamous",IF(ISNUMBER(SEARCH("Squamous",G62)),"Squamous","Unspecified")))</f>
        <v>Unspecified</v>
      </c>
      <c r="S62" s="10" t="str">
        <f>IF(OR(ISNUMBER(SEARCH("TPS ≥ 50%",K62)),ISNUMBER(SEARCH("TC ≥ 50%",K62))),"TPS ≥ 50%",IF(OR(ISNUMBER(SEARCH("TPS ≥ 1%",K62)),ISNUMBER(SEARCH("TC ≥ 1%",K62)),ISNUMBER(SEARCH("TPS &lt; 50%",K62)),ISNUMBER(SEARCH("IC ≥ 1%",K62))),"TPS 1-49%","All-comers"))</f>
        <v>TPS ≥ 50%</v>
      </c>
      <c r="T62" s="10">
        <f>IF(H62="Phase III",1,0)</f>
        <v>1</v>
      </c>
      <c r="U62" s="10">
        <f>IF(L62="Yes",1,0)</f>
        <v>0</v>
      </c>
      <c r="V62" s="11">
        <f>IF(ISNUMBER(SEARCH(",ALK,",","&amp;SUBSTITUTE(I62,", ",",")&amp;",")),1,0)</f>
        <v>0</v>
      </c>
      <c r="W62" s="11">
        <f>IF(ISNUMBER(SEARCH(",ALK L1196M,",","&amp;SUBSTITUTE(I62,", ",",")&amp;",")),1,0)</f>
        <v>0</v>
      </c>
      <c r="X62" s="11">
        <f>IF(ISNUMBER(SEARCH(",AXL,",","&amp;SUBSTITUTE(I62,", ",",")&amp;",")),1,0)</f>
        <v>0</v>
      </c>
      <c r="Y62" s="11">
        <f>IF(ISNUMBER(SEARCH(",B7-H1,",","&amp;SUBSTITUTE(I62,", ",",")&amp;",")),1,0)</f>
        <v>0</v>
      </c>
      <c r="Z62" s="11">
        <f>IF(ISNUMBER(SEARCH(",CD152,",","&amp;SUBSTITUTE(I62,", ",",")&amp;",")),1,0)</f>
        <v>0</v>
      </c>
      <c r="AA62" s="11">
        <f>IF(ISNUMBER(SEARCH(",CD274,",","&amp;SUBSTITUTE(I62,", ",",")&amp;",")),1,0)</f>
        <v>0</v>
      </c>
      <c r="AB62" s="11">
        <f>IF(ISNUMBER(SEARCH(",CD279,",","&amp;SUBSTITUTE(I62,", ",",")&amp;",")),1,0)</f>
        <v>1</v>
      </c>
      <c r="AC62" s="11">
        <f>IF(ISNUMBER(SEARCH(",CD73,",","&amp;SUBSTITUTE(I62,", ",",")&amp;",")),1,0)</f>
        <v>0</v>
      </c>
      <c r="AD62" s="11">
        <f>IF(ISNUMBER(SEARCH(",CEA,",","&amp;SUBSTITUTE(I62,", ",",")&amp;",")),1,0)</f>
        <v>0</v>
      </c>
      <c r="AE62" s="11">
        <f>IF(ISNUMBER(SEARCH(",CTLA-4,",","&amp;SUBSTITUTE(I62,", ",",")&amp;",")),1,0)</f>
        <v>0</v>
      </c>
      <c r="AF62" s="11">
        <f>IF(ISNUMBER(SEARCH(",EGFR,",","&amp;SUBSTITUTE(I62,", ",",")&amp;",")),1,0)</f>
        <v>0</v>
      </c>
      <c r="AG62" s="11">
        <f>IF(ISNUMBER(SEARCH(",EGFR C797G,",","&amp;SUBSTITUTE(I62,", ",",")&amp;",")),1,0)</f>
        <v>0</v>
      </c>
      <c r="AH62" s="11">
        <f>IF(ISNUMBER(SEARCH(",EGFR C797S,",","&amp;SUBSTITUTE(I62,", ",",")&amp;",")),1,0)</f>
        <v>0</v>
      </c>
      <c r="AI62" s="11">
        <f>IF(ISNUMBER(SEARCH(",EGFR Exon 19-del,",","&amp;SUBSTITUTE(I62,", ",",")&amp;",")),1,0)</f>
        <v>0</v>
      </c>
      <c r="AJ62" s="11">
        <f>IF(ISNUMBER(SEARCH(",EGFR Exon 20,",","&amp;SUBSTITUTE(I62,", ",",")&amp;",")),1,0)</f>
        <v>0</v>
      </c>
      <c r="AK62" s="11">
        <f>IF(ISNUMBER(SEARCH(",EGFR L858R,",","&amp;SUBSTITUTE(I62,", ",",")&amp;",")),1,0)</f>
        <v>0</v>
      </c>
      <c r="AL62" s="11">
        <f>IF(ISNUMBER(SEARCH(",EGFR T790M,",","&amp;SUBSTITUTE(I62,", ",",")&amp;",")),1,0)</f>
        <v>0</v>
      </c>
      <c r="AM62" s="11">
        <f>IF(ISNUMBER(SEARCH(",ERBB,",","&amp;SUBSTITUTE(I62,", ",",")&amp;",")),1,0)</f>
        <v>0</v>
      </c>
      <c r="AN62" s="11">
        <f>IF(ISNUMBER(SEARCH(",ERBB3,",","&amp;SUBSTITUTE(I62,", ",",")&amp;",")),1,0)</f>
        <v>0</v>
      </c>
      <c r="AO62" s="11">
        <f>IF(ISNUMBER(SEARCH(",FAK,",","&amp;SUBSTITUTE(I62,", ",",")&amp;",")),1,0)</f>
        <v>0</v>
      </c>
      <c r="AP62" s="11">
        <f>IF(ISNUMBER(SEARCH(",GARP,",","&amp;SUBSTITUTE(I62,", ",",")&amp;",")),1,0)</f>
        <v>0</v>
      </c>
      <c r="AQ62" s="11">
        <f>IF(ISNUMBER(SEARCH(",HER1,",","&amp;SUBSTITUTE(I62,", ",",")&amp;",")),1,0)</f>
        <v>0</v>
      </c>
      <c r="AR62" s="11">
        <f>IF(ISNUMBER(SEARCH(",HER2,",","&amp;SUBSTITUTE(I62,", ",",")&amp;",")),1,0)</f>
        <v>0</v>
      </c>
      <c r="AS62" s="11">
        <f>IF(ISNUMBER(SEARCH(",HER2 Exon 20,",","&amp;SUBSTITUTE(I62,", ",",")&amp;",")),1,0)</f>
        <v>0</v>
      </c>
      <c r="AT62" s="11">
        <f>IF(ISNUMBER(SEARCH(",HER3,",","&amp;SUBSTITUTE(I62,", ",",")&amp;",")),1,0)</f>
        <v>0</v>
      </c>
      <c r="AU62" s="11">
        <f>IF(ISNUMBER(SEARCH(",HER4,",","&amp;SUBSTITUTE(I62,", ",",")&amp;",")),1,0)</f>
        <v>0</v>
      </c>
      <c r="AV62" s="11">
        <f>IF(ISNUMBER(SEARCH(",HRAS,",","&amp;SUBSTITUTE(I62,", ",",")&amp;",")),1,0)</f>
        <v>0</v>
      </c>
      <c r="AW62" s="11">
        <f>IF(ISNUMBER(SEARCH(",HSV-TK,",","&amp;SUBSTITUTE(I62,", ",",")&amp;",")),1,0)</f>
        <v>0</v>
      </c>
      <c r="AX62" s="11">
        <f>IF(ISNUMBER(SEARCH(",IL-12,",","&amp;SUBSTITUTE(I62,", ",",")&amp;",")),1,0)</f>
        <v>0</v>
      </c>
      <c r="AY62" s="11">
        <f>IF(ISNUMBER(SEARCH(",IL-15,",","&amp;SUBSTITUTE(I62,", ",",")&amp;",")),1,0)</f>
        <v>0</v>
      </c>
      <c r="AZ62" s="11">
        <f>IF(ISNUMBER(SEARCH(",IL-15R,",","&amp;SUBSTITUTE(I62,", ",",")&amp;",")),1,0)</f>
        <v>0</v>
      </c>
      <c r="BA62" s="11">
        <f>IF(ISNUMBER(SEARCH(",IL-2,",","&amp;SUBSTITUTE(I62,", ",",")&amp;",")),1,0)</f>
        <v>0</v>
      </c>
      <c r="BB62" s="11">
        <f>IF(ISNUMBER(SEARCH(",Integrin β6,",","&amp;SUBSTITUTE(I62,", ",",")&amp;",")),1,0)</f>
        <v>0</v>
      </c>
      <c r="BC62" s="11">
        <f>IF(ISNUMBER(SEARCH(",KDR,",","&amp;SUBSTITUTE(I62,", ",",")&amp;",")),1,0)</f>
        <v>0</v>
      </c>
      <c r="BD62" s="11">
        <f>IF(ISNUMBER(SEARCH(",KLRC1,",","&amp;SUBSTITUTE(I62,", ",",")&amp;",")),1,0)</f>
        <v>0</v>
      </c>
      <c r="BE62" s="11">
        <f>IF(ISNUMBER(SEARCH(",KRAS,",","&amp;SUBSTITUTE(I62,", ",",")&amp;",")),1,0)</f>
        <v>0</v>
      </c>
      <c r="BF62" s="11">
        <f>IF(ISNUMBER(SEARCH(",KRAS G12,",","&amp;SUBSTITUTE(I62,", ",",")&amp;",")),1,0)</f>
        <v>0</v>
      </c>
      <c r="BG62" s="11">
        <f>IF(ISNUMBER(SEARCH(",KRAS G12C,",","&amp;SUBSTITUTE(I62,", ",",")&amp;",")),1,0)</f>
        <v>0</v>
      </c>
      <c r="BH62" s="11">
        <f>IF(ISNUMBER(SEARCH(",KRAS G12D,",","&amp;SUBSTITUTE(I62,", ",",")&amp;",")),1,0)</f>
        <v>0</v>
      </c>
      <c r="BI62" s="11">
        <f>IF(ISNUMBER(SEARCH(",LAG-3,",","&amp;SUBSTITUTE(I62,", ",",")&amp;",")),1,0)</f>
        <v>0</v>
      </c>
      <c r="BJ62" s="11">
        <f>IF(ISNUMBER(SEARCH(",MAGE-A2,",","&amp;SUBSTITUTE(I62,", ",",")&amp;",")),1,0)</f>
        <v>0</v>
      </c>
      <c r="BK62" s="11">
        <f>IF(ISNUMBER(SEARCH(",MAGE-A3,",","&amp;SUBSTITUTE(I62,", ",",")&amp;",")),1,0)</f>
        <v>0</v>
      </c>
      <c r="BL62" s="11">
        <f>IF(ISNUMBER(SEARCH(",MLN19,",","&amp;SUBSTITUTE(I62,", ",",")&amp;",")),1,0)</f>
        <v>0</v>
      </c>
      <c r="BM62" s="11">
        <f>IF(ISNUMBER(SEARCH(",Microtubule,",","&amp;SUBSTITUTE(I62,", ",",")&amp;",")),1,0)</f>
        <v>0</v>
      </c>
      <c r="BN62" s="11">
        <f>IF(ISNUMBER(SEARCH(",NKG2A,",","&amp;SUBSTITUTE(I62,", ",",")&amp;",")),1,0)</f>
        <v>0</v>
      </c>
      <c r="BO62" s="11">
        <f>IF(ISNUMBER(SEARCH(",NRAS,",","&amp;SUBSTITUTE(I62,", ",",")&amp;",")),1,0)</f>
        <v>0</v>
      </c>
      <c r="BP62" s="11">
        <f>IF(ISNUMBER(SEARCH(",NTRK,",","&amp;SUBSTITUTE(I62,", ",",")&amp;",")),1,0)</f>
        <v>0</v>
      </c>
      <c r="BQ62" s="11">
        <f>IF(ISNUMBER(SEARCH(",PARP,",","&amp;SUBSTITUTE(I62,", ",",")&amp;",")),1,0)</f>
        <v>0</v>
      </c>
      <c r="BR62" s="11">
        <f>IF(ISNUMBER(SEARCH(",PD-1,",","&amp;SUBSTITUTE(I62,", ",",")&amp;",")),1,0)</f>
        <v>1</v>
      </c>
      <c r="BS62" s="11">
        <f>IF(ISNUMBER(SEARCH(",PD-L1,",","&amp;SUBSTITUTE(I62,", ",",")&amp;",")),1,0)</f>
        <v>0</v>
      </c>
      <c r="BT62" s="11">
        <f>IF(ISNUMBER(SEARCH(",PRMT5,",","&amp;SUBSTITUTE(I62,", ",",")&amp;",")),1,0)</f>
        <v>0</v>
      </c>
      <c r="BU62" s="11">
        <f>IF(ISNUMBER(SEARCH(",RAS,",","&amp;SUBSTITUTE(I62,", ",",")&amp;",")),1,0)</f>
        <v>0</v>
      </c>
      <c r="BV62" s="11">
        <f>IF(ISNUMBER(SEARCH(",RET,",","&amp;SUBSTITUTE(I62,", ",",")&amp;",")),1,0)</f>
        <v>0</v>
      </c>
      <c r="BW62" s="11">
        <f>IF(ISNUMBER(SEARCH(",ROS,",","&amp;SUBSTITUTE(I62,", ",",")&amp;",")),1,0)</f>
        <v>0</v>
      </c>
      <c r="BX62" s="11">
        <f>IF(ISNUMBER(SEARCH(",ROS1,",","&amp;SUBSTITUTE(I62,", ",",")&amp;",")),1,0)</f>
        <v>0</v>
      </c>
      <c r="BY62" s="11">
        <f>IF(ISNUMBER(SEARCH(",Src,",","&amp;SUBSTITUTE(I62,", ",",")&amp;",")),1,0)</f>
        <v>0</v>
      </c>
      <c r="BZ62" s="11">
        <f>IF(ISNUMBER(SEARCH(",TCGF,",","&amp;SUBSTITUTE(I62,", ",",")&amp;",")),1,0)</f>
        <v>0</v>
      </c>
      <c r="CA62" s="11">
        <f>IF(ISNUMBER(SEARCH(",TGF-β,",","&amp;SUBSTITUTE(I62,", ",",")&amp;",")),1,0)</f>
        <v>0</v>
      </c>
      <c r="CB62" s="11">
        <f>IF(ISNUMBER(SEARCH(",TGF-β1,",","&amp;SUBSTITUTE(I62,", ",",")&amp;",")),1,0)</f>
        <v>0</v>
      </c>
      <c r="CC62" s="11">
        <f>IF(ISNUMBER(SEARCH(",TIGIT,",","&amp;SUBSTITUTE(I62,", ",",")&amp;",")),1,0)</f>
        <v>0</v>
      </c>
      <c r="CD62" s="11">
        <f>IF(ISNUMBER(SEARCH(",TLR,",","&amp;SUBSTITUTE(I62,", ",",")&amp;",")),1,0)</f>
        <v>0</v>
      </c>
      <c r="CE62" s="11">
        <f>IF(ISNUMBER(SEARCH(",TLR7/8,",","&amp;SUBSTITUTE(I62,", ",",")&amp;",")),1,0)</f>
        <v>0</v>
      </c>
      <c r="CF62" s="11">
        <f>IF(ISNUMBER(SEARCH(",TRK,",","&amp;SUBSTITUTE(I62,", ",",")&amp;",")),1,0)</f>
        <v>0</v>
      </c>
      <c r="CG62" s="11">
        <f>IF(ISNUMBER(SEARCH(",TROP2,",","&amp;SUBSTITUTE(I62,", ",",")&amp;",")),1,0)</f>
        <v>1</v>
      </c>
      <c r="CH62" s="11">
        <f>IF(ISNUMBER(SEARCH(",TS,",","&amp;SUBSTITUTE(I62,", ",",")&amp;",")),1,0)</f>
        <v>0</v>
      </c>
      <c r="CI62" s="11">
        <f>IF(ISNUMBER(SEARCH(",TYMS,",","&amp;SUBSTITUTE(I62,", ",",")&amp;",")),1,0)</f>
        <v>0</v>
      </c>
      <c r="CJ62" s="11">
        <f>IF(ISNUMBER(SEARCH(",VEGF,",","&amp;SUBSTITUTE(I62,", ",",")&amp;",")),1,0)</f>
        <v>0</v>
      </c>
      <c r="CK62" s="11">
        <f>IF(ISNUMBER(SEARCH(",VEGFA,",","&amp;SUBSTITUTE(I62,", ",",")&amp;",")),1,0)</f>
        <v>0</v>
      </c>
      <c r="CL62" s="11">
        <f>IF(ISNUMBER(SEARCH(",VEGFR2,",","&amp;SUBSTITUTE(I62,", ",",")&amp;",")),1,0)</f>
        <v>0</v>
      </c>
      <c r="CM62" s="11">
        <f>IF(ISNUMBER(SEARCH(",c-MET/MET,",","&amp;SUBSTITUTE(I62,", ",",")&amp;",")),1,0)</f>
        <v>0</v>
      </c>
      <c r="CN62" s="11">
        <f>IF(ISNUMBER(SEARCH(",p53,",","&amp;SUBSTITUTE(I62,", ",",")&amp;",")),1,0)</f>
        <v>0</v>
      </c>
      <c r="CO62" s="11">
        <f>IF(ISNUMBER(SEARCH(",pan-KRAS,",","&amp;SUBSTITUTE(I62,", ",",")&amp;",")),1,0)</f>
        <v>0</v>
      </c>
      <c r="CP62" s="11">
        <f>IF(ISNUMBER(SEARCH(",ALK,",","&amp;SUBSTITUTE(K62,", ",",")&amp;",")),1,0)</f>
        <v>0</v>
      </c>
      <c r="CQ62" s="11">
        <f>IF(ISNUMBER(SEARCH(",BRAF V600E,",","&amp;SUBSTITUTE(K62,", ",",")&amp;",")),1,0)</f>
        <v>0</v>
      </c>
      <c r="CR62" s="11">
        <f>IF(ISNUMBER(SEARCH(",EGFR,",","&amp;SUBSTITUTE(K62,", ",",")&amp;",")),1,0)</f>
        <v>0</v>
      </c>
      <c r="CS62" s="11">
        <f>IF(ISNUMBER(SEARCH(",EGFR Exon 18,",","&amp;SUBSTITUTE(K62,", ",",")&amp;",")),1,0)</f>
        <v>0</v>
      </c>
      <c r="CT62" s="11">
        <f>IF(ISNUMBER(SEARCH(",EGFR Exon 19-del,",","&amp;SUBSTITUTE(K62,", ",",")&amp;",")),1,0)</f>
        <v>0</v>
      </c>
      <c r="CU62" s="11">
        <f>IF(ISNUMBER(SEARCH(",EGFR Exon 20,",","&amp;SUBSTITUTE(K62,", ",",")&amp;",")),1,0)</f>
        <v>0</v>
      </c>
      <c r="CV62" s="11">
        <f>IF(ISNUMBER(SEARCH(",EGFR Exon 20-ins,",","&amp;SUBSTITUTE(K62,", ",",")&amp;",")),1,0)</f>
        <v>0</v>
      </c>
      <c r="CW62" s="11">
        <f>IF(ISNUMBER(SEARCH(",EGFR Exon 21,",","&amp;SUBSTITUTE(K62,", ",",")&amp;",")),1,0)</f>
        <v>0</v>
      </c>
      <c r="CX62" s="11">
        <f>IF(ISNUMBER(SEARCH(",EGFR G719A,",","&amp;SUBSTITUTE(K62,", ",",")&amp;",")),1,0)</f>
        <v>0</v>
      </c>
      <c r="CY62" s="11">
        <f>IF(ISNUMBER(SEARCH(",EGFR G719C,",","&amp;SUBSTITUTE(K62,", ",",")&amp;",")),1,0)</f>
        <v>0</v>
      </c>
      <c r="CZ62" s="11">
        <f>IF(ISNUMBER(SEARCH(",EGFR G719S,",","&amp;SUBSTITUTE(K62,", ",",")&amp;",")),1,0)</f>
        <v>0</v>
      </c>
      <c r="DA62" s="11">
        <f>IF(ISNUMBER(SEARCH(",EGFR G719X,",","&amp;SUBSTITUTE(K62,", ",",")&amp;",")),1,0)</f>
        <v>0</v>
      </c>
      <c r="DB62" s="11">
        <f>IF(ISNUMBER(SEARCH(",EGFR L858R,",","&amp;SUBSTITUTE(K62,", ",",")&amp;",")),1,0)</f>
        <v>0</v>
      </c>
      <c r="DC62" s="11">
        <f>IF(ISNUMBER(SEARCH(",EGFR L861Q,",","&amp;SUBSTITUTE(K62,", ",",")&amp;",")),1,0)</f>
        <v>0</v>
      </c>
      <c r="DD62" s="11">
        <f>IF(ISNUMBER(SEARCH(",EGFR PACC,",","&amp;SUBSTITUTE(K62,", ",",")&amp;",")),1,0)</f>
        <v>0</v>
      </c>
      <c r="DE62" s="11">
        <f>IF(ISNUMBER(SEARCH(",EGFR S768I,",","&amp;SUBSTITUTE(K62,", ",",")&amp;",")),1,0)</f>
        <v>0</v>
      </c>
      <c r="DF62" s="11">
        <f>IF(ISNUMBER(SEARCH(",EGFR T790M,",","&amp;SUBSTITUTE(K62,", ",",")&amp;",")),1,0)</f>
        <v>0</v>
      </c>
      <c r="DG62" s="11">
        <f>IF(ISNUMBER(SEARCH(",EML4-ALK,",","&amp;SUBSTITUTE(K62,", ",",")&amp;",")),1,0)</f>
        <v>0</v>
      </c>
      <c r="DH62" s="11">
        <f>IF(ISNUMBER(SEARCH(",HER2,",","&amp;SUBSTITUTE(K62,", ",",")&amp;",")),1,0)</f>
        <v>0</v>
      </c>
      <c r="DI62" s="11">
        <f>IF(ISNUMBER(SEARCH(",HER2 Exon 19,",","&amp;SUBSTITUTE(K62,", ",",")&amp;",")),1,0)</f>
        <v>0</v>
      </c>
      <c r="DJ62" s="11">
        <f>IF(ISNUMBER(SEARCH(",HER2 Exon 20,",","&amp;SUBSTITUTE(K62,", ",",")&amp;",")),1,0)</f>
        <v>0</v>
      </c>
      <c r="DK62" s="11">
        <f>IF(ISNUMBER(SEARCH(",HER2 mut,",","&amp;SUBSTITUTE(K62,", ",",")&amp;",")),1,0)</f>
        <v>0</v>
      </c>
      <c r="DL62" s="11">
        <f>IF(ISNUMBER(SEARCH(",HLA-A2,",","&amp;SUBSTITUTE(K62,", ",",")&amp;",")),1,0)</f>
        <v>0</v>
      </c>
      <c r="DM62" s="11">
        <f>IF(ISNUMBER(SEARCH(",HRAS,",","&amp;SUBSTITUTE(K62,", ",",")&amp;",")),1,0)</f>
        <v>0</v>
      </c>
      <c r="DN62" s="11">
        <f>IF(ISNUMBER(SEARCH(",KRAS,",","&amp;SUBSTITUTE(K62,", ",",")&amp;",")),1,0)</f>
        <v>0</v>
      </c>
      <c r="DO62" s="11">
        <f>IF(ISNUMBER(SEARCH(",KRAS G12C,",","&amp;SUBSTITUTE(K62,", ",",")&amp;",")),1,0)</f>
        <v>0</v>
      </c>
      <c r="DP62" s="11">
        <f>IF(ISNUMBER(SEARCH(",NRAS,",","&amp;SUBSTITUTE(K62,", ",",")&amp;",")),1,0)</f>
        <v>0</v>
      </c>
      <c r="DQ62" s="11">
        <f>IF(ISNUMBER(SEARCH(",NTRK,",","&amp;SUBSTITUTE(K62,", ",",")&amp;",")),1,0)</f>
        <v>0</v>
      </c>
      <c r="DR62" s="11">
        <f>IF(ISNUMBER(SEARCH(",PD-L1,",","&amp;SUBSTITUTE(K62,", ",",")&amp;",")),1,0)</f>
        <v>0</v>
      </c>
      <c r="DS62" s="11">
        <f>IF(ISNUMBER(SEARCH(",PD-L1 IC ≥ 1%,",","&amp;SUBSTITUTE(K62,", ",",")&amp;",")),1,0)</f>
        <v>0</v>
      </c>
      <c r="DT62" s="11">
        <f>IF(ISNUMBER(SEARCH(",PD-L1 TC ≥ 1%,",","&amp;SUBSTITUTE(K62,", ",",")&amp;",")),1,0)</f>
        <v>0</v>
      </c>
      <c r="DU62" s="11">
        <f>IF(ISNUMBER(SEARCH(",PD-L1 TC ≥ 50%,",","&amp;SUBSTITUTE(K62,", ",",")&amp;",")),1,0)</f>
        <v>0</v>
      </c>
      <c r="DV62" s="11">
        <f>IF(ISNUMBER(SEARCH(",PD-L1 TPS &lt; 50%,",","&amp;SUBSTITUTE(K62,", ",",")&amp;",")),1,0)</f>
        <v>0</v>
      </c>
      <c r="DW62" s="11">
        <f>IF(ISNUMBER(SEARCH(",PD-L1 TPS ≥ 1%,",","&amp;SUBSTITUTE(K62,", ",",")&amp;",")),1,0)</f>
        <v>0</v>
      </c>
      <c r="DX62" s="11">
        <f>IF(ISNUMBER(SEARCH(",PD-L1 TPS ≥ 50%,",","&amp;SUBSTITUTE(K62,", ",",")&amp;",")),1,0)</f>
        <v>1</v>
      </c>
      <c r="DY62" s="11">
        <f>IF(ISNUMBER(SEARCH(",RAS,",","&amp;SUBSTITUTE(K62,", ",",")&amp;",")),1,0)</f>
        <v>0</v>
      </c>
      <c r="DZ62" s="11">
        <f>IF(ISNUMBER(SEARCH(",RET,",","&amp;SUBSTITUTE(K62,", ",",")&amp;",")),1,0)</f>
        <v>0</v>
      </c>
      <c r="EA62" s="11">
        <f>IF(ISNUMBER(SEARCH(",ROS1,",","&amp;SUBSTITUTE(K62,", ",",")&amp;",")),1,0)</f>
        <v>0</v>
      </c>
      <c r="EB62" s="11">
        <f>IF(ISNUMBER(SEARCH(",TROP2,",","&amp;SUBSTITUTE(K62,", ",",")&amp;",")),1,0)</f>
        <v>0</v>
      </c>
      <c r="EC62" s="11">
        <f>IF(ISNUMBER(SEARCH(",c-MET/MET,",","&amp;SUBSTITUTE(K62,", ",",")&amp;",")),1,0)</f>
        <v>0</v>
      </c>
      <c r="ED62" s="11">
        <f>IF(ISNUMBER(SEARCH(",c-MET/MET Exon 14,",","&amp;SUBSTITUTE(K62,", ",",")&amp;",")),1,0)</f>
        <v>0</v>
      </c>
      <c r="EE62" s="11">
        <f>IF(ISNUMBER(SEARCH(",ctDNA/cfDNA,",","&amp;SUBSTITUTE(K62,", ",",")&amp;",")),1,0)</f>
        <v>0</v>
      </c>
    </row>
    <row r="63" spans="1:135" ht="15" customHeight="1" x14ac:dyDescent="0.2">
      <c r="A63" s="5" t="s">
        <v>1142</v>
      </c>
      <c r="B63" s="5" t="s">
        <v>1144</v>
      </c>
      <c r="C63" s="5" t="s">
        <v>281</v>
      </c>
      <c r="D63" s="5" t="s">
        <v>280</v>
      </c>
      <c r="E63" s="5" t="s">
        <v>282</v>
      </c>
      <c r="F63" s="5" t="s">
        <v>259</v>
      </c>
      <c r="G63" s="5" t="s">
        <v>283</v>
      </c>
      <c r="H63" s="5" t="s">
        <v>114</v>
      </c>
      <c r="I63" s="5" t="s">
        <v>996</v>
      </c>
      <c r="J63" s="5" t="s">
        <v>965</v>
      </c>
      <c r="K63" s="5" t="s">
        <v>300</v>
      </c>
      <c r="L63" s="5" t="s">
        <v>119</v>
      </c>
      <c r="M63" s="5" t="s">
        <v>113</v>
      </c>
      <c r="N63" s="5" t="s">
        <v>120</v>
      </c>
      <c r="O63" s="5" t="s">
        <v>120</v>
      </c>
      <c r="P63" s="5" t="s">
        <v>1145</v>
      </c>
      <c r="Q63" s="10" t="str">
        <f>IF(F63="Stage IV","Stage IV Only",IF(AND(ISNUMBER(SEARCH("IV",F63)),LEN(F63)&gt;LEN("Stage IV")),"Stage IV + Other",IF(AND(ISNUMBER(SEARCH("III",F63)),NOT(ISNUMBER(SEARCH("IV",F63)))),"Stage III Only","Other")))</f>
        <v>Stage IV Only</v>
      </c>
      <c r="R63" s="10" t="str">
        <f>IF(AND(ISNUMBER(SEARCH("Non-squamous",G63)),ISNUMBER(SEARCH("Squamous",SUBSTITUTE(G63,"Non-squamous","")))),"Both",IF(ISNUMBER(SEARCH("Non-squamous",G63)),"Non-squamous",IF(ISNUMBER(SEARCH("Squamous",G63)),"Squamous","Unspecified")))</f>
        <v>Both</v>
      </c>
      <c r="S63" s="10" t="str">
        <f>IF(OR(ISNUMBER(SEARCH("TPS ≥ 50%",K63)),ISNUMBER(SEARCH("TC ≥ 50%",K63))),"TPS ≥ 50%",IF(OR(ISNUMBER(SEARCH("TPS ≥ 1%",K63)),ISNUMBER(SEARCH("TC ≥ 1%",K63)),ISNUMBER(SEARCH("TPS &lt; 50%",K63)),ISNUMBER(SEARCH("IC ≥ 1%",K63))),"TPS 1-49%","All-comers"))</f>
        <v>TPS ≥ 50%</v>
      </c>
      <c r="T63" s="10">
        <f>IF(H63="Phase III",1,0)</f>
        <v>1</v>
      </c>
      <c r="U63" s="10">
        <f>IF(L63="Yes",1,0)</f>
        <v>0</v>
      </c>
      <c r="V63" s="11">
        <f>IF(ISNUMBER(SEARCH(",ALK,",","&amp;SUBSTITUTE(I63,", ",",")&amp;",")),1,0)</f>
        <v>0</v>
      </c>
      <c r="W63" s="11">
        <f>IF(ISNUMBER(SEARCH(",ALK L1196M,",","&amp;SUBSTITUTE(I63,", ",",")&amp;",")),1,0)</f>
        <v>0</v>
      </c>
      <c r="X63" s="11">
        <f>IF(ISNUMBER(SEARCH(",AXL,",","&amp;SUBSTITUTE(I63,", ",",")&amp;",")),1,0)</f>
        <v>0</v>
      </c>
      <c r="Y63" s="11">
        <f>IF(ISNUMBER(SEARCH(",B7-H1,",","&amp;SUBSTITUTE(I63,", ",",")&amp;",")),1,0)</f>
        <v>0</v>
      </c>
      <c r="Z63" s="11">
        <f>IF(ISNUMBER(SEARCH(",CD152,",","&amp;SUBSTITUTE(I63,", ",",")&amp;",")),1,0)</f>
        <v>0</v>
      </c>
      <c r="AA63" s="11">
        <f>IF(ISNUMBER(SEARCH(",CD274,",","&amp;SUBSTITUTE(I63,", ",",")&amp;",")),1,0)</f>
        <v>0</v>
      </c>
      <c r="AB63" s="11">
        <f>IF(ISNUMBER(SEARCH(",CD279,",","&amp;SUBSTITUTE(I63,", ",",")&amp;",")),1,0)</f>
        <v>1</v>
      </c>
      <c r="AC63" s="11">
        <f>IF(ISNUMBER(SEARCH(",CD73,",","&amp;SUBSTITUTE(I63,", ",",")&amp;",")),1,0)</f>
        <v>0</v>
      </c>
      <c r="AD63" s="11">
        <f>IF(ISNUMBER(SEARCH(",CEA,",","&amp;SUBSTITUTE(I63,", ",",")&amp;",")),1,0)</f>
        <v>0</v>
      </c>
      <c r="AE63" s="11">
        <f>IF(ISNUMBER(SEARCH(",CTLA-4,",","&amp;SUBSTITUTE(I63,", ",",")&amp;",")),1,0)</f>
        <v>0</v>
      </c>
      <c r="AF63" s="11">
        <f>IF(ISNUMBER(SEARCH(",EGFR,",","&amp;SUBSTITUTE(I63,", ",",")&amp;",")),1,0)</f>
        <v>0</v>
      </c>
      <c r="AG63" s="11">
        <f>IF(ISNUMBER(SEARCH(",EGFR C797G,",","&amp;SUBSTITUTE(I63,", ",",")&amp;",")),1,0)</f>
        <v>0</v>
      </c>
      <c r="AH63" s="11">
        <f>IF(ISNUMBER(SEARCH(",EGFR C797S,",","&amp;SUBSTITUTE(I63,", ",",")&amp;",")),1,0)</f>
        <v>0</v>
      </c>
      <c r="AI63" s="11">
        <f>IF(ISNUMBER(SEARCH(",EGFR Exon 19-del,",","&amp;SUBSTITUTE(I63,", ",",")&amp;",")),1,0)</f>
        <v>0</v>
      </c>
      <c r="AJ63" s="11">
        <f>IF(ISNUMBER(SEARCH(",EGFR Exon 20,",","&amp;SUBSTITUTE(I63,", ",",")&amp;",")),1,0)</f>
        <v>0</v>
      </c>
      <c r="AK63" s="11">
        <f>IF(ISNUMBER(SEARCH(",EGFR L858R,",","&amp;SUBSTITUTE(I63,", ",",")&amp;",")),1,0)</f>
        <v>0</v>
      </c>
      <c r="AL63" s="11">
        <f>IF(ISNUMBER(SEARCH(",EGFR T790M,",","&amp;SUBSTITUTE(I63,", ",",")&amp;",")),1,0)</f>
        <v>0</v>
      </c>
      <c r="AM63" s="11">
        <f>IF(ISNUMBER(SEARCH(",ERBB,",","&amp;SUBSTITUTE(I63,", ",",")&amp;",")),1,0)</f>
        <v>0</v>
      </c>
      <c r="AN63" s="11">
        <f>IF(ISNUMBER(SEARCH(",ERBB3,",","&amp;SUBSTITUTE(I63,", ",",")&amp;",")),1,0)</f>
        <v>0</v>
      </c>
      <c r="AO63" s="11">
        <f>IF(ISNUMBER(SEARCH(",FAK,",","&amp;SUBSTITUTE(I63,", ",",")&amp;",")),1,0)</f>
        <v>0</v>
      </c>
      <c r="AP63" s="11">
        <f>IF(ISNUMBER(SEARCH(",GARP,",","&amp;SUBSTITUTE(I63,", ",",")&amp;",")),1,0)</f>
        <v>0</v>
      </c>
      <c r="AQ63" s="11">
        <f>IF(ISNUMBER(SEARCH(",HER1,",","&amp;SUBSTITUTE(I63,", ",",")&amp;",")),1,0)</f>
        <v>0</v>
      </c>
      <c r="AR63" s="11">
        <f>IF(ISNUMBER(SEARCH(",HER2,",","&amp;SUBSTITUTE(I63,", ",",")&amp;",")),1,0)</f>
        <v>0</v>
      </c>
      <c r="AS63" s="11">
        <f>IF(ISNUMBER(SEARCH(",HER2 Exon 20,",","&amp;SUBSTITUTE(I63,", ",",")&amp;",")),1,0)</f>
        <v>0</v>
      </c>
      <c r="AT63" s="11">
        <f>IF(ISNUMBER(SEARCH(",HER3,",","&amp;SUBSTITUTE(I63,", ",",")&amp;",")),1,0)</f>
        <v>0</v>
      </c>
      <c r="AU63" s="11">
        <f>IF(ISNUMBER(SEARCH(",HER4,",","&amp;SUBSTITUTE(I63,", ",",")&amp;",")),1,0)</f>
        <v>0</v>
      </c>
      <c r="AV63" s="11">
        <f>IF(ISNUMBER(SEARCH(",HRAS,",","&amp;SUBSTITUTE(I63,", ",",")&amp;",")),1,0)</f>
        <v>0</v>
      </c>
      <c r="AW63" s="11">
        <f>IF(ISNUMBER(SEARCH(",HSV-TK,",","&amp;SUBSTITUTE(I63,", ",",")&amp;",")),1,0)</f>
        <v>0</v>
      </c>
      <c r="AX63" s="11">
        <f>IF(ISNUMBER(SEARCH(",IL-12,",","&amp;SUBSTITUTE(I63,", ",",")&amp;",")),1,0)</f>
        <v>0</v>
      </c>
      <c r="AY63" s="11">
        <f>IF(ISNUMBER(SEARCH(",IL-15,",","&amp;SUBSTITUTE(I63,", ",",")&amp;",")),1,0)</f>
        <v>0</v>
      </c>
      <c r="AZ63" s="11">
        <f>IF(ISNUMBER(SEARCH(",IL-15R,",","&amp;SUBSTITUTE(I63,", ",",")&amp;",")),1,0)</f>
        <v>0</v>
      </c>
      <c r="BA63" s="11">
        <f>IF(ISNUMBER(SEARCH(",IL-2,",","&amp;SUBSTITUTE(I63,", ",",")&amp;",")),1,0)</f>
        <v>0</v>
      </c>
      <c r="BB63" s="11">
        <f>IF(ISNUMBER(SEARCH(",Integrin β6,",","&amp;SUBSTITUTE(I63,", ",",")&amp;",")),1,0)</f>
        <v>0</v>
      </c>
      <c r="BC63" s="11">
        <f>IF(ISNUMBER(SEARCH(",KDR,",","&amp;SUBSTITUTE(I63,", ",",")&amp;",")),1,0)</f>
        <v>0</v>
      </c>
      <c r="BD63" s="11">
        <f>IF(ISNUMBER(SEARCH(",KLRC1,",","&amp;SUBSTITUTE(I63,", ",",")&amp;",")),1,0)</f>
        <v>0</v>
      </c>
      <c r="BE63" s="11">
        <f>IF(ISNUMBER(SEARCH(",KRAS,",","&amp;SUBSTITUTE(I63,", ",",")&amp;",")),1,0)</f>
        <v>0</v>
      </c>
      <c r="BF63" s="11">
        <f>IF(ISNUMBER(SEARCH(",KRAS G12,",","&amp;SUBSTITUTE(I63,", ",",")&amp;",")),1,0)</f>
        <v>0</v>
      </c>
      <c r="BG63" s="11">
        <f>IF(ISNUMBER(SEARCH(",KRAS G12C,",","&amp;SUBSTITUTE(I63,", ",",")&amp;",")),1,0)</f>
        <v>0</v>
      </c>
      <c r="BH63" s="11">
        <f>IF(ISNUMBER(SEARCH(",KRAS G12D,",","&amp;SUBSTITUTE(I63,", ",",")&amp;",")),1,0)</f>
        <v>0</v>
      </c>
      <c r="BI63" s="11">
        <f>IF(ISNUMBER(SEARCH(",LAG-3,",","&amp;SUBSTITUTE(I63,", ",",")&amp;",")),1,0)</f>
        <v>0</v>
      </c>
      <c r="BJ63" s="11">
        <f>IF(ISNUMBER(SEARCH(",MAGE-A2,",","&amp;SUBSTITUTE(I63,", ",",")&amp;",")),1,0)</f>
        <v>0</v>
      </c>
      <c r="BK63" s="11">
        <f>IF(ISNUMBER(SEARCH(",MAGE-A3,",","&amp;SUBSTITUTE(I63,", ",",")&amp;",")),1,0)</f>
        <v>0</v>
      </c>
      <c r="BL63" s="11">
        <f>IF(ISNUMBER(SEARCH(",MLN19,",","&amp;SUBSTITUTE(I63,", ",",")&amp;",")),1,0)</f>
        <v>0</v>
      </c>
      <c r="BM63" s="11">
        <f>IF(ISNUMBER(SEARCH(",Microtubule,",","&amp;SUBSTITUTE(I63,", ",",")&amp;",")),1,0)</f>
        <v>0</v>
      </c>
      <c r="BN63" s="11">
        <f>IF(ISNUMBER(SEARCH(",NKG2A,",","&amp;SUBSTITUTE(I63,", ",",")&amp;",")),1,0)</f>
        <v>0</v>
      </c>
      <c r="BO63" s="11">
        <f>IF(ISNUMBER(SEARCH(",NRAS,",","&amp;SUBSTITUTE(I63,", ",",")&amp;",")),1,0)</f>
        <v>0</v>
      </c>
      <c r="BP63" s="11">
        <f>IF(ISNUMBER(SEARCH(",NTRK,",","&amp;SUBSTITUTE(I63,", ",",")&amp;",")),1,0)</f>
        <v>0</v>
      </c>
      <c r="BQ63" s="11">
        <f>IF(ISNUMBER(SEARCH(",PARP,",","&amp;SUBSTITUTE(I63,", ",",")&amp;",")),1,0)</f>
        <v>0</v>
      </c>
      <c r="BR63" s="11">
        <f>IF(ISNUMBER(SEARCH(",PD-1,",","&amp;SUBSTITUTE(I63,", ",",")&amp;",")),1,0)</f>
        <v>1</v>
      </c>
      <c r="BS63" s="11">
        <f>IF(ISNUMBER(SEARCH(",PD-L1,",","&amp;SUBSTITUTE(I63,", ",",")&amp;",")),1,0)</f>
        <v>0</v>
      </c>
      <c r="BT63" s="11">
        <f>IF(ISNUMBER(SEARCH(",PRMT5,",","&amp;SUBSTITUTE(I63,", ",",")&amp;",")),1,0)</f>
        <v>0</v>
      </c>
      <c r="BU63" s="11">
        <f>IF(ISNUMBER(SEARCH(",RAS,",","&amp;SUBSTITUTE(I63,", ",",")&amp;",")),1,0)</f>
        <v>0</v>
      </c>
      <c r="BV63" s="11">
        <f>IF(ISNUMBER(SEARCH(",RET,",","&amp;SUBSTITUTE(I63,", ",",")&amp;",")),1,0)</f>
        <v>0</v>
      </c>
      <c r="BW63" s="11">
        <f>IF(ISNUMBER(SEARCH(",ROS,",","&amp;SUBSTITUTE(I63,", ",",")&amp;",")),1,0)</f>
        <v>0</v>
      </c>
      <c r="BX63" s="11">
        <f>IF(ISNUMBER(SEARCH(",ROS1,",","&amp;SUBSTITUTE(I63,", ",",")&amp;",")),1,0)</f>
        <v>0</v>
      </c>
      <c r="BY63" s="11">
        <f>IF(ISNUMBER(SEARCH(",Src,",","&amp;SUBSTITUTE(I63,", ",",")&amp;",")),1,0)</f>
        <v>0</v>
      </c>
      <c r="BZ63" s="11">
        <f>IF(ISNUMBER(SEARCH(",TCGF,",","&amp;SUBSTITUTE(I63,", ",",")&amp;",")),1,0)</f>
        <v>0</v>
      </c>
      <c r="CA63" s="11">
        <f>IF(ISNUMBER(SEARCH(",TGF-β,",","&amp;SUBSTITUTE(I63,", ",",")&amp;",")),1,0)</f>
        <v>0</v>
      </c>
      <c r="CB63" s="11">
        <f>IF(ISNUMBER(SEARCH(",TGF-β1,",","&amp;SUBSTITUTE(I63,", ",",")&amp;",")),1,0)</f>
        <v>0</v>
      </c>
      <c r="CC63" s="11">
        <f>IF(ISNUMBER(SEARCH(",TIGIT,",","&amp;SUBSTITUTE(I63,", ",",")&amp;",")),1,0)</f>
        <v>0</v>
      </c>
      <c r="CD63" s="11">
        <f>IF(ISNUMBER(SEARCH(",TLR,",","&amp;SUBSTITUTE(I63,", ",",")&amp;",")),1,0)</f>
        <v>0</v>
      </c>
      <c r="CE63" s="11">
        <f>IF(ISNUMBER(SEARCH(",TLR7/8,",","&amp;SUBSTITUTE(I63,", ",",")&amp;",")),1,0)</f>
        <v>0</v>
      </c>
      <c r="CF63" s="11">
        <f>IF(ISNUMBER(SEARCH(",TRK,",","&amp;SUBSTITUTE(I63,", ",",")&amp;",")),1,0)</f>
        <v>0</v>
      </c>
      <c r="CG63" s="11">
        <f>IF(ISNUMBER(SEARCH(",TROP2,",","&amp;SUBSTITUTE(I63,", ",",")&amp;",")),1,0)</f>
        <v>1</v>
      </c>
      <c r="CH63" s="11">
        <f>IF(ISNUMBER(SEARCH(",TS,",","&amp;SUBSTITUTE(I63,", ",",")&amp;",")),1,0)</f>
        <v>0</v>
      </c>
      <c r="CI63" s="11">
        <f>IF(ISNUMBER(SEARCH(",TYMS,",","&amp;SUBSTITUTE(I63,", ",",")&amp;",")),1,0)</f>
        <v>0</v>
      </c>
      <c r="CJ63" s="11">
        <f>IF(ISNUMBER(SEARCH(",VEGF,",","&amp;SUBSTITUTE(I63,", ",",")&amp;",")),1,0)</f>
        <v>0</v>
      </c>
      <c r="CK63" s="11">
        <f>IF(ISNUMBER(SEARCH(",VEGFA,",","&amp;SUBSTITUTE(I63,", ",",")&amp;",")),1,0)</f>
        <v>0</v>
      </c>
      <c r="CL63" s="11">
        <f>IF(ISNUMBER(SEARCH(",VEGFR2,",","&amp;SUBSTITUTE(I63,", ",",")&amp;",")),1,0)</f>
        <v>0</v>
      </c>
      <c r="CM63" s="11">
        <f>IF(ISNUMBER(SEARCH(",c-MET/MET,",","&amp;SUBSTITUTE(I63,", ",",")&amp;",")),1,0)</f>
        <v>0</v>
      </c>
      <c r="CN63" s="11">
        <f>IF(ISNUMBER(SEARCH(",p53,",","&amp;SUBSTITUTE(I63,", ",",")&amp;",")),1,0)</f>
        <v>0</v>
      </c>
      <c r="CO63" s="11">
        <f>IF(ISNUMBER(SEARCH(",pan-KRAS,",","&amp;SUBSTITUTE(I63,", ",",")&amp;",")),1,0)</f>
        <v>0</v>
      </c>
      <c r="CP63" s="11">
        <f>IF(ISNUMBER(SEARCH(",ALK,",","&amp;SUBSTITUTE(K63,", ",",")&amp;",")),1,0)</f>
        <v>0</v>
      </c>
      <c r="CQ63" s="11">
        <f>IF(ISNUMBER(SEARCH(",BRAF V600E,",","&amp;SUBSTITUTE(K63,", ",",")&amp;",")),1,0)</f>
        <v>0</v>
      </c>
      <c r="CR63" s="11">
        <f>IF(ISNUMBER(SEARCH(",EGFR,",","&amp;SUBSTITUTE(K63,", ",",")&amp;",")),1,0)</f>
        <v>0</v>
      </c>
      <c r="CS63" s="11">
        <f>IF(ISNUMBER(SEARCH(",EGFR Exon 18,",","&amp;SUBSTITUTE(K63,", ",",")&amp;",")),1,0)</f>
        <v>0</v>
      </c>
      <c r="CT63" s="11">
        <f>IF(ISNUMBER(SEARCH(",EGFR Exon 19-del,",","&amp;SUBSTITUTE(K63,", ",",")&amp;",")),1,0)</f>
        <v>0</v>
      </c>
      <c r="CU63" s="11">
        <f>IF(ISNUMBER(SEARCH(",EGFR Exon 20,",","&amp;SUBSTITUTE(K63,", ",",")&amp;",")),1,0)</f>
        <v>0</v>
      </c>
      <c r="CV63" s="11">
        <f>IF(ISNUMBER(SEARCH(",EGFR Exon 20-ins,",","&amp;SUBSTITUTE(K63,", ",",")&amp;",")),1,0)</f>
        <v>0</v>
      </c>
      <c r="CW63" s="11">
        <f>IF(ISNUMBER(SEARCH(",EGFR Exon 21,",","&amp;SUBSTITUTE(K63,", ",",")&amp;",")),1,0)</f>
        <v>0</v>
      </c>
      <c r="CX63" s="11">
        <f>IF(ISNUMBER(SEARCH(",EGFR G719A,",","&amp;SUBSTITUTE(K63,", ",",")&amp;",")),1,0)</f>
        <v>0</v>
      </c>
      <c r="CY63" s="11">
        <f>IF(ISNUMBER(SEARCH(",EGFR G719C,",","&amp;SUBSTITUTE(K63,", ",",")&amp;",")),1,0)</f>
        <v>0</v>
      </c>
      <c r="CZ63" s="11">
        <f>IF(ISNUMBER(SEARCH(",EGFR G719S,",","&amp;SUBSTITUTE(K63,", ",",")&amp;",")),1,0)</f>
        <v>0</v>
      </c>
      <c r="DA63" s="11">
        <f>IF(ISNUMBER(SEARCH(",EGFR G719X,",","&amp;SUBSTITUTE(K63,", ",",")&amp;",")),1,0)</f>
        <v>0</v>
      </c>
      <c r="DB63" s="11">
        <f>IF(ISNUMBER(SEARCH(",EGFR L858R,",","&amp;SUBSTITUTE(K63,", ",",")&amp;",")),1,0)</f>
        <v>0</v>
      </c>
      <c r="DC63" s="11">
        <f>IF(ISNUMBER(SEARCH(",EGFR L861Q,",","&amp;SUBSTITUTE(K63,", ",",")&amp;",")),1,0)</f>
        <v>0</v>
      </c>
      <c r="DD63" s="11">
        <f>IF(ISNUMBER(SEARCH(",EGFR PACC,",","&amp;SUBSTITUTE(K63,", ",",")&amp;",")),1,0)</f>
        <v>0</v>
      </c>
      <c r="DE63" s="11">
        <f>IF(ISNUMBER(SEARCH(",EGFR S768I,",","&amp;SUBSTITUTE(K63,", ",",")&amp;",")),1,0)</f>
        <v>0</v>
      </c>
      <c r="DF63" s="11">
        <f>IF(ISNUMBER(SEARCH(",EGFR T790M,",","&amp;SUBSTITUTE(K63,", ",",")&amp;",")),1,0)</f>
        <v>0</v>
      </c>
      <c r="DG63" s="11">
        <f>IF(ISNUMBER(SEARCH(",EML4-ALK,",","&amp;SUBSTITUTE(K63,", ",",")&amp;",")),1,0)</f>
        <v>0</v>
      </c>
      <c r="DH63" s="11">
        <f>IF(ISNUMBER(SEARCH(",HER2,",","&amp;SUBSTITUTE(K63,", ",",")&amp;",")),1,0)</f>
        <v>0</v>
      </c>
      <c r="DI63" s="11">
        <f>IF(ISNUMBER(SEARCH(",HER2 Exon 19,",","&amp;SUBSTITUTE(K63,", ",",")&amp;",")),1,0)</f>
        <v>0</v>
      </c>
      <c r="DJ63" s="11">
        <f>IF(ISNUMBER(SEARCH(",HER2 Exon 20,",","&amp;SUBSTITUTE(K63,", ",",")&amp;",")),1,0)</f>
        <v>0</v>
      </c>
      <c r="DK63" s="11">
        <f>IF(ISNUMBER(SEARCH(",HER2 mut,",","&amp;SUBSTITUTE(K63,", ",",")&amp;",")),1,0)</f>
        <v>0</v>
      </c>
      <c r="DL63" s="11">
        <f>IF(ISNUMBER(SEARCH(",HLA-A2,",","&amp;SUBSTITUTE(K63,", ",",")&amp;",")),1,0)</f>
        <v>0</v>
      </c>
      <c r="DM63" s="11">
        <f>IF(ISNUMBER(SEARCH(",HRAS,",","&amp;SUBSTITUTE(K63,", ",",")&amp;",")),1,0)</f>
        <v>0</v>
      </c>
      <c r="DN63" s="11">
        <f>IF(ISNUMBER(SEARCH(",KRAS,",","&amp;SUBSTITUTE(K63,", ",",")&amp;",")),1,0)</f>
        <v>0</v>
      </c>
      <c r="DO63" s="11">
        <f>IF(ISNUMBER(SEARCH(",KRAS G12C,",","&amp;SUBSTITUTE(K63,", ",",")&amp;",")),1,0)</f>
        <v>0</v>
      </c>
      <c r="DP63" s="11">
        <f>IF(ISNUMBER(SEARCH(",NRAS,",","&amp;SUBSTITUTE(K63,", ",",")&amp;",")),1,0)</f>
        <v>0</v>
      </c>
      <c r="DQ63" s="11">
        <f>IF(ISNUMBER(SEARCH(",NTRK,",","&amp;SUBSTITUTE(K63,", ",",")&amp;",")),1,0)</f>
        <v>0</v>
      </c>
      <c r="DR63" s="11">
        <f>IF(ISNUMBER(SEARCH(",PD-L1,",","&amp;SUBSTITUTE(K63,", ",",")&amp;",")),1,0)</f>
        <v>0</v>
      </c>
      <c r="DS63" s="11">
        <f>IF(ISNUMBER(SEARCH(",PD-L1 IC ≥ 1%,",","&amp;SUBSTITUTE(K63,", ",",")&amp;",")),1,0)</f>
        <v>0</v>
      </c>
      <c r="DT63" s="11">
        <f>IF(ISNUMBER(SEARCH(",PD-L1 TC ≥ 1%,",","&amp;SUBSTITUTE(K63,", ",",")&amp;",")),1,0)</f>
        <v>0</v>
      </c>
      <c r="DU63" s="11">
        <f>IF(ISNUMBER(SEARCH(",PD-L1 TC ≥ 50%,",","&amp;SUBSTITUTE(K63,", ",",")&amp;",")),1,0)</f>
        <v>0</v>
      </c>
      <c r="DV63" s="11">
        <f>IF(ISNUMBER(SEARCH(",PD-L1 TPS &lt; 50%,",","&amp;SUBSTITUTE(K63,", ",",")&amp;",")),1,0)</f>
        <v>0</v>
      </c>
      <c r="DW63" s="11">
        <f>IF(ISNUMBER(SEARCH(",PD-L1 TPS ≥ 1%,",","&amp;SUBSTITUTE(K63,", ",",")&amp;",")),1,0)</f>
        <v>0</v>
      </c>
      <c r="DX63" s="11">
        <f>IF(ISNUMBER(SEARCH(",PD-L1 TPS ≥ 50%,",","&amp;SUBSTITUTE(K63,", ",",")&amp;",")),1,0)</f>
        <v>1</v>
      </c>
      <c r="DY63" s="11">
        <f>IF(ISNUMBER(SEARCH(",RAS,",","&amp;SUBSTITUTE(K63,", ",",")&amp;",")),1,0)</f>
        <v>0</v>
      </c>
      <c r="DZ63" s="11">
        <f>IF(ISNUMBER(SEARCH(",RET,",","&amp;SUBSTITUTE(K63,", ",",")&amp;",")),1,0)</f>
        <v>0</v>
      </c>
      <c r="EA63" s="11">
        <f>IF(ISNUMBER(SEARCH(",ROS1,",","&amp;SUBSTITUTE(K63,", ",",")&amp;",")),1,0)</f>
        <v>0</v>
      </c>
      <c r="EB63" s="11">
        <f>IF(ISNUMBER(SEARCH(",TROP2,",","&amp;SUBSTITUTE(K63,", ",",")&amp;",")),1,0)</f>
        <v>0</v>
      </c>
      <c r="EC63" s="11">
        <f>IF(ISNUMBER(SEARCH(",c-MET/MET,",","&amp;SUBSTITUTE(K63,", ",",")&amp;",")),1,0)</f>
        <v>0</v>
      </c>
      <c r="ED63" s="11">
        <f>IF(ISNUMBER(SEARCH(",c-MET/MET Exon 14,",","&amp;SUBSTITUTE(K63,", ",",")&amp;",")),1,0)</f>
        <v>0</v>
      </c>
      <c r="EE63" s="11">
        <f>IF(ISNUMBER(SEARCH(",ctDNA/cfDNA,",","&amp;SUBSTITUTE(K63,", ",",")&amp;",")),1,0)</f>
        <v>0</v>
      </c>
    </row>
    <row r="64" spans="1:135" ht="15" customHeight="1" x14ac:dyDescent="0.2">
      <c r="A64" s="5" t="s">
        <v>1142</v>
      </c>
      <c r="B64" s="5" t="s">
        <v>1144</v>
      </c>
      <c r="C64" s="5" t="s">
        <v>281</v>
      </c>
      <c r="D64" s="5" t="s">
        <v>280</v>
      </c>
      <c r="E64" s="5" t="s">
        <v>282</v>
      </c>
      <c r="F64" s="5" t="s">
        <v>259</v>
      </c>
      <c r="G64" s="5" t="s">
        <v>260</v>
      </c>
      <c r="H64" s="5" t="s">
        <v>114</v>
      </c>
      <c r="I64" s="5" t="s">
        <v>996</v>
      </c>
      <c r="J64" s="5" t="s">
        <v>965</v>
      </c>
      <c r="K64" s="5"/>
      <c r="L64" s="5" t="s">
        <v>119</v>
      </c>
      <c r="M64" s="5" t="s">
        <v>113</v>
      </c>
      <c r="N64" s="5" t="s">
        <v>120</v>
      </c>
      <c r="O64" s="5" t="s">
        <v>120</v>
      </c>
      <c r="P64" s="5" t="s">
        <v>1247</v>
      </c>
      <c r="Q64" s="10" t="str">
        <f>IF(F64="Stage IV","Stage IV Only",IF(AND(ISNUMBER(SEARCH("IV",F64)),LEN(F64)&gt;LEN("Stage IV")),"Stage IV + Other",IF(AND(ISNUMBER(SEARCH("III",F64)),NOT(ISNUMBER(SEARCH("IV",F64)))),"Stage III Only","Other")))</f>
        <v>Stage IV Only</v>
      </c>
      <c r="R64" s="10" t="str">
        <f>IF(AND(ISNUMBER(SEARCH("Non-squamous",G64)),ISNUMBER(SEARCH("Squamous",SUBSTITUTE(G64,"Non-squamous","")))),"Both",IF(ISNUMBER(SEARCH("Non-squamous",G64)),"Non-squamous",IF(ISNUMBER(SEARCH("Squamous",G64)),"Squamous","Unspecified")))</f>
        <v>Squamous</v>
      </c>
      <c r="S64" s="10" t="str">
        <f>IF(OR(ISNUMBER(SEARCH("TPS ≥ 50%",K64)),ISNUMBER(SEARCH("TC ≥ 50%",K64))),"TPS ≥ 50%",IF(OR(ISNUMBER(SEARCH("TPS ≥ 1%",K64)),ISNUMBER(SEARCH("TC ≥ 1%",K64)),ISNUMBER(SEARCH("TPS &lt; 50%",K64)),ISNUMBER(SEARCH("IC ≥ 1%",K64))),"TPS 1-49%","All-comers"))</f>
        <v>All-comers</v>
      </c>
      <c r="T64" s="10">
        <f>IF(H64="Phase III",1,0)</f>
        <v>1</v>
      </c>
      <c r="U64" s="10">
        <f>IF(L64="Yes",1,0)</f>
        <v>0</v>
      </c>
      <c r="V64" s="11">
        <f>IF(ISNUMBER(SEARCH(",ALK,",","&amp;SUBSTITUTE(I64,", ",",")&amp;",")),1,0)</f>
        <v>0</v>
      </c>
      <c r="W64" s="11">
        <f>IF(ISNUMBER(SEARCH(",ALK L1196M,",","&amp;SUBSTITUTE(I64,", ",",")&amp;",")),1,0)</f>
        <v>0</v>
      </c>
      <c r="X64" s="11">
        <f>IF(ISNUMBER(SEARCH(",AXL,",","&amp;SUBSTITUTE(I64,", ",",")&amp;",")),1,0)</f>
        <v>0</v>
      </c>
      <c r="Y64" s="11">
        <f>IF(ISNUMBER(SEARCH(",B7-H1,",","&amp;SUBSTITUTE(I64,", ",",")&amp;",")),1,0)</f>
        <v>0</v>
      </c>
      <c r="Z64" s="11">
        <f>IF(ISNUMBER(SEARCH(",CD152,",","&amp;SUBSTITUTE(I64,", ",",")&amp;",")),1,0)</f>
        <v>0</v>
      </c>
      <c r="AA64" s="11">
        <f>IF(ISNUMBER(SEARCH(",CD274,",","&amp;SUBSTITUTE(I64,", ",",")&amp;",")),1,0)</f>
        <v>0</v>
      </c>
      <c r="AB64" s="11">
        <f>IF(ISNUMBER(SEARCH(",CD279,",","&amp;SUBSTITUTE(I64,", ",",")&amp;",")),1,0)</f>
        <v>1</v>
      </c>
      <c r="AC64" s="11">
        <f>IF(ISNUMBER(SEARCH(",CD73,",","&amp;SUBSTITUTE(I64,", ",",")&amp;",")),1,0)</f>
        <v>0</v>
      </c>
      <c r="AD64" s="11">
        <f>IF(ISNUMBER(SEARCH(",CEA,",","&amp;SUBSTITUTE(I64,", ",",")&amp;",")),1,0)</f>
        <v>0</v>
      </c>
      <c r="AE64" s="11">
        <f>IF(ISNUMBER(SEARCH(",CTLA-4,",","&amp;SUBSTITUTE(I64,", ",",")&amp;",")),1,0)</f>
        <v>0</v>
      </c>
      <c r="AF64" s="11">
        <f>IF(ISNUMBER(SEARCH(",EGFR,",","&amp;SUBSTITUTE(I64,", ",",")&amp;",")),1,0)</f>
        <v>0</v>
      </c>
      <c r="AG64" s="11">
        <f>IF(ISNUMBER(SEARCH(",EGFR C797G,",","&amp;SUBSTITUTE(I64,", ",",")&amp;",")),1,0)</f>
        <v>0</v>
      </c>
      <c r="AH64" s="11">
        <f>IF(ISNUMBER(SEARCH(",EGFR C797S,",","&amp;SUBSTITUTE(I64,", ",",")&amp;",")),1,0)</f>
        <v>0</v>
      </c>
      <c r="AI64" s="11">
        <f>IF(ISNUMBER(SEARCH(",EGFR Exon 19-del,",","&amp;SUBSTITUTE(I64,", ",",")&amp;",")),1,0)</f>
        <v>0</v>
      </c>
      <c r="AJ64" s="11">
        <f>IF(ISNUMBER(SEARCH(",EGFR Exon 20,",","&amp;SUBSTITUTE(I64,", ",",")&amp;",")),1,0)</f>
        <v>0</v>
      </c>
      <c r="AK64" s="11">
        <f>IF(ISNUMBER(SEARCH(",EGFR L858R,",","&amp;SUBSTITUTE(I64,", ",",")&amp;",")),1,0)</f>
        <v>0</v>
      </c>
      <c r="AL64" s="11">
        <f>IF(ISNUMBER(SEARCH(",EGFR T790M,",","&amp;SUBSTITUTE(I64,", ",",")&amp;",")),1,0)</f>
        <v>0</v>
      </c>
      <c r="AM64" s="11">
        <f>IF(ISNUMBER(SEARCH(",ERBB,",","&amp;SUBSTITUTE(I64,", ",",")&amp;",")),1,0)</f>
        <v>0</v>
      </c>
      <c r="AN64" s="11">
        <f>IF(ISNUMBER(SEARCH(",ERBB3,",","&amp;SUBSTITUTE(I64,", ",",")&amp;",")),1,0)</f>
        <v>0</v>
      </c>
      <c r="AO64" s="11">
        <f>IF(ISNUMBER(SEARCH(",FAK,",","&amp;SUBSTITUTE(I64,", ",",")&amp;",")),1,0)</f>
        <v>0</v>
      </c>
      <c r="AP64" s="11">
        <f>IF(ISNUMBER(SEARCH(",GARP,",","&amp;SUBSTITUTE(I64,", ",",")&amp;",")),1,0)</f>
        <v>0</v>
      </c>
      <c r="AQ64" s="11">
        <f>IF(ISNUMBER(SEARCH(",HER1,",","&amp;SUBSTITUTE(I64,", ",",")&amp;",")),1,0)</f>
        <v>0</v>
      </c>
      <c r="AR64" s="11">
        <f>IF(ISNUMBER(SEARCH(",HER2,",","&amp;SUBSTITUTE(I64,", ",",")&amp;",")),1,0)</f>
        <v>0</v>
      </c>
      <c r="AS64" s="11">
        <f>IF(ISNUMBER(SEARCH(",HER2 Exon 20,",","&amp;SUBSTITUTE(I64,", ",",")&amp;",")),1,0)</f>
        <v>0</v>
      </c>
      <c r="AT64" s="11">
        <f>IF(ISNUMBER(SEARCH(",HER3,",","&amp;SUBSTITUTE(I64,", ",",")&amp;",")),1,0)</f>
        <v>0</v>
      </c>
      <c r="AU64" s="11">
        <f>IF(ISNUMBER(SEARCH(",HER4,",","&amp;SUBSTITUTE(I64,", ",",")&amp;",")),1,0)</f>
        <v>0</v>
      </c>
      <c r="AV64" s="11">
        <f>IF(ISNUMBER(SEARCH(",HRAS,",","&amp;SUBSTITUTE(I64,", ",",")&amp;",")),1,0)</f>
        <v>0</v>
      </c>
      <c r="AW64" s="11">
        <f>IF(ISNUMBER(SEARCH(",HSV-TK,",","&amp;SUBSTITUTE(I64,", ",",")&amp;",")),1,0)</f>
        <v>0</v>
      </c>
      <c r="AX64" s="11">
        <f>IF(ISNUMBER(SEARCH(",IL-12,",","&amp;SUBSTITUTE(I64,", ",",")&amp;",")),1,0)</f>
        <v>0</v>
      </c>
      <c r="AY64" s="11">
        <f>IF(ISNUMBER(SEARCH(",IL-15,",","&amp;SUBSTITUTE(I64,", ",",")&amp;",")),1,0)</f>
        <v>0</v>
      </c>
      <c r="AZ64" s="11">
        <f>IF(ISNUMBER(SEARCH(",IL-15R,",","&amp;SUBSTITUTE(I64,", ",",")&amp;",")),1,0)</f>
        <v>0</v>
      </c>
      <c r="BA64" s="11">
        <f>IF(ISNUMBER(SEARCH(",IL-2,",","&amp;SUBSTITUTE(I64,", ",",")&amp;",")),1,0)</f>
        <v>0</v>
      </c>
      <c r="BB64" s="11">
        <f>IF(ISNUMBER(SEARCH(",Integrin β6,",","&amp;SUBSTITUTE(I64,", ",",")&amp;",")),1,0)</f>
        <v>0</v>
      </c>
      <c r="BC64" s="11">
        <f>IF(ISNUMBER(SEARCH(",KDR,",","&amp;SUBSTITUTE(I64,", ",",")&amp;",")),1,0)</f>
        <v>0</v>
      </c>
      <c r="BD64" s="11">
        <f>IF(ISNUMBER(SEARCH(",KLRC1,",","&amp;SUBSTITUTE(I64,", ",",")&amp;",")),1,0)</f>
        <v>0</v>
      </c>
      <c r="BE64" s="11">
        <f>IF(ISNUMBER(SEARCH(",KRAS,",","&amp;SUBSTITUTE(I64,", ",",")&amp;",")),1,0)</f>
        <v>0</v>
      </c>
      <c r="BF64" s="11">
        <f>IF(ISNUMBER(SEARCH(",KRAS G12,",","&amp;SUBSTITUTE(I64,", ",",")&amp;",")),1,0)</f>
        <v>0</v>
      </c>
      <c r="BG64" s="11">
        <f>IF(ISNUMBER(SEARCH(",KRAS G12C,",","&amp;SUBSTITUTE(I64,", ",",")&amp;",")),1,0)</f>
        <v>0</v>
      </c>
      <c r="BH64" s="11">
        <f>IF(ISNUMBER(SEARCH(",KRAS G12D,",","&amp;SUBSTITUTE(I64,", ",",")&amp;",")),1,0)</f>
        <v>0</v>
      </c>
      <c r="BI64" s="11">
        <f>IF(ISNUMBER(SEARCH(",LAG-3,",","&amp;SUBSTITUTE(I64,", ",",")&amp;",")),1,0)</f>
        <v>0</v>
      </c>
      <c r="BJ64" s="11">
        <f>IF(ISNUMBER(SEARCH(",MAGE-A2,",","&amp;SUBSTITUTE(I64,", ",",")&amp;",")),1,0)</f>
        <v>0</v>
      </c>
      <c r="BK64" s="11">
        <f>IF(ISNUMBER(SEARCH(",MAGE-A3,",","&amp;SUBSTITUTE(I64,", ",",")&amp;",")),1,0)</f>
        <v>0</v>
      </c>
      <c r="BL64" s="11">
        <f>IF(ISNUMBER(SEARCH(",MLN19,",","&amp;SUBSTITUTE(I64,", ",",")&amp;",")),1,0)</f>
        <v>0</v>
      </c>
      <c r="BM64" s="11">
        <f>IF(ISNUMBER(SEARCH(",Microtubule,",","&amp;SUBSTITUTE(I64,", ",",")&amp;",")),1,0)</f>
        <v>0</v>
      </c>
      <c r="BN64" s="11">
        <f>IF(ISNUMBER(SEARCH(",NKG2A,",","&amp;SUBSTITUTE(I64,", ",",")&amp;",")),1,0)</f>
        <v>0</v>
      </c>
      <c r="BO64" s="11">
        <f>IF(ISNUMBER(SEARCH(",NRAS,",","&amp;SUBSTITUTE(I64,", ",",")&amp;",")),1,0)</f>
        <v>0</v>
      </c>
      <c r="BP64" s="11">
        <f>IF(ISNUMBER(SEARCH(",NTRK,",","&amp;SUBSTITUTE(I64,", ",",")&amp;",")),1,0)</f>
        <v>0</v>
      </c>
      <c r="BQ64" s="11">
        <f>IF(ISNUMBER(SEARCH(",PARP,",","&amp;SUBSTITUTE(I64,", ",",")&amp;",")),1,0)</f>
        <v>0</v>
      </c>
      <c r="BR64" s="11">
        <f>IF(ISNUMBER(SEARCH(",PD-1,",","&amp;SUBSTITUTE(I64,", ",",")&amp;",")),1,0)</f>
        <v>1</v>
      </c>
      <c r="BS64" s="11">
        <f>IF(ISNUMBER(SEARCH(",PD-L1,",","&amp;SUBSTITUTE(I64,", ",",")&amp;",")),1,0)</f>
        <v>0</v>
      </c>
      <c r="BT64" s="11">
        <f>IF(ISNUMBER(SEARCH(",PRMT5,",","&amp;SUBSTITUTE(I64,", ",",")&amp;",")),1,0)</f>
        <v>0</v>
      </c>
      <c r="BU64" s="11">
        <f>IF(ISNUMBER(SEARCH(",RAS,",","&amp;SUBSTITUTE(I64,", ",",")&amp;",")),1,0)</f>
        <v>0</v>
      </c>
      <c r="BV64" s="11">
        <f>IF(ISNUMBER(SEARCH(",RET,",","&amp;SUBSTITUTE(I64,", ",",")&amp;",")),1,0)</f>
        <v>0</v>
      </c>
      <c r="BW64" s="11">
        <f>IF(ISNUMBER(SEARCH(",ROS,",","&amp;SUBSTITUTE(I64,", ",",")&amp;",")),1,0)</f>
        <v>0</v>
      </c>
      <c r="BX64" s="11">
        <f>IF(ISNUMBER(SEARCH(",ROS1,",","&amp;SUBSTITUTE(I64,", ",",")&amp;",")),1,0)</f>
        <v>0</v>
      </c>
      <c r="BY64" s="11">
        <f>IF(ISNUMBER(SEARCH(",Src,",","&amp;SUBSTITUTE(I64,", ",",")&amp;",")),1,0)</f>
        <v>0</v>
      </c>
      <c r="BZ64" s="11">
        <f>IF(ISNUMBER(SEARCH(",TCGF,",","&amp;SUBSTITUTE(I64,", ",",")&amp;",")),1,0)</f>
        <v>0</v>
      </c>
      <c r="CA64" s="11">
        <f>IF(ISNUMBER(SEARCH(",TGF-β,",","&amp;SUBSTITUTE(I64,", ",",")&amp;",")),1,0)</f>
        <v>0</v>
      </c>
      <c r="CB64" s="11">
        <f>IF(ISNUMBER(SEARCH(",TGF-β1,",","&amp;SUBSTITUTE(I64,", ",",")&amp;",")),1,0)</f>
        <v>0</v>
      </c>
      <c r="CC64" s="11">
        <f>IF(ISNUMBER(SEARCH(",TIGIT,",","&amp;SUBSTITUTE(I64,", ",",")&amp;",")),1,0)</f>
        <v>0</v>
      </c>
      <c r="CD64" s="11">
        <f>IF(ISNUMBER(SEARCH(",TLR,",","&amp;SUBSTITUTE(I64,", ",",")&amp;",")),1,0)</f>
        <v>0</v>
      </c>
      <c r="CE64" s="11">
        <f>IF(ISNUMBER(SEARCH(",TLR7/8,",","&amp;SUBSTITUTE(I64,", ",",")&amp;",")),1,0)</f>
        <v>0</v>
      </c>
      <c r="CF64" s="11">
        <f>IF(ISNUMBER(SEARCH(",TRK,",","&amp;SUBSTITUTE(I64,", ",",")&amp;",")),1,0)</f>
        <v>0</v>
      </c>
      <c r="CG64" s="11">
        <f>IF(ISNUMBER(SEARCH(",TROP2,",","&amp;SUBSTITUTE(I64,", ",",")&amp;",")),1,0)</f>
        <v>1</v>
      </c>
      <c r="CH64" s="11">
        <f>IF(ISNUMBER(SEARCH(",TS,",","&amp;SUBSTITUTE(I64,", ",",")&amp;",")),1,0)</f>
        <v>0</v>
      </c>
      <c r="CI64" s="11">
        <f>IF(ISNUMBER(SEARCH(",TYMS,",","&amp;SUBSTITUTE(I64,", ",",")&amp;",")),1,0)</f>
        <v>0</v>
      </c>
      <c r="CJ64" s="11">
        <f>IF(ISNUMBER(SEARCH(",VEGF,",","&amp;SUBSTITUTE(I64,", ",",")&amp;",")),1,0)</f>
        <v>0</v>
      </c>
      <c r="CK64" s="11">
        <f>IF(ISNUMBER(SEARCH(",VEGFA,",","&amp;SUBSTITUTE(I64,", ",",")&amp;",")),1,0)</f>
        <v>0</v>
      </c>
      <c r="CL64" s="11">
        <f>IF(ISNUMBER(SEARCH(",VEGFR2,",","&amp;SUBSTITUTE(I64,", ",",")&amp;",")),1,0)</f>
        <v>0</v>
      </c>
      <c r="CM64" s="11">
        <f>IF(ISNUMBER(SEARCH(",c-MET/MET,",","&amp;SUBSTITUTE(I64,", ",",")&amp;",")),1,0)</f>
        <v>0</v>
      </c>
      <c r="CN64" s="11">
        <f>IF(ISNUMBER(SEARCH(",p53,",","&amp;SUBSTITUTE(I64,", ",",")&amp;",")),1,0)</f>
        <v>0</v>
      </c>
      <c r="CO64" s="11">
        <f>IF(ISNUMBER(SEARCH(",pan-KRAS,",","&amp;SUBSTITUTE(I64,", ",",")&amp;",")),1,0)</f>
        <v>0</v>
      </c>
      <c r="CP64" s="11">
        <f>IF(ISNUMBER(SEARCH(",ALK,",","&amp;SUBSTITUTE(K64,", ",",")&amp;",")),1,0)</f>
        <v>0</v>
      </c>
      <c r="CQ64" s="11">
        <f>IF(ISNUMBER(SEARCH(",BRAF V600E,",","&amp;SUBSTITUTE(K64,", ",",")&amp;",")),1,0)</f>
        <v>0</v>
      </c>
      <c r="CR64" s="11">
        <f>IF(ISNUMBER(SEARCH(",EGFR,",","&amp;SUBSTITUTE(K64,", ",",")&amp;",")),1,0)</f>
        <v>0</v>
      </c>
      <c r="CS64" s="11">
        <f>IF(ISNUMBER(SEARCH(",EGFR Exon 18,",","&amp;SUBSTITUTE(K64,", ",",")&amp;",")),1,0)</f>
        <v>0</v>
      </c>
      <c r="CT64" s="11">
        <f>IF(ISNUMBER(SEARCH(",EGFR Exon 19-del,",","&amp;SUBSTITUTE(K64,", ",",")&amp;",")),1,0)</f>
        <v>0</v>
      </c>
      <c r="CU64" s="11">
        <f>IF(ISNUMBER(SEARCH(",EGFR Exon 20,",","&amp;SUBSTITUTE(K64,", ",",")&amp;",")),1,0)</f>
        <v>0</v>
      </c>
      <c r="CV64" s="11">
        <f>IF(ISNUMBER(SEARCH(",EGFR Exon 20-ins,",","&amp;SUBSTITUTE(K64,", ",",")&amp;",")),1,0)</f>
        <v>0</v>
      </c>
      <c r="CW64" s="11">
        <f>IF(ISNUMBER(SEARCH(",EGFR Exon 21,",","&amp;SUBSTITUTE(K64,", ",",")&amp;",")),1,0)</f>
        <v>0</v>
      </c>
      <c r="CX64" s="11">
        <f>IF(ISNUMBER(SEARCH(",EGFR G719A,",","&amp;SUBSTITUTE(K64,", ",",")&amp;",")),1,0)</f>
        <v>0</v>
      </c>
      <c r="CY64" s="11">
        <f>IF(ISNUMBER(SEARCH(",EGFR G719C,",","&amp;SUBSTITUTE(K64,", ",",")&amp;",")),1,0)</f>
        <v>0</v>
      </c>
      <c r="CZ64" s="11">
        <f>IF(ISNUMBER(SEARCH(",EGFR G719S,",","&amp;SUBSTITUTE(K64,", ",",")&amp;",")),1,0)</f>
        <v>0</v>
      </c>
      <c r="DA64" s="11">
        <f>IF(ISNUMBER(SEARCH(",EGFR G719X,",","&amp;SUBSTITUTE(K64,", ",",")&amp;",")),1,0)</f>
        <v>0</v>
      </c>
      <c r="DB64" s="11">
        <f>IF(ISNUMBER(SEARCH(",EGFR L858R,",","&amp;SUBSTITUTE(K64,", ",",")&amp;",")),1,0)</f>
        <v>0</v>
      </c>
      <c r="DC64" s="11">
        <f>IF(ISNUMBER(SEARCH(",EGFR L861Q,",","&amp;SUBSTITUTE(K64,", ",",")&amp;",")),1,0)</f>
        <v>0</v>
      </c>
      <c r="DD64" s="11">
        <f>IF(ISNUMBER(SEARCH(",EGFR PACC,",","&amp;SUBSTITUTE(K64,", ",",")&amp;",")),1,0)</f>
        <v>0</v>
      </c>
      <c r="DE64" s="11">
        <f>IF(ISNUMBER(SEARCH(",EGFR S768I,",","&amp;SUBSTITUTE(K64,", ",",")&amp;",")),1,0)</f>
        <v>0</v>
      </c>
      <c r="DF64" s="11">
        <f>IF(ISNUMBER(SEARCH(",EGFR T790M,",","&amp;SUBSTITUTE(K64,", ",",")&amp;",")),1,0)</f>
        <v>0</v>
      </c>
      <c r="DG64" s="11">
        <f>IF(ISNUMBER(SEARCH(",EML4-ALK,",","&amp;SUBSTITUTE(K64,", ",",")&amp;",")),1,0)</f>
        <v>0</v>
      </c>
      <c r="DH64" s="11">
        <f>IF(ISNUMBER(SEARCH(",HER2,",","&amp;SUBSTITUTE(K64,", ",",")&amp;",")),1,0)</f>
        <v>0</v>
      </c>
      <c r="DI64" s="11">
        <f>IF(ISNUMBER(SEARCH(",HER2 Exon 19,",","&amp;SUBSTITUTE(K64,", ",",")&amp;",")),1,0)</f>
        <v>0</v>
      </c>
      <c r="DJ64" s="11">
        <f>IF(ISNUMBER(SEARCH(",HER2 Exon 20,",","&amp;SUBSTITUTE(K64,", ",",")&amp;",")),1,0)</f>
        <v>0</v>
      </c>
      <c r="DK64" s="11">
        <f>IF(ISNUMBER(SEARCH(",HER2 mut,",","&amp;SUBSTITUTE(K64,", ",",")&amp;",")),1,0)</f>
        <v>0</v>
      </c>
      <c r="DL64" s="11">
        <f>IF(ISNUMBER(SEARCH(",HLA-A2,",","&amp;SUBSTITUTE(K64,", ",",")&amp;",")),1,0)</f>
        <v>0</v>
      </c>
      <c r="DM64" s="11">
        <f>IF(ISNUMBER(SEARCH(",HRAS,",","&amp;SUBSTITUTE(K64,", ",",")&amp;",")),1,0)</f>
        <v>0</v>
      </c>
      <c r="DN64" s="11">
        <f>IF(ISNUMBER(SEARCH(",KRAS,",","&amp;SUBSTITUTE(K64,", ",",")&amp;",")),1,0)</f>
        <v>0</v>
      </c>
      <c r="DO64" s="11">
        <f>IF(ISNUMBER(SEARCH(",KRAS G12C,",","&amp;SUBSTITUTE(K64,", ",",")&amp;",")),1,0)</f>
        <v>0</v>
      </c>
      <c r="DP64" s="11">
        <f>IF(ISNUMBER(SEARCH(",NRAS,",","&amp;SUBSTITUTE(K64,", ",",")&amp;",")),1,0)</f>
        <v>0</v>
      </c>
      <c r="DQ64" s="11">
        <f>IF(ISNUMBER(SEARCH(",NTRK,",","&amp;SUBSTITUTE(K64,", ",",")&amp;",")),1,0)</f>
        <v>0</v>
      </c>
      <c r="DR64" s="11">
        <f>IF(ISNUMBER(SEARCH(",PD-L1,",","&amp;SUBSTITUTE(K64,", ",",")&amp;",")),1,0)</f>
        <v>0</v>
      </c>
      <c r="DS64" s="11">
        <f>IF(ISNUMBER(SEARCH(",PD-L1 IC ≥ 1%,",","&amp;SUBSTITUTE(K64,", ",",")&amp;",")),1,0)</f>
        <v>0</v>
      </c>
      <c r="DT64" s="11">
        <f>IF(ISNUMBER(SEARCH(",PD-L1 TC ≥ 1%,",","&amp;SUBSTITUTE(K64,", ",",")&amp;",")),1,0)</f>
        <v>0</v>
      </c>
      <c r="DU64" s="11">
        <f>IF(ISNUMBER(SEARCH(",PD-L1 TC ≥ 50%,",","&amp;SUBSTITUTE(K64,", ",",")&amp;",")),1,0)</f>
        <v>0</v>
      </c>
      <c r="DV64" s="11">
        <f>IF(ISNUMBER(SEARCH(",PD-L1 TPS &lt; 50%,",","&amp;SUBSTITUTE(K64,", ",",")&amp;",")),1,0)</f>
        <v>0</v>
      </c>
      <c r="DW64" s="11">
        <f>IF(ISNUMBER(SEARCH(",PD-L1 TPS ≥ 1%,",","&amp;SUBSTITUTE(K64,", ",",")&amp;",")),1,0)</f>
        <v>0</v>
      </c>
      <c r="DX64" s="11">
        <f>IF(ISNUMBER(SEARCH(",PD-L1 TPS ≥ 50%,",","&amp;SUBSTITUTE(K64,", ",",")&amp;",")),1,0)</f>
        <v>0</v>
      </c>
      <c r="DY64" s="11">
        <f>IF(ISNUMBER(SEARCH(",RAS,",","&amp;SUBSTITUTE(K64,", ",",")&amp;",")),1,0)</f>
        <v>0</v>
      </c>
      <c r="DZ64" s="11">
        <f>IF(ISNUMBER(SEARCH(",RET,",","&amp;SUBSTITUTE(K64,", ",",")&amp;",")),1,0)</f>
        <v>0</v>
      </c>
      <c r="EA64" s="11">
        <f>IF(ISNUMBER(SEARCH(",ROS1,",","&amp;SUBSTITUTE(K64,", ",",")&amp;",")),1,0)</f>
        <v>0</v>
      </c>
      <c r="EB64" s="11">
        <f>IF(ISNUMBER(SEARCH(",TROP2,",","&amp;SUBSTITUTE(K64,", ",",")&amp;",")),1,0)</f>
        <v>0</v>
      </c>
      <c r="EC64" s="11">
        <f>IF(ISNUMBER(SEARCH(",c-MET/MET,",","&amp;SUBSTITUTE(K64,", ",",")&amp;",")),1,0)</f>
        <v>0</v>
      </c>
      <c r="ED64" s="11">
        <f>IF(ISNUMBER(SEARCH(",c-MET/MET Exon 14,",","&amp;SUBSTITUTE(K64,", ",",")&amp;",")),1,0)</f>
        <v>0</v>
      </c>
      <c r="EE64" s="11">
        <f>IF(ISNUMBER(SEARCH(",ctDNA/cfDNA,",","&amp;SUBSTITUTE(K64,", ",",")&amp;",")),1,0)</f>
        <v>0</v>
      </c>
    </row>
    <row r="65" spans="1:135" ht="15" customHeight="1" x14ac:dyDescent="0.2">
      <c r="A65" s="5" t="s">
        <v>1069</v>
      </c>
      <c r="B65" s="5" t="s">
        <v>1071</v>
      </c>
      <c r="C65" s="5" t="s">
        <v>1072</v>
      </c>
      <c r="D65" s="5" t="s">
        <v>1072</v>
      </c>
      <c r="E65" s="5" t="s">
        <v>1072</v>
      </c>
      <c r="F65" s="5" t="s">
        <v>236</v>
      </c>
      <c r="G65" s="5" t="s">
        <v>181</v>
      </c>
      <c r="H65" s="5" t="s">
        <v>114</v>
      </c>
      <c r="I65" s="5" t="s">
        <v>1076</v>
      </c>
      <c r="J65" s="5" t="s">
        <v>1075</v>
      </c>
      <c r="K65" s="5" t="s">
        <v>1038</v>
      </c>
      <c r="L65" s="5" t="s">
        <v>119</v>
      </c>
      <c r="M65" s="5" t="s">
        <v>113</v>
      </c>
      <c r="N65" s="5" t="s">
        <v>119</v>
      </c>
      <c r="O65" s="5" t="s">
        <v>120</v>
      </c>
      <c r="P65" s="5" t="s">
        <v>1073</v>
      </c>
      <c r="Q65" s="10" t="str">
        <f>IF(F65="Stage IV","Stage IV Only",IF(AND(ISNUMBER(SEARCH("IV",F65)),LEN(F65)&gt;LEN("Stage IV")),"Stage IV + Other",IF(AND(ISNUMBER(SEARCH("III",F65)),NOT(ISNUMBER(SEARCH("IV",F65)))),"Stage III Only","Other")))</f>
        <v>Stage IV + Other</v>
      </c>
      <c r="R65" s="10" t="str">
        <f>IF(AND(ISNUMBER(SEARCH("Non-squamous",G65)),ISNUMBER(SEARCH("Squamous",SUBSTITUTE(G65,"Non-squamous","")))),"Both",IF(ISNUMBER(SEARCH("Non-squamous",G65)),"Non-squamous",IF(ISNUMBER(SEARCH("Squamous",G65)),"Squamous","Unspecified")))</f>
        <v>Non-squamous</v>
      </c>
      <c r="S65" s="10" t="str">
        <f>IF(OR(ISNUMBER(SEARCH("TPS ≥ 50%",K65)),ISNUMBER(SEARCH("TC ≥ 50%",K65))),"TPS ≥ 50%",IF(OR(ISNUMBER(SEARCH("TPS ≥ 1%",K65)),ISNUMBER(SEARCH("TC ≥ 1%",K65)),ISNUMBER(SEARCH("TPS &lt; 50%",K65)),ISNUMBER(SEARCH("IC ≥ 1%",K65))),"TPS 1-49%","All-comers"))</f>
        <v>All-comers</v>
      </c>
      <c r="T65" s="10">
        <f>IF(H65="Phase III",1,0)</f>
        <v>1</v>
      </c>
      <c r="U65" s="10">
        <f>IF(L65="Yes",1,0)</f>
        <v>0</v>
      </c>
      <c r="V65" s="11">
        <f>IF(ISNUMBER(SEARCH(",ALK,",","&amp;SUBSTITUTE(I65,", ",",")&amp;",")),1,0)</f>
        <v>0</v>
      </c>
      <c r="W65" s="11">
        <f>IF(ISNUMBER(SEARCH(",ALK L1196M,",","&amp;SUBSTITUTE(I65,", ",",")&amp;",")),1,0)</f>
        <v>0</v>
      </c>
      <c r="X65" s="11">
        <f>IF(ISNUMBER(SEARCH(",AXL,",","&amp;SUBSTITUTE(I65,", ",",")&amp;",")),1,0)</f>
        <v>0</v>
      </c>
      <c r="Y65" s="11">
        <f>IF(ISNUMBER(SEARCH(",B7-H1,",","&amp;SUBSTITUTE(I65,", ",",")&amp;",")),1,0)</f>
        <v>0</v>
      </c>
      <c r="Z65" s="11">
        <f>IF(ISNUMBER(SEARCH(",CD152,",","&amp;SUBSTITUTE(I65,", ",",")&amp;",")),1,0)</f>
        <v>0</v>
      </c>
      <c r="AA65" s="11">
        <f>IF(ISNUMBER(SEARCH(",CD274,",","&amp;SUBSTITUTE(I65,", ",",")&amp;",")),1,0)</f>
        <v>0</v>
      </c>
      <c r="AB65" s="11">
        <f>IF(ISNUMBER(SEARCH(",CD279,",","&amp;SUBSTITUTE(I65,", ",",")&amp;",")),1,0)</f>
        <v>0</v>
      </c>
      <c r="AC65" s="11">
        <f>IF(ISNUMBER(SEARCH(",CD73,",","&amp;SUBSTITUTE(I65,", ",",")&amp;",")),1,0)</f>
        <v>0</v>
      </c>
      <c r="AD65" s="11">
        <f>IF(ISNUMBER(SEARCH(",CEA,",","&amp;SUBSTITUTE(I65,", ",",")&amp;",")),1,0)</f>
        <v>0</v>
      </c>
      <c r="AE65" s="11">
        <f>IF(ISNUMBER(SEARCH(",CTLA-4,",","&amp;SUBSTITUTE(I65,", ",",")&amp;",")),1,0)</f>
        <v>0</v>
      </c>
      <c r="AF65" s="11">
        <f>IF(ISNUMBER(SEARCH(",EGFR,",","&amp;SUBSTITUTE(I65,", ",",")&amp;",")),1,0)</f>
        <v>0</v>
      </c>
      <c r="AG65" s="11">
        <f>IF(ISNUMBER(SEARCH(",EGFR C797G,",","&amp;SUBSTITUTE(I65,", ",",")&amp;",")),1,0)</f>
        <v>1</v>
      </c>
      <c r="AH65" s="11">
        <f>IF(ISNUMBER(SEARCH(",EGFR C797S,",","&amp;SUBSTITUTE(I65,", ",",")&amp;",")),1,0)</f>
        <v>1</v>
      </c>
      <c r="AI65" s="11">
        <f>IF(ISNUMBER(SEARCH(",EGFR Exon 19-del,",","&amp;SUBSTITUTE(I65,", ",",")&amp;",")),1,0)</f>
        <v>0</v>
      </c>
      <c r="AJ65" s="11">
        <f>IF(ISNUMBER(SEARCH(",EGFR Exon 20,",","&amp;SUBSTITUTE(I65,", ",",")&amp;",")),1,0)</f>
        <v>1</v>
      </c>
      <c r="AK65" s="11">
        <f>IF(ISNUMBER(SEARCH(",EGFR L858R,",","&amp;SUBSTITUTE(I65,", ",",")&amp;",")),1,0)</f>
        <v>0</v>
      </c>
      <c r="AL65" s="11">
        <f>IF(ISNUMBER(SEARCH(",EGFR T790M,",","&amp;SUBSTITUTE(I65,", ",",")&amp;",")),1,0)</f>
        <v>0</v>
      </c>
      <c r="AM65" s="11">
        <f>IF(ISNUMBER(SEARCH(",ERBB,",","&amp;SUBSTITUTE(I65,", ",",")&amp;",")),1,0)</f>
        <v>0</v>
      </c>
      <c r="AN65" s="11">
        <f>IF(ISNUMBER(SEARCH(",ERBB3,",","&amp;SUBSTITUTE(I65,", ",",")&amp;",")),1,0)</f>
        <v>0</v>
      </c>
      <c r="AO65" s="11">
        <f>IF(ISNUMBER(SEARCH(",FAK,",","&amp;SUBSTITUTE(I65,", ",",")&amp;",")),1,0)</f>
        <v>0</v>
      </c>
      <c r="AP65" s="11">
        <f>IF(ISNUMBER(SEARCH(",GARP,",","&amp;SUBSTITUTE(I65,", ",",")&amp;",")),1,0)</f>
        <v>0</v>
      </c>
      <c r="AQ65" s="11">
        <f>IF(ISNUMBER(SEARCH(",HER1,",","&amp;SUBSTITUTE(I65,", ",",")&amp;",")),1,0)</f>
        <v>0</v>
      </c>
      <c r="AR65" s="11">
        <f>IF(ISNUMBER(SEARCH(",HER2,",","&amp;SUBSTITUTE(I65,", ",",")&amp;",")),1,0)</f>
        <v>1</v>
      </c>
      <c r="AS65" s="11">
        <f>IF(ISNUMBER(SEARCH(",HER2 Exon 20,",","&amp;SUBSTITUTE(I65,", ",",")&amp;",")),1,0)</f>
        <v>1</v>
      </c>
      <c r="AT65" s="11">
        <f>IF(ISNUMBER(SEARCH(",HER3,",","&amp;SUBSTITUTE(I65,", ",",")&amp;",")),1,0)</f>
        <v>0</v>
      </c>
      <c r="AU65" s="11">
        <f>IF(ISNUMBER(SEARCH(",HER4,",","&amp;SUBSTITUTE(I65,", ",",")&amp;",")),1,0)</f>
        <v>0</v>
      </c>
      <c r="AV65" s="11">
        <f>IF(ISNUMBER(SEARCH(",HRAS,",","&amp;SUBSTITUTE(I65,", ",",")&amp;",")),1,0)</f>
        <v>0</v>
      </c>
      <c r="AW65" s="11">
        <f>IF(ISNUMBER(SEARCH(",HSV-TK,",","&amp;SUBSTITUTE(I65,", ",",")&amp;",")),1,0)</f>
        <v>0</v>
      </c>
      <c r="AX65" s="11">
        <f>IF(ISNUMBER(SEARCH(",IL-12,",","&amp;SUBSTITUTE(I65,", ",",")&amp;",")),1,0)</f>
        <v>0</v>
      </c>
      <c r="AY65" s="11">
        <f>IF(ISNUMBER(SEARCH(",IL-15,",","&amp;SUBSTITUTE(I65,", ",",")&amp;",")),1,0)</f>
        <v>0</v>
      </c>
      <c r="AZ65" s="11">
        <f>IF(ISNUMBER(SEARCH(",IL-15R,",","&amp;SUBSTITUTE(I65,", ",",")&amp;",")),1,0)</f>
        <v>0</v>
      </c>
      <c r="BA65" s="11">
        <f>IF(ISNUMBER(SEARCH(",IL-2,",","&amp;SUBSTITUTE(I65,", ",",")&amp;",")),1,0)</f>
        <v>0</v>
      </c>
      <c r="BB65" s="11">
        <f>IF(ISNUMBER(SEARCH(",Integrin β6,",","&amp;SUBSTITUTE(I65,", ",",")&amp;",")),1,0)</f>
        <v>0</v>
      </c>
      <c r="BC65" s="11">
        <f>IF(ISNUMBER(SEARCH(",KDR,",","&amp;SUBSTITUTE(I65,", ",",")&amp;",")),1,0)</f>
        <v>0</v>
      </c>
      <c r="BD65" s="11">
        <f>IF(ISNUMBER(SEARCH(",KLRC1,",","&amp;SUBSTITUTE(I65,", ",",")&amp;",")),1,0)</f>
        <v>0</v>
      </c>
      <c r="BE65" s="11">
        <f>IF(ISNUMBER(SEARCH(",KRAS,",","&amp;SUBSTITUTE(I65,", ",",")&amp;",")),1,0)</f>
        <v>0</v>
      </c>
      <c r="BF65" s="11">
        <f>IF(ISNUMBER(SEARCH(",KRAS G12,",","&amp;SUBSTITUTE(I65,", ",",")&amp;",")),1,0)</f>
        <v>0</v>
      </c>
      <c r="BG65" s="11">
        <f>IF(ISNUMBER(SEARCH(",KRAS G12C,",","&amp;SUBSTITUTE(I65,", ",",")&amp;",")),1,0)</f>
        <v>0</v>
      </c>
      <c r="BH65" s="11">
        <f>IF(ISNUMBER(SEARCH(",KRAS G12D,",","&amp;SUBSTITUTE(I65,", ",",")&amp;",")),1,0)</f>
        <v>0</v>
      </c>
      <c r="BI65" s="11">
        <f>IF(ISNUMBER(SEARCH(",LAG-3,",","&amp;SUBSTITUTE(I65,", ",",")&amp;",")),1,0)</f>
        <v>0</v>
      </c>
      <c r="BJ65" s="11">
        <f>IF(ISNUMBER(SEARCH(",MAGE-A2,",","&amp;SUBSTITUTE(I65,", ",",")&amp;",")),1,0)</f>
        <v>0</v>
      </c>
      <c r="BK65" s="11">
        <f>IF(ISNUMBER(SEARCH(",MAGE-A3,",","&amp;SUBSTITUTE(I65,", ",",")&amp;",")),1,0)</f>
        <v>0</v>
      </c>
      <c r="BL65" s="11">
        <f>IF(ISNUMBER(SEARCH(",MLN19,",","&amp;SUBSTITUTE(I65,", ",",")&amp;",")),1,0)</f>
        <v>0</v>
      </c>
      <c r="BM65" s="11">
        <f>IF(ISNUMBER(SEARCH(",Microtubule,",","&amp;SUBSTITUTE(I65,", ",",")&amp;",")),1,0)</f>
        <v>0</v>
      </c>
      <c r="BN65" s="11">
        <f>IF(ISNUMBER(SEARCH(",NKG2A,",","&amp;SUBSTITUTE(I65,", ",",")&amp;",")),1,0)</f>
        <v>0</v>
      </c>
      <c r="BO65" s="11">
        <f>IF(ISNUMBER(SEARCH(",NRAS,",","&amp;SUBSTITUTE(I65,", ",",")&amp;",")),1,0)</f>
        <v>0</v>
      </c>
      <c r="BP65" s="11">
        <f>IF(ISNUMBER(SEARCH(",NTRK,",","&amp;SUBSTITUTE(I65,", ",",")&amp;",")),1,0)</f>
        <v>0</v>
      </c>
      <c r="BQ65" s="11">
        <f>IF(ISNUMBER(SEARCH(",PARP,",","&amp;SUBSTITUTE(I65,", ",",")&amp;",")),1,0)</f>
        <v>0</v>
      </c>
      <c r="BR65" s="11">
        <f>IF(ISNUMBER(SEARCH(",PD-1,",","&amp;SUBSTITUTE(I65,", ",",")&amp;",")),1,0)</f>
        <v>0</v>
      </c>
      <c r="BS65" s="11">
        <f>IF(ISNUMBER(SEARCH(",PD-L1,",","&amp;SUBSTITUTE(I65,", ",",")&amp;",")),1,0)</f>
        <v>0</v>
      </c>
      <c r="BT65" s="11">
        <f>IF(ISNUMBER(SEARCH(",PRMT5,",","&amp;SUBSTITUTE(I65,", ",",")&amp;",")),1,0)</f>
        <v>0</v>
      </c>
      <c r="BU65" s="11">
        <f>IF(ISNUMBER(SEARCH(",RAS,",","&amp;SUBSTITUTE(I65,", ",",")&amp;",")),1,0)</f>
        <v>0</v>
      </c>
      <c r="BV65" s="11">
        <f>IF(ISNUMBER(SEARCH(",RET,",","&amp;SUBSTITUTE(I65,", ",",")&amp;",")),1,0)</f>
        <v>0</v>
      </c>
      <c r="BW65" s="11">
        <f>IF(ISNUMBER(SEARCH(",ROS,",","&amp;SUBSTITUTE(I65,", ",",")&amp;",")),1,0)</f>
        <v>0</v>
      </c>
      <c r="BX65" s="11">
        <f>IF(ISNUMBER(SEARCH(",ROS1,",","&amp;SUBSTITUTE(I65,", ",",")&amp;",")),1,0)</f>
        <v>0</v>
      </c>
      <c r="BY65" s="11">
        <f>IF(ISNUMBER(SEARCH(",Src,",","&amp;SUBSTITUTE(I65,", ",",")&amp;",")),1,0)</f>
        <v>0</v>
      </c>
      <c r="BZ65" s="11">
        <f>IF(ISNUMBER(SEARCH(",TCGF,",","&amp;SUBSTITUTE(I65,", ",",")&amp;",")),1,0)</f>
        <v>0</v>
      </c>
      <c r="CA65" s="11">
        <f>IF(ISNUMBER(SEARCH(",TGF-β,",","&amp;SUBSTITUTE(I65,", ",",")&amp;",")),1,0)</f>
        <v>0</v>
      </c>
      <c r="CB65" s="11">
        <f>IF(ISNUMBER(SEARCH(",TGF-β1,",","&amp;SUBSTITUTE(I65,", ",",")&amp;",")),1,0)</f>
        <v>0</v>
      </c>
      <c r="CC65" s="11">
        <f>IF(ISNUMBER(SEARCH(",TIGIT,",","&amp;SUBSTITUTE(I65,", ",",")&amp;",")),1,0)</f>
        <v>0</v>
      </c>
      <c r="CD65" s="11">
        <f>IF(ISNUMBER(SEARCH(",TLR,",","&amp;SUBSTITUTE(I65,", ",",")&amp;",")),1,0)</f>
        <v>0</v>
      </c>
      <c r="CE65" s="11">
        <f>IF(ISNUMBER(SEARCH(",TLR7/8,",","&amp;SUBSTITUTE(I65,", ",",")&amp;",")),1,0)</f>
        <v>0</v>
      </c>
      <c r="CF65" s="11">
        <f>IF(ISNUMBER(SEARCH(",TRK,",","&amp;SUBSTITUTE(I65,", ",",")&amp;",")),1,0)</f>
        <v>0</v>
      </c>
      <c r="CG65" s="11">
        <f>IF(ISNUMBER(SEARCH(",TROP2,",","&amp;SUBSTITUTE(I65,", ",",")&amp;",")),1,0)</f>
        <v>0</v>
      </c>
      <c r="CH65" s="11">
        <f>IF(ISNUMBER(SEARCH(",TS,",","&amp;SUBSTITUTE(I65,", ",",")&amp;",")),1,0)</f>
        <v>0</v>
      </c>
      <c r="CI65" s="11">
        <f>IF(ISNUMBER(SEARCH(",TYMS,",","&amp;SUBSTITUTE(I65,", ",",")&amp;",")),1,0)</f>
        <v>0</v>
      </c>
      <c r="CJ65" s="11">
        <f>IF(ISNUMBER(SEARCH(",VEGF,",","&amp;SUBSTITUTE(I65,", ",",")&amp;",")),1,0)</f>
        <v>0</v>
      </c>
      <c r="CK65" s="11">
        <f>IF(ISNUMBER(SEARCH(",VEGFA,",","&amp;SUBSTITUTE(I65,", ",",")&amp;",")),1,0)</f>
        <v>0</v>
      </c>
      <c r="CL65" s="11">
        <f>IF(ISNUMBER(SEARCH(",VEGFR2,",","&amp;SUBSTITUTE(I65,", ",",")&amp;",")),1,0)</f>
        <v>0</v>
      </c>
      <c r="CM65" s="11">
        <f>IF(ISNUMBER(SEARCH(",c-MET/MET,",","&amp;SUBSTITUTE(I65,", ",",")&amp;",")),1,0)</f>
        <v>0</v>
      </c>
      <c r="CN65" s="11">
        <f>IF(ISNUMBER(SEARCH(",p53,",","&amp;SUBSTITUTE(I65,", ",",")&amp;",")),1,0)</f>
        <v>0</v>
      </c>
      <c r="CO65" s="11">
        <f>IF(ISNUMBER(SEARCH(",pan-KRAS,",","&amp;SUBSTITUTE(I65,", ",",")&amp;",")),1,0)</f>
        <v>0</v>
      </c>
      <c r="CP65" s="11">
        <f>IF(ISNUMBER(SEARCH(",ALK,",","&amp;SUBSTITUTE(K65,", ",",")&amp;",")),1,0)</f>
        <v>0</v>
      </c>
      <c r="CQ65" s="11">
        <f>IF(ISNUMBER(SEARCH(",BRAF V600E,",","&amp;SUBSTITUTE(K65,", ",",")&amp;",")),1,0)</f>
        <v>0</v>
      </c>
      <c r="CR65" s="11">
        <f>IF(ISNUMBER(SEARCH(",EGFR,",","&amp;SUBSTITUTE(K65,", ",",")&amp;",")),1,0)</f>
        <v>0</v>
      </c>
      <c r="CS65" s="11">
        <f>IF(ISNUMBER(SEARCH(",EGFR Exon 18,",","&amp;SUBSTITUTE(K65,", ",",")&amp;",")),1,0)</f>
        <v>0</v>
      </c>
      <c r="CT65" s="11">
        <f>IF(ISNUMBER(SEARCH(",EGFR Exon 19-del,",","&amp;SUBSTITUTE(K65,", ",",")&amp;",")),1,0)</f>
        <v>0</v>
      </c>
      <c r="CU65" s="11">
        <f>IF(ISNUMBER(SEARCH(",EGFR Exon 20,",","&amp;SUBSTITUTE(K65,", ",",")&amp;",")),1,0)</f>
        <v>0</v>
      </c>
      <c r="CV65" s="11">
        <f>IF(ISNUMBER(SEARCH(",EGFR Exon 20-ins,",","&amp;SUBSTITUTE(K65,", ",",")&amp;",")),1,0)</f>
        <v>0</v>
      </c>
      <c r="CW65" s="11">
        <f>IF(ISNUMBER(SEARCH(",EGFR Exon 21,",","&amp;SUBSTITUTE(K65,", ",",")&amp;",")),1,0)</f>
        <v>0</v>
      </c>
      <c r="CX65" s="11">
        <f>IF(ISNUMBER(SEARCH(",EGFR G719A,",","&amp;SUBSTITUTE(K65,", ",",")&amp;",")),1,0)</f>
        <v>0</v>
      </c>
      <c r="CY65" s="11">
        <f>IF(ISNUMBER(SEARCH(",EGFR G719C,",","&amp;SUBSTITUTE(K65,", ",",")&amp;",")),1,0)</f>
        <v>0</v>
      </c>
      <c r="CZ65" s="11">
        <f>IF(ISNUMBER(SEARCH(",EGFR G719S,",","&amp;SUBSTITUTE(K65,", ",",")&amp;",")),1,0)</f>
        <v>0</v>
      </c>
      <c r="DA65" s="11">
        <f>IF(ISNUMBER(SEARCH(",EGFR G719X,",","&amp;SUBSTITUTE(K65,", ",",")&amp;",")),1,0)</f>
        <v>0</v>
      </c>
      <c r="DB65" s="11">
        <f>IF(ISNUMBER(SEARCH(",EGFR L858R,",","&amp;SUBSTITUTE(K65,", ",",")&amp;",")),1,0)</f>
        <v>0</v>
      </c>
      <c r="DC65" s="11">
        <f>IF(ISNUMBER(SEARCH(",EGFR L861Q,",","&amp;SUBSTITUTE(K65,", ",",")&amp;",")),1,0)</f>
        <v>0</v>
      </c>
      <c r="DD65" s="11">
        <f>IF(ISNUMBER(SEARCH(",EGFR PACC,",","&amp;SUBSTITUTE(K65,", ",",")&amp;",")),1,0)</f>
        <v>0</v>
      </c>
      <c r="DE65" s="11">
        <f>IF(ISNUMBER(SEARCH(",EGFR S768I,",","&amp;SUBSTITUTE(K65,", ",",")&amp;",")),1,0)</f>
        <v>0</v>
      </c>
      <c r="DF65" s="11">
        <f>IF(ISNUMBER(SEARCH(",EGFR T790M,",","&amp;SUBSTITUTE(K65,", ",",")&amp;",")),1,0)</f>
        <v>0</v>
      </c>
      <c r="DG65" s="11">
        <f>IF(ISNUMBER(SEARCH(",EML4-ALK,",","&amp;SUBSTITUTE(K65,", ",",")&amp;",")),1,0)</f>
        <v>0</v>
      </c>
      <c r="DH65" s="11">
        <f>IF(ISNUMBER(SEARCH(",HER2,",","&amp;SUBSTITUTE(K65,", ",",")&amp;",")),1,0)</f>
        <v>0</v>
      </c>
      <c r="DI65" s="11">
        <f>IF(ISNUMBER(SEARCH(",HER2 Exon 19,",","&amp;SUBSTITUTE(K65,", ",",")&amp;",")),1,0)</f>
        <v>0</v>
      </c>
      <c r="DJ65" s="11">
        <f>IF(ISNUMBER(SEARCH(",HER2 Exon 20,",","&amp;SUBSTITUTE(K65,", ",",")&amp;",")),1,0)</f>
        <v>0</v>
      </c>
      <c r="DK65" s="11">
        <f>IF(ISNUMBER(SEARCH(",HER2 mut,",","&amp;SUBSTITUTE(K65,", ",",")&amp;",")),1,0)</f>
        <v>1</v>
      </c>
      <c r="DL65" s="11">
        <f>IF(ISNUMBER(SEARCH(",HLA-A2,",","&amp;SUBSTITUTE(K65,", ",",")&amp;",")),1,0)</f>
        <v>0</v>
      </c>
      <c r="DM65" s="11">
        <f>IF(ISNUMBER(SEARCH(",HRAS,",","&amp;SUBSTITUTE(K65,", ",",")&amp;",")),1,0)</f>
        <v>0</v>
      </c>
      <c r="DN65" s="11">
        <f>IF(ISNUMBER(SEARCH(",KRAS,",","&amp;SUBSTITUTE(K65,", ",",")&amp;",")),1,0)</f>
        <v>0</v>
      </c>
      <c r="DO65" s="11">
        <f>IF(ISNUMBER(SEARCH(",KRAS G12C,",","&amp;SUBSTITUTE(K65,", ",",")&amp;",")),1,0)</f>
        <v>0</v>
      </c>
      <c r="DP65" s="11">
        <f>IF(ISNUMBER(SEARCH(",NRAS,",","&amp;SUBSTITUTE(K65,", ",",")&amp;",")),1,0)</f>
        <v>0</v>
      </c>
      <c r="DQ65" s="11">
        <f>IF(ISNUMBER(SEARCH(",NTRK,",","&amp;SUBSTITUTE(K65,", ",",")&amp;",")),1,0)</f>
        <v>0</v>
      </c>
      <c r="DR65" s="11">
        <f>IF(ISNUMBER(SEARCH(",PD-L1,",","&amp;SUBSTITUTE(K65,", ",",")&amp;",")),1,0)</f>
        <v>0</v>
      </c>
      <c r="DS65" s="11">
        <f>IF(ISNUMBER(SEARCH(",PD-L1 IC ≥ 1%,",","&amp;SUBSTITUTE(K65,", ",",")&amp;",")),1,0)</f>
        <v>0</v>
      </c>
      <c r="DT65" s="11">
        <f>IF(ISNUMBER(SEARCH(",PD-L1 TC ≥ 1%,",","&amp;SUBSTITUTE(K65,", ",",")&amp;",")),1,0)</f>
        <v>0</v>
      </c>
      <c r="DU65" s="11">
        <f>IF(ISNUMBER(SEARCH(",PD-L1 TC ≥ 50%,",","&amp;SUBSTITUTE(K65,", ",",")&amp;",")),1,0)</f>
        <v>0</v>
      </c>
      <c r="DV65" s="11">
        <f>IF(ISNUMBER(SEARCH(",PD-L1 TPS &lt; 50%,",","&amp;SUBSTITUTE(K65,", ",",")&amp;",")),1,0)</f>
        <v>0</v>
      </c>
      <c r="DW65" s="11">
        <f>IF(ISNUMBER(SEARCH(",PD-L1 TPS ≥ 1%,",","&amp;SUBSTITUTE(K65,", ",",")&amp;",")),1,0)</f>
        <v>0</v>
      </c>
      <c r="DX65" s="11">
        <f>IF(ISNUMBER(SEARCH(",PD-L1 TPS ≥ 50%,",","&amp;SUBSTITUTE(K65,", ",",")&amp;",")),1,0)</f>
        <v>0</v>
      </c>
      <c r="DY65" s="11">
        <f>IF(ISNUMBER(SEARCH(",RAS,",","&amp;SUBSTITUTE(K65,", ",",")&amp;",")),1,0)</f>
        <v>0</v>
      </c>
      <c r="DZ65" s="11">
        <f>IF(ISNUMBER(SEARCH(",RET,",","&amp;SUBSTITUTE(K65,", ",",")&amp;",")),1,0)</f>
        <v>0</v>
      </c>
      <c r="EA65" s="11">
        <f>IF(ISNUMBER(SEARCH(",ROS1,",","&amp;SUBSTITUTE(K65,", ",",")&amp;",")),1,0)</f>
        <v>0</v>
      </c>
      <c r="EB65" s="11">
        <f>IF(ISNUMBER(SEARCH(",TROP2,",","&amp;SUBSTITUTE(K65,", ",",")&amp;",")),1,0)</f>
        <v>0</v>
      </c>
      <c r="EC65" s="11">
        <f>IF(ISNUMBER(SEARCH(",c-MET/MET,",","&amp;SUBSTITUTE(K65,", ",",")&amp;",")),1,0)</f>
        <v>0</v>
      </c>
      <c r="ED65" s="11">
        <f>IF(ISNUMBER(SEARCH(",c-MET/MET Exon 14,",","&amp;SUBSTITUTE(K65,", ",",")&amp;",")),1,0)</f>
        <v>0</v>
      </c>
      <c r="EE65" s="11">
        <f>IF(ISNUMBER(SEARCH(",ctDNA/cfDNA,",","&amp;SUBSTITUTE(K65,", ",",")&amp;",")),1,0)</f>
        <v>0</v>
      </c>
    </row>
    <row r="66" spans="1:135" ht="15" customHeight="1" x14ac:dyDescent="0.2">
      <c r="A66" s="3" t="s">
        <v>1104</v>
      </c>
      <c r="B66" s="3" t="s">
        <v>1106</v>
      </c>
      <c r="C66" s="3" t="s">
        <v>235</v>
      </c>
      <c r="D66" s="3" t="s">
        <v>235</v>
      </c>
      <c r="E66" s="3" t="s">
        <v>235</v>
      </c>
      <c r="F66" s="3" t="s">
        <v>572</v>
      </c>
      <c r="G66" s="3"/>
      <c r="H66" s="3" t="s">
        <v>114</v>
      </c>
      <c r="I66" s="3" t="s">
        <v>1110</v>
      </c>
      <c r="J66" s="3" t="s">
        <v>1109</v>
      </c>
      <c r="K66" s="3" t="s">
        <v>300</v>
      </c>
      <c r="L66" s="3" t="s">
        <v>119</v>
      </c>
      <c r="M66" s="3" t="s">
        <v>113</v>
      </c>
      <c r="N66" s="3" t="s">
        <v>120</v>
      </c>
      <c r="O66" s="3" t="s">
        <v>120</v>
      </c>
      <c r="P66" s="3" t="s">
        <v>1107</v>
      </c>
      <c r="Q66" s="10" t="str">
        <f>IF(F66="Stage IV","Stage IV Only",IF(AND(ISNUMBER(SEARCH("IV",F66)),LEN(F66)&gt;LEN("Stage IV")),"Stage IV + Other",IF(AND(ISNUMBER(SEARCH("III",F66)),NOT(ISNUMBER(SEARCH("IV",F66)))),"Stage III Only","Other")))</f>
        <v>Stage IV + Other</v>
      </c>
      <c r="R66" s="10" t="str">
        <f>IF(AND(ISNUMBER(SEARCH("Non-squamous",G66)),ISNUMBER(SEARCH("Squamous",SUBSTITUTE(G66,"Non-squamous","")))),"Both",IF(ISNUMBER(SEARCH("Non-squamous",G66)),"Non-squamous",IF(ISNUMBER(SEARCH("Squamous",G66)),"Squamous","Unspecified")))</f>
        <v>Unspecified</v>
      </c>
      <c r="S66" s="10" t="str">
        <f>IF(OR(ISNUMBER(SEARCH("TPS ≥ 50%",K66)),ISNUMBER(SEARCH("TC ≥ 50%",K66))),"TPS ≥ 50%",IF(OR(ISNUMBER(SEARCH("TPS ≥ 1%",K66)),ISNUMBER(SEARCH("TC ≥ 1%",K66)),ISNUMBER(SEARCH("TPS &lt; 50%",K66)),ISNUMBER(SEARCH("IC ≥ 1%",K66))),"TPS 1-49%","All-comers"))</f>
        <v>TPS ≥ 50%</v>
      </c>
      <c r="T66" s="10">
        <f>IF(H66="Phase III",1,0)</f>
        <v>1</v>
      </c>
      <c r="U66" s="10">
        <f>IF(L66="Yes",1,0)</f>
        <v>0</v>
      </c>
      <c r="V66" s="11">
        <f>IF(ISNUMBER(SEARCH(",ALK,",","&amp;SUBSTITUTE(I66,", ",",")&amp;",")),1,0)</f>
        <v>0</v>
      </c>
      <c r="W66" s="11">
        <f>IF(ISNUMBER(SEARCH(",ALK L1196M,",","&amp;SUBSTITUTE(I66,", ",",")&amp;",")),1,0)</f>
        <v>0</v>
      </c>
      <c r="X66" s="11">
        <f>IF(ISNUMBER(SEARCH(",AXL,",","&amp;SUBSTITUTE(I66,", ",",")&amp;",")),1,0)</f>
        <v>0</v>
      </c>
      <c r="Y66" s="11">
        <f>IF(ISNUMBER(SEARCH(",B7-H1,",","&amp;SUBSTITUTE(I66,", ",",")&amp;",")),1,0)</f>
        <v>0</v>
      </c>
      <c r="Z66" s="11">
        <f>IF(ISNUMBER(SEARCH(",CD152,",","&amp;SUBSTITUTE(I66,", ",",")&amp;",")),1,0)</f>
        <v>0</v>
      </c>
      <c r="AA66" s="11">
        <f>IF(ISNUMBER(SEARCH(",CD274,",","&amp;SUBSTITUTE(I66,", ",",")&amp;",")),1,0)</f>
        <v>0</v>
      </c>
      <c r="AB66" s="11">
        <f>IF(ISNUMBER(SEARCH(",CD279,",","&amp;SUBSTITUTE(I66,", ",",")&amp;",")),1,0)</f>
        <v>1</v>
      </c>
      <c r="AC66" s="11">
        <f>IF(ISNUMBER(SEARCH(",CD73,",","&amp;SUBSTITUTE(I66,", ",",")&amp;",")),1,0)</f>
        <v>0</v>
      </c>
      <c r="AD66" s="11">
        <f>IF(ISNUMBER(SEARCH(",CEA,",","&amp;SUBSTITUTE(I66,", ",",")&amp;",")),1,0)</f>
        <v>0</v>
      </c>
      <c r="AE66" s="11">
        <f>IF(ISNUMBER(SEARCH(",CTLA-4,",","&amp;SUBSTITUTE(I66,", ",",")&amp;",")),1,0)</f>
        <v>0</v>
      </c>
      <c r="AF66" s="11">
        <f>IF(ISNUMBER(SEARCH(",EGFR,",","&amp;SUBSTITUTE(I66,", ",",")&amp;",")),1,0)</f>
        <v>0</v>
      </c>
      <c r="AG66" s="11">
        <f>IF(ISNUMBER(SEARCH(",EGFR C797G,",","&amp;SUBSTITUTE(I66,", ",",")&amp;",")),1,0)</f>
        <v>0</v>
      </c>
      <c r="AH66" s="11">
        <f>IF(ISNUMBER(SEARCH(",EGFR C797S,",","&amp;SUBSTITUTE(I66,", ",",")&amp;",")),1,0)</f>
        <v>0</v>
      </c>
      <c r="AI66" s="11">
        <f>IF(ISNUMBER(SEARCH(",EGFR Exon 19-del,",","&amp;SUBSTITUTE(I66,", ",",")&amp;",")),1,0)</f>
        <v>0</v>
      </c>
      <c r="AJ66" s="11">
        <f>IF(ISNUMBER(SEARCH(",EGFR Exon 20,",","&amp;SUBSTITUTE(I66,", ",",")&amp;",")),1,0)</f>
        <v>0</v>
      </c>
      <c r="AK66" s="11">
        <f>IF(ISNUMBER(SEARCH(",EGFR L858R,",","&amp;SUBSTITUTE(I66,", ",",")&amp;",")),1,0)</f>
        <v>0</v>
      </c>
      <c r="AL66" s="11">
        <f>IF(ISNUMBER(SEARCH(",EGFR T790M,",","&amp;SUBSTITUTE(I66,", ",",")&amp;",")),1,0)</f>
        <v>0</v>
      </c>
      <c r="AM66" s="11">
        <f>IF(ISNUMBER(SEARCH(",ERBB,",","&amp;SUBSTITUTE(I66,", ",",")&amp;",")),1,0)</f>
        <v>0</v>
      </c>
      <c r="AN66" s="11">
        <f>IF(ISNUMBER(SEARCH(",ERBB3,",","&amp;SUBSTITUTE(I66,", ",",")&amp;",")),1,0)</f>
        <v>0</v>
      </c>
      <c r="AO66" s="11">
        <f>IF(ISNUMBER(SEARCH(",FAK,",","&amp;SUBSTITUTE(I66,", ",",")&amp;",")),1,0)</f>
        <v>0</v>
      </c>
      <c r="AP66" s="11">
        <f>IF(ISNUMBER(SEARCH(",GARP,",","&amp;SUBSTITUTE(I66,", ",",")&amp;",")),1,0)</f>
        <v>0</v>
      </c>
      <c r="AQ66" s="11">
        <f>IF(ISNUMBER(SEARCH(",HER1,",","&amp;SUBSTITUTE(I66,", ",",")&amp;",")),1,0)</f>
        <v>0</v>
      </c>
      <c r="AR66" s="11">
        <f>IF(ISNUMBER(SEARCH(",HER2,",","&amp;SUBSTITUTE(I66,", ",",")&amp;",")),1,0)</f>
        <v>0</v>
      </c>
      <c r="AS66" s="11">
        <f>IF(ISNUMBER(SEARCH(",HER2 Exon 20,",","&amp;SUBSTITUTE(I66,", ",",")&amp;",")),1,0)</f>
        <v>0</v>
      </c>
      <c r="AT66" s="11">
        <f>IF(ISNUMBER(SEARCH(",HER3,",","&amp;SUBSTITUTE(I66,", ",",")&amp;",")),1,0)</f>
        <v>0</v>
      </c>
      <c r="AU66" s="11">
        <f>IF(ISNUMBER(SEARCH(",HER4,",","&amp;SUBSTITUTE(I66,", ",",")&amp;",")),1,0)</f>
        <v>0</v>
      </c>
      <c r="AV66" s="11">
        <f>IF(ISNUMBER(SEARCH(",HRAS,",","&amp;SUBSTITUTE(I66,", ",",")&amp;",")),1,0)</f>
        <v>0</v>
      </c>
      <c r="AW66" s="11">
        <f>IF(ISNUMBER(SEARCH(",HSV-TK,",","&amp;SUBSTITUTE(I66,", ",",")&amp;",")),1,0)</f>
        <v>0</v>
      </c>
      <c r="AX66" s="11">
        <f>IF(ISNUMBER(SEARCH(",IL-12,",","&amp;SUBSTITUTE(I66,", ",",")&amp;",")),1,0)</f>
        <v>0</v>
      </c>
      <c r="AY66" s="11">
        <f>IF(ISNUMBER(SEARCH(",IL-15,",","&amp;SUBSTITUTE(I66,", ",",")&amp;",")),1,0)</f>
        <v>0</v>
      </c>
      <c r="AZ66" s="11">
        <f>IF(ISNUMBER(SEARCH(",IL-15R,",","&amp;SUBSTITUTE(I66,", ",",")&amp;",")),1,0)</f>
        <v>0</v>
      </c>
      <c r="BA66" s="11">
        <f>IF(ISNUMBER(SEARCH(",IL-2,",","&amp;SUBSTITUTE(I66,", ",",")&amp;",")),1,0)</f>
        <v>0</v>
      </c>
      <c r="BB66" s="11">
        <f>IF(ISNUMBER(SEARCH(",Integrin β6,",","&amp;SUBSTITUTE(I66,", ",",")&amp;",")),1,0)</f>
        <v>1</v>
      </c>
      <c r="BC66" s="11">
        <f>IF(ISNUMBER(SEARCH(",KDR,",","&amp;SUBSTITUTE(I66,", ",",")&amp;",")),1,0)</f>
        <v>0</v>
      </c>
      <c r="BD66" s="11">
        <f>IF(ISNUMBER(SEARCH(",KLRC1,",","&amp;SUBSTITUTE(I66,", ",",")&amp;",")),1,0)</f>
        <v>0</v>
      </c>
      <c r="BE66" s="11">
        <f>IF(ISNUMBER(SEARCH(",KRAS,",","&amp;SUBSTITUTE(I66,", ",",")&amp;",")),1,0)</f>
        <v>0</v>
      </c>
      <c r="BF66" s="11">
        <f>IF(ISNUMBER(SEARCH(",KRAS G12,",","&amp;SUBSTITUTE(I66,", ",",")&amp;",")),1,0)</f>
        <v>0</v>
      </c>
      <c r="BG66" s="11">
        <f>IF(ISNUMBER(SEARCH(",KRAS G12C,",","&amp;SUBSTITUTE(I66,", ",",")&amp;",")),1,0)</f>
        <v>0</v>
      </c>
      <c r="BH66" s="11">
        <f>IF(ISNUMBER(SEARCH(",KRAS G12D,",","&amp;SUBSTITUTE(I66,", ",",")&amp;",")),1,0)</f>
        <v>0</v>
      </c>
      <c r="BI66" s="11">
        <f>IF(ISNUMBER(SEARCH(",LAG-3,",","&amp;SUBSTITUTE(I66,", ",",")&amp;",")),1,0)</f>
        <v>0</v>
      </c>
      <c r="BJ66" s="11">
        <f>IF(ISNUMBER(SEARCH(",MAGE-A2,",","&amp;SUBSTITUTE(I66,", ",",")&amp;",")),1,0)</f>
        <v>0</v>
      </c>
      <c r="BK66" s="11">
        <f>IF(ISNUMBER(SEARCH(",MAGE-A3,",","&amp;SUBSTITUTE(I66,", ",",")&amp;",")),1,0)</f>
        <v>0</v>
      </c>
      <c r="BL66" s="11">
        <f>IF(ISNUMBER(SEARCH(",MLN19,",","&amp;SUBSTITUTE(I66,", ",",")&amp;",")),1,0)</f>
        <v>0</v>
      </c>
      <c r="BM66" s="11">
        <f>IF(ISNUMBER(SEARCH(",Microtubule,",","&amp;SUBSTITUTE(I66,", ",",")&amp;",")),1,0)</f>
        <v>0</v>
      </c>
      <c r="BN66" s="11">
        <f>IF(ISNUMBER(SEARCH(",NKG2A,",","&amp;SUBSTITUTE(I66,", ",",")&amp;",")),1,0)</f>
        <v>0</v>
      </c>
      <c r="BO66" s="11">
        <f>IF(ISNUMBER(SEARCH(",NRAS,",","&amp;SUBSTITUTE(I66,", ",",")&amp;",")),1,0)</f>
        <v>0</v>
      </c>
      <c r="BP66" s="11">
        <f>IF(ISNUMBER(SEARCH(",NTRK,",","&amp;SUBSTITUTE(I66,", ",",")&amp;",")),1,0)</f>
        <v>0</v>
      </c>
      <c r="BQ66" s="11">
        <f>IF(ISNUMBER(SEARCH(",PARP,",","&amp;SUBSTITUTE(I66,", ",",")&amp;",")),1,0)</f>
        <v>0</v>
      </c>
      <c r="BR66" s="11">
        <f>IF(ISNUMBER(SEARCH(",PD-1,",","&amp;SUBSTITUTE(I66,", ",",")&amp;",")),1,0)</f>
        <v>1</v>
      </c>
      <c r="BS66" s="11">
        <f>IF(ISNUMBER(SEARCH(",PD-L1,",","&amp;SUBSTITUTE(I66,", ",",")&amp;",")),1,0)</f>
        <v>0</v>
      </c>
      <c r="BT66" s="11">
        <f>IF(ISNUMBER(SEARCH(",PRMT5,",","&amp;SUBSTITUTE(I66,", ",",")&amp;",")),1,0)</f>
        <v>0</v>
      </c>
      <c r="BU66" s="11">
        <f>IF(ISNUMBER(SEARCH(",RAS,",","&amp;SUBSTITUTE(I66,", ",",")&amp;",")),1,0)</f>
        <v>0</v>
      </c>
      <c r="BV66" s="11">
        <f>IF(ISNUMBER(SEARCH(",RET,",","&amp;SUBSTITUTE(I66,", ",",")&amp;",")),1,0)</f>
        <v>0</v>
      </c>
      <c r="BW66" s="11">
        <f>IF(ISNUMBER(SEARCH(",ROS,",","&amp;SUBSTITUTE(I66,", ",",")&amp;",")),1,0)</f>
        <v>0</v>
      </c>
      <c r="BX66" s="11">
        <f>IF(ISNUMBER(SEARCH(",ROS1,",","&amp;SUBSTITUTE(I66,", ",",")&amp;",")),1,0)</f>
        <v>0</v>
      </c>
      <c r="BY66" s="11">
        <f>IF(ISNUMBER(SEARCH(",Src,",","&amp;SUBSTITUTE(I66,", ",",")&amp;",")),1,0)</f>
        <v>0</v>
      </c>
      <c r="BZ66" s="11">
        <f>IF(ISNUMBER(SEARCH(",TCGF,",","&amp;SUBSTITUTE(I66,", ",",")&amp;",")),1,0)</f>
        <v>0</v>
      </c>
      <c r="CA66" s="11">
        <f>IF(ISNUMBER(SEARCH(",TGF-β,",","&amp;SUBSTITUTE(I66,", ",",")&amp;",")),1,0)</f>
        <v>0</v>
      </c>
      <c r="CB66" s="11">
        <f>IF(ISNUMBER(SEARCH(",TGF-β1,",","&amp;SUBSTITUTE(I66,", ",",")&amp;",")),1,0)</f>
        <v>0</v>
      </c>
      <c r="CC66" s="11">
        <f>IF(ISNUMBER(SEARCH(",TIGIT,",","&amp;SUBSTITUTE(I66,", ",",")&amp;",")),1,0)</f>
        <v>0</v>
      </c>
      <c r="CD66" s="11">
        <f>IF(ISNUMBER(SEARCH(",TLR,",","&amp;SUBSTITUTE(I66,", ",",")&amp;",")),1,0)</f>
        <v>0</v>
      </c>
      <c r="CE66" s="11">
        <f>IF(ISNUMBER(SEARCH(",TLR7/8,",","&amp;SUBSTITUTE(I66,", ",",")&amp;",")),1,0)</f>
        <v>0</v>
      </c>
      <c r="CF66" s="11">
        <f>IF(ISNUMBER(SEARCH(",TRK,",","&amp;SUBSTITUTE(I66,", ",",")&amp;",")),1,0)</f>
        <v>0</v>
      </c>
      <c r="CG66" s="11">
        <f>IF(ISNUMBER(SEARCH(",TROP2,",","&amp;SUBSTITUTE(I66,", ",",")&amp;",")),1,0)</f>
        <v>0</v>
      </c>
      <c r="CH66" s="11">
        <f>IF(ISNUMBER(SEARCH(",TS,",","&amp;SUBSTITUTE(I66,", ",",")&amp;",")),1,0)</f>
        <v>0</v>
      </c>
      <c r="CI66" s="11">
        <f>IF(ISNUMBER(SEARCH(",TYMS,",","&amp;SUBSTITUTE(I66,", ",",")&amp;",")),1,0)</f>
        <v>0</v>
      </c>
      <c r="CJ66" s="11">
        <f>IF(ISNUMBER(SEARCH(",VEGF,",","&amp;SUBSTITUTE(I66,", ",",")&amp;",")),1,0)</f>
        <v>0</v>
      </c>
      <c r="CK66" s="11">
        <f>IF(ISNUMBER(SEARCH(",VEGFA,",","&amp;SUBSTITUTE(I66,", ",",")&amp;",")),1,0)</f>
        <v>0</v>
      </c>
      <c r="CL66" s="11">
        <f>IF(ISNUMBER(SEARCH(",VEGFR2,",","&amp;SUBSTITUTE(I66,", ",",")&amp;",")),1,0)</f>
        <v>0</v>
      </c>
      <c r="CM66" s="11">
        <f>IF(ISNUMBER(SEARCH(",c-MET/MET,",","&amp;SUBSTITUTE(I66,", ",",")&amp;",")),1,0)</f>
        <v>0</v>
      </c>
      <c r="CN66" s="11">
        <f>IF(ISNUMBER(SEARCH(",p53,",","&amp;SUBSTITUTE(I66,", ",",")&amp;",")),1,0)</f>
        <v>0</v>
      </c>
      <c r="CO66" s="11">
        <f>IF(ISNUMBER(SEARCH(",pan-KRAS,",","&amp;SUBSTITUTE(I66,", ",",")&amp;",")),1,0)</f>
        <v>0</v>
      </c>
      <c r="CP66" s="11">
        <f>IF(ISNUMBER(SEARCH(",ALK,",","&amp;SUBSTITUTE(K66,", ",",")&amp;",")),1,0)</f>
        <v>0</v>
      </c>
      <c r="CQ66" s="11">
        <f>IF(ISNUMBER(SEARCH(",BRAF V600E,",","&amp;SUBSTITUTE(K66,", ",",")&amp;",")),1,0)</f>
        <v>0</v>
      </c>
      <c r="CR66" s="11">
        <f>IF(ISNUMBER(SEARCH(",EGFR,",","&amp;SUBSTITUTE(K66,", ",",")&amp;",")),1,0)</f>
        <v>0</v>
      </c>
      <c r="CS66" s="11">
        <f>IF(ISNUMBER(SEARCH(",EGFR Exon 18,",","&amp;SUBSTITUTE(K66,", ",",")&amp;",")),1,0)</f>
        <v>0</v>
      </c>
      <c r="CT66" s="11">
        <f>IF(ISNUMBER(SEARCH(",EGFR Exon 19-del,",","&amp;SUBSTITUTE(K66,", ",",")&amp;",")),1,0)</f>
        <v>0</v>
      </c>
      <c r="CU66" s="11">
        <f>IF(ISNUMBER(SEARCH(",EGFR Exon 20,",","&amp;SUBSTITUTE(K66,", ",",")&amp;",")),1,0)</f>
        <v>0</v>
      </c>
      <c r="CV66" s="11">
        <f>IF(ISNUMBER(SEARCH(",EGFR Exon 20-ins,",","&amp;SUBSTITUTE(K66,", ",",")&amp;",")),1,0)</f>
        <v>0</v>
      </c>
      <c r="CW66" s="11">
        <f>IF(ISNUMBER(SEARCH(",EGFR Exon 21,",","&amp;SUBSTITUTE(K66,", ",",")&amp;",")),1,0)</f>
        <v>0</v>
      </c>
      <c r="CX66" s="11">
        <f>IF(ISNUMBER(SEARCH(",EGFR G719A,",","&amp;SUBSTITUTE(K66,", ",",")&amp;",")),1,0)</f>
        <v>0</v>
      </c>
      <c r="CY66" s="11">
        <f>IF(ISNUMBER(SEARCH(",EGFR G719C,",","&amp;SUBSTITUTE(K66,", ",",")&amp;",")),1,0)</f>
        <v>0</v>
      </c>
      <c r="CZ66" s="11">
        <f>IF(ISNUMBER(SEARCH(",EGFR G719S,",","&amp;SUBSTITUTE(K66,", ",",")&amp;",")),1,0)</f>
        <v>0</v>
      </c>
      <c r="DA66" s="11">
        <f>IF(ISNUMBER(SEARCH(",EGFR G719X,",","&amp;SUBSTITUTE(K66,", ",",")&amp;",")),1,0)</f>
        <v>0</v>
      </c>
      <c r="DB66" s="11">
        <f>IF(ISNUMBER(SEARCH(",EGFR L858R,",","&amp;SUBSTITUTE(K66,", ",",")&amp;",")),1,0)</f>
        <v>0</v>
      </c>
      <c r="DC66" s="11">
        <f>IF(ISNUMBER(SEARCH(",EGFR L861Q,",","&amp;SUBSTITUTE(K66,", ",",")&amp;",")),1,0)</f>
        <v>0</v>
      </c>
      <c r="DD66" s="11">
        <f>IF(ISNUMBER(SEARCH(",EGFR PACC,",","&amp;SUBSTITUTE(K66,", ",",")&amp;",")),1,0)</f>
        <v>0</v>
      </c>
      <c r="DE66" s="11">
        <f>IF(ISNUMBER(SEARCH(",EGFR S768I,",","&amp;SUBSTITUTE(K66,", ",",")&amp;",")),1,0)</f>
        <v>0</v>
      </c>
      <c r="DF66" s="11">
        <f>IF(ISNUMBER(SEARCH(",EGFR T790M,",","&amp;SUBSTITUTE(K66,", ",",")&amp;",")),1,0)</f>
        <v>0</v>
      </c>
      <c r="DG66" s="11">
        <f>IF(ISNUMBER(SEARCH(",EML4-ALK,",","&amp;SUBSTITUTE(K66,", ",",")&amp;",")),1,0)</f>
        <v>0</v>
      </c>
      <c r="DH66" s="11">
        <f>IF(ISNUMBER(SEARCH(",HER2,",","&amp;SUBSTITUTE(K66,", ",",")&amp;",")),1,0)</f>
        <v>0</v>
      </c>
      <c r="DI66" s="11">
        <f>IF(ISNUMBER(SEARCH(",HER2 Exon 19,",","&amp;SUBSTITUTE(K66,", ",",")&amp;",")),1,0)</f>
        <v>0</v>
      </c>
      <c r="DJ66" s="11">
        <f>IF(ISNUMBER(SEARCH(",HER2 Exon 20,",","&amp;SUBSTITUTE(K66,", ",",")&amp;",")),1,0)</f>
        <v>0</v>
      </c>
      <c r="DK66" s="11">
        <f>IF(ISNUMBER(SEARCH(",HER2 mut,",","&amp;SUBSTITUTE(K66,", ",",")&amp;",")),1,0)</f>
        <v>0</v>
      </c>
      <c r="DL66" s="11">
        <f>IF(ISNUMBER(SEARCH(",HLA-A2,",","&amp;SUBSTITUTE(K66,", ",",")&amp;",")),1,0)</f>
        <v>0</v>
      </c>
      <c r="DM66" s="11">
        <f>IF(ISNUMBER(SEARCH(",HRAS,",","&amp;SUBSTITUTE(K66,", ",",")&amp;",")),1,0)</f>
        <v>0</v>
      </c>
      <c r="DN66" s="11">
        <f>IF(ISNUMBER(SEARCH(",KRAS,",","&amp;SUBSTITUTE(K66,", ",",")&amp;",")),1,0)</f>
        <v>0</v>
      </c>
      <c r="DO66" s="11">
        <f>IF(ISNUMBER(SEARCH(",KRAS G12C,",","&amp;SUBSTITUTE(K66,", ",",")&amp;",")),1,0)</f>
        <v>0</v>
      </c>
      <c r="DP66" s="11">
        <f>IF(ISNUMBER(SEARCH(",NRAS,",","&amp;SUBSTITUTE(K66,", ",",")&amp;",")),1,0)</f>
        <v>0</v>
      </c>
      <c r="DQ66" s="11">
        <f>IF(ISNUMBER(SEARCH(",NTRK,",","&amp;SUBSTITUTE(K66,", ",",")&amp;",")),1,0)</f>
        <v>0</v>
      </c>
      <c r="DR66" s="11">
        <f>IF(ISNUMBER(SEARCH(",PD-L1,",","&amp;SUBSTITUTE(K66,", ",",")&amp;",")),1,0)</f>
        <v>0</v>
      </c>
      <c r="DS66" s="11">
        <f>IF(ISNUMBER(SEARCH(",PD-L1 IC ≥ 1%,",","&amp;SUBSTITUTE(K66,", ",",")&amp;",")),1,0)</f>
        <v>0</v>
      </c>
      <c r="DT66" s="11">
        <f>IF(ISNUMBER(SEARCH(",PD-L1 TC ≥ 1%,",","&amp;SUBSTITUTE(K66,", ",",")&amp;",")),1,0)</f>
        <v>0</v>
      </c>
      <c r="DU66" s="11">
        <f>IF(ISNUMBER(SEARCH(",PD-L1 TC ≥ 50%,",","&amp;SUBSTITUTE(K66,", ",",")&amp;",")),1,0)</f>
        <v>0</v>
      </c>
      <c r="DV66" s="11">
        <f>IF(ISNUMBER(SEARCH(",PD-L1 TPS &lt; 50%,",","&amp;SUBSTITUTE(K66,", ",",")&amp;",")),1,0)</f>
        <v>0</v>
      </c>
      <c r="DW66" s="11">
        <f>IF(ISNUMBER(SEARCH(",PD-L1 TPS ≥ 1%,",","&amp;SUBSTITUTE(K66,", ",",")&amp;",")),1,0)</f>
        <v>0</v>
      </c>
      <c r="DX66" s="11">
        <f>IF(ISNUMBER(SEARCH(",PD-L1 TPS ≥ 50%,",","&amp;SUBSTITUTE(K66,", ",",")&amp;",")),1,0)</f>
        <v>1</v>
      </c>
      <c r="DY66" s="11">
        <f>IF(ISNUMBER(SEARCH(",RAS,",","&amp;SUBSTITUTE(K66,", ",",")&amp;",")),1,0)</f>
        <v>0</v>
      </c>
      <c r="DZ66" s="11">
        <f>IF(ISNUMBER(SEARCH(",RET,",","&amp;SUBSTITUTE(K66,", ",",")&amp;",")),1,0)</f>
        <v>0</v>
      </c>
      <c r="EA66" s="11">
        <f>IF(ISNUMBER(SEARCH(",ROS1,",","&amp;SUBSTITUTE(K66,", ",",")&amp;",")),1,0)</f>
        <v>0</v>
      </c>
      <c r="EB66" s="11">
        <f>IF(ISNUMBER(SEARCH(",TROP2,",","&amp;SUBSTITUTE(K66,", ",",")&amp;",")),1,0)</f>
        <v>0</v>
      </c>
      <c r="EC66" s="11">
        <f>IF(ISNUMBER(SEARCH(",c-MET/MET,",","&amp;SUBSTITUTE(K66,", ",",")&amp;",")),1,0)</f>
        <v>0</v>
      </c>
      <c r="ED66" s="11">
        <f>IF(ISNUMBER(SEARCH(",c-MET/MET Exon 14,",","&amp;SUBSTITUTE(K66,", ",",")&amp;",")),1,0)</f>
        <v>0</v>
      </c>
      <c r="EE66" s="11">
        <f>IF(ISNUMBER(SEARCH(",ctDNA/cfDNA,",","&amp;SUBSTITUTE(K66,", ",",")&amp;",")),1,0)</f>
        <v>0</v>
      </c>
    </row>
    <row r="67" spans="1:135" ht="15" customHeight="1" x14ac:dyDescent="0.2">
      <c r="A67" s="5" t="s">
        <v>1104</v>
      </c>
      <c r="B67" s="5" t="s">
        <v>1106</v>
      </c>
      <c r="C67" s="5" t="s">
        <v>235</v>
      </c>
      <c r="D67" s="5" t="s">
        <v>235</v>
      </c>
      <c r="E67" s="5"/>
      <c r="F67" s="5" t="s">
        <v>259</v>
      </c>
      <c r="G67" s="5"/>
      <c r="H67" s="5" t="s">
        <v>114</v>
      </c>
      <c r="I67" s="5" t="s">
        <v>1345</v>
      </c>
      <c r="J67" s="5" t="s">
        <v>1109</v>
      </c>
      <c r="K67" s="5"/>
      <c r="L67" s="5" t="s">
        <v>119</v>
      </c>
      <c r="M67" s="5" t="s">
        <v>113</v>
      </c>
      <c r="N67" s="5" t="s">
        <v>119</v>
      </c>
      <c r="O67" s="5" t="s">
        <v>120</v>
      </c>
      <c r="P67" s="5" t="s">
        <v>1344</v>
      </c>
      <c r="Q67" s="10" t="str">
        <f>IF(F67="Stage IV","Stage IV Only",IF(AND(ISNUMBER(SEARCH("IV",F67)),LEN(F67)&gt;LEN("Stage IV")),"Stage IV + Other",IF(AND(ISNUMBER(SEARCH("III",F67)),NOT(ISNUMBER(SEARCH("IV",F67)))),"Stage III Only","Other")))</f>
        <v>Stage IV Only</v>
      </c>
      <c r="R67" s="10" t="str">
        <f>IF(AND(ISNUMBER(SEARCH("Non-squamous",G67)),ISNUMBER(SEARCH("Squamous",SUBSTITUTE(G67,"Non-squamous","")))),"Both",IF(ISNUMBER(SEARCH("Non-squamous",G67)),"Non-squamous",IF(ISNUMBER(SEARCH("Squamous",G67)),"Squamous","Unspecified")))</f>
        <v>Unspecified</v>
      </c>
      <c r="S67" s="10" t="str">
        <f>IF(OR(ISNUMBER(SEARCH("TPS ≥ 50%",K67)),ISNUMBER(SEARCH("TC ≥ 50%",K67))),"TPS ≥ 50%",IF(OR(ISNUMBER(SEARCH("TPS ≥ 1%",K67)),ISNUMBER(SEARCH("TC ≥ 1%",K67)),ISNUMBER(SEARCH("TPS &lt; 50%",K67)),ISNUMBER(SEARCH("IC ≥ 1%",K67))),"TPS 1-49%","All-comers"))</f>
        <v>All-comers</v>
      </c>
      <c r="T67" s="10">
        <f>IF(H67="Phase III",1,0)</f>
        <v>1</v>
      </c>
      <c r="U67" s="10">
        <f>IF(L67="Yes",1,0)</f>
        <v>0</v>
      </c>
      <c r="V67" s="11">
        <f>IF(ISNUMBER(SEARCH(",ALK,",","&amp;SUBSTITUTE(I67,", ",",")&amp;",")),1,0)</f>
        <v>0</v>
      </c>
      <c r="W67" s="11">
        <f>IF(ISNUMBER(SEARCH(",ALK L1196M,",","&amp;SUBSTITUTE(I67,", ",",")&amp;",")),1,0)</f>
        <v>0</v>
      </c>
      <c r="X67" s="11">
        <f>IF(ISNUMBER(SEARCH(",AXL,",","&amp;SUBSTITUTE(I67,", ",",")&amp;",")),1,0)</f>
        <v>0</v>
      </c>
      <c r="Y67" s="11">
        <f>IF(ISNUMBER(SEARCH(",B7-H1,",","&amp;SUBSTITUTE(I67,", ",",")&amp;",")),1,0)</f>
        <v>0</v>
      </c>
      <c r="Z67" s="11">
        <f>IF(ISNUMBER(SEARCH(",CD152,",","&amp;SUBSTITUTE(I67,", ",",")&amp;",")),1,0)</f>
        <v>0</v>
      </c>
      <c r="AA67" s="11">
        <f>IF(ISNUMBER(SEARCH(",CD274,",","&amp;SUBSTITUTE(I67,", ",",")&amp;",")),1,0)</f>
        <v>0</v>
      </c>
      <c r="AB67" s="11">
        <f>IF(ISNUMBER(SEARCH(",CD279,",","&amp;SUBSTITUTE(I67,", ",",")&amp;",")),1,0)</f>
        <v>0</v>
      </c>
      <c r="AC67" s="11">
        <f>IF(ISNUMBER(SEARCH(",CD73,",","&amp;SUBSTITUTE(I67,", ",",")&amp;",")),1,0)</f>
        <v>0</v>
      </c>
      <c r="AD67" s="11">
        <f>IF(ISNUMBER(SEARCH(",CEA,",","&amp;SUBSTITUTE(I67,", ",",")&amp;",")),1,0)</f>
        <v>0</v>
      </c>
      <c r="AE67" s="11">
        <f>IF(ISNUMBER(SEARCH(",CTLA-4,",","&amp;SUBSTITUTE(I67,", ",",")&amp;",")),1,0)</f>
        <v>0</v>
      </c>
      <c r="AF67" s="11">
        <f>IF(ISNUMBER(SEARCH(",EGFR,",","&amp;SUBSTITUTE(I67,", ",",")&amp;",")),1,0)</f>
        <v>0</v>
      </c>
      <c r="AG67" s="11">
        <f>IF(ISNUMBER(SEARCH(",EGFR C797G,",","&amp;SUBSTITUTE(I67,", ",",")&amp;",")),1,0)</f>
        <v>0</v>
      </c>
      <c r="AH67" s="11">
        <f>IF(ISNUMBER(SEARCH(",EGFR C797S,",","&amp;SUBSTITUTE(I67,", ",",")&amp;",")),1,0)</f>
        <v>0</v>
      </c>
      <c r="AI67" s="11">
        <f>IF(ISNUMBER(SEARCH(",EGFR Exon 19-del,",","&amp;SUBSTITUTE(I67,", ",",")&amp;",")),1,0)</f>
        <v>0</v>
      </c>
      <c r="AJ67" s="11">
        <f>IF(ISNUMBER(SEARCH(",EGFR Exon 20,",","&amp;SUBSTITUTE(I67,", ",",")&amp;",")),1,0)</f>
        <v>0</v>
      </c>
      <c r="AK67" s="11">
        <f>IF(ISNUMBER(SEARCH(",EGFR L858R,",","&amp;SUBSTITUTE(I67,", ",",")&amp;",")),1,0)</f>
        <v>0</v>
      </c>
      <c r="AL67" s="11">
        <f>IF(ISNUMBER(SEARCH(",EGFR T790M,",","&amp;SUBSTITUTE(I67,", ",",")&amp;",")),1,0)</f>
        <v>0</v>
      </c>
      <c r="AM67" s="11">
        <f>IF(ISNUMBER(SEARCH(",ERBB,",","&amp;SUBSTITUTE(I67,", ",",")&amp;",")),1,0)</f>
        <v>0</v>
      </c>
      <c r="AN67" s="11">
        <f>IF(ISNUMBER(SEARCH(",ERBB3,",","&amp;SUBSTITUTE(I67,", ",",")&amp;",")),1,0)</f>
        <v>0</v>
      </c>
      <c r="AO67" s="11">
        <f>IF(ISNUMBER(SEARCH(",FAK,",","&amp;SUBSTITUTE(I67,", ",",")&amp;",")),1,0)</f>
        <v>0</v>
      </c>
      <c r="AP67" s="11">
        <f>IF(ISNUMBER(SEARCH(",GARP,",","&amp;SUBSTITUTE(I67,", ",",")&amp;",")),1,0)</f>
        <v>0</v>
      </c>
      <c r="AQ67" s="11">
        <f>IF(ISNUMBER(SEARCH(",HER1,",","&amp;SUBSTITUTE(I67,", ",",")&amp;",")),1,0)</f>
        <v>0</v>
      </c>
      <c r="AR67" s="11">
        <f>IF(ISNUMBER(SEARCH(",HER2,",","&amp;SUBSTITUTE(I67,", ",",")&amp;",")),1,0)</f>
        <v>0</v>
      </c>
      <c r="AS67" s="11">
        <f>IF(ISNUMBER(SEARCH(",HER2 Exon 20,",","&amp;SUBSTITUTE(I67,", ",",")&amp;",")),1,0)</f>
        <v>0</v>
      </c>
      <c r="AT67" s="11">
        <f>IF(ISNUMBER(SEARCH(",HER3,",","&amp;SUBSTITUTE(I67,", ",",")&amp;",")),1,0)</f>
        <v>0</v>
      </c>
      <c r="AU67" s="11">
        <f>IF(ISNUMBER(SEARCH(",HER4,",","&amp;SUBSTITUTE(I67,", ",",")&amp;",")),1,0)</f>
        <v>0</v>
      </c>
      <c r="AV67" s="11">
        <f>IF(ISNUMBER(SEARCH(",HRAS,",","&amp;SUBSTITUTE(I67,", ",",")&amp;",")),1,0)</f>
        <v>0</v>
      </c>
      <c r="AW67" s="11">
        <f>IF(ISNUMBER(SEARCH(",HSV-TK,",","&amp;SUBSTITUTE(I67,", ",",")&amp;",")),1,0)</f>
        <v>0</v>
      </c>
      <c r="AX67" s="11">
        <f>IF(ISNUMBER(SEARCH(",IL-12,",","&amp;SUBSTITUTE(I67,", ",",")&amp;",")),1,0)</f>
        <v>0</v>
      </c>
      <c r="AY67" s="11">
        <f>IF(ISNUMBER(SEARCH(",IL-15,",","&amp;SUBSTITUTE(I67,", ",",")&amp;",")),1,0)</f>
        <v>0</v>
      </c>
      <c r="AZ67" s="11">
        <f>IF(ISNUMBER(SEARCH(",IL-15R,",","&amp;SUBSTITUTE(I67,", ",",")&amp;",")),1,0)</f>
        <v>0</v>
      </c>
      <c r="BA67" s="11">
        <f>IF(ISNUMBER(SEARCH(",IL-2,",","&amp;SUBSTITUTE(I67,", ",",")&amp;",")),1,0)</f>
        <v>0</v>
      </c>
      <c r="BB67" s="11">
        <f>IF(ISNUMBER(SEARCH(",Integrin β6,",","&amp;SUBSTITUTE(I67,", ",",")&amp;",")),1,0)</f>
        <v>1</v>
      </c>
      <c r="BC67" s="11">
        <f>IF(ISNUMBER(SEARCH(",KDR,",","&amp;SUBSTITUTE(I67,", ",",")&amp;",")),1,0)</f>
        <v>0</v>
      </c>
      <c r="BD67" s="11">
        <f>IF(ISNUMBER(SEARCH(",KLRC1,",","&amp;SUBSTITUTE(I67,", ",",")&amp;",")),1,0)</f>
        <v>0</v>
      </c>
      <c r="BE67" s="11">
        <f>IF(ISNUMBER(SEARCH(",KRAS,",","&amp;SUBSTITUTE(I67,", ",",")&amp;",")),1,0)</f>
        <v>0</v>
      </c>
      <c r="BF67" s="11">
        <f>IF(ISNUMBER(SEARCH(",KRAS G12,",","&amp;SUBSTITUTE(I67,", ",",")&amp;",")),1,0)</f>
        <v>0</v>
      </c>
      <c r="BG67" s="11">
        <f>IF(ISNUMBER(SEARCH(",KRAS G12C,",","&amp;SUBSTITUTE(I67,", ",",")&amp;",")),1,0)</f>
        <v>0</v>
      </c>
      <c r="BH67" s="11">
        <f>IF(ISNUMBER(SEARCH(",KRAS G12D,",","&amp;SUBSTITUTE(I67,", ",",")&amp;",")),1,0)</f>
        <v>0</v>
      </c>
      <c r="BI67" s="11">
        <f>IF(ISNUMBER(SEARCH(",LAG-3,",","&amp;SUBSTITUTE(I67,", ",",")&amp;",")),1,0)</f>
        <v>0</v>
      </c>
      <c r="BJ67" s="11">
        <f>IF(ISNUMBER(SEARCH(",MAGE-A2,",","&amp;SUBSTITUTE(I67,", ",",")&amp;",")),1,0)</f>
        <v>0</v>
      </c>
      <c r="BK67" s="11">
        <f>IF(ISNUMBER(SEARCH(",MAGE-A3,",","&amp;SUBSTITUTE(I67,", ",",")&amp;",")),1,0)</f>
        <v>0</v>
      </c>
      <c r="BL67" s="11">
        <f>IF(ISNUMBER(SEARCH(",MLN19,",","&amp;SUBSTITUTE(I67,", ",",")&amp;",")),1,0)</f>
        <v>0</v>
      </c>
      <c r="BM67" s="11">
        <f>IF(ISNUMBER(SEARCH(",Microtubule,",","&amp;SUBSTITUTE(I67,", ",",")&amp;",")),1,0)</f>
        <v>0</v>
      </c>
      <c r="BN67" s="11">
        <f>IF(ISNUMBER(SEARCH(",NKG2A,",","&amp;SUBSTITUTE(I67,", ",",")&amp;",")),1,0)</f>
        <v>0</v>
      </c>
      <c r="BO67" s="11">
        <f>IF(ISNUMBER(SEARCH(",NRAS,",","&amp;SUBSTITUTE(I67,", ",",")&amp;",")),1,0)</f>
        <v>0</v>
      </c>
      <c r="BP67" s="11">
        <f>IF(ISNUMBER(SEARCH(",NTRK,",","&amp;SUBSTITUTE(I67,", ",",")&amp;",")),1,0)</f>
        <v>0</v>
      </c>
      <c r="BQ67" s="11">
        <f>IF(ISNUMBER(SEARCH(",PARP,",","&amp;SUBSTITUTE(I67,", ",",")&amp;",")),1,0)</f>
        <v>0</v>
      </c>
      <c r="BR67" s="11">
        <f>IF(ISNUMBER(SEARCH(",PD-1,",","&amp;SUBSTITUTE(I67,", ",",")&amp;",")),1,0)</f>
        <v>0</v>
      </c>
      <c r="BS67" s="11">
        <f>IF(ISNUMBER(SEARCH(",PD-L1,",","&amp;SUBSTITUTE(I67,", ",",")&amp;",")),1,0)</f>
        <v>0</v>
      </c>
      <c r="BT67" s="11">
        <f>IF(ISNUMBER(SEARCH(",PRMT5,",","&amp;SUBSTITUTE(I67,", ",",")&amp;",")),1,0)</f>
        <v>0</v>
      </c>
      <c r="BU67" s="11">
        <f>IF(ISNUMBER(SEARCH(",RAS,",","&amp;SUBSTITUTE(I67,", ",",")&amp;",")),1,0)</f>
        <v>0</v>
      </c>
      <c r="BV67" s="11">
        <f>IF(ISNUMBER(SEARCH(",RET,",","&amp;SUBSTITUTE(I67,", ",",")&amp;",")),1,0)</f>
        <v>0</v>
      </c>
      <c r="BW67" s="11">
        <f>IF(ISNUMBER(SEARCH(",ROS,",","&amp;SUBSTITUTE(I67,", ",",")&amp;",")),1,0)</f>
        <v>0</v>
      </c>
      <c r="BX67" s="11">
        <f>IF(ISNUMBER(SEARCH(",ROS1,",","&amp;SUBSTITUTE(I67,", ",",")&amp;",")),1,0)</f>
        <v>0</v>
      </c>
      <c r="BY67" s="11">
        <f>IF(ISNUMBER(SEARCH(",Src,",","&amp;SUBSTITUTE(I67,", ",",")&amp;",")),1,0)</f>
        <v>0</v>
      </c>
      <c r="BZ67" s="11">
        <f>IF(ISNUMBER(SEARCH(",TCGF,",","&amp;SUBSTITUTE(I67,", ",",")&amp;",")),1,0)</f>
        <v>0</v>
      </c>
      <c r="CA67" s="11">
        <f>IF(ISNUMBER(SEARCH(",TGF-β,",","&amp;SUBSTITUTE(I67,", ",",")&amp;",")),1,0)</f>
        <v>0</v>
      </c>
      <c r="CB67" s="11">
        <f>IF(ISNUMBER(SEARCH(",TGF-β1,",","&amp;SUBSTITUTE(I67,", ",",")&amp;",")),1,0)</f>
        <v>0</v>
      </c>
      <c r="CC67" s="11">
        <f>IF(ISNUMBER(SEARCH(",TIGIT,",","&amp;SUBSTITUTE(I67,", ",",")&amp;",")),1,0)</f>
        <v>0</v>
      </c>
      <c r="CD67" s="11">
        <f>IF(ISNUMBER(SEARCH(",TLR,",","&amp;SUBSTITUTE(I67,", ",",")&amp;",")),1,0)</f>
        <v>0</v>
      </c>
      <c r="CE67" s="11">
        <f>IF(ISNUMBER(SEARCH(",TLR7/8,",","&amp;SUBSTITUTE(I67,", ",",")&amp;",")),1,0)</f>
        <v>0</v>
      </c>
      <c r="CF67" s="11">
        <f>IF(ISNUMBER(SEARCH(",TRK,",","&amp;SUBSTITUTE(I67,", ",",")&amp;",")),1,0)</f>
        <v>0</v>
      </c>
      <c r="CG67" s="11">
        <f>IF(ISNUMBER(SEARCH(",TROP2,",","&amp;SUBSTITUTE(I67,", ",",")&amp;",")),1,0)</f>
        <v>0</v>
      </c>
      <c r="CH67" s="11">
        <f>IF(ISNUMBER(SEARCH(",TS,",","&amp;SUBSTITUTE(I67,", ",",")&amp;",")),1,0)</f>
        <v>0</v>
      </c>
      <c r="CI67" s="11">
        <f>IF(ISNUMBER(SEARCH(",TYMS,",","&amp;SUBSTITUTE(I67,", ",",")&amp;",")),1,0)</f>
        <v>0</v>
      </c>
      <c r="CJ67" s="11">
        <f>IF(ISNUMBER(SEARCH(",VEGF,",","&amp;SUBSTITUTE(I67,", ",",")&amp;",")),1,0)</f>
        <v>0</v>
      </c>
      <c r="CK67" s="11">
        <f>IF(ISNUMBER(SEARCH(",VEGFA,",","&amp;SUBSTITUTE(I67,", ",",")&amp;",")),1,0)</f>
        <v>0</v>
      </c>
      <c r="CL67" s="11">
        <f>IF(ISNUMBER(SEARCH(",VEGFR2,",","&amp;SUBSTITUTE(I67,", ",",")&amp;",")),1,0)</f>
        <v>0</v>
      </c>
      <c r="CM67" s="11">
        <f>IF(ISNUMBER(SEARCH(",c-MET/MET,",","&amp;SUBSTITUTE(I67,", ",",")&amp;",")),1,0)</f>
        <v>0</v>
      </c>
      <c r="CN67" s="11">
        <f>IF(ISNUMBER(SEARCH(",p53,",","&amp;SUBSTITUTE(I67,", ",",")&amp;",")),1,0)</f>
        <v>0</v>
      </c>
      <c r="CO67" s="11">
        <f>IF(ISNUMBER(SEARCH(",pan-KRAS,",","&amp;SUBSTITUTE(I67,", ",",")&amp;",")),1,0)</f>
        <v>0</v>
      </c>
      <c r="CP67" s="11">
        <f>IF(ISNUMBER(SEARCH(",ALK,",","&amp;SUBSTITUTE(K67,", ",",")&amp;",")),1,0)</f>
        <v>0</v>
      </c>
      <c r="CQ67" s="11">
        <f>IF(ISNUMBER(SEARCH(",BRAF V600E,",","&amp;SUBSTITUTE(K67,", ",",")&amp;",")),1,0)</f>
        <v>0</v>
      </c>
      <c r="CR67" s="11">
        <f>IF(ISNUMBER(SEARCH(",EGFR,",","&amp;SUBSTITUTE(K67,", ",",")&amp;",")),1,0)</f>
        <v>0</v>
      </c>
      <c r="CS67" s="11">
        <f>IF(ISNUMBER(SEARCH(",EGFR Exon 18,",","&amp;SUBSTITUTE(K67,", ",",")&amp;",")),1,0)</f>
        <v>0</v>
      </c>
      <c r="CT67" s="11">
        <f>IF(ISNUMBER(SEARCH(",EGFR Exon 19-del,",","&amp;SUBSTITUTE(K67,", ",",")&amp;",")),1,0)</f>
        <v>0</v>
      </c>
      <c r="CU67" s="11">
        <f>IF(ISNUMBER(SEARCH(",EGFR Exon 20,",","&amp;SUBSTITUTE(K67,", ",",")&amp;",")),1,0)</f>
        <v>0</v>
      </c>
      <c r="CV67" s="11">
        <f>IF(ISNUMBER(SEARCH(",EGFR Exon 20-ins,",","&amp;SUBSTITUTE(K67,", ",",")&amp;",")),1,0)</f>
        <v>0</v>
      </c>
      <c r="CW67" s="11">
        <f>IF(ISNUMBER(SEARCH(",EGFR Exon 21,",","&amp;SUBSTITUTE(K67,", ",",")&amp;",")),1,0)</f>
        <v>0</v>
      </c>
      <c r="CX67" s="11">
        <f>IF(ISNUMBER(SEARCH(",EGFR G719A,",","&amp;SUBSTITUTE(K67,", ",",")&amp;",")),1,0)</f>
        <v>0</v>
      </c>
      <c r="CY67" s="11">
        <f>IF(ISNUMBER(SEARCH(",EGFR G719C,",","&amp;SUBSTITUTE(K67,", ",",")&amp;",")),1,0)</f>
        <v>0</v>
      </c>
      <c r="CZ67" s="11">
        <f>IF(ISNUMBER(SEARCH(",EGFR G719S,",","&amp;SUBSTITUTE(K67,", ",",")&amp;",")),1,0)</f>
        <v>0</v>
      </c>
      <c r="DA67" s="11">
        <f>IF(ISNUMBER(SEARCH(",EGFR G719X,",","&amp;SUBSTITUTE(K67,", ",",")&amp;",")),1,0)</f>
        <v>0</v>
      </c>
      <c r="DB67" s="11">
        <f>IF(ISNUMBER(SEARCH(",EGFR L858R,",","&amp;SUBSTITUTE(K67,", ",",")&amp;",")),1,0)</f>
        <v>0</v>
      </c>
      <c r="DC67" s="11">
        <f>IF(ISNUMBER(SEARCH(",EGFR L861Q,",","&amp;SUBSTITUTE(K67,", ",",")&amp;",")),1,0)</f>
        <v>0</v>
      </c>
      <c r="DD67" s="11">
        <f>IF(ISNUMBER(SEARCH(",EGFR PACC,",","&amp;SUBSTITUTE(K67,", ",",")&amp;",")),1,0)</f>
        <v>0</v>
      </c>
      <c r="DE67" s="11">
        <f>IF(ISNUMBER(SEARCH(",EGFR S768I,",","&amp;SUBSTITUTE(K67,", ",",")&amp;",")),1,0)</f>
        <v>0</v>
      </c>
      <c r="DF67" s="11">
        <f>IF(ISNUMBER(SEARCH(",EGFR T790M,",","&amp;SUBSTITUTE(K67,", ",",")&amp;",")),1,0)</f>
        <v>0</v>
      </c>
      <c r="DG67" s="11">
        <f>IF(ISNUMBER(SEARCH(",EML4-ALK,",","&amp;SUBSTITUTE(K67,", ",",")&amp;",")),1,0)</f>
        <v>0</v>
      </c>
      <c r="DH67" s="11">
        <f>IF(ISNUMBER(SEARCH(",HER2,",","&amp;SUBSTITUTE(K67,", ",",")&amp;",")),1,0)</f>
        <v>0</v>
      </c>
      <c r="DI67" s="11">
        <f>IF(ISNUMBER(SEARCH(",HER2 Exon 19,",","&amp;SUBSTITUTE(K67,", ",",")&amp;",")),1,0)</f>
        <v>0</v>
      </c>
      <c r="DJ67" s="11">
        <f>IF(ISNUMBER(SEARCH(",HER2 Exon 20,",","&amp;SUBSTITUTE(K67,", ",",")&amp;",")),1,0)</f>
        <v>0</v>
      </c>
      <c r="DK67" s="11">
        <f>IF(ISNUMBER(SEARCH(",HER2 mut,",","&amp;SUBSTITUTE(K67,", ",",")&amp;",")),1,0)</f>
        <v>0</v>
      </c>
      <c r="DL67" s="11">
        <f>IF(ISNUMBER(SEARCH(",HLA-A2,",","&amp;SUBSTITUTE(K67,", ",",")&amp;",")),1,0)</f>
        <v>0</v>
      </c>
      <c r="DM67" s="11">
        <f>IF(ISNUMBER(SEARCH(",HRAS,",","&amp;SUBSTITUTE(K67,", ",",")&amp;",")),1,0)</f>
        <v>0</v>
      </c>
      <c r="DN67" s="11">
        <f>IF(ISNUMBER(SEARCH(",KRAS,",","&amp;SUBSTITUTE(K67,", ",",")&amp;",")),1,0)</f>
        <v>0</v>
      </c>
      <c r="DO67" s="11">
        <f>IF(ISNUMBER(SEARCH(",KRAS G12C,",","&amp;SUBSTITUTE(K67,", ",",")&amp;",")),1,0)</f>
        <v>0</v>
      </c>
      <c r="DP67" s="11">
        <f>IF(ISNUMBER(SEARCH(",NRAS,",","&amp;SUBSTITUTE(K67,", ",",")&amp;",")),1,0)</f>
        <v>0</v>
      </c>
      <c r="DQ67" s="11">
        <f>IF(ISNUMBER(SEARCH(",NTRK,",","&amp;SUBSTITUTE(K67,", ",",")&amp;",")),1,0)</f>
        <v>0</v>
      </c>
      <c r="DR67" s="11">
        <f>IF(ISNUMBER(SEARCH(",PD-L1,",","&amp;SUBSTITUTE(K67,", ",",")&amp;",")),1,0)</f>
        <v>0</v>
      </c>
      <c r="DS67" s="11">
        <f>IF(ISNUMBER(SEARCH(",PD-L1 IC ≥ 1%,",","&amp;SUBSTITUTE(K67,", ",",")&amp;",")),1,0)</f>
        <v>0</v>
      </c>
      <c r="DT67" s="11">
        <f>IF(ISNUMBER(SEARCH(",PD-L1 TC ≥ 1%,",","&amp;SUBSTITUTE(K67,", ",",")&amp;",")),1,0)</f>
        <v>0</v>
      </c>
      <c r="DU67" s="11">
        <f>IF(ISNUMBER(SEARCH(",PD-L1 TC ≥ 50%,",","&amp;SUBSTITUTE(K67,", ",",")&amp;",")),1,0)</f>
        <v>0</v>
      </c>
      <c r="DV67" s="11">
        <f>IF(ISNUMBER(SEARCH(",PD-L1 TPS &lt; 50%,",","&amp;SUBSTITUTE(K67,", ",",")&amp;",")),1,0)</f>
        <v>0</v>
      </c>
      <c r="DW67" s="11">
        <f>IF(ISNUMBER(SEARCH(",PD-L1 TPS ≥ 1%,",","&amp;SUBSTITUTE(K67,", ",",")&amp;",")),1,0)</f>
        <v>0</v>
      </c>
      <c r="DX67" s="11">
        <f>IF(ISNUMBER(SEARCH(",PD-L1 TPS ≥ 50%,",","&amp;SUBSTITUTE(K67,", ",",")&amp;",")),1,0)</f>
        <v>0</v>
      </c>
      <c r="DY67" s="11">
        <f>IF(ISNUMBER(SEARCH(",RAS,",","&amp;SUBSTITUTE(K67,", ",",")&amp;",")),1,0)</f>
        <v>0</v>
      </c>
      <c r="DZ67" s="11">
        <f>IF(ISNUMBER(SEARCH(",RET,",","&amp;SUBSTITUTE(K67,", ",",")&amp;",")),1,0)</f>
        <v>0</v>
      </c>
      <c r="EA67" s="11">
        <f>IF(ISNUMBER(SEARCH(",ROS1,",","&amp;SUBSTITUTE(K67,", ",",")&amp;",")),1,0)</f>
        <v>0</v>
      </c>
      <c r="EB67" s="11">
        <f>IF(ISNUMBER(SEARCH(",TROP2,",","&amp;SUBSTITUTE(K67,", ",",")&amp;",")),1,0)</f>
        <v>0</v>
      </c>
      <c r="EC67" s="11">
        <f>IF(ISNUMBER(SEARCH(",c-MET/MET,",","&amp;SUBSTITUTE(K67,", ",",")&amp;",")),1,0)</f>
        <v>0</v>
      </c>
      <c r="ED67" s="11">
        <f>IF(ISNUMBER(SEARCH(",c-MET/MET Exon 14,",","&amp;SUBSTITUTE(K67,", ",",")&amp;",")),1,0)</f>
        <v>0</v>
      </c>
      <c r="EE67" s="11">
        <f>IF(ISNUMBER(SEARCH(",ctDNA/cfDNA,",","&amp;SUBSTITUTE(K67,", ",",")&amp;",")),1,0)</f>
        <v>0</v>
      </c>
    </row>
    <row r="68" spans="1:135" ht="15" customHeight="1" x14ac:dyDescent="0.2">
      <c r="A68" s="5" t="s">
        <v>1307</v>
      </c>
      <c r="B68" s="5" t="s">
        <v>1308</v>
      </c>
      <c r="C68" s="5" t="s">
        <v>1309</v>
      </c>
      <c r="D68" s="5" t="s">
        <v>1309</v>
      </c>
      <c r="E68" s="5"/>
      <c r="F68" s="5"/>
      <c r="G68" s="5"/>
      <c r="H68" s="5" t="s">
        <v>114</v>
      </c>
      <c r="I68" s="5" t="s">
        <v>162</v>
      </c>
      <c r="J68" s="5" t="s">
        <v>161</v>
      </c>
      <c r="K68" s="5" t="s">
        <v>232</v>
      </c>
      <c r="L68" s="5" t="s">
        <v>119</v>
      </c>
      <c r="M68" s="5" t="s">
        <v>113</v>
      </c>
      <c r="N68" s="5" t="s">
        <v>119</v>
      </c>
      <c r="O68" s="5" t="s">
        <v>120</v>
      </c>
      <c r="P68" s="5" t="s">
        <v>1310</v>
      </c>
      <c r="Q68" s="10" t="str">
        <f>IF(F68="Stage IV","Stage IV Only",IF(AND(ISNUMBER(SEARCH("IV",F68)),LEN(F68)&gt;LEN("Stage IV")),"Stage IV + Other",IF(AND(ISNUMBER(SEARCH("III",F68)),NOT(ISNUMBER(SEARCH("IV",F68)))),"Stage III Only","Other")))</f>
        <v>Other</v>
      </c>
      <c r="R68" s="10" t="str">
        <f>IF(AND(ISNUMBER(SEARCH("Non-squamous",G68)),ISNUMBER(SEARCH("Squamous",SUBSTITUTE(G68,"Non-squamous","")))),"Both",IF(ISNUMBER(SEARCH("Non-squamous",G68)),"Non-squamous",IF(ISNUMBER(SEARCH("Squamous",G68)),"Squamous","Unspecified")))</f>
        <v>Unspecified</v>
      </c>
      <c r="S68" s="10" t="str">
        <f>IF(OR(ISNUMBER(SEARCH("TPS ≥ 50%",K68)),ISNUMBER(SEARCH("TC ≥ 50%",K68))),"TPS ≥ 50%",IF(OR(ISNUMBER(SEARCH("TPS ≥ 1%",K68)),ISNUMBER(SEARCH("TC ≥ 1%",K68)),ISNUMBER(SEARCH("TPS &lt; 50%",K68)),ISNUMBER(SEARCH("IC ≥ 1%",K68))),"TPS 1-49%","All-comers"))</f>
        <v>All-comers</v>
      </c>
      <c r="T68" s="10">
        <f>IF(H68="Phase III",1,0)</f>
        <v>1</v>
      </c>
      <c r="U68" s="10">
        <f>IF(L68="Yes",1,0)</f>
        <v>0</v>
      </c>
      <c r="V68" s="11">
        <f>IF(ISNUMBER(SEARCH(",ALK,",","&amp;SUBSTITUTE(I68,", ",",")&amp;",")),1,0)</f>
        <v>0</v>
      </c>
      <c r="W68" s="11">
        <f>IF(ISNUMBER(SEARCH(",ALK L1196M,",","&amp;SUBSTITUTE(I68,", ",",")&amp;",")),1,0)</f>
        <v>0</v>
      </c>
      <c r="X68" s="11">
        <f>IF(ISNUMBER(SEARCH(",AXL,",","&amp;SUBSTITUTE(I68,", ",",")&amp;",")),1,0)</f>
        <v>0</v>
      </c>
      <c r="Y68" s="11">
        <f>IF(ISNUMBER(SEARCH(",B7-H1,",","&amp;SUBSTITUTE(I68,", ",",")&amp;",")),1,0)</f>
        <v>0</v>
      </c>
      <c r="Z68" s="11">
        <f>IF(ISNUMBER(SEARCH(",CD152,",","&amp;SUBSTITUTE(I68,", ",",")&amp;",")),1,0)</f>
        <v>0</v>
      </c>
      <c r="AA68" s="11">
        <f>IF(ISNUMBER(SEARCH(",CD274,",","&amp;SUBSTITUTE(I68,", ",",")&amp;",")),1,0)</f>
        <v>0</v>
      </c>
      <c r="AB68" s="11">
        <f>IF(ISNUMBER(SEARCH(",CD279,",","&amp;SUBSTITUTE(I68,", ",",")&amp;",")),1,0)</f>
        <v>0</v>
      </c>
      <c r="AC68" s="11">
        <f>IF(ISNUMBER(SEARCH(",CD73,",","&amp;SUBSTITUTE(I68,", ",",")&amp;",")),1,0)</f>
        <v>0</v>
      </c>
      <c r="AD68" s="11">
        <f>IF(ISNUMBER(SEARCH(",CEA,",","&amp;SUBSTITUTE(I68,", ",",")&amp;",")),1,0)</f>
        <v>0</v>
      </c>
      <c r="AE68" s="11">
        <f>IF(ISNUMBER(SEARCH(",CTLA-4,",","&amp;SUBSTITUTE(I68,", ",",")&amp;",")),1,0)</f>
        <v>0</v>
      </c>
      <c r="AF68" s="11">
        <f>IF(ISNUMBER(SEARCH(",EGFR,",","&amp;SUBSTITUTE(I68,", ",",")&amp;",")),1,0)</f>
        <v>1</v>
      </c>
      <c r="AG68" s="11">
        <f>IF(ISNUMBER(SEARCH(",EGFR C797G,",","&amp;SUBSTITUTE(I68,", ",",")&amp;",")),1,0)</f>
        <v>0</v>
      </c>
      <c r="AH68" s="11">
        <f>IF(ISNUMBER(SEARCH(",EGFR C797S,",","&amp;SUBSTITUTE(I68,", ",",")&amp;",")),1,0)</f>
        <v>0</v>
      </c>
      <c r="AI68" s="11">
        <f>IF(ISNUMBER(SEARCH(",EGFR Exon 19-del,",","&amp;SUBSTITUTE(I68,", ",",")&amp;",")),1,0)</f>
        <v>0</v>
      </c>
      <c r="AJ68" s="11">
        <f>IF(ISNUMBER(SEARCH(",EGFR Exon 20,",","&amp;SUBSTITUTE(I68,", ",",")&amp;",")),1,0)</f>
        <v>0</v>
      </c>
      <c r="AK68" s="11">
        <f>IF(ISNUMBER(SEARCH(",EGFR L858R,",","&amp;SUBSTITUTE(I68,", ",",")&amp;",")),1,0)</f>
        <v>0</v>
      </c>
      <c r="AL68" s="11">
        <f>IF(ISNUMBER(SEARCH(",EGFR T790M,",","&amp;SUBSTITUTE(I68,", ",",")&amp;",")),1,0)</f>
        <v>0</v>
      </c>
      <c r="AM68" s="11">
        <f>IF(ISNUMBER(SEARCH(",ERBB,",","&amp;SUBSTITUTE(I68,", ",",")&amp;",")),1,0)</f>
        <v>1</v>
      </c>
      <c r="AN68" s="11">
        <f>IF(ISNUMBER(SEARCH(",ERBB3,",","&amp;SUBSTITUTE(I68,", ",",")&amp;",")),1,0)</f>
        <v>0</v>
      </c>
      <c r="AO68" s="11">
        <f>IF(ISNUMBER(SEARCH(",FAK,",","&amp;SUBSTITUTE(I68,", ",",")&amp;",")),1,0)</f>
        <v>0</v>
      </c>
      <c r="AP68" s="11">
        <f>IF(ISNUMBER(SEARCH(",GARP,",","&amp;SUBSTITUTE(I68,", ",",")&amp;",")),1,0)</f>
        <v>0</v>
      </c>
      <c r="AQ68" s="11">
        <f>IF(ISNUMBER(SEARCH(",HER1,",","&amp;SUBSTITUTE(I68,", ",",")&amp;",")),1,0)</f>
        <v>1</v>
      </c>
      <c r="AR68" s="11">
        <f>IF(ISNUMBER(SEARCH(",HER2,",","&amp;SUBSTITUTE(I68,", ",",")&amp;",")),1,0)</f>
        <v>0</v>
      </c>
      <c r="AS68" s="11">
        <f>IF(ISNUMBER(SEARCH(",HER2 Exon 20,",","&amp;SUBSTITUTE(I68,", ",",")&amp;",")),1,0)</f>
        <v>0</v>
      </c>
      <c r="AT68" s="11">
        <f>IF(ISNUMBER(SEARCH(",HER3,",","&amp;SUBSTITUTE(I68,", ",",")&amp;",")),1,0)</f>
        <v>0</v>
      </c>
      <c r="AU68" s="11">
        <f>IF(ISNUMBER(SEARCH(",HER4,",","&amp;SUBSTITUTE(I68,", ",",")&amp;",")),1,0)</f>
        <v>0</v>
      </c>
      <c r="AV68" s="11">
        <f>IF(ISNUMBER(SEARCH(",HRAS,",","&amp;SUBSTITUTE(I68,", ",",")&amp;",")),1,0)</f>
        <v>0</v>
      </c>
      <c r="AW68" s="11">
        <f>IF(ISNUMBER(SEARCH(",HSV-TK,",","&amp;SUBSTITUTE(I68,", ",",")&amp;",")),1,0)</f>
        <v>0</v>
      </c>
      <c r="AX68" s="11">
        <f>IF(ISNUMBER(SEARCH(",IL-12,",","&amp;SUBSTITUTE(I68,", ",",")&amp;",")),1,0)</f>
        <v>0</v>
      </c>
      <c r="AY68" s="11">
        <f>IF(ISNUMBER(SEARCH(",IL-15,",","&amp;SUBSTITUTE(I68,", ",",")&amp;",")),1,0)</f>
        <v>0</v>
      </c>
      <c r="AZ68" s="11">
        <f>IF(ISNUMBER(SEARCH(",IL-15R,",","&amp;SUBSTITUTE(I68,", ",",")&amp;",")),1,0)</f>
        <v>0</v>
      </c>
      <c r="BA68" s="11">
        <f>IF(ISNUMBER(SEARCH(",IL-2,",","&amp;SUBSTITUTE(I68,", ",",")&amp;",")),1,0)</f>
        <v>0</v>
      </c>
      <c r="BB68" s="11">
        <f>IF(ISNUMBER(SEARCH(",Integrin β6,",","&amp;SUBSTITUTE(I68,", ",",")&amp;",")),1,0)</f>
        <v>0</v>
      </c>
      <c r="BC68" s="11">
        <f>IF(ISNUMBER(SEARCH(",KDR,",","&amp;SUBSTITUTE(I68,", ",",")&amp;",")),1,0)</f>
        <v>0</v>
      </c>
      <c r="BD68" s="11">
        <f>IF(ISNUMBER(SEARCH(",KLRC1,",","&amp;SUBSTITUTE(I68,", ",",")&amp;",")),1,0)</f>
        <v>0</v>
      </c>
      <c r="BE68" s="11">
        <f>IF(ISNUMBER(SEARCH(",KRAS,",","&amp;SUBSTITUTE(I68,", ",",")&amp;",")),1,0)</f>
        <v>0</v>
      </c>
      <c r="BF68" s="11">
        <f>IF(ISNUMBER(SEARCH(",KRAS G12,",","&amp;SUBSTITUTE(I68,", ",",")&amp;",")),1,0)</f>
        <v>0</v>
      </c>
      <c r="BG68" s="11">
        <f>IF(ISNUMBER(SEARCH(",KRAS G12C,",","&amp;SUBSTITUTE(I68,", ",",")&amp;",")),1,0)</f>
        <v>0</v>
      </c>
      <c r="BH68" s="11">
        <f>IF(ISNUMBER(SEARCH(",KRAS G12D,",","&amp;SUBSTITUTE(I68,", ",",")&amp;",")),1,0)</f>
        <v>0</v>
      </c>
      <c r="BI68" s="11">
        <f>IF(ISNUMBER(SEARCH(",LAG-3,",","&amp;SUBSTITUTE(I68,", ",",")&amp;",")),1,0)</f>
        <v>0</v>
      </c>
      <c r="BJ68" s="11">
        <f>IF(ISNUMBER(SEARCH(",MAGE-A2,",","&amp;SUBSTITUTE(I68,", ",",")&amp;",")),1,0)</f>
        <v>0</v>
      </c>
      <c r="BK68" s="11">
        <f>IF(ISNUMBER(SEARCH(",MAGE-A3,",","&amp;SUBSTITUTE(I68,", ",",")&amp;",")),1,0)</f>
        <v>0</v>
      </c>
      <c r="BL68" s="11">
        <f>IF(ISNUMBER(SEARCH(",MLN19,",","&amp;SUBSTITUTE(I68,", ",",")&amp;",")),1,0)</f>
        <v>0</v>
      </c>
      <c r="BM68" s="11">
        <f>IF(ISNUMBER(SEARCH(",Microtubule,",","&amp;SUBSTITUTE(I68,", ",",")&amp;",")),1,0)</f>
        <v>0</v>
      </c>
      <c r="BN68" s="11">
        <f>IF(ISNUMBER(SEARCH(",NKG2A,",","&amp;SUBSTITUTE(I68,", ",",")&amp;",")),1,0)</f>
        <v>0</v>
      </c>
      <c r="BO68" s="11">
        <f>IF(ISNUMBER(SEARCH(",NRAS,",","&amp;SUBSTITUTE(I68,", ",",")&amp;",")),1,0)</f>
        <v>0</v>
      </c>
      <c r="BP68" s="11">
        <f>IF(ISNUMBER(SEARCH(",NTRK,",","&amp;SUBSTITUTE(I68,", ",",")&amp;",")),1,0)</f>
        <v>0</v>
      </c>
      <c r="BQ68" s="11">
        <f>IF(ISNUMBER(SEARCH(",PARP,",","&amp;SUBSTITUTE(I68,", ",",")&amp;",")),1,0)</f>
        <v>0</v>
      </c>
      <c r="BR68" s="11">
        <f>IF(ISNUMBER(SEARCH(",PD-1,",","&amp;SUBSTITUTE(I68,", ",",")&amp;",")),1,0)</f>
        <v>0</v>
      </c>
      <c r="BS68" s="11">
        <f>IF(ISNUMBER(SEARCH(",PD-L1,",","&amp;SUBSTITUTE(I68,", ",",")&amp;",")),1,0)</f>
        <v>0</v>
      </c>
      <c r="BT68" s="11">
        <f>IF(ISNUMBER(SEARCH(",PRMT5,",","&amp;SUBSTITUTE(I68,", ",",")&amp;",")),1,0)</f>
        <v>0</v>
      </c>
      <c r="BU68" s="11">
        <f>IF(ISNUMBER(SEARCH(",RAS,",","&amp;SUBSTITUTE(I68,", ",",")&amp;",")),1,0)</f>
        <v>0</v>
      </c>
      <c r="BV68" s="11">
        <f>IF(ISNUMBER(SEARCH(",RET,",","&amp;SUBSTITUTE(I68,", ",",")&amp;",")),1,0)</f>
        <v>0</v>
      </c>
      <c r="BW68" s="11">
        <f>IF(ISNUMBER(SEARCH(",ROS,",","&amp;SUBSTITUTE(I68,", ",",")&amp;",")),1,0)</f>
        <v>0</v>
      </c>
      <c r="BX68" s="11">
        <f>IF(ISNUMBER(SEARCH(",ROS1,",","&amp;SUBSTITUTE(I68,", ",",")&amp;",")),1,0)</f>
        <v>0</v>
      </c>
      <c r="BY68" s="11">
        <f>IF(ISNUMBER(SEARCH(",Src,",","&amp;SUBSTITUTE(I68,", ",",")&amp;",")),1,0)</f>
        <v>0</v>
      </c>
      <c r="BZ68" s="11">
        <f>IF(ISNUMBER(SEARCH(",TCGF,",","&amp;SUBSTITUTE(I68,", ",",")&amp;",")),1,0)</f>
        <v>0</v>
      </c>
      <c r="CA68" s="11">
        <f>IF(ISNUMBER(SEARCH(",TGF-β,",","&amp;SUBSTITUTE(I68,", ",",")&amp;",")),1,0)</f>
        <v>0</v>
      </c>
      <c r="CB68" s="11">
        <f>IF(ISNUMBER(SEARCH(",TGF-β1,",","&amp;SUBSTITUTE(I68,", ",",")&amp;",")),1,0)</f>
        <v>0</v>
      </c>
      <c r="CC68" s="11">
        <f>IF(ISNUMBER(SEARCH(",TIGIT,",","&amp;SUBSTITUTE(I68,", ",",")&amp;",")),1,0)</f>
        <v>0</v>
      </c>
      <c r="CD68" s="11">
        <f>IF(ISNUMBER(SEARCH(",TLR,",","&amp;SUBSTITUTE(I68,", ",",")&amp;",")),1,0)</f>
        <v>0</v>
      </c>
      <c r="CE68" s="11">
        <f>IF(ISNUMBER(SEARCH(",TLR7/8,",","&amp;SUBSTITUTE(I68,", ",",")&amp;",")),1,0)</f>
        <v>0</v>
      </c>
      <c r="CF68" s="11">
        <f>IF(ISNUMBER(SEARCH(",TRK,",","&amp;SUBSTITUTE(I68,", ",",")&amp;",")),1,0)</f>
        <v>0</v>
      </c>
      <c r="CG68" s="11">
        <f>IF(ISNUMBER(SEARCH(",TROP2,",","&amp;SUBSTITUTE(I68,", ",",")&amp;",")),1,0)</f>
        <v>0</v>
      </c>
      <c r="CH68" s="11">
        <f>IF(ISNUMBER(SEARCH(",TS,",","&amp;SUBSTITUTE(I68,", ",",")&amp;",")),1,0)</f>
        <v>0</v>
      </c>
      <c r="CI68" s="11">
        <f>IF(ISNUMBER(SEARCH(",TYMS,",","&amp;SUBSTITUTE(I68,", ",",")&amp;",")),1,0)</f>
        <v>0</v>
      </c>
      <c r="CJ68" s="11">
        <f>IF(ISNUMBER(SEARCH(",VEGF,",","&amp;SUBSTITUTE(I68,", ",",")&amp;",")),1,0)</f>
        <v>0</v>
      </c>
      <c r="CK68" s="11">
        <f>IF(ISNUMBER(SEARCH(",VEGFA,",","&amp;SUBSTITUTE(I68,", ",",")&amp;",")),1,0)</f>
        <v>0</v>
      </c>
      <c r="CL68" s="11">
        <f>IF(ISNUMBER(SEARCH(",VEGFR2,",","&amp;SUBSTITUTE(I68,", ",",")&amp;",")),1,0)</f>
        <v>0</v>
      </c>
      <c r="CM68" s="11">
        <f>IF(ISNUMBER(SEARCH(",c-MET/MET,",","&amp;SUBSTITUTE(I68,", ",",")&amp;",")),1,0)</f>
        <v>0</v>
      </c>
      <c r="CN68" s="11">
        <f>IF(ISNUMBER(SEARCH(",p53,",","&amp;SUBSTITUTE(I68,", ",",")&amp;",")),1,0)</f>
        <v>0</v>
      </c>
      <c r="CO68" s="11">
        <f>IF(ISNUMBER(SEARCH(",pan-KRAS,",","&amp;SUBSTITUTE(I68,", ",",")&amp;",")),1,0)</f>
        <v>0</v>
      </c>
      <c r="CP68" s="11">
        <f>IF(ISNUMBER(SEARCH(",ALK,",","&amp;SUBSTITUTE(K68,", ",",")&amp;",")),1,0)</f>
        <v>0</v>
      </c>
      <c r="CQ68" s="11">
        <f>IF(ISNUMBER(SEARCH(",BRAF V600E,",","&amp;SUBSTITUTE(K68,", ",",")&amp;",")),1,0)</f>
        <v>0</v>
      </c>
      <c r="CR68" s="11">
        <f>IF(ISNUMBER(SEARCH(",EGFR,",","&amp;SUBSTITUTE(K68,", ",",")&amp;",")),1,0)</f>
        <v>1</v>
      </c>
      <c r="CS68" s="11">
        <f>IF(ISNUMBER(SEARCH(",EGFR Exon 18,",","&amp;SUBSTITUTE(K68,", ",",")&amp;",")),1,0)</f>
        <v>0</v>
      </c>
      <c r="CT68" s="11">
        <f>IF(ISNUMBER(SEARCH(",EGFR Exon 19-del,",","&amp;SUBSTITUTE(K68,", ",",")&amp;",")),1,0)</f>
        <v>0</v>
      </c>
      <c r="CU68" s="11">
        <f>IF(ISNUMBER(SEARCH(",EGFR Exon 20,",","&amp;SUBSTITUTE(K68,", ",",")&amp;",")),1,0)</f>
        <v>0</v>
      </c>
      <c r="CV68" s="11">
        <f>IF(ISNUMBER(SEARCH(",EGFR Exon 20-ins,",","&amp;SUBSTITUTE(K68,", ",",")&amp;",")),1,0)</f>
        <v>0</v>
      </c>
      <c r="CW68" s="11">
        <f>IF(ISNUMBER(SEARCH(",EGFR Exon 21,",","&amp;SUBSTITUTE(K68,", ",",")&amp;",")),1,0)</f>
        <v>0</v>
      </c>
      <c r="CX68" s="11">
        <f>IF(ISNUMBER(SEARCH(",EGFR G719A,",","&amp;SUBSTITUTE(K68,", ",",")&amp;",")),1,0)</f>
        <v>0</v>
      </c>
      <c r="CY68" s="11">
        <f>IF(ISNUMBER(SEARCH(",EGFR G719C,",","&amp;SUBSTITUTE(K68,", ",",")&amp;",")),1,0)</f>
        <v>0</v>
      </c>
      <c r="CZ68" s="11">
        <f>IF(ISNUMBER(SEARCH(",EGFR G719S,",","&amp;SUBSTITUTE(K68,", ",",")&amp;",")),1,0)</f>
        <v>0</v>
      </c>
      <c r="DA68" s="11">
        <f>IF(ISNUMBER(SEARCH(",EGFR G719X,",","&amp;SUBSTITUTE(K68,", ",",")&amp;",")),1,0)</f>
        <v>0</v>
      </c>
      <c r="DB68" s="11">
        <f>IF(ISNUMBER(SEARCH(",EGFR L858R,",","&amp;SUBSTITUTE(K68,", ",",")&amp;",")),1,0)</f>
        <v>0</v>
      </c>
      <c r="DC68" s="11">
        <f>IF(ISNUMBER(SEARCH(",EGFR L861Q,",","&amp;SUBSTITUTE(K68,", ",",")&amp;",")),1,0)</f>
        <v>0</v>
      </c>
      <c r="DD68" s="11">
        <f>IF(ISNUMBER(SEARCH(",EGFR PACC,",","&amp;SUBSTITUTE(K68,", ",",")&amp;",")),1,0)</f>
        <v>0</v>
      </c>
      <c r="DE68" s="11">
        <f>IF(ISNUMBER(SEARCH(",EGFR S768I,",","&amp;SUBSTITUTE(K68,", ",",")&amp;",")),1,0)</f>
        <v>0</v>
      </c>
      <c r="DF68" s="11">
        <f>IF(ISNUMBER(SEARCH(",EGFR T790M,",","&amp;SUBSTITUTE(K68,", ",",")&amp;",")),1,0)</f>
        <v>0</v>
      </c>
      <c r="DG68" s="11">
        <f>IF(ISNUMBER(SEARCH(",EML4-ALK,",","&amp;SUBSTITUTE(K68,", ",",")&amp;",")),1,0)</f>
        <v>0</v>
      </c>
      <c r="DH68" s="11">
        <f>IF(ISNUMBER(SEARCH(",HER2,",","&amp;SUBSTITUTE(K68,", ",",")&amp;",")),1,0)</f>
        <v>0</v>
      </c>
      <c r="DI68" s="11">
        <f>IF(ISNUMBER(SEARCH(",HER2 Exon 19,",","&amp;SUBSTITUTE(K68,", ",",")&amp;",")),1,0)</f>
        <v>0</v>
      </c>
      <c r="DJ68" s="11">
        <f>IF(ISNUMBER(SEARCH(",HER2 Exon 20,",","&amp;SUBSTITUTE(K68,", ",",")&amp;",")),1,0)</f>
        <v>0</v>
      </c>
      <c r="DK68" s="11">
        <f>IF(ISNUMBER(SEARCH(",HER2 mut,",","&amp;SUBSTITUTE(K68,", ",",")&amp;",")),1,0)</f>
        <v>0</v>
      </c>
      <c r="DL68" s="11">
        <f>IF(ISNUMBER(SEARCH(",HLA-A2,",","&amp;SUBSTITUTE(K68,", ",",")&amp;",")),1,0)</f>
        <v>0</v>
      </c>
      <c r="DM68" s="11">
        <f>IF(ISNUMBER(SEARCH(",HRAS,",","&amp;SUBSTITUTE(K68,", ",",")&amp;",")),1,0)</f>
        <v>0</v>
      </c>
      <c r="DN68" s="11">
        <f>IF(ISNUMBER(SEARCH(",KRAS,",","&amp;SUBSTITUTE(K68,", ",",")&amp;",")),1,0)</f>
        <v>0</v>
      </c>
      <c r="DO68" s="11">
        <f>IF(ISNUMBER(SEARCH(",KRAS G12C,",","&amp;SUBSTITUTE(K68,", ",",")&amp;",")),1,0)</f>
        <v>0</v>
      </c>
      <c r="DP68" s="11">
        <f>IF(ISNUMBER(SEARCH(",NRAS,",","&amp;SUBSTITUTE(K68,", ",",")&amp;",")),1,0)</f>
        <v>0</v>
      </c>
      <c r="DQ68" s="11">
        <f>IF(ISNUMBER(SEARCH(",NTRK,",","&amp;SUBSTITUTE(K68,", ",",")&amp;",")),1,0)</f>
        <v>0</v>
      </c>
      <c r="DR68" s="11">
        <f>IF(ISNUMBER(SEARCH(",PD-L1,",","&amp;SUBSTITUTE(K68,", ",",")&amp;",")),1,0)</f>
        <v>0</v>
      </c>
      <c r="DS68" s="11">
        <f>IF(ISNUMBER(SEARCH(",PD-L1 IC ≥ 1%,",","&amp;SUBSTITUTE(K68,", ",",")&amp;",")),1,0)</f>
        <v>0</v>
      </c>
      <c r="DT68" s="11">
        <f>IF(ISNUMBER(SEARCH(",PD-L1 TC ≥ 1%,",","&amp;SUBSTITUTE(K68,", ",",")&amp;",")),1,0)</f>
        <v>0</v>
      </c>
      <c r="DU68" s="11">
        <f>IF(ISNUMBER(SEARCH(",PD-L1 TC ≥ 50%,",","&amp;SUBSTITUTE(K68,", ",",")&amp;",")),1,0)</f>
        <v>0</v>
      </c>
      <c r="DV68" s="11">
        <f>IF(ISNUMBER(SEARCH(",PD-L1 TPS &lt; 50%,",","&amp;SUBSTITUTE(K68,", ",",")&amp;",")),1,0)</f>
        <v>0</v>
      </c>
      <c r="DW68" s="11">
        <f>IF(ISNUMBER(SEARCH(",PD-L1 TPS ≥ 1%,",","&amp;SUBSTITUTE(K68,", ",",")&amp;",")),1,0)</f>
        <v>0</v>
      </c>
      <c r="DX68" s="11">
        <f>IF(ISNUMBER(SEARCH(",PD-L1 TPS ≥ 50%,",","&amp;SUBSTITUTE(K68,", ",",")&amp;",")),1,0)</f>
        <v>0</v>
      </c>
      <c r="DY68" s="11">
        <f>IF(ISNUMBER(SEARCH(",RAS,",","&amp;SUBSTITUTE(K68,", ",",")&amp;",")),1,0)</f>
        <v>0</v>
      </c>
      <c r="DZ68" s="11">
        <f>IF(ISNUMBER(SEARCH(",RET,",","&amp;SUBSTITUTE(K68,", ",",")&amp;",")),1,0)</f>
        <v>0</v>
      </c>
      <c r="EA68" s="11">
        <f>IF(ISNUMBER(SEARCH(",ROS1,",","&amp;SUBSTITUTE(K68,", ",",")&amp;",")),1,0)</f>
        <v>0</v>
      </c>
      <c r="EB68" s="11">
        <f>IF(ISNUMBER(SEARCH(",TROP2,",","&amp;SUBSTITUTE(K68,", ",",")&amp;",")),1,0)</f>
        <v>0</v>
      </c>
      <c r="EC68" s="11">
        <f>IF(ISNUMBER(SEARCH(",c-MET/MET,",","&amp;SUBSTITUTE(K68,", ",",")&amp;",")),1,0)</f>
        <v>0</v>
      </c>
      <c r="ED68" s="11">
        <f>IF(ISNUMBER(SEARCH(",c-MET/MET Exon 14,",","&amp;SUBSTITUTE(K68,", ",",")&amp;",")),1,0)</f>
        <v>0</v>
      </c>
      <c r="EE68" s="11">
        <f>IF(ISNUMBER(SEARCH(",ctDNA/cfDNA,",","&amp;SUBSTITUTE(K68,", ",",")&amp;",")),1,0)</f>
        <v>0</v>
      </c>
    </row>
    <row r="69" spans="1:135" ht="15" customHeight="1" x14ac:dyDescent="0.2">
      <c r="A69" s="5" t="s">
        <v>893</v>
      </c>
      <c r="B69" s="5" t="s">
        <v>895</v>
      </c>
      <c r="C69" s="5" t="s">
        <v>318</v>
      </c>
      <c r="D69" s="5" t="s">
        <v>318</v>
      </c>
      <c r="E69" s="5" t="s">
        <v>318</v>
      </c>
      <c r="F69" s="5" t="s">
        <v>572</v>
      </c>
      <c r="G69" s="5" t="s">
        <v>181</v>
      </c>
      <c r="H69" s="5" t="s">
        <v>114</v>
      </c>
      <c r="I69" s="5" t="s">
        <v>899</v>
      </c>
      <c r="J69" s="5" t="s">
        <v>898</v>
      </c>
      <c r="K69" s="5" t="s">
        <v>905</v>
      </c>
      <c r="L69" s="5" t="s">
        <v>119</v>
      </c>
      <c r="M69" s="5" t="s">
        <v>113</v>
      </c>
      <c r="N69" s="5" t="s">
        <v>119</v>
      </c>
      <c r="O69" s="5" t="s">
        <v>120</v>
      </c>
      <c r="P69" s="5" t="s">
        <v>896</v>
      </c>
      <c r="Q69" s="10" t="str">
        <f>IF(F69="Stage IV","Stage IV Only",IF(AND(ISNUMBER(SEARCH("IV",F69)),LEN(F69)&gt;LEN("Stage IV")),"Stage IV + Other",IF(AND(ISNUMBER(SEARCH("III",F69)),NOT(ISNUMBER(SEARCH("IV",F69)))),"Stage III Only","Other")))</f>
        <v>Stage IV + Other</v>
      </c>
      <c r="R69" s="10" t="str">
        <f>IF(AND(ISNUMBER(SEARCH("Non-squamous",G69)),ISNUMBER(SEARCH("Squamous",SUBSTITUTE(G69,"Non-squamous","")))),"Both",IF(ISNUMBER(SEARCH("Non-squamous",G69)),"Non-squamous",IF(ISNUMBER(SEARCH("Squamous",G69)),"Squamous","Unspecified")))</f>
        <v>Non-squamous</v>
      </c>
      <c r="S69" s="10" t="str">
        <f>IF(OR(ISNUMBER(SEARCH("TPS ≥ 50%",K69)),ISNUMBER(SEARCH("TC ≥ 50%",K69))),"TPS ≥ 50%",IF(OR(ISNUMBER(SEARCH("TPS ≥ 1%",K69)),ISNUMBER(SEARCH("TC ≥ 1%",K69)),ISNUMBER(SEARCH("TPS &lt; 50%",K69)),ISNUMBER(SEARCH("IC ≥ 1%",K69))),"TPS 1-49%","All-comers"))</f>
        <v>All-comers</v>
      </c>
      <c r="T69" s="10">
        <f>IF(H69="Phase III",1,0)</f>
        <v>1</v>
      </c>
      <c r="U69" s="10">
        <f>IF(L69="Yes",1,0)</f>
        <v>0</v>
      </c>
      <c r="V69" s="11">
        <f>IF(ISNUMBER(SEARCH(",ALK,",","&amp;SUBSTITUTE(I69,", ",",")&amp;",")),1,0)</f>
        <v>0</v>
      </c>
      <c r="W69" s="11">
        <f>IF(ISNUMBER(SEARCH(",ALK L1196M,",","&amp;SUBSTITUTE(I69,", ",",")&amp;",")),1,0)</f>
        <v>0</v>
      </c>
      <c r="X69" s="11">
        <f>IF(ISNUMBER(SEARCH(",AXL,",","&amp;SUBSTITUTE(I69,", ",",")&amp;",")),1,0)</f>
        <v>0</v>
      </c>
      <c r="Y69" s="11">
        <f>IF(ISNUMBER(SEARCH(",B7-H1,",","&amp;SUBSTITUTE(I69,", ",",")&amp;",")),1,0)</f>
        <v>0</v>
      </c>
      <c r="Z69" s="11">
        <f>IF(ISNUMBER(SEARCH(",CD152,",","&amp;SUBSTITUTE(I69,", ",",")&amp;",")),1,0)</f>
        <v>0</v>
      </c>
      <c r="AA69" s="11">
        <f>IF(ISNUMBER(SEARCH(",CD274,",","&amp;SUBSTITUTE(I69,", ",",")&amp;",")),1,0)</f>
        <v>0</v>
      </c>
      <c r="AB69" s="11">
        <f>IF(ISNUMBER(SEARCH(",CD279,",","&amp;SUBSTITUTE(I69,", ",",")&amp;",")),1,0)</f>
        <v>0</v>
      </c>
      <c r="AC69" s="11">
        <f>IF(ISNUMBER(SEARCH(",CD73,",","&amp;SUBSTITUTE(I69,", ",",")&amp;",")),1,0)</f>
        <v>0</v>
      </c>
      <c r="AD69" s="11">
        <f>IF(ISNUMBER(SEARCH(",CEA,",","&amp;SUBSTITUTE(I69,", ",",")&amp;",")),1,0)</f>
        <v>0</v>
      </c>
      <c r="AE69" s="11">
        <f>IF(ISNUMBER(SEARCH(",CTLA-4,",","&amp;SUBSTITUTE(I69,", ",",")&amp;",")),1,0)</f>
        <v>0</v>
      </c>
      <c r="AF69" s="11">
        <f>IF(ISNUMBER(SEARCH(",EGFR,",","&amp;SUBSTITUTE(I69,", ",",")&amp;",")),1,0)</f>
        <v>0</v>
      </c>
      <c r="AG69" s="11">
        <f>IF(ISNUMBER(SEARCH(",EGFR C797G,",","&amp;SUBSTITUTE(I69,", ",",")&amp;",")),1,0)</f>
        <v>0</v>
      </c>
      <c r="AH69" s="11">
        <f>IF(ISNUMBER(SEARCH(",EGFR C797S,",","&amp;SUBSTITUTE(I69,", ",",")&amp;",")),1,0)</f>
        <v>0</v>
      </c>
      <c r="AI69" s="11">
        <f>IF(ISNUMBER(SEARCH(",EGFR Exon 19-del,",","&amp;SUBSTITUTE(I69,", ",",")&amp;",")),1,0)</f>
        <v>0</v>
      </c>
      <c r="AJ69" s="11">
        <f>IF(ISNUMBER(SEARCH(",EGFR Exon 20,",","&amp;SUBSTITUTE(I69,", ",",")&amp;",")),1,0)</f>
        <v>0</v>
      </c>
      <c r="AK69" s="11">
        <f>IF(ISNUMBER(SEARCH(",EGFR L858R,",","&amp;SUBSTITUTE(I69,", ",",")&amp;",")),1,0)</f>
        <v>0</v>
      </c>
      <c r="AL69" s="11">
        <f>IF(ISNUMBER(SEARCH(",EGFR T790M,",","&amp;SUBSTITUTE(I69,", ",",")&amp;",")),1,0)</f>
        <v>0</v>
      </c>
      <c r="AM69" s="11">
        <f>IF(ISNUMBER(SEARCH(",ERBB,",","&amp;SUBSTITUTE(I69,", ",",")&amp;",")),1,0)</f>
        <v>0</v>
      </c>
      <c r="AN69" s="11">
        <f>IF(ISNUMBER(SEARCH(",ERBB3,",","&amp;SUBSTITUTE(I69,", ",",")&amp;",")),1,0)</f>
        <v>0</v>
      </c>
      <c r="AO69" s="11">
        <f>IF(ISNUMBER(SEARCH(",FAK,",","&amp;SUBSTITUTE(I69,", ",",")&amp;",")),1,0)</f>
        <v>0</v>
      </c>
      <c r="AP69" s="11">
        <f>IF(ISNUMBER(SEARCH(",GARP,",","&amp;SUBSTITUTE(I69,", ",",")&amp;",")),1,0)</f>
        <v>0</v>
      </c>
      <c r="AQ69" s="11">
        <f>IF(ISNUMBER(SEARCH(",HER1,",","&amp;SUBSTITUTE(I69,", ",",")&amp;",")),1,0)</f>
        <v>0</v>
      </c>
      <c r="AR69" s="11">
        <f>IF(ISNUMBER(SEARCH(",HER2,",","&amp;SUBSTITUTE(I69,", ",",")&amp;",")),1,0)</f>
        <v>0</v>
      </c>
      <c r="AS69" s="11">
        <f>IF(ISNUMBER(SEARCH(",HER2 Exon 20,",","&amp;SUBSTITUTE(I69,", ",",")&amp;",")),1,0)</f>
        <v>0</v>
      </c>
      <c r="AT69" s="11">
        <f>IF(ISNUMBER(SEARCH(",HER3,",","&amp;SUBSTITUTE(I69,", ",",")&amp;",")),1,0)</f>
        <v>0</v>
      </c>
      <c r="AU69" s="11">
        <f>IF(ISNUMBER(SEARCH(",HER4,",","&amp;SUBSTITUTE(I69,", ",",")&amp;",")),1,0)</f>
        <v>0</v>
      </c>
      <c r="AV69" s="11">
        <f>IF(ISNUMBER(SEARCH(",HRAS,",","&amp;SUBSTITUTE(I69,", ",",")&amp;",")),1,0)</f>
        <v>0</v>
      </c>
      <c r="AW69" s="11">
        <f>IF(ISNUMBER(SEARCH(",HSV-TK,",","&amp;SUBSTITUTE(I69,", ",",")&amp;",")),1,0)</f>
        <v>0</v>
      </c>
      <c r="AX69" s="11">
        <f>IF(ISNUMBER(SEARCH(",IL-12,",","&amp;SUBSTITUTE(I69,", ",",")&amp;",")),1,0)</f>
        <v>0</v>
      </c>
      <c r="AY69" s="11">
        <f>IF(ISNUMBER(SEARCH(",IL-15,",","&amp;SUBSTITUTE(I69,", ",",")&amp;",")),1,0)</f>
        <v>0</v>
      </c>
      <c r="AZ69" s="11">
        <f>IF(ISNUMBER(SEARCH(",IL-15R,",","&amp;SUBSTITUTE(I69,", ",",")&amp;",")),1,0)</f>
        <v>0</v>
      </c>
      <c r="BA69" s="11">
        <f>IF(ISNUMBER(SEARCH(",IL-2,",","&amp;SUBSTITUTE(I69,", ",",")&amp;",")),1,0)</f>
        <v>0</v>
      </c>
      <c r="BB69" s="11">
        <f>IF(ISNUMBER(SEARCH(",Integrin β6,",","&amp;SUBSTITUTE(I69,", ",",")&amp;",")),1,0)</f>
        <v>0</v>
      </c>
      <c r="BC69" s="11">
        <f>IF(ISNUMBER(SEARCH(",KDR,",","&amp;SUBSTITUTE(I69,", ",",")&amp;",")),1,0)</f>
        <v>0</v>
      </c>
      <c r="BD69" s="11">
        <f>IF(ISNUMBER(SEARCH(",KLRC1,",","&amp;SUBSTITUTE(I69,", ",",")&amp;",")),1,0)</f>
        <v>0</v>
      </c>
      <c r="BE69" s="11">
        <f>IF(ISNUMBER(SEARCH(",KRAS,",","&amp;SUBSTITUTE(I69,", ",",")&amp;",")),1,0)</f>
        <v>0</v>
      </c>
      <c r="BF69" s="11">
        <f>IF(ISNUMBER(SEARCH(",KRAS G12,",","&amp;SUBSTITUTE(I69,", ",",")&amp;",")),1,0)</f>
        <v>0</v>
      </c>
      <c r="BG69" s="11">
        <f>IF(ISNUMBER(SEARCH(",KRAS G12C,",","&amp;SUBSTITUTE(I69,", ",",")&amp;",")),1,0)</f>
        <v>1</v>
      </c>
      <c r="BH69" s="11">
        <f>IF(ISNUMBER(SEARCH(",KRAS G12D,",","&amp;SUBSTITUTE(I69,", ",",")&amp;",")),1,0)</f>
        <v>0</v>
      </c>
      <c r="BI69" s="11">
        <f>IF(ISNUMBER(SEARCH(",LAG-3,",","&amp;SUBSTITUTE(I69,", ",",")&amp;",")),1,0)</f>
        <v>0</v>
      </c>
      <c r="BJ69" s="11">
        <f>IF(ISNUMBER(SEARCH(",MAGE-A2,",","&amp;SUBSTITUTE(I69,", ",",")&amp;",")),1,0)</f>
        <v>0</v>
      </c>
      <c r="BK69" s="11">
        <f>IF(ISNUMBER(SEARCH(",MAGE-A3,",","&amp;SUBSTITUTE(I69,", ",",")&amp;",")),1,0)</f>
        <v>0</v>
      </c>
      <c r="BL69" s="11">
        <f>IF(ISNUMBER(SEARCH(",MLN19,",","&amp;SUBSTITUTE(I69,", ",",")&amp;",")),1,0)</f>
        <v>0</v>
      </c>
      <c r="BM69" s="11">
        <f>IF(ISNUMBER(SEARCH(",Microtubule,",","&amp;SUBSTITUTE(I69,", ",",")&amp;",")),1,0)</f>
        <v>0</v>
      </c>
      <c r="BN69" s="11">
        <f>IF(ISNUMBER(SEARCH(",NKG2A,",","&amp;SUBSTITUTE(I69,", ",",")&amp;",")),1,0)</f>
        <v>0</v>
      </c>
      <c r="BO69" s="11">
        <f>IF(ISNUMBER(SEARCH(",NRAS,",","&amp;SUBSTITUTE(I69,", ",",")&amp;",")),1,0)</f>
        <v>0</v>
      </c>
      <c r="BP69" s="11">
        <f>IF(ISNUMBER(SEARCH(",NTRK,",","&amp;SUBSTITUTE(I69,", ",",")&amp;",")),1,0)</f>
        <v>0</v>
      </c>
      <c r="BQ69" s="11">
        <f>IF(ISNUMBER(SEARCH(",PARP,",","&amp;SUBSTITUTE(I69,", ",",")&amp;",")),1,0)</f>
        <v>0</v>
      </c>
      <c r="BR69" s="11">
        <f>IF(ISNUMBER(SEARCH(",PD-1,",","&amp;SUBSTITUTE(I69,", ",",")&amp;",")),1,0)</f>
        <v>0</v>
      </c>
      <c r="BS69" s="11">
        <f>IF(ISNUMBER(SEARCH(",PD-L1,",","&amp;SUBSTITUTE(I69,", ",",")&amp;",")),1,0)</f>
        <v>0</v>
      </c>
      <c r="BT69" s="11">
        <f>IF(ISNUMBER(SEARCH(",PRMT5,",","&amp;SUBSTITUTE(I69,", ",",")&amp;",")),1,0)</f>
        <v>0</v>
      </c>
      <c r="BU69" s="11">
        <f>IF(ISNUMBER(SEARCH(",RAS,",","&amp;SUBSTITUTE(I69,", ",",")&amp;",")),1,0)</f>
        <v>0</v>
      </c>
      <c r="BV69" s="11">
        <f>IF(ISNUMBER(SEARCH(",RET,",","&amp;SUBSTITUTE(I69,", ",",")&amp;",")),1,0)</f>
        <v>0</v>
      </c>
      <c r="BW69" s="11">
        <f>IF(ISNUMBER(SEARCH(",ROS,",","&amp;SUBSTITUTE(I69,", ",",")&amp;",")),1,0)</f>
        <v>0</v>
      </c>
      <c r="BX69" s="11">
        <f>IF(ISNUMBER(SEARCH(",ROS1,",","&amp;SUBSTITUTE(I69,", ",",")&amp;",")),1,0)</f>
        <v>0</v>
      </c>
      <c r="BY69" s="11">
        <f>IF(ISNUMBER(SEARCH(",Src,",","&amp;SUBSTITUTE(I69,", ",",")&amp;",")),1,0)</f>
        <v>0</v>
      </c>
      <c r="BZ69" s="11">
        <f>IF(ISNUMBER(SEARCH(",TCGF,",","&amp;SUBSTITUTE(I69,", ",",")&amp;",")),1,0)</f>
        <v>0</v>
      </c>
      <c r="CA69" s="11">
        <f>IF(ISNUMBER(SEARCH(",TGF-β,",","&amp;SUBSTITUTE(I69,", ",",")&amp;",")),1,0)</f>
        <v>0</v>
      </c>
      <c r="CB69" s="11">
        <f>IF(ISNUMBER(SEARCH(",TGF-β1,",","&amp;SUBSTITUTE(I69,", ",",")&amp;",")),1,0)</f>
        <v>0</v>
      </c>
      <c r="CC69" s="11">
        <f>IF(ISNUMBER(SEARCH(",TIGIT,",","&amp;SUBSTITUTE(I69,", ",",")&amp;",")),1,0)</f>
        <v>0</v>
      </c>
      <c r="CD69" s="11">
        <f>IF(ISNUMBER(SEARCH(",TLR,",","&amp;SUBSTITUTE(I69,", ",",")&amp;",")),1,0)</f>
        <v>0</v>
      </c>
      <c r="CE69" s="11">
        <f>IF(ISNUMBER(SEARCH(",TLR7/8,",","&amp;SUBSTITUTE(I69,", ",",")&amp;",")),1,0)</f>
        <v>0</v>
      </c>
      <c r="CF69" s="11">
        <f>IF(ISNUMBER(SEARCH(",TRK,",","&amp;SUBSTITUTE(I69,", ",",")&amp;",")),1,0)</f>
        <v>0</v>
      </c>
      <c r="CG69" s="11">
        <f>IF(ISNUMBER(SEARCH(",TROP2,",","&amp;SUBSTITUTE(I69,", ",",")&amp;",")),1,0)</f>
        <v>0</v>
      </c>
      <c r="CH69" s="11">
        <f>IF(ISNUMBER(SEARCH(",TS,",","&amp;SUBSTITUTE(I69,", ",",")&amp;",")),1,0)</f>
        <v>1</v>
      </c>
      <c r="CI69" s="11">
        <f>IF(ISNUMBER(SEARCH(",TYMS,",","&amp;SUBSTITUTE(I69,", ",",")&amp;",")),1,0)</f>
        <v>1</v>
      </c>
      <c r="CJ69" s="11">
        <f>IF(ISNUMBER(SEARCH(",VEGF,",","&amp;SUBSTITUTE(I69,", ",",")&amp;",")),1,0)</f>
        <v>0</v>
      </c>
      <c r="CK69" s="11">
        <f>IF(ISNUMBER(SEARCH(",VEGFA,",","&amp;SUBSTITUTE(I69,", ",",")&amp;",")),1,0)</f>
        <v>0</v>
      </c>
      <c r="CL69" s="11">
        <f>IF(ISNUMBER(SEARCH(",VEGFR2,",","&amp;SUBSTITUTE(I69,", ",",")&amp;",")),1,0)</f>
        <v>0</v>
      </c>
      <c r="CM69" s="11">
        <f>IF(ISNUMBER(SEARCH(",c-MET/MET,",","&amp;SUBSTITUTE(I69,", ",",")&amp;",")),1,0)</f>
        <v>0</v>
      </c>
      <c r="CN69" s="11">
        <f>IF(ISNUMBER(SEARCH(",p53,",","&amp;SUBSTITUTE(I69,", ",",")&amp;",")),1,0)</f>
        <v>0</v>
      </c>
      <c r="CO69" s="11">
        <f>IF(ISNUMBER(SEARCH(",pan-KRAS,",","&amp;SUBSTITUTE(I69,", ",",")&amp;",")),1,0)</f>
        <v>0</v>
      </c>
      <c r="CP69" s="11">
        <f>IF(ISNUMBER(SEARCH(",ALK,",","&amp;SUBSTITUTE(K69,", ",",")&amp;",")),1,0)</f>
        <v>0</v>
      </c>
      <c r="CQ69" s="11">
        <f>IF(ISNUMBER(SEARCH(",BRAF V600E,",","&amp;SUBSTITUTE(K69,", ",",")&amp;",")),1,0)</f>
        <v>0</v>
      </c>
      <c r="CR69" s="11">
        <f>IF(ISNUMBER(SEARCH(",EGFR,",","&amp;SUBSTITUTE(K69,", ",",")&amp;",")),1,0)</f>
        <v>0</v>
      </c>
      <c r="CS69" s="11">
        <f>IF(ISNUMBER(SEARCH(",EGFR Exon 18,",","&amp;SUBSTITUTE(K69,", ",",")&amp;",")),1,0)</f>
        <v>0</v>
      </c>
      <c r="CT69" s="11">
        <f>IF(ISNUMBER(SEARCH(",EGFR Exon 19-del,",","&amp;SUBSTITUTE(K69,", ",",")&amp;",")),1,0)</f>
        <v>0</v>
      </c>
      <c r="CU69" s="11">
        <f>IF(ISNUMBER(SEARCH(",EGFR Exon 20,",","&amp;SUBSTITUTE(K69,", ",",")&amp;",")),1,0)</f>
        <v>0</v>
      </c>
      <c r="CV69" s="11">
        <f>IF(ISNUMBER(SEARCH(",EGFR Exon 20-ins,",","&amp;SUBSTITUTE(K69,", ",",")&amp;",")),1,0)</f>
        <v>0</v>
      </c>
      <c r="CW69" s="11">
        <f>IF(ISNUMBER(SEARCH(",EGFR Exon 21,",","&amp;SUBSTITUTE(K69,", ",",")&amp;",")),1,0)</f>
        <v>0</v>
      </c>
      <c r="CX69" s="11">
        <f>IF(ISNUMBER(SEARCH(",EGFR G719A,",","&amp;SUBSTITUTE(K69,", ",",")&amp;",")),1,0)</f>
        <v>0</v>
      </c>
      <c r="CY69" s="11">
        <f>IF(ISNUMBER(SEARCH(",EGFR G719C,",","&amp;SUBSTITUTE(K69,", ",",")&amp;",")),1,0)</f>
        <v>0</v>
      </c>
      <c r="CZ69" s="11">
        <f>IF(ISNUMBER(SEARCH(",EGFR G719S,",","&amp;SUBSTITUTE(K69,", ",",")&amp;",")),1,0)</f>
        <v>0</v>
      </c>
      <c r="DA69" s="11">
        <f>IF(ISNUMBER(SEARCH(",EGFR G719X,",","&amp;SUBSTITUTE(K69,", ",",")&amp;",")),1,0)</f>
        <v>0</v>
      </c>
      <c r="DB69" s="11">
        <f>IF(ISNUMBER(SEARCH(",EGFR L858R,",","&amp;SUBSTITUTE(K69,", ",",")&amp;",")),1,0)</f>
        <v>0</v>
      </c>
      <c r="DC69" s="11">
        <f>IF(ISNUMBER(SEARCH(",EGFR L861Q,",","&amp;SUBSTITUTE(K69,", ",",")&amp;",")),1,0)</f>
        <v>0</v>
      </c>
      <c r="DD69" s="11">
        <f>IF(ISNUMBER(SEARCH(",EGFR PACC,",","&amp;SUBSTITUTE(K69,", ",",")&amp;",")),1,0)</f>
        <v>0</v>
      </c>
      <c r="DE69" s="11">
        <f>IF(ISNUMBER(SEARCH(",EGFR S768I,",","&amp;SUBSTITUTE(K69,", ",",")&amp;",")),1,0)</f>
        <v>0</v>
      </c>
      <c r="DF69" s="11">
        <f>IF(ISNUMBER(SEARCH(",EGFR T790M,",","&amp;SUBSTITUTE(K69,", ",",")&amp;",")),1,0)</f>
        <v>0</v>
      </c>
      <c r="DG69" s="11">
        <f>IF(ISNUMBER(SEARCH(",EML4-ALK,",","&amp;SUBSTITUTE(K69,", ",",")&amp;",")),1,0)</f>
        <v>0</v>
      </c>
      <c r="DH69" s="11">
        <f>IF(ISNUMBER(SEARCH(",HER2,",","&amp;SUBSTITUTE(K69,", ",",")&amp;",")),1,0)</f>
        <v>0</v>
      </c>
      <c r="DI69" s="11">
        <f>IF(ISNUMBER(SEARCH(",HER2 Exon 19,",","&amp;SUBSTITUTE(K69,", ",",")&amp;",")),1,0)</f>
        <v>0</v>
      </c>
      <c r="DJ69" s="11">
        <f>IF(ISNUMBER(SEARCH(",HER2 Exon 20,",","&amp;SUBSTITUTE(K69,", ",",")&amp;",")),1,0)</f>
        <v>0</v>
      </c>
      <c r="DK69" s="11">
        <f>IF(ISNUMBER(SEARCH(",HER2 mut,",","&amp;SUBSTITUTE(K69,", ",",")&amp;",")),1,0)</f>
        <v>0</v>
      </c>
      <c r="DL69" s="11">
        <f>IF(ISNUMBER(SEARCH(",HLA-A2,",","&amp;SUBSTITUTE(K69,", ",",")&amp;",")),1,0)</f>
        <v>0</v>
      </c>
      <c r="DM69" s="11">
        <f>IF(ISNUMBER(SEARCH(",HRAS,",","&amp;SUBSTITUTE(K69,", ",",")&amp;",")),1,0)</f>
        <v>0</v>
      </c>
      <c r="DN69" s="11">
        <f>IF(ISNUMBER(SEARCH(",KRAS,",","&amp;SUBSTITUTE(K69,", ",",")&amp;",")),1,0)</f>
        <v>0</v>
      </c>
      <c r="DO69" s="11">
        <f>IF(ISNUMBER(SEARCH(",KRAS G12C,",","&amp;SUBSTITUTE(K69,", ",",")&amp;",")),1,0)</f>
        <v>1</v>
      </c>
      <c r="DP69" s="11">
        <f>IF(ISNUMBER(SEARCH(",NRAS,",","&amp;SUBSTITUTE(K69,", ",",")&amp;",")),1,0)</f>
        <v>0</v>
      </c>
      <c r="DQ69" s="11">
        <f>IF(ISNUMBER(SEARCH(",NTRK,",","&amp;SUBSTITUTE(K69,", ",",")&amp;",")),1,0)</f>
        <v>0</v>
      </c>
      <c r="DR69" s="11">
        <f>IF(ISNUMBER(SEARCH(",PD-L1,",","&amp;SUBSTITUTE(K69,", ",",")&amp;",")),1,0)</f>
        <v>0</v>
      </c>
      <c r="DS69" s="11">
        <f>IF(ISNUMBER(SEARCH(",PD-L1 IC ≥ 1%,",","&amp;SUBSTITUTE(K69,", ",",")&amp;",")),1,0)</f>
        <v>0</v>
      </c>
      <c r="DT69" s="11">
        <f>IF(ISNUMBER(SEARCH(",PD-L1 TC ≥ 1%,",","&amp;SUBSTITUTE(K69,", ",",")&amp;",")),1,0)</f>
        <v>0</v>
      </c>
      <c r="DU69" s="11">
        <f>IF(ISNUMBER(SEARCH(",PD-L1 TC ≥ 50%,",","&amp;SUBSTITUTE(K69,", ",",")&amp;",")),1,0)</f>
        <v>0</v>
      </c>
      <c r="DV69" s="11">
        <f>IF(ISNUMBER(SEARCH(",PD-L1 TPS &lt; 50%,",","&amp;SUBSTITUTE(K69,", ",",")&amp;",")),1,0)</f>
        <v>0</v>
      </c>
      <c r="DW69" s="11">
        <f>IF(ISNUMBER(SEARCH(",PD-L1 TPS ≥ 1%,",","&amp;SUBSTITUTE(K69,", ",",")&amp;",")),1,0)</f>
        <v>0</v>
      </c>
      <c r="DX69" s="11">
        <f>IF(ISNUMBER(SEARCH(",PD-L1 TPS ≥ 50%,",","&amp;SUBSTITUTE(K69,", ",",")&amp;",")),1,0)</f>
        <v>0</v>
      </c>
      <c r="DY69" s="11">
        <f>IF(ISNUMBER(SEARCH(",RAS,",","&amp;SUBSTITUTE(K69,", ",",")&amp;",")),1,0)</f>
        <v>0</v>
      </c>
      <c r="DZ69" s="11">
        <f>IF(ISNUMBER(SEARCH(",RET,",","&amp;SUBSTITUTE(K69,", ",",")&amp;",")),1,0)</f>
        <v>0</v>
      </c>
      <c r="EA69" s="11">
        <f>IF(ISNUMBER(SEARCH(",ROS1,",","&amp;SUBSTITUTE(K69,", ",",")&amp;",")),1,0)</f>
        <v>0</v>
      </c>
      <c r="EB69" s="11">
        <f>IF(ISNUMBER(SEARCH(",TROP2,",","&amp;SUBSTITUTE(K69,", ",",")&amp;",")),1,0)</f>
        <v>0</v>
      </c>
      <c r="EC69" s="11">
        <f>IF(ISNUMBER(SEARCH(",c-MET/MET,",","&amp;SUBSTITUTE(K69,", ",",")&amp;",")),1,0)</f>
        <v>0</v>
      </c>
      <c r="ED69" s="11">
        <f>IF(ISNUMBER(SEARCH(",c-MET/MET Exon 14,",","&amp;SUBSTITUTE(K69,", ",",")&amp;",")),1,0)</f>
        <v>0</v>
      </c>
      <c r="EE69" s="11">
        <f>IF(ISNUMBER(SEARCH(",ctDNA/cfDNA,",","&amp;SUBSTITUTE(K69,", ",",")&amp;",")),1,0)</f>
        <v>0</v>
      </c>
    </row>
    <row r="70" spans="1:135" ht="15" customHeight="1" x14ac:dyDescent="0.2">
      <c r="A70" s="5" t="s">
        <v>806</v>
      </c>
      <c r="B70" s="5" t="s">
        <v>808</v>
      </c>
      <c r="C70" s="5" t="s">
        <v>809</v>
      </c>
      <c r="D70" s="5" t="s">
        <v>809</v>
      </c>
      <c r="E70" s="5" t="s">
        <v>809</v>
      </c>
      <c r="F70" s="5" t="s">
        <v>572</v>
      </c>
      <c r="G70" s="5" t="s">
        <v>181</v>
      </c>
      <c r="H70" s="5" t="s">
        <v>114</v>
      </c>
      <c r="I70" s="5" t="s">
        <v>813</v>
      </c>
      <c r="J70" s="5" t="s">
        <v>812</v>
      </c>
      <c r="K70" s="5" t="s">
        <v>745</v>
      </c>
      <c r="L70" s="5" t="s">
        <v>119</v>
      </c>
      <c r="M70" s="5" t="s">
        <v>113</v>
      </c>
      <c r="N70" s="5" t="s">
        <v>119</v>
      </c>
      <c r="O70" s="5" t="s">
        <v>120</v>
      </c>
      <c r="P70" s="5" t="s">
        <v>810</v>
      </c>
      <c r="Q70" s="10" t="str">
        <f>IF(F70="Stage IV","Stage IV Only",IF(AND(ISNUMBER(SEARCH("IV",F70)),LEN(F70)&gt;LEN("Stage IV")),"Stage IV + Other",IF(AND(ISNUMBER(SEARCH("III",F70)),NOT(ISNUMBER(SEARCH("IV",F70)))),"Stage III Only","Other")))</f>
        <v>Stage IV + Other</v>
      </c>
      <c r="R70" s="10" t="str">
        <f>IF(AND(ISNUMBER(SEARCH("Non-squamous",G70)),ISNUMBER(SEARCH("Squamous",SUBSTITUTE(G70,"Non-squamous","")))),"Both",IF(ISNUMBER(SEARCH("Non-squamous",G70)),"Non-squamous",IF(ISNUMBER(SEARCH("Squamous",G70)),"Squamous","Unspecified")))</f>
        <v>Non-squamous</v>
      </c>
      <c r="S70" s="10" t="str">
        <f>IF(OR(ISNUMBER(SEARCH("TPS ≥ 50%",K70)),ISNUMBER(SEARCH("TC ≥ 50%",K70))),"TPS ≥ 50%",IF(OR(ISNUMBER(SEARCH("TPS ≥ 1%",K70)),ISNUMBER(SEARCH("TC ≥ 1%",K70)),ISNUMBER(SEARCH("TPS &lt; 50%",K70)),ISNUMBER(SEARCH("IC ≥ 1%",K70))),"TPS 1-49%","All-comers"))</f>
        <v>All-comers</v>
      </c>
      <c r="T70" s="10">
        <f>IF(H70="Phase III",1,0)</f>
        <v>1</v>
      </c>
      <c r="U70" s="10">
        <f>IF(L70="Yes",1,0)</f>
        <v>0</v>
      </c>
      <c r="V70" s="11">
        <f>IF(ISNUMBER(SEARCH(",ALK,",","&amp;SUBSTITUTE(I70,", ",",")&amp;",")),1,0)</f>
        <v>0</v>
      </c>
      <c r="W70" s="11">
        <f>IF(ISNUMBER(SEARCH(",ALK L1196M,",","&amp;SUBSTITUTE(I70,", ",",")&amp;",")),1,0)</f>
        <v>0</v>
      </c>
      <c r="X70" s="11">
        <f>IF(ISNUMBER(SEARCH(",AXL,",","&amp;SUBSTITUTE(I70,", ",",")&amp;",")),1,0)</f>
        <v>0</v>
      </c>
      <c r="Y70" s="11">
        <f>IF(ISNUMBER(SEARCH(",B7-H1,",","&amp;SUBSTITUTE(I70,", ",",")&amp;",")),1,0)</f>
        <v>0</v>
      </c>
      <c r="Z70" s="11">
        <f>IF(ISNUMBER(SEARCH(",CD152,",","&amp;SUBSTITUTE(I70,", ",",")&amp;",")),1,0)</f>
        <v>0</v>
      </c>
      <c r="AA70" s="11">
        <f>IF(ISNUMBER(SEARCH(",CD274,",","&amp;SUBSTITUTE(I70,", ",",")&amp;",")),1,0)</f>
        <v>0</v>
      </c>
      <c r="AB70" s="11">
        <f>IF(ISNUMBER(SEARCH(",CD279,",","&amp;SUBSTITUTE(I70,", ",",")&amp;",")),1,0)</f>
        <v>0</v>
      </c>
      <c r="AC70" s="11">
        <f>IF(ISNUMBER(SEARCH(",CD73,",","&amp;SUBSTITUTE(I70,", ",",")&amp;",")),1,0)</f>
        <v>0</v>
      </c>
      <c r="AD70" s="11">
        <f>IF(ISNUMBER(SEARCH(",CEA,",","&amp;SUBSTITUTE(I70,", ",",")&amp;",")),1,0)</f>
        <v>0</v>
      </c>
      <c r="AE70" s="11">
        <f>IF(ISNUMBER(SEARCH(",CTLA-4,",","&amp;SUBSTITUTE(I70,", ",",")&amp;",")),1,0)</f>
        <v>0</v>
      </c>
      <c r="AF70" s="11">
        <f>IF(ISNUMBER(SEARCH(",EGFR,",","&amp;SUBSTITUTE(I70,", ",",")&amp;",")),1,0)</f>
        <v>1</v>
      </c>
      <c r="AG70" s="11">
        <f>IF(ISNUMBER(SEARCH(",EGFR C797G,",","&amp;SUBSTITUTE(I70,", ",",")&amp;",")),1,0)</f>
        <v>0</v>
      </c>
      <c r="AH70" s="11">
        <f>IF(ISNUMBER(SEARCH(",EGFR C797S,",","&amp;SUBSTITUTE(I70,", ",",")&amp;",")),1,0)</f>
        <v>0</v>
      </c>
      <c r="AI70" s="11">
        <f>IF(ISNUMBER(SEARCH(",EGFR Exon 19-del,",","&amp;SUBSTITUTE(I70,", ",",")&amp;",")),1,0)</f>
        <v>0</v>
      </c>
      <c r="AJ70" s="11">
        <f>IF(ISNUMBER(SEARCH(",EGFR Exon 20,",","&amp;SUBSTITUTE(I70,", ",",")&amp;",")),1,0)</f>
        <v>1</v>
      </c>
      <c r="AK70" s="11">
        <f>IF(ISNUMBER(SEARCH(",EGFR L858R,",","&amp;SUBSTITUTE(I70,", ",",")&amp;",")),1,0)</f>
        <v>0</v>
      </c>
      <c r="AL70" s="11">
        <f>IF(ISNUMBER(SEARCH(",EGFR T790M,",","&amp;SUBSTITUTE(I70,", ",",")&amp;",")),1,0)</f>
        <v>0</v>
      </c>
      <c r="AM70" s="11">
        <f>IF(ISNUMBER(SEARCH(",ERBB,",","&amp;SUBSTITUTE(I70,", ",",")&amp;",")),1,0)</f>
        <v>1</v>
      </c>
      <c r="AN70" s="11">
        <f>IF(ISNUMBER(SEARCH(",ERBB3,",","&amp;SUBSTITUTE(I70,", ",",")&amp;",")),1,0)</f>
        <v>0</v>
      </c>
      <c r="AO70" s="11">
        <f>IF(ISNUMBER(SEARCH(",FAK,",","&amp;SUBSTITUTE(I70,", ",",")&amp;",")),1,0)</f>
        <v>0</v>
      </c>
      <c r="AP70" s="11">
        <f>IF(ISNUMBER(SEARCH(",GARP,",","&amp;SUBSTITUTE(I70,", ",",")&amp;",")),1,0)</f>
        <v>0</v>
      </c>
      <c r="AQ70" s="11">
        <f>IF(ISNUMBER(SEARCH(",HER1,",","&amp;SUBSTITUTE(I70,", ",",")&amp;",")),1,0)</f>
        <v>0</v>
      </c>
      <c r="AR70" s="11">
        <f>IF(ISNUMBER(SEARCH(",HER2,",","&amp;SUBSTITUTE(I70,", ",",")&amp;",")),1,0)</f>
        <v>1</v>
      </c>
      <c r="AS70" s="11">
        <f>IF(ISNUMBER(SEARCH(",HER2 Exon 20,",","&amp;SUBSTITUTE(I70,", ",",")&amp;",")),1,0)</f>
        <v>1</v>
      </c>
      <c r="AT70" s="11">
        <f>IF(ISNUMBER(SEARCH(",HER3,",","&amp;SUBSTITUTE(I70,", ",",")&amp;",")),1,0)</f>
        <v>0</v>
      </c>
      <c r="AU70" s="11">
        <f>IF(ISNUMBER(SEARCH(",HER4,",","&amp;SUBSTITUTE(I70,", ",",")&amp;",")),1,0)</f>
        <v>0</v>
      </c>
      <c r="AV70" s="11">
        <f>IF(ISNUMBER(SEARCH(",HRAS,",","&amp;SUBSTITUTE(I70,", ",",")&amp;",")),1,0)</f>
        <v>0</v>
      </c>
      <c r="AW70" s="11">
        <f>IF(ISNUMBER(SEARCH(",HSV-TK,",","&amp;SUBSTITUTE(I70,", ",",")&amp;",")),1,0)</f>
        <v>0</v>
      </c>
      <c r="AX70" s="11">
        <f>IF(ISNUMBER(SEARCH(",IL-12,",","&amp;SUBSTITUTE(I70,", ",",")&amp;",")),1,0)</f>
        <v>0</v>
      </c>
      <c r="AY70" s="11">
        <f>IF(ISNUMBER(SEARCH(",IL-15,",","&amp;SUBSTITUTE(I70,", ",",")&amp;",")),1,0)</f>
        <v>0</v>
      </c>
      <c r="AZ70" s="11">
        <f>IF(ISNUMBER(SEARCH(",IL-15R,",","&amp;SUBSTITUTE(I70,", ",",")&amp;",")),1,0)</f>
        <v>0</v>
      </c>
      <c r="BA70" s="11">
        <f>IF(ISNUMBER(SEARCH(",IL-2,",","&amp;SUBSTITUTE(I70,", ",",")&amp;",")),1,0)</f>
        <v>0</v>
      </c>
      <c r="BB70" s="11">
        <f>IF(ISNUMBER(SEARCH(",Integrin β6,",","&amp;SUBSTITUTE(I70,", ",",")&amp;",")),1,0)</f>
        <v>0</v>
      </c>
      <c r="BC70" s="11">
        <f>IF(ISNUMBER(SEARCH(",KDR,",","&amp;SUBSTITUTE(I70,", ",",")&amp;",")),1,0)</f>
        <v>0</v>
      </c>
      <c r="BD70" s="11">
        <f>IF(ISNUMBER(SEARCH(",KLRC1,",","&amp;SUBSTITUTE(I70,", ",",")&amp;",")),1,0)</f>
        <v>0</v>
      </c>
      <c r="BE70" s="11">
        <f>IF(ISNUMBER(SEARCH(",KRAS,",","&amp;SUBSTITUTE(I70,", ",",")&amp;",")),1,0)</f>
        <v>0</v>
      </c>
      <c r="BF70" s="11">
        <f>IF(ISNUMBER(SEARCH(",KRAS G12,",","&amp;SUBSTITUTE(I70,", ",",")&amp;",")),1,0)</f>
        <v>0</v>
      </c>
      <c r="BG70" s="11">
        <f>IF(ISNUMBER(SEARCH(",KRAS G12C,",","&amp;SUBSTITUTE(I70,", ",",")&amp;",")),1,0)</f>
        <v>0</v>
      </c>
      <c r="BH70" s="11">
        <f>IF(ISNUMBER(SEARCH(",KRAS G12D,",","&amp;SUBSTITUTE(I70,", ",",")&amp;",")),1,0)</f>
        <v>0</v>
      </c>
      <c r="BI70" s="11">
        <f>IF(ISNUMBER(SEARCH(",LAG-3,",","&amp;SUBSTITUTE(I70,", ",",")&amp;",")),1,0)</f>
        <v>0</v>
      </c>
      <c r="BJ70" s="11">
        <f>IF(ISNUMBER(SEARCH(",MAGE-A2,",","&amp;SUBSTITUTE(I70,", ",",")&amp;",")),1,0)</f>
        <v>0</v>
      </c>
      <c r="BK70" s="11">
        <f>IF(ISNUMBER(SEARCH(",MAGE-A3,",","&amp;SUBSTITUTE(I70,", ",",")&amp;",")),1,0)</f>
        <v>0</v>
      </c>
      <c r="BL70" s="11">
        <f>IF(ISNUMBER(SEARCH(",MLN19,",","&amp;SUBSTITUTE(I70,", ",",")&amp;",")),1,0)</f>
        <v>0</v>
      </c>
      <c r="BM70" s="11">
        <f>IF(ISNUMBER(SEARCH(",Microtubule,",","&amp;SUBSTITUTE(I70,", ",",")&amp;",")),1,0)</f>
        <v>0</v>
      </c>
      <c r="BN70" s="11">
        <f>IF(ISNUMBER(SEARCH(",NKG2A,",","&amp;SUBSTITUTE(I70,", ",",")&amp;",")),1,0)</f>
        <v>0</v>
      </c>
      <c r="BO70" s="11">
        <f>IF(ISNUMBER(SEARCH(",NRAS,",","&amp;SUBSTITUTE(I70,", ",",")&amp;",")),1,0)</f>
        <v>0</v>
      </c>
      <c r="BP70" s="11">
        <f>IF(ISNUMBER(SEARCH(",NTRK,",","&amp;SUBSTITUTE(I70,", ",",")&amp;",")),1,0)</f>
        <v>0</v>
      </c>
      <c r="BQ70" s="11">
        <f>IF(ISNUMBER(SEARCH(",PARP,",","&amp;SUBSTITUTE(I70,", ",",")&amp;",")),1,0)</f>
        <v>0</v>
      </c>
      <c r="BR70" s="11">
        <f>IF(ISNUMBER(SEARCH(",PD-1,",","&amp;SUBSTITUTE(I70,", ",",")&amp;",")),1,0)</f>
        <v>0</v>
      </c>
      <c r="BS70" s="11">
        <f>IF(ISNUMBER(SEARCH(",PD-L1,",","&amp;SUBSTITUTE(I70,", ",",")&amp;",")),1,0)</f>
        <v>0</v>
      </c>
      <c r="BT70" s="11">
        <f>IF(ISNUMBER(SEARCH(",PRMT5,",","&amp;SUBSTITUTE(I70,", ",",")&amp;",")),1,0)</f>
        <v>0</v>
      </c>
      <c r="BU70" s="11">
        <f>IF(ISNUMBER(SEARCH(",RAS,",","&amp;SUBSTITUTE(I70,", ",",")&amp;",")),1,0)</f>
        <v>0</v>
      </c>
      <c r="BV70" s="11">
        <f>IF(ISNUMBER(SEARCH(",RET,",","&amp;SUBSTITUTE(I70,", ",",")&amp;",")),1,0)</f>
        <v>0</v>
      </c>
      <c r="BW70" s="11">
        <f>IF(ISNUMBER(SEARCH(",ROS,",","&amp;SUBSTITUTE(I70,", ",",")&amp;",")),1,0)</f>
        <v>0</v>
      </c>
      <c r="BX70" s="11">
        <f>IF(ISNUMBER(SEARCH(",ROS1,",","&amp;SUBSTITUTE(I70,", ",",")&amp;",")),1,0)</f>
        <v>0</v>
      </c>
      <c r="BY70" s="11">
        <f>IF(ISNUMBER(SEARCH(",Src,",","&amp;SUBSTITUTE(I70,", ",",")&amp;",")),1,0)</f>
        <v>0</v>
      </c>
      <c r="BZ70" s="11">
        <f>IF(ISNUMBER(SEARCH(",TCGF,",","&amp;SUBSTITUTE(I70,", ",",")&amp;",")),1,0)</f>
        <v>0</v>
      </c>
      <c r="CA70" s="11">
        <f>IF(ISNUMBER(SEARCH(",TGF-β,",","&amp;SUBSTITUTE(I70,", ",",")&amp;",")),1,0)</f>
        <v>0</v>
      </c>
      <c r="CB70" s="11">
        <f>IF(ISNUMBER(SEARCH(",TGF-β1,",","&amp;SUBSTITUTE(I70,", ",",")&amp;",")),1,0)</f>
        <v>0</v>
      </c>
      <c r="CC70" s="11">
        <f>IF(ISNUMBER(SEARCH(",TIGIT,",","&amp;SUBSTITUTE(I70,", ",",")&amp;",")),1,0)</f>
        <v>0</v>
      </c>
      <c r="CD70" s="11">
        <f>IF(ISNUMBER(SEARCH(",TLR,",","&amp;SUBSTITUTE(I70,", ",",")&amp;",")),1,0)</f>
        <v>0</v>
      </c>
      <c r="CE70" s="11">
        <f>IF(ISNUMBER(SEARCH(",TLR7/8,",","&amp;SUBSTITUTE(I70,", ",",")&amp;",")),1,0)</f>
        <v>0</v>
      </c>
      <c r="CF70" s="11">
        <f>IF(ISNUMBER(SEARCH(",TRK,",","&amp;SUBSTITUTE(I70,", ",",")&amp;",")),1,0)</f>
        <v>0</v>
      </c>
      <c r="CG70" s="11">
        <f>IF(ISNUMBER(SEARCH(",TROP2,",","&amp;SUBSTITUTE(I70,", ",",")&amp;",")),1,0)</f>
        <v>0</v>
      </c>
      <c r="CH70" s="11">
        <f>IF(ISNUMBER(SEARCH(",TS,",","&amp;SUBSTITUTE(I70,", ",",")&amp;",")),1,0)</f>
        <v>0</v>
      </c>
      <c r="CI70" s="11">
        <f>IF(ISNUMBER(SEARCH(",TYMS,",","&amp;SUBSTITUTE(I70,", ",",")&amp;",")),1,0)</f>
        <v>0</v>
      </c>
      <c r="CJ70" s="11">
        <f>IF(ISNUMBER(SEARCH(",VEGF,",","&amp;SUBSTITUTE(I70,", ",",")&amp;",")),1,0)</f>
        <v>0</v>
      </c>
      <c r="CK70" s="11">
        <f>IF(ISNUMBER(SEARCH(",VEGFA,",","&amp;SUBSTITUTE(I70,", ",",")&amp;",")),1,0)</f>
        <v>0</v>
      </c>
      <c r="CL70" s="11">
        <f>IF(ISNUMBER(SEARCH(",VEGFR2,",","&amp;SUBSTITUTE(I70,", ",",")&amp;",")),1,0)</f>
        <v>0</v>
      </c>
      <c r="CM70" s="11">
        <f>IF(ISNUMBER(SEARCH(",c-MET/MET,",","&amp;SUBSTITUTE(I70,", ",",")&amp;",")),1,0)</f>
        <v>0</v>
      </c>
      <c r="CN70" s="11">
        <f>IF(ISNUMBER(SEARCH(",p53,",","&amp;SUBSTITUTE(I70,", ",",")&amp;",")),1,0)</f>
        <v>0</v>
      </c>
      <c r="CO70" s="11">
        <f>IF(ISNUMBER(SEARCH(",pan-KRAS,",","&amp;SUBSTITUTE(I70,", ",",")&amp;",")),1,0)</f>
        <v>0</v>
      </c>
      <c r="CP70" s="11">
        <f>IF(ISNUMBER(SEARCH(",ALK,",","&amp;SUBSTITUTE(K70,", ",",")&amp;",")),1,0)</f>
        <v>0</v>
      </c>
      <c r="CQ70" s="11">
        <f>IF(ISNUMBER(SEARCH(",BRAF V600E,",","&amp;SUBSTITUTE(K70,", ",",")&amp;",")),1,0)</f>
        <v>0</v>
      </c>
      <c r="CR70" s="11">
        <f>IF(ISNUMBER(SEARCH(",EGFR,",","&amp;SUBSTITUTE(K70,", ",",")&amp;",")),1,0)</f>
        <v>0</v>
      </c>
      <c r="CS70" s="11">
        <f>IF(ISNUMBER(SEARCH(",EGFR Exon 18,",","&amp;SUBSTITUTE(K70,", ",",")&amp;",")),1,0)</f>
        <v>0</v>
      </c>
      <c r="CT70" s="11">
        <f>IF(ISNUMBER(SEARCH(",EGFR Exon 19-del,",","&amp;SUBSTITUTE(K70,", ",",")&amp;",")),1,0)</f>
        <v>0</v>
      </c>
      <c r="CU70" s="11">
        <f>IF(ISNUMBER(SEARCH(",EGFR Exon 20,",","&amp;SUBSTITUTE(K70,", ",",")&amp;",")),1,0)</f>
        <v>0</v>
      </c>
      <c r="CV70" s="11">
        <f>IF(ISNUMBER(SEARCH(",EGFR Exon 20-ins,",","&amp;SUBSTITUTE(K70,", ",",")&amp;",")),1,0)</f>
        <v>1</v>
      </c>
      <c r="CW70" s="11">
        <f>IF(ISNUMBER(SEARCH(",EGFR Exon 21,",","&amp;SUBSTITUTE(K70,", ",",")&amp;",")),1,0)</f>
        <v>0</v>
      </c>
      <c r="CX70" s="11">
        <f>IF(ISNUMBER(SEARCH(",EGFR G719A,",","&amp;SUBSTITUTE(K70,", ",",")&amp;",")),1,0)</f>
        <v>0</v>
      </c>
      <c r="CY70" s="11">
        <f>IF(ISNUMBER(SEARCH(",EGFR G719C,",","&amp;SUBSTITUTE(K70,", ",",")&amp;",")),1,0)</f>
        <v>0</v>
      </c>
      <c r="CZ70" s="11">
        <f>IF(ISNUMBER(SEARCH(",EGFR G719S,",","&amp;SUBSTITUTE(K70,", ",",")&amp;",")),1,0)</f>
        <v>0</v>
      </c>
      <c r="DA70" s="11">
        <f>IF(ISNUMBER(SEARCH(",EGFR G719X,",","&amp;SUBSTITUTE(K70,", ",",")&amp;",")),1,0)</f>
        <v>0</v>
      </c>
      <c r="DB70" s="11">
        <f>IF(ISNUMBER(SEARCH(",EGFR L858R,",","&amp;SUBSTITUTE(K70,", ",",")&amp;",")),1,0)</f>
        <v>0</v>
      </c>
      <c r="DC70" s="11">
        <f>IF(ISNUMBER(SEARCH(",EGFR L861Q,",","&amp;SUBSTITUTE(K70,", ",",")&amp;",")),1,0)</f>
        <v>0</v>
      </c>
      <c r="DD70" s="11">
        <f>IF(ISNUMBER(SEARCH(",EGFR PACC,",","&amp;SUBSTITUTE(K70,", ",",")&amp;",")),1,0)</f>
        <v>0</v>
      </c>
      <c r="DE70" s="11">
        <f>IF(ISNUMBER(SEARCH(",EGFR S768I,",","&amp;SUBSTITUTE(K70,", ",",")&amp;",")),1,0)</f>
        <v>0</v>
      </c>
      <c r="DF70" s="11">
        <f>IF(ISNUMBER(SEARCH(",EGFR T790M,",","&amp;SUBSTITUTE(K70,", ",",")&amp;",")),1,0)</f>
        <v>0</v>
      </c>
      <c r="DG70" s="11">
        <f>IF(ISNUMBER(SEARCH(",EML4-ALK,",","&amp;SUBSTITUTE(K70,", ",",")&amp;",")),1,0)</f>
        <v>0</v>
      </c>
      <c r="DH70" s="11">
        <f>IF(ISNUMBER(SEARCH(",HER2,",","&amp;SUBSTITUTE(K70,", ",",")&amp;",")),1,0)</f>
        <v>0</v>
      </c>
      <c r="DI70" s="11">
        <f>IF(ISNUMBER(SEARCH(",HER2 Exon 19,",","&amp;SUBSTITUTE(K70,", ",",")&amp;",")),1,0)</f>
        <v>0</v>
      </c>
      <c r="DJ70" s="11">
        <f>IF(ISNUMBER(SEARCH(",HER2 Exon 20,",","&amp;SUBSTITUTE(K70,", ",",")&amp;",")),1,0)</f>
        <v>0</v>
      </c>
      <c r="DK70" s="11">
        <f>IF(ISNUMBER(SEARCH(",HER2 mut,",","&amp;SUBSTITUTE(K70,", ",",")&amp;",")),1,0)</f>
        <v>0</v>
      </c>
      <c r="DL70" s="11">
        <f>IF(ISNUMBER(SEARCH(",HLA-A2,",","&amp;SUBSTITUTE(K70,", ",",")&amp;",")),1,0)</f>
        <v>0</v>
      </c>
      <c r="DM70" s="11">
        <f>IF(ISNUMBER(SEARCH(",HRAS,",","&amp;SUBSTITUTE(K70,", ",",")&amp;",")),1,0)</f>
        <v>0</v>
      </c>
      <c r="DN70" s="11">
        <f>IF(ISNUMBER(SEARCH(",KRAS,",","&amp;SUBSTITUTE(K70,", ",",")&amp;",")),1,0)</f>
        <v>0</v>
      </c>
      <c r="DO70" s="11">
        <f>IF(ISNUMBER(SEARCH(",KRAS G12C,",","&amp;SUBSTITUTE(K70,", ",",")&amp;",")),1,0)</f>
        <v>0</v>
      </c>
      <c r="DP70" s="11">
        <f>IF(ISNUMBER(SEARCH(",NRAS,",","&amp;SUBSTITUTE(K70,", ",",")&amp;",")),1,0)</f>
        <v>0</v>
      </c>
      <c r="DQ70" s="11">
        <f>IF(ISNUMBER(SEARCH(",NTRK,",","&amp;SUBSTITUTE(K70,", ",",")&amp;",")),1,0)</f>
        <v>0</v>
      </c>
      <c r="DR70" s="11">
        <f>IF(ISNUMBER(SEARCH(",PD-L1,",","&amp;SUBSTITUTE(K70,", ",",")&amp;",")),1,0)</f>
        <v>0</v>
      </c>
      <c r="DS70" s="11">
        <f>IF(ISNUMBER(SEARCH(",PD-L1 IC ≥ 1%,",","&amp;SUBSTITUTE(K70,", ",",")&amp;",")),1,0)</f>
        <v>0</v>
      </c>
      <c r="DT70" s="11">
        <f>IF(ISNUMBER(SEARCH(",PD-L1 TC ≥ 1%,",","&amp;SUBSTITUTE(K70,", ",",")&amp;",")),1,0)</f>
        <v>0</v>
      </c>
      <c r="DU70" s="11">
        <f>IF(ISNUMBER(SEARCH(",PD-L1 TC ≥ 50%,",","&amp;SUBSTITUTE(K70,", ",",")&amp;",")),1,0)</f>
        <v>0</v>
      </c>
      <c r="DV70" s="11">
        <f>IF(ISNUMBER(SEARCH(",PD-L1 TPS &lt; 50%,",","&amp;SUBSTITUTE(K70,", ",",")&amp;",")),1,0)</f>
        <v>0</v>
      </c>
      <c r="DW70" s="11">
        <f>IF(ISNUMBER(SEARCH(",PD-L1 TPS ≥ 1%,",","&amp;SUBSTITUTE(K70,", ",",")&amp;",")),1,0)</f>
        <v>0</v>
      </c>
      <c r="DX70" s="11">
        <f>IF(ISNUMBER(SEARCH(",PD-L1 TPS ≥ 50%,",","&amp;SUBSTITUTE(K70,", ",",")&amp;",")),1,0)</f>
        <v>0</v>
      </c>
      <c r="DY70" s="11">
        <f>IF(ISNUMBER(SEARCH(",RAS,",","&amp;SUBSTITUTE(K70,", ",",")&amp;",")),1,0)</f>
        <v>0</v>
      </c>
      <c r="DZ70" s="11">
        <f>IF(ISNUMBER(SEARCH(",RET,",","&amp;SUBSTITUTE(K70,", ",",")&amp;",")),1,0)</f>
        <v>0</v>
      </c>
      <c r="EA70" s="11">
        <f>IF(ISNUMBER(SEARCH(",ROS1,",","&amp;SUBSTITUTE(K70,", ",",")&amp;",")),1,0)</f>
        <v>0</v>
      </c>
      <c r="EB70" s="11">
        <f>IF(ISNUMBER(SEARCH(",TROP2,",","&amp;SUBSTITUTE(K70,", ",",")&amp;",")),1,0)</f>
        <v>0</v>
      </c>
      <c r="EC70" s="11">
        <f>IF(ISNUMBER(SEARCH(",c-MET/MET,",","&amp;SUBSTITUTE(K70,", ",",")&amp;",")),1,0)</f>
        <v>0</v>
      </c>
      <c r="ED70" s="11">
        <f>IF(ISNUMBER(SEARCH(",c-MET/MET Exon 14,",","&amp;SUBSTITUTE(K70,", ",",")&amp;",")),1,0)</f>
        <v>0</v>
      </c>
      <c r="EE70" s="11">
        <f>IF(ISNUMBER(SEARCH(",ctDNA/cfDNA,",","&amp;SUBSTITUTE(K70,", ",",")&amp;",")),1,0)</f>
        <v>0</v>
      </c>
    </row>
    <row r="71" spans="1:135" ht="15" customHeight="1" x14ac:dyDescent="0.2">
      <c r="A71" s="5" t="s">
        <v>831</v>
      </c>
      <c r="B71" s="5" t="s">
        <v>832</v>
      </c>
      <c r="C71" s="5" t="s">
        <v>833</v>
      </c>
      <c r="D71" s="5" t="s">
        <v>833</v>
      </c>
      <c r="E71" s="5" t="s">
        <v>350</v>
      </c>
      <c r="F71" s="5" t="s">
        <v>259</v>
      </c>
      <c r="G71" s="5" t="s">
        <v>181</v>
      </c>
      <c r="H71" s="5" t="s">
        <v>114</v>
      </c>
      <c r="I71" s="5" t="s">
        <v>837</v>
      </c>
      <c r="J71" s="5" t="s">
        <v>836</v>
      </c>
      <c r="K71" s="5" t="s">
        <v>844</v>
      </c>
      <c r="L71" s="5" t="s">
        <v>119</v>
      </c>
      <c r="M71" s="5" t="s">
        <v>113</v>
      </c>
      <c r="N71" s="5" t="s">
        <v>119</v>
      </c>
      <c r="O71" s="5" t="s">
        <v>120</v>
      </c>
      <c r="P71" s="5" t="s">
        <v>834</v>
      </c>
      <c r="Q71" s="10" t="str">
        <f>IF(F71="Stage IV","Stage IV Only",IF(AND(ISNUMBER(SEARCH("IV",F71)),LEN(F71)&gt;LEN("Stage IV")),"Stage IV + Other",IF(AND(ISNUMBER(SEARCH("III",F71)),NOT(ISNUMBER(SEARCH("IV",F71)))),"Stage III Only","Other")))</f>
        <v>Stage IV Only</v>
      </c>
      <c r="R71" s="10" t="str">
        <f>IF(AND(ISNUMBER(SEARCH("Non-squamous",G71)),ISNUMBER(SEARCH("Squamous",SUBSTITUTE(G71,"Non-squamous","")))),"Both",IF(ISNUMBER(SEARCH("Non-squamous",G71)),"Non-squamous",IF(ISNUMBER(SEARCH("Squamous",G71)),"Squamous","Unspecified")))</f>
        <v>Non-squamous</v>
      </c>
      <c r="S71" s="10" t="str">
        <f>IF(OR(ISNUMBER(SEARCH("TPS ≥ 50%",K71)),ISNUMBER(SEARCH("TC ≥ 50%",K71))),"TPS ≥ 50%",IF(OR(ISNUMBER(SEARCH("TPS ≥ 1%",K71)),ISNUMBER(SEARCH("TC ≥ 1%",K71)),ISNUMBER(SEARCH("TPS &lt; 50%",K71)),ISNUMBER(SEARCH("IC ≥ 1%",K71))),"TPS 1-49%","All-comers"))</f>
        <v>All-comers</v>
      </c>
      <c r="T71" s="10">
        <f>IF(H71="Phase III",1,0)</f>
        <v>1</v>
      </c>
      <c r="U71" s="10">
        <f>IF(L71="Yes",1,0)</f>
        <v>0</v>
      </c>
      <c r="V71" s="11">
        <f>IF(ISNUMBER(SEARCH(",ALK,",","&amp;SUBSTITUTE(I71,", ",",")&amp;",")),1,0)</f>
        <v>0</v>
      </c>
      <c r="W71" s="11">
        <f>IF(ISNUMBER(SEARCH(",ALK L1196M,",","&amp;SUBSTITUTE(I71,", ",",")&amp;",")),1,0)</f>
        <v>0</v>
      </c>
      <c r="X71" s="11">
        <f>IF(ISNUMBER(SEARCH(",AXL,",","&amp;SUBSTITUTE(I71,", ",",")&amp;",")),1,0)</f>
        <v>0</v>
      </c>
      <c r="Y71" s="11">
        <f>IF(ISNUMBER(SEARCH(",B7-H1,",","&amp;SUBSTITUTE(I71,", ",",")&amp;",")),1,0)</f>
        <v>0</v>
      </c>
      <c r="Z71" s="11">
        <f>IF(ISNUMBER(SEARCH(",CD152,",","&amp;SUBSTITUTE(I71,", ",",")&amp;",")),1,0)</f>
        <v>0</v>
      </c>
      <c r="AA71" s="11">
        <f>IF(ISNUMBER(SEARCH(",CD274,",","&amp;SUBSTITUTE(I71,", ",",")&amp;",")),1,0)</f>
        <v>0</v>
      </c>
      <c r="AB71" s="11">
        <f>IF(ISNUMBER(SEARCH(",CD279,",","&amp;SUBSTITUTE(I71,", ",",")&amp;",")),1,0)</f>
        <v>0</v>
      </c>
      <c r="AC71" s="11">
        <f>IF(ISNUMBER(SEARCH(",CD73,",","&amp;SUBSTITUTE(I71,", ",",")&amp;",")),1,0)</f>
        <v>0</v>
      </c>
      <c r="AD71" s="11">
        <f>IF(ISNUMBER(SEARCH(",CEA,",","&amp;SUBSTITUTE(I71,", ",",")&amp;",")),1,0)</f>
        <v>0</v>
      </c>
      <c r="AE71" s="11">
        <f>IF(ISNUMBER(SEARCH(",CTLA-4,",","&amp;SUBSTITUTE(I71,", ",",")&amp;",")),1,0)</f>
        <v>0</v>
      </c>
      <c r="AF71" s="11">
        <f>IF(ISNUMBER(SEARCH(",EGFR,",","&amp;SUBSTITUTE(I71,", ",",")&amp;",")),1,0)</f>
        <v>0</v>
      </c>
      <c r="AG71" s="11">
        <f>IF(ISNUMBER(SEARCH(",EGFR C797G,",","&amp;SUBSTITUTE(I71,", ",",")&amp;",")),1,0)</f>
        <v>0</v>
      </c>
      <c r="AH71" s="11">
        <f>IF(ISNUMBER(SEARCH(",EGFR C797S,",","&amp;SUBSTITUTE(I71,", ",",")&amp;",")),1,0)</f>
        <v>0</v>
      </c>
      <c r="AI71" s="11">
        <f>IF(ISNUMBER(SEARCH(",EGFR Exon 19-del,",","&amp;SUBSTITUTE(I71,", ",",")&amp;",")),1,0)</f>
        <v>0</v>
      </c>
      <c r="AJ71" s="11">
        <f>IF(ISNUMBER(SEARCH(",EGFR Exon 20,",","&amp;SUBSTITUTE(I71,", ",",")&amp;",")),1,0)</f>
        <v>0</v>
      </c>
      <c r="AK71" s="11">
        <f>IF(ISNUMBER(SEARCH(",EGFR L858R,",","&amp;SUBSTITUTE(I71,", ",",")&amp;",")),1,0)</f>
        <v>0</v>
      </c>
      <c r="AL71" s="11">
        <f>IF(ISNUMBER(SEARCH(",EGFR T790M,",","&amp;SUBSTITUTE(I71,", ",",")&amp;",")),1,0)</f>
        <v>0</v>
      </c>
      <c r="AM71" s="11">
        <f>IF(ISNUMBER(SEARCH(",ERBB,",","&amp;SUBSTITUTE(I71,", ",",")&amp;",")),1,0)</f>
        <v>0</v>
      </c>
      <c r="AN71" s="11">
        <f>IF(ISNUMBER(SEARCH(",ERBB3,",","&amp;SUBSTITUTE(I71,", ",",")&amp;",")),1,0)</f>
        <v>0</v>
      </c>
      <c r="AO71" s="11">
        <f>IF(ISNUMBER(SEARCH(",FAK,",","&amp;SUBSTITUTE(I71,", ",",")&amp;",")),1,0)</f>
        <v>0</v>
      </c>
      <c r="AP71" s="11">
        <f>IF(ISNUMBER(SEARCH(",GARP,",","&amp;SUBSTITUTE(I71,", ",",")&amp;",")),1,0)</f>
        <v>0</v>
      </c>
      <c r="AQ71" s="11">
        <f>IF(ISNUMBER(SEARCH(",HER1,",","&amp;SUBSTITUTE(I71,", ",",")&amp;",")),1,0)</f>
        <v>0</v>
      </c>
      <c r="AR71" s="11">
        <f>IF(ISNUMBER(SEARCH(",HER2,",","&amp;SUBSTITUTE(I71,", ",",")&amp;",")),1,0)</f>
        <v>1</v>
      </c>
      <c r="AS71" s="11">
        <f>IF(ISNUMBER(SEARCH(",HER2 Exon 20,",","&amp;SUBSTITUTE(I71,", ",",")&amp;",")),1,0)</f>
        <v>0</v>
      </c>
      <c r="AT71" s="11">
        <f>IF(ISNUMBER(SEARCH(",HER3,",","&amp;SUBSTITUTE(I71,", ",",")&amp;",")),1,0)</f>
        <v>0</v>
      </c>
      <c r="AU71" s="11">
        <f>IF(ISNUMBER(SEARCH(",HER4,",","&amp;SUBSTITUTE(I71,", ",",")&amp;",")),1,0)</f>
        <v>0</v>
      </c>
      <c r="AV71" s="11">
        <f>IF(ISNUMBER(SEARCH(",HRAS,",","&amp;SUBSTITUTE(I71,", ",",")&amp;",")),1,0)</f>
        <v>0</v>
      </c>
      <c r="AW71" s="11">
        <f>IF(ISNUMBER(SEARCH(",HSV-TK,",","&amp;SUBSTITUTE(I71,", ",",")&amp;",")),1,0)</f>
        <v>0</v>
      </c>
      <c r="AX71" s="11">
        <f>IF(ISNUMBER(SEARCH(",IL-12,",","&amp;SUBSTITUTE(I71,", ",",")&amp;",")),1,0)</f>
        <v>0</v>
      </c>
      <c r="AY71" s="11">
        <f>IF(ISNUMBER(SEARCH(",IL-15,",","&amp;SUBSTITUTE(I71,", ",",")&amp;",")),1,0)</f>
        <v>0</v>
      </c>
      <c r="AZ71" s="11">
        <f>IF(ISNUMBER(SEARCH(",IL-15R,",","&amp;SUBSTITUTE(I71,", ",",")&amp;",")),1,0)</f>
        <v>0</v>
      </c>
      <c r="BA71" s="11">
        <f>IF(ISNUMBER(SEARCH(",IL-2,",","&amp;SUBSTITUTE(I71,", ",",")&amp;",")),1,0)</f>
        <v>0</v>
      </c>
      <c r="BB71" s="11">
        <f>IF(ISNUMBER(SEARCH(",Integrin β6,",","&amp;SUBSTITUTE(I71,", ",",")&amp;",")),1,0)</f>
        <v>0</v>
      </c>
      <c r="BC71" s="11">
        <f>IF(ISNUMBER(SEARCH(",KDR,",","&amp;SUBSTITUTE(I71,", ",",")&amp;",")),1,0)</f>
        <v>0</v>
      </c>
      <c r="BD71" s="11">
        <f>IF(ISNUMBER(SEARCH(",KLRC1,",","&amp;SUBSTITUTE(I71,", ",",")&amp;",")),1,0)</f>
        <v>0</v>
      </c>
      <c r="BE71" s="11">
        <f>IF(ISNUMBER(SEARCH(",KRAS,",","&amp;SUBSTITUTE(I71,", ",",")&amp;",")),1,0)</f>
        <v>0</v>
      </c>
      <c r="BF71" s="11">
        <f>IF(ISNUMBER(SEARCH(",KRAS G12,",","&amp;SUBSTITUTE(I71,", ",",")&amp;",")),1,0)</f>
        <v>0</v>
      </c>
      <c r="BG71" s="11">
        <f>IF(ISNUMBER(SEARCH(",KRAS G12C,",","&amp;SUBSTITUTE(I71,", ",",")&amp;",")),1,0)</f>
        <v>0</v>
      </c>
      <c r="BH71" s="11">
        <f>IF(ISNUMBER(SEARCH(",KRAS G12D,",","&amp;SUBSTITUTE(I71,", ",",")&amp;",")),1,0)</f>
        <v>0</v>
      </c>
      <c r="BI71" s="11">
        <f>IF(ISNUMBER(SEARCH(",LAG-3,",","&amp;SUBSTITUTE(I71,", ",",")&amp;",")),1,0)</f>
        <v>0</v>
      </c>
      <c r="BJ71" s="11">
        <f>IF(ISNUMBER(SEARCH(",MAGE-A2,",","&amp;SUBSTITUTE(I71,", ",",")&amp;",")),1,0)</f>
        <v>0</v>
      </c>
      <c r="BK71" s="11">
        <f>IF(ISNUMBER(SEARCH(",MAGE-A3,",","&amp;SUBSTITUTE(I71,", ",",")&amp;",")),1,0)</f>
        <v>0</v>
      </c>
      <c r="BL71" s="11">
        <f>IF(ISNUMBER(SEARCH(",MLN19,",","&amp;SUBSTITUTE(I71,", ",",")&amp;",")),1,0)</f>
        <v>1</v>
      </c>
      <c r="BM71" s="11">
        <f>IF(ISNUMBER(SEARCH(",Microtubule,",","&amp;SUBSTITUTE(I71,", ",",")&amp;",")),1,0)</f>
        <v>0</v>
      </c>
      <c r="BN71" s="11">
        <f>IF(ISNUMBER(SEARCH(",NKG2A,",","&amp;SUBSTITUTE(I71,", ",",")&amp;",")),1,0)</f>
        <v>0</v>
      </c>
      <c r="BO71" s="11">
        <f>IF(ISNUMBER(SEARCH(",NRAS,",","&amp;SUBSTITUTE(I71,", ",",")&amp;",")),1,0)</f>
        <v>0</v>
      </c>
      <c r="BP71" s="11">
        <f>IF(ISNUMBER(SEARCH(",NTRK,",","&amp;SUBSTITUTE(I71,", ",",")&amp;",")),1,0)</f>
        <v>0</v>
      </c>
      <c r="BQ71" s="11">
        <f>IF(ISNUMBER(SEARCH(",PARP,",","&amp;SUBSTITUTE(I71,", ",",")&amp;",")),1,0)</f>
        <v>0</v>
      </c>
      <c r="BR71" s="11">
        <f>IF(ISNUMBER(SEARCH(",PD-1,",","&amp;SUBSTITUTE(I71,", ",",")&amp;",")),1,0)</f>
        <v>0</v>
      </c>
      <c r="BS71" s="11">
        <f>IF(ISNUMBER(SEARCH(",PD-L1,",","&amp;SUBSTITUTE(I71,", ",",")&amp;",")),1,0)</f>
        <v>0</v>
      </c>
      <c r="BT71" s="11">
        <f>IF(ISNUMBER(SEARCH(",PRMT5,",","&amp;SUBSTITUTE(I71,", ",",")&amp;",")),1,0)</f>
        <v>0</v>
      </c>
      <c r="BU71" s="11">
        <f>IF(ISNUMBER(SEARCH(",RAS,",","&amp;SUBSTITUTE(I71,", ",",")&amp;",")),1,0)</f>
        <v>0</v>
      </c>
      <c r="BV71" s="11">
        <f>IF(ISNUMBER(SEARCH(",RET,",","&amp;SUBSTITUTE(I71,", ",",")&amp;",")),1,0)</f>
        <v>0</v>
      </c>
      <c r="BW71" s="11">
        <f>IF(ISNUMBER(SEARCH(",ROS,",","&amp;SUBSTITUTE(I71,", ",",")&amp;",")),1,0)</f>
        <v>0</v>
      </c>
      <c r="BX71" s="11">
        <f>IF(ISNUMBER(SEARCH(",ROS1,",","&amp;SUBSTITUTE(I71,", ",",")&amp;",")),1,0)</f>
        <v>0</v>
      </c>
      <c r="BY71" s="11">
        <f>IF(ISNUMBER(SEARCH(",Src,",","&amp;SUBSTITUTE(I71,", ",",")&amp;",")),1,0)</f>
        <v>0</v>
      </c>
      <c r="BZ71" s="11">
        <f>IF(ISNUMBER(SEARCH(",TCGF,",","&amp;SUBSTITUTE(I71,", ",",")&amp;",")),1,0)</f>
        <v>0</v>
      </c>
      <c r="CA71" s="11">
        <f>IF(ISNUMBER(SEARCH(",TGF-β,",","&amp;SUBSTITUTE(I71,", ",",")&amp;",")),1,0)</f>
        <v>0</v>
      </c>
      <c r="CB71" s="11">
        <f>IF(ISNUMBER(SEARCH(",TGF-β1,",","&amp;SUBSTITUTE(I71,", ",",")&amp;",")),1,0)</f>
        <v>0</v>
      </c>
      <c r="CC71" s="11">
        <f>IF(ISNUMBER(SEARCH(",TIGIT,",","&amp;SUBSTITUTE(I71,", ",",")&amp;",")),1,0)</f>
        <v>0</v>
      </c>
      <c r="CD71" s="11">
        <f>IF(ISNUMBER(SEARCH(",TLR,",","&amp;SUBSTITUTE(I71,", ",",")&amp;",")),1,0)</f>
        <v>0</v>
      </c>
      <c r="CE71" s="11">
        <f>IF(ISNUMBER(SEARCH(",TLR7/8,",","&amp;SUBSTITUTE(I71,", ",",")&amp;",")),1,0)</f>
        <v>0</v>
      </c>
      <c r="CF71" s="11">
        <f>IF(ISNUMBER(SEARCH(",TRK,",","&amp;SUBSTITUTE(I71,", ",",")&amp;",")),1,0)</f>
        <v>0</v>
      </c>
      <c r="CG71" s="11">
        <f>IF(ISNUMBER(SEARCH(",TROP2,",","&amp;SUBSTITUTE(I71,", ",",")&amp;",")),1,0)</f>
        <v>0</v>
      </c>
      <c r="CH71" s="11">
        <f>IF(ISNUMBER(SEARCH(",TS,",","&amp;SUBSTITUTE(I71,", ",",")&amp;",")),1,0)</f>
        <v>0</v>
      </c>
      <c r="CI71" s="11">
        <f>IF(ISNUMBER(SEARCH(",TYMS,",","&amp;SUBSTITUTE(I71,", ",",")&amp;",")),1,0)</f>
        <v>0</v>
      </c>
      <c r="CJ71" s="11">
        <f>IF(ISNUMBER(SEARCH(",VEGF,",","&amp;SUBSTITUTE(I71,", ",",")&amp;",")),1,0)</f>
        <v>0</v>
      </c>
      <c r="CK71" s="11">
        <f>IF(ISNUMBER(SEARCH(",VEGFA,",","&amp;SUBSTITUTE(I71,", ",",")&amp;",")),1,0)</f>
        <v>0</v>
      </c>
      <c r="CL71" s="11">
        <f>IF(ISNUMBER(SEARCH(",VEGFR2,",","&amp;SUBSTITUTE(I71,", ",",")&amp;",")),1,0)</f>
        <v>0</v>
      </c>
      <c r="CM71" s="11">
        <f>IF(ISNUMBER(SEARCH(",c-MET/MET,",","&amp;SUBSTITUTE(I71,", ",",")&amp;",")),1,0)</f>
        <v>0</v>
      </c>
      <c r="CN71" s="11">
        <f>IF(ISNUMBER(SEARCH(",p53,",","&amp;SUBSTITUTE(I71,", ",",")&amp;",")),1,0)</f>
        <v>0</v>
      </c>
      <c r="CO71" s="11">
        <f>IF(ISNUMBER(SEARCH(",pan-KRAS,",","&amp;SUBSTITUTE(I71,", ",",")&amp;",")),1,0)</f>
        <v>0</v>
      </c>
      <c r="CP71" s="11">
        <f>IF(ISNUMBER(SEARCH(",ALK,",","&amp;SUBSTITUTE(K71,", ",",")&amp;",")),1,0)</f>
        <v>0</v>
      </c>
      <c r="CQ71" s="11">
        <f>IF(ISNUMBER(SEARCH(",BRAF V600E,",","&amp;SUBSTITUTE(K71,", ",",")&amp;",")),1,0)</f>
        <v>0</v>
      </c>
      <c r="CR71" s="11">
        <f>IF(ISNUMBER(SEARCH(",EGFR,",","&amp;SUBSTITUTE(K71,", ",",")&amp;",")),1,0)</f>
        <v>0</v>
      </c>
      <c r="CS71" s="11">
        <f>IF(ISNUMBER(SEARCH(",EGFR Exon 18,",","&amp;SUBSTITUTE(K71,", ",",")&amp;",")),1,0)</f>
        <v>0</v>
      </c>
      <c r="CT71" s="11">
        <f>IF(ISNUMBER(SEARCH(",EGFR Exon 19-del,",","&amp;SUBSTITUTE(K71,", ",",")&amp;",")),1,0)</f>
        <v>0</v>
      </c>
      <c r="CU71" s="11">
        <f>IF(ISNUMBER(SEARCH(",EGFR Exon 20,",","&amp;SUBSTITUTE(K71,", ",",")&amp;",")),1,0)</f>
        <v>0</v>
      </c>
      <c r="CV71" s="11">
        <f>IF(ISNUMBER(SEARCH(",EGFR Exon 20-ins,",","&amp;SUBSTITUTE(K71,", ",",")&amp;",")),1,0)</f>
        <v>0</v>
      </c>
      <c r="CW71" s="11">
        <f>IF(ISNUMBER(SEARCH(",EGFR Exon 21,",","&amp;SUBSTITUTE(K71,", ",",")&amp;",")),1,0)</f>
        <v>0</v>
      </c>
      <c r="CX71" s="11">
        <f>IF(ISNUMBER(SEARCH(",EGFR G719A,",","&amp;SUBSTITUTE(K71,", ",",")&amp;",")),1,0)</f>
        <v>0</v>
      </c>
      <c r="CY71" s="11">
        <f>IF(ISNUMBER(SEARCH(",EGFR G719C,",","&amp;SUBSTITUTE(K71,", ",",")&amp;",")),1,0)</f>
        <v>0</v>
      </c>
      <c r="CZ71" s="11">
        <f>IF(ISNUMBER(SEARCH(",EGFR G719S,",","&amp;SUBSTITUTE(K71,", ",",")&amp;",")),1,0)</f>
        <v>0</v>
      </c>
      <c r="DA71" s="11">
        <f>IF(ISNUMBER(SEARCH(",EGFR G719X,",","&amp;SUBSTITUTE(K71,", ",",")&amp;",")),1,0)</f>
        <v>0</v>
      </c>
      <c r="DB71" s="11">
        <f>IF(ISNUMBER(SEARCH(",EGFR L858R,",","&amp;SUBSTITUTE(K71,", ",",")&amp;",")),1,0)</f>
        <v>0</v>
      </c>
      <c r="DC71" s="11">
        <f>IF(ISNUMBER(SEARCH(",EGFR L861Q,",","&amp;SUBSTITUTE(K71,", ",",")&amp;",")),1,0)</f>
        <v>0</v>
      </c>
      <c r="DD71" s="11">
        <f>IF(ISNUMBER(SEARCH(",EGFR PACC,",","&amp;SUBSTITUTE(K71,", ",",")&amp;",")),1,0)</f>
        <v>0</v>
      </c>
      <c r="DE71" s="11">
        <f>IF(ISNUMBER(SEARCH(",EGFR S768I,",","&amp;SUBSTITUTE(K71,", ",",")&amp;",")),1,0)</f>
        <v>0</v>
      </c>
      <c r="DF71" s="11">
        <f>IF(ISNUMBER(SEARCH(",EGFR T790M,",","&amp;SUBSTITUTE(K71,", ",",")&amp;",")),1,0)</f>
        <v>0</v>
      </c>
      <c r="DG71" s="11">
        <f>IF(ISNUMBER(SEARCH(",EML4-ALK,",","&amp;SUBSTITUTE(K71,", ",",")&amp;",")),1,0)</f>
        <v>0</v>
      </c>
      <c r="DH71" s="11">
        <f>IF(ISNUMBER(SEARCH(",HER2,",","&amp;SUBSTITUTE(K71,", ",",")&amp;",")),1,0)</f>
        <v>0</v>
      </c>
      <c r="DI71" s="11">
        <f>IF(ISNUMBER(SEARCH(",HER2 Exon 19,",","&amp;SUBSTITUTE(K71,", ",",")&amp;",")),1,0)</f>
        <v>1</v>
      </c>
      <c r="DJ71" s="11">
        <f>IF(ISNUMBER(SEARCH(",HER2 Exon 20,",","&amp;SUBSTITUTE(K71,", ",",")&amp;",")),1,0)</f>
        <v>1</v>
      </c>
      <c r="DK71" s="11">
        <f>IF(ISNUMBER(SEARCH(",HER2 mut,",","&amp;SUBSTITUTE(K71,", ",",")&amp;",")),1,0)</f>
        <v>1</v>
      </c>
      <c r="DL71" s="11">
        <f>IF(ISNUMBER(SEARCH(",HLA-A2,",","&amp;SUBSTITUTE(K71,", ",",")&amp;",")),1,0)</f>
        <v>0</v>
      </c>
      <c r="DM71" s="11">
        <f>IF(ISNUMBER(SEARCH(",HRAS,",","&amp;SUBSTITUTE(K71,", ",",")&amp;",")),1,0)</f>
        <v>0</v>
      </c>
      <c r="DN71" s="11">
        <f>IF(ISNUMBER(SEARCH(",KRAS,",","&amp;SUBSTITUTE(K71,", ",",")&amp;",")),1,0)</f>
        <v>0</v>
      </c>
      <c r="DO71" s="11">
        <f>IF(ISNUMBER(SEARCH(",KRAS G12C,",","&amp;SUBSTITUTE(K71,", ",",")&amp;",")),1,0)</f>
        <v>0</v>
      </c>
      <c r="DP71" s="11">
        <f>IF(ISNUMBER(SEARCH(",NRAS,",","&amp;SUBSTITUTE(K71,", ",",")&amp;",")),1,0)</f>
        <v>0</v>
      </c>
      <c r="DQ71" s="11">
        <f>IF(ISNUMBER(SEARCH(",NTRK,",","&amp;SUBSTITUTE(K71,", ",",")&amp;",")),1,0)</f>
        <v>0</v>
      </c>
      <c r="DR71" s="11">
        <f>IF(ISNUMBER(SEARCH(",PD-L1,",","&amp;SUBSTITUTE(K71,", ",",")&amp;",")),1,0)</f>
        <v>0</v>
      </c>
      <c r="DS71" s="11">
        <f>IF(ISNUMBER(SEARCH(",PD-L1 IC ≥ 1%,",","&amp;SUBSTITUTE(K71,", ",",")&amp;",")),1,0)</f>
        <v>0</v>
      </c>
      <c r="DT71" s="11">
        <f>IF(ISNUMBER(SEARCH(",PD-L1 TC ≥ 1%,",","&amp;SUBSTITUTE(K71,", ",",")&amp;",")),1,0)</f>
        <v>0</v>
      </c>
      <c r="DU71" s="11">
        <f>IF(ISNUMBER(SEARCH(",PD-L1 TC ≥ 50%,",","&amp;SUBSTITUTE(K71,", ",",")&amp;",")),1,0)</f>
        <v>0</v>
      </c>
      <c r="DV71" s="11">
        <f>IF(ISNUMBER(SEARCH(",PD-L1 TPS &lt; 50%,",","&amp;SUBSTITUTE(K71,", ",",")&amp;",")),1,0)</f>
        <v>0</v>
      </c>
      <c r="DW71" s="11">
        <f>IF(ISNUMBER(SEARCH(",PD-L1 TPS ≥ 1%,",","&amp;SUBSTITUTE(K71,", ",",")&amp;",")),1,0)</f>
        <v>0</v>
      </c>
      <c r="DX71" s="11">
        <f>IF(ISNUMBER(SEARCH(",PD-L1 TPS ≥ 50%,",","&amp;SUBSTITUTE(K71,", ",",")&amp;",")),1,0)</f>
        <v>0</v>
      </c>
      <c r="DY71" s="11">
        <f>IF(ISNUMBER(SEARCH(",RAS,",","&amp;SUBSTITUTE(K71,", ",",")&amp;",")),1,0)</f>
        <v>0</v>
      </c>
      <c r="DZ71" s="11">
        <f>IF(ISNUMBER(SEARCH(",RET,",","&amp;SUBSTITUTE(K71,", ",",")&amp;",")),1,0)</f>
        <v>0</v>
      </c>
      <c r="EA71" s="11">
        <f>IF(ISNUMBER(SEARCH(",ROS1,",","&amp;SUBSTITUTE(K71,", ",",")&amp;",")),1,0)</f>
        <v>0</v>
      </c>
      <c r="EB71" s="11">
        <f>IF(ISNUMBER(SEARCH(",TROP2,",","&amp;SUBSTITUTE(K71,", ",",")&amp;",")),1,0)</f>
        <v>0</v>
      </c>
      <c r="EC71" s="11">
        <f>IF(ISNUMBER(SEARCH(",c-MET/MET,",","&amp;SUBSTITUTE(K71,", ",",")&amp;",")),1,0)</f>
        <v>0</v>
      </c>
      <c r="ED71" s="11">
        <f>IF(ISNUMBER(SEARCH(",c-MET/MET Exon 14,",","&amp;SUBSTITUTE(K71,", ",",")&amp;",")),1,0)</f>
        <v>0</v>
      </c>
      <c r="EE71" s="11">
        <f>IF(ISNUMBER(SEARCH(",ctDNA/cfDNA,",","&amp;SUBSTITUTE(K71,", ",",")&amp;",")),1,0)</f>
        <v>1</v>
      </c>
    </row>
    <row r="72" spans="1:135" ht="15" customHeight="1" x14ac:dyDescent="0.2">
      <c r="A72" s="5" t="s">
        <v>831</v>
      </c>
      <c r="B72" s="5" t="s">
        <v>832</v>
      </c>
      <c r="C72" s="5" t="s">
        <v>833</v>
      </c>
      <c r="D72" s="5" t="s">
        <v>833</v>
      </c>
      <c r="E72" s="5" t="s">
        <v>833</v>
      </c>
      <c r="F72" s="5" t="s">
        <v>572</v>
      </c>
      <c r="G72" s="5" t="s">
        <v>181</v>
      </c>
      <c r="H72" s="5" t="s">
        <v>114</v>
      </c>
      <c r="I72" s="5" t="s">
        <v>1422</v>
      </c>
      <c r="J72" s="5" t="s">
        <v>836</v>
      </c>
      <c r="K72" s="5" t="s">
        <v>1428</v>
      </c>
      <c r="L72" s="5" t="s">
        <v>119</v>
      </c>
      <c r="M72" s="5" t="s">
        <v>113</v>
      </c>
      <c r="N72" s="5" t="s">
        <v>120</v>
      </c>
      <c r="O72" s="5" t="s">
        <v>120</v>
      </c>
      <c r="P72" s="5" t="s">
        <v>1420</v>
      </c>
      <c r="Q72" s="10" t="str">
        <f>IF(F72="Stage IV","Stage IV Only",IF(AND(ISNUMBER(SEARCH("IV",F72)),LEN(F72)&gt;LEN("Stage IV")),"Stage IV + Other",IF(AND(ISNUMBER(SEARCH("III",F72)),NOT(ISNUMBER(SEARCH("IV",F72)))),"Stage III Only","Other")))</f>
        <v>Stage IV + Other</v>
      </c>
      <c r="R72" s="10" t="str">
        <f>IF(AND(ISNUMBER(SEARCH("Non-squamous",G72)),ISNUMBER(SEARCH("Squamous",SUBSTITUTE(G72,"Non-squamous","")))),"Both",IF(ISNUMBER(SEARCH("Non-squamous",G72)),"Non-squamous",IF(ISNUMBER(SEARCH("Squamous",G72)),"Squamous","Unspecified")))</f>
        <v>Non-squamous</v>
      </c>
      <c r="S72" s="10" t="str">
        <f>IF(OR(ISNUMBER(SEARCH("TPS ≥ 50%",K72)),ISNUMBER(SEARCH("TC ≥ 50%",K72))),"TPS ≥ 50%",IF(OR(ISNUMBER(SEARCH("TPS ≥ 1%",K72)),ISNUMBER(SEARCH("TC ≥ 1%",K72)),ISNUMBER(SEARCH("TPS &lt; 50%",K72)),ISNUMBER(SEARCH("IC ≥ 1%",K72))),"TPS 1-49%","All-comers"))</f>
        <v>TPS 1-49%</v>
      </c>
      <c r="T72" s="10">
        <f>IF(H72="Phase III",1,0)</f>
        <v>1</v>
      </c>
      <c r="U72" s="10">
        <f>IF(L72="Yes",1,0)</f>
        <v>0</v>
      </c>
      <c r="V72" s="11">
        <f>IF(ISNUMBER(SEARCH(",ALK,",","&amp;SUBSTITUTE(I72,", ",",")&amp;",")),1,0)</f>
        <v>0</v>
      </c>
      <c r="W72" s="11">
        <f>IF(ISNUMBER(SEARCH(",ALK L1196M,",","&amp;SUBSTITUTE(I72,", ",",")&amp;",")),1,0)</f>
        <v>0</v>
      </c>
      <c r="X72" s="11">
        <f>IF(ISNUMBER(SEARCH(",AXL,",","&amp;SUBSTITUTE(I72,", ",",")&amp;",")),1,0)</f>
        <v>0</v>
      </c>
      <c r="Y72" s="11">
        <f>IF(ISNUMBER(SEARCH(",B7-H1,",","&amp;SUBSTITUTE(I72,", ",",")&amp;",")),1,0)</f>
        <v>0</v>
      </c>
      <c r="Z72" s="11">
        <f>IF(ISNUMBER(SEARCH(",CD152,",","&amp;SUBSTITUTE(I72,", ",",")&amp;",")),1,0)</f>
        <v>0</v>
      </c>
      <c r="AA72" s="11">
        <f>IF(ISNUMBER(SEARCH(",CD274,",","&amp;SUBSTITUTE(I72,", ",",")&amp;",")),1,0)</f>
        <v>0</v>
      </c>
      <c r="AB72" s="11">
        <f>IF(ISNUMBER(SEARCH(",CD279,",","&amp;SUBSTITUTE(I72,", ",",")&amp;",")),1,0)</f>
        <v>1</v>
      </c>
      <c r="AC72" s="11">
        <f>IF(ISNUMBER(SEARCH(",CD73,",","&amp;SUBSTITUTE(I72,", ",",")&amp;",")),1,0)</f>
        <v>0</v>
      </c>
      <c r="AD72" s="11">
        <f>IF(ISNUMBER(SEARCH(",CEA,",","&amp;SUBSTITUTE(I72,", ",",")&amp;",")),1,0)</f>
        <v>0</v>
      </c>
      <c r="AE72" s="11">
        <f>IF(ISNUMBER(SEARCH(",CTLA-4,",","&amp;SUBSTITUTE(I72,", ",",")&amp;",")),1,0)</f>
        <v>0</v>
      </c>
      <c r="AF72" s="11">
        <f>IF(ISNUMBER(SEARCH(",EGFR,",","&amp;SUBSTITUTE(I72,", ",",")&amp;",")),1,0)</f>
        <v>0</v>
      </c>
      <c r="AG72" s="11">
        <f>IF(ISNUMBER(SEARCH(",EGFR C797G,",","&amp;SUBSTITUTE(I72,", ",",")&amp;",")),1,0)</f>
        <v>0</v>
      </c>
      <c r="AH72" s="11">
        <f>IF(ISNUMBER(SEARCH(",EGFR C797S,",","&amp;SUBSTITUTE(I72,", ",",")&amp;",")),1,0)</f>
        <v>0</v>
      </c>
      <c r="AI72" s="11">
        <f>IF(ISNUMBER(SEARCH(",EGFR Exon 19-del,",","&amp;SUBSTITUTE(I72,", ",",")&amp;",")),1,0)</f>
        <v>0</v>
      </c>
      <c r="AJ72" s="11">
        <f>IF(ISNUMBER(SEARCH(",EGFR Exon 20,",","&amp;SUBSTITUTE(I72,", ",",")&amp;",")),1,0)</f>
        <v>0</v>
      </c>
      <c r="AK72" s="11">
        <f>IF(ISNUMBER(SEARCH(",EGFR L858R,",","&amp;SUBSTITUTE(I72,", ",",")&amp;",")),1,0)</f>
        <v>0</v>
      </c>
      <c r="AL72" s="11">
        <f>IF(ISNUMBER(SEARCH(",EGFR T790M,",","&amp;SUBSTITUTE(I72,", ",",")&amp;",")),1,0)</f>
        <v>0</v>
      </c>
      <c r="AM72" s="11">
        <f>IF(ISNUMBER(SEARCH(",ERBB,",","&amp;SUBSTITUTE(I72,", ",",")&amp;",")),1,0)</f>
        <v>0</v>
      </c>
      <c r="AN72" s="11">
        <f>IF(ISNUMBER(SEARCH(",ERBB3,",","&amp;SUBSTITUTE(I72,", ",",")&amp;",")),1,0)</f>
        <v>0</v>
      </c>
      <c r="AO72" s="11">
        <f>IF(ISNUMBER(SEARCH(",FAK,",","&amp;SUBSTITUTE(I72,", ",",")&amp;",")),1,0)</f>
        <v>0</v>
      </c>
      <c r="AP72" s="11">
        <f>IF(ISNUMBER(SEARCH(",GARP,",","&amp;SUBSTITUTE(I72,", ",",")&amp;",")),1,0)</f>
        <v>0</v>
      </c>
      <c r="AQ72" s="11">
        <f>IF(ISNUMBER(SEARCH(",HER1,",","&amp;SUBSTITUTE(I72,", ",",")&amp;",")),1,0)</f>
        <v>0</v>
      </c>
      <c r="AR72" s="11">
        <f>IF(ISNUMBER(SEARCH(",HER2,",","&amp;SUBSTITUTE(I72,", ",",")&amp;",")),1,0)</f>
        <v>1</v>
      </c>
      <c r="AS72" s="11">
        <f>IF(ISNUMBER(SEARCH(",HER2 Exon 20,",","&amp;SUBSTITUTE(I72,", ",",")&amp;",")),1,0)</f>
        <v>0</v>
      </c>
      <c r="AT72" s="11">
        <f>IF(ISNUMBER(SEARCH(",HER3,",","&amp;SUBSTITUTE(I72,", ",",")&amp;",")),1,0)</f>
        <v>0</v>
      </c>
      <c r="AU72" s="11">
        <f>IF(ISNUMBER(SEARCH(",HER4,",","&amp;SUBSTITUTE(I72,", ",",")&amp;",")),1,0)</f>
        <v>0</v>
      </c>
      <c r="AV72" s="11">
        <f>IF(ISNUMBER(SEARCH(",HRAS,",","&amp;SUBSTITUTE(I72,", ",",")&amp;",")),1,0)</f>
        <v>0</v>
      </c>
      <c r="AW72" s="11">
        <f>IF(ISNUMBER(SEARCH(",HSV-TK,",","&amp;SUBSTITUTE(I72,", ",",")&amp;",")),1,0)</f>
        <v>0</v>
      </c>
      <c r="AX72" s="11">
        <f>IF(ISNUMBER(SEARCH(",IL-12,",","&amp;SUBSTITUTE(I72,", ",",")&amp;",")),1,0)</f>
        <v>0</v>
      </c>
      <c r="AY72" s="11">
        <f>IF(ISNUMBER(SEARCH(",IL-15,",","&amp;SUBSTITUTE(I72,", ",",")&amp;",")),1,0)</f>
        <v>0</v>
      </c>
      <c r="AZ72" s="11">
        <f>IF(ISNUMBER(SEARCH(",IL-15R,",","&amp;SUBSTITUTE(I72,", ",",")&amp;",")),1,0)</f>
        <v>0</v>
      </c>
      <c r="BA72" s="11">
        <f>IF(ISNUMBER(SEARCH(",IL-2,",","&amp;SUBSTITUTE(I72,", ",",")&amp;",")),1,0)</f>
        <v>0</v>
      </c>
      <c r="BB72" s="11">
        <f>IF(ISNUMBER(SEARCH(",Integrin β6,",","&amp;SUBSTITUTE(I72,", ",",")&amp;",")),1,0)</f>
        <v>0</v>
      </c>
      <c r="BC72" s="11">
        <f>IF(ISNUMBER(SEARCH(",KDR,",","&amp;SUBSTITUTE(I72,", ",",")&amp;",")),1,0)</f>
        <v>0</v>
      </c>
      <c r="BD72" s="11">
        <f>IF(ISNUMBER(SEARCH(",KLRC1,",","&amp;SUBSTITUTE(I72,", ",",")&amp;",")),1,0)</f>
        <v>0</v>
      </c>
      <c r="BE72" s="11">
        <f>IF(ISNUMBER(SEARCH(",KRAS,",","&amp;SUBSTITUTE(I72,", ",",")&amp;",")),1,0)</f>
        <v>0</v>
      </c>
      <c r="BF72" s="11">
        <f>IF(ISNUMBER(SEARCH(",KRAS G12,",","&amp;SUBSTITUTE(I72,", ",",")&amp;",")),1,0)</f>
        <v>0</v>
      </c>
      <c r="BG72" s="11">
        <f>IF(ISNUMBER(SEARCH(",KRAS G12C,",","&amp;SUBSTITUTE(I72,", ",",")&amp;",")),1,0)</f>
        <v>0</v>
      </c>
      <c r="BH72" s="11">
        <f>IF(ISNUMBER(SEARCH(",KRAS G12D,",","&amp;SUBSTITUTE(I72,", ",",")&amp;",")),1,0)</f>
        <v>0</v>
      </c>
      <c r="BI72" s="11">
        <f>IF(ISNUMBER(SEARCH(",LAG-3,",","&amp;SUBSTITUTE(I72,", ",",")&amp;",")),1,0)</f>
        <v>0</v>
      </c>
      <c r="BJ72" s="11">
        <f>IF(ISNUMBER(SEARCH(",MAGE-A2,",","&amp;SUBSTITUTE(I72,", ",",")&amp;",")),1,0)</f>
        <v>0</v>
      </c>
      <c r="BK72" s="11">
        <f>IF(ISNUMBER(SEARCH(",MAGE-A3,",","&amp;SUBSTITUTE(I72,", ",",")&amp;",")),1,0)</f>
        <v>0</v>
      </c>
      <c r="BL72" s="11">
        <f>IF(ISNUMBER(SEARCH(",MLN19,",","&amp;SUBSTITUTE(I72,", ",",")&amp;",")),1,0)</f>
        <v>1</v>
      </c>
      <c r="BM72" s="11">
        <f>IF(ISNUMBER(SEARCH(",Microtubule,",","&amp;SUBSTITUTE(I72,", ",",")&amp;",")),1,0)</f>
        <v>0</v>
      </c>
      <c r="BN72" s="11">
        <f>IF(ISNUMBER(SEARCH(",NKG2A,",","&amp;SUBSTITUTE(I72,", ",",")&amp;",")),1,0)</f>
        <v>0</v>
      </c>
      <c r="BO72" s="11">
        <f>IF(ISNUMBER(SEARCH(",NRAS,",","&amp;SUBSTITUTE(I72,", ",",")&amp;",")),1,0)</f>
        <v>0</v>
      </c>
      <c r="BP72" s="11">
        <f>IF(ISNUMBER(SEARCH(",NTRK,",","&amp;SUBSTITUTE(I72,", ",",")&amp;",")),1,0)</f>
        <v>0</v>
      </c>
      <c r="BQ72" s="11">
        <f>IF(ISNUMBER(SEARCH(",PARP,",","&amp;SUBSTITUTE(I72,", ",",")&amp;",")),1,0)</f>
        <v>0</v>
      </c>
      <c r="BR72" s="11">
        <f>IF(ISNUMBER(SEARCH(",PD-1,",","&amp;SUBSTITUTE(I72,", ",",")&amp;",")),1,0)</f>
        <v>1</v>
      </c>
      <c r="BS72" s="11">
        <f>IF(ISNUMBER(SEARCH(",PD-L1,",","&amp;SUBSTITUTE(I72,", ",",")&amp;",")),1,0)</f>
        <v>0</v>
      </c>
      <c r="BT72" s="11">
        <f>IF(ISNUMBER(SEARCH(",PRMT5,",","&amp;SUBSTITUTE(I72,", ",",")&amp;",")),1,0)</f>
        <v>0</v>
      </c>
      <c r="BU72" s="11">
        <f>IF(ISNUMBER(SEARCH(",RAS,",","&amp;SUBSTITUTE(I72,", ",",")&amp;",")),1,0)</f>
        <v>0</v>
      </c>
      <c r="BV72" s="11">
        <f>IF(ISNUMBER(SEARCH(",RET,",","&amp;SUBSTITUTE(I72,", ",",")&amp;",")),1,0)</f>
        <v>0</v>
      </c>
      <c r="BW72" s="11">
        <f>IF(ISNUMBER(SEARCH(",ROS,",","&amp;SUBSTITUTE(I72,", ",",")&amp;",")),1,0)</f>
        <v>0</v>
      </c>
      <c r="BX72" s="11">
        <f>IF(ISNUMBER(SEARCH(",ROS1,",","&amp;SUBSTITUTE(I72,", ",",")&amp;",")),1,0)</f>
        <v>0</v>
      </c>
      <c r="BY72" s="11">
        <f>IF(ISNUMBER(SEARCH(",Src,",","&amp;SUBSTITUTE(I72,", ",",")&amp;",")),1,0)</f>
        <v>0</v>
      </c>
      <c r="BZ72" s="11">
        <f>IF(ISNUMBER(SEARCH(",TCGF,",","&amp;SUBSTITUTE(I72,", ",",")&amp;",")),1,0)</f>
        <v>0</v>
      </c>
      <c r="CA72" s="11">
        <f>IF(ISNUMBER(SEARCH(",TGF-β,",","&amp;SUBSTITUTE(I72,", ",",")&amp;",")),1,0)</f>
        <v>0</v>
      </c>
      <c r="CB72" s="11">
        <f>IF(ISNUMBER(SEARCH(",TGF-β1,",","&amp;SUBSTITUTE(I72,", ",",")&amp;",")),1,0)</f>
        <v>0</v>
      </c>
      <c r="CC72" s="11">
        <f>IF(ISNUMBER(SEARCH(",TIGIT,",","&amp;SUBSTITUTE(I72,", ",",")&amp;",")),1,0)</f>
        <v>0</v>
      </c>
      <c r="CD72" s="11">
        <f>IF(ISNUMBER(SEARCH(",TLR,",","&amp;SUBSTITUTE(I72,", ",",")&amp;",")),1,0)</f>
        <v>0</v>
      </c>
      <c r="CE72" s="11">
        <f>IF(ISNUMBER(SEARCH(",TLR7/8,",","&amp;SUBSTITUTE(I72,", ",",")&amp;",")),1,0)</f>
        <v>0</v>
      </c>
      <c r="CF72" s="11">
        <f>IF(ISNUMBER(SEARCH(",TRK,",","&amp;SUBSTITUTE(I72,", ",",")&amp;",")),1,0)</f>
        <v>0</v>
      </c>
      <c r="CG72" s="11">
        <f>IF(ISNUMBER(SEARCH(",TROP2,",","&amp;SUBSTITUTE(I72,", ",",")&amp;",")),1,0)</f>
        <v>0</v>
      </c>
      <c r="CH72" s="11">
        <f>IF(ISNUMBER(SEARCH(",TS,",","&amp;SUBSTITUTE(I72,", ",",")&amp;",")),1,0)</f>
        <v>0</v>
      </c>
      <c r="CI72" s="11">
        <f>IF(ISNUMBER(SEARCH(",TYMS,",","&amp;SUBSTITUTE(I72,", ",",")&amp;",")),1,0)</f>
        <v>0</v>
      </c>
      <c r="CJ72" s="11">
        <f>IF(ISNUMBER(SEARCH(",VEGF,",","&amp;SUBSTITUTE(I72,", ",",")&amp;",")),1,0)</f>
        <v>0</v>
      </c>
      <c r="CK72" s="11">
        <f>IF(ISNUMBER(SEARCH(",VEGFA,",","&amp;SUBSTITUTE(I72,", ",",")&amp;",")),1,0)</f>
        <v>0</v>
      </c>
      <c r="CL72" s="11">
        <f>IF(ISNUMBER(SEARCH(",VEGFR2,",","&amp;SUBSTITUTE(I72,", ",",")&amp;",")),1,0)</f>
        <v>0</v>
      </c>
      <c r="CM72" s="11">
        <f>IF(ISNUMBER(SEARCH(",c-MET/MET,",","&amp;SUBSTITUTE(I72,", ",",")&amp;",")),1,0)</f>
        <v>0</v>
      </c>
      <c r="CN72" s="11">
        <f>IF(ISNUMBER(SEARCH(",p53,",","&amp;SUBSTITUTE(I72,", ",",")&amp;",")),1,0)</f>
        <v>0</v>
      </c>
      <c r="CO72" s="11">
        <f>IF(ISNUMBER(SEARCH(",pan-KRAS,",","&amp;SUBSTITUTE(I72,", ",",")&amp;",")),1,0)</f>
        <v>0</v>
      </c>
      <c r="CP72" s="11">
        <f>IF(ISNUMBER(SEARCH(",ALK,",","&amp;SUBSTITUTE(K72,", ",",")&amp;",")),1,0)</f>
        <v>0</v>
      </c>
      <c r="CQ72" s="11">
        <f>IF(ISNUMBER(SEARCH(",BRAF V600E,",","&amp;SUBSTITUTE(K72,", ",",")&amp;",")),1,0)</f>
        <v>0</v>
      </c>
      <c r="CR72" s="11">
        <f>IF(ISNUMBER(SEARCH(",EGFR,",","&amp;SUBSTITUTE(K72,", ",",")&amp;",")),1,0)</f>
        <v>0</v>
      </c>
      <c r="CS72" s="11">
        <f>IF(ISNUMBER(SEARCH(",EGFR Exon 18,",","&amp;SUBSTITUTE(K72,", ",",")&amp;",")),1,0)</f>
        <v>0</v>
      </c>
      <c r="CT72" s="11">
        <f>IF(ISNUMBER(SEARCH(",EGFR Exon 19-del,",","&amp;SUBSTITUTE(K72,", ",",")&amp;",")),1,0)</f>
        <v>0</v>
      </c>
      <c r="CU72" s="11">
        <f>IF(ISNUMBER(SEARCH(",EGFR Exon 20,",","&amp;SUBSTITUTE(K72,", ",",")&amp;",")),1,0)</f>
        <v>0</v>
      </c>
      <c r="CV72" s="11">
        <f>IF(ISNUMBER(SEARCH(",EGFR Exon 20-ins,",","&amp;SUBSTITUTE(K72,", ",",")&amp;",")),1,0)</f>
        <v>0</v>
      </c>
      <c r="CW72" s="11">
        <f>IF(ISNUMBER(SEARCH(",EGFR Exon 21,",","&amp;SUBSTITUTE(K72,", ",",")&amp;",")),1,0)</f>
        <v>0</v>
      </c>
      <c r="CX72" s="11">
        <f>IF(ISNUMBER(SEARCH(",EGFR G719A,",","&amp;SUBSTITUTE(K72,", ",",")&amp;",")),1,0)</f>
        <v>0</v>
      </c>
      <c r="CY72" s="11">
        <f>IF(ISNUMBER(SEARCH(",EGFR G719C,",","&amp;SUBSTITUTE(K72,", ",",")&amp;",")),1,0)</f>
        <v>0</v>
      </c>
      <c r="CZ72" s="11">
        <f>IF(ISNUMBER(SEARCH(",EGFR G719S,",","&amp;SUBSTITUTE(K72,", ",",")&amp;",")),1,0)</f>
        <v>0</v>
      </c>
      <c r="DA72" s="11">
        <f>IF(ISNUMBER(SEARCH(",EGFR G719X,",","&amp;SUBSTITUTE(K72,", ",",")&amp;",")),1,0)</f>
        <v>0</v>
      </c>
      <c r="DB72" s="11">
        <f>IF(ISNUMBER(SEARCH(",EGFR L858R,",","&amp;SUBSTITUTE(K72,", ",",")&amp;",")),1,0)</f>
        <v>0</v>
      </c>
      <c r="DC72" s="11">
        <f>IF(ISNUMBER(SEARCH(",EGFR L861Q,",","&amp;SUBSTITUTE(K72,", ",",")&amp;",")),1,0)</f>
        <v>0</v>
      </c>
      <c r="DD72" s="11">
        <f>IF(ISNUMBER(SEARCH(",EGFR PACC,",","&amp;SUBSTITUTE(K72,", ",",")&amp;",")),1,0)</f>
        <v>0</v>
      </c>
      <c r="DE72" s="11">
        <f>IF(ISNUMBER(SEARCH(",EGFR S768I,",","&amp;SUBSTITUTE(K72,", ",",")&amp;",")),1,0)</f>
        <v>0</v>
      </c>
      <c r="DF72" s="11">
        <f>IF(ISNUMBER(SEARCH(",EGFR T790M,",","&amp;SUBSTITUTE(K72,", ",",")&amp;",")),1,0)</f>
        <v>0</v>
      </c>
      <c r="DG72" s="11">
        <f>IF(ISNUMBER(SEARCH(",EML4-ALK,",","&amp;SUBSTITUTE(K72,", ",",")&amp;",")),1,0)</f>
        <v>0</v>
      </c>
      <c r="DH72" s="11">
        <f>IF(ISNUMBER(SEARCH(",HER2,",","&amp;SUBSTITUTE(K72,", ",",")&amp;",")),1,0)</f>
        <v>1</v>
      </c>
      <c r="DI72" s="11">
        <f>IF(ISNUMBER(SEARCH(",HER2 Exon 19,",","&amp;SUBSTITUTE(K72,", ",",")&amp;",")),1,0)</f>
        <v>0</v>
      </c>
      <c r="DJ72" s="11">
        <f>IF(ISNUMBER(SEARCH(",HER2 Exon 20,",","&amp;SUBSTITUTE(K72,", ",",")&amp;",")),1,0)</f>
        <v>0</v>
      </c>
      <c r="DK72" s="11">
        <f>IF(ISNUMBER(SEARCH(",HER2 mut,",","&amp;SUBSTITUTE(K72,", ",",")&amp;",")),1,0)</f>
        <v>0</v>
      </c>
      <c r="DL72" s="11">
        <f>IF(ISNUMBER(SEARCH(",HLA-A2,",","&amp;SUBSTITUTE(K72,", ",",")&amp;",")),1,0)</f>
        <v>0</v>
      </c>
      <c r="DM72" s="11">
        <f>IF(ISNUMBER(SEARCH(",HRAS,",","&amp;SUBSTITUTE(K72,", ",",")&amp;",")),1,0)</f>
        <v>0</v>
      </c>
      <c r="DN72" s="11">
        <f>IF(ISNUMBER(SEARCH(",KRAS,",","&amp;SUBSTITUTE(K72,", ",",")&amp;",")),1,0)</f>
        <v>0</v>
      </c>
      <c r="DO72" s="11">
        <f>IF(ISNUMBER(SEARCH(",KRAS G12C,",","&amp;SUBSTITUTE(K72,", ",",")&amp;",")),1,0)</f>
        <v>0</v>
      </c>
      <c r="DP72" s="11">
        <f>IF(ISNUMBER(SEARCH(",NRAS,",","&amp;SUBSTITUTE(K72,", ",",")&amp;",")),1,0)</f>
        <v>0</v>
      </c>
      <c r="DQ72" s="11">
        <f>IF(ISNUMBER(SEARCH(",NTRK,",","&amp;SUBSTITUTE(K72,", ",",")&amp;",")),1,0)</f>
        <v>0</v>
      </c>
      <c r="DR72" s="11">
        <f>IF(ISNUMBER(SEARCH(",PD-L1,",","&amp;SUBSTITUTE(K72,", ",",")&amp;",")),1,0)</f>
        <v>0</v>
      </c>
      <c r="DS72" s="11">
        <f>IF(ISNUMBER(SEARCH(",PD-L1 IC ≥ 1%,",","&amp;SUBSTITUTE(K72,", ",",")&amp;",")),1,0)</f>
        <v>0</v>
      </c>
      <c r="DT72" s="11">
        <f>IF(ISNUMBER(SEARCH(",PD-L1 TC ≥ 1%,",","&amp;SUBSTITUTE(K72,", ",",")&amp;",")),1,0)</f>
        <v>0</v>
      </c>
      <c r="DU72" s="11">
        <f>IF(ISNUMBER(SEARCH(",PD-L1 TC ≥ 50%,",","&amp;SUBSTITUTE(K72,", ",",")&amp;",")),1,0)</f>
        <v>0</v>
      </c>
      <c r="DV72" s="11">
        <f>IF(ISNUMBER(SEARCH(",PD-L1 TPS &lt; 50%,",","&amp;SUBSTITUTE(K72,", ",",")&amp;",")),1,0)</f>
        <v>1</v>
      </c>
      <c r="DW72" s="11">
        <f>IF(ISNUMBER(SEARCH(",PD-L1 TPS ≥ 1%,",","&amp;SUBSTITUTE(K72,", ",",")&amp;",")),1,0)</f>
        <v>0</v>
      </c>
      <c r="DX72" s="11">
        <f>IF(ISNUMBER(SEARCH(",PD-L1 TPS ≥ 50%,",","&amp;SUBSTITUTE(K72,", ",",")&amp;",")),1,0)</f>
        <v>0</v>
      </c>
      <c r="DY72" s="11">
        <f>IF(ISNUMBER(SEARCH(",RAS,",","&amp;SUBSTITUTE(K72,", ",",")&amp;",")),1,0)</f>
        <v>0</v>
      </c>
      <c r="DZ72" s="11">
        <f>IF(ISNUMBER(SEARCH(",RET,",","&amp;SUBSTITUTE(K72,", ",",")&amp;",")),1,0)</f>
        <v>0</v>
      </c>
      <c r="EA72" s="11">
        <f>IF(ISNUMBER(SEARCH(",ROS1,",","&amp;SUBSTITUTE(K72,", ",",")&amp;",")),1,0)</f>
        <v>0</v>
      </c>
      <c r="EB72" s="11">
        <f>IF(ISNUMBER(SEARCH(",TROP2,",","&amp;SUBSTITUTE(K72,", ",",")&amp;",")),1,0)</f>
        <v>0</v>
      </c>
      <c r="EC72" s="11">
        <f>IF(ISNUMBER(SEARCH(",c-MET/MET,",","&amp;SUBSTITUTE(K72,", ",",")&amp;",")),1,0)</f>
        <v>0</v>
      </c>
      <c r="ED72" s="11">
        <f>IF(ISNUMBER(SEARCH(",c-MET/MET Exon 14,",","&amp;SUBSTITUTE(K72,", ",",")&amp;",")),1,0)</f>
        <v>0</v>
      </c>
      <c r="EE72" s="11">
        <f>IF(ISNUMBER(SEARCH(",ctDNA/cfDNA,",","&amp;SUBSTITUTE(K72,", ",",")&amp;",")),1,0)</f>
        <v>0</v>
      </c>
    </row>
    <row r="73" spans="1:135" ht="15" customHeight="1" x14ac:dyDescent="0.2">
      <c r="A73" s="5" t="s">
        <v>1213</v>
      </c>
      <c r="B73" s="5" t="s">
        <v>1215</v>
      </c>
      <c r="C73" s="5" t="s">
        <v>1216</v>
      </c>
      <c r="D73" s="5" t="s">
        <v>1216</v>
      </c>
      <c r="E73" s="5" t="s">
        <v>1216</v>
      </c>
      <c r="F73" s="5" t="s">
        <v>259</v>
      </c>
      <c r="G73" s="5" t="s">
        <v>283</v>
      </c>
      <c r="H73" s="5" t="s">
        <v>114</v>
      </c>
      <c r="I73" s="5" t="s">
        <v>1220</v>
      </c>
      <c r="J73" s="5" t="s">
        <v>1219</v>
      </c>
      <c r="K73" s="5"/>
      <c r="L73" s="5" t="s">
        <v>119</v>
      </c>
      <c r="M73" s="5" t="s">
        <v>113</v>
      </c>
      <c r="N73" s="5" t="s">
        <v>120</v>
      </c>
      <c r="O73" s="5" t="s">
        <v>120</v>
      </c>
      <c r="P73" s="5" t="s">
        <v>1217</v>
      </c>
      <c r="Q73" s="10" t="str">
        <f>IF(F73="Stage IV","Stage IV Only",IF(AND(ISNUMBER(SEARCH("IV",F73)),LEN(F73)&gt;LEN("Stage IV")),"Stage IV + Other",IF(AND(ISNUMBER(SEARCH("III",F73)),NOT(ISNUMBER(SEARCH("IV",F73)))),"Stage III Only","Other")))</f>
        <v>Stage IV Only</v>
      </c>
      <c r="R73" s="10" t="str">
        <f>IF(AND(ISNUMBER(SEARCH("Non-squamous",G73)),ISNUMBER(SEARCH("Squamous",SUBSTITUTE(G73,"Non-squamous","")))),"Both",IF(ISNUMBER(SEARCH("Non-squamous",G73)),"Non-squamous",IF(ISNUMBER(SEARCH("Squamous",G73)),"Squamous","Unspecified")))</f>
        <v>Both</v>
      </c>
      <c r="S73" s="10" t="str">
        <f>IF(OR(ISNUMBER(SEARCH("TPS ≥ 50%",K73)),ISNUMBER(SEARCH("TC ≥ 50%",K73))),"TPS ≥ 50%",IF(OR(ISNUMBER(SEARCH("TPS ≥ 1%",K73)),ISNUMBER(SEARCH("TC ≥ 1%",K73)),ISNUMBER(SEARCH("TPS &lt; 50%",K73)),ISNUMBER(SEARCH("IC ≥ 1%",K73))),"TPS 1-49%","All-comers"))</f>
        <v>All-comers</v>
      </c>
      <c r="T73" s="10">
        <f>IF(H73="Phase III",1,0)</f>
        <v>1</v>
      </c>
      <c r="U73" s="10">
        <f>IF(L73="Yes",1,0)</f>
        <v>0</v>
      </c>
      <c r="V73" s="11">
        <f>IF(ISNUMBER(SEARCH(",ALK,",","&amp;SUBSTITUTE(I73,", ",",")&amp;",")),1,0)</f>
        <v>0</v>
      </c>
      <c r="W73" s="11">
        <f>IF(ISNUMBER(SEARCH(",ALK L1196M,",","&amp;SUBSTITUTE(I73,", ",",")&amp;",")),1,0)</f>
        <v>0</v>
      </c>
      <c r="X73" s="11">
        <f>IF(ISNUMBER(SEARCH(",AXL,",","&amp;SUBSTITUTE(I73,", ",",")&amp;",")),1,0)</f>
        <v>0</v>
      </c>
      <c r="Y73" s="11">
        <f>IF(ISNUMBER(SEARCH(",B7-H1,",","&amp;SUBSTITUTE(I73,", ",",")&amp;",")),1,0)</f>
        <v>0</v>
      </c>
      <c r="Z73" s="11">
        <f>IF(ISNUMBER(SEARCH(",CD152,",","&amp;SUBSTITUTE(I73,", ",",")&amp;",")),1,0)</f>
        <v>0</v>
      </c>
      <c r="AA73" s="11">
        <f>IF(ISNUMBER(SEARCH(",CD274,",","&amp;SUBSTITUTE(I73,", ",",")&amp;",")),1,0)</f>
        <v>0</v>
      </c>
      <c r="AB73" s="11">
        <f>IF(ISNUMBER(SEARCH(",CD279,",","&amp;SUBSTITUTE(I73,", ",",")&amp;",")),1,0)</f>
        <v>1</v>
      </c>
      <c r="AC73" s="11">
        <f>IF(ISNUMBER(SEARCH(",CD73,",","&amp;SUBSTITUTE(I73,", ",",")&amp;",")),1,0)</f>
        <v>0</v>
      </c>
      <c r="AD73" s="11">
        <f>IF(ISNUMBER(SEARCH(",CEA,",","&amp;SUBSTITUTE(I73,", ",",")&amp;",")),1,0)</f>
        <v>0</v>
      </c>
      <c r="AE73" s="11">
        <f>IF(ISNUMBER(SEARCH(",CTLA-4,",","&amp;SUBSTITUTE(I73,", ",",")&amp;",")),1,0)</f>
        <v>0</v>
      </c>
      <c r="AF73" s="11">
        <f>IF(ISNUMBER(SEARCH(",EGFR,",","&amp;SUBSTITUTE(I73,", ",",")&amp;",")),1,0)</f>
        <v>0</v>
      </c>
      <c r="AG73" s="11">
        <f>IF(ISNUMBER(SEARCH(",EGFR C797G,",","&amp;SUBSTITUTE(I73,", ",",")&amp;",")),1,0)</f>
        <v>0</v>
      </c>
      <c r="AH73" s="11">
        <f>IF(ISNUMBER(SEARCH(",EGFR C797S,",","&amp;SUBSTITUTE(I73,", ",",")&amp;",")),1,0)</f>
        <v>0</v>
      </c>
      <c r="AI73" s="11">
        <f>IF(ISNUMBER(SEARCH(",EGFR Exon 19-del,",","&amp;SUBSTITUTE(I73,", ",",")&amp;",")),1,0)</f>
        <v>0</v>
      </c>
      <c r="AJ73" s="11">
        <f>IF(ISNUMBER(SEARCH(",EGFR Exon 20,",","&amp;SUBSTITUTE(I73,", ",",")&amp;",")),1,0)</f>
        <v>0</v>
      </c>
      <c r="AK73" s="11">
        <f>IF(ISNUMBER(SEARCH(",EGFR L858R,",","&amp;SUBSTITUTE(I73,", ",",")&amp;",")),1,0)</f>
        <v>0</v>
      </c>
      <c r="AL73" s="11">
        <f>IF(ISNUMBER(SEARCH(",EGFR T790M,",","&amp;SUBSTITUTE(I73,", ",",")&amp;",")),1,0)</f>
        <v>0</v>
      </c>
      <c r="AM73" s="11">
        <f>IF(ISNUMBER(SEARCH(",ERBB,",","&amp;SUBSTITUTE(I73,", ",",")&amp;",")),1,0)</f>
        <v>0</v>
      </c>
      <c r="AN73" s="11">
        <f>IF(ISNUMBER(SEARCH(",ERBB3,",","&amp;SUBSTITUTE(I73,", ",",")&amp;",")),1,0)</f>
        <v>0</v>
      </c>
      <c r="AO73" s="11">
        <f>IF(ISNUMBER(SEARCH(",FAK,",","&amp;SUBSTITUTE(I73,", ",",")&amp;",")),1,0)</f>
        <v>0</v>
      </c>
      <c r="AP73" s="11">
        <f>IF(ISNUMBER(SEARCH(",GARP,",","&amp;SUBSTITUTE(I73,", ",",")&amp;",")),1,0)</f>
        <v>0</v>
      </c>
      <c r="AQ73" s="11">
        <f>IF(ISNUMBER(SEARCH(",HER1,",","&amp;SUBSTITUTE(I73,", ",",")&amp;",")),1,0)</f>
        <v>0</v>
      </c>
      <c r="AR73" s="11">
        <f>IF(ISNUMBER(SEARCH(",HER2,",","&amp;SUBSTITUTE(I73,", ",",")&amp;",")),1,0)</f>
        <v>0</v>
      </c>
      <c r="AS73" s="11">
        <f>IF(ISNUMBER(SEARCH(",HER2 Exon 20,",","&amp;SUBSTITUTE(I73,", ",",")&amp;",")),1,0)</f>
        <v>0</v>
      </c>
      <c r="AT73" s="11">
        <f>IF(ISNUMBER(SEARCH(",HER3,",","&amp;SUBSTITUTE(I73,", ",",")&amp;",")),1,0)</f>
        <v>0</v>
      </c>
      <c r="AU73" s="11">
        <f>IF(ISNUMBER(SEARCH(",HER4,",","&amp;SUBSTITUTE(I73,", ",",")&amp;",")),1,0)</f>
        <v>0</v>
      </c>
      <c r="AV73" s="11">
        <f>IF(ISNUMBER(SEARCH(",HRAS,",","&amp;SUBSTITUTE(I73,", ",",")&amp;",")),1,0)</f>
        <v>0</v>
      </c>
      <c r="AW73" s="11">
        <f>IF(ISNUMBER(SEARCH(",HSV-TK,",","&amp;SUBSTITUTE(I73,", ",",")&amp;",")),1,0)</f>
        <v>0</v>
      </c>
      <c r="AX73" s="11">
        <f>IF(ISNUMBER(SEARCH(",IL-12,",","&amp;SUBSTITUTE(I73,", ",",")&amp;",")),1,0)</f>
        <v>0</v>
      </c>
      <c r="AY73" s="11">
        <f>IF(ISNUMBER(SEARCH(",IL-15,",","&amp;SUBSTITUTE(I73,", ",",")&amp;",")),1,0)</f>
        <v>0</v>
      </c>
      <c r="AZ73" s="11">
        <f>IF(ISNUMBER(SEARCH(",IL-15R,",","&amp;SUBSTITUTE(I73,", ",",")&amp;",")),1,0)</f>
        <v>0</v>
      </c>
      <c r="BA73" s="11">
        <f>IF(ISNUMBER(SEARCH(",IL-2,",","&amp;SUBSTITUTE(I73,", ",",")&amp;",")),1,0)</f>
        <v>0</v>
      </c>
      <c r="BB73" s="11">
        <f>IF(ISNUMBER(SEARCH(",Integrin β6,",","&amp;SUBSTITUTE(I73,", ",",")&amp;",")),1,0)</f>
        <v>0</v>
      </c>
      <c r="BC73" s="11">
        <f>IF(ISNUMBER(SEARCH(",KDR,",","&amp;SUBSTITUTE(I73,", ",",")&amp;",")),1,0)</f>
        <v>0</v>
      </c>
      <c r="BD73" s="11">
        <f>IF(ISNUMBER(SEARCH(",KLRC1,",","&amp;SUBSTITUTE(I73,", ",",")&amp;",")),1,0)</f>
        <v>0</v>
      </c>
      <c r="BE73" s="11">
        <f>IF(ISNUMBER(SEARCH(",KRAS,",","&amp;SUBSTITUTE(I73,", ",",")&amp;",")),1,0)</f>
        <v>0</v>
      </c>
      <c r="BF73" s="11">
        <f>IF(ISNUMBER(SEARCH(",KRAS G12,",","&amp;SUBSTITUTE(I73,", ",",")&amp;",")),1,0)</f>
        <v>0</v>
      </c>
      <c r="BG73" s="11">
        <f>IF(ISNUMBER(SEARCH(",KRAS G12C,",","&amp;SUBSTITUTE(I73,", ",",")&amp;",")),1,0)</f>
        <v>0</v>
      </c>
      <c r="BH73" s="11">
        <f>IF(ISNUMBER(SEARCH(",KRAS G12D,",","&amp;SUBSTITUTE(I73,", ",",")&amp;",")),1,0)</f>
        <v>0</v>
      </c>
      <c r="BI73" s="11">
        <f>IF(ISNUMBER(SEARCH(",LAG-3,",","&amp;SUBSTITUTE(I73,", ",",")&amp;",")),1,0)</f>
        <v>0</v>
      </c>
      <c r="BJ73" s="11">
        <f>IF(ISNUMBER(SEARCH(",MAGE-A2,",","&amp;SUBSTITUTE(I73,", ",",")&amp;",")),1,0)</f>
        <v>0</v>
      </c>
      <c r="BK73" s="11">
        <f>IF(ISNUMBER(SEARCH(",MAGE-A3,",","&amp;SUBSTITUTE(I73,", ",",")&amp;",")),1,0)</f>
        <v>0</v>
      </c>
      <c r="BL73" s="11">
        <f>IF(ISNUMBER(SEARCH(",MLN19,",","&amp;SUBSTITUTE(I73,", ",",")&amp;",")),1,0)</f>
        <v>0</v>
      </c>
      <c r="BM73" s="11">
        <f>IF(ISNUMBER(SEARCH(",Microtubule,",","&amp;SUBSTITUTE(I73,", ",",")&amp;",")),1,0)</f>
        <v>0</v>
      </c>
      <c r="BN73" s="11">
        <f>IF(ISNUMBER(SEARCH(",NKG2A,",","&amp;SUBSTITUTE(I73,", ",",")&amp;",")),1,0)</f>
        <v>0</v>
      </c>
      <c r="BO73" s="11">
        <f>IF(ISNUMBER(SEARCH(",NRAS,",","&amp;SUBSTITUTE(I73,", ",",")&amp;",")),1,0)</f>
        <v>0</v>
      </c>
      <c r="BP73" s="11">
        <f>IF(ISNUMBER(SEARCH(",NTRK,",","&amp;SUBSTITUTE(I73,", ",",")&amp;",")),1,0)</f>
        <v>0</v>
      </c>
      <c r="BQ73" s="11">
        <f>IF(ISNUMBER(SEARCH(",PARP,",","&amp;SUBSTITUTE(I73,", ",",")&amp;",")),1,0)</f>
        <v>0</v>
      </c>
      <c r="BR73" s="11">
        <f>IF(ISNUMBER(SEARCH(",PD-1,",","&amp;SUBSTITUTE(I73,", ",",")&amp;",")),1,0)</f>
        <v>1</v>
      </c>
      <c r="BS73" s="11">
        <f>IF(ISNUMBER(SEARCH(",PD-L1,",","&amp;SUBSTITUTE(I73,", ",",")&amp;",")),1,0)</f>
        <v>0</v>
      </c>
      <c r="BT73" s="11">
        <f>IF(ISNUMBER(SEARCH(",PRMT5,",","&amp;SUBSTITUTE(I73,", ",",")&amp;",")),1,0)</f>
        <v>0</v>
      </c>
      <c r="BU73" s="11">
        <f>IF(ISNUMBER(SEARCH(",RAS,",","&amp;SUBSTITUTE(I73,", ",",")&amp;",")),1,0)</f>
        <v>0</v>
      </c>
      <c r="BV73" s="11">
        <f>IF(ISNUMBER(SEARCH(",RET,",","&amp;SUBSTITUTE(I73,", ",",")&amp;",")),1,0)</f>
        <v>0</v>
      </c>
      <c r="BW73" s="11">
        <f>IF(ISNUMBER(SEARCH(",ROS,",","&amp;SUBSTITUTE(I73,", ",",")&amp;",")),1,0)</f>
        <v>0</v>
      </c>
      <c r="BX73" s="11">
        <f>IF(ISNUMBER(SEARCH(",ROS1,",","&amp;SUBSTITUTE(I73,", ",",")&amp;",")),1,0)</f>
        <v>0</v>
      </c>
      <c r="BY73" s="11">
        <f>IF(ISNUMBER(SEARCH(",Src,",","&amp;SUBSTITUTE(I73,", ",",")&amp;",")),1,0)</f>
        <v>0</v>
      </c>
      <c r="BZ73" s="11">
        <f>IF(ISNUMBER(SEARCH(",TCGF,",","&amp;SUBSTITUTE(I73,", ",",")&amp;",")),1,0)</f>
        <v>0</v>
      </c>
      <c r="CA73" s="11">
        <f>IF(ISNUMBER(SEARCH(",TGF-β,",","&amp;SUBSTITUTE(I73,", ",",")&amp;",")),1,0)</f>
        <v>0</v>
      </c>
      <c r="CB73" s="11">
        <f>IF(ISNUMBER(SEARCH(",TGF-β1,",","&amp;SUBSTITUTE(I73,", ",",")&amp;",")),1,0)</f>
        <v>0</v>
      </c>
      <c r="CC73" s="11">
        <f>IF(ISNUMBER(SEARCH(",TIGIT,",","&amp;SUBSTITUTE(I73,", ",",")&amp;",")),1,0)</f>
        <v>0</v>
      </c>
      <c r="CD73" s="11">
        <f>IF(ISNUMBER(SEARCH(",TLR,",","&amp;SUBSTITUTE(I73,", ",",")&amp;",")),1,0)</f>
        <v>0</v>
      </c>
      <c r="CE73" s="11">
        <f>IF(ISNUMBER(SEARCH(",TLR7/8,",","&amp;SUBSTITUTE(I73,", ",",")&amp;",")),1,0)</f>
        <v>0</v>
      </c>
      <c r="CF73" s="11">
        <f>IF(ISNUMBER(SEARCH(",TRK,",","&amp;SUBSTITUTE(I73,", ",",")&amp;",")),1,0)</f>
        <v>0</v>
      </c>
      <c r="CG73" s="11">
        <f>IF(ISNUMBER(SEARCH(",TROP2,",","&amp;SUBSTITUTE(I73,", ",",")&amp;",")),1,0)</f>
        <v>0</v>
      </c>
      <c r="CH73" s="11">
        <f>IF(ISNUMBER(SEARCH(",TS,",","&amp;SUBSTITUTE(I73,", ",",")&amp;",")),1,0)</f>
        <v>0</v>
      </c>
      <c r="CI73" s="11">
        <f>IF(ISNUMBER(SEARCH(",TYMS,",","&amp;SUBSTITUTE(I73,", ",",")&amp;",")),1,0)</f>
        <v>0</v>
      </c>
      <c r="CJ73" s="11">
        <f>IF(ISNUMBER(SEARCH(",VEGF,",","&amp;SUBSTITUTE(I73,", ",",")&amp;",")),1,0)</f>
        <v>0</v>
      </c>
      <c r="CK73" s="11">
        <f>IF(ISNUMBER(SEARCH(",VEGFA,",","&amp;SUBSTITUTE(I73,", ",",")&amp;",")),1,0)</f>
        <v>0</v>
      </c>
      <c r="CL73" s="11">
        <f>IF(ISNUMBER(SEARCH(",VEGFR2,",","&amp;SUBSTITUTE(I73,", ",",")&amp;",")),1,0)</f>
        <v>0</v>
      </c>
      <c r="CM73" s="11">
        <f>IF(ISNUMBER(SEARCH(",c-MET/MET,",","&amp;SUBSTITUTE(I73,", ",",")&amp;",")),1,0)</f>
        <v>0</v>
      </c>
      <c r="CN73" s="11">
        <f>IF(ISNUMBER(SEARCH(",p53,",","&amp;SUBSTITUTE(I73,", ",",")&amp;",")),1,0)</f>
        <v>0</v>
      </c>
      <c r="CO73" s="11">
        <f>IF(ISNUMBER(SEARCH(",pan-KRAS,",","&amp;SUBSTITUTE(I73,", ",",")&amp;",")),1,0)</f>
        <v>0</v>
      </c>
      <c r="CP73" s="11">
        <f>IF(ISNUMBER(SEARCH(",ALK,",","&amp;SUBSTITUTE(K73,", ",",")&amp;",")),1,0)</f>
        <v>0</v>
      </c>
      <c r="CQ73" s="11">
        <f>IF(ISNUMBER(SEARCH(",BRAF V600E,",","&amp;SUBSTITUTE(K73,", ",",")&amp;",")),1,0)</f>
        <v>0</v>
      </c>
      <c r="CR73" s="11">
        <f>IF(ISNUMBER(SEARCH(",EGFR,",","&amp;SUBSTITUTE(K73,", ",",")&amp;",")),1,0)</f>
        <v>0</v>
      </c>
      <c r="CS73" s="11">
        <f>IF(ISNUMBER(SEARCH(",EGFR Exon 18,",","&amp;SUBSTITUTE(K73,", ",",")&amp;",")),1,0)</f>
        <v>0</v>
      </c>
      <c r="CT73" s="11">
        <f>IF(ISNUMBER(SEARCH(",EGFR Exon 19-del,",","&amp;SUBSTITUTE(K73,", ",",")&amp;",")),1,0)</f>
        <v>0</v>
      </c>
      <c r="CU73" s="11">
        <f>IF(ISNUMBER(SEARCH(",EGFR Exon 20,",","&amp;SUBSTITUTE(K73,", ",",")&amp;",")),1,0)</f>
        <v>0</v>
      </c>
      <c r="CV73" s="11">
        <f>IF(ISNUMBER(SEARCH(",EGFR Exon 20-ins,",","&amp;SUBSTITUTE(K73,", ",",")&amp;",")),1,0)</f>
        <v>0</v>
      </c>
      <c r="CW73" s="11">
        <f>IF(ISNUMBER(SEARCH(",EGFR Exon 21,",","&amp;SUBSTITUTE(K73,", ",",")&amp;",")),1,0)</f>
        <v>0</v>
      </c>
      <c r="CX73" s="11">
        <f>IF(ISNUMBER(SEARCH(",EGFR G719A,",","&amp;SUBSTITUTE(K73,", ",",")&amp;",")),1,0)</f>
        <v>0</v>
      </c>
      <c r="CY73" s="11">
        <f>IF(ISNUMBER(SEARCH(",EGFR G719C,",","&amp;SUBSTITUTE(K73,", ",",")&amp;",")),1,0)</f>
        <v>0</v>
      </c>
      <c r="CZ73" s="11">
        <f>IF(ISNUMBER(SEARCH(",EGFR G719S,",","&amp;SUBSTITUTE(K73,", ",",")&amp;",")),1,0)</f>
        <v>0</v>
      </c>
      <c r="DA73" s="11">
        <f>IF(ISNUMBER(SEARCH(",EGFR G719X,",","&amp;SUBSTITUTE(K73,", ",",")&amp;",")),1,0)</f>
        <v>0</v>
      </c>
      <c r="DB73" s="11">
        <f>IF(ISNUMBER(SEARCH(",EGFR L858R,",","&amp;SUBSTITUTE(K73,", ",",")&amp;",")),1,0)</f>
        <v>0</v>
      </c>
      <c r="DC73" s="11">
        <f>IF(ISNUMBER(SEARCH(",EGFR L861Q,",","&amp;SUBSTITUTE(K73,", ",",")&amp;",")),1,0)</f>
        <v>0</v>
      </c>
      <c r="DD73" s="11">
        <f>IF(ISNUMBER(SEARCH(",EGFR PACC,",","&amp;SUBSTITUTE(K73,", ",",")&amp;",")),1,0)</f>
        <v>0</v>
      </c>
      <c r="DE73" s="11">
        <f>IF(ISNUMBER(SEARCH(",EGFR S768I,",","&amp;SUBSTITUTE(K73,", ",",")&amp;",")),1,0)</f>
        <v>0</v>
      </c>
      <c r="DF73" s="11">
        <f>IF(ISNUMBER(SEARCH(",EGFR T790M,",","&amp;SUBSTITUTE(K73,", ",",")&amp;",")),1,0)</f>
        <v>0</v>
      </c>
      <c r="DG73" s="11">
        <f>IF(ISNUMBER(SEARCH(",EML4-ALK,",","&amp;SUBSTITUTE(K73,", ",",")&amp;",")),1,0)</f>
        <v>0</v>
      </c>
      <c r="DH73" s="11">
        <f>IF(ISNUMBER(SEARCH(",HER2,",","&amp;SUBSTITUTE(K73,", ",",")&amp;",")),1,0)</f>
        <v>0</v>
      </c>
      <c r="DI73" s="11">
        <f>IF(ISNUMBER(SEARCH(",HER2 Exon 19,",","&amp;SUBSTITUTE(K73,", ",",")&amp;",")),1,0)</f>
        <v>0</v>
      </c>
      <c r="DJ73" s="11">
        <f>IF(ISNUMBER(SEARCH(",HER2 Exon 20,",","&amp;SUBSTITUTE(K73,", ",",")&amp;",")),1,0)</f>
        <v>0</v>
      </c>
      <c r="DK73" s="11">
        <f>IF(ISNUMBER(SEARCH(",HER2 mut,",","&amp;SUBSTITUTE(K73,", ",",")&amp;",")),1,0)</f>
        <v>0</v>
      </c>
      <c r="DL73" s="11">
        <f>IF(ISNUMBER(SEARCH(",HLA-A2,",","&amp;SUBSTITUTE(K73,", ",",")&amp;",")),1,0)</f>
        <v>0</v>
      </c>
      <c r="DM73" s="11">
        <f>IF(ISNUMBER(SEARCH(",HRAS,",","&amp;SUBSTITUTE(K73,", ",",")&amp;",")),1,0)</f>
        <v>0</v>
      </c>
      <c r="DN73" s="11">
        <f>IF(ISNUMBER(SEARCH(",KRAS,",","&amp;SUBSTITUTE(K73,", ",",")&amp;",")),1,0)</f>
        <v>0</v>
      </c>
      <c r="DO73" s="11">
        <f>IF(ISNUMBER(SEARCH(",KRAS G12C,",","&amp;SUBSTITUTE(K73,", ",",")&amp;",")),1,0)</f>
        <v>0</v>
      </c>
      <c r="DP73" s="11">
        <f>IF(ISNUMBER(SEARCH(",NRAS,",","&amp;SUBSTITUTE(K73,", ",",")&amp;",")),1,0)</f>
        <v>0</v>
      </c>
      <c r="DQ73" s="11">
        <f>IF(ISNUMBER(SEARCH(",NTRK,",","&amp;SUBSTITUTE(K73,", ",",")&amp;",")),1,0)</f>
        <v>0</v>
      </c>
      <c r="DR73" s="11">
        <f>IF(ISNUMBER(SEARCH(",PD-L1,",","&amp;SUBSTITUTE(K73,", ",",")&amp;",")),1,0)</f>
        <v>0</v>
      </c>
      <c r="DS73" s="11">
        <f>IF(ISNUMBER(SEARCH(",PD-L1 IC ≥ 1%,",","&amp;SUBSTITUTE(K73,", ",",")&amp;",")),1,0)</f>
        <v>0</v>
      </c>
      <c r="DT73" s="11">
        <f>IF(ISNUMBER(SEARCH(",PD-L1 TC ≥ 1%,",","&amp;SUBSTITUTE(K73,", ",",")&amp;",")),1,0)</f>
        <v>0</v>
      </c>
      <c r="DU73" s="11">
        <f>IF(ISNUMBER(SEARCH(",PD-L1 TC ≥ 50%,",","&amp;SUBSTITUTE(K73,", ",",")&amp;",")),1,0)</f>
        <v>0</v>
      </c>
      <c r="DV73" s="11">
        <f>IF(ISNUMBER(SEARCH(",PD-L1 TPS &lt; 50%,",","&amp;SUBSTITUTE(K73,", ",",")&amp;",")),1,0)</f>
        <v>0</v>
      </c>
      <c r="DW73" s="11">
        <f>IF(ISNUMBER(SEARCH(",PD-L1 TPS ≥ 1%,",","&amp;SUBSTITUTE(K73,", ",",")&amp;",")),1,0)</f>
        <v>0</v>
      </c>
      <c r="DX73" s="11">
        <f>IF(ISNUMBER(SEARCH(",PD-L1 TPS ≥ 50%,",","&amp;SUBSTITUTE(K73,", ",",")&amp;",")),1,0)</f>
        <v>0</v>
      </c>
      <c r="DY73" s="11">
        <f>IF(ISNUMBER(SEARCH(",RAS,",","&amp;SUBSTITUTE(K73,", ",",")&amp;",")),1,0)</f>
        <v>0</v>
      </c>
      <c r="DZ73" s="11">
        <f>IF(ISNUMBER(SEARCH(",RET,",","&amp;SUBSTITUTE(K73,", ",",")&amp;",")),1,0)</f>
        <v>0</v>
      </c>
      <c r="EA73" s="11">
        <f>IF(ISNUMBER(SEARCH(",ROS1,",","&amp;SUBSTITUTE(K73,", ",",")&amp;",")),1,0)</f>
        <v>0</v>
      </c>
      <c r="EB73" s="11">
        <f>IF(ISNUMBER(SEARCH(",TROP2,",","&amp;SUBSTITUTE(K73,", ",",")&amp;",")),1,0)</f>
        <v>0</v>
      </c>
      <c r="EC73" s="11">
        <f>IF(ISNUMBER(SEARCH(",c-MET/MET,",","&amp;SUBSTITUTE(K73,", ",",")&amp;",")),1,0)</f>
        <v>0</v>
      </c>
      <c r="ED73" s="11">
        <f>IF(ISNUMBER(SEARCH(",c-MET/MET Exon 14,",","&amp;SUBSTITUTE(K73,", ",",")&amp;",")),1,0)</f>
        <v>0</v>
      </c>
      <c r="EE73" s="11">
        <f>IF(ISNUMBER(SEARCH(",ctDNA/cfDNA,",","&amp;SUBSTITUTE(K73,", ",",")&amp;",")),1,0)</f>
        <v>0</v>
      </c>
    </row>
    <row r="74" spans="1:135" ht="15" customHeight="1" x14ac:dyDescent="0.2">
      <c r="A74" s="5" t="s">
        <v>1121</v>
      </c>
      <c r="B74" s="5" t="s">
        <v>1122</v>
      </c>
      <c r="C74" s="5" t="s">
        <v>350</v>
      </c>
      <c r="D74" s="5" t="s">
        <v>350</v>
      </c>
      <c r="E74" s="5" t="s">
        <v>350</v>
      </c>
      <c r="F74" s="5" t="s">
        <v>259</v>
      </c>
      <c r="G74" s="5" t="s">
        <v>283</v>
      </c>
      <c r="H74" s="5" t="s">
        <v>114</v>
      </c>
      <c r="I74" s="5" t="s">
        <v>1126</v>
      </c>
      <c r="J74" s="5" t="s">
        <v>1125</v>
      </c>
      <c r="K74" s="5" t="s">
        <v>1024</v>
      </c>
      <c r="L74" s="5" t="s">
        <v>119</v>
      </c>
      <c r="M74" s="5" t="s">
        <v>113</v>
      </c>
      <c r="N74" s="5" t="s">
        <v>120</v>
      </c>
      <c r="O74" s="5" t="s">
        <v>120</v>
      </c>
      <c r="P74" s="5" t="s">
        <v>1123</v>
      </c>
      <c r="Q74" s="10" t="str">
        <f>IF(F74="Stage IV","Stage IV Only",IF(AND(ISNUMBER(SEARCH("IV",F74)),LEN(F74)&gt;LEN("Stage IV")),"Stage IV + Other",IF(AND(ISNUMBER(SEARCH("III",F74)),NOT(ISNUMBER(SEARCH("IV",F74)))),"Stage III Only","Other")))</f>
        <v>Stage IV Only</v>
      </c>
      <c r="R74" s="10" t="str">
        <f>IF(AND(ISNUMBER(SEARCH("Non-squamous",G74)),ISNUMBER(SEARCH("Squamous",SUBSTITUTE(G74,"Non-squamous","")))),"Both",IF(ISNUMBER(SEARCH("Non-squamous",G74)),"Non-squamous",IF(ISNUMBER(SEARCH("Squamous",G74)),"Squamous","Unspecified")))</f>
        <v>Both</v>
      </c>
      <c r="S74" s="10" t="str">
        <f>IF(OR(ISNUMBER(SEARCH("TPS ≥ 50%",K74)),ISNUMBER(SEARCH("TC ≥ 50%",K74))),"TPS ≥ 50%",IF(OR(ISNUMBER(SEARCH("TPS ≥ 1%",K74)),ISNUMBER(SEARCH("TC ≥ 1%",K74)),ISNUMBER(SEARCH("TPS &lt; 50%",K74)),ISNUMBER(SEARCH("IC ≥ 1%",K74))),"TPS 1-49%","All-comers"))</f>
        <v>TPS 1-49%</v>
      </c>
      <c r="T74" s="10">
        <f>IF(H74="Phase III",1,0)</f>
        <v>1</v>
      </c>
      <c r="U74" s="10">
        <f>IF(L74="Yes",1,0)</f>
        <v>0</v>
      </c>
      <c r="V74" s="11">
        <f>IF(ISNUMBER(SEARCH(",ALK,",","&amp;SUBSTITUTE(I74,", ",",")&amp;",")),1,0)</f>
        <v>0</v>
      </c>
      <c r="W74" s="11">
        <f>IF(ISNUMBER(SEARCH(",ALK L1196M,",","&amp;SUBSTITUTE(I74,", ",",")&amp;",")),1,0)</f>
        <v>0</v>
      </c>
      <c r="X74" s="11">
        <f>IF(ISNUMBER(SEARCH(",AXL,",","&amp;SUBSTITUTE(I74,", ",",")&amp;",")),1,0)</f>
        <v>0</v>
      </c>
      <c r="Y74" s="11">
        <f>IF(ISNUMBER(SEARCH(",B7-H1,",","&amp;SUBSTITUTE(I74,", ",",")&amp;",")),1,0)</f>
        <v>0</v>
      </c>
      <c r="Z74" s="11">
        <f>IF(ISNUMBER(SEARCH(",CD152,",","&amp;SUBSTITUTE(I74,", ",",")&amp;",")),1,0)</f>
        <v>1</v>
      </c>
      <c r="AA74" s="11">
        <f>IF(ISNUMBER(SEARCH(",CD274,",","&amp;SUBSTITUTE(I74,", ",",")&amp;",")),1,0)</f>
        <v>0</v>
      </c>
      <c r="AB74" s="11">
        <f>IF(ISNUMBER(SEARCH(",CD279,",","&amp;SUBSTITUTE(I74,", ",",")&amp;",")),1,0)</f>
        <v>1</v>
      </c>
      <c r="AC74" s="11">
        <f>IF(ISNUMBER(SEARCH(",CD73,",","&amp;SUBSTITUTE(I74,", ",",")&amp;",")),1,0)</f>
        <v>0</v>
      </c>
      <c r="AD74" s="11">
        <f>IF(ISNUMBER(SEARCH(",CEA,",","&amp;SUBSTITUTE(I74,", ",",")&amp;",")),1,0)</f>
        <v>0</v>
      </c>
      <c r="AE74" s="11">
        <f>IF(ISNUMBER(SEARCH(",CTLA-4,",","&amp;SUBSTITUTE(I74,", ",",")&amp;",")),1,0)</f>
        <v>1</v>
      </c>
      <c r="AF74" s="11">
        <f>IF(ISNUMBER(SEARCH(",EGFR,",","&amp;SUBSTITUTE(I74,", ",",")&amp;",")),1,0)</f>
        <v>0</v>
      </c>
      <c r="AG74" s="11">
        <f>IF(ISNUMBER(SEARCH(",EGFR C797G,",","&amp;SUBSTITUTE(I74,", ",",")&amp;",")),1,0)</f>
        <v>0</v>
      </c>
      <c r="AH74" s="11">
        <f>IF(ISNUMBER(SEARCH(",EGFR C797S,",","&amp;SUBSTITUTE(I74,", ",",")&amp;",")),1,0)</f>
        <v>0</v>
      </c>
      <c r="AI74" s="11">
        <f>IF(ISNUMBER(SEARCH(",EGFR Exon 19-del,",","&amp;SUBSTITUTE(I74,", ",",")&amp;",")),1,0)</f>
        <v>0</v>
      </c>
      <c r="AJ74" s="11">
        <f>IF(ISNUMBER(SEARCH(",EGFR Exon 20,",","&amp;SUBSTITUTE(I74,", ",",")&amp;",")),1,0)</f>
        <v>0</v>
      </c>
      <c r="AK74" s="11">
        <f>IF(ISNUMBER(SEARCH(",EGFR L858R,",","&amp;SUBSTITUTE(I74,", ",",")&amp;",")),1,0)</f>
        <v>0</v>
      </c>
      <c r="AL74" s="11">
        <f>IF(ISNUMBER(SEARCH(",EGFR T790M,",","&amp;SUBSTITUTE(I74,", ",",")&amp;",")),1,0)</f>
        <v>0</v>
      </c>
      <c r="AM74" s="11">
        <f>IF(ISNUMBER(SEARCH(",ERBB,",","&amp;SUBSTITUTE(I74,", ",",")&amp;",")),1,0)</f>
        <v>0</v>
      </c>
      <c r="AN74" s="11">
        <f>IF(ISNUMBER(SEARCH(",ERBB3,",","&amp;SUBSTITUTE(I74,", ",",")&amp;",")),1,0)</f>
        <v>0</v>
      </c>
      <c r="AO74" s="11">
        <f>IF(ISNUMBER(SEARCH(",FAK,",","&amp;SUBSTITUTE(I74,", ",",")&amp;",")),1,0)</f>
        <v>0</v>
      </c>
      <c r="AP74" s="11">
        <f>IF(ISNUMBER(SEARCH(",GARP,",","&amp;SUBSTITUTE(I74,", ",",")&amp;",")),1,0)</f>
        <v>0</v>
      </c>
      <c r="AQ74" s="11">
        <f>IF(ISNUMBER(SEARCH(",HER1,",","&amp;SUBSTITUTE(I74,", ",",")&amp;",")),1,0)</f>
        <v>0</v>
      </c>
      <c r="AR74" s="11">
        <f>IF(ISNUMBER(SEARCH(",HER2,",","&amp;SUBSTITUTE(I74,", ",",")&amp;",")),1,0)</f>
        <v>0</v>
      </c>
      <c r="AS74" s="11">
        <f>IF(ISNUMBER(SEARCH(",HER2 Exon 20,",","&amp;SUBSTITUTE(I74,", ",",")&amp;",")),1,0)</f>
        <v>0</v>
      </c>
      <c r="AT74" s="11">
        <f>IF(ISNUMBER(SEARCH(",HER3,",","&amp;SUBSTITUTE(I74,", ",",")&amp;",")),1,0)</f>
        <v>0</v>
      </c>
      <c r="AU74" s="11">
        <f>IF(ISNUMBER(SEARCH(",HER4,",","&amp;SUBSTITUTE(I74,", ",",")&amp;",")),1,0)</f>
        <v>0</v>
      </c>
      <c r="AV74" s="11">
        <f>IF(ISNUMBER(SEARCH(",HRAS,",","&amp;SUBSTITUTE(I74,", ",",")&amp;",")),1,0)</f>
        <v>0</v>
      </c>
      <c r="AW74" s="11">
        <f>IF(ISNUMBER(SEARCH(",HSV-TK,",","&amp;SUBSTITUTE(I74,", ",",")&amp;",")),1,0)</f>
        <v>0</v>
      </c>
      <c r="AX74" s="11">
        <f>IF(ISNUMBER(SEARCH(",IL-12,",","&amp;SUBSTITUTE(I74,", ",",")&amp;",")),1,0)</f>
        <v>0</v>
      </c>
      <c r="AY74" s="11">
        <f>IF(ISNUMBER(SEARCH(",IL-15,",","&amp;SUBSTITUTE(I74,", ",",")&amp;",")),1,0)</f>
        <v>0</v>
      </c>
      <c r="AZ74" s="11">
        <f>IF(ISNUMBER(SEARCH(",IL-15R,",","&amp;SUBSTITUTE(I74,", ",",")&amp;",")),1,0)</f>
        <v>0</v>
      </c>
      <c r="BA74" s="11">
        <f>IF(ISNUMBER(SEARCH(",IL-2,",","&amp;SUBSTITUTE(I74,", ",",")&amp;",")),1,0)</f>
        <v>0</v>
      </c>
      <c r="BB74" s="11">
        <f>IF(ISNUMBER(SEARCH(",Integrin β6,",","&amp;SUBSTITUTE(I74,", ",",")&amp;",")),1,0)</f>
        <v>0</v>
      </c>
      <c r="BC74" s="11">
        <f>IF(ISNUMBER(SEARCH(",KDR,",","&amp;SUBSTITUTE(I74,", ",",")&amp;",")),1,0)</f>
        <v>0</v>
      </c>
      <c r="BD74" s="11">
        <f>IF(ISNUMBER(SEARCH(",KLRC1,",","&amp;SUBSTITUTE(I74,", ",",")&amp;",")),1,0)</f>
        <v>0</v>
      </c>
      <c r="BE74" s="11">
        <f>IF(ISNUMBER(SEARCH(",KRAS,",","&amp;SUBSTITUTE(I74,", ",",")&amp;",")),1,0)</f>
        <v>0</v>
      </c>
      <c r="BF74" s="11">
        <f>IF(ISNUMBER(SEARCH(",KRAS G12,",","&amp;SUBSTITUTE(I74,", ",",")&amp;",")),1,0)</f>
        <v>0</v>
      </c>
      <c r="BG74" s="11">
        <f>IF(ISNUMBER(SEARCH(",KRAS G12C,",","&amp;SUBSTITUTE(I74,", ",",")&amp;",")),1,0)</f>
        <v>0</v>
      </c>
      <c r="BH74" s="11">
        <f>IF(ISNUMBER(SEARCH(",KRAS G12D,",","&amp;SUBSTITUTE(I74,", ",",")&amp;",")),1,0)</f>
        <v>0</v>
      </c>
      <c r="BI74" s="11">
        <f>IF(ISNUMBER(SEARCH(",LAG-3,",","&amp;SUBSTITUTE(I74,", ",",")&amp;",")),1,0)</f>
        <v>0</v>
      </c>
      <c r="BJ74" s="11">
        <f>IF(ISNUMBER(SEARCH(",MAGE-A2,",","&amp;SUBSTITUTE(I74,", ",",")&amp;",")),1,0)</f>
        <v>0</v>
      </c>
      <c r="BK74" s="11">
        <f>IF(ISNUMBER(SEARCH(",MAGE-A3,",","&amp;SUBSTITUTE(I74,", ",",")&amp;",")),1,0)</f>
        <v>0</v>
      </c>
      <c r="BL74" s="11">
        <f>IF(ISNUMBER(SEARCH(",MLN19,",","&amp;SUBSTITUTE(I74,", ",",")&amp;",")),1,0)</f>
        <v>0</v>
      </c>
      <c r="BM74" s="11">
        <f>IF(ISNUMBER(SEARCH(",Microtubule,",","&amp;SUBSTITUTE(I74,", ",",")&amp;",")),1,0)</f>
        <v>1</v>
      </c>
      <c r="BN74" s="11">
        <f>IF(ISNUMBER(SEARCH(",NKG2A,",","&amp;SUBSTITUTE(I74,", ",",")&amp;",")),1,0)</f>
        <v>0</v>
      </c>
      <c r="BO74" s="11">
        <f>IF(ISNUMBER(SEARCH(",NRAS,",","&amp;SUBSTITUTE(I74,", ",",")&amp;",")),1,0)</f>
        <v>0</v>
      </c>
      <c r="BP74" s="11">
        <f>IF(ISNUMBER(SEARCH(",NTRK,",","&amp;SUBSTITUTE(I74,", ",",")&amp;",")),1,0)</f>
        <v>0</v>
      </c>
      <c r="BQ74" s="11">
        <f>IF(ISNUMBER(SEARCH(",PARP,",","&amp;SUBSTITUTE(I74,", ",",")&amp;",")),1,0)</f>
        <v>0</v>
      </c>
      <c r="BR74" s="11">
        <f>IF(ISNUMBER(SEARCH(",PD-1,",","&amp;SUBSTITUTE(I74,", ",",")&amp;",")),1,0)</f>
        <v>1</v>
      </c>
      <c r="BS74" s="11">
        <f>IF(ISNUMBER(SEARCH(",PD-L1,",","&amp;SUBSTITUTE(I74,", ",",")&amp;",")),1,0)</f>
        <v>0</v>
      </c>
      <c r="BT74" s="11">
        <f>IF(ISNUMBER(SEARCH(",PRMT5,",","&amp;SUBSTITUTE(I74,", ",",")&amp;",")),1,0)</f>
        <v>0</v>
      </c>
      <c r="BU74" s="11">
        <f>IF(ISNUMBER(SEARCH(",RAS,",","&amp;SUBSTITUTE(I74,", ",",")&amp;",")),1,0)</f>
        <v>0</v>
      </c>
      <c r="BV74" s="11">
        <f>IF(ISNUMBER(SEARCH(",RET,",","&amp;SUBSTITUTE(I74,", ",",")&amp;",")),1,0)</f>
        <v>0</v>
      </c>
      <c r="BW74" s="11">
        <f>IF(ISNUMBER(SEARCH(",ROS,",","&amp;SUBSTITUTE(I74,", ",",")&amp;",")),1,0)</f>
        <v>0</v>
      </c>
      <c r="BX74" s="11">
        <f>IF(ISNUMBER(SEARCH(",ROS1,",","&amp;SUBSTITUTE(I74,", ",",")&amp;",")),1,0)</f>
        <v>0</v>
      </c>
      <c r="BY74" s="11">
        <f>IF(ISNUMBER(SEARCH(",Src,",","&amp;SUBSTITUTE(I74,", ",",")&amp;",")),1,0)</f>
        <v>0</v>
      </c>
      <c r="BZ74" s="11">
        <f>IF(ISNUMBER(SEARCH(",TCGF,",","&amp;SUBSTITUTE(I74,", ",",")&amp;",")),1,0)</f>
        <v>0</v>
      </c>
      <c r="CA74" s="11">
        <f>IF(ISNUMBER(SEARCH(",TGF-β,",","&amp;SUBSTITUTE(I74,", ",",")&amp;",")),1,0)</f>
        <v>0</v>
      </c>
      <c r="CB74" s="11">
        <f>IF(ISNUMBER(SEARCH(",TGF-β1,",","&amp;SUBSTITUTE(I74,", ",",")&amp;",")),1,0)</f>
        <v>0</v>
      </c>
      <c r="CC74" s="11">
        <f>IF(ISNUMBER(SEARCH(",TIGIT,",","&amp;SUBSTITUTE(I74,", ",",")&amp;",")),1,0)</f>
        <v>0</v>
      </c>
      <c r="CD74" s="11">
        <f>IF(ISNUMBER(SEARCH(",TLR,",","&amp;SUBSTITUTE(I74,", ",",")&amp;",")),1,0)</f>
        <v>0</v>
      </c>
      <c r="CE74" s="11">
        <f>IF(ISNUMBER(SEARCH(",TLR7/8,",","&amp;SUBSTITUTE(I74,", ",",")&amp;",")),1,0)</f>
        <v>0</v>
      </c>
      <c r="CF74" s="11">
        <f>IF(ISNUMBER(SEARCH(",TRK,",","&amp;SUBSTITUTE(I74,", ",",")&amp;",")),1,0)</f>
        <v>0</v>
      </c>
      <c r="CG74" s="11">
        <f>IF(ISNUMBER(SEARCH(",TROP2,",","&amp;SUBSTITUTE(I74,", ",",")&amp;",")),1,0)</f>
        <v>0</v>
      </c>
      <c r="CH74" s="11">
        <f>IF(ISNUMBER(SEARCH(",TS,",","&amp;SUBSTITUTE(I74,", ",",")&amp;",")),1,0)</f>
        <v>1</v>
      </c>
      <c r="CI74" s="11">
        <f>IF(ISNUMBER(SEARCH(",TYMS,",","&amp;SUBSTITUTE(I74,", ",",")&amp;",")),1,0)</f>
        <v>1</v>
      </c>
      <c r="CJ74" s="11">
        <f>IF(ISNUMBER(SEARCH(",VEGF,",","&amp;SUBSTITUTE(I74,", ",",")&amp;",")),1,0)</f>
        <v>0</v>
      </c>
      <c r="CK74" s="11">
        <f>IF(ISNUMBER(SEARCH(",VEGFA,",","&amp;SUBSTITUTE(I74,", ",",")&amp;",")),1,0)</f>
        <v>0</v>
      </c>
      <c r="CL74" s="11">
        <f>IF(ISNUMBER(SEARCH(",VEGFR2,",","&amp;SUBSTITUTE(I74,", ",",")&amp;",")),1,0)</f>
        <v>0</v>
      </c>
      <c r="CM74" s="11">
        <f>IF(ISNUMBER(SEARCH(",c-MET/MET,",","&amp;SUBSTITUTE(I74,", ",",")&amp;",")),1,0)</f>
        <v>0</v>
      </c>
      <c r="CN74" s="11">
        <f>IF(ISNUMBER(SEARCH(",p53,",","&amp;SUBSTITUTE(I74,", ",",")&amp;",")),1,0)</f>
        <v>0</v>
      </c>
      <c r="CO74" s="11">
        <f>IF(ISNUMBER(SEARCH(",pan-KRAS,",","&amp;SUBSTITUTE(I74,", ",",")&amp;",")),1,0)</f>
        <v>0</v>
      </c>
      <c r="CP74" s="11">
        <f>IF(ISNUMBER(SEARCH(",ALK,",","&amp;SUBSTITUTE(K74,", ",",")&amp;",")),1,0)</f>
        <v>0</v>
      </c>
      <c r="CQ74" s="11">
        <f>IF(ISNUMBER(SEARCH(",BRAF V600E,",","&amp;SUBSTITUTE(K74,", ",",")&amp;",")),1,0)</f>
        <v>0</v>
      </c>
      <c r="CR74" s="11">
        <f>IF(ISNUMBER(SEARCH(",EGFR,",","&amp;SUBSTITUTE(K74,", ",",")&amp;",")),1,0)</f>
        <v>0</v>
      </c>
      <c r="CS74" s="11">
        <f>IF(ISNUMBER(SEARCH(",EGFR Exon 18,",","&amp;SUBSTITUTE(K74,", ",",")&amp;",")),1,0)</f>
        <v>0</v>
      </c>
      <c r="CT74" s="11">
        <f>IF(ISNUMBER(SEARCH(",EGFR Exon 19-del,",","&amp;SUBSTITUTE(K74,", ",",")&amp;",")),1,0)</f>
        <v>0</v>
      </c>
      <c r="CU74" s="11">
        <f>IF(ISNUMBER(SEARCH(",EGFR Exon 20,",","&amp;SUBSTITUTE(K74,", ",",")&amp;",")),1,0)</f>
        <v>0</v>
      </c>
      <c r="CV74" s="11">
        <f>IF(ISNUMBER(SEARCH(",EGFR Exon 20-ins,",","&amp;SUBSTITUTE(K74,", ",",")&amp;",")),1,0)</f>
        <v>0</v>
      </c>
      <c r="CW74" s="11">
        <f>IF(ISNUMBER(SEARCH(",EGFR Exon 21,",","&amp;SUBSTITUTE(K74,", ",",")&amp;",")),1,0)</f>
        <v>0</v>
      </c>
      <c r="CX74" s="11">
        <f>IF(ISNUMBER(SEARCH(",EGFR G719A,",","&amp;SUBSTITUTE(K74,", ",",")&amp;",")),1,0)</f>
        <v>0</v>
      </c>
      <c r="CY74" s="11">
        <f>IF(ISNUMBER(SEARCH(",EGFR G719C,",","&amp;SUBSTITUTE(K74,", ",",")&amp;",")),1,0)</f>
        <v>0</v>
      </c>
      <c r="CZ74" s="11">
        <f>IF(ISNUMBER(SEARCH(",EGFR G719S,",","&amp;SUBSTITUTE(K74,", ",",")&amp;",")),1,0)</f>
        <v>0</v>
      </c>
      <c r="DA74" s="11">
        <f>IF(ISNUMBER(SEARCH(",EGFR G719X,",","&amp;SUBSTITUTE(K74,", ",",")&amp;",")),1,0)</f>
        <v>0</v>
      </c>
      <c r="DB74" s="11">
        <f>IF(ISNUMBER(SEARCH(",EGFR L858R,",","&amp;SUBSTITUTE(K74,", ",",")&amp;",")),1,0)</f>
        <v>0</v>
      </c>
      <c r="DC74" s="11">
        <f>IF(ISNUMBER(SEARCH(",EGFR L861Q,",","&amp;SUBSTITUTE(K74,", ",",")&amp;",")),1,0)</f>
        <v>0</v>
      </c>
      <c r="DD74" s="11">
        <f>IF(ISNUMBER(SEARCH(",EGFR PACC,",","&amp;SUBSTITUTE(K74,", ",",")&amp;",")),1,0)</f>
        <v>0</v>
      </c>
      <c r="DE74" s="11">
        <f>IF(ISNUMBER(SEARCH(",EGFR S768I,",","&amp;SUBSTITUTE(K74,", ",",")&amp;",")),1,0)</f>
        <v>0</v>
      </c>
      <c r="DF74" s="11">
        <f>IF(ISNUMBER(SEARCH(",EGFR T790M,",","&amp;SUBSTITUTE(K74,", ",",")&amp;",")),1,0)</f>
        <v>0</v>
      </c>
      <c r="DG74" s="11">
        <f>IF(ISNUMBER(SEARCH(",EML4-ALK,",","&amp;SUBSTITUTE(K74,", ",",")&amp;",")),1,0)</f>
        <v>0</v>
      </c>
      <c r="DH74" s="11">
        <f>IF(ISNUMBER(SEARCH(",HER2,",","&amp;SUBSTITUTE(K74,", ",",")&amp;",")),1,0)</f>
        <v>0</v>
      </c>
      <c r="DI74" s="11">
        <f>IF(ISNUMBER(SEARCH(",HER2 Exon 19,",","&amp;SUBSTITUTE(K74,", ",",")&amp;",")),1,0)</f>
        <v>0</v>
      </c>
      <c r="DJ74" s="11">
        <f>IF(ISNUMBER(SEARCH(",HER2 Exon 20,",","&amp;SUBSTITUTE(K74,", ",",")&amp;",")),1,0)</f>
        <v>0</v>
      </c>
      <c r="DK74" s="11">
        <f>IF(ISNUMBER(SEARCH(",HER2 mut,",","&amp;SUBSTITUTE(K74,", ",",")&amp;",")),1,0)</f>
        <v>0</v>
      </c>
      <c r="DL74" s="11">
        <f>IF(ISNUMBER(SEARCH(",HLA-A2,",","&amp;SUBSTITUTE(K74,", ",",")&amp;",")),1,0)</f>
        <v>0</v>
      </c>
      <c r="DM74" s="11">
        <f>IF(ISNUMBER(SEARCH(",HRAS,",","&amp;SUBSTITUTE(K74,", ",",")&amp;",")),1,0)</f>
        <v>0</v>
      </c>
      <c r="DN74" s="11">
        <f>IF(ISNUMBER(SEARCH(",KRAS,",","&amp;SUBSTITUTE(K74,", ",",")&amp;",")),1,0)</f>
        <v>0</v>
      </c>
      <c r="DO74" s="11">
        <f>IF(ISNUMBER(SEARCH(",KRAS G12C,",","&amp;SUBSTITUTE(K74,", ",",")&amp;",")),1,0)</f>
        <v>0</v>
      </c>
      <c r="DP74" s="11">
        <f>IF(ISNUMBER(SEARCH(",NRAS,",","&amp;SUBSTITUTE(K74,", ",",")&amp;",")),1,0)</f>
        <v>0</v>
      </c>
      <c r="DQ74" s="11">
        <f>IF(ISNUMBER(SEARCH(",NTRK,",","&amp;SUBSTITUTE(K74,", ",",")&amp;",")),1,0)</f>
        <v>0</v>
      </c>
      <c r="DR74" s="11">
        <f>IF(ISNUMBER(SEARCH(",PD-L1,",","&amp;SUBSTITUTE(K74,", ",",")&amp;",")),1,0)</f>
        <v>0</v>
      </c>
      <c r="DS74" s="11">
        <f>IF(ISNUMBER(SEARCH(",PD-L1 IC ≥ 1%,",","&amp;SUBSTITUTE(K74,", ",",")&amp;",")),1,0)</f>
        <v>0</v>
      </c>
      <c r="DT74" s="11">
        <f>IF(ISNUMBER(SEARCH(",PD-L1 TC ≥ 1%,",","&amp;SUBSTITUTE(K74,", ",",")&amp;",")),1,0)</f>
        <v>0</v>
      </c>
      <c r="DU74" s="11">
        <f>IF(ISNUMBER(SEARCH(",PD-L1 TC ≥ 50%,",","&amp;SUBSTITUTE(K74,", ",",")&amp;",")),1,0)</f>
        <v>0</v>
      </c>
      <c r="DV74" s="11">
        <f>IF(ISNUMBER(SEARCH(",PD-L1 TPS &lt; 50%,",","&amp;SUBSTITUTE(K74,", ",",")&amp;",")),1,0)</f>
        <v>1</v>
      </c>
      <c r="DW74" s="11">
        <f>IF(ISNUMBER(SEARCH(",PD-L1 TPS ≥ 1%,",","&amp;SUBSTITUTE(K74,", ",",")&amp;",")),1,0)</f>
        <v>0</v>
      </c>
      <c r="DX74" s="11">
        <f>IF(ISNUMBER(SEARCH(",PD-L1 TPS ≥ 50%,",","&amp;SUBSTITUTE(K74,", ",",")&amp;",")),1,0)</f>
        <v>0</v>
      </c>
      <c r="DY74" s="11">
        <f>IF(ISNUMBER(SEARCH(",RAS,",","&amp;SUBSTITUTE(K74,", ",",")&amp;",")),1,0)</f>
        <v>0</v>
      </c>
      <c r="DZ74" s="11">
        <f>IF(ISNUMBER(SEARCH(",RET,",","&amp;SUBSTITUTE(K74,", ",",")&amp;",")),1,0)</f>
        <v>0</v>
      </c>
      <c r="EA74" s="11">
        <f>IF(ISNUMBER(SEARCH(",ROS1,",","&amp;SUBSTITUTE(K74,", ",",")&amp;",")),1,0)</f>
        <v>0</v>
      </c>
      <c r="EB74" s="11">
        <f>IF(ISNUMBER(SEARCH(",TROP2,",","&amp;SUBSTITUTE(K74,", ",",")&amp;",")),1,0)</f>
        <v>0</v>
      </c>
      <c r="EC74" s="11">
        <f>IF(ISNUMBER(SEARCH(",c-MET/MET,",","&amp;SUBSTITUTE(K74,", ",",")&amp;",")),1,0)</f>
        <v>0</v>
      </c>
      <c r="ED74" s="11">
        <f>IF(ISNUMBER(SEARCH(",c-MET/MET Exon 14,",","&amp;SUBSTITUTE(K74,", ",",")&amp;",")),1,0)</f>
        <v>0</v>
      </c>
      <c r="EE74" s="11">
        <f>IF(ISNUMBER(SEARCH(",ctDNA/cfDNA,",","&amp;SUBSTITUTE(K74,", ",",")&amp;",")),1,0)</f>
        <v>0</v>
      </c>
    </row>
    <row r="75" spans="1:135" ht="15" customHeight="1" x14ac:dyDescent="0.2">
      <c r="A75" s="3" t="s">
        <v>947</v>
      </c>
      <c r="B75" s="3" t="s">
        <v>949</v>
      </c>
      <c r="C75" s="3" t="s">
        <v>951</v>
      </c>
      <c r="D75" s="3" t="s">
        <v>950</v>
      </c>
      <c r="E75" s="3" t="s">
        <v>950</v>
      </c>
      <c r="F75" s="3" t="s">
        <v>259</v>
      </c>
      <c r="G75" s="3" t="s">
        <v>181</v>
      </c>
      <c r="H75" s="3" t="s">
        <v>114</v>
      </c>
      <c r="I75" s="3" t="s">
        <v>954</v>
      </c>
      <c r="J75" s="3" t="s">
        <v>161</v>
      </c>
      <c r="K75" s="3" t="s">
        <v>745</v>
      </c>
      <c r="L75" s="3" t="s">
        <v>119</v>
      </c>
      <c r="M75" s="3" t="s">
        <v>113</v>
      </c>
      <c r="N75" s="3" t="s">
        <v>119</v>
      </c>
      <c r="O75" s="3" t="s">
        <v>120</v>
      </c>
      <c r="P75" s="3" t="s">
        <v>952</v>
      </c>
      <c r="Q75" s="10" t="str">
        <f>IF(F75="Stage IV","Stage IV Only",IF(AND(ISNUMBER(SEARCH("IV",F75)),LEN(F75)&gt;LEN("Stage IV")),"Stage IV + Other",IF(AND(ISNUMBER(SEARCH("III",F75)),NOT(ISNUMBER(SEARCH("IV",F75)))),"Stage III Only","Other")))</f>
        <v>Stage IV Only</v>
      </c>
      <c r="R75" s="10" t="str">
        <f>IF(AND(ISNUMBER(SEARCH("Non-squamous",G75)),ISNUMBER(SEARCH("Squamous",SUBSTITUTE(G75,"Non-squamous","")))),"Both",IF(ISNUMBER(SEARCH("Non-squamous",G75)),"Non-squamous",IF(ISNUMBER(SEARCH("Squamous",G75)),"Squamous","Unspecified")))</f>
        <v>Non-squamous</v>
      </c>
      <c r="S75" s="10" t="str">
        <f>IF(OR(ISNUMBER(SEARCH("TPS ≥ 50%",K75)),ISNUMBER(SEARCH("TC ≥ 50%",K75))),"TPS ≥ 50%",IF(OR(ISNUMBER(SEARCH("TPS ≥ 1%",K75)),ISNUMBER(SEARCH("TC ≥ 1%",K75)),ISNUMBER(SEARCH("TPS &lt; 50%",K75)),ISNUMBER(SEARCH("IC ≥ 1%",K75))),"TPS 1-49%","All-comers"))</f>
        <v>All-comers</v>
      </c>
      <c r="T75" s="10">
        <f>IF(H75="Phase III",1,0)</f>
        <v>1</v>
      </c>
      <c r="U75" s="10">
        <f>IF(L75="Yes",1,0)</f>
        <v>0</v>
      </c>
      <c r="V75" s="11">
        <f>IF(ISNUMBER(SEARCH(",ALK,",","&amp;SUBSTITUTE(I75,", ",",")&amp;",")),1,0)</f>
        <v>0</v>
      </c>
      <c r="W75" s="11">
        <f>IF(ISNUMBER(SEARCH(",ALK L1196M,",","&amp;SUBSTITUTE(I75,", ",",")&amp;",")),1,0)</f>
        <v>0</v>
      </c>
      <c r="X75" s="11">
        <f>IF(ISNUMBER(SEARCH(",AXL,",","&amp;SUBSTITUTE(I75,", ",",")&amp;",")),1,0)</f>
        <v>0</v>
      </c>
      <c r="Y75" s="11">
        <f>IF(ISNUMBER(SEARCH(",B7-H1,",","&amp;SUBSTITUTE(I75,", ",",")&amp;",")),1,0)</f>
        <v>0</v>
      </c>
      <c r="Z75" s="11">
        <f>IF(ISNUMBER(SEARCH(",CD152,",","&amp;SUBSTITUTE(I75,", ",",")&amp;",")),1,0)</f>
        <v>0</v>
      </c>
      <c r="AA75" s="11">
        <f>IF(ISNUMBER(SEARCH(",CD274,",","&amp;SUBSTITUTE(I75,", ",",")&amp;",")),1,0)</f>
        <v>0</v>
      </c>
      <c r="AB75" s="11">
        <f>IF(ISNUMBER(SEARCH(",CD279,",","&amp;SUBSTITUTE(I75,", ",",")&amp;",")),1,0)</f>
        <v>0</v>
      </c>
      <c r="AC75" s="11">
        <f>IF(ISNUMBER(SEARCH(",CD73,",","&amp;SUBSTITUTE(I75,", ",",")&amp;",")),1,0)</f>
        <v>0</v>
      </c>
      <c r="AD75" s="11">
        <f>IF(ISNUMBER(SEARCH(",CEA,",","&amp;SUBSTITUTE(I75,", ",",")&amp;",")),1,0)</f>
        <v>0</v>
      </c>
      <c r="AE75" s="11">
        <f>IF(ISNUMBER(SEARCH(",CTLA-4,",","&amp;SUBSTITUTE(I75,", ",",")&amp;",")),1,0)</f>
        <v>0</v>
      </c>
      <c r="AF75" s="11">
        <f>IF(ISNUMBER(SEARCH(",EGFR,",","&amp;SUBSTITUTE(I75,", ",",")&amp;",")),1,0)</f>
        <v>1</v>
      </c>
      <c r="AG75" s="11">
        <f>IF(ISNUMBER(SEARCH(",EGFR C797G,",","&amp;SUBSTITUTE(I75,", ",",")&amp;",")),1,0)</f>
        <v>0</v>
      </c>
      <c r="AH75" s="11">
        <f>IF(ISNUMBER(SEARCH(",EGFR C797S,",","&amp;SUBSTITUTE(I75,", ",",")&amp;",")),1,0)</f>
        <v>0</v>
      </c>
      <c r="AI75" s="11">
        <f>IF(ISNUMBER(SEARCH(",EGFR Exon 19-del,",","&amp;SUBSTITUTE(I75,", ",",")&amp;",")),1,0)</f>
        <v>0</v>
      </c>
      <c r="AJ75" s="11">
        <f>IF(ISNUMBER(SEARCH(",EGFR Exon 20,",","&amp;SUBSTITUTE(I75,", ",",")&amp;",")),1,0)</f>
        <v>1</v>
      </c>
      <c r="AK75" s="11">
        <f>IF(ISNUMBER(SEARCH(",EGFR L858R,",","&amp;SUBSTITUTE(I75,", ",",")&amp;",")),1,0)</f>
        <v>0</v>
      </c>
      <c r="AL75" s="11">
        <f>IF(ISNUMBER(SEARCH(",EGFR T790M,",","&amp;SUBSTITUTE(I75,", ",",")&amp;",")),1,0)</f>
        <v>0</v>
      </c>
      <c r="AM75" s="11">
        <f>IF(ISNUMBER(SEARCH(",ERBB,",","&amp;SUBSTITUTE(I75,", ",",")&amp;",")),1,0)</f>
        <v>1</v>
      </c>
      <c r="AN75" s="11">
        <f>IF(ISNUMBER(SEARCH(",ERBB3,",","&amp;SUBSTITUTE(I75,", ",",")&amp;",")),1,0)</f>
        <v>0</v>
      </c>
      <c r="AO75" s="11">
        <f>IF(ISNUMBER(SEARCH(",FAK,",","&amp;SUBSTITUTE(I75,", ",",")&amp;",")),1,0)</f>
        <v>0</v>
      </c>
      <c r="AP75" s="11">
        <f>IF(ISNUMBER(SEARCH(",GARP,",","&amp;SUBSTITUTE(I75,", ",",")&amp;",")),1,0)</f>
        <v>0</v>
      </c>
      <c r="AQ75" s="11">
        <f>IF(ISNUMBER(SEARCH(",HER1,",","&amp;SUBSTITUTE(I75,", ",",")&amp;",")),1,0)</f>
        <v>1</v>
      </c>
      <c r="AR75" s="11">
        <f>IF(ISNUMBER(SEARCH(",HER2,",","&amp;SUBSTITUTE(I75,", ",",")&amp;",")),1,0)</f>
        <v>0</v>
      </c>
      <c r="AS75" s="11">
        <f>IF(ISNUMBER(SEARCH(",HER2 Exon 20,",","&amp;SUBSTITUTE(I75,", ",",")&amp;",")),1,0)</f>
        <v>0</v>
      </c>
      <c r="AT75" s="11">
        <f>IF(ISNUMBER(SEARCH(",HER3,",","&amp;SUBSTITUTE(I75,", ",",")&amp;",")),1,0)</f>
        <v>0</v>
      </c>
      <c r="AU75" s="11">
        <f>IF(ISNUMBER(SEARCH(",HER4,",","&amp;SUBSTITUTE(I75,", ",",")&amp;",")),1,0)</f>
        <v>0</v>
      </c>
      <c r="AV75" s="11">
        <f>IF(ISNUMBER(SEARCH(",HRAS,",","&amp;SUBSTITUTE(I75,", ",",")&amp;",")),1,0)</f>
        <v>0</v>
      </c>
      <c r="AW75" s="11">
        <f>IF(ISNUMBER(SEARCH(",HSV-TK,",","&amp;SUBSTITUTE(I75,", ",",")&amp;",")),1,0)</f>
        <v>0</v>
      </c>
      <c r="AX75" s="11">
        <f>IF(ISNUMBER(SEARCH(",IL-12,",","&amp;SUBSTITUTE(I75,", ",",")&amp;",")),1,0)</f>
        <v>0</v>
      </c>
      <c r="AY75" s="11">
        <f>IF(ISNUMBER(SEARCH(",IL-15,",","&amp;SUBSTITUTE(I75,", ",",")&amp;",")),1,0)</f>
        <v>0</v>
      </c>
      <c r="AZ75" s="11">
        <f>IF(ISNUMBER(SEARCH(",IL-15R,",","&amp;SUBSTITUTE(I75,", ",",")&amp;",")),1,0)</f>
        <v>0</v>
      </c>
      <c r="BA75" s="11">
        <f>IF(ISNUMBER(SEARCH(",IL-2,",","&amp;SUBSTITUTE(I75,", ",",")&amp;",")),1,0)</f>
        <v>0</v>
      </c>
      <c r="BB75" s="11">
        <f>IF(ISNUMBER(SEARCH(",Integrin β6,",","&amp;SUBSTITUTE(I75,", ",",")&amp;",")),1,0)</f>
        <v>0</v>
      </c>
      <c r="BC75" s="11">
        <f>IF(ISNUMBER(SEARCH(",KDR,",","&amp;SUBSTITUTE(I75,", ",",")&amp;",")),1,0)</f>
        <v>0</v>
      </c>
      <c r="BD75" s="11">
        <f>IF(ISNUMBER(SEARCH(",KLRC1,",","&amp;SUBSTITUTE(I75,", ",",")&amp;",")),1,0)</f>
        <v>0</v>
      </c>
      <c r="BE75" s="11">
        <f>IF(ISNUMBER(SEARCH(",KRAS,",","&amp;SUBSTITUTE(I75,", ",",")&amp;",")),1,0)</f>
        <v>0</v>
      </c>
      <c r="BF75" s="11">
        <f>IF(ISNUMBER(SEARCH(",KRAS G12,",","&amp;SUBSTITUTE(I75,", ",",")&amp;",")),1,0)</f>
        <v>0</v>
      </c>
      <c r="BG75" s="11">
        <f>IF(ISNUMBER(SEARCH(",KRAS G12C,",","&amp;SUBSTITUTE(I75,", ",",")&amp;",")),1,0)</f>
        <v>0</v>
      </c>
      <c r="BH75" s="11">
        <f>IF(ISNUMBER(SEARCH(",KRAS G12D,",","&amp;SUBSTITUTE(I75,", ",",")&amp;",")),1,0)</f>
        <v>0</v>
      </c>
      <c r="BI75" s="11">
        <f>IF(ISNUMBER(SEARCH(",LAG-3,",","&amp;SUBSTITUTE(I75,", ",",")&amp;",")),1,0)</f>
        <v>0</v>
      </c>
      <c r="BJ75" s="11">
        <f>IF(ISNUMBER(SEARCH(",MAGE-A2,",","&amp;SUBSTITUTE(I75,", ",",")&amp;",")),1,0)</f>
        <v>0</v>
      </c>
      <c r="BK75" s="11">
        <f>IF(ISNUMBER(SEARCH(",MAGE-A3,",","&amp;SUBSTITUTE(I75,", ",",")&amp;",")),1,0)</f>
        <v>0</v>
      </c>
      <c r="BL75" s="11">
        <f>IF(ISNUMBER(SEARCH(",MLN19,",","&amp;SUBSTITUTE(I75,", ",",")&amp;",")),1,0)</f>
        <v>0</v>
      </c>
      <c r="BM75" s="11">
        <f>IF(ISNUMBER(SEARCH(",Microtubule,",","&amp;SUBSTITUTE(I75,", ",",")&amp;",")),1,0)</f>
        <v>0</v>
      </c>
      <c r="BN75" s="11">
        <f>IF(ISNUMBER(SEARCH(",NKG2A,",","&amp;SUBSTITUTE(I75,", ",",")&amp;",")),1,0)</f>
        <v>0</v>
      </c>
      <c r="BO75" s="11">
        <f>IF(ISNUMBER(SEARCH(",NRAS,",","&amp;SUBSTITUTE(I75,", ",",")&amp;",")),1,0)</f>
        <v>0</v>
      </c>
      <c r="BP75" s="11">
        <f>IF(ISNUMBER(SEARCH(",NTRK,",","&amp;SUBSTITUTE(I75,", ",",")&amp;",")),1,0)</f>
        <v>0</v>
      </c>
      <c r="BQ75" s="11">
        <f>IF(ISNUMBER(SEARCH(",PARP,",","&amp;SUBSTITUTE(I75,", ",",")&amp;",")),1,0)</f>
        <v>0</v>
      </c>
      <c r="BR75" s="11">
        <f>IF(ISNUMBER(SEARCH(",PD-1,",","&amp;SUBSTITUTE(I75,", ",",")&amp;",")),1,0)</f>
        <v>0</v>
      </c>
      <c r="BS75" s="11">
        <f>IF(ISNUMBER(SEARCH(",PD-L1,",","&amp;SUBSTITUTE(I75,", ",",")&amp;",")),1,0)</f>
        <v>0</v>
      </c>
      <c r="BT75" s="11">
        <f>IF(ISNUMBER(SEARCH(",PRMT5,",","&amp;SUBSTITUTE(I75,", ",",")&amp;",")),1,0)</f>
        <v>0</v>
      </c>
      <c r="BU75" s="11">
        <f>IF(ISNUMBER(SEARCH(",RAS,",","&amp;SUBSTITUTE(I75,", ",",")&amp;",")),1,0)</f>
        <v>0</v>
      </c>
      <c r="BV75" s="11">
        <f>IF(ISNUMBER(SEARCH(",RET,",","&amp;SUBSTITUTE(I75,", ",",")&amp;",")),1,0)</f>
        <v>0</v>
      </c>
      <c r="BW75" s="11">
        <f>IF(ISNUMBER(SEARCH(",ROS,",","&amp;SUBSTITUTE(I75,", ",",")&amp;",")),1,0)</f>
        <v>0</v>
      </c>
      <c r="BX75" s="11">
        <f>IF(ISNUMBER(SEARCH(",ROS1,",","&amp;SUBSTITUTE(I75,", ",",")&amp;",")),1,0)</f>
        <v>0</v>
      </c>
      <c r="BY75" s="11">
        <f>IF(ISNUMBER(SEARCH(",Src,",","&amp;SUBSTITUTE(I75,", ",",")&amp;",")),1,0)</f>
        <v>0</v>
      </c>
      <c r="BZ75" s="11">
        <f>IF(ISNUMBER(SEARCH(",TCGF,",","&amp;SUBSTITUTE(I75,", ",",")&amp;",")),1,0)</f>
        <v>0</v>
      </c>
      <c r="CA75" s="11">
        <f>IF(ISNUMBER(SEARCH(",TGF-β,",","&amp;SUBSTITUTE(I75,", ",",")&amp;",")),1,0)</f>
        <v>0</v>
      </c>
      <c r="CB75" s="11">
        <f>IF(ISNUMBER(SEARCH(",TGF-β1,",","&amp;SUBSTITUTE(I75,", ",",")&amp;",")),1,0)</f>
        <v>0</v>
      </c>
      <c r="CC75" s="11">
        <f>IF(ISNUMBER(SEARCH(",TIGIT,",","&amp;SUBSTITUTE(I75,", ",",")&amp;",")),1,0)</f>
        <v>0</v>
      </c>
      <c r="CD75" s="11">
        <f>IF(ISNUMBER(SEARCH(",TLR,",","&amp;SUBSTITUTE(I75,", ",",")&amp;",")),1,0)</f>
        <v>0</v>
      </c>
      <c r="CE75" s="11">
        <f>IF(ISNUMBER(SEARCH(",TLR7/8,",","&amp;SUBSTITUTE(I75,", ",",")&amp;",")),1,0)</f>
        <v>0</v>
      </c>
      <c r="CF75" s="11">
        <f>IF(ISNUMBER(SEARCH(",TRK,",","&amp;SUBSTITUTE(I75,", ",",")&amp;",")),1,0)</f>
        <v>0</v>
      </c>
      <c r="CG75" s="11">
        <f>IF(ISNUMBER(SEARCH(",TROP2,",","&amp;SUBSTITUTE(I75,", ",",")&amp;",")),1,0)</f>
        <v>0</v>
      </c>
      <c r="CH75" s="11">
        <f>IF(ISNUMBER(SEARCH(",TS,",","&amp;SUBSTITUTE(I75,", ",",")&amp;",")),1,0)</f>
        <v>1</v>
      </c>
      <c r="CI75" s="11">
        <f>IF(ISNUMBER(SEARCH(",TYMS,",","&amp;SUBSTITUTE(I75,", ",",")&amp;",")),1,0)</f>
        <v>1</v>
      </c>
      <c r="CJ75" s="11">
        <f>IF(ISNUMBER(SEARCH(",VEGF,",","&amp;SUBSTITUTE(I75,", ",",")&amp;",")),1,0)</f>
        <v>0</v>
      </c>
      <c r="CK75" s="11">
        <f>IF(ISNUMBER(SEARCH(",VEGFA,",","&amp;SUBSTITUTE(I75,", ",",")&amp;",")),1,0)</f>
        <v>0</v>
      </c>
      <c r="CL75" s="11">
        <f>IF(ISNUMBER(SEARCH(",VEGFR2,",","&amp;SUBSTITUTE(I75,", ",",")&amp;",")),1,0)</f>
        <v>0</v>
      </c>
      <c r="CM75" s="11">
        <f>IF(ISNUMBER(SEARCH(",c-MET/MET,",","&amp;SUBSTITUTE(I75,", ",",")&amp;",")),1,0)</f>
        <v>0</v>
      </c>
      <c r="CN75" s="11">
        <f>IF(ISNUMBER(SEARCH(",p53,",","&amp;SUBSTITUTE(I75,", ",",")&amp;",")),1,0)</f>
        <v>0</v>
      </c>
      <c r="CO75" s="11">
        <f>IF(ISNUMBER(SEARCH(",pan-KRAS,",","&amp;SUBSTITUTE(I75,", ",",")&amp;",")),1,0)</f>
        <v>0</v>
      </c>
      <c r="CP75" s="11">
        <f>IF(ISNUMBER(SEARCH(",ALK,",","&amp;SUBSTITUTE(K75,", ",",")&amp;",")),1,0)</f>
        <v>0</v>
      </c>
      <c r="CQ75" s="11">
        <f>IF(ISNUMBER(SEARCH(",BRAF V600E,",","&amp;SUBSTITUTE(K75,", ",",")&amp;",")),1,0)</f>
        <v>0</v>
      </c>
      <c r="CR75" s="11">
        <f>IF(ISNUMBER(SEARCH(",EGFR,",","&amp;SUBSTITUTE(K75,", ",",")&amp;",")),1,0)</f>
        <v>0</v>
      </c>
      <c r="CS75" s="11">
        <f>IF(ISNUMBER(SEARCH(",EGFR Exon 18,",","&amp;SUBSTITUTE(K75,", ",",")&amp;",")),1,0)</f>
        <v>0</v>
      </c>
      <c r="CT75" s="11">
        <f>IF(ISNUMBER(SEARCH(",EGFR Exon 19-del,",","&amp;SUBSTITUTE(K75,", ",",")&amp;",")),1,0)</f>
        <v>0</v>
      </c>
      <c r="CU75" s="11">
        <f>IF(ISNUMBER(SEARCH(",EGFR Exon 20,",","&amp;SUBSTITUTE(K75,", ",",")&amp;",")),1,0)</f>
        <v>0</v>
      </c>
      <c r="CV75" s="11">
        <f>IF(ISNUMBER(SEARCH(",EGFR Exon 20-ins,",","&amp;SUBSTITUTE(K75,", ",",")&amp;",")),1,0)</f>
        <v>1</v>
      </c>
      <c r="CW75" s="11">
        <f>IF(ISNUMBER(SEARCH(",EGFR Exon 21,",","&amp;SUBSTITUTE(K75,", ",",")&amp;",")),1,0)</f>
        <v>0</v>
      </c>
      <c r="CX75" s="11">
        <f>IF(ISNUMBER(SEARCH(",EGFR G719A,",","&amp;SUBSTITUTE(K75,", ",",")&amp;",")),1,0)</f>
        <v>0</v>
      </c>
      <c r="CY75" s="11">
        <f>IF(ISNUMBER(SEARCH(",EGFR G719C,",","&amp;SUBSTITUTE(K75,", ",",")&amp;",")),1,0)</f>
        <v>0</v>
      </c>
      <c r="CZ75" s="11">
        <f>IF(ISNUMBER(SEARCH(",EGFR G719S,",","&amp;SUBSTITUTE(K75,", ",",")&amp;",")),1,0)</f>
        <v>0</v>
      </c>
      <c r="DA75" s="11">
        <f>IF(ISNUMBER(SEARCH(",EGFR G719X,",","&amp;SUBSTITUTE(K75,", ",",")&amp;",")),1,0)</f>
        <v>0</v>
      </c>
      <c r="DB75" s="11">
        <f>IF(ISNUMBER(SEARCH(",EGFR L858R,",","&amp;SUBSTITUTE(K75,", ",",")&amp;",")),1,0)</f>
        <v>0</v>
      </c>
      <c r="DC75" s="11">
        <f>IF(ISNUMBER(SEARCH(",EGFR L861Q,",","&amp;SUBSTITUTE(K75,", ",",")&amp;",")),1,0)</f>
        <v>0</v>
      </c>
      <c r="DD75" s="11">
        <f>IF(ISNUMBER(SEARCH(",EGFR PACC,",","&amp;SUBSTITUTE(K75,", ",",")&amp;",")),1,0)</f>
        <v>0</v>
      </c>
      <c r="DE75" s="11">
        <f>IF(ISNUMBER(SEARCH(",EGFR S768I,",","&amp;SUBSTITUTE(K75,", ",",")&amp;",")),1,0)</f>
        <v>0</v>
      </c>
      <c r="DF75" s="11">
        <f>IF(ISNUMBER(SEARCH(",EGFR T790M,",","&amp;SUBSTITUTE(K75,", ",",")&amp;",")),1,0)</f>
        <v>0</v>
      </c>
      <c r="DG75" s="11">
        <f>IF(ISNUMBER(SEARCH(",EML4-ALK,",","&amp;SUBSTITUTE(K75,", ",",")&amp;",")),1,0)</f>
        <v>0</v>
      </c>
      <c r="DH75" s="11">
        <f>IF(ISNUMBER(SEARCH(",HER2,",","&amp;SUBSTITUTE(K75,", ",",")&amp;",")),1,0)</f>
        <v>0</v>
      </c>
      <c r="DI75" s="11">
        <f>IF(ISNUMBER(SEARCH(",HER2 Exon 19,",","&amp;SUBSTITUTE(K75,", ",",")&amp;",")),1,0)</f>
        <v>0</v>
      </c>
      <c r="DJ75" s="11">
        <f>IF(ISNUMBER(SEARCH(",HER2 Exon 20,",","&amp;SUBSTITUTE(K75,", ",",")&amp;",")),1,0)</f>
        <v>0</v>
      </c>
      <c r="DK75" s="11">
        <f>IF(ISNUMBER(SEARCH(",HER2 mut,",","&amp;SUBSTITUTE(K75,", ",",")&amp;",")),1,0)</f>
        <v>0</v>
      </c>
      <c r="DL75" s="11">
        <f>IF(ISNUMBER(SEARCH(",HLA-A2,",","&amp;SUBSTITUTE(K75,", ",",")&amp;",")),1,0)</f>
        <v>0</v>
      </c>
      <c r="DM75" s="11">
        <f>IF(ISNUMBER(SEARCH(",HRAS,",","&amp;SUBSTITUTE(K75,", ",",")&amp;",")),1,0)</f>
        <v>0</v>
      </c>
      <c r="DN75" s="11">
        <f>IF(ISNUMBER(SEARCH(",KRAS,",","&amp;SUBSTITUTE(K75,", ",",")&amp;",")),1,0)</f>
        <v>0</v>
      </c>
      <c r="DO75" s="11">
        <f>IF(ISNUMBER(SEARCH(",KRAS G12C,",","&amp;SUBSTITUTE(K75,", ",",")&amp;",")),1,0)</f>
        <v>0</v>
      </c>
      <c r="DP75" s="11">
        <f>IF(ISNUMBER(SEARCH(",NRAS,",","&amp;SUBSTITUTE(K75,", ",",")&amp;",")),1,0)</f>
        <v>0</v>
      </c>
      <c r="DQ75" s="11">
        <f>IF(ISNUMBER(SEARCH(",NTRK,",","&amp;SUBSTITUTE(K75,", ",",")&amp;",")),1,0)</f>
        <v>0</v>
      </c>
      <c r="DR75" s="11">
        <f>IF(ISNUMBER(SEARCH(",PD-L1,",","&amp;SUBSTITUTE(K75,", ",",")&amp;",")),1,0)</f>
        <v>0</v>
      </c>
      <c r="DS75" s="11">
        <f>IF(ISNUMBER(SEARCH(",PD-L1 IC ≥ 1%,",","&amp;SUBSTITUTE(K75,", ",",")&amp;",")),1,0)</f>
        <v>0</v>
      </c>
      <c r="DT75" s="11">
        <f>IF(ISNUMBER(SEARCH(",PD-L1 TC ≥ 1%,",","&amp;SUBSTITUTE(K75,", ",",")&amp;",")),1,0)</f>
        <v>0</v>
      </c>
      <c r="DU75" s="11">
        <f>IF(ISNUMBER(SEARCH(",PD-L1 TC ≥ 50%,",","&amp;SUBSTITUTE(K75,", ",",")&amp;",")),1,0)</f>
        <v>0</v>
      </c>
      <c r="DV75" s="11">
        <f>IF(ISNUMBER(SEARCH(",PD-L1 TPS &lt; 50%,",","&amp;SUBSTITUTE(K75,", ",",")&amp;",")),1,0)</f>
        <v>0</v>
      </c>
      <c r="DW75" s="11">
        <f>IF(ISNUMBER(SEARCH(",PD-L1 TPS ≥ 1%,",","&amp;SUBSTITUTE(K75,", ",",")&amp;",")),1,0)</f>
        <v>0</v>
      </c>
      <c r="DX75" s="11">
        <f>IF(ISNUMBER(SEARCH(",PD-L1 TPS ≥ 50%,",","&amp;SUBSTITUTE(K75,", ",",")&amp;",")),1,0)</f>
        <v>0</v>
      </c>
      <c r="DY75" s="11">
        <f>IF(ISNUMBER(SEARCH(",RAS,",","&amp;SUBSTITUTE(K75,", ",",")&amp;",")),1,0)</f>
        <v>0</v>
      </c>
      <c r="DZ75" s="11">
        <f>IF(ISNUMBER(SEARCH(",RET,",","&amp;SUBSTITUTE(K75,", ",",")&amp;",")),1,0)</f>
        <v>0</v>
      </c>
      <c r="EA75" s="11">
        <f>IF(ISNUMBER(SEARCH(",ROS1,",","&amp;SUBSTITUTE(K75,", ",",")&amp;",")),1,0)</f>
        <v>0</v>
      </c>
      <c r="EB75" s="11">
        <f>IF(ISNUMBER(SEARCH(",TROP2,",","&amp;SUBSTITUTE(K75,", ",",")&amp;",")),1,0)</f>
        <v>0</v>
      </c>
      <c r="EC75" s="11">
        <f>IF(ISNUMBER(SEARCH(",c-MET/MET,",","&amp;SUBSTITUTE(K75,", ",",")&amp;",")),1,0)</f>
        <v>0</v>
      </c>
      <c r="ED75" s="11">
        <f>IF(ISNUMBER(SEARCH(",c-MET/MET Exon 14,",","&amp;SUBSTITUTE(K75,", ",",")&amp;",")),1,0)</f>
        <v>0</v>
      </c>
      <c r="EE75" s="11">
        <f>IF(ISNUMBER(SEARCH(",ctDNA/cfDNA,",","&amp;SUBSTITUTE(K75,", ",",")&amp;",")),1,0)</f>
        <v>0</v>
      </c>
    </row>
    <row r="76" spans="1:135" ht="15" customHeight="1" x14ac:dyDescent="0.2">
      <c r="A76" s="3" t="s">
        <v>1311</v>
      </c>
      <c r="B76" s="3" t="s">
        <v>1313</v>
      </c>
      <c r="C76" s="3" t="s">
        <v>1314</v>
      </c>
      <c r="D76" s="3" t="s">
        <v>1314</v>
      </c>
      <c r="E76" s="3"/>
      <c r="F76" s="3" t="s">
        <v>259</v>
      </c>
      <c r="G76" s="3"/>
      <c r="H76" s="3" t="s">
        <v>114</v>
      </c>
      <c r="I76" s="3" t="s">
        <v>1317</v>
      </c>
      <c r="J76" s="3" t="s">
        <v>1316</v>
      </c>
      <c r="K76" s="3"/>
      <c r="L76" s="3" t="s">
        <v>119</v>
      </c>
      <c r="M76" s="3" t="s">
        <v>113</v>
      </c>
      <c r="N76" s="3" t="s">
        <v>120</v>
      </c>
      <c r="O76" s="3" t="s">
        <v>120</v>
      </c>
      <c r="P76" s="3" t="s">
        <v>1315</v>
      </c>
      <c r="Q76" s="10" t="str">
        <f>IF(F76="Stage IV","Stage IV Only",IF(AND(ISNUMBER(SEARCH("IV",F76)),LEN(F76)&gt;LEN("Stage IV")),"Stage IV + Other",IF(AND(ISNUMBER(SEARCH("III",F76)),NOT(ISNUMBER(SEARCH("IV",F76)))),"Stage III Only","Other")))</f>
        <v>Stage IV Only</v>
      </c>
      <c r="R76" s="10" t="str">
        <f>IF(AND(ISNUMBER(SEARCH("Non-squamous",G76)),ISNUMBER(SEARCH("Squamous",SUBSTITUTE(G76,"Non-squamous","")))),"Both",IF(ISNUMBER(SEARCH("Non-squamous",G76)),"Non-squamous",IF(ISNUMBER(SEARCH("Squamous",G76)),"Squamous","Unspecified")))</f>
        <v>Unspecified</v>
      </c>
      <c r="S76" s="10" t="str">
        <f>IF(OR(ISNUMBER(SEARCH("TPS ≥ 50%",K76)),ISNUMBER(SEARCH("TC ≥ 50%",K76))),"TPS ≥ 50%",IF(OR(ISNUMBER(SEARCH("TPS ≥ 1%",K76)),ISNUMBER(SEARCH("TC ≥ 1%",K76)),ISNUMBER(SEARCH("TPS &lt; 50%",K76)),ISNUMBER(SEARCH("IC ≥ 1%",K76))),"TPS 1-49%","All-comers"))</f>
        <v>All-comers</v>
      </c>
      <c r="T76" s="10">
        <f>IF(H76="Phase III",1,0)</f>
        <v>1</v>
      </c>
      <c r="U76" s="10">
        <f>IF(L76="Yes",1,0)</f>
        <v>0</v>
      </c>
      <c r="V76" s="11">
        <f>IF(ISNUMBER(SEARCH(",ALK,",","&amp;SUBSTITUTE(I76,", ",",")&amp;",")),1,0)</f>
        <v>0</v>
      </c>
      <c r="W76" s="11">
        <f>IF(ISNUMBER(SEARCH(",ALK L1196M,",","&amp;SUBSTITUTE(I76,", ",",")&amp;",")),1,0)</f>
        <v>0</v>
      </c>
      <c r="X76" s="11">
        <f>IF(ISNUMBER(SEARCH(",AXL,",","&amp;SUBSTITUTE(I76,", ",",")&amp;",")),1,0)</f>
        <v>0</v>
      </c>
      <c r="Y76" s="11">
        <f>IF(ISNUMBER(SEARCH(",B7-H1,",","&amp;SUBSTITUTE(I76,", ",",")&amp;",")),1,0)</f>
        <v>0</v>
      </c>
      <c r="Z76" s="11">
        <f>IF(ISNUMBER(SEARCH(",CD152,",","&amp;SUBSTITUTE(I76,", ",",")&amp;",")),1,0)</f>
        <v>0</v>
      </c>
      <c r="AA76" s="11">
        <f>IF(ISNUMBER(SEARCH(",CD274,",","&amp;SUBSTITUTE(I76,", ",",")&amp;",")),1,0)</f>
        <v>0</v>
      </c>
      <c r="AB76" s="11">
        <f>IF(ISNUMBER(SEARCH(",CD279,",","&amp;SUBSTITUTE(I76,", ",",")&amp;",")),1,0)</f>
        <v>0</v>
      </c>
      <c r="AC76" s="11">
        <f>IF(ISNUMBER(SEARCH(",CD73,",","&amp;SUBSTITUTE(I76,", ",",")&amp;",")),1,0)</f>
        <v>0</v>
      </c>
      <c r="AD76" s="11">
        <f>IF(ISNUMBER(SEARCH(",CEA,",","&amp;SUBSTITUTE(I76,", ",",")&amp;",")),1,0)</f>
        <v>0</v>
      </c>
      <c r="AE76" s="11">
        <f>IF(ISNUMBER(SEARCH(",CTLA-4,",","&amp;SUBSTITUTE(I76,", ",",")&amp;",")),1,0)</f>
        <v>0</v>
      </c>
      <c r="AF76" s="11">
        <f>IF(ISNUMBER(SEARCH(",EGFR,",","&amp;SUBSTITUTE(I76,", ",",")&amp;",")),1,0)</f>
        <v>0</v>
      </c>
      <c r="AG76" s="11">
        <f>IF(ISNUMBER(SEARCH(",EGFR C797G,",","&amp;SUBSTITUTE(I76,", ",",")&amp;",")),1,0)</f>
        <v>0</v>
      </c>
      <c r="AH76" s="11">
        <f>IF(ISNUMBER(SEARCH(",EGFR C797S,",","&amp;SUBSTITUTE(I76,", ",",")&amp;",")),1,0)</f>
        <v>0</v>
      </c>
      <c r="AI76" s="11">
        <f>IF(ISNUMBER(SEARCH(",EGFR Exon 19-del,",","&amp;SUBSTITUTE(I76,", ",",")&amp;",")),1,0)</f>
        <v>0</v>
      </c>
      <c r="AJ76" s="11">
        <f>IF(ISNUMBER(SEARCH(",EGFR Exon 20,",","&amp;SUBSTITUTE(I76,", ",",")&amp;",")),1,0)</f>
        <v>0</v>
      </c>
      <c r="AK76" s="11">
        <f>IF(ISNUMBER(SEARCH(",EGFR L858R,",","&amp;SUBSTITUTE(I76,", ",",")&amp;",")),1,0)</f>
        <v>0</v>
      </c>
      <c r="AL76" s="11">
        <f>IF(ISNUMBER(SEARCH(",EGFR T790M,",","&amp;SUBSTITUTE(I76,", ",",")&amp;",")),1,0)</f>
        <v>0</v>
      </c>
      <c r="AM76" s="11">
        <f>IF(ISNUMBER(SEARCH(",ERBB,",","&amp;SUBSTITUTE(I76,", ",",")&amp;",")),1,0)</f>
        <v>0</v>
      </c>
      <c r="AN76" s="11">
        <f>IF(ISNUMBER(SEARCH(",ERBB3,",","&amp;SUBSTITUTE(I76,", ",",")&amp;",")),1,0)</f>
        <v>0</v>
      </c>
      <c r="AO76" s="11">
        <f>IF(ISNUMBER(SEARCH(",FAK,",","&amp;SUBSTITUTE(I76,", ",",")&amp;",")),1,0)</f>
        <v>0</v>
      </c>
      <c r="AP76" s="11">
        <f>IF(ISNUMBER(SEARCH(",GARP,",","&amp;SUBSTITUTE(I76,", ",",")&amp;",")),1,0)</f>
        <v>0</v>
      </c>
      <c r="AQ76" s="11">
        <f>IF(ISNUMBER(SEARCH(",HER1,",","&amp;SUBSTITUTE(I76,", ",",")&amp;",")),1,0)</f>
        <v>0</v>
      </c>
      <c r="AR76" s="11">
        <f>IF(ISNUMBER(SEARCH(",HER2,",","&amp;SUBSTITUTE(I76,", ",",")&amp;",")),1,0)</f>
        <v>0</v>
      </c>
      <c r="AS76" s="11">
        <f>IF(ISNUMBER(SEARCH(",HER2 Exon 20,",","&amp;SUBSTITUTE(I76,", ",",")&amp;",")),1,0)</f>
        <v>0</v>
      </c>
      <c r="AT76" s="11">
        <f>IF(ISNUMBER(SEARCH(",HER3,",","&amp;SUBSTITUTE(I76,", ",",")&amp;",")),1,0)</f>
        <v>0</v>
      </c>
      <c r="AU76" s="11">
        <f>IF(ISNUMBER(SEARCH(",HER4,",","&amp;SUBSTITUTE(I76,", ",",")&amp;",")),1,0)</f>
        <v>0</v>
      </c>
      <c r="AV76" s="11">
        <f>IF(ISNUMBER(SEARCH(",HRAS,",","&amp;SUBSTITUTE(I76,", ",",")&amp;",")),1,0)</f>
        <v>0</v>
      </c>
      <c r="AW76" s="11">
        <f>IF(ISNUMBER(SEARCH(",HSV-TK,",","&amp;SUBSTITUTE(I76,", ",",")&amp;",")),1,0)</f>
        <v>0</v>
      </c>
      <c r="AX76" s="11">
        <f>IF(ISNUMBER(SEARCH(",IL-12,",","&amp;SUBSTITUTE(I76,", ",",")&amp;",")),1,0)</f>
        <v>0</v>
      </c>
      <c r="AY76" s="11">
        <f>IF(ISNUMBER(SEARCH(",IL-15,",","&amp;SUBSTITUTE(I76,", ",",")&amp;",")),1,0)</f>
        <v>0</v>
      </c>
      <c r="AZ76" s="11">
        <f>IF(ISNUMBER(SEARCH(",IL-15R,",","&amp;SUBSTITUTE(I76,", ",",")&amp;",")),1,0)</f>
        <v>0</v>
      </c>
      <c r="BA76" s="11">
        <f>IF(ISNUMBER(SEARCH(",IL-2,",","&amp;SUBSTITUTE(I76,", ",",")&amp;",")),1,0)</f>
        <v>0</v>
      </c>
      <c r="BB76" s="11">
        <f>IF(ISNUMBER(SEARCH(",Integrin β6,",","&amp;SUBSTITUTE(I76,", ",",")&amp;",")),1,0)</f>
        <v>0</v>
      </c>
      <c r="BC76" s="11">
        <f>IF(ISNUMBER(SEARCH(",KDR,",","&amp;SUBSTITUTE(I76,", ",",")&amp;",")),1,0)</f>
        <v>0</v>
      </c>
      <c r="BD76" s="11">
        <f>IF(ISNUMBER(SEARCH(",KLRC1,",","&amp;SUBSTITUTE(I76,", ",",")&amp;",")),1,0)</f>
        <v>0</v>
      </c>
      <c r="BE76" s="11">
        <f>IF(ISNUMBER(SEARCH(",KRAS,",","&amp;SUBSTITUTE(I76,", ",",")&amp;",")),1,0)</f>
        <v>0</v>
      </c>
      <c r="BF76" s="11">
        <f>IF(ISNUMBER(SEARCH(",KRAS G12,",","&amp;SUBSTITUTE(I76,", ",",")&amp;",")),1,0)</f>
        <v>0</v>
      </c>
      <c r="BG76" s="11">
        <f>IF(ISNUMBER(SEARCH(",KRAS G12C,",","&amp;SUBSTITUTE(I76,", ",",")&amp;",")),1,0)</f>
        <v>0</v>
      </c>
      <c r="BH76" s="11">
        <f>IF(ISNUMBER(SEARCH(",KRAS G12D,",","&amp;SUBSTITUTE(I76,", ",",")&amp;",")),1,0)</f>
        <v>1</v>
      </c>
      <c r="BI76" s="11">
        <f>IF(ISNUMBER(SEARCH(",LAG-3,",","&amp;SUBSTITUTE(I76,", ",",")&amp;",")),1,0)</f>
        <v>0</v>
      </c>
      <c r="BJ76" s="11">
        <f>IF(ISNUMBER(SEARCH(",MAGE-A2,",","&amp;SUBSTITUTE(I76,", ",",")&amp;",")),1,0)</f>
        <v>0</v>
      </c>
      <c r="BK76" s="11">
        <f>IF(ISNUMBER(SEARCH(",MAGE-A3,",","&amp;SUBSTITUTE(I76,", ",",")&amp;",")),1,0)</f>
        <v>0</v>
      </c>
      <c r="BL76" s="11">
        <f>IF(ISNUMBER(SEARCH(",MLN19,",","&amp;SUBSTITUTE(I76,", ",",")&amp;",")),1,0)</f>
        <v>0</v>
      </c>
      <c r="BM76" s="11">
        <f>IF(ISNUMBER(SEARCH(",Microtubule,",","&amp;SUBSTITUTE(I76,", ",",")&amp;",")),1,0)</f>
        <v>0</v>
      </c>
      <c r="BN76" s="11">
        <f>IF(ISNUMBER(SEARCH(",NKG2A,",","&amp;SUBSTITUTE(I76,", ",",")&amp;",")),1,0)</f>
        <v>0</v>
      </c>
      <c r="BO76" s="11">
        <f>IF(ISNUMBER(SEARCH(",NRAS,",","&amp;SUBSTITUTE(I76,", ",",")&amp;",")),1,0)</f>
        <v>0</v>
      </c>
      <c r="BP76" s="11">
        <f>IF(ISNUMBER(SEARCH(",NTRK,",","&amp;SUBSTITUTE(I76,", ",",")&amp;",")),1,0)</f>
        <v>0</v>
      </c>
      <c r="BQ76" s="11">
        <f>IF(ISNUMBER(SEARCH(",PARP,",","&amp;SUBSTITUTE(I76,", ",",")&amp;",")),1,0)</f>
        <v>0</v>
      </c>
      <c r="BR76" s="11">
        <f>IF(ISNUMBER(SEARCH(",PD-1,",","&amp;SUBSTITUTE(I76,", ",",")&amp;",")),1,0)</f>
        <v>0</v>
      </c>
      <c r="BS76" s="11">
        <f>IF(ISNUMBER(SEARCH(",PD-L1,",","&amp;SUBSTITUTE(I76,", ",",")&amp;",")),1,0)</f>
        <v>0</v>
      </c>
      <c r="BT76" s="11">
        <f>IF(ISNUMBER(SEARCH(",PRMT5,",","&amp;SUBSTITUTE(I76,", ",",")&amp;",")),1,0)</f>
        <v>0</v>
      </c>
      <c r="BU76" s="11">
        <f>IF(ISNUMBER(SEARCH(",RAS,",","&amp;SUBSTITUTE(I76,", ",",")&amp;",")),1,0)</f>
        <v>0</v>
      </c>
      <c r="BV76" s="11">
        <f>IF(ISNUMBER(SEARCH(",RET,",","&amp;SUBSTITUTE(I76,", ",",")&amp;",")),1,0)</f>
        <v>0</v>
      </c>
      <c r="BW76" s="11">
        <f>IF(ISNUMBER(SEARCH(",ROS,",","&amp;SUBSTITUTE(I76,", ",",")&amp;",")),1,0)</f>
        <v>0</v>
      </c>
      <c r="BX76" s="11">
        <f>IF(ISNUMBER(SEARCH(",ROS1,",","&amp;SUBSTITUTE(I76,", ",",")&amp;",")),1,0)</f>
        <v>0</v>
      </c>
      <c r="BY76" s="11">
        <f>IF(ISNUMBER(SEARCH(",Src,",","&amp;SUBSTITUTE(I76,", ",",")&amp;",")),1,0)</f>
        <v>0</v>
      </c>
      <c r="BZ76" s="11">
        <f>IF(ISNUMBER(SEARCH(",TCGF,",","&amp;SUBSTITUTE(I76,", ",",")&amp;",")),1,0)</f>
        <v>0</v>
      </c>
      <c r="CA76" s="11">
        <f>IF(ISNUMBER(SEARCH(",TGF-β,",","&amp;SUBSTITUTE(I76,", ",",")&amp;",")),1,0)</f>
        <v>0</v>
      </c>
      <c r="CB76" s="11">
        <f>IF(ISNUMBER(SEARCH(",TGF-β1,",","&amp;SUBSTITUTE(I76,", ",",")&amp;",")),1,0)</f>
        <v>0</v>
      </c>
      <c r="CC76" s="11">
        <f>IF(ISNUMBER(SEARCH(",TIGIT,",","&amp;SUBSTITUTE(I76,", ",",")&amp;",")),1,0)</f>
        <v>0</v>
      </c>
      <c r="CD76" s="11">
        <f>IF(ISNUMBER(SEARCH(",TLR,",","&amp;SUBSTITUTE(I76,", ",",")&amp;",")),1,0)</f>
        <v>0</v>
      </c>
      <c r="CE76" s="11">
        <f>IF(ISNUMBER(SEARCH(",TLR7/8,",","&amp;SUBSTITUTE(I76,", ",",")&amp;",")),1,0)</f>
        <v>0</v>
      </c>
      <c r="CF76" s="11">
        <f>IF(ISNUMBER(SEARCH(",TRK,",","&amp;SUBSTITUTE(I76,", ",",")&amp;",")),1,0)</f>
        <v>0</v>
      </c>
      <c r="CG76" s="11">
        <f>IF(ISNUMBER(SEARCH(",TROP2,",","&amp;SUBSTITUTE(I76,", ",",")&amp;",")),1,0)</f>
        <v>0</v>
      </c>
      <c r="CH76" s="11">
        <f>IF(ISNUMBER(SEARCH(",TS,",","&amp;SUBSTITUTE(I76,", ",",")&amp;",")),1,0)</f>
        <v>0</v>
      </c>
      <c r="CI76" s="11">
        <f>IF(ISNUMBER(SEARCH(",TYMS,",","&amp;SUBSTITUTE(I76,", ",",")&amp;",")),1,0)</f>
        <v>0</v>
      </c>
      <c r="CJ76" s="11">
        <f>IF(ISNUMBER(SEARCH(",VEGF,",","&amp;SUBSTITUTE(I76,", ",",")&amp;",")),1,0)</f>
        <v>0</v>
      </c>
      <c r="CK76" s="11">
        <f>IF(ISNUMBER(SEARCH(",VEGFA,",","&amp;SUBSTITUTE(I76,", ",",")&amp;",")),1,0)</f>
        <v>0</v>
      </c>
      <c r="CL76" s="11">
        <f>IF(ISNUMBER(SEARCH(",VEGFR2,",","&amp;SUBSTITUTE(I76,", ",",")&amp;",")),1,0)</f>
        <v>0</v>
      </c>
      <c r="CM76" s="11">
        <f>IF(ISNUMBER(SEARCH(",c-MET/MET,",","&amp;SUBSTITUTE(I76,", ",",")&amp;",")),1,0)</f>
        <v>0</v>
      </c>
      <c r="CN76" s="11">
        <f>IF(ISNUMBER(SEARCH(",p53,",","&amp;SUBSTITUTE(I76,", ",",")&amp;",")),1,0)</f>
        <v>0</v>
      </c>
      <c r="CO76" s="11">
        <f>IF(ISNUMBER(SEARCH(",pan-KRAS,",","&amp;SUBSTITUTE(I76,", ",",")&amp;",")),1,0)</f>
        <v>0</v>
      </c>
      <c r="CP76" s="11">
        <f>IF(ISNUMBER(SEARCH(",ALK,",","&amp;SUBSTITUTE(K76,", ",",")&amp;",")),1,0)</f>
        <v>0</v>
      </c>
      <c r="CQ76" s="11">
        <f>IF(ISNUMBER(SEARCH(",BRAF V600E,",","&amp;SUBSTITUTE(K76,", ",",")&amp;",")),1,0)</f>
        <v>0</v>
      </c>
      <c r="CR76" s="11">
        <f>IF(ISNUMBER(SEARCH(",EGFR,",","&amp;SUBSTITUTE(K76,", ",",")&amp;",")),1,0)</f>
        <v>0</v>
      </c>
      <c r="CS76" s="11">
        <f>IF(ISNUMBER(SEARCH(",EGFR Exon 18,",","&amp;SUBSTITUTE(K76,", ",",")&amp;",")),1,0)</f>
        <v>0</v>
      </c>
      <c r="CT76" s="11">
        <f>IF(ISNUMBER(SEARCH(",EGFR Exon 19-del,",","&amp;SUBSTITUTE(K76,", ",",")&amp;",")),1,0)</f>
        <v>0</v>
      </c>
      <c r="CU76" s="11">
        <f>IF(ISNUMBER(SEARCH(",EGFR Exon 20,",","&amp;SUBSTITUTE(K76,", ",",")&amp;",")),1,0)</f>
        <v>0</v>
      </c>
      <c r="CV76" s="11">
        <f>IF(ISNUMBER(SEARCH(",EGFR Exon 20-ins,",","&amp;SUBSTITUTE(K76,", ",",")&amp;",")),1,0)</f>
        <v>0</v>
      </c>
      <c r="CW76" s="11">
        <f>IF(ISNUMBER(SEARCH(",EGFR Exon 21,",","&amp;SUBSTITUTE(K76,", ",",")&amp;",")),1,0)</f>
        <v>0</v>
      </c>
      <c r="CX76" s="11">
        <f>IF(ISNUMBER(SEARCH(",EGFR G719A,",","&amp;SUBSTITUTE(K76,", ",",")&amp;",")),1,0)</f>
        <v>0</v>
      </c>
      <c r="CY76" s="11">
        <f>IF(ISNUMBER(SEARCH(",EGFR G719C,",","&amp;SUBSTITUTE(K76,", ",",")&amp;",")),1,0)</f>
        <v>0</v>
      </c>
      <c r="CZ76" s="11">
        <f>IF(ISNUMBER(SEARCH(",EGFR G719S,",","&amp;SUBSTITUTE(K76,", ",",")&amp;",")),1,0)</f>
        <v>0</v>
      </c>
      <c r="DA76" s="11">
        <f>IF(ISNUMBER(SEARCH(",EGFR G719X,",","&amp;SUBSTITUTE(K76,", ",",")&amp;",")),1,0)</f>
        <v>0</v>
      </c>
      <c r="DB76" s="11">
        <f>IF(ISNUMBER(SEARCH(",EGFR L858R,",","&amp;SUBSTITUTE(K76,", ",",")&amp;",")),1,0)</f>
        <v>0</v>
      </c>
      <c r="DC76" s="11">
        <f>IF(ISNUMBER(SEARCH(",EGFR L861Q,",","&amp;SUBSTITUTE(K76,", ",",")&amp;",")),1,0)</f>
        <v>0</v>
      </c>
      <c r="DD76" s="11">
        <f>IF(ISNUMBER(SEARCH(",EGFR PACC,",","&amp;SUBSTITUTE(K76,", ",",")&amp;",")),1,0)</f>
        <v>0</v>
      </c>
      <c r="DE76" s="11">
        <f>IF(ISNUMBER(SEARCH(",EGFR S768I,",","&amp;SUBSTITUTE(K76,", ",",")&amp;",")),1,0)</f>
        <v>0</v>
      </c>
      <c r="DF76" s="11">
        <f>IF(ISNUMBER(SEARCH(",EGFR T790M,",","&amp;SUBSTITUTE(K76,", ",",")&amp;",")),1,0)</f>
        <v>0</v>
      </c>
      <c r="DG76" s="11">
        <f>IF(ISNUMBER(SEARCH(",EML4-ALK,",","&amp;SUBSTITUTE(K76,", ",",")&amp;",")),1,0)</f>
        <v>0</v>
      </c>
      <c r="DH76" s="11">
        <f>IF(ISNUMBER(SEARCH(",HER2,",","&amp;SUBSTITUTE(K76,", ",",")&amp;",")),1,0)</f>
        <v>0</v>
      </c>
      <c r="DI76" s="11">
        <f>IF(ISNUMBER(SEARCH(",HER2 Exon 19,",","&amp;SUBSTITUTE(K76,", ",",")&amp;",")),1,0)</f>
        <v>0</v>
      </c>
      <c r="DJ76" s="11">
        <f>IF(ISNUMBER(SEARCH(",HER2 Exon 20,",","&amp;SUBSTITUTE(K76,", ",",")&amp;",")),1,0)</f>
        <v>0</v>
      </c>
      <c r="DK76" s="11">
        <f>IF(ISNUMBER(SEARCH(",HER2 mut,",","&amp;SUBSTITUTE(K76,", ",",")&amp;",")),1,0)</f>
        <v>0</v>
      </c>
      <c r="DL76" s="11">
        <f>IF(ISNUMBER(SEARCH(",HLA-A2,",","&amp;SUBSTITUTE(K76,", ",",")&amp;",")),1,0)</f>
        <v>0</v>
      </c>
      <c r="DM76" s="11">
        <f>IF(ISNUMBER(SEARCH(",HRAS,",","&amp;SUBSTITUTE(K76,", ",",")&amp;",")),1,0)</f>
        <v>0</v>
      </c>
      <c r="DN76" s="11">
        <f>IF(ISNUMBER(SEARCH(",KRAS,",","&amp;SUBSTITUTE(K76,", ",",")&amp;",")),1,0)</f>
        <v>0</v>
      </c>
      <c r="DO76" s="11">
        <f>IF(ISNUMBER(SEARCH(",KRAS G12C,",","&amp;SUBSTITUTE(K76,", ",",")&amp;",")),1,0)</f>
        <v>0</v>
      </c>
      <c r="DP76" s="11">
        <f>IF(ISNUMBER(SEARCH(",NRAS,",","&amp;SUBSTITUTE(K76,", ",",")&amp;",")),1,0)</f>
        <v>0</v>
      </c>
      <c r="DQ76" s="11">
        <f>IF(ISNUMBER(SEARCH(",NTRK,",","&amp;SUBSTITUTE(K76,", ",",")&amp;",")),1,0)</f>
        <v>0</v>
      </c>
      <c r="DR76" s="11">
        <f>IF(ISNUMBER(SEARCH(",PD-L1,",","&amp;SUBSTITUTE(K76,", ",",")&amp;",")),1,0)</f>
        <v>0</v>
      </c>
      <c r="DS76" s="11">
        <f>IF(ISNUMBER(SEARCH(",PD-L1 IC ≥ 1%,",","&amp;SUBSTITUTE(K76,", ",",")&amp;",")),1,0)</f>
        <v>0</v>
      </c>
      <c r="DT76" s="11">
        <f>IF(ISNUMBER(SEARCH(",PD-L1 TC ≥ 1%,",","&amp;SUBSTITUTE(K76,", ",",")&amp;",")),1,0)</f>
        <v>0</v>
      </c>
      <c r="DU76" s="11">
        <f>IF(ISNUMBER(SEARCH(",PD-L1 TC ≥ 50%,",","&amp;SUBSTITUTE(K76,", ",",")&amp;",")),1,0)</f>
        <v>0</v>
      </c>
      <c r="DV76" s="11">
        <f>IF(ISNUMBER(SEARCH(",PD-L1 TPS &lt; 50%,",","&amp;SUBSTITUTE(K76,", ",",")&amp;",")),1,0)</f>
        <v>0</v>
      </c>
      <c r="DW76" s="11">
        <f>IF(ISNUMBER(SEARCH(",PD-L1 TPS ≥ 1%,",","&amp;SUBSTITUTE(K76,", ",",")&amp;",")),1,0)</f>
        <v>0</v>
      </c>
      <c r="DX76" s="11">
        <f>IF(ISNUMBER(SEARCH(",PD-L1 TPS ≥ 50%,",","&amp;SUBSTITUTE(K76,", ",",")&amp;",")),1,0)</f>
        <v>0</v>
      </c>
      <c r="DY76" s="11">
        <f>IF(ISNUMBER(SEARCH(",RAS,",","&amp;SUBSTITUTE(K76,", ",",")&amp;",")),1,0)</f>
        <v>0</v>
      </c>
      <c r="DZ76" s="11">
        <f>IF(ISNUMBER(SEARCH(",RET,",","&amp;SUBSTITUTE(K76,", ",",")&amp;",")),1,0)</f>
        <v>0</v>
      </c>
      <c r="EA76" s="11">
        <f>IF(ISNUMBER(SEARCH(",ROS1,",","&amp;SUBSTITUTE(K76,", ",",")&amp;",")),1,0)</f>
        <v>0</v>
      </c>
      <c r="EB76" s="11">
        <f>IF(ISNUMBER(SEARCH(",TROP2,",","&amp;SUBSTITUTE(K76,", ",",")&amp;",")),1,0)</f>
        <v>0</v>
      </c>
      <c r="EC76" s="11">
        <f>IF(ISNUMBER(SEARCH(",c-MET/MET,",","&amp;SUBSTITUTE(K76,", ",",")&amp;",")),1,0)</f>
        <v>0</v>
      </c>
      <c r="ED76" s="11">
        <f>IF(ISNUMBER(SEARCH(",c-MET/MET Exon 14,",","&amp;SUBSTITUTE(K76,", ",",")&amp;",")),1,0)</f>
        <v>0</v>
      </c>
      <c r="EE76" s="11">
        <f>IF(ISNUMBER(SEARCH(",ctDNA/cfDNA,",","&amp;SUBSTITUTE(K76,", ",",")&amp;",")),1,0)</f>
        <v>0</v>
      </c>
    </row>
    <row r="77" spans="1:135" ht="15" customHeight="1" x14ac:dyDescent="0.2">
      <c r="A77" s="5" t="s">
        <v>1026</v>
      </c>
      <c r="B77" s="5" t="s">
        <v>1028</v>
      </c>
      <c r="C77" s="5" t="s">
        <v>214</v>
      </c>
      <c r="D77" s="5" t="s">
        <v>214</v>
      </c>
      <c r="E77" s="5" t="s">
        <v>214</v>
      </c>
      <c r="F77" s="5" t="s">
        <v>259</v>
      </c>
      <c r="G77" s="5" t="s">
        <v>181</v>
      </c>
      <c r="H77" s="5" t="s">
        <v>114</v>
      </c>
      <c r="I77" s="5" t="s">
        <v>1032</v>
      </c>
      <c r="J77" s="5" t="s">
        <v>1031</v>
      </c>
      <c r="K77" s="5" t="s">
        <v>1038</v>
      </c>
      <c r="L77" s="5" t="s">
        <v>119</v>
      </c>
      <c r="M77" s="5" t="s">
        <v>113</v>
      </c>
      <c r="N77" s="5" t="s">
        <v>119</v>
      </c>
      <c r="O77" s="5" t="s">
        <v>120</v>
      </c>
      <c r="P77" s="5" t="s">
        <v>1029</v>
      </c>
      <c r="Q77" s="10" t="str">
        <f>IF(F77="Stage IV","Stage IV Only",IF(AND(ISNUMBER(SEARCH("IV",F77)),LEN(F77)&gt;LEN("Stage IV")),"Stage IV + Other",IF(AND(ISNUMBER(SEARCH("III",F77)),NOT(ISNUMBER(SEARCH("IV",F77)))),"Stage III Only","Other")))</f>
        <v>Stage IV Only</v>
      </c>
      <c r="R77" s="10" t="str">
        <f>IF(AND(ISNUMBER(SEARCH("Non-squamous",G77)),ISNUMBER(SEARCH("Squamous",SUBSTITUTE(G77,"Non-squamous","")))),"Both",IF(ISNUMBER(SEARCH("Non-squamous",G77)),"Non-squamous",IF(ISNUMBER(SEARCH("Squamous",G77)),"Squamous","Unspecified")))</f>
        <v>Non-squamous</v>
      </c>
      <c r="S77" s="10" t="str">
        <f>IF(OR(ISNUMBER(SEARCH("TPS ≥ 50%",K77)),ISNUMBER(SEARCH("TC ≥ 50%",K77))),"TPS ≥ 50%",IF(OR(ISNUMBER(SEARCH("TPS ≥ 1%",K77)),ISNUMBER(SEARCH("TC ≥ 1%",K77)),ISNUMBER(SEARCH("TPS &lt; 50%",K77)),ISNUMBER(SEARCH("IC ≥ 1%",K77))),"TPS 1-49%","All-comers"))</f>
        <v>All-comers</v>
      </c>
      <c r="T77" s="10">
        <f>IF(H77="Phase III",1,0)</f>
        <v>1</v>
      </c>
      <c r="U77" s="10">
        <f>IF(L77="Yes",1,0)</f>
        <v>0</v>
      </c>
      <c r="V77" s="11">
        <f>IF(ISNUMBER(SEARCH(",ALK,",","&amp;SUBSTITUTE(I77,", ",",")&amp;",")),1,0)</f>
        <v>0</v>
      </c>
      <c r="W77" s="11">
        <f>IF(ISNUMBER(SEARCH(",ALK L1196M,",","&amp;SUBSTITUTE(I77,", ",",")&amp;",")),1,0)</f>
        <v>0</v>
      </c>
      <c r="X77" s="11">
        <f>IF(ISNUMBER(SEARCH(",AXL,",","&amp;SUBSTITUTE(I77,", ",",")&amp;",")),1,0)</f>
        <v>0</v>
      </c>
      <c r="Y77" s="11">
        <f>IF(ISNUMBER(SEARCH(",B7-H1,",","&amp;SUBSTITUTE(I77,", ",",")&amp;",")),1,0)</f>
        <v>0</v>
      </c>
      <c r="Z77" s="11">
        <f>IF(ISNUMBER(SEARCH(",CD152,",","&amp;SUBSTITUTE(I77,", ",",")&amp;",")),1,0)</f>
        <v>0</v>
      </c>
      <c r="AA77" s="11">
        <f>IF(ISNUMBER(SEARCH(",CD274,",","&amp;SUBSTITUTE(I77,", ",",")&amp;",")),1,0)</f>
        <v>0</v>
      </c>
      <c r="AB77" s="11">
        <f>IF(ISNUMBER(SEARCH(",CD279,",","&amp;SUBSTITUTE(I77,", ",",")&amp;",")),1,0)</f>
        <v>0</v>
      </c>
      <c r="AC77" s="11">
        <f>IF(ISNUMBER(SEARCH(",CD73,",","&amp;SUBSTITUTE(I77,", ",",")&amp;",")),1,0)</f>
        <v>0</v>
      </c>
      <c r="AD77" s="11">
        <f>IF(ISNUMBER(SEARCH(",CEA,",","&amp;SUBSTITUTE(I77,", ",",")&amp;",")),1,0)</f>
        <v>0</v>
      </c>
      <c r="AE77" s="11">
        <f>IF(ISNUMBER(SEARCH(",CTLA-4,",","&amp;SUBSTITUTE(I77,", ",",")&amp;",")),1,0)</f>
        <v>0</v>
      </c>
      <c r="AF77" s="11">
        <f>IF(ISNUMBER(SEARCH(",EGFR,",","&amp;SUBSTITUTE(I77,", ",",")&amp;",")),1,0)</f>
        <v>0</v>
      </c>
      <c r="AG77" s="11">
        <f>IF(ISNUMBER(SEARCH(",EGFR C797G,",","&amp;SUBSTITUTE(I77,", ",",")&amp;",")),1,0)</f>
        <v>0</v>
      </c>
      <c r="AH77" s="11">
        <f>IF(ISNUMBER(SEARCH(",EGFR C797S,",","&amp;SUBSTITUTE(I77,", ",",")&amp;",")),1,0)</f>
        <v>0</v>
      </c>
      <c r="AI77" s="11">
        <f>IF(ISNUMBER(SEARCH(",EGFR Exon 19-del,",","&amp;SUBSTITUTE(I77,", ",",")&amp;",")),1,0)</f>
        <v>0</v>
      </c>
      <c r="AJ77" s="11">
        <f>IF(ISNUMBER(SEARCH(",EGFR Exon 20,",","&amp;SUBSTITUTE(I77,", ",",")&amp;",")),1,0)</f>
        <v>0</v>
      </c>
      <c r="AK77" s="11">
        <f>IF(ISNUMBER(SEARCH(",EGFR L858R,",","&amp;SUBSTITUTE(I77,", ",",")&amp;",")),1,0)</f>
        <v>0</v>
      </c>
      <c r="AL77" s="11">
        <f>IF(ISNUMBER(SEARCH(",EGFR T790M,",","&amp;SUBSTITUTE(I77,", ",",")&amp;",")),1,0)</f>
        <v>0</v>
      </c>
      <c r="AM77" s="11">
        <f>IF(ISNUMBER(SEARCH(",ERBB,",","&amp;SUBSTITUTE(I77,", ",",")&amp;",")),1,0)</f>
        <v>0</v>
      </c>
      <c r="AN77" s="11">
        <f>IF(ISNUMBER(SEARCH(",ERBB3,",","&amp;SUBSTITUTE(I77,", ",",")&amp;",")),1,0)</f>
        <v>0</v>
      </c>
      <c r="AO77" s="11">
        <f>IF(ISNUMBER(SEARCH(",FAK,",","&amp;SUBSTITUTE(I77,", ",",")&amp;",")),1,0)</f>
        <v>0</v>
      </c>
      <c r="AP77" s="11">
        <f>IF(ISNUMBER(SEARCH(",GARP,",","&amp;SUBSTITUTE(I77,", ",",")&amp;",")),1,0)</f>
        <v>0</v>
      </c>
      <c r="AQ77" s="11">
        <f>IF(ISNUMBER(SEARCH(",HER1,",","&amp;SUBSTITUTE(I77,", ",",")&amp;",")),1,0)</f>
        <v>0</v>
      </c>
      <c r="AR77" s="11">
        <f>IF(ISNUMBER(SEARCH(",HER2,",","&amp;SUBSTITUTE(I77,", ",",")&amp;",")),1,0)</f>
        <v>0</v>
      </c>
      <c r="AS77" s="11">
        <f>IF(ISNUMBER(SEARCH(",HER2 Exon 20,",","&amp;SUBSTITUTE(I77,", ",",")&amp;",")),1,0)</f>
        <v>1</v>
      </c>
      <c r="AT77" s="11">
        <f>IF(ISNUMBER(SEARCH(",HER3,",","&amp;SUBSTITUTE(I77,", ",",")&amp;",")),1,0)</f>
        <v>0</v>
      </c>
      <c r="AU77" s="11">
        <f>IF(ISNUMBER(SEARCH(",HER4,",","&amp;SUBSTITUTE(I77,", ",",")&amp;",")),1,0)</f>
        <v>0</v>
      </c>
      <c r="AV77" s="11">
        <f>IF(ISNUMBER(SEARCH(",HRAS,",","&amp;SUBSTITUTE(I77,", ",",")&amp;",")),1,0)</f>
        <v>0</v>
      </c>
      <c r="AW77" s="11">
        <f>IF(ISNUMBER(SEARCH(",HSV-TK,",","&amp;SUBSTITUTE(I77,", ",",")&amp;",")),1,0)</f>
        <v>0</v>
      </c>
      <c r="AX77" s="11">
        <f>IF(ISNUMBER(SEARCH(",IL-12,",","&amp;SUBSTITUTE(I77,", ",",")&amp;",")),1,0)</f>
        <v>0</v>
      </c>
      <c r="AY77" s="11">
        <f>IF(ISNUMBER(SEARCH(",IL-15,",","&amp;SUBSTITUTE(I77,", ",",")&amp;",")),1,0)</f>
        <v>0</v>
      </c>
      <c r="AZ77" s="11">
        <f>IF(ISNUMBER(SEARCH(",IL-15R,",","&amp;SUBSTITUTE(I77,", ",",")&amp;",")),1,0)</f>
        <v>0</v>
      </c>
      <c r="BA77" s="11">
        <f>IF(ISNUMBER(SEARCH(",IL-2,",","&amp;SUBSTITUTE(I77,", ",",")&amp;",")),1,0)</f>
        <v>0</v>
      </c>
      <c r="BB77" s="11">
        <f>IF(ISNUMBER(SEARCH(",Integrin β6,",","&amp;SUBSTITUTE(I77,", ",",")&amp;",")),1,0)</f>
        <v>0</v>
      </c>
      <c r="BC77" s="11">
        <f>IF(ISNUMBER(SEARCH(",KDR,",","&amp;SUBSTITUTE(I77,", ",",")&amp;",")),1,0)</f>
        <v>0</v>
      </c>
      <c r="BD77" s="11">
        <f>IF(ISNUMBER(SEARCH(",KLRC1,",","&amp;SUBSTITUTE(I77,", ",",")&amp;",")),1,0)</f>
        <v>0</v>
      </c>
      <c r="BE77" s="11">
        <f>IF(ISNUMBER(SEARCH(",KRAS,",","&amp;SUBSTITUTE(I77,", ",",")&amp;",")),1,0)</f>
        <v>0</v>
      </c>
      <c r="BF77" s="11">
        <f>IF(ISNUMBER(SEARCH(",KRAS G12,",","&amp;SUBSTITUTE(I77,", ",",")&amp;",")),1,0)</f>
        <v>0</v>
      </c>
      <c r="BG77" s="11">
        <f>IF(ISNUMBER(SEARCH(",KRAS G12C,",","&amp;SUBSTITUTE(I77,", ",",")&amp;",")),1,0)</f>
        <v>0</v>
      </c>
      <c r="BH77" s="11">
        <f>IF(ISNUMBER(SEARCH(",KRAS G12D,",","&amp;SUBSTITUTE(I77,", ",",")&amp;",")),1,0)</f>
        <v>0</v>
      </c>
      <c r="BI77" s="11">
        <f>IF(ISNUMBER(SEARCH(",LAG-3,",","&amp;SUBSTITUTE(I77,", ",",")&amp;",")),1,0)</f>
        <v>0</v>
      </c>
      <c r="BJ77" s="11">
        <f>IF(ISNUMBER(SEARCH(",MAGE-A2,",","&amp;SUBSTITUTE(I77,", ",",")&amp;",")),1,0)</f>
        <v>0</v>
      </c>
      <c r="BK77" s="11">
        <f>IF(ISNUMBER(SEARCH(",MAGE-A3,",","&amp;SUBSTITUTE(I77,", ",",")&amp;",")),1,0)</f>
        <v>0</v>
      </c>
      <c r="BL77" s="11">
        <f>IF(ISNUMBER(SEARCH(",MLN19,",","&amp;SUBSTITUTE(I77,", ",",")&amp;",")),1,0)</f>
        <v>0</v>
      </c>
      <c r="BM77" s="11">
        <f>IF(ISNUMBER(SEARCH(",Microtubule,",","&amp;SUBSTITUTE(I77,", ",",")&amp;",")),1,0)</f>
        <v>0</v>
      </c>
      <c r="BN77" s="11">
        <f>IF(ISNUMBER(SEARCH(",NKG2A,",","&amp;SUBSTITUTE(I77,", ",",")&amp;",")),1,0)</f>
        <v>0</v>
      </c>
      <c r="BO77" s="11">
        <f>IF(ISNUMBER(SEARCH(",NRAS,",","&amp;SUBSTITUTE(I77,", ",",")&amp;",")),1,0)</f>
        <v>0</v>
      </c>
      <c r="BP77" s="11">
        <f>IF(ISNUMBER(SEARCH(",NTRK,",","&amp;SUBSTITUTE(I77,", ",",")&amp;",")),1,0)</f>
        <v>0</v>
      </c>
      <c r="BQ77" s="11">
        <f>IF(ISNUMBER(SEARCH(",PARP,",","&amp;SUBSTITUTE(I77,", ",",")&amp;",")),1,0)</f>
        <v>0</v>
      </c>
      <c r="BR77" s="11">
        <f>IF(ISNUMBER(SEARCH(",PD-1,",","&amp;SUBSTITUTE(I77,", ",",")&amp;",")),1,0)</f>
        <v>0</v>
      </c>
      <c r="BS77" s="11">
        <f>IF(ISNUMBER(SEARCH(",PD-L1,",","&amp;SUBSTITUTE(I77,", ",",")&amp;",")),1,0)</f>
        <v>0</v>
      </c>
      <c r="BT77" s="11">
        <f>IF(ISNUMBER(SEARCH(",PRMT5,",","&amp;SUBSTITUTE(I77,", ",",")&amp;",")),1,0)</f>
        <v>0</v>
      </c>
      <c r="BU77" s="11">
        <f>IF(ISNUMBER(SEARCH(",RAS,",","&amp;SUBSTITUTE(I77,", ",",")&amp;",")),1,0)</f>
        <v>0</v>
      </c>
      <c r="BV77" s="11">
        <f>IF(ISNUMBER(SEARCH(",RET,",","&amp;SUBSTITUTE(I77,", ",",")&amp;",")),1,0)</f>
        <v>0</v>
      </c>
      <c r="BW77" s="11">
        <f>IF(ISNUMBER(SEARCH(",ROS,",","&amp;SUBSTITUTE(I77,", ",",")&amp;",")),1,0)</f>
        <v>0</v>
      </c>
      <c r="BX77" s="11">
        <f>IF(ISNUMBER(SEARCH(",ROS1,",","&amp;SUBSTITUTE(I77,", ",",")&amp;",")),1,0)</f>
        <v>0</v>
      </c>
      <c r="BY77" s="11">
        <f>IF(ISNUMBER(SEARCH(",Src,",","&amp;SUBSTITUTE(I77,", ",",")&amp;",")),1,0)</f>
        <v>0</v>
      </c>
      <c r="BZ77" s="11">
        <f>IF(ISNUMBER(SEARCH(",TCGF,",","&amp;SUBSTITUTE(I77,", ",",")&amp;",")),1,0)</f>
        <v>0</v>
      </c>
      <c r="CA77" s="11">
        <f>IF(ISNUMBER(SEARCH(",TGF-β,",","&amp;SUBSTITUTE(I77,", ",",")&amp;",")),1,0)</f>
        <v>0</v>
      </c>
      <c r="CB77" s="11">
        <f>IF(ISNUMBER(SEARCH(",TGF-β1,",","&amp;SUBSTITUTE(I77,", ",",")&amp;",")),1,0)</f>
        <v>0</v>
      </c>
      <c r="CC77" s="11">
        <f>IF(ISNUMBER(SEARCH(",TIGIT,",","&amp;SUBSTITUTE(I77,", ",",")&amp;",")),1,0)</f>
        <v>0</v>
      </c>
      <c r="CD77" s="11">
        <f>IF(ISNUMBER(SEARCH(",TLR,",","&amp;SUBSTITUTE(I77,", ",",")&amp;",")),1,0)</f>
        <v>0</v>
      </c>
      <c r="CE77" s="11">
        <f>IF(ISNUMBER(SEARCH(",TLR7/8,",","&amp;SUBSTITUTE(I77,", ",",")&amp;",")),1,0)</f>
        <v>0</v>
      </c>
      <c r="CF77" s="11">
        <f>IF(ISNUMBER(SEARCH(",TRK,",","&amp;SUBSTITUTE(I77,", ",",")&amp;",")),1,0)</f>
        <v>0</v>
      </c>
      <c r="CG77" s="11">
        <f>IF(ISNUMBER(SEARCH(",TROP2,",","&amp;SUBSTITUTE(I77,", ",",")&amp;",")),1,0)</f>
        <v>0</v>
      </c>
      <c r="CH77" s="11">
        <f>IF(ISNUMBER(SEARCH(",TS,",","&amp;SUBSTITUTE(I77,", ",",")&amp;",")),1,0)</f>
        <v>0</v>
      </c>
      <c r="CI77" s="11">
        <f>IF(ISNUMBER(SEARCH(",TYMS,",","&amp;SUBSTITUTE(I77,", ",",")&amp;",")),1,0)</f>
        <v>0</v>
      </c>
      <c r="CJ77" s="11">
        <f>IF(ISNUMBER(SEARCH(",VEGF,",","&amp;SUBSTITUTE(I77,", ",",")&amp;",")),1,0)</f>
        <v>0</v>
      </c>
      <c r="CK77" s="11">
        <f>IF(ISNUMBER(SEARCH(",VEGFA,",","&amp;SUBSTITUTE(I77,", ",",")&amp;",")),1,0)</f>
        <v>0</v>
      </c>
      <c r="CL77" s="11">
        <f>IF(ISNUMBER(SEARCH(",VEGFR2,",","&amp;SUBSTITUTE(I77,", ",",")&amp;",")),1,0)</f>
        <v>0</v>
      </c>
      <c r="CM77" s="11">
        <f>IF(ISNUMBER(SEARCH(",c-MET/MET,",","&amp;SUBSTITUTE(I77,", ",",")&amp;",")),1,0)</f>
        <v>0</v>
      </c>
      <c r="CN77" s="11">
        <f>IF(ISNUMBER(SEARCH(",p53,",","&amp;SUBSTITUTE(I77,", ",",")&amp;",")),1,0)</f>
        <v>0</v>
      </c>
      <c r="CO77" s="11">
        <f>IF(ISNUMBER(SEARCH(",pan-KRAS,",","&amp;SUBSTITUTE(I77,", ",",")&amp;",")),1,0)</f>
        <v>0</v>
      </c>
      <c r="CP77" s="11">
        <f>IF(ISNUMBER(SEARCH(",ALK,",","&amp;SUBSTITUTE(K77,", ",",")&amp;",")),1,0)</f>
        <v>0</v>
      </c>
      <c r="CQ77" s="11">
        <f>IF(ISNUMBER(SEARCH(",BRAF V600E,",","&amp;SUBSTITUTE(K77,", ",",")&amp;",")),1,0)</f>
        <v>0</v>
      </c>
      <c r="CR77" s="11">
        <f>IF(ISNUMBER(SEARCH(",EGFR,",","&amp;SUBSTITUTE(K77,", ",",")&amp;",")),1,0)</f>
        <v>0</v>
      </c>
      <c r="CS77" s="11">
        <f>IF(ISNUMBER(SEARCH(",EGFR Exon 18,",","&amp;SUBSTITUTE(K77,", ",",")&amp;",")),1,0)</f>
        <v>0</v>
      </c>
      <c r="CT77" s="11">
        <f>IF(ISNUMBER(SEARCH(",EGFR Exon 19-del,",","&amp;SUBSTITUTE(K77,", ",",")&amp;",")),1,0)</f>
        <v>0</v>
      </c>
      <c r="CU77" s="11">
        <f>IF(ISNUMBER(SEARCH(",EGFR Exon 20,",","&amp;SUBSTITUTE(K77,", ",",")&amp;",")),1,0)</f>
        <v>0</v>
      </c>
      <c r="CV77" s="11">
        <f>IF(ISNUMBER(SEARCH(",EGFR Exon 20-ins,",","&amp;SUBSTITUTE(K77,", ",",")&amp;",")),1,0)</f>
        <v>0</v>
      </c>
      <c r="CW77" s="11">
        <f>IF(ISNUMBER(SEARCH(",EGFR Exon 21,",","&amp;SUBSTITUTE(K77,", ",",")&amp;",")),1,0)</f>
        <v>0</v>
      </c>
      <c r="CX77" s="11">
        <f>IF(ISNUMBER(SEARCH(",EGFR G719A,",","&amp;SUBSTITUTE(K77,", ",",")&amp;",")),1,0)</f>
        <v>0</v>
      </c>
      <c r="CY77" s="11">
        <f>IF(ISNUMBER(SEARCH(",EGFR G719C,",","&amp;SUBSTITUTE(K77,", ",",")&amp;",")),1,0)</f>
        <v>0</v>
      </c>
      <c r="CZ77" s="11">
        <f>IF(ISNUMBER(SEARCH(",EGFR G719S,",","&amp;SUBSTITUTE(K77,", ",",")&amp;",")),1,0)</f>
        <v>0</v>
      </c>
      <c r="DA77" s="11">
        <f>IF(ISNUMBER(SEARCH(",EGFR G719X,",","&amp;SUBSTITUTE(K77,", ",",")&amp;",")),1,0)</f>
        <v>0</v>
      </c>
      <c r="DB77" s="11">
        <f>IF(ISNUMBER(SEARCH(",EGFR L858R,",","&amp;SUBSTITUTE(K77,", ",",")&amp;",")),1,0)</f>
        <v>0</v>
      </c>
      <c r="DC77" s="11">
        <f>IF(ISNUMBER(SEARCH(",EGFR L861Q,",","&amp;SUBSTITUTE(K77,", ",",")&amp;",")),1,0)</f>
        <v>0</v>
      </c>
      <c r="DD77" s="11">
        <f>IF(ISNUMBER(SEARCH(",EGFR PACC,",","&amp;SUBSTITUTE(K77,", ",",")&amp;",")),1,0)</f>
        <v>0</v>
      </c>
      <c r="DE77" s="11">
        <f>IF(ISNUMBER(SEARCH(",EGFR S768I,",","&amp;SUBSTITUTE(K77,", ",",")&amp;",")),1,0)</f>
        <v>0</v>
      </c>
      <c r="DF77" s="11">
        <f>IF(ISNUMBER(SEARCH(",EGFR T790M,",","&amp;SUBSTITUTE(K77,", ",",")&amp;",")),1,0)</f>
        <v>0</v>
      </c>
      <c r="DG77" s="11">
        <f>IF(ISNUMBER(SEARCH(",EML4-ALK,",","&amp;SUBSTITUTE(K77,", ",",")&amp;",")),1,0)</f>
        <v>0</v>
      </c>
      <c r="DH77" s="11">
        <f>IF(ISNUMBER(SEARCH(",HER2,",","&amp;SUBSTITUTE(K77,", ",",")&amp;",")),1,0)</f>
        <v>0</v>
      </c>
      <c r="DI77" s="11">
        <f>IF(ISNUMBER(SEARCH(",HER2 Exon 19,",","&amp;SUBSTITUTE(K77,", ",",")&amp;",")),1,0)</f>
        <v>0</v>
      </c>
      <c r="DJ77" s="11">
        <f>IF(ISNUMBER(SEARCH(",HER2 Exon 20,",","&amp;SUBSTITUTE(K77,", ",",")&amp;",")),1,0)</f>
        <v>0</v>
      </c>
      <c r="DK77" s="11">
        <f>IF(ISNUMBER(SEARCH(",HER2 mut,",","&amp;SUBSTITUTE(K77,", ",",")&amp;",")),1,0)</f>
        <v>1</v>
      </c>
      <c r="DL77" s="11">
        <f>IF(ISNUMBER(SEARCH(",HLA-A2,",","&amp;SUBSTITUTE(K77,", ",",")&amp;",")),1,0)</f>
        <v>0</v>
      </c>
      <c r="DM77" s="11">
        <f>IF(ISNUMBER(SEARCH(",HRAS,",","&amp;SUBSTITUTE(K77,", ",",")&amp;",")),1,0)</f>
        <v>0</v>
      </c>
      <c r="DN77" s="11">
        <f>IF(ISNUMBER(SEARCH(",KRAS,",","&amp;SUBSTITUTE(K77,", ",",")&amp;",")),1,0)</f>
        <v>0</v>
      </c>
      <c r="DO77" s="11">
        <f>IF(ISNUMBER(SEARCH(",KRAS G12C,",","&amp;SUBSTITUTE(K77,", ",",")&amp;",")),1,0)</f>
        <v>0</v>
      </c>
      <c r="DP77" s="11">
        <f>IF(ISNUMBER(SEARCH(",NRAS,",","&amp;SUBSTITUTE(K77,", ",",")&amp;",")),1,0)</f>
        <v>0</v>
      </c>
      <c r="DQ77" s="11">
        <f>IF(ISNUMBER(SEARCH(",NTRK,",","&amp;SUBSTITUTE(K77,", ",",")&amp;",")),1,0)</f>
        <v>0</v>
      </c>
      <c r="DR77" s="11">
        <f>IF(ISNUMBER(SEARCH(",PD-L1,",","&amp;SUBSTITUTE(K77,", ",",")&amp;",")),1,0)</f>
        <v>0</v>
      </c>
      <c r="DS77" s="11">
        <f>IF(ISNUMBER(SEARCH(",PD-L1 IC ≥ 1%,",","&amp;SUBSTITUTE(K77,", ",",")&amp;",")),1,0)</f>
        <v>0</v>
      </c>
      <c r="DT77" s="11">
        <f>IF(ISNUMBER(SEARCH(",PD-L1 TC ≥ 1%,",","&amp;SUBSTITUTE(K77,", ",",")&amp;",")),1,0)</f>
        <v>0</v>
      </c>
      <c r="DU77" s="11">
        <f>IF(ISNUMBER(SEARCH(",PD-L1 TC ≥ 50%,",","&amp;SUBSTITUTE(K77,", ",",")&amp;",")),1,0)</f>
        <v>0</v>
      </c>
      <c r="DV77" s="11">
        <f>IF(ISNUMBER(SEARCH(",PD-L1 TPS &lt; 50%,",","&amp;SUBSTITUTE(K77,", ",",")&amp;",")),1,0)</f>
        <v>0</v>
      </c>
      <c r="DW77" s="11">
        <f>IF(ISNUMBER(SEARCH(",PD-L1 TPS ≥ 1%,",","&amp;SUBSTITUTE(K77,", ",",")&amp;",")),1,0)</f>
        <v>0</v>
      </c>
      <c r="DX77" s="11">
        <f>IF(ISNUMBER(SEARCH(",PD-L1 TPS ≥ 50%,",","&amp;SUBSTITUTE(K77,", ",",")&amp;",")),1,0)</f>
        <v>0</v>
      </c>
      <c r="DY77" s="11">
        <f>IF(ISNUMBER(SEARCH(",RAS,",","&amp;SUBSTITUTE(K77,", ",",")&amp;",")),1,0)</f>
        <v>0</v>
      </c>
      <c r="DZ77" s="11">
        <f>IF(ISNUMBER(SEARCH(",RET,",","&amp;SUBSTITUTE(K77,", ",",")&amp;",")),1,0)</f>
        <v>0</v>
      </c>
      <c r="EA77" s="11">
        <f>IF(ISNUMBER(SEARCH(",ROS1,",","&amp;SUBSTITUTE(K77,", ",",")&amp;",")),1,0)</f>
        <v>0</v>
      </c>
      <c r="EB77" s="11">
        <f>IF(ISNUMBER(SEARCH(",TROP2,",","&amp;SUBSTITUTE(K77,", ",",")&amp;",")),1,0)</f>
        <v>0</v>
      </c>
      <c r="EC77" s="11">
        <f>IF(ISNUMBER(SEARCH(",c-MET/MET,",","&amp;SUBSTITUTE(K77,", ",",")&amp;",")),1,0)</f>
        <v>0</v>
      </c>
      <c r="ED77" s="11">
        <f>IF(ISNUMBER(SEARCH(",c-MET/MET Exon 14,",","&amp;SUBSTITUTE(K77,", ",",")&amp;",")),1,0)</f>
        <v>0</v>
      </c>
      <c r="EE77" s="11">
        <f>IF(ISNUMBER(SEARCH(",ctDNA/cfDNA,",","&amp;SUBSTITUTE(K77,", ",",")&amp;",")),1,0)</f>
        <v>0</v>
      </c>
    </row>
  </sheetData>
  <autoFilter ref="A1:EE77" xr:uid="{00000000-0009-0000-0000-000002000000}">
    <sortState xmlns:xlrd2="http://schemas.microsoft.com/office/spreadsheetml/2017/richdata2" ref="A2:EE77">
      <sortCondition ref="A1:A77"/>
    </sortState>
  </autoFilter>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E46"/>
  <sheetViews>
    <sheetView topLeftCell="H1" zoomScaleNormal="100" workbookViewId="0">
      <pane ySplit="1" topLeftCell="A2" activePane="bottomLeft" state="frozen"/>
      <selection pane="bottomLeft" activeCell="M35" sqref="M35"/>
    </sheetView>
  </sheetViews>
  <sheetFormatPr baseColWidth="10" defaultColWidth="8.6640625" defaultRowHeight="15" customHeight="1" x14ac:dyDescent="0.2"/>
  <cols>
    <col min="1" max="16" width="18" customWidth="1"/>
    <col min="17" max="21" width="16" customWidth="1"/>
    <col min="22" max="135" width="5" customWidth="1"/>
  </cols>
  <sheetData>
    <row r="1" spans="1:135" ht="90" customHeight="1" x14ac:dyDescent="0.2">
      <c r="A1" s="2" t="s">
        <v>0</v>
      </c>
      <c r="B1" s="2" t="s">
        <v>2</v>
      </c>
      <c r="C1" s="2" t="s">
        <v>4</v>
      </c>
      <c r="D1" s="2" t="s">
        <v>3</v>
      </c>
      <c r="E1" s="2" t="s">
        <v>5</v>
      </c>
      <c r="F1" s="2" t="s">
        <v>7</v>
      </c>
      <c r="G1" s="2" t="s">
        <v>8</v>
      </c>
      <c r="H1" s="2" t="s">
        <v>11</v>
      </c>
      <c r="I1" s="2" t="s">
        <v>19</v>
      </c>
      <c r="J1" s="2" t="s">
        <v>18</v>
      </c>
      <c r="K1" s="2" t="s">
        <v>79</v>
      </c>
      <c r="L1" s="2" t="s">
        <v>21</v>
      </c>
      <c r="M1" s="2" t="s">
        <v>9</v>
      </c>
      <c r="N1" s="2" t="s">
        <v>20</v>
      </c>
      <c r="O1" s="2" t="s">
        <v>22</v>
      </c>
      <c r="P1" s="2" t="s">
        <v>16</v>
      </c>
      <c r="Q1" s="7" t="s">
        <v>1913</v>
      </c>
      <c r="R1" s="7" t="s">
        <v>1914</v>
      </c>
      <c r="S1" s="7" t="s">
        <v>1915</v>
      </c>
      <c r="T1" s="7" t="s">
        <v>1916</v>
      </c>
      <c r="U1" s="7" t="s">
        <v>1917</v>
      </c>
      <c r="V1" s="8" t="s">
        <v>1918</v>
      </c>
      <c r="W1" s="8" t="s">
        <v>1919</v>
      </c>
      <c r="X1" s="8" t="s">
        <v>1920</v>
      </c>
      <c r="Y1" s="8" t="s">
        <v>1921</v>
      </c>
      <c r="Z1" s="8" t="s">
        <v>1922</v>
      </c>
      <c r="AA1" s="8" t="s">
        <v>1923</v>
      </c>
      <c r="AB1" s="8" t="s">
        <v>1924</v>
      </c>
      <c r="AC1" s="8" t="s">
        <v>1925</v>
      </c>
      <c r="AD1" s="8" t="s">
        <v>1926</v>
      </c>
      <c r="AE1" s="8" t="s">
        <v>1927</v>
      </c>
      <c r="AF1" s="8" t="s">
        <v>1928</v>
      </c>
      <c r="AG1" s="8" t="s">
        <v>1929</v>
      </c>
      <c r="AH1" s="8" t="s">
        <v>1930</v>
      </c>
      <c r="AI1" s="8" t="s">
        <v>1931</v>
      </c>
      <c r="AJ1" s="8" t="s">
        <v>1932</v>
      </c>
      <c r="AK1" s="8" t="s">
        <v>1933</v>
      </c>
      <c r="AL1" s="8" t="s">
        <v>1934</v>
      </c>
      <c r="AM1" s="8" t="s">
        <v>1935</v>
      </c>
      <c r="AN1" s="8" t="s">
        <v>1936</v>
      </c>
      <c r="AO1" s="8" t="s">
        <v>1937</v>
      </c>
      <c r="AP1" s="8" t="s">
        <v>1938</v>
      </c>
      <c r="AQ1" s="8" t="s">
        <v>1939</v>
      </c>
      <c r="AR1" s="8" t="s">
        <v>1940</v>
      </c>
      <c r="AS1" s="8" t="s">
        <v>1941</v>
      </c>
      <c r="AT1" s="8" t="s">
        <v>1942</v>
      </c>
      <c r="AU1" s="8" t="s">
        <v>1943</v>
      </c>
      <c r="AV1" s="8" t="s">
        <v>1944</v>
      </c>
      <c r="AW1" s="8" t="s">
        <v>1945</v>
      </c>
      <c r="AX1" s="8" t="s">
        <v>1946</v>
      </c>
      <c r="AY1" s="8" t="s">
        <v>1947</v>
      </c>
      <c r="AZ1" s="8" t="s">
        <v>1948</v>
      </c>
      <c r="BA1" s="8" t="s">
        <v>1949</v>
      </c>
      <c r="BB1" s="8" t="s">
        <v>1950</v>
      </c>
      <c r="BC1" s="8" t="s">
        <v>1951</v>
      </c>
      <c r="BD1" s="8" t="s">
        <v>1952</v>
      </c>
      <c r="BE1" s="8" t="s">
        <v>1953</v>
      </c>
      <c r="BF1" s="8" t="s">
        <v>1954</v>
      </c>
      <c r="BG1" s="8" t="s">
        <v>1955</v>
      </c>
      <c r="BH1" s="8" t="s">
        <v>1956</v>
      </c>
      <c r="BI1" s="8" t="s">
        <v>1957</v>
      </c>
      <c r="BJ1" s="8" t="s">
        <v>1958</v>
      </c>
      <c r="BK1" s="8" t="s">
        <v>1959</v>
      </c>
      <c r="BL1" s="8" t="s">
        <v>1960</v>
      </c>
      <c r="BM1" s="8" t="s">
        <v>1961</v>
      </c>
      <c r="BN1" s="8" t="s">
        <v>1962</v>
      </c>
      <c r="BO1" s="8" t="s">
        <v>1963</v>
      </c>
      <c r="BP1" s="8" t="s">
        <v>1964</v>
      </c>
      <c r="BQ1" s="8" t="s">
        <v>1965</v>
      </c>
      <c r="BR1" s="8" t="s">
        <v>1966</v>
      </c>
      <c r="BS1" s="8" t="s">
        <v>1967</v>
      </c>
      <c r="BT1" s="8" t="s">
        <v>1968</v>
      </c>
      <c r="BU1" s="8" t="s">
        <v>1969</v>
      </c>
      <c r="BV1" s="8" t="s">
        <v>1970</v>
      </c>
      <c r="BW1" s="8" t="s">
        <v>1971</v>
      </c>
      <c r="BX1" s="8" t="s">
        <v>1972</v>
      </c>
      <c r="BY1" s="8" t="s">
        <v>1973</v>
      </c>
      <c r="BZ1" s="8" t="s">
        <v>1974</v>
      </c>
      <c r="CA1" s="8" t="s">
        <v>1975</v>
      </c>
      <c r="CB1" s="8" t="s">
        <v>1976</v>
      </c>
      <c r="CC1" s="8" t="s">
        <v>1977</v>
      </c>
      <c r="CD1" s="8" t="s">
        <v>1978</v>
      </c>
      <c r="CE1" s="8" t="s">
        <v>1979</v>
      </c>
      <c r="CF1" s="8" t="s">
        <v>1980</v>
      </c>
      <c r="CG1" s="8" t="s">
        <v>1981</v>
      </c>
      <c r="CH1" s="8" t="s">
        <v>1982</v>
      </c>
      <c r="CI1" s="8" t="s">
        <v>1983</v>
      </c>
      <c r="CJ1" s="8" t="s">
        <v>1984</v>
      </c>
      <c r="CK1" s="8" t="s">
        <v>1985</v>
      </c>
      <c r="CL1" s="8" t="s">
        <v>1986</v>
      </c>
      <c r="CM1" s="8" t="s">
        <v>1987</v>
      </c>
      <c r="CN1" s="8" t="s">
        <v>1988</v>
      </c>
      <c r="CO1" s="8" t="s">
        <v>1989</v>
      </c>
      <c r="CP1" s="9" t="s">
        <v>1990</v>
      </c>
      <c r="CQ1" s="9" t="s">
        <v>1991</v>
      </c>
      <c r="CR1" s="9" t="s">
        <v>1992</v>
      </c>
      <c r="CS1" s="9" t="s">
        <v>1993</v>
      </c>
      <c r="CT1" s="9" t="s">
        <v>1994</v>
      </c>
      <c r="CU1" s="9" t="s">
        <v>1995</v>
      </c>
      <c r="CV1" s="9" t="s">
        <v>1996</v>
      </c>
      <c r="CW1" s="9" t="s">
        <v>1997</v>
      </c>
      <c r="CX1" s="9" t="s">
        <v>1998</v>
      </c>
      <c r="CY1" s="9" t="s">
        <v>1999</v>
      </c>
      <c r="CZ1" s="9" t="s">
        <v>2000</v>
      </c>
      <c r="DA1" s="9" t="s">
        <v>2001</v>
      </c>
      <c r="DB1" s="9" t="s">
        <v>2002</v>
      </c>
      <c r="DC1" s="9" t="s">
        <v>2003</v>
      </c>
      <c r="DD1" s="9" t="s">
        <v>2004</v>
      </c>
      <c r="DE1" s="9" t="s">
        <v>2005</v>
      </c>
      <c r="DF1" s="9" t="s">
        <v>2006</v>
      </c>
      <c r="DG1" s="9" t="s">
        <v>2007</v>
      </c>
      <c r="DH1" s="9" t="s">
        <v>2008</v>
      </c>
      <c r="DI1" s="9" t="s">
        <v>2009</v>
      </c>
      <c r="DJ1" s="9" t="s">
        <v>2010</v>
      </c>
      <c r="DK1" s="9" t="s">
        <v>2011</v>
      </c>
      <c r="DL1" s="9" t="s">
        <v>2012</v>
      </c>
      <c r="DM1" s="9" t="s">
        <v>2013</v>
      </c>
      <c r="DN1" s="9" t="s">
        <v>2014</v>
      </c>
      <c r="DO1" s="9" t="s">
        <v>2015</v>
      </c>
      <c r="DP1" s="9" t="s">
        <v>2016</v>
      </c>
      <c r="DQ1" s="9" t="s">
        <v>2017</v>
      </c>
      <c r="DR1" s="9" t="s">
        <v>2018</v>
      </c>
      <c r="DS1" s="9" t="s">
        <v>2019</v>
      </c>
      <c r="DT1" s="9" t="s">
        <v>2020</v>
      </c>
      <c r="DU1" s="9" t="s">
        <v>2021</v>
      </c>
      <c r="DV1" s="9" t="s">
        <v>2022</v>
      </c>
      <c r="DW1" s="9" t="s">
        <v>2023</v>
      </c>
      <c r="DX1" s="9" t="s">
        <v>2024</v>
      </c>
      <c r="DY1" s="9" t="s">
        <v>2025</v>
      </c>
      <c r="DZ1" s="9" t="s">
        <v>2026</v>
      </c>
      <c r="EA1" s="9" t="s">
        <v>2027</v>
      </c>
      <c r="EB1" s="9" t="s">
        <v>2028</v>
      </c>
      <c r="EC1" s="9" t="s">
        <v>2029</v>
      </c>
      <c r="ED1" s="9" t="s">
        <v>2030</v>
      </c>
      <c r="EE1" s="9" t="s">
        <v>2031</v>
      </c>
    </row>
    <row r="2" spans="1:135" ht="15" customHeight="1" x14ac:dyDescent="0.2">
      <c r="A2" s="3" t="s">
        <v>156</v>
      </c>
      <c r="B2" s="3" t="s">
        <v>157</v>
      </c>
      <c r="C2" s="3" t="s">
        <v>108</v>
      </c>
      <c r="D2" s="3" t="s">
        <v>107</v>
      </c>
      <c r="E2" s="3" t="s">
        <v>332</v>
      </c>
      <c r="F2" s="3" t="s">
        <v>259</v>
      </c>
      <c r="G2" s="3"/>
      <c r="H2" s="3" t="s">
        <v>115</v>
      </c>
      <c r="I2" s="3" t="s">
        <v>162</v>
      </c>
      <c r="J2" s="3" t="s">
        <v>161</v>
      </c>
      <c r="K2" s="3"/>
      <c r="L2" s="3" t="s">
        <v>119</v>
      </c>
      <c r="M2" s="3" t="s">
        <v>1494</v>
      </c>
      <c r="N2" s="3" t="s">
        <v>119</v>
      </c>
      <c r="O2" s="3" t="s">
        <v>120</v>
      </c>
      <c r="P2" s="3" t="s">
        <v>1495</v>
      </c>
      <c r="Q2" s="10" t="str">
        <f t="shared" ref="Q2:Q46" si="0">IF(F2="Stage IV","Stage IV Only",IF(AND(ISNUMBER(SEARCH("IV",F2)),LEN(F2)&gt;LEN("Stage IV")),"Stage IV + Other",IF(AND(ISNUMBER(SEARCH("III",F2)),NOT(ISNUMBER(SEARCH("IV",F2)))),"Stage III Only","Other")))</f>
        <v>Stage IV Only</v>
      </c>
      <c r="R2" s="10" t="str">
        <f t="shared" ref="R2:R46" si="1">IF(AND(ISNUMBER(SEARCH("Non-squamous",G2)),ISNUMBER(SEARCH("Squamous",SUBSTITUTE(G2,"Non-squamous","")))),"Both",IF(ISNUMBER(SEARCH("Non-squamous",G2)),"Non-squamous",IF(ISNUMBER(SEARCH("Squamous",G2)),"Squamous","Unspecified")))</f>
        <v>Unspecified</v>
      </c>
      <c r="S2" s="10" t="str">
        <f t="shared" ref="S2:S46" si="2">IF(OR(ISNUMBER(SEARCH("TPS ≥ 50%",K2)),ISNUMBER(SEARCH("TC ≥ 50%",K2))),"TPS ≥ 50%",IF(OR(ISNUMBER(SEARCH("TPS ≥ 1%",K2)),ISNUMBER(SEARCH("TC ≥ 1%",K2)),ISNUMBER(SEARCH("TPS &lt; 50%",K2)),ISNUMBER(SEARCH("IC ≥ 1%",K2))),"TPS 1-49%","All-comers"))</f>
        <v>All-comers</v>
      </c>
      <c r="T2" s="10">
        <f t="shared" ref="T2:T46" si="3">IF(H2="Phase III",1,0)</f>
        <v>0</v>
      </c>
      <c r="U2" s="10">
        <f t="shared" ref="U2:U46" si="4">IF(L2="Yes",1,0)</f>
        <v>0</v>
      </c>
      <c r="V2" s="11">
        <f t="shared" ref="V2:V46" si="5">IF(ISNUMBER(SEARCH(",ALK,",","&amp;SUBSTITUTE(I2,", ",",")&amp;",")),1,0)</f>
        <v>0</v>
      </c>
      <c r="W2" s="11">
        <f t="shared" ref="W2:W46" si="6">IF(ISNUMBER(SEARCH(",ALK L1196M,",","&amp;SUBSTITUTE(I2,", ",",")&amp;",")),1,0)</f>
        <v>0</v>
      </c>
      <c r="X2" s="11">
        <f t="shared" ref="X2:X46" si="7">IF(ISNUMBER(SEARCH(",AXL,",","&amp;SUBSTITUTE(I2,", ",",")&amp;",")),1,0)</f>
        <v>0</v>
      </c>
      <c r="Y2" s="11">
        <f t="shared" ref="Y2:Y46" si="8">IF(ISNUMBER(SEARCH(",B7-H1,",","&amp;SUBSTITUTE(I2,", ",",")&amp;",")),1,0)</f>
        <v>0</v>
      </c>
      <c r="Z2" s="11">
        <f t="shared" ref="Z2:Z46" si="9">IF(ISNUMBER(SEARCH(",CD152,",","&amp;SUBSTITUTE(I2,", ",",")&amp;",")),1,0)</f>
        <v>0</v>
      </c>
      <c r="AA2" s="11">
        <f t="shared" ref="AA2:AA46" si="10">IF(ISNUMBER(SEARCH(",CD274,",","&amp;SUBSTITUTE(I2,", ",",")&amp;",")),1,0)</f>
        <v>0</v>
      </c>
      <c r="AB2" s="11">
        <f t="shared" ref="AB2:AB46" si="11">IF(ISNUMBER(SEARCH(",CD279,",","&amp;SUBSTITUTE(I2,", ",",")&amp;",")),1,0)</f>
        <v>0</v>
      </c>
      <c r="AC2" s="11">
        <f t="shared" ref="AC2:AC46" si="12">IF(ISNUMBER(SEARCH(",CD73,",","&amp;SUBSTITUTE(I2,", ",",")&amp;",")),1,0)</f>
        <v>0</v>
      </c>
      <c r="AD2" s="11">
        <f t="shared" ref="AD2:AD46" si="13">IF(ISNUMBER(SEARCH(",CEA,",","&amp;SUBSTITUTE(I2,", ",",")&amp;",")),1,0)</f>
        <v>0</v>
      </c>
      <c r="AE2" s="11">
        <f t="shared" ref="AE2:AE46" si="14">IF(ISNUMBER(SEARCH(",CTLA-4,",","&amp;SUBSTITUTE(I2,", ",",")&amp;",")),1,0)</f>
        <v>0</v>
      </c>
      <c r="AF2" s="11">
        <f t="shared" ref="AF2:AF46" si="15">IF(ISNUMBER(SEARCH(",EGFR,",","&amp;SUBSTITUTE(I2,", ",",")&amp;",")),1,0)</f>
        <v>1</v>
      </c>
      <c r="AG2" s="11">
        <f t="shared" ref="AG2:AG46" si="16">IF(ISNUMBER(SEARCH(",EGFR C797G,",","&amp;SUBSTITUTE(I2,", ",",")&amp;",")),1,0)</f>
        <v>0</v>
      </c>
      <c r="AH2" s="11">
        <f t="shared" ref="AH2:AH46" si="17">IF(ISNUMBER(SEARCH(",EGFR C797S,",","&amp;SUBSTITUTE(I2,", ",",")&amp;",")),1,0)</f>
        <v>0</v>
      </c>
      <c r="AI2" s="11">
        <f t="shared" ref="AI2:AI46" si="18">IF(ISNUMBER(SEARCH(",EGFR Exon 19-del,",","&amp;SUBSTITUTE(I2,", ",",")&amp;",")),1,0)</f>
        <v>0</v>
      </c>
      <c r="AJ2" s="11">
        <f t="shared" ref="AJ2:AJ46" si="19">IF(ISNUMBER(SEARCH(",EGFR Exon 20,",","&amp;SUBSTITUTE(I2,", ",",")&amp;",")),1,0)</f>
        <v>0</v>
      </c>
      <c r="AK2" s="11">
        <f t="shared" ref="AK2:AK46" si="20">IF(ISNUMBER(SEARCH(",EGFR L858R,",","&amp;SUBSTITUTE(I2,", ",",")&amp;",")),1,0)</f>
        <v>0</v>
      </c>
      <c r="AL2" s="11">
        <f t="shared" ref="AL2:AL46" si="21">IF(ISNUMBER(SEARCH(",EGFR T790M,",","&amp;SUBSTITUTE(I2,", ",",")&amp;",")),1,0)</f>
        <v>0</v>
      </c>
      <c r="AM2" s="11">
        <f t="shared" ref="AM2:AM46" si="22">IF(ISNUMBER(SEARCH(",ERBB,",","&amp;SUBSTITUTE(I2,", ",",")&amp;",")),1,0)</f>
        <v>1</v>
      </c>
      <c r="AN2" s="11">
        <f t="shared" ref="AN2:AN46" si="23">IF(ISNUMBER(SEARCH(",ERBB3,",","&amp;SUBSTITUTE(I2,", ",",")&amp;",")),1,0)</f>
        <v>0</v>
      </c>
      <c r="AO2" s="11">
        <f t="shared" ref="AO2:AO46" si="24">IF(ISNUMBER(SEARCH(",FAK,",","&amp;SUBSTITUTE(I2,", ",",")&amp;",")),1,0)</f>
        <v>0</v>
      </c>
      <c r="AP2" s="11">
        <f t="shared" ref="AP2:AP46" si="25">IF(ISNUMBER(SEARCH(",GARP,",","&amp;SUBSTITUTE(I2,", ",",")&amp;",")),1,0)</f>
        <v>0</v>
      </c>
      <c r="AQ2" s="11">
        <f t="shared" ref="AQ2:AQ46" si="26">IF(ISNUMBER(SEARCH(",HER1,",","&amp;SUBSTITUTE(I2,", ",",")&amp;",")),1,0)</f>
        <v>1</v>
      </c>
      <c r="AR2" s="11">
        <f t="shared" ref="AR2:AR46" si="27">IF(ISNUMBER(SEARCH(",HER2,",","&amp;SUBSTITUTE(I2,", ",",")&amp;",")),1,0)</f>
        <v>0</v>
      </c>
      <c r="AS2" s="11">
        <f t="shared" ref="AS2:AS46" si="28">IF(ISNUMBER(SEARCH(",HER2 Exon 20,",","&amp;SUBSTITUTE(I2,", ",",")&amp;",")),1,0)</f>
        <v>0</v>
      </c>
      <c r="AT2" s="11">
        <f t="shared" ref="AT2:AT46" si="29">IF(ISNUMBER(SEARCH(",HER3,",","&amp;SUBSTITUTE(I2,", ",",")&amp;",")),1,0)</f>
        <v>0</v>
      </c>
      <c r="AU2" s="11">
        <f t="shared" ref="AU2:AU46" si="30">IF(ISNUMBER(SEARCH(",HER4,",","&amp;SUBSTITUTE(I2,", ",",")&amp;",")),1,0)</f>
        <v>0</v>
      </c>
      <c r="AV2" s="11">
        <f t="shared" ref="AV2:AV46" si="31">IF(ISNUMBER(SEARCH(",HRAS,",","&amp;SUBSTITUTE(I2,", ",",")&amp;",")),1,0)</f>
        <v>0</v>
      </c>
      <c r="AW2" s="11">
        <f t="shared" ref="AW2:AW46" si="32">IF(ISNUMBER(SEARCH(",HSV-TK,",","&amp;SUBSTITUTE(I2,", ",",")&amp;",")),1,0)</f>
        <v>0</v>
      </c>
      <c r="AX2" s="11">
        <f t="shared" ref="AX2:AX46" si="33">IF(ISNUMBER(SEARCH(",IL-12,",","&amp;SUBSTITUTE(I2,", ",",")&amp;",")),1,0)</f>
        <v>0</v>
      </c>
      <c r="AY2" s="11">
        <f t="shared" ref="AY2:AY46" si="34">IF(ISNUMBER(SEARCH(",IL-15,",","&amp;SUBSTITUTE(I2,", ",",")&amp;",")),1,0)</f>
        <v>0</v>
      </c>
      <c r="AZ2" s="11">
        <f t="shared" ref="AZ2:AZ46" si="35">IF(ISNUMBER(SEARCH(",IL-15R,",","&amp;SUBSTITUTE(I2,", ",",")&amp;",")),1,0)</f>
        <v>0</v>
      </c>
      <c r="BA2" s="11">
        <f t="shared" ref="BA2:BA46" si="36">IF(ISNUMBER(SEARCH(",IL-2,",","&amp;SUBSTITUTE(I2,", ",",")&amp;",")),1,0)</f>
        <v>0</v>
      </c>
      <c r="BB2" s="11">
        <f t="shared" ref="BB2:BB46" si="37">IF(ISNUMBER(SEARCH(",Integrin β6,",","&amp;SUBSTITUTE(I2,", ",",")&amp;",")),1,0)</f>
        <v>0</v>
      </c>
      <c r="BC2" s="11">
        <f t="shared" ref="BC2:BC46" si="38">IF(ISNUMBER(SEARCH(",KDR,",","&amp;SUBSTITUTE(I2,", ",",")&amp;",")),1,0)</f>
        <v>0</v>
      </c>
      <c r="BD2" s="11">
        <f t="shared" ref="BD2:BD46" si="39">IF(ISNUMBER(SEARCH(",KLRC1,",","&amp;SUBSTITUTE(I2,", ",",")&amp;",")),1,0)</f>
        <v>0</v>
      </c>
      <c r="BE2" s="11">
        <f t="shared" ref="BE2:BE46" si="40">IF(ISNUMBER(SEARCH(",KRAS,",","&amp;SUBSTITUTE(I2,", ",",")&amp;",")),1,0)</f>
        <v>0</v>
      </c>
      <c r="BF2" s="11">
        <f t="shared" ref="BF2:BF46" si="41">IF(ISNUMBER(SEARCH(",KRAS G12,",","&amp;SUBSTITUTE(I2,", ",",")&amp;",")),1,0)</f>
        <v>0</v>
      </c>
      <c r="BG2" s="11">
        <f t="shared" ref="BG2:BG46" si="42">IF(ISNUMBER(SEARCH(",KRAS G12C,",","&amp;SUBSTITUTE(I2,", ",",")&amp;",")),1,0)</f>
        <v>0</v>
      </c>
      <c r="BH2" s="11">
        <f t="shared" ref="BH2:BH46" si="43">IF(ISNUMBER(SEARCH(",KRAS G12D,",","&amp;SUBSTITUTE(I2,", ",",")&amp;",")),1,0)</f>
        <v>0</v>
      </c>
      <c r="BI2" s="11">
        <f t="shared" ref="BI2:BI46" si="44">IF(ISNUMBER(SEARCH(",LAG-3,",","&amp;SUBSTITUTE(I2,", ",",")&amp;",")),1,0)</f>
        <v>0</v>
      </c>
      <c r="BJ2" s="11">
        <f t="shared" ref="BJ2:BJ46" si="45">IF(ISNUMBER(SEARCH(",MAGE-A2,",","&amp;SUBSTITUTE(I2,", ",",")&amp;",")),1,0)</f>
        <v>0</v>
      </c>
      <c r="BK2" s="11">
        <f t="shared" ref="BK2:BK46" si="46">IF(ISNUMBER(SEARCH(",MAGE-A3,",","&amp;SUBSTITUTE(I2,", ",",")&amp;",")),1,0)</f>
        <v>0</v>
      </c>
      <c r="BL2" s="11">
        <f t="shared" ref="BL2:BL46" si="47">IF(ISNUMBER(SEARCH(",MLN19,",","&amp;SUBSTITUTE(I2,", ",",")&amp;",")),1,0)</f>
        <v>0</v>
      </c>
      <c r="BM2" s="11">
        <f t="shared" ref="BM2:BM46" si="48">IF(ISNUMBER(SEARCH(",Microtubule,",","&amp;SUBSTITUTE(I2,", ",",")&amp;",")),1,0)</f>
        <v>0</v>
      </c>
      <c r="BN2" s="11">
        <f t="shared" ref="BN2:BN46" si="49">IF(ISNUMBER(SEARCH(",NKG2A,",","&amp;SUBSTITUTE(I2,", ",",")&amp;",")),1,0)</f>
        <v>0</v>
      </c>
      <c r="BO2" s="11">
        <f t="shared" ref="BO2:BO46" si="50">IF(ISNUMBER(SEARCH(",NRAS,",","&amp;SUBSTITUTE(I2,", ",",")&amp;",")),1,0)</f>
        <v>0</v>
      </c>
      <c r="BP2" s="11">
        <f t="shared" ref="BP2:BP46" si="51">IF(ISNUMBER(SEARCH(",NTRK,",","&amp;SUBSTITUTE(I2,", ",",")&amp;",")),1,0)</f>
        <v>0</v>
      </c>
      <c r="BQ2" s="11">
        <f t="shared" ref="BQ2:BQ46" si="52">IF(ISNUMBER(SEARCH(",PARP,",","&amp;SUBSTITUTE(I2,", ",",")&amp;",")),1,0)</f>
        <v>0</v>
      </c>
      <c r="BR2" s="11">
        <f t="shared" ref="BR2:BR46" si="53">IF(ISNUMBER(SEARCH(",PD-1,",","&amp;SUBSTITUTE(I2,", ",",")&amp;",")),1,0)</f>
        <v>0</v>
      </c>
      <c r="BS2" s="11">
        <f t="shared" ref="BS2:BS46" si="54">IF(ISNUMBER(SEARCH(",PD-L1,",","&amp;SUBSTITUTE(I2,", ",",")&amp;",")),1,0)</f>
        <v>0</v>
      </c>
      <c r="BT2" s="11">
        <f t="shared" ref="BT2:BT46" si="55">IF(ISNUMBER(SEARCH(",PRMT5,",","&amp;SUBSTITUTE(I2,", ",",")&amp;",")),1,0)</f>
        <v>0</v>
      </c>
      <c r="BU2" s="11">
        <f t="shared" ref="BU2:BU46" si="56">IF(ISNUMBER(SEARCH(",RAS,",","&amp;SUBSTITUTE(I2,", ",",")&amp;",")),1,0)</f>
        <v>0</v>
      </c>
      <c r="BV2" s="11">
        <f t="shared" ref="BV2:BV46" si="57">IF(ISNUMBER(SEARCH(",RET,",","&amp;SUBSTITUTE(I2,", ",",")&amp;",")),1,0)</f>
        <v>0</v>
      </c>
      <c r="BW2" s="11">
        <f t="shared" ref="BW2:BW46" si="58">IF(ISNUMBER(SEARCH(",ROS,",","&amp;SUBSTITUTE(I2,", ",",")&amp;",")),1,0)</f>
        <v>0</v>
      </c>
      <c r="BX2" s="11">
        <f t="shared" ref="BX2:BX46" si="59">IF(ISNUMBER(SEARCH(",ROS1,",","&amp;SUBSTITUTE(I2,", ",",")&amp;",")),1,0)</f>
        <v>0</v>
      </c>
      <c r="BY2" s="11">
        <f t="shared" ref="BY2:BY46" si="60">IF(ISNUMBER(SEARCH(",Src,",","&amp;SUBSTITUTE(I2,", ",",")&amp;",")),1,0)</f>
        <v>0</v>
      </c>
      <c r="BZ2" s="11">
        <f t="shared" ref="BZ2:BZ46" si="61">IF(ISNUMBER(SEARCH(",TCGF,",","&amp;SUBSTITUTE(I2,", ",",")&amp;",")),1,0)</f>
        <v>0</v>
      </c>
      <c r="CA2" s="11">
        <f t="shared" ref="CA2:CA46" si="62">IF(ISNUMBER(SEARCH(",TGF-β,",","&amp;SUBSTITUTE(I2,", ",",")&amp;",")),1,0)</f>
        <v>0</v>
      </c>
      <c r="CB2" s="11">
        <f t="shared" ref="CB2:CB46" si="63">IF(ISNUMBER(SEARCH(",TGF-β1,",","&amp;SUBSTITUTE(I2,", ",",")&amp;",")),1,0)</f>
        <v>0</v>
      </c>
      <c r="CC2" s="11">
        <f t="shared" ref="CC2:CC46" si="64">IF(ISNUMBER(SEARCH(",TIGIT,",","&amp;SUBSTITUTE(I2,", ",",")&amp;",")),1,0)</f>
        <v>0</v>
      </c>
      <c r="CD2" s="11">
        <f t="shared" ref="CD2:CD46" si="65">IF(ISNUMBER(SEARCH(",TLR,",","&amp;SUBSTITUTE(I2,", ",",")&amp;",")),1,0)</f>
        <v>0</v>
      </c>
      <c r="CE2" s="11">
        <f t="shared" ref="CE2:CE46" si="66">IF(ISNUMBER(SEARCH(",TLR7/8,",","&amp;SUBSTITUTE(I2,", ",",")&amp;",")),1,0)</f>
        <v>0</v>
      </c>
      <c r="CF2" s="11">
        <f t="shared" ref="CF2:CF46" si="67">IF(ISNUMBER(SEARCH(",TRK,",","&amp;SUBSTITUTE(I2,", ",",")&amp;",")),1,0)</f>
        <v>0</v>
      </c>
      <c r="CG2" s="11">
        <f t="shared" ref="CG2:CG46" si="68">IF(ISNUMBER(SEARCH(",TROP2,",","&amp;SUBSTITUTE(I2,", ",",")&amp;",")),1,0)</f>
        <v>0</v>
      </c>
      <c r="CH2" s="11">
        <f t="shared" ref="CH2:CH46" si="69">IF(ISNUMBER(SEARCH(",TS,",","&amp;SUBSTITUTE(I2,", ",",")&amp;",")),1,0)</f>
        <v>0</v>
      </c>
      <c r="CI2" s="11">
        <f t="shared" ref="CI2:CI46" si="70">IF(ISNUMBER(SEARCH(",TYMS,",","&amp;SUBSTITUTE(I2,", ",",")&amp;",")),1,0)</f>
        <v>0</v>
      </c>
      <c r="CJ2" s="11">
        <f t="shared" ref="CJ2:CJ46" si="71">IF(ISNUMBER(SEARCH(",VEGF,",","&amp;SUBSTITUTE(I2,", ",",")&amp;",")),1,0)</f>
        <v>0</v>
      </c>
      <c r="CK2" s="11">
        <f t="shared" ref="CK2:CK46" si="72">IF(ISNUMBER(SEARCH(",VEGFA,",","&amp;SUBSTITUTE(I2,", ",",")&amp;",")),1,0)</f>
        <v>0</v>
      </c>
      <c r="CL2" s="11">
        <f t="shared" ref="CL2:CL46" si="73">IF(ISNUMBER(SEARCH(",VEGFR2,",","&amp;SUBSTITUTE(I2,", ",",")&amp;",")),1,0)</f>
        <v>0</v>
      </c>
      <c r="CM2" s="11">
        <f t="shared" ref="CM2:CM46" si="74">IF(ISNUMBER(SEARCH(",c-MET/MET,",","&amp;SUBSTITUTE(I2,", ",",")&amp;",")),1,0)</f>
        <v>0</v>
      </c>
      <c r="CN2" s="11">
        <f t="shared" ref="CN2:CN46" si="75">IF(ISNUMBER(SEARCH(",p53,",","&amp;SUBSTITUTE(I2,", ",",")&amp;",")),1,0)</f>
        <v>0</v>
      </c>
      <c r="CO2" s="11">
        <f t="shared" ref="CO2:CO46" si="76">IF(ISNUMBER(SEARCH(",pan-KRAS,",","&amp;SUBSTITUTE(I2,", ",",")&amp;",")),1,0)</f>
        <v>0</v>
      </c>
      <c r="CP2" s="11">
        <f t="shared" ref="CP2:CP46" si="77">IF(ISNUMBER(SEARCH(",ALK,",","&amp;SUBSTITUTE(K2,", ",",")&amp;",")),1,0)</f>
        <v>0</v>
      </c>
      <c r="CQ2" s="11">
        <f t="shared" ref="CQ2:CQ46" si="78">IF(ISNUMBER(SEARCH(",BRAF V600E,",","&amp;SUBSTITUTE(K2,", ",",")&amp;",")),1,0)</f>
        <v>0</v>
      </c>
      <c r="CR2" s="11">
        <f t="shared" ref="CR2:CR46" si="79">IF(ISNUMBER(SEARCH(",EGFR,",","&amp;SUBSTITUTE(K2,", ",",")&amp;",")),1,0)</f>
        <v>0</v>
      </c>
      <c r="CS2" s="11">
        <f t="shared" ref="CS2:CS46" si="80">IF(ISNUMBER(SEARCH(",EGFR Exon 18,",","&amp;SUBSTITUTE(K2,", ",",")&amp;",")),1,0)</f>
        <v>0</v>
      </c>
      <c r="CT2" s="11">
        <f t="shared" ref="CT2:CT46" si="81">IF(ISNUMBER(SEARCH(",EGFR Exon 19-del,",","&amp;SUBSTITUTE(K2,", ",",")&amp;",")),1,0)</f>
        <v>0</v>
      </c>
      <c r="CU2" s="11">
        <f t="shared" ref="CU2:CU46" si="82">IF(ISNUMBER(SEARCH(",EGFR Exon 20,",","&amp;SUBSTITUTE(K2,", ",",")&amp;",")),1,0)</f>
        <v>0</v>
      </c>
      <c r="CV2" s="11">
        <f t="shared" ref="CV2:CV46" si="83">IF(ISNUMBER(SEARCH(",EGFR Exon 20-ins,",","&amp;SUBSTITUTE(K2,", ",",")&amp;",")),1,0)</f>
        <v>0</v>
      </c>
      <c r="CW2" s="11">
        <f t="shared" ref="CW2:CW46" si="84">IF(ISNUMBER(SEARCH(",EGFR Exon 21,",","&amp;SUBSTITUTE(K2,", ",",")&amp;",")),1,0)</f>
        <v>0</v>
      </c>
      <c r="CX2" s="11">
        <f t="shared" ref="CX2:CX46" si="85">IF(ISNUMBER(SEARCH(",EGFR G719A,",","&amp;SUBSTITUTE(K2,", ",",")&amp;",")),1,0)</f>
        <v>0</v>
      </c>
      <c r="CY2" s="11">
        <f t="shared" ref="CY2:CY46" si="86">IF(ISNUMBER(SEARCH(",EGFR G719C,",","&amp;SUBSTITUTE(K2,", ",",")&amp;",")),1,0)</f>
        <v>0</v>
      </c>
      <c r="CZ2" s="11">
        <f t="shared" ref="CZ2:CZ46" si="87">IF(ISNUMBER(SEARCH(",EGFR G719S,",","&amp;SUBSTITUTE(K2,", ",",")&amp;",")),1,0)</f>
        <v>0</v>
      </c>
      <c r="DA2" s="11">
        <f t="shared" ref="DA2:DA46" si="88">IF(ISNUMBER(SEARCH(",EGFR G719X,",","&amp;SUBSTITUTE(K2,", ",",")&amp;",")),1,0)</f>
        <v>0</v>
      </c>
      <c r="DB2" s="11">
        <f t="shared" ref="DB2:DB46" si="89">IF(ISNUMBER(SEARCH(",EGFR L858R,",","&amp;SUBSTITUTE(K2,", ",",")&amp;",")),1,0)</f>
        <v>0</v>
      </c>
      <c r="DC2" s="11">
        <f t="shared" ref="DC2:DC46" si="90">IF(ISNUMBER(SEARCH(",EGFR L861Q,",","&amp;SUBSTITUTE(K2,", ",",")&amp;",")),1,0)</f>
        <v>0</v>
      </c>
      <c r="DD2" s="11">
        <f t="shared" ref="DD2:DD46" si="91">IF(ISNUMBER(SEARCH(",EGFR PACC,",","&amp;SUBSTITUTE(K2,", ",",")&amp;",")),1,0)</f>
        <v>0</v>
      </c>
      <c r="DE2" s="11">
        <f t="shared" ref="DE2:DE46" si="92">IF(ISNUMBER(SEARCH(",EGFR S768I,",","&amp;SUBSTITUTE(K2,", ",",")&amp;",")),1,0)</f>
        <v>0</v>
      </c>
      <c r="DF2" s="11">
        <f t="shared" ref="DF2:DF46" si="93">IF(ISNUMBER(SEARCH(",EGFR T790M,",","&amp;SUBSTITUTE(K2,", ",",")&amp;",")),1,0)</f>
        <v>0</v>
      </c>
      <c r="DG2" s="11">
        <f t="shared" ref="DG2:DG46" si="94">IF(ISNUMBER(SEARCH(",EML4-ALK,",","&amp;SUBSTITUTE(K2,", ",",")&amp;",")),1,0)</f>
        <v>0</v>
      </c>
      <c r="DH2" s="11">
        <f t="shared" ref="DH2:DH46" si="95">IF(ISNUMBER(SEARCH(",HER2,",","&amp;SUBSTITUTE(K2,", ",",")&amp;",")),1,0)</f>
        <v>0</v>
      </c>
      <c r="DI2" s="11">
        <f t="shared" ref="DI2:DI46" si="96">IF(ISNUMBER(SEARCH(",HER2 Exon 19,",","&amp;SUBSTITUTE(K2,", ",",")&amp;",")),1,0)</f>
        <v>0</v>
      </c>
      <c r="DJ2" s="11">
        <f t="shared" ref="DJ2:DJ46" si="97">IF(ISNUMBER(SEARCH(",HER2 Exon 20,",","&amp;SUBSTITUTE(K2,", ",",")&amp;",")),1,0)</f>
        <v>0</v>
      </c>
      <c r="DK2" s="11">
        <f t="shared" ref="DK2:DK46" si="98">IF(ISNUMBER(SEARCH(",HER2 mut,",","&amp;SUBSTITUTE(K2,", ",",")&amp;",")),1,0)</f>
        <v>0</v>
      </c>
      <c r="DL2" s="11">
        <f t="shared" ref="DL2:DL46" si="99">IF(ISNUMBER(SEARCH(",HLA-A2,",","&amp;SUBSTITUTE(K2,", ",",")&amp;",")),1,0)</f>
        <v>0</v>
      </c>
      <c r="DM2" s="11">
        <f t="shared" ref="DM2:DM46" si="100">IF(ISNUMBER(SEARCH(",HRAS,",","&amp;SUBSTITUTE(K2,", ",",")&amp;",")),1,0)</f>
        <v>0</v>
      </c>
      <c r="DN2" s="11">
        <f t="shared" ref="DN2:DN46" si="101">IF(ISNUMBER(SEARCH(",KRAS,",","&amp;SUBSTITUTE(K2,", ",",")&amp;",")),1,0)</f>
        <v>0</v>
      </c>
      <c r="DO2" s="11">
        <f t="shared" ref="DO2:DO46" si="102">IF(ISNUMBER(SEARCH(",KRAS G12C,",","&amp;SUBSTITUTE(K2,", ",",")&amp;",")),1,0)</f>
        <v>0</v>
      </c>
      <c r="DP2" s="11">
        <f t="shared" ref="DP2:DP46" si="103">IF(ISNUMBER(SEARCH(",NRAS,",","&amp;SUBSTITUTE(K2,", ",",")&amp;",")),1,0)</f>
        <v>0</v>
      </c>
      <c r="DQ2" s="11">
        <f t="shared" ref="DQ2:DQ46" si="104">IF(ISNUMBER(SEARCH(",NTRK,",","&amp;SUBSTITUTE(K2,", ",",")&amp;",")),1,0)</f>
        <v>0</v>
      </c>
      <c r="DR2" s="11">
        <f t="shared" ref="DR2:DR46" si="105">IF(ISNUMBER(SEARCH(",PD-L1,",","&amp;SUBSTITUTE(K2,", ",",")&amp;",")),1,0)</f>
        <v>0</v>
      </c>
      <c r="DS2" s="11">
        <f t="shared" ref="DS2:DS46" si="106">IF(ISNUMBER(SEARCH(",PD-L1 IC ≥ 1%,",","&amp;SUBSTITUTE(K2,", ",",")&amp;",")),1,0)</f>
        <v>0</v>
      </c>
      <c r="DT2" s="11">
        <f t="shared" ref="DT2:DT46" si="107">IF(ISNUMBER(SEARCH(",PD-L1 TC ≥ 1%,",","&amp;SUBSTITUTE(K2,", ",",")&amp;",")),1,0)</f>
        <v>0</v>
      </c>
      <c r="DU2" s="11">
        <f t="shared" ref="DU2:DU46" si="108">IF(ISNUMBER(SEARCH(",PD-L1 TC ≥ 50%,",","&amp;SUBSTITUTE(K2,", ",",")&amp;",")),1,0)</f>
        <v>0</v>
      </c>
      <c r="DV2" s="11">
        <f t="shared" ref="DV2:DV46" si="109">IF(ISNUMBER(SEARCH(",PD-L1 TPS &lt; 50%,",","&amp;SUBSTITUTE(K2,", ",",")&amp;",")),1,0)</f>
        <v>0</v>
      </c>
      <c r="DW2" s="11">
        <f t="shared" ref="DW2:DW46" si="110">IF(ISNUMBER(SEARCH(",PD-L1 TPS ≥ 1%,",","&amp;SUBSTITUTE(K2,", ",",")&amp;",")),1,0)</f>
        <v>0</v>
      </c>
      <c r="DX2" s="11">
        <f t="shared" ref="DX2:DX46" si="111">IF(ISNUMBER(SEARCH(",PD-L1 TPS ≥ 50%,",","&amp;SUBSTITUTE(K2,", ",",")&amp;",")),1,0)</f>
        <v>0</v>
      </c>
      <c r="DY2" s="11">
        <f t="shared" ref="DY2:DY46" si="112">IF(ISNUMBER(SEARCH(",RAS,",","&amp;SUBSTITUTE(K2,", ",",")&amp;",")),1,0)</f>
        <v>0</v>
      </c>
      <c r="DZ2" s="11">
        <f t="shared" ref="DZ2:DZ46" si="113">IF(ISNUMBER(SEARCH(",RET,",","&amp;SUBSTITUTE(K2,", ",",")&amp;",")),1,0)</f>
        <v>0</v>
      </c>
      <c r="EA2" s="11">
        <f t="shared" ref="EA2:EA46" si="114">IF(ISNUMBER(SEARCH(",ROS1,",","&amp;SUBSTITUTE(K2,", ",",")&amp;",")),1,0)</f>
        <v>0</v>
      </c>
      <c r="EB2" s="11">
        <f t="shared" ref="EB2:EB46" si="115">IF(ISNUMBER(SEARCH(",TROP2,",","&amp;SUBSTITUTE(K2,", ",",")&amp;",")),1,0)</f>
        <v>0</v>
      </c>
      <c r="EC2" s="11">
        <f t="shared" ref="EC2:EC46" si="116">IF(ISNUMBER(SEARCH(",c-MET/MET,",","&amp;SUBSTITUTE(K2,", ",",")&amp;",")),1,0)</f>
        <v>0</v>
      </c>
      <c r="ED2" s="11">
        <f t="shared" ref="ED2:ED46" si="117">IF(ISNUMBER(SEARCH(",c-MET/MET Exon 14,",","&amp;SUBSTITUTE(K2,", ",",")&amp;",")),1,0)</f>
        <v>0</v>
      </c>
      <c r="EE2" s="11">
        <f t="shared" ref="EE2:EE46" si="118">IF(ISNUMBER(SEARCH(",ctDNA/cfDNA,",","&amp;SUBSTITUTE(K2,", ",",")&amp;",")),1,0)</f>
        <v>0</v>
      </c>
    </row>
    <row r="3" spans="1:135" ht="15" customHeight="1" x14ac:dyDescent="0.2">
      <c r="A3" s="5" t="s">
        <v>233</v>
      </c>
      <c r="B3" s="5" t="s">
        <v>234</v>
      </c>
      <c r="C3" s="5" t="s">
        <v>235</v>
      </c>
      <c r="D3" s="5" t="s">
        <v>235</v>
      </c>
      <c r="E3" s="5" t="s">
        <v>235</v>
      </c>
      <c r="F3" s="5" t="s">
        <v>236</v>
      </c>
      <c r="G3" s="5"/>
      <c r="H3" s="5" t="s">
        <v>115</v>
      </c>
      <c r="I3" s="5" t="s">
        <v>240</v>
      </c>
      <c r="J3" s="5" t="s">
        <v>239</v>
      </c>
      <c r="K3" s="5" t="s">
        <v>254</v>
      </c>
      <c r="L3" s="5" t="s">
        <v>119</v>
      </c>
      <c r="M3" s="5" t="s">
        <v>1494</v>
      </c>
      <c r="N3" s="5" t="s">
        <v>119</v>
      </c>
      <c r="O3" s="5" t="s">
        <v>120</v>
      </c>
      <c r="P3" s="5" t="s">
        <v>1503</v>
      </c>
      <c r="Q3" s="10" t="str">
        <f t="shared" si="0"/>
        <v>Stage IV + Other</v>
      </c>
      <c r="R3" s="10" t="str">
        <f t="shared" si="1"/>
        <v>Unspecified</v>
      </c>
      <c r="S3" s="10" t="str">
        <f t="shared" si="2"/>
        <v>All-comers</v>
      </c>
      <c r="T3" s="10">
        <f t="shared" si="3"/>
        <v>0</v>
      </c>
      <c r="U3" s="10">
        <f t="shared" si="4"/>
        <v>0</v>
      </c>
      <c r="V3" s="11">
        <f t="shared" si="5"/>
        <v>1</v>
      </c>
      <c r="W3" s="11">
        <f t="shared" si="6"/>
        <v>0</v>
      </c>
      <c r="X3" s="11">
        <f t="shared" si="7"/>
        <v>0</v>
      </c>
      <c r="Y3" s="11">
        <f t="shared" si="8"/>
        <v>0</v>
      </c>
      <c r="Z3" s="11">
        <f t="shared" si="9"/>
        <v>0</v>
      </c>
      <c r="AA3" s="11">
        <f t="shared" si="10"/>
        <v>0</v>
      </c>
      <c r="AB3" s="11">
        <f t="shared" si="11"/>
        <v>0</v>
      </c>
      <c r="AC3" s="11">
        <f t="shared" si="12"/>
        <v>0</v>
      </c>
      <c r="AD3" s="11">
        <f t="shared" si="13"/>
        <v>0</v>
      </c>
      <c r="AE3" s="11">
        <f t="shared" si="14"/>
        <v>0</v>
      </c>
      <c r="AF3" s="11">
        <f t="shared" si="15"/>
        <v>0</v>
      </c>
      <c r="AG3" s="11">
        <f t="shared" si="16"/>
        <v>0</v>
      </c>
      <c r="AH3" s="11">
        <f t="shared" si="17"/>
        <v>0</v>
      </c>
      <c r="AI3" s="11">
        <f t="shared" si="18"/>
        <v>0</v>
      </c>
      <c r="AJ3" s="11">
        <f t="shared" si="19"/>
        <v>0</v>
      </c>
      <c r="AK3" s="11">
        <f t="shared" si="20"/>
        <v>0</v>
      </c>
      <c r="AL3" s="11">
        <f t="shared" si="21"/>
        <v>0</v>
      </c>
      <c r="AM3" s="11">
        <f t="shared" si="22"/>
        <v>0</v>
      </c>
      <c r="AN3" s="11">
        <f t="shared" si="23"/>
        <v>0</v>
      </c>
      <c r="AO3" s="11">
        <f t="shared" si="24"/>
        <v>0</v>
      </c>
      <c r="AP3" s="11">
        <f t="shared" si="25"/>
        <v>0</v>
      </c>
      <c r="AQ3" s="11">
        <f t="shared" si="26"/>
        <v>0</v>
      </c>
      <c r="AR3" s="11">
        <f t="shared" si="27"/>
        <v>0</v>
      </c>
      <c r="AS3" s="11">
        <f t="shared" si="28"/>
        <v>0</v>
      </c>
      <c r="AT3" s="11">
        <f t="shared" si="29"/>
        <v>0</v>
      </c>
      <c r="AU3" s="11">
        <f t="shared" si="30"/>
        <v>0</v>
      </c>
      <c r="AV3" s="11">
        <f t="shared" si="31"/>
        <v>0</v>
      </c>
      <c r="AW3" s="11">
        <f t="shared" si="32"/>
        <v>0</v>
      </c>
      <c r="AX3" s="11">
        <f t="shared" si="33"/>
        <v>0</v>
      </c>
      <c r="AY3" s="11">
        <f t="shared" si="34"/>
        <v>0</v>
      </c>
      <c r="AZ3" s="11">
        <f t="shared" si="35"/>
        <v>0</v>
      </c>
      <c r="BA3" s="11">
        <f t="shared" si="36"/>
        <v>0</v>
      </c>
      <c r="BB3" s="11">
        <f t="shared" si="37"/>
        <v>0</v>
      </c>
      <c r="BC3" s="11">
        <f t="shared" si="38"/>
        <v>0</v>
      </c>
      <c r="BD3" s="11">
        <f t="shared" si="39"/>
        <v>0</v>
      </c>
      <c r="BE3" s="11">
        <f t="shared" si="40"/>
        <v>0</v>
      </c>
      <c r="BF3" s="11">
        <f t="shared" si="41"/>
        <v>0</v>
      </c>
      <c r="BG3" s="11">
        <f t="shared" si="42"/>
        <v>0</v>
      </c>
      <c r="BH3" s="11">
        <f t="shared" si="43"/>
        <v>0</v>
      </c>
      <c r="BI3" s="11">
        <f t="shared" si="44"/>
        <v>0</v>
      </c>
      <c r="BJ3" s="11">
        <f t="shared" si="45"/>
        <v>0</v>
      </c>
      <c r="BK3" s="11">
        <f t="shared" si="46"/>
        <v>0</v>
      </c>
      <c r="BL3" s="11">
        <f t="shared" si="47"/>
        <v>0</v>
      </c>
      <c r="BM3" s="11">
        <f t="shared" si="48"/>
        <v>0</v>
      </c>
      <c r="BN3" s="11">
        <f t="shared" si="49"/>
        <v>0</v>
      </c>
      <c r="BO3" s="11">
        <f t="shared" si="50"/>
        <v>0</v>
      </c>
      <c r="BP3" s="11">
        <f t="shared" si="51"/>
        <v>0</v>
      </c>
      <c r="BQ3" s="11">
        <f t="shared" si="52"/>
        <v>0</v>
      </c>
      <c r="BR3" s="11">
        <f t="shared" si="53"/>
        <v>0</v>
      </c>
      <c r="BS3" s="11">
        <f t="shared" si="54"/>
        <v>0</v>
      </c>
      <c r="BT3" s="11">
        <f t="shared" si="55"/>
        <v>0</v>
      </c>
      <c r="BU3" s="11">
        <f t="shared" si="56"/>
        <v>0</v>
      </c>
      <c r="BV3" s="11">
        <f t="shared" si="57"/>
        <v>0</v>
      </c>
      <c r="BW3" s="11">
        <f t="shared" si="58"/>
        <v>1</v>
      </c>
      <c r="BX3" s="11">
        <f t="shared" si="59"/>
        <v>1</v>
      </c>
      <c r="BY3" s="11">
        <f t="shared" si="60"/>
        <v>0</v>
      </c>
      <c r="BZ3" s="11">
        <f t="shared" si="61"/>
        <v>0</v>
      </c>
      <c r="CA3" s="11">
        <f t="shared" si="62"/>
        <v>0</v>
      </c>
      <c r="CB3" s="11">
        <f t="shared" si="63"/>
        <v>0</v>
      </c>
      <c r="CC3" s="11">
        <f t="shared" si="64"/>
        <v>0</v>
      </c>
      <c r="CD3" s="11">
        <f t="shared" si="65"/>
        <v>0</v>
      </c>
      <c r="CE3" s="11">
        <f t="shared" si="66"/>
        <v>0</v>
      </c>
      <c r="CF3" s="11">
        <f t="shared" si="67"/>
        <v>0</v>
      </c>
      <c r="CG3" s="11">
        <f t="shared" si="68"/>
        <v>0</v>
      </c>
      <c r="CH3" s="11">
        <f t="shared" si="69"/>
        <v>0</v>
      </c>
      <c r="CI3" s="11">
        <f t="shared" si="70"/>
        <v>0</v>
      </c>
      <c r="CJ3" s="11">
        <f t="shared" si="71"/>
        <v>0</v>
      </c>
      <c r="CK3" s="11">
        <f t="shared" si="72"/>
        <v>0</v>
      </c>
      <c r="CL3" s="11">
        <f t="shared" si="73"/>
        <v>0</v>
      </c>
      <c r="CM3" s="11">
        <f t="shared" si="74"/>
        <v>1</v>
      </c>
      <c r="CN3" s="11">
        <f t="shared" si="75"/>
        <v>0</v>
      </c>
      <c r="CO3" s="11">
        <f t="shared" si="76"/>
        <v>0</v>
      </c>
      <c r="CP3" s="11">
        <f t="shared" si="77"/>
        <v>1</v>
      </c>
      <c r="CQ3" s="11">
        <f t="shared" si="78"/>
        <v>0</v>
      </c>
      <c r="CR3" s="11">
        <f t="shared" si="79"/>
        <v>0</v>
      </c>
      <c r="CS3" s="11">
        <f t="shared" si="80"/>
        <v>0</v>
      </c>
      <c r="CT3" s="11">
        <f t="shared" si="81"/>
        <v>0</v>
      </c>
      <c r="CU3" s="11">
        <f t="shared" si="82"/>
        <v>0</v>
      </c>
      <c r="CV3" s="11">
        <f t="shared" si="83"/>
        <v>0</v>
      </c>
      <c r="CW3" s="11">
        <f t="shared" si="84"/>
        <v>0</v>
      </c>
      <c r="CX3" s="11">
        <f t="shared" si="85"/>
        <v>0</v>
      </c>
      <c r="CY3" s="11">
        <f t="shared" si="86"/>
        <v>0</v>
      </c>
      <c r="CZ3" s="11">
        <f t="shared" si="87"/>
        <v>0</v>
      </c>
      <c r="DA3" s="11">
        <f t="shared" si="88"/>
        <v>0</v>
      </c>
      <c r="DB3" s="11">
        <f t="shared" si="89"/>
        <v>0</v>
      </c>
      <c r="DC3" s="11">
        <f t="shared" si="90"/>
        <v>0</v>
      </c>
      <c r="DD3" s="11">
        <f t="shared" si="91"/>
        <v>0</v>
      </c>
      <c r="DE3" s="11">
        <f t="shared" si="92"/>
        <v>0</v>
      </c>
      <c r="DF3" s="11">
        <f t="shared" si="93"/>
        <v>0</v>
      </c>
      <c r="DG3" s="11">
        <f t="shared" si="94"/>
        <v>1</v>
      </c>
      <c r="DH3" s="11">
        <f t="shared" si="95"/>
        <v>0</v>
      </c>
      <c r="DI3" s="11">
        <f t="shared" si="96"/>
        <v>0</v>
      </c>
      <c r="DJ3" s="11">
        <f t="shared" si="97"/>
        <v>0</v>
      </c>
      <c r="DK3" s="11">
        <f t="shared" si="98"/>
        <v>0</v>
      </c>
      <c r="DL3" s="11">
        <f t="shared" si="99"/>
        <v>0</v>
      </c>
      <c r="DM3" s="11">
        <f t="shared" si="100"/>
        <v>0</v>
      </c>
      <c r="DN3" s="11">
        <f t="shared" si="101"/>
        <v>0</v>
      </c>
      <c r="DO3" s="11">
        <f t="shared" si="102"/>
        <v>0</v>
      </c>
      <c r="DP3" s="11">
        <f t="shared" si="103"/>
        <v>0</v>
      </c>
      <c r="DQ3" s="11">
        <f t="shared" si="104"/>
        <v>0</v>
      </c>
      <c r="DR3" s="11">
        <f t="shared" si="105"/>
        <v>0</v>
      </c>
      <c r="DS3" s="11">
        <f t="shared" si="106"/>
        <v>0</v>
      </c>
      <c r="DT3" s="11">
        <f t="shared" si="107"/>
        <v>0</v>
      </c>
      <c r="DU3" s="11">
        <f t="shared" si="108"/>
        <v>0</v>
      </c>
      <c r="DV3" s="11">
        <f t="shared" si="109"/>
        <v>0</v>
      </c>
      <c r="DW3" s="11">
        <f t="shared" si="110"/>
        <v>0</v>
      </c>
      <c r="DX3" s="11">
        <f t="shared" si="111"/>
        <v>0</v>
      </c>
      <c r="DY3" s="11">
        <f t="shared" si="112"/>
        <v>0</v>
      </c>
      <c r="DZ3" s="11">
        <f t="shared" si="113"/>
        <v>0</v>
      </c>
      <c r="EA3" s="11">
        <f t="shared" si="114"/>
        <v>0</v>
      </c>
      <c r="EB3" s="11">
        <f t="shared" si="115"/>
        <v>0</v>
      </c>
      <c r="EC3" s="11">
        <f t="shared" si="116"/>
        <v>0</v>
      </c>
      <c r="ED3" s="11">
        <f t="shared" si="117"/>
        <v>0</v>
      </c>
      <c r="EE3" s="11">
        <f t="shared" si="118"/>
        <v>0</v>
      </c>
    </row>
    <row r="4" spans="1:135" ht="15" customHeight="1" x14ac:dyDescent="0.2">
      <c r="A4" s="3" t="s">
        <v>510</v>
      </c>
      <c r="B4" s="3" t="s">
        <v>511</v>
      </c>
      <c r="C4" s="3" t="s">
        <v>140</v>
      </c>
      <c r="D4" s="3" t="s">
        <v>140</v>
      </c>
      <c r="E4" s="3" t="s">
        <v>140</v>
      </c>
      <c r="F4" s="3" t="s">
        <v>259</v>
      </c>
      <c r="G4" s="3" t="s">
        <v>544</v>
      </c>
      <c r="H4" s="3" t="s">
        <v>115</v>
      </c>
      <c r="I4" s="3" t="s">
        <v>1521</v>
      </c>
      <c r="J4" s="3" t="s">
        <v>514</v>
      </c>
      <c r="K4" s="3"/>
      <c r="L4" s="3" t="s">
        <v>119</v>
      </c>
      <c r="M4" s="3" t="s">
        <v>1494</v>
      </c>
      <c r="N4" s="3" t="s">
        <v>119</v>
      </c>
      <c r="O4" s="3" t="s">
        <v>120</v>
      </c>
      <c r="P4" s="3" t="s">
        <v>1519</v>
      </c>
      <c r="Q4" s="10" t="str">
        <f t="shared" si="0"/>
        <v>Stage IV Only</v>
      </c>
      <c r="R4" s="10" t="str">
        <f t="shared" si="1"/>
        <v>Both</v>
      </c>
      <c r="S4" s="10" t="str">
        <f t="shared" si="2"/>
        <v>All-comers</v>
      </c>
      <c r="T4" s="10">
        <f t="shared" si="3"/>
        <v>0</v>
      </c>
      <c r="U4" s="10">
        <f t="shared" si="4"/>
        <v>0</v>
      </c>
      <c r="V4" s="11">
        <f t="shared" si="5"/>
        <v>0</v>
      </c>
      <c r="W4" s="11">
        <f t="shared" si="6"/>
        <v>0</v>
      </c>
      <c r="X4" s="11">
        <f t="shared" si="7"/>
        <v>0</v>
      </c>
      <c r="Y4" s="11">
        <f t="shared" si="8"/>
        <v>0</v>
      </c>
      <c r="Z4" s="11">
        <f t="shared" si="9"/>
        <v>0</v>
      </c>
      <c r="AA4" s="11">
        <f t="shared" si="10"/>
        <v>0</v>
      </c>
      <c r="AB4" s="11">
        <f t="shared" si="11"/>
        <v>0</v>
      </c>
      <c r="AC4" s="11">
        <f t="shared" si="12"/>
        <v>0</v>
      </c>
      <c r="AD4" s="11">
        <f t="shared" si="13"/>
        <v>0</v>
      </c>
      <c r="AE4" s="11">
        <f t="shared" si="14"/>
        <v>0</v>
      </c>
      <c r="AF4" s="11">
        <f t="shared" si="15"/>
        <v>0</v>
      </c>
      <c r="AG4" s="11">
        <f t="shared" si="16"/>
        <v>0</v>
      </c>
      <c r="AH4" s="11">
        <f t="shared" si="17"/>
        <v>0</v>
      </c>
      <c r="AI4" s="11">
        <f t="shared" si="18"/>
        <v>0</v>
      </c>
      <c r="AJ4" s="11">
        <f t="shared" si="19"/>
        <v>0</v>
      </c>
      <c r="AK4" s="11">
        <f t="shared" si="20"/>
        <v>0</v>
      </c>
      <c r="AL4" s="11">
        <f t="shared" si="21"/>
        <v>0</v>
      </c>
      <c r="AM4" s="11">
        <f t="shared" si="22"/>
        <v>0</v>
      </c>
      <c r="AN4" s="11">
        <f t="shared" si="23"/>
        <v>0</v>
      </c>
      <c r="AO4" s="11">
        <f t="shared" si="24"/>
        <v>0</v>
      </c>
      <c r="AP4" s="11">
        <f t="shared" si="25"/>
        <v>0</v>
      </c>
      <c r="AQ4" s="11">
        <f t="shared" si="26"/>
        <v>0</v>
      </c>
      <c r="AR4" s="11">
        <f t="shared" si="27"/>
        <v>0</v>
      </c>
      <c r="AS4" s="11">
        <f t="shared" si="28"/>
        <v>0</v>
      </c>
      <c r="AT4" s="11">
        <f t="shared" si="29"/>
        <v>0</v>
      </c>
      <c r="AU4" s="11">
        <f t="shared" si="30"/>
        <v>0</v>
      </c>
      <c r="AV4" s="11">
        <f t="shared" si="31"/>
        <v>0</v>
      </c>
      <c r="AW4" s="11">
        <f t="shared" si="32"/>
        <v>0</v>
      </c>
      <c r="AX4" s="11">
        <f t="shared" si="33"/>
        <v>0</v>
      </c>
      <c r="AY4" s="11">
        <f t="shared" si="34"/>
        <v>0</v>
      </c>
      <c r="AZ4" s="11">
        <f t="shared" si="35"/>
        <v>0</v>
      </c>
      <c r="BA4" s="11">
        <f t="shared" si="36"/>
        <v>0</v>
      </c>
      <c r="BB4" s="11">
        <f t="shared" si="37"/>
        <v>0</v>
      </c>
      <c r="BC4" s="11">
        <f t="shared" si="38"/>
        <v>1</v>
      </c>
      <c r="BD4" s="11">
        <f t="shared" si="39"/>
        <v>0</v>
      </c>
      <c r="BE4" s="11">
        <f t="shared" si="40"/>
        <v>0</v>
      </c>
      <c r="BF4" s="11">
        <f t="shared" si="41"/>
        <v>0</v>
      </c>
      <c r="BG4" s="11">
        <f t="shared" si="42"/>
        <v>0</v>
      </c>
      <c r="BH4" s="11">
        <f t="shared" si="43"/>
        <v>0</v>
      </c>
      <c r="BI4" s="11">
        <f t="shared" si="44"/>
        <v>0</v>
      </c>
      <c r="BJ4" s="11">
        <f t="shared" si="45"/>
        <v>0</v>
      </c>
      <c r="BK4" s="11">
        <f t="shared" si="46"/>
        <v>0</v>
      </c>
      <c r="BL4" s="11">
        <f t="shared" si="47"/>
        <v>0</v>
      </c>
      <c r="BM4" s="11">
        <f t="shared" si="48"/>
        <v>0</v>
      </c>
      <c r="BN4" s="11">
        <f t="shared" si="49"/>
        <v>0</v>
      </c>
      <c r="BO4" s="11">
        <f t="shared" si="50"/>
        <v>0</v>
      </c>
      <c r="BP4" s="11">
        <f t="shared" si="51"/>
        <v>0</v>
      </c>
      <c r="BQ4" s="11">
        <f t="shared" si="52"/>
        <v>0</v>
      </c>
      <c r="BR4" s="11">
        <f t="shared" si="53"/>
        <v>0</v>
      </c>
      <c r="BS4" s="11">
        <f t="shared" si="54"/>
        <v>0</v>
      </c>
      <c r="BT4" s="11">
        <f t="shared" si="55"/>
        <v>0</v>
      </c>
      <c r="BU4" s="11">
        <f t="shared" si="56"/>
        <v>0</v>
      </c>
      <c r="BV4" s="11">
        <f t="shared" si="57"/>
        <v>0</v>
      </c>
      <c r="BW4" s="11">
        <f t="shared" si="58"/>
        <v>0</v>
      </c>
      <c r="BX4" s="11">
        <f t="shared" si="59"/>
        <v>0</v>
      </c>
      <c r="BY4" s="11">
        <f t="shared" si="60"/>
        <v>0</v>
      </c>
      <c r="BZ4" s="11">
        <f t="shared" si="61"/>
        <v>0</v>
      </c>
      <c r="CA4" s="11">
        <f t="shared" si="62"/>
        <v>0</v>
      </c>
      <c r="CB4" s="11">
        <f t="shared" si="63"/>
        <v>0</v>
      </c>
      <c r="CC4" s="11">
        <f t="shared" si="64"/>
        <v>0</v>
      </c>
      <c r="CD4" s="11">
        <f t="shared" si="65"/>
        <v>0</v>
      </c>
      <c r="CE4" s="11">
        <f t="shared" si="66"/>
        <v>0</v>
      </c>
      <c r="CF4" s="11">
        <f t="shared" si="67"/>
        <v>0</v>
      </c>
      <c r="CG4" s="11">
        <f t="shared" si="68"/>
        <v>0</v>
      </c>
      <c r="CH4" s="11">
        <f t="shared" si="69"/>
        <v>0</v>
      </c>
      <c r="CI4" s="11">
        <f t="shared" si="70"/>
        <v>0</v>
      </c>
      <c r="CJ4" s="11">
        <f t="shared" si="71"/>
        <v>0</v>
      </c>
      <c r="CK4" s="11">
        <f t="shared" si="72"/>
        <v>0</v>
      </c>
      <c r="CL4" s="11">
        <f t="shared" si="73"/>
        <v>1</v>
      </c>
      <c r="CM4" s="11">
        <f t="shared" si="74"/>
        <v>0</v>
      </c>
      <c r="CN4" s="11">
        <f t="shared" si="75"/>
        <v>0</v>
      </c>
      <c r="CO4" s="11">
        <f t="shared" si="76"/>
        <v>0</v>
      </c>
      <c r="CP4" s="11">
        <f t="shared" si="77"/>
        <v>0</v>
      </c>
      <c r="CQ4" s="11">
        <f t="shared" si="78"/>
        <v>0</v>
      </c>
      <c r="CR4" s="11">
        <f t="shared" si="79"/>
        <v>0</v>
      </c>
      <c r="CS4" s="11">
        <f t="shared" si="80"/>
        <v>0</v>
      </c>
      <c r="CT4" s="11">
        <f t="shared" si="81"/>
        <v>0</v>
      </c>
      <c r="CU4" s="11">
        <f t="shared" si="82"/>
        <v>0</v>
      </c>
      <c r="CV4" s="11">
        <f t="shared" si="83"/>
        <v>0</v>
      </c>
      <c r="CW4" s="11">
        <f t="shared" si="84"/>
        <v>0</v>
      </c>
      <c r="CX4" s="11">
        <f t="shared" si="85"/>
        <v>0</v>
      </c>
      <c r="CY4" s="11">
        <f t="shared" si="86"/>
        <v>0</v>
      </c>
      <c r="CZ4" s="11">
        <f t="shared" si="87"/>
        <v>0</v>
      </c>
      <c r="DA4" s="11">
        <f t="shared" si="88"/>
        <v>0</v>
      </c>
      <c r="DB4" s="11">
        <f t="shared" si="89"/>
        <v>0</v>
      </c>
      <c r="DC4" s="11">
        <f t="shared" si="90"/>
        <v>0</v>
      </c>
      <c r="DD4" s="11">
        <f t="shared" si="91"/>
        <v>0</v>
      </c>
      <c r="DE4" s="11">
        <f t="shared" si="92"/>
        <v>0</v>
      </c>
      <c r="DF4" s="11">
        <f t="shared" si="93"/>
        <v>0</v>
      </c>
      <c r="DG4" s="11">
        <f t="shared" si="94"/>
        <v>0</v>
      </c>
      <c r="DH4" s="11">
        <f t="shared" si="95"/>
        <v>0</v>
      </c>
      <c r="DI4" s="11">
        <f t="shared" si="96"/>
        <v>0</v>
      </c>
      <c r="DJ4" s="11">
        <f t="shared" si="97"/>
        <v>0</v>
      </c>
      <c r="DK4" s="11">
        <f t="shared" si="98"/>
        <v>0</v>
      </c>
      <c r="DL4" s="11">
        <f t="shared" si="99"/>
        <v>0</v>
      </c>
      <c r="DM4" s="11">
        <f t="shared" si="100"/>
        <v>0</v>
      </c>
      <c r="DN4" s="11">
        <f t="shared" si="101"/>
        <v>0</v>
      </c>
      <c r="DO4" s="11">
        <f t="shared" si="102"/>
        <v>0</v>
      </c>
      <c r="DP4" s="11">
        <f t="shared" si="103"/>
        <v>0</v>
      </c>
      <c r="DQ4" s="11">
        <f t="shared" si="104"/>
        <v>0</v>
      </c>
      <c r="DR4" s="11">
        <f t="shared" si="105"/>
        <v>0</v>
      </c>
      <c r="DS4" s="11">
        <f t="shared" si="106"/>
        <v>0</v>
      </c>
      <c r="DT4" s="11">
        <f t="shared" si="107"/>
        <v>0</v>
      </c>
      <c r="DU4" s="11">
        <f t="shared" si="108"/>
        <v>0</v>
      </c>
      <c r="DV4" s="11">
        <f t="shared" si="109"/>
        <v>0</v>
      </c>
      <c r="DW4" s="11">
        <f t="shared" si="110"/>
        <v>0</v>
      </c>
      <c r="DX4" s="11">
        <f t="shared" si="111"/>
        <v>0</v>
      </c>
      <c r="DY4" s="11">
        <f t="shared" si="112"/>
        <v>0</v>
      </c>
      <c r="DZ4" s="11">
        <f t="shared" si="113"/>
        <v>0</v>
      </c>
      <c r="EA4" s="11">
        <f t="shared" si="114"/>
        <v>0</v>
      </c>
      <c r="EB4" s="11">
        <f t="shared" si="115"/>
        <v>0</v>
      </c>
      <c r="EC4" s="11">
        <f t="shared" si="116"/>
        <v>0</v>
      </c>
      <c r="ED4" s="11">
        <f t="shared" si="117"/>
        <v>0</v>
      </c>
      <c r="EE4" s="11">
        <f t="shared" si="118"/>
        <v>0</v>
      </c>
    </row>
    <row r="5" spans="1:135" ht="15" customHeight="1" x14ac:dyDescent="0.2">
      <c r="A5" s="5" t="s">
        <v>211</v>
      </c>
      <c r="B5" s="5" t="s">
        <v>213</v>
      </c>
      <c r="C5" s="5" t="s">
        <v>214</v>
      </c>
      <c r="D5" s="5" t="s">
        <v>214</v>
      </c>
      <c r="E5" s="5" t="s">
        <v>214</v>
      </c>
      <c r="F5" s="5" t="s">
        <v>111</v>
      </c>
      <c r="G5" s="5" t="s">
        <v>260</v>
      </c>
      <c r="H5" s="5" t="s">
        <v>115</v>
      </c>
      <c r="I5" s="5" t="s">
        <v>216</v>
      </c>
      <c r="J5" s="5" t="s">
        <v>161</v>
      </c>
      <c r="K5" s="5"/>
      <c r="L5" s="5" t="s">
        <v>119</v>
      </c>
      <c r="M5" s="5" t="s">
        <v>1494</v>
      </c>
      <c r="N5" s="5" t="s">
        <v>119</v>
      </c>
      <c r="O5" s="5" t="s">
        <v>120</v>
      </c>
      <c r="P5" s="5" t="s">
        <v>1534</v>
      </c>
      <c r="Q5" s="10" t="str">
        <f t="shared" si="0"/>
        <v>Stage IV + Other</v>
      </c>
      <c r="R5" s="10" t="str">
        <f t="shared" si="1"/>
        <v>Squamous</v>
      </c>
      <c r="S5" s="10" t="str">
        <f t="shared" si="2"/>
        <v>All-comers</v>
      </c>
      <c r="T5" s="10">
        <f t="shared" si="3"/>
        <v>0</v>
      </c>
      <c r="U5" s="10">
        <f t="shared" si="4"/>
        <v>0</v>
      </c>
      <c r="V5" s="11">
        <f t="shared" si="5"/>
        <v>0</v>
      </c>
      <c r="W5" s="11">
        <f t="shared" si="6"/>
        <v>0</v>
      </c>
      <c r="X5" s="11">
        <f t="shared" si="7"/>
        <v>0</v>
      </c>
      <c r="Y5" s="11">
        <f t="shared" si="8"/>
        <v>0</v>
      </c>
      <c r="Z5" s="11">
        <f t="shared" si="9"/>
        <v>0</v>
      </c>
      <c r="AA5" s="11">
        <f t="shared" si="10"/>
        <v>0</v>
      </c>
      <c r="AB5" s="11">
        <f t="shared" si="11"/>
        <v>0</v>
      </c>
      <c r="AC5" s="11">
        <f t="shared" si="12"/>
        <v>0</v>
      </c>
      <c r="AD5" s="11">
        <f t="shared" si="13"/>
        <v>0</v>
      </c>
      <c r="AE5" s="11">
        <f t="shared" si="14"/>
        <v>0</v>
      </c>
      <c r="AF5" s="11">
        <f t="shared" si="15"/>
        <v>1</v>
      </c>
      <c r="AG5" s="11">
        <f t="shared" si="16"/>
        <v>0</v>
      </c>
      <c r="AH5" s="11">
        <f t="shared" si="17"/>
        <v>0</v>
      </c>
      <c r="AI5" s="11">
        <f t="shared" si="18"/>
        <v>1</v>
      </c>
      <c r="AJ5" s="11">
        <f t="shared" si="19"/>
        <v>0</v>
      </c>
      <c r="AK5" s="11">
        <f t="shared" si="20"/>
        <v>1</v>
      </c>
      <c r="AL5" s="11">
        <f t="shared" si="21"/>
        <v>0</v>
      </c>
      <c r="AM5" s="11">
        <f t="shared" si="22"/>
        <v>0</v>
      </c>
      <c r="AN5" s="11">
        <f t="shared" si="23"/>
        <v>0</v>
      </c>
      <c r="AO5" s="11">
        <f t="shared" si="24"/>
        <v>0</v>
      </c>
      <c r="AP5" s="11">
        <f t="shared" si="25"/>
        <v>0</v>
      </c>
      <c r="AQ5" s="11">
        <f t="shared" si="26"/>
        <v>0</v>
      </c>
      <c r="AR5" s="11">
        <f t="shared" si="27"/>
        <v>1</v>
      </c>
      <c r="AS5" s="11">
        <f t="shared" si="28"/>
        <v>0</v>
      </c>
      <c r="AT5" s="11">
        <f t="shared" si="29"/>
        <v>0</v>
      </c>
      <c r="AU5" s="11">
        <f t="shared" si="30"/>
        <v>1</v>
      </c>
      <c r="AV5" s="11">
        <f t="shared" si="31"/>
        <v>0</v>
      </c>
      <c r="AW5" s="11">
        <f t="shared" si="32"/>
        <v>0</v>
      </c>
      <c r="AX5" s="11">
        <f t="shared" si="33"/>
        <v>0</v>
      </c>
      <c r="AY5" s="11">
        <f t="shared" si="34"/>
        <v>0</v>
      </c>
      <c r="AZ5" s="11">
        <f t="shared" si="35"/>
        <v>0</v>
      </c>
      <c r="BA5" s="11">
        <f t="shared" si="36"/>
        <v>0</v>
      </c>
      <c r="BB5" s="11">
        <f t="shared" si="37"/>
        <v>0</v>
      </c>
      <c r="BC5" s="11">
        <f t="shared" si="38"/>
        <v>0</v>
      </c>
      <c r="BD5" s="11">
        <f t="shared" si="39"/>
        <v>0</v>
      </c>
      <c r="BE5" s="11">
        <f t="shared" si="40"/>
        <v>0</v>
      </c>
      <c r="BF5" s="11">
        <f t="shared" si="41"/>
        <v>0</v>
      </c>
      <c r="BG5" s="11">
        <f t="shared" si="42"/>
        <v>0</v>
      </c>
      <c r="BH5" s="11">
        <f t="shared" si="43"/>
        <v>0</v>
      </c>
      <c r="BI5" s="11">
        <f t="shared" si="44"/>
        <v>0</v>
      </c>
      <c r="BJ5" s="11">
        <f t="shared" si="45"/>
        <v>0</v>
      </c>
      <c r="BK5" s="11">
        <f t="shared" si="46"/>
        <v>0</v>
      </c>
      <c r="BL5" s="11">
        <f t="shared" si="47"/>
        <v>0</v>
      </c>
      <c r="BM5" s="11">
        <f t="shared" si="48"/>
        <v>0</v>
      </c>
      <c r="BN5" s="11">
        <f t="shared" si="49"/>
        <v>0</v>
      </c>
      <c r="BO5" s="11">
        <f t="shared" si="50"/>
        <v>0</v>
      </c>
      <c r="BP5" s="11">
        <f t="shared" si="51"/>
        <v>0</v>
      </c>
      <c r="BQ5" s="11">
        <f t="shared" si="52"/>
        <v>0</v>
      </c>
      <c r="BR5" s="11">
        <f t="shared" si="53"/>
        <v>0</v>
      </c>
      <c r="BS5" s="11">
        <f t="shared" si="54"/>
        <v>0</v>
      </c>
      <c r="BT5" s="11">
        <f t="shared" si="55"/>
        <v>0</v>
      </c>
      <c r="BU5" s="11">
        <f t="shared" si="56"/>
        <v>0</v>
      </c>
      <c r="BV5" s="11">
        <f t="shared" si="57"/>
        <v>0</v>
      </c>
      <c r="BW5" s="11">
        <f t="shared" si="58"/>
        <v>0</v>
      </c>
      <c r="BX5" s="11">
        <f t="shared" si="59"/>
        <v>0</v>
      </c>
      <c r="BY5" s="11">
        <f t="shared" si="60"/>
        <v>0</v>
      </c>
      <c r="BZ5" s="11">
        <f t="shared" si="61"/>
        <v>0</v>
      </c>
      <c r="CA5" s="11">
        <f t="shared" si="62"/>
        <v>0</v>
      </c>
      <c r="CB5" s="11">
        <f t="shared" si="63"/>
        <v>0</v>
      </c>
      <c r="CC5" s="11">
        <f t="shared" si="64"/>
        <v>0</v>
      </c>
      <c r="CD5" s="11">
        <f t="shared" si="65"/>
        <v>0</v>
      </c>
      <c r="CE5" s="11">
        <f t="shared" si="66"/>
        <v>0</v>
      </c>
      <c r="CF5" s="11">
        <f t="shared" si="67"/>
        <v>0</v>
      </c>
      <c r="CG5" s="11">
        <f t="shared" si="68"/>
        <v>0</v>
      </c>
      <c r="CH5" s="11">
        <f t="shared" si="69"/>
        <v>0</v>
      </c>
      <c r="CI5" s="11">
        <f t="shared" si="70"/>
        <v>0</v>
      </c>
      <c r="CJ5" s="11">
        <f t="shared" si="71"/>
        <v>0</v>
      </c>
      <c r="CK5" s="11">
        <f t="shared" si="72"/>
        <v>0</v>
      </c>
      <c r="CL5" s="11">
        <f t="shared" si="73"/>
        <v>0</v>
      </c>
      <c r="CM5" s="11">
        <f t="shared" si="74"/>
        <v>0</v>
      </c>
      <c r="CN5" s="11">
        <f t="shared" si="75"/>
        <v>0</v>
      </c>
      <c r="CO5" s="11">
        <f t="shared" si="76"/>
        <v>0</v>
      </c>
      <c r="CP5" s="11">
        <f t="shared" si="77"/>
        <v>0</v>
      </c>
      <c r="CQ5" s="11">
        <f t="shared" si="78"/>
        <v>0</v>
      </c>
      <c r="CR5" s="11">
        <f t="shared" si="79"/>
        <v>0</v>
      </c>
      <c r="CS5" s="11">
        <f t="shared" si="80"/>
        <v>0</v>
      </c>
      <c r="CT5" s="11">
        <f t="shared" si="81"/>
        <v>0</v>
      </c>
      <c r="CU5" s="11">
        <f t="shared" si="82"/>
        <v>0</v>
      </c>
      <c r="CV5" s="11">
        <f t="shared" si="83"/>
        <v>0</v>
      </c>
      <c r="CW5" s="11">
        <f t="shared" si="84"/>
        <v>0</v>
      </c>
      <c r="CX5" s="11">
        <f t="shared" si="85"/>
        <v>0</v>
      </c>
      <c r="CY5" s="11">
        <f t="shared" si="86"/>
        <v>0</v>
      </c>
      <c r="CZ5" s="11">
        <f t="shared" si="87"/>
        <v>0</v>
      </c>
      <c r="DA5" s="11">
        <f t="shared" si="88"/>
        <v>0</v>
      </c>
      <c r="DB5" s="11">
        <f t="shared" si="89"/>
        <v>0</v>
      </c>
      <c r="DC5" s="11">
        <f t="shared" si="90"/>
        <v>0</v>
      </c>
      <c r="DD5" s="11">
        <f t="shared" si="91"/>
        <v>0</v>
      </c>
      <c r="DE5" s="11">
        <f t="shared" si="92"/>
        <v>0</v>
      </c>
      <c r="DF5" s="11">
        <f t="shared" si="93"/>
        <v>0</v>
      </c>
      <c r="DG5" s="11">
        <f t="shared" si="94"/>
        <v>0</v>
      </c>
      <c r="DH5" s="11">
        <f t="shared" si="95"/>
        <v>0</v>
      </c>
      <c r="DI5" s="11">
        <f t="shared" si="96"/>
        <v>0</v>
      </c>
      <c r="DJ5" s="11">
        <f t="shared" si="97"/>
        <v>0</v>
      </c>
      <c r="DK5" s="11">
        <f t="shared" si="98"/>
        <v>0</v>
      </c>
      <c r="DL5" s="11">
        <f t="shared" si="99"/>
        <v>0</v>
      </c>
      <c r="DM5" s="11">
        <f t="shared" si="100"/>
        <v>0</v>
      </c>
      <c r="DN5" s="11">
        <f t="shared" si="101"/>
        <v>0</v>
      </c>
      <c r="DO5" s="11">
        <f t="shared" si="102"/>
        <v>0</v>
      </c>
      <c r="DP5" s="11">
        <f t="shared" si="103"/>
        <v>0</v>
      </c>
      <c r="DQ5" s="11">
        <f t="shared" si="104"/>
        <v>0</v>
      </c>
      <c r="DR5" s="11">
        <f t="shared" si="105"/>
        <v>0</v>
      </c>
      <c r="DS5" s="11">
        <f t="shared" si="106"/>
        <v>0</v>
      </c>
      <c r="DT5" s="11">
        <f t="shared" si="107"/>
        <v>0</v>
      </c>
      <c r="DU5" s="11">
        <f t="shared" si="108"/>
        <v>0</v>
      </c>
      <c r="DV5" s="11">
        <f t="shared" si="109"/>
        <v>0</v>
      </c>
      <c r="DW5" s="11">
        <f t="shared" si="110"/>
        <v>0</v>
      </c>
      <c r="DX5" s="11">
        <f t="shared" si="111"/>
        <v>0</v>
      </c>
      <c r="DY5" s="11">
        <f t="shared" si="112"/>
        <v>0</v>
      </c>
      <c r="DZ5" s="11">
        <f t="shared" si="113"/>
        <v>0</v>
      </c>
      <c r="EA5" s="11">
        <f t="shared" si="114"/>
        <v>0</v>
      </c>
      <c r="EB5" s="11">
        <f t="shared" si="115"/>
        <v>0</v>
      </c>
      <c r="EC5" s="11">
        <f t="shared" si="116"/>
        <v>0</v>
      </c>
      <c r="ED5" s="11">
        <f t="shared" si="117"/>
        <v>0</v>
      </c>
      <c r="EE5" s="11">
        <f t="shared" si="118"/>
        <v>0</v>
      </c>
    </row>
    <row r="6" spans="1:135" ht="15" customHeight="1" x14ac:dyDescent="0.2">
      <c r="A6" s="3" t="s">
        <v>278</v>
      </c>
      <c r="B6" s="3" t="s">
        <v>279</v>
      </c>
      <c r="C6" s="3" t="s">
        <v>281</v>
      </c>
      <c r="D6" s="3" t="s">
        <v>280</v>
      </c>
      <c r="E6" s="3" t="s">
        <v>282</v>
      </c>
      <c r="F6" s="3" t="s">
        <v>111</v>
      </c>
      <c r="G6" s="3"/>
      <c r="H6" s="3" t="s">
        <v>115</v>
      </c>
      <c r="I6" s="3" t="s">
        <v>287</v>
      </c>
      <c r="J6" s="3" t="s">
        <v>286</v>
      </c>
      <c r="K6" s="3" t="s">
        <v>474</v>
      </c>
      <c r="L6" s="3" t="s">
        <v>119</v>
      </c>
      <c r="M6" s="3" t="s">
        <v>1494</v>
      </c>
      <c r="N6" s="3" t="s">
        <v>120</v>
      </c>
      <c r="O6" s="3" t="s">
        <v>120</v>
      </c>
      <c r="P6" s="3" t="s">
        <v>1549</v>
      </c>
      <c r="Q6" s="10" t="str">
        <f t="shared" si="0"/>
        <v>Stage IV + Other</v>
      </c>
      <c r="R6" s="10" t="str">
        <f t="shared" si="1"/>
        <v>Unspecified</v>
      </c>
      <c r="S6" s="10" t="str">
        <f t="shared" si="2"/>
        <v>TPS 1-49%</v>
      </c>
      <c r="T6" s="10">
        <f t="shared" si="3"/>
        <v>0</v>
      </c>
      <c r="U6" s="10">
        <f t="shared" si="4"/>
        <v>0</v>
      </c>
      <c r="V6" s="11">
        <f t="shared" si="5"/>
        <v>0</v>
      </c>
      <c r="W6" s="11">
        <f t="shared" si="6"/>
        <v>0</v>
      </c>
      <c r="X6" s="11">
        <f t="shared" si="7"/>
        <v>0</v>
      </c>
      <c r="Y6" s="11">
        <f t="shared" si="8"/>
        <v>0</v>
      </c>
      <c r="Z6" s="11">
        <f t="shared" si="9"/>
        <v>0</v>
      </c>
      <c r="AA6" s="11">
        <f t="shared" si="10"/>
        <v>0</v>
      </c>
      <c r="AB6" s="11">
        <f t="shared" si="11"/>
        <v>1</v>
      </c>
      <c r="AC6" s="11">
        <f t="shared" si="12"/>
        <v>0</v>
      </c>
      <c r="AD6" s="11">
        <f t="shared" si="13"/>
        <v>0</v>
      </c>
      <c r="AE6" s="11">
        <f t="shared" si="14"/>
        <v>0</v>
      </c>
      <c r="AF6" s="11">
        <f t="shared" si="15"/>
        <v>0</v>
      </c>
      <c r="AG6" s="11">
        <f t="shared" si="16"/>
        <v>0</v>
      </c>
      <c r="AH6" s="11">
        <f t="shared" si="17"/>
        <v>0</v>
      </c>
      <c r="AI6" s="11">
        <f t="shared" si="18"/>
        <v>0</v>
      </c>
      <c r="AJ6" s="11">
        <f t="shared" si="19"/>
        <v>0</v>
      </c>
      <c r="AK6" s="11">
        <f t="shared" si="20"/>
        <v>0</v>
      </c>
      <c r="AL6" s="11">
        <f t="shared" si="21"/>
        <v>0</v>
      </c>
      <c r="AM6" s="11">
        <f t="shared" si="22"/>
        <v>0</v>
      </c>
      <c r="AN6" s="11">
        <f t="shared" si="23"/>
        <v>0</v>
      </c>
      <c r="AO6" s="11">
        <f t="shared" si="24"/>
        <v>0</v>
      </c>
      <c r="AP6" s="11">
        <f t="shared" si="25"/>
        <v>0</v>
      </c>
      <c r="AQ6" s="11">
        <f t="shared" si="26"/>
        <v>0</v>
      </c>
      <c r="AR6" s="11">
        <f t="shared" si="27"/>
        <v>0</v>
      </c>
      <c r="AS6" s="11">
        <f t="shared" si="28"/>
        <v>0</v>
      </c>
      <c r="AT6" s="11">
        <f t="shared" si="29"/>
        <v>0</v>
      </c>
      <c r="AU6" s="11">
        <f t="shared" si="30"/>
        <v>0</v>
      </c>
      <c r="AV6" s="11">
        <f t="shared" si="31"/>
        <v>0</v>
      </c>
      <c r="AW6" s="11">
        <f t="shared" si="32"/>
        <v>0</v>
      </c>
      <c r="AX6" s="11">
        <f t="shared" si="33"/>
        <v>0</v>
      </c>
      <c r="AY6" s="11">
        <f t="shared" si="34"/>
        <v>0</v>
      </c>
      <c r="AZ6" s="11">
        <f t="shared" si="35"/>
        <v>0</v>
      </c>
      <c r="BA6" s="11">
        <f t="shared" si="36"/>
        <v>0</v>
      </c>
      <c r="BB6" s="11">
        <f t="shared" si="37"/>
        <v>0</v>
      </c>
      <c r="BC6" s="11">
        <f t="shared" si="38"/>
        <v>0</v>
      </c>
      <c r="BD6" s="11">
        <f t="shared" si="39"/>
        <v>0</v>
      </c>
      <c r="BE6" s="11">
        <f t="shared" si="40"/>
        <v>0</v>
      </c>
      <c r="BF6" s="11">
        <f t="shared" si="41"/>
        <v>0</v>
      </c>
      <c r="BG6" s="11">
        <f t="shared" si="42"/>
        <v>0</v>
      </c>
      <c r="BH6" s="11">
        <f t="shared" si="43"/>
        <v>0</v>
      </c>
      <c r="BI6" s="11">
        <f t="shared" si="44"/>
        <v>0</v>
      </c>
      <c r="BJ6" s="11">
        <f t="shared" si="45"/>
        <v>0</v>
      </c>
      <c r="BK6" s="11">
        <f t="shared" si="46"/>
        <v>0</v>
      </c>
      <c r="BL6" s="11">
        <f t="shared" si="47"/>
        <v>0</v>
      </c>
      <c r="BM6" s="11">
        <f t="shared" si="48"/>
        <v>0</v>
      </c>
      <c r="BN6" s="11">
        <f t="shared" si="49"/>
        <v>0</v>
      </c>
      <c r="BO6" s="11">
        <f t="shared" si="50"/>
        <v>0</v>
      </c>
      <c r="BP6" s="11">
        <f t="shared" si="51"/>
        <v>0</v>
      </c>
      <c r="BQ6" s="11">
        <f t="shared" si="52"/>
        <v>0</v>
      </c>
      <c r="BR6" s="11">
        <f t="shared" si="53"/>
        <v>1</v>
      </c>
      <c r="BS6" s="11">
        <f t="shared" si="54"/>
        <v>0</v>
      </c>
      <c r="BT6" s="11">
        <f t="shared" si="55"/>
        <v>0</v>
      </c>
      <c r="BU6" s="11">
        <f t="shared" si="56"/>
        <v>0</v>
      </c>
      <c r="BV6" s="11">
        <f t="shared" si="57"/>
        <v>0</v>
      </c>
      <c r="BW6" s="11">
        <f t="shared" si="58"/>
        <v>0</v>
      </c>
      <c r="BX6" s="11">
        <f t="shared" si="59"/>
        <v>0</v>
      </c>
      <c r="BY6" s="11">
        <f t="shared" si="60"/>
        <v>0</v>
      </c>
      <c r="BZ6" s="11">
        <f t="shared" si="61"/>
        <v>0</v>
      </c>
      <c r="CA6" s="11">
        <f t="shared" si="62"/>
        <v>0</v>
      </c>
      <c r="CB6" s="11">
        <f t="shared" si="63"/>
        <v>0</v>
      </c>
      <c r="CC6" s="11">
        <f t="shared" si="64"/>
        <v>0</v>
      </c>
      <c r="CD6" s="11">
        <f t="shared" si="65"/>
        <v>0</v>
      </c>
      <c r="CE6" s="11">
        <f t="shared" si="66"/>
        <v>0</v>
      </c>
      <c r="CF6" s="11">
        <f t="shared" si="67"/>
        <v>0</v>
      </c>
      <c r="CG6" s="11">
        <f t="shared" si="68"/>
        <v>0</v>
      </c>
      <c r="CH6" s="11">
        <f t="shared" si="69"/>
        <v>0</v>
      </c>
      <c r="CI6" s="11">
        <f t="shared" si="70"/>
        <v>0</v>
      </c>
      <c r="CJ6" s="11">
        <f t="shared" si="71"/>
        <v>0</v>
      </c>
      <c r="CK6" s="11">
        <f t="shared" si="72"/>
        <v>0</v>
      </c>
      <c r="CL6" s="11">
        <f t="shared" si="73"/>
        <v>0</v>
      </c>
      <c r="CM6" s="11">
        <f t="shared" si="74"/>
        <v>0</v>
      </c>
      <c r="CN6" s="11">
        <f t="shared" si="75"/>
        <v>0</v>
      </c>
      <c r="CO6" s="11">
        <f t="shared" si="76"/>
        <v>0</v>
      </c>
      <c r="CP6" s="11">
        <f t="shared" si="77"/>
        <v>0</v>
      </c>
      <c r="CQ6" s="11">
        <f t="shared" si="78"/>
        <v>0</v>
      </c>
      <c r="CR6" s="11">
        <f t="shared" si="79"/>
        <v>0</v>
      </c>
      <c r="CS6" s="11">
        <f t="shared" si="80"/>
        <v>0</v>
      </c>
      <c r="CT6" s="11">
        <f t="shared" si="81"/>
        <v>0</v>
      </c>
      <c r="CU6" s="11">
        <f t="shared" si="82"/>
        <v>0</v>
      </c>
      <c r="CV6" s="11">
        <f t="shared" si="83"/>
        <v>0</v>
      </c>
      <c r="CW6" s="11">
        <f t="shared" si="84"/>
        <v>0</v>
      </c>
      <c r="CX6" s="11">
        <f t="shared" si="85"/>
        <v>0</v>
      </c>
      <c r="CY6" s="11">
        <f t="shared" si="86"/>
        <v>0</v>
      </c>
      <c r="CZ6" s="11">
        <f t="shared" si="87"/>
        <v>0</v>
      </c>
      <c r="DA6" s="11">
        <f t="shared" si="88"/>
        <v>0</v>
      </c>
      <c r="DB6" s="11">
        <f t="shared" si="89"/>
        <v>0</v>
      </c>
      <c r="DC6" s="11">
        <f t="shared" si="90"/>
        <v>0</v>
      </c>
      <c r="DD6" s="11">
        <f t="shared" si="91"/>
        <v>0</v>
      </c>
      <c r="DE6" s="11">
        <f t="shared" si="92"/>
        <v>0</v>
      </c>
      <c r="DF6" s="11">
        <f t="shared" si="93"/>
        <v>0</v>
      </c>
      <c r="DG6" s="11">
        <f t="shared" si="94"/>
        <v>0</v>
      </c>
      <c r="DH6" s="11">
        <f t="shared" si="95"/>
        <v>0</v>
      </c>
      <c r="DI6" s="11">
        <f t="shared" si="96"/>
        <v>0</v>
      </c>
      <c r="DJ6" s="11">
        <f t="shared" si="97"/>
        <v>0</v>
      </c>
      <c r="DK6" s="11">
        <f t="shared" si="98"/>
        <v>0</v>
      </c>
      <c r="DL6" s="11">
        <f t="shared" si="99"/>
        <v>0</v>
      </c>
      <c r="DM6" s="11">
        <f t="shared" si="100"/>
        <v>0</v>
      </c>
      <c r="DN6" s="11">
        <f t="shared" si="101"/>
        <v>0</v>
      </c>
      <c r="DO6" s="11">
        <f t="shared" si="102"/>
        <v>0</v>
      </c>
      <c r="DP6" s="11">
        <f t="shared" si="103"/>
        <v>0</v>
      </c>
      <c r="DQ6" s="11">
        <f t="shared" si="104"/>
        <v>0</v>
      </c>
      <c r="DR6" s="11">
        <f t="shared" si="105"/>
        <v>0</v>
      </c>
      <c r="DS6" s="11">
        <f t="shared" si="106"/>
        <v>0</v>
      </c>
      <c r="DT6" s="11">
        <f t="shared" si="107"/>
        <v>0</v>
      </c>
      <c r="DU6" s="11">
        <f t="shared" si="108"/>
        <v>0</v>
      </c>
      <c r="DV6" s="11">
        <f t="shared" si="109"/>
        <v>0</v>
      </c>
      <c r="DW6" s="11">
        <f t="shared" si="110"/>
        <v>1</v>
      </c>
      <c r="DX6" s="11">
        <f t="shared" si="111"/>
        <v>0</v>
      </c>
      <c r="DY6" s="11">
        <f t="shared" si="112"/>
        <v>0</v>
      </c>
      <c r="DZ6" s="11">
        <f t="shared" si="113"/>
        <v>0</v>
      </c>
      <c r="EA6" s="11">
        <f t="shared" si="114"/>
        <v>0</v>
      </c>
      <c r="EB6" s="11">
        <f t="shared" si="115"/>
        <v>0</v>
      </c>
      <c r="EC6" s="11">
        <f t="shared" si="116"/>
        <v>0</v>
      </c>
      <c r="ED6" s="11">
        <f t="shared" si="117"/>
        <v>0</v>
      </c>
      <c r="EE6" s="11">
        <f t="shared" si="118"/>
        <v>0</v>
      </c>
    </row>
    <row r="7" spans="1:135" ht="15" customHeight="1" x14ac:dyDescent="0.2">
      <c r="A7" s="5" t="s">
        <v>445</v>
      </c>
      <c r="B7" s="5" t="s">
        <v>446</v>
      </c>
      <c r="C7" s="5" t="s">
        <v>108</v>
      </c>
      <c r="D7" s="5" t="s">
        <v>107</v>
      </c>
      <c r="E7" s="5" t="s">
        <v>332</v>
      </c>
      <c r="F7" s="5" t="s">
        <v>111</v>
      </c>
      <c r="G7" s="5" t="s">
        <v>181</v>
      </c>
      <c r="H7" s="5" t="s">
        <v>115</v>
      </c>
      <c r="I7" s="5" t="s">
        <v>355</v>
      </c>
      <c r="J7" s="5" t="s">
        <v>354</v>
      </c>
      <c r="K7" s="5"/>
      <c r="L7" s="5" t="s">
        <v>119</v>
      </c>
      <c r="M7" s="5" t="s">
        <v>1494</v>
      </c>
      <c r="N7" s="5" t="s">
        <v>120</v>
      </c>
      <c r="O7" s="5" t="s">
        <v>120</v>
      </c>
      <c r="P7" s="5" t="s">
        <v>1563</v>
      </c>
      <c r="Q7" s="10" t="str">
        <f t="shared" si="0"/>
        <v>Stage IV + Other</v>
      </c>
      <c r="R7" s="10" t="str">
        <f t="shared" si="1"/>
        <v>Non-squamous</v>
      </c>
      <c r="S7" s="10" t="str">
        <f t="shared" si="2"/>
        <v>All-comers</v>
      </c>
      <c r="T7" s="10">
        <f t="shared" si="3"/>
        <v>0</v>
      </c>
      <c r="U7" s="10">
        <f t="shared" si="4"/>
        <v>0</v>
      </c>
      <c r="V7" s="11">
        <f t="shared" si="5"/>
        <v>0</v>
      </c>
      <c r="W7" s="11">
        <f t="shared" si="6"/>
        <v>0</v>
      </c>
      <c r="X7" s="11">
        <f t="shared" si="7"/>
        <v>0</v>
      </c>
      <c r="Y7" s="11">
        <f t="shared" si="8"/>
        <v>1</v>
      </c>
      <c r="Z7" s="11">
        <f t="shared" si="9"/>
        <v>0</v>
      </c>
      <c r="AA7" s="11">
        <f t="shared" si="10"/>
        <v>1</v>
      </c>
      <c r="AB7" s="11">
        <f t="shared" si="11"/>
        <v>0</v>
      </c>
      <c r="AC7" s="11">
        <f t="shared" si="12"/>
        <v>0</v>
      </c>
      <c r="AD7" s="11">
        <f t="shared" si="13"/>
        <v>0</v>
      </c>
      <c r="AE7" s="11">
        <f t="shared" si="14"/>
        <v>0</v>
      </c>
      <c r="AF7" s="11">
        <f t="shared" si="15"/>
        <v>0</v>
      </c>
      <c r="AG7" s="11">
        <f t="shared" si="16"/>
        <v>0</v>
      </c>
      <c r="AH7" s="11">
        <f t="shared" si="17"/>
        <v>0</v>
      </c>
      <c r="AI7" s="11">
        <f t="shared" si="18"/>
        <v>0</v>
      </c>
      <c r="AJ7" s="11">
        <f t="shared" si="19"/>
        <v>0</v>
      </c>
      <c r="AK7" s="11">
        <f t="shared" si="20"/>
        <v>0</v>
      </c>
      <c r="AL7" s="11">
        <f t="shared" si="21"/>
        <v>0</v>
      </c>
      <c r="AM7" s="11">
        <f t="shared" si="22"/>
        <v>0</v>
      </c>
      <c r="AN7" s="11">
        <f t="shared" si="23"/>
        <v>0</v>
      </c>
      <c r="AO7" s="11">
        <f t="shared" si="24"/>
        <v>0</v>
      </c>
      <c r="AP7" s="11">
        <f t="shared" si="25"/>
        <v>0</v>
      </c>
      <c r="AQ7" s="11">
        <f t="shared" si="26"/>
        <v>0</v>
      </c>
      <c r="AR7" s="11">
        <f t="shared" si="27"/>
        <v>0</v>
      </c>
      <c r="AS7" s="11">
        <f t="shared" si="28"/>
        <v>0</v>
      </c>
      <c r="AT7" s="11">
        <f t="shared" si="29"/>
        <v>0</v>
      </c>
      <c r="AU7" s="11">
        <f t="shared" si="30"/>
        <v>0</v>
      </c>
      <c r="AV7" s="11">
        <f t="shared" si="31"/>
        <v>0</v>
      </c>
      <c r="AW7" s="11">
        <f t="shared" si="32"/>
        <v>0</v>
      </c>
      <c r="AX7" s="11">
        <f t="shared" si="33"/>
        <v>0</v>
      </c>
      <c r="AY7" s="11">
        <f t="shared" si="34"/>
        <v>0</v>
      </c>
      <c r="AZ7" s="11">
        <f t="shared" si="35"/>
        <v>0</v>
      </c>
      <c r="BA7" s="11">
        <f t="shared" si="36"/>
        <v>0</v>
      </c>
      <c r="BB7" s="11">
        <f t="shared" si="37"/>
        <v>0</v>
      </c>
      <c r="BC7" s="11">
        <f t="shared" si="38"/>
        <v>0</v>
      </c>
      <c r="BD7" s="11">
        <f t="shared" si="39"/>
        <v>0</v>
      </c>
      <c r="BE7" s="11">
        <f t="shared" si="40"/>
        <v>0</v>
      </c>
      <c r="BF7" s="11">
        <f t="shared" si="41"/>
        <v>0</v>
      </c>
      <c r="BG7" s="11">
        <f t="shared" si="42"/>
        <v>0</v>
      </c>
      <c r="BH7" s="11">
        <f t="shared" si="43"/>
        <v>0</v>
      </c>
      <c r="BI7" s="11">
        <f t="shared" si="44"/>
        <v>0</v>
      </c>
      <c r="BJ7" s="11">
        <f t="shared" si="45"/>
        <v>0</v>
      </c>
      <c r="BK7" s="11">
        <f t="shared" si="46"/>
        <v>0</v>
      </c>
      <c r="BL7" s="11">
        <f t="shared" si="47"/>
        <v>0</v>
      </c>
      <c r="BM7" s="11">
        <f t="shared" si="48"/>
        <v>0</v>
      </c>
      <c r="BN7" s="11">
        <f t="shared" si="49"/>
        <v>0</v>
      </c>
      <c r="BO7" s="11">
        <f t="shared" si="50"/>
        <v>0</v>
      </c>
      <c r="BP7" s="11">
        <f t="shared" si="51"/>
        <v>0</v>
      </c>
      <c r="BQ7" s="11">
        <f t="shared" si="52"/>
        <v>0</v>
      </c>
      <c r="BR7" s="11">
        <f t="shared" si="53"/>
        <v>0</v>
      </c>
      <c r="BS7" s="11">
        <f t="shared" si="54"/>
        <v>1</v>
      </c>
      <c r="BT7" s="11">
        <f t="shared" si="55"/>
        <v>0</v>
      </c>
      <c r="BU7" s="11">
        <f t="shared" si="56"/>
        <v>0</v>
      </c>
      <c r="BV7" s="11">
        <f t="shared" si="57"/>
        <v>0</v>
      </c>
      <c r="BW7" s="11">
        <f t="shared" si="58"/>
        <v>0</v>
      </c>
      <c r="BX7" s="11">
        <f t="shared" si="59"/>
        <v>0</v>
      </c>
      <c r="BY7" s="11">
        <f t="shared" si="60"/>
        <v>0</v>
      </c>
      <c r="BZ7" s="11">
        <f t="shared" si="61"/>
        <v>0</v>
      </c>
      <c r="CA7" s="11">
        <f t="shared" si="62"/>
        <v>0</v>
      </c>
      <c r="CB7" s="11">
        <f t="shared" si="63"/>
        <v>0</v>
      </c>
      <c r="CC7" s="11">
        <f t="shared" si="64"/>
        <v>0</v>
      </c>
      <c r="CD7" s="11">
        <f t="shared" si="65"/>
        <v>0</v>
      </c>
      <c r="CE7" s="11">
        <f t="shared" si="66"/>
        <v>0</v>
      </c>
      <c r="CF7" s="11">
        <f t="shared" si="67"/>
        <v>0</v>
      </c>
      <c r="CG7" s="11">
        <f t="shared" si="68"/>
        <v>0</v>
      </c>
      <c r="CH7" s="11">
        <f t="shared" si="69"/>
        <v>0</v>
      </c>
      <c r="CI7" s="11">
        <f t="shared" si="70"/>
        <v>0</v>
      </c>
      <c r="CJ7" s="11">
        <f t="shared" si="71"/>
        <v>0</v>
      </c>
      <c r="CK7" s="11">
        <f t="shared" si="72"/>
        <v>0</v>
      </c>
      <c r="CL7" s="11">
        <f t="shared" si="73"/>
        <v>0</v>
      </c>
      <c r="CM7" s="11">
        <f t="shared" si="74"/>
        <v>0</v>
      </c>
      <c r="CN7" s="11">
        <f t="shared" si="75"/>
        <v>0</v>
      </c>
      <c r="CO7" s="11">
        <f t="shared" si="76"/>
        <v>0</v>
      </c>
      <c r="CP7" s="11">
        <f t="shared" si="77"/>
        <v>0</v>
      </c>
      <c r="CQ7" s="11">
        <f t="shared" si="78"/>
        <v>0</v>
      </c>
      <c r="CR7" s="11">
        <f t="shared" si="79"/>
        <v>0</v>
      </c>
      <c r="CS7" s="11">
        <f t="shared" si="80"/>
        <v>0</v>
      </c>
      <c r="CT7" s="11">
        <f t="shared" si="81"/>
        <v>0</v>
      </c>
      <c r="CU7" s="11">
        <f t="shared" si="82"/>
        <v>0</v>
      </c>
      <c r="CV7" s="11">
        <f t="shared" si="83"/>
        <v>0</v>
      </c>
      <c r="CW7" s="11">
        <f t="shared" si="84"/>
        <v>0</v>
      </c>
      <c r="CX7" s="11">
        <f t="shared" si="85"/>
        <v>0</v>
      </c>
      <c r="CY7" s="11">
        <f t="shared" si="86"/>
        <v>0</v>
      </c>
      <c r="CZ7" s="11">
        <f t="shared" si="87"/>
        <v>0</v>
      </c>
      <c r="DA7" s="11">
        <f t="shared" si="88"/>
        <v>0</v>
      </c>
      <c r="DB7" s="11">
        <f t="shared" si="89"/>
        <v>0</v>
      </c>
      <c r="DC7" s="11">
        <f t="shared" si="90"/>
        <v>0</v>
      </c>
      <c r="DD7" s="11">
        <f t="shared" si="91"/>
        <v>0</v>
      </c>
      <c r="DE7" s="11">
        <f t="shared" si="92"/>
        <v>0</v>
      </c>
      <c r="DF7" s="11">
        <f t="shared" si="93"/>
        <v>0</v>
      </c>
      <c r="DG7" s="11">
        <f t="shared" si="94"/>
        <v>0</v>
      </c>
      <c r="DH7" s="11">
        <f t="shared" si="95"/>
        <v>0</v>
      </c>
      <c r="DI7" s="11">
        <f t="shared" si="96"/>
        <v>0</v>
      </c>
      <c r="DJ7" s="11">
        <f t="shared" si="97"/>
        <v>0</v>
      </c>
      <c r="DK7" s="11">
        <f t="shared" si="98"/>
        <v>0</v>
      </c>
      <c r="DL7" s="11">
        <f t="shared" si="99"/>
        <v>0</v>
      </c>
      <c r="DM7" s="11">
        <f t="shared" si="100"/>
        <v>0</v>
      </c>
      <c r="DN7" s="11">
        <f t="shared" si="101"/>
        <v>0</v>
      </c>
      <c r="DO7" s="11">
        <f t="shared" si="102"/>
        <v>0</v>
      </c>
      <c r="DP7" s="11">
        <f t="shared" si="103"/>
        <v>0</v>
      </c>
      <c r="DQ7" s="11">
        <f t="shared" si="104"/>
        <v>0</v>
      </c>
      <c r="DR7" s="11">
        <f t="shared" si="105"/>
        <v>0</v>
      </c>
      <c r="DS7" s="11">
        <f t="shared" si="106"/>
        <v>0</v>
      </c>
      <c r="DT7" s="11">
        <f t="shared" si="107"/>
        <v>0</v>
      </c>
      <c r="DU7" s="11">
        <f t="shared" si="108"/>
        <v>0</v>
      </c>
      <c r="DV7" s="11">
        <f t="shared" si="109"/>
        <v>0</v>
      </c>
      <c r="DW7" s="11">
        <f t="shared" si="110"/>
        <v>0</v>
      </c>
      <c r="DX7" s="11">
        <f t="shared" si="111"/>
        <v>0</v>
      </c>
      <c r="DY7" s="11">
        <f t="shared" si="112"/>
        <v>0</v>
      </c>
      <c r="DZ7" s="11">
        <f t="shared" si="113"/>
        <v>0</v>
      </c>
      <c r="EA7" s="11">
        <f t="shared" si="114"/>
        <v>0</v>
      </c>
      <c r="EB7" s="11">
        <f t="shared" si="115"/>
        <v>0</v>
      </c>
      <c r="EC7" s="11">
        <f t="shared" si="116"/>
        <v>0</v>
      </c>
      <c r="ED7" s="11">
        <f t="shared" si="117"/>
        <v>0</v>
      </c>
      <c r="EE7" s="11">
        <f t="shared" si="118"/>
        <v>0</v>
      </c>
    </row>
    <row r="8" spans="1:135" ht="15" customHeight="1" x14ac:dyDescent="0.2">
      <c r="A8" s="3" t="s">
        <v>368</v>
      </c>
      <c r="B8" s="3" t="s">
        <v>369</v>
      </c>
      <c r="C8" s="3" t="s">
        <v>350</v>
      </c>
      <c r="D8" s="3" t="s">
        <v>350</v>
      </c>
      <c r="E8" s="3" t="s">
        <v>350</v>
      </c>
      <c r="F8" s="3" t="s">
        <v>259</v>
      </c>
      <c r="G8" s="3" t="s">
        <v>181</v>
      </c>
      <c r="H8" s="3" t="s">
        <v>115</v>
      </c>
      <c r="I8" s="3" t="s">
        <v>180</v>
      </c>
      <c r="J8" s="3" t="s">
        <v>372</v>
      </c>
      <c r="K8" s="3" t="s">
        <v>1586</v>
      </c>
      <c r="L8" s="3" t="s">
        <v>119</v>
      </c>
      <c r="M8" s="3" t="s">
        <v>1494</v>
      </c>
      <c r="N8" s="3" t="s">
        <v>119</v>
      </c>
      <c r="O8" s="3" t="s">
        <v>120</v>
      </c>
      <c r="P8" s="3" t="s">
        <v>1575</v>
      </c>
      <c r="Q8" s="10" t="str">
        <f t="shared" si="0"/>
        <v>Stage IV Only</v>
      </c>
      <c r="R8" s="10" t="str">
        <f t="shared" si="1"/>
        <v>Non-squamous</v>
      </c>
      <c r="S8" s="10" t="str">
        <f t="shared" si="2"/>
        <v>All-comers</v>
      </c>
      <c r="T8" s="10">
        <f t="shared" si="3"/>
        <v>0</v>
      </c>
      <c r="U8" s="10">
        <f t="shared" si="4"/>
        <v>0</v>
      </c>
      <c r="V8" s="11">
        <f t="shared" si="5"/>
        <v>0</v>
      </c>
      <c r="W8" s="11">
        <f t="shared" si="6"/>
        <v>0</v>
      </c>
      <c r="X8" s="11">
        <f t="shared" si="7"/>
        <v>0</v>
      </c>
      <c r="Y8" s="11">
        <f t="shared" si="8"/>
        <v>0</v>
      </c>
      <c r="Z8" s="11">
        <f t="shared" si="9"/>
        <v>0</v>
      </c>
      <c r="AA8" s="11">
        <f t="shared" si="10"/>
        <v>0</v>
      </c>
      <c r="AB8" s="11">
        <f t="shared" si="11"/>
        <v>0</v>
      </c>
      <c r="AC8" s="11">
        <f t="shared" si="12"/>
        <v>0</v>
      </c>
      <c r="AD8" s="11">
        <f t="shared" si="13"/>
        <v>0</v>
      </c>
      <c r="AE8" s="11">
        <f t="shared" si="14"/>
        <v>0</v>
      </c>
      <c r="AF8" s="11">
        <f t="shared" si="15"/>
        <v>0</v>
      </c>
      <c r="AG8" s="11">
        <f t="shared" si="16"/>
        <v>0</v>
      </c>
      <c r="AH8" s="11">
        <f t="shared" si="17"/>
        <v>0</v>
      </c>
      <c r="AI8" s="11">
        <f t="shared" si="18"/>
        <v>0</v>
      </c>
      <c r="AJ8" s="11">
        <f t="shared" si="19"/>
        <v>0</v>
      </c>
      <c r="AK8" s="11">
        <f t="shared" si="20"/>
        <v>0</v>
      </c>
      <c r="AL8" s="11">
        <f t="shared" si="21"/>
        <v>1</v>
      </c>
      <c r="AM8" s="11">
        <f t="shared" si="22"/>
        <v>0</v>
      </c>
      <c r="AN8" s="11">
        <f t="shared" si="23"/>
        <v>0</v>
      </c>
      <c r="AO8" s="11">
        <f t="shared" si="24"/>
        <v>0</v>
      </c>
      <c r="AP8" s="11">
        <f t="shared" si="25"/>
        <v>0</v>
      </c>
      <c r="AQ8" s="11">
        <f t="shared" si="26"/>
        <v>0</v>
      </c>
      <c r="AR8" s="11">
        <f t="shared" si="27"/>
        <v>0</v>
      </c>
      <c r="AS8" s="11">
        <f t="shared" si="28"/>
        <v>0</v>
      </c>
      <c r="AT8" s="11">
        <f t="shared" si="29"/>
        <v>0</v>
      </c>
      <c r="AU8" s="11">
        <f t="shared" si="30"/>
        <v>0</v>
      </c>
      <c r="AV8" s="11">
        <f t="shared" si="31"/>
        <v>0</v>
      </c>
      <c r="AW8" s="11">
        <f t="shared" si="32"/>
        <v>0</v>
      </c>
      <c r="AX8" s="11">
        <f t="shared" si="33"/>
        <v>0</v>
      </c>
      <c r="AY8" s="11">
        <f t="shared" si="34"/>
        <v>0</v>
      </c>
      <c r="AZ8" s="11">
        <f t="shared" si="35"/>
        <v>0</v>
      </c>
      <c r="BA8" s="11">
        <f t="shared" si="36"/>
        <v>0</v>
      </c>
      <c r="BB8" s="11">
        <f t="shared" si="37"/>
        <v>0</v>
      </c>
      <c r="BC8" s="11">
        <f t="shared" si="38"/>
        <v>0</v>
      </c>
      <c r="BD8" s="11">
        <f t="shared" si="39"/>
        <v>0</v>
      </c>
      <c r="BE8" s="11">
        <f t="shared" si="40"/>
        <v>0</v>
      </c>
      <c r="BF8" s="11">
        <f t="shared" si="41"/>
        <v>0</v>
      </c>
      <c r="BG8" s="11">
        <f t="shared" si="42"/>
        <v>0</v>
      </c>
      <c r="BH8" s="11">
        <f t="shared" si="43"/>
        <v>0</v>
      </c>
      <c r="BI8" s="11">
        <f t="shared" si="44"/>
        <v>0</v>
      </c>
      <c r="BJ8" s="11">
        <f t="shared" si="45"/>
        <v>0</v>
      </c>
      <c r="BK8" s="11">
        <f t="shared" si="46"/>
        <v>0</v>
      </c>
      <c r="BL8" s="11">
        <f t="shared" si="47"/>
        <v>0</v>
      </c>
      <c r="BM8" s="11">
        <f t="shared" si="48"/>
        <v>0</v>
      </c>
      <c r="BN8" s="11">
        <f t="shared" si="49"/>
        <v>0</v>
      </c>
      <c r="BO8" s="11">
        <f t="shared" si="50"/>
        <v>0</v>
      </c>
      <c r="BP8" s="11">
        <f t="shared" si="51"/>
        <v>0</v>
      </c>
      <c r="BQ8" s="11">
        <f t="shared" si="52"/>
        <v>0</v>
      </c>
      <c r="BR8" s="11">
        <f t="shared" si="53"/>
        <v>0</v>
      </c>
      <c r="BS8" s="11">
        <f t="shared" si="54"/>
        <v>0</v>
      </c>
      <c r="BT8" s="11">
        <f t="shared" si="55"/>
        <v>0</v>
      </c>
      <c r="BU8" s="11">
        <f t="shared" si="56"/>
        <v>0</v>
      </c>
      <c r="BV8" s="11">
        <f t="shared" si="57"/>
        <v>0</v>
      </c>
      <c r="BW8" s="11">
        <f t="shared" si="58"/>
        <v>0</v>
      </c>
      <c r="BX8" s="11">
        <f t="shared" si="59"/>
        <v>0</v>
      </c>
      <c r="BY8" s="11">
        <f t="shared" si="60"/>
        <v>0</v>
      </c>
      <c r="BZ8" s="11">
        <f t="shared" si="61"/>
        <v>0</v>
      </c>
      <c r="CA8" s="11">
        <f t="shared" si="62"/>
        <v>0</v>
      </c>
      <c r="CB8" s="11">
        <f t="shared" si="63"/>
        <v>0</v>
      </c>
      <c r="CC8" s="11">
        <f t="shared" si="64"/>
        <v>0</v>
      </c>
      <c r="CD8" s="11">
        <f t="shared" si="65"/>
        <v>0</v>
      </c>
      <c r="CE8" s="11">
        <f t="shared" si="66"/>
        <v>0</v>
      </c>
      <c r="CF8" s="11">
        <f t="shared" si="67"/>
        <v>0</v>
      </c>
      <c r="CG8" s="11">
        <f t="shared" si="68"/>
        <v>0</v>
      </c>
      <c r="CH8" s="11">
        <f t="shared" si="69"/>
        <v>0</v>
      </c>
      <c r="CI8" s="11">
        <f t="shared" si="70"/>
        <v>0</v>
      </c>
      <c r="CJ8" s="11">
        <f t="shared" si="71"/>
        <v>0</v>
      </c>
      <c r="CK8" s="11">
        <f t="shared" si="72"/>
        <v>0</v>
      </c>
      <c r="CL8" s="11">
        <f t="shared" si="73"/>
        <v>0</v>
      </c>
      <c r="CM8" s="11">
        <f t="shared" si="74"/>
        <v>0</v>
      </c>
      <c r="CN8" s="11">
        <f t="shared" si="75"/>
        <v>0</v>
      </c>
      <c r="CO8" s="11">
        <f t="shared" si="76"/>
        <v>0</v>
      </c>
      <c r="CP8" s="11">
        <f t="shared" si="77"/>
        <v>0</v>
      </c>
      <c r="CQ8" s="11">
        <f t="shared" si="78"/>
        <v>0</v>
      </c>
      <c r="CR8" s="11">
        <f t="shared" si="79"/>
        <v>1</v>
      </c>
      <c r="CS8" s="11">
        <f t="shared" si="80"/>
        <v>0</v>
      </c>
      <c r="CT8" s="11">
        <f t="shared" si="81"/>
        <v>0</v>
      </c>
      <c r="CU8" s="11">
        <f t="shared" si="82"/>
        <v>0</v>
      </c>
      <c r="CV8" s="11">
        <f t="shared" si="83"/>
        <v>0</v>
      </c>
      <c r="CW8" s="11">
        <f t="shared" si="84"/>
        <v>0</v>
      </c>
      <c r="CX8" s="11">
        <f t="shared" si="85"/>
        <v>0</v>
      </c>
      <c r="CY8" s="11">
        <f t="shared" si="86"/>
        <v>0</v>
      </c>
      <c r="CZ8" s="11">
        <f t="shared" si="87"/>
        <v>0</v>
      </c>
      <c r="DA8" s="11">
        <f t="shared" si="88"/>
        <v>0</v>
      </c>
      <c r="DB8" s="11">
        <f t="shared" si="89"/>
        <v>0</v>
      </c>
      <c r="DC8" s="11">
        <f t="shared" si="90"/>
        <v>0</v>
      </c>
      <c r="DD8" s="11">
        <f t="shared" si="91"/>
        <v>0</v>
      </c>
      <c r="DE8" s="11">
        <f t="shared" si="92"/>
        <v>0</v>
      </c>
      <c r="DF8" s="11">
        <f t="shared" si="93"/>
        <v>1</v>
      </c>
      <c r="DG8" s="11">
        <f t="shared" si="94"/>
        <v>0</v>
      </c>
      <c r="DH8" s="11">
        <f t="shared" si="95"/>
        <v>0</v>
      </c>
      <c r="DI8" s="11">
        <f t="shared" si="96"/>
        <v>0</v>
      </c>
      <c r="DJ8" s="11">
        <f t="shared" si="97"/>
        <v>0</v>
      </c>
      <c r="DK8" s="11">
        <f t="shared" si="98"/>
        <v>0</v>
      </c>
      <c r="DL8" s="11">
        <f t="shared" si="99"/>
        <v>0</v>
      </c>
      <c r="DM8" s="11">
        <f t="shared" si="100"/>
        <v>0</v>
      </c>
      <c r="DN8" s="11">
        <f t="shared" si="101"/>
        <v>0</v>
      </c>
      <c r="DO8" s="11">
        <f t="shared" si="102"/>
        <v>0</v>
      </c>
      <c r="DP8" s="11">
        <f t="shared" si="103"/>
        <v>0</v>
      </c>
      <c r="DQ8" s="11">
        <f t="shared" si="104"/>
        <v>0</v>
      </c>
      <c r="DR8" s="11">
        <f t="shared" si="105"/>
        <v>0</v>
      </c>
      <c r="DS8" s="11">
        <f t="shared" si="106"/>
        <v>0</v>
      </c>
      <c r="DT8" s="11">
        <f t="shared" si="107"/>
        <v>0</v>
      </c>
      <c r="DU8" s="11">
        <f t="shared" si="108"/>
        <v>0</v>
      </c>
      <c r="DV8" s="11">
        <f t="shared" si="109"/>
        <v>0</v>
      </c>
      <c r="DW8" s="11">
        <f t="shared" si="110"/>
        <v>0</v>
      </c>
      <c r="DX8" s="11">
        <f t="shared" si="111"/>
        <v>0</v>
      </c>
      <c r="DY8" s="11">
        <f t="shared" si="112"/>
        <v>0</v>
      </c>
      <c r="DZ8" s="11">
        <f t="shared" si="113"/>
        <v>0</v>
      </c>
      <c r="EA8" s="11">
        <f t="shared" si="114"/>
        <v>0</v>
      </c>
      <c r="EB8" s="11">
        <f t="shared" si="115"/>
        <v>0</v>
      </c>
      <c r="EC8" s="11">
        <f t="shared" si="116"/>
        <v>0</v>
      </c>
      <c r="ED8" s="11">
        <f t="shared" si="117"/>
        <v>0</v>
      </c>
      <c r="EE8" s="11">
        <f t="shared" si="118"/>
        <v>0</v>
      </c>
    </row>
    <row r="9" spans="1:135" ht="15" customHeight="1" x14ac:dyDescent="0.2">
      <c r="A9" s="5" t="s">
        <v>445</v>
      </c>
      <c r="B9" s="5" t="s">
        <v>1588</v>
      </c>
      <c r="C9" s="5" t="s">
        <v>108</v>
      </c>
      <c r="D9" s="5" t="s">
        <v>107</v>
      </c>
      <c r="E9" s="5" t="s">
        <v>332</v>
      </c>
      <c r="F9" s="5" t="s">
        <v>111</v>
      </c>
      <c r="G9" s="5" t="s">
        <v>544</v>
      </c>
      <c r="H9" s="5" t="s">
        <v>115</v>
      </c>
      <c r="I9" s="5" t="s">
        <v>355</v>
      </c>
      <c r="J9" s="5" t="s">
        <v>354</v>
      </c>
      <c r="K9" s="5"/>
      <c r="L9" s="5" t="s">
        <v>119</v>
      </c>
      <c r="M9" s="5" t="s">
        <v>1494</v>
      </c>
      <c r="N9" s="5" t="s">
        <v>120</v>
      </c>
      <c r="O9" s="5" t="s">
        <v>120</v>
      </c>
      <c r="P9" s="5" t="s">
        <v>1589</v>
      </c>
      <c r="Q9" s="10" t="str">
        <f t="shared" si="0"/>
        <v>Stage IV + Other</v>
      </c>
      <c r="R9" s="10" t="str">
        <f t="shared" si="1"/>
        <v>Both</v>
      </c>
      <c r="S9" s="10" t="str">
        <f t="shared" si="2"/>
        <v>All-comers</v>
      </c>
      <c r="T9" s="10">
        <f t="shared" si="3"/>
        <v>0</v>
      </c>
      <c r="U9" s="10">
        <f t="shared" si="4"/>
        <v>0</v>
      </c>
      <c r="V9" s="11">
        <f t="shared" si="5"/>
        <v>0</v>
      </c>
      <c r="W9" s="11">
        <f t="shared" si="6"/>
        <v>0</v>
      </c>
      <c r="X9" s="11">
        <f t="shared" si="7"/>
        <v>0</v>
      </c>
      <c r="Y9" s="11">
        <f t="shared" si="8"/>
        <v>1</v>
      </c>
      <c r="Z9" s="11">
        <f t="shared" si="9"/>
        <v>0</v>
      </c>
      <c r="AA9" s="11">
        <f t="shared" si="10"/>
        <v>1</v>
      </c>
      <c r="AB9" s="11">
        <f t="shared" si="11"/>
        <v>0</v>
      </c>
      <c r="AC9" s="11">
        <f t="shared" si="12"/>
        <v>0</v>
      </c>
      <c r="AD9" s="11">
        <f t="shared" si="13"/>
        <v>0</v>
      </c>
      <c r="AE9" s="11">
        <f t="shared" si="14"/>
        <v>0</v>
      </c>
      <c r="AF9" s="11">
        <f t="shared" si="15"/>
        <v>0</v>
      </c>
      <c r="AG9" s="11">
        <f t="shared" si="16"/>
        <v>0</v>
      </c>
      <c r="AH9" s="11">
        <f t="shared" si="17"/>
        <v>0</v>
      </c>
      <c r="AI9" s="11">
        <f t="shared" si="18"/>
        <v>0</v>
      </c>
      <c r="AJ9" s="11">
        <f t="shared" si="19"/>
        <v>0</v>
      </c>
      <c r="AK9" s="11">
        <f t="shared" si="20"/>
        <v>0</v>
      </c>
      <c r="AL9" s="11">
        <f t="shared" si="21"/>
        <v>0</v>
      </c>
      <c r="AM9" s="11">
        <f t="shared" si="22"/>
        <v>0</v>
      </c>
      <c r="AN9" s="11">
        <f t="shared" si="23"/>
        <v>0</v>
      </c>
      <c r="AO9" s="11">
        <f t="shared" si="24"/>
        <v>0</v>
      </c>
      <c r="AP9" s="11">
        <f t="shared" si="25"/>
        <v>0</v>
      </c>
      <c r="AQ9" s="11">
        <f t="shared" si="26"/>
        <v>0</v>
      </c>
      <c r="AR9" s="11">
        <f t="shared" si="27"/>
        <v>0</v>
      </c>
      <c r="AS9" s="11">
        <f t="shared" si="28"/>
        <v>0</v>
      </c>
      <c r="AT9" s="11">
        <f t="shared" si="29"/>
        <v>0</v>
      </c>
      <c r="AU9" s="11">
        <f t="shared" si="30"/>
        <v>0</v>
      </c>
      <c r="AV9" s="11">
        <f t="shared" si="31"/>
        <v>0</v>
      </c>
      <c r="AW9" s="11">
        <f t="shared" si="32"/>
        <v>0</v>
      </c>
      <c r="AX9" s="11">
        <f t="shared" si="33"/>
        <v>0</v>
      </c>
      <c r="AY9" s="11">
        <f t="shared" si="34"/>
        <v>0</v>
      </c>
      <c r="AZ9" s="11">
        <f t="shared" si="35"/>
        <v>0</v>
      </c>
      <c r="BA9" s="11">
        <f t="shared" si="36"/>
        <v>0</v>
      </c>
      <c r="BB9" s="11">
        <f t="shared" si="37"/>
        <v>0</v>
      </c>
      <c r="BC9" s="11">
        <f t="shared" si="38"/>
        <v>0</v>
      </c>
      <c r="BD9" s="11">
        <f t="shared" si="39"/>
        <v>0</v>
      </c>
      <c r="BE9" s="11">
        <f t="shared" si="40"/>
        <v>0</v>
      </c>
      <c r="BF9" s="11">
        <f t="shared" si="41"/>
        <v>0</v>
      </c>
      <c r="BG9" s="11">
        <f t="shared" si="42"/>
        <v>0</v>
      </c>
      <c r="BH9" s="11">
        <f t="shared" si="43"/>
        <v>0</v>
      </c>
      <c r="BI9" s="11">
        <f t="shared" si="44"/>
        <v>0</v>
      </c>
      <c r="BJ9" s="11">
        <f t="shared" si="45"/>
        <v>0</v>
      </c>
      <c r="BK9" s="11">
        <f t="shared" si="46"/>
        <v>0</v>
      </c>
      <c r="BL9" s="11">
        <f t="shared" si="47"/>
        <v>0</v>
      </c>
      <c r="BM9" s="11">
        <f t="shared" si="48"/>
        <v>0</v>
      </c>
      <c r="BN9" s="11">
        <f t="shared" si="49"/>
        <v>0</v>
      </c>
      <c r="BO9" s="11">
        <f t="shared" si="50"/>
        <v>0</v>
      </c>
      <c r="BP9" s="11">
        <f t="shared" si="51"/>
        <v>0</v>
      </c>
      <c r="BQ9" s="11">
        <f t="shared" si="52"/>
        <v>0</v>
      </c>
      <c r="BR9" s="11">
        <f t="shared" si="53"/>
        <v>0</v>
      </c>
      <c r="BS9" s="11">
        <f t="shared" si="54"/>
        <v>1</v>
      </c>
      <c r="BT9" s="11">
        <f t="shared" si="55"/>
        <v>0</v>
      </c>
      <c r="BU9" s="11">
        <f t="shared" si="56"/>
        <v>0</v>
      </c>
      <c r="BV9" s="11">
        <f t="shared" si="57"/>
        <v>0</v>
      </c>
      <c r="BW9" s="11">
        <f t="shared" si="58"/>
        <v>0</v>
      </c>
      <c r="BX9" s="11">
        <f t="shared" si="59"/>
        <v>0</v>
      </c>
      <c r="BY9" s="11">
        <f t="shared" si="60"/>
        <v>0</v>
      </c>
      <c r="BZ9" s="11">
        <f t="shared" si="61"/>
        <v>0</v>
      </c>
      <c r="CA9" s="11">
        <f t="shared" si="62"/>
        <v>0</v>
      </c>
      <c r="CB9" s="11">
        <f t="shared" si="63"/>
        <v>0</v>
      </c>
      <c r="CC9" s="11">
        <f t="shared" si="64"/>
        <v>0</v>
      </c>
      <c r="CD9" s="11">
        <f t="shared" si="65"/>
        <v>0</v>
      </c>
      <c r="CE9" s="11">
        <f t="shared" si="66"/>
        <v>0</v>
      </c>
      <c r="CF9" s="11">
        <f t="shared" si="67"/>
        <v>0</v>
      </c>
      <c r="CG9" s="11">
        <f t="shared" si="68"/>
        <v>0</v>
      </c>
      <c r="CH9" s="11">
        <f t="shared" si="69"/>
        <v>0</v>
      </c>
      <c r="CI9" s="11">
        <f t="shared" si="70"/>
        <v>0</v>
      </c>
      <c r="CJ9" s="11">
        <f t="shared" si="71"/>
        <v>0</v>
      </c>
      <c r="CK9" s="11">
        <f t="shared" si="72"/>
        <v>0</v>
      </c>
      <c r="CL9" s="11">
        <f t="shared" si="73"/>
        <v>0</v>
      </c>
      <c r="CM9" s="11">
        <f t="shared" si="74"/>
        <v>0</v>
      </c>
      <c r="CN9" s="11">
        <f t="shared" si="75"/>
        <v>0</v>
      </c>
      <c r="CO9" s="11">
        <f t="shared" si="76"/>
        <v>0</v>
      </c>
      <c r="CP9" s="11">
        <f t="shared" si="77"/>
        <v>0</v>
      </c>
      <c r="CQ9" s="11">
        <f t="shared" si="78"/>
        <v>0</v>
      </c>
      <c r="CR9" s="11">
        <f t="shared" si="79"/>
        <v>0</v>
      </c>
      <c r="CS9" s="11">
        <f t="shared" si="80"/>
        <v>0</v>
      </c>
      <c r="CT9" s="11">
        <f t="shared" si="81"/>
        <v>0</v>
      </c>
      <c r="CU9" s="11">
        <f t="shared" si="82"/>
        <v>0</v>
      </c>
      <c r="CV9" s="11">
        <f t="shared" si="83"/>
        <v>0</v>
      </c>
      <c r="CW9" s="11">
        <f t="shared" si="84"/>
        <v>0</v>
      </c>
      <c r="CX9" s="11">
        <f t="shared" si="85"/>
        <v>0</v>
      </c>
      <c r="CY9" s="11">
        <f t="shared" si="86"/>
        <v>0</v>
      </c>
      <c r="CZ9" s="11">
        <f t="shared" si="87"/>
        <v>0</v>
      </c>
      <c r="DA9" s="11">
        <f t="shared" si="88"/>
        <v>0</v>
      </c>
      <c r="DB9" s="11">
        <f t="shared" si="89"/>
        <v>0</v>
      </c>
      <c r="DC9" s="11">
        <f t="shared" si="90"/>
        <v>0</v>
      </c>
      <c r="DD9" s="11">
        <f t="shared" si="91"/>
        <v>0</v>
      </c>
      <c r="DE9" s="11">
        <f t="shared" si="92"/>
        <v>0</v>
      </c>
      <c r="DF9" s="11">
        <f t="shared" si="93"/>
        <v>0</v>
      </c>
      <c r="DG9" s="11">
        <f t="shared" si="94"/>
        <v>0</v>
      </c>
      <c r="DH9" s="11">
        <f t="shared" si="95"/>
        <v>0</v>
      </c>
      <c r="DI9" s="11">
        <f t="shared" si="96"/>
        <v>0</v>
      </c>
      <c r="DJ9" s="11">
        <f t="shared" si="97"/>
        <v>0</v>
      </c>
      <c r="DK9" s="11">
        <f t="shared" si="98"/>
        <v>0</v>
      </c>
      <c r="DL9" s="11">
        <f t="shared" si="99"/>
        <v>0</v>
      </c>
      <c r="DM9" s="11">
        <f t="shared" si="100"/>
        <v>0</v>
      </c>
      <c r="DN9" s="11">
        <f t="shared" si="101"/>
        <v>0</v>
      </c>
      <c r="DO9" s="11">
        <f t="shared" si="102"/>
        <v>0</v>
      </c>
      <c r="DP9" s="11">
        <f t="shared" si="103"/>
        <v>0</v>
      </c>
      <c r="DQ9" s="11">
        <f t="shared" si="104"/>
        <v>0</v>
      </c>
      <c r="DR9" s="11">
        <f t="shared" si="105"/>
        <v>0</v>
      </c>
      <c r="DS9" s="11">
        <f t="shared" si="106"/>
        <v>0</v>
      </c>
      <c r="DT9" s="11">
        <f t="shared" si="107"/>
        <v>0</v>
      </c>
      <c r="DU9" s="11">
        <f t="shared" si="108"/>
        <v>0</v>
      </c>
      <c r="DV9" s="11">
        <f t="shared" si="109"/>
        <v>0</v>
      </c>
      <c r="DW9" s="11">
        <f t="shared" si="110"/>
        <v>0</v>
      </c>
      <c r="DX9" s="11">
        <f t="shared" si="111"/>
        <v>0</v>
      </c>
      <c r="DY9" s="11">
        <f t="shared" si="112"/>
        <v>0</v>
      </c>
      <c r="DZ9" s="11">
        <f t="shared" si="113"/>
        <v>0</v>
      </c>
      <c r="EA9" s="11">
        <f t="shared" si="114"/>
        <v>0</v>
      </c>
      <c r="EB9" s="11">
        <f t="shared" si="115"/>
        <v>0</v>
      </c>
      <c r="EC9" s="11">
        <f t="shared" si="116"/>
        <v>0</v>
      </c>
      <c r="ED9" s="11">
        <f t="shared" si="117"/>
        <v>0</v>
      </c>
      <c r="EE9" s="11">
        <f t="shared" si="118"/>
        <v>0</v>
      </c>
    </row>
    <row r="10" spans="1:135" ht="15" customHeight="1" x14ac:dyDescent="0.2">
      <c r="A10" s="3" t="s">
        <v>728</v>
      </c>
      <c r="B10" s="3" t="s">
        <v>729</v>
      </c>
      <c r="C10" s="3" t="s">
        <v>730</v>
      </c>
      <c r="D10" s="3" t="s">
        <v>730</v>
      </c>
      <c r="E10" s="3" t="s">
        <v>730</v>
      </c>
      <c r="F10" s="3" t="s">
        <v>259</v>
      </c>
      <c r="G10" s="3" t="s">
        <v>181</v>
      </c>
      <c r="H10" s="3" t="s">
        <v>115</v>
      </c>
      <c r="I10" s="3" t="s">
        <v>749</v>
      </c>
      <c r="J10" s="3" t="s">
        <v>733</v>
      </c>
      <c r="K10" s="3" t="s">
        <v>428</v>
      </c>
      <c r="L10" s="3" t="s">
        <v>119</v>
      </c>
      <c r="M10" s="3" t="s">
        <v>1494</v>
      </c>
      <c r="N10" s="3" t="s">
        <v>119</v>
      </c>
      <c r="O10" s="3" t="s">
        <v>120</v>
      </c>
      <c r="P10" s="3" t="s">
        <v>1599</v>
      </c>
      <c r="Q10" s="10" t="str">
        <f t="shared" si="0"/>
        <v>Stage IV Only</v>
      </c>
      <c r="R10" s="10" t="str">
        <f t="shared" si="1"/>
        <v>Non-squamous</v>
      </c>
      <c r="S10" s="10" t="str">
        <f t="shared" si="2"/>
        <v>All-comers</v>
      </c>
      <c r="T10" s="10">
        <f t="shared" si="3"/>
        <v>0</v>
      </c>
      <c r="U10" s="10">
        <f t="shared" si="4"/>
        <v>0</v>
      </c>
      <c r="V10" s="11">
        <f t="shared" si="5"/>
        <v>0</v>
      </c>
      <c r="W10" s="11">
        <f t="shared" si="6"/>
        <v>0</v>
      </c>
      <c r="X10" s="11">
        <f t="shared" si="7"/>
        <v>0</v>
      </c>
      <c r="Y10" s="11">
        <f t="shared" si="8"/>
        <v>0</v>
      </c>
      <c r="Z10" s="11">
        <f t="shared" si="9"/>
        <v>0</v>
      </c>
      <c r="AA10" s="11">
        <f t="shared" si="10"/>
        <v>0</v>
      </c>
      <c r="AB10" s="11">
        <f t="shared" si="11"/>
        <v>0</v>
      </c>
      <c r="AC10" s="11">
        <f t="shared" si="12"/>
        <v>0</v>
      </c>
      <c r="AD10" s="11">
        <f t="shared" si="13"/>
        <v>0</v>
      </c>
      <c r="AE10" s="11">
        <f t="shared" si="14"/>
        <v>0</v>
      </c>
      <c r="AF10" s="11">
        <f t="shared" si="15"/>
        <v>1</v>
      </c>
      <c r="AG10" s="11">
        <f t="shared" si="16"/>
        <v>0</v>
      </c>
      <c r="AH10" s="11">
        <f t="shared" si="17"/>
        <v>0</v>
      </c>
      <c r="AI10" s="11">
        <f t="shared" si="18"/>
        <v>0</v>
      </c>
      <c r="AJ10" s="11">
        <f t="shared" si="19"/>
        <v>0</v>
      </c>
      <c r="AK10" s="11">
        <f t="shared" si="20"/>
        <v>1</v>
      </c>
      <c r="AL10" s="11">
        <f t="shared" si="21"/>
        <v>1</v>
      </c>
      <c r="AM10" s="11">
        <f t="shared" si="22"/>
        <v>1</v>
      </c>
      <c r="AN10" s="11">
        <f t="shared" si="23"/>
        <v>0</v>
      </c>
      <c r="AO10" s="11">
        <f t="shared" si="24"/>
        <v>0</v>
      </c>
      <c r="AP10" s="11">
        <f t="shared" si="25"/>
        <v>0</v>
      </c>
      <c r="AQ10" s="11">
        <f t="shared" si="26"/>
        <v>1</v>
      </c>
      <c r="AR10" s="11">
        <f t="shared" si="27"/>
        <v>0</v>
      </c>
      <c r="AS10" s="11">
        <f t="shared" si="28"/>
        <v>0</v>
      </c>
      <c r="AT10" s="11">
        <f t="shared" si="29"/>
        <v>0</v>
      </c>
      <c r="AU10" s="11">
        <f t="shared" si="30"/>
        <v>0</v>
      </c>
      <c r="AV10" s="11">
        <f t="shared" si="31"/>
        <v>0</v>
      </c>
      <c r="AW10" s="11">
        <f t="shared" si="32"/>
        <v>0</v>
      </c>
      <c r="AX10" s="11">
        <f t="shared" si="33"/>
        <v>0</v>
      </c>
      <c r="AY10" s="11">
        <f t="shared" si="34"/>
        <v>0</v>
      </c>
      <c r="AZ10" s="11">
        <f t="shared" si="35"/>
        <v>0</v>
      </c>
      <c r="BA10" s="11">
        <f t="shared" si="36"/>
        <v>0</v>
      </c>
      <c r="BB10" s="11">
        <f t="shared" si="37"/>
        <v>0</v>
      </c>
      <c r="BC10" s="11">
        <f t="shared" si="38"/>
        <v>0</v>
      </c>
      <c r="BD10" s="11">
        <f t="shared" si="39"/>
        <v>0</v>
      </c>
      <c r="BE10" s="11">
        <f t="shared" si="40"/>
        <v>0</v>
      </c>
      <c r="BF10" s="11">
        <f t="shared" si="41"/>
        <v>0</v>
      </c>
      <c r="BG10" s="11">
        <f t="shared" si="42"/>
        <v>0</v>
      </c>
      <c r="BH10" s="11">
        <f t="shared" si="43"/>
        <v>0</v>
      </c>
      <c r="BI10" s="11">
        <f t="shared" si="44"/>
        <v>0</v>
      </c>
      <c r="BJ10" s="11">
        <f t="shared" si="45"/>
        <v>0</v>
      </c>
      <c r="BK10" s="11">
        <f t="shared" si="46"/>
        <v>0</v>
      </c>
      <c r="BL10" s="11">
        <f t="shared" si="47"/>
        <v>0</v>
      </c>
      <c r="BM10" s="11">
        <f t="shared" si="48"/>
        <v>0</v>
      </c>
      <c r="BN10" s="11">
        <f t="shared" si="49"/>
        <v>0</v>
      </c>
      <c r="BO10" s="11">
        <f t="shared" si="50"/>
        <v>0</v>
      </c>
      <c r="BP10" s="11">
        <f t="shared" si="51"/>
        <v>0</v>
      </c>
      <c r="BQ10" s="11">
        <f t="shared" si="52"/>
        <v>0</v>
      </c>
      <c r="BR10" s="11">
        <f t="shared" si="53"/>
        <v>0</v>
      </c>
      <c r="BS10" s="11">
        <f t="shared" si="54"/>
        <v>0</v>
      </c>
      <c r="BT10" s="11">
        <f t="shared" si="55"/>
        <v>0</v>
      </c>
      <c r="BU10" s="11">
        <f t="shared" si="56"/>
        <v>0</v>
      </c>
      <c r="BV10" s="11">
        <f t="shared" si="57"/>
        <v>0</v>
      </c>
      <c r="BW10" s="11">
        <f t="shared" si="58"/>
        <v>0</v>
      </c>
      <c r="BX10" s="11">
        <f t="shared" si="59"/>
        <v>0</v>
      </c>
      <c r="BY10" s="11">
        <f t="shared" si="60"/>
        <v>0</v>
      </c>
      <c r="BZ10" s="11">
        <f t="shared" si="61"/>
        <v>0</v>
      </c>
      <c r="CA10" s="11">
        <f t="shared" si="62"/>
        <v>0</v>
      </c>
      <c r="CB10" s="11">
        <f t="shared" si="63"/>
        <v>0</v>
      </c>
      <c r="CC10" s="11">
        <f t="shared" si="64"/>
        <v>0</v>
      </c>
      <c r="CD10" s="11">
        <f t="shared" si="65"/>
        <v>0</v>
      </c>
      <c r="CE10" s="11">
        <f t="shared" si="66"/>
        <v>0</v>
      </c>
      <c r="CF10" s="11">
        <f t="shared" si="67"/>
        <v>0</v>
      </c>
      <c r="CG10" s="11">
        <f t="shared" si="68"/>
        <v>0</v>
      </c>
      <c r="CH10" s="11">
        <f t="shared" si="69"/>
        <v>0</v>
      </c>
      <c r="CI10" s="11">
        <f t="shared" si="70"/>
        <v>0</v>
      </c>
      <c r="CJ10" s="11">
        <f t="shared" si="71"/>
        <v>0</v>
      </c>
      <c r="CK10" s="11">
        <f t="shared" si="72"/>
        <v>0</v>
      </c>
      <c r="CL10" s="11">
        <f t="shared" si="73"/>
        <v>0</v>
      </c>
      <c r="CM10" s="11">
        <f t="shared" si="74"/>
        <v>1</v>
      </c>
      <c r="CN10" s="11">
        <f t="shared" si="75"/>
        <v>0</v>
      </c>
      <c r="CO10" s="11">
        <f t="shared" si="76"/>
        <v>0</v>
      </c>
      <c r="CP10" s="11">
        <f t="shared" si="77"/>
        <v>0</v>
      </c>
      <c r="CQ10" s="11">
        <f t="shared" si="78"/>
        <v>0</v>
      </c>
      <c r="CR10" s="11">
        <f t="shared" si="79"/>
        <v>1</v>
      </c>
      <c r="CS10" s="11">
        <f t="shared" si="80"/>
        <v>0</v>
      </c>
      <c r="CT10" s="11">
        <f t="shared" si="81"/>
        <v>1</v>
      </c>
      <c r="CU10" s="11">
        <f t="shared" si="82"/>
        <v>0</v>
      </c>
      <c r="CV10" s="11">
        <f t="shared" si="83"/>
        <v>0</v>
      </c>
      <c r="CW10" s="11">
        <f t="shared" si="84"/>
        <v>0</v>
      </c>
      <c r="CX10" s="11">
        <f t="shared" si="85"/>
        <v>0</v>
      </c>
      <c r="CY10" s="11">
        <f t="shared" si="86"/>
        <v>0</v>
      </c>
      <c r="CZ10" s="11">
        <f t="shared" si="87"/>
        <v>0</v>
      </c>
      <c r="DA10" s="11">
        <f t="shared" si="88"/>
        <v>0</v>
      </c>
      <c r="DB10" s="11">
        <f t="shared" si="89"/>
        <v>1</v>
      </c>
      <c r="DC10" s="11">
        <f t="shared" si="90"/>
        <v>0</v>
      </c>
      <c r="DD10" s="11">
        <f t="shared" si="91"/>
        <v>0</v>
      </c>
      <c r="DE10" s="11">
        <f t="shared" si="92"/>
        <v>0</v>
      </c>
      <c r="DF10" s="11">
        <f t="shared" si="93"/>
        <v>0</v>
      </c>
      <c r="DG10" s="11">
        <f t="shared" si="94"/>
        <v>0</v>
      </c>
      <c r="DH10" s="11">
        <f t="shared" si="95"/>
        <v>0</v>
      </c>
      <c r="DI10" s="11">
        <f t="shared" si="96"/>
        <v>0</v>
      </c>
      <c r="DJ10" s="11">
        <f t="shared" si="97"/>
        <v>0</v>
      </c>
      <c r="DK10" s="11">
        <f t="shared" si="98"/>
        <v>0</v>
      </c>
      <c r="DL10" s="11">
        <f t="shared" si="99"/>
        <v>0</v>
      </c>
      <c r="DM10" s="11">
        <f t="shared" si="100"/>
        <v>0</v>
      </c>
      <c r="DN10" s="11">
        <f t="shared" si="101"/>
        <v>0</v>
      </c>
      <c r="DO10" s="11">
        <f t="shared" si="102"/>
        <v>0</v>
      </c>
      <c r="DP10" s="11">
        <f t="shared" si="103"/>
        <v>0</v>
      </c>
      <c r="DQ10" s="11">
        <f t="shared" si="104"/>
        <v>0</v>
      </c>
      <c r="DR10" s="11">
        <f t="shared" si="105"/>
        <v>0</v>
      </c>
      <c r="DS10" s="11">
        <f t="shared" si="106"/>
        <v>0</v>
      </c>
      <c r="DT10" s="11">
        <f t="shared" si="107"/>
        <v>0</v>
      </c>
      <c r="DU10" s="11">
        <f t="shared" si="108"/>
        <v>0</v>
      </c>
      <c r="DV10" s="11">
        <f t="shared" si="109"/>
        <v>0</v>
      </c>
      <c r="DW10" s="11">
        <f t="shared" si="110"/>
        <v>0</v>
      </c>
      <c r="DX10" s="11">
        <f t="shared" si="111"/>
        <v>0</v>
      </c>
      <c r="DY10" s="11">
        <f t="shared" si="112"/>
        <v>0</v>
      </c>
      <c r="DZ10" s="11">
        <f t="shared" si="113"/>
        <v>0</v>
      </c>
      <c r="EA10" s="11">
        <f t="shared" si="114"/>
        <v>0</v>
      </c>
      <c r="EB10" s="11">
        <f t="shared" si="115"/>
        <v>0</v>
      </c>
      <c r="EC10" s="11">
        <f t="shared" si="116"/>
        <v>0</v>
      </c>
      <c r="ED10" s="11">
        <f t="shared" si="117"/>
        <v>0</v>
      </c>
      <c r="EE10" s="11">
        <f t="shared" si="118"/>
        <v>0</v>
      </c>
    </row>
    <row r="11" spans="1:135" ht="15" customHeight="1" x14ac:dyDescent="0.2">
      <c r="A11" s="5" t="s">
        <v>1213</v>
      </c>
      <c r="B11" s="5" t="s">
        <v>1215</v>
      </c>
      <c r="C11" s="5" t="s">
        <v>1216</v>
      </c>
      <c r="D11" s="5" t="s">
        <v>1216</v>
      </c>
      <c r="E11" s="5" t="s">
        <v>1216</v>
      </c>
      <c r="F11" s="5" t="s">
        <v>259</v>
      </c>
      <c r="G11" s="5" t="s">
        <v>544</v>
      </c>
      <c r="H11" s="5" t="s">
        <v>115</v>
      </c>
      <c r="I11" s="5" t="s">
        <v>1615</v>
      </c>
      <c r="J11" s="5" t="s">
        <v>1219</v>
      </c>
      <c r="K11" s="5"/>
      <c r="L11" s="5" t="s">
        <v>119</v>
      </c>
      <c r="M11" s="5" t="s">
        <v>1494</v>
      </c>
      <c r="N11" s="5" t="s">
        <v>120</v>
      </c>
      <c r="O11" s="5" t="s">
        <v>120</v>
      </c>
      <c r="P11" s="5" t="s">
        <v>1613</v>
      </c>
      <c r="Q11" s="10" t="str">
        <f t="shared" si="0"/>
        <v>Stage IV Only</v>
      </c>
      <c r="R11" s="10" t="str">
        <f t="shared" si="1"/>
        <v>Both</v>
      </c>
      <c r="S11" s="10" t="str">
        <f t="shared" si="2"/>
        <v>All-comers</v>
      </c>
      <c r="T11" s="10">
        <f t="shared" si="3"/>
        <v>0</v>
      </c>
      <c r="U11" s="10">
        <f t="shared" si="4"/>
        <v>0</v>
      </c>
      <c r="V11" s="11">
        <f t="shared" si="5"/>
        <v>0</v>
      </c>
      <c r="W11" s="11">
        <f t="shared" si="6"/>
        <v>0</v>
      </c>
      <c r="X11" s="11">
        <f t="shared" si="7"/>
        <v>0</v>
      </c>
      <c r="Y11" s="11">
        <f t="shared" si="8"/>
        <v>1</v>
      </c>
      <c r="Z11" s="11">
        <f t="shared" si="9"/>
        <v>0</v>
      </c>
      <c r="AA11" s="11">
        <f t="shared" si="10"/>
        <v>1</v>
      </c>
      <c r="AB11" s="11">
        <f t="shared" si="11"/>
        <v>1</v>
      </c>
      <c r="AC11" s="11">
        <f t="shared" si="12"/>
        <v>0</v>
      </c>
      <c r="AD11" s="11">
        <f t="shared" si="13"/>
        <v>0</v>
      </c>
      <c r="AE11" s="11">
        <f t="shared" si="14"/>
        <v>0</v>
      </c>
      <c r="AF11" s="11">
        <f t="shared" si="15"/>
        <v>0</v>
      </c>
      <c r="AG11" s="11">
        <f t="shared" si="16"/>
        <v>0</v>
      </c>
      <c r="AH11" s="11">
        <f t="shared" si="17"/>
        <v>0</v>
      </c>
      <c r="AI11" s="11">
        <f t="shared" si="18"/>
        <v>0</v>
      </c>
      <c r="AJ11" s="11">
        <f t="shared" si="19"/>
        <v>0</v>
      </c>
      <c r="AK11" s="11">
        <f t="shared" si="20"/>
        <v>0</v>
      </c>
      <c r="AL11" s="11">
        <f t="shared" si="21"/>
        <v>0</v>
      </c>
      <c r="AM11" s="11">
        <f t="shared" si="22"/>
        <v>0</v>
      </c>
      <c r="AN11" s="11">
        <f t="shared" si="23"/>
        <v>0</v>
      </c>
      <c r="AO11" s="11">
        <f t="shared" si="24"/>
        <v>0</v>
      </c>
      <c r="AP11" s="11">
        <f t="shared" si="25"/>
        <v>0</v>
      </c>
      <c r="AQ11" s="11">
        <f t="shared" si="26"/>
        <v>0</v>
      </c>
      <c r="AR11" s="11">
        <f t="shared" si="27"/>
        <v>0</v>
      </c>
      <c r="AS11" s="11">
        <f t="shared" si="28"/>
        <v>0</v>
      </c>
      <c r="AT11" s="11">
        <f t="shared" si="29"/>
        <v>0</v>
      </c>
      <c r="AU11" s="11">
        <f t="shared" si="30"/>
        <v>0</v>
      </c>
      <c r="AV11" s="11">
        <f t="shared" si="31"/>
        <v>0</v>
      </c>
      <c r="AW11" s="11">
        <f t="shared" si="32"/>
        <v>0</v>
      </c>
      <c r="AX11" s="11">
        <f t="shared" si="33"/>
        <v>0</v>
      </c>
      <c r="AY11" s="11">
        <f t="shared" si="34"/>
        <v>0</v>
      </c>
      <c r="AZ11" s="11">
        <f t="shared" si="35"/>
        <v>0</v>
      </c>
      <c r="BA11" s="11">
        <f t="shared" si="36"/>
        <v>0</v>
      </c>
      <c r="BB11" s="11">
        <f t="shared" si="37"/>
        <v>0</v>
      </c>
      <c r="BC11" s="11">
        <f t="shared" si="38"/>
        <v>0</v>
      </c>
      <c r="BD11" s="11">
        <f t="shared" si="39"/>
        <v>0</v>
      </c>
      <c r="BE11" s="11">
        <f t="shared" si="40"/>
        <v>0</v>
      </c>
      <c r="BF11" s="11">
        <f t="shared" si="41"/>
        <v>0</v>
      </c>
      <c r="BG11" s="11">
        <f t="shared" si="42"/>
        <v>0</v>
      </c>
      <c r="BH11" s="11">
        <f t="shared" si="43"/>
        <v>0</v>
      </c>
      <c r="BI11" s="11">
        <f t="shared" si="44"/>
        <v>0</v>
      </c>
      <c r="BJ11" s="11">
        <f t="shared" si="45"/>
        <v>0</v>
      </c>
      <c r="BK11" s="11">
        <f t="shared" si="46"/>
        <v>0</v>
      </c>
      <c r="BL11" s="11">
        <f t="shared" si="47"/>
        <v>0</v>
      </c>
      <c r="BM11" s="11">
        <f t="shared" si="48"/>
        <v>1</v>
      </c>
      <c r="BN11" s="11">
        <f t="shared" si="49"/>
        <v>0</v>
      </c>
      <c r="BO11" s="11">
        <f t="shared" si="50"/>
        <v>0</v>
      </c>
      <c r="BP11" s="11">
        <f t="shared" si="51"/>
        <v>0</v>
      </c>
      <c r="BQ11" s="11">
        <f t="shared" si="52"/>
        <v>0</v>
      </c>
      <c r="BR11" s="11">
        <f t="shared" si="53"/>
        <v>1</v>
      </c>
      <c r="BS11" s="11">
        <f t="shared" si="54"/>
        <v>1</v>
      </c>
      <c r="BT11" s="11">
        <f t="shared" si="55"/>
        <v>0</v>
      </c>
      <c r="BU11" s="11">
        <f t="shared" si="56"/>
        <v>0</v>
      </c>
      <c r="BV11" s="11">
        <f t="shared" si="57"/>
        <v>0</v>
      </c>
      <c r="BW11" s="11">
        <f t="shared" si="58"/>
        <v>0</v>
      </c>
      <c r="BX11" s="11">
        <f t="shared" si="59"/>
        <v>0</v>
      </c>
      <c r="BY11" s="11">
        <f t="shared" si="60"/>
        <v>0</v>
      </c>
      <c r="BZ11" s="11">
        <f t="shared" si="61"/>
        <v>0</v>
      </c>
      <c r="CA11" s="11">
        <f t="shared" si="62"/>
        <v>0</v>
      </c>
      <c r="CB11" s="11">
        <f t="shared" si="63"/>
        <v>0</v>
      </c>
      <c r="CC11" s="11">
        <f t="shared" si="64"/>
        <v>0</v>
      </c>
      <c r="CD11" s="11">
        <f t="shared" si="65"/>
        <v>0</v>
      </c>
      <c r="CE11" s="11">
        <f t="shared" si="66"/>
        <v>0</v>
      </c>
      <c r="CF11" s="11">
        <f t="shared" si="67"/>
        <v>0</v>
      </c>
      <c r="CG11" s="11">
        <f t="shared" si="68"/>
        <v>0</v>
      </c>
      <c r="CH11" s="11">
        <f t="shared" si="69"/>
        <v>0</v>
      </c>
      <c r="CI11" s="11">
        <f t="shared" si="70"/>
        <v>0</v>
      </c>
      <c r="CJ11" s="11">
        <f t="shared" si="71"/>
        <v>0</v>
      </c>
      <c r="CK11" s="11">
        <f t="shared" si="72"/>
        <v>0</v>
      </c>
      <c r="CL11" s="11">
        <f t="shared" si="73"/>
        <v>0</v>
      </c>
      <c r="CM11" s="11">
        <f t="shared" si="74"/>
        <v>0</v>
      </c>
      <c r="CN11" s="11">
        <f t="shared" si="75"/>
        <v>0</v>
      </c>
      <c r="CO11" s="11">
        <f t="shared" si="76"/>
        <v>0</v>
      </c>
      <c r="CP11" s="11">
        <f t="shared" si="77"/>
        <v>0</v>
      </c>
      <c r="CQ11" s="11">
        <f t="shared" si="78"/>
        <v>0</v>
      </c>
      <c r="CR11" s="11">
        <f t="shared" si="79"/>
        <v>0</v>
      </c>
      <c r="CS11" s="11">
        <f t="shared" si="80"/>
        <v>0</v>
      </c>
      <c r="CT11" s="11">
        <f t="shared" si="81"/>
        <v>0</v>
      </c>
      <c r="CU11" s="11">
        <f t="shared" si="82"/>
        <v>0</v>
      </c>
      <c r="CV11" s="11">
        <f t="shared" si="83"/>
        <v>0</v>
      </c>
      <c r="CW11" s="11">
        <f t="shared" si="84"/>
        <v>0</v>
      </c>
      <c r="CX11" s="11">
        <f t="shared" si="85"/>
        <v>0</v>
      </c>
      <c r="CY11" s="11">
        <f t="shared" si="86"/>
        <v>0</v>
      </c>
      <c r="CZ11" s="11">
        <f t="shared" si="87"/>
        <v>0</v>
      </c>
      <c r="DA11" s="11">
        <f t="shared" si="88"/>
        <v>0</v>
      </c>
      <c r="DB11" s="11">
        <f t="shared" si="89"/>
        <v>0</v>
      </c>
      <c r="DC11" s="11">
        <f t="shared" si="90"/>
        <v>0</v>
      </c>
      <c r="DD11" s="11">
        <f t="shared" si="91"/>
        <v>0</v>
      </c>
      <c r="DE11" s="11">
        <f t="shared" si="92"/>
        <v>0</v>
      </c>
      <c r="DF11" s="11">
        <f t="shared" si="93"/>
        <v>0</v>
      </c>
      <c r="DG11" s="11">
        <f t="shared" si="94"/>
        <v>0</v>
      </c>
      <c r="DH11" s="11">
        <f t="shared" si="95"/>
        <v>0</v>
      </c>
      <c r="DI11" s="11">
        <f t="shared" si="96"/>
        <v>0</v>
      </c>
      <c r="DJ11" s="11">
        <f t="shared" si="97"/>
        <v>0</v>
      </c>
      <c r="DK11" s="11">
        <f t="shared" si="98"/>
        <v>0</v>
      </c>
      <c r="DL11" s="11">
        <f t="shared" si="99"/>
        <v>0</v>
      </c>
      <c r="DM11" s="11">
        <f t="shared" si="100"/>
        <v>0</v>
      </c>
      <c r="DN11" s="11">
        <f t="shared" si="101"/>
        <v>0</v>
      </c>
      <c r="DO11" s="11">
        <f t="shared" si="102"/>
        <v>0</v>
      </c>
      <c r="DP11" s="11">
        <f t="shared" si="103"/>
        <v>0</v>
      </c>
      <c r="DQ11" s="11">
        <f t="shared" si="104"/>
        <v>0</v>
      </c>
      <c r="DR11" s="11">
        <f t="shared" si="105"/>
        <v>0</v>
      </c>
      <c r="DS11" s="11">
        <f t="shared" si="106"/>
        <v>0</v>
      </c>
      <c r="DT11" s="11">
        <f t="shared" si="107"/>
        <v>0</v>
      </c>
      <c r="DU11" s="11">
        <f t="shared" si="108"/>
        <v>0</v>
      </c>
      <c r="DV11" s="11">
        <f t="shared" si="109"/>
        <v>0</v>
      </c>
      <c r="DW11" s="11">
        <f t="shared" si="110"/>
        <v>0</v>
      </c>
      <c r="DX11" s="11">
        <f t="shared" si="111"/>
        <v>0</v>
      </c>
      <c r="DY11" s="11">
        <f t="shared" si="112"/>
        <v>0</v>
      </c>
      <c r="DZ11" s="11">
        <f t="shared" si="113"/>
        <v>0</v>
      </c>
      <c r="EA11" s="11">
        <f t="shared" si="114"/>
        <v>0</v>
      </c>
      <c r="EB11" s="11">
        <f t="shared" si="115"/>
        <v>0</v>
      </c>
      <c r="EC11" s="11">
        <f t="shared" si="116"/>
        <v>0</v>
      </c>
      <c r="ED11" s="11">
        <f t="shared" si="117"/>
        <v>0</v>
      </c>
      <c r="EE11" s="11">
        <f t="shared" si="118"/>
        <v>0</v>
      </c>
    </row>
    <row r="12" spans="1:135" ht="15" customHeight="1" x14ac:dyDescent="0.2">
      <c r="A12" s="3" t="s">
        <v>728</v>
      </c>
      <c r="B12" s="3" t="s">
        <v>1628</v>
      </c>
      <c r="C12" s="3" t="s">
        <v>730</v>
      </c>
      <c r="D12" s="3" t="s">
        <v>730</v>
      </c>
      <c r="E12" s="3" t="s">
        <v>730</v>
      </c>
      <c r="F12" s="3" t="s">
        <v>259</v>
      </c>
      <c r="G12" s="3"/>
      <c r="H12" s="3" t="s">
        <v>115</v>
      </c>
      <c r="I12" s="3" t="s">
        <v>749</v>
      </c>
      <c r="J12" s="3" t="s">
        <v>733</v>
      </c>
      <c r="K12" s="3" t="s">
        <v>179</v>
      </c>
      <c r="L12" s="3" t="s">
        <v>119</v>
      </c>
      <c r="M12" s="3" t="s">
        <v>1494</v>
      </c>
      <c r="N12" s="3" t="s">
        <v>119</v>
      </c>
      <c r="O12" s="3" t="s">
        <v>120</v>
      </c>
      <c r="P12" s="3" t="s">
        <v>1629</v>
      </c>
      <c r="Q12" s="10" t="str">
        <f t="shared" si="0"/>
        <v>Stage IV Only</v>
      </c>
      <c r="R12" s="10" t="str">
        <f t="shared" si="1"/>
        <v>Unspecified</v>
      </c>
      <c r="S12" s="10" t="str">
        <f t="shared" si="2"/>
        <v>All-comers</v>
      </c>
      <c r="T12" s="10">
        <f t="shared" si="3"/>
        <v>0</v>
      </c>
      <c r="U12" s="10">
        <f t="shared" si="4"/>
        <v>0</v>
      </c>
      <c r="V12" s="11">
        <f t="shared" si="5"/>
        <v>0</v>
      </c>
      <c r="W12" s="11">
        <f t="shared" si="6"/>
        <v>0</v>
      </c>
      <c r="X12" s="11">
        <f t="shared" si="7"/>
        <v>0</v>
      </c>
      <c r="Y12" s="11">
        <f t="shared" si="8"/>
        <v>0</v>
      </c>
      <c r="Z12" s="11">
        <f t="shared" si="9"/>
        <v>0</v>
      </c>
      <c r="AA12" s="11">
        <f t="shared" si="10"/>
        <v>0</v>
      </c>
      <c r="AB12" s="11">
        <f t="shared" si="11"/>
        <v>0</v>
      </c>
      <c r="AC12" s="11">
        <f t="shared" si="12"/>
        <v>0</v>
      </c>
      <c r="AD12" s="11">
        <f t="shared" si="13"/>
        <v>0</v>
      </c>
      <c r="AE12" s="11">
        <f t="shared" si="14"/>
        <v>0</v>
      </c>
      <c r="AF12" s="11">
        <f t="shared" si="15"/>
        <v>1</v>
      </c>
      <c r="AG12" s="11">
        <f t="shared" si="16"/>
        <v>0</v>
      </c>
      <c r="AH12" s="11">
        <f t="shared" si="17"/>
        <v>0</v>
      </c>
      <c r="AI12" s="11">
        <f t="shared" si="18"/>
        <v>0</v>
      </c>
      <c r="AJ12" s="11">
        <f t="shared" si="19"/>
        <v>0</v>
      </c>
      <c r="AK12" s="11">
        <f t="shared" si="20"/>
        <v>1</v>
      </c>
      <c r="AL12" s="11">
        <f t="shared" si="21"/>
        <v>1</v>
      </c>
      <c r="AM12" s="11">
        <f t="shared" si="22"/>
        <v>1</v>
      </c>
      <c r="AN12" s="11">
        <f t="shared" si="23"/>
        <v>0</v>
      </c>
      <c r="AO12" s="11">
        <f t="shared" si="24"/>
        <v>0</v>
      </c>
      <c r="AP12" s="11">
        <f t="shared" si="25"/>
        <v>0</v>
      </c>
      <c r="AQ12" s="11">
        <f t="shared" si="26"/>
        <v>1</v>
      </c>
      <c r="AR12" s="11">
        <f t="shared" si="27"/>
        <v>0</v>
      </c>
      <c r="AS12" s="11">
        <f t="shared" si="28"/>
        <v>0</v>
      </c>
      <c r="AT12" s="11">
        <f t="shared" si="29"/>
        <v>0</v>
      </c>
      <c r="AU12" s="11">
        <f t="shared" si="30"/>
        <v>0</v>
      </c>
      <c r="AV12" s="11">
        <f t="shared" si="31"/>
        <v>0</v>
      </c>
      <c r="AW12" s="11">
        <f t="shared" si="32"/>
        <v>0</v>
      </c>
      <c r="AX12" s="11">
        <f t="shared" si="33"/>
        <v>0</v>
      </c>
      <c r="AY12" s="11">
        <f t="shared" si="34"/>
        <v>0</v>
      </c>
      <c r="AZ12" s="11">
        <f t="shared" si="35"/>
        <v>0</v>
      </c>
      <c r="BA12" s="11">
        <f t="shared" si="36"/>
        <v>0</v>
      </c>
      <c r="BB12" s="11">
        <f t="shared" si="37"/>
        <v>0</v>
      </c>
      <c r="BC12" s="11">
        <f t="shared" si="38"/>
        <v>0</v>
      </c>
      <c r="BD12" s="11">
        <f t="shared" si="39"/>
        <v>0</v>
      </c>
      <c r="BE12" s="11">
        <f t="shared" si="40"/>
        <v>0</v>
      </c>
      <c r="BF12" s="11">
        <f t="shared" si="41"/>
        <v>0</v>
      </c>
      <c r="BG12" s="11">
        <f t="shared" si="42"/>
        <v>0</v>
      </c>
      <c r="BH12" s="11">
        <f t="shared" si="43"/>
        <v>0</v>
      </c>
      <c r="BI12" s="11">
        <f t="shared" si="44"/>
        <v>0</v>
      </c>
      <c r="BJ12" s="11">
        <f t="shared" si="45"/>
        <v>0</v>
      </c>
      <c r="BK12" s="11">
        <f t="shared" si="46"/>
        <v>0</v>
      </c>
      <c r="BL12" s="11">
        <f t="shared" si="47"/>
        <v>0</v>
      </c>
      <c r="BM12" s="11">
        <f t="shared" si="48"/>
        <v>0</v>
      </c>
      <c r="BN12" s="11">
        <f t="shared" si="49"/>
        <v>0</v>
      </c>
      <c r="BO12" s="11">
        <f t="shared" si="50"/>
        <v>0</v>
      </c>
      <c r="BP12" s="11">
        <f t="shared" si="51"/>
        <v>0</v>
      </c>
      <c r="BQ12" s="11">
        <f t="shared" si="52"/>
        <v>0</v>
      </c>
      <c r="BR12" s="11">
        <f t="shared" si="53"/>
        <v>0</v>
      </c>
      <c r="BS12" s="11">
        <f t="shared" si="54"/>
        <v>0</v>
      </c>
      <c r="BT12" s="11">
        <f t="shared" si="55"/>
        <v>0</v>
      </c>
      <c r="BU12" s="11">
        <f t="shared" si="56"/>
        <v>0</v>
      </c>
      <c r="BV12" s="11">
        <f t="shared" si="57"/>
        <v>0</v>
      </c>
      <c r="BW12" s="11">
        <f t="shared" si="58"/>
        <v>0</v>
      </c>
      <c r="BX12" s="11">
        <f t="shared" si="59"/>
        <v>0</v>
      </c>
      <c r="BY12" s="11">
        <f t="shared" si="60"/>
        <v>0</v>
      </c>
      <c r="BZ12" s="11">
        <f t="shared" si="61"/>
        <v>0</v>
      </c>
      <c r="CA12" s="11">
        <f t="shared" si="62"/>
        <v>0</v>
      </c>
      <c r="CB12" s="11">
        <f t="shared" si="63"/>
        <v>0</v>
      </c>
      <c r="CC12" s="11">
        <f t="shared" si="64"/>
        <v>0</v>
      </c>
      <c r="CD12" s="11">
        <f t="shared" si="65"/>
        <v>0</v>
      </c>
      <c r="CE12" s="11">
        <f t="shared" si="66"/>
        <v>0</v>
      </c>
      <c r="CF12" s="11">
        <f t="shared" si="67"/>
        <v>0</v>
      </c>
      <c r="CG12" s="11">
        <f t="shared" si="68"/>
        <v>0</v>
      </c>
      <c r="CH12" s="11">
        <f t="shared" si="69"/>
        <v>0</v>
      </c>
      <c r="CI12" s="11">
        <f t="shared" si="70"/>
        <v>0</v>
      </c>
      <c r="CJ12" s="11">
        <f t="shared" si="71"/>
        <v>0</v>
      </c>
      <c r="CK12" s="11">
        <f t="shared" si="72"/>
        <v>0</v>
      </c>
      <c r="CL12" s="11">
        <f t="shared" si="73"/>
        <v>0</v>
      </c>
      <c r="CM12" s="11">
        <f t="shared" si="74"/>
        <v>1</v>
      </c>
      <c r="CN12" s="11">
        <f t="shared" si="75"/>
        <v>0</v>
      </c>
      <c r="CO12" s="11">
        <f t="shared" si="76"/>
        <v>0</v>
      </c>
      <c r="CP12" s="11">
        <f t="shared" si="77"/>
        <v>0</v>
      </c>
      <c r="CQ12" s="11">
        <f t="shared" si="78"/>
        <v>0</v>
      </c>
      <c r="CR12" s="11">
        <f t="shared" si="79"/>
        <v>0</v>
      </c>
      <c r="CS12" s="11">
        <f t="shared" si="80"/>
        <v>0</v>
      </c>
      <c r="CT12" s="11">
        <f t="shared" si="81"/>
        <v>1</v>
      </c>
      <c r="CU12" s="11">
        <f t="shared" si="82"/>
        <v>0</v>
      </c>
      <c r="CV12" s="11">
        <f t="shared" si="83"/>
        <v>0</v>
      </c>
      <c r="CW12" s="11">
        <f t="shared" si="84"/>
        <v>0</v>
      </c>
      <c r="CX12" s="11">
        <f t="shared" si="85"/>
        <v>0</v>
      </c>
      <c r="CY12" s="11">
        <f t="shared" si="86"/>
        <v>0</v>
      </c>
      <c r="CZ12" s="11">
        <f t="shared" si="87"/>
        <v>0</v>
      </c>
      <c r="DA12" s="11">
        <f t="shared" si="88"/>
        <v>0</v>
      </c>
      <c r="DB12" s="11">
        <f t="shared" si="89"/>
        <v>1</v>
      </c>
      <c r="DC12" s="11">
        <f t="shared" si="90"/>
        <v>0</v>
      </c>
      <c r="DD12" s="11">
        <f t="shared" si="91"/>
        <v>0</v>
      </c>
      <c r="DE12" s="11">
        <f t="shared" si="92"/>
        <v>0</v>
      </c>
      <c r="DF12" s="11">
        <f t="shared" si="93"/>
        <v>0</v>
      </c>
      <c r="DG12" s="11">
        <f t="shared" si="94"/>
        <v>0</v>
      </c>
      <c r="DH12" s="11">
        <f t="shared" si="95"/>
        <v>0</v>
      </c>
      <c r="DI12" s="11">
        <f t="shared" si="96"/>
        <v>0</v>
      </c>
      <c r="DJ12" s="11">
        <f t="shared" si="97"/>
        <v>0</v>
      </c>
      <c r="DK12" s="11">
        <f t="shared" si="98"/>
        <v>0</v>
      </c>
      <c r="DL12" s="11">
        <f t="shared" si="99"/>
        <v>0</v>
      </c>
      <c r="DM12" s="11">
        <f t="shared" si="100"/>
        <v>0</v>
      </c>
      <c r="DN12" s="11">
        <f t="shared" si="101"/>
        <v>0</v>
      </c>
      <c r="DO12" s="11">
        <f t="shared" si="102"/>
        <v>0</v>
      </c>
      <c r="DP12" s="11">
        <f t="shared" si="103"/>
        <v>0</v>
      </c>
      <c r="DQ12" s="11">
        <f t="shared" si="104"/>
        <v>0</v>
      </c>
      <c r="DR12" s="11">
        <f t="shared" si="105"/>
        <v>0</v>
      </c>
      <c r="DS12" s="11">
        <f t="shared" si="106"/>
        <v>0</v>
      </c>
      <c r="DT12" s="11">
        <f t="shared" si="107"/>
        <v>0</v>
      </c>
      <c r="DU12" s="11">
        <f t="shared" si="108"/>
        <v>0</v>
      </c>
      <c r="DV12" s="11">
        <f t="shared" si="109"/>
        <v>0</v>
      </c>
      <c r="DW12" s="11">
        <f t="shared" si="110"/>
        <v>0</v>
      </c>
      <c r="DX12" s="11">
        <f t="shared" si="111"/>
        <v>0</v>
      </c>
      <c r="DY12" s="11">
        <f t="shared" si="112"/>
        <v>0</v>
      </c>
      <c r="DZ12" s="11">
        <f t="shared" si="113"/>
        <v>0</v>
      </c>
      <c r="EA12" s="11">
        <f t="shared" si="114"/>
        <v>0</v>
      </c>
      <c r="EB12" s="11">
        <f t="shared" si="115"/>
        <v>0</v>
      </c>
      <c r="EC12" s="11">
        <f t="shared" si="116"/>
        <v>0</v>
      </c>
      <c r="ED12" s="11">
        <f t="shared" si="117"/>
        <v>0</v>
      </c>
      <c r="EE12" s="11">
        <f t="shared" si="118"/>
        <v>0</v>
      </c>
    </row>
    <row r="13" spans="1:135" ht="15" customHeight="1" x14ac:dyDescent="0.2">
      <c r="A13" s="5" t="s">
        <v>1213</v>
      </c>
      <c r="B13" s="5" t="s">
        <v>1215</v>
      </c>
      <c r="C13" s="5" t="s">
        <v>1216</v>
      </c>
      <c r="D13" s="5" t="s">
        <v>1216</v>
      </c>
      <c r="E13" s="5" t="s">
        <v>1216</v>
      </c>
      <c r="F13" s="5" t="s">
        <v>259</v>
      </c>
      <c r="G13" s="5"/>
      <c r="H13" s="5" t="s">
        <v>1638</v>
      </c>
      <c r="I13" s="5"/>
      <c r="J13" s="5" t="s">
        <v>1219</v>
      </c>
      <c r="K13" s="5"/>
      <c r="L13" s="5" t="s">
        <v>119</v>
      </c>
      <c r="M13" s="5" t="s">
        <v>1494</v>
      </c>
      <c r="N13" s="5" t="s">
        <v>119</v>
      </c>
      <c r="O13" s="5" t="s">
        <v>120</v>
      </c>
      <c r="P13" s="5" t="s">
        <v>1639</v>
      </c>
      <c r="Q13" s="10" t="str">
        <f t="shared" si="0"/>
        <v>Stage IV Only</v>
      </c>
      <c r="R13" s="10" t="str">
        <f t="shared" si="1"/>
        <v>Unspecified</v>
      </c>
      <c r="S13" s="10" t="str">
        <f t="shared" si="2"/>
        <v>All-comers</v>
      </c>
      <c r="T13" s="10">
        <f t="shared" si="3"/>
        <v>0</v>
      </c>
      <c r="U13" s="10">
        <f t="shared" si="4"/>
        <v>0</v>
      </c>
      <c r="V13" s="11">
        <f t="shared" si="5"/>
        <v>0</v>
      </c>
      <c r="W13" s="11">
        <f t="shared" si="6"/>
        <v>0</v>
      </c>
      <c r="X13" s="11">
        <f t="shared" si="7"/>
        <v>0</v>
      </c>
      <c r="Y13" s="11">
        <f t="shared" si="8"/>
        <v>0</v>
      </c>
      <c r="Z13" s="11">
        <f t="shared" si="9"/>
        <v>0</v>
      </c>
      <c r="AA13" s="11">
        <f t="shared" si="10"/>
        <v>0</v>
      </c>
      <c r="AB13" s="11">
        <f t="shared" si="11"/>
        <v>0</v>
      </c>
      <c r="AC13" s="11">
        <f t="shared" si="12"/>
        <v>0</v>
      </c>
      <c r="AD13" s="11">
        <f t="shared" si="13"/>
        <v>0</v>
      </c>
      <c r="AE13" s="11">
        <f t="shared" si="14"/>
        <v>0</v>
      </c>
      <c r="AF13" s="11">
        <f t="shared" si="15"/>
        <v>0</v>
      </c>
      <c r="AG13" s="11">
        <f t="shared" si="16"/>
        <v>0</v>
      </c>
      <c r="AH13" s="11">
        <f t="shared" si="17"/>
        <v>0</v>
      </c>
      <c r="AI13" s="11">
        <f t="shared" si="18"/>
        <v>0</v>
      </c>
      <c r="AJ13" s="11">
        <f t="shared" si="19"/>
        <v>0</v>
      </c>
      <c r="AK13" s="11">
        <f t="shared" si="20"/>
        <v>0</v>
      </c>
      <c r="AL13" s="11">
        <f t="shared" si="21"/>
        <v>0</v>
      </c>
      <c r="AM13" s="11">
        <f t="shared" si="22"/>
        <v>0</v>
      </c>
      <c r="AN13" s="11">
        <f t="shared" si="23"/>
        <v>0</v>
      </c>
      <c r="AO13" s="11">
        <f t="shared" si="24"/>
        <v>0</v>
      </c>
      <c r="AP13" s="11">
        <f t="shared" si="25"/>
        <v>0</v>
      </c>
      <c r="AQ13" s="11">
        <f t="shared" si="26"/>
        <v>0</v>
      </c>
      <c r="AR13" s="11">
        <f t="shared" si="27"/>
        <v>0</v>
      </c>
      <c r="AS13" s="11">
        <f t="shared" si="28"/>
        <v>0</v>
      </c>
      <c r="AT13" s="11">
        <f t="shared" si="29"/>
        <v>0</v>
      </c>
      <c r="AU13" s="11">
        <f t="shared" si="30"/>
        <v>0</v>
      </c>
      <c r="AV13" s="11">
        <f t="shared" si="31"/>
        <v>0</v>
      </c>
      <c r="AW13" s="11">
        <f t="shared" si="32"/>
        <v>0</v>
      </c>
      <c r="AX13" s="11">
        <f t="shared" si="33"/>
        <v>0</v>
      </c>
      <c r="AY13" s="11">
        <f t="shared" si="34"/>
        <v>0</v>
      </c>
      <c r="AZ13" s="11">
        <f t="shared" si="35"/>
        <v>0</v>
      </c>
      <c r="BA13" s="11">
        <f t="shared" si="36"/>
        <v>0</v>
      </c>
      <c r="BB13" s="11">
        <f t="shared" si="37"/>
        <v>0</v>
      </c>
      <c r="BC13" s="11">
        <f t="shared" si="38"/>
        <v>0</v>
      </c>
      <c r="BD13" s="11">
        <f t="shared" si="39"/>
        <v>0</v>
      </c>
      <c r="BE13" s="11">
        <f t="shared" si="40"/>
        <v>0</v>
      </c>
      <c r="BF13" s="11">
        <f t="shared" si="41"/>
        <v>0</v>
      </c>
      <c r="BG13" s="11">
        <f t="shared" si="42"/>
        <v>0</v>
      </c>
      <c r="BH13" s="11">
        <f t="shared" si="43"/>
        <v>0</v>
      </c>
      <c r="BI13" s="11">
        <f t="shared" si="44"/>
        <v>0</v>
      </c>
      <c r="BJ13" s="11">
        <f t="shared" si="45"/>
        <v>0</v>
      </c>
      <c r="BK13" s="11">
        <f t="shared" si="46"/>
        <v>0</v>
      </c>
      <c r="BL13" s="11">
        <f t="shared" si="47"/>
        <v>0</v>
      </c>
      <c r="BM13" s="11">
        <f t="shared" si="48"/>
        <v>0</v>
      </c>
      <c r="BN13" s="11">
        <f t="shared" si="49"/>
        <v>0</v>
      </c>
      <c r="BO13" s="11">
        <f t="shared" si="50"/>
        <v>0</v>
      </c>
      <c r="BP13" s="11">
        <f t="shared" si="51"/>
        <v>0</v>
      </c>
      <c r="BQ13" s="11">
        <f t="shared" si="52"/>
        <v>0</v>
      </c>
      <c r="BR13" s="11">
        <f t="shared" si="53"/>
        <v>0</v>
      </c>
      <c r="BS13" s="11">
        <f t="shared" si="54"/>
        <v>0</v>
      </c>
      <c r="BT13" s="11">
        <f t="shared" si="55"/>
        <v>0</v>
      </c>
      <c r="BU13" s="11">
        <f t="shared" si="56"/>
        <v>0</v>
      </c>
      <c r="BV13" s="11">
        <f t="shared" si="57"/>
        <v>0</v>
      </c>
      <c r="BW13" s="11">
        <f t="shared" si="58"/>
        <v>0</v>
      </c>
      <c r="BX13" s="11">
        <f t="shared" si="59"/>
        <v>0</v>
      </c>
      <c r="BY13" s="11">
        <f t="shared" si="60"/>
        <v>0</v>
      </c>
      <c r="BZ13" s="11">
        <f t="shared" si="61"/>
        <v>0</v>
      </c>
      <c r="CA13" s="11">
        <f t="shared" si="62"/>
        <v>0</v>
      </c>
      <c r="CB13" s="11">
        <f t="shared" si="63"/>
        <v>0</v>
      </c>
      <c r="CC13" s="11">
        <f t="shared" si="64"/>
        <v>0</v>
      </c>
      <c r="CD13" s="11">
        <f t="shared" si="65"/>
        <v>0</v>
      </c>
      <c r="CE13" s="11">
        <f t="shared" si="66"/>
        <v>0</v>
      </c>
      <c r="CF13" s="11">
        <f t="shared" si="67"/>
        <v>0</v>
      </c>
      <c r="CG13" s="11">
        <f t="shared" si="68"/>
        <v>0</v>
      </c>
      <c r="CH13" s="11">
        <f t="shared" si="69"/>
        <v>0</v>
      </c>
      <c r="CI13" s="11">
        <f t="shared" si="70"/>
        <v>0</v>
      </c>
      <c r="CJ13" s="11">
        <f t="shared" si="71"/>
        <v>0</v>
      </c>
      <c r="CK13" s="11">
        <f t="shared" si="72"/>
        <v>0</v>
      </c>
      <c r="CL13" s="11">
        <f t="shared" si="73"/>
        <v>0</v>
      </c>
      <c r="CM13" s="11">
        <f t="shared" si="74"/>
        <v>0</v>
      </c>
      <c r="CN13" s="11">
        <f t="shared" si="75"/>
        <v>0</v>
      </c>
      <c r="CO13" s="11">
        <f t="shared" si="76"/>
        <v>0</v>
      </c>
      <c r="CP13" s="11">
        <f t="shared" si="77"/>
        <v>0</v>
      </c>
      <c r="CQ13" s="11">
        <f t="shared" si="78"/>
        <v>0</v>
      </c>
      <c r="CR13" s="11">
        <f t="shared" si="79"/>
        <v>0</v>
      </c>
      <c r="CS13" s="11">
        <f t="shared" si="80"/>
        <v>0</v>
      </c>
      <c r="CT13" s="11">
        <f t="shared" si="81"/>
        <v>0</v>
      </c>
      <c r="CU13" s="11">
        <f t="shared" si="82"/>
        <v>0</v>
      </c>
      <c r="CV13" s="11">
        <f t="shared" si="83"/>
        <v>0</v>
      </c>
      <c r="CW13" s="11">
        <f t="shared" si="84"/>
        <v>0</v>
      </c>
      <c r="CX13" s="11">
        <f t="shared" si="85"/>
        <v>0</v>
      </c>
      <c r="CY13" s="11">
        <f t="shared" si="86"/>
        <v>0</v>
      </c>
      <c r="CZ13" s="11">
        <f t="shared" si="87"/>
        <v>0</v>
      </c>
      <c r="DA13" s="11">
        <f t="shared" si="88"/>
        <v>0</v>
      </c>
      <c r="DB13" s="11">
        <f t="shared" si="89"/>
        <v>0</v>
      </c>
      <c r="DC13" s="11">
        <f t="shared" si="90"/>
        <v>0</v>
      </c>
      <c r="DD13" s="11">
        <f t="shared" si="91"/>
        <v>0</v>
      </c>
      <c r="DE13" s="11">
        <f t="shared" si="92"/>
        <v>0</v>
      </c>
      <c r="DF13" s="11">
        <f t="shared" si="93"/>
        <v>0</v>
      </c>
      <c r="DG13" s="11">
        <f t="shared" si="94"/>
        <v>0</v>
      </c>
      <c r="DH13" s="11">
        <f t="shared" si="95"/>
        <v>0</v>
      </c>
      <c r="DI13" s="11">
        <f t="shared" si="96"/>
        <v>0</v>
      </c>
      <c r="DJ13" s="11">
        <f t="shared" si="97"/>
        <v>0</v>
      </c>
      <c r="DK13" s="11">
        <f t="shared" si="98"/>
        <v>0</v>
      </c>
      <c r="DL13" s="11">
        <f t="shared" si="99"/>
        <v>0</v>
      </c>
      <c r="DM13" s="11">
        <f t="shared" si="100"/>
        <v>0</v>
      </c>
      <c r="DN13" s="11">
        <f t="shared" si="101"/>
        <v>0</v>
      </c>
      <c r="DO13" s="11">
        <f t="shared" si="102"/>
        <v>0</v>
      </c>
      <c r="DP13" s="11">
        <f t="shared" si="103"/>
        <v>0</v>
      </c>
      <c r="DQ13" s="11">
        <f t="shared" si="104"/>
        <v>0</v>
      </c>
      <c r="DR13" s="11">
        <f t="shared" si="105"/>
        <v>0</v>
      </c>
      <c r="DS13" s="11">
        <f t="shared" si="106"/>
        <v>0</v>
      </c>
      <c r="DT13" s="11">
        <f t="shared" si="107"/>
        <v>0</v>
      </c>
      <c r="DU13" s="11">
        <f t="shared" si="108"/>
        <v>0</v>
      </c>
      <c r="DV13" s="11">
        <f t="shared" si="109"/>
        <v>0</v>
      </c>
      <c r="DW13" s="11">
        <f t="shared" si="110"/>
        <v>0</v>
      </c>
      <c r="DX13" s="11">
        <f t="shared" si="111"/>
        <v>0</v>
      </c>
      <c r="DY13" s="11">
        <f t="shared" si="112"/>
        <v>0</v>
      </c>
      <c r="DZ13" s="11">
        <f t="shared" si="113"/>
        <v>0</v>
      </c>
      <c r="EA13" s="11">
        <f t="shared" si="114"/>
        <v>0</v>
      </c>
      <c r="EB13" s="11">
        <f t="shared" si="115"/>
        <v>0</v>
      </c>
      <c r="EC13" s="11">
        <f t="shared" si="116"/>
        <v>0</v>
      </c>
      <c r="ED13" s="11">
        <f t="shared" si="117"/>
        <v>0</v>
      </c>
      <c r="EE13" s="11">
        <f t="shared" si="118"/>
        <v>0</v>
      </c>
    </row>
    <row r="14" spans="1:135" ht="15" customHeight="1" x14ac:dyDescent="0.2">
      <c r="A14" s="3" t="s">
        <v>866</v>
      </c>
      <c r="B14" s="3" t="s">
        <v>868</v>
      </c>
      <c r="C14" s="3" t="s">
        <v>869</v>
      </c>
      <c r="D14" s="3" t="s">
        <v>869</v>
      </c>
      <c r="E14" s="3" t="s">
        <v>869</v>
      </c>
      <c r="F14" s="3" t="s">
        <v>572</v>
      </c>
      <c r="G14" s="3" t="s">
        <v>181</v>
      </c>
      <c r="H14" s="3" t="s">
        <v>1638</v>
      </c>
      <c r="I14" s="3" t="s">
        <v>1648</v>
      </c>
      <c r="J14" s="3" t="s">
        <v>872</v>
      </c>
      <c r="K14" s="3" t="s">
        <v>1659</v>
      </c>
      <c r="L14" s="3" t="s">
        <v>119</v>
      </c>
      <c r="M14" s="3" t="s">
        <v>1494</v>
      </c>
      <c r="N14" s="3" t="s">
        <v>120</v>
      </c>
      <c r="O14" s="3" t="s">
        <v>120</v>
      </c>
      <c r="P14" s="3" t="s">
        <v>1647</v>
      </c>
      <c r="Q14" s="10" t="str">
        <f t="shared" si="0"/>
        <v>Stage IV + Other</v>
      </c>
      <c r="R14" s="10" t="str">
        <f t="shared" si="1"/>
        <v>Non-squamous</v>
      </c>
      <c r="S14" s="10" t="str">
        <f t="shared" si="2"/>
        <v>All-comers</v>
      </c>
      <c r="T14" s="10">
        <f t="shared" si="3"/>
        <v>0</v>
      </c>
      <c r="U14" s="10">
        <f t="shared" si="4"/>
        <v>0</v>
      </c>
      <c r="V14" s="11">
        <f t="shared" si="5"/>
        <v>0</v>
      </c>
      <c r="W14" s="11">
        <f t="shared" si="6"/>
        <v>0</v>
      </c>
      <c r="X14" s="11">
        <f t="shared" si="7"/>
        <v>0</v>
      </c>
      <c r="Y14" s="11">
        <f t="shared" si="8"/>
        <v>0</v>
      </c>
      <c r="Z14" s="11">
        <f t="shared" si="9"/>
        <v>0</v>
      </c>
      <c r="AA14" s="11">
        <f t="shared" si="10"/>
        <v>0</v>
      </c>
      <c r="AB14" s="11">
        <f t="shared" si="11"/>
        <v>1</v>
      </c>
      <c r="AC14" s="11">
        <f t="shared" si="12"/>
        <v>0</v>
      </c>
      <c r="AD14" s="11">
        <f t="shared" si="13"/>
        <v>0</v>
      </c>
      <c r="AE14" s="11">
        <f t="shared" si="14"/>
        <v>0</v>
      </c>
      <c r="AF14" s="11">
        <f t="shared" si="15"/>
        <v>0</v>
      </c>
      <c r="AG14" s="11">
        <f t="shared" si="16"/>
        <v>0</v>
      </c>
      <c r="AH14" s="11">
        <f t="shared" si="17"/>
        <v>0</v>
      </c>
      <c r="AI14" s="11">
        <f t="shared" si="18"/>
        <v>0</v>
      </c>
      <c r="AJ14" s="11">
        <f t="shared" si="19"/>
        <v>0</v>
      </c>
      <c r="AK14" s="11">
        <f t="shared" si="20"/>
        <v>0</v>
      </c>
      <c r="AL14" s="11">
        <f t="shared" si="21"/>
        <v>0</v>
      </c>
      <c r="AM14" s="11">
        <f t="shared" si="22"/>
        <v>0</v>
      </c>
      <c r="AN14" s="11">
        <f t="shared" si="23"/>
        <v>0</v>
      </c>
      <c r="AO14" s="11">
        <f t="shared" si="24"/>
        <v>0</v>
      </c>
      <c r="AP14" s="11">
        <f t="shared" si="25"/>
        <v>0</v>
      </c>
      <c r="AQ14" s="11">
        <f t="shared" si="26"/>
        <v>0</v>
      </c>
      <c r="AR14" s="11">
        <f t="shared" si="27"/>
        <v>0</v>
      </c>
      <c r="AS14" s="11">
        <f t="shared" si="28"/>
        <v>0</v>
      </c>
      <c r="AT14" s="11">
        <f t="shared" si="29"/>
        <v>0</v>
      </c>
      <c r="AU14" s="11">
        <f t="shared" si="30"/>
        <v>0</v>
      </c>
      <c r="AV14" s="11">
        <f t="shared" si="31"/>
        <v>0</v>
      </c>
      <c r="AW14" s="11">
        <f t="shared" si="32"/>
        <v>0</v>
      </c>
      <c r="AX14" s="11">
        <f t="shared" si="33"/>
        <v>0</v>
      </c>
      <c r="AY14" s="11">
        <f t="shared" si="34"/>
        <v>0</v>
      </c>
      <c r="AZ14" s="11">
        <f t="shared" si="35"/>
        <v>0</v>
      </c>
      <c r="BA14" s="11">
        <f t="shared" si="36"/>
        <v>0</v>
      </c>
      <c r="BB14" s="11">
        <f t="shared" si="37"/>
        <v>0</v>
      </c>
      <c r="BC14" s="11">
        <f t="shared" si="38"/>
        <v>0</v>
      </c>
      <c r="BD14" s="11">
        <f t="shared" si="39"/>
        <v>0</v>
      </c>
      <c r="BE14" s="11">
        <f t="shared" si="40"/>
        <v>0</v>
      </c>
      <c r="BF14" s="11">
        <f t="shared" si="41"/>
        <v>0</v>
      </c>
      <c r="BG14" s="11">
        <f t="shared" si="42"/>
        <v>0</v>
      </c>
      <c r="BH14" s="11">
        <f t="shared" si="43"/>
        <v>0</v>
      </c>
      <c r="BI14" s="11">
        <f t="shared" si="44"/>
        <v>0</v>
      </c>
      <c r="BJ14" s="11">
        <f t="shared" si="45"/>
        <v>0</v>
      </c>
      <c r="BK14" s="11">
        <f t="shared" si="46"/>
        <v>0</v>
      </c>
      <c r="BL14" s="11">
        <f t="shared" si="47"/>
        <v>0</v>
      </c>
      <c r="BM14" s="11">
        <f t="shared" si="48"/>
        <v>0</v>
      </c>
      <c r="BN14" s="11">
        <f t="shared" si="49"/>
        <v>0</v>
      </c>
      <c r="BO14" s="11">
        <f t="shared" si="50"/>
        <v>0</v>
      </c>
      <c r="BP14" s="11">
        <f t="shared" si="51"/>
        <v>0</v>
      </c>
      <c r="BQ14" s="11">
        <f t="shared" si="52"/>
        <v>0</v>
      </c>
      <c r="BR14" s="11">
        <f t="shared" si="53"/>
        <v>1</v>
      </c>
      <c r="BS14" s="11">
        <f t="shared" si="54"/>
        <v>0</v>
      </c>
      <c r="BT14" s="11">
        <f t="shared" si="55"/>
        <v>0</v>
      </c>
      <c r="BU14" s="11">
        <f t="shared" si="56"/>
        <v>0</v>
      </c>
      <c r="BV14" s="11">
        <f t="shared" si="57"/>
        <v>0</v>
      </c>
      <c r="BW14" s="11">
        <f t="shared" si="58"/>
        <v>0</v>
      </c>
      <c r="BX14" s="11">
        <f t="shared" si="59"/>
        <v>0</v>
      </c>
      <c r="BY14" s="11">
        <f t="shared" si="60"/>
        <v>0</v>
      </c>
      <c r="BZ14" s="11">
        <f t="shared" si="61"/>
        <v>0</v>
      </c>
      <c r="CA14" s="11">
        <f t="shared" si="62"/>
        <v>0</v>
      </c>
      <c r="CB14" s="11">
        <f t="shared" si="63"/>
        <v>0</v>
      </c>
      <c r="CC14" s="11">
        <f t="shared" si="64"/>
        <v>0</v>
      </c>
      <c r="CD14" s="11">
        <f t="shared" si="65"/>
        <v>0</v>
      </c>
      <c r="CE14" s="11">
        <f t="shared" si="66"/>
        <v>0</v>
      </c>
      <c r="CF14" s="11">
        <f t="shared" si="67"/>
        <v>0</v>
      </c>
      <c r="CG14" s="11">
        <f t="shared" si="68"/>
        <v>0</v>
      </c>
      <c r="CH14" s="11">
        <f t="shared" si="69"/>
        <v>1</v>
      </c>
      <c r="CI14" s="11">
        <f t="shared" si="70"/>
        <v>1</v>
      </c>
      <c r="CJ14" s="11">
        <f t="shared" si="71"/>
        <v>1</v>
      </c>
      <c r="CK14" s="11">
        <f t="shared" si="72"/>
        <v>0</v>
      </c>
      <c r="CL14" s="11">
        <f t="shared" si="73"/>
        <v>0</v>
      </c>
      <c r="CM14" s="11">
        <f t="shared" si="74"/>
        <v>0</v>
      </c>
      <c r="CN14" s="11">
        <f t="shared" si="75"/>
        <v>0</v>
      </c>
      <c r="CO14" s="11">
        <f t="shared" si="76"/>
        <v>0</v>
      </c>
      <c r="CP14" s="11">
        <f t="shared" si="77"/>
        <v>0</v>
      </c>
      <c r="CQ14" s="11">
        <f t="shared" si="78"/>
        <v>0</v>
      </c>
      <c r="CR14" s="11">
        <f t="shared" si="79"/>
        <v>1</v>
      </c>
      <c r="CS14" s="11">
        <f t="shared" si="80"/>
        <v>1</v>
      </c>
      <c r="CT14" s="11">
        <f t="shared" si="81"/>
        <v>1</v>
      </c>
      <c r="CU14" s="11">
        <f t="shared" si="82"/>
        <v>1</v>
      </c>
      <c r="CV14" s="11">
        <f t="shared" si="83"/>
        <v>0</v>
      </c>
      <c r="CW14" s="11">
        <f t="shared" si="84"/>
        <v>1</v>
      </c>
      <c r="CX14" s="11">
        <f t="shared" si="85"/>
        <v>0</v>
      </c>
      <c r="CY14" s="11">
        <f t="shared" si="86"/>
        <v>0</v>
      </c>
      <c r="CZ14" s="11">
        <f t="shared" si="87"/>
        <v>0</v>
      </c>
      <c r="DA14" s="11">
        <f t="shared" si="88"/>
        <v>0</v>
      </c>
      <c r="DB14" s="11">
        <f t="shared" si="89"/>
        <v>0</v>
      </c>
      <c r="DC14" s="11">
        <f t="shared" si="90"/>
        <v>0</v>
      </c>
      <c r="DD14" s="11">
        <f t="shared" si="91"/>
        <v>0</v>
      </c>
      <c r="DE14" s="11">
        <f t="shared" si="92"/>
        <v>0</v>
      </c>
      <c r="DF14" s="11">
        <f t="shared" si="93"/>
        <v>0</v>
      </c>
      <c r="DG14" s="11">
        <f t="shared" si="94"/>
        <v>0</v>
      </c>
      <c r="DH14" s="11">
        <f t="shared" si="95"/>
        <v>0</v>
      </c>
      <c r="DI14" s="11">
        <f t="shared" si="96"/>
        <v>0</v>
      </c>
      <c r="DJ14" s="11">
        <f t="shared" si="97"/>
        <v>0</v>
      </c>
      <c r="DK14" s="11">
        <f t="shared" si="98"/>
        <v>0</v>
      </c>
      <c r="DL14" s="11">
        <f t="shared" si="99"/>
        <v>0</v>
      </c>
      <c r="DM14" s="11">
        <f t="shared" si="100"/>
        <v>0</v>
      </c>
      <c r="DN14" s="11">
        <f t="shared" si="101"/>
        <v>0</v>
      </c>
      <c r="DO14" s="11">
        <f t="shared" si="102"/>
        <v>0</v>
      </c>
      <c r="DP14" s="11">
        <f t="shared" si="103"/>
        <v>0</v>
      </c>
      <c r="DQ14" s="11">
        <f t="shared" si="104"/>
        <v>0</v>
      </c>
      <c r="DR14" s="11">
        <f t="shared" si="105"/>
        <v>0</v>
      </c>
      <c r="DS14" s="11">
        <f t="shared" si="106"/>
        <v>0</v>
      </c>
      <c r="DT14" s="11">
        <f t="shared" si="107"/>
        <v>0</v>
      </c>
      <c r="DU14" s="11">
        <f t="shared" si="108"/>
        <v>0</v>
      </c>
      <c r="DV14" s="11">
        <f t="shared" si="109"/>
        <v>0</v>
      </c>
      <c r="DW14" s="11">
        <f t="shared" si="110"/>
        <v>0</v>
      </c>
      <c r="DX14" s="11">
        <f t="shared" si="111"/>
        <v>0</v>
      </c>
      <c r="DY14" s="11">
        <f t="shared" si="112"/>
        <v>0</v>
      </c>
      <c r="DZ14" s="11">
        <f t="shared" si="113"/>
        <v>0</v>
      </c>
      <c r="EA14" s="11">
        <f t="shared" si="114"/>
        <v>0</v>
      </c>
      <c r="EB14" s="11">
        <f t="shared" si="115"/>
        <v>0</v>
      </c>
      <c r="EC14" s="11">
        <f t="shared" si="116"/>
        <v>0</v>
      </c>
      <c r="ED14" s="11">
        <f t="shared" si="117"/>
        <v>0</v>
      </c>
      <c r="EE14" s="11">
        <f t="shared" si="118"/>
        <v>0</v>
      </c>
    </row>
    <row r="15" spans="1:135" ht="15" customHeight="1" x14ac:dyDescent="0.2">
      <c r="A15" s="5" t="s">
        <v>1660</v>
      </c>
      <c r="B15" s="5" t="s">
        <v>1662</v>
      </c>
      <c r="C15" s="5" t="s">
        <v>1663</v>
      </c>
      <c r="D15" s="5" t="s">
        <v>1663</v>
      </c>
      <c r="E15" s="5" t="s">
        <v>1663</v>
      </c>
      <c r="F15" s="5" t="s">
        <v>236</v>
      </c>
      <c r="G15" s="5" t="s">
        <v>181</v>
      </c>
      <c r="H15" s="5" t="s">
        <v>114</v>
      </c>
      <c r="I15" s="5" t="s">
        <v>1666</v>
      </c>
      <c r="J15" s="5" t="s">
        <v>1369</v>
      </c>
      <c r="K15" s="5" t="s">
        <v>1032</v>
      </c>
      <c r="L15" s="5" t="s">
        <v>119</v>
      </c>
      <c r="M15" s="5" t="s">
        <v>1494</v>
      </c>
      <c r="N15" s="5" t="s">
        <v>119</v>
      </c>
      <c r="O15" s="5" t="s">
        <v>120</v>
      </c>
      <c r="P15" s="5" t="s">
        <v>1664</v>
      </c>
      <c r="Q15" s="10" t="str">
        <f t="shared" si="0"/>
        <v>Stage IV + Other</v>
      </c>
      <c r="R15" s="10" t="str">
        <f t="shared" si="1"/>
        <v>Non-squamous</v>
      </c>
      <c r="S15" s="10" t="str">
        <f t="shared" si="2"/>
        <v>All-comers</v>
      </c>
      <c r="T15" s="10">
        <f t="shared" si="3"/>
        <v>1</v>
      </c>
      <c r="U15" s="10">
        <f t="shared" si="4"/>
        <v>0</v>
      </c>
      <c r="V15" s="11">
        <f t="shared" si="5"/>
        <v>0</v>
      </c>
      <c r="W15" s="11">
        <f t="shared" si="6"/>
        <v>0</v>
      </c>
      <c r="X15" s="11">
        <f t="shared" si="7"/>
        <v>0</v>
      </c>
      <c r="Y15" s="11">
        <f t="shared" si="8"/>
        <v>0</v>
      </c>
      <c r="Z15" s="11">
        <f t="shared" si="9"/>
        <v>0</v>
      </c>
      <c r="AA15" s="11">
        <f t="shared" si="10"/>
        <v>0</v>
      </c>
      <c r="AB15" s="11">
        <f t="shared" si="11"/>
        <v>0</v>
      </c>
      <c r="AC15" s="11">
        <f t="shared" si="12"/>
        <v>0</v>
      </c>
      <c r="AD15" s="11">
        <f t="shared" si="13"/>
        <v>0</v>
      </c>
      <c r="AE15" s="11">
        <f t="shared" si="14"/>
        <v>0</v>
      </c>
      <c r="AF15" s="11">
        <f t="shared" si="15"/>
        <v>1</v>
      </c>
      <c r="AG15" s="11">
        <f t="shared" si="16"/>
        <v>0</v>
      </c>
      <c r="AH15" s="11">
        <f t="shared" si="17"/>
        <v>0</v>
      </c>
      <c r="AI15" s="11">
        <f t="shared" si="18"/>
        <v>0</v>
      </c>
      <c r="AJ15" s="11">
        <f t="shared" si="19"/>
        <v>0</v>
      </c>
      <c r="AK15" s="11">
        <f t="shared" si="20"/>
        <v>0</v>
      </c>
      <c r="AL15" s="11">
        <f t="shared" si="21"/>
        <v>0</v>
      </c>
      <c r="AM15" s="11">
        <f t="shared" si="22"/>
        <v>0</v>
      </c>
      <c r="AN15" s="11">
        <f t="shared" si="23"/>
        <v>0</v>
      </c>
      <c r="AO15" s="11">
        <f t="shared" si="24"/>
        <v>0</v>
      </c>
      <c r="AP15" s="11">
        <f t="shared" si="25"/>
        <v>0</v>
      </c>
      <c r="AQ15" s="11">
        <f t="shared" si="26"/>
        <v>1</v>
      </c>
      <c r="AR15" s="11">
        <f t="shared" si="27"/>
        <v>1</v>
      </c>
      <c r="AS15" s="11">
        <f t="shared" si="28"/>
        <v>0</v>
      </c>
      <c r="AT15" s="11">
        <f t="shared" si="29"/>
        <v>0</v>
      </c>
      <c r="AU15" s="11">
        <f t="shared" si="30"/>
        <v>1</v>
      </c>
      <c r="AV15" s="11">
        <f t="shared" si="31"/>
        <v>0</v>
      </c>
      <c r="AW15" s="11">
        <f t="shared" si="32"/>
        <v>0</v>
      </c>
      <c r="AX15" s="11">
        <f t="shared" si="33"/>
        <v>0</v>
      </c>
      <c r="AY15" s="11">
        <f t="shared" si="34"/>
        <v>0</v>
      </c>
      <c r="AZ15" s="11">
        <f t="shared" si="35"/>
        <v>0</v>
      </c>
      <c r="BA15" s="11">
        <f t="shared" si="36"/>
        <v>0</v>
      </c>
      <c r="BB15" s="11">
        <f t="shared" si="37"/>
        <v>0</v>
      </c>
      <c r="BC15" s="11">
        <f t="shared" si="38"/>
        <v>0</v>
      </c>
      <c r="BD15" s="11">
        <f t="shared" si="39"/>
        <v>0</v>
      </c>
      <c r="BE15" s="11">
        <f t="shared" si="40"/>
        <v>0</v>
      </c>
      <c r="BF15" s="11">
        <f t="shared" si="41"/>
        <v>0</v>
      </c>
      <c r="BG15" s="11">
        <f t="shared" si="42"/>
        <v>0</v>
      </c>
      <c r="BH15" s="11">
        <f t="shared" si="43"/>
        <v>0</v>
      </c>
      <c r="BI15" s="11">
        <f t="shared" si="44"/>
        <v>0</v>
      </c>
      <c r="BJ15" s="11">
        <f t="shared" si="45"/>
        <v>0</v>
      </c>
      <c r="BK15" s="11">
        <f t="shared" si="46"/>
        <v>0</v>
      </c>
      <c r="BL15" s="11">
        <f t="shared" si="47"/>
        <v>1</v>
      </c>
      <c r="BM15" s="11">
        <f t="shared" si="48"/>
        <v>0</v>
      </c>
      <c r="BN15" s="11">
        <f t="shared" si="49"/>
        <v>0</v>
      </c>
      <c r="BO15" s="11">
        <f t="shared" si="50"/>
        <v>0</v>
      </c>
      <c r="BP15" s="11">
        <f t="shared" si="51"/>
        <v>0</v>
      </c>
      <c r="BQ15" s="11">
        <f t="shared" si="52"/>
        <v>0</v>
      </c>
      <c r="BR15" s="11">
        <f t="shared" si="53"/>
        <v>0</v>
      </c>
      <c r="BS15" s="11">
        <f t="shared" si="54"/>
        <v>0</v>
      </c>
      <c r="BT15" s="11">
        <f t="shared" si="55"/>
        <v>0</v>
      </c>
      <c r="BU15" s="11">
        <f t="shared" si="56"/>
        <v>0</v>
      </c>
      <c r="BV15" s="11">
        <f t="shared" si="57"/>
        <v>0</v>
      </c>
      <c r="BW15" s="11">
        <f t="shared" si="58"/>
        <v>0</v>
      </c>
      <c r="BX15" s="11">
        <f t="shared" si="59"/>
        <v>0</v>
      </c>
      <c r="BY15" s="11">
        <f t="shared" si="60"/>
        <v>0</v>
      </c>
      <c r="BZ15" s="11">
        <f t="shared" si="61"/>
        <v>0</v>
      </c>
      <c r="CA15" s="11">
        <f t="shared" si="62"/>
        <v>0</v>
      </c>
      <c r="CB15" s="11">
        <f t="shared" si="63"/>
        <v>0</v>
      </c>
      <c r="CC15" s="11">
        <f t="shared" si="64"/>
        <v>0</v>
      </c>
      <c r="CD15" s="11">
        <f t="shared" si="65"/>
        <v>0</v>
      </c>
      <c r="CE15" s="11">
        <f t="shared" si="66"/>
        <v>0</v>
      </c>
      <c r="CF15" s="11">
        <f t="shared" si="67"/>
        <v>0</v>
      </c>
      <c r="CG15" s="11">
        <f t="shared" si="68"/>
        <v>0</v>
      </c>
      <c r="CH15" s="11">
        <f t="shared" si="69"/>
        <v>0</v>
      </c>
      <c r="CI15" s="11">
        <f t="shared" si="70"/>
        <v>0</v>
      </c>
      <c r="CJ15" s="11">
        <f t="shared" si="71"/>
        <v>0</v>
      </c>
      <c r="CK15" s="11">
        <f t="shared" si="72"/>
        <v>0</v>
      </c>
      <c r="CL15" s="11">
        <f t="shared" si="73"/>
        <v>0</v>
      </c>
      <c r="CM15" s="11">
        <f t="shared" si="74"/>
        <v>0</v>
      </c>
      <c r="CN15" s="11">
        <f t="shared" si="75"/>
        <v>0</v>
      </c>
      <c r="CO15" s="11">
        <f t="shared" si="76"/>
        <v>0</v>
      </c>
      <c r="CP15" s="11">
        <f t="shared" si="77"/>
        <v>0</v>
      </c>
      <c r="CQ15" s="11">
        <f t="shared" si="78"/>
        <v>0</v>
      </c>
      <c r="CR15" s="11">
        <f t="shared" si="79"/>
        <v>0</v>
      </c>
      <c r="CS15" s="11">
        <f t="shared" si="80"/>
        <v>0</v>
      </c>
      <c r="CT15" s="11">
        <f t="shared" si="81"/>
        <v>0</v>
      </c>
      <c r="CU15" s="11">
        <f t="shared" si="82"/>
        <v>0</v>
      </c>
      <c r="CV15" s="11">
        <f t="shared" si="83"/>
        <v>0</v>
      </c>
      <c r="CW15" s="11">
        <f t="shared" si="84"/>
        <v>0</v>
      </c>
      <c r="CX15" s="11">
        <f t="shared" si="85"/>
        <v>0</v>
      </c>
      <c r="CY15" s="11">
        <f t="shared" si="86"/>
        <v>0</v>
      </c>
      <c r="CZ15" s="11">
        <f t="shared" si="87"/>
        <v>0</v>
      </c>
      <c r="DA15" s="11">
        <f t="shared" si="88"/>
        <v>0</v>
      </c>
      <c r="DB15" s="11">
        <f t="shared" si="89"/>
        <v>0</v>
      </c>
      <c r="DC15" s="11">
        <f t="shared" si="90"/>
        <v>0</v>
      </c>
      <c r="DD15" s="11">
        <f t="shared" si="91"/>
        <v>0</v>
      </c>
      <c r="DE15" s="11">
        <f t="shared" si="92"/>
        <v>0</v>
      </c>
      <c r="DF15" s="11">
        <f t="shared" si="93"/>
        <v>0</v>
      </c>
      <c r="DG15" s="11">
        <f t="shared" si="94"/>
        <v>0</v>
      </c>
      <c r="DH15" s="11">
        <f t="shared" si="95"/>
        <v>0</v>
      </c>
      <c r="DI15" s="11">
        <f t="shared" si="96"/>
        <v>0</v>
      </c>
      <c r="DJ15" s="11">
        <f t="shared" si="97"/>
        <v>1</v>
      </c>
      <c r="DK15" s="11">
        <f t="shared" si="98"/>
        <v>0</v>
      </c>
      <c r="DL15" s="11">
        <f t="shared" si="99"/>
        <v>0</v>
      </c>
      <c r="DM15" s="11">
        <f t="shared" si="100"/>
        <v>0</v>
      </c>
      <c r="DN15" s="11">
        <f t="shared" si="101"/>
        <v>0</v>
      </c>
      <c r="DO15" s="11">
        <f t="shared" si="102"/>
        <v>0</v>
      </c>
      <c r="DP15" s="11">
        <f t="shared" si="103"/>
        <v>0</v>
      </c>
      <c r="DQ15" s="11">
        <f t="shared" si="104"/>
        <v>0</v>
      </c>
      <c r="DR15" s="11">
        <f t="shared" si="105"/>
        <v>0</v>
      </c>
      <c r="DS15" s="11">
        <f t="shared" si="106"/>
        <v>0</v>
      </c>
      <c r="DT15" s="11">
        <f t="shared" si="107"/>
        <v>0</v>
      </c>
      <c r="DU15" s="11">
        <f t="shared" si="108"/>
        <v>0</v>
      </c>
      <c r="DV15" s="11">
        <f t="shared" si="109"/>
        <v>0</v>
      </c>
      <c r="DW15" s="11">
        <f t="shared" si="110"/>
        <v>0</v>
      </c>
      <c r="DX15" s="11">
        <f t="shared" si="111"/>
        <v>0</v>
      </c>
      <c r="DY15" s="11">
        <f t="shared" si="112"/>
        <v>0</v>
      </c>
      <c r="DZ15" s="11">
        <f t="shared" si="113"/>
        <v>0</v>
      </c>
      <c r="EA15" s="11">
        <f t="shared" si="114"/>
        <v>0</v>
      </c>
      <c r="EB15" s="11">
        <f t="shared" si="115"/>
        <v>0</v>
      </c>
      <c r="EC15" s="11">
        <f t="shared" si="116"/>
        <v>0</v>
      </c>
      <c r="ED15" s="11">
        <f t="shared" si="117"/>
        <v>0</v>
      </c>
      <c r="EE15" s="11">
        <f t="shared" si="118"/>
        <v>0</v>
      </c>
    </row>
    <row r="16" spans="1:135" ht="15" customHeight="1" x14ac:dyDescent="0.2">
      <c r="A16" s="3" t="s">
        <v>1104</v>
      </c>
      <c r="B16" s="3" t="s">
        <v>1106</v>
      </c>
      <c r="C16" s="3" t="s">
        <v>235</v>
      </c>
      <c r="D16" s="3" t="s">
        <v>235</v>
      </c>
      <c r="E16" s="3" t="s">
        <v>235</v>
      </c>
      <c r="F16" s="3" t="s">
        <v>572</v>
      </c>
      <c r="G16" s="3"/>
      <c r="H16" s="3" t="s">
        <v>114</v>
      </c>
      <c r="I16" s="3" t="s">
        <v>1345</v>
      </c>
      <c r="J16" s="3" t="s">
        <v>1109</v>
      </c>
      <c r="K16" s="3"/>
      <c r="L16" s="3" t="s">
        <v>119</v>
      </c>
      <c r="M16" s="3" t="s">
        <v>1494</v>
      </c>
      <c r="N16" s="3" t="s">
        <v>119</v>
      </c>
      <c r="O16" s="3" t="s">
        <v>120</v>
      </c>
      <c r="P16" s="3" t="s">
        <v>1671</v>
      </c>
      <c r="Q16" s="10" t="str">
        <f t="shared" si="0"/>
        <v>Stage IV + Other</v>
      </c>
      <c r="R16" s="10" t="str">
        <f t="shared" si="1"/>
        <v>Unspecified</v>
      </c>
      <c r="S16" s="10" t="str">
        <f t="shared" si="2"/>
        <v>All-comers</v>
      </c>
      <c r="T16" s="10">
        <f t="shared" si="3"/>
        <v>1</v>
      </c>
      <c r="U16" s="10">
        <f t="shared" si="4"/>
        <v>0</v>
      </c>
      <c r="V16" s="11">
        <f t="shared" si="5"/>
        <v>0</v>
      </c>
      <c r="W16" s="11">
        <f t="shared" si="6"/>
        <v>0</v>
      </c>
      <c r="X16" s="11">
        <f t="shared" si="7"/>
        <v>0</v>
      </c>
      <c r="Y16" s="11">
        <f t="shared" si="8"/>
        <v>0</v>
      </c>
      <c r="Z16" s="11">
        <f t="shared" si="9"/>
        <v>0</v>
      </c>
      <c r="AA16" s="11">
        <f t="shared" si="10"/>
        <v>0</v>
      </c>
      <c r="AB16" s="11">
        <f t="shared" si="11"/>
        <v>0</v>
      </c>
      <c r="AC16" s="11">
        <f t="shared" si="12"/>
        <v>0</v>
      </c>
      <c r="AD16" s="11">
        <f t="shared" si="13"/>
        <v>0</v>
      </c>
      <c r="AE16" s="11">
        <f t="shared" si="14"/>
        <v>0</v>
      </c>
      <c r="AF16" s="11">
        <f t="shared" si="15"/>
        <v>0</v>
      </c>
      <c r="AG16" s="11">
        <f t="shared" si="16"/>
        <v>0</v>
      </c>
      <c r="AH16" s="11">
        <f t="shared" si="17"/>
        <v>0</v>
      </c>
      <c r="AI16" s="11">
        <f t="shared" si="18"/>
        <v>0</v>
      </c>
      <c r="AJ16" s="11">
        <f t="shared" si="19"/>
        <v>0</v>
      </c>
      <c r="AK16" s="11">
        <f t="shared" si="20"/>
        <v>0</v>
      </c>
      <c r="AL16" s="11">
        <f t="shared" si="21"/>
        <v>0</v>
      </c>
      <c r="AM16" s="11">
        <f t="shared" si="22"/>
        <v>0</v>
      </c>
      <c r="AN16" s="11">
        <f t="shared" si="23"/>
        <v>0</v>
      </c>
      <c r="AO16" s="11">
        <f t="shared" si="24"/>
        <v>0</v>
      </c>
      <c r="AP16" s="11">
        <f t="shared" si="25"/>
        <v>0</v>
      </c>
      <c r="AQ16" s="11">
        <f t="shared" si="26"/>
        <v>0</v>
      </c>
      <c r="AR16" s="11">
        <f t="shared" si="27"/>
        <v>0</v>
      </c>
      <c r="AS16" s="11">
        <f t="shared" si="28"/>
        <v>0</v>
      </c>
      <c r="AT16" s="11">
        <f t="shared" si="29"/>
        <v>0</v>
      </c>
      <c r="AU16" s="11">
        <f t="shared" si="30"/>
        <v>0</v>
      </c>
      <c r="AV16" s="11">
        <f t="shared" si="31"/>
        <v>0</v>
      </c>
      <c r="AW16" s="11">
        <f t="shared" si="32"/>
        <v>0</v>
      </c>
      <c r="AX16" s="11">
        <f t="shared" si="33"/>
        <v>0</v>
      </c>
      <c r="AY16" s="11">
        <f t="shared" si="34"/>
        <v>0</v>
      </c>
      <c r="AZ16" s="11">
        <f t="shared" si="35"/>
        <v>0</v>
      </c>
      <c r="BA16" s="11">
        <f t="shared" si="36"/>
        <v>0</v>
      </c>
      <c r="BB16" s="11">
        <f t="shared" si="37"/>
        <v>1</v>
      </c>
      <c r="BC16" s="11">
        <f t="shared" si="38"/>
        <v>0</v>
      </c>
      <c r="BD16" s="11">
        <f t="shared" si="39"/>
        <v>0</v>
      </c>
      <c r="BE16" s="11">
        <f t="shared" si="40"/>
        <v>0</v>
      </c>
      <c r="BF16" s="11">
        <f t="shared" si="41"/>
        <v>0</v>
      </c>
      <c r="BG16" s="11">
        <f t="shared" si="42"/>
        <v>0</v>
      </c>
      <c r="BH16" s="11">
        <f t="shared" si="43"/>
        <v>0</v>
      </c>
      <c r="BI16" s="11">
        <f t="shared" si="44"/>
        <v>0</v>
      </c>
      <c r="BJ16" s="11">
        <f t="shared" si="45"/>
        <v>0</v>
      </c>
      <c r="BK16" s="11">
        <f t="shared" si="46"/>
        <v>0</v>
      </c>
      <c r="BL16" s="11">
        <f t="shared" si="47"/>
        <v>0</v>
      </c>
      <c r="BM16" s="11">
        <f t="shared" si="48"/>
        <v>0</v>
      </c>
      <c r="BN16" s="11">
        <f t="shared" si="49"/>
        <v>0</v>
      </c>
      <c r="BO16" s="11">
        <f t="shared" si="50"/>
        <v>0</v>
      </c>
      <c r="BP16" s="11">
        <f t="shared" si="51"/>
        <v>0</v>
      </c>
      <c r="BQ16" s="11">
        <f t="shared" si="52"/>
        <v>0</v>
      </c>
      <c r="BR16" s="11">
        <f t="shared" si="53"/>
        <v>0</v>
      </c>
      <c r="BS16" s="11">
        <f t="shared" si="54"/>
        <v>0</v>
      </c>
      <c r="BT16" s="11">
        <f t="shared" si="55"/>
        <v>0</v>
      </c>
      <c r="BU16" s="11">
        <f t="shared" si="56"/>
        <v>0</v>
      </c>
      <c r="BV16" s="11">
        <f t="shared" si="57"/>
        <v>0</v>
      </c>
      <c r="BW16" s="11">
        <f t="shared" si="58"/>
        <v>0</v>
      </c>
      <c r="BX16" s="11">
        <f t="shared" si="59"/>
        <v>0</v>
      </c>
      <c r="BY16" s="11">
        <f t="shared" si="60"/>
        <v>0</v>
      </c>
      <c r="BZ16" s="11">
        <f t="shared" si="61"/>
        <v>0</v>
      </c>
      <c r="CA16" s="11">
        <f t="shared" si="62"/>
        <v>0</v>
      </c>
      <c r="CB16" s="11">
        <f t="shared" si="63"/>
        <v>0</v>
      </c>
      <c r="CC16" s="11">
        <f t="shared" si="64"/>
        <v>0</v>
      </c>
      <c r="CD16" s="11">
        <f t="shared" si="65"/>
        <v>0</v>
      </c>
      <c r="CE16" s="11">
        <f t="shared" si="66"/>
        <v>0</v>
      </c>
      <c r="CF16" s="11">
        <f t="shared" si="67"/>
        <v>0</v>
      </c>
      <c r="CG16" s="11">
        <f t="shared" si="68"/>
        <v>0</v>
      </c>
      <c r="CH16" s="11">
        <f t="shared" si="69"/>
        <v>0</v>
      </c>
      <c r="CI16" s="11">
        <f t="shared" si="70"/>
        <v>0</v>
      </c>
      <c r="CJ16" s="11">
        <f t="shared" si="71"/>
        <v>0</v>
      </c>
      <c r="CK16" s="11">
        <f t="shared" si="72"/>
        <v>0</v>
      </c>
      <c r="CL16" s="11">
        <f t="shared" si="73"/>
        <v>0</v>
      </c>
      <c r="CM16" s="11">
        <f t="shared" si="74"/>
        <v>0</v>
      </c>
      <c r="CN16" s="11">
        <f t="shared" si="75"/>
        <v>0</v>
      </c>
      <c r="CO16" s="11">
        <f t="shared" si="76"/>
        <v>0</v>
      </c>
      <c r="CP16" s="11">
        <f t="shared" si="77"/>
        <v>0</v>
      </c>
      <c r="CQ16" s="11">
        <f t="shared" si="78"/>
        <v>0</v>
      </c>
      <c r="CR16" s="11">
        <f t="shared" si="79"/>
        <v>0</v>
      </c>
      <c r="CS16" s="11">
        <f t="shared" si="80"/>
        <v>0</v>
      </c>
      <c r="CT16" s="11">
        <f t="shared" si="81"/>
        <v>0</v>
      </c>
      <c r="CU16" s="11">
        <f t="shared" si="82"/>
        <v>0</v>
      </c>
      <c r="CV16" s="11">
        <f t="shared" si="83"/>
        <v>0</v>
      </c>
      <c r="CW16" s="11">
        <f t="shared" si="84"/>
        <v>0</v>
      </c>
      <c r="CX16" s="11">
        <f t="shared" si="85"/>
        <v>0</v>
      </c>
      <c r="CY16" s="11">
        <f t="shared" si="86"/>
        <v>0</v>
      </c>
      <c r="CZ16" s="11">
        <f t="shared" si="87"/>
        <v>0</v>
      </c>
      <c r="DA16" s="11">
        <f t="shared" si="88"/>
        <v>0</v>
      </c>
      <c r="DB16" s="11">
        <f t="shared" si="89"/>
        <v>0</v>
      </c>
      <c r="DC16" s="11">
        <f t="shared" si="90"/>
        <v>0</v>
      </c>
      <c r="DD16" s="11">
        <f t="shared" si="91"/>
        <v>0</v>
      </c>
      <c r="DE16" s="11">
        <f t="shared" si="92"/>
        <v>0</v>
      </c>
      <c r="DF16" s="11">
        <f t="shared" si="93"/>
        <v>0</v>
      </c>
      <c r="DG16" s="11">
        <f t="shared" si="94"/>
        <v>0</v>
      </c>
      <c r="DH16" s="11">
        <f t="shared" si="95"/>
        <v>0</v>
      </c>
      <c r="DI16" s="11">
        <f t="shared" si="96"/>
        <v>0</v>
      </c>
      <c r="DJ16" s="11">
        <f t="shared" si="97"/>
        <v>0</v>
      </c>
      <c r="DK16" s="11">
        <f t="shared" si="98"/>
        <v>0</v>
      </c>
      <c r="DL16" s="11">
        <f t="shared" si="99"/>
        <v>0</v>
      </c>
      <c r="DM16" s="11">
        <f t="shared" si="100"/>
        <v>0</v>
      </c>
      <c r="DN16" s="11">
        <f t="shared" si="101"/>
        <v>0</v>
      </c>
      <c r="DO16" s="11">
        <f t="shared" si="102"/>
        <v>0</v>
      </c>
      <c r="DP16" s="11">
        <f t="shared" si="103"/>
        <v>0</v>
      </c>
      <c r="DQ16" s="11">
        <f t="shared" si="104"/>
        <v>0</v>
      </c>
      <c r="DR16" s="11">
        <f t="shared" si="105"/>
        <v>0</v>
      </c>
      <c r="DS16" s="11">
        <f t="shared" si="106"/>
        <v>0</v>
      </c>
      <c r="DT16" s="11">
        <f t="shared" si="107"/>
        <v>0</v>
      </c>
      <c r="DU16" s="11">
        <f t="shared" si="108"/>
        <v>0</v>
      </c>
      <c r="DV16" s="11">
        <f t="shared" si="109"/>
        <v>0</v>
      </c>
      <c r="DW16" s="11">
        <f t="shared" si="110"/>
        <v>0</v>
      </c>
      <c r="DX16" s="11">
        <f t="shared" si="111"/>
        <v>0</v>
      </c>
      <c r="DY16" s="11">
        <f t="shared" si="112"/>
        <v>0</v>
      </c>
      <c r="DZ16" s="11">
        <f t="shared" si="113"/>
        <v>0</v>
      </c>
      <c r="EA16" s="11">
        <f t="shared" si="114"/>
        <v>0</v>
      </c>
      <c r="EB16" s="11">
        <f t="shared" si="115"/>
        <v>0</v>
      </c>
      <c r="EC16" s="11">
        <f t="shared" si="116"/>
        <v>0</v>
      </c>
      <c r="ED16" s="11">
        <f t="shared" si="117"/>
        <v>0</v>
      </c>
      <c r="EE16" s="11">
        <f t="shared" si="118"/>
        <v>0</v>
      </c>
    </row>
    <row r="17" spans="1:135" ht="15" customHeight="1" x14ac:dyDescent="0.2">
      <c r="A17" s="5" t="s">
        <v>1677</v>
      </c>
      <c r="B17" s="5" t="s">
        <v>1679</v>
      </c>
      <c r="C17" s="5" t="s">
        <v>1286</v>
      </c>
      <c r="D17" s="5" t="s">
        <v>1286</v>
      </c>
      <c r="E17" s="5" t="s">
        <v>1680</v>
      </c>
      <c r="F17" s="5" t="s">
        <v>259</v>
      </c>
      <c r="G17" s="5" t="s">
        <v>544</v>
      </c>
      <c r="H17" s="5" t="s">
        <v>114</v>
      </c>
      <c r="I17" s="5" t="s">
        <v>1683</v>
      </c>
      <c r="J17" s="5" t="s">
        <v>692</v>
      </c>
      <c r="K17" s="5"/>
      <c r="L17" s="5" t="s">
        <v>119</v>
      </c>
      <c r="M17" s="5" t="s">
        <v>1494</v>
      </c>
      <c r="N17" s="5" t="s">
        <v>120</v>
      </c>
      <c r="O17" s="5" t="s">
        <v>120</v>
      </c>
      <c r="P17" s="5" t="s">
        <v>1681</v>
      </c>
      <c r="Q17" s="10" t="str">
        <f t="shared" si="0"/>
        <v>Stage IV Only</v>
      </c>
      <c r="R17" s="10" t="str">
        <f t="shared" si="1"/>
        <v>Both</v>
      </c>
      <c r="S17" s="10" t="str">
        <f t="shared" si="2"/>
        <v>All-comers</v>
      </c>
      <c r="T17" s="10">
        <f t="shared" si="3"/>
        <v>1</v>
      </c>
      <c r="U17" s="10">
        <f t="shared" si="4"/>
        <v>0</v>
      </c>
      <c r="V17" s="11">
        <f t="shared" si="5"/>
        <v>0</v>
      </c>
      <c r="W17" s="11">
        <f t="shared" si="6"/>
        <v>0</v>
      </c>
      <c r="X17" s="11">
        <f t="shared" si="7"/>
        <v>0</v>
      </c>
      <c r="Y17" s="11">
        <f t="shared" si="8"/>
        <v>0</v>
      </c>
      <c r="Z17" s="11">
        <f t="shared" si="9"/>
        <v>1</v>
      </c>
      <c r="AA17" s="11">
        <f t="shared" si="10"/>
        <v>0</v>
      </c>
      <c r="AB17" s="11">
        <f t="shared" si="11"/>
        <v>0</v>
      </c>
      <c r="AC17" s="11">
        <f t="shared" si="12"/>
        <v>0</v>
      </c>
      <c r="AD17" s="11">
        <f t="shared" si="13"/>
        <v>0</v>
      </c>
      <c r="AE17" s="11">
        <f t="shared" si="14"/>
        <v>1</v>
      </c>
      <c r="AF17" s="11">
        <f t="shared" si="15"/>
        <v>0</v>
      </c>
      <c r="AG17" s="11">
        <f t="shared" si="16"/>
        <v>0</v>
      </c>
      <c r="AH17" s="11">
        <f t="shared" si="17"/>
        <v>0</v>
      </c>
      <c r="AI17" s="11">
        <f t="shared" si="18"/>
        <v>0</v>
      </c>
      <c r="AJ17" s="11">
        <f t="shared" si="19"/>
        <v>0</v>
      </c>
      <c r="AK17" s="11">
        <f t="shared" si="20"/>
        <v>0</v>
      </c>
      <c r="AL17" s="11">
        <f t="shared" si="21"/>
        <v>0</v>
      </c>
      <c r="AM17" s="11">
        <f t="shared" si="22"/>
        <v>0</v>
      </c>
      <c r="AN17" s="11">
        <f t="shared" si="23"/>
        <v>0</v>
      </c>
      <c r="AO17" s="11">
        <f t="shared" si="24"/>
        <v>0</v>
      </c>
      <c r="AP17" s="11">
        <f t="shared" si="25"/>
        <v>0</v>
      </c>
      <c r="AQ17" s="11">
        <f t="shared" si="26"/>
        <v>0</v>
      </c>
      <c r="AR17" s="11">
        <f t="shared" si="27"/>
        <v>0</v>
      </c>
      <c r="AS17" s="11">
        <f t="shared" si="28"/>
        <v>0</v>
      </c>
      <c r="AT17" s="11">
        <f t="shared" si="29"/>
        <v>0</v>
      </c>
      <c r="AU17" s="11">
        <f t="shared" si="30"/>
        <v>0</v>
      </c>
      <c r="AV17" s="11">
        <f t="shared" si="31"/>
        <v>0</v>
      </c>
      <c r="AW17" s="11">
        <f t="shared" si="32"/>
        <v>0</v>
      </c>
      <c r="AX17" s="11">
        <f t="shared" si="33"/>
        <v>0</v>
      </c>
      <c r="AY17" s="11">
        <f t="shared" si="34"/>
        <v>0</v>
      </c>
      <c r="AZ17" s="11">
        <f t="shared" si="35"/>
        <v>0</v>
      </c>
      <c r="BA17" s="11">
        <f t="shared" si="36"/>
        <v>0</v>
      </c>
      <c r="BB17" s="11">
        <f t="shared" si="37"/>
        <v>0</v>
      </c>
      <c r="BC17" s="11">
        <f t="shared" si="38"/>
        <v>0</v>
      </c>
      <c r="BD17" s="11">
        <f t="shared" si="39"/>
        <v>0</v>
      </c>
      <c r="BE17" s="11">
        <f t="shared" si="40"/>
        <v>0</v>
      </c>
      <c r="BF17" s="11">
        <f t="shared" si="41"/>
        <v>0</v>
      </c>
      <c r="BG17" s="11">
        <f t="shared" si="42"/>
        <v>0</v>
      </c>
      <c r="BH17" s="11">
        <f t="shared" si="43"/>
        <v>0</v>
      </c>
      <c r="BI17" s="11">
        <f t="shared" si="44"/>
        <v>0</v>
      </c>
      <c r="BJ17" s="11">
        <f t="shared" si="45"/>
        <v>0</v>
      </c>
      <c r="BK17" s="11">
        <f t="shared" si="46"/>
        <v>0</v>
      </c>
      <c r="BL17" s="11">
        <f t="shared" si="47"/>
        <v>0</v>
      </c>
      <c r="BM17" s="11">
        <f t="shared" si="48"/>
        <v>0</v>
      </c>
      <c r="BN17" s="11">
        <f t="shared" si="49"/>
        <v>0</v>
      </c>
      <c r="BO17" s="11">
        <f t="shared" si="50"/>
        <v>0</v>
      </c>
      <c r="BP17" s="11">
        <f t="shared" si="51"/>
        <v>0</v>
      </c>
      <c r="BQ17" s="11">
        <f t="shared" si="52"/>
        <v>0</v>
      </c>
      <c r="BR17" s="11">
        <f t="shared" si="53"/>
        <v>0</v>
      </c>
      <c r="BS17" s="11">
        <f t="shared" si="54"/>
        <v>0</v>
      </c>
      <c r="BT17" s="11">
        <f t="shared" si="55"/>
        <v>0</v>
      </c>
      <c r="BU17" s="11">
        <f t="shared" si="56"/>
        <v>0</v>
      </c>
      <c r="BV17" s="11">
        <f t="shared" si="57"/>
        <v>0</v>
      </c>
      <c r="BW17" s="11">
        <f t="shared" si="58"/>
        <v>0</v>
      </c>
      <c r="BX17" s="11">
        <f t="shared" si="59"/>
        <v>0</v>
      </c>
      <c r="BY17" s="11">
        <f t="shared" si="60"/>
        <v>0</v>
      </c>
      <c r="BZ17" s="11">
        <f t="shared" si="61"/>
        <v>0</v>
      </c>
      <c r="CA17" s="11">
        <f t="shared" si="62"/>
        <v>0</v>
      </c>
      <c r="CB17" s="11">
        <f t="shared" si="63"/>
        <v>0</v>
      </c>
      <c r="CC17" s="11">
        <f t="shared" si="64"/>
        <v>0</v>
      </c>
      <c r="CD17" s="11">
        <f t="shared" si="65"/>
        <v>0</v>
      </c>
      <c r="CE17" s="11">
        <f t="shared" si="66"/>
        <v>0</v>
      </c>
      <c r="CF17" s="11">
        <f t="shared" si="67"/>
        <v>0</v>
      </c>
      <c r="CG17" s="11">
        <f t="shared" si="68"/>
        <v>0</v>
      </c>
      <c r="CH17" s="11">
        <f t="shared" si="69"/>
        <v>0</v>
      </c>
      <c r="CI17" s="11">
        <f t="shared" si="70"/>
        <v>0</v>
      </c>
      <c r="CJ17" s="11">
        <f t="shared" si="71"/>
        <v>0</v>
      </c>
      <c r="CK17" s="11">
        <f t="shared" si="72"/>
        <v>0</v>
      </c>
      <c r="CL17" s="11">
        <f t="shared" si="73"/>
        <v>0</v>
      </c>
      <c r="CM17" s="11">
        <f t="shared" si="74"/>
        <v>0</v>
      </c>
      <c r="CN17" s="11">
        <f t="shared" si="75"/>
        <v>0</v>
      </c>
      <c r="CO17" s="11">
        <f t="shared" si="76"/>
        <v>0</v>
      </c>
      <c r="CP17" s="11">
        <f t="shared" si="77"/>
        <v>0</v>
      </c>
      <c r="CQ17" s="11">
        <f t="shared" si="78"/>
        <v>0</v>
      </c>
      <c r="CR17" s="11">
        <f t="shared" si="79"/>
        <v>0</v>
      </c>
      <c r="CS17" s="11">
        <f t="shared" si="80"/>
        <v>0</v>
      </c>
      <c r="CT17" s="11">
        <f t="shared" si="81"/>
        <v>0</v>
      </c>
      <c r="CU17" s="11">
        <f t="shared" si="82"/>
        <v>0</v>
      </c>
      <c r="CV17" s="11">
        <f t="shared" si="83"/>
        <v>0</v>
      </c>
      <c r="CW17" s="11">
        <f t="shared" si="84"/>
        <v>0</v>
      </c>
      <c r="CX17" s="11">
        <f t="shared" si="85"/>
        <v>0</v>
      </c>
      <c r="CY17" s="11">
        <f t="shared" si="86"/>
        <v>0</v>
      </c>
      <c r="CZ17" s="11">
        <f t="shared" si="87"/>
        <v>0</v>
      </c>
      <c r="DA17" s="11">
        <f t="shared" si="88"/>
        <v>0</v>
      </c>
      <c r="DB17" s="11">
        <f t="shared" si="89"/>
        <v>0</v>
      </c>
      <c r="DC17" s="11">
        <f t="shared" si="90"/>
        <v>0</v>
      </c>
      <c r="DD17" s="11">
        <f t="shared" si="91"/>
        <v>0</v>
      </c>
      <c r="DE17" s="11">
        <f t="shared" si="92"/>
        <v>0</v>
      </c>
      <c r="DF17" s="11">
        <f t="shared" si="93"/>
        <v>0</v>
      </c>
      <c r="DG17" s="11">
        <f t="shared" si="94"/>
        <v>0</v>
      </c>
      <c r="DH17" s="11">
        <f t="shared" si="95"/>
        <v>0</v>
      </c>
      <c r="DI17" s="11">
        <f t="shared" si="96"/>
        <v>0</v>
      </c>
      <c r="DJ17" s="11">
        <f t="shared" si="97"/>
        <v>0</v>
      </c>
      <c r="DK17" s="11">
        <f t="shared" si="98"/>
        <v>0</v>
      </c>
      <c r="DL17" s="11">
        <f t="shared" si="99"/>
        <v>0</v>
      </c>
      <c r="DM17" s="11">
        <f t="shared" si="100"/>
        <v>0</v>
      </c>
      <c r="DN17" s="11">
        <f t="shared" si="101"/>
        <v>0</v>
      </c>
      <c r="DO17" s="11">
        <f t="shared" si="102"/>
        <v>0</v>
      </c>
      <c r="DP17" s="11">
        <f t="shared" si="103"/>
        <v>0</v>
      </c>
      <c r="DQ17" s="11">
        <f t="shared" si="104"/>
        <v>0</v>
      </c>
      <c r="DR17" s="11">
        <f t="shared" si="105"/>
        <v>0</v>
      </c>
      <c r="DS17" s="11">
        <f t="shared" si="106"/>
        <v>0</v>
      </c>
      <c r="DT17" s="11">
        <f t="shared" si="107"/>
        <v>0</v>
      </c>
      <c r="DU17" s="11">
        <f t="shared" si="108"/>
        <v>0</v>
      </c>
      <c r="DV17" s="11">
        <f t="shared" si="109"/>
        <v>0</v>
      </c>
      <c r="DW17" s="11">
        <f t="shared" si="110"/>
        <v>0</v>
      </c>
      <c r="DX17" s="11">
        <f t="shared" si="111"/>
        <v>0</v>
      </c>
      <c r="DY17" s="11">
        <f t="shared" si="112"/>
        <v>0</v>
      </c>
      <c r="DZ17" s="11">
        <f t="shared" si="113"/>
        <v>0</v>
      </c>
      <c r="EA17" s="11">
        <f t="shared" si="114"/>
        <v>0</v>
      </c>
      <c r="EB17" s="11">
        <f t="shared" si="115"/>
        <v>0</v>
      </c>
      <c r="EC17" s="11">
        <f t="shared" si="116"/>
        <v>0</v>
      </c>
      <c r="ED17" s="11">
        <f t="shared" si="117"/>
        <v>0</v>
      </c>
      <c r="EE17" s="11">
        <f t="shared" si="118"/>
        <v>0</v>
      </c>
    </row>
    <row r="18" spans="1:135" ht="15" customHeight="1" x14ac:dyDescent="0.2">
      <c r="A18" s="3" t="s">
        <v>1693</v>
      </c>
      <c r="B18" s="3" t="s">
        <v>1694</v>
      </c>
      <c r="C18" s="3" t="s">
        <v>350</v>
      </c>
      <c r="D18" s="3" t="s">
        <v>350</v>
      </c>
      <c r="E18" s="3" t="s">
        <v>350</v>
      </c>
      <c r="F18" s="3" t="s">
        <v>259</v>
      </c>
      <c r="G18" s="3" t="s">
        <v>1695</v>
      </c>
      <c r="H18" s="3" t="s">
        <v>114</v>
      </c>
      <c r="I18" s="3" t="s">
        <v>1461</v>
      </c>
      <c r="J18" s="3" t="s">
        <v>1698</v>
      </c>
      <c r="K18" s="3" t="s">
        <v>1704</v>
      </c>
      <c r="L18" s="3" t="s">
        <v>119</v>
      </c>
      <c r="M18" s="3" t="s">
        <v>1494</v>
      </c>
      <c r="N18" s="3" t="s">
        <v>119</v>
      </c>
      <c r="O18" s="3" t="s">
        <v>120</v>
      </c>
      <c r="P18" s="3" t="s">
        <v>1696</v>
      </c>
      <c r="Q18" s="10" t="str">
        <f t="shared" si="0"/>
        <v>Stage IV Only</v>
      </c>
      <c r="R18" s="10" t="str">
        <f t="shared" si="1"/>
        <v>Unspecified</v>
      </c>
      <c r="S18" s="10" t="str">
        <f t="shared" si="2"/>
        <v>All-comers</v>
      </c>
      <c r="T18" s="10">
        <f t="shared" si="3"/>
        <v>1</v>
      </c>
      <c r="U18" s="10">
        <f t="shared" si="4"/>
        <v>0</v>
      </c>
      <c r="V18" s="11">
        <f t="shared" si="5"/>
        <v>0</v>
      </c>
      <c r="W18" s="11">
        <f t="shared" si="6"/>
        <v>0</v>
      </c>
      <c r="X18" s="11">
        <f t="shared" si="7"/>
        <v>0</v>
      </c>
      <c r="Y18" s="11">
        <f t="shared" si="8"/>
        <v>0</v>
      </c>
      <c r="Z18" s="11">
        <f t="shared" si="9"/>
        <v>0</v>
      </c>
      <c r="AA18" s="11">
        <f t="shared" si="10"/>
        <v>0</v>
      </c>
      <c r="AB18" s="11">
        <f t="shared" si="11"/>
        <v>0</v>
      </c>
      <c r="AC18" s="11">
        <f t="shared" si="12"/>
        <v>0</v>
      </c>
      <c r="AD18" s="11">
        <f t="shared" si="13"/>
        <v>0</v>
      </c>
      <c r="AE18" s="11">
        <f t="shared" si="14"/>
        <v>0</v>
      </c>
      <c r="AF18" s="11">
        <f t="shared" si="15"/>
        <v>0</v>
      </c>
      <c r="AG18" s="11">
        <f t="shared" si="16"/>
        <v>0</v>
      </c>
      <c r="AH18" s="11">
        <f t="shared" si="17"/>
        <v>0</v>
      </c>
      <c r="AI18" s="11">
        <f t="shared" si="18"/>
        <v>0</v>
      </c>
      <c r="AJ18" s="11">
        <f t="shared" si="19"/>
        <v>0</v>
      </c>
      <c r="AK18" s="11">
        <f t="shared" si="20"/>
        <v>0</v>
      </c>
      <c r="AL18" s="11">
        <f t="shared" si="21"/>
        <v>1</v>
      </c>
      <c r="AM18" s="11">
        <f t="shared" si="22"/>
        <v>0</v>
      </c>
      <c r="AN18" s="11">
        <f t="shared" si="23"/>
        <v>0</v>
      </c>
      <c r="AO18" s="11">
        <f t="shared" si="24"/>
        <v>0</v>
      </c>
      <c r="AP18" s="11">
        <f t="shared" si="25"/>
        <v>0</v>
      </c>
      <c r="AQ18" s="11">
        <f t="shared" si="26"/>
        <v>0</v>
      </c>
      <c r="AR18" s="11">
        <f t="shared" si="27"/>
        <v>0</v>
      </c>
      <c r="AS18" s="11">
        <f t="shared" si="28"/>
        <v>0</v>
      </c>
      <c r="AT18" s="11">
        <f t="shared" si="29"/>
        <v>0</v>
      </c>
      <c r="AU18" s="11">
        <f t="shared" si="30"/>
        <v>0</v>
      </c>
      <c r="AV18" s="11">
        <f t="shared" si="31"/>
        <v>0</v>
      </c>
      <c r="AW18" s="11">
        <f t="shared" si="32"/>
        <v>0</v>
      </c>
      <c r="AX18" s="11">
        <f t="shared" si="33"/>
        <v>0</v>
      </c>
      <c r="AY18" s="11">
        <f t="shared" si="34"/>
        <v>0</v>
      </c>
      <c r="AZ18" s="11">
        <f t="shared" si="35"/>
        <v>0</v>
      </c>
      <c r="BA18" s="11">
        <f t="shared" si="36"/>
        <v>0</v>
      </c>
      <c r="BB18" s="11">
        <f t="shared" si="37"/>
        <v>0</v>
      </c>
      <c r="BC18" s="11">
        <f t="shared" si="38"/>
        <v>0</v>
      </c>
      <c r="BD18" s="11">
        <f t="shared" si="39"/>
        <v>0</v>
      </c>
      <c r="BE18" s="11">
        <f t="shared" si="40"/>
        <v>0</v>
      </c>
      <c r="BF18" s="11">
        <f t="shared" si="41"/>
        <v>0</v>
      </c>
      <c r="BG18" s="11">
        <f t="shared" si="42"/>
        <v>0</v>
      </c>
      <c r="BH18" s="11">
        <f t="shared" si="43"/>
        <v>0</v>
      </c>
      <c r="BI18" s="11">
        <f t="shared" si="44"/>
        <v>0</v>
      </c>
      <c r="BJ18" s="11">
        <f t="shared" si="45"/>
        <v>0</v>
      </c>
      <c r="BK18" s="11">
        <f t="shared" si="46"/>
        <v>0</v>
      </c>
      <c r="BL18" s="11">
        <f t="shared" si="47"/>
        <v>0</v>
      </c>
      <c r="BM18" s="11">
        <f t="shared" si="48"/>
        <v>0</v>
      </c>
      <c r="BN18" s="11">
        <f t="shared" si="49"/>
        <v>0</v>
      </c>
      <c r="BO18" s="11">
        <f t="shared" si="50"/>
        <v>0</v>
      </c>
      <c r="BP18" s="11">
        <f t="shared" si="51"/>
        <v>0</v>
      </c>
      <c r="BQ18" s="11">
        <f t="shared" si="52"/>
        <v>0</v>
      </c>
      <c r="BR18" s="11">
        <f t="shared" si="53"/>
        <v>0</v>
      </c>
      <c r="BS18" s="11">
        <f t="shared" si="54"/>
        <v>0</v>
      </c>
      <c r="BT18" s="11">
        <f t="shared" si="55"/>
        <v>0</v>
      </c>
      <c r="BU18" s="11">
        <f t="shared" si="56"/>
        <v>0</v>
      </c>
      <c r="BV18" s="11">
        <f t="shared" si="57"/>
        <v>0</v>
      </c>
      <c r="BW18" s="11">
        <f t="shared" si="58"/>
        <v>0</v>
      </c>
      <c r="BX18" s="11">
        <f t="shared" si="59"/>
        <v>0</v>
      </c>
      <c r="BY18" s="11">
        <f t="shared" si="60"/>
        <v>0</v>
      </c>
      <c r="BZ18" s="11">
        <f t="shared" si="61"/>
        <v>0</v>
      </c>
      <c r="CA18" s="11">
        <f t="shared" si="62"/>
        <v>0</v>
      </c>
      <c r="CB18" s="11">
        <f t="shared" si="63"/>
        <v>0</v>
      </c>
      <c r="CC18" s="11">
        <f t="shared" si="64"/>
        <v>0</v>
      </c>
      <c r="CD18" s="11">
        <f t="shared" si="65"/>
        <v>0</v>
      </c>
      <c r="CE18" s="11">
        <f t="shared" si="66"/>
        <v>0</v>
      </c>
      <c r="CF18" s="11">
        <f t="shared" si="67"/>
        <v>0</v>
      </c>
      <c r="CG18" s="11">
        <f t="shared" si="68"/>
        <v>0</v>
      </c>
      <c r="CH18" s="11">
        <f t="shared" si="69"/>
        <v>0</v>
      </c>
      <c r="CI18" s="11">
        <f t="shared" si="70"/>
        <v>0</v>
      </c>
      <c r="CJ18" s="11">
        <f t="shared" si="71"/>
        <v>0</v>
      </c>
      <c r="CK18" s="11">
        <f t="shared" si="72"/>
        <v>0</v>
      </c>
      <c r="CL18" s="11">
        <f t="shared" si="73"/>
        <v>0</v>
      </c>
      <c r="CM18" s="11">
        <f t="shared" si="74"/>
        <v>1</v>
      </c>
      <c r="CN18" s="11">
        <f t="shared" si="75"/>
        <v>0</v>
      </c>
      <c r="CO18" s="11">
        <f t="shared" si="76"/>
        <v>0</v>
      </c>
      <c r="CP18" s="11">
        <f t="shared" si="77"/>
        <v>0</v>
      </c>
      <c r="CQ18" s="11">
        <f t="shared" si="78"/>
        <v>0</v>
      </c>
      <c r="CR18" s="11">
        <f t="shared" si="79"/>
        <v>1</v>
      </c>
      <c r="CS18" s="11">
        <f t="shared" si="80"/>
        <v>0</v>
      </c>
      <c r="CT18" s="11">
        <f t="shared" si="81"/>
        <v>1</v>
      </c>
      <c r="CU18" s="11">
        <f t="shared" si="82"/>
        <v>0</v>
      </c>
      <c r="CV18" s="11">
        <f t="shared" si="83"/>
        <v>0</v>
      </c>
      <c r="CW18" s="11">
        <f t="shared" si="84"/>
        <v>0</v>
      </c>
      <c r="CX18" s="11">
        <f t="shared" si="85"/>
        <v>0</v>
      </c>
      <c r="CY18" s="11">
        <f t="shared" si="86"/>
        <v>0</v>
      </c>
      <c r="CZ18" s="11">
        <f t="shared" si="87"/>
        <v>0</v>
      </c>
      <c r="DA18" s="11">
        <f t="shared" si="88"/>
        <v>0</v>
      </c>
      <c r="DB18" s="11">
        <f t="shared" si="89"/>
        <v>1</v>
      </c>
      <c r="DC18" s="11">
        <f t="shared" si="90"/>
        <v>0</v>
      </c>
      <c r="DD18" s="11">
        <f t="shared" si="91"/>
        <v>0</v>
      </c>
      <c r="DE18" s="11">
        <f t="shared" si="92"/>
        <v>0</v>
      </c>
      <c r="DF18" s="11">
        <f t="shared" si="93"/>
        <v>1</v>
      </c>
      <c r="DG18" s="11">
        <f t="shared" si="94"/>
        <v>0</v>
      </c>
      <c r="DH18" s="11">
        <f t="shared" si="95"/>
        <v>0</v>
      </c>
      <c r="DI18" s="11">
        <f t="shared" si="96"/>
        <v>0</v>
      </c>
      <c r="DJ18" s="11">
        <f t="shared" si="97"/>
        <v>0</v>
      </c>
      <c r="DK18" s="11">
        <f t="shared" si="98"/>
        <v>0</v>
      </c>
      <c r="DL18" s="11">
        <f t="shared" si="99"/>
        <v>0</v>
      </c>
      <c r="DM18" s="11">
        <f t="shared" si="100"/>
        <v>0</v>
      </c>
      <c r="DN18" s="11">
        <f t="shared" si="101"/>
        <v>0</v>
      </c>
      <c r="DO18" s="11">
        <f t="shared" si="102"/>
        <v>0</v>
      </c>
      <c r="DP18" s="11">
        <f t="shared" si="103"/>
        <v>0</v>
      </c>
      <c r="DQ18" s="11">
        <f t="shared" si="104"/>
        <v>0</v>
      </c>
      <c r="DR18" s="11">
        <f t="shared" si="105"/>
        <v>0</v>
      </c>
      <c r="DS18" s="11">
        <f t="shared" si="106"/>
        <v>0</v>
      </c>
      <c r="DT18" s="11">
        <f t="shared" si="107"/>
        <v>0</v>
      </c>
      <c r="DU18" s="11">
        <f t="shared" si="108"/>
        <v>0</v>
      </c>
      <c r="DV18" s="11">
        <f t="shared" si="109"/>
        <v>0</v>
      </c>
      <c r="DW18" s="11">
        <f t="shared" si="110"/>
        <v>0</v>
      </c>
      <c r="DX18" s="11">
        <f t="shared" si="111"/>
        <v>0</v>
      </c>
      <c r="DY18" s="11">
        <f t="shared" si="112"/>
        <v>0</v>
      </c>
      <c r="DZ18" s="11">
        <f t="shared" si="113"/>
        <v>0</v>
      </c>
      <c r="EA18" s="11">
        <f t="shared" si="114"/>
        <v>0</v>
      </c>
      <c r="EB18" s="11">
        <f t="shared" si="115"/>
        <v>0</v>
      </c>
      <c r="EC18" s="11">
        <f t="shared" si="116"/>
        <v>1</v>
      </c>
      <c r="ED18" s="11">
        <f t="shared" si="117"/>
        <v>0</v>
      </c>
      <c r="EE18" s="11">
        <f t="shared" si="118"/>
        <v>0</v>
      </c>
    </row>
    <row r="19" spans="1:135" ht="15" customHeight="1" x14ac:dyDescent="0.2">
      <c r="A19" s="5" t="s">
        <v>1227</v>
      </c>
      <c r="B19" s="5" t="s">
        <v>1229</v>
      </c>
      <c r="C19" s="5" t="s">
        <v>108</v>
      </c>
      <c r="D19" s="5" t="s">
        <v>107</v>
      </c>
      <c r="E19" s="5" t="s">
        <v>332</v>
      </c>
      <c r="F19" s="5" t="s">
        <v>1705</v>
      </c>
      <c r="G19" s="5" t="s">
        <v>921</v>
      </c>
      <c r="H19" s="5" t="s">
        <v>114</v>
      </c>
      <c r="I19" s="5" t="s">
        <v>905</v>
      </c>
      <c r="J19" s="5" t="s">
        <v>898</v>
      </c>
      <c r="K19" s="5" t="s">
        <v>905</v>
      </c>
      <c r="L19" s="5" t="s">
        <v>119</v>
      </c>
      <c r="M19" s="5" t="s">
        <v>1494</v>
      </c>
      <c r="N19" s="5" t="s">
        <v>119</v>
      </c>
      <c r="O19" s="5" t="s">
        <v>120</v>
      </c>
      <c r="P19" s="5" t="s">
        <v>1706</v>
      </c>
      <c r="Q19" s="10" t="str">
        <f t="shared" si="0"/>
        <v>Stage IV + Other</v>
      </c>
      <c r="R19" s="10" t="str">
        <f t="shared" si="1"/>
        <v>Unspecified</v>
      </c>
      <c r="S19" s="10" t="str">
        <f t="shared" si="2"/>
        <v>All-comers</v>
      </c>
      <c r="T19" s="10">
        <f t="shared" si="3"/>
        <v>1</v>
      </c>
      <c r="U19" s="10">
        <f t="shared" si="4"/>
        <v>0</v>
      </c>
      <c r="V19" s="11">
        <f t="shared" si="5"/>
        <v>0</v>
      </c>
      <c r="W19" s="11">
        <f t="shared" si="6"/>
        <v>0</v>
      </c>
      <c r="X19" s="11">
        <f t="shared" si="7"/>
        <v>0</v>
      </c>
      <c r="Y19" s="11">
        <f t="shared" si="8"/>
        <v>0</v>
      </c>
      <c r="Z19" s="11">
        <f t="shared" si="9"/>
        <v>0</v>
      </c>
      <c r="AA19" s="11">
        <f t="shared" si="10"/>
        <v>0</v>
      </c>
      <c r="AB19" s="11">
        <f t="shared" si="11"/>
        <v>0</v>
      </c>
      <c r="AC19" s="11">
        <f t="shared" si="12"/>
        <v>0</v>
      </c>
      <c r="AD19" s="11">
        <f t="shared" si="13"/>
        <v>0</v>
      </c>
      <c r="AE19" s="11">
        <f t="shared" si="14"/>
        <v>0</v>
      </c>
      <c r="AF19" s="11">
        <f t="shared" si="15"/>
        <v>0</v>
      </c>
      <c r="AG19" s="11">
        <f t="shared" si="16"/>
        <v>0</v>
      </c>
      <c r="AH19" s="11">
        <f t="shared" si="17"/>
        <v>0</v>
      </c>
      <c r="AI19" s="11">
        <f t="shared" si="18"/>
        <v>0</v>
      </c>
      <c r="AJ19" s="11">
        <f t="shared" si="19"/>
        <v>0</v>
      </c>
      <c r="AK19" s="11">
        <f t="shared" si="20"/>
        <v>0</v>
      </c>
      <c r="AL19" s="11">
        <f t="shared" si="21"/>
        <v>0</v>
      </c>
      <c r="AM19" s="11">
        <f t="shared" si="22"/>
        <v>0</v>
      </c>
      <c r="AN19" s="11">
        <f t="shared" si="23"/>
        <v>0</v>
      </c>
      <c r="AO19" s="11">
        <f t="shared" si="24"/>
        <v>0</v>
      </c>
      <c r="AP19" s="11">
        <f t="shared" si="25"/>
        <v>0</v>
      </c>
      <c r="AQ19" s="11">
        <f t="shared" si="26"/>
        <v>0</v>
      </c>
      <c r="AR19" s="11">
        <f t="shared" si="27"/>
        <v>0</v>
      </c>
      <c r="AS19" s="11">
        <f t="shared" si="28"/>
        <v>0</v>
      </c>
      <c r="AT19" s="11">
        <f t="shared" si="29"/>
        <v>0</v>
      </c>
      <c r="AU19" s="11">
        <f t="shared" si="30"/>
        <v>0</v>
      </c>
      <c r="AV19" s="11">
        <f t="shared" si="31"/>
        <v>0</v>
      </c>
      <c r="AW19" s="11">
        <f t="shared" si="32"/>
        <v>0</v>
      </c>
      <c r="AX19" s="11">
        <f t="shared" si="33"/>
        <v>0</v>
      </c>
      <c r="AY19" s="11">
        <f t="shared" si="34"/>
        <v>0</v>
      </c>
      <c r="AZ19" s="11">
        <f t="shared" si="35"/>
        <v>0</v>
      </c>
      <c r="BA19" s="11">
        <f t="shared" si="36"/>
        <v>0</v>
      </c>
      <c r="BB19" s="11">
        <f t="shared" si="37"/>
        <v>0</v>
      </c>
      <c r="BC19" s="11">
        <f t="shared" si="38"/>
        <v>0</v>
      </c>
      <c r="BD19" s="11">
        <f t="shared" si="39"/>
        <v>0</v>
      </c>
      <c r="BE19" s="11">
        <f t="shared" si="40"/>
        <v>0</v>
      </c>
      <c r="BF19" s="11">
        <f t="shared" si="41"/>
        <v>0</v>
      </c>
      <c r="BG19" s="11">
        <f t="shared" si="42"/>
        <v>1</v>
      </c>
      <c r="BH19" s="11">
        <f t="shared" si="43"/>
        <v>0</v>
      </c>
      <c r="BI19" s="11">
        <f t="shared" si="44"/>
        <v>0</v>
      </c>
      <c r="BJ19" s="11">
        <f t="shared" si="45"/>
        <v>0</v>
      </c>
      <c r="BK19" s="11">
        <f t="shared" si="46"/>
        <v>0</v>
      </c>
      <c r="BL19" s="11">
        <f t="shared" si="47"/>
        <v>0</v>
      </c>
      <c r="BM19" s="11">
        <f t="shared" si="48"/>
        <v>0</v>
      </c>
      <c r="BN19" s="11">
        <f t="shared" si="49"/>
        <v>0</v>
      </c>
      <c r="BO19" s="11">
        <f t="shared" si="50"/>
        <v>0</v>
      </c>
      <c r="BP19" s="11">
        <f t="shared" si="51"/>
        <v>0</v>
      </c>
      <c r="BQ19" s="11">
        <f t="shared" si="52"/>
        <v>0</v>
      </c>
      <c r="BR19" s="11">
        <f t="shared" si="53"/>
        <v>0</v>
      </c>
      <c r="BS19" s="11">
        <f t="shared" si="54"/>
        <v>0</v>
      </c>
      <c r="BT19" s="11">
        <f t="shared" si="55"/>
        <v>0</v>
      </c>
      <c r="BU19" s="11">
        <f t="shared" si="56"/>
        <v>0</v>
      </c>
      <c r="BV19" s="11">
        <f t="shared" si="57"/>
        <v>0</v>
      </c>
      <c r="BW19" s="11">
        <f t="shared" si="58"/>
        <v>0</v>
      </c>
      <c r="BX19" s="11">
        <f t="shared" si="59"/>
        <v>0</v>
      </c>
      <c r="BY19" s="11">
        <f t="shared" si="60"/>
        <v>0</v>
      </c>
      <c r="BZ19" s="11">
        <f t="shared" si="61"/>
        <v>0</v>
      </c>
      <c r="CA19" s="11">
        <f t="shared" si="62"/>
        <v>0</v>
      </c>
      <c r="CB19" s="11">
        <f t="shared" si="63"/>
        <v>0</v>
      </c>
      <c r="CC19" s="11">
        <f t="shared" si="64"/>
        <v>0</v>
      </c>
      <c r="CD19" s="11">
        <f t="shared" si="65"/>
        <v>0</v>
      </c>
      <c r="CE19" s="11">
        <f t="shared" si="66"/>
        <v>0</v>
      </c>
      <c r="CF19" s="11">
        <f t="shared" si="67"/>
        <v>0</v>
      </c>
      <c r="CG19" s="11">
        <f t="shared" si="68"/>
        <v>0</v>
      </c>
      <c r="CH19" s="11">
        <f t="shared" si="69"/>
        <v>0</v>
      </c>
      <c r="CI19" s="11">
        <f t="shared" si="70"/>
        <v>0</v>
      </c>
      <c r="CJ19" s="11">
        <f t="shared" si="71"/>
        <v>0</v>
      </c>
      <c r="CK19" s="11">
        <f t="shared" si="72"/>
        <v>0</v>
      </c>
      <c r="CL19" s="11">
        <f t="shared" si="73"/>
        <v>0</v>
      </c>
      <c r="CM19" s="11">
        <f t="shared" si="74"/>
        <v>0</v>
      </c>
      <c r="CN19" s="11">
        <f t="shared" si="75"/>
        <v>0</v>
      </c>
      <c r="CO19" s="11">
        <f t="shared" si="76"/>
        <v>0</v>
      </c>
      <c r="CP19" s="11">
        <f t="shared" si="77"/>
        <v>0</v>
      </c>
      <c r="CQ19" s="11">
        <f t="shared" si="78"/>
        <v>0</v>
      </c>
      <c r="CR19" s="11">
        <f t="shared" si="79"/>
        <v>0</v>
      </c>
      <c r="CS19" s="11">
        <f t="shared" si="80"/>
        <v>0</v>
      </c>
      <c r="CT19" s="11">
        <f t="shared" si="81"/>
        <v>0</v>
      </c>
      <c r="CU19" s="11">
        <f t="shared" si="82"/>
        <v>0</v>
      </c>
      <c r="CV19" s="11">
        <f t="shared" si="83"/>
        <v>0</v>
      </c>
      <c r="CW19" s="11">
        <f t="shared" si="84"/>
        <v>0</v>
      </c>
      <c r="CX19" s="11">
        <f t="shared" si="85"/>
        <v>0</v>
      </c>
      <c r="CY19" s="11">
        <f t="shared" si="86"/>
        <v>0</v>
      </c>
      <c r="CZ19" s="11">
        <f t="shared" si="87"/>
        <v>0</v>
      </c>
      <c r="DA19" s="11">
        <f t="shared" si="88"/>
        <v>0</v>
      </c>
      <c r="DB19" s="11">
        <f t="shared" si="89"/>
        <v>0</v>
      </c>
      <c r="DC19" s="11">
        <f t="shared" si="90"/>
        <v>0</v>
      </c>
      <c r="DD19" s="11">
        <f t="shared" si="91"/>
        <v>0</v>
      </c>
      <c r="DE19" s="11">
        <f t="shared" si="92"/>
        <v>0</v>
      </c>
      <c r="DF19" s="11">
        <f t="shared" si="93"/>
        <v>0</v>
      </c>
      <c r="DG19" s="11">
        <f t="shared" si="94"/>
        <v>0</v>
      </c>
      <c r="DH19" s="11">
        <f t="shared" si="95"/>
        <v>0</v>
      </c>
      <c r="DI19" s="11">
        <f t="shared" si="96"/>
        <v>0</v>
      </c>
      <c r="DJ19" s="11">
        <f t="shared" si="97"/>
        <v>0</v>
      </c>
      <c r="DK19" s="11">
        <f t="shared" si="98"/>
        <v>0</v>
      </c>
      <c r="DL19" s="11">
        <f t="shared" si="99"/>
        <v>0</v>
      </c>
      <c r="DM19" s="11">
        <f t="shared" si="100"/>
        <v>0</v>
      </c>
      <c r="DN19" s="11">
        <f t="shared" si="101"/>
        <v>0</v>
      </c>
      <c r="DO19" s="11">
        <f t="shared" si="102"/>
        <v>1</v>
      </c>
      <c r="DP19" s="11">
        <f t="shared" si="103"/>
        <v>0</v>
      </c>
      <c r="DQ19" s="11">
        <f t="shared" si="104"/>
        <v>0</v>
      </c>
      <c r="DR19" s="11">
        <f t="shared" si="105"/>
        <v>0</v>
      </c>
      <c r="DS19" s="11">
        <f t="shared" si="106"/>
        <v>0</v>
      </c>
      <c r="DT19" s="11">
        <f t="shared" si="107"/>
        <v>0</v>
      </c>
      <c r="DU19" s="11">
        <f t="shared" si="108"/>
        <v>0</v>
      </c>
      <c r="DV19" s="11">
        <f t="shared" si="109"/>
        <v>0</v>
      </c>
      <c r="DW19" s="11">
        <f t="shared" si="110"/>
        <v>0</v>
      </c>
      <c r="DX19" s="11">
        <f t="shared" si="111"/>
        <v>0</v>
      </c>
      <c r="DY19" s="11">
        <f t="shared" si="112"/>
        <v>0</v>
      </c>
      <c r="DZ19" s="11">
        <f t="shared" si="113"/>
        <v>0</v>
      </c>
      <c r="EA19" s="11">
        <f t="shared" si="114"/>
        <v>0</v>
      </c>
      <c r="EB19" s="11">
        <f t="shared" si="115"/>
        <v>0</v>
      </c>
      <c r="EC19" s="11">
        <f t="shared" si="116"/>
        <v>0</v>
      </c>
      <c r="ED19" s="11">
        <f t="shared" si="117"/>
        <v>0</v>
      </c>
      <c r="EE19" s="11">
        <f t="shared" si="118"/>
        <v>0</v>
      </c>
    </row>
    <row r="20" spans="1:135" ht="15" customHeight="1" x14ac:dyDescent="0.2">
      <c r="A20" s="3" t="s">
        <v>960</v>
      </c>
      <c r="B20" s="3" t="s">
        <v>961</v>
      </c>
      <c r="C20" s="3" t="s">
        <v>833</v>
      </c>
      <c r="D20" s="3" t="s">
        <v>833</v>
      </c>
      <c r="E20" s="3" t="s">
        <v>350</v>
      </c>
      <c r="F20" s="3" t="s">
        <v>572</v>
      </c>
      <c r="G20" s="3" t="s">
        <v>181</v>
      </c>
      <c r="H20" s="3" t="s">
        <v>114</v>
      </c>
      <c r="I20" s="3" t="s">
        <v>1175</v>
      </c>
      <c r="J20" s="3" t="s">
        <v>965</v>
      </c>
      <c r="K20" s="3" t="s">
        <v>1720</v>
      </c>
      <c r="L20" s="3" t="s">
        <v>119</v>
      </c>
      <c r="M20" s="3" t="s">
        <v>1494</v>
      </c>
      <c r="N20" s="3" t="s">
        <v>119</v>
      </c>
      <c r="O20" s="3" t="s">
        <v>120</v>
      </c>
      <c r="P20" s="3" t="s">
        <v>1713</v>
      </c>
      <c r="Q20" s="10" t="str">
        <f t="shared" si="0"/>
        <v>Stage IV + Other</v>
      </c>
      <c r="R20" s="10" t="str">
        <f t="shared" si="1"/>
        <v>Non-squamous</v>
      </c>
      <c r="S20" s="10" t="str">
        <f t="shared" si="2"/>
        <v>All-comers</v>
      </c>
      <c r="T20" s="10">
        <f t="shared" si="3"/>
        <v>1</v>
      </c>
      <c r="U20" s="10">
        <f t="shared" si="4"/>
        <v>0</v>
      </c>
      <c r="V20" s="11">
        <f t="shared" si="5"/>
        <v>0</v>
      </c>
      <c r="W20" s="11">
        <f t="shared" si="6"/>
        <v>0</v>
      </c>
      <c r="X20" s="11">
        <f t="shared" si="7"/>
        <v>0</v>
      </c>
      <c r="Y20" s="11">
        <f t="shared" si="8"/>
        <v>0</v>
      </c>
      <c r="Z20" s="11">
        <f t="shared" si="9"/>
        <v>0</v>
      </c>
      <c r="AA20" s="11">
        <f t="shared" si="10"/>
        <v>0</v>
      </c>
      <c r="AB20" s="11">
        <f t="shared" si="11"/>
        <v>0</v>
      </c>
      <c r="AC20" s="11">
        <f t="shared" si="12"/>
        <v>0</v>
      </c>
      <c r="AD20" s="11">
        <f t="shared" si="13"/>
        <v>0</v>
      </c>
      <c r="AE20" s="11">
        <f t="shared" si="14"/>
        <v>0</v>
      </c>
      <c r="AF20" s="11">
        <f t="shared" si="15"/>
        <v>0</v>
      </c>
      <c r="AG20" s="11">
        <f t="shared" si="16"/>
        <v>0</v>
      </c>
      <c r="AH20" s="11">
        <f t="shared" si="17"/>
        <v>0</v>
      </c>
      <c r="AI20" s="11">
        <f t="shared" si="18"/>
        <v>0</v>
      </c>
      <c r="AJ20" s="11">
        <f t="shared" si="19"/>
        <v>0</v>
      </c>
      <c r="AK20" s="11">
        <f t="shared" si="20"/>
        <v>0</v>
      </c>
      <c r="AL20" s="11">
        <f t="shared" si="21"/>
        <v>1</v>
      </c>
      <c r="AM20" s="11">
        <f t="shared" si="22"/>
        <v>0</v>
      </c>
      <c r="AN20" s="11">
        <f t="shared" si="23"/>
        <v>0</v>
      </c>
      <c r="AO20" s="11">
        <f t="shared" si="24"/>
        <v>0</v>
      </c>
      <c r="AP20" s="11">
        <f t="shared" si="25"/>
        <v>0</v>
      </c>
      <c r="AQ20" s="11">
        <f t="shared" si="26"/>
        <v>0</v>
      </c>
      <c r="AR20" s="11">
        <f t="shared" si="27"/>
        <v>0</v>
      </c>
      <c r="AS20" s="11">
        <f t="shared" si="28"/>
        <v>0</v>
      </c>
      <c r="AT20" s="11">
        <f t="shared" si="29"/>
        <v>0</v>
      </c>
      <c r="AU20" s="11">
        <f t="shared" si="30"/>
        <v>0</v>
      </c>
      <c r="AV20" s="11">
        <f t="shared" si="31"/>
        <v>0</v>
      </c>
      <c r="AW20" s="11">
        <f t="shared" si="32"/>
        <v>0</v>
      </c>
      <c r="AX20" s="11">
        <f t="shared" si="33"/>
        <v>0</v>
      </c>
      <c r="AY20" s="11">
        <f t="shared" si="34"/>
        <v>0</v>
      </c>
      <c r="AZ20" s="11">
        <f t="shared" si="35"/>
        <v>0</v>
      </c>
      <c r="BA20" s="11">
        <f t="shared" si="36"/>
        <v>0</v>
      </c>
      <c r="BB20" s="11">
        <f t="shared" si="37"/>
        <v>0</v>
      </c>
      <c r="BC20" s="11">
        <f t="shared" si="38"/>
        <v>0</v>
      </c>
      <c r="BD20" s="11">
        <f t="shared" si="39"/>
        <v>0</v>
      </c>
      <c r="BE20" s="11">
        <f t="shared" si="40"/>
        <v>0</v>
      </c>
      <c r="BF20" s="11">
        <f t="shared" si="41"/>
        <v>0</v>
      </c>
      <c r="BG20" s="11">
        <f t="shared" si="42"/>
        <v>0</v>
      </c>
      <c r="BH20" s="11">
        <f t="shared" si="43"/>
        <v>0</v>
      </c>
      <c r="BI20" s="11">
        <f t="shared" si="44"/>
        <v>0</v>
      </c>
      <c r="BJ20" s="11">
        <f t="shared" si="45"/>
        <v>0</v>
      </c>
      <c r="BK20" s="11">
        <f t="shared" si="46"/>
        <v>0</v>
      </c>
      <c r="BL20" s="11">
        <f t="shared" si="47"/>
        <v>0</v>
      </c>
      <c r="BM20" s="11">
        <f t="shared" si="48"/>
        <v>0</v>
      </c>
      <c r="BN20" s="11">
        <f t="shared" si="49"/>
        <v>0</v>
      </c>
      <c r="BO20" s="11">
        <f t="shared" si="50"/>
        <v>0</v>
      </c>
      <c r="BP20" s="11">
        <f t="shared" si="51"/>
        <v>0</v>
      </c>
      <c r="BQ20" s="11">
        <f t="shared" si="52"/>
        <v>0</v>
      </c>
      <c r="BR20" s="11">
        <f t="shared" si="53"/>
        <v>0</v>
      </c>
      <c r="BS20" s="11">
        <f t="shared" si="54"/>
        <v>0</v>
      </c>
      <c r="BT20" s="11">
        <f t="shared" si="55"/>
        <v>0</v>
      </c>
      <c r="BU20" s="11">
        <f t="shared" si="56"/>
        <v>0</v>
      </c>
      <c r="BV20" s="11">
        <f t="shared" si="57"/>
        <v>0</v>
      </c>
      <c r="BW20" s="11">
        <f t="shared" si="58"/>
        <v>0</v>
      </c>
      <c r="BX20" s="11">
        <f t="shared" si="59"/>
        <v>0</v>
      </c>
      <c r="BY20" s="11">
        <f t="shared" si="60"/>
        <v>0</v>
      </c>
      <c r="BZ20" s="11">
        <f t="shared" si="61"/>
        <v>0</v>
      </c>
      <c r="CA20" s="11">
        <f t="shared" si="62"/>
        <v>0</v>
      </c>
      <c r="CB20" s="11">
        <f t="shared" si="63"/>
        <v>0</v>
      </c>
      <c r="CC20" s="11">
        <f t="shared" si="64"/>
        <v>0</v>
      </c>
      <c r="CD20" s="11">
        <f t="shared" si="65"/>
        <v>0</v>
      </c>
      <c r="CE20" s="11">
        <f t="shared" si="66"/>
        <v>0</v>
      </c>
      <c r="CF20" s="11">
        <f t="shared" si="67"/>
        <v>0</v>
      </c>
      <c r="CG20" s="11">
        <f t="shared" si="68"/>
        <v>1</v>
      </c>
      <c r="CH20" s="11">
        <f t="shared" si="69"/>
        <v>0</v>
      </c>
      <c r="CI20" s="11">
        <f t="shared" si="70"/>
        <v>0</v>
      </c>
      <c r="CJ20" s="11">
        <f t="shared" si="71"/>
        <v>0</v>
      </c>
      <c r="CK20" s="11">
        <f t="shared" si="72"/>
        <v>0</v>
      </c>
      <c r="CL20" s="11">
        <f t="shared" si="73"/>
        <v>0</v>
      </c>
      <c r="CM20" s="11">
        <f t="shared" si="74"/>
        <v>0</v>
      </c>
      <c r="CN20" s="11">
        <f t="shared" si="75"/>
        <v>0</v>
      </c>
      <c r="CO20" s="11">
        <f t="shared" si="76"/>
        <v>0</v>
      </c>
      <c r="CP20" s="11">
        <f t="shared" si="77"/>
        <v>0</v>
      </c>
      <c r="CQ20" s="11">
        <f t="shared" si="78"/>
        <v>0</v>
      </c>
      <c r="CR20" s="11">
        <f t="shared" si="79"/>
        <v>1</v>
      </c>
      <c r="CS20" s="11">
        <f t="shared" si="80"/>
        <v>0</v>
      </c>
      <c r="CT20" s="11">
        <f t="shared" si="81"/>
        <v>1</v>
      </c>
      <c r="CU20" s="11">
        <f t="shared" si="82"/>
        <v>0</v>
      </c>
      <c r="CV20" s="11">
        <f t="shared" si="83"/>
        <v>0</v>
      </c>
      <c r="CW20" s="11">
        <f t="shared" si="84"/>
        <v>0</v>
      </c>
      <c r="CX20" s="11">
        <f t="shared" si="85"/>
        <v>0</v>
      </c>
      <c r="CY20" s="11">
        <f t="shared" si="86"/>
        <v>0</v>
      </c>
      <c r="CZ20" s="11">
        <f t="shared" si="87"/>
        <v>0</v>
      </c>
      <c r="DA20" s="11">
        <f t="shared" si="88"/>
        <v>1</v>
      </c>
      <c r="DB20" s="11">
        <f t="shared" si="89"/>
        <v>1</v>
      </c>
      <c r="DC20" s="11">
        <f t="shared" si="90"/>
        <v>1</v>
      </c>
      <c r="DD20" s="11">
        <f t="shared" si="91"/>
        <v>0</v>
      </c>
      <c r="DE20" s="11">
        <f t="shared" si="92"/>
        <v>1</v>
      </c>
      <c r="DF20" s="11">
        <f t="shared" si="93"/>
        <v>0</v>
      </c>
      <c r="DG20" s="11">
        <f t="shared" si="94"/>
        <v>0</v>
      </c>
      <c r="DH20" s="11">
        <f t="shared" si="95"/>
        <v>0</v>
      </c>
      <c r="DI20" s="11">
        <f t="shared" si="96"/>
        <v>0</v>
      </c>
      <c r="DJ20" s="11">
        <f t="shared" si="97"/>
        <v>0</v>
      </c>
      <c r="DK20" s="11">
        <f t="shared" si="98"/>
        <v>0</v>
      </c>
      <c r="DL20" s="11">
        <f t="shared" si="99"/>
        <v>0</v>
      </c>
      <c r="DM20" s="11">
        <f t="shared" si="100"/>
        <v>0</v>
      </c>
      <c r="DN20" s="11">
        <f t="shared" si="101"/>
        <v>0</v>
      </c>
      <c r="DO20" s="11">
        <f t="shared" si="102"/>
        <v>0</v>
      </c>
      <c r="DP20" s="11">
        <f t="shared" si="103"/>
        <v>0</v>
      </c>
      <c r="DQ20" s="11">
        <f t="shared" si="104"/>
        <v>0</v>
      </c>
      <c r="DR20" s="11">
        <f t="shared" si="105"/>
        <v>0</v>
      </c>
      <c r="DS20" s="11">
        <f t="shared" si="106"/>
        <v>0</v>
      </c>
      <c r="DT20" s="11">
        <f t="shared" si="107"/>
        <v>0</v>
      </c>
      <c r="DU20" s="11">
        <f t="shared" si="108"/>
        <v>0</v>
      </c>
      <c r="DV20" s="11">
        <f t="shared" si="109"/>
        <v>0</v>
      </c>
      <c r="DW20" s="11">
        <f t="shared" si="110"/>
        <v>0</v>
      </c>
      <c r="DX20" s="11">
        <f t="shared" si="111"/>
        <v>0</v>
      </c>
      <c r="DY20" s="11">
        <f t="shared" si="112"/>
        <v>0</v>
      </c>
      <c r="DZ20" s="11">
        <f t="shared" si="113"/>
        <v>0</v>
      </c>
      <c r="EA20" s="11">
        <f t="shared" si="114"/>
        <v>0</v>
      </c>
      <c r="EB20" s="11">
        <f t="shared" si="115"/>
        <v>0</v>
      </c>
      <c r="EC20" s="11">
        <f t="shared" si="116"/>
        <v>0</v>
      </c>
      <c r="ED20" s="11">
        <f t="shared" si="117"/>
        <v>0</v>
      </c>
      <c r="EE20" s="11">
        <f t="shared" si="118"/>
        <v>0</v>
      </c>
    </row>
    <row r="21" spans="1:135" ht="15" customHeight="1" x14ac:dyDescent="0.2">
      <c r="A21" s="5" t="s">
        <v>1142</v>
      </c>
      <c r="B21" s="5" t="s">
        <v>1144</v>
      </c>
      <c r="C21" s="5" t="s">
        <v>281</v>
      </c>
      <c r="D21" s="5" t="s">
        <v>280</v>
      </c>
      <c r="E21" s="5" t="s">
        <v>282</v>
      </c>
      <c r="F21" s="5" t="s">
        <v>236</v>
      </c>
      <c r="G21" s="5" t="s">
        <v>181</v>
      </c>
      <c r="H21" s="5" t="s">
        <v>114</v>
      </c>
      <c r="I21" s="5" t="s">
        <v>1002</v>
      </c>
      <c r="J21" s="5" t="s">
        <v>965</v>
      </c>
      <c r="K21" s="5" t="s">
        <v>1728</v>
      </c>
      <c r="L21" s="5" t="s">
        <v>119</v>
      </c>
      <c r="M21" s="5" t="s">
        <v>1494</v>
      </c>
      <c r="N21" s="5" t="s">
        <v>120</v>
      </c>
      <c r="O21" s="5" t="s">
        <v>120</v>
      </c>
      <c r="P21" s="5" t="s">
        <v>1721</v>
      </c>
      <c r="Q21" s="10" t="str">
        <f t="shared" si="0"/>
        <v>Stage IV + Other</v>
      </c>
      <c r="R21" s="10" t="str">
        <f t="shared" si="1"/>
        <v>Non-squamous</v>
      </c>
      <c r="S21" s="10" t="str">
        <f t="shared" si="2"/>
        <v>All-comers</v>
      </c>
      <c r="T21" s="10">
        <f t="shared" si="3"/>
        <v>1</v>
      </c>
      <c r="U21" s="10">
        <f t="shared" si="4"/>
        <v>0</v>
      </c>
      <c r="V21" s="11">
        <f t="shared" si="5"/>
        <v>0</v>
      </c>
      <c r="W21" s="11">
        <f t="shared" si="6"/>
        <v>0</v>
      </c>
      <c r="X21" s="11">
        <f t="shared" si="7"/>
        <v>0</v>
      </c>
      <c r="Y21" s="11">
        <f t="shared" si="8"/>
        <v>0</v>
      </c>
      <c r="Z21" s="11">
        <f t="shared" si="9"/>
        <v>0</v>
      </c>
      <c r="AA21" s="11">
        <f t="shared" si="10"/>
        <v>0</v>
      </c>
      <c r="AB21" s="11">
        <f t="shared" si="11"/>
        <v>0</v>
      </c>
      <c r="AC21" s="11">
        <f t="shared" si="12"/>
        <v>0</v>
      </c>
      <c r="AD21" s="11">
        <f t="shared" si="13"/>
        <v>0</v>
      </c>
      <c r="AE21" s="11">
        <f t="shared" si="14"/>
        <v>0</v>
      </c>
      <c r="AF21" s="11">
        <f t="shared" si="15"/>
        <v>0</v>
      </c>
      <c r="AG21" s="11">
        <f t="shared" si="16"/>
        <v>0</v>
      </c>
      <c r="AH21" s="11">
        <f t="shared" si="17"/>
        <v>0</v>
      </c>
      <c r="AI21" s="11">
        <f t="shared" si="18"/>
        <v>0</v>
      </c>
      <c r="AJ21" s="11">
        <f t="shared" si="19"/>
        <v>0</v>
      </c>
      <c r="AK21" s="11">
        <f t="shared" si="20"/>
        <v>0</v>
      </c>
      <c r="AL21" s="11">
        <f t="shared" si="21"/>
        <v>0</v>
      </c>
      <c r="AM21" s="11">
        <f t="shared" si="22"/>
        <v>0</v>
      </c>
      <c r="AN21" s="11">
        <f t="shared" si="23"/>
        <v>0</v>
      </c>
      <c r="AO21" s="11">
        <f t="shared" si="24"/>
        <v>0</v>
      </c>
      <c r="AP21" s="11">
        <f t="shared" si="25"/>
        <v>0</v>
      </c>
      <c r="AQ21" s="11">
        <f t="shared" si="26"/>
        <v>0</v>
      </c>
      <c r="AR21" s="11">
        <f t="shared" si="27"/>
        <v>0</v>
      </c>
      <c r="AS21" s="11">
        <f t="shared" si="28"/>
        <v>0</v>
      </c>
      <c r="AT21" s="11">
        <f t="shared" si="29"/>
        <v>0</v>
      </c>
      <c r="AU21" s="11">
        <f t="shared" si="30"/>
        <v>0</v>
      </c>
      <c r="AV21" s="11">
        <f t="shared" si="31"/>
        <v>0</v>
      </c>
      <c r="AW21" s="11">
        <f t="shared" si="32"/>
        <v>0</v>
      </c>
      <c r="AX21" s="11">
        <f t="shared" si="33"/>
        <v>0</v>
      </c>
      <c r="AY21" s="11">
        <f t="shared" si="34"/>
        <v>0</v>
      </c>
      <c r="AZ21" s="11">
        <f t="shared" si="35"/>
        <v>0</v>
      </c>
      <c r="BA21" s="11">
        <f t="shared" si="36"/>
        <v>0</v>
      </c>
      <c r="BB21" s="11">
        <f t="shared" si="37"/>
        <v>0</v>
      </c>
      <c r="BC21" s="11">
        <f t="shared" si="38"/>
        <v>0</v>
      </c>
      <c r="BD21" s="11">
        <f t="shared" si="39"/>
        <v>0</v>
      </c>
      <c r="BE21" s="11">
        <f t="shared" si="40"/>
        <v>0</v>
      </c>
      <c r="BF21" s="11">
        <f t="shared" si="41"/>
        <v>0</v>
      </c>
      <c r="BG21" s="11">
        <f t="shared" si="42"/>
        <v>0</v>
      </c>
      <c r="BH21" s="11">
        <f t="shared" si="43"/>
        <v>0</v>
      </c>
      <c r="BI21" s="11">
        <f t="shared" si="44"/>
        <v>0</v>
      </c>
      <c r="BJ21" s="11">
        <f t="shared" si="45"/>
        <v>0</v>
      </c>
      <c r="BK21" s="11">
        <f t="shared" si="46"/>
        <v>0</v>
      </c>
      <c r="BL21" s="11">
        <f t="shared" si="47"/>
        <v>0</v>
      </c>
      <c r="BM21" s="11">
        <f t="shared" si="48"/>
        <v>0</v>
      </c>
      <c r="BN21" s="11">
        <f t="shared" si="49"/>
        <v>0</v>
      </c>
      <c r="BO21" s="11">
        <f t="shared" si="50"/>
        <v>0</v>
      </c>
      <c r="BP21" s="11">
        <f t="shared" si="51"/>
        <v>0</v>
      </c>
      <c r="BQ21" s="11">
        <f t="shared" si="52"/>
        <v>0</v>
      </c>
      <c r="BR21" s="11">
        <f t="shared" si="53"/>
        <v>0</v>
      </c>
      <c r="BS21" s="11">
        <f t="shared" si="54"/>
        <v>0</v>
      </c>
      <c r="BT21" s="11">
        <f t="shared" si="55"/>
        <v>0</v>
      </c>
      <c r="BU21" s="11">
        <f t="shared" si="56"/>
        <v>0</v>
      </c>
      <c r="BV21" s="11">
        <f t="shared" si="57"/>
        <v>0</v>
      </c>
      <c r="BW21" s="11">
        <f t="shared" si="58"/>
        <v>0</v>
      </c>
      <c r="BX21" s="11">
        <f t="shared" si="59"/>
        <v>0</v>
      </c>
      <c r="BY21" s="11">
        <f t="shared" si="60"/>
        <v>0</v>
      </c>
      <c r="BZ21" s="11">
        <f t="shared" si="61"/>
        <v>0</v>
      </c>
      <c r="CA21" s="11">
        <f t="shared" si="62"/>
        <v>0</v>
      </c>
      <c r="CB21" s="11">
        <f t="shared" si="63"/>
        <v>0</v>
      </c>
      <c r="CC21" s="11">
        <f t="shared" si="64"/>
        <v>0</v>
      </c>
      <c r="CD21" s="11">
        <f t="shared" si="65"/>
        <v>0</v>
      </c>
      <c r="CE21" s="11">
        <f t="shared" si="66"/>
        <v>0</v>
      </c>
      <c r="CF21" s="11">
        <f t="shared" si="67"/>
        <v>0</v>
      </c>
      <c r="CG21" s="11">
        <f t="shared" si="68"/>
        <v>1</v>
      </c>
      <c r="CH21" s="11">
        <f t="shared" si="69"/>
        <v>0</v>
      </c>
      <c r="CI21" s="11">
        <f t="shared" si="70"/>
        <v>0</v>
      </c>
      <c r="CJ21" s="11">
        <f t="shared" si="71"/>
        <v>0</v>
      </c>
      <c r="CK21" s="11">
        <f t="shared" si="72"/>
        <v>0</v>
      </c>
      <c r="CL21" s="11">
        <f t="shared" si="73"/>
        <v>0</v>
      </c>
      <c r="CM21" s="11">
        <f t="shared" si="74"/>
        <v>0</v>
      </c>
      <c r="CN21" s="11">
        <f t="shared" si="75"/>
        <v>0</v>
      </c>
      <c r="CO21" s="11">
        <f t="shared" si="76"/>
        <v>0</v>
      </c>
      <c r="CP21" s="11">
        <f t="shared" si="77"/>
        <v>1</v>
      </c>
      <c r="CQ21" s="11">
        <f t="shared" si="78"/>
        <v>1</v>
      </c>
      <c r="CR21" s="11">
        <f t="shared" si="79"/>
        <v>0</v>
      </c>
      <c r="CS21" s="11">
        <f t="shared" si="80"/>
        <v>0</v>
      </c>
      <c r="CT21" s="11">
        <f t="shared" si="81"/>
        <v>1</v>
      </c>
      <c r="CU21" s="11">
        <f t="shared" si="82"/>
        <v>0</v>
      </c>
      <c r="CV21" s="11">
        <f t="shared" si="83"/>
        <v>0</v>
      </c>
      <c r="CW21" s="11">
        <f t="shared" si="84"/>
        <v>0</v>
      </c>
      <c r="CX21" s="11">
        <f t="shared" si="85"/>
        <v>0</v>
      </c>
      <c r="CY21" s="11">
        <f t="shared" si="86"/>
        <v>0</v>
      </c>
      <c r="CZ21" s="11">
        <f t="shared" si="87"/>
        <v>0</v>
      </c>
      <c r="DA21" s="11">
        <f t="shared" si="88"/>
        <v>1</v>
      </c>
      <c r="DB21" s="11">
        <f t="shared" si="89"/>
        <v>1</v>
      </c>
      <c r="DC21" s="11">
        <f t="shared" si="90"/>
        <v>1</v>
      </c>
      <c r="DD21" s="11">
        <f t="shared" si="91"/>
        <v>0</v>
      </c>
      <c r="DE21" s="11">
        <f t="shared" si="92"/>
        <v>1</v>
      </c>
      <c r="DF21" s="11">
        <f t="shared" si="93"/>
        <v>0</v>
      </c>
      <c r="DG21" s="11">
        <f t="shared" si="94"/>
        <v>0</v>
      </c>
      <c r="DH21" s="11">
        <f t="shared" si="95"/>
        <v>0</v>
      </c>
      <c r="DI21" s="11">
        <f t="shared" si="96"/>
        <v>0</v>
      </c>
      <c r="DJ21" s="11">
        <f t="shared" si="97"/>
        <v>0</v>
      </c>
      <c r="DK21" s="11">
        <f t="shared" si="98"/>
        <v>0</v>
      </c>
      <c r="DL21" s="11">
        <f t="shared" si="99"/>
        <v>0</v>
      </c>
      <c r="DM21" s="11">
        <f t="shared" si="100"/>
        <v>0</v>
      </c>
      <c r="DN21" s="11">
        <f t="shared" si="101"/>
        <v>0</v>
      </c>
      <c r="DO21" s="11">
        <f t="shared" si="102"/>
        <v>0</v>
      </c>
      <c r="DP21" s="11">
        <f t="shared" si="103"/>
        <v>0</v>
      </c>
      <c r="DQ21" s="11">
        <f t="shared" si="104"/>
        <v>1</v>
      </c>
      <c r="DR21" s="11">
        <f t="shared" si="105"/>
        <v>0</v>
      </c>
      <c r="DS21" s="11">
        <f t="shared" si="106"/>
        <v>0</v>
      </c>
      <c r="DT21" s="11">
        <f t="shared" si="107"/>
        <v>0</v>
      </c>
      <c r="DU21" s="11">
        <f t="shared" si="108"/>
        <v>0</v>
      </c>
      <c r="DV21" s="11">
        <f t="shared" si="109"/>
        <v>0</v>
      </c>
      <c r="DW21" s="11">
        <f t="shared" si="110"/>
        <v>0</v>
      </c>
      <c r="DX21" s="11">
        <f t="shared" si="111"/>
        <v>0</v>
      </c>
      <c r="DY21" s="11">
        <f t="shared" si="112"/>
        <v>0</v>
      </c>
      <c r="DZ21" s="11">
        <f t="shared" si="113"/>
        <v>1</v>
      </c>
      <c r="EA21" s="11">
        <f t="shared" si="114"/>
        <v>1</v>
      </c>
      <c r="EB21" s="11">
        <f t="shared" si="115"/>
        <v>0</v>
      </c>
      <c r="EC21" s="11">
        <f t="shared" si="116"/>
        <v>0</v>
      </c>
      <c r="ED21" s="11">
        <f t="shared" si="117"/>
        <v>1</v>
      </c>
      <c r="EE21" s="11">
        <f t="shared" si="118"/>
        <v>0</v>
      </c>
    </row>
    <row r="22" spans="1:135" ht="15" customHeight="1" x14ac:dyDescent="0.2">
      <c r="A22" s="3" t="s">
        <v>893</v>
      </c>
      <c r="B22" s="3" t="s">
        <v>895</v>
      </c>
      <c r="C22" s="3" t="s">
        <v>318</v>
      </c>
      <c r="D22" s="3" t="s">
        <v>318</v>
      </c>
      <c r="E22" s="3"/>
      <c r="F22" s="3" t="s">
        <v>259</v>
      </c>
      <c r="G22" s="3"/>
      <c r="H22" s="3" t="s">
        <v>114</v>
      </c>
      <c r="I22" s="3" t="s">
        <v>905</v>
      </c>
      <c r="J22" s="3" t="s">
        <v>898</v>
      </c>
      <c r="K22" s="3"/>
      <c r="L22" s="3" t="s">
        <v>119</v>
      </c>
      <c r="M22" s="3" t="s">
        <v>1494</v>
      </c>
      <c r="N22" s="3" t="s">
        <v>119</v>
      </c>
      <c r="O22" s="3" t="s">
        <v>120</v>
      </c>
      <c r="P22" s="3" t="s">
        <v>1729</v>
      </c>
      <c r="Q22" s="10" t="str">
        <f t="shared" si="0"/>
        <v>Stage IV Only</v>
      </c>
      <c r="R22" s="10" t="str">
        <f t="shared" si="1"/>
        <v>Unspecified</v>
      </c>
      <c r="S22" s="10" t="str">
        <f t="shared" si="2"/>
        <v>All-comers</v>
      </c>
      <c r="T22" s="10">
        <f t="shared" si="3"/>
        <v>1</v>
      </c>
      <c r="U22" s="10">
        <f t="shared" si="4"/>
        <v>0</v>
      </c>
      <c r="V22" s="11">
        <f t="shared" si="5"/>
        <v>0</v>
      </c>
      <c r="W22" s="11">
        <f t="shared" si="6"/>
        <v>0</v>
      </c>
      <c r="X22" s="11">
        <f t="shared" si="7"/>
        <v>0</v>
      </c>
      <c r="Y22" s="11">
        <f t="shared" si="8"/>
        <v>0</v>
      </c>
      <c r="Z22" s="11">
        <f t="shared" si="9"/>
        <v>0</v>
      </c>
      <c r="AA22" s="11">
        <f t="shared" si="10"/>
        <v>0</v>
      </c>
      <c r="AB22" s="11">
        <f t="shared" si="11"/>
        <v>0</v>
      </c>
      <c r="AC22" s="11">
        <f t="shared" si="12"/>
        <v>0</v>
      </c>
      <c r="AD22" s="11">
        <f t="shared" si="13"/>
        <v>0</v>
      </c>
      <c r="AE22" s="11">
        <f t="shared" si="14"/>
        <v>0</v>
      </c>
      <c r="AF22" s="11">
        <f t="shared" si="15"/>
        <v>0</v>
      </c>
      <c r="AG22" s="11">
        <f t="shared" si="16"/>
        <v>0</v>
      </c>
      <c r="AH22" s="11">
        <f t="shared" si="17"/>
        <v>0</v>
      </c>
      <c r="AI22" s="11">
        <f t="shared" si="18"/>
        <v>0</v>
      </c>
      <c r="AJ22" s="11">
        <f t="shared" si="19"/>
        <v>0</v>
      </c>
      <c r="AK22" s="11">
        <f t="shared" si="20"/>
        <v>0</v>
      </c>
      <c r="AL22" s="11">
        <f t="shared" si="21"/>
        <v>0</v>
      </c>
      <c r="AM22" s="11">
        <f t="shared" si="22"/>
        <v>0</v>
      </c>
      <c r="AN22" s="11">
        <f t="shared" si="23"/>
        <v>0</v>
      </c>
      <c r="AO22" s="11">
        <f t="shared" si="24"/>
        <v>0</v>
      </c>
      <c r="AP22" s="11">
        <f t="shared" si="25"/>
        <v>0</v>
      </c>
      <c r="AQ22" s="11">
        <f t="shared" si="26"/>
        <v>0</v>
      </c>
      <c r="AR22" s="11">
        <f t="shared" si="27"/>
        <v>0</v>
      </c>
      <c r="AS22" s="11">
        <f t="shared" si="28"/>
        <v>0</v>
      </c>
      <c r="AT22" s="11">
        <f t="shared" si="29"/>
        <v>0</v>
      </c>
      <c r="AU22" s="11">
        <f t="shared" si="30"/>
        <v>0</v>
      </c>
      <c r="AV22" s="11">
        <f t="shared" si="31"/>
        <v>0</v>
      </c>
      <c r="AW22" s="11">
        <f t="shared" si="32"/>
        <v>0</v>
      </c>
      <c r="AX22" s="11">
        <f t="shared" si="33"/>
        <v>0</v>
      </c>
      <c r="AY22" s="11">
        <f t="shared" si="34"/>
        <v>0</v>
      </c>
      <c r="AZ22" s="11">
        <f t="shared" si="35"/>
        <v>0</v>
      </c>
      <c r="BA22" s="11">
        <f t="shared" si="36"/>
        <v>0</v>
      </c>
      <c r="BB22" s="11">
        <f t="shared" si="37"/>
        <v>0</v>
      </c>
      <c r="BC22" s="11">
        <f t="shared" si="38"/>
        <v>0</v>
      </c>
      <c r="BD22" s="11">
        <f t="shared" si="39"/>
        <v>0</v>
      </c>
      <c r="BE22" s="11">
        <f t="shared" si="40"/>
        <v>0</v>
      </c>
      <c r="BF22" s="11">
        <f t="shared" si="41"/>
        <v>0</v>
      </c>
      <c r="BG22" s="11">
        <f t="shared" si="42"/>
        <v>1</v>
      </c>
      <c r="BH22" s="11">
        <f t="shared" si="43"/>
        <v>0</v>
      </c>
      <c r="BI22" s="11">
        <f t="shared" si="44"/>
        <v>0</v>
      </c>
      <c r="BJ22" s="11">
        <f t="shared" si="45"/>
        <v>0</v>
      </c>
      <c r="BK22" s="11">
        <f t="shared" si="46"/>
        <v>0</v>
      </c>
      <c r="BL22" s="11">
        <f t="shared" si="47"/>
        <v>0</v>
      </c>
      <c r="BM22" s="11">
        <f t="shared" si="48"/>
        <v>0</v>
      </c>
      <c r="BN22" s="11">
        <f t="shared" si="49"/>
        <v>0</v>
      </c>
      <c r="BO22" s="11">
        <f t="shared" si="50"/>
        <v>0</v>
      </c>
      <c r="BP22" s="11">
        <f t="shared" si="51"/>
        <v>0</v>
      </c>
      <c r="BQ22" s="11">
        <f t="shared" si="52"/>
        <v>0</v>
      </c>
      <c r="BR22" s="11">
        <f t="shared" si="53"/>
        <v>0</v>
      </c>
      <c r="BS22" s="11">
        <f t="shared" si="54"/>
        <v>0</v>
      </c>
      <c r="BT22" s="11">
        <f t="shared" si="55"/>
        <v>0</v>
      </c>
      <c r="BU22" s="11">
        <f t="shared" si="56"/>
        <v>0</v>
      </c>
      <c r="BV22" s="11">
        <f t="shared" si="57"/>
        <v>0</v>
      </c>
      <c r="BW22" s="11">
        <f t="shared" si="58"/>
        <v>0</v>
      </c>
      <c r="BX22" s="11">
        <f t="shared" si="59"/>
        <v>0</v>
      </c>
      <c r="BY22" s="11">
        <f t="shared" si="60"/>
        <v>0</v>
      </c>
      <c r="BZ22" s="11">
        <f t="shared" si="61"/>
        <v>0</v>
      </c>
      <c r="CA22" s="11">
        <f t="shared" si="62"/>
        <v>0</v>
      </c>
      <c r="CB22" s="11">
        <f t="shared" si="63"/>
        <v>0</v>
      </c>
      <c r="CC22" s="11">
        <f t="shared" si="64"/>
        <v>0</v>
      </c>
      <c r="CD22" s="11">
        <f t="shared" si="65"/>
        <v>0</v>
      </c>
      <c r="CE22" s="11">
        <f t="shared" si="66"/>
        <v>0</v>
      </c>
      <c r="CF22" s="11">
        <f t="shared" si="67"/>
        <v>0</v>
      </c>
      <c r="CG22" s="11">
        <f t="shared" si="68"/>
        <v>0</v>
      </c>
      <c r="CH22" s="11">
        <f t="shared" si="69"/>
        <v>0</v>
      </c>
      <c r="CI22" s="11">
        <f t="shared" si="70"/>
        <v>0</v>
      </c>
      <c r="CJ22" s="11">
        <f t="shared" si="71"/>
        <v>0</v>
      </c>
      <c r="CK22" s="11">
        <f t="shared" si="72"/>
        <v>0</v>
      </c>
      <c r="CL22" s="11">
        <f t="shared" si="73"/>
        <v>0</v>
      </c>
      <c r="CM22" s="11">
        <f t="shared" si="74"/>
        <v>0</v>
      </c>
      <c r="CN22" s="11">
        <f t="shared" si="75"/>
        <v>0</v>
      </c>
      <c r="CO22" s="11">
        <f t="shared" si="76"/>
        <v>0</v>
      </c>
      <c r="CP22" s="11">
        <f t="shared" si="77"/>
        <v>0</v>
      </c>
      <c r="CQ22" s="11">
        <f t="shared" si="78"/>
        <v>0</v>
      </c>
      <c r="CR22" s="11">
        <f t="shared" si="79"/>
        <v>0</v>
      </c>
      <c r="CS22" s="11">
        <f t="shared" si="80"/>
        <v>0</v>
      </c>
      <c r="CT22" s="11">
        <f t="shared" si="81"/>
        <v>0</v>
      </c>
      <c r="CU22" s="11">
        <f t="shared" si="82"/>
        <v>0</v>
      </c>
      <c r="CV22" s="11">
        <f t="shared" si="83"/>
        <v>0</v>
      </c>
      <c r="CW22" s="11">
        <f t="shared" si="84"/>
        <v>0</v>
      </c>
      <c r="CX22" s="11">
        <f t="shared" si="85"/>
        <v>0</v>
      </c>
      <c r="CY22" s="11">
        <f t="shared" si="86"/>
        <v>0</v>
      </c>
      <c r="CZ22" s="11">
        <f t="shared" si="87"/>
        <v>0</v>
      </c>
      <c r="DA22" s="11">
        <f t="shared" si="88"/>
        <v>0</v>
      </c>
      <c r="DB22" s="11">
        <f t="shared" si="89"/>
        <v>0</v>
      </c>
      <c r="DC22" s="11">
        <f t="shared" si="90"/>
        <v>0</v>
      </c>
      <c r="DD22" s="11">
        <f t="shared" si="91"/>
        <v>0</v>
      </c>
      <c r="DE22" s="11">
        <f t="shared" si="92"/>
        <v>0</v>
      </c>
      <c r="DF22" s="11">
        <f t="shared" si="93"/>
        <v>0</v>
      </c>
      <c r="DG22" s="11">
        <f t="shared" si="94"/>
        <v>0</v>
      </c>
      <c r="DH22" s="11">
        <f t="shared" si="95"/>
        <v>0</v>
      </c>
      <c r="DI22" s="11">
        <f t="shared" si="96"/>
        <v>0</v>
      </c>
      <c r="DJ22" s="11">
        <f t="shared" si="97"/>
        <v>0</v>
      </c>
      <c r="DK22" s="11">
        <f t="shared" si="98"/>
        <v>0</v>
      </c>
      <c r="DL22" s="11">
        <f t="shared" si="99"/>
        <v>0</v>
      </c>
      <c r="DM22" s="11">
        <f t="shared" si="100"/>
        <v>0</v>
      </c>
      <c r="DN22" s="11">
        <f t="shared" si="101"/>
        <v>0</v>
      </c>
      <c r="DO22" s="11">
        <f t="shared" si="102"/>
        <v>0</v>
      </c>
      <c r="DP22" s="11">
        <f t="shared" si="103"/>
        <v>0</v>
      </c>
      <c r="DQ22" s="11">
        <f t="shared" si="104"/>
        <v>0</v>
      </c>
      <c r="DR22" s="11">
        <f t="shared" si="105"/>
        <v>0</v>
      </c>
      <c r="DS22" s="11">
        <f t="shared" si="106"/>
        <v>0</v>
      </c>
      <c r="DT22" s="11">
        <f t="shared" si="107"/>
        <v>0</v>
      </c>
      <c r="DU22" s="11">
        <f t="shared" si="108"/>
        <v>0</v>
      </c>
      <c r="DV22" s="11">
        <f t="shared" si="109"/>
        <v>0</v>
      </c>
      <c r="DW22" s="11">
        <f t="shared" si="110"/>
        <v>0</v>
      </c>
      <c r="DX22" s="11">
        <f t="shared" si="111"/>
        <v>0</v>
      </c>
      <c r="DY22" s="11">
        <f t="shared" si="112"/>
        <v>0</v>
      </c>
      <c r="DZ22" s="11">
        <f t="shared" si="113"/>
        <v>0</v>
      </c>
      <c r="EA22" s="11">
        <f t="shared" si="114"/>
        <v>0</v>
      </c>
      <c r="EB22" s="11">
        <f t="shared" si="115"/>
        <v>0</v>
      </c>
      <c r="EC22" s="11">
        <f t="shared" si="116"/>
        <v>0</v>
      </c>
      <c r="ED22" s="11">
        <f t="shared" si="117"/>
        <v>0</v>
      </c>
      <c r="EE22" s="11">
        <f t="shared" si="118"/>
        <v>0</v>
      </c>
    </row>
    <row r="23" spans="1:135" ht="15" customHeight="1" x14ac:dyDescent="0.2">
      <c r="A23" s="5" t="s">
        <v>1379</v>
      </c>
      <c r="B23" s="5" t="s">
        <v>1380</v>
      </c>
      <c r="C23" s="5" t="s">
        <v>1314</v>
      </c>
      <c r="D23" s="5" t="s">
        <v>1314</v>
      </c>
      <c r="E23" s="5" t="s">
        <v>1314</v>
      </c>
      <c r="F23" s="5" t="s">
        <v>259</v>
      </c>
      <c r="G23" s="5" t="s">
        <v>544</v>
      </c>
      <c r="H23" s="5" t="s">
        <v>114</v>
      </c>
      <c r="I23" s="5" t="s">
        <v>1732</v>
      </c>
      <c r="J23" s="5" t="s">
        <v>1382</v>
      </c>
      <c r="K23" s="5" t="s">
        <v>1737</v>
      </c>
      <c r="L23" s="5" t="s">
        <v>119</v>
      </c>
      <c r="M23" s="5" t="s">
        <v>1494</v>
      </c>
      <c r="N23" s="5" t="s">
        <v>119</v>
      </c>
      <c r="O23" s="5" t="s">
        <v>120</v>
      </c>
      <c r="P23" s="5" t="s">
        <v>1730</v>
      </c>
      <c r="Q23" s="10" t="str">
        <f t="shared" si="0"/>
        <v>Stage IV Only</v>
      </c>
      <c r="R23" s="10" t="str">
        <f t="shared" si="1"/>
        <v>Both</v>
      </c>
      <c r="S23" s="10" t="str">
        <f t="shared" si="2"/>
        <v>All-comers</v>
      </c>
      <c r="T23" s="10">
        <f t="shared" si="3"/>
        <v>1</v>
      </c>
      <c r="U23" s="10">
        <f t="shared" si="4"/>
        <v>0</v>
      </c>
      <c r="V23" s="11">
        <f t="shared" si="5"/>
        <v>0</v>
      </c>
      <c r="W23" s="11">
        <f t="shared" si="6"/>
        <v>0</v>
      </c>
      <c r="X23" s="11">
        <f t="shared" si="7"/>
        <v>0</v>
      </c>
      <c r="Y23" s="11">
        <f t="shared" si="8"/>
        <v>0</v>
      </c>
      <c r="Z23" s="11">
        <f t="shared" si="9"/>
        <v>0</v>
      </c>
      <c r="AA23" s="11">
        <f t="shared" si="10"/>
        <v>0</v>
      </c>
      <c r="AB23" s="11">
        <f t="shared" si="11"/>
        <v>0</v>
      </c>
      <c r="AC23" s="11">
        <f t="shared" si="12"/>
        <v>0</v>
      </c>
      <c r="AD23" s="11">
        <f t="shared" si="13"/>
        <v>0</v>
      </c>
      <c r="AE23" s="11">
        <f t="shared" si="14"/>
        <v>0</v>
      </c>
      <c r="AF23" s="11">
        <f t="shared" si="15"/>
        <v>0</v>
      </c>
      <c r="AG23" s="11">
        <f t="shared" si="16"/>
        <v>0</v>
      </c>
      <c r="AH23" s="11">
        <f t="shared" si="17"/>
        <v>0</v>
      </c>
      <c r="AI23" s="11">
        <f t="shared" si="18"/>
        <v>0</v>
      </c>
      <c r="AJ23" s="11">
        <f t="shared" si="19"/>
        <v>0</v>
      </c>
      <c r="AK23" s="11">
        <f t="shared" si="20"/>
        <v>0</v>
      </c>
      <c r="AL23" s="11">
        <f t="shared" si="21"/>
        <v>0</v>
      </c>
      <c r="AM23" s="11">
        <f t="shared" si="22"/>
        <v>0</v>
      </c>
      <c r="AN23" s="11">
        <f t="shared" si="23"/>
        <v>0</v>
      </c>
      <c r="AO23" s="11">
        <f t="shared" si="24"/>
        <v>0</v>
      </c>
      <c r="AP23" s="11">
        <f t="shared" si="25"/>
        <v>0</v>
      </c>
      <c r="AQ23" s="11">
        <f t="shared" si="26"/>
        <v>0</v>
      </c>
      <c r="AR23" s="11">
        <f t="shared" si="27"/>
        <v>0</v>
      </c>
      <c r="AS23" s="11">
        <f t="shared" si="28"/>
        <v>0</v>
      </c>
      <c r="AT23" s="11">
        <f t="shared" si="29"/>
        <v>0</v>
      </c>
      <c r="AU23" s="11">
        <f t="shared" si="30"/>
        <v>0</v>
      </c>
      <c r="AV23" s="11">
        <f t="shared" si="31"/>
        <v>1</v>
      </c>
      <c r="AW23" s="11">
        <f t="shared" si="32"/>
        <v>0</v>
      </c>
      <c r="AX23" s="11">
        <f t="shared" si="33"/>
        <v>0</v>
      </c>
      <c r="AY23" s="11">
        <f t="shared" si="34"/>
        <v>0</v>
      </c>
      <c r="AZ23" s="11">
        <f t="shared" si="35"/>
        <v>0</v>
      </c>
      <c r="BA23" s="11">
        <f t="shared" si="36"/>
        <v>0</v>
      </c>
      <c r="BB23" s="11">
        <f t="shared" si="37"/>
        <v>0</v>
      </c>
      <c r="BC23" s="11">
        <f t="shared" si="38"/>
        <v>0</v>
      </c>
      <c r="BD23" s="11">
        <f t="shared" si="39"/>
        <v>0</v>
      </c>
      <c r="BE23" s="11">
        <f t="shared" si="40"/>
        <v>1</v>
      </c>
      <c r="BF23" s="11">
        <f t="shared" si="41"/>
        <v>1</v>
      </c>
      <c r="BG23" s="11">
        <f t="shared" si="42"/>
        <v>1</v>
      </c>
      <c r="BH23" s="11">
        <f t="shared" si="43"/>
        <v>1</v>
      </c>
      <c r="BI23" s="11">
        <f t="shared" si="44"/>
        <v>0</v>
      </c>
      <c r="BJ23" s="11">
        <f t="shared" si="45"/>
        <v>0</v>
      </c>
      <c r="BK23" s="11">
        <f t="shared" si="46"/>
        <v>0</v>
      </c>
      <c r="BL23" s="11">
        <f t="shared" si="47"/>
        <v>0</v>
      </c>
      <c r="BM23" s="11">
        <f t="shared" si="48"/>
        <v>0</v>
      </c>
      <c r="BN23" s="11">
        <f t="shared" si="49"/>
        <v>0</v>
      </c>
      <c r="BO23" s="11">
        <f t="shared" si="50"/>
        <v>1</v>
      </c>
      <c r="BP23" s="11">
        <f t="shared" si="51"/>
        <v>0</v>
      </c>
      <c r="BQ23" s="11">
        <f t="shared" si="52"/>
        <v>0</v>
      </c>
      <c r="BR23" s="11">
        <f t="shared" si="53"/>
        <v>0</v>
      </c>
      <c r="BS23" s="11">
        <f t="shared" si="54"/>
        <v>0</v>
      </c>
      <c r="BT23" s="11">
        <f t="shared" si="55"/>
        <v>0</v>
      </c>
      <c r="BU23" s="11">
        <f t="shared" si="56"/>
        <v>1</v>
      </c>
      <c r="BV23" s="11">
        <f t="shared" si="57"/>
        <v>0</v>
      </c>
      <c r="BW23" s="11">
        <f t="shared" si="58"/>
        <v>0</v>
      </c>
      <c r="BX23" s="11">
        <f t="shared" si="59"/>
        <v>0</v>
      </c>
      <c r="BY23" s="11">
        <f t="shared" si="60"/>
        <v>0</v>
      </c>
      <c r="BZ23" s="11">
        <f t="shared" si="61"/>
        <v>0</v>
      </c>
      <c r="CA23" s="11">
        <f t="shared" si="62"/>
        <v>0</v>
      </c>
      <c r="CB23" s="11">
        <f t="shared" si="63"/>
        <v>0</v>
      </c>
      <c r="CC23" s="11">
        <f t="shared" si="64"/>
        <v>0</v>
      </c>
      <c r="CD23" s="11">
        <f t="shared" si="65"/>
        <v>0</v>
      </c>
      <c r="CE23" s="11">
        <f t="shared" si="66"/>
        <v>0</v>
      </c>
      <c r="CF23" s="11">
        <f t="shared" si="67"/>
        <v>0</v>
      </c>
      <c r="CG23" s="11">
        <f t="shared" si="68"/>
        <v>0</v>
      </c>
      <c r="CH23" s="11">
        <f t="shared" si="69"/>
        <v>0</v>
      </c>
      <c r="CI23" s="11">
        <f t="shared" si="70"/>
        <v>0</v>
      </c>
      <c r="CJ23" s="11">
        <f t="shared" si="71"/>
        <v>0</v>
      </c>
      <c r="CK23" s="11">
        <f t="shared" si="72"/>
        <v>0</v>
      </c>
      <c r="CL23" s="11">
        <f t="shared" si="73"/>
        <v>0</v>
      </c>
      <c r="CM23" s="11">
        <f t="shared" si="74"/>
        <v>0</v>
      </c>
      <c r="CN23" s="11">
        <f t="shared" si="75"/>
        <v>0</v>
      </c>
      <c r="CO23" s="11">
        <f t="shared" si="76"/>
        <v>1</v>
      </c>
      <c r="CP23" s="11">
        <f t="shared" si="77"/>
        <v>0</v>
      </c>
      <c r="CQ23" s="11">
        <f t="shared" si="78"/>
        <v>0</v>
      </c>
      <c r="CR23" s="11">
        <f t="shared" si="79"/>
        <v>0</v>
      </c>
      <c r="CS23" s="11">
        <f t="shared" si="80"/>
        <v>0</v>
      </c>
      <c r="CT23" s="11">
        <f t="shared" si="81"/>
        <v>0</v>
      </c>
      <c r="CU23" s="11">
        <f t="shared" si="82"/>
        <v>0</v>
      </c>
      <c r="CV23" s="11">
        <f t="shared" si="83"/>
        <v>0</v>
      </c>
      <c r="CW23" s="11">
        <f t="shared" si="84"/>
        <v>0</v>
      </c>
      <c r="CX23" s="11">
        <f t="shared" si="85"/>
        <v>0</v>
      </c>
      <c r="CY23" s="11">
        <f t="shared" si="86"/>
        <v>0</v>
      </c>
      <c r="CZ23" s="11">
        <f t="shared" si="87"/>
        <v>0</v>
      </c>
      <c r="DA23" s="11">
        <f t="shared" si="88"/>
        <v>0</v>
      </c>
      <c r="DB23" s="11">
        <f t="shared" si="89"/>
        <v>0</v>
      </c>
      <c r="DC23" s="11">
        <f t="shared" si="90"/>
        <v>0</v>
      </c>
      <c r="DD23" s="11">
        <f t="shared" si="91"/>
        <v>0</v>
      </c>
      <c r="DE23" s="11">
        <f t="shared" si="92"/>
        <v>0</v>
      </c>
      <c r="DF23" s="11">
        <f t="shared" si="93"/>
        <v>0</v>
      </c>
      <c r="DG23" s="11">
        <f t="shared" si="94"/>
        <v>0</v>
      </c>
      <c r="DH23" s="11">
        <f t="shared" si="95"/>
        <v>0</v>
      </c>
      <c r="DI23" s="11">
        <f t="shared" si="96"/>
        <v>0</v>
      </c>
      <c r="DJ23" s="11">
        <f t="shared" si="97"/>
        <v>0</v>
      </c>
      <c r="DK23" s="11">
        <f t="shared" si="98"/>
        <v>0</v>
      </c>
      <c r="DL23" s="11">
        <f t="shared" si="99"/>
        <v>0</v>
      </c>
      <c r="DM23" s="11">
        <f t="shared" si="100"/>
        <v>1</v>
      </c>
      <c r="DN23" s="11">
        <f t="shared" si="101"/>
        <v>1</v>
      </c>
      <c r="DO23" s="11">
        <f t="shared" si="102"/>
        <v>0</v>
      </c>
      <c r="DP23" s="11">
        <f t="shared" si="103"/>
        <v>1</v>
      </c>
      <c r="DQ23" s="11">
        <f t="shared" si="104"/>
        <v>0</v>
      </c>
      <c r="DR23" s="11">
        <f t="shared" si="105"/>
        <v>0</v>
      </c>
      <c r="DS23" s="11">
        <f t="shared" si="106"/>
        <v>0</v>
      </c>
      <c r="DT23" s="11">
        <f t="shared" si="107"/>
        <v>0</v>
      </c>
      <c r="DU23" s="11">
        <f t="shared" si="108"/>
        <v>0</v>
      </c>
      <c r="DV23" s="11">
        <f t="shared" si="109"/>
        <v>0</v>
      </c>
      <c r="DW23" s="11">
        <f t="shared" si="110"/>
        <v>0</v>
      </c>
      <c r="DX23" s="11">
        <f t="shared" si="111"/>
        <v>0</v>
      </c>
      <c r="DY23" s="11">
        <f t="shared" si="112"/>
        <v>1</v>
      </c>
      <c r="DZ23" s="11">
        <f t="shared" si="113"/>
        <v>0</v>
      </c>
      <c r="EA23" s="11">
        <f t="shared" si="114"/>
        <v>0</v>
      </c>
      <c r="EB23" s="11">
        <f t="shared" si="115"/>
        <v>0</v>
      </c>
      <c r="EC23" s="11">
        <f t="shared" si="116"/>
        <v>0</v>
      </c>
      <c r="ED23" s="11">
        <f t="shared" si="117"/>
        <v>0</v>
      </c>
      <c r="EE23" s="11">
        <f t="shared" si="118"/>
        <v>0</v>
      </c>
    </row>
    <row r="24" spans="1:135" ht="15" customHeight="1" x14ac:dyDescent="0.2">
      <c r="A24" s="3" t="s">
        <v>1738</v>
      </c>
      <c r="B24" s="3" t="s">
        <v>1739</v>
      </c>
      <c r="C24" s="3" t="s">
        <v>1740</v>
      </c>
      <c r="D24" s="3" t="s">
        <v>1740</v>
      </c>
      <c r="E24" s="3" t="s">
        <v>1740</v>
      </c>
      <c r="F24" s="3" t="s">
        <v>259</v>
      </c>
      <c r="G24" s="3" t="s">
        <v>544</v>
      </c>
      <c r="H24" s="3" t="s">
        <v>114</v>
      </c>
      <c r="I24" s="3" t="s">
        <v>1744</v>
      </c>
      <c r="J24" s="3" t="s">
        <v>1743</v>
      </c>
      <c r="K24" s="3" t="s">
        <v>1749</v>
      </c>
      <c r="L24" s="3" t="s">
        <v>119</v>
      </c>
      <c r="M24" s="3" t="s">
        <v>1494</v>
      </c>
      <c r="N24" s="3" t="s">
        <v>120</v>
      </c>
      <c r="O24" s="3" t="s">
        <v>120</v>
      </c>
      <c r="P24" s="3" t="s">
        <v>1741</v>
      </c>
      <c r="Q24" s="10" t="str">
        <f t="shared" si="0"/>
        <v>Stage IV Only</v>
      </c>
      <c r="R24" s="10" t="str">
        <f t="shared" si="1"/>
        <v>Both</v>
      </c>
      <c r="S24" s="10" t="str">
        <f t="shared" si="2"/>
        <v>All-comers</v>
      </c>
      <c r="T24" s="10">
        <f t="shared" si="3"/>
        <v>1</v>
      </c>
      <c r="U24" s="10">
        <f t="shared" si="4"/>
        <v>0</v>
      </c>
      <c r="V24" s="11">
        <f t="shared" si="5"/>
        <v>0</v>
      </c>
      <c r="W24" s="11">
        <f t="shared" si="6"/>
        <v>0</v>
      </c>
      <c r="X24" s="11">
        <f t="shared" si="7"/>
        <v>0</v>
      </c>
      <c r="Y24" s="11">
        <f t="shared" si="8"/>
        <v>0</v>
      </c>
      <c r="Z24" s="11">
        <f t="shared" si="9"/>
        <v>0</v>
      </c>
      <c r="AA24" s="11">
        <f t="shared" si="10"/>
        <v>0</v>
      </c>
      <c r="AB24" s="11">
        <f t="shared" si="11"/>
        <v>0</v>
      </c>
      <c r="AC24" s="11">
        <f t="shared" si="12"/>
        <v>0</v>
      </c>
      <c r="AD24" s="11">
        <f t="shared" si="13"/>
        <v>1</v>
      </c>
      <c r="AE24" s="11">
        <f t="shared" si="14"/>
        <v>0</v>
      </c>
      <c r="AF24" s="11">
        <f t="shared" si="15"/>
        <v>0</v>
      </c>
      <c r="AG24" s="11">
        <f t="shared" si="16"/>
        <v>0</v>
      </c>
      <c r="AH24" s="11">
        <f t="shared" si="17"/>
        <v>0</v>
      </c>
      <c r="AI24" s="11">
        <f t="shared" si="18"/>
        <v>0</v>
      </c>
      <c r="AJ24" s="11">
        <f t="shared" si="19"/>
        <v>0</v>
      </c>
      <c r="AK24" s="11">
        <f t="shared" si="20"/>
        <v>0</v>
      </c>
      <c r="AL24" s="11">
        <f t="shared" si="21"/>
        <v>0</v>
      </c>
      <c r="AM24" s="11">
        <f t="shared" si="22"/>
        <v>0</v>
      </c>
      <c r="AN24" s="11">
        <f t="shared" si="23"/>
        <v>0</v>
      </c>
      <c r="AO24" s="11">
        <f t="shared" si="24"/>
        <v>0</v>
      </c>
      <c r="AP24" s="11">
        <f t="shared" si="25"/>
        <v>0</v>
      </c>
      <c r="AQ24" s="11">
        <f t="shared" si="26"/>
        <v>0</v>
      </c>
      <c r="AR24" s="11">
        <f t="shared" si="27"/>
        <v>1</v>
      </c>
      <c r="AS24" s="11">
        <f t="shared" si="28"/>
        <v>0</v>
      </c>
      <c r="AT24" s="11">
        <f t="shared" si="29"/>
        <v>0</v>
      </c>
      <c r="AU24" s="11">
        <f t="shared" si="30"/>
        <v>0</v>
      </c>
      <c r="AV24" s="11">
        <f t="shared" si="31"/>
        <v>0</v>
      </c>
      <c r="AW24" s="11">
        <f t="shared" si="32"/>
        <v>0</v>
      </c>
      <c r="AX24" s="11">
        <f t="shared" si="33"/>
        <v>0</v>
      </c>
      <c r="AY24" s="11">
        <f t="shared" si="34"/>
        <v>0</v>
      </c>
      <c r="AZ24" s="11">
        <f t="shared" si="35"/>
        <v>0</v>
      </c>
      <c r="BA24" s="11">
        <f t="shared" si="36"/>
        <v>0</v>
      </c>
      <c r="BB24" s="11">
        <f t="shared" si="37"/>
        <v>0</v>
      </c>
      <c r="BC24" s="11">
        <f t="shared" si="38"/>
        <v>0</v>
      </c>
      <c r="BD24" s="11">
        <f t="shared" si="39"/>
        <v>0</v>
      </c>
      <c r="BE24" s="11">
        <f t="shared" si="40"/>
        <v>0</v>
      </c>
      <c r="BF24" s="11">
        <f t="shared" si="41"/>
        <v>0</v>
      </c>
      <c r="BG24" s="11">
        <f t="shared" si="42"/>
        <v>0</v>
      </c>
      <c r="BH24" s="11">
        <f t="shared" si="43"/>
        <v>0</v>
      </c>
      <c r="BI24" s="11">
        <f t="shared" si="44"/>
        <v>0</v>
      </c>
      <c r="BJ24" s="11">
        <f t="shared" si="45"/>
        <v>1</v>
      </c>
      <c r="BK24" s="11">
        <f t="shared" si="46"/>
        <v>1</v>
      </c>
      <c r="BL24" s="11">
        <f t="shared" si="47"/>
        <v>0</v>
      </c>
      <c r="BM24" s="11">
        <f t="shared" si="48"/>
        <v>0</v>
      </c>
      <c r="BN24" s="11">
        <f t="shared" si="49"/>
        <v>0</v>
      </c>
      <c r="BO24" s="11">
        <f t="shared" si="50"/>
        <v>0</v>
      </c>
      <c r="BP24" s="11">
        <f t="shared" si="51"/>
        <v>0</v>
      </c>
      <c r="BQ24" s="11">
        <f t="shared" si="52"/>
        <v>0</v>
      </c>
      <c r="BR24" s="11">
        <f t="shared" si="53"/>
        <v>0</v>
      </c>
      <c r="BS24" s="11">
        <f t="shared" si="54"/>
        <v>0</v>
      </c>
      <c r="BT24" s="11">
        <f t="shared" si="55"/>
        <v>0</v>
      </c>
      <c r="BU24" s="11">
        <f t="shared" si="56"/>
        <v>0</v>
      </c>
      <c r="BV24" s="11">
        <f t="shared" si="57"/>
        <v>0</v>
      </c>
      <c r="BW24" s="11">
        <f t="shared" si="58"/>
        <v>0</v>
      </c>
      <c r="BX24" s="11">
        <f t="shared" si="59"/>
        <v>0</v>
      </c>
      <c r="BY24" s="11">
        <f t="shared" si="60"/>
        <v>0</v>
      </c>
      <c r="BZ24" s="11">
        <f t="shared" si="61"/>
        <v>0</v>
      </c>
      <c r="CA24" s="11">
        <f t="shared" si="62"/>
        <v>0</v>
      </c>
      <c r="CB24" s="11">
        <f t="shared" si="63"/>
        <v>0</v>
      </c>
      <c r="CC24" s="11">
        <f t="shared" si="64"/>
        <v>0</v>
      </c>
      <c r="CD24" s="11">
        <f t="shared" si="65"/>
        <v>0</v>
      </c>
      <c r="CE24" s="11">
        <f t="shared" si="66"/>
        <v>0</v>
      </c>
      <c r="CF24" s="11">
        <f t="shared" si="67"/>
        <v>0</v>
      </c>
      <c r="CG24" s="11">
        <f t="shared" si="68"/>
        <v>0</v>
      </c>
      <c r="CH24" s="11">
        <f t="shared" si="69"/>
        <v>0</v>
      </c>
      <c r="CI24" s="11">
        <f t="shared" si="70"/>
        <v>0</v>
      </c>
      <c r="CJ24" s="11">
        <f t="shared" si="71"/>
        <v>0</v>
      </c>
      <c r="CK24" s="11">
        <f t="shared" si="72"/>
        <v>0</v>
      </c>
      <c r="CL24" s="11">
        <f t="shared" si="73"/>
        <v>0</v>
      </c>
      <c r="CM24" s="11">
        <f t="shared" si="74"/>
        <v>0</v>
      </c>
      <c r="CN24" s="11">
        <f t="shared" si="75"/>
        <v>1</v>
      </c>
      <c r="CO24" s="11">
        <f t="shared" si="76"/>
        <v>0</v>
      </c>
      <c r="CP24" s="11">
        <f t="shared" si="77"/>
        <v>0</v>
      </c>
      <c r="CQ24" s="11">
        <f t="shared" si="78"/>
        <v>0</v>
      </c>
      <c r="CR24" s="11">
        <f t="shared" si="79"/>
        <v>0</v>
      </c>
      <c r="CS24" s="11">
        <f t="shared" si="80"/>
        <v>0</v>
      </c>
      <c r="CT24" s="11">
        <f t="shared" si="81"/>
        <v>0</v>
      </c>
      <c r="CU24" s="11">
        <f t="shared" si="82"/>
        <v>0</v>
      </c>
      <c r="CV24" s="11">
        <f t="shared" si="83"/>
        <v>0</v>
      </c>
      <c r="CW24" s="11">
        <f t="shared" si="84"/>
        <v>0</v>
      </c>
      <c r="CX24" s="11">
        <f t="shared" si="85"/>
        <v>0</v>
      </c>
      <c r="CY24" s="11">
        <f t="shared" si="86"/>
        <v>0</v>
      </c>
      <c r="CZ24" s="11">
        <f t="shared" si="87"/>
        <v>0</v>
      </c>
      <c r="DA24" s="11">
        <f t="shared" si="88"/>
        <v>0</v>
      </c>
      <c r="DB24" s="11">
        <f t="shared" si="89"/>
        <v>0</v>
      </c>
      <c r="DC24" s="11">
        <f t="shared" si="90"/>
        <v>0</v>
      </c>
      <c r="DD24" s="11">
        <f t="shared" si="91"/>
        <v>0</v>
      </c>
      <c r="DE24" s="11">
        <f t="shared" si="92"/>
        <v>0</v>
      </c>
      <c r="DF24" s="11">
        <f t="shared" si="93"/>
        <v>0</v>
      </c>
      <c r="DG24" s="11">
        <f t="shared" si="94"/>
        <v>0</v>
      </c>
      <c r="DH24" s="11">
        <f t="shared" si="95"/>
        <v>0</v>
      </c>
      <c r="DI24" s="11">
        <f t="shared" si="96"/>
        <v>0</v>
      </c>
      <c r="DJ24" s="11">
        <f t="shared" si="97"/>
        <v>0</v>
      </c>
      <c r="DK24" s="11">
        <f t="shared" si="98"/>
        <v>0</v>
      </c>
      <c r="DL24" s="11">
        <f t="shared" si="99"/>
        <v>1</v>
      </c>
      <c r="DM24" s="11">
        <f t="shared" si="100"/>
        <v>0</v>
      </c>
      <c r="DN24" s="11">
        <f t="shared" si="101"/>
        <v>0</v>
      </c>
      <c r="DO24" s="11">
        <f t="shared" si="102"/>
        <v>0</v>
      </c>
      <c r="DP24" s="11">
        <f t="shared" si="103"/>
        <v>0</v>
      </c>
      <c r="DQ24" s="11">
        <f t="shared" si="104"/>
        <v>0</v>
      </c>
      <c r="DR24" s="11">
        <f t="shared" si="105"/>
        <v>0</v>
      </c>
      <c r="DS24" s="11">
        <f t="shared" si="106"/>
        <v>0</v>
      </c>
      <c r="DT24" s="11">
        <f t="shared" si="107"/>
        <v>0</v>
      </c>
      <c r="DU24" s="11">
        <f t="shared" si="108"/>
        <v>0</v>
      </c>
      <c r="DV24" s="11">
        <f t="shared" si="109"/>
        <v>0</v>
      </c>
      <c r="DW24" s="11">
        <f t="shared" si="110"/>
        <v>0</v>
      </c>
      <c r="DX24" s="11">
        <f t="shared" si="111"/>
        <v>0</v>
      </c>
      <c r="DY24" s="11">
        <f t="shared" si="112"/>
        <v>0</v>
      </c>
      <c r="DZ24" s="11">
        <f t="shared" si="113"/>
        <v>0</v>
      </c>
      <c r="EA24" s="11">
        <f t="shared" si="114"/>
        <v>0</v>
      </c>
      <c r="EB24" s="11">
        <f t="shared" si="115"/>
        <v>0</v>
      </c>
      <c r="EC24" s="11">
        <f t="shared" si="116"/>
        <v>0</v>
      </c>
      <c r="ED24" s="11">
        <f t="shared" si="117"/>
        <v>0</v>
      </c>
      <c r="EE24" s="11">
        <f t="shared" si="118"/>
        <v>0</v>
      </c>
    </row>
    <row r="25" spans="1:135" ht="15" customHeight="1" x14ac:dyDescent="0.2">
      <c r="A25" s="5" t="s">
        <v>1751</v>
      </c>
      <c r="B25" s="5"/>
      <c r="C25" s="5" t="s">
        <v>1752</v>
      </c>
      <c r="D25" s="5" t="s">
        <v>1752</v>
      </c>
      <c r="E25" s="5"/>
      <c r="F25" s="5"/>
      <c r="G25" s="5"/>
      <c r="H25" s="5" t="s">
        <v>114</v>
      </c>
      <c r="I25" s="5" t="s">
        <v>1755</v>
      </c>
      <c r="J25" s="5" t="s">
        <v>1754</v>
      </c>
      <c r="K25" s="5"/>
      <c r="L25" s="5" t="s">
        <v>119</v>
      </c>
      <c r="M25" s="5" t="s">
        <v>1494</v>
      </c>
      <c r="N25" s="5" t="s">
        <v>120</v>
      </c>
      <c r="O25" s="5" t="s">
        <v>120</v>
      </c>
      <c r="P25" s="5" t="s">
        <v>1753</v>
      </c>
      <c r="Q25" s="10" t="str">
        <f t="shared" si="0"/>
        <v>Other</v>
      </c>
      <c r="R25" s="10" t="str">
        <f t="shared" si="1"/>
        <v>Unspecified</v>
      </c>
      <c r="S25" s="10" t="str">
        <f t="shared" si="2"/>
        <v>All-comers</v>
      </c>
      <c r="T25" s="10">
        <f t="shared" si="3"/>
        <v>1</v>
      </c>
      <c r="U25" s="10">
        <f t="shared" si="4"/>
        <v>0</v>
      </c>
      <c r="V25" s="11">
        <f t="shared" si="5"/>
        <v>0</v>
      </c>
      <c r="W25" s="11">
        <f t="shared" si="6"/>
        <v>0</v>
      </c>
      <c r="X25" s="11">
        <f t="shared" si="7"/>
        <v>0</v>
      </c>
      <c r="Y25" s="11">
        <f t="shared" si="8"/>
        <v>0</v>
      </c>
      <c r="Z25" s="11">
        <f t="shared" si="9"/>
        <v>0</v>
      </c>
      <c r="AA25" s="11">
        <f t="shared" si="10"/>
        <v>0</v>
      </c>
      <c r="AB25" s="11">
        <f t="shared" si="11"/>
        <v>0</v>
      </c>
      <c r="AC25" s="11">
        <f t="shared" si="12"/>
        <v>0</v>
      </c>
      <c r="AD25" s="11">
        <f t="shared" si="13"/>
        <v>0</v>
      </c>
      <c r="AE25" s="11">
        <f t="shared" si="14"/>
        <v>0</v>
      </c>
      <c r="AF25" s="11">
        <f t="shared" si="15"/>
        <v>0</v>
      </c>
      <c r="AG25" s="11">
        <f t="shared" si="16"/>
        <v>0</v>
      </c>
      <c r="AH25" s="11">
        <f t="shared" si="17"/>
        <v>0</v>
      </c>
      <c r="AI25" s="11">
        <f t="shared" si="18"/>
        <v>0</v>
      </c>
      <c r="AJ25" s="11">
        <f t="shared" si="19"/>
        <v>0</v>
      </c>
      <c r="AK25" s="11">
        <f t="shared" si="20"/>
        <v>0</v>
      </c>
      <c r="AL25" s="11">
        <f t="shared" si="21"/>
        <v>0</v>
      </c>
      <c r="AM25" s="11">
        <f t="shared" si="22"/>
        <v>0</v>
      </c>
      <c r="AN25" s="11">
        <f t="shared" si="23"/>
        <v>0</v>
      </c>
      <c r="AO25" s="11">
        <f t="shared" si="24"/>
        <v>0</v>
      </c>
      <c r="AP25" s="11">
        <f t="shared" si="25"/>
        <v>0</v>
      </c>
      <c r="AQ25" s="11">
        <f t="shared" si="26"/>
        <v>0</v>
      </c>
      <c r="AR25" s="11">
        <f t="shared" si="27"/>
        <v>0</v>
      </c>
      <c r="AS25" s="11">
        <f t="shared" si="28"/>
        <v>0</v>
      </c>
      <c r="AT25" s="11">
        <f t="shared" si="29"/>
        <v>0</v>
      </c>
      <c r="AU25" s="11">
        <f t="shared" si="30"/>
        <v>0</v>
      </c>
      <c r="AV25" s="11">
        <f t="shared" si="31"/>
        <v>0</v>
      </c>
      <c r="AW25" s="11">
        <f t="shared" si="32"/>
        <v>0</v>
      </c>
      <c r="AX25" s="11">
        <f t="shared" si="33"/>
        <v>1</v>
      </c>
      <c r="AY25" s="11">
        <f t="shared" si="34"/>
        <v>0</v>
      </c>
      <c r="AZ25" s="11">
        <f t="shared" si="35"/>
        <v>0</v>
      </c>
      <c r="BA25" s="11">
        <f t="shared" si="36"/>
        <v>1</v>
      </c>
      <c r="BB25" s="11">
        <f t="shared" si="37"/>
        <v>0</v>
      </c>
      <c r="BC25" s="11">
        <f t="shared" si="38"/>
        <v>0</v>
      </c>
      <c r="BD25" s="11">
        <f t="shared" si="39"/>
        <v>0</v>
      </c>
      <c r="BE25" s="11">
        <f t="shared" si="40"/>
        <v>0</v>
      </c>
      <c r="BF25" s="11">
        <f t="shared" si="41"/>
        <v>0</v>
      </c>
      <c r="BG25" s="11">
        <f t="shared" si="42"/>
        <v>0</v>
      </c>
      <c r="BH25" s="11">
        <f t="shared" si="43"/>
        <v>0</v>
      </c>
      <c r="BI25" s="11">
        <f t="shared" si="44"/>
        <v>0</v>
      </c>
      <c r="BJ25" s="11">
        <f t="shared" si="45"/>
        <v>0</v>
      </c>
      <c r="BK25" s="11">
        <f t="shared" si="46"/>
        <v>0</v>
      </c>
      <c r="BL25" s="11">
        <f t="shared" si="47"/>
        <v>0</v>
      </c>
      <c r="BM25" s="11">
        <f t="shared" si="48"/>
        <v>0</v>
      </c>
      <c r="BN25" s="11">
        <f t="shared" si="49"/>
        <v>0</v>
      </c>
      <c r="BO25" s="11">
        <f t="shared" si="50"/>
        <v>0</v>
      </c>
      <c r="BP25" s="11">
        <f t="shared" si="51"/>
        <v>0</v>
      </c>
      <c r="BQ25" s="11">
        <f t="shared" si="52"/>
        <v>0</v>
      </c>
      <c r="BR25" s="11">
        <f t="shared" si="53"/>
        <v>0</v>
      </c>
      <c r="BS25" s="11">
        <f t="shared" si="54"/>
        <v>0</v>
      </c>
      <c r="BT25" s="11">
        <f t="shared" si="55"/>
        <v>0</v>
      </c>
      <c r="BU25" s="11">
        <f t="shared" si="56"/>
        <v>0</v>
      </c>
      <c r="BV25" s="11">
        <f t="shared" si="57"/>
        <v>0</v>
      </c>
      <c r="BW25" s="11">
        <f t="shared" si="58"/>
        <v>0</v>
      </c>
      <c r="BX25" s="11">
        <f t="shared" si="59"/>
        <v>0</v>
      </c>
      <c r="BY25" s="11">
        <f t="shared" si="60"/>
        <v>0</v>
      </c>
      <c r="BZ25" s="11">
        <f t="shared" si="61"/>
        <v>1</v>
      </c>
      <c r="CA25" s="11">
        <f t="shared" si="62"/>
        <v>0</v>
      </c>
      <c r="CB25" s="11">
        <f t="shared" si="63"/>
        <v>0</v>
      </c>
      <c r="CC25" s="11">
        <f t="shared" si="64"/>
        <v>0</v>
      </c>
      <c r="CD25" s="11">
        <f t="shared" si="65"/>
        <v>0</v>
      </c>
      <c r="CE25" s="11">
        <f t="shared" si="66"/>
        <v>0</v>
      </c>
      <c r="CF25" s="11">
        <f t="shared" si="67"/>
        <v>0</v>
      </c>
      <c r="CG25" s="11">
        <f t="shared" si="68"/>
        <v>0</v>
      </c>
      <c r="CH25" s="11">
        <f t="shared" si="69"/>
        <v>0</v>
      </c>
      <c r="CI25" s="11">
        <f t="shared" si="70"/>
        <v>0</v>
      </c>
      <c r="CJ25" s="11">
        <f t="shared" si="71"/>
        <v>0</v>
      </c>
      <c r="CK25" s="11">
        <f t="shared" si="72"/>
        <v>0</v>
      </c>
      <c r="CL25" s="11">
        <f t="shared" si="73"/>
        <v>0</v>
      </c>
      <c r="CM25" s="11">
        <f t="shared" si="74"/>
        <v>0</v>
      </c>
      <c r="CN25" s="11">
        <f t="shared" si="75"/>
        <v>0</v>
      </c>
      <c r="CO25" s="11">
        <f t="shared" si="76"/>
        <v>0</v>
      </c>
      <c r="CP25" s="11">
        <f t="shared" si="77"/>
        <v>0</v>
      </c>
      <c r="CQ25" s="11">
        <f t="shared" si="78"/>
        <v>0</v>
      </c>
      <c r="CR25" s="11">
        <f t="shared" si="79"/>
        <v>0</v>
      </c>
      <c r="CS25" s="11">
        <f t="shared" si="80"/>
        <v>0</v>
      </c>
      <c r="CT25" s="11">
        <f t="shared" si="81"/>
        <v>0</v>
      </c>
      <c r="CU25" s="11">
        <f t="shared" si="82"/>
        <v>0</v>
      </c>
      <c r="CV25" s="11">
        <f t="shared" si="83"/>
        <v>0</v>
      </c>
      <c r="CW25" s="11">
        <f t="shared" si="84"/>
        <v>0</v>
      </c>
      <c r="CX25" s="11">
        <f t="shared" si="85"/>
        <v>0</v>
      </c>
      <c r="CY25" s="11">
        <f t="shared" si="86"/>
        <v>0</v>
      </c>
      <c r="CZ25" s="11">
        <f t="shared" si="87"/>
        <v>0</v>
      </c>
      <c r="DA25" s="11">
        <f t="shared" si="88"/>
        <v>0</v>
      </c>
      <c r="DB25" s="11">
        <f t="shared" si="89"/>
        <v>0</v>
      </c>
      <c r="DC25" s="11">
        <f t="shared" si="90"/>
        <v>0</v>
      </c>
      <c r="DD25" s="11">
        <f t="shared" si="91"/>
        <v>0</v>
      </c>
      <c r="DE25" s="11">
        <f t="shared" si="92"/>
        <v>0</v>
      </c>
      <c r="DF25" s="11">
        <f t="shared" si="93"/>
        <v>0</v>
      </c>
      <c r="DG25" s="11">
        <f t="shared" si="94"/>
        <v>0</v>
      </c>
      <c r="DH25" s="11">
        <f t="shared" si="95"/>
        <v>0</v>
      </c>
      <c r="DI25" s="11">
        <f t="shared" si="96"/>
        <v>0</v>
      </c>
      <c r="DJ25" s="11">
        <f t="shared" si="97"/>
        <v>0</v>
      </c>
      <c r="DK25" s="11">
        <f t="shared" si="98"/>
        <v>0</v>
      </c>
      <c r="DL25" s="11">
        <f t="shared" si="99"/>
        <v>0</v>
      </c>
      <c r="DM25" s="11">
        <f t="shared" si="100"/>
        <v>0</v>
      </c>
      <c r="DN25" s="11">
        <f t="shared" si="101"/>
        <v>0</v>
      </c>
      <c r="DO25" s="11">
        <f t="shared" si="102"/>
        <v>0</v>
      </c>
      <c r="DP25" s="11">
        <f t="shared" si="103"/>
        <v>0</v>
      </c>
      <c r="DQ25" s="11">
        <f t="shared" si="104"/>
        <v>0</v>
      </c>
      <c r="DR25" s="11">
        <f t="shared" si="105"/>
        <v>0</v>
      </c>
      <c r="DS25" s="11">
        <f t="shared" si="106"/>
        <v>0</v>
      </c>
      <c r="DT25" s="11">
        <f t="shared" si="107"/>
        <v>0</v>
      </c>
      <c r="DU25" s="11">
        <f t="shared" si="108"/>
        <v>0</v>
      </c>
      <c r="DV25" s="11">
        <f t="shared" si="109"/>
        <v>0</v>
      </c>
      <c r="DW25" s="11">
        <f t="shared" si="110"/>
        <v>0</v>
      </c>
      <c r="DX25" s="11">
        <f t="shared" si="111"/>
        <v>0</v>
      </c>
      <c r="DY25" s="11">
        <f t="shared" si="112"/>
        <v>0</v>
      </c>
      <c r="DZ25" s="11">
        <f t="shared" si="113"/>
        <v>0</v>
      </c>
      <c r="EA25" s="11">
        <f t="shared" si="114"/>
        <v>0</v>
      </c>
      <c r="EB25" s="11">
        <f t="shared" si="115"/>
        <v>0</v>
      </c>
      <c r="EC25" s="11">
        <f t="shared" si="116"/>
        <v>0</v>
      </c>
      <c r="ED25" s="11">
        <f t="shared" si="117"/>
        <v>0</v>
      </c>
      <c r="EE25" s="11">
        <f t="shared" si="118"/>
        <v>0</v>
      </c>
    </row>
    <row r="26" spans="1:135" ht="15" customHeight="1" x14ac:dyDescent="0.2">
      <c r="A26" s="3" t="s">
        <v>1757</v>
      </c>
      <c r="B26" s="3" t="s">
        <v>1759</v>
      </c>
      <c r="C26" s="3" t="s">
        <v>235</v>
      </c>
      <c r="D26" s="3" t="s">
        <v>235</v>
      </c>
      <c r="E26" s="3" t="s">
        <v>235</v>
      </c>
      <c r="F26" s="3" t="s">
        <v>572</v>
      </c>
      <c r="G26" s="3" t="s">
        <v>544</v>
      </c>
      <c r="H26" s="3" t="s">
        <v>114</v>
      </c>
      <c r="I26" s="3" t="s">
        <v>355</v>
      </c>
      <c r="J26" s="3" t="s">
        <v>1246</v>
      </c>
      <c r="K26" s="3" t="s">
        <v>474</v>
      </c>
      <c r="L26" s="3" t="s">
        <v>119</v>
      </c>
      <c r="M26" s="3" t="s">
        <v>1494</v>
      </c>
      <c r="N26" s="3" t="s">
        <v>120</v>
      </c>
      <c r="O26" s="3" t="s">
        <v>120</v>
      </c>
      <c r="P26" s="3" t="s">
        <v>1760</v>
      </c>
      <c r="Q26" s="10" t="str">
        <f t="shared" si="0"/>
        <v>Stage IV + Other</v>
      </c>
      <c r="R26" s="10" t="str">
        <f t="shared" si="1"/>
        <v>Both</v>
      </c>
      <c r="S26" s="10" t="str">
        <f t="shared" si="2"/>
        <v>TPS 1-49%</v>
      </c>
      <c r="T26" s="10">
        <f t="shared" si="3"/>
        <v>1</v>
      </c>
      <c r="U26" s="10">
        <f t="shared" si="4"/>
        <v>0</v>
      </c>
      <c r="V26" s="11">
        <f t="shared" si="5"/>
        <v>0</v>
      </c>
      <c r="W26" s="11">
        <f t="shared" si="6"/>
        <v>0</v>
      </c>
      <c r="X26" s="11">
        <f t="shared" si="7"/>
        <v>0</v>
      </c>
      <c r="Y26" s="11">
        <f t="shared" si="8"/>
        <v>1</v>
      </c>
      <c r="Z26" s="11">
        <f t="shared" si="9"/>
        <v>0</v>
      </c>
      <c r="AA26" s="11">
        <f t="shared" si="10"/>
        <v>1</v>
      </c>
      <c r="AB26" s="11">
        <f t="shared" si="11"/>
        <v>0</v>
      </c>
      <c r="AC26" s="11">
        <f t="shared" si="12"/>
        <v>0</v>
      </c>
      <c r="AD26" s="11">
        <f t="shared" si="13"/>
        <v>0</v>
      </c>
      <c r="AE26" s="11">
        <f t="shared" si="14"/>
        <v>0</v>
      </c>
      <c r="AF26" s="11">
        <f t="shared" si="15"/>
        <v>0</v>
      </c>
      <c r="AG26" s="11">
        <f t="shared" si="16"/>
        <v>0</v>
      </c>
      <c r="AH26" s="11">
        <f t="shared" si="17"/>
        <v>0</v>
      </c>
      <c r="AI26" s="11">
        <f t="shared" si="18"/>
        <v>0</v>
      </c>
      <c r="AJ26" s="11">
        <f t="shared" si="19"/>
        <v>0</v>
      </c>
      <c r="AK26" s="11">
        <f t="shared" si="20"/>
        <v>0</v>
      </c>
      <c r="AL26" s="11">
        <f t="shared" si="21"/>
        <v>0</v>
      </c>
      <c r="AM26" s="11">
        <f t="shared" si="22"/>
        <v>0</v>
      </c>
      <c r="AN26" s="11">
        <f t="shared" si="23"/>
        <v>0</v>
      </c>
      <c r="AO26" s="11">
        <f t="shared" si="24"/>
        <v>0</v>
      </c>
      <c r="AP26" s="11">
        <f t="shared" si="25"/>
        <v>0</v>
      </c>
      <c r="AQ26" s="11">
        <f t="shared" si="26"/>
        <v>0</v>
      </c>
      <c r="AR26" s="11">
        <f t="shared" si="27"/>
        <v>0</v>
      </c>
      <c r="AS26" s="11">
        <f t="shared" si="28"/>
        <v>0</v>
      </c>
      <c r="AT26" s="11">
        <f t="shared" si="29"/>
        <v>0</v>
      </c>
      <c r="AU26" s="11">
        <f t="shared" si="30"/>
        <v>0</v>
      </c>
      <c r="AV26" s="11">
        <f t="shared" si="31"/>
        <v>0</v>
      </c>
      <c r="AW26" s="11">
        <f t="shared" si="32"/>
        <v>0</v>
      </c>
      <c r="AX26" s="11">
        <f t="shared" si="33"/>
        <v>0</v>
      </c>
      <c r="AY26" s="11">
        <f t="shared" si="34"/>
        <v>0</v>
      </c>
      <c r="AZ26" s="11">
        <f t="shared" si="35"/>
        <v>0</v>
      </c>
      <c r="BA26" s="11">
        <f t="shared" si="36"/>
        <v>0</v>
      </c>
      <c r="BB26" s="11">
        <f t="shared" si="37"/>
        <v>0</v>
      </c>
      <c r="BC26" s="11">
        <f t="shared" si="38"/>
        <v>0</v>
      </c>
      <c r="BD26" s="11">
        <f t="shared" si="39"/>
        <v>0</v>
      </c>
      <c r="BE26" s="11">
        <f t="shared" si="40"/>
        <v>0</v>
      </c>
      <c r="BF26" s="11">
        <f t="shared" si="41"/>
        <v>0</v>
      </c>
      <c r="BG26" s="11">
        <f t="shared" si="42"/>
        <v>0</v>
      </c>
      <c r="BH26" s="11">
        <f t="shared" si="43"/>
        <v>0</v>
      </c>
      <c r="BI26" s="11">
        <f t="shared" si="44"/>
        <v>0</v>
      </c>
      <c r="BJ26" s="11">
        <f t="shared" si="45"/>
        <v>0</v>
      </c>
      <c r="BK26" s="11">
        <f t="shared" si="46"/>
        <v>0</v>
      </c>
      <c r="BL26" s="11">
        <f t="shared" si="47"/>
        <v>0</v>
      </c>
      <c r="BM26" s="11">
        <f t="shared" si="48"/>
        <v>0</v>
      </c>
      <c r="BN26" s="11">
        <f t="shared" si="49"/>
        <v>0</v>
      </c>
      <c r="BO26" s="11">
        <f t="shared" si="50"/>
        <v>0</v>
      </c>
      <c r="BP26" s="11">
        <f t="shared" si="51"/>
        <v>0</v>
      </c>
      <c r="BQ26" s="11">
        <f t="shared" si="52"/>
        <v>0</v>
      </c>
      <c r="BR26" s="11">
        <f t="shared" si="53"/>
        <v>0</v>
      </c>
      <c r="BS26" s="11">
        <f t="shared" si="54"/>
        <v>1</v>
      </c>
      <c r="BT26" s="11">
        <f t="shared" si="55"/>
        <v>0</v>
      </c>
      <c r="BU26" s="11">
        <f t="shared" si="56"/>
        <v>0</v>
      </c>
      <c r="BV26" s="11">
        <f t="shared" si="57"/>
        <v>0</v>
      </c>
      <c r="BW26" s="11">
        <f t="shared" si="58"/>
        <v>0</v>
      </c>
      <c r="BX26" s="11">
        <f t="shared" si="59"/>
        <v>0</v>
      </c>
      <c r="BY26" s="11">
        <f t="shared" si="60"/>
        <v>0</v>
      </c>
      <c r="BZ26" s="11">
        <f t="shared" si="61"/>
        <v>0</v>
      </c>
      <c r="CA26" s="11">
        <f t="shared" si="62"/>
        <v>0</v>
      </c>
      <c r="CB26" s="11">
        <f t="shared" si="63"/>
        <v>0</v>
      </c>
      <c r="CC26" s="11">
        <f t="shared" si="64"/>
        <v>0</v>
      </c>
      <c r="CD26" s="11">
        <f t="shared" si="65"/>
        <v>0</v>
      </c>
      <c r="CE26" s="11">
        <f t="shared" si="66"/>
        <v>0</v>
      </c>
      <c r="CF26" s="11">
        <f t="shared" si="67"/>
        <v>0</v>
      </c>
      <c r="CG26" s="11">
        <f t="shared" si="68"/>
        <v>0</v>
      </c>
      <c r="CH26" s="11">
        <f t="shared" si="69"/>
        <v>0</v>
      </c>
      <c r="CI26" s="11">
        <f t="shared" si="70"/>
        <v>0</v>
      </c>
      <c r="CJ26" s="11">
        <f t="shared" si="71"/>
        <v>0</v>
      </c>
      <c r="CK26" s="11">
        <f t="shared" si="72"/>
        <v>0</v>
      </c>
      <c r="CL26" s="11">
        <f t="shared" si="73"/>
        <v>0</v>
      </c>
      <c r="CM26" s="11">
        <f t="shared" si="74"/>
        <v>0</v>
      </c>
      <c r="CN26" s="11">
        <f t="shared" si="75"/>
        <v>0</v>
      </c>
      <c r="CO26" s="11">
        <f t="shared" si="76"/>
        <v>0</v>
      </c>
      <c r="CP26" s="11">
        <f t="shared" si="77"/>
        <v>0</v>
      </c>
      <c r="CQ26" s="11">
        <f t="shared" si="78"/>
        <v>0</v>
      </c>
      <c r="CR26" s="11">
        <f t="shared" si="79"/>
        <v>0</v>
      </c>
      <c r="CS26" s="11">
        <f t="shared" si="80"/>
        <v>0</v>
      </c>
      <c r="CT26" s="11">
        <f t="shared" si="81"/>
        <v>0</v>
      </c>
      <c r="CU26" s="11">
        <f t="shared" si="82"/>
        <v>0</v>
      </c>
      <c r="CV26" s="11">
        <f t="shared" si="83"/>
        <v>0</v>
      </c>
      <c r="CW26" s="11">
        <f t="shared" si="84"/>
        <v>0</v>
      </c>
      <c r="CX26" s="11">
        <f t="shared" si="85"/>
        <v>0</v>
      </c>
      <c r="CY26" s="11">
        <f t="shared" si="86"/>
        <v>0</v>
      </c>
      <c r="CZ26" s="11">
        <f t="shared" si="87"/>
        <v>0</v>
      </c>
      <c r="DA26" s="11">
        <f t="shared" si="88"/>
        <v>0</v>
      </c>
      <c r="DB26" s="11">
        <f t="shared" si="89"/>
        <v>0</v>
      </c>
      <c r="DC26" s="11">
        <f t="shared" si="90"/>
        <v>0</v>
      </c>
      <c r="DD26" s="11">
        <f t="shared" si="91"/>
        <v>0</v>
      </c>
      <c r="DE26" s="11">
        <f t="shared" si="92"/>
        <v>0</v>
      </c>
      <c r="DF26" s="11">
        <f t="shared" si="93"/>
        <v>0</v>
      </c>
      <c r="DG26" s="11">
        <f t="shared" si="94"/>
        <v>0</v>
      </c>
      <c r="DH26" s="11">
        <f t="shared" si="95"/>
        <v>0</v>
      </c>
      <c r="DI26" s="11">
        <f t="shared" si="96"/>
        <v>0</v>
      </c>
      <c r="DJ26" s="11">
        <f t="shared" si="97"/>
        <v>0</v>
      </c>
      <c r="DK26" s="11">
        <f t="shared" si="98"/>
        <v>0</v>
      </c>
      <c r="DL26" s="11">
        <f t="shared" si="99"/>
        <v>0</v>
      </c>
      <c r="DM26" s="11">
        <f t="shared" si="100"/>
        <v>0</v>
      </c>
      <c r="DN26" s="11">
        <f t="shared" si="101"/>
        <v>0</v>
      </c>
      <c r="DO26" s="11">
        <f t="shared" si="102"/>
        <v>0</v>
      </c>
      <c r="DP26" s="11">
        <f t="shared" si="103"/>
        <v>0</v>
      </c>
      <c r="DQ26" s="11">
        <f t="shared" si="104"/>
        <v>0</v>
      </c>
      <c r="DR26" s="11">
        <f t="shared" si="105"/>
        <v>0</v>
      </c>
      <c r="DS26" s="11">
        <f t="shared" si="106"/>
        <v>0</v>
      </c>
      <c r="DT26" s="11">
        <f t="shared" si="107"/>
        <v>0</v>
      </c>
      <c r="DU26" s="11">
        <f t="shared" si="108"/>
        <v>0</v>
      </c>
      <c r="DV26" s="11">
        <f t="shared" si="109"/>
        <v>0</v>
      </c>
      <c r="DW26" s="11">
        <f t="shared" si="110"/>
        <v>1</v>
      </c>
      <c r="DX26" s="11">
        <f t="shared" si="111"/>
        <v>0</v>
      </c>
      <c r="DY26" s="11">
        <f t="shared" si="112"/>
        <v>0</v>
      </c>
      <c r="DZ26" s="11">
        <f t="shared" si="113"/>
        <v>0</v>
      </c>
      <c r="EA26" s="11">
        <f t="shared" si="114"/>
        <v>0</v>
      </c>
      <c r="EB26" s="11">
        <f t="shared" si="115"/>
        <v>0</v>
      </c>
      <c r="EC26" s="11">
        <f t="shared" si="116"/>
        <v>0</v>
      </c>
      <c r="ED26" s="11">
        <f t="shared" si="117"/>
        <v>0</v>
      </c>
      <c r="EE26" s="11">
        <f t="shared" si="118"/>
        <v>0</v>
      </c>
    </row>
    <row r="27" spans="1:135" ht="15" customHeight="1" x14ac:dyDescent="0.2">
      <c r="A27" s="5" t="s">
        <v>1767</v>
      </c>
      <c r="B27" s="5" t="s">
        <v>1769</v>
      </c>
      <c r="C27" s="5" t="s">
        <v>1432</v>
      </c>
      <c r="D27" s="5" t="s">
        <v>1432</v>
      </c>
      <c r="E27" s="5" t="s">
        <v>1432</v>
      </c>
      <c r="F27" s="5" t="s">
        <v>259</v>
      </c>
      <c r="G27" s="5" t="s">
        <v>181</v>
      </c>
      <c r="H27" s="5" t="s">
        <v>114</v>
      </c>
      <c r="I27" s="5" t="s">
        <v>1772</v>
      </c>
      <c r="J27" s="5" t="s">
        <v>1460</v>
      </c>
      <c r="K27" s="5" t="s">
        <v>1772</v>
      </c>
      <c r="L27" s="5" t="s">
        <v>119</v>
      </c>
      <c r="M27" s="5" t="s">
        <v>1494</v>
      </c>
      <c r="N27" s="5" t="s">
        <v>119</v>
      </c>
      <c r="O27" s="5" t="s">
        <v>120</v>
      </c>
      <c r="P27" s="5" t="s">
        <v>1770</v>
      </c>
      <c r="Q27" s="10" t="str">
        <f t="shared" si="0"/>
        <v>Stage IV Only</v>
      </c>
      <c r="R27" s="10" t="str">
        <f t="shared" si="1"/>
        <v>Non-squamous</v>
      </c>
      <c r="S27" s="10" t="str">
        <f t="shared" si="2"/>
        <v>All-comers</v>
      </c>
      <c r="T27" s="10">
        <f t="shared" si="3"/>
        <v>1</v>
      </c>
      <c r="U27" s="10">
        <f t="shared" si="4"/>
        <v>0</v>
      </c>
      <c r="V27" s="11">
        <f t="shared" si="5"/>
        <v>0</v>
      </c>
      <c r="W27" s="11">
        <f t="shared" si="6"/>
        <v>0</v>
      </c>
      <c r="X27" s="11">
        <f t="shared" si="7"/>
        <v>0</v>
      </c>
      <c r="Y27" s="11">
        <f t="shared" si="8"/>
        <v>0</v>
      </c>
      <c r="Z27" s="11">
        <f t="shared" si="9"/>
        <v>0</v>
      </c>
      <c r="AA27" s="11">
        <f t="shared" si="10"/>
        <v>0</v>
      </c>
      <c r="AB27" s="11">
        <f t="shared" si="11"/>
        <v>0</v>
      </c>
      <c r="AC27" s="11">
        <f t="shared" si="12"/>
        <v>0</v>
      </c>
      <c r="AD27" s="11">
        <f t="shared" si="13"/>
        <v>0</v>
      </c>
      <c r="AE27" s="11">
        <f t="shared" si="14"/>
        <v>0</v>
      </c>
      <c r="AF27" s="11">
        <f t="shared" si="15"/>
        <v>0</v>
      </c>
      <c r="AG27" s="11">
        <f t="shared" si="16"/>
        <v>0</v>
      </c>
      <c r="AH27" s="11">
        <f t="shared" si="17"/>
        <v>0</v>
      </c>
      <c r="AI27" s="11">
        <f t="shared" si="18"/>
        <v>0</v>
      </c>
      <c r="AJ27" s="11">
        <f t="shared" si="19"/>
        <v>0</v>
      </c>
      <c r="AK27" s="11">
        <f t="shared" si="20"/>
        <v>0</v>
      </c>
      <c r="AL27" s="11">
        <f t="shared" si="21"/>
        <v>0</v>
      </c>
      <c r="AM27" s="11">
        <f t="shared" si="22"/>
        <v>0</v>
      </c>
      <c r="AN27" s="11">
        <f t="shared" si="23"/>
        <v>0</v>
      </c>
      <c r="AO27" s="11">
        <f t="shared" si="24"/>
        <v>0</v>
      </c>
      <c r="AP27" s="11">
        <f t="shared" si="25"/>
        <v>0</v>
      </c>
      <c r="AQ27" s="11">
        <f t="shared" si="26"/>
        <v>0</v>
      </c>
      <c r="AR27" s="11">
        <f t="shared" si="27"/>
        <v>0</v>
      </c>
      <c r="AS27" s="11">
        <f t="shared" si="28"/>
        <v>0</v>
      </c>
      <c r="AT27" s="11">
        <f t="shared" si="29"/>
        <v>0</v>
      </c>
      <c r="AU27" s="11">
        <f t="shared" si="30"/>
        <v>0</v>
      </c>
      <c r="AV27" s="11">
        <f t="shared" si="31"/>
        <v>0</v>
      </c>
      <c r="AW27" s="11">
        <f t="shared" si="32"/>
        <v>0</v>
      </c>
      <c r="AX27" s="11">
        <f t="shared" si="33"/>
        <v>0</v>
      </c>
      <c r="AY27" s="11">
        <f t="shared" si="34"/>
        <v>0</v>
      </c>
      <c r="AZ27" s="11">
        <f t="shared" si="35"/>
        <v>0</v>
      </c>
      <c r="BA27" s="11">
        <f t="shared" si="36"/>
        <v>0</v>
      </c>
      <c r="BB27" s="11">
        <f t="shared" si="37"/>
        <v>0</v>
      </c>
      <c r="BC27" s="11">
        <f t="shared" si="38"/>
        <v>0</v>
      </c>
      <c r="BD27" s="11">
        <f t="shared" si="39"/>
        <v>0</v>
      </c>
      <c r="BE27" s="11">
        <f t="shared" si="40"/>
        <v>0</v>
      </c>
      <c r="BF27" s="11">
        <f t="shared" si="41"/>
        <v>0</v>
      </c>
      <c r="BG27" s="11">
        <f t="shared" si="42"/>
        <v>0</v>
      </c>
      <c r="BH27" s="11">
        <f t="shared" si="43"/>
        <v>0</v>
      </c>
      <c r="BI27" s="11">
        <f t="shared" si="44"/>
        <v>0</v>
      </c>
      <c r="BJ27" s="11">
        <f t="shared" si="45"/>
        <v>0</v>
      </c>
      <c r="BK27" s="11">
        <f t="shared" si="46"/>
        <v>0</v>
      </c>
      <c r="BL27" s="11">
        <f t="shared" si="47"/>
        <v>0</v>
      </c>
      <c r="BM27" s="11">
        <f t="shared" si="48"/>
        <v>0</v>
      </c>
      <c r="BN27" s="11">
        <f t="shared" si="49"/>
        <v>0</v>
      </c>
      <c r="BO27" s="11">
        <f t="shared" si="50"/>
        <v>0</v>
      </c>
      <c r="BP27" s="11">
        <f t="shared" si="51"/>
        <v>0</v>
      </c>
      <c r="BQ27" s="11">
        <f t="shared" si="52"/>
        <v>0</v>
      </c>
      <c r="BR27" s="11">
        <f t="shared" si="53"/>
        <v>0</v>
      </c>
      <c r="BS27" s="11">
        <f t="shared" si="54"/>
        <v>0</v>
      </c>
      <c r="BT27" s="11">
        <f t="shared" si="55"/>
        <v>0</v>
      </c>
      <c r="BU27" s="11">
        <f t="shared" si="56"/>
        <v>0</v>
      </c>
      <c r="BV27" s="11">
        <f t="shared" si="57"/>
        <v>0</v>
      </c>
      <c r="BW27" s="11">
        <f t="shared" si="58"/>
        <v>0</v>
      </c>
      <c r="BX27" s="11">
        <f t="shared" si="59"/>
        <v>0</v>
      </c>
      <c r="BY27" s="11">
        <f t="shared" si="60"/>
        <v>0</v>
      </c>
      <c r="BZ27" s="11">
        <f t="shared" si="61"/>
        <v>0</v>
      </c>
      <c r="CA27" s="11">
        <f t="shared" si="62"/>
        <v>0</v>
      </c>
      <c r="CB27" s="11">
        <f t="shared" si="63"/>
        <v>0</v>
      </c>
      <c r="CC27" s="11">
        <f t="shared" si="64"/>
        <v>0</v>
      </c>
      <c r="CD27" s="11">
        <f t="shared" si="65"/>
        <v>0</v>
      </c>
      <c r="CE27" s="11">
        <f t="shared" si="66"/>
        <v>0</v>
      </c>
      <c r="CF27" s="11">
        <f t="shared" si="67"/>
        <v>0</v>
      </c>
      <c r="CG27" s="11">
        <f t="shared" si="68"/>
        <v>0</v>
      </c>
      <c r="CH27" s="11">
        <f t="shared" si="69"/>
        <v>0</v>
      </c>
      <c r="CI27" s="11">
        <f t="shared" si="70"/>
        <v>0</v>
      </c>
      <c r="CJ27" s="11">
        <f t="shared" si="71"/>
        <v>0</v>
      </c>
      <c r="CK27" s="11">
        <f t="shared" si="72"/>
        <v>0</v>
      </c>
      <c r="CL27" s="11">
        <f t="shared" si="73"/>
        <v>0</v>
      </c>
      <c r="CM27" s="11">
        <f t="shared" si="74"/>
        <v>1</v>
      </c>
      <c r="CN27" s="11">
        <f t="shared" si="75"/>
        <v>0</v>
      </c>
      <c r="CO27" s="11">
        <f t="shared" si="76"/>
        <v>0</v>
      </c>
      <c r="CP27" s="11">
        <f t="shared" si="77"/>
        <v>0</v>
      </c>
      <c r="CQ27" s="11">
        <f t="shared" si="78"/>
        <v>0</v>
      </c>
      <c r="CR27" s="11">
        <f t="shared" si="79"/>
        <v>0</v>
      </c>
      <c r="CS27" s="11">
        <f t="shared" si="80"/>
        <v>0</v>
      </c>
      <c r="CT27" s="11">
        <f t="shared" si="81"/>
        <v>0</v>
      </c>
      <c r="CU27" s="11">
        <f t="shared" si="82"/>
        <v>0</v>
      </c>
      <c r="CV27" s="11">
        <f t="shared" si="83"/>
        <v>0</v>
      </c>
      <c r="CW27" s="11">
        <f t="shared" si="84"/>
        <v>0</v>
      </c>
      <c r="CX27" s="11">
        <f t="shared" si="85"/>
        <v>0</v>
      </c>
      <c r="CY27" s="11">
        <f t="shared" si="86"/>
        <v>0</v>
      </c>
      <c r="CZ27" s="11">
        <f t="shared" si="87"/>
        <v>0</v>
      </c>
      <c r="DA27" s="11">
        <f t="shared" si="88"/>
        <v>0</v>
      </c>
      <c r="DB27" s="11">
        <f t="shared" si="89"/>
        <v>0</v>
      </c>
      <c r="DC27" s="11">
        <f t="shared" si="90"/>
        <v>0</v>
      </c>
      <c r="DD27" s="11">
        <f t="shared" si="91"/>
        <v>0</v>
      </c>
      <c r="DE27" s="11">
        <f t="shared" si="92"/>
        <v>0</v>
      </c>
      <c r="DF27" s="11">
        <f t="shared" si="93"/>
        <v>0</v>
      </c>
      <c r="DG27" s="11">
        <f t="shared" si="94"/>
        <v>0</v>
      </c>
      <c r="DH27" s="11">
        <f t="shared" si="95"/>
        <v>0</v>
      </c>
      <c r="DI27" s="11">
        <f t="shared" si="96"/>
        <v>0</v>
      </c>
      <c r="DJ27" s="11">
        <f t="shared" si="97"/>
        <v>0</v>
      </c>
      <c r="DK27" s="11">
        <f t="shared" si="98"/>
        <v>0</v>
      </c>
      <c r="DL27" s="11">
        <f t="shared" si="99"/>
        <v>0</v>
      </c>
      <c r="DM27" s="11">
        <f t="shared" si="100"/>
        <v>0</v>
      </c>
      <c r="DN27" s="11">
        <f t="shared" si="101"/>
        <v>0</v>
      </c>
      <c r="DO27" s="11">
        <f t="shared" si="102"/>
        <v>0</v>
      </c>
      <c r="DP27" s="11">
        <f t="shared" si="103"/>
        <v>0</v>
      </c>
      <c r="DQ27" s="11">
        <f t="shared" si="104"/>
        <v>0</v>
      </c>
      <c r="DR27" s="11">
        <f t="shared" si="105"/>
        <v>0</v>
      </c>
      <c r="DS27" s="11">
        <f t="shared" si="106"/>
        <v>0</v>
      </c>
      <c r="DT27" s="11">
        <f t="shared" si="107"/>
        <v>0</v>
      </c>
      <c r="DU27" s="11">
        <f t="shared" si="108"/>
        <v>0</v>
      </c>
      <c r="DV27" s="11">
        <f t="shared" si="109"/>
        <v>0</v>
      </c>
      <c r="DW27" s="11">
        <f t="shared" si="110"/>
        <v>0</v>
      </c>
      <c r="DX27" s="11">
        <f t="shared" si="111"/>
        <v>0</v>
      </c>
      <c r="DY27" s="11">
        <f t="shared" si="112"/>
        <v>0</v>
      </c>
      <c r="DZ27" s="11">
        <f t="shared" si="113"/>
        <v>0</v>
      </c>
      <c r="EA27" s="11">
        <f t="shared" si="114"/>
        <v>0</v>
      </c>
      <c r="EB27" s="11">
        <f t="shared" si="115"/>
        <v>0</v>
      </c>
      <c r="EC27" s="11">
        <f t="shared" si="116"/>
        <v>1</v>
      </c>
      <c r="ED27" s="11">
        <f t="shared" si="117"/>
        <v>0</v>
      </c>
      <c r="EE27" s="11">
        <f t="shared" si="118"/>
        <v>0</v>
      </c>
    </row>
    <row r="28" spans="1:135" ht="15" customHeight="1" x14ac:dyDescent="0.2">
      <c r="A28" s="3" t="s">
        <v>1777</v>
      </c>
      <c r="B28" s="3" t="s">
        <v>1779</v>
      </c>
      <c r="C28" s="3" t="s">
        <v>1780</v>
      </c>
      <c r="D28" s="3" t="s">
        <v>1780</v>
      </c>
      <c r="E28" s="3"/>
      <c r="F28" s="3" t="s">
        <v>259</v>
      </c>
      <c r="G28" s="3"/>
      <c r="H28" s="3" t="s">
        <v>114</v>
      </c>
      <c r="I28" s="3" t="s">
        <v>1782</v>
      </c>
      <c r="J28" s="3" t="s">
        <v>1781</v>
      </c>
      <c r="K28" s="3" t="s">
        <v>1784</v>
      </c>
      <c r="L28" s="3" t="s">
        <v>119</v>
      </c>
      <c r="M28" s="3" t="s">
        <v>1494</v>
      </c>
      <c r="N28" s="3" t="s">
        <v>120</v>
      </c>
      <c r="O28" s="3" t="s">
        <v>120</v>
      </c>
      <c r="P28" s="3" t="s">
        <v>1777</v>
      </c>
      <c r="Q28" s="10" t="str">
        <f t="shared" si="0"/>
        <v>Stage IV Only</v>
      </c>
      <c r="R28" s="10" t="str">
        <f t="shared" si="1"/>
        <v>Unspecified</v>
      </c>
      <c r="S28" s="10" t="str">
        <f t="shared" si="2"/>
        <v>All-comers</v>
      </c>
      <c r="T28" s="10">
        <f t="shared" si="3"/>
        <v>1</v>
      </c>
      <c r="U28" s="10">
        <f t="shared" si="4"/>
        <v>0</v>
      </c>
      <c r="V28" s="11">
        <f t="shared" si="5"/>
        <v>0</v>
      </c>
      <c r="W28" s="11">
        <f t="shared" si="6"/>
        <v>0</v>
      </c>
      <c r="X28" s="11">
        <f t="shared" si="7"/>
        <v>1</v>
      </c>
      <c r="Y28" s="11">
        <f t="shared" si="8"/>
        <v>0</v>
      </c>
      <c r="Z28" s="11">
        <f t="shared" si="9"/>
        <v>0</v>
      </c>
      <c r="AA28" s="11">
        <f t="shared" si="10"/>
        <v>0</v>
      </c>
      <c r="AB28" s="11">
        <f t="shared" si="11"/>
        <v>1</v>
      </c>
      <c r="AC28" s="11">
        <f t="shared" si="12"/>
        <v>0</v>
      </c>
      <c r="AD28" s="11">
        <f t="shared" si="13"/>
        <v>0</v>
      </c>
      <c r="AE28" s="11">
        <f t="shared" si="14"/>
        <v>0</v>
      </c>
      <c r="AF28" s="11">
        <f t="shared" si="15"/>
        <v>0</v>
      </c>
      <c r="AG28" s="11">
        <f t="shared" si="16"/>
        <v>0</v>
      </c>
      <c r="AH28" s="11">
        <f t="shared" si="17"/>
        <v>0</v>
      </c>
      <c r="AI28" s="11">
        <f t="shared" si="18"/>
        <v>0</v>
      </c>
      <c r="AJ28" s="11">
        <f t="shared" si="19"/>
        <v>0</v>
      </c>
      <c r="AK28" s="11">
        <f t="shared" si="20"/>
        <v>0</v>
      </c>
      <c r="AL28" s="11">
        <f t="shared" si="21"/>
        <v>0</v>
      </c>
      <c r="AM28" s="11">
        <f t="shared" si="22"/>
        <v>0</v>
      </c>
      <c r="AN28" s="11">
        <f t="shared" si="23"/>
        <v>0</v>
      </c>
      <c r="AO28" s="11">
        <f t="shared" si="24"/>
        <v>0</v>
      </c>
      <c r="AP28" s="11">
        <f t="shared" si="25"/>
        <v>0</v>
      </c>
      <c r="AQ28" s="11">
        <f t="shared" si="26"/>
        <v>0</v>
      </c>
      <c r="AR28" s="11">
        <f t="shared" si="27"/>
        <v>0</v>
      </c>
      <c r="AS28" s="11">
        <f t="shared" si="28"/>
        <v>0</v>
      </c>
      <c r="AT28" s="11">
        <f t="shared" si="29"/>
        <v>0</v>
      </c>
      <c r="AU28" s="11">
        <f t="shared" si="30"/>
        <v>0</v>
      </c>
      <c r="AV28" s="11">
        <f t="shared" si="31"/>
        <v>0</v>
      </c>
      <c r="AW28" s="11">
        <f t="shared" si="32"/>
        <v>0</v>
      </c>
      <c r="AX28" s="11">
        <f t="shared" si="33"/>
        <v>0</v>
      </c>
      <c r="AY28" s="11">
        <f t="shared" si="34"/>
        <v>0</v>
      </c>
      <c r="AZ28" s="11">
        <f t="shared" si="35"/>
        <v>0</v>
      </c>
      <c r="BA28" s="11">
        <f t="shared" si="36"/>
        <v>0</v>
      </c>
      <c r="BB28" s="11">
        <f t="shared" si="37"/>
        <v>0</v>
      </c>
      <c r="BC28" s="11">
        <f t="shared" si="38"/>
        <v>0</v>
      </c>
      <c r="BD28" s="11">
        <f t="shared" si="39"/>
        <v>0</v>
      </c>
      <c r="BE28" s="11">
        <f t="shared" si="40"/>
        <v>0</v>
      </c>
      <c r="BF28" s="11">
        <f t="shared" si="41"/>
        <v>0</v>
      </c>
      <c r="BG28" s="11">
        <f t="shared" si="42"/>
        <v>0</v>
      </c>
      <c r="BH28" s="11">
        <f t="shared" si="43"/>
        <v>0</v>
      </c>
      <c r="BI28" s="11">
        <f t="shared" si="44"/>
        <v>0</v>
      </c>
      <c r="BJ28" s="11">
        <f t="shared" si="45"/>
        <v>0</v>
      </c>
      <c r="BK28" s="11">
        <f t="shared" si="46"/>
        <v>0</v>
      </c>
      <c r="BL28" s="11">
        <f t="shared" si="47"/>
        <v>0</v>
      </c>
      <c r="BM28" s="11">
        <f t="shared" si="48"/>
        <v>0</v>
      </c>
      <c r="BN28" s="11">
        <f t="shared" si="49"/>
        <v>0</v>
      </c>
      <c r="BO28" s="11">
        <f t="shared" si="50"/>
        <v>0</v>
      </c>
      <c r="BP28" s="11">
        <f t="shared" si="51"/>
        <v>0</v>
      </c>
      <c r="BQ28" s="11">
        <f t="shared" si="52"/>
        <v>0</v>
      </c>
      <c r="BR28" s="11">
        <f t="shared" si="53"/>
        <v>1</v>
      </c>
      <c r="BS28" s="11">
        <f t="shared" si="54"/>
        <v>0</v>
      </c>
      <c r="BT28" s="11">
        <f t="shared" si="55"/>
        <v>0</v>
      </c>
      <c r="BU28" s="11">
        <f t="shared" si="56"/>
        <v>0</v>
      </c>
      <c r="BV28" s="11">
        <f t="shared" si="57"/>
        <v>0</v>
      </c>
      <c r="BW28" s="11">
        <f t="shared" si="58"/>
        <v>0</v>
      </c>
      <c r="BX28" s="11">
        <f t="shared" si="59"/>
        <v>0</v>
      </c>
      <c r="BY28" s="11">
        <f t="shared" si="60"/>
        <v>0</v>
      </c>
      <c r="BZ28" s="11">
        <f t="shared" si="61"/>
        <v>0</v>
      </c>
      <c r="CA28" s="11">
        <f t="shared" si="62"/>
        <v>0</v>
      </c>
      <c r="CB28" s="11">
        <f t="shared" si="63"/>
        <v>0</v>
      </c>
      <c r="CC28" s="11">
        <f t="shared" si="64"/>
        <v>0</v>
      </c>
      <c r="CD28" s="11">
        <f t="shared" si="65"/>
        <v>0</v>
      </c>
      <c r="CE28" s="11">
        <f t="shared" si="66"/>
        <v>0</v>
      </c>
      <c r="CF28" s="11">
        <f t="shared" si="67"/>
        <v>0</v>
      </c>
      <c r="CG28" s="11">
        <f t="shared" si="68"/>
        <v>0</v>
      </c>
      <c r="CH28" s="11">
        <f t="shared" si="69"/>
        <v>0</v>
      </c>
      <c r="CI28" s="11">
        <f t="shared" si="70"/>
        <v>0</v>
      </c>
      <c r="CJ28" s="11">
        <f t="shared" si="71"/>
        <v>0</v>
      </c>
      <c r="CK28" s="11">
        <f t="shared" si="72"/>
        <v>0</v>
      </c>
      <c r="CL28" s="11">
        <f t="shared" si="73"/>
        <v>0</v>
      </c>
      <c r="CM28" s="11">
        <f t="shared" si="74"/>
        <v>0</v>
      </c>
      <c r="CN28" s="11">
        <f t="shared" si="75"/>
        <v>0</v>
      </c>
      <c r="CO28" s="11">
        <f t="shared" si="76"/>
        <v>0</v>
      </c>
      <c r="CP28" s="11">
        <f t="shared" si="77"/>
        <v>0</v>
      </c>
      <c r="CQ28" s="11">
        <f t="shared" si="78"/>
        <v>0</v>
      </c>
      <c r="CR28" s="11">
        <f t="shared" si="79"/>
        <v>0</v>
      </c>
      <c r="CS28" s="11">
        <f t="shared" si="80"/>
        <v>0</v>
      </c>
      <c r="CT28" s="11">
        <f t="shared" si="81"/>
        <v>0</v>
      </c>
      <c r="CU28" s="11">
        <f t="shared" si="82"/>
        <v>0</v>
      </c>
      <c r="CV28" s="11">
        <f t="shared" si="83"/>
        <v>0</v>
      </c>
      <c r="CW28" s="11">
        <f t="shared" si="84"/>
        <v>0</v>
      </c>
      <c r="CX28" s="11">
        <f t="shared" si="85"/>
        <v>0</v>
      </c>
      <c r="CY28" s="11">
        <f t="shared" si="86"/>
        <v>0</v>
      </c>
      <c r="CZ28" s="11">
        <f t="shared" si="87"/>
        <v>0</v>
      </c>
      <c r="DA28" s="11">
        <f t="shared" si="88"/>
        <v>0</v>
      </c>
      <c r="DB28" s="11">
        <f t="shared" si="89"/>
        <v>0</v>
      </c>
      <c r="DC28" s="11">
        <f t="shared" si="90"/>
        <v>0</v>
      </c>
      <c r="DD28" s="11">
        <f t="shared" si="91"/>
        <v>0</v>
      </c>
      <c r="DE28" s="11">
        <f t="shared" si="92"/>
        <v>0</v>
      </c>
      <c r="DF28" s="11">
        <f t="shared" si="93"/>
        <v>0</v>
      </c>
      <c r="DG28" s="11">
        <f t="shared" si="94"/>
        <v>0</v>
      </c>
      <c r="DH28" s="11">
        <f t="shared" si="95"/>
        <v>0</v>
      </c>
      <c r="DI28" s="11">
        <f t="shared" si="96"/>
        <v>0</v>
      </c>
      <c r="DJ28" s="11">
        <f t="shared" si="97"/>
        <v>0</v>
      </c>
      <c r="DK28" s="11">
        <f t="shared" si="98"/>
        <v>0</v>
      </c>
      <c r="DL28" s="11">
        <f t="shared" si="99"/>
        <v>0</v>
      </c>
      <c r="DM28" s="11">
        <f t="shared" si="100"/>
        <v>0</v>
      </c>
      <c r="DN28" s="11">
        <f t="shared" si="101"/>
        <v>1</v>
      </c>
      <c r="DO28" s="11">
        <f t="shared" si="102"/>
        <v>0</v>
      </c>
      <c r="DP28" s="11">
        <f t="shared" si="103"/>
        <v>0</v>
      </c>
      <c r="DQ28" s="11">
        <f t="shared" si="104"/>
        <v>0</v>
      </c>
      <c r="DR28" s="11">
        <f t="shared" si="105"/>
        <v>0</v>
      </c>
      <c r="DS28" s="11">
        <f t="shared" si="106"/>
        <v>0</v>
      </c>
      <c r="DT28" s="11">
        <f t="shared" si="107"/>
        <v>0</v>
      </c>
      <c r="DU28" s="11">
        <f t="shared" si="108"/>
        <v>0</v>
      </c>
      <c r="DV28" s="11">
        <f t="shared" si="109"/>
        <v>0</v>
      </c>
      <c r="DW28" s="11">
        <f t="shared" si="110"/>
        <v>0</v>
      </c>
      <c r="DX28" s="11">
        <f t="shared" si="111"/>
        <v>0</v>
      </c>
      <c r="DY28" s="11">
        <f t="shared" si="112"/>
        <v>0</v>
      </c>
      <c r="DZ28" s="11">
        <f t="shared" si="113"/>
        <v>0</v>
      </c>
      <c r="EA28" s="11">
        <f t="shared" si="114"/>
        <v>0</v>
      </c>
      <c r="EB28" s="11">
        <f t="shared" si="115"/>
        <v>0</v>
      </c>
      <c r="EC28" s="11">
        <f t="shared" si="116"/>
        <v>0</v>
      </c>
      <c r="ED28" s="11">
        <f t="shared" si="117"/>
        <v>0</v>
      </c>
      <c r="EE28" s="11">
        <f t="shared" si="118"/>
        <v>0</v>
      </c>
    </row>
    <row r="29" spans="1:135" ht="15" customHeight="1" x14ac:dyDescent="0.2">
      <c r="A29" s="5" t="s">
        <v>1786</v>
      </c>
      <c r="B29" s="5" t="s">
        <v>1788</v>
      </c>
      <c r="C29" s="5" t="s">
        <v>1789</v>
      </c>
      <c r="D29" s="5" t="s">
        <v>194</v>
      </c>
      <c r="E29" s="5" t="s">
        <v>194</v>
      </c>
      <c r="F29" s="5" t="s">
        <v>259</v>
      </c>
      <c r="G29" s="5" t="s">
        <v>181</v>
      </c>
      <c r="H29" s="5" t="s">
        <v>114</v>
      </c>
      <c r="I29" s="5" t="s">
        <v>1793</v>
      </c>
      <c r="J29" s="5" t="s">
        <v>1792</v>
      </c>
      <c r="K29" s="5" t="s">
        <v>726</v>
      </c>
      <c r="L29" s="5" t="s">
        <v>119</v>
      </c>
      <c r="M29" s="5" t="s">
        <v>1494</v>
      </c>
      <c r="N29" s="5" t="s">
        <v>119</v>
      </c>
      <c r="O29" s="5" t="s">
        <v>120</v>
      </c>
      <c r="P29" s="5" t="s">
        <v>1790</v>
      </c>
      <c r="Q29" s="10" t="str">
        <f t="shared" si="0"/>
        <v>Stage IV Only</v>
      </c>
      <c r="R29" s="10" t="str">
        <f t="shared" si="1"/>
        <v>Non-squamous</v>
      </c>
      <c r="S29" s="10" t="str">
        <f t="shared" si="2"/>
        <v>All-comers</v>
      </c>
      <c r="T29" s="10">
        <f t="shared" si="3"/>
        <v>1</v>
      </c>
      <c r="U29" s="10">
        <f t="shared" si="4"/>
        <v>0</v>
      </c>
      <c r="V29" s="11">
        <f t="shared" si="5"/>
        <v>0</v>
      </c>
      <c r="W29" s="11">
        <f t="shared" si="6"/>
        <v>0</v>
      </c>
      <c r="X29" s="11">
        <f t="shared" si="7"/>
        <v>0</v>
      </c>
      <c r="Y29" s="11">
        <f t="shared" si="8"/>
        <v>0</v>
      </c>
      <c r="Z29" s="11">
        <f t="shared" si="9"/>
        <v>0</v>
      </c>
      <c r="AA29" s="11">
        <f t="shared" si="10"/>
        <v>0</v>
      </c>
      <c r="AB29" s="11">
        <f t="shared" si="11"/>
        <v>0</v>
      </c>
      <c r="AC29" s="11">
        <f t="shared" si="12"/>
        <v>0</v>
      </c>
      <c r="AD29" s="11">
        <f t="shared" si="13"/>
        <v>0</v>
      </c>
      <c r="AE29" s="11">
        <f t="shared" si="14"/>
        <v>0</v>
      </c>
      <c r="AF29" s="11">
        <f t="shared" si="15"/>
        <v>1</v>
      </c>
      <c r="AG29" s="11">
        <f t="shared" si="16"/>
        <v>0</v>
      </c>
      <c r="AH29" s="11">
        <f t="shared" si="17"/>
        <v>0</v>
      </c>
      <c r="AI29" s="11">
        <f t="shared" si="18"/>
        <v>0</v>
      </c>
      <c r="AJ29" s="11">
        <f t="shared" si="19"/>
        <v>0</v>
      </c>
      <c r="AK29" s="11">
        <f t="shared" si="20"/>
        <v>0</v>
      </c>
      <c r="AL29" s="11">
        <f t="shared" si="21"/>
        <v>0</v>
      </c>
      <c r="AM29" s="11">
        <f t="shared" si="22"/>
        <v>1</v>
      </c>
      <c r="AN29" s="11">
        <f t="shared" si="23"/>
        <v>1</v>
      </c>
      <c r="AO29" s="11">
        <f t="shared" si="24"/>
        <v>0</v>
      </c>
      <c r="AP29" s="11">
        <f t="shared" si="25"/>
        <v>0</v>
      </c>
      <c r="AQ29" s="11">
        <f t="shared" si="26"/>
        <v>1</v>
      </c>
      <c r="AR29" s="11">
        <f t="shared" si="27"/>
        <v>0</v>
      </c>
      <c r="AS29" s="11">
        <f t="shared" si="28"/>
        <v>0</v>
      </c>
      <c r="AT29" s="11">
        <f t="shared" si="29"/>
        <v>1</v>
      </c>
      <c r="AU29" s="11">
        <f t="shared" si="30"/>
        <v>0</v>
      </c>
      <c r="AV29" s="11">
        <f t="shared" si="31"/>
        <v>0</v>
      </c>
      <c r="AW29" s="11">
        <f t="shared" si="32"/>
        <v>0</v>
      </c>
      <c r="AX29" s="11">
        <f t="shared" si="33"/>
        <v>0</v>
      </c>
      <c r="AY29" s="11">
        <f t="shared" si="34"/>
        <v>0</v>
      </c>
      <c r="AZ29" s="11">
        <f t="shared" si="35"/>
        <v>0</v>
      </c>
      <c r="BA29" s="11">
        <f t="shared" si="36"/>
        <v>0</v>
      </c>
      <c r="BB29" s="11">
        <f t="shared" si="37"/>
        <v>0</v>
      </c>
      <c r="BC29" s="11">
        <f t="shared" si="38"/>
        <v>0</v>
      </c>
      <c r="BD29" s="11">
        <f t="shared" si="39"/>
        <v>0</v>
      </c>
      <c r="BE29" s="11">
        <f t="shared" si="40"/>
        <v>0</v>
      </c>
      <c r="BF29" s="11">
        <f t="shared" si="41"/>
        <v>0</v>
      </c>
      <c r="BG29" s="11">
        <f t="shared" si="42"/>
        <v>0</v>
      </c>
      <c r="BH29" s="11">
        <f t="shared" si="43"/>
        <v>0</v>
      </c>
      <c r="BI29" s="11">
        <f t="shared" si="44"/>
        <v>0</v>
      </c>
      <c r="BJ29" s="11">
        <f t="shared" si="45"/>
        <v>0</v>
      </c>
      <c r="BK29" s="11">
        <f t="shared" si="46"/>
        <v>0</v>
      </c>
      <c r="BL29" s="11">
        <f t="shared" si="47"/>
        <v>0</v>
      </c>
      <c r="BM29" s="11">
        <f t="shared" si="48"/>
        <v>0</v>
      </c>
      <c r="BN29" s="11">
        <f t="shared" si="49"/>
        <v>0</v>
      </c>
      <c r="BO29" s="11">
        <f t="shared" si="50"/>
        <v>0</v>
      </c>
      <c r="BP29" s="11">
        <f t="shared" si="51"/>
        <v>0</v>
      </c>
      <c r="BQ29" s="11">
        <f t="shared" si="52"/>
        <v>0</v>
      </c>
      <c r="BR29" s="11">
        <f t="shared" si="53"/>
        <v>0</v>
      </c>
      <c r="BS29" s="11">
        <f t="shared" si="54"/>
        <v>0</v>
      </c>
      <c r="BT29" s="11">
        <f t="shared" si="55"/>
        <v>0</v>
      </c>
      <c r="BU29" s="11">
        <f t="shared" si="56"/>
        <v>0</v>
      </c>
      <c r="BV29" s="11">
        <f t="shared" si="57"/>
        <v>0</v>
      </c>
      <c r="BW29" s="11">
        <f t="shared" si="58"/>
        <v>0</v>
      </c>
      <c r="BX29" s="11">
        <f t="shared" si="59"/>
        <v>0</v>
      </c>
      <c r="BY29" s="11">
        <f t="shared" si="60"/>
        <v>0</v>
      </c>
      <c r="BZ29" s="11">
        <f t="shared" si="61"/>
        <v>0</v>
      </c>
      <c r="CA29" s="11">
        <f t="shared" si="62"/>
        <v>0</v>
      </c>
      <c r="CB29" s="11">
        <f t="shared" si="63"/>
        <v>0</v>
      </c>
      <c r="CC29" s="11">
        <f t="shared" si="64"/>
        <v>0</v>
      </c>
      <c r="CD29" s="11">
        <f t="shared" si="65"/>
        <v>0</v>
      </c>
      <c r="CE29" s="11">
        <f t="shared" si="66"/>
        <v>0</v>
      </c>
      <c r="CF29" s="11">
        <f t="shared" si="67"/>
        <v>0</v>
      </c>
      <c r="CG29" s="11">
        <f t="shared" si="68"/>
        <v>0</v>
      </c>
      <c r="CH29" s="11">
        <f t="shared" si="69"/>
        <v>0</v>
      </c>
      <c r="CI29" s="11">
        <f t="shared" si="70"/>
        <v>0</v>
      </c>
      <c r="CJ29" s="11">
        <f t="shared" si="71"/>
        <v>0</v>
      </c>
      <c r="CK29" s="11">
        <f t="shared" si="72"/>
        <v>0</v>
      </c>
      <c r="CL29" s="11">
        <f t="shared" si="73"/>
        <v>0</v>
      </c>
      <c r="CM29" s="11">
        <f t="shared" si="74"/>
        <v>0</v>
      </c>
      <c r="CN29" s="11">
        <f t="shared" si="75"/>
        <v>0</v>
      </c>
      <c r="CO29" s="11">
        <f t="shared" si="76"/>
        <v>0</v>
      </c>
      <c r="CP29" s="11">
        <f t="shared" si="77"/>
        <v>0</v>
      </c>
      <c r="CQ29" s="11">
        <f t="shared" si="78"/>
        <v>0</v>
      </c>
      <c r="CR29" s="11">
        <f t="shared" si="79"/>
        <v>1</v>
      </c>
      <c r="CS29" s="11">
        <f t="shared" si="80"/>
        <v>0</v>
      </c>
      <c r="CT29" s="11">
        <f t="shared" si="81"/>
        <v>1</v>
      </c>
      <c r="CU29" s="11">
        <f t="shared" si="82"/>
        <v>0</v>
      </c>
      <c r="CV29" s="11">
        <f t="shared" si="83"/>
        <v>0</v>
      </c>
      <c r="CW29" s="11">
        <f t="shared" si="84"/>
        <v>0</v>
      </c>
      <c r="CX29" s="11">
        <f t="shared" si="85"/>
        <v>0</v>
      </c>
      <c r="CY29" s="11">
        <f t="shared" si="86"/>
        <v>0</v>
      </c>
      <c r="CZ29" s="11">
        <f t="shared" si="87"/>
        <v>0</v>
      </c>
      <c r="DA29" s="11">
        <f t="shared" si="88"/>
        <v>0</v>
      </c>
      <c r="DB29" s="11">
        <f t="shared" si="89"/>
        <v>1</v>
      </c>
      <c r="DC29" s="11">
        <f t="shared" si="90"/>
        <v>0</v>
      </c>
      <c r="DD29" s="11">
        <f t="shared" si="91"/>
        <v>0</v>
      </c>
      <c r="DE29" s="11">
        <f t="shared" si="92"/>
        <v>0</v>
      </c>
      <c r="DF29" s="11">
        <f t="shared" si="93"/>
        <v>0</v>
      </c>
      <c r="DG29" s="11">
        <f t="shared" si="94"/>
        <v>0</v>
      </c>
      <c r="DH29" s="11">
        <f t="shared" si="95"/>
        <v>0</v>
      </c>
      <c r="DI29" s="11">
        <f t="shared" si="96"/>
        <v>0</v>
      </c>
      <c r="DJ29" s="11">
        <f t="shared" si="97"/>
        <v>0</v>
      </c>
      <c r="DK29" s="11">
        <f t="shared" si="98"/>
        <v>0</v>
      </c>
      <c r="DL29" s="11">
        <f t="shared" si="99"/>
        <v>0</v>
      </c>
      <c r="DM29" s="11">
        <f t="shared" si="100"/>
        <v>0</v>
      </c>
      <c r="DN29" s="11">
        <f t="shared" si="101"/>
        <v>0</v>
      </c>
      <c r="DO29" s="11">
        <f t="shared" si="102"/>
        <v>0</v>
      </c>
      <c r="DP29" s="11">
        <f t="shared" si="103"/>
        <v>0</v>
      </c>
      <c r="DQ29" s="11">
        <f t="shared" si="104"/>
        <v>0</v>
      </c>
      <c r="DR29" s="11">
        <f t="shared" si="105"/>
        <v>0</v>
      </c>
      <c r="DS29" s="11">
        <f t="shared" si="106"/>
        <v>0</v>
      </c>
      <c r="DT29" s="11">
        <f t="shared" si="107"/>
        <v>0</v>
      </c>
      <c r="DU29" s="11">
        <f t="shared" si="108"/>
        <v>0</v>
      </c>
      <c r="DV29" s="11">
        <f t="shared" si="109"/>
        <v>0</v>
      </c>
      <c r="DW29" s="11">
        <f t="shared" si="110"/>
        <v>0</v>
      </c>
      <c r="DX29" s="11">
        <f t="shared" si="111"/>
        <v>0</v>
      </c>
      <c r="DY29" s="11">
        <f t="shared" si="112"/>
        <v>0</v>
      </c>
      <c r="DZ29" s="11">
        <f t="shared" si="113"/>
        <v>0</v>
      </c>
      <c r="EA29" s="11">
        <f t="shared" si="114"/>
        <v>0</v>
      </c>
      <c r="EB29" s="11">
        <f t="shared" si="115"/>
        <v>0</v>
      </c>
      <c r="EC29" s="11">
        <f t="shared" si="116"/>
        <v>0</v>
      </c>
      <c r="ED29" s="11">
        <f t="shared" si="117"/>
        <v>0</v>
      </c>
      <c r="EE29" s="11">
        <f t="shared" si="118"/>
        <v>0</v>
      </c>
    </row>
    <row r="30" spans="1:135" ht="15" customHeight="1" x14ac:dyDescent="0.2">
      <c r="A30" s="3" t="s">
        <v>983</v>
      </c>
      <c r="B30" s="3" t="s">
        <v>984</v>
      </c>
      <c r="C30" s="3" t="s">
        <v>985</v>
      </c>
      <c r="D30" s="3" t="s">
        <v>985</v>
      </c>
      <c r="E30" s="3" t="s">
        <v>985</v>
      </c>
      <c r="F30" s="3" t="s">
        <v>259</v>
      </c>
      <c r="G30" s="3" t="s">
        <v>544</v>
      </c>
      <c r="H30" s="3" t="s">
        <v>114</v>
      </c>
      <c r="I30" s="3" t="s">
        <v>1802</v>
      </c>
      <c r="J30" s="3" t="s">
        <v>987</v>
      </c>
      <c r="K30" s="3"/>
      <c r="L30" s="3" t="s">
        <v>119</v>
      </c>
      <c r="M30" s="3" t="s">
        <v>1494</v>
      </c>
      <c r="N30" s="3" t="s">
        <v>120</v>
      </c>
      <c r="O30" s="3" t="s">
        <v>120</v>
      </c>
      <c r="P30" s="3" t="s">
        <v>1800</v>
      </c>
      <c r="Q30" s="10" t="str">
        <f t="shared" si="0"/>
        <v>Stage IV Only</v>
      </c>
      <c r="R30" s="10" t="str">
        <f t="shared" si="1"/>
        <v>Both</v>
      </c>
      <c r="S30" s="10" t="str">
        <f t="shared" si="2"/>
        <v>All-comers</v>
      </c>
      <c r="T30" s="10">
        <f t="shared" si="3"/>
        <v>1</v>
      </c>
      <c r="U30" s="10">
        <f t="shared" si="4"/>
        <v>0</v>
      </c>
      <c r="V30" s="11">
        <f t="shared" si="5"/>
        <v>0</v>
      </c>
      <c r="W30" s="11">
        <f t="shared" si="6"/>
        <v>0</v>
      </c>
      <c r="X30" s="11">
        <f t="shared" si="7"/>
        <v>0</v>
      </c>
      <c r="Y30" s="11">
        <f t="shared" si="8"/>
        <v>0</v>
      </c>
      <c r="Z30" s="11">
        <f t="shared" si="9"/>
        <v>0</v>
      </c>
      <c r="AA30" s="11">
        <f t="shared" si="10"/>
        <v>0</v>
      </c>
      <c r="AB30" s="11">
        <f t="shared" si="11"/>
        <v>1</v>
      </c>
      <c r="AC30" s="11">
        <f t="shared" si="12"/>
        <v>0</v>
      </c>
      <c r="AD30" s="11">
        <f t="shared" si="13"/>
        <v>0</v>
      </c>
      <c r="AE30" s="11">
        <f t="shared" si="14"/>
        <v>0</v>
      </c>
      <c r="AF30" s="11">
        <f t="shared" si="15"/>
        <v>0</v>
      </c>
      <c r="AG30" s="11">
        <f t="shared" si="16"/>
        <v>0</v>
      </c>
      <c r="AH30" s="11">
        <f t="shared" si="17"/>
        <v>0</v>
      </c>
      <c r="AI30" s="11">
        <f t="shared" si="18"/>
        <v>0</v>
      </c>
      <c r="AJ30" s="11">
        <f t="shared" si="19"/>
        <v>0</v>
      </c>
      <c r="AK30" s="11">
        <f t="shared" si="20"/>
        <v>0</v>
      </c>
      <c r="AL30" s="11">
        <f t="shared" si="21"/>
        <v>0</v>
      </c>
      <c r="AM30" s="11">
        <f t="shared" si="22"/>
        <v>0</v>
      </c>
      <c r="AN30" s="11">
        <f t="shared" si="23"/>
        <v>0</v>
      </c>
      <c r="AO30" s="11">
        <f t="shared" si="24"/>
        <v>0</v>
      </c>
      <c r="AP30" s="11">
        <f t="shared" si="25"/>
        <v>0</v>
      </c>
      <c r="AQ30" s="11">
        <f t="shared" si="26"/>
        <v>0</v>
      </c>
      <c r="AR30" s="11">
        <f t="shared" si="27"/>
        <v>0</v>
      </c>
      <c r="AS30" s="11">
        <f t="shared" si="28"/>
        <v>0</v>
      </c>
      <c r="AT30" s="11">
        <f t="shared" si="29"/>
        <v>0</v>
      </c>
      <c r="AU30" s="11">
        <f t="shared" si="30"/>
        <v>0</v>
      </c>
      <c r="AV30" s="11">
        <f t="shared" si="31"/>
        <v>0</v>
      </c>
      <c r="AW30" s="11">
        <f t="shared" si="32"/>
        <v>0</v>
      </c>
      <c r="AX30" s="11">
        <f t="shared" si="33"/>
        <v>0</v>
      </c>
      <c r="AY30" s="11">
        <f t="shared" si="34"/>
        <v>1</v>
      </c>
      <c r="AZ30" s="11">
        <f t="shared" si="35"/>
        <v>1</v>
      </c>
      <c r="BA30" s="11">
        <f t="shared" si="36"/>
        <v>0</v>
      </c>
      <c r="BB30" s="11">
        <f t="shared" si="37"/>
        <v>0</v>
      </c>
      <c r="BC30" s="11">
        <f t="shared" si="38"/>
        <v>0</v>
      </c>
      <c r="BD30" s="11">
        <f t="shared" si="39"/>
        <v>0</v>
      </c>
      <c r="BE30" s="11">
        <f t="shared" si="40"/>
        <v>0</v>
      </c>
      <c r="BF30" s="11">
        <f t="shared" si="41"/>
        <v>0</v>
      </c>
      <c r="BG30" s="11">
        <f t="shared" si="42"/>
        <v>0</v>
      </c>
      <c r="BH30" s="11">
        <f t="shared" si="43"/>
        <v>0</v>
      </c>
      <c r="BI30" s="11">
        <f t="shared" si="44"/>
        <v>0</v>
      </c>
      <c r="BJ30" s="11">
        <f t="shared" si="45"/>
        <v>0</v>
      </c>
      <c r="BK30" s="11">
        <f t="shared" si="46"/>
        <v>0</v>
      </c>
      <c r="BL30" s="11">
        <f t="shared" si="47"/>
        <v>0</v>
      </c>
      <c r="BM30" s="11">
        <f t="shared" si="48"/>
        <v>1</v>
      </c>
      <c r="BN30" s="11">
        <f t="shared" si="49"/>
        <v>0</v>
      </c>
      <c r="BO30" s="11">
        <f t="shared" si="50"/>
        <v>0</v>
      </c>
      <c r="BP30" s="11">
        <f t="shared" si="51"/>
        <v>0</v>
      </c>
      <c r="BQ30" s="11">
        <f t="shared" si="52"/>
        <v>0</v>
      </c>
      <c r="BR30" s="11">
        <f t="shared" si="53"/>
        <v>1</v>
      </c>
      <c r="BS30" s="11">
        <f t="shared" si="54"/>
        <v>0</v>
      </c>
      <c r="BT30" s="11">
        <f t="shared" si="55"/>
        <v>0</v>
      </c>
      <c r="BU30" s="11">
        <f t="shared" si="56"/>
        <v>0</v>
      </c>
      <c r="BV30" s="11">
        <f t="shared" si="57"/>
        <v>0</v>
      </c>
      <c r="BW30" s="11">
        <f t="shared" si="58"/>
        <v>0</v>
      </c>
      <c r="BX30" s="11">
        <f t="shared" si="59"/>
        <v>0</v>
      </c>
      <c r="BY30" s="11">
        <f t="shared" si="60"/>
        <v>0</v>
      </c>
      <c r="BZ30" s="11">
        <f t="shared" si="61"/>
        <v>0</v>
      </c>
      <c r="CA30" s="11">
        <f t="shared" si="62"/>
        <v>0</v>
      </c>
      <c r="CB30" s="11">
        <f t="shared" si="63"/>
        <v>0</v>
      </c>
      <c r="CC30" s="11">
        <f t="shared" si="64"/>
        <v>0</v>
      </c>
      <c r="CD30" s="11">
        <f t="shared" si="65"/>
        <v>0</v>
      </c>
      <c r="CE30" s="11">
        <f t="shared" si="66"/>
        <v>0</v>
      </c>
      <c r="CF30" s="11">
        <f t="shared" si="67"/>
        <v>0</v>
      </c>
      <c r="CG30" s="11">
        <f t="shared" si="68"/>
        <v>0</v>
      </c>
      <c r="CH30" s="11">
        <f t="shared" si="69"/>
        <v>0</v>
      </c>
      <c r="CI30" s="11">
        <f t="shared" si="70"/>
        <v>0</v>
      </c>
      <c r="CJ30" s="11">
        <f t="shared" si="71"/>
        <v>0</v>
      </c>
      <c r="CK30" s="11">
        <f t="shared" si="72"/>
        <v>0</v>
      </c>
      <c r="CL30" s="11">
        <f t="shared" si="73"/>
        <v>0</v>
      </c>
      <c r="CM30" s="11">
        <f t="shared" si="74"/>
        <v>0</v>
      </c>
      <c r="CN30" s="11">
        <f t="shared" si="75"/>
        <v>0</v>
      </c>
      <c r="CO30" s="11">
        <f t="shared" si="76"/>
        <v>0</v>
      </c>
      <c r="CP30" s="11">
        <f t="shared" si="77"/>
        <v>0</v>
      </c>
      <c r="CQ30" s="11">
        <f t="shared" si="78"/>
        <v>0</v>
      </c>
      <c r="CR30" s="11">
        <f t="shared" si="79"/>
        <v>0</v>
      </c>
      <c r="CS30" s="11">
        <f t="shared" si="80"/>
        <v>0</v>
      </c>
      <c r="CT30" s="11">
        <f t="shared" si="81"/>
        <v>0</v>
      </c>
      <c r="CU30" s="11">
        <f t="shared" si="82"/>
        <v>0</v>
      </c>
      <c r="CV30" s="11">
        <f t="shared" si="83"/>
        <v>0</v>
      </c>
      <c r="CW30" s="11">
        <f t="shared" si="84"/>
        <v>0</v>
      </c>
      <c r="CX30" s="11">
        <f t="shared" si="85"/>
        <v>0</v>
      </c>
      <c r="CY30" s="11">
        <f t="shared" si="86"/>
        <v>0</v>
      </c>
      <c r="CZ30" s="11">
        <f t="shared" si="87"/>
        <v>0</v>
      </c>
      <c r="DA30" s="11">
        <f t="shared" si="88"/>
        <v>0</v>
      </c>
      <c r="DB30" s="11">
        <f t="shared" si="89"/>
        <v>0</v>
      </c>
      <c r="DC30" s="11">
        <f t="shared" si="90"/>
        <v>0</v>
      </c>
      <c r="DD30" s="11">
        <f t="shared" si="91"/>
        <v>0</v>
      </c>
      <c r="DE30" s="11">
        <f t="shared" si="92"/>
        <v>0</v>
      </c>
      <c r="DF30" s="11">
        <f t="shared" si="93"/>
        <v>0</v>
      </c>
      <c r="DG30" s="11">
        <f t="shared" si="94"/>
        <v>0</v>
      </c>
      <c r="DH30" s="11">
        <f t="shared" si="95"/>
        <v>0</v>
      </c>
      <c r="DI30" s="11">
        <f t="shared" si="96"/>
        <v>0</v>
      </c>
      <c r="DJ30" s="11">
        <f t="shared" si="97"/>
        <v>0</v>
      </c>
      <c r="DK30" s="11">
        <f t="shared" si="98"/>
        <v>0</v>
      </c>
      <c r="DL30" s="11">
        <f t="shared" si="99"/>
        <v>0</v>
      </c>
      <c r="DM30" s="11">
        <f t="shared" si="100"/>
        <v>0</v>
      </c>
      <c r="DN30" s="11">
        <f t="shared" si="101"/>
        <v>0</v>
      </c>
      <c r="DO30" s="11">
        <f t="shared" si="102"/>
        <v>0</v>
      </c>
      <c r="DP30" s="11">
        <f t="shared" si="103"/>
        <v>0</v>
      </c>
      <c r="DQ30" s="11">
        <f t="shared" si="104"/>
        <v>0</v>
      </c>
      <c r="DR30" s="11">
        <f t="shared" si="105"/>
        <v>0</v>
      </c>
      <c r="DS30" s="11">
        <f t="shared" si="106"/>
        <v>0</v>
      </c>
      <c r="DT30" s="11">
        <f t="shared" si="107"/>
        <v>0</v>
      </c>
      <c r="DU30" s="11">
        <f t="shared" si="108"/>
        <v>0</v>
      </c>
      <c r="DV30" s="11">
        <f t="shared" si="109"/>
        <v>0</v>
      </c>
      <c r="DW30" s="11">
        <f t="shared" si="110"/>
        <v>0</v>
      </c>
      <c r="DX30" s="11">
        <f t="shared" si="111"/>
        <v>0</v>
      </c>
      <c r="DY30" s="11">
        <f t="shared" si="112"/>
        <v>0</v>
      </c>
      <c r="DZ30" s="11">
        <f t="shared" si="113"/>
        <v>0</v>
      </c>
      <c r="EA30" s="11">
        <f t="shared" si="114"/>
        <v>0</v>
      </c>
      <c r="EB30" s="11">
        <f t="shared" si="115"/>
        <v>0</v>
      </c>
      <c r="EC30" s="11">
        <f t="shared" si="116"/>
        <v>0</v>
      </c>
      <c r="ED30" s="11">
        <f t="shared" si="117"/>
        <v>0</v>
      </c>
      <c r="EE30" s="11">
        <f t="shared" si="118"/>
        <v>0</v>
      </c>
    </row>
    <row r="31" spans="1:135" ht="15" customHeight="1" x14ac:dyDescent="0.2">
      <c r="A31" s="5" t="s">
        <v>1142</v>
      </c>
      <c r="B31" s="5" t="s">
        <v>1144</v>
      </c>
      <c r="C31" s="5" t="s">
        <v>281</v>
      </c>
      <c r="D31" s="5" t="s">
        <v>280</v>
      </c>
      <c r="E31" s="5" t="s">
        <v>282</v>
      </c>
      <c r="F31" s="5" t="s">
        <v>259</v>
      </c>
      <c r="G31" s="5" t="s">
        <v>181</v>
      </c>
      <c r="H31" s="5" t="s">
        <v>114</v>
      </c>
      <c r="I31" s="5" t="s">
        <v>1002</v>
      </c>
      <c r="J31" s="5" t="s">
        <v>965</v>
      </c>
      <c r="K31" s="5" t="s">
        <v>1816</v>
      </c>
      <c r="L31" s="5" t="s">
        <v>119</v>
      </c>
      <c r="M31" s="5" t="s">
        <v>1494</v>
      </c>
      <c r="N31" s="5" t="s">
        <v>119</v>
      </c>
      <c r="O31" s="5" t="s">
        <v>120</v>
      </c>
      <c r="P31" s="5" t="s">
        <v>1809</v>
      </c>
      <c r="Q31" s="10" t="str">
        <f t="shared" si="0"/>
        <v>Stage IV Only</v>
      </c>
      <c r="R31" s="10" t="str">
        <f t="shared" si="1"/>
        <v>Non-squamous</v>
      </c>
      <c r="S31" s="10" t="str">
        <f t="shared" si="2"/>
        <v>All-comers</v>
      </c>
      <c r="T31" s="10">
        <f t="shared" si="3"/>
        <v>1</v>
      </c>
      <c r="U31" s="10">
        <f t="shared" si="4"/>
        <v>0</v>
      </c>
      <c r="V31" s="11">
        <f t="shared" si="5"/>
        <v>0</v>
      </c>
      <c r="W31" s="11">
        <f t="shared" si="6"/>
        <v>0</v>
      </c>
      <c r="X31" s="11">
        <f t="shared" si="7"/>
        <v>0</v>
      </c>
      <c r="Y31" s="11">
        <f t="shared" si="8"/>
        <v>0</v>
      </c>
      <c r="Z31" s="11">
        <f t="shared" si="9"/>
        <v>0</v>
      </c>
      <c r="AA31" s="11">
        <f t="shared" si="10"/>
        <v>0</v>
      </c>
      <c r="AB31" s="11">
        <f t="shared" si="11"/>
        <v>0</v>
      </c>
      <c r="AC31" s="11">
        <f t="shared" si="12"/>
        <v>0</v>
      </c>
      <c r="AD31" s="11">
        <f t="shared" si="13"/>
        <v>0</v>
      </c>
      <c r="AE31" s="11">
        <f t="shared" si="14"/>
        <v>0</v>
      </c>
      <c r="AF31" s="11">
        <f t="shared" si="15"/>
        <v>0</v>
      </c>
      <c r="AG31" s="11">
        <f t="shared" si="16"/>
        <v>0</v>
      </c>
      <c r="AH31" s="11">
        <f t="shared" si="17"/>
        <v>0</v>
      </c>
      <c r="AI31" s="11">
        <f t="shared" si="18"/>
        <v>0</v>
      </c>
      <c r="AJ31" s="11">
        <f t="shared" si="19"/>
        <v>0</v>
      </c>
      <c r="AK31" s="11">
        <f t="shared" si="20"/>
        <v>0</v>
      </c>
      <c r="AL31" s="11">
        <f t="shared" si="21"/>
        <v>0</v>
      </c>
      <c r="AM31" s="11">
        <f t="shared" si="22"/>
        <v>0</v>
      </c>
      <c r="AN31" s="11">
        <f t="shared" si="23"/>
        <v>0</v>
      </c>
      <c r="AO31" s="11">
        <f t="shared" si="24"/>
        <v>0</v>
      </c>
      <c r="AP31" s="11">
        <f t="shared" si="25"/>
        <v>0</v>
      </c>
      <c r="AQ31" s="11">
        <f t="shared" si="26"/>
        <v>0</v>
      </c>
      <c r="AR31" s="11">
        <f t="shared" si="27"/>
        <v>0</v>
      </c>
      <c r="AS31" s="11">
        <f t="shared" si="28"/>
        <v>0</v>
      </c>
      <c r="AT31" s="11">
        <f t="shared" si="29"/>
        <v>0</v>
      </c>
      <c r="AU31" s="11">
        <f t="shared" si="30"/>
        <v>0</v>
      </c>
      <c r="AV31" s="11">
        <f t="shared" si="31"/>
        <v>0</v>
      </c>
      <c r="AW31" s="11">
        <f t="shared" si="32"/>
        <v>0</v>
      </c>
      <c r="AX31" s="11">
        <f t="shared" si="33"/>
        <v>0</v>
      </c>
      <c r="AY31" s="11">
        <f t="shared" si="34"/>
        <v>0</v>
      </c>
      <c r="AZ31" s="11">
        <f t="shared" si="35"/>
        <v>0</v>
      </c>
      <c r="BA31" s="11">
        <f t="shared" si="36"/>
        <v>0</v>
      </c>
      <c r="BB31" s="11">
        <f t="shared" si="37"/>
        <v>0</v>
      </c>
      <c r="BC31" s="11">
        <f t="shared" si="38"/>
        <v>0</v>
      </c>
      <c r="BD31" s="11">
        <f t="shared" si="39"/>
        <v>0</v>
      </c>
      <c r="BE31" s="11">
        <f t="shared" si="40"/>
        <v>0</v>
      </c>
      <c r="BF31" s="11">
        <f t="shared" si="41"/>
        <v>0</v>
      </c>
      <c r="BG31" s="11">
        <f t="shared" si="42"/>
        <v>0</v>
      </c>
      <c r="BH31" s="11">
        <f t="shared" si="43"/>
        <v>0</v>
      </c>
      <c r="BI31" s="11">
        <f t="shared" si="44"/>
        <v>0</v>
      </c>
      <c r="BJ31" s="11">
        <f t="shared" si="45"/>
        <v>0</v>
      </c>
      <c r="BK31" s="11">
        <f t="shared" si="46"/>
        <v>0</v>
      </c>
      <c r="BL31" s="11">
        <f t="shared" si="47"/>
        <v>0</v>
      </c>
      <c r="BM31" s="11">
        <f t="shared" si="48"/>
        <v>0</v>
      </c>
      <c r="BN31" s="11">
        <f t="shared" si="49"/>
        <v>0</v>
      </c>
      <c r="BO31" s="11">
        <f t="shared" si="50"/>
        <v>0</v>
      </c>
      <c r="BP31" s="11">
        <f t="shared" si="51"/>
        <v>0</v>
      </c>
      <c r="BQ31" s="11">
        <f t="shared" si="52"/>
        <v>0</v>
      </c>
      <c r="BR31" s="11">
        <f t="shared" si="53"/>
        <v>0</v>
      </c>
      <c r="BS31" s="11">
        <f t="shared" si="54"/>
        <v>0</v>
      </c>
      <c r="BT31" s="11">
        <f t="shared" si="55"/>
        <v>0</v>
      </c>
      <c r="BU31" s="11">
        <f t="shared" si="56"/>
        <v>0</v>
      </c>
      <c r="BV31" s="11">
        <f t="shared" si="57"/>
        <v>0</v>
      </c>
      <c r="BW31" s="11">
        <f t="shared" si="58"/>
        <v>0</v>
      </c>
      <c r="BX31" s="11">
        <f t="shared" si="59"/>
        <v>0</v>
      </c>
      <c r="BY31" s="11">
        <f t="shared" si="60"/>
        <v>0</v>
      </c>
      <c r="BZ31" s="11">
        <f t="shared" si="61"/>
        <v>0</v>
      </c>
      <c r="CA31" s="11">
        <f t="shared" si="62"/>
        <v>0</v>
      </c>
      <c r="CB31" s="11">
        <f t="shared" si="63"/>
        <v>0</v>
      </c>
      <c r="CC31" s="11">
        <f t="shared" si="64"/>
        <v>0</v>
      </c>
      <c r="CD31" s="11">
        <f t="shared" si="65"/>
        <v>0</v>
      </c>
      <c r="CE31" s="11">
        <f t="shared" si="66"/>
        <v>0</v>
      </c>
      <c r="CF31" s="11">
        <f t="shared" si="67"/>
        <v>0</v>
      </c>
      <c r="CG31" s="11">
        <f t="shared" si="68"/>
        <v>1</v>
      </c>
      <c r="CH31" s="11">
        <f t="shared" si="69"/>
        <v>0</v>
      </c>
      <c r="CI31" s="11">
        <f t="shared" si="70"/>
        <v>0</v>
      </c>
      <c r="CJ31" s="11">
        <f t="shared" si="71"/>
        <v>0</v>
      </c>
      <c r="CK31" s="11">
        <f t="shared" si="72"/>
        <v>0</v>
      </c>
      <c r="CL31" s="11">
        <f t="shared" si="73"/>
        <v>0</v>
      </c>
      <c r="CM31" s="11">
        <f t="shared" si="74"/>
        <v>0</v>
      </c>
      <c r="CN31" s="11">
        <f t="shared" si="75"/>
        <v>0</v>
      </c>
      <c r="CO31" s="11">
        <f t="shared" si="76"/>
        <v>0</v>
      </c>
      <c r="CP31" s="11">
        <f t="shared" si="77"/>
        <v>0</v>
      </c>
      <c r="CQ31" s="11">
        <f t="shared" si="78"/>
        <v>0</v>
      </c>
      <c r="CR31" s="11">
        <f t="shared" si="79"/>
        <v>1</v>
      </c>
      <c r="CS31" s="11">
        <f t="shared" si="80"/>
        <v>0</v>
      </c>
      <c r="CT31" s="11">
        <f t="shared" si="81"/>
        <v>1</v>
      </c>
      <c r="CU31" s="11">
        <f t="shared" si="82"/>
        <v>0</v>
      </c>
      <c r="CV31" s="11">
        <f t="shared" si="83"/>
        <v>0</v>
      </c>
      <c r="CW31" s="11">
        <f t="shared" si="84"/>
        <v>0</v>
      </c>
      <c r="CX31" s="11">
        <f t="shared" si="85"/>
        <v>0</v>
      </c>
      <c r="CY31" s="11">
        <f t="shared" si="86"/>
        <v>0</v>
      </c>
      <c r="CZ31" s="11">
        <f t="shared" si="87"/>
        <v>0</v>
      </c>
      <c r="DA31" s="11">
        <f t="shared" si="88"/>
        <v>1</v>
      </c>
      <c r="DB31" s="11">
        <f t="shared" si="89"/>
        <v>0</v>
      </c>
      <c r="DC31" s="11">
        <f t="shared" si="90"/>
        <v>1</v>
      </c>
      <c r="DD31" s="11">
        <f t="shared" si="91"/>
        <v>0</v>
      </c>
      <c r="DE31" s="11">
        <f t="shared" si="92"/>
        <v>1</v>
      </c>
      <c r="DF31" s="11">
        <f t="shared" si="93"/>
        <v>0</v>
      </c>
      <c r="DG31" s="11">
        <f t="shared" si="94"/>
        <v>0</v>
      </c>
      <c r="DH31" s="11">
        <f t="shared" si="95"/>
        <v>0</v>
      </c>
      <c r="DI31" s="11">
        <f t="shared" si="96"/>
        <v>0</v>
      </c>
      <c r="DJ31" s="11">
        <f t="shared" si="97"/>
        <v>0</v>
      </c>
      <c r="DK31" s="11">
        <f t="shared" si="98"/>
        <v>0</v>
      </c>
      <c r="DL31" s="11">
        <f t="shared" si="99"/>
        <v>0</v>
      </c>
      <c r="DM31" s="11">
        <f t="shared" si="100"/>
        <v>0</v>
      </c>
      <c r="DN31" s="11">
        <f t="shared" si="101"/>
        <v>0</v>
      </c>
      <c r="DO31" s="11">
        <f t="shared" si="102"/>
        <v>0</v>
      </c>
      <c r="DP31" s="11">
        <f t="shared" si="103"/>
        <v>0</v>
      </c>
      <c r="DQ31" s="11">
        <f t="shared" si="104"/>
        <v>0</v>
      </c>
      <c r="DR31" s="11">
        <f t="shared" si="105"/>
        <v>0</v>
      </c>
      <c r="DS31" s="11">
        <f t="shared" si="106"/>
        <v>0</v>
      </c>
      <c r="DT31" s="11">
        <f t="shared" si="107"/>
        <v>0</v>
      </c>
      <c r="DU31" s="11">
        <f t="shared" si="108"/>
        <v>0</v>
      </c>
      <c r="DV31" s="11">
        <f t="shared" si="109"/>
        <v>0</v>
      </c>
      <c r="DW31" s="11">
        <f t="shared" si="110"/>
        <v>0</v>
      </c>
      <c r="DX31" s="11">
        <f t="shared" si="111"/>
        <v>0</v>
      </c>
      <c r="DY31" s="11">
        <f t="shared" si="112"/>
        <v>0</v>
      </c>
      <c r="DZ31" s="11">
        <f t="shared" si="113"/>
        <v>0</v>
      </c>
      <c r="EA31" s="11">
        <f t="shared" si="114"/>
        <v>0</v>
      </c>
      <c r="EB31" s="11">
        <f t="shared" si="115"/>
        <v>0</v>
      </c>
      <c r="EC31" s="11">
        <f t="shared" si="116"/>
        <v>0</v>
      </c>
      <c r="ED31" s="11">
        <f t="shared" si="117"/>
        <v>0</v>
      </c>
      <c r="EE31" s="11">
        <f t="shared" si="118"/>
        <v>0</v>
      </c>
    </row>
    <row r="32" spans="1:135" ht="15" customHeight="1" x14ac:dyDescent="0.2">
      <c r="A32" s="3" t="s">
        <v>1319</v>
      </c>
      <c r="B32" s="3" t="s">
        <v>1320</v>
      </c>
      <c r="C32" s="3" t="s">
        <v>1321</v>
      </c>
      <c r="D32" s="3" t="s">
        <v>529</v>
      </c>
      <c r="E32" s="3" t="s">
        <v>1817</v>
      </c>
      <c r="F32" s="3" t="s">
        <v>259</v>
      </c>
      <c r="G32" s="3" t="s">
        <v>260</v>
      </c>
      <c r="H32" s="3" t="s">
        <v>114</v>
      </c>
      <c r="I32" s="3" t="s">
        <v>1324</v>
      </c>
      <c r="J32" s="3" t="s">
        <v>1323</v>
      </c>
      <c r="K32" s="3"/>
      <c r="L32" s="3" t="s">
        <v>119</v>
      </c>
      <c r="M32" s="3" t="s">
        <v>1494</v>
      </c>
      <c r="N32" s="3" t="s">
        <v>120</v>
      </c>
      <c r="O32" s="3" t="s">
        <v>120</v>
      </c>
      <c r="P32" s="3" t="s">
        <v>1818</v>
      </c>
      <c r="Q32" s="10" t="str">
        <f t="shared" si="0"/>
        <v>Stage IV Only</v>
      </c>
      <c r="R32" s="10" t="str">
        <f t="shared" si="1"/>
        <v>Squamous</v>
      </c>
      <c r="S32" s="10" t="str">
        <f t="shared" si="2"/>
        <v>All-comers</v>
      </c>
      <c r="T32" s="10">
        <f t="shared" si="3"/>
        <v>1</v>
      </c>
      <c r="U32" s="10">
        <f t="shared" si="4"/>
        <v>0</v>
      </c>
      <c r="V32" s="11">
        <f t="shared" si="5"/>
        <v>0</v>
      </c>
      <c r="W32" s="11">
        <f t="shared" si="6"/>
        <v>0</v>
      </c>
      <c r="X32" s="11">
        <f t="shared" si="7"/>
        <v>0</v>
      </c>
      <c r="Y32" s="11">
        <f t="shared" si="8"/>
        <v>0</v>
      </c>
      <c r="Z32" s="11">
        <f t="shared" si="9"/>
        <v>0</v>
      </c>
      <c r="AA32" s="11">
        <f t="shared" si="10"/>
        <v>0</v>
      </c>
      <c r="AB32" s="11">
        <f t="shared" si="11"/>
        <v>1</v>
      </c>
      <c r="AC32" s="11">
        <f t="shared" si="12"/>
        <v>0</v>
      </c>
      <c r="AD32" s="11">
        <f t="shared" si="13"/>
        <v>0</v>
      </c>
      <c r="AE32" s="11">
        <f t="shared" si="14"/>
        <v>0</v>
      </c>
      <c r="AF32" s="11">
        <f t="shared" si="15"/>
        <v>0</v>
      </c>
      <c r="AG32" s="11">
        <f t="shared" si="16"/>
        <v>0</v>
      </c>
      <c r="AH32" s="11">
        <f t="shared" si="17"/>
        <v>0</v>
      </c>
      <c r="AI32" s="11">
        <f t="shared" si="18"/>
        <v>0</v>
      </c>
      <c r="AJ32" s="11">
        <f t="shared" si="19"/>
        <v>0</v>
      </c>
      <c r="AK32" s="11">
        <f t="shared" si="20"/>
        <v>0</v>
      </c>
      <c r="AL32" s="11">
        <f t="shared" si="21"/>
        <v>0</v>
      </c>
      <c r="AM32" s="11">
        <f t="shared" si="22"/>
        <v>0</v>
      </c>
      <c r="AN32" s="11">
        <f t="shared" si="23"/>
        <v>0</v>
      </c>
      <c r="AO32" s="11">
        <f t="shared" si="24"/>
        <v>0</v>
      </c>
      <c r="AP32" s="11">
        <f t="shared" si="25"/>
        <v>0</v>
      </c>
      <c r="AQ32" s="11">
        <f t="shared" si="26"/>
        <v>0</v>
      </c>
      <c r="AR32" s="11">
        <f t="shared" si="27"/>
        <v>0</v>
      </c>
      <c r="AS32" s="11">
        <f t="shared" si="28"/>
        <v>0</v>
      </c>
      <c r="AT32" s="11">
        <f t="shared" si="29"/>
        <v>0</v>
      </c>
      <c r="AU32" s="11">
        <f t="shared" si="30"/>
        <v>0</v>
      </c>
      <c r="AV32" s="11">
        <f t="shared" si="31"/>
        <v>0</v>
      </c>
      <c r="AW32" s="11">
        <f t="shared" si="32"/>
        <v>0</v>
      </c>
      <c r="AX32" s="11">
        <f t="shared" si="33"/>
        <v>0</v>
      </c>
      <c r="AY32" s="11">
        <f t="shared" si="34"/>
        <v>0</v>
      </c>
      <c r="AZ32" s="11">
        <f t="shared" si="35"/>
        <v>0</v>
      </c>
      <c r="BA32" s="11">
        <f t="shared" si="36"/>
        <v>1</v>
      </c>
      <c r="BB32" s="11">
        <f t="shared" si="37"/>
        <v>0</v>
      </c>
      <c r="BC32" s="11">
        <f t="shared" si="38"/>
        <v>0</v>
      </c>
      <c r="BD32" s="11">
        <f t="shared" si="39"/>
        <v>0</v>
      </c>
      <c r="BE32" s="11">
        <f t="shared" si="40"/>
        <v>0</v>
      </c>
      <c r="BF32" s="11">
        <f t="shared" si="41"/>
        <v>0</v>
      </c>
      <c r="BG32" s="11">
        <f t="shared" si="42"/>
        <v>0</v>
      </c>
      <c r="BH32" s="11">
        <f t="shared" si="43"/>
        <v>0</v>
      </c>
      <c r="BI32" s="11">
        <f t="shared" si="44"/>
        <v>0</v>
      </c>
      <c r="BJ32" s="11">
        <f t="shared" si="45"/>
        <v>0</v>
      </c>
      <c r="BK32" s="11">
        <f t="shared" si="46"/>
        <v>0</v>
      </c>
      <c r="BL32" s="11">
        <f t="shared" si="47"/>
        <v>0</v>
      </c>
      <c r="BM32" s="11">
        <f t="shared" si="48"/>
        <v>0</v>
      </c>
      <c r="BN32" s="11">
        <f t="shared" si="49"/>
        <v>0</v>
      </c>
      <c r="BO32" s="11">
        <f t="shared" si="50"/>
        <v>0</v>
      </c>
      <c r="BP32" s="11">
        <f t="shared" si="51"/>
        <v>0</v>
      </c>
      <c r="BQ32" s="11">
        <f t="shared" si="52"/>
        <v>0</v>
      </c>
      <c r="BR32" s="11">
        <f t="shared" si="53"/>
        <v>1</v>
      </c>
      <c r="BS32" s="11">
        <f t="shared" si="54"/>
        <v>0</v>
      </c>
      <c r="BT32" s="11">
        <f t="shared" si="55"/>
        <v>0</v>
      </c>
      <c r="BU32" s="11">
        <f t="shared" si="56"/>
        <v>0</v>
      </c>
      <c r="BV32" s="11">
        <f t="shared" si="57"/>
        <v>0</v>
      </c>
      <c r="BW32" s="11">
        <f t="shared" si="58"/>
        <v>0</v>
      </c>
      <c r="BX32" s="11">
        <f t="shared" si="59"/>
        <v>0</v>
      </c>
      <c r="BY32" s="11">
        <f t="shared" si="60"/>
        <v>0</v>
      </c>
      <c r="BZ32" s="11">
        <f t="shared" si="61"/>
        <v>1</v>
      </c>
      <c r="CA32" s="11">
        <f t="shared" si="62"/>
        <v>0</v>
      </c>
      <c r="CB32" s="11">
        <f t="shared" si="63"/>
        <v>0</v>
      </c>
      <c r="CC32" s="11">
        <f t="shared" si="64"/>
        <v>0</v>
      </c>
      <c r="CD32" s="11">
        <f t="shared" si="65"/>
        <v>0</v>
      </c>
      <c r="CE32" s="11">
        <f t="shared" si="66"/>
        <v>0</v>
      </c>
      <c r="CF32" s="11">
        <f t="shared" si="67"/>
        <v>0</v>
      </c>
      <c r="CG32" s="11">
        <f t="shared" si="68"/>
        <v>0</v>
      </c>
      <c r="CH32" s="11">
        <f t="shared" si="69"/>
        <v>0</v>
      </c>
      <c r="CI32" s="11">
        <f t="shared" si="70"/>
        <v>0</v>
      </c>
      <c r="CJ32" s="11">
        <f t="shared" si="71"/>
        <v>0</v>
      </c>
      <c r="CK32" s="11">
        <f t="shared" si="72"/>
        <v>0</v>
      </c>
      <c r="CL32" s="11">
        <f t="shared" si="73"/>
        <v>0</v>
      </c>
      <c r="CM32" s="11">
        <f t="shared" si="74"/>
        <v>0</v>
      </c>
      <c r="CN32" s="11">
        <f t="shared" si="75"/>
        <v>0</v>
      </c>
      <c r="CO32" s="11">
        <f t="shared" si="76"/>
        <v>0</v>
      </c>
      <c r="CP32" s="11">
        <f t="shared" si="77"/>
        <v>0</v>
      </c>
      <c r="CQ32" s="11">
        <f t="shared" si="78"/>
        <v>0</v>
      </c>
      <c r="CR32" s="11">
        <f t="shared" si="79"/>
        <v>0</v>
      </c>
      <c r="CS32" s="11">
        <f t="shared" si="80"/>
        <v>0</v>
      </c>
      <c r="CT32" s="11">
        <f t="shared" si="81"/>
        <v>0</v>
      </c>
      <c r="CU32" s="11">
        <f t="shared" si="82"/>
        <v>0</v>
      </c>
      <c r="CV32" s="11">
        <f t="shared" si="83"/>
        <v>0</v>
      </c>
      <c r="CW32" s="11">
        <f t="shared" si="84"/>
        <v>0</v>
      </c>
      <c r="CX32" s="11">
        <f t="shared" si="85"/>
        <v>0</v>
      </c>
      <c r="CY32" s="11">
        <f t="shared" si="86"/>
        <v>0</v>
      </c>
      <c r="CZ32" s="11">
        <f t="shared" si="87"/>
        <v>0</v>
      </c>
      <c r="DA32" s="11">
        <f t="shared" si="88"/>
        <v>0</v>
      </c>
      <c r="DB32" s="11">
        <f t="shared" si="89"/>
        <v>0</v>
      </c>
      <c r="DC32" s="11">
        <f t="shared" si="90"/>
        <v>0</v>
      </c>
      <c r="DD32" s="11">
        <f t="shared" si="91"/>
        <v>0</v>
      </c>
      <c r="DE32" s="11">
        <f t="shared" si="92"/>
        <v>0</v>
      </c>
      <c r="DF32" s="11">
        <f t="shared" si="93"/>
        <v>0</v>
      </c>
      <c r="DG32" s="11">
        <f t="shared" si="94"/>
        <v>0</v>
      </c>
      <c r="DH32" s="11">
        <f t="shared" si="95"/>
        <v>0</v>
      </c>
      <c r="DI32" s="11">
        <f t="shared" si="96"/>
        <v>0</v>
      </c>
      <c r="DJ32" s="11">
        <f t="shared" si="97"/>
        <v>0</v>
      </c>
      <c r="DK32" s="11">
        <f t="shared" si="98"/>
        <v>0</v>
      </c>
      <c r="DL32" s="11">
        <f t="shared" si="99"/>
        <v>0</v>
      </c>
      <c r="DM32" s="11">
        <f t="shared" si="100"/>
        <v>0</v>
      </c>
      <c r="DN32" s="11">
        <f t="shared" si="101"/>
        <v>0</v>
      </c>
      <c r="DO32" s="11">
        <f t="shared" si="102"/>
        <v>0</v>
      </c>
      <c r="DP32" s="11">
        <f t="shared" si="103"/>
        <v>0</v>
      </c>
      <c r="DQ32" s="11">
        <f t="shared" si="104"/>
        <v>0</v>
      </c>
      <c r="DR32" s="11">
        <f t="shared" si="105"/>
        <v>0</v>
      </c>
      <c r="DS32" s="11">
        <f t="shared" si="106"/>
        <v>0</v>
      </c>
      <c r="DT32" s="11">
        <f t="shared" si="107"/>
        <v>0</v>
      </c>
      <c r="DU32" s="11">
        <f t="shared" si="108"/>
        <v>0</v>
      </c>
      <c r="DV32" s="11">
        <f t="shared" si="109"/>
        <v>0</v>
      </c>
      <c r="DW32" s="11">
        <f t="shared" si="110"/>
        <v>0</v>
      </c>
      <c r="DX32" s="11">
        <f t="shared" si="111"/>
        <v>0</v>
      </c>
      <c r="DY32" s="11">
        <f t="shared" si="112"/>
        <v>0</v>
      </c>
      <c r="DZ32" s="11">
        <f t="shared" si="113"/>
        <v>0</v>
      </c>
      <c r="EA32" s="11">
        <f t="shared" si="114"/>
        <v>0</v>
      </c>
      <c r="EB32" s="11">
        <f t="shared" si="115"/>
        <v>0</v>
      </c>
      <c r="EC32" s="11">
        <f t="shared" si="116"/>
        <v>0</v>
      </c>
      <c r="ED32" s="11">
        <f t="shared" si="117"/>
        <v>0</v>
      </c>
      <c r="EE32" s="11">
        <f t="shared" si="118"/>
        <v>0</v>
      </c>
    </row>
    <row r="33" spans="1:135" ht="15" customHeight="1" x14ac:dyDescent="0.2">
      <c r="A33" s="5" t="s">
        <v>983</v>
      </c>
      <c r="B33" s="5" t="s">
        <v>984</v>
      </c>
      <c r="C33" s="5" t="s">
        <v>985</v>
      </c>
      <c r="D33" s="5" t="s">
        <v>985</v>
      </c>
      <c r="E33" s="5"/>
      <c r="F33" s="5"/>
      <c r="G33" s="5"/>
      <c r="H33" s="5" t="s">
        <v>114</v>
      </c>
      <c r="I33" s="5" t="s">
        <v>988</v>
      </c>
      <c r="J33" s="5" t="s">
        <v>987</v>
      </c>
      <c r="K33" s="5"/>
      <c r="L33" s="5" t="s">
        <v>119</v>
      </c>
      <c r="M33" s="5" t="s">
        <v>1494</v>
      </c>
      <c r="N33" s="5" t="s">
        <v>120</v>
      </c>
      <c r="O33" s="5" t="s">
        <v>120</v>
      </c>
      <c r="P33" s="5" t="s">
        <v>1826</v>
      </c>
      <c r="Q33" s="10" t="str">
        <f t="shared" si="0"/>
        <v>Other</v>
      </c>
      <c r="R33" s="10" t="str">
        <f t="shared" si="1"/>
        <v>Unspecified</v>
      </c>
      <c r="S33" s="10" t="str">
        <f t="shared" si="2"/>
        <v>All-comers</v>
      </c>
      <c r="T33" s="10">
        <f t="shared" si="3"/>
        <v>1</v>
      </c>
      <c r="U33" s="10">
        <f t="shared" si="4"/>
        <v>0</v>
      </c>
      <c r="V33" s="11">
        <f t="shared" si="5"/>
        <v>0</v>
      </c>
      <c r="W33" s="11">
        <f t="shared" si="6"/>
        <v>0</v>
      </c>
      <c r="X33" s="11">
        <f t="shared" si="7"/>
        <v>0</v>
      </c>
      <c r="Y33" s="11">
        <f t="shared" si="8"/>
        <v>0</v>
      </c>
      <c r="Z33" s="11">
        <f t="shared" si="9"/>
        <v>0</v>
      </c>
      <c r="AA33" s="11">
        <f t="shared" si="10"/>
        <v>0</v>
      </c>
      <c r="AB33" s="11">
        <f t="shared" si="11"/>
        <v>1</v>
      </c>
      <c r="AC33" s="11">
        <f t="shared" si="12"/>
        <v>0</v>
      </c>
      <c r="AD33" s="11">
        <f t="shared" si="13"/>
        <v>0</v>
      </c>
      <c r="AE33" s="11">
        <f t="shared" si="14"/>
        <v>0</v>
      </c>
      <c r="AF33" s="11">
        <f t="shared" si="15"/>
        <v>0</v>
      </c>
      <c r="AG33" s="11">
        <f t="shared" si="16"/>
        <v>0</v>
      </c>
      <c r="AH33" s="11">
        <f t="shared" si="17"/>
        <v>0</v>
      </c>
      <c r="AI33" s="11">
        <f t="shared" si="18"/>
        <v>0</v>
      </c>
      <c r="AJ33" s="11">
        <f t="shared" si="19"/>
        <v>0</v>
      </c>
      <c r="AK33" s="11">
        <f t="shared" si="20"/>
        <v>0</v>
      </c>
      <c r="AL33" s="11">
        <f t="shared" si="21"/>
        <v>0</v>
      </c>
      <c r="AM33" s="11">
        <f t="shared" si="22"/>
        <v>0</v>
      </c>
      <c r="AN33" s="11">
        <f t="shared" si="23"/>
        <v>0</v>
      </c>
      <c r="AO33" s="11">
        <f t="shared" si="24"/>
        <v>0</v>
      </c>
      <c r="AP33" s="11">
        <f t="shared" si="25"/>
        <v>0</v>
      </c>
      <c r="AQ33" s="11">
        <f t="shared" si="26"/>
        <v>0</v>
      </c>
      <c r="AR33" s="11">
        <f t="shared" si="27"/>
        <v>0</v>
      </c>
      <c r="AS33" s="11">
        <f t="shared" si="28"/>
        <v>0</v>
      </c>
      <c r="AT33" s="11">
        <f t="shared" si="29"/>
        <v>0</v>
      </c>
      <c r="AU33" s="11">
        <f t="shared" si="30"/>
        <v>0</v>
      </c>
      <c r="AV33" s="11">
        <f t="shared" si="31"/>
        <v>0</v>
      </c>
      <c r="AW33" s="11">
        <f t="shared" si="32"/>
        <v>0</v>
      </c>
      <c r="AX33" s="11">
        <f t="shared" si="33"/>
        <v>0</v>
      </c>
      <c r="AY33" s="11">
        <f t="shared" si="34"/>
        <v>1</v>
      </c>
      <c r="AZ33" s="11">
        <f t="shared" si="35"/>
        <v>1</v>
      </c>
      <c r="BA33" s="11">
        <f t="shared" si="36"/>
        <v>0</v>
      </c>
      <c r="BB33" s="11">
        <f t="shared" si="37"/>
        <v>0</v>
      </c>
      <c r="BC33" s="11">
        <f t="shared" si="38"/>
        <v>0</v>
      </c>
      <c r="BD33" s="11">
        <f t="shared" si="39"/>
        <v>0</v>
      </c>
      <c r="BE33" s="11">
        <f t="shared" si="40"/>
        <v>0</v>
      </c>
      <c r="BF33" s="11">
        <f t="shared" si="41"/>
        <v>0</v>
      </c>
      <c r="BG33" s="11">
        <f t="shared" si="42"/>
        <v>0</v>
      </c>
      <c r="BH33" s="11">
        <f t="shared" si="43"/>
        <v>0</v>
      </c>
      <c r="BI33" s="11">
        <f t="shared" si="44"/>
        <v>0</v>
      </c>
      <c r="BJ33" s="11">
        <f t="shared" si="45"/>
        <v>0</v>
      </c>
      <c r="BK33" s="11">
        <f t="shared" si="46"/>
        <v>0</v>
      </c>
      <c r="BL33" s="11">
        <f t="shared" si="47"/>
        <v>0</v>
      </c>
      <c r="BM33" s="11">
        <f t="shared" si="48"/>
        <v>0</v>
      </c>
      <c r="BN33" s="11">
        <f t="shared" si="49"/>
        <v>0</v>
      </c>
      <c r="BO33" s="11">
        <f t="shared" si="50"/>
        <v>0</v>
      </c>
      <c r="BP33" s="11">
        <f t="shared" si="51"/>
        <v>0</v>
      </c>
      <c r="BQ33" s="11">
        <f t="shared" si="52"/>
        <v>0</v>
      </c>
      <c r="BR33" s="11">
        <f t="shared" si="53"/>
        <v>1</v>
      </c>
      <c r="BS33" s="11">
        <f t="shared" si="54"/>
        <v>0</v>
      </c>
      <c r="BT33" s="11">
        <f t="shared" si="55"/>
        <v>0</v>
      </c>
      <c r="BU33" s="11">
        <f t="shared" si="56"/>
        <v>0</v>
      </c>
      <c r="BV33" s="11">
        <f t="shared" si="57"/>
        <v>0</v>
      </c>
      <c r="BW33" s="11">
        <f t="shared" si="58"/>
        <v>0</v>
      </c>
      <c r="BX33" s="11">
        <f t="shared" si="59"/>
        <v>0</v>
      </c>
      <c r="BY33" s="11">
        <f t="shared" si="60"/>
        <v>0</v>
      </c>
      <c r="BZ33" s="11">
        <f t="shared" si="61"/>
        <v>0</v>
      </c>
      <c r="CA33" s="11">
        <f t="shared" si="62"/>
        <v>0</v>
      </c>
      <c r="CB33" s="11">
        <f t="shared" si="63"/>
        <v>0</v>
      </c>
      <c r="CC33" s="11">
        <f t="shared" si="64"/>
        <v>0</v>
      </c>
      <c r="CD33" s="11">
        <f t="shared" si="65"/>
        <v>0</v>
      </c>
      <c r="CE33" s="11">
        <f t="shared" si="66"/>
        <v>0</v>
      </c>
      <c r="CF33" s="11">
        <f t="shared" si="67"/>
        <v>0</v>
      </c>
      <c r="CG33" s="11">
        <f t="shared" si="68"/>
        <v>0</v>
      </c>
      <c r="CH33" s="11">
        <f t="shared" si="69"/>
        <v>0</v>
      </c>
      <c r="CI33" s="11">
        <f t="shared" si="70"/>
        <v>0</v>
      </c>
      <c r="CJ33" s="11">
        <f t="shared" si="71"/>
        <v>0</v>
      </c>
      <c r="CK33" s="11">
        <f t="shared" si="72"/>
        <v>0</v>
      </c>
      <c r="CL33" s="11">
        <f t="shared" si="73"/>
        <v>0</v>
      </c>
      <c r="CM33" s="11">
        <f t="shared" si="74"/>
        <v>0</v>
      </c>
      <c r="CN33" s="11">
        <f t="shared" si="75"/>
        <v>0</v>
      </c>
      <c r="CO33" s="11">
        <f t="shared" si="76"/>
        <v>0</v>
      </c>
      <c r="CP33" s="11">
        <f t="shared" si="77"/>
        <v>0</v>
      </c>
      <c r="CQ33" s="11">
        <f t="shared" si="78"/>
        <v>0</v>
      </c>
      <c r="CR33" s="11">
        <f t="shared" si="79"/>
        <v>0</v>
      </c>
      <c r="CS33" s="11">
        <f t="shared" si="80"/>
        <v>0</v>
      </c>
      <c r="CT33" s="11">
        <f t="shared" si="81"/>
        <v>0</v>
      </c>
      <c r="CU33" s="11">
        <f t="shared" si="82"/>
        <v>0</v>
      </c>
      <c r="CV33" s="11">
        <f t="shared" si="83"/>
        <v>0</v>
      </c>
      <c r="CW33" s="11">
        <f t="shared" si="84"/>
        <v>0</v>
      </c>
      <c r="CX33" s="11">
        <f t="shared" si="85"/>
        <v>0</v>
      </c>
      <c r="CY33" s="11">
        <f t="shared" si="86"/>
        <v>0</v>
      </c>
      <c r="CZ33" s="11">
        <f t="shared" si="87"/>
        <v>0</v>
      </c>
      <c r="DA33" s="11">
        <f t="shared" si="88"/>
        <v>0</v>
      </c>
      <c r="DB33" s="11">
        <f t="shared" si="89"/>
        <v>0</v>
      </c>
      <c r="DC33" s="11">
        <f t="shared" si="90"/>
        <v>0</v>
      </c>
      <c r="DD33" s="11">
        <f t="shared" si="91"/>
        <v>0</v>
      </c>
      <c r="DE33" s="11">
        <f t="shared" si="92"/>
        <v>0</v>
      </c>
      <c r="DF33" s="11">
        <f t="shared" si="93"/>
        <v>0</v>
      </c>
      <c r="DG33" s="11">
        <f t="shared" si="94"/>
        <v>0</v>
      </c>
      <c r="DH33" s="11">
        <f t="shared" si="95"/>
        <v>0</v>
      </c>
      <c r="DI33" s="11">
        <f t="shared" si="96"/>
        <v>0</v>
      </c>
      <c r="DJ33" s="11">
        <f t="shared" si="97"/>
        <v>0</v>
      </c>
      <c r="DK33" s="11">
        <f t="shared" si="98"/>
        <v>0</v>
      </c>
      <c r="DL33" s="11">
        <f t="shared" si="99"/>
        <v>0</v>
      </c>
      <c r="DM33" s="11">
        <f t="shared" si="100"/>
        <v>0</v>
      </c>
      <c r="DN33" s="11">
        <f t="shared" si="101"/>
        <v>0</v>
      </c>
      <c r="DO33" s="11">
        <f t="shared" si="102"/>
        <v>0</v>
      </c>
      <c r="DP33" s="11">
        <f t="shared" si="103"/>
        <v>0</v>
      </c>
      <c r="DQ33" s="11">
        <f t="shared" si="104"/>
        <v>0</v>
      </c>
      <c r="DR33" s="11">
        <f t="shared" si="105"/>
        <v>0</v>
      </c>
      <c r="DS33" s="11">
        <f t="shared" si="106"/>
        <v>0</v>
      </c>
      <c r="DT33" s="11">
        <f t="shared" si="107"/>
        <v>0</v>
      </c>
      <c r="DU33" s="11">
        <f t="shared" si="108"/>
        <v>0</v>
      </c>
      <c r="DV33" s="11">
        <f t="shared" si="109"/>
        <v>0</v>
      </c>
      <c r="DW33" s="11">
        <f t="shared" si="110"/>
        <v>0</v>
      </c>
      <c r="DX33" s="11">
        <f t="shared" si="111"/>
        <v>0</v>
      </c>
      <c r="DY33" s="11">
        <f t="shared" si="112"/>
        <v>0</v>
      </c>
      <c r="DZ33" s="11">
        <f t="shared" si="113"/>
        <v>0</v>
      </c>
      <c r="EA33" s="11">
        <f t="shared" si="114"/>
        <v>0</v>
      </c>
      <c r="EB33" s="11">
        <f t="shared" si="115"/>
        <v>0</v>
      </c>
      <c r="EC33" s="11">
        <f t="shared" si="116"/>
        <v>0</v>
      </c>
      <c r="ED33" s="11">
        <f t="shared" si="117"/>
        <v>0</v>
      </c>
      <c r="EE33" s="11">
        <f t="shared" si="118"/>
        <v>0</v>
      </c>
    </row>
    <row r="34" spans="1:135" ht="15" customHeight="1" x14ac:dyDescent="0.2">
      <c r="A34" s="3" t="s">
        <v>1829</v>
      </c>
      <c r="B34" s="3"/>
      <c r="C34" s="3" t="s">
        <v>1432</v>
      </c>
      <c r="D34" s="3" t="s">
        <v>1432</v>
      </c>
      <c r="E34" s="3"/>
      <c r="F34" s="3"/>
      <c r="G34" s="3"/>
      <c r="H34" s="3" t="s">
        <v>114</v>
      </c>
      <c r="I34" s="3" t="s">
        <v>1831</v>
      </c>
      <c r="J34" s="3" t="s">
        <v>872</v>
      </c>
      <c r="K34" s="3"/>
      <c r="L34" s="3" t="s">
        <v>119</v>
      </c>
      <c r="M34" s="3" t="s">
        <v>1494</v>
      </c>
      <c r="N34" s="3" t="s">
        <v>120</v>
      </c>
      <c r="O34" s="3" t="s">
        <v>120</v>
      </c>
      <c r="P34" s="3" t="s">
        <v>1830</v>
      </c>
      <c r="Q34" s="10" t="str">
        <f t="shared" si="0"/>
        <v>Other</v>
      </c>
      <c r="R34" s="10" t="str">
        <f t="shared" si="1"/>
        <v>Unspecified</v>
      </c>
      <c r="S34" s="10" t="str">
        <f t="shared" si="2"/>
        <v>All-comers</v>
      </c>
      <c r="T34" s="10">
        <f t="shared" si="3"/>
        <v>1</v>
      </c>
      <c r="U34" s="10">
        <f t="shared" si="4"/>
        <v>0</v>
      </c>
      <c r="V34" s="11">
        <f t="shared" si="5"/>
        <v>0</v>
      </c>
      <c r="W34" s="11">
        <f t="shared" si="6"/>
        <v>0</v>
      </c>
      <c r="X34" s="11">
        <f t="shared" si="7"/>
        <v>0</v>
      </c>
      <c r="Y34" s="11">
        <f t="shared" si="8"/>
        <v>0</v>
      </c>
      <c r="Z34" s="11">
        <f t="shared" si="9"/>
        <v>0</v>
      </c>
      <c r="AA34" s="11">
        <f t="shared" si="10"/>
        <v>0</v>
      </c>
      <c r="AB34" s="11">
        <f t="shared" si="11"/>
        <v>1</v>
      </c>
      <c r="AC34" s="11">
        <f t="shared" si="12"/>
        <v>0</v>
      </c>
      <c r="AD34" s="11">
        <f t="shared" si="13"/>
        <v>0</v>
      </c>
      <c r="AE34" s="11">
        <f t="shared" si="14"/>
        <v>0</v>
      </c>
      <c r="AF34" s="11">
        <f t="shared" si="15"/>
        <v>0</v>
      </c>
      <c r="AG34" s="11">
        <f t="shared" si="16"/>
        <v>0</v>
      </c>
      <c r="AH34" s="11">
        <f t="shared" si="17"/>
        <v>0</v>
      </c>
      <c r="AI34" s="11">
        <f t="shared" si="18"/>
        <v>0</v>
      </c>
      <c r="AJ34" s="11">
        <f t="shared" si="19"/>
        <v>0</v>
      </c>
      <c r="AK34" s="11">
        <f t="shared" si="20"/>
        <v>0</v>
      </c>
      <c r="AL34" s="11">
        <f t="shared" si="21"/>
        <v>0</v>
      </c>
      <c r="AM34" s="11">
        <f t="shared" si="22"/>
        <v>0</v>
      </c>
      <c r="AN34" s="11">
        <f t="shared" si="23"/>
        <v>0</v>
      </c>
      <c r="AO34" s="11">
        <f t="shared" si="24"/>
        <v>0</v>
      </c>
      <c r="AP34" s="11">
        <f t="shared" si="25"/>
        <v>0</v>
      </c>
      <c r="AQ34" s="11">
        <f t="shared" si="26"/>
        <v>0</v>
      </c>
      <c r="AR34" s="11">
        <f t="shared" si="27"/>
        <v>0</v>
      </c>
      <c r="AS34" s="11">
        <f t="shared" si="28"/>
        <v>0</v>
      </c>
      <c r="AT34" s="11">
        <f t="shared" si="29"/>
        <v>0</v>
      </c>
      <c r="AU34" s="11">
        <f t="shared" si="30"/>
        <v>0</v>
      </c>
      <c r="AV34" s="11">
        <f t="shared" si="31"/>
        <v>0</v>
      </c>
      <c r="AW34" s="11">
        <f t="shared" si="32"/>
        <v>0</v>
      </c>
      <c r="AX34" s="11">
        <f t="shared" si="33"/>
        <v>0</v>
      </c>
      <c r="AY34" s="11">
        <f t="shared" si="34"/>
        <v>0</v>
      </c>
      <c r="AZ34" s="11">
        <f t="shared" si="35"/>
        <v>0</v>
      </c>
      <c r="BA34" s="11">
        <f t="shared" si="36"/>
        <v>0</v>
      </c>
      <c r="BB34" s="11">
        <f t="shared" si="37"/>
        <v>0</v>
      </c>
      <c r="BC34" s="11">
        <f t="shared" si="38"/>
        <v>0</v>
      </c>
      <c r="BD34" s="11">
        <f t="shared" si="39"/>
        <v>0</v>
      </c>
      <c r="BE34" s="11">
        <f t="shared" si="40"/>
        <v>0</v>
      </c>
      <c r="BF34" s="11">
        <f t="shared" si="41"/>
        <v>0</v>
      </c>
      <c r="BG34" s="11">
        <f t="shared" si="42"/>
        <v>0</v>
      </c>
      <c r="BH34" s="11">
        <f t="shared" si="43"/>
        <v>0</v>
      </c>
      <c r="BI34" s="11">
        <f t="shared" si="44"/>
        <v>0</v>
      </c>
      <c r="BJ34" s="11">
        <f t="shared" si="45"/>
        <v>0</v>
      </c>
      <c r="BK34" s="11">
        <f t="shared" si="46"/>
        <v>0</v>
      </c>
      <c r="BL34" s="11">
        <f t="shared" si="47"/>
        <v>0</v>
      </c>
      <c r="BM34" s="11">
        <f t="shared" si="48"/>
        <v>1</v>
      </c>
      <c r="BN34" s="11">
        <f t="shared" si="49"/>
        <v>0</v>
      </c>
      <c r="BO34" s="11">
        <f t="shared" si="50"/>
        <v>0</v>
      </c>
      <c r="BP34" s="11">
        <f t="shared" si="51"/>
        <v>0</v>
      </c>
      <c r="BQ34" s="11">
        <f t="shared" si="52"/>
        <v>0</v>
      </c>
      <c r="BR34" s="11">
        <f t="shared" si="53"/>
        <v>1</v>
      </c>
      <c r="BS34" s="11">
        <f t="shared" si="54"/>
        <v>0</v>
      </c>
      <c r="BT34" s="11">
        <f t="shared" si="55"/>
        <v>0</v>
      </c>
      <c r="BU34" s="11">
        <f t="shared" si="56"/>
        <v>0</v>
      </c>
      <c r="BV34" s="11">
        <f t="shared" si="57"/>
        <v>0</v>
      </c>
      <c r="BW34" s="11">
        <f t="shared" si="58"/>
        <v>0</v>
      </c>
      <c r="BX34" s="11">
        <f t="shared" si="59"/>
        <v>0</v>
      </c>
      <c r="BY34" s="11">
        <f t="shared" si="60"/>
        <v>0</v>
      </c>
      <c r="BZ34" s="11">
        <f t="shared" si="61"/>
        <v>0</v>
      </c>
      <c r="CA34" s="11">
        <f t="shared" si="62"/>
        <v>0</v>
      </c>
      <c r="CB34" s="11">
        <f t="shared" si="63"/>
        <v>0</v>
      </c>
      <c r="CC34" s="11">
        <f t="shared" si="64"/>
        <v>0</v>
      </c>
      <c r="CD34" s="11">
        <f t="shared" si="65"/>
        <v>0</v>
      </c>
      <c r="CE34" s="11">
        <f t="shared" si="66"/>
        <v>0</v>
      </c>
      <c r="CF34" s="11">
        <f t="shared" si="67"/>
        <v>0</v>
      </c>
      <c r="CG34" s="11">
        <f t="shared" si="68"/>
        <v>0</v>
      </c>
      <c r="CH34" s="11">
        <f t="shared" si="69"/>
        <v>0</v>
      </c>
      <c r="CI34" s="11">
        <f t="shared" si="70"/>
        <v>0</v>
      </c>
      <c r="CJ34" s="11">
        <f t="shared" si="71"/>
        <v>1</v>
      </c>
      <c r="CK34" s="11">
        <f t="shared" si="72"/>
        <v>0</v>
      </c>
      <c r="CL34" s="11">
        <f t="shared" si="73"/>
        <v>0</v>
      </c>
      <c r="CM34" s="11">
        <f t="shared" si="74"/>
        <v>0</v>
      </c>
      <c r="CN34" s="11">
        <f t="shared" si="75"/>
        <v>0</v>
      </c>
      <c r="CO34" s="11">
        <f t="shared" si="76"/>
        <v>0</v>
      </c>
      <c r="CP34" s="11">
        <f t="shared" si="77"/>
        <v>0</v>
      </c>
      <c r="CQ34" s="11">
        <f t="shared" si="78"/>
        <v>0</v>
      </c>
      <c r="CR34" s="11">
        <f t="shared" si="79"/>
        <v>0</v>
      </c>
      <c r="CS34" s="11">
        <f t="shared" si="80"/>
        <v>0</v>
      </c>
      <c r="CT34" s="11">
        <f t="shared" si="81"/>
        <v>0</v>
      </c>
      <c r="CU34" s="11">
        <f t="shared" si="82"/>
        <v>0</v>
      </c>
      <c r="CV34" s="11">
        <f t="shared" si="83"/>
        <v>0</v>
      </c>
      <c r="CW34" s="11">
        <f t="shared" si="84"/>
        <v>0</v>
      </c>
      <c r="CX34" s="11">
        <f t="shared" si="85"/>
        <v>0</v>
      </c>
      <c r="CY34" s="11">
        <f t="shared" si="86"/>
        <v>0</v>
      </c>
      <c r="CZ34" s="11">
        <f t="shared" si="87"/>
        <v>0</v>
      </c>
      <c r="DA34" s="11">
        <f t="shared" si="88"/>
        <v>0</v>
      </c>
      <c r="DB34" s="11">
        <f t="shared" si="89"/>
        <v>0</v>
      </c>
      <c r="DC34" s="11">
        <f t="shared" si="90"/>
        <v>0</v>
      </c>
      <c r="DD34" s="11">
        <f t="shared" si="91"/>
        <v>0</v>
      </c>
      <c r="DE34" s="11">
        <f t="shared" si="92"/>
        <v>0</v>
      </c>
      <c r="DF34" s="11">
        <f t="shared" si="93"/>
        <v>0</v>
      </c>
      <c r="DG34" s="11">
        <f t="shared" si="94"/>
        <v>0</v>
      </c>
      <c r="DH34" s="11">
        <f t="shared" si="95"/>
        <v>0</v>
      </c>
      <c r="DI34" s="11">
        <f t="shared" si="96"/>
        <v>0</v>
      </c>
      <c r="DJ34" s="11">
        <f t="shared" si="97"/>
        <v>0</v>
      </c>
      <c r="DK34" s="11">
        <f t="shared" si="98"/>
        <v>0</v>
      </c>
      <c r="DL34" s="11">
        <f t="shared" si="99"/>
        <v>0</v>
      </c>
      <c r="DM34" s="11">
        <f t="shared" si="100"/>
        <v>0</v>
      </c>
      <c r="DN34" s="11">
        <f t="shared" si="101"/>
        <v>0</v>
      </c>
      <c r="DO34" s="11">
        <f t="shared" si="102"/>
        <v>0</v>
      </c>
      <c r="DP34" s="11">
        <f t="shared" si="103"/>
        <v>0</v>
      </c>
      <c r="DQ34" s="11">
        <f t="shared" si="104"/>
        <v>0</v>
      </c>
      <c r="DR34" s="11">
        <f t="shared" si="105"/>
        <v>0</v>
      </c>
      <c r="DS34" s="11">
        <f t="shared" si="106"/>
        <v>0</v>
      </c>
      <c r="DT34" s="11">
        <f t="shared" si="107"/>
        <v>0</v>
      </c>
      <c r="DU34" s="11">
        <f t="shared" si="108"/>
        <v>0</v>
      </c>
      <c r="DV34" s="11">
        <f t="shared" si="109"/>
        <v>0</v>
      </c>
      <c r="DW34" s="11">
        <f t="shared" si="110"/>
        <v>0</v>
      </c>
      <c r="DX34" s="11">
        <f t="shared" si="111"/>
        <v>0</v>
      </c>
      <c r="DY34" s="11">
        <f t="shared" si="112"/>
        <v>0</v>
      </c>
      <c r="DZ34" s="11">
        <f t="shared" si="113"/>
        <v>0</v>
      </c>
      <c r="EA34" s="11">
        <f t="shared" si="114"/>
        <v>0</v>
      </c>
      <c r="EB34" s="11">
        <f t="shared" si="115"/>
        <v>0</v>
      </c>
      <c r="EC34" s="11">
        <f t="shared" si="116"/>
        <v>0</v>
      </c>
      <c r="ED34" s="11">
        <f t="shared" si="117"/>
        <v>0</v>
      </c>
      <c r="EE34" s="11">
        <f t="shared" si="118"/>
        <v>0</v>
      </c>
    </row>
    <row r="35" spans="1:135" ht="15" customHeight="1" x14ac:dyDescent="0.2">
      <c r="A35" s="5" t="s">
        <v>960</v>
      </c>
      <c r="B35" s="5" t="s">
        <v>961</v>
      </c>
      <c r="C35" s="5" t="s">
        <v>833</v>
      </c>
      <c r="D35" s="5" t="s">
        <v>833</v>
      </c>
      <c r="E35" s="5" t="s">
        <v>350</v>
      </c>
      <c r="F35" s="5" t="s">
        <v>572</v>
      </c>
      <c r="G35" s="5" t="s">
        <v>181</v>
      </c>
      <c r="H35" s="5" t="s">
        <v>114</v>
      </c>
      <c r="I35" s="5" t="s">
        <v>1002</v>
      </c>
      <c r="J35" s="5" t="s">
        <v>965</v>
      </c>
      <c r="K35" s="5" t="s">
        <v>1002</v>
      </c>
      <c r="L35" s="5" t="s">
        <v>119</v>
      </c>
      <c r="M35" s="5" t="s">
        <v>1494</v>
      </c>
      <c r="N35" s="5" t="s">
        <v>120</v>
      </c>
      <c r="O35" s="5" t="s">
        <v>120</v>
      </c>
      <c r="P35" s="5" t="s">
        <v>1832</v>
      </c>
      <c r="Q35" s="10" t="str">
        <f t="shared" si="0"/>
        <v>Stage IV + Other</v>
      </c>
      <c r="R35" s="10" t="str">
        <f t="shared" si="1"/>
        <v>Non-squamous</v>
      </c>
      <c r="S35" s="10" t="str">
        <f t="shared" si="2"/>
        <v>All-comers</v>
      </c>
      <c r="T35" s="10">
        <f t="shared" si="3"/>
        <v>1</v>
      </c>
      <c r="U35" s="10">
        <f t="shared" si="4"/>
        <v>0</v>
      </c>
      <c r="V35" s="11">
        <f t="shared" si="5"/>
        <v>0</v>
      </c>
      <c r="W35" s="11">
        <f t="shared" si="6"/>
        <v>0</v>
      </c>
      <c r="X35" s="11">
        <f t="shared" si="7"/>
        <v>0</v>
      </c>
      <c r="Y35" s="11">
        <f t="shared" si="8"/>
        <v>0</v>
      </c>
      <c r="Z35" s="11">
        <f t="shared" si="9"/>
        <v>0</v>
      </c>
      <c r="AA35" s="11">
        <f t="shared" si="10"/>
        <v>0</v>
      </c>
      <c r="AB35" s="11">
        <f t="shared" si="11"/>
        <v>0</v>
      </c>
      <c r="AC35" s="11">
        <f t="shared" si="12"/>
        <v>0</v>
      </c>
      <c r="AD35" s="11">
        <f t="shared" si="13"/>
        <v>0</v>
      </c>
      <c r="AE35" s="11">
        <f t="shared" si="14"/>
        <v>0</v>
      </c>
      <c r="AF35" s="11">
        <f t="shared" si="15"/>
        <v>0</v>
      </c>
      <c r="AG35" s="11">
        <f t="shared" si="16"/>
        <v>0</v>
      </c>
      <c r="AH35" s="11">
        <f t="shared" si="17"/>
        <v>0</v>
      </c>
      <c r="AI35" s="11">
        <f t="shared" si="18"/>
        <v>0</v>
      </c>
      <c r="AJ35" s="11">
        <f t="shared" si="19"/>
        <v>0</v>
      </c>
      <c r="AK35" s="11">
        <f t="shared" si="20"/>
        <v>0</v>
      </c>
      <c r="AL35" s="11">
        <f t="shared" si="21"/>
        <v>0</v>
      </c>
      <c r="AM35" s="11">
        <f t="shared" si="22"/>
        <v>0</v>
      </c>
      <c r="AN35" s="11">
        <f t="shared" si="23"/>
        <v>0</v>
      </c>
      <c r="AO35" s="11">
        <f t="shared" si="24"/>
        <v>0</v>
      </c>
      <c r="AP35" s="11">
        <f t="shared" si="25"/>
        <v>0</v>
      </c>
      <c r="AQ35" s="11">
        <f t="shared" si="26"/>
        <v>0</v>
      </c>
      <c r="AR35" s="11">
        <f t="shared" si="27"/>
        <v>0</v>
      </c>
      <c r="AS35" s="11">
        <f t="shared" si="28"/>
        <v>0</v>
      </c>
      <c r="AT35" s="11">
        <f t="shared" si="29"/>
        <v>0</v>
      </c>
      <c r="AU35" s="11">
        <f t="shared" si="30"/>
        <v>0</v>
      </c>
      <c r="AV35" s="11">
        <f t="shared" si="31"/>
        <v>0</v>
      </c>
      <c r="AW35" s="11">
        <f t="shared" si="32"/>
        <v>0</v>
      </c>
      <c r="AX35" s="11">
        <f t="shared" si="33"/>
        <v>0</v>
      </c>
      <c r="AY35" s="11">
        <f t="shared" si="34"/>
        <v>0</v>
      </c>
      <c r="AZ35" s="11">
        <f t="shared" si="35"/>
        <v>0</v>
      </c>
      <c r="BA35" s="11">
        <f t="shared" si="36"/>
        <v>0</v>
      </c>
      <c r="BB35" s="11">
        <f t="shared" si="37"/>
        <v>0</v>
      </c>
      <c r="BC35" s="11">
        <f t="shared" si="38"/>
        <v>0</v>
      </c>
      <c r="BD35" s="11">
        <f t="shared" si="39"/>
        <v>0</v>
      </c>
      <c r="BE35" s="11">
        <f t="shared" si="40"/>
        <v>0</v>
      </c>
      <c r="BF35" s="11">
        <f t="shared" si="41"/>
        <v>0</v>
      </c>
      <c r="BG35" s="11">
        <f t="shared" si="42"/>
        <v>0</v>
      </c>
      <c r="BH35" s="11">
        <f t="shared" si="43"/>
        <v>0</v>
      </c>
      <c r="BI35" s="11">
        <f t="shared" si="44"/>
        <v>0</v>
      </c>
      <c r="BJ35" s="11">
        <f t="shared" si="45"/>
        <v>0</v>
      </c>
      <c r="BK35" s="11">
        <f t="shared" si="46"/>
        <v>0</v>
      </c>
      <c r="BL35" s="11">
        <f t="shared" si="47"/>
        <v>0</v>
      </c>
      <c r="BM35" s="11">
        <f t="shared" si="48"/>
        <v>0</v>
      </c>
      <c r="BN35" s="11">
        <f t="shared" si="49"/>
        <v>0</v>
      </c>
      <c r="BO35" s="11">
        <f t="shared" si="50"/>
        <v>0</v>
      </c>
      <c r="BP35" s="11">
        <f t="shared" si="51"/>
        <v>0</v>
      </c>
      <c r="BQ35" s="11">
        <f t="shared" si="52"/>
        <v>0</v>
      </c>
      <c r="BR35" s="11">
        <f t="shared" si="53"/>
        <v>0</v>
      </c>
      <c r="BS35" s="11">
        <f t="shared" si="54"/>
        <v>0</v>
      </c>
      <c r="BT35" s="11">
        <f t="shared" si="55"/>
        <v>0</v>
      </c>
      <c r="BU35" s="11">
        <f t="shared" si="56"/>
        <v>0</v>
      </c>
      <c r="BV35" s="11">
        <f t="shared" si="57"/>
        <v>0</v>
      </c>
      <c r="BW35" s="11">
        <f t="shared" si="58"/>
        <v>0</v>
      </c>
      <c r="BX35" s="11">
        <f t="shared" si="59"/>
        <v>0</v>
      </c>
      <c r="BY35" s="11">
        <f t="shared" si="60"/>
        <v>0</v>
      </c>
      <c r="BZ35" s="11">
        <f t="shared" si="61"/>
        <v>0</v>
      </c>
      <c r="CA35" s="11">
        <f t="shared" si="62"/>
        <v>0</v>
      </c>
      <c r="CB35" s="11">
        <f t="shared" si="63"/>
        <v>0</v>
      </c>
      <c r="CC35" s="11">
        <f t="shared" si="64"/>
        <v>0</v>
      </c>
      <c r="CD35" s="11">
        <f t="shared" si="65"/>
        <v>0</v>
      </c>
      <c r="CE35" s="11">
        <f t="shared" si="66"/>
        <v>0</v>
      </c>
      <c r="CF35" s="11">
        <f t="shared" si="67"/>
        <v>0</v>
      </c>
      <c r="CG35" s="11">
        <f t="shared" si="68"/>
        <v>1</v>
      </c>
      <c r="CH35" s="11">
        <f t="shared" si="69"/>
        <v>0</v>
      </c>
      <c r="CI35" s="11">
        <f t="shared" si="70"/>
        <v>0</v>
      </c>
      <c r="CJ35" s="11">
        <f t="shared" si="71"/>
        <v>0</v>
      </c>
      <c r="CK35" s="11">
        <f t="shared" si="72"/>
        <v>0</v>
      </c>
      <c r="CL35" s="11">
        <f t="shared" si="73"/>
        <v>0</v>
      </c>
      <c r="CM35" s="11">
        <f t="shared" si="74"/>
        <v>0</v>
      </c>
      <c r="CN35" s="11">
        <f t="shared" si="75"/>
        <v>0</v>
      </c>
      <c r="CO35" s="11">
        <f t="shared" si="76"/>
        <v>0</v>
      </c>
      <c r="CP35" s="11">
        <f t="shared" si="77"/>
        <v>0</v>
      </c>
      <c r="CQ35" s="11">
        <f t="shared" si="78"/>
        <v>0</v>
      </c>
      <c r="CR35" s="11">
        <f t="shared" si="79"/>
        <v>0</v>
      </c>
      <c r="CS35" s="11">
        <f t="shared" si="80"/>
        <v>0</v>
      </c>
      <c r="CT35" s="11">
        <f t="shared" si="81"/>
        <v>0</v>
      </c>
      <c r="CU35" s="11">
        <f t="shared" si="82"/>
        <v>0</v>
      </c>
      <c r="CV35" s="11">
        <f t="shared" si="83"/>
        <v>0</v>
      </c>
      <c r="CW35" s="11">
        <f t="shared" si="84"/>
        <v>0</v>
      </c>
      <c r="CX35" s="11">
        <f t="shared" si="85"/>
        <v>0</v>
      </c>
      <c r="CY35" s="11">
        <f t="shared" si="86"/>
        <v>0</v>
      </c>
      <c r="CZ35" s="11">
        <f t="shared" si="87"/>
        <v>0</v>
      </c>
      <c r="DA35" s="11">
        <f t="shared" si="88"/>
        <v>0</v>
      </c>
      <c r="DB35" s="11">
        <f t="shared" si="89"/>
        <v>0</v>
      </c>
      <c r="DC35" s="11">
        <f t="shared" si="90"/>
        <v>0</v>
      </c>
      <c r="DD35" s="11">
        <f t="shared" si="91"/>
        <v>0</v>
      </c>
      <c r="DE35" s="11">
        <f t="shared" si="92"/>
        <v>0</v>
      </c>
      <c r="DF35" s="11">
        <f t="shared" si="93"/>
        <v>0</v>
      </c>
      <c r="DG35" s="11">
        <f t="shared" si="94"/>
        <v>0</v>
      </c>
      <c r="DH35" s="11">
        <f t="shared" si="95"/>
        <v>0</v>
      </c>
      <c r="DI35" s="11">
        <f t="shared" si="96"/>
        <v>0</v>
      </c>
      <c r="DJ35" s="11">
        <f t="shared" si="97"/>
        <v>0</v>
      </c>
      <c r="DK35" s="11">
        <f t="shared" si="98"/>
        <v>0</v>
      </c>
      <c r="DL35" s="11">
        <f t="shared" si="99"/>
        <v>0</v>
      </c>
      <c r="DM35" s="11">
        <f t="shared" si="100"/>
        <v>0</v>
      </c>
      <c r="DN35" s="11">
        <f t="shared" si="101"/>
        <v>0</v>
      </c>
      <c r="DO35" s="11">
        <f t="shared" si="102"/>
        <v>0</v>
      </c>
      <c r="DP35" s="11">
        <f t="shared" si="103"/>
        <v>0</v>
      </c>
      <c r="DQ35" s="11">
        <f t="shared" si="104"/>
        <v>0</v>
      </c>
      <c r="DR35" s="11">
        <f t="shared" si="105"/>
        <v>0</v>
      </c>
      <c r="DS35" s="11">
        <f t="shared" si="106"/>
        <v>0</v>
      </c>
      <c r="DT35" s="11">
        <f t="shared" si="107"/>
        <v>0</v>
      </c>
      <c r="DU35" s="11">
        <f t="shared" si="108"/>
        <v>0</v>
      </c>
      <c r="DV35" s="11">
        <f t="shared" si="109"/>
        <v>0</v>
      </c>
      <c r="DW35" s="11">
        <f t="shared" si="110"/>
        <v>0</v>
      </c>
      <c r="DX35" s="11">
        <f t="shared" si="111"/>
        <v>0</v>
      </c>
      <c r="DY35" s="11">
        <f t="shared" si="112"/>
        <v>0</v>
      </c>
      <c r="DZ35" s="11">
        <f t="shared" si="113"/>
        <v>0</v>
      </c>
      <c r="EA35" s="11">
        <f t="shared" si="114"/>
        <v>0</v>
      </c>
      <c r="EB35" s="11">
        <f t="shared" si="115"/>
        <v>1</v>
      </c>
      <c r="EC35" s="11">
        <f t="shared" si="116"/>
        <v>0</v>
      </c>
      <c r="ED35" s="11">
        <f t="shared" si="117"/>
        <v>0</v>
      </c>
      <c r="EE35" s="11">
        <f t="shared" si="118"/>
        <v>0</v>
      </c>
    </row>
    <row r="36" spans="1:135" ht="15" customHeight="1" x14ac:dyDescent="0.2">
      <c r="A36" s="3" t="s">
        <v>1319</v>
      </c>
      <c r="B36" s="3" t="s">
        <v>1320</v>
      </c>
      <c r="C36" s="3" t="s">
        <v>1321</v>
      </c>
      <c r="D36" s="3" t="s">
        <v>529</v>
      </c>
      <c r="E36" s="3"/>
      <c r="F36" s="3"/>
      <c r="G36" s="3" t="s">
        <v>181</v>
      </c>
      <c r="H36" s="3" t="s">
        <v>114</v>
      </c>
      <c r="I36" s="3" t="s">
        <v>1324</v>
      </c>
      <c r="J36" s="3" t="s">
        <v>1323</v>
      </c>
      <c r="K36" s="3"/>
      <c r="L36" s="3" t="s">
        <v>119</v>
      </c>
      <c r="M36" s="3" t="s">
        <v>1494</v>
      </c>
      <c r="N36" s="3" t="s">
        <v>120</v>
      </c>
      <c r="O36" s="3" t="s">
        <v>120</v>
      </c>
      <c r="P36" s="3" t="s">
        <v>1839</v>
      </c>
      <c r="Q36" s="10" t="str">
        <f t="shared" si="0"/>
        <v>Other</v>
      </c>
      <c r="R36" s="10" t="str">
        <f t="shared" si="1"/>
        <v>Non-squamous</v>
      </c>
      <c r="S36" s="10" t="str">
        <f t="shared" si="2"/>
        <v>All-comers</v>
      </c>
      <c r="T36" s="10">
        <f t="shared" si="3"/>
        <v>1</v>
      </c>
      <c r="U36" s="10">
        <f t="shared" si="4"/>
        <v>0</v>
      </c>
      <c r="V36" s="11">
        <f t="shared" si="5"/>
        <v>0</v>
      </c>
      <c r="W36" s="11">
        <f t="shared" si="6"/>
        <v>0</v>
      </c>
      <c r="X36" s="11">
        <f t="shared" si="7"/>
        <v>0</v>
      </c>
      <c r="Y36" s="11">
        <f t="shared" si="8"/>
        <v>0</v>
      </c>
      <c r="Z36" s="11">
        <f t="shared" si="9"/>
        <v>0</v>
      </c>
      <c r="AA36" s="11">
        <f t="shared" si="10"/>
        <v>0</v>
      </c>
      <c r="AB36" s="11">
        <f t="shared" si="11"/>
        <v>1</v>
      </c>
      <c r="AC36" s="11">
        <f t="shared" si="12"/>
        <v>0</v>
      </c>
      <c r="AD36" s="11">
        <f t="shared" si="13"/>
        <v>0</v>
      </c>
      <c r="AE36" s="11">
        <f t="shared" si="14"/>
        <v>0</v>
      </c>
      <c r="AF36" s="11">
        <f t="shared" si="15"/>
        <v>0</v>
      </c>
      <c r="AG36" s="11">
        <f t="shared" si="16"/>
        <v>0</v>
      </c>
      <c r="AH36" s="11">
        <f t="shared" si="17"/>
        <v>0</v>
      </c>
      <c r="AI36" s="11">
        <f t="shared" si="18"/>
        <v>0</v>
      </c>
      <c r="AJ36" s="11">
        <f t="shared" si="19"/>
        <v>0</v>
      </c>
      <c r="AK36" s="11">
        <f t="shared" si="20"/>
        <v>0</v>
      </c>
      <c r="AL36" s="11">
        <f t="shared" si="21"/>
        <v>0</v>
      </c>
      <c r="AM36" s="11">
        <f t="shared" si="22"/>
        <v>0</v>
      </c>
      <c r="AN36" s="11">
        <f t="shared" si="23"/>
        <v>0</v>
      </c>
      <c r="AO36" s="11">
        <f t="shared" si="24"/>
        <v>0</v>
      </c>
      <c r="AP36" s="11">
        <f t="shared" si="25"/>
        <v>0</v>
      </c>
      <c r="AQ36" s="11">
        <f t="shared" si="26"/>
        <v>0</v>
      </c>
      <c r="AR36" s="11">
        <f t="shared" si="27"/>
        <v>0</v>
      </c>
      <c r="AS36" s="11">
        <f t="shared" si="28"/>
        <v>0</v>
      </c>
      <c r="AT36" s="11">
        <f t="shared" si="29"/>
        <v>0</v>
      </c>
      <c r="AU36" s="11">
        <f t="shared" si="30"/>
        <v>0</v>
      </c>
      <c r="AV36" s="11">
        <f t="shared" si="31"/>
        <v>0</v>
      </c>
      <c r="AW36" s="11">
        <f t="shared" si="32"/>
        <v>0</v>
      </c>
      <c r="AX36" s="11">
        <f t="shared" si="33"/>
        <v>0</v>
      </c>
      <c r="AY36" s="11">
        <f t="shared" si="34"/>
        <v>0</v>
      </c>
      <c r="AZ36" s="11">
        <f t="shared" si="35"/>
        <v>0</v>
      </c>
      <c r="BA36" s="11">
        <f t="shared" si="36"/>
        <v>1</v>
      </c>
      <c r="BB36" s="11">
        <f t="shared" si="37"/>
        <v>0</v>
      </c>
      <c r="BC36" s="11">
        <f t="shared" si="38"/>
        <v>0</v>
      </c>
      <c r="BD36" s="11">
        <f t="shared" si="39"/>
        <v>0</v>
      </c>
      <c r="BE36" s="11">
        <f t="shared" si="40"/>
        <v>0</v>
      </c>
      <c r="BF36" s="11">
        <f t="shared" si="41"/>
        <v>0</v>
      </c>
      <c r="BG36" s="11">
        <f t="shared" si="42"/>
        <v>0</v>
      </c>
      <c r="BH36" s="11">
        <f t="shared" si="43"/>
        <v>0</v>
      </c>
      <c r="BI36" s="11">
        <f t="shared" si="44"/>
        <v>0</v>
      </c>
      <c r="BJ36" s="11">
        <f t="shared" si="45"/>
        <v>0</v>
      </c>
      <c r="BK36" s="11">
        <f t="shared" si="46"/>
        <v>0</v>
      </c>
      <c r="BL36" s="11">
        <f t="shared" si="47"/>
        <v>0</v>
      </c>
      <c r="BM36" s="11">
        <f t="shared" si="48"/>
        <v>0</v>
      </c>
      <c r="BN36" s="11">
        <f t="shared" si="49"/>
        <v>0</v>
      </c>
      <c r="BO36" s="11">
        <f t="shared" si="50"/>
        <v>0</v>
      </c>
      <c r="BP36" s="11">
        <f t="shared" si="51"/>
        <v>0</v>
      </c>
      <c r="BQ36" s="11">
        <f t="shared" si="52"/>
        <v>0</v>
      </c>
      <c r="BR36" s="11">
        <f t="shared" si="53"/>
        <v>1</v>
      </c>
      <c r="BS36" s="11">
        <f t="shared" si="54"/>
        <v>0</v>
      </c>
      <c r="BT36" s="11">
        <f t="shared" si="55"/>
        <v>0</v>
      </c>
      <c r="BU36" s="11">
        <f t="shared" si="56"/>
        <v>0</v>
      </c>
      <c r="BV36" s="11">
        <f t="shared" si="57"/>
        <v>0</v>
      </c>
      <c r="BW36" s="11">
        <f t="shared" si="58"/>
        <v>0</v>
      </c>
      <c r="BX36" s="11">
        <f t="shared" si="59"/>
        <v>0</v>
      </c>
      <c r="BY36" s="11">
        <f t="shared" si="60"/>
        <v>0</v>
      </c>
      <c r="BZ36" s="11">
        <f t="shared" si="61"/>
        <v>1</v>
      </c>
      <c r="CA36" s="11">
        <f t="shared" si="62"/>
        <v>0</v>
      </c>
      <c r="CB36" s="11">
        <f t="shared" si="63"/>
        <v>0</v>
      </c>
      <c r="CC36" s="11">
        <f t="shared" si="64"/>
        <v>0</v>
      </c>
      <c r="CD36" s="11">
        <f t="shared" si="65"/>
        <v>0</v>
      </c>
      <c r="CE36" s="11">
        <f t="shared" si="66"/>
        <v>0</v>
      </c>
      <c r="CF36" s="11">
        <f t="shared" si="67"/>
        <v>0</v>
      </c>
      <c r="CG36" s="11">
        <f t="shared" si="68"/>
        <v>0</v>
      </c>
      <c r="CH36" s="11">
        <f t="shared" si="69"/>
        <v>0</v>
      </c>
      <c r="CI36" s="11">
        <f t="shared" si="70"/>
        <v>0</v>
      </c>
      <c r="CJ36" s="11">
        <f t="shared" si="71"/>
        <v>0</v>
      </c>
      <c r="CK36" s="11">
        <f t="shared" si="72"/>
        <v>0</v>
      </c>
      <c r="CL36" s="11">
        <f t="shared" si="73"/>
        <v>0</v>
      </c>
      <c r="CM36" s="11">
        <f t="shared" si="74"/>
        <v>0</v>
      </c>
      <c r="CN36" s="11">
        <f t="shared" si="75"/>
        <v>0</v>
      </c>
      <c r="CO36" s="11">
        <f t="shared" si="76"/>
        <v>0</v>
      </c>
      <c r="CP36" s="11">
        <f t="shared" si="77"/>
        <v>0</v>
      </c>
      <c r="CQ36" s="11">
        <f t="shared" si="78"/>
        <v>0</v>
      </c>
      <c r="CR36" s="11">
        <f t="shared" si="79"/>
        <v>0</v>
      </c>
      <c r="CS36" s="11">
        <f t="shared" si="80"/>
        <v>0</v>
      </c>
      <c r="CT36" s="11">
        <f t="shared" si="81"/>
        <v>0</v>
      </c>
      <c r="CU36" s="11">
        <f t="shared" si="82"/>
        <v>0</v>
      </c>
      <c r="CV36" s="11">
        <f t="shared" si="83"/>
        <v>0</v>
      </c>
      <c r="CW36" s="11">
        <f t="shared" si="84"/>
        <v>0</v>
      </c>
      <c r="CX36" s="11">
        <f t="shared" si="85"/>
        <v>0</v>
      </c>
      <c r="CY36" s="11">
        <f t="shared" si="86"/>
        <v>0</v>
      </c>
      <c r="CZ36" s="11">
        <f t="shared" si="87"/>
        <v>0</v>
      </c>
      <c r="DA36" s="11">
        <f t="shared" si="88"/>
        <v>0</v>
      </c>
      <c r="DB36" s="11">
        <f t="shared" si="89"/>
        <v>0</v>
      </c>
      <c r="DC36" s="11">
        <f t="shared" si="90"/>
        <v>0</v>
      </c>
      <c r="DD36" s="11">
        <f t="shared" si="91"/>
        <v>0</v>
      </c>
      <c r="DE36" s="11">
        <f t="shared" si="92"/>
        <v>0</v>
      </c>
      <c r="DF36" s="11">
        <f t="shared" si="93"/>
        <v>0</v>
      </c>
      <c r="DG36" s="11">
        <f t="shared" si="94"/>
        <v>0</v>
      </c>
      <c r="DH36" s="11">
        <f t="shared" si="95"/>
        <v>0</v>
      </c>
      <c r="DI36" s="11">
        <f t="shared" si="96"/>
        <v>0</v>
      </c>
      <c r="DJ36" s="11">
        <f t="shared" si="97"/>
        <v>0</v>
      </c>
      <c r="DK36" s="11">
        <f t="shared" si="98"/>
        <v>0</v>
      </c>
      <c r="DL36" s="11">
        <f t="shared" si="99"/>
        <v>0</v>
      </c>
      <c r="DM36" s="11">
        <f t="shared" si="100"/>
        <v>0</v>
      </c>
      <c r="DN36" s="11">
        <f t="shared" si="101"/>
        <v>0</v>
      </c>
      <c r="DO36" s="11">
        <f t="shared" si="102"/>
        <v>0</v>
      </c>
      <c r="DP36" s="11">
        <f t="shared" si="103"/>
        <v>0</v>
      </c>
      <c r="DQ36" s="11">
        <f t="shared" si="104"/>
        <v>0</v>
      </c>
      <c r="DR36" s="11">
        <f t="shared" si="105"/>
        <v>0</v>
      </c>
      <c r="DS36" s="11">
        <f t="shared" si="106"/>
        <v>0</v>
      </c>
      <c r="DT36" s="11">
        <f t="shared" si="107"/>
        <v>0</v>
      </c>
      <c r="DU36" s="11">
        <f t="shared" si="108"/>
        <v>0</v>
      </c>
      <c r="DV36" s="11">
        <f t="shared" si="109"/>
        <v>0</v>
      </c>
      <c r="DW36" s="11">
        <f t="shared" si="110"/>
        <v>0</v>
      </c>
      <c r="DX36" s="11">
        <f t="shared" si="111"/>
        <v>0</v>
      </c>
      <c r="DY36" s="11">
        <f t="shared" si="112"/>
        <v>0</v>
      </c>
      <c r="DZ36" s="11">
        <f t="shared" si="113"/>
        <v>0</v>
      </c>
      <c r="EA36" s="11">
        <f t="shared" si="114"/>
        <v>0</v>
      </c>
      <c r="EB36" s="11">
        <f t="shared" si="115"/>
        <v>0</v>
      </c>
      <c r="EC36" s="11">
        <f t="shared" si="116"/>
        <v>0</v>
      </c>
      <c r="ED36" s="11">
        <f t="shared" si="117"/>
        <v>0</v>
      </c>
      <c r="EE36" s="11">
        <f t="shared" si="118"/>
        <v>0</v>
      </c>
    </row>
    <row r="37" spans="1:135" ht="15" customHeight="1" x14ac:dyDescent="0.2">
      <c r="A37" s="5" t="s">
        <v>1840</v>
      </c>
      <c r="B37" s="5" t="s">
        <v>1842</v>
      </c>
      <c r="C37" s="5" t="s">
        <v>1843</v>
      </c>
      <c r="D37" s="5" t="s">
        <v>1843</v>
      </c>
      <c r="E37" s="5"/>
      <c r="F37" s="5"/>
      <c r="G37" s="5" t="s">
        <v>181</v>
      </c>
      <c r="H37" s="5" t="s">
        <v>114</v>
      </c>
      <c r="I37" s="5" t="s">
        <v>1846</v>
      </c>
      <c r="J37" s="5" t="s">
        <v>1845</v>
      </c>
      <c r="K37" s="5"/>
      <c r="L37" s="5" t="s">
        <v>119</v>
      </c>
      <c r="M37" s="5" t="s">
        <v>1494</v>
      </c>
      <c r="N37" s="5" t="s">
        <v>120</v>
      </c>
      <c r="O37" s="5" t="s">
        <v>120</v>
      </c>
      <c r="P37" s="5" t="s">
        <v>1844</v>
      </c>
      <c r="Q37" s="10" t="str">
        <f t="shared" si="0"/>
        <v>Other</v>
      </c>
      <c r="R37" s="10" t="str">
        <f t="shared" si="1"/>
        <v>Non-squamous</v>
      </c>
      <c r="S37" s="10" t="str">
        <f t="shared" si="2"/>
        <v>All-comers</v>
      </c>
      <c r="T37" s="10">
        <f t="shared" si="3"/>
        <v>1</v>
      </c>
      <c r="U37" s="10">
        <f t="shared" si="4"/>
        <v>0</v>
      </c>
      <c r="V37" s="11">
        <f t="shared" si="5"/>
        <v>0</v>
      </c>
      <c r="W37" s="11">
        <f t="shared" si="6"/>
        <v>0</v>
      </c>
      <c r="X37" s="11">
        <f t="shared" si="7"/>
        <v>0</v>
      </c>
      <c r="Y37" s="11">
        <f t="shared" si="8"/>
        <v>0</v>
      </c>
      <c r="Z37" s="11">
        <f t="shared" si="9"/>
        <v>0</v>
      </c>
      <c r="AA37" s="11">
        <f t="shared" si="10"/>
        <v>0</v>
      </c>
      <c r="AB37" s="11">
        <f t="shared" si="11"/>
        <v>1</v>
      </c>
      <c r="AC37" s="11">
        <f t="shared" si="12"/>
        <v>0</v>
      </c>
      <c r="AD37" s="11">
        <f t="shared" si="13"/>
        <v>0</v>
      </c>
      <c r="AE37" s="11">
        <f t="shared" si="14"/>
        <v>0</v>
      </c>
      <c r="AF37" s="11">
        <f t="shared" si="15"/>
        <v>0</v>
      </c>
      <c r="AG37" s="11">
        <f t="shared" si="16"/>
        <v>0</v>
      </c>
      <c r="AH37" s="11">
        <f t="shared" si="17"/>
        <v>0</v>
      </c>
      <c r="AI37" s="11">
        <f t="shared" si="18"/>
        <v>0</v>
      </c>
      <c r="AJ37" s="11">
        <f t="shared" si="19"/>
        <v>0</v>
      </c>
      <c r="AK37" s="11">
        <f t="shared" si="20"/>
        <v>0</v>
      </c>
      <c r="AL37" s="11">
        <f t="shared" si="21"/>
        <v>0</v>
      </c>
      <c r="AM37" s="11">
        <f t="shared" si="22"/>
        <v>0</v>
      </c>
      <c r="AN37" s="11">
        <f t="shared" si="23"/>
        <v>0</v>
      </c>
      <c r="AO37" s="11">
        <f t="shared" si="24"/>
        <v>0</v>
      </c>
      <c r="AP37" s="11">
        <f t="shared" si="25"/>
        <v>0</v>
      </c>
      <c r="AQ37" s="11">
        <f t="shared" si="26"/>
        <v>0</v>
      </c>
      <c r="AR37" s="11">
        <f t="shared" si="27"/>
        <v>0</v>
      </c>
      <c r="AS37" s="11">
        <f t="shared" si="28"/>
        <v>0</v>
      </c>
      <c r="AT37" s="11">
        <f t="shared" si="29"/>
        <v>0</v>
      </c>
      <c r="AU37" s="11">
        <f t="shared" si="30"/>
        <v>0</v>
      </c>
      <c r="AV37" s="11">
        <f t="shared" si="31"/>
        <v>0</v>
      </c>
      <c r="AW37" s="11">
        <f t="shared" si="32"/>
        <v>1</v>
      </c>
      <c r="AX37" s="11">
        <f t="shared" si="33"/>
        <v>0</v>
      </c>
      <c r="AY37" s="11">
        <f t="shared" si="34"/>
        <v>0</v>
      </c>
      <c r="AZ37" s="11">
        <f t="shared" si="35"/>
        <v>0</v>
      </c>
      <c r="BA37" s="11">
        <f t="shared" si="36"/>
        <v>0</v>
      </c>
      <c r="BB37" s="11">
        <f t="shared" si="37"/>
        <v>0</v>
      </c>
      <c r="BC37" s="11">
        <f t="shared" si="38"/>
        <v>0</v>
      </c>
      <c r="BD37" s="11">
        <f t="shared" si="39"/>
        <v>0</v>
      </c>
      <c r="BE37" s="11">
        <f t="shared" si="40"/>
        <v>0</v>
      </c>
      <c r="BF37" s="11">
        <f t="shared" si="41"/>
        <v>0</v>
      </c>
      <c r="BG37" s="11">
        <f t="shared" si="42"/>
        <v>0</v>
      </c>
      <c r="BH37" s="11">
        <f t="shared" si="43"/>
        <v>0</v>
      </c>
      <c r="BI37" s="11">
        <f t="shared" si="44"/>
        <v>0</v>
      </c>
      <c r="BJ37" s="11">
        <f t="shared" si="45"/>
        <v>0</v>
      </c>
      <c r="BK37" s="11">
        <f t="shared" si="46"/>
        <v>0</v>
      </c>
      <c r="BL37" s="11">
        <f t="shared" si="47"/>
        <v>0</v>
      </c>
      <c r="BM37" s="11">
        <f t="shared" si="48"/>
        <v>0</v>
      </c>
      <c r="BN37" s="11">
        <f t="shared" si="49"/>
        <v>0</v>
      </c>
      <c r="BO37" s="11">
        <f t="shared" si="50"/>
        <v>0</v>
      </c>
      <c r="BP37" s="11">
        <f t="shared" si="51"/>
        <v>0</v>
      </c>
      <c r="BQ37" s="11">
        <f t="shared" si="52"/>
        <v>0</v>
      </c>
      <c r="BR37" s="11">
        <f t="shared" si="53"/>
        <v>1</v>
      </c>
      <c r="BS37" s="11">
        <f t="shared" si="54"/>
        <v>0</v>
      </c>
      <c r="BT37" s="11">
        <f t="shared" si="55"/>
        <v>0</v>
      </c>
      <c r="BU37" s="11">
        <f t="shared" si="56"/>
        <v>0</v>
      </c>
      <c r="BV37" s="11">
        <f t="shared" si="57"/>
        <v>0</v>
      </c>
      <c r="BW37" s="11">
        <f t="shared" si="58"/>
        <v>0</v>
      </c>
      <c r="BX37" s="11">
        <f t="shared" si="59"/>
        <v>0</v>
      </c>
      <c r="BY37" s="11">
        <f t="shared" si="60"/>
        <v>0</v>
      </c>
      <c r="BZ37" s="11">
        <f t="shared" si="61"/>
        <v>0</v>
      </c>
      <c r="CA37" s="11">
        <f t="shared" si="62"/>
        <v>0</v>
      </c>
      <c r="CB37" s="11">
        <f t="shared" si="63"/>
        <v>0</v>
      </c>
      <c r="CC37" s="11">
        <f t="shared" si="64"/>
        <v>0</v>
      </c>
      <c r="CD37" s="11">
        <f t="shared" si="65"/>
        <v>0</v>
      </c>
      <c r="CE37" s="11">
        <f t="shared" si="66"/>
        <v>0</v>
      </c>
      <c r="CF37" s="11">
        <f t="shared" si="67"/>
        <v>0</v>
      </c>
      <c r="CG37" s="11">
        <f t="shared" si="68"/>
        <v>0</v>
      </c>
      <c r="CH37" s="11">
        <f t="shared" si="69"/>
        <v>0</v>
      </c>
      <c r="CI37" s="11">
        <f t="shared" si="70"/>
        <v>0</v>
      </c>
      <c r="CJ37" s="11">
        <f t="shared" si="71"/>
        <v>0</v>
      </c>
      <c r="CK37" s="11">
        <f t="shared" si="72"/>
        <v>0</v>
      </c>
      <c r="CL37" s="11">
        <f t="shared" si="73"/>
        <v>0</v>
      </c>
      <c r="CM37" s="11">
        <f t="shared" si="74"/>
        <v>0</v>
      </c>
      <c r="CN37" s="11">
        <f t="shared" si="75"/>
        <v>0</v>
      </c>
      <c r="CO37" s="11">
        <f t="shared" si="76"/>
        <v>0</v>
      </c>
      <c r="CP37" s="11">
        <f t="shared" si="77"/>
        <v>0</v>
      </c>
      <c r="CQ37" s="11">
        <f t="shared" si="78"/>
        <v>0</v>
      </c>
      <c r="CR37" s="11">
        <f t="shared" si="79"/>
        <v>0</v>
      </c>
      <c r="CS37" s="11">
        <f t="shared" si="80"/>
        <v>0</v>
      </c>
      <c r="CT37" s="11">
        <f t="shared" si="81"/>
        <v>0</v>
      </c>
      <c r="CU37" s="11">
        <f t="shared" si="82"/>
        <v>0</v>
      </c>
      <c r="CV37" s="11">
        <f t="shared" si="83"/>
        <v>0</v>
      </c>
      <c r="CW37" s="11">
        <f t="shared" si="84"/>
        <v>0</v>
      </c>
      <c r="CX37" s="11">
        <f t="shared" si="85"/>
        <v>0</v>
      </c>
      <c r="CY37" s="11">
        <f t="shared" si="86"/>
        <v>0</v>
      </c>
      <c r="CZ37" s="11">
        <f t="shared" si="87"/>
        <v>0</v>
      </c>
      <c r="DA37" s="11">
        <f t="shared" si="88"/>
        <v>0</v>
      </c>
      <c r="DB37" s="11">
        <f t="shared" si="89"/>
        <v>0</v>
      </c>
      <c r="DC37" s="11">
        <f t="shared" si="90"/>
        <v>0</v>
      </c>
      <c r="DD37" s="11">
        <f t="shared" si="91"/>
        <v>0</v>
      </c>
      <c r="DE37" s="11">
        <f t="shared" si="92"/>
        <v>0</v>
      </c>
      <c r="DF37" s="11">
        <f t="shared" si="93"/>
        <v>0</v>
      </c>
      <c r="DG37" s="11">
        <f t="shared" si="94"/>
        <v>0</v>
      </c>
      <c r="DH37" s="11">
        <f t="shared" si="95"/>
        <v>0</v>
      </c>
      <c r="DI37" s="11">
        <f t="shared" si="96"/>
        <v>0</v>
      </c>
      <c r="DJ37" s="11">
        <f t="shared" si="97"/>
        <v>0</v>
      </c>
      <c r="DK37" s="11">
        <f t="shared" si="98"/>
        <v>0</v>
      </c>
      <c r="DL37" s="11">
        <f t="shared" si="99"/>
        <v>0</v>
      </c>
      <c r="DM37" s="11">
        <f t="shared" si="100"/>
        <v>0</v>
      </c>
      <c r="DN37" s="11">
        <f t="shared" si="101"/>
        <v>0</v>
      </c>
      <c r="DO37" s="11">
        <f t="shared" si="102"/>
        <v>0</v>
      </c>
      <c r="DP37" s="11">
        <f t="shared" si="103"/>
        <v>0</v>
      </c>
      <c r="DQ37" s="11">
        <f t="shared" si="104"/>
        <v>0</v>
      </c>
      <c r="DR37" s="11">
        <f t="shared" si="105"/>
        <v>0</v>
      </c>
      <c r="DS37" s="11">
        <f t="shared" si="106"/>
        <v>0</v>
      </c>
      <c r="DT37" s="11">
        <f t="shared" si="107"/>
        <v>0</v>
      </c>
      <c r="DU37" s="11">
        <f t="shared" si="108"/>
        <v>0</v>
      </c>
      <c r="DV37" s="11">
        <f t="shared" si="109"/>
        <v>0</v>
      </c>
      <c r="DW37" s="11">
        <f t="shared" si="110"/>
        <v>0</v>
      </c>
      <c r="DX37" s="11">
        <f t="shared" si="111"/>
        <v>0</v>
      </c>
      <c r="DY37" s="11">
        <f t="shared" si="112"/>
        <v>0</v>
      </c>
      <c r="DZ37" s="11">
        <f t="shared" si="113"/>
        <v>0</v>
      </c>
      <c r="EA37" s="11">
        <f t="shared" si="114"/>
        <v>0</v>
      </c>
      <c r="EB37" s="11">
        <f t="shared" si="115"/>
        <v>0</v>
      </c>
      <c r="EC37" s="11">
        <f t="shared" si="116"/>
        <v>0</v>
      </c>
      <c r="ED37" s="11">
        <f t="shared" si="117"/>
        <v>0</v>
      </c>
      <c r="EE37" s="11">
        <f t="shared" si="118"/>
        <v>0</v>
      </c>
    </row>
    <row r="38" spans="1:135" ht="15" customHeight="1" x14ac:dyDescent="0.2">
      <c r="A38" s="3" t="s">
        <v>1848</v>
      </c>
      <c r="B38" s="3" t="s">
        <v>1849</v>
      </c>
      <c r="C38" s="3" t="s">
        <v>1850</v>
      </c>
      <c r="D38" s="3" t="s">
        <v>1850</v>
      </c>
      <c r="E38" s="3"/>
      <c r="F38" s="3"/>
      <c r="G38" s="3"/>
      <c r="H38" s="3" t="s">
        <v>114</v>
      </c>
      <c r="I38" s="3" t="s">
        <v>1852</v>
      </c>
      <c r="J38" s="3" t="s">
        <v>1480</v>
      </c>
      <c r="K38" s="3"/>
      <c r="L38" s="3" t="s">
        <v>119</v>
      </c>
      <c r="M38" s="3" t="s">
        <v>1494</v>
      </c>
      <c r="N38" s="3" t="s">
        <v>119</v>
      </c>
      <c r="O38" s="3" t="s">
        <v>120</v>
      </c>
      <c r="P38" s="3" t="s">
        <v>1851</v>
      </c>
      <c r="Q38" s="10" t="str">
        <f t="shared" si="0"/>
        <v>Other</v>
      </c>
      <c r="R38" s="10" t="str">
        <f t="shared" si="1"/>
        <v>Unspecified</v>
      </c>
      <c r="S38" s="10" t="str">
        <f t="shared" si="2"/>
        <v>All-comers</v>
      </c>
      <c r="T38" s="10">
        <f t="shared" si="3"/>
        <v>1</v>
      </c>
      <c r="U38" s="10">
        <f t="shared" si="4"/>
        <v>0</v>
      </c>
      <c r="V38" s="11">
        <f t="shared" si="5"/>
        <v>0</v>
      </c>
      <c r="W38" s="11">
        <f t="shared" si="6"/>
        <v>0</v>
      </c>
      <c r="X38" s="11">
        <f t="shared" si="7"/>
        <v>0</v>
      </c>
      <c r="Y38" s="11">
        <f t="shared" si="8"/>
        <v>0</v>
      </c>
      <c r="Z38" s="11">
        <f t="shared" si="9"/>
        <v>0</v>
      </c>
      <c r="AA38" s="11">
        <f t="shared" si="10"/>
        <v>0</v>
      </c>
      <c r="AB38" s="11">
        <f t="shared" si="11"/>
        <v>0</v>
      </c>
      <c r="AC38" s="11">
        <f t="shared" si="12"/>
        <v>0</v>
      </c>
      <c r="AD38" s="11">
        <f t="shared" si="13"/>
        <v>0</v>
      </c>
      <c r="AE38" s="11">
        <f t="shared" si="14"/>
        <v>0</v>
      </c>
      <c r="AF38" s="11">
        <f t="shared" si="15"/>
        <v>0</v>
      </c>
      <c r="AG38" s="11">
        <f t="shared" si="16"/>
        <v>0</v>
      </c>
      <c r="AH38" s="11">
        <f t="shared" si="17"/>
        <v>0</v>
      </c>
      <c r="AI38" s="11">
        <f t="shared" si="18"/>
        <v>0</v>
      </c>
      <c r="AJ38" s="11">
        <f t="shared" si="19"/>
        <v>0</v>
      </c>
      <c r="AK38" s="11">
        <f t="shared" si="20"/>
        <v>0</v>
      </c>
      <c r="AL38" s="11">
        <f t="shared" si="21"/>
        <v>0</v>
      </c>
      <c r="AM38" s="11">
        <f t="shared" si="22"/>
        <v>0</v>
      </c>
      <c r="AN38" s="11">
        <f t="shared" si="23"/>
        <v>0</v>
      </c>
      <c r="AO38" s="11">
        <f t="shared" si="24"/>
        <v>0</v>
      </c>
      <c r="AP38" s="11">
        <f t="shared" si="25"/>
        <v>0</v>
      </c>
      <c r="AQ38" s="11">
        <f t="shared" si="26"/>
        <v>0</v>
      </c>
      <c r="AR38" s="11">
        <f t="shared" si="27"/>
        <v>0</v>
      </c>
      <c r="AS38" s="11">
        <f t="shared" si="28"/>
        <v>0</v>
      </c>
      <c r="AT38" s="11">
        <f t="shared" si="29"/>
        <v>0</v>
      </c>
      <c r="AU38" s="11">
        <f t="shared" si="30"/>
        <v>0</v>
      </c>
      <c r="AV38" s="11">
        <f t="shared" si="31"/>
        <v>0</v>
      </c>
      <c r="AW38" s="11">
        <f t="shared" si="32"/>
        <v>0</v>
      </c>
      <c r="AX38" s="11">
        <f t="shared" si="33"/>
        <v>0</v>
      </c>
      <c r="AY38" s="11">
        <f t="shared" si="34"/>
        <v>0</v>
      </c>
      <c r="AZ38" s="11">
        <f t="shared" si="35"/>
        <v>0</v>
      </c>
      <c r="BA38" s="11">
        <f t="shared" si="36"/>
        <v>0</v>
      </c>
      <c r="BB38" s="11">
        <f t="shared" si="37"/>
        <v>0</v>
      </c>
      <c r="BC38" s="11">
        <f t="shared" si="38"/>
        <v>0</v>
      </c>
      <c r="BD38" s="11">
        <f t="shared" si="39"/>
        <v>0</v>
      </c>
      <c r="BE38" s="11">
        <f t="shared" si="40"/>
        <v>0</v>
      </c>
      <c r="BF38" s="11">
        <f t="shared" si="41"/>
        <v>0</v>
      </c>
      <c r="BG38" s="11">
        <f t="shared" si="42"/>
        <v>0</v>
      </c>
      <c r="BH38" s="11">
        <f t="shared" si="43"/>
        <v>0</v>
      </c>
      <c r="BI38" s="11">
        <f t="shared" si="44"/>
        <v>0</v>
      </c>
      <c r="BJ38" s="11">
        <f t="shared" si="45"/>
        <v>0</v>
      </c>
      <c r="BK38" s="11">
        <f t="shared" si="46"/>
        <v>0</v>
      </c>
      <c r="BL38" s="11">
        <f t="shared" si="47"/>
        <v>0</v>
      </c>
      <c r="BM38" s="11">
        <f t="shared" si="48"/>
        <v>0</v>
      </c>
      <c r="BN38" s="11">
        <f t="shared" si="49"/>
        <v>0</v>
      </c>
      <c r="BO38" s="11">
        <f t="shared" si="50"/>
        <v>0</v>
      </c>
      <c r="BP38" s="11">
        <f t="shared" si="51"/>
        <v>0</v>
      </c>
      <c r="BQ38" s="11">
        <f t="shared" si="52"/>
        <v>0</v>
      </c>
      <c r="BR38" s="11">
        <f t="shared" si="53"/>
        <v>0</v>
      </c>
      <c r="BS38" s="11">
        <f t="shared" si="54"/>
        <v>0</v>
      </c>
      <c r="BT38" s="11">
        <f t="shared" si="55"/>
        <v>1</v>
      </c>
      <c r="BU38" s="11">
        <f t="shared" si="56"/>
        <v>0</v>
      </c>
      <c r="BV38" s="11">
        <f t="shared" si="57"/>
        <v>0</v>
      </c>
      <c r="BW38" s="11">
        <f t="shared" si="58"/>
        <v>0</v>
      </c>
      <c r="BX38" s="11">
        <f t="shared" si="59"/>
        <v>0</v>
      </c>
      <c r="BY38" s="11">
        <f t="shared" si="60"/>
        <v>0</v>
      </c>
      <c r="BZ38" s="11">
        <f t="shared" si="61"/>
        <v>0</v>
      </c>
      <c r="CA38" s="11">
        <f t="shared" si="62"/>
        <v>0</v>
      </c>
      <c r="CB38" s="11">
        <f t="shared" si="63"/>
        <v>0</v>
      </c>
      <c r="CC38" s="11">
        <f t="shared" si="64"/>
        <v>0</v>
      </c>
      <c r="CD38" s="11">
        <f t="shared" si="65"/>
        <v>0</v>
      </c>
      <c r="CE38" s="11">
        <f t="shared" si="66"/>
        <v>0</v>
      </c>
      <c r="CF38" s="11">
        <f t="shared" si="67"/>
        <v>0</v>
      </c>
      <c r="CG38" s="11">
        <f t="shared" si="68"/>
        <v>0</v>
      </c>
      <c r="CH38" s="11">
        <f t="shared" si="69"/>
        <v>0</v>
      </c>
      <c r="CI38" s="11">
        <f t="shared" si="70"/>
        <v>0</v>
      </c>
      <c r="CJ38" s="11">
        <f t="shared" si="71"/>
        <v>0</v>
      </c>
      <c r="CK38" s="11">
        <f t="shared" si="72"/>
        <v>0</v>
      </c>
      <c r="CL38" s="11">
        <f t="shared" si="73"/>
        <v>0</v>
      </c>
      <c r="CM38" s="11">
        <f t="shared" si="74"/>
        <v>0</v>
      </c>
      <c r="CN38" s="11">
        <f t="shared" si="75"/>
        <v>0</v>
      </c>
      <c r="CO38" s="11">
        <f t="shared" si="76"/>
        <v>0</v>
      </c>
      <c r="CP38" s="11">
        <f t="shared" si="77"/>
        <v>0</v>
      </c>
      <c r="CQ38" s="11">
        <f t="shared" si="78"/>
        <v>0</v>
      </c>
      <c r="CR38" s="11">
        <f t="shared" si="79"/>
        <v>0</v>
      </c>
      <c r="CS38" s="11">
        <f t="shared" si="80"/>
        <v>0</v>
      </c>
      <c r="CT38" s="11">
        <f t="shared" si="81"/>
        <v>0</v>
      </c>
      <c r="CU38" s="11">
        <f t="shared" si="82"/>
        <v>0</v>
      </c>
      <c r="CV38" s="11">
        <f t="shared" si="83"/>
        <v>0</v>
      </c>
      <c r="CW38" s="11">
        <f t="shared" si="84"/>
        <v>0</v>
      </c>
      <c r="CX38" s="11">
        <f t="shared" si="85"/>
        <v>0</v>
      </c>
      <c r="CY38" s="11">
        <f t="shared" si="86"/>
        <v>0</v>
      </c>
      <c r="CZ38" s="11">
        <f t="shared" si="87"/>
        <v>0</v>
      </c>
      <c r="DA38" s="11">
        <f t="shared" si="88"/>
        <v>0</v>
      </c>
      <c r="DB38" s="11">
        <f t="shared" si="89"/>
        <v>0</v>
      </c>
      <c r="DC38" s="11">
        <f t="shared" si="90"/>
        <v>0</v>
      </c>
      <c r="DD38" s="11">
        <f t="shared" si="91"/>
        <v>0</v>
      </c>
      <c r="DE38" s="11">
        <f t="shared" si="92"/>
        <v>0</v>
      </c>
      <c r="DF38" s="11">
        <f t="shared" si="93"/>
        <v>0</v>
      </c>
      <c r="DG38" s="11">
        <f t="shared" si="94"/>
        <v>0</v>
      </c>
      <c r="DH38" s="11">
        <f t="shared" si="95"/>
        <v>0</v>
      </c>
      <c r="DI38" s="11">
        <f t="shared" si="96"/>
        <v>0</v>
      </c>
      <c r="DJ38" s="11">
        <f t="shared" si="97"/>
        <v>0</v>
      </c>
      <c r="DK38" s="11">
        <f t="shared" si="98"/>
        <v>0</v>
      </c>
      <c r="DL38" s="11">
        <f t="shared" si="99"/>
        <v>0</v>
      </c>
      <c r="DM38" s="11">
        <f t="shared" si="100"/>
        <v>0</v>
      </c>
      <c r="DN38" s="11">
        <f t="shared" si="101"/>
        <v>0</v>
      </c>
      <c r="DO38" s="11">
        <f t="shared" si="102"/>
        <v>0</v>
      </c>
      <c r="DP38" s="11">
        <f t="shared" si="103"/>
        <v>0</v>
      </c>
      <c r="DQ38" s="11">
        <f t="shared" si="104"/>
        <v>0</v>
      </c>
      <c r="DR38" s="11">
        <f t="shared" si="105"/>
        <v>0</v>
      </c>
      <c r="DS38" s="11">
        <f t="shared" si="106"/>
        <v>0</v>
      </c>
      <c r="DT38" s="11">
        <f t="shared" si="107"/>
        <v>0</v>
      </c>
      <c r="DU38" s="11">
        <f t="shared" si="108"/>
        <v>0</v>
      </c>
      <c r="DV38" s="11">
        <f t="shared" si="109"/>
        <v>0</v>
      </c>
      <c r="DW38" s="11">
        <f t="shared" si="110"/>
        <v>0</v>
      </c>
      <c r="DX38" s="11">
        <f t="shared" si="111"/>
        <v>0</v>
      </c>
      <c r="DY38" s="11">
        <f t="shared" si="112"/>
        <v>0</v>
      </c>
      <c r="DZ38" s="11">
        <f t="shared" si="113"/>
        <v>0</v>
      </c>
      <c r="EA38" s="11">
        <f t="shared" si="114"/>
        <v>0</v>
      </c>
      <c r="EB38" s="11">
        <f t="shared" si="115"/>
        <v>0</v>
      </c>
      <c r="EC38" s="11">
        <f t="shared" si="116"/>
        <v>0</v>
      </c>
      <c r="ED38" s="11">
        <f t="shared" si="117"/>
        <v>0</v>
      </c>
      <c r="EE38" s="11">
        <f t="shared" si="118"/>
        <v>0</v>
      </c>
    </row>
    <row r="39" spans="1:135" ht="15" customHeight="1" x14ac:dyDescent="0.2">
      <c r="A39" s="5" t="s">
        <v>1853</v>
      </c>
      <c r="B39" s="5" t="s">
        <v>1854</v>
      </c>
      <c r="C39" s="5" t="s">
        <v>1855</v>
      </c>
      <c r="D39" s="5" t="s">
        <v>1855</v>
      </c>
      <c r="E39" s="5" t="s">
        <v>1855</v>
      </c>
      <c r="F39" s="5" t="s">
        <v>259</v>
      </c>
      <c r="G39" s="5" t="s">
        <v>181</v>
      </c>
      <c r="H39" s="5" t="s">
        <v>114</v>
      </c>
      <c r="I39" s="5" t="s">
        <v>1858</v>
      </c>
      <c r="J39" s="5" t="s">
        <v>1857</v>
      </c>
      <c r="K39" s="5"/>
      <c r="L39" s="5" t="s">
        <v>119</v>
      </c>
      <c r="M39" s="5" t="s">
        <v>1494</v>
      </c>
      <c r="N39" s="5" t="s">
        <v>119</v>
      </c>
      <c r="O39" s="5" t="s">
        <v>120</v>
      </c>
      <c r="P39" s="5" t="s">
        <v>1856</v>
      </c>
      <c r="Q39" s="10" t="str">
        <f t="shared" si="0"/>
        <v>Stage IV Only</v>
      </c>
      <c r="R39" s="10" t="str">
        <f t="shared" si="1"/>
        <v>Non-squamous</v>
      </c>
      <c r="S39" s="10" t="str">
        <f t="shared" si="2"/>
        <v>All-comers</v>
      </c>
      <c r="T39" s="10">
        <f t="shared" si="3"/>
        <v>1</v>
      </c>
      <c r="U39" s="10">
        <f t="shared" si="4"/>
        <v>0</v>
      </c>
      <c r="V39" s="11">
        <f t="shared" si="5"/>
        <v>0</v>
      </c>
      <c r="W39" s="11">
        <f t="shared" si="6"/>
        <v>0</v>
      </c>
      <c r="X39" s="11">
        <f t="shared" si="7"/>
        <v>0</v>
      </c>
      <c r="Y39" s="11">
        <f t="shared" si="8"/>
        <v>0</v>
      </c>
      <c r="Z39" s="11">
        <f t="shared" si="9"/>
        <v>0</v>
      </c>
      <c r="AA39" s="11">
        <f t="shared" si="10"/>
        <v>0</v>
      </c>
      <c r="AB39" s="11">
        <f t="shared" si="11"/>
        <v>0</v>
      </c>
      <c r="AC39" s="11">
        <f t="shared" si="12"/>
        <v>0</v>
      </c>
      <c r="AD39" s="11">
        <f t="shared" si="13"/>
        <v>0</v>
      </c>
      <c r="AE39" s="11">
        <f t="shared" si="14"/>
        <v>0</v>
      </c>
      <c r="AF39" s="11">
        <f t="shared" si="15"/>
        <v>0</v>
      </c>
      <c r="AG39" s="11">
        <f t="shared" si="16"/>
        <v>0</v>
      </c>
      <c r="AH39" s="11">
        <f t="shared" si="17"/>
        <v>0</v>
      </c>
      <c r="AI39" s="11">
        <f t="shared" si="18"/>
        <v>0</v>
      </c>
      <c r="AJ39" s="11">
        <f t="shared" si="19"/>
        <v>0</v>
      </c>
      <c r="AK39" s="11">
        <f t="shared" si="20"/>
        <v>0</v>
      </c>
      <c r="AL39" s="11">
        <f t="shared" si="21"/>
        <v>0</v>
      </c>
      <c r="AM39" s="11">
        <f t="shared" si="22"/>
        <v>0</v>
      </c>
      <c r="AN39" s="11">
        <f t="shared" si="23"/>
        <v>0</v>
      </c>
      <c r="AO39" s="11">
        <f t="shared" si="24"/>
        <v>0</v>
      </c>
      <c r="AP39" s="11">
        <f t="shared" si="25"/>
        <v>0</v>
      </c>
      <c r="AQ39" s="11">
        <f t="shared" si="26"/>
        <v>0</v>
      </c>
      <c r="AR39" s="11">
        <f t="shared" si="27"/>
        <v>0</v>
      </c>
      <c r="AS39" s="11">
        <f t="shared" si="28"/>
        <v>0</v>
      </c>
      <c r="AT39" s="11">
        <f t="shared" si="29"/>
        <v>0</v>
      </c>
      <c r="AU39" s="11">
        <f t="shared" si="30"/>
        <v>0</v>
      </c>
      <c r="AV39" s="11">
        <f t="shared" si="31"/>
        <v>0</v>
      </c>
      <c r="AW39" s="11">
        <f t="shared" si="32"/>
        <v>0</v>
      </c>
      <c r="AX39" s="11">
        <f t="shared" si="33"/>
        <v>0</v>
      </c>
      <c r="AY39" s="11">
        <f t="shared" si="34"/>
        <v>0</v>
      </c>
      <c r="AZ39" s="11">
        <f t="shared" si="35"/>
        <v>0</v>
      </c>
      <c r="BA39" s="11">
        <f t="shared" si="36"/>
        <v>0</v>
      </c>
      <c r="BB39" s="11">
        <f t="shared" si="37"/>
        <v>0</v>
      </c>
      <c r="BC39" s="11">
        <f t="shared" si="38"/>
        <v>0</v>
      </c>
      <c r="BD39" s="11">
        <f t="shared" si="39"/>
        <v>0</v>
      </c>
      <c r="BE39" s="11">
        <f t="shared" si="40"/>
        <v>0</v>
      </c>
      <c r="BF39" s="11">
        <f t="shared" si="41"/>
        <v>0</v>
      </c>
      <c r="BG39" s="11">
        <f t="shared" si="42"/>
        <v>0</v>
      </c>
      <c r="BH39" s="11">
        <f t="shared" si="43"/>
        <v>0</v>
      </c>
      <c r="BI39" s="11">
        <f t="shared" si="44"/>
        <v>0</v>
      </c>
      <c r="BJ39" s="11">
        <f t="shared" si="45"/>
        <v>0</v>
      </c>
      <c r="BK39" s="11">
        <f t="shared" si="46"/>
        <v>0</v>
      </c>
      <c r="BL39" s="11">
        <f t="shared" si="47"/>
        <v>0</v>
      </c>
      <c r="BM39" s="11">
        <f t="shared" si="48"/>
        <v>1</v>
      </c>
      <c r="BN39" s="11">
        <f t="shared" si="49"/>
        <v>0</v>
      </c>
      <c r="BO39" s="11">
        <f t="shared" si="50"/>
        <v>0</v>
      </c>
      <c r="BP39" s="11">
        <f t="shared" si="51"/>
        <v>0</v>
      </c>
      <c r="BQ39" s="11">
        <f t="shared" si="52"/>
        <v>0</v>
      </c>
      <c r="BR39" s="11">
        <f t="shared" si="53"/>
        <v>0</v>
      </c>
      <c r="BS39" s="11">
        <f t="shared" si="54"/>
        <v>0</v>
      </c>
      <c r="BT39" s="11">
        <f t="shared" si="55"/>
        <v>0</v>
      </c>
      <c r="BU39" s="11">
        <f t="shared" si="56"/>
        <v>0</v>
      </c>
      <c r="BV39" s="11">
        <f t="shared" si="57"/>
        <v>0</v>
      </c>
      <c r="BW39" s="11">
        <f t="shared" si="58"/>
        <v>0</v>
      </c>
      <c r="BX39" s="11">
        <f t="shared" si="59"/>
        <v>0</v>
      </c>
      <c r="BY39" s="11">
        <f t="shared" si="60"/>
        <v>0</v>
      </c>
      <c r="BZ39" s="11">
        <f t="shared" si="61"/>
        <v>0</v>
      </c>
      <c r="CA39" s="11">
        <f t="shared" si="62"/>
        <v>0</v>
      </c>
      <c r="CB39" s="11">
        <f t="shared" si="63"/>
        <v>0</v>
      </c>
      <c r="CC39" s="11">
        <f t="shared" si="64"/>
        <v>0</v>
      </c>
      <c r="CD39" s="11">
        <f t="shared" si="65"/>
        <v>0</v>
      </c>
      <c r="CE39" s="11">
        <f t="shared" si="66"/>
        <v>0</v>
      </c>
      <c r="CF39" s="11">
        <f t="shared" si="67"/>
        <v>0</v>
      </c>
      <c r="CG39" s="11">
        <f t="shared" si="68"/>
        <v>0</v>
      </c>
      <c r="CH39" s="11">
        <f t="shared" si="69"/>
        <v>0</v>
      </c>
      <c r="CI39" s="11">
        <f t="shared" si="70"/>
        <v>0</v>
      </c>
      <c r="CJ39" s="11">
        <f t="shared" si="71"/>
        <v>0</v>
      </c>
      <c r="CK39" s="11">
        <f t="shared" si="72"/>
        <v>0</v>
      </c>
      <c r="CL39" s="11">
        <f t="shared" si="73"/>
        <v>0</v>
      </c>
      <c r="CM39" s="11">
        <f t="shared" si="74"/>
        <v>0</v>
      </c>
      <c r="CN39" s="11">
        <f t="shared" si="75"/>
        <v>0</v>
      </c>
      <c r="CO39" s="11">
        <f t="shared" si="76"/>
        <v>0</v>
      </c>
      <c r="CP39" s="11">
        <f t="shared" si="77"/>
        <v>0</v>
      </c>
      <c r="CQ39" s="11">
        <f t="shared" si="78"/>
        <v>0</v>
      </c>
      <c r="CR39" s="11">
        <f t="shared" si="79"/>
        <v>0</v>
      </c>
      <c r="CS39" s="11">
        <f t="shared" si="80"/>
        <v>0</v>
      </c>
      <c r="CT39" s="11">
        <f t="shared" si="81"/>
        <v>0</v>
      </c>
      <c r="CU39" s="11">
        <f t="shared" si="82"/>
        <v>0</v>
      </c>
      <c r="CV39" s="11">
        <f t="shared" si="83"/>
        <v>0</v>
      </c>
      <c r="CW39" s="11">
        <f t="shared" si="84"/>
        <v>0</v>
      </c>
      <c r="CX39" s="11">
        <f t="shared" si="85"/>
        <v>0</v>
      </c>
      <c r="CY39" s="11">
        <f t="shared" si="86"/>
        <v>0</v>
      </c>
      <c r="CZ39" s="11">
        <f t="shared" si="87"/>
        <v>0</v>
      </c>
      <c r="DA39" s="11">
        <f t="shared" si="88"/>
        <v>0</v>
      </c>
      <c r="DB39" s="11">
        <f t="shared" si="89"/>
        <v>0</v>
      </c>
      <c r="DC39" s="11">
        <f t="shared" si="90"/>
        <v>0</v>
      </c>
      <c r="DD39" s="11">
        <f t="shared" si="91"/>
        <v>0</v>
      </c>
      <c r="DE39" s="11">
        <f t="shared" si="92"/>
        <v>0</v>
      </c>
      <c r="DF39" s="11">
        <f t="shared" si="93"/>
        <v>0</v>
      </c>
      <c r="DG39" s="11">
        <f t="shared" si="94"/>
        <v>0</v>
      </c>
      <c r="DH39" s="11">
        <f t="shared" si="95"/>
        <v>0</v>
      </c>
      <c r="DI39" s="11">
        <f t="shared" si="96"/>
        <v>0</v>
      </c>
      <c r="DJ39" s="11">
        <f t="shared" si="97"/>
        <v>0</v>
      </c>
      <c r="DK39" s="11">
        <f t="shared" si="98"/>
        <v>0</v>
      </c>
      <c r="DL39" s="11">
        <f t="shared" si="99"/>
        <v>0</v>
      </c>
      <c r="DM39" s="11">
        <f t="shared" si="100"/>
        <v>0</v>
      </c>
      <c r="DN39" s="11">
        <f t="shared" si="101"/>
        <v>0</v>
      </c>
      <c r="DO39" s="11">
        <f t="shared" si="102"/>
        <v>0</v>
      </c>
      <c r="DP39" s="11">
        <f t="shared" si="103"/>
        <v>0</v>
      </c>
      <c r="DQ39" s="11">
        <f t="shared" si="104"/>
        <v>0</v>
      </c>
      <c r="DR39" s="11">
        <f t="shared" si="105"/>
        <v>0</v>
      </c>
      <c r="DS39" s="11">
        <f t="shared" si="106"/>
        <v>0</v>
      </c>
      <c r="DT39" s="11">
        <f t="shared" si="107"/>
        <v>0</v>
      </c>
      <c r="DU39" s="11">
        <f t="shared" si="108"/>
        <v>0</v>
      </c>
      <c r="DV39" s="11">
        <f t="shared" si="109"/>
        <v>0</v>
      </c>
      <c r="DW39" s="11">
        <f t="shared" si="110"/>
        <v>0</v>
      </c>
      <c r="DX39" s="11">
        <f t="shared" si="111"/>
        <v>0</v>
      </c>
      <c r="DY39" s="11">
        <f t="shared" si="112"/>
        <v>0</v>
      </c>
      <c r="DZ39" s="11">
        <f t="shared" si="113"/>
        <v>0</v>
      </c>
      <c r="EA39" s="11">
        <f t="shared" si="114"/>
        <v>0</v>
      </c>
      <c r="EB39" s="11">
        <f t="shared" si="115"/>
        <v>0</v>
      </c>
      <c r="EC39" s="11">
        <f t="shared" si="116"/>
        <v>0</v>
      </c>
      <c r="ED39" s="11">
        <f t="shared" si="117"/>
        <v>0</v>
      </c>
      <c r="EE39" s="11">
        <f t="shared" si="118"/>
        <v>0</v>
      </c>
    </row>
    <row r="40" spans="1:135" ht="15" customHeight="1" x14ac:dyDescent="0.2">
      <c r="A40" s="3" t="s">
        <v>1853</v>
      </c>
      <c r="B40" s="3" t="s">
        <v>1854</v>
      </c>
      <c r="C40" s="3" t="s">
        <v>1855</v>
      </c>
      <c r="D40" s="3" t="s">
        <v>1855</v>
      </c>
      <c r="E40" s="3" t="s">
        <v>1855</v>
      </c>
      <c r="F40" s="3" t="s">
        <v>111</v>
      </c>
      <c r="G40" s="3" t="s">
        <v>544</v>
      </c>
      <c r="H40" s="3" t="s">
        <v>114</v>
      </c>
      <c r="I40" s="3"/>
      <c r="J40" s="3" t="s">
        <v>1857</v>
      </c>
      <c r="K40" s="3"/>
      <c r="L40" s="3" t="s">
        <v>119</v>
      </c>
      <c r="M40" s="3" t="s">
        <v>1494</v>
      </c>
      <c r="N40" s="3" t="s">
        <v>119</v>
      </c>
      <c r="O40" s="3" t="s">
        <v>120</v>
      </c>
      <c r="P40" s="3" t="s">
        <v>1865</v>
      </c>
      <c r="Q40" s="10" t="str">
        <f t="shared" si="0"/>
        <v>Stage IV + Other</v>
      </c>
      <c r="R40" s="10" t="str">
        <f t="shared" si="1"/>
        <v>Both</v>
      </c>
      <c r="S40" s="10" t="str">
        <f t="shared" si="2"/>
        <v>All-comers</v>
      </c>
      <c r="T40" s="10">
        <f t="shared" si="3"/>
        <v>1</v>
      </c>
      <c r="U40" s="10">
        <f t="shared" si="4"/>
        <v>0</v>
      </c>
      <c r="V40" s="11">
        <f t="shared" si="5"/>
        <v>0</v>
      </c>
      <c r="W40" s="11">
        <f t="shared" si="6"/>
        <v>0</v>
      </c>
      <c r="X40" s="11">
        <f t="shared" si="7"/>
        <v>0</v>
      </c>
      <c r="Y40" s="11">
        <f t="shared" si="8"/>
        <v>0</v>
      </c>
      <c r="Z40" s="11">
        <f t="shared" si="9"/>
        <v>0</v>
      </c>
      <c r="AA40" s="11">
        <f t="shared" si="10"/>
        <v>0</v>
      </c>
      <c r="AB40" s="11">
        <f t="shared" si="11"/>
        <v>0</v>
      </c>
      <c r="AC40" s="11">
        <f t="shared" si="12"/>
        <v>0</v>
      </c>
      <c r="AD40" s="11">
        <f t="shared" si="13"/>
        <v>0</v>
      </c>
      <c r="AE40" s="11">
        <f t="shared" si="14"/>
        <v>0</v>
      </c>
      <c r="AF40" s="11">
        <f t="shared" si="15"/>
        <v>0</v>
      </c>
      <c r="AG40" s="11">
        <f t="shared" si="16"/>
        <v>0</v>
      </c>
      <c r="AH40" s="11">
        <f t="shared" si="17"/>
        <v>0</v>
      </c>
      <c r="AI40" s="11">
        <f t="shared" si="18"/>
        <v>0</v>
      </c>
      <c r="AJ40" s="11">
        <f t="shared" si="19"/>
        <v>0</v>
      </c>
      <c r="AK40" s="11">
        <f t="shared" si="20"/>
        <v>0</v>
      </c>
      <c r="AL40" s="11">
        <f t="shared" si="21"/>
        <v>0</v>
      </c>
      <c r="AM40" s="11">
        <f t="shared" si="22"/>
        <v>0</v>
      </c>
      <c r="AN40" s="11">
        <f t="shared" si="23"/>
        <v>0</v>
      </c>
      <c r="AO40" s="11">
        <f t="shared" si="24"/>
        <v>0</v>
      </c>
      <c r="AP40" s="11">
        <f t="shared" si="25"/>
        <v>0</v>
      </c>
      <c r="AQ40" s="11">
        <f t="shared" si="26"/>
        <v>0</v>
      </c>
      <c r="AR40" s="11">
        <f t="shared" si="27"/>
        <v>0</v>
      </c>
      <c r="AS40" s="11">
        <f t="shared" si="28"/>
        <v>0</v>
      </c>
      <c r="AT40" s="11">
        <f t="shared" si="29"/>
        <v>0</v>
      </c>
      <c r="AU40" s="11">
        <f t="shared" si="30"/>
        <v>0</v>
      </c>
      <c r="AV40" s="11">
        <f t="shared" si="31"/>
        <v>0</v>
      </c>
      <c r="AW40" s="11">
        <f t="shared" si="32"/>
        <v>0</v>
      </c>
      <c r="AX40" s="11">
        <f t="shared" si="33"/>
        <v>0</v>
      </c>
      <c r="AY40" s="11">
        <f t="shared" si="34"/>
        <v>0</v>
      </c>
      <c r="AZ40" s="11">
        <f t="shared" si="35"/>
        <v>0</v>
      </c>
      <c r="BA40" s="11">
        <f t="shared" si="36"/>
        <v>0</v>
      </c>
      <c r="BB40" s="11">
        <f t="shared" si="37"/>
        <v>0</v>
      </c>
      <c r="BC40" s="11">
        <f t="shared" si="38"/>
        <v>0</v>
      </c>
      <c r="BD40" s="11">
        <f t="shared" si="39"/>
        <v>0</v>
      </c>
      <c r="BE40" s="11">
        <f t="shared" si="40"/>
        <v>0</v>
      </c>
      <c r="BF40" s="11">
        <f t="shared" si="41"/>
        <v>0</v>
      </c>
      <c r="BG40" s="11">
        <f t="shared" si="42"/>
        <v>0</v>
      </c>
      <c r="BH40" s="11">
        <f t="shared" si="43"/>
        <v>0</v>
      </c>
      <c r="BI40" s="11">
        <f t="shared" si="44"/>
        <v>0</v>
      </c>
      <c r="BJ40" s="11">
        <f t="shared" si="45"/>
        <v>0</v>
      </c>
      <c r="BK40" s="11">
        <f t="shared" si="46"/>
        <v>0</v>
      </c>
      <c r="BL40" s="11">
        <f t="shared" si="47"/>
        <v>0</v>
      </c>
      <c r="BM40" s="11">
        <f t="shared" si="48"/>
        <v>0</v>
      </c>
      <c r="BN40" s="11">
        <f t="shared" si="49"/>
        <v>0</v>
      </c>
      <c r="BO40" s="11">
        <f t="shared" si="50"/>
        <v>0</v>
      </c>
      <c r="BP40" s="11">
        <f t="shared" si="51"/>
        <v>0</v>
      </c>
      <c r="BQ40" s="11">
        <f t="shared" si="52"/>
        <v>0</v>
      </c>
      <c r="BR40" s="11">
        <f t="shared" si="53"/>
        <v>0</v>
      </c>
      <c r="BS40" s="11">
        <f t="shared" si="54"/>
        <v>0</v>
      </c>
      <c r="BT40" s="11">
        <f t="shared" si="55"/>
        <v>0</v>
      </c>
      <c r="BU40" s="11">
        <f t="shared" si="56"/>
        <v>0</v>
      </c>
      <c r="BV40" s="11">
        <f t="shared" si="57"/>
        <v>0</v>
      </c>
      <c r="BW40" s="11">
        <f t="shared" si="58"/>
        <v>0</v>
      </c>
      <c r="BX40" s="11">
        <f t="shared" si="59"/>
        <v>0</v>
      </c>
      <c r="BY40" s="11">
        <f t="shared" si="60"/>
        <v>0</v>
      </c>
      <c r="BZ40" s="11">
        <f t="shared" si="61"/>
        <v>0</v>
      </c>
      <c r="CA40" s="11">
        <f t="shared" si="62"/>
        <v>0</v>
      </c>
      <c r="CB40" s="11">
        <f t="shared" si="63"/>
        <v>0</v>
      </c>
      <c r="CC40" s="11">
        <f t="shared" si="64"/>
        <v>0</v>
      </c>
      <c r="CD40" s="11">
        <f t="shared" si="65"/>
        <v>0</v>
      </c>
      <c r="CE40" s="11">
        <f t="shared" si="66"/>
        <v>0</v>
      </c>
      <c r="CF40" s="11">
        <f t="shared" si="67"/>
        <v>0</v>
      </c>
      <c r="CG40" s="11">
        <f t="shared" si="68"/>
        <v>0</v>
      </c>
      <c r="CH40" s="11">
        <f t="shared" si="69"/>
        <v>0</v>
      </c>
      <c r="CI40" s="11">
        <f t="shared" si="70"/>
        <v>0</v>
      </c>
      <c r="CJ40" s="11">
        <f t="shared" si="71"/>
        <v>0</v>
      </c>
      <c r="CK40" s="11">
        <f t="shared" si="72"/>
        <v>0</v>
      </c>
      <c r="CL40" s="11">
        <f t="shared" si="73"/>
        <v>0</v>
      </c>
      <c r="CM40" s="11">
        <f t="shared" si="74"/>
        <v>0</v>
      </c>
      <c r="CN40" s="11">
        <f t="shared" si="75"/>
        <v>0</v>
      </c>
      <c r="CO40" s="11">
        <f t="shared" si="76"/>
        <v>0</v>
      </c>
      <c r="CP40" s="11">
        <f t="shared" si="77"/>
        <v>0</v>
      </c>
      <c r="CQ40" s="11">
        <f t="shared" si="78"/>
        <v>0</v>
      </c>
      <c r="CR40" s="11">
        <f t="shared" si="79"/>
        <v>0</v>
      </c>
      <c r="CS40" s="11">
        <f t="shared" si="80"/>
        <v>0</v>
      </c>
      <c r="CT40" s="11">
        <f t="shared" si="81"/>
        <v>0</v>
      </c>
      <c r="CU40" s="11">
        <f t="shared" si="82"/>
        <v>0</v>
      </c>
      <c r="CV40" s="11">
        <f t="shared" si="83"/>
        <v>0</v>
      </c>
      <c r="CW40" s="11">
        <f t="shared" si="84"/>
        <v>0</v>
      </c>
      <c r="CX40" s="11">
        <f t="shared" si="85"/>
        <v>0</v>
      </c>
      <c r="CY40" s="11">
        <f t="shared" si="86"/>
        <v>0</v>
      </c>
      <c r="CZ40" s="11">
        <f t="shared" si="87"/>
        <v>0</v>
      </c>
      <c r="DA40" s="11">
        <f t="shared" si="88"/>
        <v>0</v>
      </c>
      <c r="DB40" s="11">
        <f t="shared" si="89"/>
        <v>0</v>
      </c>
      <c r="DC40" s="11">
        <f t="shared" si="90"/>
        <v>0</v>
      </c>
      <c r="DD40" s="11">
        <f t="shared" si="91"/>
        <v>0</v>
      </c>
      <c r="DE40" s="11">
        <f t="shared" si="92"/>
        <v>0</v>
      </c>
      <c r="DF40" s="11">
        <f t="shared" si="93"/>
        <v>0</v>
      </c>
      <c r="DG40" s="11">
        <f t="shared" si="94"/>
        <v>0</v>
      </c>
      <c r="DH40" s="11">
        <f t="shared" si="95"/>
        <v>0</v>
      </c>
      <c r="DI40" s="11">
        <f t="shared" si="96"/>
        <v>0</v>
      </c>
      <c r="DJ40" s="11">
        <f t="shared" si="97"/>
        <v>0</v>
      </c>
      <c r="DK40" s="11">
        <f t="shared" si="98"/>
        <v>0</v>
      </c>
      <c r="DL40" s="11">
        <f t="shared" si="99"/>
        <v>0</v>
      </c>
      <c r="DM40" s="11">
        <f t="shared" si="100"/>
        <v>0</v>
      </c>
      <c r="DN40" s="11">
        <f t="shared" si="101"/>
        <v>0</v>
      </c>
      <c r="DO40" s="11">
        <f t="shared" si="102"/>
        <v>0</v>
      </c>
      <c r="DP40" s="11">
        <f t="shared" si="103"/>
        <v>0</v>
      </c>
      <c r="DQ40" s="11">
        <f t="shared" si="104"/>
        <v>0</v>
      </c>
      <c r="DR40" s="11">
        <f t="shared" si="105"/>
        <v>0</v>
      </c>
      <c r="DS40" s="11">
        <f t="shared" si="106"/>
        <v>0</v>
      </c>
      <c r="DT40" s="11">
        <f t="shared" si="107"/>
        <v>0</v>
      </c>
      <c r="DU40" s="11">
        <f t="shared" si="108"/>
        <v>0</v>
      </c>
      <c r="DV40" s="11">
        <f t="shared" si="109"/>
        <v>0</v>
      </c>
      <c r="DW40" s="11">
        <f t="shared" si="110"/>
        <v>0</v>
      </c>
      <c r="DX40" s="11">
        <f t="shared" si="111"/>
        <v>0</v>
      </c>
      <c r="DY40" s="11">
        <f t="shared" si="112"/>
        <v>0</v>
      </c>
      <c r="DZ40" s="11">
        <f t="shared" si="113"/>
        <v>0</v>
      </c>
      <c r="EA40" s="11">
        <f t="shared" si="114"/>
        <v>0</v>
      </c>
      <c r="EB40" s="11">
        <f t="shared" si="115"/>
        <v>0</v>
      </c>
      <c r="EC40" s="11">
        <f t="shared" si="116"/>
        <v>0</v>
      </c>
      <c r="ED40" s="11">
        <f t="shared" si="117"/>
        <v>0</v>
      </c>
      <c r="EE40" s="11">
        <f t="shared" si="118"/>
        <v>0</v>
      </c>
    </row>
    <row r="41" spans="1:135" ht="15" customHeight="1" x14ac:dyDescent="0.2">
      <c r="A41" s="5" t="s">
        <v>1878</v>
      </c>
      <c r="B41" s="5" t="s">
        <v>1879</v>
      </c>
      <c r="C41" s="5" t="s">
        <v>1880</v>
      </c>
      <c r="D41" s="5" t="s">
        <v>1880</v>
      </c>
      <c r="E41" s="5"/>
      <c r="F41" s="5"/>
      <c r="G41" s="5"/>
      <c r="H41" s="5" t="s">
        <v>114</v>
      </c>
      <c r="I41" s="5" t="s">
        <v>1317</v>
      </c>
      <c r="J41" s="5" t="s">
        <v>1882</v>
      </c>
      <c r="K41" s="5"/>
      <c r="L41" s="5" t="s">
        <v>119</v>
      </c>
      <c r="M41" s="5" t="s">
        <v>1494</v>
      </c>
      <c r="N41" s="5" t="s">
        <v>119</v>
      </c>
      <c r="O41" s="5" t="s">
        <v>120</v>
      </c>
      <c r="P41" s="5" t="s">
        <v>1881</v>
      </c>
      <c r="Q41" s="10" t="str">
        <f t="shared" si="0"/>
        <v>Other</v>
      </c>
      <c r="R41" s="10" t="str">
        <f t="shared" si="1"/>
        <v>Unspecified</v>
      </c>
      <c r="S41" s="10" t="str">
        <f t="shared" si="2"/>
        <v>All-comers</v>
      </c>
      <c r="T41" s="10">
        <f t="shared" si="3"/>
        <v>1</v>
      </c>
      <c r="U41" s="10">
        <f t="shared" si="4"/>
        <v>0</v>
      </c>
      <c r="V41" s="11">
        <f t="shared" si="5"/>
        <v>0</v>
      </c>
      <c r="W41" s="11">
        <f t="shared" si="6"/>
        <v>0</v>
      </c>
      <c r="X41" s="11">
        <f t="shared" si="7"/>
        <v>0</v>
      </c>
      <c r="Y41" s="11">
        <f t="shared" si="8"/>
        <v>0</v>
      </c>
      <c r="Z41" s="11">
        <f t="shared" si="9"/>
        <v>0</v>
      </c>
      <c r="AA41" s="11">
        <f t="shared" si="10"/>
        <v>0</v>
      </c>
      <c r="AB41" s="11">
        <f t="shared" si="11"/>
        <v>0</v>
      </c>
      <c r="AC41" s="11">
        <f t="shared" si="12"/>
        <v>0</v>
      </c>
      <c r="AD41" s="11">
        <f t="shared" si="13"/>
        <v>0</v>
      </c>
      <c r="AE41" s="11">
        <f t="shared" si="14"/>
        <v>0</v>
      </c>
      <c r="AF41" s="11">
        <f t="shared" si="15"/>
        <v>0</v>
      </c>
      <c r="AG41" s="11">
        <f t="shared" si="16"/>
        <v>0</v>
      </c>
      <c r="AH41" s="11">
        <f t="shared" si="17"/>
        <v>0</v>
      </c>
      <c r="AI41" s="11">
        <f t="shared" si="18"/>
        <v>0</v>
      </c>
      <c r="AJ41" s="11">
        <f t="shared" si="19"/>
        <v>0</v>
      </c>
      <c r="AK41" s="11">
        <f t="shared" si="20"/>
        <v>0</v>
      </c>
      <c r="AL41" s="11">
        <f t="shared" si="21"/>
        <v>0</v>
      </c>
      <c r="AM41" s="11">
        <f t="shared" si="22"/>
        <v>0</v>
      </c>
      <c r="AN41" s="11">
        <f t="shared" si="23"/>
        <v>0</v>
      </c>
      <c r="AO41" s="11">
        <f t="shared" si="24"/>
        <v>0</v>
      </c>
      <c r="AP41" s="11">
        <f t="shared" si="25"/>
        <v>0</v>
      </c>
      <c r="AQ41" s="11">
        <f t="shared" si="26"/>
        <v>0</v>
      </c>
      <c r="AR41" s="11">
        <f t="shared" si="27"/>
        <v>0</v>
      </c>
      <c r="AS41" s="11">
        <f t="shared" si="28"/>
        <v>0</v>
      </c>
      <c r="AT41" s="11">
        <f t="shared" si="29"/>
        <v>0</v>
      </c>
      <c r="AU41" s="11">
        <f t="shared" si="30"/>
        <v>0</v>
      </c>
      <c r="AV41" s="11">
        <f t="shared" si="31"/>
        <v>0</v>
      </c>
      <c r="AW41" s="11">
        <f t="shared" si="32"/>
        <v>0</v>
      </c>
      <c r="AX41" s="11">
        <f t="shared" si="33"/>
        <v>0</v>
      </c>
      <c r="AY41" s="11">
        <f t="shared" si="34"/>
        <v>0</v>
      </c>
      <c r="AZ41" s="11">
        <f t="shared" si="35"/>
        <v>0</v>
      </c>
      <c r="BA41" s="11">
        <f t="shared" si="36"/>
        <v>0</v>
      </c>
      <c r="BB41" s="11">
        <f t="shared" si="37"/>
        <v>0</v>
      </c>
      <c r="BC41" s="11">
        <f t="shared" si="38"/>
        <v>0</v>
      </c>
      <c r="BD41" s="11">
        <f t="shared" si="39"/>
        <v>0</v>
      </c>
      <c r="BE41" s="11">
        <f t="shared" si="40"/>
        <v>0</v>
      </c>
      <c r="BF41" s="11">
        <f t="shared" si="41"/>
        <v>0</v>
      </c>
      <c r="BG41" s="11">
        <f t="shared" si="42"/>
        <v>0</v>
      </c>
      <c r="BH41" s="11">
        <f t="shared" si="43"/>
        <v>1</v>
      </c>
      <c r="BI41" s="11">
        <f t="shared" si="44"/>
        <v>0</v>
      </c>
      <c r="BJ41" s="11">
        <f t="shared" si="45"/>
        <v>0</v>
      </c>
      <c r="BK41" s="11">
        <f t="shared" si="46"/>
        <v>0</v>
      </c>
      <c r="BL41" s="11">
        <f t="shared" si="47"/>
        <v>0</v>
      </c>
      <c r="BM41" s="11">
        <f t="shared" si="48"/>
        <v>0</v>
      </c>
      <c r="BN41" s="11">
        <f t="shared" si="49"/>
        <v>0</v>
      </c>
      <c r="BO41" s="11">
        <f t="shared" si="50"/>
        <v>0</v>
      </c>
      <c r="BP41" s="11">
        <f t="shared" si="51"/>
        <v>0</v>
      </c>
      <c r="BQ41" s="11">
        <f t="shared" si="52"/>
        <v>0</v>
      </c>
      <c r="BR41" s="11">
        <f t="shared" si="53"/>
        <v>0</v>
      </c>
      <c r="BS41" s="11">
        <f t="shared" si="54"/>
        <v>0</v>
      </c>
      <c r="BT41" s="11">
        <f t="shared" si="55"/>
        <v>0</v>
      </c>
      <c r="BU41" s="11">
        <f t="shared" si="56"/>
        <v>0</v>
      </c>
      <c r="BV41" s="11">
        <f t="shared" si="57"/>
        <v>0</v>
      </c>
      <c r="BW41" s="11">
        <f t="shared" si="58"/>
        <v>0</v>
      </c>
      <c r="BX41" s="11">
        <f t="shared" si="59"/>
        <v>0</v>
      </c>
      <c r="BY41" s="11">
        <f t="shared" si="60"/>
        <v>0</v>
      </c>
      <c r="BZ41" s="11">
        <f t="shared" si="61"/>
        <v>0</v>
      </c>
      <c r="CA41" s="11">
        <f t="shared" si="62"/>
        <v>0</v>
      </c>
      <c r="CB41" s="11">
        <f t="shared" si="63"/>
        <v>0</v>
      </c>
      <c r="CC41" s="11">
        <f t="shared" si="64"/>
        <v>0</v>
      </c>
      <c r="CD41" s="11">
        <f t="shared" si="65"/>
        <v>0</v>
      </c>
      <c r="CE41" s="11">
        <f t="shared" si="66"/>
        <v>0</v>
      </c>
      <c r="CF41" s="11">
        <f t="shared" si="67"/>
        <v>0</v>
      </c>
      <c r="CG41" s="11">
        <f t="shared" si="68"/>
        <v>0</v>
      </c>
      <c r="CH41" s="11">
        <f t="shared" si="69"/>
        <v>0</v>
      </c>
      <c r="CI41" s="11">
        <f t="shared" si="70"/>
        <v>0</v>
      </c>
      <c r="CJ41" s="11">
        <f t="shared" si="71"/>
        <v>0</v>
      </c>
      <c r="CK41" s="11">
        <f t="shared" si="72"/>
        <v>0</v>
      </c>
      <c r="CL41" s="11">
        <f t="shared" si="73"/>
        <v>0</v>
      </c>
      <c r="CM41" s="11">
        <f t="shared" si="74"/>
        <v>0</v>
      </c>
      <c r="CN41" s="11">
        <f t="shared" si="75"/>
        <v>0</v>
      </c>
      <c r="CO41" s="11">
        <f t="shared" si="76"/>
        <v>0</v>
      </c>
      <c r="CP41" s="11">
        <f t="shared" si="77"/>
        <v>0</v>
      </c>
      <c r="CQ41" s="11">
        <f t="shared" si="78"/>
        <v>0</v>
      </c>
      <c r="CR41" s="11">
        <f t="shared" si="79"/>
        <v>0</v>
      </c>
      <c r="CS41" s="11">
        <f t="shared" si="80"/>
        <v>0</v>
      </c>
      <c r="CT41" s="11">
        <f t="shared" si="81"/>
        <v>0</v>
      </c>
      <c r="CU41" s="11">
        <f t="shared" si="82"/>
        <v>0</v>
      </c>
      <c r="CV41" s="11">
        <f t="shared" si="83"/>
        <v>0</v>
      </c>
      <c r="CW41" s="11">
        <f t="shared" si="84"/>
        <v>0</v>
      </c>
      <c r="CX41" s="11">
        <f t="shared" si="85"/>
        <v>0</v>
      </c>
      <c r="CY41" s="11">
        <f t="shared" si="86"/>
        <v>0</v>
      </c>
      <c r="CZ41" s="11">
        <f t="shared" si="87"/>
        <v>0</v>
      </c>
      <c r="DA41" s="11">
        <f t="shared" si="88"/>
        <v>0</v>
      </c>
      <c r="DB41" s="11">
        <f t="shared" si="89"/>
        <v>0</v>
      </c>
      <c r="DC41" s="11">
        <f t="shared" si="90"/>
        <v>0</v>
      </c>
      <c r="DD41" s="11">
        <f t="shared" si="91"/>
        <v>0</v>
      </c>
      <c r="DE41" s="11">
        <f t="shared" si="92"/>
        <v>0</v>
      </c>
      <c r="DF41" s="11">
        <f t="shared" si="93"/>
        <v>0</v>
      </c>
      <c r="DG41" s="11">
        <f t="shared" si="94"/>
        <v>0</v>
      </c>
      <c r="DH41" s="11">
        <f t="shared" si="95"/>
        <v>0</v>
      </c>
      <c r="DI41" s="11">
        <f t="shared" si="96"/>
        <v>0</v>
      </c>
      <c r="DJ41" s="11">
        <f t="shared" si="97"/>
        <v>0</v>
      </c>
      <c r="DK41" s="11">
        <f t="shared" si="98"/>
        <v>0</v>
      </c>
      <c r="DL41" s="11">
        <f t="shared" si="99"/>
        <v>0</v>
      </c>
      <c r="DM41" s="11">
        <f t="shared" si="100"/>
        <v>0</v>
      </c>
      <c r="DN41" s="11">
        <f t="shared" si="101"/>
        <v>0</v>
      </c>
      <c r="DO41" s="11">
        <f t="shared" si="102"/>
        <v>0</v>
      </c>
      <c r="DP41" s="11">
        <f t="shared" si="103"/>
        <v>0</v>
      </c>
      <c r="DQ41" s="11">
        <f t="shared" si="104"/>
        <v>0</v>
      </c>
      <c r="DR41" s="11">
        <f t="shared" si="105"/>
        <v>0</v>
      </c>
      <c r="DS41" s="11">
        <f t="shared" si="106"/>
        <v>0</v>
      </c>
      <c r="DT41" s="11">
        <f t="shared" si="107"/>
        <v>0</v>
      </c>
      <c r="DU41" s="11">
        <f t="shared" si="108"/>
        <v>0</v>
      </c>
      <c r="DV41" s="11">
        <f t="shared" si="109"/>
        <v>0</v>
      </c>
      <c r="DW41" s="11">
        <f t="shared" si="110"/>
        <v>0</v>
      </c>
      <c r="DX41" s="11">
        <f t="shared" si="111"/>
        <v>0</v>
      </c>
      <c r="DY41" s="11">
        <f t="shared" si="112"/>
        <v>0</v>
      </c>
      <c r="DZ41" s="11">
        <f t="shared" si="113"/>
        <v>0</v>
      </c>
      <c r="EA41" s="11">
        <f t="shared" si="114"/>
        <v>0</v>
      </c>
      <c r="EB41" s="11">
        <f t="shared" si="115"/>
        <v>0</v>
      </c>
      <c r="EC41" s="11">
        <f t="shared" si="116"/>
        <v>0</v>
      </c>
      <c r="ED41" s="11">
        <f t="shared" si="117"/>
        <v>0</v>
      </c>
      <c r="EE41" s="11">
        <f t="shared" si="118"/>
        <v>0</v>
      </c>
    </row>
    <row r="42" spans="1:135" ht="15" customHeight="1" x14ac:dyDescent="0.2">
      <c r="A42" s="3" t="s">
        <v>1307</v>
      </c>
      <c r="B42" s="3" t="s">
        <v>1308</v>
      </c>
      <c r="C42" s="3" t="s">
        <v>1309</v>
      </c>
      <c r="D42" s="3" t="s">
        <v>1309</v>
      </c>
      <c r="E42" s="3"/>
      <c r="F42" s="3"/>
      <c r="G42" s="3"/>
      <c r="H42" s="3" t="s">
        <v>114</v>
      </c>
      <c r="I42" s="3" t="s">
        <v>162</v>
      </c>
      <c r="J42" s="3" t="s">
        <v>161</v>
      </c>
      <c r="K42" s="3" t="s">
        <v>232</v>
      </c>
      <c r="L42" s="3" t="s">
        <v>119</v>
      </c>
      <c r="M42" s="3" t="s">
        <v>1494</v>
      </c>
      <c r="N42" s="3" t="s">
        <v>119</v>
      </c>
      <c r="O42" s="3" t="s">
        <v>120</v>
      </c>
      <c r="P42" s="3" t="s">
        <v>1884</v>
      </c>
      <c r="Q42" s="10" t="str">
        <f t="shared" si="0"/>
        <v>Other</v>
      </c>
      <c r="R42" s="10" t="str">
        <f t="shared" si="1"/>
        <v>Unspecified</v>
      </c>
      <c r="S42" s="10" t="str">
        <f t="shared" si="2"/>
        <v>All-comers</v>
      </c>
      <c r="T42" s="10">
        <f t="shared" si="3"/>
        <v>1</v>
      </c>
      <c r="U42" s="10">
        <f t="shared" si="4"/>
        <v>0</v>
      </c>
      <c r="V42" s="11">
        <f t="shared" si="5"/>
        <v>0</v>
      </c>
      <c r="W42" s="11">
        <f t="shared" si="6"/>
        <v>0</v>
      </c>
      <c r="X42" s="11">
        <f t="shared" si="7"/>
        <v>0</v>
      </c>
      <c r="Y42" s="11">
        <f t="shared" si="8"/>
        <v>0</v>
      </c>
      <c r="Z42" s="11">
        <f t="shared" si="9"/>
        <v>0</v>
      </c>
      <c r="AA42" s="11">
        <f t="shared" si="10"/>
        <v>0</v>
      </c>
      <c r="AB42" s="11">
        <f t="shared" si="11"/>
        <v>0</v>
      </c>
      <c r="AC42" s="11">
        <f t="shared" si="12"/>
        <v>0</v>
      </c>
      <c r="AD42" s="11">
        <f t="shared" si="13"/>
        <v>0</v>
      </c>
      <c r="AE42" s="11">
        <f t="shared" si="14"/>
        <v>0</v>
      </c>
      <c r="AF42" s="11">
        <f t="shared" si="15"/>
        <v>1</v>
      </c>
      <c r="AG42" s="11">
        <f t="shared" si="16"/>
        <v>0</v>
      </c>
      <c r="AH42" s="11">
        <f t="shared" si="17"/>
        <v>0</v>
      </c>
      <c r="AI42" s="11">
        <f t="shared" si="18"/>
        <v>0</v>
      </c>
      <c r="AJ42" s="11">
        <f t="shared" si="19"/>
        <v>0</v>
      </c>
      <c r="AK42" s="11">
        <f t="shared" si="20"/>
        <v>0</v>
      </c>
      <c r="AL42" s="11">
        <f t="shared" si="21"/>
        <v>0</v>
      </c>
      <c r="AM42" s="11">
        <f t="shared" si="22"/>
        <v>1</v>
      </c>
      <c r="AN42" s="11">
        <f t="shared" si="23"/>
        <v>0</v>
      </c>
      <c r="AO42" s="11">
        <f t="shared" si="24"/>
        <v>0</v>
      </c>
      <c r="AP42" s="11">
        <f t="shared" si="25"/>
        <v>0</v>
      </c>
      <c r="AQ42" s="11">
        <f t="shared" si="26"/>
        <v>1</v>
      </c>
      <c r="AR42" s="11">
        <f t="shared" si="27"/>
        <v>0</v>
      </c>
      <c r="AS42" s="11">
        <f t="shared" si="28"/>
        <v>0</v>
      </c>
      <c r="AT42" s="11">
        <f t="shared" si="29"/>
        <v>0</v>
      </c>
      <c r="AU42" s="11">
        <f t="shared" si="30"/>
        <v>0</v>
      </c>
      <c r="AV42" s="11">
        <f t="shared" si="31"/>
        <v>0</v>
      </c>
      <c r="AW42" s="11">
        <f t="shared" si="32"/>
        <v>0</v>
      </c>
      <c r="AX42" s="11">
        <f t="shared" si="33"/>
        <v>0</v>
      </c>
      <c r="AY42" s="11">
        <f t="shared" si="34"/>
        <v>0</v>
      </c>
      <c r="AZ42" s="11">
        <f t="shared" si="35"/>
        <v>0</v>
      </c>
      <c r="BA42" s="11">
        <f t="shared" si="36"/>
        <v>0</v>
      </c>
      <c r="BB42" s="11">
        <f t="shared" si="37"/>
        <v>0</v>
      </c>
      <c r="BC42" s="11">
        <f t="shared" si="38"/>
        <v>0</v>
      </c>
      <c r="BD42" s="11">
        <f t="shared" si="39"/>
        <v>0</v>
      </c>
      <c r="BE42" s="11">
        <f t="shared" si="40"/>
        <v>0</v>
      </c>
      <c r="BF42" s="11">
        <f t="shared" si="41"/>
        <v>0</v>
      </c>
      <c r="BG42" s="11">
        <f t="shared" si="42"/>
        <v>0</v>
      </c>
      <c r="BH42" s="11">
        <f t="shared" si="43"/>
        <v>0</v>
      </c>
      <c r="BI42" s="11">
        <f t="shared" si="44"/>
        <v>0</v>
      </c>
      <c r="BJ42" s="11">
        <f t="shared" si="45"/>
        <v>0</v>
      </c>
      <c r="BK42" s="11">
        <f t="shared" si="46"/>
        <v>0</v>
      </c>
      <c r="BL42" s="11">
        <f t="shared" si="47"/>
        <v>0</v>
      </c>
      <c r="BM42" s="11">
        <f t="shared" si="48"/>
        <v>0</v>
      </c>
      <c r="BN42" s="11">
        <f t="shared" si="49"/>
        <v>0</v>
      </c>
      <c r="BO42" s="11">
        <f t="shared" si="50"/>
        <v>0</v>
      </c>
      <c r="BP42" s="11">
        <f t="shared" si="51"/>
        <v>0</v>
      </c>
      <c r="BQ42" s="11">
        <f t="shared" si="52"/>
        <v>0</v>
      </c>
      <c r="BR42" s="11">
        <f t="shared" si="53"/>
        <v>0</v>
      </c>
      <c r="BS42" s="11">
        <f t="shared" si="54"/>
        <v>0</v>
      </c>
      <c r="BT42" s="11">
        <f t="shared" si="55"/>
        <v>0</v>
      </c>
      <c r="BU42" s="11">
        <f t="shared" si="56"/>
        <v>0</v>
      </c>
      <c r="BV42" s="11">
        <f t="shared" si="57"/>
        <v>0</v>
      </c>
      <c r="BW42" s="11">
        <f t="shared" si="58"/>
        <v>0</v>
      </c>
      <c r="BX42" s="11">
        <f t="shared" si="59"/>
        <v>0</v>
      </c>
      <c r="BY42" s="11">
        <f t="shared" si="60"/>
        <v>0</v>
      </c>
      <c r="BZ42" s="11">
        <f t="shared" si="61"/>
        <v>0</v>
      </c>
      <c r="CA42" s="11">
        <f t="shared" si="62"/>
        <v>0</v>
      </c>
      <c r="CB42" s="11">
        <f t="shared" si="63"/>
        <v>0</v>
      </c>
      <c r="CC42" s="11">
        <f t="shared" si="64"/>
        <v>0</v>
      </c>
      <c r="CD42" s="11">
        <f t="shared" si="65"/>
        <v>0</v>
      </c>
      <c r="CE42" s="11">
        <f t="shared" si="66"/>
        <v>0</v>
      </c>
      <c r="CF42" s="11">
        <f t="shared" si="67"/>
        <v>0</v>
      </c>
      <c r="CG42" s="11">
        <f t="shared" si="68"/>
        <v>0</v>
      </c>
      <c r="CH42" s="11">
        <f t="shared" si="69"/>
        <v>0</v>
      </c>
      <c r="CI42" s="11">
        <f t="shared" si="70"/>
        <v>0</v>
      </c>
      <c r="CJ42" s="11">
        <f t="shared" si="71"/>
        <v>0</v>
      </c>
      <c r="CK42" s="11">
        <f t="shared" si="72"/>
        <v>0</v>
      </c>
      <c r="CL42" s="11">
        <f t="shared" si="73"/>
        <v>0</v>
      </c>
      <c r="CM42" s="11">
        <f t="shared" si="74"/>
        <v>0</v>
      </c>
      <c r="CN42" s="11">
        <f t="shared" si="75"/>
        <v>0</v>
      </c>
      <c r="CO42" s="11">
        <f t="shared" si="76"/>
        <v>0</v>
      </c>
      <c r="CP42" s="11">
        <f t="shared" si="77"/>
        <v>0</v>
      </c>
      <c r="CQ42" s="11">
        <f t="shared" si="78"/>
        <v>0</v>
      </c>
      <c r="CR42" s="11">
        <f t="shared" si="79"/>
        <v>1</v>
      </c>
      <c r="CS42" s="11">
        <f t="shared" si="80"/>
        <v>0</v>
      </c>
      <c r="CT42" s="11">
        <f t="shared" si="81"/>
        <v>0</v>
      </c>
      <c r="CU42" s="11">
        <f t="shared" si="82"/>
        <v>0</v>
      </c>
      <c r="CV42" s="11">
        <f t="shared" si="83"/>
        <v>0</v>
      </c>
      <c r="CW42" s="11">
        <f t="shared" si="84"/>
        <v>0</v>
      </c>
      <c r="CX42" s="11">
        <f t="shared" si="85"/>
        <v>0</v>
      </c>
      <c r="CY42" s="11">
        <f t="shared" si="86"/>
        <v>0</v>
      </c>
      <c r="CZ42" s="11">
        <f t="shared" si="87"/>
        <v>0</v>
      </c>
      <c r="DA42" s="11">
        <f t="shared" si="88"/>
        <v>0</v>
      </c>
      <c r="DB42" s="11">
        <f t="shared" si="89"/>
        <v>0</v>
      </c>
      <c r="DC42" s="11">
        <f t="shared" si="90"/>
        <v>0</v>
      </c>
      <c r="DD42" s="11">
        <f t="shared" si="91"/>
        <v>0</v>
      </c>
      <c r="DE42" s="11">
        <f t="shared" si="92"/>
        <v>0</v>
      </c>
      <c r="DF42" s="11">
        <f t="shared" si="93"/>
        <v>0</v>
      </c>
      <c r="DG42" s="11">
        <f t="shared" si="94"/>
        <v>0</v>
      </c>
      <c r="DH42" s="11">
        <f t="shared" si="95"/>
        <v>0</v>
      </c>
      <c r="DI42" s="11">
        <f t="shared" si="96"/>
        <v>0</v>
      </c>
      <c r="DJ42" s="11">
        <f t="shared" si="97"/>
        <v>0</v>
      </c>
      <c r="DK42" s="11">
        <f t="shared" si="98"/>
        <v>0</v>
      </c>
      <c r="DL42" s="11">
        <f t="shared" si="99"/>
        <v>0</v>
      </c>
      <c r="DM42" s="11">
        <f t="shared" si="100"/>
        <v>0</v>
      </c>
      <c r="DN42" s="11">
        <f t="shared" si="101"/>
        <v>0</v>
      </c>
      <c r="DO42" s="11">
        <f t="shared" si="102"/>
        <v>0</v>
      </c>
      <c r="DP42" s="11">
        <f t="shared" si="103"/>
        <v>0</v>
      </c>
      <c r="DQ42" s="11">
        <f t="shared" si="104"/>
        <v>0</v>
      </c>
      <c r="DR42" s="11">
        <f t="shared" si="105"/>
        <v>0</v>
      </c>
      <c r="DS42" s="11">
        <f t="shared" si="106"/>
        <v>0</v>
      </c>
      <c r="DT42" s="11">
        <f t="shared" si="107"/>
        <v>0</v>
      </c>
      <c r="DU42" s="11">
        <f t="shared" si="108"/>
        <v>0</v>
      </c>
      <c r="DV42" s="11">
        <f t="shared" si="109"/>
        <v>0</v>
      </c>
      <c r="DW42" s="11">
        <f t="shared" si="110"/>
        <v>0</v>
      </c>
      <c r="DX42" s="11">
        <f t="shared" si="111"/>
        <v>0</v>
      </c>
      <c r="DY42" s="11">
        <f t="shared" si="112"/>
        <v>0</v>
      </c>
      <c r="DZ42" s="11">
        <f t="shared" si="113"/>
        <v>0</v>
      </c>
      <c r="EA42" s="11">
        <f t="shared" si="114"/>
        <v>0</v>
      </c>
      <c r="EB42" s="11">
        <f t="shared" si="115"/>
        <v>0</v>
      </c>
      <c r="EC42" s="11">
        <f t="shared" si="116"/>
        <v>0</v>
      </c>
      <c r="ED42" s="11">
        <f t="shared" si="117"/>
        <v>0</v>
      </c>
      <c r="EE42" s="11">
        <f t="shared" si="118"/>
        <v>0</v>
      </c>
    </row>
    <row r="43" spans="1:135" ht="15" customHeight="1" x14ac:dyDescent="0.2">
      <c r="A43" s="5" t="s">
        <v>1242</v>
      </c>
      <c r="B43" s="5" t="s">
        <v>1243</v>
      </c>
      <c r="C43" s="5" t="s">
        <v>1244</v>
      </c>
      <c r="D43" s="5" t="s">
        <v>1244</v>
      </c>
      <c r="E43" s="5"/>
      <c r="F43" s="5"/>
      <c r="G43" s="5" t="s">
        <v>181</v>
      </c>
      <c r="H43" s="5" t="s">
        <v>114</v>
      </c>
      <c r="I43" s="5" t="s">
        <v>355</v>
      </c>
      <c r="J43" s="5" t="s">
        <v>1246</v>
      </c>
      <c r="K43" s="5"/>
      <c r="L43" s="5" t="s">
        <v>119</v>
      </c>
      <c r="M43" s="5" t="s">
        <v>1494</v>
      </c>
      <c r="N43" s="5" t="s">
        <v>120</v>
      </c>
      <c r="O43" s="5" t="s">
        <v>120</v>
      </c>
      <c r="P43" s="5" t="s">
        <v>1885</v>
      </c>
      <c r="Q43" s="10" t="str">
        <f t="shared" si="0"/>
        <v>Other</v>
      </c>
      <c r="R43" s="10" t="str">
        <f t="shared" si="1"/>
        <v>Non-squamous</v>
      </c>
      <c r="S43" s="10" t="str">
        <f t="shared" si="2"/>
        <v>All-comers</v>
      </c>
      <c r="T43" s="10">
        <f t="shared" si="3"/>
        <v>1</v>
      </c>
      <c r="U43" s="10">
        <f t="shared" si="4"/>
        <v>0</v>
      </c>
      <c r="V43" s="11">
        <f t="shared" si="5"/>
        <v>0</v>
      </c>
      <c r="W43" s="11">
        <f t="shared" si="6"/>
        <v>0</v>
      </c>
      <c r="X43" s="11">
        <f t="shared" si="7"/>
        <v>0</v>
      </c>
      <c r="Y43" s="11">
        <f t="shared" si="8"/>
        <v>1</v>
      </c>
      <c r="Z43" s="11">
        <f t="shared" si="9"/>
        <v>0</v>
      </c>
      <c r="AA43" s="11">
        <f t="shared" si="10"/>
        <v>1</v>
      </c>
      <c r="AB43" s="11">
        <f t="shared" si="11"/>
        <v>0</v>
      </c>
      <c r="AC43" s="11">
        <f t="shared" si="12"/>
        <v>0</v>
      </c>
      <c r="AD43" s="11">
        <f t="shared" si="13"/>
        <v>0</v>
      </c>
      <c r="AE43" s="11">
        <f t="shared" si="14"/>
        <v>0</v>
      </c>
      <c r="AF43" s="11">
        <f t="shared" si="15"/>
        <v>0</v>
      </c>
      <c r="AG43" s="11">
        <f t="shared" si="16"/>
        <v>0</v>
      </c>
      <c r="AH43" s="11">
        <f t="shared" si="17"/>
        <v>0</v>
      </c>
      <c r="AI43" s="11">
        <f t="shared" si="18"/>
        <v>0</v>
      </c>
      <c r="AJ43" s="11">
        <f t="shared" si="19"/>
        <v>0</v>
      </c>
      <c r="AK43" s="11">
        <f t="shared" si="20"/>
        <v>0</v>
      </c>
      <c r="AL43" s="11">
        <f t="shared" si="21"/>
        <v>0</v>
      </c>
      <c r="AM43" s="11">
        <f t="shared" si="22"/>
        <v>0</v>
      </c>
      <c r="AN43" s="11">
        <f t="shared" si="23"/>
        <v>0</v>
      </c>
      <c r="AO43" s="11">
        <f t="shared" si="24"/>
        <v>0</v>
      </c>
      <c r="AP43" s="11">
        <f t="shared" si="25"/>
        <v>0</v>
      </c>
      <c r="AQ43" s="11">
        <f t="shared" si="26"/>
        <v>0</v>
      </c>
      <c r="AR43" s="11">
        <f t="shared" si="27"/>
        <v>0</v>
      </c>
      <c r="AS43" s="11">
        <f t="shared" si="28"/>
        <v>0</v>
      </c>
      <c r="AT43" s="11">
        <f t="shared" si="29"/>
        <v>0</v>
      </c>
      <c r="AU43" s="11">
        <f t="shared" si="30"/>
        <v>0</v>
      </c>
      <c r="AV43" s="11">
        <f t="shared" si="31"/>
        <v>0</v>
      </c>
      <c r="AW43" s="11">
        <f t="shared" si="32"/>
        <v>0</v>
      </c>
      <c r="AX43" s="11">
        <f t="shared" si="33"/>
        <v>0</v>
      </c>
      <c r="AY43" s="11">
        <f t="shared" si="34"/>
        <v>0</v>
      </c>
      <c r="AZ43" s="11">
        <f t="shared" si="35"/>
        <v>0</v>
      </c>
      <c r="BA43" s="11">
        <f t="shared" si="36"/>
        <v>0</v>
      </c>
      <c r="BB43" s="11">
        <f t="shared" si="37"/>
        <v>0</v>
      </c>
      <c r="BC43" s="11">
        <f t="shared" si="38"/>
        <v>0</v>
      </c>
      <c r="BD43" s="11">
        <f t="shared" si="39"/>
        <v>0</v>
      </c>
      <c r="BE43" s="11">
        <f t="shared" si="40"/>
        <v>0</v>
      </c>
      <c r="BF43" s="11">
        <f t="shared" si="41"/>
        <v>0</v>
      </c>
      <c r="BG43" s="11">
        <f t="shared" si="42"/>
        <v>0</v>
      </c>
      <c r="BH43" s="11">
        <f t="shared" si="43"/>
        <v>0</v>
      </c>
      <c r="BI43" s="11">
        <f t="shared" si="44"/>
        <v>0</v>
      </c>
      <c r="BJ43" s="11">
        <f t="shared" si="45"/>
        <v>0</v>
      </c>
      <c r="BK43" s="11">
        <f t="shared" si="46"/>
        <v>0</v>
      </c>
      <c r="BL43" s="11">
        <f t="shared" si="47"/>
        <v>0</v>
      </c>
      <c r="BM43" s="11">
        <f t="shared" si="48"/>
        <v>0</v>
      </c>
      <c r="BN43" s="11">
        <f t="shared" si="49"/>
        <v>0</v>
      </c>
      <c r="BO43" s="11">
        <f t="shared" si="50"/>
        <v>0</v>
      </c>
      <c r="BP43" s="11">
        <f t="shared" si="51"/>
        <v>0</v>
      </c>
      <c r="BQ43" s="11">
        <f t="shared" si="52"/>
        <v>0</v>
      </c>
      <c r="BR43" s="11">
        <f t="shared" si="53"/>
        <v>0</v>
      </c>
      <c r="BS43" s="11">
        <f t="shared" si="54"/>
        <v>1</v>
      </c>
      <c r="BT43" s="11">
        <f t="shared" si="55"/>
        <v>0</v>
      </c>
      <c r="BU43" s="11">
        <f t="shared" si="56"/>
        <v>0</v>
      </c>
      <c r="BV43" s="11">
        <f t="shared" si="57"/>
        <v>0</v>
      </c>
      <c r="BW43" s="11">
        <f t="shared" si="58"/>
        <v>0</v>
      </c>
      <c r="BX43" s="11">
        <f t="shared" si="59"/>
        <v>0</v>
      </c>
      <c r="BY43" s="11">
        <f t="shared" si="60"/>
        <v>0</v>
      </c>
      <c r="BZ43" s="11">
        <f t="shared" si="61"/>
        <v>0</v>
      </c>
      <c r="CA43" s="11">
        <f t="shared" si="62"/>
        <v>0</v>
      </c>
      <c r="CB43" s="11">
        <f t="shared" si="63"/>
        <v>0</v>
      </c>
      <c r="CC43" s="11">
        <f t="shared" si="64"/>
        <v>0</v>
      </c>
      <c r="CD43" s="11">
        <f t="shared" si="65"/>
        <v>0</v>
      </c>
      <c r="CE43" s="11">
        <f t="shared" si="66"/>
        <v>0</v>
      </c>
      <c r="CF43" s="11">
        <f t="shared" si="67"/>
        <v>0</v>
      </c>
      <c r="CG43" s="11">
        <f t="shared" si="68"/>
        <v>0</v>
      </c>
      <c r="CH43" s="11">
        <f t="shared" si="69"/>
        <v>0</v>
      </c>
      <c r="CI43" s="11">
        <f t="shared" si="70"/>
        <v>0</v>
      </c>
      <c r="CJ43" s="11">
        <f t="shared" si="71"/>
        <v>0</v>
      </c>
      <c r="CK43" s="11">
        <f t="shared" si="72"/>
        <v>0</v>
      </c>
      <c r="CL43" s="11">
        <f t="shared" si="73"/>
        <v>0</v>
      </c>
      <c r="CM43" s="11">
        <f t="shared" si="74"/>
        <v>0</v>
      </c>
      <c r="CN43" s="11">
        <f t="shared" si="75"/>
        <v>0</v>
      </c>
      <c r="CO43" s="11">
        <f t="shared" si="76"/>
        <v>0</v>
      </c>
      <c r="CP43" s="11">
        <f t="shared" si="77"/>
        <v>0</v>
      </c>
      <c r="CQ43" s="11">
        <f t="shared" si="78"/>
        <v>0</v>
      </c>
      <c r="CR43" s="11">
        <f t="shared" si="79"/>
        <v>0</v>
      </c>
      <c r="CS43" s="11">
        <f t="shared" si="80"/>
        <v>0</v>
      </c>
      <c r="CT43" s="11">
        <f t="shared" si="81"/>
        <v>0</v>
      </c>
      <c r="CU43" s="11">
        <f t="shared" si="82"/>
        <v>0</v>
      </c>
      <c r="CV43" s="11">
        <f t="shared" si="83"/>
        <v>0</v>
      </c>
      <c r="CW43" s="11">
        <f t="shared" si="84"/>
        <v>0</v>
      </c>
      <c r="CX43" s="11">
        <f t="shared" si="85"/>
        <v>0</v>
      </c>
      <c r="CY43" s="11">
        <f t="shared" si="86"/>
        <v>0</v>
      </c>
      <c r="CZ43" s="11">
        <f t="shared" si="87"/>
        <v>0</v>
      </c>
      <c r="DA43" s="11">
        <f t="shared" si="88"/>
        <v>0</v>
      </c>
      <c r="DB43" s="11">
        <f t="shared" si="89"/>
        <v>0</v>
      </c>
      <c r="DC43" s="11">
        <f t="shared" si="90"/>
        <v>0</v>
      </c>
      <c r="DD43" s="11">
        <f t="shared" si="91"/>
        <v>0</v>
      </c>
      <c r="DE43" s="11">
        <f t="shared" si="92"/>
        <v>0</v>
      </c>
      <c r="DF43" s="11">
        <f t="shared" si="93"/>
        <v>0</v>
      </c>
      <c r="DG43" s="11">
        <f t="shared" si="94"/>
        <v>0</v>
      </c>
      <c r="DH43" s="11">
        <f t="shared" si="95"/>
        <v>0</v>
      </c>
      <c r="DI43" s="11">
        <f t="shared" si="96"/>
        <v>0</v>
      </c>
      <c r="DJ43" s="11">
        <f t="shared" si="97"/>
        <v>0</v>
      </c>
      <c r="DK43" s="11">
        <f t="shared" si="98"/>
        <v>0</v>
      </c>
      <c r="DL43" s="11">
        <f t="shared" si="99"/>
        <v>0</v>
      </c>
      <c r="DM43" s="11">
        <f t="shared" si="100"/>
        <v>0</v>
      </c>
      <c r="DN43" s="11">
        <f t="shared" si="101"/>
        <v>0</v>
      </c>
      <c r="DO43" s="11">
        <f t="shared" si="102"/>
        <v>0</v>
      </c>
      <c r="DP43" s="11">
        <f t="shared" si="103"/>
        <v>0</v>
      </c>
      <c r="DQ43" s="11">
        <f t="shared" si="104"/>
        <v>0</v>
      </c>
      <c r="DR43" s="11">
        <f t="shared" si="105"/>
        <v>0</v>
      </c>
      <c r="DS43" s="11">
        <f t="shared" si="106"/>
        <v>0</v>
      </c>
      <c r="DT43" s="11">
        <f t="shared" si="107"/>
        <v>0</v>
      </c>
      <c r="DU43" s="11">
        <f t="shared" si="108"/>
        <v>0</v>
      </c>
      <c r="DV43" s="11">
        <f t="shared" si="109"/>
        <v>0</v>
      </c>
      <c r="DW43" s="11">
        <f t="shared" si="110"/>
        <v>0</v>
      </c>
      <c r="DX43" s="11">
        <f t="shared" si="111"/>
        <v>0</v>
      </c>
      <c r="DY43" s="11">
        <f t="shared" si="112"/>
        <v>0</v>
      </c>
      <c r="DZ43" s="11">
        <f t="shared" si="113"/>
        <v>0</v>
      </c>
      <c r="EA43" s="11">
        <f t="shared" si="114"/>
        <v>0</v>
      </c>
      <c r="EB43" s="11">
        <f t="shared" si="115"/>
        <v>0</v>
      </c>
      <c r="EC43" s="11">
        <f t="shared" si="116"/>
        <v>0</v>
      </c>
      <c r="ED43" s="11">
        <f t="shared" si="117"/>
        <v>0</v>
      </c>
      <c r="EE43" s="11">
        <f t="shared" si="118"/>
        <v>0</v>
      </c>
    </row>
    <row r="44" spans="1:135" ht="15" customHeight="1" x14ac:dyDescent="0.2">
      <c r="A44" s="3" t="s">
        <v>1242</v>
      </c>
      <c r="B44" s="3" t="s">
        <v>1243</v>
      </c>
      <c r="C44" s="3" t="s">
        <v>1244</v>
      </c>
      <c r="D44" s="3" t="s">
        <v>1244</v>
      </c>
      <c r="E44" s="3" t="s">
        <v>1244</v>
      </c>
      <c r="F44" s="3" t="s">
        <v>572</v>
      </c>
      <c r="G44" s="3" t="s">
        <v>260</v>
      </c>
      <c r="H44" s="3" t="s">
        <v>114</v>
      </c>
      <c r="I44" s="3" t="s">
        <v>355</v>
      </c>
      <c r="J44" s="3" t="s">
        <v>1246</v>
      </c>
      <c r="K44" s="3"/>
      <c r="L44" s="3" t="s">
        <v>119</v>
      </c>
      <c r="M44" s="3" t="s">
        <v>1494</v>
      </c>
      <c r="N44" s="3" t="s">
        <v>120</v>
      </c>
      <c r="O44" s="3" t="s">
        <v>120</v>
      </c>
      <c r="P44" s="3" t="s">
        <v>1886</v>
      </c>
      <c r="Q44" s="10" t="str">
        <f t="shared" si="0"/>
        <v>Stage IV + Other</v>
      </c>
      <c r="R44" s="10" t="str">
        <f t="shared" si="1"/>
        <v>Squamous</v>
      </c>
      <c r="S44" s="10" t="str">
        <f t="shared" si="2"/>
        <v>All-comers</v>
      </c>
      <c r="T44" s="10">
        <f t="shared" si="3"/>
        <v>1</v>
      </c>
      <c r="U44" s="10">
        <f t="shared" si="4"/>
        <v>0</v>
      </c>
      <c r="V44" s="11">
        <f t="shared" si="5"/>
        <v>0</v>
      </c>
      <c r="W44" s="11">
        <f t="shared" si="6"/>
        <v>0</v>
      </c>
      <c r="X44" s="11">
        <f t="shared" si="7"/>
        <v>0</v>
      </c>
      <c r="Y44" s="11">
        <f t="shared" si="8"/>
        <v>1</v>
      </c>
      <c r="Z44" s="11">
        <f t="shared" si="9"/>
        <v>0</v>
      </c>
      <c r="AA44" s="11">
        <f t="shared" si="10"/>
        <v>1</v>
      </c>
      <c r="AB44" s="11">
        <f t="shared" si="11"/>
        <v>0</v>
      </c>
      <c r="AC44" s="11">
        <f t="shared" si="12"/>
        <v>0</v>
      </c>
      <c r="AD44" s="11">
        <f t="shared" si="13"/>
        <v>0</v>
      </c>
      <c r="AE44" s="11">
        <f t="shared" si="14"/>
        <v>0</v>
      </c>
      <c r="AF44" s="11">
        <f t="shared" si="15"/>
        <v>0</v>
      </c>
      <c r="AG44" s="11">
        <f t="shared" si="16"/>
        <v>0</v>
      </c>
      <c r="AH44" s="11">
        <f t="shared" si="17"/>
        <v>0</v>
      </c>
      <c r="AI44" s="11">
        <f t="shared" si="18"/>
        <v>0</v>
      </c>
      <c r="AJ44" s="11">
        <f t="shared" si="19"/>
        <v>0</v>
      </c>
      <c r="AK44" s="11">
        <f t="shared" si="20"/>
        <v>0</v>
      </c>
      <c r="AL44" s="11">
        <f t="shared" si="21"/>
        <v>0</v>
      </c>
      <c r="AM44" s="11">
        <f t="shared" si="22"/>
        <v>0</v>
      </c>
      <c r="AN44" s="11">
        <f t="shared" si="23"/>
        <v>0</v>
      </c>
      <c r="AO44" s="11">
        <f t="shared" si="24"/>
        <v>0</v>
      </c>
      <c r="AP44" s="11">
        <f t="shared" si="25"/>
        <v>0</v>
      </c>
      <c r="AQ44" s="11">
        <f t="shared" si="26"/>
        <v>0</v>
      </c>
      <c r="AR44" s="11">
        <f t="shared" si="27"/>
        <v>0</v>
      </c>
      <c r="AS44" s="11">
        <f t="shared" si="28"/>
        <v>0</v>
      </c>
      <c r="AT44" s="11">
        <f t="shared" si="29"/>
        <v>0</v>
      </c>
      <c r="AU44" s="11">
        <f t="shared" si="30"/>
        <v>0</v>
      </c>
      <c r="AV44" s="11">
        <f t="shared" si="31"/>
        <v>0</v>
      </c>
      <c r="AW44" s="11">
        <f t="shared" si="32"/>
        <v>0</v>
      </c>
      <c r="AX44" s="11">
        <f t="shared" si="33"/>
        <v>0</v>
      </c>
      <c r="AY44" s="11">
        <f t="shared" si="34"/>
        <v>0</v>
      </c>
      <c r="AZ44" s="11">
        <f t="shared" si="35"/>
        <v>0</v>
      </c>
      <c r="BA44" s="11">
        <f t="shared" si="36"/>
        <v>0</v>
      </c>
      <c r="BB44" s="11">
        <f t="shared" si="37"/>
        <v>0</v>
      </c>
      <c r="BC44" s="11">
        <f t="shared" si="38"/>
        <v>0</v>
      </c>
      <c r="BD44" s="11">
        <f t="shared" si="39"/>
        <v>0</v>
      </c>
      <c r="BE44" s="11">
        <f t="shared" si="40"/>
        <v>0</v>
      </c>
      <c r="BF44" s="11">
        <f t="shared" si="41"/>
        <v>0</v>
      </c>
      <c r="BG44" s="11">
        <f t="shared" si="42"/>
        <v>0</v>
      </c>
      <c r="BH44" s="11">
        <f t="shared" si="43"/>
        <v>0</v>
      </c>
      <c r="BI44" s="11">
        <f t="shared" si="44"/>
        <v>0</v>
      </c>
      <c r="BJ44" s="11">
        <f t="shared" si="45"/>
        <v>0</v>
      </c>
      <c r="BK44" s="11">
        <f t="shared" si="46"/>
        <v>0</v>
      </c>
      <c r="BL44" s="11">
        <f t="shared" si="47"/>
        <v>0</v>
      </c>
      <c r="BM44" s="11">
        <f t="shared" si="48"/>
        <v>0</v>
      </c>
      <c r="BN44" s="11">
        <f t="shared" si="49"/>
        <v>0</v>
      </c>
      <c r="BO44" s="11">
        <f t="shared" si="50"/>
        <v>0</v>
      </c>
      <c r="BP44" s="11">
        <f t="shared" si="51"/>
        <v>0</v>
      </c>
      <c r="BQ44" s="11">
        <f t="shared" si="52"/>
        <v>0</v>
      </c>
      <c r="BR44" s="11">
        <f t="shared" si="53"/>
        <v>0</v>
      </c>
      <c r="BS44" s="11">
        <f t="shared" si="54"/>
        <v>1</v>
      </c>
      <c r="BT44" s="11">
        <f t="shared" si="55"/>
        <v>0</v>
      </c>
      <c r="BU44" s="11">
        <f t="shared" si="56"/>
        <v>0</v>
      </c>
      <c r="BV44" s="11">
        <f t="shared" si="57"/>
        <v>0</v>
      </c>
      <c r="BW44" s="11">
        <f t="shared" si="58"/>
        <v>0</v>
      </c>
      <c r="BX44" s="11">
        <f t="shared" si="59"/>
        <v>0</v>
      </c>
      <c r="BY44" s="11">
        <f t="shared" si="60"/>
        <v>0</v>
      </c>
      <c r="BZ44" s="11">
        <f t="shared" si="61"/>
        <v>0</v>
      </c>
      <c r="CA44" s="11">
        <f t="shared" si="62"/>
        <v>0</v>
      </c>
      <c r="CB44" s="11">
        <f t="shared" si="63"/>
        <v>0</v>
      </c>
      <c r="CC44" s="11">
        <f t="shared" si="64"/>
        <v>0</v>
      </c>
      <c r="CD44" s="11">
        <f t="shared" si="65"/>
        <v>0</v>
      </c>
      <c r="CE44" s="11">
        <f t="shared" si="66"/>
        <v>0</v>
      </c>
      <c r="CF44" s="11">
        <f t="shared" si="67"/>
        <v>0</v>
      </c>
      <c r="CG44" s="11">
        <f t="shared" si="68"/>
        <v>0</v>
      </c>
      <c r="CH44" s="11">
        <f t="shared" si="69"/>
        <v>0</v>
      </c>
      <c r="CI44" s="11">
        <f t="shared" si="70"/>
        <v>0</v>
      </c>
      <c r="CJ44" s="11">
        <f t="shared" si="71"/>
        <v>0</v>
      </c>
      <c r="CK44" s="11">
        <f t="shared" si="72"/>
        <v>0</v>
      </c>
      <c r="CL44" s="11">
        <f t="shared" si="73"/>
        <v>0</v>
      </c>
      <c r="CM44" s="11">
        <f t="shared" si="74"/>
        <v>0</v>
      </c>
      <c r="CN44" s="11">
        <f t="shared" si="75"/>
        <v>0</v>
      </c>
      <c r="CO44" s="11">
        <f t="shared" si="76"/>
        <v>0</v>
      </c>
      <c r="CP44" s="11">
        <f t="shared" si="77"/>
        <v>0</v>
      </c>
      <c r="CQ44" s="11">
        <f t="shared" si="78"/>
        <v>0</v>
      </c>
      <c r="CR44" s="11">
        <f t="shared" si="79"/>
        <v>0</v>
      </c>
      <c r="CS44" s="11">
        <f t="shared" si="80"/>
        <v>0</v>
      </c>
      <c r="CT44" s="11">
        <f t="shared" si="81"/>
        <v>0</v>
      </c>
      <c r="CU44" s="11">
        <f t="shared" si="82"/>
        <v>0</v>
      </c>
      <c r="CV44" s="11">
        <f t="shared" si="83"/>
        <v>0</v>
      </c>
      <c r="CW44" s="11">
        <f t="shared" si="84"/>
        <v>0</v>
      </c>
      <c r="CX44" s="11">
        <f t="shared" si="85"/>
        <v>0</v>
      </c>
      <c r="CY44" s="11">
        <f t="shared" si="86"/>
        <v>0</v>
      </c>
      <c r="CZ44" s="11">
        <f t="shared" si="87"/>
        <v>0</v>
      </c>
      <c r="DA44" s="11">
        <f t="shared" si="88"/>
        <v>0</v>
      </c>
      <c r="DB44" s="11">
        <f t="shared" si="89"/>
        <v>0</v>
      </c>
      <c r="DC44" s="11">
        <f t="shared" si="90"/>
        <v>0</v>
      </c>
      <c r="DD44" s="11">
        <f t="shared" si="91"/>
        <v>0</v>
      </c>
      <c r="DE44" s="11">
        <f t="shared" si="92"/>
        <v>0</v>
      </c>
      <c r="DF44" s="11">
        <f t="shared" si="93"/>
        <v>0</v>
      </c>
      <c r="DG44" s="11">
        <f t="shared" si="94"/>
        <v>0</v>
      </c>
      <c r="DH44" s="11">
        <f t="shared" si="95"/>
        <v>0</v>
      </c>
      <c r="DI44" s="11">
        <f t="shared" si="96"/>
        <v>0</v>
      </c>
      <c r="DJ44" s="11">
        <f t="shared" si="97"/>
        <v>0</v>
      </c>
      <c r="DK44" s="11">
        <f t="shared" si="98"/>
        <v>0</v>
      </c>
      <c r="DL44" s="11">
        <f t="shared" si="99"/>
        <v>0</v>
      </c>
      <c r="DM44" s="11">
        <f t="shared" si="100"/>
        <v>0</v>
      </c>
      <c r="DN44" s="11">
        <f t="shared" si="101"/>
        <v>0</v>
      </c>
      <c r="DO44" s="11">
        <f t="shared" si="102"/>
        <v>0</v>
      </c>
      <c r="DP44" s="11">
        <f t="shared" si="103"/>
        <v>0</v>
      </c>
      <c r="DQ44" s="11">
        <f t="shared" si="104"/>
        <v>0</v>
      </c>
      <c r="DR44" s="11">
        <f t="shared" si="105"/>
        <v>0</v>
      </c>
      <c r="DS44" s="11">
        <f t="shared" si="106"/>
        <v>0</v>
      </c>
      <c r="DT44" s="11">
        <f t="shared" si="107"/>
        <v>0</v>
      </c>
      <c r="DU44" s="11">
        <f t="shared" si="108"/>
        <v>0</v>
      </c>
      <c r="DV44" s="11">
        <f t="shared" si="109"/>
        <v>0</v>
      </c>
      <c r="DW44" s="11">
        <f t="shared" si="110"/>
        <v>0</v>
      </c>
      <c r="DX44" s="11">
        <f t="shared" si="111"/>
        <v>0</v>
      </c>
      <c r="DY44" s="11">
        <f t="shared" si="112"/>
        <v>0</v>
      </c>
      <c r="DZ44" s="11">
        <f t="shared" si="113"/>
        <v>0</v>
      </c>
      <c r="EA44" s="11">
        <f t="shared" si="114"/>
        <v>0</v>
      </c>
      <c r="EB44" s="11">
        <f t="shared" si="115"/>
        <v>0</v>
      </c>
      <c r="EC44" s="11">
        <f t="shared" si="116"/>
        <v>0</v>
      </c>
      <c r="ED44" s="11">
        <f t="shared" si="117"/>
        <v>0</v>
      </c>
      <c r="EE44" s="11">
        <f t="shared" si="118"/>
        <v>0</v>
      </c>
    </row>
    <row r="45" spans="1:135" ht="15" customHeight="1" x14ac:dyDescent="0.2">
      <c r="A45" s="5" t="s">
        <v>1455</v>
      </c>
      <c r="B45" s="5" t="s">
        <v>1456</v>
      </c>
      <c r="C45" s="5" t="s">
        <v>1432</v>
      </c>
      <c r="D45" s="5" t="s">
        <v>1432</v>
      </c>
      <c r="E45" s="5" t="s">
        <v>1432</v>
      </c>
      <c r="F45" s="5" t="s">
        <v>259</v>
      </c>
      <c r="G45" s="5" t="s">
        <v>181</v>
      </c>
      <c r="H45" s="5" t="s">
        <v>114</v>
      </c>
      <c r="I45" s="5" t="s">
        <v>1772</v>
      </c>
      <c r="J45" s="5" t="s">
        <v>1460</v>
      </c>
      <c r="K45" s="5" t="s">
        <v>179</v>
      </c>
      <c r="L45" s="5" t="s">
        <v>119</v>
      </c>
      <c r="M45" s="5" t="s">
        <v>1494</v>
      </c>
      <c r="N45" s="5" t="s">
        <v>119</v>
      </c>
      <c r="O45" s="5" t="s">
        <v>120</v>
      </c>
      <c r="P45" s="5" t="s">
        <v>1894</v>
      </c>
      <c r="Q45" s="10" t="str">
        <f t="shared" si="0"/>
        <v>Stage IV Only</v>
      </c>
      <c r="R45" s="10" t="str">
        <f t="shared" si="1"/>
        <v>Non-squamous</v>
      </c>
      <c r="S45" s="10" t="str">
        <f t="shared" si="2"/>
        <v>All-comers</v>
      </c>
      <c r="T45" s="10">
        <f t="shared" si="3"/>
        <v>1</v>
      </c>
      <c r="U45" s="10">
        <f t="shared" si="4"/>
        <v>0</v>
      </c>
      <c r="V45" s="11">
        <f t="shared" si="5"/>
        <v>0</v>
      </c>
      <c r="W45" s="11">
        <f t="shared" si="6"/>
        <v>0</v>
      </c>
      <c r="X45" s="11">
        <f t="shared" si="7"/>
        <v>0</v>
      </c>
      <c r="Y45" s="11">
        <f t="shared" si="8"/>
        <v>0</v>
      </c>
      <c r="Z45" s="11">
        <f t="shared" si="9"/>
        <v>0</v>
      </c>
      <c r="AA45" s="11">
        <f t="shared" si="10"/>
        <v>0</v>
      </c>
      <c r="AB45" s="11">
        <f t="shared" si="11"/>
        <v>0</v>
      </c>
      <c r="AC45" s="11">
        <f t="shared" si="12"/>
        <v>0</v>
      </c>
      <c r="AD45" s="11">
        <f t="shared" si="13"/>
        <v>0</v>
      </c>
      <c r="AE45" s="11">
        <f t="shared" si="14"/>
        <v>0</v>
      </c>
      <c r="AF45" s="11">
        <f t="shared" si="15"/>
        <v>0</v>
      </c>
      <c r="AG45" s="11">
        <f t="shared" si="16"/>
        <v>0</v>
      </c>
      <c r="AH45" s="11">
        <f t="shared" si="17"/>
        <v>0</v>
      </c>
      <c r="AI45" s="11">
        <f t="shared" si="18"/>
        <v>0</v>
      </c>
      <c r="AJ45" s="11">
        <f t="shared" si="19"/>
        <v>0</v>
      </c>
      <c r="AK45" s="11">
        <f t="shared" si="20"/>
        <v>0</v>
      </c>
      <c r="AL45" s="11">
        <f t="shared" si="21"/>
        <v>0</v>
      </c>
      <c r="AM45" s="11">
        <f t="shared" si="22"/>
        <v>0</v>
      </c>
      <c r="AN45" s="11">
        <f t="shared" si="23"/>
        <v>0</v>
      </c>
      <c r="AO45" s="11">
        <f t="shared" si="24"/>
        <v>0</v>
      </c>
      <c r="AP45" s="11">
        <f t="shared" si="25"/>
        <v>0</v>
      </c>
      <c r="AQ45" s="11">
        <f t="shared" si="26"/>
        <v>0</v>
      </c>
      <c r="AR45" s="11">
        <f t="shared" si="27"/>
        <v>0</v>
      </c>
      <c r="AS45" s="11">
        <f t="shared" si="28"/>
        <v>0</v>
      </c>
      <c r="AT45" s="11">
        <f t="shared" si="29"/>
        <v>0</v>
      </c>
      <c r="AU45" s="11">
        <f t="shared" si="30"/>
        <v>0</v>
      </c>
      <c r="AV45" s="11">
        <f t="shared" si="31"/>
        <v>0</v>
      </c>
      <c r="AW45" s="11">
        <f t="shared" si="32"/>
        <v>0</v>
      </c>
      <c r="AX45" s="11">
        <f t="shared" si="33"/>
        <v>0</v>
      </c>
      <c r="AY45" s="11">
        <f t="shared" si="34"/>
        <v>0</v>
      </c>
      <c r="AZ45" s="11">
        <f t="shared" si="35"/>
        <v>0</v>
      </c>
      <c r="BA45" s="11">
        <f t="shared" si="36"/>
        <v>0</v>
      </c>
      <c r="BB45" s="11">
        <f t="shared" si="37"/>
        <v>0</v>
      </c>
      <c r="BC45" s="11">
        <f t="shared" si="38"/>
        <v>0</v>
      </c>
      <c r="BD45" s="11">
        <f t="shared" si="39"/>
        <v>0</v>
      </c>
      <c r="BE45" s="11">
        <f t="shared" si="40"/>
        <v>0</v>
      </c>
      <c r="BF45" s="11">
        <f t="shared" si="41"/>
        <v>0</v>
      </c>
      <c r="BG45" s="11">
        <f t="shared" si="42"/>
        <v>0</v>
      </c>
      <c r="BH45" s="11">
        <f t="shared" si="43"/>
        <v>0</v>
      </c>
      <c r="BI45" s="11">
        <f t="shared" si="44"/>
        <v>0</v>
      </c>
      <c r="BJ45" s="11">
        <f t="shared" si="45"/>
        <v>0</v>
      </c>
      <c r="BK45" s="11">
        <f t="shared" si="46"/>
        <v>0</v>
      </c>
      <c r="BL45" s="11">
        <f t="shared" si="47"/>
        <v>0</v>
      </c>
      <c r="BM45" s="11">
        <f t="shared" si="48"/>
        <v>0</v>
      </c>
      <c r="BN45" s="11">
        <f t="shared" si="49"/>
        <v>0</v>
      </c>
      <c r="BO45" s="11">
        <f t="shared" si="50"/>
        <v>0</v>
      </c>
      <c r="BP45" s="11">
        <f t="shared" si="51"/>
        <v>0</v>
      </c>
      <c r="BQ45" s="11">
        <f t="shared" si="52"/>
        <v>0</v>
      </c>
      <c r="BR45" s="11">
        <f t="shared" si="53"/>
        <v>0</v>
      </c>
      <c r="BS45" s="11">
        <f t="shared" si="54"/>
        <v>0</v>
      </c>
      <c r="BT45" s="11">
        <f t="shared" si="55"/>
        <v>0</v>
      </c>
      <c r="BU45" s="11">
        <f t="shared" si="56"/>
        <v>0</v>
      </c>
      <c r="BV45" s="11">
        <f t="shared" si="57"/>
        <v>0</v>
      </c>
      <c r="BW45" s="11">
        <f t="shared" si="58"/>
        <v>0</v>
      </c>
      <c r="BX45" s="11">
        <f t="shared" si="59"/>
        <v>0</v>
      </c>
      <c r="BY45" s="11">
        <f t="shared" si="60"/>
        <v>0</v>
      </c>
      <c r="BZ45" s="11">
        <f t="shared" si="61"/>
        <v>0</v>
      </c>
      <c r="CA45" s="11">
        <f t="shared" si="62"/>
        <v>0</v>
      </c>
      <c r="CB45" s="11">
        <f t="shared" si="63"/>
        <v>0</v>
      </c>
      <c r="CC45" s="11">
        <f t="shared" si="64"/>
        <v>0</v>
      </c>
      <c r="CD45" s="11">
        <f t="shared" si="65"/>
        <v>0</v>
      </c>
      <c r="CE45" s="11">
        <f t="shared" si="66"/>
        <v>0</v>
      </c>
      <c r="CF45" s="11">
        <f t="shared" si="67"/>
        <v>0</v>
      </c>
      <c r="CG45" s="11">
        <f t="shared" si="68"/>
        <v>0</v>
      </c>
      <c r="CH45" s="11">
        <f t="shared" si="69"/>
        <v>0</v>
      </c>
      <c r="CI45" s="11">
        <f t="shared" si="70"/>
        <v>0</v>
      </c>
      <c r="CJ45" s="11">
        <f t="shared" si="71"/>
        <v>0</v>
      </c>
      <c r="CK45" s="11">
        <f t="shared" si="72"/>
        <v>0</v>
      </c>
      <c r="CL45" s="11">
        <f t="shared" si="73"/>
        <v>0</v>
      </c>
      <c r="CM45" s="11">
        <f t="shared" si="74"/>
        <v>1</v>
      </c>
      <c r="CN45" s="11">
        <f t="shared" si="75"/>
        <v>0</v>
      </c>
      <c r="CO45" s="11">
        <f t="shared" si="76"/>
        <v>0</v>
      </c>
      <c r="CP45" s="11">
        <f t="shared" si="77"/>
        <v>0</v>
      </c>
      <c r="CQ45" s="11">
        <f t="shared" si="78"/>
        <v>0</v>
      </c>
      <c r="CR45" s="11">
        <f t="shared" si="79"/>
        <v>0</v>
      </c>
      <c r="CS45" s="11">
        <f t="shared" si="80"/>
        <v>0</v>
      </c>
      <c r="CT45" s="11">
        <f t="shared" si="81"/>
        <v>1</v>
      </c>
      <c r="CU45" s="11">
        <f t="shared" si="82"/>
        <v>0</v>
      </c>
      <c r="CV45" s="11">
        <f t="shared" si="83"/>
        <v>0</v>
      </c>
      <c r="CW45" s="11">
        <f t="shared" si="84"/>
        <v>0</v>
      </c>
      <c r="CX45" s="11">
        <f t="shared" si="85"/>
        <v>0</v>
      </c>
      <c r="CY45" s="11">
        <f t="shared" si="86"/>
        <v>0</v>
      </c>
      <c r="CZ45" s="11">
        <f t="shared" si="87"/>
        <v>0</v>
      </c>
      <c r="DA45" s="11">
        <f t="shared" si="88"/>
        <v>0</v>
      </c>
      <c r="DB45" s="11">
        <f t="shared" si="89"/>
        <v>1</v>
      </c>
      <c r="DC45" s="11">
        <f t="shared" si="90"/>
        <v>0</v>
      </c>
      <c r="DD45" s="11">
        <f t="shared" si="91"/>
        <v>0</v>
      </c>
      <c r="DE45" s="11">
        <f t="shared" si="92"/>
        <v>0</v>
      </c>
      <c r="DF45" s="11">
        <f t="shared" si="93"/>
        <v>0</v>
      </c>
      <c r="DG45" s="11">
        <f t="shared" si="94"/>
        <v>0</v>
      </c>
      <c r="DH45" s="11">
        <f t="shared" si="95"/>
        <v>0</v>
      </c>
      <c r="DI45" s="11">
        <f t="shared" si="96"/>
        <v>0</v>
      </c>
      <c r="DJ45" s="11">
        <f t="shared" si="97"/>
        <v>0</v>
      </c>
      <c r="DK45" s="11">
        <f t="shared" si="98"/>
        <v>0</v>
      </c>
      <c r="DL45" s="11">
        <f t="shared" si="99"/>
        <v>0</v>
      </c>
      <c r="DM45" s="11">
        <f t="shared" si="100"/>
        <v>0</v>
      </c>
      <c r="DN45" s="11">
        <f t="shared" si="101"/>
        <v>0</v>
      </c>
      <c r="DO45" s="11">
        <f t="shared" si="102"/>
        <v>0</v>
      </c>
      <c r="DP45" s="11">
        <f t="shared" si="103"/>
        <v>0</v>
      </c>
      <c r="DQ45" s="11">
        <f t="shared" si="104"/>
        <v>0</v>
      </c>
      <c r="DR45" s="11">
        <f t="shared" si="105"/>
        <v>0</v>
      </c>
      <c r="DS45" s="11">
        <f t="shared" si="106"/>
        <v>0</v>
      </c>
      <c r="DT45" s="11">
        <f t="shared" si="107"/>
        <v>0</v>
      </c>
      <c r="DU45" s="11">
        <f t="shared" si="108"/>
        <v>0</v>
      </c>
      <c r="DV45" s="11">
        <f t="shared" si="109"/>
        <v>0</v>
      </c>
      <c r="DW45" s="11">
        <f t="shared" si="110"/>
        <v>0</v>
      </c>
      <c r="DX45" s="11">
        <f t="shared" si="111"/>
        <v>0</v>
      </c>
      <c r="DY45" s="11">
        <f t="shared" si="112"/>
        <v>0</v>
      </c>
      <c r="DZ45" s="11">
        <f t="shared" si="113"/>
        <v>0</v>
      </c>
      <c r="EA45" s="11">
        <f t="shared" si="114"/>
        <v>0</v>
      </c>
      <c r="EB45" s="11">
        <f t="shared" si="115"/>
        <v>0</v>
      </c>
      <c r="EC45" s="11">
        <f t="shared" si="116"/>
        <v>0</v>
      </c>
      <c r="ED45" s="11">
        <f t="shared" si="117"/>
        <v>0</v>
      </c>
      <c r="EE45" s="11">
        <f t="shared" si="118"/>
        <v>0</v>
      </c>
    </row>
    <row r="46" spans="1:135" ht="15" customHeight="1" x14ac:dyDescent="0.2">
      <c r="A46" s="3" t="s">
        <v>1901</v>
      </c>
      <c r="B46" s="3" t="s">
        <v>1902</v>
      </c>
      <c r="C46" s="3" t="s">
        <v>1903</v>
      </c>
      <c r="D46" s="3" t="s">
        <v>1903</v>
      </c>
      <c r="E46" s="3" t="s">
        <v>1903</v>
      </c>
      <c r="F46" s="3" t="s">
        <v>259</v>
      </c>
      <c r="G46" s="3" t="s">
        <v>181</v>
      </c>
      <c r="H46" s="3" t="s">
        <v>114</v>
      </c>
      <c r="I46" s="3" t="s">
        <v>1906</v>
      </c>
      <c r="J46" s="3" t="s">
        <v>1905</v>
      </c>
      <c r="K46" s="3"/>
      <c r="L46" s="3" t="s">
        <v>119</v>
      </c>
      <c r="M46" s="3" t="s">
        <v>1494</v>
      </c>
      <c r="N46" s="3" t="s">
        <v>120</v>
      </c>
      <c r="O46" s="3" t="s">
        <v>120</v>
      </c>
      <c r="P46" s="3" t="s">
        <v>1904</v>
      </c>
      <c r="Q46" s="10" t="str">
        <f t="shared" si="0"/>
        <v>Stage IV Only</v>
      </c>
      <c r="R46" s="10" t="str">
        <f t="shared" si="1"/>
        <v>Non-squamous</v>
      </c>
      <c r="S46" s="10" t="str">
        <f t="shared" si="2"/>
        <v>All-comers</v>
      </c>
      <c r="T46" s="10">
        <f t="shared" si="3"/>
        <v>1</v>
      </c>
      <c r="U46" s="10">
        <f t="shared" si="4"/>
        <v>0</v>
      </c>
      <c r="V46" s="11">
        <f t="shared" si="5"/>
        <v>0</v>
      </c>
      <c r="W46" s="11">
        <f t="shared" si="6"/>
        <v>0</v>
      </c>
      <c r="X46" s="11">
        <f t="shared" si="7"/>
        <v>0</v>
      </c>
      <c r="Y46" s="11">
        <f t="shared" si="8"/>
        <v>0</v>
      </c>
      <c r="Z46" s="11">
        <f t="shared" si="9"/>
        <v>0</v>
      </c>
      <c r="AA46" s="11">
        <f t="shared" si="10"/>
        <v>0</v>
      </c>
      <c r="AB46" s="11">
        <f t="shared" si="11"/>
        <v>1</v>
      </c>
      <c r="AC46" s="11">
        <f t="shared" si="12"/>
        <v>0</v>
      </c>
      <c r="AD46" s="11">
        <f t="shared" si="13"/>
        <v>0</v>
      </c>
      <c r="AE46" s="11">
        <f t="shared" si="14"/>
        <v>0</v>
      </c>
      <c r="AF46" s="11">
        <f t="shared" si="15"/>
        <v>0</v>
      </c>
      <c r="AG46" s="11">
        <f t="shared" si="16"/>
        <v>0</v>
      </c>
      <c r="AH46" s="11">
        <f t="shared" si="17"/>
        <v>0</v>
      </c>
      <c r="AI46" s="11">
        <f t="shared" si="18"/>
        <v>0</v>
      </c>
      <c r="AJ46" s="11">
        <f t="shared" si="19"/>
        <v>0</v>
      </c>
      <c r="AK46" s="11">
        <f t="shared" si="20"/>
        <v>0</v>
      </c>
      <c r="AL46" s="11">
        <f t="shared" si="21"/>
        <v>0</v>
      </c>
      <c r="AM46" s="11">
        <f t="shared" si="22"/>
        <v>0</v>
      </c>
      <c r="AN46" s="11">
        <f t="shared" si="23"/>
        <v>0</v>
      </c>
      <c r="AO46" s="11">
        <f t="shared" si="24"/>
        <v>0</v>
      </c>
      <c r="AP46" s="11">
        <f t="shared" si="25"/>
        <v>0</v>
      </c>
      <c r="AQ46" s="11">
        <f t="shared" si="26"/>
        <v>0</v>
      </c>
      <c r="AR46" s="11">
        <f t="shared" si="27"/>
        <v>0</v>
      </c>
      <c r="AS46" s="11">
        <f t="shared" si="28"/>
        <v>0</v>
      </c>
      <c r="AT46" s="11">
        <f t="shared" si="29"/>
        <v>0</v>
      </c>
      <c r="AU46" s="11">
        <f t="shared" si="30"/>
        <v>0</v>
      </c>
      <c r="AV46" s="11">
        <f t="shared" si="31"/>
        <v>0</v>
      </c>
      <c r="AW46" s="11">
        <f t="shared" si="32"/>
        <v>0</v>
      </c>
      <c r="AX46" s="11">
        <f t="shared" si="33"/>
        <v>0</v>
      </c>
      <c r="AY46" s="11">
        <f t="shared" si="34"/>
        <v>0</v>
      </c>
      <c r="AZ46" s="11">
        <f t="shared" si="35"/>
        <v>0</v>
      </c>
      <c r="BA46" s="11">
        <f t="shared" si="36"/>
        <v>0</v>
      </c>
      <c r="BB46" s="11">
        <f t="shared" si="37"/>
        <v>0</v>
      </c>
      <c r="BC46" s="11">
        <f t="shared" si="38"/>
        <v>0</v>
      </c>
      <c r="BD46" s="11">
        <f t="shared" si="39"/>
        <v>0</v>
      </c>
      <c r="BE46" s="11">
        <f t="shared" si="40"/>
        <v>0</v>
      </c>
      <c r="BF46" s="11">
        <f t="shared" si="41"/>
        <v>0</v>
      </c>
      <c r="BG46" s="11">
        <f t="shared" si="42"/>
        <v>0</v>
      </c>
      <c r="BH46" s="11">
        <f t="shared" si="43"/>
        <v>0</v>
      </c>
      <c r="BI46" s="11">
        <f t="shared" si="44"/>
        <v>0</v>
      </c>
      <c r="BJ46" s="11">
        <f t="shared" si="45"/>
        <v>0</v>
      </c>
      <c r="BK46" s="11">
        <f t="shared" si="46"/>
        <v>0</v>
      </c>
      <c r="BL46" s="11">
        <f t="shared" si="47"/>
        <v>0</v>
      </c>
      <c r="BM46" s="11">
        <f t="shared" si="48"/>
        <v>1</v>
      </c>
      <c r="BN46" s="11">
        <f t="shared" si="49"/>
        <v>0</v>
      </c>
      <c r="BO46" s="11">
        <f t="shared" si="50"/>
        <v>0</v>
      </c>
      <c r="BP46" s="11">
        <f t="shared" si="51"/>
        <v>0</v>
      </c>
      <c r="BQ46" s="11">
        <f t="shared" si="52"/>
        <v>0</v>
      </c>
      <c r="BR46" s="11">
        <f t="shared" si="53"/>
        <v>1</v>
      </c>
      <c r="BS46" s="11">
        <f t="shared" si="54"/>
        <v>0</v>
      </c>
      <c r="BT46" s="11">
        <f t="shared" si="55"/>
        <v>0</v>
      </c>
      <c r="BU46" s="11">
        <f t="shared" si="56"/>
        <v>0</v>
      </c>
      <c r="BV46" s="11">
        <f t="shared" si="57"/>
        <v>0</v>
      </c>
      <c r="BW46" s="11">
        <f t="shared" si="58"/>
        <v>0</v>
      </c>
      <c r="BX46" s="11">
        <f t="shared" si="59"/>
        <v>0</v>
      </c>
      <c r="BY46" s="11">
        <f t="shared" si="60"/>
        <v>0</v>
      </c>
      <c r="BZ46" s="11">
        <f t="shared" si="61"/>
        <v>0</v>
      </c>
      <c r="CA46" s="11">
        <f t="shared" si="62"/>
        <v>0</v>
      </c>
      <c r="CB46" s="11">
        <f t="shared" si="63"/>
        <v>0</v>
      </c>
      <c r="CC46" s="11">
        <f t="shared" si="64"/>
        <v>0</v>
      </c>
      <c r="CD46" s="11">
        <f t="shared" si="65"/>
        <v>1</v>
      </c>
      <c r="CE46" s="11">
        <f t="shared" si="66"/>
        <v>1</v>
      </c>
      <c r="CF46" s="11">
        <f t="shared" si="67"/>
        <v>0</v>
      </c>
      <c r="CG46" s="11">
        <f t="shared" si="68"/>
        <v>0</v>
      </c>
      <c r="CH46" s="11">
        <f t="shared" si="69"/>
        <v>1</v>
      </c>
      <c r="CI46" s="11">
        <f t="shared" si="70"/>
        <v>1</v>
      </c>
      <c r="CJ46" s="11">
        <f t="shared" si="71"/>
        <v>0</v>
      </c>
      <c r="CK46" s="11">
        <f t="shared" si="72"/>
        <v>0</v>
      </c>
      <c r="CL46" s="11">
        <f t="shared" si="73"/>
        <v>0</v>
      </c>
      <c r="CM46" s="11">
        <f t="shared" si="74"/>
        <v>0</v>
      </c>
      <c r="CN46" s="11">
        <f t="shared" si="75"/>
        <v>0</v>
      </c>
      <c r="CO46" s="11">
        <f t="shared" si="76"/>
        <v>0</v>
      </c>
      <c r="CP46" s="11">
        <f t="shared" si="77"/>
        <v>0</v>
      </c>
      <c r="CQ46" s="11">
        <f t="shared" si="78"/>
        <v>0</v>
      </c>
      <c r="CR46" s="11">
        <f t="shared" si="79"/>
        <v>0</v>
      </c>
      <c r="CS46" s="11">
        <f t="shared" si="80"/>
        <v>0</v>
      </c>
      <c r="CT46" s="11">
        <f t="shared" si="81"/>
        <v>0</v>
      </c>
      <c r="CU46" s="11">
        <f t="shared" si="82"/>
        <v>0</v>
      </c>
      <c r="CV46" s="11">
        <f t="shared" si="83"/>
        <v>0</v>
      </c>
      <c r="CW46" s="11">
        <f t="shared" si="84"/>
        <v>0</v>
      </c>
      <c r="CX46" s="11">
        <f t="shared" si="85"/>
        <v>0</v>
      </c>
      <c r="CY46" s="11">
        <f t="shared" si="86"/>
        <v>0</v>
      </c>
      <c r="CZ46" s="11">
        <f t="shared" si="87"/>
        <v>0</v>
      </c>
      <c r="DA46" s="11">
        <f t="shared" si="88"/>
        <v>0</v>
      </c>
      <c r="DB46" s="11">
        <f t="shared" si="89"/>
        <v>0</v>
      </c>
      <c r="DC46" s="11">
        <f t="shared" si="90"/>
        <v>0</v>
      </c>
      <c r="DD46" s="11">
        <f t="shared" si="91"/>
        <v>0</v>
      </c>
      <c r="DE46" s="11">
        <f t="shared" si="92"/>
        <v>0</v>
      </c>
      <c r="DF46" s="11">
        <f t="shared" si="93"/>
        <v>0</v>
      </c>
      <c r="DG46" s="11">
        <f t="shared" si="94"/>
        <v>0</v>
      </c>
      <c r="DH46" s="11">
        <f t="shared" si="95"/>
        <v>0</v>
      </c>
      <c r="DI46" s="11">
        <f t="shared" si="96"/>
        <v>0</v>
      </c>
      <c r="DJ46" s="11">
        <f t="shared" si="97"/>
        <v>0</v>
      </c>
      <c r="DK46" s="11">
        <f t="shared" si="98"/>
        <v>0</v>
      </c>
      <c r="DL46" s="11">
        <f t="shared" si="99"/>
        <v>0</v>
      </c>
      <c r="DM46" s="11">
        <f t="shared" si="100"/>
        <v>0</v>
      </c>
      <c r="DN46" s="11">
        <f t="shared" si="101"/>
        <v>0</v>
      </c>
      <c r="DO46" s="11">
        <f t="shared" si="102"/>
        <v>0</v>
      </c>
      <c r="DP46" s="11">
        <f t="shared" si="103"/>
        <v>0</v>
      </c>
      <c r="DQ46" s="11">
        <f t="shared" si="104"/>
        <v>0</v>
      </c>
      <c r="DR46" s="11">
        <f t="shared" si="105"/>
        <v>0</v>
      </c>
      <c r="DS46" s="11">
        <f t="shared" si="106"/>
        <v>0</v>
      </c>
      <c r="DT46" s="11">
        <f t="shared" si="107"/>
        <v>0</v>
      </c>
      <c r="DU46" s="11">
        <f t="shared" si="108"/>
        <v>0</v>
      </c>
      <c r="DV46" s="11">
        <f t="shared" si="109"/>
        <v>0</v>
      </c>
      <c r="DW46" s="11">
        <f t="shared" si="110"/>
        <v>0</v>
      </c>
      <c r="DX46" s="11">
        <f t="shared" si="111"/>
        <v>0</v>
      </c>
      <c r="DY46" s="11">
        <f t="shared" si="112"/>
        <v>0</v>
      </c>
      <c r="DZ46" s="11">
        <f t="shared" si="113"/>
        <v>0</v>
      </c>
      <c r="EA46" s="11">
        <f t="shared" si="114"/>
        <v>0</v>
      </c>
      <c r="EB46" s="11">
        <f t="shared" si="115"/>
        <v>0</v>
      </c>
      <c r="EC46" s="11">
        <f t="shared" si="116"/>
        <v>0</v>
      </c>
      <c r="ED46" s="11">
        <f t="shared" si="117"/>
        <v>0</v>
      </c>
      <c r="EE46" s="11">
        <f t="shared" si="118"/>
        <v>0</v>
      </c>
    </row>
  </sheetData>
  <autoFilter ref="A1:EE46"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3"/>
  <sheetViews>
    <sheetView zoomScaleNormal="100" workbookViewId="0">
      <pane xSplit="1" ySplit="1" topLeftCell="C28" activePane="bottomRight" state="frozen"/>
      <selection pane="topRight" activeCell="B1" sqref="B1"/>
      <selection pane="bottomLeft" activeCell="A2" sqref="A2"/>
      <selection pane="bottomRight" activeCell="K1" sqref="K1:L1048576"/>
    </sheetView>
  </sheetViews>
  <sheetFormatPr baseColWidth="10" defaultColWidth="8.6640625" defaultRowHeight="15" customHeight="1" x14ac:dyDescent="0.2"/>
  <cols>
    <col min="1" max="1" width="24" customWidth="1"/>
    <col min="2" max="10" width="15" customWidth="1"/>
    <col min="11" max="12" width="55" customWidth="1"/>
  </cols>
  <sheetData>
    <row r="1" spans="1:12" ht="23.25" customHeight="1" x14ac:dyDescent="0.2">
      <c r="A1" s="2"/>
      <c r="B1" s="2" t="s">
        <v>2032</v>
      </c>
      <c r="C1" s="2" t="s">
        <v>2033</v>
      </c>
      <c r="D1" s="2" t="s">
        <v>2034</v>
      </c>
      <c r="E1" s="2" t="s">
        <v>2035</v>
      </c>
      <c r="F1" s="2" t="s">
        <v>2036</v>
      </c>
      <c r="G1" s="2" t="s">
        <v>2037</v>
      </c>
      <c r="H1" s="2" t="s">
        <v>2038</v>
      </c>
      <c r="I1" s="2" t="s">
        <v>2039</v>
      </c>
      <c r="J1" s="2" t="s">
        <v>2040</v>
      </c>
      <c r="K1" s="2" t="s">
        <v>2041</v>
      </c>
      <c r="L1" s="2" t="s">
        <v>2042</v>
      </c>
    </row>
    <row r="2" spans="1:12" ht="15" customHeight="1" x14ac:dyDescent="0.2">
      <c r="A2" s="12" t="s">
        <v>256</v>
      </c>
      <c r="B2" s="11">
        <f>SUMPRODUCT(ISNUMBER(SEARCH(","&amp;$A2&amp;",",","&amp;SUBSTITUTE('1L Screening Matrix'!$I$2:$I$77,", ",",")&amp;","))*('1L Screening Matrix'!$Q$2:$Q$77="Stage IV Only"))</f>
        <v>1</v>
      </c>
      <c r="C2" s="11">
        <f>SUMPRODUCT(ISNUMBER(SEARCH(","&amp;$A2&amp;",",","&amp;SUBSTITUTE('1L Screening Matrix'!$I$2:$I$77,", ",",")&amp;","))*('1L Screening Matrix'!$Q$2:$Q$77="Stage IV + Other"))</f>
        <v>2</v>
      </c>
      <c r="D2" s="11">
        <f>SUMPRODUCT(ISNUMBER(SEARCH(","&amp;$A2&amp;",",","&amp;SUBSTITUTE('1L Screening Matrix'!$I$2:$I$77,", ",",")&amp;","))*('1L Screening Matrix'!$Q$2:$Q$77="Stage III Only"))</f>
        <v>1</v>
      </c>
      <c r="E2" s="13">
        <f t="shared" ref="E2:E33" si="0">SUM(B2:D2)</f>
        <v>4</v>
      </c>
      <c r="F2" s="11">
        <f>SUMPRODUCT(ISNUMBER(SEARCH(","&amp;$A2&amp;",",","&amp;SUBSTITUTE('2L Screening Matrix'!$I$2:$I$46,", ",",")&amp;","))*('2L Screening Matrix'!$Q$2:$Q$46="Stage IV Only"))</f>
        <v>0</v>
      </c>
      <c r="G2" s="11">
        <f>SUMPRODUCT(ISNUMBER(SEARCH(","&amp;$A2&amp;",",","&amp;SUBSTITUTE('2L Screening Matrix'!$I$2:$I$46,", ",",")&amp;","))*('2L Screening Matrix'!$Q$2:$Q$46="Stage IV + Other"))</f>
        <v>1</v>
      </c>
      <c r="H2" s="11">
        <f>SUMPRODUCT(ISNUMBER(SEARCH(","&amp;$A2&amp;",",","&amp;SUBSTITUTE('2L Screening Matrix'!$I$2:$I$46,", ",",")&amp;","))*('2L Screening Matrix'!$Q$2:$Q$46="Stage III Only"))</f>
        <v>0</v>
      </c>
      <c r="I2" s="13">
        <f t="shared" ref="I2:I33" si="1">SUM(F2:H2)</f>
        <v>1</v>
      </c>
      <c r="J2" s="14">
        <f t="shared" ref="J2:J33" si="2">E2+I2</f>
        <v>5</v>
      </c>
      <c r="K2" s="25" t="str">
        <f ca="1">IFERROR(_xludf.textjoin(", ",TRUE(),IF(ISNUMBER(SEARCH(","&amp;$A2&amp;",",","&amp;SUBSTITUTE('1L Screening Matrix'!$I$2:$I$77,", ",",")&amp;",")),'1L Screening Matrix'!$C$2:$C$77,"")),"")</f>
        <v/>
      </c>
      <c r="L2" s="5" t="str">
        <f ca="1">IFERROR(_xludf.textjoin(", ",TRUE(),IF(ISNUMBER(SEARCH(","&amp;$A2&amp;",",","&amp;SUBSTITUTE('2L Screening Matrix'!$I$2:$I$46,", ",",")&amp;",")),'2L Screening Matrix'!$C$2:$C$46,"")),"")</f>
        <v/>
      </c>
    </row>
    <row r="3" spans="1:12" ht="15" customHeight="1" x14ac:dyDescent="0.2">
      <c r="A3" s="15" t="s">
        <v>2043</v>
      </c>
      <c r="B3" s="11">
        <f>SUMPRODUCT(ISNUMBER(SEARCH(","&amp;$A3&amp;",",","&amp;SUBSTITUTE('1L Screening Matrix'!$I$2:$I$77,", ",",")&amp;","))*('1L Screening Matrix'!$Q$2:$Q$77="Stage IV Only"))</f>
        <v>0</v>
      </c>
      <c r="C3" s="11">
        <f>SUMPRODUCT(ISNUMBER(SEARCH(","&amp;$A3&amp;",",","&amp;SUBSTITUTE('1L Screening Matrix'!$I$2:$I$77,", ",",")&amp;","))*('1L Screening Matrix'!$Q$2:$Q$77="Stage IV + Other"))</f>
        <v>0</v>
      </c>
      <c r="D3" s="11">
        <f>SUMPRODUCT(ISNUMBER(SEARCH(","&amp;$A3&amp;",",","&amp;SUBSTITUTE('1L Screening Matrix'!$I$2:$I$77,", ",",")&amp;","))*('1L Screening Matrix'!$Q$2:$Q$77="Stage III Only"))</f>
        <v>1</v>
      </c>
      <c r="E3" s="13">
        <f t="shared" si="0"/>
        <v>1</v>
      </c>
      <c r="F3" s="11">
        <f>SUMPRODUCT(ISNUMBER(SEARCH(","&amp;$A3&amp;",",","&amp;SUBSTITUTE('2L Screening Matrix'!$I$2:$I$46,", ",",")&amp;","))*('2L Screening Matrix'!$Q$2:$Q$46="Stage IV Only"))</f>
        <v>0</v>
      </c>
      <c r="G3" s="11">
        <f>SUMPRODUCT(ISNUMBER(SEARCH(","&amp;$A3&amp;",",","&amp;SUBSTITUTE('2L Screening Matrix'!$I$2:$I$46,", ",",")&amp;","))*('2L Screening Matrix'!$Q$2:$Q$46="Stage IV + Other"))</f>
        <v>0</v>
      </c>
      <c r="H3" s="11">
        <f>SUMPRODUCT(ISNUMBER(SEARCH(","&amp;$A3&amp;",",","&amp;SUBSTITUTE('2L Screening Matrix'!$I$2:$I$46,", ",",")&amp;","))*('2L Screening Matrix'!$Q$2:$Q$46="Stage III Only"))</f>
        <v>0</v>
      </c>
      <c r="I3" s="13">
        <f t="shared" si="1"/>
        <v>0</v>
      </c>
      <c r="J3" s="14">
        <f t="shared" si="2"/>
        <v>1</v>
      </c>
      <c r="K3" s="5" t="str">
        <f ca="1">IFERROR(_xludf.textjoin(", ",TRUE(),IF(ISNUMBER(SEARCH(","&amp;$A3&amp;",",","&amp;SUBSTITUTE('1L Screening Matrix'!$I$2:$I$77,", ",",")&amp;",")),'1L Screening Matrix'!$C$2:$C$77,"")),"")</f>
        <v/>
      </c>
      <c r="L3" s="5" t="str">
        <f ca="1">IFERROR(_xludf.textjoin(", ",TRUE(),IF(ISNUMBER(SEARCH(","&amp;$A3&amp;",",","&amp;SUBSTITUTE('2L Screening Matrix'!$I$2:$I$46,", ",",")&amp;",")),'2L Screening Matrix'!$C$2:$C$46,"")),"")</f>
        <v/>
      </c>
    </row>
    <row r="4" spans="1:12" ht="15" customHeight="1" x14ac:dyDescent="0.2">
      <c r="A4" s="12" t="s">
        <v>2044</v>
      </c>
      <c r="B4" s="11">
        <f>SUMPRODUCT(ISNUMBER(SEARCH(","&amp;$A4&amp;",",","&amp;SUBSTITUTE('1L Screening Matrix'!$I$2:$I$77,", ",",")&amp;","))*('1L Screening Matrix'!$Q$2:$Q$77="Stage IV Only"))</f>
        <v>0</v>
      </c>
      <c r="C4" s="11">
        <f>SUMPRODUCT(ISNUMBER(SEARCH(","&amp;$A4&amp;",",","&amp;SUBSTITUTE('1L Screening Matrix'!$I$2:$I$77,", ",",")&amp;","))*('1L Screening Matrix'!$Q$2:$Q$77="Stage IV + Other"))</f>
        <v>0</v>
      </c>
      <c r="D4" s="11">
        <f>SUMPRODUCT(ISNUMBER(SEARCH(","&amp;$A4&amp;",",","&amp;SUBSTITUTE('1L Screening Matrix'!$I$2:$I$77,", ",",")&amp;","))*('1L Screening Matrix'!$Q$2:$Q$77="Stage III Only"))</f>
        <v>0</v>
      </c>
      <c r="E4" s="13">
        <f t="shared" si="0"/>
        <v>0</v>
      </c>
      <c r="F4" s="11">
        <f>SUMPRODUCT(ISNUMBER(SEARCH(","&amp;$A4&amp;",",","&amp;SUBSTITUTE('2L Screening Matrix'!$I$2:$I$46,", ",",")&amp;","))*('2L Screening Matrix'!$Q$2:$Q$46="Stage IV Only"))</f>
        <v>1</v>
      </c>
      <c r="G4" s="11">
        <f>SUMPRODUCT(ISNUMBER(SEARCH(","&amp;$A4&amp;",",","&amp;SUBSTITUTE('2L Screening Matrix'!$I$2:$I$46,", ",",")&amp;","))*('2L Screening Matrix'!$Q$2:$Q$46="Stage IV + Other"))</f>
        <v>0</v>
      </c>
      <c r="H4" s="11">
        <f>SUMPRODUCT(ISNUMBER(SEARCH(","&amp;$A4&amp;",",","&amp;SUBSTITUTE('2L Screening Matrix'!$I$2:$I$46,", ",",")&amp;","))*('2L Screening Matrix'!$Q$2:$Q$46="Stage III Only"))</f>
        <v>0</v>
      </c>
      <c r="I4" s="13">
        <f t="shared" si="1"/>
        <v>1</v>
      </c>
      <c r="J4" s="14">
        <f t="shared" si="2"/>
        <v>1</v>
      </c>
      <c r="K4" s="5" t="str">
        <f ca="1">IFERROR(_xludf.textjoin(", ",TRUE(),IF(ISNUMBER(SEARCH(","&amp;$A4&amp;",",","&amp;SUBSTITUTE('1L Screening Matrix'!$I$2:$I$77,", ",",")&amp;",")),'1L Screening Matrix'!$C$2:$C$77,"")),"")</f>
        <v/>
      </c>
      <c r="L4" s="5" t="str">
        <f ca="1">IFERROR(_xludf.textjoin(", ",TRUE(),IF(ISNUMBER(SEARCH(","&amp;$A4&amp;",",","&amp;SUBSTITUTE('2L Screening Matrix'!$I$2:$I$46,", ",",")&amp;",")),'2L Screening Matrix'!$C$2:$C$46,"")),"")</f>
        <v/>
      </c>
    </row>
    <row r="5" spans="1:12" ht="15" customHeight="1" x14ac:dyDescent="0.2">
      <c r="A5" s="15" t="s">
        <v>2045</v>
      </c>
      <c r="B5" s="11">
        <f>SUMPRODUCT(ISNUMBER(SEARCH(","&amp;$A5&amp;",",","&amp;SUBSTITUTE('1L Screening Matrix'!$I$2:$I$77,", ",",")&amp;","))*('1L Screening Matrix'!$Q$2:$Q$77="Stage IV Only"))</f>
        <v>0</v>
      </c>
      <c r="C5" s="11">
        <f>SUMPRODUCT(ISNUMBER(SEARCH(","&amp;$A5&amp;",",","&amp;SUBSTITUTE('1L Screening Matrix'!$I$2:$I$77,", ",",")&amp;","))*('1L Screening Matrix'!$Q$2:$Q$77="Stage IV + Other"))</f>
        <v>3</v>
      </c>
      <c r="D5" s="11">
        <f>SUMPRODUCT(ISNUMBER(SEARCH(","&amp;$A5&amp;",",","&amp;SUBSTITUTE('1L Screening Matrix'!$I$2:$I$77,", ",",")&amp;","))*('1L Screening Matrix'!$Q$2:$Q$77="Stage III Only"))</f>
        <v>4</v>
      </c>
      <c r="E5" s="13">
        <f t="shared" si="0"/>
        <v>7</v>
      </c>
      <c r="F5" s="11">
        <f>SUMPRODUCT(ISNUMBER(SEARCH(","&amp;$A5&amp;",",","&amp;SUBSTITUTE('2L Screening Matrix'!$I$2:$I$46,", ",",")&amp;","))*('2L Screening Matrix'!$Q$2:$Q$46="Stage IV Only"))</f>
        <v>1</v>
      </c>
      <c r="G5" s="11">
        <f>SUMPRODUCT(ISNUMBER(SEARCH(","&amp;$A5&amp;",",","&amp;SUBSTITUTE('2L Screening Matrix'!$I$2:$I$46,", ",",")&amp;","))*('2L Screening Matrix'!$Q$2:$Q$46="Stage IV + Other"))</f>
        <v>4</v>
      </c>
      <c r="H5" s="11">
        <f>SUMPRODUCT(ISNUMBER(SEARCH(","&amp;$A5&amp;",",","&amp;SUBSTITUTE('2L Screening Matrix'!$I$2:$I$46,", ",",")&amp;","))*('2L Screening Matrix'!$Q$2:$Q$46="Stage III Only"))</f>
        <v>0</v>
      </c>
      <c r="I5" s="13">
        <f t="shared" si="1"/>
        <v>5</v>
      </c>
      <c r="J5" s="14">
        <f t="shared" si="2"/>
        <v>12</v>
      </c>
      <c r="K5" s="5" t="str">
        <f ca="1">IFERROR(_xludf.textjoin(", ",TRUE(),IF(ISNUMBER(SEARCH(","&amp;$A5&amp;",",","&amp;SUBSTITUTE('1L Screening Matrix'!$I$2:$I$77,", ",",")&amp;",")),'1L Screening Matrix'!$C$2:$C$77,"")),"")</f>
        <v/>
      </c>
      <c r="L5" s="5" t="str">
        <f ca="1">IFERROR(_xludf.textjoin(", ",TRUE(),IF(ISNUMBER(SEARCH(","&amp;$A5&amp;",",","&amp;SUBSTITUTE('2L Screening Matrix'!$I$2:$I$46,", ",",")&amp;",")),'2L Screening Matrix'!$C$2:$C$46,"")),"")</f>
        <v/>
      </c>
    </row>
    <row r="6" spans="1:12" ht="15" customHeight="1" x14ac:dyDescent="0.2">
      <c r="A6" s="12" t="s">
        <v>2046</v>
      </c>
      <c r="B6" s="11">
        <f>SUMPRODUCT(ISNUMBER(SEARCH(","&amp;$A6&amp;",",","&amp;SUBSTITUTE('1L Screening Matrix'!$I$2:$I$77,", ",",")&amp;","))*('1L Screening Matrix'!$Q$2:$Q$77="Stage IV Only"))</f>
        <v>1</v>
      </c>
      <c r="C6" s="11">
        <f>SUMPRODUCT(ISNUMBER(SEARCH(","&amp;$A6&amp;",",","&amp;SUBSTITUTE('1L Screening Matrix'!$I$2:$I$77,", ",",")&amp;","))*('1L Screening Matrix'!$Q$2:$Q$77="Stage IV + Other"))</f>
        <v>0</v>
      </c>
      <c r="D6" s="11">
        <f>SUMPRODUCT(ISNUMBER(SEARCH(","&amp;$A6&amp;",",","&amp;SUBSTITUTE('1L Screening Matrix'!$I$2:$I$77,", ",",")&amp;","))*('1L Screening Matrix'!$Q$2:$Q$77="Stage III Only"))</f>
        <v>0</v>
      </c>
      <c r="E6" s="13">
        <f t="shared" si="0"/>
        <v>1</v>
      </c>
      <c r="F6" s="11">
        <f>SUMPRODUCT(ISNUMBER(SEARCH(","&amp;$A6&amp;",",","&amp;SUBSTITUTE('2L Screening Matrix'!$I$2:$I$46,", ",",")&amp;","))*('2L Screening Matrix'!$Q$2:$Q$46="Stage IV Only"))</f>
        <v>1</v>
      </c>
      <c r="G6" s="11">
        <f>SUMPRODUCT(ISNUMBER(SEARCH(","&amp;$A6&amp;",",","&amp;SUBSTITUTE('2L Screening Matrix'!$I$2:$I$46,", ",",")&amp;","))*('2L Screening Matrix'!$Q$2:$Q$46="Stage IV + Other"))</f>
        <v>0</v>
      </c>
      <c r="H6" s="11">
        <f>SUMPRODUCT(ISNUMBER(SEARCH(","&amp;$A6&amp;",",","&amp;SUBSTITUTE('2L Screening Matrix'!$I$2:$I$46,", ",",")&amp;","))*('2L Screening Matrix'!$Q$2:$Q$46="Stage III Only"))</f>
        <v>0</v>
      </c>
      <c r="I6" s="13">
        <f t="shared" si="1"/>
        <v>1</v>
      </c>
      <c r="J6" s="14">
        <f t="shared" si="2"/>
        <v>2</v>
      </c>
      <c r="K6" s="5" t="str">
        <f ca="1">IFERROR(_xludf.textjoin(", ",TRUE(),IF(ISNUMBER(SEARCH(","&amp;$A6&amp;",",","&amp;SUBSTITUTE('1L Screening Matrix'!$I$2:$I$77,", ",",")&amp;",")),'1L Screening Matrix'!$C$2:$C$77,"")),"")</f>
        <v/>
      </c>
      <c r="L6" s="5" t="str">
        <f ca="1">IFERROR(_xludf.textjoin(", ",TRUE(),IF(ISNUMBER(SEARCH(","&amp;$A6&amp;",",","&amp;SUBSTITUTE('2L Screening Matrix'!$I$2:$I$46,", ",",")&amp;",")),'2L Screening Matrix'!$C$2:$C$46,"")),"")</f>
        <v/>
      </c>
    </row>
    <row r="7" spans="1:12" ht="15" customHeight="1" x14ac:dyDescent="0.2">
      <c r="A7" s="15" t="s">
        <v>2047</v>
      </c>
      <c r="B7" s="11">
        <f>SUMPRODUCT(ISNUMBER(SEARCH(","&amp;$A7&amp;",",","&amp;SUBSTITUTE('1L Screening Matrix'!$I$2:$I$77,", ",",")&amp;","))*('1L Screening Matrix'!$Q$2:$Q$77="Stage IV Only"))</f>
        <v>0</v>
      </c>
      <c r="C7" s="11">
        <f>SUMPRODUCT(ISNUMBER(SEARCH(","&amp;$A7&amp;",",","&amp;SUBSTITUTE('1L Screening Matrix'!$I$2:$I$77,", ",",")&amp;","))*('1L Screening Matrix'!$Q$2:$Q$77="Stage IV + Other"))</f>
        <v>3</v>
      </c>
      <c r="D7" s="11">
        <f>SUMPRODUCT(ISNUMBER(SEARCH(","&amp;$A7&amp;",",","&amp;SUBSTITUTE('1L Screening Matrix'!$I$2:$I$77,", ",",")&amp;","))*('1L Screening Matrix'!$Q$2:$Q$77="Stage III Only"))</f>
        <v>4</v>
      </c>
      <c r="E7" s="13">
        <f t="shared" si="0"/>
        <v>7</v>
      </c>
      <c r="F7" s="11">
        <f>SUMPRODUCT(ISNUMBER(SEARCH(","&amp;$A7&amp;",",","&amp;SUBSTITUTE('2L Screening Matrix'!$I$2:$I$46,", ",",")&amp;","))*('2L Screening Matrix'!$Q$2:$Q$46="Stage IV Only"))</f>
        <v>1</v>
      </c>
      <c r="G7" s="11">
        <f>SUMPRODUCT(ISNUMBER(SEARCH(","&amp;$A7&amp;",",","&amp;SUBSTITUTE('2L Screening Matrix'!$I$2:$I$46,", ",",")&amp;","))*('2L Screening Matrix'!$Q$2:$Q$46="Stage IV + Other"))</f>
        <v>4</v>
      </c>
      <c r="H7" s="11">
        <f>SUMPRODUCT(ISNUMBER(SEARCH(","&amp;$A7&amp;",",","&amp;SUBSTITUTE('2L Screening Matrix'!$I$2:$I$46,", ",",")&amp;","))*('2L Screening Matrix'!$Q$2:$Q$46="Stage III Only"))</f>
        <v>0</v>
      </c>
      <c r="I7" s="13">
        <f t="shared" si="1"/>
        <v>5</v>
      </c>
      <c r="J7" s="14">
        <f t="shared" si="2"/>
        <v>12</v>
      </c>
      <c r="K7" s="5" t="str">
        <f ca="1">IFERROR(_xludf.textjoin(", ",TRUE(),IF(ISNUMBER(SEARCH(","&amp;$A7&amp;",",","&amp;SUBSTITUTE('1L Screening Matrix'!$I$2:$I$77,", ",",")&amp;",")),'1L Screening Matrix'!$C$2:$C$77,"")),"")</f>
        <v/>
      </c>
      <c r="L7" s="5" t="str">
        <f ca="1">IFERROR(_xludf.textjoin(", ",TRUE(),IF(ISNUMBER(SEARCH(","&amp;$A7&amp;",",","&amp;SUBSTITUTE('2L Screening Matrix'!$I$2:$I$46,", ",",")&amp;",")),'2L Screening Matrix'!$C$2:$C$46,"")),"")</f>
        <v/>
      </c>
    </row>
    <row r="8" spans="1:12" ht="15" customHeight="1" x14ac:dyDescent="0.2">
      <c r="A8" s="12" t="s">
        <v>2048</v>
      </c>
      <c r="B8" s="11">
        <f>SUMPRODUCT(ISNUMBER(SEARCH(","&amp;$A8&amp;",",","&amp;SUBSTITUTE('1L Screening Matrix'!$I$2:$I$77,", ",",")&amp;","))*('1L Screening Matrix'!$Q$2:$Q$77="Stage IV Only"))</f>
        <v>24</v>
      </c>
      <c r="C8" s="11">
        <f>SUMPRODUCT(ISNUMBER(SEARCH(","&amp;$A8&amp;",",","&amp;SUBSTITUTE('1L Screening Matrix'!$I$2:$I$77,", ",",")&amp;","))*('1L Screening Matrix'!$Q$2:$Q$77="Stage IV + Other"))</f>
        <v>11</v>
      </c>
      <c r="D8" s="11">
        <f>SUMPRODUCT(ISNUMBER(SEARCH(","&amp;$A8&amp;",",","&amp;SUBSTITUTE('1L Screening Matrix'!$I$2:$I$77,", ",",")&amp;","))*('1L Screening Matrix'!$Q$2:$Q$77="Stage III Only"))</f>
        <v>1</v>
      </c>
      <c r="E8" s="13">
        <f t="shared" si="0"/>
        <v>36</v>
      </c>
      <c r="F8" s="11">
        <f>SUMPRODUCT(ISNUMBER(SEARCH(","&amp;$A8&amp;",",","&amp;SUBSTITUTE('2L Screening Matrix'!$I$2:$I$46,", ",",")&amp;","))*('2L Screening Matrix'!$Q$2:$Q$46="Stage IV Only"))</f>
        <v>5</v>
      </c>
      <c r="G8" s="11">
        <f>SUMPRODUCT(ISNUMBER(SEARCH(","&amp;$A8&amp;",",","&amp;SUBSTITUTE('2L Screening Matrix'!$I$2:$I$46,", ",",")&amp;","))*('2L Screening Matrix'!$Q$2:$Q$46="Stage IV + Other"))</f>
        <v>2</v>
      </c>
      <c r="H8" s="11">
        <f>SUMPRODUCT(ISNUMBER(SEARCH(","&amp;$A8&amp;",",","&amp;SUBSTITUTE('2L Screening Matrix'!$I$2:$I$46,", ",",")&amp;","))*('2L Screening Matrix'!$Q$2:$Q$46="Stage III Only"))</f>
        <v>0</v>
      </c>
      <c r="I8" s="13">
        <f t="shared" si="1"/>
        <v>7</v>
      </c>
      <c r="J8" s="14">
        <f t="shared" si="2"/>
        <v>43</v>
      </c>
      <c r="K8" s="5" t="str">
        <f ca="1">IFERROR(_xludf.textjoin(", ",TRUE(),IF(ISNUMBER(SEARCH(","&amp;$A8&amp;",",","&amp;SUBSTITUTE('1L Screening Matrix'!$I$2:$I$77,", ",",")&amp;",")),'1L Screening Matrix'!$C$2:$C$77,"")),"")</f>
        <v/>
      </c>
      <c r="L8" s="5" t="str">
        <f ca="1">IFERROR(_xludf.textjoin(", ",TRUE(),IF(ISNUMBER(SEARCH(","&amp;$A8&amp;",",","&amp;SUBSTITUTE('2L Screening Matrix'!$I$2:$I$46,", ",",")&amp;",")),'2L Screening Matrix'!$C$2:$C$46,"")),"")</f>
        <v/>
      </c>
    </row>
    <row r="9" spans="1:12" ht="15" customHeight="1" x14ac:dyDescent="0.2">
      <c r="A9" s="15" t="s">
        <v>2049</v>
      </c>
      <c r="B9" s="11">
        <f>SUMPRODUCT(ISNUMBER(SEARCH(","&amp;$A9&amp;",",","&amp;SUBSTITUTE('1L Screening Matrix'!$I$2:$I$77,", ",",")&amp;","))*('1L Screening Matrix'!$Q$2:$Q$77="Stage IV Only"))</f>
        <v>0</v>
      </c>
      <c r="C9" s="11">
        <f>SUMPRODUCT(ISNUMBER(SEARCH(","&amp;$A9&amp;",",","&amp;SUBSTITUTE('1L Screening Matrix'!$I$2:$I$77,", ",",")&amp;","))*('1L Screening Matrix'!$Q$2:$Q$77="Stage IV + Other"))</f>
        <v>0</v>
      </c>
      <c r="D9" s="11">
        <f>SUMPRODUCT(ISNUMBER(SEARCH(","&amp;$A9&amp;",",","&amp;SUBSTITUTE('1L Screening Matrix'!$I$2:$I$77,", ",",")&amp;","))*('1L Screening Matrix'!$Q$2:$Q$77="Stage III Only"))</f>
        <v>1</v>
      </c>
      <c r="E9" s="13">
        <f t="shared" si="0"/>
        <v>1</v>
      </c>
      <c r="F9" s="11">
        <f>SUMPRODUCT(ISNUMBER(SEARCH(","&amp;$A9&amp;",",","&amp;SUBSTITUTE('2L Screening Matrix'!$I$2:$I$46,", ",",")&amp;","))*('2L Screening Matrix'!$Q$2:$Q$46="Stage IV Only"))</f>
        <v>0</v>
      </c>
      <c r="G9" s="11">
        <f>SUMPRODUCT(ISNUMBER(SEARCH(","&amp;$A9&amp;",",","&amp;SUBSTITUTE('2L Screening Matrix'!$I$2:$I$46,", ",",")&amp;","))*('2L Screening Matrix'!$Q$2:$Q$46="Stage IV + Other"))</f>
        <v>0</v>
      </c>
      <c r="H9" s="11">
        <f>SUMPRODUCT(ISNUMBER(SEARCH(","&amp;$A9&amp;",",","&amp;SUBSTITUTE('2L Screening Matrix'!$I$2:$I$46,", ",",")&amp;","))*('2L Screening Matrix'!$Q$2:$Q$46="Stage III Only"))</f>
        <v>0</v>
      </c>
      <c r="I9" s="13">
        <f t="shared" si="1"/>
        <v>0</v>
      </c>
      <c r="J9" s="14">
        <f t="shared" si="2"/>
        <v>1</v>
      </c>
      <c r="K9" s="5" t="str">
        <f ca="1">IFERROR(_xludf.textjoin(", ",TRUE(),IF(ISNUMBER(SEARCH(","&amp;$A9&amp;",",","&amp;SUBSTITUTE('1L Screening Matrix'!$I$2:$I$77,", ",",")&amp;",")),'1L Screening Matrix'!$C$2:$C$77,"")),"")</f>
        <v/>
      </c>
      <c r="L9" s="5" t="str">
        <f ca="1">IFERROR(_xludf.textjoin(", ",TRUE(),IF(ISNUMBER(SEARCH(","&amp;$A9&amp;",",","&amp;SUBSTITUTE('2L Screening Matrix'!$I$2:$I$46,", ",",")&amp;",")),'2L Screening Matrix'!$C$2:$C$46,"")),"")</f>
        <v/>
      </c>
    </row>
    <row r="10" spans="1:12" ht="15" customHeight="1" x14ac:dyDescent="0.2">
      <c r="A10" s="12" t="s">
        <v>2050</v>
      </c>
      <c r="B10" s="11">
        <f>SUMPRODUCT(ISNUMBER(SEARCH(","&amp;$A10&amp;",",","&amp;SUBSTITUTE('1L Screening Matrix'!$I$2:$I$77,", ",",")&amp;","))*('1L Screening Matrix'!$Q$2:$Q$77="Stage IV Only"))</f>
        <v>0</v>
      </c>
      <c r="C10" s="11">
        <f>SUMPRODUCT(ISNUMBER(SEARCH(","&amp;$A10&amp;",",","&amp;SUBSTITUTE('1L Screening Matrix'!$I$2:$I$77,", ",",")&amp;","))*('1L Screening Matrix'!$Q$2:$Q$77="Stage IV + Other"))</f>
        <v>0</v>
      </c>
      <c r="D10" s="11">
        <f>SUMPRODUCT(ISNUMBER(SEARCH(","&amp;$A10&amp;",",","&amp;SUBSTITUTE('1L Screening Matrix'!$I$2:$I$77,", ",",")&amp;","))*('1L Screening Matrix'!$Q$2:$Q$77="Stage III Only"))</f>
        <v>0</v>
      </c>
      <c r="E10" s="13">
        <f t="shared" si="0"/>
        <v>0</v>
      </c>
      <c r="F10" s="11">
        <f>SUMPRODUCT(ISNUMBER(SEARCH(","&amp;$A10&amp;",",","&amp;SUBSTITUTE('2L Screening Matrix'!$I$2:$I$46,", ",",")&amp;","))*('2L Screening Matrix'!$Q$2:$Q$46="Stage IV Only"))</f>
        <v>1</v>
      </c>
      <c r="G10" s="11">
        <f>SUMPRODUCT(ISNUMBER(SEARCH(","&amp;$A10&amp;",",","&amp;SUBSTITUTE('2L Screening Matrix'!$I$2:$I$46,", ",",")&amp;","))*('2L Screening Matrix'!$Q$2:$Q$46="Stage IV + Other"))</f>
        <v>0</v>
      </c>
      <c r="H10" s="11">
        <f>SUMPRODUCT(ISNUMBER(SEARCH(","&amp;$A10&amp;",",","&amp;SUBSTITUTE('2L Screening Matrix'!$I$2:$I$46,", ",",")&amp;","))*('2L Screening Matrix'!$Q$2:$Q$46="Stage III Only"))</f>
        <v>0</v>
      </c>
      <c r="I10" s="13">
        <f t="shared" si="1"/>
        <v>1</v>
      </c>
      <c r="J10" s="14">
        <f t="shared" si="2"/>
        <v>1</v>
      </c>
      <c r="K10" s="5" t="str">
        <f ca="1">IFERROR(_xludf.textjoin(", ",TRUE(),IF(ISNUMBER(SEARCH(","&amp;$A10&amp;",",","&amp;SUBSTITUTE('1L Screening Matrix'!$I$2:$I$77,", ",",")&amp;",")),'1L Screening Matrix'!$C$2:$C$77,"")),"")</f>
        <v/>
      </c>
      <c r="L10" s="5" t="str">
        <f ca="1">IFERROR(_xludf.textjoin(", ",TRUE(),IF(ISNUMBER(SEARCH(","&amp;$A10&amp;",",","&amp;SUBSTITUTE('2L Screening Matrix'!$I$2:$I$46,", ",",")&amp;",")),'2L Screening Matrix'!$C$2:$C$46,"")),"")</f>
        <v/>
      </c>
    </row>
    <row r="11" spans="1:12" ht="15" customHeight="1" x14ac:dyDescent="0.2">
      <c r="A11" s="15" t="s">
        <v>2051</v>
      </c>
      <c r="B11" s="11">
        <f>SUMPRODUCT(ISNUMBER(SEARCH(","&amp;$A11&amp;",",","&amp;SUBSTITUTE('1L Screening Matrix'!$I$2:$I$77,", ",",")&amp;","))*('1L Screening Matrix'!$Q$2:$Q$77="Stage IV Only"))</f>
        <v>1</v>
      </c>
      <c r="C11" s="11">
        <f>SUMPRODUCT(ISNUMBER(SEARCH(","&amp;$A11&amp;",",","&amp;SUBSTITUTE('1L Screening Matrix'!$I$2:$I$77,", ",",")&amp;","))*('1L Screening Matrix'!$Q$2:$Q$77="Stage IV + Other"))</f>
        <v>0</v>
      </c>
      <c r="D11" s="11">
        <f>SUMPRODUCT(ISNUMBER(SEARCH(","&amp;$A11&amp;",",","&amp;SUBSTITUTE('1L Screening Matrix'!$I$2:$I$77,", ",",")&amp;","))*('1L Screening Matrix'!$Q$2:$Q$77="Stage III Only"))</f>
        <v>0</v>
      </c>
      <c r="E11" s="13">
        <f t="shared" si="0"/>
        <v>1</v>
      </c>
      <c r="F11" s="11">
        <f>SUMPRODUCT(ISNUMBER(SEARCH(","&amp;$A11&amp;",",","&amp;SUBSTITUTE('2L Screening Matrix'!$I$2:$I$46,", ",",")&amp;","))*('2L Screening Matrix'!$Q$2:$Q$46="Stage IV Only"))</f>
        <v>1</v>
      </c>
      <c r="G11" s="11">
        <f>SUMPRODUCT(ISNUMBER(SEARCH(","&amp;$A11&amp;",",","&amp;SUBSTITUTE('2L Screening Matrix'!$I$2:$I$46,", ",",")&amp;","))*('2L Screening Matrix'!$Q$2:$Q$46="Stage IV + Other"))</f>
        <v>0</v>
      </c>
      <c r="H11" s="11">
        <f>SUMPRODUCT(ISNUMBER(SEARCH(","&amp;$A11&amp;",",","&amp;SUBSTITUTE('2L Screening Matrix'!$I$2:$I$46,", ",",")&amp;","))*('2L Screening Matrix'!$Q$2:$Q$46="Stage III Only"))</f>
        <v>0</v>
      </c>
      <c r="I11" s="13">
        <f t="shared" si="1"/>
        <v>1</v>
      </c>
      <c r="J11" s="14">
        <f t="shared" si="2"/>
        <v>2</v>
      </c>
      <c r="K11" s="5" t="str">
        <f ca="1">IFERROR(_xludf.textjoin(", ",TRUE(),IF(ISNUMBER(SEARCH(","&amp;$A11&amp;",",","&amp;SUBSTITUTE('1L Screening Matrix'!$I$2:$I$77,", ",",")&amp;",")),'1L Screening Matrix'!$C$2:$C$77,"")),"")</f>
        <v/>
      </c>
      <c r="L11" s="5" t="str">
        <f ca="1">IFERROR(_xludf.textjoin(", ",TRUE(),IF(ISNUMBER(SEARCH(","&amp;$A11&amp;",",","&amp;SUBSTITUTE('2L Screening Matrix'!$I$2:$I$46,", ",",")&amp;",")),'2L Screening Matrix'!$C$2:$C$46,"")),"")</f>
        <v/>
      </c>
    </row>
    <row r="12" spans="1:12" ht="15" customHeight="1" x14ac:dyDescent="0.2">
      <c r="A12" s="12" t="s">
        <v>232</v>
      </c>
      <c r="B12" s="11">
        <f>SUMPRODUCT(ISNUMBER(SEARCH(","&amp;$A12&amp;",",","&amp;SUBSTITUTE('1L Screening Matrix'!$I$2:$I$77,", ",",")&amp;","))*('1L Screening Matrix'!$Q$2:$Q$77="Stage IV Only"))</f>
        <v>1</v>
      </c>
      <c r="C12" s="11">
        <f>SUMPRODUCT(ISNUMBER(SEARCH(","&amp;$A12&amp;",",","&amp;SUBSTITUTE('1L Screening Matrix'!$I$2:$I$77,", ",",")&amp;","))*('1L Screening Matrix'!$Q$2:$Q$77="Stage IV + Other"))</f>
        <v>1</v>
      </c>
      <c r="D12" s="11">
        <f>SUMPRODUCT(ISNUMBER(SEARCH(","&amp;$A12&amp;",",","&amp;SUBSTITUTE('1L Screening Matrix'!$I$2:$I$77,", ",",")&amp;","))*('1L Screening Matrix'!$Q$2:$Q$77="Stage III Only"))</f>
        <v>0</v>
      </c>
      <c r="E12" s="13">
        <f t="shared" si="0"/>
        <v>2</v>
      </c>
      <c r="F12" s="11">
        <f>SUMPRODUCT(ISNUMBER(SEARCH(","&amp;$A12&amp;",",","&amp;SUBSTITUTE('2L Screening Matrix'!$I$2:$I$46,", ",",")&amp;","))*('2L Screening Matrix'!$Q$2:$Q$46="Stage IV Only"))</f>
        <v>4</v>
      </c>
      <c r="G12" s="11">
        <f>SUMPRODUCT(ISNUMBER(SEARCH(","&amp;$A12&amp;",",","&amp;SUBSTITUTE('2L Screening Matrix'!$I$2:$I$46,", ",",")&amp;","))*('2L Screening Matrix'!$Q$2:$Q$46="Stage IV + Other"))</f>
        <v>2</v>
      </c>
      <c r="H12" s="11">
        <f>SUMPRODUCT(ISNUMBER(SEARCH(","&amp;$A12&amp;",",","&amp;SUBSTITUTE('2L Screening Matrix'!$I$2:$I$46,", ",",")&amp;","))*('2L Screening Matrix'!$Q$2:$Q$46="Stage III Only"))</f>
        <v>0</v>
      </c>
      <c r="I12" s="13">
        <f t="shared" si="1"/>
        <v>6</v>
      </c>
      <c r="J12" s="14">
        <f t="shared" si="2"/>
        <v>8</v>
      </c>
      <c r="K12" s="5" t="str">
        <f ca="1">IFERROR(_xludf.textjoin(", ",TRUE(),IF(ISNUMBER(SEARCH(","&amp;$A12&amp;",",","&amp;SUBSTITUTE('1L Screening Matrix'!$I$2:$I$77,", ",",")&amp;",")),'1L Screening Matrix'!$C$2:$C$77,"")),"")</f>
        <v/>
      </c>
      <c r="L12" s="5" t="str">
        <f ca="1">IFERROR(_xludf.textjoin(", ",TRUE(),IF(ISNUMBER(SEARCH(","&amp;$A12&amp;",",","&amp;SUBSTITUTE('2L Screening Matrix'!$I$2:$I$46,", ",",")&amp;",")),'2L Screening Matrix'!$C$2:$C$46,"")),"")</f>
        <v/>
      </c>
    </row>
    <row r="13" spans="1:12" ht="15" customHeight="1" x14ac:dyDescent="0.2">
      <c r="A13" s="15" t="s">
        <v>2052</v>
      </c>
      <c r="B13" s="11">
        <f>SUMPRODUCT(ISNUMBER(SEARCH(","&amp;$A13&amp;",",","&amp;SUBSTITUTE('1L Screening Matrix'!$I$2:$I$77,", ",",")&amp;","))*('1L Screening Matrix'!$Q$2:$Q$77="Stage IV Only"))</f>
        <v>0</v>
      </c>
      <c r="C13" s="11">
        <f>SUMPRODUCT(ISNUMBER(SEARCH(","&amp;$A13&amp;",",","&amp;SUBSTITUTE('1L Screening Matrix'!$I$2:$I$77,", ",",")&amp;","))*('1L Screening Matrix'!$Q$2:$Q$77="Stage IV + Other"))</f>
        <v>1</v>
      </c>
      <c r="D13" s="11">
        <f>SUMPRODUCT(ISNUMBER(SEARCH(","&amp;$A13&amp;",",","&amp;SUBSTITUTE('1L Screening Matrix'!$I$2:$I$77,", ",",")&amp;","))*('1L Screening Matrix'!$Q$2:$Q$77="Stage III Only"))</f>
        <v>0</v>
      </c>
      <c r="E13" s="13">
        <f t="shared" si="0"/>
        <v>1</v>
      </c>
      <c r="F13" s="11">
        <f>SUMPRODUCT(ISNUMBER(SEARCH(","&amp;$A13&amp;",",","&amp;SUBSTITUTE('2L Screening Matrix'!$I$2:$I$46,", ",",")&amp;","))*('2L Screening Matrix'!$Q$2:$Q$46="Stage IV Only"))</f>
        <v>0</v>
      </c>
      <c r="G13" s="11">
        <f>SUMPRODUCT(ISNUMBER(SEARCH(","&amp;$A13&amp;",",","&amp;SUBSTITUTE('2L Screening Matrix'!$I$2:$I$46,", ",",")&amp;","))*('2L Screening Matrix'!$Q$2:$Q$46="Stage IV + Other"))</f>
        <v>0</v>
      </c>
      <c r="H13" s="11">
        <f>SUMPRODUCT(ISNUMBER(SEARCH(","&amp;$A13&amp;",",","&amp;SUBSTITUTE('2L Screening Matrix'!$I$2:$I$46,", ",",")&amp;","))*('2L Screening Matrix'!$Q$2:$Q$46="Stage III Only"))</f>
        <v>0</v>
      </c>
      <c r="I13" s="13">
        <f t="shared" si="1"/>
        <v>0</v>
      </c>
      <c r="J13" s="14">
        <f t="shared" si="2"/>
        <v>1</v>
      </c>
      <c r="K13" s="5" t="str">
        <f ca="1">IFERROR(_xludf.textjoin(", ",TRUE(),IF(ISNUMBER(SEARCH(","&amp;$A13&amp;",",","&amp;SUBSTITUTE('1L Screening Matrix'!$I$2:$I$77,", ",",")&amp;",")),'1L Screening Matrix'!$C$2:$C$77,"")),"")</f>
        <v/>
      </c>
      <c r="L13" s="5" t="str">
        <f ca="1">IFERROR(_xludf.textjoin(", ",TRUE(),IF(ISNUMBER(SEARCH(","&amp;$A13&amp;",",","&amp;SUBSTITUTE('2L Screening Matrix'!$I$2:$I$46,", ",",")&amp;",")),'2L Screening Matrix'!$C$2:$C$46,"")),"")</f>
        <v/>
      </c>
    </row>
    <row r="14" spans="1:12" ht="15" customHeight="1" x14ac:dyDescent="0.2">
      <c r="A14" s="12" t="s">
        <v>2053</v>
      </c>
      <c r="B14" s="11">
        <f>SUMPRODUCT(ISNUMBER(SEARCH(","&amp;$A14&amp;",",","&amp;SUBSTITUTE('1L Screening Matrix'!$I$2:$I$77,", ",",")&amp;","))*('1L Screening Matrix'!$Q$2:$Q$77="Stage IV Only"))</f>
        <v>0</v>
      </c>
      <c r="C14" s="11">
        <f>SUMPRODUCT(ISNUMBER(SEARCH(","&amp;$A14&amp;",",","&amp;SUBSTITUTE('1L Screening Matrix'!$I$2:$I$77,", ",",")&amp;","))*('1L Screening Matrix'!$Q$2:$Q$77="Stage IV + Other"))</f>
        <v>1</v>
      </c>
      <c r="D14" s="11">
        <f>SUMPRODUCT(ISNUMBER(SEARCH(","&amp;$A14&amp;",",","&amp;SUBSTITUTE('1L Screening Matrix'!$I$2:$I$77,", ",",")&amp;","))*('1L Screening Matrix'!$Q$2:$Q$77="Stage III Only"))</f>
        <v>0</v>
      </c>
      <c r="E14" s="13">
        <f t="shared" si="0"/>
        <v>1</v>
      </c>
      <c r="F14" s="11">
        <f>SUMPRODUCT(ISNUMBER(SEARCH(","&amp;$A14&amp;",",","&amp;SUBSTITUTE('2L Screening Matrix'!$I$2:$I$46,", ",",")&amp;","))*('2L Screening Matrix'!$Q$2:$Q$46="Stage IV Only"))</f>
        <v>0</v>
      </c>
      <c r="G14" s="11">
        <f>SUMPRODUCT(ISNUMBER(SEARCH(","&amp;$A14&amp;",",","&amp;SUBSTITUTE('2L Screening Matrix'!$I$2:$I$46,", ",",")&amp;","))*('2L Screening Matrix'!$Q$2:$Q$46="Stage IV + Other"))</f>
        <v>0</v>
      </c>
      <c r="H14" s="11">
        <f>SUMPRODUCT(ISNUMBER(SEARCH(","&amp;$A14&amp;",",","&amp;SUBSTITUTE('2L Screening Matrix'!$I$2:$I$46,", ",",")&amp;","))*('2L Screening Matrix'!$Q$2:$Q$46="Stage III Only"))</f>
        <v>0</v>
      </c>
      <c r="I14" s="13">
        <f t="shared" si="1"/>
        <v>0</v>
      </c>
      <c r="J14" s="14">
        <f t="shared" si="2"/>
        <v>1</v>
      </c>
      <c r="K14" s="5" t="str">
        <f ca="1">IFERROR(_xludf.textjoin(", ",TRUE(),IF(ISNUMBER(SEARCH(","&amp;$A14&amp;",",","&amp;SUBSTITUTE('1L Screening Matrix'!$I$2:$I$77,", ",",")&amp;",")),'1L Screening Matrix'!$C$2:$C$77,"")),"")</f>
        <v/>
      </c>
      <c r="L14" s="5" t="str">
        <f ca="1">IFERROR(_xludf.textjoin(", ",TRUE(),IF(ISNUMBER(SEARCH(","&amp;$A14&amp;",",","&amp;SUBSTITUTE('2L Screening Matrix'!$I$2:$I$46,", ",",")&amp;",")),'2L Screening Matrix'!$C$2:$C$46,"")),"")</f>
        <v/>
      </c>
    </row>
    <row r="15" spans="1:12" ht="15" customHeight="1" x14ac:dyDescent="0.2">
      <c r="A15" s="15" t="s">
        <v>2054</v>
      </c>
      <c r="B15" s="11">
        <f>SUMPRODUCT(ISNUMBER(SEARCH(","&amp;$A15&amp;",",","&amp;SUBSTITUTE('1L Screening Matrix'!$I$2:$I$77,", ",",")&amp;","))*('1L Screening Matrix'!$Q$2:$Q$77="Stage IV Only"))</f>
        <v>0</v>
      </c>
      <c r="C15" s="11">
        <f>SUMPRODUCT(ISNUMBER(SEARCH(","&amp;$A15&amp;",",","&amp;SUBSTITUTE('1L Screening Matrix'!$I$2:$I$77,", ",",")&amp;","))*('1L Screening Matrix'!$Q$2:$Q$77="Stage IV + Other"))</f>
        <v>0</v>
      </c>
      <c r="D15" s="11">
        <f>SUMPRODUCT(ISNUMBER(SEARCH(","&amp;$A15&amp;",",","&amp;SUBSTITUTE('1L Screening Matrix'!$I$2:$I$77,", ",",")&amp;","))*('1L Screening Matrix'!$Q$2:$Q$77="Stage III Only"))</f>
        <v>0</v>
      </c>
      <c r="E15" s="13">
        <f t="shared" si="0"/>
        <v>0</v>
      </c>
      <c r="F15" s="11">
        <f>SUMPRODUCT(ISNUMBER(SEARCH(","&amp;$A15&amp;",",","&amp;SUBSTITUTE('2L Screening Matrix'!$I$2:$I$46,", ",",")&amp;","))*('2L Screening Matrix'!$Q$2:$Q$46="Stage IV Only"))</f>
        <v>0</v>
      </c>
      <c r="G15" s="11">
        <f>SUMPRODUCT(ISNUMBER(SEARCH(","&amp;$A15&amp;",",","&amp;SUBSTITUTE('2L Screening Matrix'!$I$2:$I$46,", ",",")&amp;","))*('2L Screening Matrix'!$Q$2:$Q$46="Stage IV + Other"))</f>
        <v>1</v>
      </c>
      <c r="H15" s="11">
        <f>SUMPRODUCT(ISNUMBER(SEARCH(","&amp;$A15&amp;",",","&amp;SUBSTITUTE('2L Screening Matrix'!$I$2:$I$46,", ",",")&amp;","))*('2L Screening Matrix'!$Q$2:$Q$46="Stage III Only"))</f>
        <v>0</v>
      </c>
      <c r="I15" s="13">
        <f t="shared" si="1"/>
        <v>1</v>
      </c>
      <c r="J15" s="14">
        <f t="shared" si="2"/>
        <v>1</v>
      </c>
      <c r="K15" s="5" t="str">
        <f ca="1">IFERROR(_xludf.textjoin(", ",TRUE(),IF(ISNUMBER(SEARCH(","&amp;$A15&amp;",",","&amp;SUBSTITUTE('1L Screening Matrix'!$I$2:$I$77,", ",",")&amp;",")),'1L Screening Matrix'!$C$2:$C$77,"")),"")</f>
        <v/>
      </c>
      <c r="L15" s="5" t="str">
        <f ca="1">IFERROR(_xludf.textjoin(", ",TRUE(),IF(ISNUMBER(SEARCH(","&amp;$A15&amp;",",","&amp;SUBSTITUTE('2L Screening Matrix'!$I$2:$I$46,", ",",")&amp;",")),'2L Screening Matrix'!$C$2:$C$46,"")),"")</f>
        <v/>
      </c>
    </row>
    <row r="16" spans="1:12" ht="15" customHeight="1" x14ac:dyDescent="0.2">
      <c r="A16" s="12" t="s">
        <v>2055</v>
      </c>
      <c r="B16" s="11">
        <f>SUMPRODUCT(ISNUMBER(SEARCH(","&amp;$A16&amp;",",","&amp;SUBSTITUTE('1L Screening Matrix'!$I$2:$I$77,", ",",")&amp;","))*('1L Screening Matrix'!$Q$2:$Q$77="Stage IV Only"))</f>
        <v>1</v>
      </c>
      <c r="C16" s="11">
        <f>SUMPRODUCT(ISNUMBER(SEARCH(","&amp;$A16&amp;",",","&amp;SUBSTITUTE('1L Screening Matrix'!$I$2:$I$77,", ",",")&amp;","))*('1L Screening Matrix'!$Q$2:$Q$77="Stage IV + Other"))</f>
        <v>2</v>
      </c>
      <c r="D16" s="11">
        <f>SUMPRODUCT(ISNUMBER(SEARCH(","&amp;$A16&amp;",",","&amp;SUBSTITUTE('1L Screening Matrix'!$I$2:$I$77,", ",",")&amp;","))*('1L Screening Matrix'!$Q$2:$Q$77="Stage III Only"))</f>
        <v>0</v>
      </c>
      <c r="E16" s="13">
        <f t="shared" si="0"/>
        <v>3</v>
      </c>
      <c r="F16" s="11">
        <f>SUMPRODUCT(ISNUMBER(SEARCH(","&amp;$A16&amp;",",","&amp;SUBSTITUTE('2L Screening Matrix'!$I$2:$I$46,", ",",")&amp;","))*('2L Screening Matrix'!$Q$2:$Q$46="Stage IV Only"))</f>
        <v>0</v>
      </c>
      <c r="G16" s="11">
        <f>SUMPRODUCT(ISNUMBER(SEARCH(","&amp;$A16&amp;",",","&amp;SUBSTITUTE('2L Screening Matrix'!$I$2:$I$46,", ",",")&amp;","))*('2L Screening Matrix'!$Q$2:$Q$46="Stage IV + Other"))</f>
        <v>0</v>
      </c>
      <c r="H16" s="11">
        <f>SUMPRODUCT(ISNUMBER(SEARCH(","&amp;$A16&amp;",",","&amp;SUBSTITUTE('2L Screening Matrix'!$I$2:$I$46,", ",",")&amp;","))*('2L Screening Matrix'!$Q$2:$Q$46="Stage III Only"))</f>
        <v>0</v>
      </c>
      <c r="I16" s="13">
        <f t="shared" si="1"/>
        <v>0</v>
      </c>
      <c r="J16" s="14">
        <f t="shared" si="2"/>
        <v>3</v>
      </c>
      <c r="K16" s="5" t="str">
        <f ca="1">IFERROR(_xludf.textjoin(", ",TRUE(),IF(ISNUMBER(SEARCH(","&amp;$A16&amp;",",","&amp;SUBSTITUTE('1L Screening Matrix'!$I$2:$I$77,", ",",")&amp;",")),'1L Screening Matrix'!$C$2:$C$77,"")),"")</f>
        <v/>
      </c>
      <c r="L16" s="5" t="str">
        <f ca="1">IFERROR(_xludf.textjoin(", ",TRUE(),IF(ISNUMBER(SEARCH(","&amp;$A16&amp;",",","&amp;SUBSTITUTE('2L Screening Matrix'!$I$2:$I$46,", ",",")&amp;",")),'2L Screening Matrix'!$C$2:$C$46,"")),"")</f>
        <v/>
      </c>
    </row>
    <row r="17" spans="1:12" ht="15" customHeight="1" x14ac:dyDescent="0.2">
      <c r="A17" s="15" t="s">
        <v>2056</v>
      </c>
      <c r="B17" s="11">
        <f>SUMPRODUCT(ISNUMBER(SEARCH(","&amp;$A17&amp;",",","&amp;SUBSTITUTE('1L Screening Matrix'!$I$2:$I$77,", ",",")&amp;","))*('1L Screening Matrix'!$Q$2:$Q$77="Stage IV Only"))</f>
        <v>0</v>
      </c>
      <c r="C17" s="11">
        <f>SUMPRODUCT(ISNUMBER(SEARCH(","&amp;$A17&amp;",",","&amp;SUBSTITUTE('1L Screening Matrix'!$I$2:$I$77,", ",",")&amp;","))*('1L Screening Matrix'!$Q$2:$Q$77="Stage IV + Other"))</f>
        <v>0</v>
      </c>
      <c r="D17" s="11">
        <f>SUMPRODUCT(ISNUMBER(SEARCH(","&amp;$A17&amp;",",","&amp;SUBSTITUTE('1L Screening Matrix'!$I$2:$I$77,", ",",")&amp;","))*('1L Screening Matrix'!$Q$2:$Q$77="Stage III Only"))</f>
        <v>0</v>
      </c>
      <c r="E17" s="13">
        <f t="shared" si="0"/>
        <v>0</v>
      </c>
      <c r="F17" s="11">
        <f>SUMPRODUCT(ISNUMBER(SEARCH(","&amp;$A17&amp;",",","&amp;SUBSTITUTE('2L Screening Matrix'!$I$2:$I$46,", ",",")&amp;","))*('2L Screening Matrix'!$Q$2:$Q$46="Stage IV Only"))</f>
        <v>2</v>
      </c>
      <c r="G17" s="11">
        <f>SUMPRODUCT(ISNUMBER(SEARCH(","&amp;$A17&amp;",",","&amp;SUBSTITUTE('2L Screening Matrix'!$I$2:$I$46,", ",",")&amp;","))*('2L Screening Matrix'!$Q$2:$Q$46="Stage IV + Other"))</f>
        <v>1</v>
      </c>
      <c r="H17" s="11">
        <f>SUMPRODUCT(ISNUMBER(SEARCH(","&amp;$A17&amp;",",","&amp;SUBSTITUTE('2L Screening Matrix'!$I$2:$I$46,", ",",")&amp;","))*('2L Screening Matrix'!$Q$2:$Q$46="Stage III Only"))</f>
        <v>0</v>
      </c>
      <c r="I17" s="13">
        <f t="shared" si="1"/>
        <v>3</v>
      </c>
      <c r="J17" s="14">
        <f t="shared" si="2"/>
        <v>3</v>
      </c>
      <c r="K17" s="5" t="str">
        <f ca="1">IFERROR(_xludf.textjoin(", ",TRUE(),IF(ISNUMBER(SEARCH(","&amp;$A17&amp;",",","&amp;SUBSTITUTE('1L Screening Matrix'!$I$2:$I$77,", ",",")&amp;",")),'1L Screening Matrix'!$C$2:$C$77,"")),"")</f>
        <v/>
      </c>
      <c r="L17" s="5" t="str">
        <f ca="1">IFERROR(_xludf.textjoin(", ",TRUE(),IF(ISNUMBER(SEARCH(","&amp;$A17&amp;",",","&amp;SUBSTITUTE('2L Screening Matrix'!$I$2:$I$46,", ",",")&amp;",")),'2L Screening Matrix'!$C$2:$C$46,"")),"")</f>
        <v/>
      </c>
    </row>
    <row r="18" spans="1:12" ht="15" customHeight="1" x14ac:dyDescent="0.2">
      <c r="A18" s="12" t="s">
        <v>180</v>
      </c>
      <c r="B18" s="11">
        <f>SUMPRODUCT(ISNUMBER(SEARCH(","&amp;$A18&amp;",",","&amp;SUBSTITUTE('1L Screening Matrix'!$I$2:$I$77,", ",",")&amp;","))*('1L Screening Matrix'!$Q$2:$Q$77="Stage IV Only"))</f>
        <v>2</v>
      </c>
      <c r="C18" s="11">
        <f>SUMPRODUCT(ISNUMBER(SEARCH(","&amp;$A18&amp;",",","&amp;SUBSTITUTE('1L Screening Matrix'!$I$2:$I$77,", ",",")&amp;","))*('1L Screening Matrix'!$Q$2:$Q$77="Stage IV + Other"))</f>
        <v>1</v>
      </c>
      <c r="D18" s="11">
        <f>SUMPRODUCT(ISNUMBER(SEARCH(","&amp;$A18&amp;",",","&amp;SUBSTITUTE('1L Screening Matrix'!$I$2:$I$77,", ",",")&amp;","))*('1L Screening Matrix'!$Q$2:$Q$77="Stage III Only"))</f>
        <v>0</v>
      </c>
      <c r="E18" s="13">
        <f t="shared" si="0"/>
        <v>3</v>
      </c>
      <c r="F18" s="11">
        <f>SUMPRODUCT(ISNUMBER(SEARCH(","&amp;$A18&amp;",",","&amp;SUBSTITUTE('2L Screening Matrix'!$I$2:$I$46,", ",",")&amp;","))*('2L Screening Matrix'!$Q$2:$Q$46="Stage IV Only"))</f>
        <v>4</v>
      </c>
      <c r="G18" s="11">
        <f>SUMPRODUCT(ISNUMBER(SEARCH(","&amp;$A18&amp;",",","&amp;SUBSTITUTE('2L Screening Matrix'!$I$2:$I$46,", ",",")&amp;","))*('2L Screening Matrix'!$Q$2:$Q$46="Stage IV + Other"))</f>
        <v>1</v>
      </c>
      <c r="H18" s="11">
        <f>SUMPRODUCT(ISNUMBER(SEARCH(","&amp;$A18&amp;",",","&amp;SUBSTITUTE('2L Screening Matrix'!$I$2:$I$46,", ",",")&amp;","))*('2L Screening Matrix'!$Q$2:$Q$46="Stage III Only"))</f>
        <v>0</v>
      </c>
      <c r="I18" s="13">
        <f t="shared" si="1"/>
        <v>5</v>
      </c>
      <c r="J18" s="14">
        <f t="shared" si="2"/>
        <v>8</v>
      </c>
      <c r="K18" s="5" t="str">
        <f ca="1">IFERROR(_xludf.textjoin(", ",TRUE(),IF(ISNUMBER(SEARCH(","&amp;$A18&amp;",",","&amp;SUBSTITUTE('1L Screening Matrix'!$I$2:$I$77,", ",",")&amp;",")),'1L Screening Matrix'!$C$2:$C$77,"")),"")</f>
        <v/>
      </c>
      <c r="L18" s="5" t="str">
        <f ca="1">IFERROR(_xludf.textjoin(", ",TRUE(),IF(ISNUMBER(SEARCH(","&amp;$A18&amp;",",","&amp;SUBSTITUTE('2L Screening Matrix'!$I$2:$I$46,", ",",")&amp;",")),'2L Screening Matrix'!$C$2:$C$46,"")),"")</f>
        <v/>
      </c>
    </row>
    <row r="19" spans="1:12" ht="15" customHeight="1" x14ac:dyDescent="0.2">
      <c r="A19" s="15" t="s">
        <v>2057</v>
      </c>
      <c r="B19" s="11">
        <f>SUMPRODUCT(ISNUMBER(SEARCH(","&amp;$A19&amp;",",","&amp;SUBSTITUTE('1L Screening Matrix'!$I$2:$I$77,", ",",")&amp;","))*('1L Screening Matrix'!$Q$2:$Q$77="Stage IV Only"))</f>
        <v>1</v>
      </c>
      <c r="C19" s="11">
        <f>SUMPRODUCT(ISNUMBER(SEARCH(","&amp;$A19&amp;",",","&amp;SUBSTITUTE('1L Screening Matrix'!$I$2:$I$77,", ",",")&amp;","))*('1L Screening Matrix'!$Q$2:$Q$77="Stage IV + Other"))</f>
        <v>1</v>
      </c>
      <c r="D19" s="11">
        <f>SUMPRODUCT(ISNUMBER(SEARCH(","&amp;$A19&amp;",",","&amp;SUBSTITUTE('1L Screening Matrix'!$I$2:$I$77,", ",",")&amp;","))*('1L Screening Matrix'!$Q$2:$Q$77="Stage III Only"))</f>
        <v>0</v>
      </c>
      <c r="E19" s="13">
        <f t="shared" si="0"/>
        <v>2</v>
      </c>
      <c r="F19" s="11">
        <f>SUMPRODUCT(ISNUMBER(SEARCH(","&amp;$A19&amp;",",","&amp;SUBSTITUTE('2L Screening Matrix'!$I$2:$I$46,", ",",")&amp;","))*('2L Screening Matrix'!$Q$2:$Q$46="Stage IV Only"))</f>
        <v>4</v>
      </c>
      <c r="G19" s="11">
        <f>SUMPRODUCT(ISNUMBER(SEARCH(","&amp;$A19&amp;",",","&amp;SUBSTITUTE('2L Screening Matrix'!$I$2:$I$46,", ",",")&amp;","))*('2L Screening Matrix'!$Q$2:$Q$46="Stage IV + Other"))</f>
        <v>0</v>
      </c>
      <c r="H19" s="11">
        <f>SUMPRODUCT(ISNUMBER(SEARCH(","&amp;$A19&amp;",",","&amp;SUBSTITUTE('2L Screening Matrix'!$I$2:$I$46,", ",",")&amp;","))*('2L Screening Matrix'!$Q$2:$Q$46="Stage III Only"))</f>
        <v>0</v>
      </c>
      <c r="I19" s="13">
        <f t="shared" si="1"/>
        <v>4</v>
      </c>
      <c r="J19" s="14">
        <f t="shared" si="2"/>
        <v>6</v>
      </c>
      <c r="K19" s="5" t="str">
        <f ca="1">IFERROR(_xludf.textjoin(", ",TRUE(),IF(ISNUMBER(SEARCH(","&amp;$A19&amp;",",","&amp;SUBSTITUTE('1L Screening Matrix'!$I$2:$I$77,", ",",")&amp;",")),'1L Screening Matrix'!$C$2:$C$77,"")),"")</f>
        <v/>
      </c>
      <c r="L19" s="5" t="str">
        <f ca="1">IFERROR(_xludf.textjoin(", ",TRUE(),IF(ISNUMBER(SEARCH(","&amp;$A19&amp;",",","&amp;SUBSTITUTE('2L Screening Matrix'!$I$2:$I$46,", ",",")&amp;",")),'2L Screening Matrix'!$C$2:$C$46,"")),"")</f>
        <v/>
      </c>
    </row>
    <row r="20" spans="1:12" ht="15" customHeight="1" x14ac:dyDescent="0.2">
      <c r="A20" s="12" t="s">
        <v>2058</v>
      </c>
      <c r="B20" s="11">
        <f>SUMPRODUCT(ISNUMBER(SEARCH(","&amp;$A20&amp;",",","&amp;SUBSTITUTE('1L Screening Matrix'!$I$2:$I$77,", ",",")&amp;","))*('1L Screening Matrix'!$Q$2:$Q$77="Stage IV Only"))</f>
        <v>0</v>
      </c>
      <c r="C20" s="11">
        <f>SUMPRODUCT(ISNUMBER(SEARCH(","&amp;$A20&amp;",",","&amp;SUBSTITUTE('1L Screening Matrix'!$I$2:$I$77,", ",",")&amp;","))*('1L Screening Matrix'!$Q$2:$Q$77="Stage IV + Other"))</f>
        <v>0</v>
      </c>
      <c r="D20" s="11">
        <f>SUMPRODUCT(ISNUMBER(SEARCH(","&amp;$A20&amp;",",","&amp;SUBSTITUTE('1L Screening Matrix'!$I$2:$I$77,", ",",")&amp;","))*('1L Screening Matrix'!$Q$2:$Q$77="Stage III Only"))</f>
        <v>0</v>
      </c>
      <c r="E20" s="13">
        <f t="shared" si="0"/>
        <v>0</v>
      </c>
      <c r="F20" s="11">
        <f>SUMPRODUCT(ISNUMBER(SEARCH(","&amp;$A20&amp;",",","&amp;SUBSTITUTE('2L Screening Matrix'!$I$2:$I$46,", ",",")&amp;","))*('2L Screening Matrix'!$Q$2:$Q$46="Stage IV Only"))</f>
        <v>1</v>
      </c>
      <c r="G20" s="11">
        <f>SUMPRODUCT(ISNUMBER(SEARCH(","&amp;$A20&amp;",",","&amp;SUBSTITUTE('2L Screening Matrix'!$I$2:$I$46,", ",",")&amp;","))*('2L Screening Matrix'!$Q$2:$Q$46="Stage IV + Other"))</f>
        <v>0</v>
      </c>
      <c r="H20" s="11">
        <f>SUMPRODUCT(ISNUMBER(SEARCH(","&amp;$A20&amp;",",","&amp;SUBSTITUTE('2L Screening Matrix'!$I$2:$I$46,", ",",")&amp;","))*('2L Screening Matrix'!$Q$2:$Q$46="Stage III Only"))</f>
        <v>0</v>
      </c>
      <c r="I20" s="13">
        <f t="shared" si="1"/>
        <v>1</v>
      </c>
      <c r="J20" s="14">
        <f t="shared" si="2"/>
        <v>1</v>
      </c>
      <c r="K20" s="5" t="str">
        <f ca="1">IFERROR(_xludf.textjoin(", ",TRUE(),IF(ISNUMBER(SEARCH(","&amp;$A20&amp;",",","&amp;SUBSTITUTE('1L Screening Matrix'!$I$2:$I$77,", ",",")&amp;",")),'1L Screening Matrix'!$C$2:$C$77,"")),"")</f>
        <v/>
      </c>
      <c r="L20" s="5" t="str">
        <f ca="1">IFERROR(_xludf.textjoin(", ",TRUE(),IF(ISNUMBER(SEARCH(","&amp;$A20&amp;",",","&amp;SUBSTITUTE('2L Screening Matrix'!$I$2:$I$46,", ",",")&amp;",")),'2L Screening Matrix'!$C$2:$C$46,"")),"")</f>
        <v/>
      </c>
    </row>
    <row r="21" spans="1:12" ht="15" customHeight="1" x14ac:dyDescent="0.2">
      <c r="A21" s="15" t="s">
        <v>2059</v>
      </c>
      <c r="B21" s="11">
        <f>SUMPRODUCT(ISNUMBER(SEARCH(","&amp;$A21&amp;",",","&amp;SUBSTITUTE('1L Screening Matrix'!$I$2:$I$77,", ",",")&amp;","))*('1L Screening Matrix'!$Q$2:$Q$77="Stage IV Only"))</f>
        <v>0</v>
      </c>
      <c r="C21" s="11">
        <f>SUMPRODUCT(ISNUMBER(SEARCH(","&amp;$A21&amp;",",","&amp;SUBSTITUTE('1L Screening Matrix'!$I$2:$I$77,", ",",")&amp;","))*('1L Screening Matrix'!$Q$2:$Q$77="Stage IV + Other"))</f>
        <v>1</v>
      </c>
      <c r="D21" s="11">
        <f>SUMPRODUCT(ISNUMBER(SEARCH(","&amp;$A21&amp;",",","&amp;SUBSTITUTE('1L Screening Matrix'!$I$2:$I$77,", ",",")&amp;","))*('1L Screening Matrix'!$Q$2:$Q$77="Stage III Only"))</f>
        <v>0</v>
      </c>
      <c r="E21" s="13">
        <f t="shared" si="0"/>
        <v>1</v>
      </c>
      <c r="F21" s="11">
        <f>SUMPRODUCT(ISNUMBER(SEARCH(","&amp;$A21&amp;",",","&amp;SUBSTITUTE('2L Screening Matrix'!$I$2:$I$46,", ",",")&amp;","))*('2L Screening Matrix'!$Q$2:$Q$46="Stage IV Only"))</f>
        <v>0</v>
      </c>
      <c r="G21" s="11">
        <f>SUMPRODUCT(ISNUMBER(SEARCH(","&amp;$A21&amp;",",","&amp;SUBSTITUTE('2L Screening Matrix'!$I$2:$I$46,", ",",")&amp;","))*('2L Screening Matrix'!$Q$2:$Q$46="Stage IV + Other"))</f>
        <v>0</v>
      </c>
      <c r="H21" s="11">
        <f>SUMPRODUCT(ISNUMBER(SEARCH(","&amp;$A21&amp;",",","&amp;SUBSTITUTE('2L Screening Matrix'!$I$2:$I$46,", ",",")&amp;","))*('2L Screening Matrix'!$Q$2:$Q$46="Stage III Only"))</f>
        <v>0</v>
      </c>
      <c r="I21" s="13">
        <f t="shared" si="1"/>
        <v>0</v>
      </c>
      <c r="J21" s="14">
        <f t="shared" si="2"/>
        <v>1</v>
      </c>
      <c r="K21" s="5" t="str">
        <f ca="1">IFERROR(_xludf.textjoin(", ",TRUE(),IF(ISNUMBER(SEARCH(","&amp;$A21&amp;",",","&amp;SUBSTITUTE('1L Screening Matrix'!$I$2:$I$77,", ",",")&amp;",")),'1L Screening Matrix'!$C$2:$C$77,"")),"")</f>
        <v/>
      </c>
      <c r="L21" s="5" t="str">
        <f ca="1">IFERROR(_xludf.textjoin(", ",TRUE(),IF(ISNUMBER(SEARCH(","&amp;$A21&amp;",",","&amp;SUBSTITUTE('2L Screening Matrix'!$I$2:$I$46,", ",",")&amp;",")),'2L Screening Matrix'!$C$2:$C$46,"")),"")</f>
        <v/>
      </c>
    </row>
    <row r="22" spans="1:12" ht="15" customHeight="1" x14ac:dyDescent="0.2">
      <c r="A22" s="12" t="s">
        <v>2060</v>
      </c>
      <c r="B22" s="11">
        <f>SUMPRODUCT(ISNUMBER(SEARCH(","&amp;$A22&amp;",",","&amp;SUBSTITUTE('1L Screening Matrix'!$I$2:$I$77,", ",",")&amp;","))*('1L Screening Matrix'!$Q$2:$Q$77="Stage IV Only"))</f>
        <v>1</v>
      </c>
      <c r="C22" s="11">
        <f>SUMPRODUCT(ISNUMBER(SEARCH(","&amp;$A22&amp;",",","&amp;SUBSTITUTE('1L Screening Matrix'!$I$2:$I$77,", ",",")&amp;","))*('1L Screening Matrix'!$Q$2:$Q$77="Stage IV + Other"))</f>
        <v>0</v>
      </c>
      <c r="D22" s="11">
        <f>SUMPRODUCT(ISNUMBER(SEARCH(","&amp;$A22&amp;",",","&amp;SUBSTITUTE('1L Screening Matrix'!$I$2:$I$77,", ",",")&amp;","))*('1L Screening Matrix'!$Q$2:$Q$77="Stage III Only"))</f>
        <v>0</v>
      </c>
      <c r="E22" s="13">
        <f t="shared" si="0"/>
        <v>1</v>
      </c>
      <c r="F22" s="11">
        <f>SUMPRODUCT(ISNUMBER(SEARCH(","&amp;$A22&amp;",",","&amp;SUBSTITUTE('2L Screening Matrix'!$I$2:$I$46,", ",",")&amp;","))*('2L Screening Matrix'!$Q$2:$Q$46="Stage IV Only"))</f>
        <v>0</v>
      </c>
      <c r="G22" s="11">
        <f>SUMPRODUCT(ISNUMBER(SEARCH(","&amp;$A22&amp;",",","&amp;SUBSTITUTE('2L Screening Matrix'!$I$2:$I$46,", ",",")&amp;","))*('2L Screening Matrix'!$Q$2:$Q$46="Stage IV + Other"))</f>
        <v>0</v>
      </c>
      <c r="H22" s="11">
        <f>SUMPRODUCT(ISNUMBER(SEARCH(","&amp;$A22&amp;",",","&amp;SUBSTITUTE('2L Screening Matrix'!$I$2:$I$46,", ",",")&amp;","))*('2L Screening Matrix'!$Q$2:$Q$46="Stage III Only"))</f>
        <v>0</v>
      </c>
      <c r="I22" s="13">
        <f t="shared" si="1"/>
        <v>0</v>
      </c>
      <c r="J22" s="14">
        <f t="shared" si="2"/>
        <v>1</v>
      </c>
      <c r="K22" s="5" t="str">
        <f ca="1">IFERROR(_xludf.textjoin(", ",TRUE(),IF(ISNUMBER(SEARCH(","&amp;$A22&amp;",",","&amp;SUBSTITUTE('1L Screening Matrix'!$I$2:$I$77,", ",",")&amp;",")),'1L Screening Matrix'!$C$2:$C$77,"")),"")</f>
        <v/>
      </c>
      <c r="L22" s="5" t="str">
        <f ca="1">IFERROR(_xludf.textjoin(", ",TRUE(),IF(ISNUMBER(SEARCH(","&amp;$A22&amp;",",","&amp;SUBSTITUTE('2L Screening Matrix'!$I$2:$I$46,", ",",")&amp;",")),'2L Screening Matrix'!$C$2:$C$46,"")),"")</f>
        <v/>
      </c>
    </row>
    <row r="23" spans="1:12" ht="15" customHeight="1" x14ac:dyDescent="0.2">
      <c r="A23" s="15" t="s">
        <v>2061</v>
      </c>
      <c r="B23" s="11">
        <f>SUMPRODUCT(ISNUMBER(SEARCH(","&amp;$A23&amp;",",","&amp;SUBSTITUTE('1L Screening Matrix'!$I$2:$I$77,", ",",")&amp;","))*('1L Screening Matrix'!$Q$2:$Q$77="Stage IV Only"))</f>
        <v>1</v>
      </c>
      <c r="C23" s="11">
        <f>SUMPRODUCT(ISNUMBER(SEARCH(","&amp;$A23&amp;",",","&amp;SUBSTITUTE('1L Screening Matrix'!$I$2:$I$77,", ",",")&amp;","))*('1L Screening Matrix'!$Q$2:$Q$77="Stage IV + Other"))</f>
        <v>0</v>
      </c>
      <c r="D23" s="11">
        <f>SUMPRODUCT(ISNUMBER(SEARCH(","&amp;$A23&amp;",",","&amp;SUBSTITUTE('1L Screening Matrix'!$I$2:$I$77,", ",",")&amp;","))*('1L Screening Matrix'!$Q$2:$Q$77="Stage III Only"))</f>
        <v>0</v>
      </c>
      <c r="E23" s="13">
        <f t="shared" si="0"/>
        <v>1</v>
      </c>
      <c r="F23" s="11">
        <f>SUMPRODUCT(ISNUMBER(SEARCH(","&amp;$A23&amp;",",","&amp;SUBSTITUTE('2L Screening Matrix'!$I$2:$I$46,", ",",")&amp;","))*('2L Screening Matrix'!$Q$2:$Q$46="Stage IV Only"))</f>
        <v>4</v>
      </c>
      <c r="G23" s="11">
        <f>SUMPRODUCT(ISNUMBER(SEARCH(","&amp;$A23&amp;",",","&amp;SUBSTITUTE('2L Screening Matrix'!$I$2:$I$46,", ",",")&amp;","))*('2L Screening Matrix'!$Q$2:$Q$46="Stage IV + Other"))</f>
        <v>1</v>
      </c>
      <c r="H23" s="11">
        <f>SUMPRODUCT(ISNUMBER(SEARCH(","&amp;$A23&amp;",",","&amp;SUBSTITUTE('2L Screening Matrix'!$I$2:$I$46,", ",",")&amp;","))*('2L Screening Matrix'!$Q$2:$Q$46="Stage III Only"))</f>
        <v>0</v>
      </c>
      <c r="I23" s="13">
        <f t="shared" si="1"/>
        <v>5</v>
      </c>
      <c r="J23" s="14">
        <f t="shared" si="2"/>
        <v>6</v>
      </c>
      <c r="K23" s="5" t="str">
        <f ca="1">IFERROR(_xludf.textjoin(", ",TRUE(),IF(ISNUMBER(SEARCH(","&amp;$A23&amp;",",","&amp;SUBSTITUTE('1L Screening Matrix'!$I$2:$I$77,", ",",")&amp;",")),'1L Screening Matrix'!$C$2:$C$77,"")),"")</f>
        <v/>
      </c>
      <c r="L23" s="5" t="str">
        <f ca="1">IFERROR(_xludf.textjoin(", ",TRUE(),IF(ISNUMBER(SEARCH(","&amp;$A23&amp;",",","&amp;SUBSTITUTE('2L Screening Matrix'!$I$2:$I$46,", ",",")&amp;",")),'2L Screening Matrix'!$C$2:$C$46,"")),"")</f>
        <v/>
      </c>
    </row>
    <row r="24" spans="1:12" ht="15" customHeight="1" x14ac:dyDescent="0.2">
      <c r="A24" s="12" t="s">
        <v>2062</v>
      </c>
      <c r="B24" s="11">
        <f>SUMPRODUCT(ISNUMBER(SEARCH(","&amp;$A24&amp;",",","&amp;SUBSTITUTE('1L Screening Matrix'!$I$2:$I$77,", ",",")&amp;","))*('1L Screening Matrix'!$Q$2:$Q$77="Stage IV Only"))</f>
        <v>1</v>
      </c>
      <c r="C24" s="11">
        <f>SUMPRODUCT(ISNUMBER(SEARCH(","&amp;$A24&amp;",",","&amp;SUBSTITUTE('1L Screening Matrix'!$I$2:$I$77,", ",",")&amp;","))*('1L Screening Matrix'!$Q$2:$Q$77="Stage IV + Other"))</f>
        <v>3</v>
      </c>
      <c r="D24" s="11">
        <f>SUMPRODUCT(ISNUMBER(SEARCH(","&amp;$A24&amp;",",","&amp;SUBSTITUTE('1L Screening Matrix'!$I$2:$I$77,", ",",")&amp;","))*('1L Screening Matrix'!$Q$2:$Q$77="Stage III Only"))</f>
        <v>0</v>
      </c>
      <c r="E24" s="13">
        <f t="shared" si="0"/>
        <v>4</v>
      </c>
      <c r="F24" s="11">
        <f>SUMPRODUCT(ISNUMBER(SEARCH(","&amp;$A24&amp;",",","&amp;SUBSTITUTE('2L Screening Matrix'!$I$2:$I$46,", ",",")&amp;","))*('2L Screening Matrix'!$Q$2:$Q$46="Stage IV Only"))</f>
        <v>1</v>
      </c>
      <c r="G24" s="11">
        <f>SUMPRODUCT(ISNUMBER(SEARCH(","&amp;$A24&amp;",",","&amp;SUBSTITUTE('2L Screening Matrix'!$I$2:$I$46,", ",",")&amp;","))*('2L Screening Matrix'!$Q$2:$Q$46="Stage IV + Other"))</f>
        <v>2</v>
      </c>
      <c r="H24" s="11">
        <f>SUMPRODUCT(ISNUMBER(SEARCH(","&amp;$A24&amp;",",","&amp;SUBSTITUTE('2L Screening Matrix'!$I$2:$I$46,", ",",")&amp;","))*('2L Screening Matrix'!$Q$2:$Q$46="Stage III Only"))</f>
        <v>0</v>
      </c>
      <c r="I24" s="13">
        <f t="shared" si="1"/>
        <v>3</v>
      </c>
      <c r="J24" s="14">
        <f t="shared" si="2"/>
        <v>7</v>
      </c>
      <c r="K24" s="5" t="str">
        <f ca="1">IFERROR(_xludf.textjoin(", ",TRUE(),IF(ISNUMBER(SEARCH(","&amp;$A24&amp;",",","&amp;SUBSTITUTE('1L Screening Matrix'!$I$2:$I$77,", ",",")&amp;",")),'1L Screening Matrix'!$C$2:$C$77,"")),"")</f>
        <v/>
      </c>
      <c r="L24" s="5" t="str">
        <f ca="1">IFERROR(_xludf.textjoin(", ",TRUE(),IF(ISNUMBER(SEARCH(","&amp;$A24&amp;",",","&amp;SUBSTITUTE('2L Screening Matrix'!$I$2:$I$46,", ",",")&amp;",")),'2L Screening Matrix'!$C$2:$C$46,"")),"")</f>
        <v/>
      </c>
    </row>
    <row r="25" spans="1:12" ht="15" customHeight="1" x14ac:dyDescent="0.2">
      <c r="A25" s="15" t="s">
        <v>1032</v>
      </c>
      <c r="B25" s="11">
        <f>SUMPRODUCT(ISNUMBER(SEARCH(","&amp;$A25&amp;",",","&amp;SUBSTITUTE('1L Screening Matrix'!$I$2:$I$77,", ",",")&amp;","))*('1L Screening Matrix'!$Q$2:$Q$77="Stage IV Only"))</f>
        <v>1</v>
      </c>
      <c r="C25" s="11">
        <f>SUMPRODUCT(ISNUMBER(SEARCH(","&amp;$A25&amp;",",","&amp;SUBSTITUTE('1L Screening Matrix'!$I$2:$I$77,", ",",")&amp;","))*('1L Screening Matrix'!$Q$2:$Q$77="Stage IV + Other"))</f>
        <v>2</v>
      </c>
      <c r="D25" s="11">
        <f>SUMPRODUCT(ISNUMBER(SEARCH(","&amp;$A25&amp;",",","&amp;SUBSTITUTE('1L Screening Matrix'!$I$2:$I$77,", ",",")&amp;","))*('1L Screening Matrix'!$Q$2:$Q$77="Stage III Only"))</f>
        <v>0</v>
      </c>
      <c r="E25" s="13">
        <f t="shared" si="0"/>
        <v>3</v>
      </c>
      <c r="F25" s="11">
        <f>SUMPRODUCT(ISNUMBER(SEARCH(","&amp;$A25&amp;",",","&amp;SUBSTITUTE('2L Screening Matrix'!$I$2:$I$46,", ",",")&amp;","))*('2L Screening Matrix'!$Q$2:$Q$46="Stage IV Only"))</f>
        <v>0</v>
      </c>
      <c r="G25" s="11">
        <f>SUMPRODUCT(ISNUMBER(SEARCH(","&amp;$A25&amp;",",","&amp;SUBSTITUTE('2L Screening Matrix'!$I$2:$I$46,", ",",")&amp;","))*('2L Screening Matrix'!$Q$2:$Q$46="Stage IV + Other"))</f>
        <v>0</v>
      </c>
      <c r="H25" s="11">
        <f>SUMPRODUCT(ISNUMBER(SEARCH(","&amp;$A25&amp;",",","&amp;SUBSTITUTE('2L Screening Matrix'!$I$2:$I$46,", ",",")&amp;","))*('2L Screening Matrix'!$Q$2:$Q$46="Stage III Only"))</f>
        <v>0</v>
      </c>
      <c r="I25" s="13">
        <f t="shared" si="1"/>
        <v>0</v>
      </c>
      <c r="J25" s="14">
        <f t="shared" si="2"/>
        <v>3</v>
      </c>
      <c r="K25" s="5" t="str">
        <f ca="1">IFERROR(_xludf.textjoin(", ",TRUE(),IF(ISNUMBER(SEARCH(","&amp;$A25&amp;",",","&amp;SUBSTITUTE('1L Screening Matrix'!$I$2:$I$77,", ",",")&amp;",")),'1L Screening Matrix'!$C$2:$C$77,"")),"")</f>
        <v/>
      </c>
      <c r="L25" s="5" t="str">
        <f ca="1">IFERROR(_xludf.textjoin(", ",TRUE(),IF(ISNUMBER(SEARCH(","&amp;$A25&amp;",",","&amp;SUBSTITUTE('2L Screening Matrix'!$I$2:$I$46,", ",",")&amp;",")),'2L Screening Matrix'!$C$2:$C$46,"")),"")</f>
        <v/>
      </c>
    </row>
    <row r="26" spans="1:12" ht="15" customHeight="1" x14ac:dyDescent="0.2">
      <c r="A26" s="12" t="s">
        <v>2063</v>
      </c>
      <c r="B26" s="11">
        <f>SUMPRODUCT(ISNUMBER(SEARCH(","&amp;$A26&amp;",",","&amp;SUBSTITUTE('1L Screening Matrix'!$I$2:$I$77,", ",",")&amp;","))*('1L Screening Matrix'!$Q$2:$Q$77="Stage IV Only"))</f>
        <v>0</v>
      </c>
      <c r="C26" s="11">
        <f>SUMPRODUCT(ISNUMBER(SEARCH(","&amp;$A26&amp;",",","&amp;SUBSTITUTE('1L Screening Matrix'!$I$2:$I$77,", ",",")&amp;","))*('1L Screening Matrix'!$Q$2:$Q$77="Stage IV + Other"))</f>
        <v>0</v>
      </c>
      <c r="D26" s="11">
        <f>SUMPRODUCT(ISNUMBER(SEARCH(","&amp;$A26&amp;",",","&amp;SUBSTITUTE('1L Screening Matrix'!$I$2:$I$77,", ",",")&amp;","))*('1L Screening Matrix'!$Q$2:$Q$77="Stage III Only"))</f>
        <v>0</v>
      </c>
      <c r="E26" s="13">
        <f t="shared" si="0"/>
        <v>0</v>
      </c>
      <c r="F26" s="11">
        <f>SUMPRODUCT(ISNUMBER(SEARCH(","&amp;$A26&amp;",",","&amp;SUBSTITUTE('2L Screening Matrix'!$I$2:$I$46,", ",",")&amp;","))*('2L Screening Matrix'!$Q$2:$Q$46="Stage IV Only"))</f>
        <v>1</v>
      </c>
      <c r="G26" s="11">
        <f>SUMPRODUCT(ISNUMBER(SEARCH(","&amp;$A26&amp;",",","&amp;SUBSTITUTE('2L Screening Matrix'!$I$2:$I$46,", ",",")&amp;","))*('2L Screening Matrix'!$Q$2:$Q$46="Stage IV + Other"))</f>
        <v>0</v>
      </c>
      <c r="H26" s="11">
        <f>SUMPRODUCT(ISNUMBER(SEARCH(","&amp;$A26&amp;",",","&amp;SUBSTITUTE('2L Screening Matrix'!$I$2:$I$46,", ",",")&amp;","))*('2L Screening Matrix'!$Q$2:$Q$46="Stage III Only"))</f>
        <v>0</v>
      </c>
      <c r="I26" s="13">
        <f t="shared" si="1"/>
        <v>1</v>
      </c>
      <c r="J26" s="14">
        <f t="shared" si="2"/>
        <v>1</v>
      </c>
      <c r="K26" s="5" t="str">
        <f ca="1">IFERROR(_xludf.textjoin(", ",TRUE(),IF(ISNUMBER(SEARCH(","&amp;$A26&amp;",",","&amp;SUBSTITUTE('1L Screening Matrix'!$I$2:$I$77,", ",",")&amp;",")),'1L Screening Matrix'!$C$2:$C$77,"")),"")</f>
        <v/>
      </c>
      <c r="L26" s="5" t="str">
        <f ca="1">IFERROR(_xludf.textjoin(", ",TRUE(),IF(ISNUMBER(SEARCH(","&amp;$A26&amp;",",","&amp;SUBSTITUTE('2L Screening Matrix'!$I$2:$I$46,", ",",")&amp;",")),'2L Screening Matrix'!$C$2:$C$46,"")),"")</f>
        <v/>
      </c>
    </row>
    <row r="27" spans="1:12" ht="15" customHeight="1" x14ac:dyDescent="0.2">
      <c r="A27" s="15" t="s">
        <v>2064</v>
      </c>
      <c r="B27" s="11">
        <f>SUMPRODUCT(ISNUMBER(SEARCH(","&amp;$A27&amp;",",","&amp;SUBSTITUTE('1L Screening Matrix'!$I$2:$I$77,", ",",")&amp;","))*('1L Screening Matrix'!$Q$2:$Q$77="Stage IV Only"))</f>
        <v>0</v>
      </c>
      <c r="C27" s="11">
        <f>SUMPRODUCT(ISNUMBER(SEARCH(","&amp;$A27&amp;",",","&amp;SUBSTITUTE('1L Screening Matrix'!$I$2:$I$77,", ",",")&amp;","))*('1L Screening Matrix'!$Q$2:$Q$77="Stage IV + Other"))</f>
        <v>0</v>
      </c>
      <c r="D27" s="11">
        <f>SUMPRODUCT(ISNUMBER(SEARCH(","&amp;$A27&amp;",",","&amp;SUBSTITUTE('1L Screening Matrix'!$I$2:$I$77,", ",",")&amp;","))*('1L Screening Matrix'!$Q$2:$Q$77="Stage III Only"))</f>
        <v>0</v>
      </c>
      <c r="E27" s="13">
        <f t="shared" si="0"/>
        <v>0</v>
      </c>
      <c r="F27" s="11">
        <f>SUMPRODUCT(ISNUMBER(SEARCH(","&amp;$A27&amp;",",","&amp;SUBSTITUTE('2L Screening Matrix'!$I$2:$I$46,", ",",")&amp;","))*('2L Screening Matrix'!$Q$2:$Q$46="Stage IV Only"))</f>
        <v>0</v>
      </c>
      <c r="G27" s="11">
        <f>SUMPRODUCT(ISNUMBER(SEARCH(","&amp;$A27&amp;",",","&amp;SUBSTITUTE('2L Screening Matrix'!$I$2:$I$46,", ",",")&amp;","))*('2L Screening Matrix'!$Q$2:$Q$46="Stage IV + Other"))</f>
        <v>2</v>
      </c>
      <c r="H27" s="11">
        <f>SUMPRODUCT(ISNUMBER(SEARCH(","&amp;$A27&amp;",",","&amp;SUBSTITUTE('2L Screening Matrix'!$I$2:$I$46,", ",",")&amp;","))*('2L Screening Matrix'!$Q$2:$Q$46="Stage III Only"))</f>
        <v>0</v>
      </c>
      <c r="I27" s="13">
        <f t="shared" si="1"/>
        <v>2</v>
      </c>
      <c r="J27" s="14">
        <f t="shared" si="2"/>
        <v>2</v>
      </c>
      <c r="K27" s="5" t="str">
        <f ca="1">IFERROR(_xludf.textjoin(", ",TRUE(),IF(ISNUMBER(SEARCH(","&amp;$A27&amp;",",","&amp;SUBSTITUTE('1L Screening Matrix'!$I$2:$I$77,", ",",")&amp;",")),'1L Screening Matrix'!$C$2:$C$77,"")),"")</f>
        <v/>
      </c>
      <c r="L27" s="5" t="str">
        <f ca="1">IFERROR(_xludf.textjoin(", ",TRUE(),IF(ISNUMBER(SEARCH(","&amp;$A27&amp;",",","&amp;SUBSTITUTE('2L Screening Matrix'!$I$2:$I$46,", ",",")&amp;",")),'2L Screening Matrix'!$C$2:$C$46,"")),"")</f>
        <v/>
      </c>
    </row>
    <row r="28" spans="1:12" ht="15" customHeight="1" x14ac:dyDescent="0.2">
      <c r="A28" s="12" t="s">
        <v>2065</v>
      </c>
      <c r="B28" s="11">
        <f>SUMPRODUCT(ISNUMBER(SEARCH(","&amp;$A28&amp;",",","&amp;SUBSTITUTE('1L Screening Matrix'!$I$2:$I$77,", ",",")&amp;","))*('1L Screening Matrix'!$Q$2:$Q$77="Stage IV Only"))</f>
        <v>0</v>
      </c>
      <c r="C28" s="11">
        <f>SUMPRODUCT(ISNUMBER(SEARCH(","&amp;$A28&amp;",",","&amp;SUBSTITUTE('1L Screening Matrix'!$I$2:$I$77,", ",",")&amp;","))*('1L Screening Matrix'!$Q$2:$Q$77="Stage IV + Other"))</f>
        <v>0</v>
      </c>
      <c r="D28" s="11">
        <f>SUMPRODUCT(ISNUMBER(SEARCH(","&amp;$A28&amp;",",","&amp;SUBSTITUTE('1L Screening Matrix'!$I$2:$I$77,", ",",")&amp;","))*('1L Screening Matrix'!$Q$2:$Q$77="Stage III Only"))</f>
        <v>0</v>
      </c>
      <c r="E28" s="13">
        <f t="shared" si="0"/>
        <v>0</v>
      </c>
      <c r="F28" s="11">
        <f>SUMPRODUCT(ISNUMBER(SEARCH(","&amp;$A28&amp;",",","&amp;SUBSTITUTE('2L Screening Matrix'!$I$2:$I$46,", ",",")&amp;","))*('2L Screening Matrix'!$Q$2:$Q$46="Stage IV Only"))</f>
        <v>1</v>
      </c>
      <c r="G28" s="11">
        <f>SUMPRODUCT(ISNUMBER(SEARCH(","&amp;$A28&amp;",",","&amp;SUBSTITUTE('2L Screening Matrix'!$I$2:$I$46,", ",",")&amp;","))*('2L Screening Matrix'!$Q$2:$Q$46="Stage IV + Other"))</f>
        <v>0</v>
      </c>
      <c r="H28" s="11">
        <f>SUMPRODUCT(ISNUMBER(SEARCH(","&amp;$A28&amp;",",","&amp;SUBSTITUTE('2L Screening Matrix'!$I$2:$I$46,", ",",")&amp;","))*('2L Screening Matrix'!$Q$2:$Q$46="Stage III Only"))</f>
        <v>0</v>
      </c>
      <c r="I28" s="13">
        <f t="shared" si="1"/>
        <v>1</v>
      </c>
      <c r="J28" s="14">
        <f t="shared" si="2"/>
        <v>1</v>
      </c>
      <c r="K28" s="5" t="str">
        <f ca="1">IFERROR(_xludf.textjoin(", ",TRUE(),IF(ISNUMBER(SEARCH(","&amp;$A28&amp;",",","&amp;SUBSTITUTE('1L Screening Matrix'!$I$2:$I$77,", ",",")&amp;",")),'1L Screening Matrix'!$C$2:$C$77,"")),"")</f>
        <v/>
      </c>
      <c r="L28" s="5" t="str">
        <f ca="1">IFERROR(_xludf.textjoin(", ",TRUE(),IF(ISNUMBER(SEARCH(","&amp;$A28&amp;",",","&amp;SUBSTITUTE('2L Screening Matrix'!$I$2:$I$46,", ",",")&amp;",")),'2L Screening Matrix'!$C$2:$C$46,"")),"")</f>
        <v/>
      </c>
    </row>
    <row r="29" spans="1:12" ht="15" customHeight="1" x14ac:dyDescent="0.2">
      <c r="A29" s="15" t="s">
        <v>2066</v>
      </c>
      <c r="B29" s="11">
        <f>SUMPRODUCT(ISNUMBER(SEARCH(","&amp;$A29&amp;",",","&amp;SUBSTITUTE('1L Screening Matrix'!$I$2:$I$77,", ",",")&amp;","))*('1L Screening Matrix'!$Q$2:$Q$77="Stage IV Only"))</f>
        <v>0</v>
      </c>
      <c r="C29" s="11">
        <f>SUMPRODUCT(ISNUMBER(SEARCH(","&amp;$A29&amp;",",","&amp;SUBSTITUTE('1L Screening Matrix'!$I$2:$I$77,", ",",")&amp;","))*('1L Screening Matrix'!$Q$2:$Q$77="Stage IV + Other"))</f>
        <v>0</v>
      </c>
      <c r="D29" s="11">
        <f>SUMPRODUCT(ISNUMBER(SEARCH(","&amp;$A29&amp;",",","&amp;SUBSTITUTE('1L Screening Matrix'!$I$2:$I$77,", ",",")&amp;","))*('1L Screening Matrix'!$Q$2:$Q$77="Stage III Only"))</f>
        <v>0</v>
      </c>
      <c r="E29" s="13">
        <f t="shared" si="0"/>
        <v>0</v>
      </c>
      <c r="F29" s="11">
        <f>SUMPRODUCT(ISNUMBER(SEARCH(","&amp;$A29&amp;",",","&amp;SUBSTITUTE('2L Screening Matrix'!$I$2:$I$46,", ",",")&amp;","))*('2L Screening Matrix'!$Q$2:$Q$46="Stage IV Only"))</f>
        <v>0</v>
      </c>
      <c r="G29" s="11">
        <f>SUMPRODUCT(ISNUMBER(SEARCH(","&amp;$A29&amp;",",","&amp;SUBSTITUTE('2L Screening Matrix'!$I$2:$I$46,", ",",")&amp;","))*('2L Screening Matrix'!$Q$2:$Q$46="Stage IV + Other"))</f>
        <v>0</v>
      </c>
      <c r="H29" s="11">
        <f>SUMPRODUCT(ISNUMBER(SEARCH(","&amp;$A29&amp;",",","&amp;SUBSTITUTE('2L Screening Matrix'!$I$2:$I$46,", ",",")&amp;","))*('2L Screening Matrix'!$Q$2:$Q$46="Stage III Only"))</f>
        <v>0</v>
      </c>
      <c r="I29" s="13">
        <f t="shared" si="1"/>
        <v>0</v>
      </c>
      <c r="J29" s="14">
        <f t="shared" si="2"/>
        <v>0</v>
      </c>
      <c r="K29" s="5" t="str">
        <f ca="1">IFERROR(_xludf.textjoin(", ",TRUE(),IF(ISNUMBER(SEARCH(","&amp;$A29&amp;",",","&amp;SUBSTITUTE('1L Screening Matrix'!$I$2:$I$77,", ",",")&amp;",")),'1L Screening Matrix'!$C$2:$C$77,"")),"")</f>
        <v/>
      </c>
      <c r="L29" s="5" t="str">
        <f ca="1">IFERROR(_xludf.textjoin(", ",TRUE(),IF(ISNUMBER(SEARCH(","&amp;$A29&amp;",",","&amp;SUBSTITUTE('2L Screening Matrix'!$I$2:$I$46,", ",",")&amp;",")),'2L Screening Matrix'!$C$2:$C$46,"")),"")</f>
        <v/>
      </c>
    </row>
    <row r="30" spans="1:12" ht="15" customHeight="1" x14ac:dyDescent="0.2">
      <c r="A30" s="12" t="s">
        <v>2067</v>
      </c>
      <c r="B30" s="11">
        <f>SUMPRODUCT(ISNUMBER(SEARCH(","&amp;$A30&amp;",",","&amp;SUBSTITUTE('1L Screening Matrix'!$I$2:$I$77,", ",",")&amp;","))*('1L Screening Matrix'!$Q$2:$Q$77="Stage IV Only"))</f>
        <v>0</v>
      </c>
      <c r="C30" s="11">
        <f>SUMPRODUCT(ISNUMBER(SEARCH(","&amp;$A30&amp;",",","&amp;SUBSTITUTE('1L Screening Matrix'!$I$2:$I$77,", ",",")&amp;","))*('1L Screening Matrix'!$Q$2:$Q$77="Stage IV + Other"))</f>
        <v>0</v>
      </c>
      <c r="D30" s="11">
        <f>SUMPRODUCT(ISNUMBER(SEARCH(","&amp;$A30&amp;",",","&amp;SUBSTITUTE('1L Screening Matrix'!$I$2:$I$77,", ",",")&amp;","))*('1L Screening Matrix'!$Q$2:$Q$77="Stage III Only"))</f>
        <v>0</v>
      </c>
      <c r="E30" s="13">
        <f t="shared" si="0"/>
        <v>0</v>
      </c>
      <c r="F30" s="11">
        <f>SUMPRODUCT(ISNUMBER(SEARCH(","&amp;$A30&amp;",",","&amp;SUBSTITUTE('2L Screening Matrix'!$I$2:$I$46,", ",",")&amp;","))*('2L Screening Matrix'!$Q$2:$Q$46="Stage IV Only"))</f>
        <v>0</v>
      </c>
      <c r="G30" s="11">
        <f>SUMPRODUCT(ISNUMBER(SEARCH(","&amp;$A30&amp;",",","&amp;SUBSTITUTE('2L Screening Matrix'!$I$2:$I$46,", ",",")&amp;","))*('2L Screening Matrix'!$Q$2:$Q$46="Stage IV + Other"))</f>
        <v>0</v>
      </c>
      <c r="H30" s="11">
        <f>SUMPRODUCT(ISNUMBER(SEARCH(","&amp;$A30&amp;",",","&amp;SUBSTITUTE('2L Screening Matrix'!$I$2:$I$46,", ",",")&amp;","))*('2L Screening Matrix'!$Q$2:$Q$46="Stage III Only"))</f>
        <v>0</v>
      </c>
      <c r="I30" s="13">
        <f t="shared" si="1"/>
        <v>0</v>
      </c>
      <c r="J30" s="14">
        <f t="shared" si="2"/>
        <v>0</v>
      </c>
      <c r="K30" s="5" t="str">
        <f ca="1">IFERROR(_xludf.textjoin(", ",TRUE(),IF(ISNUMBER(SEARCH(","&amp;$A30&amp;",",","&amp;SUBSTITUTE('1L Screening Matrix'!$I$2:$I$77,", ",",")&amp;",")),'1L Screening Matrix'!$C$2:$C$77,"")),"")</f>
        <v/>
      </c>
      <c r="L30" s="5" t="str">
        <f ca="1">IFERROR(_xludf.textjoin(", ",TRUE(),IF(ISNUMBER(SEARCH(","&amp;$A30&amp;",",","&amp;SUBSTITUTE('2L Screening Matrix'!$I$2:$I$46,", ",",")&amp;",")),'2L Screening Matrix'!$C$2:$C$46,"")),"")</f>
        <v/>
      </c>
    </row>
    <row r="31" spans="1:12" ht="15" customHeight="1" x14ac:dyDescent="0.2">
      <c r="A31" s="15" t="s">
        <v>2068</v>
      </c>
      <c r="B31" s="11">
        <f>SUMPRODUCT(ISNUMBER(SEARCH(","&amp;$A31&amp;",",","&amp;SUBSTITUTE('1L Screening Matrix'!$I$2:$I$77,", ",",")&amp;","))*('1L Screening Matrix'!$Q$2:$Q$77="Stage IV Only"))</f>
        <v>0</v>
      </c>
      <c r="C31" s="11">
        <f>SUMPRODUCT(ISNUMBER(SEARCH(","&amp;$A31&amp;",",","&amp;SUBSTITUTE('1L Screening Matrix'!$I$2:$I$77,", ",",")&amp;","))*('1L Screening Matrix'!$Q$2:$Q$77="Stage IV + Other"))</f>
        <v>1</v>
      </c>
      <c r="D31" s="11">
        <f>SUMPRODUCT(ISNUMBER(SEARCH(","&amp;$A31&amp;",",","&amp;SUBSTITUTE('1L Screening Matrix'!$I$2:$I$77,", ",",")&amp;","))*('1L Screening Matrix'!$Q$2:$Q$77="Stage III Only"))</f>
        <v>0</v>
      </c>
      <c r="E31" s="13">
        <f t="shared" si="0"/>
        <v>1</v>
      </c>
      <c r="F31" s="11">
        <f>SUMPRODUCT(ISNUMBER(SEARCH(","&amp;$A31&amp;",",","&amp;SUBSTITUTE('2L Screening Matrix'!$I$2:$I$46,", ",",")&amp;","))*('2L Screening Matrix'!$Q$2:$Q$46="Stage IV Only"))</f>
        <v>1</v>
      </c>
      <c r="G31" s="11">
        <f>SUMPRODUCT(ISNUMBER(SEARCH(","&amp;$A31&amp;",",","&amp;SUBSTITUTE('2L Screening Matrix'!$I$2:$I$46,", ",",")&amp;","))*('2L Screening Matrix'!$Q$2:$Q$46="Stage IV + Other"))</f>
        <v>0</v>
      </c>
      <c r="H31" s="11">
        <f>SUMPRODUCT(ISNUMBER(SEARCH(","&amp;$A31&amp;",",","&amp;SUBSTITUTE('2L Screening Matrix'!$I$2:$I$46,", ",",")&amp;","))*('2L Screening Matrix'!$Q$2:$Q$46="Stage III Only"))</f>
        <v>0</v>
      </c>
      <c r="I31" s="13">
        <f t="shared" si="1"/>
        <v>1</v>
      </c>
      <c r="J31" s="14">
        <f t="shared" si="2"/>
        <v>2</v>
      </c>
      <c r="K31" s="5" t="str">
        <f ca="1">IFERROR(_xludf.textjoin(", ",TRUE(),IF(ISNUMBER(SEARCH(","&amp;$A31&amp;",",","&amp;SUBSTITUTE('1L Screening Matrix'!$I$2:$I$77,", ",",")&amp;",")),'1L Screening Matrix'!$C$2:$C$77,"")),"")</f>
        <v/>
      </c>
      <c r="L31" s="5" t="str">
        <f ca="1">IFERROR(_xludf.textjoin(", ",TRUE(),IF(ISNUMBER(SEARCH(","&amp;$A31&amp;",",","&amp;SUBSTITUTE('2L Screening Matrix'!$I$2:$I$46,", ",",")&amp;",")),'2L Screening Matrix'!$C$2:$C$46,"")),"")</f>
        <v/>
      </c>
    </row>
    <row r="32" spans="1:12" ht="15" customHeight="1" x14ac:dyDescent="0.2">
      <c r="A32" s="12" t="s">
        <v>2069</v>
      </c>
      <c r="B32" s="11">
        <f>SUMPRODUCT(ISNUMBER(SEARCH(","&amp;$A32&amp;",",","&amp;SUBSTITUTE('1L Screening Matrix'!$I$2:$I$77,", ",",")&amp;","))*('1L Screening Matrix'!$Q$2:$Q$77="Stage IV Only"))</f>
        <v>0</v>
      </c>
      <c r="C32" s="11">
        <f>SUMPRODUCT(ISNUMBER(SEARCH(","&amp;$A32&amp;",",","&amp;SUBSTITUTE('1L Screening Matrix'!$I$2:$I$77,", ",",")&amp;","))*('1L Screening Matrix'!$Q$2:$Q$77="Stage IV + Other"))</f>
        <v>1</v>
      </c>
      <c r="D32" s="11">
        <f>SUMPRODUCT(ISNUMBER(SEARCH(","&amp;$A32&amp;",",","&amp;SUBSTITUTE('1L Screening Matrix'!$I$2:$I$77,", ",",")&amp;","))*('1L Screening Matrix'!$Q$2:$Q$77="Stage III Only"))</f>
        <v>0</v>
      </c>
      <c r="E32" s="13">
        <f t="shared" si="0"/>
        <v>1</v>
      </c>
      <c r="F32" s="11">
        <f>SUMPRODUCT(ISNUMBER(SEARCH(","&amp;$A32&amp;",",","&amp;SUBSTITUTE('2L Screening Matrix'!$I$2:$I$46,", ",",")&amp;","))*('2L Screening Matrix'!$Q$2:$Q$46="Stage IV Only"))</f>
        <v>1</v>
      </c>
      <c r="G32" s="11">
        <f>SUMPRODUCT(ISNUMBER(SEARCH(","&amp;$A32&amp;",",","&amp;SUBSTITUTE('2L Screening Matrix'!$I$2:$I$46,", ",",")&amp;","))*('2L Screening Matrix'!$Q$2:$Q$46="Stage IV + Other"))</f>
        <v>0</v>
      </c>
      <c r="H32" s="11">
        <f>SUMPRODUCT(ISNUMBER(SEARCH(","&amp;$A32&amp;",",","&amp;SUBSTITUTE('2L Screening Matrix'!$I$2:$I$46,", ",",")&amp;","))*('2L Screening Matrix'!$Q$2:$Q$46="Stage III Only"))</f>
        <v>0</v>
      </c>
      <c r="I32" s="13">
        <f t="shared" si="1"/>
        <v>1</v>
      </c>
      <c r="J32" s="14">
        <f t="shared" si="2"/>
        <v>2</v>
      </c>
      <c r="K32" s="5" t="str">
        <f ca="1">IFERROR(_xludf.textjoin(", ",TRUE(),IF(ISNUMBER(SEARCH(","&amp;$A32&amp;",",","&amp;SUBSTITUTE('1L Screening Matrix'!$I$2:$I$77,", ",",")&amp;",")),'1L Screening Matrix'!$C$2:$C$77,"")),"")</f>
        <v/>
      </c>
      <c r="L32" s="5" t="str">
        <f ca="1">IFERROR(_xludf.textjoin(", ",TRUE(),IF(ISNUMBER(SEARCH(","&amp;$A32&amp;",",","&amp;SUBSTITUTE('2L Screening Matrix'!$I$2:$I$46,", ",",")&amp;",")),'2L Screening Matrix'!$C$2:$C$46,"")),"")</f>
        <v/>
      </c>
    </row>
    <row r="33" spans="1:12" ht="15" customHeight="1" x14ac:dyDescent="0.2">
      <c r="A33" s="15" t="s">
        <v>2070</v>
      </c>
      <c r="B33" s="11">
        <f>SUMPRODUCT(ISNUMBER(SEARCH(","&amp;$A33&amp;",",","&amp;SUBSTITUTE('1L Screening Matrix'!$I$2:$I$77,", ",",")&amp;","))*('1L Screening Matrix'!$Q$2:$Q$77="Stage IV Only"))</f>
        <v>0</v>
      </c>
      <c r="C33" s="11">
        <f>SUMPRODUCT(ISNUMBER(SEARCH(","&amp;$A33&amp;",",","&amp;SUBSTITUTE('1L Screening Matrix'!$I$2:$I$77,", ",",")&amp;","))*('1L Screening Matrix'!$Q$2:$Q$77="Stage IV + Other"))</f>
        <v>0</v>
      </c>
      <c r="D33" s="11">
        <f>SUMPRODUCT(ISNUMBER(SEARCH(","&amp;$A33&amp;",",","&amp;SUBSTITUTE('1L Screening Matrix'!$I$2:$I$77,", ",",")&amp;","))*('1L Screening Matrix'!$Q$2:$Q$77="Stage III Only"))</f>
        <v>0</v>
      </c>
      <c r="E33" s="13">
        <f t="shared" si="0"/>
        <v>0</v>
      </c>
      <c r="F33" s="11">
        <f>SUMPRODUCT(ISNUMBER(SEARCH(","&amp;$A33&amp;",",","&amp;SUBSTITUTE('2L Screening Matrix'!$I$2:$I$46,", ",",")&amp;","))*('2L Screening Matrix'!$Q$2:$Q$46="Stage IV Only"))</f>
        <v>1</v>
      </c>
      <c r="G33" s="11">
        <f>SUMPRODUCT(ISNUMBER(SEARCH(","&amp;$A33&amp;",",","&amp;SUBSTITUTE('2L Screening Matrix'!$I$2:$I$46,", ",",")&amp;","))*('2L Screening Matrix'!$Q$2:$Q$46="Stage IV + Other"))</f>
        <v>0</v>
      </c>
      <c r="H33" s="11">
        <f>SUMPRODUCT(ISNUMBER(SEARCH(","&amp;$A33&amp;",",","&amp;SUBSTITUTE('2L Screening Matrix'!$I$2:$I$46,", ",",")&amp;","))*('2L Screening Matrix'!$Q$2:$Q$46="Stage III Only"))</f>
        <v>0</v>
      </c>
      <c r="I33" s="13">
        <f t="shared" si="1"/>
        <v>1</v>
      </c>
      <c r="J33" s="14">
        <f t="shared" si="2"/>
        <v>1</v>
      </c>
      <c r="K33" s="5" t="str">
        <f ca="1">IFERROR(_xludf.textjoin(", ",TRUE(),IF(ISNUMBER(SEARCH(","&amp;$A33&amp;",",","&amp;SUBSTITUTE('1L Screening Matrix'!$I$2:$I$77,", ",",")&amp;",")),'1L Screening Matrix'!$C$2:$C$77,"")),"")</f>
        <v/>
      </c>
      <c r="L33" s="5" t="str">
        <f ca="1">IFERROR(_xludf.textjoin(", ",TRUE(),IF(ISNUMBER(SEARCH(","&amp;$A33&amp;",",","&amp;SUBSTITUTE('2L Screening Matrix'!$I$2:$I$46,", ",",")&amp;",")),'2L Screening Matrix'!$C$2:$C$46,"")),"")</f>
        <v/>
      </c>
    </row>
    <row r="34" spans="1:12" ht="15" customHeight="1" x14ac:dyDescent="0.2">
      <c r="A34" s="12" t="s">
        <v>1345</v>
      </c>
      <c r="B34" s="11">
        <f>SUMPRODUCT(ISNUMBER(SEARCH(","&amp;$A34&amp;",",","&amp;SUBSTITUTE('1L Screening Matrix'!$I$2:$I$77,", ",",")&amp;","))*('1L Screening Matrix'!$Q$2:$Q$77="Stage IV Only"))</f>
        <v>1</v>
      </c>
      <c r="C34" s="11">
        <f>SUMPRODUCT(ISNUMBER(SEARCH(","&amp;$A34&amp;",",","&amp;SUBSTITUTE('1L Screening Matrix'!$I$2:$I$77,", ",",")&amp;","))*('1L Screening Matrix'!$Q$2:$Q$77="Stage IV + Other"))</f>
        <v>1</v>
      </c>
      <c r="D34" s="11">
        <f>SUMPRODUCT(ISNUMBER(SEARCH(","&amp;$A34&amp;",",","&amp;SUBSTITUTE('1L Screening Matrix'!$I$2:$I$77,", ",",")&amp;","))*('1L Screening Matrix'!$Q$2:$Q$77="Stage III Only"))</f>
        <v>0</v>
      </c>
      <c r="E34" s="13">
        <f t="shared" ref="E34:E65" si="3">SUM(B34:D34)</f>
        <v>2</v>
      </c>
      <c r="F34" s="11">
        <f>SUMPRODUCT(ISNUMBER(SEARCH(","&amp;$A34&amp;",",","&amp;SUBSTITUTE('2L Screening Matrix'!$I$2:$I$46,", ",",")&amp;","))*('2L Screening Matrix'!$Q$2:$Q$46="Stage IV Only"))</f>
        <v>0</v>
      </c>
      <c r="G34" s="11">
        <f>SUMPRODUCT(ISNUMBER(SEARCH(","&amp;$A34&amp;",",","&amp;SUBSTITUTE('2L Screening Matrix'!$I$2:$I$46,", ",",")&amp;","))*('2L Screening Matrix'!$Q$2:$Q$46="Stage IV + Other"))</f>
        <v>1</v>
      </c>
      <c r="H34" s="11">
        <f>SUMPRODUCT(ISNUMBER(SEARCH(","&amp;$A34&amp;",",","&amp;SUBSTITUTE('2L Screening Matrix'!$I$2:$I$46,", ",",")&amp;","))*('2L Screening Matrix'!$Q$2:$Q$46="Stage III Only"))</f>
        <v>0</v>
      </c>
      <c r="I34" s="13">
        <f t="shared" ref="I34:I65" si="4">SUM(F34:H34)</f>
        <v>1</v>
      </c>
      <c r="J34" s="14">
        <f t="shared" ref="J34:J65" si="5">E34+I34</f>
        <v>3</v>
      </c>
      <c r="K34" s="5" t="str">
        <f ca="1">IFERROR(_xludf.textjoin(", ",TRUE(),IF(ISNUMBER(SEARCH(","&amp;$A34&amp;",",","&amp;SUBSTITUTE('1L Screening Matrix'!$I$2:$I$77,", ",",")&amp;",")),'1L Screening Matrix'!$C$2:$C$77,"")),"")</f>
        <v/>
      </c>
      <c r="L34" s="5" t="str">
        <f ca="1">IFERROR(_xludf.textjoin(", ",TRUE(),IF(ISNUMBER(SEARCH(","&amp;$A34&amp;",",","&amp;SUBSTITUTE('2L Screening Matrix'!$I$2:$I$46,", ",",")&amp;",")),'2L Screening Matrix'!$C$2:$C$46,"")),"")</f>
        <v/>
      </c>
    </row>
    <row r="35" spans="1:12" ht="15" customHeight="1" x14ac:dyDescent="0.2">
      <c r="A35" s="15" t="s">
        <v>2071</v>
      </c>
      <c r="B35" s="11">
        <f>SUMPRODUCT(ISNUMBER(SEARCH(","&amp;$A35&amp;",",","&amp;SUBSTITUTE('1L Screening Matrix'!$I$2:$I$77,", ",",")&amp;","))*('1L Screening Matrix'!$Q$2:$Q$77="Stage IV Only"))</f>
        <v>0</v>
      </c>
      <c r="C35" s="11">
        <f>SUMPRODUCT(ISNUMBER(SEARCH(","&amp;$A35&amp;",",","&amp;SUBSTITUTE('1L Screening Matrix'!$I$2:$I$77,", ",",")&amp;","))*('1L Screening Matrix'!$Q$2:$Q$77="Stage IV + Other"))</f>
        <v>0</v>
      </c>
      <c r="D35" s="11">
        <f>SUMPRODUCT(ISNUMBER(SEARCH(","&amp;$A35&amp;",",","&amp;SUBSTITUTE('1L Screening Matrix'!$I$2:$I$77,", ",",")&amp;","))*('1L Screening Matrix'!$Q$2:$Q$77="Stage III Only"))</f>
        <v>0</v>
      </c>
      <c r="E35" s="13">
        <f t="shared" si="3"/>
        <v>0</v>
      </c>
      <c r="F35" s="11">
        <f>SUMPRODUCT(ISNUMBER(SEARCH(","&amp;$A35&amp;",",","&amp;SUBSTITUTE('2L Screening Matrix'!$I$2:$I$46,", ",",")&amp;","))*('2L Screening Matrix'!$Q$2:$Q$46="Stage IV Only"))</f>
        <v>1</v>
      </c>
      <c r="G35" s="11">
        <f>SUMPRODUCT(ISNUMBER(SEARCH(","&amp;$A35&amp;",",","&amp;SUBSTITUTE('2L Screening Matrix'!$I$2:$I$46,", ",",")&amp;","))*('2L Screening Matrix'!$Q$2:$Q$46="Stage IV + Other"))</f>
        <v>0</v>
      </c>
      <c r="H35" s="11">
        <f>SUMPRODUCT(ISNUMBER(SEARCH(","&amp;$A35&amp;",",","&amp;SUBSTITUTE('2L Screening Matrix'!$I$2:$I$46,", ",",")&amp;","))*('2L Screening Matrix'!$Q$2:$Q$46="Stage III Only"))</f>
        <v>0</v>
      </c>
      <c r="I35" s="13">
        <f t="shared" si="4"/>
        <v>1</v>
      </c>
      <c r="J35" s="14">
        <f t="shared" si="5"/>
        <v>1</v>
      </c>
      <c r="K35" s="5" t="str">
        <f ca="1">IFERROR(_xludf.textjoin(", ",TRUE(),IF(ISNUMBER(SEARCH(","&amp;$A35&amp;",",","&amp;SUBSTITUTE('1L Screening Matrix'!$I$2:$I$77,", ",",")&amp;",")),'1L Screening Matrix'!$C$2:$C$77,"")),"")</f>
        <v/>
      </c>
      <c r="L35" s="5" t="str">
        <f ca="1">IFERROR(_xludf.textjoin(", ",TRUE(),IF(ISNUMBER(SEARCH(","&amp;$A35&amp;",",","&amp;SUBSTITUTE('2L Screening Matrix'!$I$2:$I$46,", ",",")&amp;",")),'2L Screening Matrix'!$C$2:$C$46,"")),"")</f>
        <v/>
      </c>
    </row>
    <row r="36" spans="1:12" ht="15" customHeight="1" x14ac:dyDescent="0.2">
      <c r="A36" s="12" t="s">
        <v>2072</v>
      </c>
      <c r="B36" s="11">
        <f>SUMPRODUCT(ISNUMBER(SEARCH(","&amp;$A36&amp;",",","&amp;SUBSTITUTE('1L Screening Matrix'!$I$2:$I$77,", ",",")&amp;","))*('1L Screening Matrix'!$Q$2:$Q$77="Stage IV Only"))</f>
        <v>0</v>
      </c>
      <c r="C36" s="11">
        <f>SUMPRODUCT(ISNUMBER(SEARCH(","&amp;$A36&amp;",",","&amp;SUBSTITUTE('1L Screening Matrix'!$I$2:$I$77,", ",",")&amp;","))*('1L Screening Matrix'!$Q$2:$Q$77="Stage IV + Other"))</f>
        <v>0</v>
      </c>
      <c r="D36" s="11">
        <f>SUMPRODUCT(ISNUMBER(SEARCH(","&amp;$A36&amp;",",","&amp;SUBSTITUTE('1L Screening Matrix'!$I$2:$I$77,", ",",")&amp;","))*('1L Screening Matrix'!$Q$2:$Q$77="Stage III Only"))</f>
        <v>1</v>
      </c>
      <c r="E36" s="13">
        <f t="shared" si="3"/>
        <v>1</v>
      </c>
      <c r="F36" s="11">
        <f>SUMPRODUCT(ISNUMBER(SEARCH(","&amp;$A36&amp;",",","&amp;SUBSTITUTE('2L Screening Matrix'!$I$2:$I$46,", ",",")&amp;","))*('2L Screening Matrix'!$Q$2:$Q$46="Stage IV Only"))</f>
        <v>0</v>
      </c>
      <c r="G36" s="11">
        <f>SUMPRODUCT(ISNUMBER(SEARCH(","&amp;$A36&amp;",",","&amp;SUBSTITUTE('2L Screening Matrix'!$I$2:$I$46,", ",",")&amp;","))*('2L Screening Matrix'!$Q$2:$Q$46="Stage IV + Other"))</f>
        <v>0</v>
      </c>
      <c r="H36" s="11">
        <f>SUMPRODUCT(ISNUMBER(SEARCH(","&amp;$A36&amp;",",","&amp;SUBSTITUTE('2L Screening Matrix'!$I$2:$I$46,", ",",")&amp;","))*('2L Screening Matrix'!$Q$2:$Q$46="Stage III Only"))</f>
        <v>0</v>
      </c>
      <c r="I36" s="13">
        <f t="shared" si="4"/>
        <v>0</v>
      </c>
      <c r="J36" s="14">
        <f t="shared" si="5"/>
        <v>1</v>
      </c>
      <c r="K36" s="5" t="str">
        <f ca="1">IFERROR(_xludf.textjoin(", ",TRUE(),IF(ISNUMBER(SEARCH(","&amp;$A36&amp;",",","&amp;SUBSTITUTE('1L Screening Matrix'!$I$2:$I$77,", ",",")&amp;",")),'1L Screening Matrix'!$C$2:$C$77,"")),"")</f>
        <v/>
      </c>
      <c r="L36" s="5" t="str">
        <f ca="1">IFERROR(_xludf.textjoin(", ",TRUE(),IF(ISNUMBER(SEARCH(","&amp;$A36&amp;",",","&amp;SUBSTITUTE('2L Screening Matrix'!$I$2:$I$46,", ",",")&amp;",")),'2L Screening Matrix'!$C$2:$C$46,"")),"")</f>
        <v/>
      </c>
    </row>
    <row r="37" spans="1:12" ht="15" customHeight="1" x14ac:dyDescent="0.2">
      <c r="A37" s="15" t="s">
        <v>1784</v>
      </c>
      <c r="B37" s="11">
        <f>SUMPRODUCT(ISNUMBER(SEARCH(","&amp;$A37&amp;",",","&amp;SUBSTITUTE('1L Screening Matrix'!$I$2:$I$77,", ",",")&amp;","))*('1L Screening Matrix'!$Q$2:$Q$77="Stage IV Only"))</f>
        <v>0</v>
      </c>
      <c r="C37" s="11">
        <f>SUMPRODUCT(ISNUMBER(SEARCH(","&amp;$A37&amp;",",","&amp;SUBSTITUTE('1L Screening Matrix'!$I$2:$I$77,", ",",")&amp;","))*('1L Screening Matrix'!$Q$2:$Q$77="Stage IV + Other"))</f>
        <v>0</v>
      </c>
      <c r="D37" s="11">
        <f>SUMPRODUCT(ISNUMBER(SEARCH(","&amp;$A37&amp;",",","&amp;SUBSTITUTE('1L Screening Matrix'!$I$2:$I$77,", ",",")&amp;","))*('1L Screening Matrix'!$Q$2:$Q$77="Stage III Only"))</f>
        <v>0</v>
      </c>
      <c r="E37" s="13">
        <f t="shared" si="3"/>
        <v>0</v>
      </c>
      <c r="F37" s="11">
        <f>SUMPRODUCT(ISNUMBER(SEARCH(","&amp;$A37&amp;",",","&amp;SUBSTITUTE('2L Screening Matrix'!$I$2:$I$46,", ",",")&amp;","))*('2L Screening Matrix'!$Q$2:$Q$46="Stage IV Only"))</f>
        <v>1</v>
      </c>
      <c r="G37" s="11">
        <f>SUMPRODUCT(ISNUMBER(SEARCH(","&amp;$A37&amp;",",","&amp;SUBSTITUTE('2L Screening Matrix'!$I$2:$I$46,", ",",")&amp;","))*('2L Screening Matrix'!$Q$2:$Q$46="Stage IV + Other"))</f>
        <v>0</v>
      </c>
      <c r="H37" s="11">
        <f>SUMPRODUCT(ISNUMBER(SEARCH(","&amp;$A37&amp;",",","&amp;SUBSTITUTE('2L Screening Matrix'!$I$2:$I$46,", ",",")&amp;","))*('2L Screening Matrix'!$Q$2:$Q$46="Stage III Only"))</f>
        <v>0</v>
      </c>
      <c r="I37" s="13">
        <f t="shared" si="4"/>
        <v>1</v>
      </c>
      <c r="J37" s="14">
        <f t="shared" si="5"/>
        <v>1</v>
      </c>
      <c r="K37" s="5" t="str">
        <f ca="1">IFERROR(_xludf.textjoin(", ",TRUE(),IF(ISNUMBER(SEARCH(","&amp;$A37&amp;",",","&amp;SUBSTITUTE('1L Screening Matrix'!$I$2:$I$77,", ",",")&amp;",")),'1L Screening Matrix'!$C$2:$C$77,"")),"")</f>
        <v/>
      </c>
      <c r="L37" s="5" t="str">
        <f ca="1">IFERROR(_xludf.textjoin(", ",TRUE(),IF(ISNUMBER(SEARCH(","&amp;$A37&amp;",",","&amp;SUBSTITUTE('2L Screening Matrix'!$I$2:$I$46,", ",",")&amp;",")),'2L Screening Matrix'!$C$2:$C$46,"")),"")</f>
        <v/>
      </c>
    </row>
    <row r="38" spans="1:12" ht="15" customHeight="1" x14ac:dyDescent="0.2">
      <c r="A38" s="12" t="s">
        <v>2073</v>
      </c>
      <c r="B38" s="11">
        <f>SUMPRODUCT(ISNUMBER(SEARCH(","&amp;$A38&amp;",",","&amp;SUBSTITUTE('1L Screening Matrix'!$I$2:$I$77,", ",",")&amp;","))*('1L Screening Matrix'!$Q$2:$Q$77="Stage IV Only"))</f>
        <v>0</v>
      </c>
      <c r="C38" s="11">
        <f>SUMPRODUCT(ISNUMBER(SEARCH(","&amp;$A38&amp;",",","&amp;SUBSTITUTE('1L Screening Matrix'!$I$2:$I$77,", ",",")&amp;","))*('1L Screening Matrix'!$Q$2:$Q$77="Stage IV + Other"))</f>
        <v>0</v>
      </c>
      <c r="D38" s="11">
        <f>SUMPRODUCT(ISNUMBER(SEARCH(","&amp;$A38&amp;",",","&amp;SUBSTITUTE('1L Screening Matrix'!$I$2:$I$77,", ",",")&amp;","))*('1L Screening Matrix'!$Q$2:$Q$77="Stage III Only"))</f>
        <v>0</v>
      </c>
      <c r="E38" s="13">
        <f t="shared" si="3"/>
        <v>0</v>
      </c>
      <c r="F38" s="11">
        <f>SUMPRODUCT(ISNUMBER(SEARCH(","&amp;$A38&amp;",",","&amp;SUBSTITUTE('2L Screening Matrix'!$I$2:$I$46,", ",",")&amp;","))*('2L Screening Matrix'!$Q$2:$Q$46="Stage IV Only"))</f>
        <v>1</v>
      </c>
      <c r="G38" s="11">
        <f>SUMPRODUCT(ISNUMBER(SEARCH(","&amp;$A38&amp;",",","&amp;SUBSTITUTE('2L Screening Matrix'!$I$2:$I$46,", ",",")&amp;","))*('2L Screening Matrix'!$Q$2:$Q$46="Stage IV + Other"))</f>
        <v>0</v>
      </c>
      <c r="H38" s="11">
        <f>SUMPRODUCT(ISNUMBER(SEARCH(","&amp;$A38&amp;",",","&amp;SUBSTITUTE('2L Screening Matrix'!$I$2:$I$46,", ",",")&amp;","))*('2L Screening Matrix'!$Q$2:$Q$46="Stage III Only"))</f>
        <v>0</v>
      </c>
      <c r="I38" s="13">
        <f t="shared" si="4"/>
        <v>1</v>
      </c>
      <c r="J38" s="14">
        <f t="shared" si="5"/>
        <v>1</v>
      </c>
      <c r="K38" s="5" t="str">
        <f ca="1">IFERROR(_xludf.textjoin(", ",TRUE(),IF(ISNUMBER(SEARCH(","&amp;$A38&amp;",",","&amp;SUBSTITUTE('1L Screening Matrix'!$I$2:$I$77,", ",",")&amp;",")),'1L Screening Matrix'!$C$2:$C$77,"")),"")</f>
        <v/>
      </c>
      <c r="L38" s="5" t="str">
        <f ca="1">IFERROR(_xludf.textjoin(", ",TRUE(),IF(ISNUMBER(SEARCH(","&amp;$A38&amp;",",","&amp;SUBSTITUTE('2L Screening Matrix'!$I$2:$I$46,", ",",")&amp;",")),'2L Screening Matrix'!$C$2:$C$46,"")),"")</f>
        <v/>
      </c>
    </row>
    <row r="39" spans="1:12" ht="15" customHeight="1" x14ac:dyDescent="0.2">
      <c r="A39" s="15" t="s">
        <v>905</v>
      </c>
      <c r="B39" s="11">
        <f>SUMPRODUCT(ISNUMBER(SEARCH(","&amp;$A39&amp;",",","&amp;SUBSTITUTE('1L Screening Matrix'!$I$2:$I$77,", ",",")&amp;","))*('1L Screening Matrix'!$Q$2:$Q$77="Stage IV Only"))</f>
        <v>5</v>
      </c>
      <c r="C39" s="11">
        <f>SUMPRODUCT(ISNUMBER(SEARCH(","&amp;$A39&amp;",",","&amp;SUBSTITUTE('1L Screening Matrix'!$I$2:$I$77,", ",",")&amp;","))*('1L Screening Matrix'!$Q$2:$Q$77="Stage IV + Other"))</f>
        <v>3</v>
      </c>
      <c r="D39" s="11">
        <f>SUMPRODUCT(ISNUMBER(SEARCH(","&amp;$A39&amp;",",","&amp;SUBSTITUTE('1L Screening Matrix'!$I$2:$I$77,", ",",")&amp;","))*('1L Screening Matrix'!$Q$2:$Q$77="Stage III Only"))</f>
        <v>1</v>
      </c>
      <c r="E39" s="13">
        <f t="shared" si="3"/>
        <v>9</v>
      </c>
      <c r="F39" s="11">
        <f>SUMPRODUCT(ISNUMBER(SEARCH(","&amp;$A39&amp;",",","&amp;SUBSTITUTE('2L Screening Matrix'!$I$2:$I$46,", ",",")&amp;","))*('2L Screening Matrix'!$Q$2:$Q$46="Stage IV Only"))</f>
        <v>2</v>
      </c>
      <c r="G39" s="11">
        <f>SUMPRODUCT(ISNUMBER(SEARCH(","&amp;$A39&amp;",",","&amp;SUBSTITUTE('2L Screening Matrix'!$I$2:$I$46,", ",",")&amp;","))*('2L Screening Matrix'!$Q$2:$Q$46="Stage IV + Other"))</f>
        <v>1</v>
      </c>
      <c r="H39" s="11">
        <f>SUMPRODUCT(ISNUMBER(SEARCH(","&amp;$A39&amp;",",","&amp;SUBSTITUTE('2L Screening Matrix'!$I$2:$I$46,", ",",")&amp;","))*('2L Screening Matrix'!$Q$2:$Q$46="Stage III Only"))</f>
        <v>0</v>
      </c>
      <c r="I39" s="13">
        <f t="shared" si="4"/>
        <v>3</v>
      </c>
      <c r="J39" s="14">
        <f t="shared" si="5"/>
        <v>12</v>
      </c>
      <c r="K39" s="5" t="str">
        <f ca="1">IFERROR(_xludf.textjoin(", ",TRUE(),IF(ISNUMBER(SEARCH(","&amp;$A39&amp;",",","&amp;SUBSTITUTE('1L Screening Matrix'!$I$2:$I$77,", ",",")&amp;",")),'1L Screening Matrix'!$C$2:$C$77,"")),"")</f>
        <v/>
      </c>
      <c r="L39" s="5" t="str">
        <f ca="1">IFERROR(_xludf.textjoin(", ",TRUE(),IF(ISNUMBER(SEARCH(","&amp;$A39&amp;",",","&amp;SUBSTITUTE('2L Screening Matrix'!$I$2:$I$46,", ",",")&amp;",")),'2L Screening Matrix'!$C$2:$C$46,"")),"")</f>
        <v/>
      </c>
    </row>
    <row r="40" spans="1:12" ht="15" customHeight="1" x14ac:dyDescent="0.2">
      <c r="A40" s="12" t="s">
        <v>1317</v>
      </c>
      <c r="B40" s="11">
        <f>SUMPRODUCT(ISNUMBER(SEARCH(","&amp;$A40&amp;",",","&amp;SUBSTITUTE('1L Screening Matrix'!$I$2:$I$77,", ",",")&amp;","))*('1L Screening Matrix'!$Q$2:$Q$77="Stage IV Only"))</f>
        <v>1</v>
      </c>
      <c r="C40" s="11">
        <f>SUMPRODUCT(ISNUMBER(SEARCH(","&amp;$A40&amp;",",","&amp;SUBSTITUTE('1L Screening Matrix'!$I$2:$I$77,", ",",")&amp;","))*('1L Screening Matrix'!$Q$2:$Q$77="Stage IV + Other"))</f>
        <v>0</v>
      </c>
      <c r="D40" s="11">
        <f>SUMPRODUCT(ISNUMBER(SEARCH(","&amp;$A40&amp;",",","&amp;SUBSTITUTE('1L Screening Matrix'!$I$2:$I$77,", ",",")&amp;","))*('1L Screening Matrix'!$Q$2:$Q$77="Stage III Only"))</f>
        <v>0</v>
      </c>
      <c r="E40" s="13">
        <f t="shared" si="3"/>
        <v>1</v>
      </c>
      <c r="F40" s="11">
        <f>SUMPRODUCT(ISNUMBER(SEARCH(","&amp;$A40&amp;",",","&amp;SUBSTITUTE('2L Screening Matrix'!$I$2:$I$46,", ",",")&amp;","))*('2L Screening Matrix'!$Q$2:$Q$46="Stage IV Only"))</f>
        <v>1</v>
      </c>
      <c r="G40" s="11">
        <f>SUMPRODUCT(ISNUMBER(SEARCH(","&amp;$A40&amp;",",","&amp;SUBSTITUTE('2L Screening Matrix'!$I$2:$I$46,", ",",")&amp;","))*('2L Screening Matrix'!$Q$2:$Q$46="Stage IV + Other"))</f>
        <v>0</v>
      </c>
      <c r="H40" s="11">
        <f>SUMPRODUCT(ISNUMBER(SEARCH(","&amp;$A40&amp;",",","&amp;SUBSTITUTE('2L Screening Matrix'!$I$2:$I$46,", ",",")&amp;","))*('2L Screening Matrix'!$Q$2:$Q$46="Stage III Only"))</f>
        <v>0</v>
      </c>
      <c r="I40" s="13">
        <f t="shared" si="4"/>
        <v>1</v>
      </c>
      <c r="J40" s="14">
        <f t="shared" si="5"/>
        <v>2</v>
      </c>
      <c r="K40" s="5" t="str">
        <f ca="1">IFERROR(_xludf.textjoin(", ",TRUE(),IF(ISNUMBER(SEARCH(","&amp;$A40&amp;",",","&amp;SUBSTITUTE('1L Screening Matrix'!$I$2:$I$77,", ",",")&amp;",")),'1L Screening Matrix'!$C$2:$C$77,"")),"")</f>
        <v/>
      </c>
      <c r="L40" s="5" t="str">
        <f ca="1">IFERROR(_xludf.textjoin(", ",TRUE(),IF(ISNUMBER(SEARCH(","&amp;$A40&amp;",",","&amp;SUBSTITUTE('2L Screening Matrix'!$I$2:$I$46,", ",",")&amp;",")),'2L Screening Matrix'!$C$2:$C$46,"")),"")</f>
        <v/>
      </c>
    </row>
    <row r="41" spans="1:12" ht="15" customHeight="1" x14ac:dyDescent="0.2">
      <c r="A41" s="15" t="s">
        <v>2074</v>
      </c>
      <c r="B41" s="11">
        <f>SUMPRODUCT(ISNUMBER(SEARCH(","&amp;$A41&amp;",",","&amp;SUBSTITUTE('1L Screening Matrix'!$I$2:$I$77,", ",",")&amp;","))*('1L Screening Matrix'!$Q$2:$Q$77="Stage IV Only"))</f>
        <v>1</v>
      </c>
      <c r="C41" s="11">
        <f>SUMPRODUCT(ISNUMBER(SEARCH(","&amp;$A41&amp;",",","&amp;SUBSTITUTE('1L Screening Matrix'!$I$2:$I$77,", ",",")&amp;","))*('1L Screening Matrix'!$Q$2:$Q$77="Stage IV + Other"))</f>
        <v>2</v>
      </c>
      <c r="D41" s="11">
        <f>SUMPRODUCT(ISNUMBER(SEARCH(","&amp;$A41&amp;",",","&amp;SUBSTITUTE('1L Screening Matrix'!$I$2:$I$77,", ",",")&amp;","))*('1L Screening Matrix'!$Q$2:$Q$77="Stage III Only"))</f>
        <v>0</v>
      </c>
      <c r="E41" s="13">
        <f t="shared" si="3"/>
        <v>3</v>
      </c>
      <c r="F41" s="11">
        <f>SUMPRODUCT(ISNUMBER(SEARCH(","&amp;$A41&amp;",",","&amp;SUBSTITUTE('2L Screening Matrix'!$I$2:$I$46,", ",",")&amp;","))*('2L Screening Matrix'!$Q$2:$Q$46="Stage IV Only"))</f>
        <v>0</v>
      </c>
      <c r="G41" s="11">
        <f>SUMPRODUCT(ISNUMBER(SEARCH(","&amp;$A41&amp;",",","&amp;SUBSTITUTE('2L Screening Matrix'!$I$2:$I$46,", ",",")&amp;","))*('2L Screening Matrix'!$Q$2:$Q$46="Stage IV + Other"))</f>
        <v>0</v>
      </c>
      <c r="H41" s="11">
        <f>SUMPRODUCT(ISNUMBER(SEARCH(","&amp;$A41&amp;",",","&amp;SUBSTITUTE('2L Screening Matrix'!$I$2:$I$46,", ",",")&amp;","))*('2L Screening Matrix'!$Q$2:$Q$46="Stage III Only"))</f>
        <v>0</v>
      </c>
      <c r="I41" s="13">
        <f t="shared" si="4"/>
        <v>0</v>
      </c>
      <c r="J41" s="14">
        <f t="shared" si="5"/>
        <v>3</v>
      </c>
      <c r="K41" s="5" t="str">
        <f ca="1">IFERROR(_xludf.textjoin(", ",TRUE(),IF(ISNUMBER(SEARCH(","&amp;$A41&amp;",",","&amp;SUBSTITUTE('1L Screening Matrix'!$I$2:$I$77,", ",",")&amp;",")),'1L Screening Matrix'!$C$2:$C$77,"")),"")</f>
        <v/>
      </c>
      <c r="L41" s="5" t="str">
        <f ca="1">IFERROR(_xludf.textjoin(", ",TRUE(),IF(ISNUMBER(SEARCH(","&amp;$A41&amp;",",","&amp;SUBSTITUTE('2L Screening Matrix'!$I$2:$I$46,", ",",")&amp;",")),'2L Screening Matrix'!$C$2:$C$46,"")),"")</f>
        <v/>
      </c>
    </row>
    <row r="42" spans="1:12" ht="15" customHeight="1" x14ac:dyDescent="0.2">
      <c r="A42" s="12" t="s">
        <v>2075</v>
      </c>
      <c r="B42" s="11">
        <f>SUMPRODUCT(ISNUMBER(SEARCH(","&amp;$A42&amp;",",","&amp;SUBSTITUTE('1L Screening Matrix'!$I$2:$I$77,", ",",")&amp;","))*('1L Screening Matrix'!$Q$2:$Q$77="Stage IV Only"))</f>
        <v>0</v>
      </c>
      <c r="C42" s="11">
        <f>SUMPRODUCT(ISNUMBER(SEARCH(","&amp;$A42&amp;",",","&amp;SUBSTITUTE('1L Screening Matrix'!$I$2:$I$77,", ",",")&amp;","))*('1L Screening Matrix'!$Q$2:$Q$77="Stage IV + Other"))</f>
        <v>0</v>
      </c>
      <c r="D42" s="11">
        <f>SUMPRODUCT(ISNUMBER(SEARCH(","&amp;$A42&amp;",",","&amp;SUBSTITUTE('1L Screening Matrix'!$I$2:$I$77,", ",",")&amp;","))*('1L Screening Matrix'!$Q$2:$Q$77="Stage III Only"))</f>
        <v>0</v>
      </c>
      <c r="E42" s="13">
        <f t="shared" si="3"/>
        <v>0</v>
      </c>
      <c r="F42" s="11">
        <f>SUMPRODUCT(ISNUMBER(SEARCH(","&amp;$A42&amp;",",","&amp;SUBSTITUTE('2L Screening Matrix'!$I$2:$I$46,", ",",")&amp;","))*('2L Screening Matrix'!$Q$2:$Q$46="Stage IV Only"))</f>
        <v>1</v>
      </c>
      <c r="G42" s="11">
        <f>SUMPRODUCT(ISNUMBER(SEARCH(","&amp;$A42&amp;",",","&amp;SUBSTITUTE('2L Screening Matrix'!$I$2:$I$46,", ",",")&amp;","))*('2L Screening Matrix'!$Q$2:$Q$46="Stage IV + Other"))</f>
        <v>0</v>
      </c>
      <c r="H42" s="11">
        <f>SUMPRODUCT(ISNUMBER(SEARCH(","&amp;$A42&amp;",",","&amp;SUBSTITUTE('2L Screening Matrix'!$I$2:$I$46,", ",",")&amp;","))*('2L Screening Matrix'!$Q$2:$Q$46="Stage III Only"))</f>
        <v>0</v>
      </c>
      <c r="I42" s="13">
        <f t="shared" si="4"/>
        <v>1</v>
      </c>
      <c r="J42" s="14">
        <f t="shared" si="5"/>
        <v>1</v>
      </c>
      <c r="K42" s="5" t="str">
        <f ca="1">IFERROR(_xludf.textjoin(", ",TRUE(),IF(ISNUMBER(SEARCH(","&amp;$A42&amp;",",","&amp;SUBSTITUTE('1L Screening Matrix'!$I$2:$I$77,", ",",")&amp;",")),'1L Screening Matrix'!$C$2:$C$77,"")),"")</f>
        <v/>
      </c>
      <c r="L42" s="5" t="str">
        <f ca="1">IFERROR(_xludf.textjoin(", ",TRUE(),IF(ISNUMBER(SEARCH(","&amp;$A42&amp;",",","&amp;SUBSTITUTE('2L Screening Matrix'!$I$2:$I$46,", ",",")&amp;",")),'2L Screening Matrix'!$C$2:$C$46,"")),"")</f>
        <v/>
      </c>
    </row>
    <row r="43" spans="1:12" ht="15" customHeight="1" x14ac:dyDescent="0.2">
      <c r="A43" s="15" t="s">
        <v>2076</v>
      </c>
      <c r="B43" s="11">
        <f>SUMPRODUCT(ISNUMBER(SEARCH(","&amp;$A43&amp;",",","&amp;SUBSTITUTE('1L Screening Matrix'!$I$2:$I$77,", ",",")&amp;","))*('1L Screening Matrix'!$Q$2:$Q$77="Stage IV Only"))</f>
        <v>0</v>
      </c>
      <c r="C43" s="11">
        <f>SUMPRODUCT(ISNUMBER(SEARCH(","&amp;$A43&amp;",",","&amp;SUBSTITUTE('1L Screening Matrix'!$I$2:$I$77,", ",",")&amp;","))*('1L Screening Matrix'!$Q$2:$Q$77="Stage IV + Other"))</f>
        <v>0</v>
      </c>
      <c r="D43" s="11">
        <f>SUMPRODUCT(ISNUMBER(SEARCH(","&amp;$A43&amp;",",","&amp;SUBSTITUTE('1L Screening Matrix'!$I$2:$I$77,", ",",")&amp;","))*('1L Screening Matrix'!$Q$2:$Q$77="Stage III Only"))</f>
        <v>0</v>
      </c>
      <c r="E43" s="13">
        <f t="shared" si="3"/>
        <v>0</v>
      </c>
      <c r="F43" s="11">
        <f>SUMPRODUCT(ISNUMBER(SEARCH(","&amp;$A43&amp;",",","&amp;SUBSTITUTE('2L Screening Matrix'!$I$2:$I$46,", ",",")&amp;","))*('2L Screening Matrix'!$Q$2:$Q$46="Stage IV Only"))</f>
        <v>1</v>
      </c>
      <c r="G43" s="11">
        <f>SUMPRODUCT(ISNUMBER(SEARCH(","&amp;$A43&amp;",",","&amp;SUBSTITUTE('2L Screening Matrix'!$I$2:$I$46,", ",",")&amp;","))*('2L Screening Matrix'!$Q$2:$Q$46="Stage IV + Other"))</f>
        <v>0</v>
      </c>
      <c r="H43" s="11">
        <f>SUMPRODUCT(ISNUMBER(SEARCH(","&amp;$A43&amp;",",","&amp;SUBSTITUTE('2L Screening Matrix'!$I$2:$I$46,", ",",")&amp;","))*('2L Screening Matrix'!$Q$2:$Q$46="Stage III Only"))</f>
        <v>0</v>
      </c>
      <c r="I43" s="13">
        <f t="shared" si="4"/>
        <v>1</v>
      </c>
      <c r="J43" s="14">
        <f t="shared" si="5"/>
        <v>1</v>
      </c>
      <c r="K43" s="5" t="str">
        <f ca="1">IFERROR(_xludf.textjoin(", ",TRUE(),IF(ISNUMBER(SEARCH(","&amp;$A43&amp;",",","&amp;SUBSTITUTE('1L Screening Matrix'!$I$2:$I$77,", ",",")&amp;",")),'1L Screening Matrix'!$C$2:$C$77,"")),"")</f>
        <v/>
      </c>
      <c r="L43" s="5" t="str">
        <f ca="1">IFERROR(_xludf.textjoin(", ",TRUE(),IF(ISNUMBER(SEARCH(","&amp;$A43&amp;",",","&amp;SUBSTITUTE('2L Screening Matrix'!$I$2:$I$46,", ",",")&amp;",")),'2L Screening Matrix'!$C$2:$C$46,"")),"")</f>
        <v/>
      </c>
    </row>
    <row r="44" spans="1:12" ht="15" customHeight="1" x14ac:dyDescent="0.2">
      <c r="A44" s="12" t="s">
        <v>2077</v>
      </c>
      <c r="B44" s="11">
        <f>SUMPRODUCT(ISNUMBER(SEARCH(","&amp;$A44&amp;",",","&amp;SUBSTITUTE('1L Screening Matrix'!$I$2:$I$77,", ",",")&amp;","))*('1L Screening Matrix'!$Q$2:$Q$77="Stage IV Only"))</f>
        <v>1</v>
      </c>
      <c r="C44" s="11">
        <f>SUMPRODUCT(ISNUMBER(SEARCH(","&amp;$A44&amp;",",","&amp;SUBSTITUTE('1L Screening Matrix'!$I$2:$I$77,", ",",")&amp;","))*('1L Screening Matrix'!$Q$2:$Q$77="Stage IV + Other"))</f>
        <v>1</v>
      </c>
      <c r="D44" s="11">
        <f>SUMPRODUCT(ISNUMBER(SEARCH(","&amp;$A44&amp;",",","&amp;SUBSTITUTE('1L Screening Matrix'!$I$2:$I$77,", ",",")&amp;","))*('1L Screening Matrix'!$Q$2:$Q$77="Stage III Only"))</f>
        <v>0</v>
      </c>
      <c r="E44" s="13">
        <f t="shared" si="3"/>
        <v>2</v>
      </c>
      <c r="F44" s="11">
        <f>SUMPRODUCT(ISNUMBER(SEARCH(","&amp;$A44&amp;",",","&amp;SUBSTITUTE('2L Screening Matrix'!$I$2:$I$46,", ",",")&amp;","))*('2L Screening Matrix'!$Q$2:$Q$46="Stage IV Only"))</f>
        <v>0</v>
      </c>
      <c r="G44" s="11">
        <f>SUMPRODUCT(ISNUMBER(SEARCH(","&amp;$A44&amp;",",","&amp;SUBSTITUTE('2L Screening Matrix'!$I$2:$I$46,", ",",")&amp;","))*('2L Screening Matrix'!$Q$2:$Q$46="Stage IV + Other"))</f>
        <v>1</v>
      </c>
      <c r="H44" s="11">
        <f>SUMPRODUCT(ISNUMBER(SEARCH(","&amp;$A44&amp;",",","&amp;SUBSTITUTE('2L Screening Matrix'!$I$2:$I$46,", ",",")&amp;","))*('2L Screening Matrix'!$Q$2:$Q$46="Stage III Only"))</f>
        <v>0</v>
      </c>
      <c r="I44" s="13">
        <f t="shared" si="4"/>
        <v>1</v>
      </c>
      <c r="J44" s="14">
        <f t="shared" si="5"/>
        <v>3</v>
      </c>
      <c r="K44" s="5" t="str">
        <f ca="1">IFERROR(_xludf.textjoin(", ",TRUE(),IF(ISNUMBER(SEARCH(","&amp;$A44&amp;",",","&amp;SUBSTITUTE('1L Screening Matrix'!$I$2:$I$77,", ",",")&amp;",")),'1L Screening Matrix'!$C$2:$C$77,"")),"")</f>
        <v/>
      </c>
      <c r="L44" s="5" t="str">
        <f ca="1">IFERROR(_xludf.textjoin(", ",TRUE(),IF(ISNUMBER(SEARCH(","&amp;$A44&amp;",",","&amp;SUBSTITUTE('2L Screening Matrix'!$I$2:$I$46,", ",",")&amp;",")),'2L Screening Matrix'!$C$2:$C$46,"")),"")</f>
        <v/>
      </c>
    </row>
    <row r="45" spans="1:12" ht="15" customHeight="1" x14ac:dyDescent="0.2">
      <c r="A45" s="15" t="s">
        <v>2078</v>
      </c>
      <c r="B45" s="11">
        <f>SUMPRODUCT(ISNUMBER(SEARCH(","&amp;$A45&amp;",",","&amp;SUBSTITUTE('1L Screening Matrix'!$I$2:$I$77,", ",",")&amp;","))*('1L Screening Matrix'!$Q$2:$Q$77="Stage IV Only"))</f>
        <v>6</v>
      </c>
      <c r="C45" s="11">
        <f>SUMPRODUCT(ISNUMBER(SEARCH(","&amp;$A45&amp;",",","&amp;SUBSTITUTE('1L Screening Matrix'!$I$2:$I$77,", ",",")&amp;","))*('1L Screening Matrix'!$Q$2:$Q$77="Stage IV + Other"))</f>
        <v>2</v>
      </c>
      <c r="D45" s="11">
        <f>SUMPRODUCT(ISNUMBER(SEARCH(","&amp;$A45&amp;",",","&amp;SUBSTITUTE('1L Screening Matrix'!$I$2:$I$77,", ",",")&amp;","))*('1L Screening Matrix'!$Q$2:$Q$77="Stage III Only"))</f>
        <v>0</v>
      </c>
      <c r="E45" s="13">
        <f t="shared" si="3"/>
        <v>8</v>
      </c>
      <c r="F45" s="11">
        <f>SUMPRODUCT(ISNUMBER(SEARCH(","&amp;$A45&amp;",",","&amp;SUBSTITUTE('2L Screening Matrix'!$I$2:$I$46,", ",",")&amp;","))*('2L Screening Matrix'!$Q$2:$Q$46="Stage IV Only"))</f>
        <v>4</v>
      </c>
      <c r="G45" s="11">
        <f>SUMPRODUCT(ISNUMBER(SEARCH(","&amp;$A45&amp;",",","&amp;SUBSTITUTE('2L Screening Matrix'!$I$2:$I$46,", ",",")&amp;","))*('2L Screening Matrix'!$Q$2:$Q$46="Stage IV + Other"))</f>
        <v>0</v>
      </c>
      <c r="H45" s="11">
        <f>SUMPRODUCT(ISNUMBER(SEARCH(","&amp;$A45&amp;",",","&amp;SUBSTITUTE('2L Screening Matrix'!$I$2:$I$46,", ",",")&amp;","))*('2L Screening Matrix'!$Q$2:$Q$46="Stage III Only"))</f>
        <v>0</v>
      </c>
      <c r="I45" s="13">
        <f t="shared" si="4"/>
        <v>4</v>
      </c>
      <c r="J45" s="14">
        <f t="shared" si="5"/>
        <v>12</v>
      </c>
      <c r="K45" s="5" t="str">
        <f ca="1">IFERROR(_xludf.textjoin(", ",TRUE(),IF(ISNUMBER(SEARCH(","&amp;$A45&amp;",",","&amp;SUBSTITUTE('1L Screening Matrix'!$I$2:$I$77,", ",",")&amp;",")),'1L Screening Matrix'!$C$2:$C$77,"")),"")</f>
        <v/>
      </c>
      <c r="L45" s="5" t="str">
        <f ca="1">IFERROR(_xludf.textjoin(", ",TRUE(),IF(ISNUMBER(SEARCH(","&amp;$A45&amp;",",","&amp;SUBSTITUTE('2L Screening Matrix'!$I$2:$I$46,", ",",")&amp;",")),'2L Screening Matrix'!$C$2:$C$46,"")),"")</f>
        <v/>
      </c>
    </row>
    <row r="46" spans="1:12" ht="15" customHeight="1" x14ac:dyDescent="0.2">
      <c r="A46" s="12" t="s">
        <v>2079</v>
      </c>
      <c r="B46" s="11">
        <f>SUMPRODUCT(ISNUMBER(SEARCH(","&amp;$A46&amp;",",","&amp;SUBSTITUTE('1L Screening Matrix'!$I$2:$I$77,", ",",")&amp;","))*('1L Screening Matrix'!$Q$2:$Q$77="Stage IV Only"))</f>
        <v>0</v>
      </c>
      <c r="C46" s="11">
        <f>SUMPRODUCT(ISNUMBER(SEARCH(","&amp;$A46&amp;",",","&amp;SUBSTITUTE('1L Screening Matrix'!$I$2:$I$77,", ",",")&amp;","))*('1L Screening Matrix'!$Q$2:$Q$77="Stage IV + Other"))</f>
        <v>0</v>
      </c>
      <c r="D46" s="11">
        <f>SUMPRODUCT(ISNUMBER(SEARCH(","&amp;$A46&amp;",",","&amp;SUBSTITUTE('1L Screening Matrix'!$I$2:$I$77,", ",",")&amp;","))*('1L Screening Matrix'!$Q$2:$Q$77="Stage III Only"))</f>
        <v>1</v>
      </c>
      <c r="E46" s="13">
        <f t="shared" si="3"/>
        <v>1</v>
      </c>
      <c r="F46" s="11">
        <f>SUMPRODUCT(ISNUMBER(SEARCH(","&amp;$A46&amp;",",","&amp;SUBSTITUTE('2L Screening Matrix'!$I$2:$I$46,", ",",")&amp;","))*('2L Screening Matrix'!$Q$2:$Q$46="Stage IV Only"))</f>
        <v>0</v>
      </c>
      <c r="G46" s="11">
        <f>SUMPRODUCT(ISNUMBER(SEARCH(","&amp;$A46&amp;",",","&amp;SUBSTITUTE('2L Screening Matrix'!$I$2:$I$46,", ",",")&amp;","))*('2L Screening Matrix'!$Q$2:$Q$46="Stage IV + Other"))</f>
        <v>0</v>
      </c>
      <c r="H46" s="11">
        <f>SUMPRODUCT(ISNUMBER(SEARCH(","&amp;$A46&amp;",",","&amp;SUBSTITUTE('2L Screening Matrix'!$I$2:$I$46,", ",",")&amp;","))*('2L Screening Matrix'!$Q$2:$Q$46="Stage III Only"))</f>
        <v>0</v>
      </c>
      <c r="I46" s="13">
        <f t="shared" si="4"/>
        <v>0</v>
      </c>
      <c r="J46" s="14">
        <f t="shared" si="5"/>
        <v>1</v>
      </c>
      <c r="K46" s="5" t="str">
        <f ca="1">IFERROR(_xludf.textjoin(", ",TRUE(),IF(ISNUMBER(SEARCH(","&amp;$A46&amp;",",","&amp;SUBSTITUTE('1L Screening Matrix'!$I$2:$I$77,", ",",")&amp;",")),'1L Screening Matrix'!$C$2:$C$77,"")),"")</f>
        <v/>
      </c>
      <c r="L46" s="5" t="str">
        <f ca="1">IFERROR(_xludf.textjoin(", ",TRUE(),IF(ISNUMBER(SEARCH(","&amp;$A46&amp;",",","&amp;SUBSTITUTE('2L Screening Matrix'!$I$2:$I$46,", ",",")&amp;",")),'2L Screening Matrix'!$C$2:$C$46,"")),"")</f>
        <v/>
      </c>
    </row>
    <row r="47" spans="1:12" ht="15" customHeight="1" x14ac:dyDescent="0.2">
      <c r="A47" s="15" t="s">
        <v>2080</v>
      </c>
      <c r="B47" s="11">
        <f>SUMPRODUCT(ISNUMBER(SEARCH(","&amp;$A47&amp;",",","&amp;SUBSTITUTE('1L Screening Matrix'!$I$2:$I$77,", ",",")&amp;","))*('1L Screening Matrix'!$Q$2:$Q$77="Stage IV Only"))</f>
        <v>0</v>
      </c>
      <c r="C47" s="11">
        <f>SUMPRODUCT(ISNUMBER(SEARCH(","&amp;$A47&amp;",",","&amp;SUBSTITUTE('1L Screening Matrix'!$I$2:$I$77,", ",",")&amp;","))*('1L Screening Matrix'!$Q$2:$Q$77="Stage IV + Other"))</f>
        <v>0</v>
      </c>
      <c r="D47" s="11">
        <f>SUMPRODUCT(ISNUMBER(SEARCH(","&amp;$A47&amp;",",","&amp;SUBSTITUTE('1L Screening Matrix'!$I$2:$I$77,", ",",")&amp;","))*('1L Screening Matrix'!$Q$2:$Q$77="Stage III Only"))</f>
        <v>0</v>
      </c>
      <c r="E47" s="13">
        <f t="shared" si="3"/>
        <v>0</v>
      </c>
      <c r="F47" s="11">
        <f>SUMPRODUCT(ISNUMBER(SEARCH(","&amp;$A47&amp;",",","&amp;SUBSTITUTE('2L Screening Matrix'!$I$2:$I$46,", ",",")&amp;","))*('2L Screening Matrix'!$Q$2:$Q$46="Stage IV Only"))</f>
        <v>1</v>
      </c>
      <c r="G47" s="11">
        <f>SUMPRODUCT(ISNUMBER(SEARCH(","&amp;$A47&amp;",",","&amp;SUBSTITUTE('2L Screening Matrix'!$I$2:$I$46,", ",",")&amp;","))*('2L Screening Matrix'!$Q$2:$Q$46="Stage IV + Other"))</f>
        <v>0</v>
      </c>
      <c r="H47" s="11">
        <f>SUMPRODUCT(ISNUMBER(SEARCH(","&amp;$A47&amp;",",","&amp;SUBSTITUTE('2L Screening Matrix'!$I$2:$I$46,", ",",")&amp;","))*('2L Screening Matrix'!$Q$2:$Q$46="Stage III Only"))</f>
        <v>0</v>
      </c>
      <c r="I47" s="13">
        <f t="shared" si="4"/>
        <v>1</v>
      </c>
      <c r="J47" s="14">
        <f t="shared" si="5"/>
        <v>1</v>
      </c>
      <c r="K47" s="5" t="str">
        <f ca="1">IFERROR(_xludf.textjoin(", ",TRUE(),IF(ISNUMBER(SEARCH(","&amp;$A47&amp;",",","&amp;SUBSTITUTE('1L Screening Matrix'!$I$2:$I$77,", ",",")&amp;",")),'1L Screening Matrix'!$C$2:$C$77,"")),"")</f>
        <v/>
      </c>
      <c r="L47" s="5" t="str">
        <f ca="1">IFERROR(_xludf.textjoin(", ",TRUE(),IF(ISNUMBER(SEARCH(","&amp;$A47&amp;",",","&amp;SUBSTITUTE('2L Screening Matrix'!$I$2:$I$46,", ",",")&amp;",")),'2L Screening Matrix'!$C$2:$C$46,"")),"")</f>
        <v/>
      </c>
    </row>
    <row r="48" spans="1:12" ht="15" customHeight="1" x14ac:dyDescent="0.2">
      <c r="A48" s="12" t="s">
        <v>2081</v>
      </c>
      <c r="B48" s="11">
        <f>SUMPRODUCT(ISNUMBER(SEARCH(","&amp;$A48&amp;",",","&amp;SUBSTITUTE('1L Screening Matrix'!$I$2:$I$77,", ",",")&amp;","))*('1L Screening Matrix'!$Q$2:$Q$77="Stage IV Only"))</f>
        <v>0</v>
      </c>
      <c r="C48" s="11">
        <f>SUMPRODUCT(ISNUMBER(SEARCH(","&amp;$A48&amp;",",","&amp;SUBSTITUTE('1L Screening Matrix'!$I$2:$I$77,", ",",")&amp;","))*('1L Screening Matrix'!$Q$2:$Q$77="Stage IV + Other"))</f>
        <v>2</v>
      </c>
      <c r="D48" s="11">
        <f>SUMPRODUCT(ISNUMBER(SEARCH(","&amp;$A48&amp;",",","&amp;SUBSTITUTE('1L Screening Matrix'!$I$2:$I$77,", ",",")&amp;","))*('1L Screening Matrix'!$Q$2:$Q$77="Stage III Only"))</f>
        <v>1</v>
      </c>
      <c r="E48" s="13">
        <f t="shared" si="3"/>
        <v>3</v>
      </c>
      <c r="F48" s="11">
        <f>SUMPRODUCT(ISNUMBER(SEARCH(","&amp;$A48&amp;",",","&amp;SUBSTITUTE('2L Screening Matrix'!$I$2:$I$46,", ",",")&amp;","))*('2L Screening Matrix'!$Q$2:$Q$46="Stage IV Only"))</f>
        <v>0</v>
      </c>
      <c r="G48" s="11">
        <f>SUMPRODUCT(ISNUMBER(SEARCH(","&amp;$A48&amp;",",","&amp;SUBSTITUTE('2L Screening Matrix'!$I$2:$I$46,", ",",")&amp;","))*('2L Screening Matrix'!$Q$2:$Q$46="Stage IV + Other"))</f>
        <v>0</v>
      </c>
      <c r="H48" s="11">
        <f>SUMPRODUCT(ISNUMBER(SEARCH(","&amp;$A48&amp;",",","&amp;SUBSTITUTE('2L Screening Matrix'!$I$2:$I$46,", ",",")&amp;","))*('2L Screening Matrix'!$Q$2:$Q$46="Stage III Only"))</f>
        <v>0</v>
      </c>
      <c r="I48" s="13">
        <f t="shared" si="4"/>
        <v>0</v>
      </c>
      <c r="J48" s="14">
        <f t="shared" si="5"/>
        <v>3</v>
      </c>
      <c r="K48" s="5" t="str">
        <f ca="1">IFERROR(_xludf.textjoin(", ",TRUE(),IF(ISNUMBER(SEARCH(","&amp;$A48&amp;",",","&amp;SUBSTITUTE('1L Screening Matrix'!$I$2:$I$77,", ",",")&amp;",")),'1L Screening Matrix'!$C$2:$C$77,"")),"")</f>
        <v/>
      </c>
      <c r="L48" s="5" t="str">
        <f ca="1">IFERROR(_xludf.textjoin(", ",TRUE(),IF(ISNUMBER(SEARCH(","&amp;$A48&amp;",",","&amp;SUBSTITUTE('2L Screening Matrix'!$I$2:$I$46,", ",",")&amp;",")),'2L Screening Matrix'!$C$2:$C$46,"")),"")</f>
        <v/>
      </c>
    </row>
    <row r="49" spans="1:12" ht="15" customHeight="1" x14ac:dyDescent="0.2">
      <c r="A49" s="15" t="s">
        <v>2082</v>
      </c>
      <c r="B49" s="11">
        <f>SUMPRODUCT(ISNUMBER(SEARCH(","&amp;$A49&amp;",",","&amp;SUBSTITUTE('1L Screening Matrix'!$I$2:$I$77,", ",",")&amp;","))*('1L Screening Matrix'!$Q$2:$Q$77="Stage IV Only"))</f>
        <v>0</v>
      </c>
      <c r="C49" s="11">
        <f>SUMPRODUCT(ISNUMBER(SEARCH(","&amp;$A49&amp;",",","&amp;SUBSTITUTE('1L Screening Matrix'!$I$2:$I$77,", ",",")&amp;","))*('1L Screening Matrix'!$Q$2:$Q$77="Stage IV + Other"))</f>
        <v>0</v>
      </c>
      <c r="D49" s="11">
        <f>SUMPRODUCT(ISNUMBER(SEARCH(","&amp;$A49&amp;",",","&amp;SUBSTITUTE('1L Screening Matrix'!$I$2:$I$77,", ",",")&amp;","))*('1L Screening Matrix'!$Q$2:$Q$77="Stage III Only"))</f>
        <v>1</v>
      </c>
      <c r="E49" s="13">
        <f t="shared" si="3"/>
        <v>1</v>
      </c>
      <c r="F49" s="11">
        <f>SUMPRODUCT(ISNUMBER(SEARCH(","&amp;$A49&amp;",",","&amp;SUBSTITUTE('2L Screening Matrix'!$I$2:$I$46,", ",",")&amp;","))*('2L Screening Matrix'!$Q$2:$Q$46="Stage IV Only"))</f>
        <v>0</v>
      </c>
      <c r="G49" s="11">
        <f>SUMPRODUCT(ISNUMBER(SEARCH(","&amp;$A49&amp;",",","&amp;SUBSTITUTE('2L Screening Matrix'!$I$2:$I$46,", ",",")&amp;","))*('2L Screening Matrix'!$Q$2:$Q$46="Stage IV + Other"))</f>
        <v>0</v>
      </c>
      <c r="H49" s="11">
        <f>SUMPRODUCT(ISNUMBER(SEARCH(","&amp;$A49&amp;",",","&amp;SUBSTITUTE('2L Screening Matrix'!$I$2:$I$46,", ",",")&amp;","))*('2L Screening Matrix'!$Q$2:$Q$46="Stage III Only"))</f>
        <v>0</v>
      </c>
      <c r="I49" s="13">
        <f t="shared" si="4"/>
        <v>0</v>
      </c>
      <c r="J49" s="14">
        <f t="shared" si="5"/>
        <v>1</v>
      </c>
      <c r="K49" s="5" t="str">
        <f ca="1">IFERROR(_xludf.textjoin(", ",TRUE(),IF(ISNUMBER(SEARCH(","&amp;$A49&amp;",",","&amp;SUBSTITUTE('1L Screening Matrix'!$I$2:$I$77,", ",",")&amp;",")),'1L Screening Matrix'!$C$2:$C$77,"")),"")</f>
        <v/>
      </c>
      <c r="L49" s="5" t="str">
        <f ca="1">IFERROR(_xludf.textjoin(", ",TRUE(),IF(ISNUMBER(SEARCH(","&amp;$A49&amp;",",","&amp;SUBSTITUTE('2L Screening Matrix'!$I$2:$I$46,", ",",")&amp;",")),'2L Screening Matrix'!$C$2:$C$46,"")),"")</f>
        <v/>
      </c>
    </row>
    <row r="50" spans="1:12" ht="15" customHeight="1" x14ac:dyDescent="0.2">
      <c r="A50" s="12" t="s">
        <v>2083</v>
      </c>
      <c r="B50" s="11">
        <f>SUMPRODUCT(ISNUMBER(SEARCH(","&amp;$A50&amp;",",","&amp;SUBSTITUTE('1L Screening Matrix'!$I$2:$I$77,", ",",")&amp;","))*('1L Screening Matrix'!$Q$2:$Q$77="Stage IV Only"))</f>
        <v>24</v>
      </c>
      <c r="C50" s="11">
        <f>SUMPRODUCT(ISNUMBER(SEARCH(","&amp;$A50&amp;",",","&amp;SUBSTITUTE('1L Screening Matrix'!$I$2:$I$77,", ",",")&amp;","))*('1L Screening Matrix'!$Q$2:$Q$77="Stage IV + Other"))</f>
        <v>11</v>
      </c>
      <c r="D50" s="11">
        <f>SUMPRODUCT(ISNUMBER(SEARCH(","&amp;$A50&amp;",",","&amp;SUBSTITUTE('1L Screening Matrix'!$I$2:$I$77,", ",",")&amp;","))*('1L Screening Matrix'!$Q$2:$Q$77="Stage III Only"))</f>
        <v>1</v>
      </c>
      <c r="E50" s="13">
        <f t="shared" si="3"/>
        <v>36</v>
      </c>
      <c r="F50" s="11">
        <f>SUMPRODUCT(ISNUMBER(SEARCH(","&amp;$A50&amp;",",","&amp;SUBSTITUTE('2L Screening Matrix'!$I$2:$I$46,", ",",")&amp;","))*('2L Screening Matrix'!$Q$2:$Q$46="Stage IV Only"))</f>
        <v>5</v>
      </c>
      <c r="G50" s="11">
        <f>SUMPRODUCT(ISNUMBER(SEARCH(","&amp;$A50&amp;",",","&amp;SUBSTITUTE('2L Screening Matrix'!$I$2:$I$46,", ",",")&amp;","))*('2L Screening Matrix'!$Q$2:$Q$46="Stage IV + Other"))</f>
        <v>2</v>
      </c>
      <c r="H50" s="11">
        <f>SUMPRODUCT(ISNUMBER(SEARCH(","&amp;$A50&amp;",",","&amp;SUBSTITUTE('2L Screening Matrix'!$I$2:$I$46,", ",",")&amp;","))*('2L Screening Matrix'!$Q$2:$Q$46="Stage III Only"))</f>
        <v>0</v>
      </c>
      <c r="I50" s="13">
        <f t="shared" si="4"/>
        <v>7</v>
      </c>
      <c r="J50" s="14">
        <f t="shared" si="5"/>
        <v>43</v>
      </c>
      <c r="K50" s="5" t="str">
        <f ca="1">IFERROR(_xludf.textjoin(", ",TRUE(),IF(ISNUMBER(SEARCH(","&amp;$A50&amp;",",","&amp;SUBSTITUTE('1L Screening Matrix'!$I$2:$I$77,", ",",")&amp;",")),'1L Screening Matrix'!$C$2:$C$77,"")),"")</f>
        <v/>
      </c>
      <c r="L50" s="5" t="str">
        <f ca="1">IFERROR(_xludf.textjoin(", ",TRUE(),IF(ISNUMBER(SEARCH(","&amp;$A50&amp;",",","&amp;SUBSTITUTE('2L Screening Matrix'!$I$2:$I$46,", ",",")&amp;",")),'2L Screening Matrix'!$C$2:$C$46,"")),"")</f>
        <v/>
      </c>
    </row>
    <row r="51" spans="1:12" ht="15" customHeight="1" x14ac:dyDescent="0.2">
      <c r="A51" s="15" t="s">
        <v>881</v>
      </c>
      <c r="B51" s="11">
        <f>SUMPRODUCT(ISNUMBER(SEARCH(","&amp;$A51&amp;",",","&amp;SUBSTITUTE('1L Screening Matrix'!$I$2:$I$77,", ",",")&amp;","))*('1L Screening Matrix'!$Q$2:$Q$77="Stage IV Only"))</f>
        <v>0</v>
      </c>
      <c r="C51" s="11">
        <f>SUMPRODUCT(ISNUMBER(SEARCH(","&amp;$A51&amp;",",","&amp;SUBSTITUTE('1L Screening Matrix'!$I$2:$I$77,", ",",")&amp;","))*('1L Screening Matrix'!$Q$2:$Q$77="Stage IV + Other"))</f>
        <v>3</v>
      </c>
      <c r="D51" s="11">
        <f>SUMPRODUCT(ISNUMBER(SEARCH(","&amp;$A51&amp;",",","&amp;SUBSTITUTE('1L Screening Matrix'!$I$2:$I$77,", ",",")&amp;","))*('1L Screening Matrix'!$Q$2:$Q$77="Stage III Only"))</f>
        <v>5</v>
      </c>
      <c r="E51" s="13">
        <f t="shared" si="3"/>
        <v>8</v>
      </c>
      <c r="F51" s="11">
        <f>SUMPRODUCT(ISNUMBER(SEARCH(","&amp;$A51&amp;",",","&amp;SUBSTITUTE('2L Screening Matrix'!$I$2:$I$46,", ",",")&amp;","))*('2L Screening Matrix'!$Q$2:$Q$46="Stage IV Only"))</f>
        <v>1</v>
      </c>
      <c r="G51" s="11">
        <f>SUMPRODUCT(ISNUMBER(SEARCH(","&amp;$A51&amp;",",","&amp;SUBSTITUTE('2L Screening Matrix'!$I$2:$I$46,", ",",")&amp;","))*('2L Screening Matrix'!$Q$2:$Q$46="Stage IV + Other"))</f>
        <v>4</v>
      </c>
      <c r="H51" s="11">
        <f>SUMPRODUCT(ISNUMBER(SEARCH(","&amp;$A51&amp;",",","&amp;SUBSTITUTE('2L Screening Matrix'!$I$2:$I$46,", ",",")&amp;","))*('2L Screening Matrix'!$Q$2:$Q$46="Stage III Only"))</f>
        <v>0</v>
      </c>
      <c r="I51" s="13">
        <f t="shared" si="4"/>
        <v>5</v>
      </c>
      <c r="J51" s="14">
        <f t="shared" si="5"/>
        <v>13</v>
      </c>
      <c r="K51" s="5" t="str">
        <f ca="1">IFERROR(_xludf.textjoin(", ",TRUE(),IF(ISNUMBER(SEARCH(","&amp;$A51&amp;",",","&amp;SUBSTITUTE('1L Screening Matrix'!$I$2:$I$77,", ",",")&amp;",")),'1L Screening Matrix'!$C$2:$C$77,"")),"")</f>
        <v/>
      </c>
      <c r="L51" s="5" t="str">
        <f ca="1">IFERROR(_xludf.textjoin(", ",TRUE(),IF(ISNUMBER(SEARCH(","&amp;$A51&amp;",",","&amp;SUBSTITUTE('2L Screening Matrix'!$I$2:$I$46,", ",",")&amp;",")),'2L Screening Matrix'!$C$2:$C$46,"")),"")</f>
        <v/>
      </c>
    </row>
    <row r="52" spans="1:12" ht="15" customHeight="1" x14ac:dyDescent="0.2">
      <c r="A52" s="12" t="s">
        <v>1852</v>
      </c>
      <c r="B52" s="11">
        <f>SUMPRODUCT(ISNUMBER(SEARCH(","&amp;$A52&amp;",",","&amp;SUBSTITUTE('1L Screening Matrix'!$I$2:$I$77,", ",",")&amp;","))*('1L Screening Matrix'!$Q$2:$Q$77="Stage IV Only"))</f>
        <v>1</v>
      </c>
      <c r="C52" s="11">
        <f>SUMPRODUCT(ISNUMBER(SEARCH(","&amp;$A52&amp;",",","&amp;SUBSTITUTE('1L Screening Matrix'!$I$2:$I$77,", ",",")&amp;","))*('1L Screening Matrix'!$Q$2:$Q$77="Stage IV + Other"))</f>
        <v>0</v>
      </c>
      <c r="D52" s="11">
        <f>SUMPRODUCT(ISNUMBER(SEARCH(","&amp;$A52&amp;",",","&amp;SUBSTITUTE('1L Screening Matrix'!$I$2:$I$77,", ",",")&amp;","))*('1L Screening Matrix'!$Q$2:$Q$77="Stage III Only"))</f>
        <v>0</v>
      </c>
      <c r="E52" s="13">
        <f t="shared" si="3"/>
        <v>1</v>
      </c>
      <c r="F52" s="11">
        <f>SUMPRODUCT(ISNUMBER(SEARCH(","&amp;$A52&amp;",",","&amp;SUBSTITUTE('2L Screening Matrix'!$I$2:$I$46,", ",",")&amp;","))*('2L Screening Matrix'!$Q$2:$Q$46="Stage IV Only"))</f>
        <v>0</v>
      </c>
      <c r="G52" s="11">
        <f>SUMPRODUCT(ISNUMBER(SEARCH(","&amp;$A52&amp;",",","&amp;SUBSTITUTE('2L Screening Matrix'!$I$2:$I$46,", ",",")&amp;","))*('2L Screening Matrix'!$Q$2:$Q$46="Stage IV + Other"))</f>
        <v>0</v>
      </c>
      <c r="H52" s="11">
        <f>SUMPRODUCT(ISNUMBER(SEARCH(","&amp;$A52&amp;",",","&amp;SUBSTITUTE('2L Screening Matrix'!$I$2:$I$46,", ",",")&amp;","))*('2L Screening Matrix'!$Q$2:$Q$46="Stage III Only"))</f>
        <v>0</v>
      </c>
      <c r="I52" s="13">
        <f t="shared" si="4"/>
        <v>0</v>
      </c>
      <c r="J52" s="14">
        <f t="shared" si="5"/>
        <v>1</v>
      </c>
      <c r="K52" s="5" t="str">
        <f ca="1">IFERROR(_xludf.textjoin(", ",TRUE(),IF(ISNUMBER(SEARCH(","&amp;$A52&amp;",",","&amp;SUBSTITUTE('1L Screening Matrix'!$I$2:$I$77,", ",",")&amp;",")),'1L Screening Matrix'!$C$2:$C$77,"")),"")</f>
        <v/>
      </c>
      <c r="L52" s="5" t="str">
        <f ca="1">IFERROR(_xludf.textjoin(", ",TRUE(),IF(ISNUMBER(SEARCH(","&amp;$A52&amp;",",","&amp;SUBSTITUTE('2L Screening Matrix'!$I$2:$I$46,", ",",")&amp;",")),'2L Screening Matrix'!$C$2:$C$46,"")),"")</f>
        <v/>
      </c>
    </row>
    <row r="53" spans="1:12" ht="15" customHeight="1" x14ac:dyDescent="0.2">
      <c r="A53" s="15" t="s">
        <v>1385</v>
      </c>
      <c r="B53" s="11">
        <f>SUMPRODUCT(ISNUMBER(SEARCH(","&amp;$A53&amp;",",","&amp;SUBSTITUTE('1L Screening Matrix'!$I$2:$I$77,", ",",")&amp;","))*('1L Screening Matrix'!$Q$2:$Q$77="Stage IV Only"))</f>
        <v>0</v>
      </c>
      <c r="C53" s="11">
        <f>SUMPRODUCT(ISNUMBER(SEARCH(","&amp;$A53&amp;",",","&amp;SUBSTITUTE('1L Screening Matrix'!$I$2:$I$77,", ",",")&amp;","))*('1L Screening Matrix'!$Q$2:$Q$77="Stage IV + Other"))</f>
        <v>0</v>
      </c>
      <c r="D53" s="11">
        <f>SUMPRODUCT(ISNUMBER(SEARCH(","&amp;$A53&amp;",",","&amp;SUBSTITUTE('1L Screening Matrix'!$I$2:$I$77,", ",",")&amp;","))*('1L Screening Matrix'!$Q$2:$Q$77="Stage III Only"))</f>
        <v>0</v>
      </c>
      <c r="E53" s="13">
        <f t="shared" si="3"/>
        <v>0</v>
      </c>
      <c r="F53" s="11">
        <f>SUMPRODUCT(ISNUMBER(SEARCH(","&amp;$A53&amp;",",","&amp;SUBSTITUTE('2L Screening Matrix'!$I$2:$I$46,", ",",")&amp;","))*('2L Screening Matrix'!$Q$2:$Q$46="Stage IV Only"))</f>
        <v>1</v>
      </c>
      <c r="G53" s="11">
        <f>SUMPRODUCT(ISNUMBER(SEARCH(","&amp;$A53&amp;",",","&amp;SUBSTITUTE('2L Screening Matrix'!$I$2:$I$46,", ",",")&amp;","))*('2L Screening Matrix'!$Q$2:$Q$46="Stage IV + Other"))</f>
        <v>0</v>
      </c>
      <c r="H53" s="11">
        <f>SUMPRODUCT(ISNUMBER(SEARCH(","&amp;$A53&amp;",",","&amp;SUBSTITUTE('2L Screening Matrix'!$I$2:$I$46,", ",",")&amp;","))*('2L Screening Matrix'!$Q$2:$Q$46="Stage III Only"))</f>
        <v>0</v>
      </c>
      <c r="I53" s="13">
        <f t="shared" si="4"/>
        <v>1</v>
      </c>
      <c r="J53" s="14">
        <f t="shared" si="5"/>
        <v>1</v>
      </c>
      <c r="K53" s="5" t="str">
        <f ca="1">IFERROR(_xludf.textjoin(", ",TRUE(),IF(ISNUMBER(SEARCH(","&amp;$A53&amp;",",","&amp;SUBSTITUTE('1L Screening Matrix'!$I$2:$I$77,", ",",")&amp;",")),'1L Screening Matrix'!$C$2:$C$77,"")),"")</f>
        <v/>
      </c>
      <c r="L53" s="5" t="str">
        <f ca="1">IFERROR(_xludf.textjoin(", ",TRUE(),IF(ISNUMBER(SEARCH(","&amp;$A53&amp;",",","&amp;SUBSTITUTE('2L Screening Matrix'!$I$2:$I$46,", ",",")&amp;",")),'2L Screening Matrix'!$C$2:$C$46,"")),"")</f>
        <v/>
      </c>
    </row>
    <row r="54" spans="1:12" ht="15" customHeight="1" x14ac:dyDescent="0.2">
      <c r="A54" s="12" t="s">
        <v>2084</v>
      </c>
      <c r="B54" s="11">
        <f>SUMPRODUCT(ISNUMBER(SEARCH(","&amp;$A54&amp;",",","&amp;SUBSTITUTE('1L Screening Matrix'!$I$2:$I$77,", ",",")&amp;","))*('1L Screening Matrix'!$Q$2:$Q$77="Stage IV Only"))</f>
        <v>0</v>
      </c>
      <c r="C54" s="11">
        <f>SUMPRODUCT(ISNUMBER(SEARCH(","&amp;$A54&amp;",",","&amp;SUBSTITUTE('1L Screening Matrix'!$I$2:$I$77,", ",",")&amp;","))*('1L Screening Matrix'!$Q$2:$Q$77="Stage IV + Other"))</f>
        <v>0</v>
      </c>
      <c r="D54" s="11">
        <f>SUMPRODUCT(ISNUMBER(SEARCH(","&amp;$A54&amp;",",","&amp;SUBSTITUTE('1L Screening Matrix'!$I$2:$I$77,", ",",")&amp;","))*('1L Screening Matrix'!$Q$2:$Q$77="Stage III Only"))</f>
        <v>1</v>
      </c>
      <c r="E54" s="13">
        <f t="shared" si="3"/>
        <v>1</v>
      </c>
      <c r="F54" s="11">
        <f>SUMPRODUCT(ISNUMBER(SEARCH(","&amp;$A54&amp;",",","&amp;SUBSTITUTE('2L Screening Matrix'!$I$2:$I$46,", ",",")&amp;","))*('2L Screening Matrix'!$Q$2:$Q$46="Stage IV Only"))</f>
        <v>0</v>
      </c>
      <c r="G54" s="11">
        <f>SUMPRODUCT(ISNUMBER(SEARCH(","&amp;$A54&amp;",",","&amp;SUBSTITUTE('2L Screening Matrix'!$I$2:$I$46,", ",",")&amp;","))*('2L Screening Matrix'!$Q$2:$Q$46="Stage IV + Other"))</f>
        <v>0</v>
      </c>
      <c r="H54" s="11">
        <f>SUMPRODUCT(ISNUMBER(SEARCH(","&amp;$A54&amp;",",","&amp;SUBSTITUTE('2L Screening Matrix'!$I$2:$I$46,", ",",")&amp;","))*('2L Screening Matrix'!$Q$2:$Q$46="Stage III Only"))</f>
        <v>0</v>
      </c>
      <c r="I54" s="13">
        <f t="shared" si="4"/>
        <v>0</v>
      </c>
      <c r="J54" s="14">
        <f t="shared" si="5"/>
        <v>1</v>
      </c>
      <c r="K54" s="5" t="str">
        <f ca="1">IFERROR(_xludf.textjoin(", ",TRUE(),IF(ISNUMBER(SEARCH(","&amp;$A54&amp;",",","&amp;SUBSTITUTE('1L Screening Matrix'!$I$2:$I$77,", ",",")&amp;",")),'1L Screening Matrix'!$C$2:$C$77,"")),"")</f>
        <v/>
      </c>
      <c r="L54" s="5" t="str">
        <f ca="1">IFERROR(_xludf.textjoin(", ",TRUE(),IF(ISNUMBER(SEARCH(","&amp;$A54&amp;",",","&amp;SUBSTITUTE('2L Screening Matrix'!$I$2:$I$46,", ",",")&amp;",")),'2L Screening Matrix'!$C$2:$C$46,"")),"")</f>
        <v/>
      </c>
    </row>
    <row r="55" spans="1:12" ht="15" customHeight="1" x14ac:dyDescent="0.2">
      <c r="A55" s="15" t="s">
        <v>2085</v>
      </c>
      <c r="B55" s="11">
        <f>SUMPRODUCT(ISNUMBER(SEARCH(","&amp;$A55&amp;",",","&amp;SUBSTITUTE('1L Screening Matrix'!$I$2:$I$77,", ",",")&amp;","))*('1L Screening Matrix'!$Q$2:$Q$77="Stage IV Only"))</f>
        <v>0</v>
      </c>
      <c r="C55" s="11">
        <f>SUMPRODUCT(ISNUMBER(SEARCH(","&amp;$A55&amp;",",","&amp;SUBSTITUTE('1L Screening Matrix'!$I$2:$I$77,", ",",")&amp;","))*('1L Screening Matrix'!$Q$2:$Q$77="Stage IV + Other"))</f>
        <v>1</v>
      </c>
      <c r="D55" s="11">
        <f>SUMPRODUCT(ISNUMBER(SEARCH(","&amp;$A55&amp;",",","&amp;SUBSTITUTE('1L Screening Matrix'!$I$2:$I$77,", ",",")&amp;","))*('1L Screening Matrix'!$Q$2:$Q$77="Stage III Only"))</f>
        <v>1</v>
      </c>
      <c r="E55" s="13">
        <f t="shared" si="3"/>
        <v>2</v>
      </c>
      <c r="F55" s="11">
        <f>SUMPRODUCT(ISNUMBER(SEARCH(","&amp;$A55&amp;",",","&amp;SUBSTITUTE('2L Screening Matrix'!$I$2:$I$46,", ",",")&amp;","))*('2L Screening Matrix'!$Q$2:$Q$46="Stage IV Only"))</f>
        <v>0</v>
      </c>
      <c r="G55" s="11">
        <f>SUMPRODUCT(ISNUMBER(SEARCH(","&amp;$A55&amp;",",","&amp;SUBSTITUTE('2L Screening Matrix'!$I$2:$I$46,", ",",")&amp;","))*('2L Screening Matrix'!$Q$2:$Q$46="Stage IV + Other"))</f>
        <v>1</v>
      </c>
      <c r="H55" s="11">
        <f>SUMPRODUCT(ISNUMBER(SEARCH(","&amp;$A55&amp;",",","&amp;SUBSTITUTE('2L Screening Matrix'!$I$2:$I$46,", ",",")&amp;","))*('2L Screening Matrix'!$Q$2:$Q$46="Stage III Only"))</f>
        <v>0</v>
      </c>
      <c r="I55" s="13">
        <f t="shared" si="4"/>
        <v>1</v>
      </c>
      <c r="J55" s="14">
        <f t="shared" si="5"/>
        <v>3</v>
      </c>
      <c r="K55" s="5" t="str">
        <f ca="1">IFERROR(_xludf.textjoin(", ",TRUE(),IF(ISNUMBER(SEARCH(","&amp;$A55&amp;",",","&amp;SUBSTITUTE('1L Screening Matrix'!$I$2:$I$77,", ",",")&amp;",")),'1L Screening Matrix'!$C$2:$C$77,"")),"")</f>
        <v/>
      </c>
      <c r="L55" s="5" t="str">
        <f ca="1">IFERROR(_xludf.textjoin(", ",TRUE(),IF(ISNUMBER(SEARCH(","&amp;$A55&amp;",",","&amp;SUBSTITUTE('2L Screening Matrix'!$I$2:$I$46,", ",",")&amp;",")),'2L Screening Matrix'!$C$2:$C$46,"")),"")</f>
        <v/>
      </c>
    </row>
    <row r="56" spans="1:12" ht="15" customHeight="1" x14ac:dyDescent="0.2">
      <c r="A56" s="12" t="s">
        <v>865</v>
      </c>
      <c r="B56" s="11">
        <f>SUMPRODUCT(ISNUMBER(SEARCH(","&amp;$A56&amp;",",","&amp;SUBSTITUTE('1L Screening Matrix'!$I$2:$I$77,", ",",")&amp;","))*('1L Screening Matrix'!$Q$2:$Q$77="Stage IV Only"))</f>
        <v>0</v>
      </c>
      <c r="C56" s="11">
        <f>SUMPRODUCT(ISNUMBER(SEARCH(","&amp;$A56&amp;",",","&amp;SUBSTITUTE('1L Screening Matrix'!$I$2:$I$77,", ",",")&amp;","))*('1L Screening Matrix'!$Q$2:$Q$77="Stage IV + Other"))</f>
        <v>2</v>
      </c>
      <c r="D56" s="11">
        <f>SUMPRODUCT(ISNUMBER(SEARCH(","&amp;$A56&amp;",",","&amp;SUBSTITUTE('1L Screening Matrix'!$I$2:$I$77,", ",",")&amp;","))*('1L Screening Matrix'!$Q$2:$Q$77="Stage III Only"))</f>
        <v>1</v>
      </c>
      <c r="E56" s="13">
        <f t="shared" si="3"/>
        <v>3</v>
      </c>
      <c r="F56" s="11">
        <f>SUMPRODUCT(ISNUMBER(SEARCH(","&amp;$A56&amp;",",","&amp;SUBSTITUTE('2L Screening Matrix'!$I$2:$I$46,", ",",")&amp;","))*('2L Screening Matrix'!$Q$2:$Q$46="Stage IV Only"))</f>
        <v>0</v>
      </c>
      <c r="G56" s="11">
        <f>SUMPRODUCT(ISNUMBER(SEARCH(","&amp;$A56&amp;",",","&amp;SUBSTITUTE('2L Screening Matrix'!$I$2:$I$46,", ",",")&amp;","))*('2L Screening Matrix'!$Q$2:$Q$46="Stage IV + Other"))</f>
        <v>1</v>
      </c>
      <c r="H56" s="11">
        <f>SUMPRODUCT(ISNUMBER(SEARCH(","&amp;$A56&amp;",",","&amp;SUBSTITUTE('2L Screening Matrix'!$I$2:$I$46,", ",",")&amp;","))*('2L Screening Matrix'!$Q$2:$Q$46="Stage III Only"))</f>
        <v>0</v>
      </c>
      <c r="I56" s="13">
        <f t="shared" si="4"/>
        <v>1</v>
      </c>
      <c r="J56" s="14">
        <f t="shared" si="5"/>
        <v>4</v>
      </c>
      <c r="K56" s="5" t="str">
        <f ca="1">IFERROR(_xludf.textjoin(", ",TRUE(),IF(ISNUMBER(SEARCH(","&amp;$A56&amp;",",","&amp;SUBSTITUTE('1L Screening Matrix'!$I$2:$I$77,", ",",")&amp;",")),'1L Screening Matrix'!$C$2:$C$77,"")),"")</f>
        <v/>
      </c>
      <c r="L56" s="5" t="str">
        <f ca="1">IFERROR(_xludf.textjoin(", ",TRUE(),IF(ISNUMBER(SEARCH(","&amp;$A56&amp;",",","&amp;SUBSTITUTE('2L Screening Matrix'!$I$2:$I$46,", ",",")&amp;",")),'2L Screening Matrix'!$C$2:$C$46,"")),"")</f>
        <v/>
      </c>
    </row>
    <row r="57" spans="1:12" ht="15" customHeight="1" x14ac:dyDescent="0.2">
      <c r="A57" s="15" t="s">
        <v>2086</v>
      </c>
      <c r="B57" s="11">
        <f>SUMPRODUCT(ISNUMBER(SEARCH(","&amp;$A57&amp;",",","&amp;SUBSTITUTE('1L Screening Matrix'!$I$2:$I$77,", ",",")&amp;","))*('1L Screening Matrix'!$Q$2:$Q$77="Stage IV Only"))</f>
        <v>0</v>
      </c>
      <c r="C57" s="11">
        <f>SUMPRODUCT(ISNUMBER(SEARCH(","&amp;$A57&amp;",",","&amp;SUBSTITUTE('1L Screening Matrix'!$I$2:$I$77,", ",",")&amp;","))*('1L Screening Matrix'!$Q$2:$Q$77="Stage IV + Other"))</f>
        <v>1</v>
      </c>
      <c r="D57" s="11">
        <f>SUMPRODUCT(ISNUMBER(SEARCH(","&amp;$A57&amp;",",","&amp;SUBSTITUTE('1L Screening Matrix'!$I$2:$I$77,", ",",")&amp;","))*('1L Screening Matrix'!$Q$2:$Q$77="Stage III Only"))</f>
        <v>0</v>
      </c>
      <c r="E57" s="13">
        <f t="shared" si="3"/>
        <v>1</v>
      </c>
      <c r="F57" s="11">
        <f>SUMPRODUCT(ISNUMBER(SEARCH(","&amp;$A57&amp;",",","&amp;SUBSTITUTE('2L Screening Matrix'!$I$2:$I$46,", ",",")&amp;","))*('2L Screening Matrix'!$Q$2:$Q$46="Stage IV Only"))</f>
        <v>0</v>
      </c>
      <c r="G57" s="11">
        <f>SUMPRODUCT(ISNUMBER(SEARCH(","&amp;$A57&amp;",",","&amp;SUBSTITUTE('2L Screening Matrix'!$I$2:$I$46,", ",",")&amp;","))*('2L Screening Matrix'!$Q$2:$Q$46="Stage IV + Other"))</f>
        <v>0</v>
      </c>
      <c r="H57" s="11">
        <f>SUMPRODUCT(ISNUMBER(SEARCH(","&amp;$A57&amp;",",","&amp;SUBSTITUTE('2L Screening Matrix'!$I$2:$I$46,", ",",")&amp;","))*('2L Screening Matrix'!$Q$2:$Q$46="Stage III Only"))</f>
        <v>0</v>
      </c>
      <c r="I57" s="13">
        <f t="shared" si="4"/>
        <v>0</v>
      </c>
      <c r="J57" s="14">
        <f t="shared" si="5"/>
        <v>1</v>
      </c>
      <c r="K57" s="5" t="str">
        <f ca="1">IFERROR(_xludf.textjoin(", ",TRUE(),IF(ISNUMBER(SEARCH(","&amp;$A57&amp;",",","&amp;SUBSTITUTE('1L Screening Matrix'!$I$2:$I$77,", ",",")&amp;",")),'1L Screening Matrix'!$C$2:$C$77,"")),"")</f>
        <v/>
      </c>
      <c r="L57" s="5" t="str">
        <f ca="1">IFERROR(_xludf.textjoin(", ",TRUE(),IF(ISNUMBER(SEARCH(","&amp;$A57&amp;",",","&amp;SUBSTITUTE('2L Screening Matrix'!$I$2:$I$46,", ",",")&amp;",")),'2L Screening Matrix'!$C$2:$C$46,"")),"")</f>
        <v/>
      </c>
    </row>
    <row r="58" spans="1:12" ht="15" customHeight="1" x14ac:dyDescent="0.2">
      <c r="A58" s="12" t="s">
        <v>2087</v>
      </c>
      <c r="B58" s="11">
        <f>SUMPRODUCT(ISNUMBER(SEARCH(","&amp;$A58&amp;",",","&amp;SUBSTITUTE('1L Screening Matrix'!$I$2:$I$77,", ",",")&amp;","))*('1L Screening Matrix'!$Q$2:$Q$77="Stage IV Only"))</f>
        <v>0</v>
      </c>
      <c r="C58" s="11">
        <f>SUMPRODUCT(ISNUMBER(SEARCH(","&amp;$A58&amp;",",","&amp;SUBSTITUTE('1L Screening Matrix'!$I$2:$I$77,", ",",")&amp;","))*('1L Screening Matrix'!$Q$2:$Q$77="Stage IV + Other"))</f>
        <v>0</v>
      </c>
      <c r="D58" s="11">
        <f>SUMPRODUCT(ISNUMBER(SEARCH(","&amp;$A58&amp;",",","&amp;SUBSTITUTE('1L Screening Matrix'!$I$2:$I$77,", ",",")&amp;","))*('1L Screening Matrix'!$Q$2:$Q$77="Stage III Only"))</f>
        <v>0</v>
      </c>
      <c r="E58" s="13">
        <f t="shared" si="3"/>
        <v>0</v>
      </c>
      <c r="F58" s="11">
        <f>SUMPRODUCT(ISNUMBER(SEARCH(","&amp;$A58&amp;",",","&amp;SUBSTITUTE('2L Screening Matrix'!$I$2:$I$46,", ",",")&amp;","))*('2L Screening Matrix'!$Q$2:$Q$46="Stage IV Only"))</f>
        <v>1</v>
      </c>
      <c r="G58" s="11">
        <f>SUMPRODUCT(ISNUMBER(SEARCH(","&amp;$A58&amp;",",","&amp;SUBSTITUTE('2L Screening Matrix'!$I$2:$I$46,", ",",")&amp;","))*('2L Screening Matrix'!$Q$2:$Q$46="Stage IV + Other"))</f>
        <v>0</v>
      </c>
      <c r="H58" s="11">
        <f>SUMPRODUCT(ISNUMBER(SEARCH(","&amp;$A58&amp;",",","&amp;SUBSTITUTE('2L Screening Matrix'!$I$2:$I$46,", ",",")&amp;","))*('2L Screening Matrix'!$Q$2:$Q$46="Stage III Only"))</f>
        <v>0</v>
      </c>
      <c r="I58" s="13">
        <f t="shared" si="4"/>
        <v>1</v>
      </c>
      <c r="J58" s="14">
        <f t="shared" si="5"/>
        <v>1</v>
      </c>
      <c r="K58" s="5" t="str">
        <f ca="1">IFERROR(_xludf.textjoin(", ",TRUE(),IF(ISNUMBER(SEARCH(","&amp;$A58&amp;",",","&amp;SUBSTITUTE('1L Screening Matrix'!$I$2:$I$77,", ",",")&amp;",")),'1L Screening Matrix'!$C$2:$C$77,"")),"")</f>
        <v/>
      </c>
      <c r="L58" s="5" t="str">
        <f ca="1">IFERROR(_xludf.textjoin(", ",TRUE(),IF(ISNUMBER(SEARCH(","&amp;$A58&amp;",",","&amp;SUBSTITUTE('2L Screening Matrix'!$I$2:$I$46,", ",",")&amp;",")),'2L Screening Matrix'!$C$2:$C$46,"")),"")</f>
        <v/>
      </c>
    </row>
    <row r="59" spans="1:12" ht="15" customHeight="1" x14ac:dyDescent="0.2">
      <c r="A59" s="15" t="s">
        <v>2088</v>
      </c>
      <c r="B59" s="11">
        <f>SUMPRODUCT(ISNUMBER(SEARCH(","&amp;$A59&amp;",",","&amp;SUBSTITUTE('1L Screening Matrix'!$I$2:$I$77,", ",",")&amp;","))*('1L Screening Matrix'!$Q$2:$Q$77="Stage IV Only"))</f>
        <v>1</v>
      </c>
      <c r="C59" s="11">
        <f>SUMPRODUCT(ISNUMBER(SEARCH(","&amp;$A59&amp;",",","&amp;SUBSTITUTE('1L Screening Matrix'!$I$2:$I$77,", ",",")&amp;","))*('1L Screening Matrix'!$Q$2:$Q$77="Stage IV + Other"))</f>
        <v>0</v>
      </c>
      <c r="D59" s="11">
        <f>SUMPRODUCT(ISNUMBER(SEARCH(","&amp;$A59&amp;",",","&amp;SUBSTITUTE('1L Screening Matrix'!$I$2:$I$77,", ",",")&amp;","))*('1L Screening Matrix'!$Q$2:$Q$77="Stage III Only"))</f>
        <v>0</v>
      </c>
      <c r="E59" s="13">
        <f t="shared" si="3"/>
        <v>1</v>
      </c>
      <c r="F59" s="11">
        <f>SUMPRODUCT(ISNUMBER(SEARCH(","&amp;$A59&amp;",",","&amp;SUBSTITUTE('2L Screening Matrix'!$I$2:$I$46,", ",",")&amp;","))*('2L Screening Matrix'!$Q$2:$Q$46="Stage IV Only"))</f>
        <v>0</v>
      </c>
      <c r="G59" s="11">
        <f>SUMPRODUCT(ISNUMBER(SEARCH(","&amp;$A59&amp;",",","&amp;SUBSTITUTE('2L Screening Matrix'!$I$2:$I$46,", ",",")&amp;","))*('2L Screening Matrix'!$Q$2:$Q$46="Stage IV + Other"))</f>
        <v>0</v>
      </c>
      <c r="H59" s="11">
        <f>SUMPRODUCT(ISNUMBER(SEARCH(","&amp;$A59&amp;",",","&amp;SUBSTITUTE('2L Screening Matrix'!$I$2:$I$46,", ",",")&amp;","))*('2L Screening Matrix'!$Q$2:$Q$46="Stage III Only"))</f>
        <v>0</v>
      </c>
      <c r="I59" s="13">
        <f t="shared" si="4"/>
        <v>0</v>
      </c>
      <c r="J59" s="14">
        <f t="shared" si="5"/>
        <v>1</v>
      </c>
      <c r="K59" s="5" t="str">
        <f ca="1">IFERROR(_xludf.textjoin(", ",TRUE(),IF(ISNUMBER(SEARCH(","&amp;$A59&amp;",",","&amp;SUBSTITUTE('1L Screening Matrix'!$I$2:$I$77,", ",",")&amp;",")),'1L Screening Matrix'!$C$2:$C$77,"")),"")</f>
        <v/>
      </c>
      <c r="L59" s="5" t="str">
        <f ca="1">IFERROR(_xludf.textjoin(", ",TRUE(),IF(ISNUMBER(SEARCH(","&amp;$A59&amp;",",","&amp;SUBSTITUTE('2L Screening Matrix'!$I$2:$I$46,", ",",")&amp;",")),'2L Screening Matrix'!$C$2:$C$46,"")),"")</f>
        <v/>
      </c>
    </row>
    <row r="60" spans="1:12" ht="15" customHeight="1" x14ac:dyDescent="0.2">
      <c r="A60" s="12" t="s">
        <v>2089</v>
      </c>
      <c r="B60" s="11">
        <f>SUMPRODUCT(ISNUMBER(SEARCH(","&amp;$A60&amp;",",","&amp;SUBSTITUTE('1L Screening Matrix'!$I$2:$I$77,", ",",")&amp;","))*('1L Screening Matrix'!$Q$2:$Q$77="Stage IV Only"))</f>
        <v>1</v>
      </c>
      <c r="C60" s="11">
        <f>SUMPRODUCT(ISNUMBER(SEARCH(","&amp;$A60&amp;",",","&amp;SUBSTITUTE('1L Screening Matrix'!$I$2:$I$77,", ",",")&amp;","))*('1L Screening Matrix'!$Q$2:$Q$77="Stage IV + Other"))</f>
        <v>0</v>
      </c>
      <c r="D60" s="11">
        <f>SUMPRODUCT(ISNUMBER(SEARCH(","&amp;$A60&amp;",",","&amp;SUBSTITUTE('1L Screening Matrix'!$I$2:$I$77,", ",",")&amp;","))*('1L Screening Matrix'!$Q$2:$Q$77="Stage III Only"))</f>
        <v>0</v>
      </c>
      <c r="E60" s="13">
        <f t="shared" si="3"/>
        <v>1</v>
      </c>
      <c r="F60" s="11">
        <f>SUMPRODUCT(ISNUMBER(SEARCH(","&amp;$A60&amp;",",","&amp;SUBSTITUTE('2L Screening Matrix'!$I$2:$I$46,", ",",")&amp;","))*('2L Screening Matrix'!$Q$2:$Q$46="Stage IV Only"))</f>
        <v>0</v>
      </c>
      <c r="G60" s="11">
        <f>SUMPRODUCT(ISNUMBER(SEARCH(","&amp;$A60&amp;",",","&amp;SUBSTITUTE('2L Screening Matrix'!$I$2:$I$46,", ",",")&amp;","))*('2L Screening Matrix'!$Q$2:$Q$46="Stage IV + Other"))</f>
        <v>0</v>
      </c>
      <c r="H60" s="11">
        <f>SUMPRODUCT(ISNUMBER(SEARCH(","&amp;$A60&amp;",",","&amp;SUBSTITUTE('2L Screening Matrix'!$I$2:$I$46,", ",",")&amp;","))*('2L Screening Matrix'!$Q$2:$Q$46="Stage III Only"))</f>
        <v>0</v>
      </c>
      <c r="I60" s="13">
        <f t="shared" si="4"/>
        <v>0</v>
      </c>
      <c r="J60" s="14">
        <f t="shared" si="5"/>
        <v>1</v>
      </c>
      <c r="K60" s="5" t="str">
        <f ca="1">IFERROR(_xludf.textjoin(", ",TRUE(),IF(ISNUMBER(SEARCH(","&amp;$A60&amp;",",","&amp;SUBSTITUTE('1L Screening Matrix'!$I$2:$I$77,", ",",")&amp;",")),'1L Screening Matrix'!$C$2:$C$77,"")),"")</f>
        <v/>
      </c>
      <c r="L60" s="5" t="str">
        <f ca="1">IFERROR(_xludf.textjoin(", ",TRUE(),IF(ISNUMBER(SEARCH(","&amp;$A60&amp;",",","&amp;SUBSTITUTE('2L Screening Matrix'!$I$2:$I$46,", ",",")&amp;",")),'2L Screening Matrix'!$C$2:$C$46,"")),"")</f>
        <v/>
      </c>
    </row>
    <row r="61" spans="1:12" ht="15" customHeight="1" x14ac:dyDescent="0.2">
      <c r="A61" s="15" t="s">
        <v>2090</v>
      </c>
      <c r="B61" s="11">
        <f>SUMPRODUCT(ISNUMBER(SEARCH(","&amp;$A61&amp;",",","&amp;SUBSTITUTE('1L Screening Matrix'!$I$2:$I$77,", ",",")&amp;","))*('1L Screening Matrix'!$Q$2:$Q$77="Stage IV Only"))</f>
        <v>4</v>
      </c>
      <c r="C61" s="11">
        <f>SUMPRODUCT(ISNUMBER(SEARCH(","&amp;$A61&amp;",",","&amp;SUBSTITUTE('1L Screening Matrix'!$I$2:$I$77,", ",",")&amp;","))*('1L Screening Matrix'!$Q$2:$Q$77="Stage IV + Other"))</f>
        <v>1</v>
      </c>
      <c r="D61" s="11">
        <f>SUMPRODUCT(ISNUMBER(SEARCH(","&amp;$A61&amp;",",","&amp;SUBSTITUTE('1L Screening Matrix'!$I$2:$I$77,", ",",")&amp;","))*('1L Screening Matrix'!$Q$2:$Q$77="Stage III Only"))</f>
        <v>1</v>
      </c>
      <c r="E61" s="13">
        <f t="shared" si="3"/>
        <v>6</v>
      </c>
      <c r="F61" s="11">
        <f>SUMPRODUCT(ISNUMBER(SEARCH(","&amp;$A61&amp;",",","&amp;SUBSTITUTE('2L Screening Matrix'!$I$2:$I$46,", ",",")&amp;","))*('2L Screening Matrix'!$Q$2:$Q$46="Stage IV Only"))</f>
        <v>0</v>
      </c>
      <c r="G61" s="11">
        <f>SUMPRODUCT(ISNUMBER(SEARCH(","&amp;$A61&amp;",",","&amp;SUBSTITUTE('2L Screening Matrix'!$I$2:$I$46,", ",",")&amp;","))*('2L Screening Matrix'!$Q$2:$Q$46="Stage IV + Other"))</f>
        <v>0</v>
      </c>
      <c r="H61" s="11">
        <f>SUMPRODUCT(ISNUMBER(SEARCH(","&amp;$A61&amp;",",","&amp;SUBSTITUTE('2L Screening Matrix'!$I$2:$I$46,", ",",")&amp;","))*('2L Screening Matrix'!$Q$2:$Q$46="Stage III Only"))</f>
        <v>0</v>
      </c>
      <c r="I61" s="13">
        <f t="shared" si="4"/>
        <v>0</v>
      </c>
      <c r="J61" s="14">
        <f t="shared" si="5"/>
        <v>6</v>
      </c>
      <c r="K61" s="5" t="str">
        <f ca="1">IFERROR(_xludf.textjoin(", ",TRUE(),IF(ISNUMBER(SEARCH(","&amp;$A61&amp;",",","&amp;SUBSTITUTE('1L Screening Matrix'!$I$2:$I$77,", ",",")&amp;",")),'1L Screening Matrix'!$C$2:$C$77,"")),"")</f>
        <v/>
      </c>
      <c r="L61" s="5" t="str">
        <f ca="1">IFERROR(_xludf.textjoin(", ",TRUE(),IF(ISNUMBER(SEARCH(","&amp;$A61&amp;",",","&amp;SUBSTITUTE('2L Screening Matrix'!$I$2:$I$46,", ",",")&amp;",")),'2L Screening Matrix'!$C$2:$C$46,"")),"")</f>
        <v/>
      </c>
    </row>
    <row r="62" spans="1:12" ht="15" customHeight="1" x14ac:dyDescent="0.2">
      <c r="A62" s="12" t="s">
        <v>2091</v>
      </c>
      <c r="B62" s="11">
        <f>SUMPRODUCT(ISNUMBER(SEARCH(","&amp;$A62&amp;",",","&amp;SUBSTITUTE('1L Screening Matrix'!$I$2:$I$77,", ",",")&amp;","))*('1L Screening Matrix'!$Q$2:$Q$77="Stage IV Only"))</f>
        <v>0</v>
      </c>
      <c r="C62" s="11">
        <f>SUMPRODUCT(ISNUMBER(SEARCH(","&amp;$A62&amp;",",","&amp;SUBSTITUTE('1L Screening Matrix'!$I$2:$I$77,", ",",")&amp;","))*('1L Screening Matrix'!$Q$2:$Q$77="Stage IV + Other"))</f>
        <v>0</v>
      </c>
      <c r="D62" s="11">
        <f>SUMPRODUCT(ISNUMBER(SEARCH(","&amp;$A62&amp;",",","&amp;SUBSTITUTE('1L Screening Matrix'!$I$2:$I$77,", ",",")&amp;","))*('1L Screening Matrix'!$Q$2:$Q$77="Stage III Only"))</f>
        <v>0</v>
      </c>
      <c r="E62" s="13">
        <f t="shared" si="3"/>
        <v>0</v>
      </c>
      <c r="F62" s="11">
        <f>SUMPRODUCT(ISNUMBER(SEARCH(","&amp;$A62&amp;",",","&amp;SUBSTITUTE('2L Screening Matrix'!$I$2:$I$46,", ",",")&amp;","))*('2L Screening Matrix'!$Q$2:$Q$46="Stage IV Only"))</f>
        <v>1</v>
      </c>
      <c r="G62" s="11">
        <f>SUMPRODUCT(ISNUMBER(SEARCH(","&amp;$A62&amp;",",","&amp;SUBSTITUTE('2L Screening Matrix'!$I$2:$I$46,", ",",")&amp;","))*('2L Screening Matrix'!$Q$2:$Q$46="Stage IV + Other"))</f>
        <v>0</v>
      </c>
      <c r="H62" s="11">
        <f>SUMPRODUCT(ISNUMBER(SEARCH(","&amp;$A62&amp;",",","&amp;SUBSTITUTE('2L Screening Matrix'!$I$2:$I$46,", ",",")&amp;","))*('2L Screening Matrix'!$Q$2:$Q$46="Stage III Only"))</f>
        <v>0</v>
      </c>
      <c r="I62" s="13">
        <f t="shared" si="4"/>
        <v>1</v>
      </c>
      <c r="J62" s="14">
        <f t="shared" si="5"/>
        <v>1</v>
      </c>
      <c r="K62" s="5" t="str">
        <f ca="1">IFERROR(_xludf.textjoin(", ",TRUE(),IF(ISNUMBER(SEARCH(","&amp;$A62&amp;",",","&amp;SUBSTITUTE('1L Screening Matrix'!$I$2:$I$77,", ",",")&amp;",")),'1L Screening Matrix'!$C$2:$C$77,"")),"")</f>
        <v/>
      </c>
      <c r="L62" s="5" t="str">
        <f ca="1">IFERROR(_xludf.textjoin(", ",TRUE(),IF(ISNUMBER(SEARCH(","&amp;$A62&amp;",",","&amp;SUBSTITUTE('2L Screening Matrix'!$I$2:$I$46,", ",",")&amp;",")),'2L Screening Matrix'!$C$2:$C$46,"")),"")</f>
        <v/>
      </c>
    </row>
    <row r="63" spans="1:12" ht="15" customHeight="1" x14ac:dyDescent="0.2">
      <c r="A63" s="15" t="s">
        <v>2092</v>
      </c>
      <c r="B63" s="11">
        <f>SUMPRODUCT(ISNUMBER(SEARCH(","&amp;$A63&amp;",",","&amp;SUBSTITUTE('1L Screening Matrix'!$I$2:$I$77,", ",",")&amp;","))*('1L Screening Matrix'!$Q$2:$Q$77="Stage IV Only"))</f>
        <v>0</v>
      </c>
      <c r="C63" s="11">
        <f>SUMPRODUCT(ISNUMBER(SEARCH(","&amp;$A63&amp;",",","&amp;SUBSTITUTE('1L Screening Matrix'!$I$2:$I$77,", ",",")&amp;","))*('1L Screening Matrix'!$Q$2:$Q$77="Stage IV + Other"))</f>
        <v>0</v>
      </c>
      <c r="D63" s="11">
        <f>SUMPRODUCT(ISNUMBER(SEARCH(","&amp;$A63&amp;",",","&amp;SUBSTITUTE('1L Screening Matrix'!$I$2:$I$77,", ",",")&amp;","))*('1L Screening Matrix'!$Q$2:$Q$77="Stage III Only"))</f>
        <v>0</v>
      </c>
      <c r="E63" s="13">
        <f t="shared" si="3"/>
        <v>0</v>
      </c>
      <c r="F63" s="11">
        <f>SUMPRODUCT(ISNUMBER(SEARCH(","&amp;$A63&amp;",",","&amp;SUBSTITUTE('2L Screening Matrix'!$I$2:$I$46,", ",",")&amp;","))*('2L Screening Matrix'!$Q$2:$Q$46="Stage IV Only"))</f>
        <v>1</v>
      </c>
      <c r="G63" s="11">
        <f>SUMPRODUCT(ISNUMBER(SEARCH(","&amp;$A63&amp;",",","&amp;SUBSTITUTE('2L Screening Matrix'!$I$2:$I$46,", ",",")&amp;","))*('2L Screening Matrix'!$Q$2:$Q$46="Stage IV + Other"))</f>
        <v>0</v>
      </c>
      <c r="H63" s="11">
        <f>SUMPRODUCT(ISNUMBER(SEARCH(","&amp;$A63&amp;",",","&amp;SUBSTITUTE('2L Screening Matrix'!$I$2:$I$46,", ",",")&amp;","))*('2L Screening Matrix'!$Q$2:$Q$46="Stage III Only"))</f>
        <v>0</v>
      </c>
      <c r="I63" s="13">
        <f t="shared" si="4"/>
        <v>1</v>
      </c>
      <c r="J63" s="14">
        <f t="shared" si="5"/>
        <v>1</v>
      </c>
      <c r="K63" s="5" t="str">
        <f ca="1">IFERROR(_xludf.textjoin(", ",TRUE(),IF(ISNUMBER(SEARCH(","&amp;$A63&amp;",",","&amp;SUBSTITUTE('1L Screening Matrix'!$I$2:$I$77,", ",",")&amp;",")),'1L Screening Matrix'!$C$2:$C$77,"")),"")</f>
        <v/>
      </c>
      <c r="L63" s="5" t="str">
        <f ca="1">IFERROR(_xludf.textjoin(", ",TRUE(),IF(ISNUMBER(SEARCH(","&amp;$A63&amp;",",","&amp;SUBSTITUTE('2L Screening Matrix'!$I$2:$I$46,", ",",")&amp;",")),'2L Screening Matrix'!$C$2:$C$46,"")),"")</f>
        <v/>
      </c>
    </row>
    <row r="64" spans="1:12" ht="15" customHeight="1" x14ac:dyDescent="0.2">
      <c r="A64" s="12" t="s">
        <v>2093</v>
      </c>
      <c r="B64" s="11">
        <f>SUMPRODUCT(ISNUMBER(SEARCH(","&amp;$A64&amp;",",","&amp;SUBSTITUTE('1L Screening Matrix'!$I$2:$I$77,", ",",")&amp;","))*('1L Screening Matrix'!$Q$2:$Q$77="Stage IV Only"))</f>
        <v>0</v>
      </c>
      <c r="C64" s="11">
        <f>SUMPRODUCT(ISNUMBER(SEARCH(","&amp;$A64&amp;",",","&amp;SUBSTITUTE('1L Screening Matrix'!$I$2:$I$77,", ",",")&amp;","))*('1L Screening Matrix'!$Q$2:$Q$77="Stage IV + Other"))</f>
        <v>0</v>
      </c>
      <c r="D64" s="11">
        <f>SUMPRODUCT(ISNUMBER(SEARCH(","&amp;$A64&amp;",",","&amp;SUBSTITUTE('1L Screening Matrix'!$I$2:$I$77,", ",",")&amp;","))*('1L Screening Matrix'!$Q$2:$Q$77="Stage III Only"))</f>
        <v>1</v>
      </c>
      <c r="E64" s="13">
        <f t="shared" si="3"/>
        <v>1</v>
      </c>
      <c r="F64" s="11">
        <f>SUMPRODUCT(ISNUMBER(SEARCH(","&amp;$A64&amp;",",","&amp;SUBSTITUTE('2L Screening Matrix'!$I$2:$I$46,", ",",")&amp;","))*('2L Screening Matrix'!$Q$2:$Q$46="Stage IV Only"))</f>
        <v>0</v>
      </c>
      <c r="G64" s="11">
        <f>SUMPRODUCT(ISNUMBER(SEARCH(","&amp;$A64&amp;",",","&amp;SUBSTITUTE('2L Screening Matrix'!$I$2:$I$46,", ",",")&amp;","))*('2L Screening Matrix'!$Q$2:$Q$46="Stage IV + Other"))</f>
        <v>0</v>
      </c>
      <c r="H64" s="11">
        <f>SUMPRODUCT(ISNUMBER(SEARCH(","&amp;$A64&amp;",",","&amp;SUBSTITUTE('2L Screening Matrix'!$I$2:$I$46,", ",",")&amp;","))*('2L Screening Matrix'!$Q$2:$Q$46="Stage III Only"))</f>
        <v>0</v>
      </c>
      <c r="I64" s="13">
        <f t="shared" si="4"/>
        <v>0</v>
      </c>
      <c r="J64" s="14">
        <f t="shared" si="5"/>
        <v>1</v>
      </c>
      <c r="K64" s="5" t="str">
        <f ca="1">IFERROR(_xludf.textjoin(", ",TRUE(),IF(ISNUMBER(SEARCH(","&amp;$A64&amp;",",","&amp;SUBSTITUTE('1L Screening Matrix'!$I$2:$I$77,", ",",")&amp;",")),'1L Screening Matrix'!$C$2:$C$77,"")),"")</f>
        <v/>
      </c>
      <c r="L64" s="5" t="str">
        <f ca="1">IFERROR(_xludf.textjoin(", ",TRUE(),IF(ISNUMBER(SEARCH(","&amp;$A64&amp;",",","&amp;SUBSTITUTE('2L Screening Matrix'!$I$2:$I$46,", ",",")&amp;",")),'2L Screening Matrix'!$C$2:$C$46,"")),"")</f>
        <v/>
      </c>
    </row>
    <row r="65" spans="1:12" ht="15" customHeight="1" x14ac:dyDescent="0.2">
      <c r="A65" s="15" t="s">
        <v>1002</v>
      </c>
      <c r="B65" s="11">
        <f>SUMPRODUCT(ISNUMBER(SEARCH(","&amp;$A65&amp;",",","&amp;SUBSTITUTE('1L Screening Matrix'!$I$2:$I$77,", ",",")&amp;","))*('1L Screening Matrix'!$Q$2:$Q$77="Stage IV Only"))</f>
        <v>3</v>
      </c>
      <c r="C65" s="11">
        <f>SUMPRODUCT(ISNUMBER(SEARCH(","&amp;$A65&amp;",",","&amp;SUBSTITUTE('1L Screening Matrix'!$I$2:$I$77,", ",",")&amp;","))*('1L Screening Matrix'!$Q$2:$Q$77="Stage IV + Other"))</f>
        <v>5</v>
      </c>
      <c r="D65" s="11">
        <f>SUMPRODUCT(ISNUMBER(SEARCH(","&amp;$A65&amp;",",","&amp;SUBSTITUTE('1L Screening Matrix'!$I$2:$I$77,", ",",")&amp;","))*('1L Screening Matrix'!$Q$2:$Q$77="Stage III Only"))</f>
        <v>0</v>
      </c>
      <c r="E65" s="13">
        <f t="shared" si="3"/>
        <v>8</v>
      </c>
      <c r="F65" s="11">
        <f>SUMPRODUCT(ISNUMBER(SEARCH(","&amp;$A65&amp;",",","&amp;SUBSTITUTE('2L Screening Matrix'!$I$2:$I$46,", ",",")&amp;","))*('2L Screening Matrix'!$Q$2:$Q$46="Stage IV Only"))</f>
        <v>1</v>
      </c>
      <c r="G65" s="11">
        <f>SUMPRODUCT(ISNUMBER(SEARCH(","&amp;$A65&amp;",",","&amp;SUBSTITUTE('2L Screening Matrix'!$I$2:$I$46,", ",",")&amp;","))*('2L Screening Matrix'!$Q$2:$Q$46="Stage IV + Other"))</f>
        <v>3</v>
      </c>
      <c r="H65" s="11">
        <f>SUMPRODUCT(ISNUMBER(SEARCH(","&amp;$A65&amp;",",","&amp;SUBSTITUTE('2L Screening Matrix'!$I$2:$I$46,", ",",")&amp;","))*('2L Screening Matrix'!$Q$2:$Q$46="Stage III Only"))</f>
        <v>0</v>
      </c>
      <c r="I65" s="13">
        <f t="shared" si="4"/>
        <v>4</v>
      </c>
      <c r="J65" s="14">
        <f t="shared" si="5"/>
        <v>12</v>
      </c>
      <c r="K65" s="5" t="str">
        <f ca="1">IFERROR(_xludf.textjoin(", ",TRUE(),IF(ISNUMBER(SEARCH(","&amp;$A65&amp;",",","&amp;SUBSTITUTE('1L Screening Matrix'!$I$2:$I$77,", ",",")&amp;",")),'1L Screening Matrix'!$C$2:$C$77,"")),"")</f>
        <v/>
      </c>
      <c r="L65" s="5" t="str">
        <f ca="1">IFERROR(_xludf.textjoin(", ",TRUE(),IF(ISNUMBER(SEARCH(","&amp;$A65&amp;",",","&amp;SUBSTITUTE('2L Screening Matrix'!$I$2:$I$46,", ",",")&amp;",")),'2L Screening Matrix'!$C$2:$C$46,"")),"")</f>
        <v/>
      </c>
    </row>
    <row r="66" spans="1:12" ht="15" customHeight="1" x14ac:dyDescent="0.2">
      <c r="A66" s="12" t="s">
        <v>2094</v>
      </c>
      <c r="B66" s="11">
        <f>SUMPRODUCT(ISNUMBER(SEARCH(","&amp;$A66&amp;",",","&amp;SUBSTITUTE('1L Screening Matrix'!$I$2:$I$77,", ",",")&amp;","))*('1L Screening Matrix'!$Q$2:$Q$77="Stage IV Only"))</f>
        <v>12</v>
      </c>
      <c r="C66" s="11">
        <f>SUMPRODUCT(ISNUMBER(SEARCH(","&amp;$A66&amp;",",","&amp;SUBSTITUTE('1L Screening Matrix'!$I$2:$I$77,", ",",")&amp;","))*('1L Screening Matrix'!$Q$2:$Q$77="Stage IV + Other"))</f>
        <v>4</v>
      </c>
      <c r="D66" s="11">
        <f>SUMPRODUCT(ISNUMBER(SEARCH(","&amp;$A66&amp;",",","&amp;SUBSTITUTE('1L Screening Matrix'!$I$2:$I$77,", ",",")&amp;","))*('1L Screening Matrix'!$Q$2:$Q$77="Stage III Only"))</f>
        <v>0</v>
      </c>
      <c r="E66" s="13">
        <f t="shared" ref="E66:E97" si="6">SUM(B66:D66)</f>
        <v>16</v>
      </c>
      <c r="F66" s="11">
        <f>SUMPRODUCT(ISNUMBER(SEARCH(","&amp;$A66&amp;",",","&amp;SUBSTITUTE('2L Screening Matrix'!$I$2:$I$46,", ",",")&amp;","))*('2L Screening Matrix'!$Q$2:$Q$46="Stage IV Only"))</f>
        <v>1</v>
      </c>
      <c r="G66" s="11">
        <f>SUMPRODUCT(ISNUMBER(SEARCH(","&amp;$A66&amp;",",","&amp;SUBSTITUTE('2L Screening Matrix'!$I$2:$I$46,", ",",")&amp;","))*('2L Screening Matrix'!$Q$2:$Q$46="Stage IV + Other"))</f>
        <v>1</v>
      </c>
      <c r="H66" s="11">
        <f>SUMPRODUCT(ISNUMBER(SEARCH(","&amp;$A66&amp;",",","&amp;SUBSTITUTE('2L Screening Matrix'!$I$2:$I$46,", ",",")&amp;","))*('2L Screening Matrix'!$Q$2:$Q$46="Stage III Only"))</f>
        <v>0</v>
      </c>
      <c r="I66" s="13">
        <f t="shared" ref="I66:I97" si="7">SUM(F66:H66)</f>
        <v>2</v>
      </c>
      <c r="J66" s="14">
        <f t="shared" ref="J66:J97" si="8">E66+I66</f>
        <v>18</v>
      </c>
      <c r="K66" s="5" t="str">
        <f ca="1">IFERROR(_xludf.textjoin(", ",TRUE(),IF(ISNUMBER(SEARCH(","&amp;$A66&amp;",",","&amp;SUBSTITUTE('1L Screening Matrix'!$I$2:$I$77,", ",",")&amp;",")),'1L Screening Matrix'!$C$2:$C$77,"")),"")</f>
        <v/>
      </c>
      <c r="L66" s="5" t="str">
        <f ca="1">IFERROR(_xludf.textjoin(", ",TRUE(),IF(ISNUMBER(SEARCH(","&amp;$A66&amp;",",","&amp;SUBSTITUTE('2L Screening Matrix'!$I$2:$I$46,", ",",")&amp;",")),'2L Screening Matrix'!$C$2:$C$46,"")),"")</f>
        <v/>
      </c>
    </row>
    <row r="67" spans="1:12" ht="15" customHeight="1" x14ac:dyDescent="0.2">
      <c r="A67" s="15" t="s">
        <v>2095</v>
      </c>
      <c r="B67" s="11">
        <f>SUMPRODUCT(ISNUMBER(SEARCH(","&amp;$A67&amp;",",","&amp;SUBSTITUTE('1L Screening Matrix'!$I$2:$I$77,", ",",")&amp;","))*('1L Screening Matrix'!$Q$2:$Q$77="Stage IV Only"))</f>
        <v>12</v>
      </c>
      <c r="C67" s="11">
        <f>SUMPRODUCT(ISNUMBER(SEARCH(","&amp;$A67&amp;",",","&amp;SUBSTITUTE('1L Screening Matrix'!$I$2:$I$77,", ",",")&amp;","))*('1L Screening Matrix'!$Q$2:$Q$77="Stage IV + Other"))</f>
        <v>4</v>
      </c>
      <c r="D67" s="11">
        <f>SUMPRODUCT(ISNUMBER(SEARCH(","&amp;$A67&amp;",",","&amp;SUBSTITUTE('1L Screening Matrix'!$I$2:$I$77,", ",",")&amp;","))*('1L Screening Matrix'!$Q$2:$Q$77="Stage III Only"))</f>
        <v>0</v>
      </c>
      <c r="E67" s="13">
        <f t="shared" si="6"/>
        <v>16</v>
      </c>
      <c r="F67" s="11">
        <f>SUMPRODUCT(ISNUMBER(SEARCH(","&amp;$A67&amp;",",","&amp;SUBSTITUTE('2L Screening Matrix'!$I$2:$I$46,", ",",")&amp;","))*('2L Screening Matrix'!$Q$2:$Q$46="Stage IV Only"))</f>
        <v>1</v>
      </c>
      <c r="G67" s="11">
        <f>SUMPRODUCT(ISNUMBER(SEARCH(","&amp;$A67&amp;",",","&amp;SUBSTITUTE('2L Screening Matrix'!$I$2:$I$46,", ",",")&amp;","))*('2L Screening Matrix'!$Q$2:$Q$46="Stage IV + Other"))</f>
        <v>1</v>
      </c>
      <c r="H67" s="11">
        <f>SUMPRODUCT(ISNUMBER(SEARCH(","&amp;$A67&amp;",",","&amp;SUBSTITUTE('2L Screening Matrix'!$I$2:$I$46,", ",",")&amp;","))*('2L Screening Matrix'!$Q$2:$Q$46="Stage III Only"))</f>
        <v>0</v>
      </c>
      <c r="I67" s="13">
        <f t="shared" si="7"/>
        <v>2</v>
      </c>
      <c r="J67" s="14">
        <f t="shared" si="8"/>
        <v>18</v>
      </c>
      <c r="K67" s="5" t="str">
        <f ca="1">IFERROR(_xludf.textjoin(", ",TRUE(),IF(ISNUMBER(SEARCH(","&amp;$A67&amp;",",","&amp;SUBSTITUTE('1L Screening Matrix'!$I$2:$I$77,", ",",")&amp;",")),'1L Screening Matrix'!$C$2:$C$77,"")),"")</f>
        <v/>
      </c>
      <c r="L67" s="5" t="str">
        <f ca="1">IFERROR(_xludf.textjoin(", ",TRUE(),IF(ISNUMBER(SEARCH(","&amp;$A67&amp;",",","&amp;SUBSTITUTE('2L Screening Matrix'!$I$2:$I$46,", ",",")&amp;",")),'2L Screening Matrix'!$C$2:$C$46,"")),"")</f>
        <v/>
      </c>
    </row>
    <row r="68" spans="1:12" ht="15" customHeight="1" x14ac:dyDescent="0.2">
      <c r="A68" s="12" t="s">
        <v>118</v>
      </c>
      <c r="B68" s="11">
        <f>SUMPRODUCT(ISNUMBER(SEARCH(","&amp;$A68&amp;",",","&amp;SUBSTITUTE('1L Screening Matrix'!$I$2:$I$77,", ",",")&amp;","))*('1L Screening Matrix'!$Q$2:$Q$77="Stage IV Only"))</f>
        <v>6</v>
      </c>
      <c r="C68" s="11">
        <f>SUMPRODUCT(ISNUMBER(SEARCH(","&amp;$A68&amp;",",","&amp;SUBSTITUTE('1L Screening Matrix'!$I$2:$I$77,", ",",")&amp;","))*('1L Screening Matrix'!$Q$2:$Q$77="Stage IV + Other"))</f>
        <v>5</v>
      </c>
      <c r="D68" s="11">
        <f>SUMPRODUCT(ISNUMBER(SEARCH(","&amp;$A68&amp;",",","&amp;SUBSTITUTE('1L Screening Matrix'!$I$2:$I$77,", ",",")&amp;","))*('1L Screening Matrix'!$Q$2:$Q$77="Stage III Only"))</f>
        <v>1</v>
      </c>
      <c r="E68" s="13">
        <f t="shared" si="6"/>
        <v>12</v>
      </c>
      <c r="F68" s="11">
        <f>SUMPRODUCT(ISNUMBER(SEARCH(","&amp;$A68&amp;",",","&amp;SUBSTITUTE('2L Screening Matrix'!$I$2:$I$46,", ",",")&amp;","))*('2L Screening Matrix'!$Q$2:$Q$46="Stage IV Only"))</f>
        <v>0</v>
      </c>
      <c r="G68" s="11">
        <f>SUMPRODUCT(ISNUMBER(SEARCH(","&amp;$A68&amp;",",","&amp;SUBSTITUTE('2L Screening Matrix'!$I$2:$I$46,", ",",")&amp;","))*('2L Screening Matrix'!$Q$2:$Q$46="Stage IV + Other"))</f>
        <v>1</v>
      </c>
      <c r="H68" s="11">
        <f>SUMPRODUCT(ISNUMBER(SEARCH(","&amp;$A68&amp;",",","&amp;SUBSTITUTE('2L Screening Matrix'!$I$2:$I$46,", ",",")&amp;","))*('2L Screening Matrix'!$Q$2:$Q$46="Stage III Only"))</f>
        <v>0</v>
      </c>
      <c r="I68" s="13">
        <f t="shared" si="7"/>
        <v>1</v>
      </c>
      <c r="J68" s="14">
        <f t="shared" si="8"/>
        <v>13</v>
      </c>
      <c r="K68" s="5" t="str">
        <f ca="1">IFERROR(_xludf.textjoin(", ",TRUE(),IF(ISNUMBER(SEARCH(","&amp;$A68&amp;",",","&amp;SUBSTITUTE('1L Screening Matrix'!$I$2:$I$77,", ",",")&amp;",")),'1L Screening Matrix'!$C$2:$C$77,"")),"")</f>
        <v/>
      </c>
      <c r="L68" s="5" t="str">
        <f ca="1">IFERROR(_xludf.textjoin(", ",TRUE(),IF(ISNUMBER(SEARCH(","&amp;$A68&amp;",",","&amp;SUBSTITUTE('2L Screening Matrix'!$I$2:$I$46,", ",",")&amp;",")),'2L Screening Matrix'!$C$2:$C$46,"")),"")</f>
        <v/>
      </c>
    </row>
    <row r="69" spans="1:12" ht="15" customHeight="1" x14ac:dyDescent="0.2">
      <c r="A69" s="15" t="s">
        <v>2096</v>
      </c>
      <c r="B69" s="11">
        <f>SUMPRODUCT(ISNUMBER(SEARCH(","&amp;$A69&amp;",",","&amp;SUBSTITUTE('1L Screening Matrix'!$I$2:$I$77,", ",",")&amp;","))*('1L Screening Matrix'!$Q$2:$Q$77="Stage IV Only"))</f>
        <v>0</v>
      </c>
      <c r="C69" s="11">
        <f>SUMPRODUCT(ISNUMBER(SEARCH(","&amp;$A69&amp;",",","&amp;SUBSTITUTE('1L Screening Matrix'!$I$2:$I$77,", ",",")&amp;","))*('1L Screening Matrix'!$Q$2:$Q$77="Stage IV + Other"))</f>
        <v>0</v>
      </c>
      <c r="D69" s="11">
        <f>SUMPRODUCT(ISNUMBER(SEARCH(","&amp;$A69&amp;",",","&amp;SUBSTITUTE('1L Screening Matrix'!$I$2:$I$77,", ",",")&amp;","))*('1L Screening Matrix'!$Q$2:$Q$77="Stage III Only"))</f>
        <v>0</v>
      </c>
      <c r="E69" s="13">
        <f t="shared" si="6"/>
        <v>0</v>
      </c>
      <c r="F69" s="11">
        <f>SUMPRODUCT(ISNUMBER(SEARCH(","&amp;$A69&amp;",",","&amp;SUBSTITUTE('2L Screening Matrix'!$I$2:$I$46,", ",",")&amp;","))*('2L Screening Matrix'!$Q$2:$Q$46="Stage IV Only"))</f>
        <v>0</v>
      </c>
      <c r="G69" s="11">
        <f>SUMPRODUCT(ISNUMBER(SEARCH(","&amp;$A69&amp;",",","&amp;SUBSTITUTE('2L Screening Matrix'!$I$2:$I$46,", ",",")&amp;","))*('2L Screening Matrix'!$Q$2:$Q$46="Stage IV + Other"))</f>
        <v>0</v>
      </c>
      <c r="H69" s="11">
        <f>SUMPRODUCT(ISNUMBER(SEARCH(","&amp;$A69&amp;",",","&amp;SUBSTITUTE('2L Screening Matrix'!$I$2:$I$46,", ",",")&amp;","))*('2L Screening Matrix'!$Q$2:$Q$46="Stage III Only"))</f>
        <v>0</v>
      </c>
      <c r="I69" s="13">
        <f t="shared" si="7"/>
        <v>0</v>
      </c>
      <c r="J69" s="14">
        <f t="shared" si="8"/>
        <v>0</v>
      </c>
      <c r="K69" s="5" t="str">
        <f ca="1">IFERROR(_xludf.textjoin(", ",TRUE(),IF(ISNUMBER(SEARCH(","&amp;$A69&amp;",",","&amp;SUBSTITUTE('1L Screening Matrix'!$I$2:$I$77,", ",",")&amp;",")),'1L Screening Matrix'!$C$2:$C$77,"")),"")</f>
        <v/>
      </c>
      <c r="L69" s="5" t="str">
        <f ca="1">IFERROR(_xludf.textjoin(", ",TRUE(),IF(ISNUMBER(SEARCH(","&amp;$A69&amp;",",","&amp;SUBSTITUTE('2L Screening Matrix'!$I$2:$I$46,", ",",")&amp;",")),'2L Screening Matrix'!$C$2:$C$46,"")),"")</f>
        <v/>
      </c>
    </row>
    <row r="70" spans="1:12" ht="15" customHeight="1" x14ac:dyDescent="0.2">
      <c r="A70" s="12" t="s">
        <v>2097</v>
      </c>
      <c r="B70" s="11">
        <f>SUMPRODUCT(ISNUMBER(SEARCH(","&amp;$A70&amp;",",","&amp;SUBSTITUTE('1L Screening Matrix'!$I$2:$I$77,", ",",")&amp;","))*('1L Screening Matrix'!$Q$2:$Q$77="Stage IV Only"))</f>
        <v>0</v>
      </c>
      <c r="C70" s="11">
        <f>SUMPRODUCT(ISNUMBER(SEARCH(","&amp;$A70&amp;",",","&amp;SUBSTITUTE('1L Screening Matrix'!$I$2:$I$77,", ",",")&amp;","))*('1L Screening Matrix'!$Q$2:$Q$77="Stage IV + Other"))</f>
        <v>0</v>
      </c>
      <c r="D70" s="11">
        <f>SUMPRODUCT(ISNUMBER(SEARCH(","&amp;$A70&amp;",",","&amp;SUBSTITUTE('1L Screening Matrix'!$I$2:$I$77,", ",",")&amp;","))*('1L Screening Matrix'!$Q$2:$Q$77="Stage III Only"))</f>
        <v>0</v>
      </c>
      <c r="E70" s="13">
        <f t="shared" si="6"/>
        <v>0</v>
      </c>
      <c r="F70" s="11">
        <f>SUMPRODUCT(ISNUMBER(SEARCH(","&amp;$A70&amp;",",","&amp;SUBSTITUTE('2L Screening Matrix'!$I$2:$I$46,", ",",")&amp;","))*('2L Screening Matrix'!$Q$2:$Q$46="Stage IV Only"))</f>
        <v>1</v>
      </c>
      <c r="G70" s="11">
        <f>SUMPRODUCT(ISNUMBER(SEARCH(","&amp;$A70&amp;",",","&amp;SUBSTITUTE('2L Screening Matrix'!$I$2:$I$46,", ",",")&amp;","))*('2L Screening Matrix'!$Q$2:$Q$46="Stage IV + Other"))</f>
        <v>0</v>
      </c>
      <c r="H70" s="11">
        <f>SUMPRODUCT(ISNUMBER(SEARCH(","&amp;$A70&amp;",",","&amp;SUBSTITUTE('2L Screening Matrix'!$I$2:$I$46,", ",",")&amp;","))*('2L Screening Matrix'!$Q$2:$Q$46="Stage III Only"))</f>
        <v>0</v>
      </c>
      <c r="I70" s="13">
        <f t="shared" si="7"/>
        <v>1</v>
      </c>
      <c r="J70" s="14">
        <f t="shared" si="8"/>
        <v>1</v>
      </c>
      <c r="K70" s="5" t="str">
        <f ca="1">IFERROR(_xludf.textjoin(", ",TRUE(),IF(ISNUMBER(SEARCH(","&amp;$A70&amp;",",","&amp;SUBSTITUTE('1L Screening Matrix'!$I$2:$I$77,", ",",")&amp;",")),'1L Screening Matrix'!$C$2:$C$77,"")),"")</f>
        <v/>
      </c>
      <c r="L70" s="5" t="str">
        <f ca="1">IFERROR(_xludf.textjoin(", ",TRUE(),IF(ISNUMBER(SEARCH(","&amp;$A70&amp;",",","&amp;SUBSTITUTE('2L Screening Matrix'!$I$2:$I$46,", ",",")&amp;",")),'2L Screening Matrix'!$C$2:$C$46,"")),"")</f>
        <v/>
      </c>
    </row>
    <row r="71" spans="1:12" ht="15" customHeight="1" x14ac:dyDescent="0.2">
      <c r="A71" s="15" t="s">
        <v>1772</v>
      </c>
      <c r="B71" s="11">
        <f>SUMPRODUCT(ISNUMBER(SEARCH(","&amp;$A71&amp;",",","&amp;SUBSTITUTE('1L Screening Matrix'!$I$2:$I$77,", ",",")&amp;","))*('1L Screening Matrix'!$Q$2:$Q$77="Stage IV Only"))</f>
        <v>0</v>
      </c>
      <c r="C71" s="11">
        <f>SUMPRODUCT(ISNUMBER(SEARCH(","&amp;$A71&amp;",",","&amp;SUBSTITUTE('1L Screening Matrix'!$I$2:$I$77,", ",",")&amp;","))*('1L Screening Matrix'!$Q$2:$Q$77="Stage IV + Other"))</f>
        <v>0</v>
      </c>
      <c r="D71" s="11">
        <f>SUMPRODUCT(ISNUMBER(SEARCH(","&amp;$A71&amp;",",","&amp;SUBSTITUTE('1L Screening Matrix'!$I$2:$I$77,", ",",")&amp;","))*('1L Screening Matrix'!$Q$2:$Q$77="Stage III Only"))</f>
        <v>0</v>
      </c>
      <c r="E71" s="13">
        <f t="shared" si="6"/>
        <v>0</v>
      </c>
      <c r="F71" s="11">
        <f>SUMPRODUCT(ISNUMBER(SEARCH(","&amp;$A71&amp;",",","&amp;SUBSTITUTE('2L Screening Matrix'!$I$2:$I$46,", ",",")&amp;","))*('2L Screening Matrix'!$Q$2:$Q$46="Stage IV Only"))</f>
        <v>5</v>
      </c>
      <c r="G71" s="11">
        <f>SUMPRODUCT(ISNUMBER(SEARCH(","&amp;$A71&amp;",",","&amp;SUBSTITUTE('2L Screening Matrix'!$I$2:$I$46,", ",",")&amp;","))*('2L Screening Matrix'!$Q$2:$Q$46="Stage IV + Other"))</f>
        <v>1</v>
      </c>
      <c r="H71" s="11">
        <f>SUMPRODUCT(ISNUMBER(SEARCH(","&amp;$A71&amp;",",","&amp;SUBSTITUTE('2L Screening Matrix'!$I$2:$I$46,", ",",")&amp;","))*('2L Screening Matrix'!$Q$2:$Q$46="Stage III Only"))</f>
        <v>0</v>
      </c>
      <c r="I71" s="13">
        <f t="shared" si="7"/>
        <v>6</v>
      </c>
      <c r="J71" s="14">
        <f t="shared" si="8"/>
        <v>6</v>
      </c>
      <c r="K71" s="5" t="str">
        <f ca="1">IFERROR(_xludf.textjoin(", ",TRUE(),IF(ISNUMBER(SEARCH(","&amp;$A71&amp;",",","&amp;SUBSTITUTE('1L Screening Matrix'!$I$2:$I$77,", ",",")&amp;",")),'1L Screening Matrix'!$C$2:$C$77,"")),"")</f>
        <v/>
      </c>
      <c r="L71" s="5" t="str">
        <f ca="1">IFERROR(_xludf.textjoin(", ",TRUE(),IF(ISNUMBER(SEARCH(","&amp;$A71&amp;",",","&amp;SUBSTITUTE('2L Screening Matrix'!$I$2:$I$46,", ",",")&amp;",")),'2L Screening Matrix'!$C$2:$C$46,"")),"")</f>
        <v/>
      </c>
    </row>
    <row r="72" spans="1:12" ht="15" customHeight="1" x14ac:dyDescent="0.2">
      <c r="A72" s="12" t="s">
        <v>2098</v>
      </c>
      <c r="B72" s="11">
        <f>SUMPRODUCT(ISNUMBER(SEARCH(","&amp;$A72&amp;",",","&amp;SUBSTITUTE('1L Screening Matrix'!$I$2:$I$77,", ",",")&amp;","))*('1L Screening Matrix'!$Q$2:$Q$77="Stage IV Only"))</f>
        <v>0</v>
      </c>
      <c r="C72" s="11">
        <f>SUMPRODUCT(ISNUMBER(SEARCH(","&amp;$A72&amp;",",","&amp;SUBSTITUTE('1L Screening Matrix'!$I$2:$I$77,", ",",")&amp;","))*('1L Screening Matrix'!$Q$2:$Q$77="Stage IV + Other"))</f>
        <v>0</v>
      </c>
      <c r="D72" s="11">
        <f>SUMPRODUCT(ISNUMBER(SEARCH(","&amp;$A72&amp;",",","&amp;SUBSTITUTE('1L Screening Matrix'!$I$2:$I$77,", ",",")&amp;","))*('1L Screening Matrix'!$Q$2:$Q$77="Stage III Only"))</f>
        <v>0</v>
      </c>
      <c r="E72" s="13">
        <f t="shared" si="6"/>
        <v>0</v>
      </c>
      <c r="F72" s="11">
        <f>SUMPRODUCT(ISNUMBER(SEARCH(","&amp;$A72&amp;",",","&amp;SUBSTITUTE('2L Screening Matrix'!$I$2:$I$46,", ",",")&amp;","))*('2L Screening Matrix'!$Q$2:$Q$46="Stage IV Only"))</f>
        <v>1</v>
      </c>
      <c r="G72" s="11">
        <f>SUMPRODUCT(ISNUMBER(SEARCH(","&amp;$A72&amp;",",","&amp;SUBSTITUTE('2L Screening Matrix'!$I$2:$I$46,", ",",")&amp;","))*('2L Screening Matrix'!$Q$2:$Q$46="Stage IV + Other"))</f>
        <v>0</v>
      </c>
      <c r="H72" s="11">
        <f>SUMPRODUCT(ISNUMBER(SEARCH(","&amp;$A72&amp;",",","&amp;SUBSTITUTE('2L Screening Matrix'!$I$2:$I$46,", ",",")&amp;","))*('2L Screening Matrix'!$Q$2:$Q$46="Stage III Only"))</f>
        <v>0</v>
      </c>
      <c r="I72" s="13">
        <f t="shared" si="7"/>
        <v>1</v>
      </c>
      <c r="J72" s="14">
        <f t="shared" si="8"/>
        <v>1</v>
      </c>
      <c r="K72" s="5" t="str">
        <f ca="1">IFERROR(_xludf.textjoin(", ",TRUE(),IF(ISNUMBER(SEARCH(","&amp;$A72&amp;",",","&amp;SUBSTITUTE('1L Screening Matrix'!$I$2:$I$77,", ",",")&amp;",")),'1L Screening Matrix'!$C$2:$C$77,"")),"")</f>
        <v/>
      </c>
      <c r="L72" s="5" t="str">
        <f ca="1">IFERROR(_xludf.textjoin(", ",TRUE(),IF(ISNUMBER(SEARCH(","&amp;$A72&amp;",",","&amp;SUBSTITUTE('2L Screening Matrix'!$I$2:$I$46,", ",",")&amp;",")),'2L Screening Matrix'!$C$2:$C$46,"")),"")</f>
        <v/>
      </c>
    </row>
    <row r="73" spans="1:12" ht="15" customHeight="1" x14ac:dyDescent="0.2">
      <c r="A73" s="15" t="s">
        <v>2099</v>
      </c>
      <c r="B73" s="11">
        <f>SUMPRODUCT(ISNUMBER(SEARCH(","&amp;$A73&amp;",",","&amp;SUBSTITUTE('1L Screening Matrix'!$I$2:$I$77,", ",",")&amp;","))*('1L Screening Matrix'!$Q$2:$Q$77="Stage IV Only"))</f>
        <v>0</v>
      </c>
      <c r="C73" s="11">
        <f>SUMPRODUCT(ISNUMBER(SEARCH(","&amp;$A73&amp;",",","&amp;SUBSTITUTE('1L Screening Matrix'!$I$2:$I$77,", ",",")&amp;","))*('1L Screening Matrix'!$Q$2:$Q$77="Stage IV + Other"))</f>
        <v>0</v>
      </c>
      <c r="D73" s="11">
        <f>SUMPRODUCT(ISNUMBER(SEARCH(","&amp;$A73&amp;",",","&amp;SUBSTITUTE('1L Screening Matrix'!$I$2:$I$77,", ",",")&amp;","))*('1L Screening Matrix'!$Q$2:$Q$77="Stage III Only"))</f>
        <v>0</v>
      </c>
      <c r="E73" s="13">
        <f t="shared" si="6"/>
        <v>0</v>
      </c>
      <c r="F73" s="11">
        <f>SUMPRODUCT(ISNUMBER(SEARCH(","&amp;$A73&amp;",",","&amp;SUBSTITUTE('2L Screening Matrix'!$I$2:$I$46,", ",",")&amp;","))*('2L Screening Matrix'!$Q$2:$Q$46="Stage IV Only"))</f>
        <v>1</v>
      </c>
      <c r="G73" s="11">
        <f>SUMPRODUCT(ISNUMBER(SEARCH(","&amp;$A73&amp;",",","&amp;SUBSTITUTE('2L Screening Matrix'!$I$2:$I$46,", ",",")&amp;","))*('2L Screening Matrix'!$Q$2:$Q$46="Stage IV + Other"))</f>
        <v>0</v>
      </c>
      <c r="H73" s="11">
        <f>SUMPRODUCT(ISNUMBER(SEARCH(","&amp;$A73&amp;",",","&amp;SUBSTITUTE('2L Screening Matrix'!$I$2:$I$46,", ",",")&amp;","))*('2L Screening Matrix'!$Q$2:$Q$46="Stage III Only"))</f>
        <v>0</v>
      </c>
      <c r="I73" s="13">
        <f t="shared" si="7"/>
        <v>1</v>
      </c>
      <c r="J73" s="14">
        <f t="shared" si="8"/>
        <v>1</v>
      </c>
      <c r="K73" s="5" t="str">
        <f ca="1">IFERROR(_xludf.textjoin(", ",TRUE(),IF(ISNUMBER(SEARCH(","&amp;$A73&amp;",",","&amp;SUBSTITUTE('1L Screening Matrix'!$I$2:$I$77,", ",",")&amp;",")),'1L Screening Matrix'!$C$2:$C$77,"")),"")</f>
        <v/>
      </c>
      <c r="L73" s="5" t="str">
        <f ca="1">IFERROR(_xludf.textjoin(", ",TRUE(),IF(ISNUMBER(SEARCH(","&amp;$A73&amp;",",","&amp;SUBSTITUTE('2L Screening Matrix'!$I$2:$I$46,", ",",")&amp;",")),'2L Screening Matrix'!$C$2:$C$46,"")),"")</f>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3"/>
  <sheetViews>
    <sheetView zoomScaleNormal="100" workbookViewId="0">
      <pane xSplit="1" ySplit="1" topLeftCell="B2" activePane="bottomRight" state="frozen"/>
      <selection pane="topRight" activeCell="B1" sqref="B1"/>
      <selection pane="bottomLeft" activeCell="A2" sqref="A2"/>
      <selection pane="bottomRight" activeCell="K33" sqref="K33:K34"/>
    </sheetView>
  </sheetViews>
  <sheetFormatPr baseColWidth="10" defaultColWidth="8.6640625" defaultRowHeight="15" customHeight="1" x14ac:dyDescent="0.2"/>
  <cols>
    <col min="1" max="1" width="24" customWidth="1"/>
    <col min="2" max="10" width="15" customWidth="1"/>
    <col min="11" max="12" width="55" customWidth="1"/>
  </cols>
  <sheetData>
    <row r="1" spans="1:12" ht="23.25" customHeight="1" x14ac:dyDescent="0.2">
      <c r="A1" s="2"/>
      <c r="B1" s="2" t="s">
        <v>2032</v>
      </c>
      <c r="C1" s="2" t="s">
        <v>2033</v>
      </c>
      <c r="D1" s="2" t="s">
        <v>2034</v>
      </c>
      <c r="E1" s="2" t="s">
        <v>2035</v>
      </c>
      <c r="F1" s="2" t="s">
        <v>2036</v>
      </c>
      <c r="G1" s="2" t="s">
        <v>2037</v>
      </c>
      <c r="H1" s="2" t="s">
        <v>2038</v>
      </c>
      <c r="I1" s="2" t="s">
        <v>2039</v>
      </c>
      <c r="J1" s="2" t="s">
        <v>2040</v>
      </c>
      <c r="K1" s="2" t="s">
        <v>2041</v>
      </c>
      <c r="L1" s="2" t="s">
        <v>2042</v>
      </c>
    </row>
    <row r="2" spans="1:12" ht="15" customHeight="1" x14ac:dyDescent="0.2">
      <c r="A2" s="12" t="s">
        <v>256</v>
      </c>
      <c r="B2" s="11">
        <f>SUMPRODUCT(ISNUMBER(SEARCH(","&amp;$A2&amp;",",","&amp;SUBSTITUTE('1L Screening Matrix'!$K$2:$K$77,", ",",")&amp;","))*('1L Screening Matrix'!$Q$2:$Q$77="Stage IV Only"))</f>
        <v>1</v>
      </c>
      <c r="C2" s="11">
        <f>SUMPRODUCT(ISNUMBER(SEARCH(","&amp;$A2&amp;",",","&amp;SUBSTITUTE('1L Screening Matrix'!$K$2:$K$77,", ",",")&amp;","))*('1L Screening Matrix'!$Q$2:$Q$77="Stage IV + Other"))</f>
        <v>0</v>
      </c>
      <c r="D2" s="11">
        <f>SUMPRODUCT(ISNUMBER(SEARCH(","&amp;$A2&amp;",",","&amp;SUBSTITUTE('1L Screening Matrix'!$K$2:$K$77,", ",",")&amp;","))*('1L Screening Matrix'!$Q$2:$Q$77="Stage III Only"))</f>
        <v>1</v>
      </c>
      <c r="E2" s="13">
        <f t="shared" ref="E2:E43" si="0">SUM(B2:D2)</f>
        <v>2</v>
      </c>
      <c r="F2" s="11">
        <f>SUMPRODUCT(ISNUMBER(SEARCH(","&amp;$A2&amp;",",","&amp;SUBSTITUTE('2L Screening Matrix'!$K$2:$K$46,", ",",")&amp;","))*('2L Screening Matrix'!$Q$2:$Q$46="Stage IV Only"))</f>
        <v>0</v>
      </c>
      <c r="G2" s="11">
        <f>SUMPRODUCT(ISNUMBER(SEARCH(","&amp;$A2&amp;",",","&amp;SUBSTITUTE('2L Screening Matrix'!$K$2:$K$46,", ",",")&amp;","))*('2L Screening Matrix'!$Q$2:$Q$46="Stage IV + Other"))</f>
        <v>2</v>
      </c>
      <c r="H2" s="11">
        <f>SUMPRODUCT(ISNUMBER(SEARCH(","&amp;$A2&amp;",",","&amp;SUBSTITUTE('2L Screening Matrix'!$K$2:$K$46,", ",",")&amp;","))*('2L Screening Matrix'!$Q$2:$Q$46="Stage III Only"))</f>
        <v>0</v>
      </c>
      <c r="I2" s="13">
        <f t="shared" ref="I2:I43" si="1">SUM(F2:H2)</f>
        <v>2</v>
      </c>
      <c r="J2" s="14">
        <f t="shared" ref="J2:J43" si="2">E2+I2</f>
        <v>4</v>
      </c>
      <c r="K2" s="5" t="str">
        <f ca="1">IFERROR(_xludf.textjoin(", ",TRUE(),IF(ISNUMBER(SEARCH(","&amp;$A2&amp;",",","&amp;SUBSTITUTE('1L Screening Matrix'!$K$2:$K$77,", ",",")&amp;",")),'1L Screening Matrix'!$C$2:$C$77,"")),"")</f>
        <v/>
      </c>
      <c r="L2" s="5" t="str">
        <f ca="1">IFERROR(_xludf.textjoin(", ",TRUE(),IF(ISNUMBER(SEARCH(","&amp;$A2&amp;",",","&amp;SUBSTITUTE('2L Screening Matrix'!$K$2:$K$46,", ",",")&amp;",")),'2L Screening Matrix'!$C$2:$C$46,"")),"")</f>
        <v/>
      </c>
    </row>
    <row r="3" spans="1:12" ht="15" customHeight="1" x14ac:dyDescent="0.2">
      <c r="A3" s="15" t="s">
        <v>2100</v>
      </c>
      <c r="B3" s="11">
        <f>SUMPRODUCT(ISNUMBER(SEARCH(","&amp;$A3&amp;",",","&amp;SUBSTITUTE('1L Screening Matrix'!$K$2:$K$77,", ",",")&amp;","))*('1L Screening Matrix'!$Q$2:$Q$77="Stage IV Only"))</f>
        <v>0</v>
      </c>
      <c r="C3" s="11">
        <f>SUMPRODUCT(ISNUMBER(SEARCH(","&amp;$A3&amp;",",","&amp;SUBSTITUTE('1L Screening Matrix'!$K$2:$K$77,", ",",")&amp;","))*('1L Screening Matrix'!$Q$2:$Q$77="Stage IV + Other"))</f>
        <v>0</v>
      </c>
      <c r="D3" s="11">
        <f>SUMPRODUCT(ISNUMBER(SEARCH(","&amp;$A3&amp;",",","&amp;SUBSTITUTE('1L Screening Matrix'!$K$2:$K$77,", ",",")&amp;","))*('1L Screening Matrix'!$Q$2:$Q$77="Stage III Only"))</f>
        <v>0</v>
      </c>
      <c r="E3" s="13">
        <f t="shared" si="0"/>
        <v>0</v>
      </c>
      <c r="F3" s="11">
        <f>SUMPRODUCT(ISNUMBER(SEARCH(","&amp;$A3&amp;",",","&amp;SUBSTITUTE('2L Screening Matrix'!$K$2:$K$46,", ",",")&amp;","))*('2L Screening Matrix'!$Q$2:$Q$46="Stage IV Only"))</f>
        <v>0</v>
      </c>
      <c r="G3" s="11">
        <f>SUMPRODUCT(ISNUMBER(SEARCH(","&amp;$A3&amp;",",","&amp;SUBSTITUTE('2L Screening Matrix'!$K$2:$K$46,", ",",")&amp;","))*('2L Screening Matrix'!$Q$2:$Q$46="Stage IV + Other"))</f>
        <v>1</v>
      </c>
      <c r="H3" s="11">
        <f>SUMPRODUCT(ISNUMBER(SEARCH(","&amp;$A3&amp;",",","&amp;SUBSTITUTE('2L Screening Matrix'!$K$2:$K$46,", ",",")&amp;","))*('2L Screening Matrix'!$Q$2:$Q$46="Stage III Only"))</f>
        <v>0</v>
      </c>
      <c r="I3" s="13">
        <f t="shared" si="1"/>
        <v>1</v>
      </c>
      <c r="J3" s="14">
        <f t="shared" si="2"/>
        <v>1</v>
      </c>
      <c r="K3" s="5" t="str">
        <f ca="1">IFERROR(_xludf.textjoin(", ",TRUE(),IF(ISNUMBER(SEARCH(","&amp;$A3&amp;",",","&amp;SUBSTITUTE('1L Screening Matrix'!$K$2:$K$77,", ",",")&amp;",")),'1L Screening Matrix'!$C$2:$C$77,"")),"")</f>
        <v/>
      </c>
      <c r="L3" s="5" t="str">
        <f ca="1">IFERROR(_xludf.textjoin(", ",TRUE(),IF(ISNUMBER(SEARCH(","&amp;$A3&amp;",",","&amp;SUBSTITUTE('2L Screening Matrix'!$K$2:$K$46,", ",",")&amp;",")),'2L Screening Matrix'!$C$2:$C$46,"")),"")</f>
        <v/>
      </c>
    </row>
    <row r="4" spans="1:12" ht="15" customHeight="1" x14ac:dyDescent="0.2">
      <c r="A4" s="12" t="s">
        <v>232</v>
      </c>
      <c r="B4" s="11">
        <f>SUMPRODUCT(ISNUMBER(SEARCH(","&amp;$A4&amp;",",","&amp;SUBSTITUTE('1L Screening Matrix'!$K$2:$K$77,", ",",")&amp;","))*('1L Screening Matrix'!$Q$2:$Q$77="Stage IV Only"))</f>
        <v>0</v>
      </c>
      <c r="C4" s="11">
        <f>SUMPRODUCT(ISNUMBER(SEARCH(","&amp;$A4&amp;",",","&amp;SUBSTITUTE('1L Screening Matrix'!$K$2:$K$77,", ",",")&amp;","))*('1L Screening Matrix'!$Q$2:$Q$77="Stage IV + Other"))</f>
        <v>1</v>
      </c>
      <c r="D4" s="11">
        <f>SUMPRODUCT(ISNUMBER(SEARCH(","&amp;$A4&amp;",",","&amp;SUBSTITUTE('1L Screening Matrix'!$K$2:$K$77,", ",",")&amp;","))*('1L Screening Matrix'!$Q$2:$Q$77="Stage III Only"))</f>
        <v>0</v>
      </c>
      <c r="E4" s="13">
        <f t="shared" si="0"/>
        <v>1</v>
      </c>
      <c r="F4" s="11">
        <f>SUMPRODUCT(ISNUMBER(SEARCH(","&amp;$A4&amp;",",","&amp;SUBSTITUTE('2L Screening Matrix'!$K$2:$K$46,", ",",")&amp;","))*('2L Screening Matrix'!$Q$2:$Q$46="Stage IV Only"))</f>
        <v>5</v>
      </c>
      <c r="G4" s="11">
        <f>SUMPRODUCT(ISNUMBER(SEARCH(","&amp;$A4&amp;",",","&amp;SUBSTITUTE('2L Screening Matrix'!$K$2:$K$46,", ",",")&amp;","))*('2L Screening Matrix'!$Q$2:$Q$46="Stage IV + Other"))</f>
        <v>2</v>
      </c>
      <c r="H4" s="11">
        <f>SUMPRODUCT(ISNUMBER(SEARCH(","&amp;$A4&amp;",",","&amp;SUBSTITUTE('2L Screening Matrix'!$K$2:$K$46,", ",",")&amp;","))*('2L Screening Matrix'!$Q$2:$Q$46="Stage III Only"))</f>
        <v>0</v>
      </c>
      <c r="I4" s="13">
        <f t="shared" si="1"/>
        <v>7</v>
      </c>
      <c r="J4" s="14">
        <f t="shared" si="2"/>
        <v>8</v>
      </c>
      <c r="K4" s="5" t="str">
        <f ca="1">IFERROR(_xludf.textjoin(", ",TRUE(),IF(ISNUMBER(SEARCH(","&amp;$A4&amp;",",","&amp;SUBSTITUTE('1L Screening Matrix'!$K$2:$K$77,", ",",")&amp;",")),'1L Screening Matrix'!$C$2:$C$77,"")),"")</f>
        <v/>
      </c>
      <c r="L4" s="5" t="str">
        <f ca="1">IFERROR(_xludf.textjoin(", ",TRUE(),IF(ISNUMBER(SEARCH(","&amp;$A4&amp;",",","&amp;SUBSTITUTE('2L Screening Matrix'!$K$2:$K$46,", ",",")&amp;",")),'2L Screening Matrix'!$C$2:$C$46,"")),"")</f>
        <v/>
      </c>
    </row>
    <row r="5" spans="1:12" ht="15" customHeight="1" x14ac:dyDescent="0.2">
      <c r="A5" s="15" t="s">
        <v>2101</v>
      </c>
      <c r="B5" s="11">
        <f>SUMPRODUCT(ISNUMBER(SEARCH(","&amp;$A5&amp;",",","&amp;SUBSTITUTE('1L Screening Matrix'!$K$2:$K$77,", ",",")&amp;","))*('1L Screening Matrix'!$Q$2:$Q$77="Stage IV Only"))</f>
        <v>0</v>
      </c>
      <c r="C5" s="11">
        <f>SUMPRODUCT(ISNUMBER(SEARCH(","&amp;$A5&amp;",",","&amp;SUBSTITUTE('1L Screening Matrix'!$K$2:$K$77,", ",",")&amp;","))*('1L Screening Matrix'!$Q$2:$Q$77="Stage IV + Other"))</f>
        <v>0</v>
      </c>
      <c r="D5" s="11">
        <f>SUMPRODUCT(ISNUMBER(SEARCH(","&amp;$A5&amp;",",","&amp;SUBSTITUTE('1L Screening Matrix'!$K$2:$K$77,", ",",")&amp;","))*('1L Screening Matrix'!$Q$2:$Q$77="Stage III Only"))</f>
        <v>0</v>
      </c>
      <c r="E5" s="13">
        <f t="shared" si="0"/>
        <v>0</v>
      </c>
      <c r="F5" s="11">
        <f>SUMPRODUCT(ISNUMBER(SEARCH(","&amp;$A5&amp;",",","&amp;SUBSTITUTE('2L Screening Matrix'!$K$2:$K$46,", ",",")&amp;","))*('2L Screening Matrix'!$Q$2:$Q$46="Stage IV Only"))</f>
        <v>0</v>
      </c>
      <c r="G5" s="11">
        <f>SUMPRODUCT(ISNUMBER(SEARCH(","&amp;$A5&amp;",",","&amp;SUBSTITUTE('2L Screening Matrix'!$K$2:$K$46,", ",",")&amp;","))*('2L Screening Matrix'!$Q$2:$Q$46="Stage IV + Other"))</f>
        <v>1</v>
      </c>
      <c r="H5" s="11">
        <f>SUMPRODUCT(ISNUMBER(SEARCH(","&amp;$A5&amp;",",","&amp;SUBSTITUTE('2L Screening Matrix'!$K$2:$K$46,", ",",")&amp;","))*('2L Screening Matrix'!$Q$2:$Q$46="Stage III Only"))</f>
        <v>0</v>
      </c>
      <c r="I5" s="13">
        <f t="shared" si="1"/>
        <v>1</v>
      </c>
      <c r="J5" s="14">
        <f t="shared" si="2"/>
        <v>1</v>
      </c>
      <c r="K5" s="5" t="str">
        <f ca="1">IFERROR(_xludf.textjoin(", ",TRUE(),IF(ISNUMBER(SEARCH(","&amp;$A5&amp;",",","&amp;SUBSTITUTE('1L Screening Matrix'!$K$2:$K$77,", ",",")&amp;",")),'1L Screening Matrix'!$C$2:$C$77,"")),"")</f>
        <v/>
      </c>
      <c r="L5" s="5" t="str">
        <f ca="1">IFERROR(_xludf.textjoin(", ",TRUE(),IF(ISNUMBER(SEARCH(","&amp;$A5&amp;",",","&amp;SUBSTITUTE('2L Screening Matrix'!$K$2:$K$46,", ",",")&amp;",")),'2L Screening Matrix'!$C$2:$C$46,"")),"")</f>
        <v/>
      </c>
    </row>
    <row r="6" spans="1:12" ht="15" customHeight="1" x14ac:dyDescent="0.2">
      <c r="A6" s="12" t="s">
        <v>2054</v>
      </c>
      <c r="B6" s="11">
        <f>SUMPRODUCT(ISNUMBER(SEARCH(","&amp;$A6&amp;",",","&amp;SUBSTITUTE('1L Screening Matrix'!$K$2:$K$77,", ",",")&amp;","))*('1L Screening Matrix'!$Q$2:$Q$77="Stage IV Only"))</f>
        <v>0</v>
      </c>
      <c r="C6" s="11">
        <f>SUMPRODUCT(ISNUMBER(SEARCH(","&amp;$A6&amp;",",","&amp;SUBSTITUTE('1L Screening Matrix'!$K$2:$K$77,", ",",")&amp;","))*('1L Screening Matrix'!$Q$2:$Q$77="Stage IV + Other"))</f>
        <v>1</v>
      </c>
      <c r="D6" s="11">
        <f>SUMPRODUCT(ISNUMBER(SEARCH(","&amp;$A6&amp;",",","&amp;SUBSTITUTE('1L Screening Matrix'!$K$2:$K$77,", ",",")&amp;","))*('1L Screening Matrix'!$Q$2:$Q$77="Stage III Only"))</f>
        <v>0</v>
      </c>
      <c r="E6" s="13">
        <f t="shared" si="0"/>
        <v>1</v>
      </c>
      <c r="F6" s="11">
        <f>SUMPRODUCT(ISNUMBER(SEARCH(","&amp;$A6&amp;",",","&amp;SUBSTITUTE('2L Screening Matrix'!$K$2:$K$46,", ",",")&amp;","))*('2L Screening Matrix'!$Q$2:$Q$46="Stage IV Only"))</f>
        <v>6</v>
      </c>
      <c r="G6" s="11">
        <f>SUMPRODUCT(ISNUMBER(SEARCH(","&amp;$A6&amp;",",","&amp;SUBSTITUTE('2L Screening Matrix'!$K$2:$K$46,", ",",")&amp;","))*('2L Screening Matrix'!$Q$2:$Q$46="Stage IV + Other"))</f>
        <v>3</v>
      </c>
      <c r="H6" s="11">
        <f>SUMPRODUCT(ISNUMBER(SEARCH(","&amp;$A6&amp;",",","&amp;SUBSTITUTE('2L Screening Matrix'!$K$2:$K$46,", ",",")&amp;","))*('2L Screening Matrix'!$Q$2:$Q$46="Stage III Only"))</f>
        <v>0</v>
      </c>
      <c r="I6" s="13">
        <f t="shared" si="1"/>
        <v>9</v>
      </c>
      <c r="J6" s="14">
        <f t="shared" si="2"/>
        <v>10</v>
      </c>
      <c r="K6" s="5" t="str">
        <f ca="1">IFERROR(_xludf.textjoin(", ",TRUE(),IF(ISNUMBER(SEARCH(","&amp;$A6&amp;",",","&amp;SUBSTITUTE('1L Screening Matrix'!$K$2:$K$77,", ",",")&amp;",")),'1L Screening Matrix'!$C$2:$C$77,"")),"")</f>
        <v/>
      </c>
      <c r="L6" s="5" t="str">
        <f ca="1">IFERROR(_xludf.textjoin(", ",TRUE(),IF(ISNUMBER(SEARCH(","&amp;$A6&amp;",",","&amp;SUBSTITUTE('2L Screening Matrix'!$K$2:$K$46,", ",",")&amp;",")),'2L Screening Matrix'!$C$2:$C$46,"")),"")</f>
        <v/>
      </c>
    </row>
    <row r="7" spans="1:12" ht="15" customHeight="1" x14ac:dyDescent="0.2">
      <c r="A7" s="15" t="s">
        <v>2055</v>
      </c>
      <c r="B7" s="11">
        <f>SUMPRODUCT(ISNUMBER(SEARCH(","&amp;$A7&amp;",",","&amp;SUBSTITUTE('1L Screening Matrix'!$K$2:$K$77,", ",",")&amp;","))*('1L Screening Matrix'!$Q$2:$Q$77="Stage IV Only"))</f>
        <v>0</v>
      </c>
      <c r="C7" s="11">
        <f>SUMPRODUCT(ISNUMBER(SEARCH(","&amp;$A7&amp;",",","&amp;SUBSTITUTE('1L Screening Matrix'!$K$2:$K$77,", ",",")&amp;","))*('1L Screening Matrix'!$Q$2:$Q$77="Stage IV + Other"))</f>
        <v>0</v>
      </c>
      <c r="D7" s="11">
        <f>SUMPRODUCT(ISNUMBER(SEARCH(","&amp;$A7&amp;",",","&amp;SUBSTITUTE('1L Screening Matrix'!$K$2:$K$77,", ",",")&amp;","))*('1L Screening Matrix'!$Q$2:$Q$77="Stage III Only"))</f>
        <v>0</v>
      </c>
      <c r="E7" s="13">
        <f t="shared" si="0"/>
        <v>0</v>
      </c>
      <c r="F7" s="11">
        <f>SUMPRODUCT(ISNUMBER(SEARCH(","&amp;$A7&amp;",",","&amp;SUBSTITUTE('2L Screening Matrix'!$K$2:$K$46,", ",",")&amp;","))*('2L Screening Matrix'!$Q$2:$Q$46="Stage IV Only"))</f>
        <v>0</v>
      </c>
      <c r="G7" s="11">
        <f>SUMPRODUCT(ISNUMBER(SEARCH(","&amp;$A7&amp;",",","&amp;SUBSTITUTE('2L Screening Matrix'!$K$2:$K$46,", ",",")&amp;","))*('2L Screening Matrix'!$Q$2:$Q$46="Stage IV + Other"))</f>
        <v>1</v>
      </c>
      <c r="H7" s="11">
        <f>SUMPRODUCT(ISNUMBER(SEARCH(","&amp;$A7&amp;",",","&amp;SUBSTITUTE('2L Screening Matrix'!$K$2:$K$46,", ",",")&amp;","))*('2L Screening Matrix'!$Q$2:$Q$46="Stage III Only"))</f>
        <v>0</v>
      </c>
      <c r="I7" s="13">
        <f t="shared" si="1"/>
        <v>1</v>
      </c>
      <c r="J7" s="14">
        <f t="shared" si="2"/>
        <v>1</v>
      </c>
      <c r="K7" s="5" t="str">
        <f ca="1">IFERROR(_xludf.textjoin(", ",TRUE(),IF(ISNUMBER(SEARCH(","&amp;$A7&amp;",",","&amp;SUBSTITUTE('1L Screening Matrix'!$K$2:$K$77,", ",",")&amp;",")),'1L Screening Matrix'!$C$2:$C$77,"")),"")</f>
        <v/>
      </c>
      <c r="L7" s="5" t="str">
        <f ca="1">IFERROR(_xludf.textjoin(", ",TRUE(),IF(ISNUMBER(SEARCH(","&amp;$A7&amp;",",","&amp;SUBSTITUTE('2L Screening Matrix'!$K$2:$K$46,", ",",")&amp;",")),'2L Screening Matrix'!$C$2:$C$46,"")),"")</f>
        <v/>
      </c>
    </row>
    <row r="8" spans="1:12" ht="15" customHeight="1" x14ac:dyDescent="0.2">
      <c r="A8" s="12" t="s">
        <v>745</v>
      </c>
      <c r="B8" s="11">
        <f>SUMPRODUCT(ISNUMBER(SEARCH(","&amp;$A8&amp;",",","&amp;SUBSTITUTE('1L Screening Matrix'!$K$2:$K$77,", ",",")&amp;","))*('1L Screening Matrix'!$Q$2:$Q$77="Stage IV Only"))</f>
        <v>2</v>
      </c>
      <c r="C8" s="11">
        <f>SUMPRODUCT(ISNUMBER(SEARCH(","&amp;$A8&amp;",",","&amp;SUBSTITUTE('1L Screening Matrix'!$K$2:$K$77,", ",",")&amp;","))*('1L Screening Matrix'!$Q$2:$Q$77="Stage IV + Other"))</f>
        <v>1</v>
      </c>
      <c r="D8" s="11">
        <f>SUMPRODUCT(ISNUMBER(SEARCH(","&amp;$A8&amp;",",","&amp;SUBSTITUTE('1L Screening Matrix'!$K$2:$K$77,", ",",")&amp;","))*('1L Screening Matrix'!$Q$2:$Q$77="Stage III Only"))</f>
        <v>0</v>
      </c>
      <c r="E8" s="13">
        <f t="shared" si="0"/>
        <v>3</v>
      </c>
      <c r="F8" s="11">
        <f>SUMPRODUCT(ISNUMBER(SEARCH(","&amp;$A8&amp;",",","&amp;SUBSTITUTE('2L Screening Matrix'!$K$2:$K$46,", ",",")&amp;","))*('2L Screening Matrix'!$Q$2:$Q$46="Stage IV Only"))</f>
        <v>0</v>
      </c>
      <c r="G8" s="11">
        <f>SUMPRODUCT(ISNUMBER(SEARCH(","&amp;$A8&amp;",",","&amp;SUBSTITUTE('2L Screening Matrix'!$K$2:$K$46,", ",",")&amp;","))*('2L Screening Matrix'!$Q$2:$Q$46="Stage IV + Other"))</f>
        <v>0</v>
      </c>
      <c r="H8" s="11">
        <f>SUMPRODUCT(ISNUMBER(SEARCH(","&amp;$A8&amp;",",","&amp;SUBSTITUTE('2L Screening Matrix'!$K$2:$K$46,", ",",")&amp;","))*('2L Screening Matrix'!$Q$2:$Q$46="Stage III Only"))</f>
        <v>0</v>
      </c>
      <c r="I8" s="13">
        <f t="shared" si="1"/>
        <v>0</v>
      </c>
      <c r="J8" s="14">
        <f t="shared" si="2"/>
        <v>3</v>
      </c>
      <c r="K8" s="5" t="str">
        <f ca="1">IFERROR(_xludf.textjoin(", ",TRUE(),IF(ISNUMBER(SEARCH(","&amp;$A8&amp;",",","&amp;SUBSTITUTE('1L Screening Matrix'!$K$2:$K$77,", ",",")&amp;",")),'1L Screening Matrix'!$C$2:$C$77,"")),"")</f>
        <v/>
      </c>
      <c r="L8" s="5" t="str">
        <f ca="1">IFERROR(_xludf.textjoin(", ",TRUE(),IF(ISNUMBER(SEARCH(","&amp;$A8&amp;",",","&amp;SUBSTITUTE('2L Screening Matrix'!$K$2:$K$46,", ",",")&amp;",")),'2L Screening Matrix'!$C$2:$C$46,"")),"")</f>
        <v/>
      </c>
    </row>
    <row r="9" spans="1:12" ht="15" customHeight="1" x14ac:dyDescent="0.2">
      <c r="A9" s="15" t="s">
        <v>2102</v>
      </c>
      <c r="B9" s="11">
        <f>SUMPRODUCT(ISNUMBER(SEARCH(","&amp;$A9&amp;",",","&amp;SUBSTITUTE('1L Screening Matrix'!$K$2:$K$77,", ",",")&amp;","))*('1L Screening Matrix'!$Q$2:$Q$77="Stage IV Only"))</f>
        <v>0</v>
      </c>
      <c r="C9" s="11">
        <f>SUMPRODUCT(ISNUMBER(SEARCH(","&amp;$A9&amp;",",","&amp;SUBSTITUTE('1L Screening Matrix'!$K$2:$K$77,", ",",")&amp;","))*('1L Screening Matrix'!$Q$2:$Q$77="Stage IV + Other"))</f>
        <v>0</v>
      </c>
      <c r="D9" s="11">
        <f>SUMPRODUCT(ISNUMBER(SEARCH(","&amp;$A9&amp;",",","&amp;SUBSTITUTE('1L Screening Matrix'!$K$2:$K$77,", ",",")&amp;","))*('1L Screening Matrix'!$Q$2:$Q$77="Stage III Only"))</f>
        <v>0</v>
      </c>
      <c r="E9" s="13">
        <f t="shared" si="0"/>
        <v>0</v>
      </c>
      <c r="F9" s="11">
        <f>SUMPRODUCT(ISNUMBER(SEARCH(","&amp;$A9&amp;",",","&amp;SUBSTITUTE('2L Screening Matrix'!$K$2:$K$46,", ",",")&amp;","))*('2L Screening Matrix'!$Q$2:$Q$46="Stage IV Only"))</f>
        <v>0</v>
      </c>
      <c r="G9" s="11">
        <f>SUMPRODUCT(ISNUMBER(SEARCH(","&amp;$A9&amp;",",","&amp;SUBSTITUTE('2L Screening Matrix'!$K$2:$K$46,", ",",")&amp;","))*('2L Screening Matrix'!$Q$2:$Q$46="Stage IV + Other"))</f>
        <v>1</v>
      </c>
      <c r="H9" s="11">
        <f>SUMPRODUCT(ISNUMBER(SEARCH(","&amp;$A9&amp;",",","&amp;SUBSTITUTE('2L Screening Matrix'!$K$2:$K$46,", ",",")&amp;","))*('2L Screening Matrix'!$Q$2:$Q$46="Stage III Only"))</f>
        <v>0</v>
      </c>
      <c r="I9" s="13">
        <f t="shared" si="1"/>
        <v>1</v>
      </c>
      <c r="J9" s="14">
        <f t="shared" si="2"/>
        <v>1</v>
      </c>
      <c r="K9" s="5" t="str">
        <f ca="1">IFERROR(_xludf.textjoin(", ",TRUE(),IF(ISNUMBER(SEARCH(","&amp;$A9&amp;",",","&amp;SUBSTITUTE('1L Screening Matrix'!$K$2:$K$77,", ",",")&amp;",")),'1L Screening Matrix'!$C$2:$C$77,"")),"")</f>
        <v/>
      </c>
      <c r="L9" s="5" t="str">
        <f ca="1">IFERROR(_xludf.textjoin(", ",TRUE(),IF(ISNUMBER(SEARCH(","&amp;$A9&amp;",",","&amp;SUBSTITUTE('2L Screening Matrix'!$K$2:$K$46,", ",",")&amp;",")),'2L Screening Matrix'!$C$2:$C$46,"")),"")</f>
        <v/>
      </c>
    </row>
    <row r="10" spans="1:12" ht="15" customHeight="1" x14ac:dyDescent="0.2">
      <c r="A10" s="12" t="s">
        <v>2103</v>
      </c>
      <c r="B10" s="11">
        <f>SUMPRODUCT(ISNUMBER(SEARCH(","&amp;$A10&amp;",",","&amp;SUBSTITUTE('1L Screening Matrix'!$K$2:$K$77,", ",",")&amp;","))*('1L Screening Matrix'!$Q$2:$Q$77="Stage IV Only"))</f>
        <v>0</v>
      </c>
      <c r="C10" s="11">
        <f>SUMPRODUCT(ISNUMBER(SEARCH(","&amp;$A10&amp;",",","&amp;SUBSTITUTE('1L Screening Matrix'!$K$2:$K$77,", ",",")&amp;","))*('1L Screening Matrix'!$Q$2:$Q$77="Stage IV + Other"))</f>
        <v>0</v>
      </c>
      <c r="D10" s="11">
        <f>SUMPRODUCT(ISNUMBER(SEARCH(","&amp;$A10&amp;",",","&amp;SUBSTITUTE('1L Screening Matrix'!$K$2:$K$77,", ",",")&amp;","))*('1L Screening Matrix'!$Q$2:$Q$77="Stage III Only"))</f>
        <v>0</v>
      </c>
      <c r="E10" s="13">
        <f t="shared" si="0"/>
        <v>0</v>
      </c>
      <c r="F10" s="11">
        <f>SUMPRODUCT(ISNUMBER(SEARCH(","&amp;$A10&amp;",",","&amp;SUBSTITUTE('2L Screening Matrix'!$K$2:$K$46,", ",",")&amp;","))*('2L Screening Matrix'!$Q$2:$Q$46="Stage IV Only"))</f>
        <v>0</v>
      </c>
      <c r="G10" s="11">
        <f>SUMPRODUCT(ISNUMBER(SEARCH(","&amp;$A10&amp;",",","&amp;SUBSTITUTE('2L Screening Matrix'!$K$2:$K$46,", ",",")&amp;","))*('2L Screening Matrix'!$Q$2:$Q$46="Stage IV + Other"))</f>
        <v>0</v>
      </c>
      <c r="H10" s="11">
        <f>SUMPRODUCT(ISNUMBER(SEARCH(","&amp;$A10&amp;",",","&amp;SUBSTITUTE('2L Screening Matrix'!$K$2:$K$46,", ",",")&amp;","))*('2L Screening Matrix'!$Q$2:$Q$46="Stage III Only"))</f>
        <v>0</v>
      </c>
      <c r="I10" s="13">
        <f t="shared" si="1"/>
        <v>0</v>
      </c>
      <c r="J10" s="14">
        <f t="shared" si="2"/>
        <v>0</v>
      </c>
      <c r="K10" s="5" t="str">
        <f ca="1">IFERROR(_xludf.textjoin(", ",TRUE(),IF(ISNUMBER(SEARCH(","&amp;$A10&amp;",",","&amp;SUBSTITUTE('1L Screening Matrix'!$K$2:$K$77,", ",",")&amp;",")),'1L Screening Matrix'!$C$2:$C$77,"")),"")</f>
        <v/>
      </c>
      <c r="L10" s="5" t="str">
        <f ca="1">IFERROR(_xludf.textjoin(", ",TRUE(),IF(ISNUMBER(SEARCH(","&amp;$A10&amp;",",","&amp;SUBSTITUTE('2L Screening Matrix'!$K$2:$K$46,", ",",")&amp;",")),'2L Screening Matrix'!$C$2:$C$46,"")),"")</f>
        <v/>
      </c>
    </row>
    <row r="11" spans="1:12" ht="15" customHeight="1" x14ac:dyDescent="0.2">
      <c r="A11" s="15" t="s">
        <v>2104</v>
      </c>
      <c r="B11" s="11">
        <f>SUMPRODUCT(ISNUMBER(SEARCH(","&amp;$A11&amp;",",","&amp;SUBSTITUTE('1L Screening Matrix'!$K$2:$K$77,", ",",")&amp;","))*('1L Screening Matrix'!$Q$2:$Q$77="Stage IV Only"))</f>
        <v>0</v>
      </c>
      <c r="C11" s="11">
        <f>SUMPRODUCT(ISNUMBER(SEARCH(","&amp;$A11&amp;",",","&amp;SUBSTITUTE('1L Screening Matrix'!$K$2:$K$77,", ",",")&amp;","))*('1L Screening Matrix'!$Q$2:$Q$77="Stage IV + Other"))</f>
        <v>0</v>
      </c>
      <c r="D11" s="11">
        <f>SUMPRODUCT(ISNUMBER(SEARCH(","&amp;$A11&amp;",",","&amp;SUBSTITUTE('1L Screening Matrix'!$K$2:$K$77,", ",",")&amp;","))*('1L Screening Matrix'!$Q$2:$Q$77="Stage III Only"))</f>
        <v>0</v>
      </c>
      <c r="E11" s="13">
        <f t="shared" si="0"/>
        <v>0</v>
      </c>
      <c r="F11" s="11">
        <f>SUMPRODUCT(ISNUMBER(SEARCH(","&amp;$A11&amp;",",","&amp;SUBSTITUTE('2L Screening Matrix'!$K$2:$K$46,", ",",")&amp;","))*('2L Screening Matrix'!$Q$2:$Q$46="Stage IV Only"))</f>
        <v>0</v>
      </c>
      <c r="G11" s="11">
        <f>SUMPRODUCT(ISNUMBER(SEARCH(","&amp;$A11&amp;",",","&amp;SUBSTITUTE('2L Screening Matrix'!$K$2:$K$46,", ",",")&amp;","))*('2L Screening Matrix'!$Q$2:$Q$46="Stage IV + Other"))</f>
        <v>0</v>
      </c>
      <c r="H11" s="11">
        <f>SUMPRODUCT(ISNUMBER(SEARCH(","&amp;$A11&amp;",",","&amp;SUBSTITUTE('2L Screening Matrix'!$K$2:$K$46,", ",",")&amp;","))*('2L Screening Matrix'!$Q$2:$Q$46="Stage III Only"))</f>
        <v>0</v>
      </c>
      <c r="I11" s="13">
        <f t="shared" si="1"/>
        <v>0</v>
      </c>
      <c r="J11" s="14">
        <f t="shared" si="2"/>
        <v>0</v>
      </c>
      <c r="K11" s="5" t="str">
        <f ca="1">IFERROR(_xludf.textjoin(", ",TRUE(),IF(ISNUMBER(SEARCH(","&amp;$A11&amp;",",","&amp;SUBSTITUTE('1L Screening Matrix'!$K$2:$K$77,", ",",")&amp;",")),'1L Screening Matrix'!$C$2:$C$77,"")),"")</f>
        <v/>
      </c>
      <c r="L11" s="5" t="str">
        <f ca="1">IFERROR(_xludf.textjoin(", ",TRUE(),IF(ISNUMBER(SEARCH(","&amp;$A11&amp;",",","&amp;SUBSTITUTE('2L Screening Matrix'!$K$2:$K$46,", ",",")&amp;",")),'2L Screening Matrix'!$C$2:$C$46,"")),"")</f>
        <v/>
      </c>
    </row>
    <row r="12" spans="1:12" ht="15" customHeight="1" x14ac:dyDescent="0.2">
      <c r="A12" s="12" t="s">
        <v>2105</v>
      </c>
      <c r="B12" s="11">
        <f>SUMPRODUCT(ISNUMBER(SEARCH(","&amp;$A12&amp;",",","&amp;SUBSTITUTE('1L Screening Matrix'!$K$2:$K$77,", ",",")&amp;","))*('1L Screening Matrix'!$Q$2:$Q$77="Stage IV Only"))</f>
        <v>0</v>
      </c>
      <c r="C12" s="11">
        <f>SUMPRODUCT(ISNUMBER(SEARCH(","&amp;$A12&amp;",",","&amp;SUBSTITUTE('1L Screening Matrix'!$K$2:$K$77,", ",",")&amp;","))*('1L Screening Matrix'!$Q$2:$Q$77="Stage IV + Other"))</f>
        <v>0</v>
      </c>
      <c r="D12" s="11">
        <f>SUMPRODUCT(ISNUMBER(SEARCH(","&amp;$A12&amp;",",","&amp;SUBSTITUTE('1L Screening Matrix'!$K$2:$K$77,", ",",")&amp;","))*('1L Screening Matrix'!$Q$2:$Q$77="Stage III Only"))</f>
        <v>0</v>
      </c>
      <c r="E12" s="13">
        <f t="shared" si="0"/>
        <v>0</v>
      </c>
      <c r="F12" s="11">
        <f>SUMPRODUCT(ISNUMBER(SEARCH(","&amp;$A12&amp;",",","&amp;SUBSTITUTE('2L Screening Matrix'!$K$2:$K$46,", ",",")&amp;","))*('2L Screening Matrix'!$Q$2:$Q$46="Stage IV Only"))</f>
        <v>0</v>
      </c>
      <c r="G12" s="11">
        <f>SUMPRODUCT(ISNUMBER(SEARCH(","&amp;$A12&amp;",",","&amp;SUBSTITUTE('2L Screening Matrix'!$K$2:$K$46,", ",",")&amp;","))*('2L Screening Matrix'!$Q$2:$Q$46="Stage IV + Other"))</f>
        <v>0</v>
      </c>
      <c r="H12" s="11">
        <f>SUMPRODUCT(ISNUMBER(SEARCH(","&amp;$A12&amp;",",","&amp;SUBSTITUTE('2L Screening Matrix'!$K$2:$K$46,", ",",")&amp;","))*('2L Screening Matrix'!$Q$2:$Q$46="Stage III Only"))</f>
        <v>0</v>
      </c>
      <c r="I12" s="13">
        <f t="shared" si="1"/>
        <v>0</v>
      </c>
      <c r="J12" s="14">
        <f t="shared" si="2"/>
        <v>0</v>
      </c>
      <c r="K12" s="5" t="str">
        <f ca="1">IFERROR(_xludf.textjoin(", ",TRUE(),IF(ISNUMBER(SEARCH(","&amp;$A12&amp;",",","&amp;SUBSTITUTE('1L Screening Matrix'!$K$2:$K$77,", ",",")&amp;",")),'1L Screening Matrix'!$C$2:$C$77,"")),"")</f>
        <v/>
      </c>
      <c r="L12" s="5" t="str">
        <f ca="1">IFERROR(_xludf.textjoin(", ",TRUE(),IF(ISNUMBER(SEARCH(","&amp;$A12&amp;",",","&amp;SUBSTITUTE('2L Screening Matrix'!$K$2:$K$46,", ",",")&amp;",")),'2L Screening Matrix'!$C$2:$C$46,"")),"")</f>
        <v/>
      </c>
    </row>
    <row r="13" spans="1:12" ht="15" customHeight="1" x14ac:dyDescent="0.2">
      <c r="A13" s="15" t="s">
        <v>2106</v>
      </c>
      <c r="B13" s="11">
        <f>SUMPRODUCT(ISNUMBER(SEARCH(","&amp;$A13&amp;",",","&amp;SUBSTITUTE('1L Screening Matrix'!$K$2:$K$77,", ",",")&amp;","))*('1L Screening Matrix'!$Q$2:$Q$77="Stage IV Only"))</f>
        <v>0</v>
      </c>
      <c r="C13" s="11">
        <f>SUMPRODUCT(ISNUMBER(SEARCH(","&amp;$A13&amp;",",","&amp;SUBSTITUTE('1L Screening Matrix'!$K$2:$K$77,", ",",")&amp;","))*('1L Screening Matrix'!$Q$2:$Q$77="Stage IV + Other"))</f>
        <v>0</v>
      </c>
      <c r="D13" s="11">
        <f>SUMPRODUCT(ISNUMBER(SEARCH(","&amp;$A13&amp;",",","&amp;SUBSTITUTE('1L Screening Matrix'!$K$2:$K$77,", ",",")&amp;","))*('1L Screening Matrix'!$Q$2:$Q$77="Stage III Only"))</f>
        <v>0</v>
      </c>
      <c r="E13" s="13">
        <f t="shared" si="0"/>
        <v>0</v>
      </c>
      <c r="F13" s="11">
        <f>SUMPRODUCT(ISNUMBER(SEARCH(","&amp;$A13&amp;",",","&amp;SUBSTITUTE('2L Screening Matrix'!$K$2:$K$46,", ",",")&amp;","))*('2L Screening Matrix'!$Q$2:$Q$46="Stage IV Only"))</f>
        <v>1</v>
      </c>
      <c r="G13" s="11">
        <f>SUMPRODUCT(ISNUMBER(SEARCH(","&amp;$A13&amp;",",","&amp;SUBSTITUTE('2L Screening Matrix'!$K$2:$K$46,", ",",")&amp;","))*('2L Screening Matrix'!$Q$2:$Q$46="Stage IV + Other"))</f>
        <v>2</v>
      </c>
      <c r="H13" s="11">
        <f>SUMPRODUCT(ISNUMBER(SEARCH(","&amp;$A13&amp;",",","&amp;SUBSTITUTE('2L Screening Matrix'!$K$2:$K$46,", ",",")&amp;","))*('2L Screening Matrix'!$Q$2:$Q$46="Stage III Only"))</f>
        <v>0</v>
      </c>
      <c r="I13" s="13">
        <f t="shared" si="1"/>
        <v>3</v>
      </c>
      <c r="J13" s="14">
        <f t="shared" si="2"/>
        <v>3</v>
      </c>
      <c r="K13" s="5" t="str">
        <f ca="1">IFERROR(_xludf.textjoin(", ",TRUE(),IF(ISNUMBER(SEARCH(","&amp;$A13&amp;",",","&amp;SUBSTITUTE('1L Screening Matrix'!$K$2:$K$77,", ",",")&amp;",")),'1L Screening Matrix'!$C$2:$C$77,"")),"")</f>
        <v/>
      </c>
      <c r="L13" s="5" t="str">
        <f ca="1">IFERROR(_xludf.textjoin(", ",TRUE(),IF(ISNUMBER(SEARCH(","&amp;$A13&amp;",",","&amp;SUBSTITUTE('2L Screening Matrix'!$K$2:$K$46,", ",",")&amp;",")),'2L Screening Matrix'!$C$2:$C$46,"")),"")</f>
        <v/>
      </c>
    </row>
    <row r="14" spans="1:12" ht="15" customHeight="1" x14ac:dyDescent="0.2">
      <c r="A14" s="12" t="s">
        <v>2056</v>
      </c>
      <c r="B14" s="11">
        <f>SUMPRODUCT(ISNUMBER(SEARCH(","&amp;$A14&amp;",",","&amp;SUBSTITUTE('1L Screening Matrix'!$K$2:$K$77,", ",",")&amp;","))*('1L Screening Matrix'!$Q$2:$Q$77="Stage IV Only"))</f>
        <v>0</v>
      </c>
      <c r="C14" s="11">
        <f>SUMPRODUCT(ISNUMBER(SEARCH(","&amp;$A14&amp;",",","&amp;SUBSTITUTE('1L Screening Matrix'!$K$2:$K$77,", ",",")&amp;","))*('1L Screening Matrix'!$Q$2:$Q$77="Stage IV + Other"))</f>
        <v>1</v>
      </c>
      <c r="D14" s="11">
        <f>SUMPRODUCT(ISNUMBER(SEARCH(","&amp;$A14&amp;",",","&amp;SUBSTITUTE('1L Screening Matrix'!$K$2:$K$77,", ",",")&amp;","))*('1L Screening Matrix'!$Q$2:$Q$77="Stage III Only"))</f>
        <v>0</v>
      </c>
      <c r="E14" s="13">
        <f t="shared" si="0"/>
        <v>1</v>
      </c>
      <c r="F14" s="11">
        <f>SUMPRODUCT(ISNUMBER(SEARCH(","&amp;$A14&amp;",",","&amp;SUBSTITUTE('2L Screening Matrix'!$K$2:$K$46,", ",",")&amp;","))*('2L Screening Matrix'!$Q$2:$Q$46="Stage IV Only"))</f>
        <v>5</v>
      </c>
      <c r="G14" s="11">
        <f>SUMPRODUCT(ISNUMBER(SEARCH(","&amp;$A14&amp;",",","&amp;SUBSTITUTE('2L Screening Matrix'!$K$2:$K$46,", ",",")&amp;","))*('2L Screening Matrix'!$Q$2:$Q$46="Stage IV + Other"))</f>
        <v>2</v>
      </c>
      <c r="H14" s="11">
        <f>SUMPRODUCT(ISNUMBER(SEARCH(","&amp;$A14&amp;",",","&amp;SUBSTITUTE('2L Screening Matrix'!$K$2:$K$46,", ",",")&amp;","))*('2L Screening Matrix'!$Q$2:$Q$46="Stage III Only"))</f>
        <v>0</v>
      </c>
      <c r="I14" s="13">
        <f t="shared" si="1"/>
        <v>7</v>
      </c>
      <c r="J14" s="14">
        <f t="shared" si="2"/>
        <v>8</v>
      </c>
      <c r="K14" s="5" t="str">
        <f ca="1">IFERROR(_xludf.textjoin(", ",TRUE(),IF(ISNUMBER(SEARCH(","&amp;$A14&amp;",",","&amp;SUBSTITUTE('1L Screening Matrix'!$K$2:$K$77,", ",",")&amp;",")),'1L Screening Matrix'!$C$2:$C$77,"")),"")</f>
        <v/>
      </c>
      <c r="L14" s="5" t="str">
        <f ca="1">IFERROR(_xludf.textjoin(", ",TRUE(),IF(ISNUMBER(SEARCH(","&amp;$A14&amp;",",","&amp;SUBSTITUTE('2L Screening Matrix'!$K$2:$K$46,", ",",")&amp;",")),'2L Screening Matrix'!$C$2:$C$46,"")),"")</f>
        <v/>
      </c>
    </row>
    <row r="15" spans="1:12" ht="15" customHeight="1" x14ac:dyDescent="0.2">
      <c r="A15" s="15" t="s">
        <v>2107</v>
      </c>
      <c r="B15" s="11">
        <f>SUMPRODUCT(ISNUMBER(SEARCH(","&amp;$A15&amp;",",","&amp;SUBSTITUTE('1L Screening Matrix'!$K$2:$K$77,", ",",")&amp;","))*('1L Screening Matrix'!$Q$2:$Q$77="Stage IV Only"))</f>
        <v>0</v>
      </c>
      <c r="C15" s="11">
        <f>SUMPRODUCT(ISNUMBER(SEARCH(","&amp;$A15&amp;",",","&amp;SUBSTITUTE('1L Screening Matrix'!$K$2:$K$77,", ",",")&amp;","))*('1L Screening Matrix'!$Q$2:$Q$77="Stage IV + Other"))</f>
        <v>0</v>
      </c>
      <c r="D15" s="11">
        <f>SUMPRODUCT(ISNUMBER(SEARCH(","&amp;$A15&amp;",",","&amp;SUBSTITUTE('1L Screening Matrix'!$K$2:$K$77,", ",",")&amp;","))*('1L Screening Matrix'!$Q$2:$Q$77="Stage III Only"))</f>
        <v>0</v>
      </c>
      <c r="E15" s="13">
        <f t="shared" si="0"/>
        <v>0</v>
      </c>
      <c r="F15" s="11">
        <f>SUMPRODUCT(ISNUMBER(SEARCH(","&amp;$A15&amp;",",","&amp;SUBSTITUTE('2L Screening Matrix'!$K$2:$K$46,", ",",")&amp;","))*('2L Screening Matrix'!$Q$2:$Q$46="Stage IV Only"))</f>
        <v>1</v>
      </c>
      <c r="G15" s="11">
        <f>SUMPRODUCT(ISNUMBER(SEARCH(","&amp;$A15&amp;",",","&amp;SUBSTITUTE('2L Screening Matrix'!$K$2:$K$46,", ",",")&amp;","))*('2L Screening Matrix'!$Q$2:$Q$46="Stage IV + Other"))</f>
        <v>2</v>
      </c>
      <c r="H15" s="11">
        <f>SUMPRODUCT(ISNUMBER(SEARCH(","&amp;$A15&amp;",",","&amp;SUBSTITUTE('2L Screening Matrix'!$K$2:$K$46,", ",",")&amp;","))*('2L Screening Matrix'!$Q$2:$Q$46="Stage III Only"))</f>
        <v>0</v>
      </c>
      <c r="I15" s="13">
        <f t="shared" si="1"/>
        <v>3</v>
      </c>
      <c r="J15" s="14">
        <f t="shared" si="2"/>
        <v>3</v>
      </c>
      <c r="K15" s="5" t="str">
        <f ca="1">IFERROR(_xludf.textjoin(", ",TRUE(),IF(ISNUMBER(SEARCH(","&amp;$A15&amp;",",","&amp;SUBSTITUTE('1L Screening Matrix'!$K$2:$K$77,", ",",")&amp;",")),'1L Screening Matrix'!$C$2:$C$77,"")),"")</f>
        <v/>
      </c>
      <c r="L15" s="5" t="str">
        <f ca="1">IFERROR(_xludf.textjoin(", ",TRUE(),IF(ISNUMBER(SEARCH(","&amp;$A15&amp;",",","&amp;SUBSTITUTE('2L Screening Matrix'!$K$2:$K$46,", ",",")&amp;",")),'2L Screening Matrix'!$C$2:$C$46,"")),"")</f>
        <v/>
      </c>
    </row>
    <row r="16" spans="1:12" ht="15" customHeight="1" x14ac:dyDescent="0.2">
      <c r="A16" s="12" t="s">
        <v>1061</v>
      </c>
      <c r="B16" s="11">
        <f>SUMPRODUCT(ISNUMBER(SEARCH(","&amp;$A16&amp;",",","&amp;SUBSTITUTE('1L Screening Matrix'!$K$2:$K$77,", ",",")&amp;","))*('1L Screening Matrix'!$Q$2:$Q$77="Stage IV Only"))</f>
        <v>2</v>
      </c>
      <c r="C16" s="11">
        <f>SUMPRODUCT(ISNUMBER(SEARCH(","&amp;$A16&amp;",",","&amp;SUBSTITUTE('1L Screening Matrix'!$K$2:$K$77,", ",",")&amp;","))*('1L Screening Matrix'!$Q$2:$Q$77="Stage IV + Other"))</f>
        <v>0</v>
      </c>
      <c r="D16" s="11">
        <f>SUMPRODUCT(ISNUMBER(SEARCH(","&amp;$A16&amp;",",","&amp;SUBSTITUTE('1L Screening Matrix'!$K$2:$K$77,", ",",")&amp;","))*('1L Screening Matrix'!$Q$2:$Q$77="Stage III Only"))</f>
        <v>0</v>
      </c>
      <c r="E16" s="13">
        <f t="shared" si="0"/>
        <v>2</v>
      </c>
      <c r="F16" s="11">
        <f>SUMPRODUCT(ISNUMBER(SEARCH(","&amp;$A16&amp;",",","&amp;SUBSTITUTE('2L Screening Matrix'!$K$2:$K$46,", ",",")&amp;","))*('2L Screening Matrix'!$Q$2:$Q$46="Stage IV Only"))</f>
        <v>0</v>
      </c>
      <c r="G16" s="11">
        <f>SUMPRODUCT(ISNUMBER(SEARCH(","&amp;$A16&amp;",",","&amp;SUBSTITUTE('2L Screening Matrix'!$K$2:$K$46,", ",",")&amp;","))*('2L Screening Matrix'!$Q$2:$Q$46="Stage IV + Other"))</f>
        <v>0</v>
      </c>
      <c r="H16" s="11">
        <f>SUMPRODUCT(ISNUMBER(SEARCH(","&amp;$A16&amp;",",","&amp;SUBSTITUTE('2L Screening Matrix'!$K$2:$K$46,", ",",")&amp;","))*('2L Screening Matrix'!$Q$2:$Q$46="Stage III Only"))</f>
        <v>0</v>
      </c>
      <c r="I16" s="13">
        <f t="shared" si="1"/>
        <v>0</v>
      </c>
      <c r="J16" s="14">
        <f t="shared" si="2"/>
        <v>2</v>
      </c>
      <c r="K16" s="5" t="str">
        <f ca="1">IFERROR(_xludf.textjoin(", ",TRUE(),IF(ISNUMBER(SEARCH(","&amp;$A16&amp;",",","&amp;SUBSTITUTE('1L Screening Matrix'!$K$2:$K$77,", ",",")&amp;",")),'1L Screening Matrix'!$C$2:$C$77,"")),"")</f>
        <v/>
      </c>
      <c r="L16" s="5" t="str">
        <f ca="1">IFERROR(_xludf.textjoin(", ",TRUE(),IF(ISNUMBER(SEARCH(","&amp;$A16&amp;",",","&amp;SUBSTITUTE('2L Screening Matrix'!$K$2:$K$46,", ",",")&amp;",")),'2L Screening Matrix'!$C$2:$C$46,"")),"")</f>
        <v/>
      </c>
    </row>
    <row r="17" spans="1:12" ht="15" customHeight="1" x14ac:dyDescent="0.2">
      <c r="A17" s="15" t="s">
        <v>2108</v>
      </c>
      <c r="B17" s="11">
        <f>SUMPRODUCT(ISNUMBER(SEARCH(","&amp;$A17&amp;",",","&amp;SUBSTITUTE('1L Screening Matrix'!$K$2:$K$77,", ",",")&amp;","))*('1L Screening Matrix'!$Q$2:$Q$77="Stage IV Only"))</f>
        <v>0</v>
      </c>
      <c r="C17" s="11">
        <f>SUMPRODUCT(ISNUMBER(SEARCH(","&amp;$A17&amp;",",","&amp;SUBSTITUTE('1L Screening Matrix'!$K$2:$K$77,", ",",")&amp;","))*('1L Screening Matrix'!$Q$2:$Q$77="Stage IV + Other"))</f>
        <v>0</v>
      </c>
      <c r="D17" s="11">
        <f>SUMPRODUCT(ISNUMBER(SEARCH(","&amp;$A17&amp;",",","&amp;SUBSTITUTE('1L Screening Matrix'!$K$2:$K$77,", ",",")&amp;","))*('1L Screening Matrix'!$Q$2:$Q$77="Stage III Only"))</f>
        <v>0</v>
      </c>
      <c r="E17" s="13">
        <f t="shared" si="0"/>
        <v>0</v>
      </c>
      <c r="F17" s="11">
        <f>SUMPRODUCT(ISNUMBER(SEARCH(","&amp;$A17&amp;",",","&amp;SUBSTITUTE('2L Screening Matrix'!$K$2:$K$46,", ",",")&amp;","))*('2L Screening Matrix'!$Q$2:$Q$46="Stage IV Only"))</f>
        <v>1</v>
      </c>
      <c r="G17" s="11">
        <f>SUMPRODUCT(ISNUMBER(SEARCH(","&amp;$A17&amp;",",","&amp;SUBSTITUTE('2L Screening Matrix'!$K$2:$K$46,", ",",")&amp;","))*('2L Screening Matrix'!$Q$2:$Q$46="Stage IV + Other"))</f>
        <v>2</v>
      </c>
      <c r="H17" s="11">
        <f>SUMPRODUCT(ISNUMBER(SEARCH(","&amp;$A17&amp;",",","&amp;SUBSTITUTE('2L Screening Matrix'!$K$2:$K$46,", ",",")&amp;","))*('2L Screening Matrix'!$Q$2:$Q$46="Stage III Only"))</f>
        <v>0</v>
      </c>
      <c r="I17" s="13">
        <f t="shared" si="1"/>
        <v>3</v>
      </c>
      <c r="J17" s="14">
        <f t="shared" si="2"/>
        <v>3</v>
      </c>
      <c r="K17" s="5" t="str">
        <f ca="1">IFERROR(_xludf.textjoin(", ",TRUE(),IF(ISNUMBER(SEARCH(","&amp;$A17&amp;",",","&amp;SUBSTITUTE('1L Screening Matrix'!$K$2:$K$77,", ",",")&amp;",")),'1L Screening Matrix'!$C$2:$C$77,"")),"")</f>
        <v/>
      </c>
      <c r="L17" s="5" t="str">
        <f ca="1">IFERROR(_xludf.textjoin(", ",TRUE(),IF(ISNUMBER(SEARCH(","&amp;$A17&amp;",",","&amp;SUBSTITUTE('2L Screening Matrix'!$K$2:$K$46,", ",",")&amp;",")),'2L Screening Matrix'!$C$2:$C$46,"")),"")</f>
        <v/>
      </c>
    </row>
    <row r="18" spans="1:12" ht="15" customHeight="1" x14ac:dyDescent="0.2">
      <c r="A18" s="12" t="s">
        <v>180</v>
      </c>
      <c r="B18" s="11">
        <f>SUMPRODUCT(ISNUMBER(SEARCH(","&amp;$A18&amp;",",","&amp;SUBSTITUTE('1L Screening Matrix'!$K$2:$K$77,", ",",")&amp;","))*('1L Screening Matrix'!$Q$2:$Q$77="Stage IV Only"))</f>
        <v>0</v>
      </c>
      <c r="C18" s="11">
        <f>SUMPRODUCT(ISNUMBER(SEARCH(","&amp;$A18&amp;",",","&amp;SUBSTITUTE('1L Screening Matrix'!$K$2:$K$77,", ",",")&amp;","))*('1L Screening Matrix'!$Q$2:$Q$77="Stage IV + Other"))</f>
        <v>0</v>
      </c>
      <c r="D18" s="11">
        <f>SUMPRODUCT(ISNUMBER(SEARCH(","&amp;$A18&amp;",",","&amp;SUBSTITUTE('1L Screening Matrix'!$K$2:$K$77,", ",",")&amp;","))*('1L Screening Matrix'!$Q$2:$Q$77="Stage III Only"))</f>
        <v>0</v>
      </c>
      <c r="E18" s="13">
        <f t="shared" si="0"/>
        <v>0</v>
      </c>
      <c r="F18" s="11">
        <f>SUMPRODUCT(ISNUMBER(SEARCH(","&amp;$A18&amp;",",","&amp;SUBSTITUTE('2L Screening Matrix'!$K$2:$K$46,", ",",")&amp;","))*('2L Screening Matrix'!$Q$2:$Q$46="Stage IV Only"))</f>
        <v>2</v>
      </c>
      <c r="G18" s="11">
        <f>SUMPRODUCT(ISNUMBER(SEARCH(","&amp;$A18&amp;",",","&amp;SUBSTITUTE('2L Screening Matrix'!$K$2:$K$46,", ",",")&amp;","))*('2L Screening Matrix'!$Q$2:$Q$46="Stage IV + Other"))</f>
        <v>0</v>
      </c>
      <c r="H18" s="11">
        <f>SUMPRODUCT(ISNUMBER(SEARCH(","&amp;$A18&amp;",",","&amp;SUBSTITUTE('2L Screening Matrix'!$K$2:$K$46,", ",",")&amp;","))*('2L Screening Matrix'!$Q$2:$Q$46="Stage III Only"))</f>
        <v>0</v>
      </c>
      <c r="I18" s="13">
        <f t="shared" si="1"/>
        <v>2</v>
      </c>
      <c r="J18" s="14">
        <f t="shared" si="2"/>
        <v>2</v>
      </c>
      <c r="K18" s="5" t="str">
        <f ca="1">IFERROR(_xludf.textjoin(", ",TRUE(),IF(ISNUMBER(SEARCH(","&amp;$A18&amp;",",","&amp;SUBSTITUTE('1L Screening Matrix'!$K$2:$K$77,", ",",")&amp;",")),'1L Screening Matrix'!$C$2:$C$77,"")),"")</f>
        <v/>
      </c>
      <c r="L18" s="5" t="str">
        <f ca="1">IFERROR(_xludf.textjoin(", ",TRUE(),IF(ISNUMBER(SEARCH(","&amp;$A18&amp;",",","&amp;SUBSTITUTE('2L Screening Matrix'!$K$2:$K$46,", ",",")&amp;",")),'2L Screening Matrix'!$C$2:$C$46,"")),"")</f>
        <v/>
      </c>
    </row>
    <row r="19" spans="1:12" ht="15" customHeight="1" x14ac:dyDescent="0.2">
      <c r="A19" s="15" t="s">
        <v>2109</v>
      </c>
      <c r="B19" s="11">
        <f>SUMPRODUCT(ISNUMBER(SEARCH(","&amp;$A19&amp;",",","&amp;SUBSTITUTE('1L Screening Matrix'!$K$2:$K$77,", ",",")&amp;","))*('1L Screening Matrix'!$Q$2:$Q$77="Stage IV Only"))</f>
        <v>0</v>
      </c>
      <c r="C19" s="11">
        <f>SUMPRODUCT(ISNUMBER(SEARCH(","&amp;$A19&amp;",",","&amp;SUBSTITUTE('1L Screening Matrix'!$K$2:$K$77,", ",",")&amp;","))*('1L Screening Matrix'!$Q$2:$Q$77="Stage IV + Other"))</f>
        <v>0</v>
      </c>
      <c r="D19" s="11">
        <f>SUMPRODUCT(ISNUMBER(SEARCH(","&amp;$A19&amp;",",","&amp;SUBSTITUTE('1L Screening Matrix'!$K$2:$K$77,", ",",")&amp;","))*('1L Screening Matrix'!$Q$2:$Q$77="Stage III Only"))</f>
        <v>0</v>
      </c>
      <c r="E19" s="13">
        <f t="shared" si="0"/>
        <v>0</v>
      </c>
      <c r="F19" s="11">
        <f>SUMPRODUCT(ISNUMBER(SEARCH(","&amp;$A19&amp;",",","&amp;SUBSTITUTE('2L Screening Matrix'!$K$2:$K$46,", ",",")&amp;","))*('2L Screening Matrix'!$Q$2:$Q$46="Stage IV Only"))</f>
        <v>0</v>
      </c>
      <c r="G19" s="11">
        <f>SUMPRODUCT(ISNUMBER(SEARCH(","&amp;$A19&amp;",",","&amp;SUBSTITUTE('2L Screening Matrix'!$K$2:$K$46,", ",",")&amp;","))*('2L Screening Matrix'!$Q$2:$Q$46="Stage IV + Other"))</f>
        <v>1</v>
      </c>
      <c r="H19" s="11">
        <f>SUMPRODUCT(ISNUMBER(SEARCH(","&amp;$A19&amp;",",","&amp;SUBSTITUTE('2L Screening Matrix'!$K$2:$K$46,", ",",")&amp;","))*('2L Screening Matrix'!$Q$2:$Q$46="Stage III Only"))</f>
        <v>0</v>
      </c>
      <c r="I19" s="13">
        <f t="shared" si="1"/>
        <v>1</v>
      </c>
      <c r="J19" s="14">
        <f t="shared" si="2"/>
        <v>1</v>
      </c>
      <c r="K19" s="5" t="str">
        <f ca="1">IFERROR(_xludf.textjoin(", ",TRUE(),IF(ISNUMBER(SEARCH(","&amp;$A19&amp;",",","&amp;SUBSTITUTE('1L Screening Matrix'!$K$2:$K$77,", ",",")&amp;",")),'1L Screening Matrix'!$C$2:$C$77,"")),"")</f>
        <v/>
      </c>
      <c r="L19" s="5" t="str">
        <f ca="1">IFERROR(_xludf.textjoin(", ",TRUE(),IF(ISNUMBER(SEARCH(","&amp;$A19&amp;",",","&amp;SUBSTITUTE('2L Screening Matrix'!$K$2:$K$46,", ",",")&amp;",")),'2L Screening Matrix'!$C$2:$C$46,"")),"")</f>
        <v/>
      </c>
    </row>
    <row r="20" spans="1:12" ht="15" customHeight="1" x14ac:dyDescent="0.2">
      <c r="A20" s="12" t="s">
        <v>2062</v>
      </c>
      <c r="B20" s="11">
        <f>SUMPRODUCT(ISNUMBER(SEARCH(","&amp;$A20&amp;",",","&amp;SUBSTITUTE('1L Screening Matrix'!$K$2:$K$77,", ",",")&amp;","))*('1L Screening Matrix'!$Q$2:$Q$77="Stage IV Only"))</f>
        <v>0</v>
      </c>
      <c r="C20" s="11">
        <f>SUMPRODUCT(ISNUMBER(SEARCH(","&amp;$A20&amp;",",","&amp;SUBSTITUTE('1L Screening Matrix'!$K$2:$K$77,", ",",")&amp;","))*('1L Screening Matrix'!$Q$2:$Q$77="Stage IV + Other"))</f>
        <v>1</v>
      </c>
      <c r="D20" s="11">
        <f>SUMPRODUCT(ISNUMBER(SEARCH(","&amp;$A20&amp;",",","&amp;SUBSTITUTE('1L Screening Matrix'!$K$2:$K$77,", ",",")&amp;","))*('1L Screening Matrix'!$Q$2:$Q$77="Stage III Only"))</f>
        <v>0</v>
      </c>
      <c r="E20" s="13">
        <f t="shared" si="0"/>
        <v>1</v>
      </c>
      <c r="F20" s="11">
        <f>SUMPRODUCT(ISNUMBER(SEARCH(","&amp;$A20&amp;",",","&amp;SUBSTITUTE('2L Screening Matrix'!$K$2:$K$46,", ",",")&amp;","))*('2L Screening Matrix'!$Q$2:$Q$46="Stage IV Only"))</f>
        <v>0</v>
      </c>
      <c r="G20" s="11">
        <f>SUMPRODUCT(ISNUMBER(SEARCH(","&amp;$A20&amp;",",","&amp;SUBSTITUTE('2L Screening Matrix'!$K$2:$K$46,", ",",")&amp;","))*('2L Screening Matrix'!$Q$2:$Q$46="Stage IV + Other"))</f>
        <v>0</v>
      </c>
      <c r="H20" s="11">
        <f>SUMPRODUCT(ISNUMBER(SEARCH(","&amp;$A20&amp;",",","&amp;SUBSTITUTE('2L Screening Matrix'!$K$2:$K$46,", ",",")&amp;","))*('2L Screening Matrix'!$Q$2:$Q$46="Stage III Only"))</f>
        <v>0</v>
      </c>
      <c r="I20" s="13">
        <f t="shared" si="1"/>
        <v>0</v>
      </c>
      <c r="J20" s="14">
        <f t="shared" si="2"/>
        <v>1</v>
      </c>
      <c r="K20" s="5" t="str">
        <f ca="1">IFERROR(_xludf.textjoin(", ",TRUE(),IF(ISNUMBER(SEARCH(","&amp;$A20&amp;",",","&amp;SUBSTITUTE('1L Screening Matrix'!$K$2:$K$77,", ",",")&amp;",")),'1L Screening Matrix'!$C$2:$C$77,"")),"")</f>
        <v/>
      </c>
      <c r="L20" s="5" t="str">
        <f ca="1">IFERROR(_xludf.textjoin(", ",TRUE(),IF(ISNUMBER(SEARCH(","&amp;$A20&amp;",",","&amp;SUBSTITUTE('2L Screening Matrix'!$K$2:$K$46,", ",",")&amp;",")),'2L Screening Matrix'!$C$2:$C$46,"")),"")</f>
        <v/>
      </c>
    </row>
    <row r="21" spans="1:12" ht="15" customHeight="1" x14ac:dyDescent="0.2">
      <c r="A21" s="15" t="s">
        <v>2110</v>
      </c>
      <c r="B21" s="11">
        <f>SUMPRODUCT(ISNUMBER(SEARCH(","&amp;$A21&amp;",",","&amp;SUBSTITUTE('1L Screening Matrix'!$K$2:$K$77,", ",",")&amp;","))*('1L Screening Matrix'!$Q$2:$Q$77="Stage IV Only"))</f>
        <v>1</v>
      </c>
      <c r="C21" s="11">
        <f>SUMPRODUCT(ISNUMBER(SEARCH(","&amp;$A21&amp;",",","&amp;SUBSTITUTE('1L Screening Matrix'!$K$2:$K$77,", ",",")&amp;","))*('1L Screening Matrix'!$Q$2:$Q$77="Stage IV + Other"))</f>
        <v>0</v>
      </c>
      <c r="D21" s="11">
        <f>SUMPRODUCT(ISNUMBER(SEARCH(","&amp;$A21&amp;",",","&amp;SUBSTITUTE('1L Screening Matrix'!$K$2:$K$77,", ",",")&amp;","))*('1L Screening Matrix'!$Q$2:$Q$77="Stage III Only"))</f>
        <v>0</v>
      </c>
      <c r="E21" s="13">
        <f t="shared" si="0"/>
        <v>1</v>
      </c>
      <c r="F21" s="11">
        <f>SUMPRODUCT(ISNUMBER(SEARCH(","&amp;$A21&amp;",",","&amp;SUBSTITUTE('2L Screening Matrix'!$K$2:$K$46,", ",",")&amp;","))*('2L Screening Matrix'!$Q$2:$Q$46="Stage IV Only"))</f>
        <v>0</v>
      </c>
      <c r="G21" s="11">
        <f>SUMPRODUCT(ISNUMBER(SEARCH(","&amp;$A21&amp;",",","&amp;SUBSTITUTE('2L Screening Matrix'!$K$2:$K$46,", ",",")&amp;","))*('2L Screening Matrix'!$Q$2:$Q$46="Stage IV + Other"))</f>
        <v>0</v>
      </c>
      <c r="H21" s="11">
        <f>SUMPRODUCT(ISNUMBER(SEARCH(","&amp;$A21&amp;",",","&amp;SUBSTITUTE('2L Screening Matrix'!$K$2:$K$46,", ",",")&amp;","))*('2L Screening Matrix'!$Q$2:$Q$46="Stage III Only"))</f>
        <v>0</v>
      </c>
      <c r="I21" s="13">
        <f t="shared" si="1"/>
        <v>0</v>
      </c>
      <c r="J21" s="14">
        <f t="shared" si="2"/>
        <v>1</v>
      </c>
      <c r="K21" s="5" t="str">
        <f ca="1">IFERROR(_xludf.textjoin(", ",TRUE(),IF(ISNUMBER(SEARCH(","&amp;$A21&amp;",",","&amp;SUBSTITUTE('1L Screening Matrix'!$K$2:$K$77,", ",",")&amp;",")),'1L Screening Matrix'!$C$2:$C$77,"")),"")</f>
        <v/>
      </c>
      <c r="L21" s="5" t="str">
        <f ca="1">IFERROR(_xludf.textjoin(", ",TRUE(),IF(ISNUMBER(SEARCH(","&amp;$A21&amp;",",","&amp;SUBSTITUTE('2L Screening Matrix'!$K$2:$K$46,", ",",")&amp;",")),'2L Screening Matrix'!$C$2:$C$46,"")),"")</f>
        <v/>
      </c>
    </row>
    <row r="22" spans="1:12" ht="15" customHeight="1" x14ac:dyDescent="0.2">
      <c r="A22" s="12" t="s">
        <v>1032</v>
      </c>
      <c r="B22" s="11">
        <f>SUMPRODUCT(ISNUMBER(SEARCH(","&amp;$A22&amp;",",","&amp;SUBSTITUTE('1L Screening Matrix'!$K$2:$K$77,", ",",")&amp;","))*('1L Screening Matrix'!$Q$2:$Q$77="Stage IV Only"))</f>
        <v>1</v>
      </c>
      <c r="C22" s="11">
        <f>SUMPRODUCT(ISNUMBER(SEARCH(","&amp;$A22&amp;",",","&amp;SUBSTITUTE('1L Screening Matrix'!$K$2:$K$77,", ",",")&amp;","))*('1L Screening Matrix'!$Q$2:$Q$77="Stage IV + Other"))</f>
        <v>0</v>
      </c>
      <c r="D22" s="11">
        <f>SUMPRODUCT(ISNUMBER(SEARCH(","&amp;$A22&amp;",",","&amp;SUBSTITUTE('1L Screening Matrix'!$K$2:$K$77,", ",",")&amp;","))*('1L Screening Matrix'!$Q$2:$Q$77="Stage III Only"))</f>
        <v>0</v>
      </c>
      <c r="E22" s="13">
        <f t="shared" si="0"/>
        <v>1</v>
      </c>
      <c r="F22" s="11">
        <f>SUMPRODUCT(ISNUMBER(SEARCH(","&amp;$A22&amp;",",","&amp;SUBSTITUTE('2L Screening Matrix'!$K$2:$K$46,", ",",")&amp;","))*('2L Screening Matrix'!$Q$2:$Q$46="Stage IV Only"))</f>
        <v>0</v>
      </c>
      <c r="G22" s="11">
        <f>SUMPRODUCT(ISNUMBER(SEARCH(","&amp;$A22&amp;",",","&amp;SUBSTITUTE('2L Screening Matrix'!$K$2:$K$46,", ",",")&amp;","))*('2L Screening Matrix'!$Q$2:$Q$46="Stage IV + Other"))</f>
        <v>1</v>
      </c>
      <c r="H22" s="11">
        <f>SUMPRODUCT(ISNUMBER(SEARCH(","&amp;$A22&amp;",",","&amp;SUBSTITUTE('2L Screening Matrix'!$K$2:$K$46,", ",",")&amp;","))*('2L Screening Matrix'!$Q$2:$Q$46="Stage III Only"))</f>
        <v>0</v>
      </c>
      <c r="I22" s="13">
        <f t="shared" si="1"/>
        <v>1</v>
      </c>
      <c r="J22" s="14">
        <f t="shared" si="2"/>
        <v>2</v>
      </c>
      <c r="K22" s="5" t="str">
        <f ca="1">IFERROR(_xludf.textjoin(", ",TRUE(),IF(ISNUMBER(SEARCH(","&amp;$A22&amp;",",","&amp;SUBSTITUTE('1L Screening Matrix'!$K$2:$K$77,", ",",")&amp;",")),'1L Screening Matrix'!$C$2:$C$77,"")),"")</f>
        <v/>
      </c>
      <c r="L22" s="5" t="str">
        <f ca="1">IFERROR(_xludf.textjoin(", ",TRUE(),IF(ISNUMBER(SEARCH(","&amp;$A22&amp;",",","&amp;SUBSTITUTE('2L Screening Matrix'!$K$2:$K$46,", ",",")&amp;",")),'2L Screening Matrix'!$C$2:$C$46,"")),"")</f>
        <v/>
      </c>
    </row>
    <row r="23" spans="1:12" ht="15" customHeight="1" x14ac:dyDescent="0.2">
      <c r="A23" s="15" t="s">
        <v>1038</v>
      </c>
      <c r="B23" s="11">
        <f>SUMPRODUCT(ISNUMBER(SEARCH(","&amp;$A23&amp;",",","&amp;SUBSTITUTE('1L Screening Matrix'!$K$2:$K$77,", ",",")&amp;","))*('1L Screening Matrix'!$Q$2:$Q$77="Stage IV Only"))</f>
        <v>2</v>
      </c>
      <c r="C23" s="11">
        <f>SUMPRODUCT(ISNUMBER(SEARCH(","&amp;$A23&amp;",",","&amp;SUBSTITUTE('1L Screening Matrix'!$K$2:$K$77,", ",",")&amp;","))*('1L Screening Matrix'!$Q$2:$Q$77="Stage IV + Other"))</f>
        <v>1</v>
      </c>
      <c r="D23" s="11">
        <f>SUMPRODUCT(ISNUMBER(SEARCH(","&amp;$A23&amp;",",","&amp;SUBSTITUTE('1L Screening Matrix'!$K$2:$K$77,", ",",")&amp;","))*('1L Screening Matrix'!$Q$2:$Q$77="Stage III Only"))</f>
        <v>0</v>
      </c>
      <c r="E23" s="13">
        <f t="shared" si="0"/>
        <v>3</v>
      </c>
      <c r="F23" s="11">
        <f>SUMPRODUCT(ISNUMBER(SEARCH(","&amp;$A23&amp;",",","&amp;SUBSTITUTE('2L Screening Matrix'!$K$2:$K$46,", ",",")&amp;","))*('2L Screening Matrix'!$Q$2:$Q$46="Stage IV Only"))</f>
        <v>0</v>
      </c>
      <c r="G23" s="11">
        <f>SUMPRODUCT(ISNUMBER(SEARCH(","&amp;$A23&amp;",",","&amp;SUBSTITUTE('2L Screening Matrix'!$K$2:$K$46,", ",",")&amp;","))*('2L Screening Matrix'!$Q$2:$Q$46="Stage IV + Other"))</f>
        <v>0</v>
      </c>
      <c r="H23" s="11">
        <f>SUMPRODUCT(ISNUMBER(SEARCH(","&amp;$A23&amp;",",","&amp;SUBSTITUTE('2L Screening Matrix'!$K$2:$K$46,", ",",")&amp;","))*('2L Screening Matrix'!$Q$2:$Q$46="Stage III Only"))</f>
        <v>0</v>
      </c>
      <c r="I23" s="13">
        <f t="shared" si="1"/>
        <v>0</v>
      </c>
      <c r="J23" s="14">
        <f t="shared" si="2"/>
        <v>3</v>
      </c>
      <c r="K23" s="5" t="str">
        <f ca="1">IFERROR(_xludf.textjoin(", ",TRUE(),IF(ISNUMBER(SEARCH(","&amp;$A23&amp;",",","&amp;SUBSTITUTE('1L Screening Matrix'!$K$2:$K$77,", ",",")&amp;",")),'1L Screening Matrix'!$C$2:$C$77,"")),"")</f>
        <v/>
      </c>
      <c r="L23" s="5" t="str">
        <f ca="1">IFERROR(_xludf.textjoin(", ",TRUE(),IF(ISNUMBER(SEARCH(","&amp;$A23&amp;",",","&amp;SUBSTITUTE('2L Screening Matrix'!$K$2:$K$46,", ",",")&amp;",")),'2L Screening Matrix'!$C$2:$C$46,"")),"")</f>
        <v/>
      </c>
    </row>
    <row r="24" spans="1:12" ht="15" customHeight="1" x14ac:dyDescent="0.2">
      <c r="A24" s="12" t="s">
        <v>1749</v>
      </c>
      <c r="B24" s="11">
        <f>SUMPRODUCT(ISNUMBER(SEARCH(","&amp;$A24&amp;",",","&amp;SUBSTITUTE('1L Screening Matrix'!$K$2:$K$77,", ",",")&amp;","))*('1L Screening Matrix'!$Q$2:$Q$77="Stage IV Only"))</f>
        <v>0</v>
      </c>
      <c r="C24" s="11">
        <f>SUMPRODUCT(ISNUMBER(SEARCH(","&amp;$A24&amp;",",","&amp;SUBSTITUTE('1L Screening Matrix'!$K$2:$K$77,", ",",")&amp;","))*('1L Screening Matrix'!$Q$2:$Q$77="Stage IV + Other"))</f>
        <v>0</v>
      </c>
      <c r="D24" s="11">
        <f>SUMPRODUCT(ISNUMBER(SEARCH(","&amp;$A24&amp;",",","&amp;SUBSTITUTE('1L Screening Matrix'!$K$2:$K$77,", ",",")&amp;","))*('1L Screening Matrix'!$Q$2:$Q$77="Stage III Only"))</f>
        <v>0</v>
      </c>
      <c r="E24" s="13">
        <f t="shared" si="0"/>
        <v>0</v>
      </c>
      <c r="F24" s="11">
        <f>SUMPRODUCT(ISNUMBER(SEARCH(","&amp;$A24&amp;",",","&amp;SUBSTITUTE('2L Screening Matrix'!$K$2:$K$46,", ",",")&amp;","))*('2L Screening Matrix'!$Q$2:$Q$46="Stage IV Only"))</f>
        <v>1</v>
      </c>
      <c r="G24" s="11">
        <f>SUMPRODUCT(ISNUMBER(SEARCH(","&amp;$A24&amp;",",","&amp;SUBSTITUTE('2L Screening Matrix'!$K$2:$K$46,", ",",")&amp;","))*('2L Screening Matrix'!$Q$2:$Q$46="Stage IV + Other"))</f>
        <v>0</v>
      </c>
      <c r="H24" s="11">
        <f>SUMPRODUCT(ISNUMBER(SEARCH(","&amp;$A24&amp;",",","&amp;SUBSTITUTE('2L Screening Matrix'!$K$2:$K$46,", ",",")&amp;","))*('2L Screening Matrix'!$Q$2:$Q$46="Stage III Only"))</f>
        <v>0</v>
      </c>
      <c r="I24" s="13">
        <f t="shared" si="1"/>
        <v>1</v>
      </c>
      <c r="J24" s="14">
        <f t="shared" si="2"/>
        <v>1</v>
      </c>
      <c r="K24" s="5" t="str">
        <f ca="1">IFERROR(_xludf.textjoin(", ",TRUE(),IF(ISNUMBER(SEARCH(","&amp;$A24&amp;",",","&amp;SUBSTITUTE('1L Screening Matrix'!$K$2:$K$77,", ",",")&amp;",")),'1L Screening Matrix'!$C$2:$C$77,"")),"")</f>
        <v/>
      </c>
      <c r="L24" s="5" t="str">
        <f ca="1">IFERROR(_xludf.textjoin(", ",TRUE(),IF(ISNUMBER(SEARCH(","&amp;$A24&amp;",",","&amp;SUBSTITUTE('2L Screening Matrix'!$K$2:$K$46,", ",",")&amp;",")),'2L Screening Matrix'!$C$2:$C$46,"")),"")</f>
        <v/>
      </c>
    </row>
    <row r="25" spans="1:12" ht="15" customHeight="1" x14ac:dyDescent="0.2">
      <c r="A25" s="15" t="s">
        <v>2065</v>
      </c>
      <c r="B25" s="11">
        <f>SUMPRODUCT(ISNUMBER(SEARCH(","&amp;$A25&amp;",",","&amp;SUBSTITUTE('1L Screening Matrix'!$K$2:$K$77,", ",",")&amp;","))*('1L Screening Matrix'!$Q$2:$Q$77="Stage IV Only"))</f>
        <v>0</v>
      </c>
      <c r="C25" s="11">
        <f>SUMPRODUCT(ISNUMBER(SEARCH(","&amp;$A25&amp;",",","&amp;SUBSTITUTE('1L Screening Matrix'!$K$2:$K$77,", ",",")&amp;","))*('1L Screening Matrix'!$Q$2:$Q$77="Stage IV + Other"))</f>
        <v>0</v>
      </c>
      <c r="D25" s="11">
        <f>SUMPRODUCT(ISNUMBER(SEARCH(","&amp;$A25&amp;",",","&amp;SUBSTITUTE('1L Screening Matrix'!$K$2:$K$77,", ",",")&amp;","))*('1L Screening Matrix'!$Q$2:$Q$77="Stage III Only"))</f>
        <v>0</v>
      </c>
      <c r="E25" s="13">
        <f t="shared" si="0"/>
        <v>0</v>
      </c>
      <c r="F25" s="11">
        <f>SUMPRODUCT(ISNUMBER(SEARCH(","&amp;$A25&amp;",",","&amp;SUBSTITUTE('2L Screening Matrix'!$K$2:$K$46,", ",",")&amp;","))*('2L Screening Matrix'!$Q$2:$Q$46="Stage IV Only"))</f>
        <v>1</v>
      </c>
      <c r="G25" s="11">
        <f>SUMPRODUCT(ISNUMBER(SEARCH(","&amp;$A25&amp;",",","&amp;SUBSTITUTE('2L Screening Matrix'!$K$2:$K$46,", ",",")&amp;","))*('2L Screening Matrix'!$Q$2:$Q$46="Stage IV + Other"))</f>
        <v>0</v>
      </c>
      <c r="H25" s="11">
        <f>SUMPRODUCT(ISNUMBER(SEARCH(","&amp;$A25&amp;",",","&amp;SUBSTITUTE('2L Screening Matrix'!$K$2:$K$46,", ",",")&amp;","))*('2L Screening Matrix'!$Q$2:$Q$46="Stage III Only"))</f>
        <v>0</v>
      </c>
      <c r="I25" s="13">
        <f t="shared" si="1"/>
        <v>1</v>
      </c>
      <c r="J25" s="14">
        <f t="shared" si="2"/>
        <v>1</v>
      </c>
      <c r="K25" s="5" t="str">
        <f ca="1">IFERROR(_xludf.textjoin(", ",TRUE(),IF(ISNUMBER(SEARCH(","&amp;$A25&amp;",",","&amp;SUBSTITUTE('1L Screening Matrix'!$K$2:$K$77,", ",",")&amp;",")),'1L Screening Matrix'!$C$2:$C$77,"")),"")</f>
        <v/>
      </c>
      <c r="L25" s="5" t="str">
        <f ca="1">IFERROR(_xludf.textjoin(", ",TRUE(),IF(ISNUMBER(SEARCH(","&amp;$A25&amp;",",","&amp;SUBSTITUTE('2L Screening Matrix'!$K$2:$K$46,", ",",")&amp;",")),'2L Screening Matrix'!$C$2:$C$46,"")),"")</f>
        <v/>
      </c>
    </row>
    <row r="26" spans="1:12" ht="15" customHeight="1" x14ac:dyDescent="0.2">
      <c r="A26" s="12" t="s">
        <v>1784</v>
      </c>
      <c r="B26" s="11">
        <f>SUMPRODUCT(ISNUMBER(SEARCH(","&amp;$A26&amp;",",","&amp;SUBSTITUTE('1L Screening Matrix'!$K$2:$K$77,", ",",")&amp;","))*('1L Screening Matrix'!$Q$2:$Q$77="Stage IV Only"))</f>
        <v>0</v>
      </c>
      <c r="C26" s="11">
        <f>SUMPRODUCT(ISNUMBER(SEARCH(","&amp;$A26&amp;",",","&amp;SUBSTITUTE('1L Screening Matrix'!$K$2:$K$77,", ",",")&amp;","))*('1L Screening Matrix'!$Q$2:$Q$77="Stage IV + Other"))</f>
        <v>0</v>
      </c>
      <c r="D26" s="11">
        <f>SUMPRODUCT(ISNUMBER(SEARCH(","&amp;$A26&amp;",",","&amp;SUBSTITUTE('1L Screening Matrix'!$K$2:$K$77,", ",",")&amp;","))*('1L Screening Matrix'!$Q$2:$Q$77="Stage III Only"))</f>
        <v>0</v>
      </c>
      <c r="E26" s="13">
        <f t="shared" si="0"/>
        <v>0</v>
      </c>
      <c r="F26" s="11">
        <f>SUMPRODUCT(ISNUMBER(SEARCH(","&amp;$A26&amp;",",","&amp;SUBSTITUTE('2L Screening Matrix'!$K$2:$K$46,", ",",")&amp;","))*('2L Screening Matrix'!$Q$2:$Q$46="Stage IV Only"))</f>
        <v>2</v>
      </c>
      <c r="G26" s="11">
        <f>SUMPRODUCT(ISNUMBER(SEARCH(","&amp;$A26&amp;",",","&amp;SUBSTITUTE('2L Screening Matrix'!$K$2:$K$46,", ",",")&amp;","))*('2L Screening Matrix'!$Q$2:$Q$46="Stage IV + Other"))</f>
        <v>0</v>
      </c>
      <c r="H26" s="11">
        <f>SUMPRODUCT(ISNUMBER(SEARCH(","&amp;$A26&amp;",",","&amp;SUBSTITUTE('2L Screening Matrix'!$K$2:$K$46,", ",",")&amp;","))*('2L Screening Matrix'!$Q$2:$Q$46="Stage III Only"))</f>
        <v>0</v>
      </c>
      <c r="I26" s="13">
        <f t="shared" si="1"/>
        <v>2</v>
      </c>
      <c r="J26" s="14">
        <f t="shared" si="2"/>
        <v>2</v>
      </c>
      <c r="K26" s="5" t="str">
        <f ca="1">IFERROR(_xludf.textjoin(", ",TRUE(),IF(ISNUMBER(SEARCH(","&amp;$A26&amp;",",","&amp;SUBSTITUTE('1L Screening Matrix'!$K$2:$K$77,", ",",")&amp;",")),'1L Screening Matrix'!$C$2:$C$77,"")),"")</f>
        <v/>
      </c>
      <c r="L26" s="5" t="str">
        <f ca="1">IFERROR(_xludf.textjoin(", ",TRUE(),IF(ISNUMBER(SEARCH(","&amp;$A26&amp;",",","&amp;SUBSTITUTE('2L Screening Matrix'!$K$2:$K$46,", ",",")&amp;",")),'2L Screening Matrix'!$C$2:$C$46,"")),"")</f>
        <v/>
      </c>
    </row>
    <row r="27" spans="1:12" ht="15" customHeight="1" x14ac:dyDescent="0.2">
      <c r="A27" s="15" t="s">
        <v>905</v>
      </c>
      <c r="B27" s="11">
        <f>SUMPRODUCT(ISNUMBER(SEARCH(","&amp;$A27&amp;",",","&amp;SUBSTITUTE('1L Screening Matrix'!$K$2:$K$77,", ",",")&amp;","))*('1L Screening Matrix'!$Q$2:$Q$77="Stage IV Only"))</f>
        <v>5</v>
      </c>
      <c r="C27" s="11">
        <f>SUMPRODUCT(ISNUMBER(SEARCH(","&amp;$A27&amp;",",","&amp;SUBSTITUTE('1L Screening Matrix'!$K$2:$K$77,", ",",")&amp;","))*('1L Screening Matrix'!$Q$2:$Q$77="Stage IV + Other"))</f>
        <v>3</v>
      </c>
      <c r="D27" s="11">
        <f>SUMPRODUCT(ISNUMBER(SEARCH(","&amp;$A27&amp;",",","&amp;SUBSTITUTE('1L Screening Matrix'!$K$2:$K$77,", ",",")&amp;","))*('1L Screening Matrix'!$Q$2:$Q$77="Stage III Only"))</f>
        <v>1</v>
      </c>
      <c r="E27" s="13">
        <f t="shared" si="0"/>
        <v>9</v>
      </c>
      <c r="F27" s="11">
        <f>SUMPRODUCT(ISNUMBER(SEARCH(","&amp;$A27&amp;",",","&amp;SUBSTITUTE('2L Screening Matrix'!$K$2:$K$46,", ",",")&amp;","))*('2L Screening Matrix'!$Q$2:$Q$46="Stage IV Only"))</f>
        <v>0</v>
      </c>
      <c r="G27" s="11">
        <f>SUMPRODUCT(ISNUMBER(SEARCH(","&amp;$A27&amp;",",","&amp;SUBSTITUTE('2L Screening Matrix'!$K$2:$K$46,", ",",")&amp;","))*('2L Screening Matrix'!$Q$2:$Q$46="Stage IV + Other"))</f>
        <v>1</v>
      </c>
      <c r="H27" s="11">
        <f>SUMPRODUCT(ISNUMBER(SEARCH(","&amp;$A27&amp;",",","&amp;SUBSTITUTE('2L Screening Matrix'!$K$2:$K$46,", ",",")&amp;","))*('2L Screening Matrix'!$Q$2:$Q$46="Stage III Only"))</f>
        <v>0</v>
      </c>
      <c r="I27" s="13">
        <f t="shared" si="1"/>
        <v>1</v>
      </c>
      <c r="J27" s="14">
        <f t="shared" si="2"/>
        <v>10</v>
      </c>
      <c r="K27" s="5" t="str">
        <f ca="1">IFERROR(_xludf.textjoin(", ",TRUE(),IF(ISNUMBER(SEARCH(","&amp;$A27&amp;",",","&amp;SUBSTITUTE('1L Screening Matrix'!$K$2:$K$77,", ",",")&amp;",")),'1L Screening Matrix'!$C$2:$C$77,"")),"")</f>
        <v/>
      </c>
      <c r="L27" s="5" t="str">
        <f ca="1">IFERROR(_xludf.textjoin(", ",TRUE(),IF(ISNUMBER(SEARCH(","&amp;$A27&amp;",",","&amp;SUBSTITUTE('2L Screening Matrix'!$K$2:$K$46,", ",",")&amp;",")),'2L Screening Matrix'!$C$2:$C$46,"")),"")</f>
        <v/>
      </c>
    </row>
    <row r="28" spans="1:12" ht="15" customHeight="1" x14ac:dyDescent="0.2">
      <c r="A28" s="12" t="s">
        <v>2080</v>
      </c>
      <c r="B28" s="11">
        <f>SUMPRODUCT(ISNUMBER(SEARCH(","&amp;$A28&amp;",",","&amp;SUBSTITUTE('1L Screening Matrix'!$K$2:$K$77,", ",",")&amp;","))*('1L Screening Matrix'!$Q$2:$Q$77="Stage IV Only"))</f>
        <v>0</v>
      </c>
      <c r="C28" s="11">
        <f>SUMPRODUCT(ISNUMBER(SEARCH(","&amp;$A28&amp;",",","&amp;SUBSTITUTE('1L Screening Matrix'!$K$2:$K$77,", ",",")&amp;","))*('1L Screening Matrix'!$Q$2:$Q$77="Stage IV + Other"))</f>
        <v>0</v>
      </c>
      <c r="D28" s="11">
        <f>SUMPRODUCT(ISNUMBER(SEARCH(","&amp;$A28&amp;",",","&amp;SUBSTITUTE('1L Screening Matrix'!$K$2:$K$77,", ",",")&amp;","))*('1L Screening Matrix'!$Q$2:$Q$77="Stage III Only"))</f>
        <v>0</v>
      </c>
      <c r="E28" s="13">
        <f t="shared" si="0"/>
        <v>0</v>
      </c>
      <c r="F28" s="11">
        <f>SUMPRODUCT(ISNUMBER(SEARCH(","&amp;$A28&amp;",",","&amp;SUBSTITUTE('2L Screening Matrix'!$K$2:$K$46,", ",",")&amp;","))*('2L Screening Matrix'!$Q$2:$Q$46="Stage IV Only"))</f>
        <v>1</v>
      </c>
      <c r="G28" s="11">
        <f>SUMPRODUCT(ISNUMBER(SEARCH(","&amp;$A28&amp;",",","&amp;SUBSTITUTE('2L Screening Matrix'!$K$2:$K$46,", ",",")&amp;","))*('2L Screening Matrix'!$Q$2:$Q$46="Stage IV + Other"))</f>
        <v>0</v>
      </c>
      <c r="H28" s="11">
        <f>SUMPRODUCT(ISNUMBER(SEARCH(","&amp;$A28&amp;",",","&amp;SUBSTITUTE('2L Screening Matrix'!$K$2:$K$46,", ",",")&amp;","))*('2L Screening Matrix'!$Q$2:$Q$46="Stage III Only"))</f>
        <v>0</v>
      </c>
      <c r="I28" s="13">
        <f t="shared" si="1"/>
        <v>1</v>
      </c>
      <c r="J28" s="14">
        <f t="shared" si="2"/>
        <v>1</v>
      </c>
      <c r="K28" s="5" t="str">
        <f ca="1">IFERROR(_xludf.textjoin(", ",TRUE(),IF(ISNUMBER(SEARCH(","&amp;$A28&amp;",",","&amp;SUBSTITUTE('1L Screening Matrix'!$K$2:$K$77,", ",",")&amp;",")),'1L Screening Matrix'!$C$2:$C$77,"")),"")</f>
        <v/>
      </c>
      <c r="L28" s="5" t="str">
        <f ca="1">IFERROR(_xludf.textjoin(", ",TRUE(),IF(ISNUMBER(SEARCH(","&amp;$A28&amp;",",","&amp;SUBSTITUTE('2L Screening Matrix'!$K$2:$K$46,", ",",")&amp;",")),'2L Screening Matrix'!$C$2:$C$46,"")),"")</f>
        <v/>
      </c>
    </row>
    <row r="29" spans="1:12" ht="15" customHeight="1" x14ac:dyDescent="0.2">
      <c r="A29" s="15" t="s">
        <v>2081</v>
      </c>
      <c r="B29" s="11">
        <f>SUMPRODUCT(ISNUMBER(SEARCH(","&amp;$A29&amp;",",","&amp;SUBSTITUTE('1L Screening Matrix'!$K$2:$K$77,", ",",")&amp;","))*('1L Screening Matrix'!$Q$2:$Q$77="Stage IV Only"))</f>
        <v>0</v>
      </c>
      <c r="C29" s="11">
        <f>SUMPRODUCT(ISNUMBER(SEARCH(","&amp;$A29&amp;",",","&amp;SUBSTITUTE('1L Screening Matrix'!$K$2:$K$77,", ",",")&amp;","))*('1L Screening Matrix'!$Q$2:$Q$77="Stage IV + Other"))</f>
        <v>0</v>
      </c>
      <c r="D29" s="11">
        <f>SUMPRODUCT(ISNUMBER(SEARCH(","&amp;$A29&amp;",",","&amp;SUBSTITUTE('1L Screening Matrix'!$K$2:$K$77,", ",",")&amp;","))*('1L Screening Matrix'!$Q$2:$Q$77="Stage III Only"))</f>
        <v>0</v>
      </c>
      <c r="E29" s="13">
        <f t="shared" si="0"/>
        <v>0</v>
      </c>
      <c r="F29" s="11">
        <f>SUMPRODUCT(ISNUMBER(SEARCH(","&amp;$A29&amp;",",","&amp;SUBSTITUTE('2L Screening Matrix'!$K$2:$K$46,", ",",")&amp;","))*('2L Screening Matrix'!$Q$2:$Q$46="Stage IV Only"))</f>
        <v>0</v>
      </c>
      <c r="G29" s="11">
        <f>SUMPRODUCT(ISNUMBER(SEARCH(","&amp;$A29&amp;",",","&amp;SUBSTITUTE('2L Screening Matrix'!$K$2:$K$46,", ",",")&amp;","))*('2L Screening Matrix'!$Q$2:$Q$46="Stage IV + Other"))</f>
        <v>1</v>
      </c>
      <c r="H29" s="11">
        <f>SUMPRODUCT(ISNUMBER(SEARCH(","&amp;$A29&amp;",",","&amp;SUBSTITUTE('2L Screening Matrix'!$K$2:$K$46,", ",",")&amp;","))*('2L Screening Matrix'!$Q$2:$Q$46="Stage III Only"))</f>
        <v>0</v>
      </c>
      <c r="I29" s="13">
        <f t="shared" si="1"/>
        <v>1</v>
      </c>
      <c r="J29" s="14">
        <f t="shared" si="2"/>
        <v>1</v>
      </c>
      <c r="K29" s="5" t="str">
        <f ca="1">IFERROR(_xludf.textjoin(", ",TRUE(),IF(ISNUMBER(SEARCH(","&amp;$A29&amp;",",","&amp;SUBSTITUTE('1L Screening Matrix'!$K$2:$K$77,", ",",")&amp;",")),'1L Screening Matrix'!$C$2:$C$77,"")),"")</f>
        <v/>
      </c>
      <c r="L29" s="5" t="str">
        <f ca="1">IFERROR(_xludf.textjoin(", ",TRUE(),IF(ISNUMBER(SEARCH(","&amp;$A29&amp;",",","&amp;SUBSTITUTE('2L Screening Matrix'!$K$2:$K$46,", ",",")&amp;",")),'2L Screening Matrix'!$C$2:$C$46,"")),"")</f>
        <v/>
      </c>
    </row>
    <row r="30" spans="1:12" ht="15" customHeight="1" x14ac:dyDescent="0.2">
      <c r="A30" s="12" t="s">
        <v>881</v>
      </c>
      <c r="B30" s="11">
        <f>SUMPRODUCT(ISNUMBER(SEARCH(","&amp;$A30&amp;",",","&amp;SUBSTITUTE('1L Screening Matrix'!$K$2:$K$77,", ",",")&amp;","))*('1L Screening Matrix'!$Q$2:$Q$77="Stage IV Only"))</f>
        <v>0</v>
      </c>
      <c r="C30" s="11">
        <f>SUMPRODUCT(ISNUMBER(SEARCH(","&amp;$A30&amp;",",","&amp;SUBSTITUTE('1L Screening Matrix'!$K$2:$K$77,", ",",")&amp;","))*('1L Screening Matrix'!$Q$2:$Q$77="Stage IV + Other"))</f>
        <v>1</v>
      </c>
      <c r="D30" s="11">
        <f>SUMPRODUCT(ISNUMBER(SEARCH(","&amp;$A30&amp;",",","&amp;SUBSTITUTE('1L Screening Matrix'!$K$2:$K$77,", ",",")&amp;","))*('1L Screening Matrix'!$Q$2:$Q$77="Stage III Only"))</f>
        <v>1</v>
      </c>
      <c r="E30" s="13">
        <f t="shared" si="0"/>
        <v>2</v>
      </c>
      <c r="F30" s="11">
        <f>SUMPRODUCT(ISNUMBER(SEARCH(","&amp;$A30&amp;",",","&amp;SUBSTITUTE('2L Screening Matrix'!$K$2:$K$46,", ",",")&amp;","))*('2L Screening Matrix'!$Q$2:$Q$46="Stage IV Only"))</f>
        <v>0</v>
      </c>
      <c r="G30" s="11">
        <f>SUMPRODUCT(ISNUMBER(SEARCH(","&amp;$A30&amp;",",","&amp;SUBSTITUTE('2L Screening Matrix'!$K$2:$K$46,", ",",")&amp;","))*('2L Screening Matrix'!$Q$2:$Q$46="Stage IV + Other"))</f>
        <v>0</v>
      </c>
      <c r="H30" s="11">
        <f>SUMPRODUCT(ISNUMBER(SEARCH(","&amp;$A30&amp;",",","&amp;SUBSTITUTE('2L Screening Matrix'!$K$2:$K$46,", ",",")&amp;","))*('2L Screening Matrix'!$Q$2:$Q$46="Stage III Only"))</f>
        <v>0</v>
      </c>
      <c r="I30" s="13">
        <f t="shared" si="1"/>
        <v>0</v>
      </c>
      <c r="J30" s="14">
        <f t="shared" si="2"/>
        <v>2</v>
      </c>
      <c r="K30" s="5" t="str">
        <f ca="1">IFERROR(_xludf.textjoin(", ",TRUE(),IF(ISNUMBER(SEARCH(","&amp;$A30&amp;",",","&amp;SUBSTITUTE('1L Screening Matrix'!$K$2:$K$77,", ",",")&amp;",")),'1L Screening Matrix'!$C$2:$C$77,"")),"")</f>
        <v/>
      </c>
      <c r="L30" s="5" t="str">
        <f ca="1">IFERROR(_xludf.textjoin(", ",TRUE(),IF(ISNUMBER(SEARCH(","&amp;$A30&amp;",",","&amp;SUBSTITUTE('2L Screening Matrix'!$K$2:$K$46,", ",",")&amp;",")),'2L Screening Matrix'!$C$2:$C$46,"")),"")</f>
        <v/>
      </c>
    </row>
    <row r="31" spans="1:12" ht="15" customHeight="1" x14ac:dyDescent="0.2">
      <c r="A31" s="15" t="s">
        <v>2111</v>
      </c>
      <c r="B31" s="11">
        <f>SUMPRODUCT(ISNUMBER(SEARCH(","&amp;$A31&amp;",",","&amp;SUBSTITUTE('1L Screening Matrix'!$K$2:$K$77,", ",",")&amp;","))*('1L Screening Matrix'!$Q$2:$Q$77="Stage IV Only"))</f>
        <v>0</v>
      </c>
      <c r="C31" s="11">
        <f>SUMPRODUCT(ISNUMBER(SEARCH(","&amp;$A31&amp;",",","&amp;SUBSTITUTE('1L Screening Matrix'!$K$2:$K$77,", ",",")&amp;","))*('1L Screening Matrix'!$Q$2:$Q$77="Stage IV + Other"))</f>
        <v>0</v>
      </c>
      <c r="D31" s="11">
        <f>SUMPRODUCT(ISNUMBER(SEARCH(","&amp;$A31&amp;",",","&amp;SUBSTITUTE('1L Screening Matrix'!$K$2:$K$77,", ",",")&amp;","))*('1L Screening Matrix'!$Q$2:$Q$77="Stage III Only"))</f>
        <v>0</v>
      </c>
      <c r="E31" s="13">
        <f t="shared" si="0"/>
        <v>0</v>
      </c>
      <c r="F31" s="11">
        <f>SUMPRODUCT(ISNUMBER(SEARCH(","&amp;$A31&amp;",",","&amp;SUBSTITUTE('2L Screening Matrix'!$K$2:$K$46,", ",",")&amp;","))*('2L Screening Matrix'!$Q$2:$Q$46="Stage IV Only"))</f>
        <v>0</v>
      </c>
      <c r="G31" s="11">
        <f>SUMPRODUCT(ISNUMBER(SEARCH(","&amp;$A31&amp;",",","&amp;SUBSTITUTE('2L Screening Matrix'!$K$2:$K$46,", ",",")&amp;","))*('2L Screening Matrix'!$Q$2:$Q$46="Stage IV + Other"))</f>
        <v>0</v>
      </c>
      <c r="H31" s="11">
        <f>SUMPRODUCT(ISNUMBER(SEARCH(","&amp;$A31&amp;",",","&amp;SUBSTITUTE('2L Screening Matrix'!$K$2:$K$46,", ",",")&amp;","))*('2L Screening Matrix'!$Q$2:$Q$46="Stage III Only"))</f>
        <v>0</v>
      </c>
      <c r="I31" s="13">
        <f t="shared" si="1"/>
        <v>0</v>
      </c>
      <c r="J31" s="14">
        <f t="shared" si="2"/>
        <v>0</v>
      </c>
      <c r="K31" s="5" t="str">
        <f ca="1">IFERROR(_xludf.textjoin(", ",TRUE(),IF(ISNUMBER(SEARCH(","&amp;$A31&amp;",",","&amp;SUBSTITUTE('1L Screening Matrix'!$K$2:$K$77,", ",",")&amp;",")),'1L Screening Matrix'!$C$2:$C$77,"")),"")</f>
        <v/>
      </c>
      <c r="L31" s="5" t="str">
        <f ca="1">IFERROR(_xludf.textjoin(", ",TRUE(),IF(ISNUMBER(SEARCH(","&amp;$A31&amp;",",","&amp;SUBSTITUTE('2L Screening Matrix'!$K$2:$K$46,", ",",")&amp;",")),'2L Screening Matrix'!$C$2:$C$46,"")),"")</f>
        <v/>
      </c>
    </row>
    <row r="32" spans="1:12" ht="15" customHeight="1" x14ac:dyDescent="0.2">
      <c r="A32" s="12" t="s">
        <v>685</v>
      </c>
      <c r="B32" s="11">
        <f>SUMPRODUCT(ISNUMBER(SEARCH(","&amp;$A32&amp;",",","&amp;SUBSTITUTE('1L Screening Matrix'!$K$2:$K$77,", ",",")&amp;","))*('1L Screening Matrix'!$Q$2:$Q$77="Stage IV Only"))</f>
        <v>3</v>
      </c>
      <c r="C32" s="11">
        <f>SUMPRODUCT(ISNUMBER(SEARCH(","&amp;$A32&amp;",",","&amp;SUBSTITUTE('1L Screening Matrix'!$K$2:$K$77,", ",",")&amp;","))*('1L Screening Matrix'!$Q$2:$Q$77="Stage IV + Other"))</f>
        <v>0</v>
      </c>
      <c r="D32" s="11">
        <f>SUMPRODUCT(ISNUMBER(SEARCH(","&amp;$A32&amp;",",","&amp;SUBSTITUTE('1L Screening Matrix'!$K$2:$K$77,", ",",")&amp;","))*('1L Screening Matrix'!$Q$2:$Q$77="Stage III Only"))</f>
        <v>1</v>
      </c>
      <c r="E32" s="13">
        <f t="shared" si="0"/>
        <v>4</v>
      </c>
      <c r="F32" s="11">
        <f>SUMPRODUCT(ISNUMBER(SEARCH(","&amp;$A32&amp;",",","&amp;SUBSTITUTE('2L Screening Matrix'!$K$2:$K$46,", ",",")&amp;","))*('2L Screening Matrix'!$Q$2:$Q$46="Stage IV Only"))</f>
        <v>0</v>
      </c>
      <c r="G32" s="11">
        <f>SUMPRODUCT(ISNUMBER(SEARCH(","&amp;$A32&amp;",",","&amp;SUBSTITUTE('2L Screening Matrix'!$K$2:$K$46,", ",",")&amp;","))*('2L Screening Matrix'!$Q$2:$Q$46="Stage IV + Other"))</f>
        <v>0</v>
      </c>
      <c r="H32" s="11">
        <f>SUMPRODUCT(ISNUMBER(SEARCH(","&amp;$A32&amp;",",","&amp;SUBSTITUTE('2L Screening Matrix'!$K$2:$K$46,", ",",")&amp;","))*('2L Screening Matrix'!$Q$2:$Q$46="Stage III Only"))</f>
        <v>0</v>
      </c>
      <c r="I32" s="13">
        <f t="shared" si="1"/>
        <v>0</v>
      </c>
      <c r="J32" s="14">
        <f t="shared" si="2"/>
        <v>4</v>
      </c>
      <c r="K32" s="5" t="str">
        <f ca="1">IFERROR(_xludf.textjoin(", ",TRUE(),IF(ISNUMBER(SEARCH(","&amp;$A32&amp;",",","&amp;SUBSTITUTE('1L Screening Matrix'!$K$2:$K$77,", ",",")&amp;",")),'1L Screening Matrix'!$C$2:$C$77,"")),"")</f>
        <v/>
      </c>
      <c r="L32" s="5" t="str">
        <f ca="1">IFERROR(_xludf.textjoin(", ",TRUE(),IF(ISNUMBER(SEARCH(","&amp;$A32&amp;",",","&amp;SUBSTITUTE('2L Screening Matrix'!$K$2:$K$46,", ",",")&amp;",")),'2L Screening Matrix'!$C$2:$C$46,"")),"")</f>
        <v/>
      </c>
    </row>
    <row r="33" spans="1:12" ht="15" customHeight="1" x14ac:dyDescent="0.2">
      <c r="A33" s="15" t="s">
        <v>1198</v>
      </c>
      <c r="B33" s="11">
        <f>SUMPRODUCT(ISNUMBER(SEARCH(","&amp;$A33&amp;",",","&amp;SUBSTITUTE('1L Screening Matrix'!$K$2:$K$77,", ",",")&amp;","))*('1L Screening Matrix'!$Q$2:$Q$77="Stage IV Only"))</f>
        <v>1</v>
      </c>
      <c r="C33" s="11">
        <f>SUMPRODUCT(ISNUMBER(SEARCH(","&amp;$A33&amp;",",","&amp;SUBSTITUTE('1L Screening Matrix'!$K$2:$K$77,", ",",")&amp;","))*('1L Screening Matrix'!$Q$2:$Q$77="Stage IV + Other"))</f>
        <v>1</v>
      </c>
      <c r="D33" s="11">
        <f>SUMPRODUCT(ISNUMBER(SEARCH(","&amp;$A33&amp;",",","&amp;SUBSTITUTE('1L Screening Matrix'!$K$2:$K$77,", ",",")&amp;","))*('1L Screening Matrix'!$Q$2:$Q$77="Stage III Only"))</f>
        <v>0</v>
      </c>
      <c r="E33" s="13">
        <f t="shared" si="0"/>
        <v>2</v>
      </c>
      <c r="F33" s="11">
        <f>SUMPRODUCT(ISNUMBER(SEARCH(","&amp;$A33&amp;",",","&amp;SUBSTITUTE('2L Screening Matrix'!$K$2:$K$46,", ",",")&amp;","))*('2L Screening Matrix'!$Q$2:$Q$46="Stage IV Only"))</f>
        <v>0</v>
      </c>
      <c r="G33" s="11">
        <f>SUMPRODUCT(ISNUMBER(SEARCH(","&amp;$A33&amp;",",","&amp;SUBSTITUTE('2L Screening Matrix'!$K$2:$K$46,", ",",")&amp;","))*('2L Screening Matrix'!$Q$2:$Q$46="Stage IV + Other"))</f>
        <v>0</v>
      </c>
      <c r="H33" s="11">
        <f>SUMPRODUCT(ISNUMBER(SEARCH(","&amp;$A33&amp;",",","&amp;SUBSTITUTE('2L Screening Matrix'!$K$2:$K$46,", ",",")&amp;","))*('2L Screening Matrix'!$Q$2:$Q$46="Stage III Only"))</f>
        <v>0</v>
      </c>
      <c r="I33" s="13">
        <f t="shared" si="1"/>
        <v>0</v>
      </c>
      <c r="J33" s="14">
        <f t="shared" si="2"/>
        <v>2</v>
      </c>
      <c r="K33" s="5" t="str">
        <f ca="1">IFERROR(_xludf.textjoin(", ",TRUE(),IF(ISNUMBER(SEARCH(","&amp;$A33&amp;",",","&amp;SUBSTITUTE('1L Screening Matrix'!$K$2:$K$77,", ",",")&amp;",")),'1L Screening Matrix'!$C$2:$C$77,"")),"")</f>
        <v/>
      </c>
      <c r="L33" s="5" t="str">
        <f ca="1">IFERROR(_xludf.textjoin(", ",TRUE(),IF(ISNUMBER(SEARCH(","&amp;$A33&amp;",",","&amp;SUBSTITUTE('2L Screening Matrix'!$K$2:$K$46,", ",",")&amp;",")),'2L Screening Matrix'!$C$2:$C$46,"")),"")</f>
        <v/>
      </c>
    </row>
    <row r="34" spans="1:12" ht="15" customHeight="1" x14ac:dyDescent="0.2">
      <c r="A34" s="12" t="s">
        <v>1024</v>
      </c>
      <c r="B34" s="11">
        <f>SUMPRODUCT(ISNUMBER(SEARCH(","&amp;$A34&amp;",",","&amp;SUBSTITUTE('1L Screening Matrix'!$K$2:$K$77,", ",",")&amp;","))*('1L Screening Matrix'!$Q$2:$Q$77="Stage IV Only"))</f>
        <v>2</v>
      </c>
      <c r="C34" s="11">
        <f>SUMPRODUCT(ISNUMBER(SEARCH(","&amp;$A34&amp;",",","&amp;SUBSTITUTE('1L Screening Matrix'!$K$2:$K$77,", ",",")&amp;","))*('1L Screening Matrix'!$Q$2:$Q$77="Stage IV + Other"))</f>
        <v>2</v>
      </c>
      <c r="D34" s="11">
        <f>SUMPRODUCT(ISNUMBER(SEARCH(","&amp;$A34&amp;",",","&amp;SUBSTITUTE('1L Screening Matrix'!$K$2:$K$77,", ",",")&amp;","))*('1L Screening Matrix'!$Q$2:$Q$77="Stage III Only"))</f>
        <v>0</v>
      </c>
      <c r="E34" s="13">
        <f t="shared" si="0"/>
        <v>4</v>
      </c>
      <c r="F34" s="11">
        <f>SUMPRODUCT(ISNUMBER(SEARCH(","&amp;$A34&amp;",",","&amp;SUBSTITUTE('2L Screening Matrix'!$K$2:$K$46,", ",",")&amp;","))*('2L Screening Matrix'!$Q$2:$Q$46="Stage IV Only"))</f>
        <v>0</v>
      </c>
      <c r="G34" s="11">
        <f>SUMPRODUCT(ISNUMBER(SEARCH(","&amp;$A34&amp;",",","&amp;SUBSTITUTE('2L Screening Matrix'!$K$2:$K$46,", ",",")&amp;","))*('2L Screening Matrix'!$Q$2:$Q$46="Stage IV + Other"))</f>
        <v>0</v>
      </c>
      <c r="H34" s="11">
        <f>SUMPRODUCT(ISNUMBER(SEARCH(","&amp;$A34&amp;",",","&amp;SUBSTITUTE('2L Screening Matrix'!$K$2:$K$46,", ",",")&amp;","))*('2L Screening Matrix'!$Q$2:$Q$46="Stage III Only"))</f>
        <v>0</v>
      </c>
      <c r="I34" s="13">
        <f t="shared" si="1"/>
        <v>0</v>
      </c>
      <c r="J34" s="14">
        <f t="shared" si="2"/>
        <v>4</v>
      </c>
      <c r="K34" s="5" t="str">
        <f ca="1">IFERROR(_xludf.textjoin(", ",TRUE(),IF(ISNUMBER(SEARCH(","&amp;$A34&amp;",",","&amp;SUBSTITUTE('1L Screening Matrix'!$K$2:$K$77,", ",",")&amp;",")),'1L Screening Matrix'!$C$2:$C$77,"")),"")</f>
        <v/>
      </c>
      <c r="L34" s="5" t="str">
        <f ca="1">IFERROR(_xludf.textjoin(", ",TRUE(),IF(ISNUMBER(SEARCH(","&amp;$A34&amp;",",","&amp;SUBSTITUTE('2L Screening Matrix'!$K$2:$K$46,", ",",")&amp;",")),'2L Screening Matrix'!$C$2:$C$46,"")),"")</f>
        <v/>
      </c>
    </row>
    <row r="35" spans="1:12" ht="15" customHeight="1" x14ac:dyDescent="0.2">
      <c r="A35" s="15" t="s">
        <v>474</v>
      </c>
      <c r="B35" s="11">
        <f>SUMPRODUCT(ISNUMBER(SEARCH(","&amp;$A35&amp;",",","&amp;SUBSTITUTE('1L Screening Matrix'!$K$2:$K$77,", ",",")&amp;","))*('1L Screening Matrix'!$Q$2:$Q$77="Stage IV Only"))</f>
        <v>0</v>
      </c>
      <c r="C35" s="11">
        <f>SUMPRODUCT(ISNUMBER(SEARCH(","&amp;$A35&amp;",",","&amp;SUBSTITUTE('1L Screening Matrix'!$K$2:$K$77,", ",",")&amp;","))*('1L Screening Matrix'!$Q$2:$Q$77="Stage IV + Other"))</f>
        <v>1</v>
      </c>
      <c r="D35" s="11">
        <f>SUMPRODUCT(ISNUMBER(SEARCH(","&amp;$A35&amp;",",","&amp;SUBSTITUTE('1L Screening Matrix'!$K$2:$K$77,", ",",")&amp;","))*('1L Screening Matrix'!$Q$2:$Q$77="Stage III Only"))</f>
        <v>0</v>
      </c>
      <c r="E35" s="13">
        <f t="shared" si="0"/>
        <v>1</v>
      </c>
      <c r="F35" s="11">
        <f>SUMPRODUCT(ISNUMBER(SEARCH(","&amp;$A35&amp;",",","&amp;SUBSTITUTE('2L Screening Matrix'!$K$2:$K$46,", ",",")&amp;","))*('2L Screening Matrix'!$Q$2:$Q$46="Stage IV Only"))</f>
        <v>0</v>
      </c>
      <c r="G35" s="11">
        <f>SUMPRODUCT(ISNUMBER(SEARCH(","&amp;$A35&amp;",",","&amp;SUBSTITUTE('2L Screening Matrix'!$K$2:$K$46,", ",",")&amp;","))*('2L Screening Matrix'!$Q$2:$Q$46="Stage IV + Other"))</f>
        <v>2</v>
      </c>
      <c r="H35" s="11">
        <f>SUMPRODUCT(ISNUMBER(SEARCH(","&amp;$A35&amp;",",","&amp;SUBSTITUTE('2L Screening Matrix'!$K$2:$K$46,", ",",")&amp;","))*('2L Screening Matrix'!$Q$2:$Q$46="Stage III Only"))</f>
        <v>0</v>
      </c>
      <c r="I35" s="13">
        <f t="shared" si="1"/>
        <v>2</v>
      </c>
      <c r="J35" s="14">
        <f t="shared" si="2"/>
        <v>3</v>
      </c>
      <c r="K35" s="5" t="str">
        <f ca="1">IFERROR(_xludf.textjoin(", ",TRUE(),IF(ISNUMBER(SEARCH(","&amp;$A35&amp;",",","&amp;SUBSTITUTE('1L Screening Matrix'!$K$2:$K$77,", ",",")&amp;",")),'1L Screening Matrix'!$C$2:$C$77,"")),"")</f>
        <v/>
      </c>
      <c r="L35" s="5" t="str">
        <f ca="1">IFERROR(_xludf.textjoin(", ",TRUE(),IF(ISNUMBER(SEARCH(","&amp;$A35&amp;",",","&amp;SUBSTITUTE('2L Screening Matrix'!$K$2:$K$46,", ",",")&amp;",")),'2L Screening Matrix'!$C$2:$C$46,"")),"")</f>
        <v/>
      </c>
    </row>
    <row r="36" spans="1:12" ht="15" customHeight="1" x14ac:dyDescent="0.2">
      <c r="A36" s="12" t="s">
        <v>300</v>
      </c>
      <c r="B36" s="11">
        <f>SUMPRODUCT(ISNUMBER(SEARCH(","&amp;$A36&amp;",",","&amp;SUBSTITUTE('1L Screening Matrix'!$K$2:$K$77,", ",",")&amp;","))*('1L Screening Matrix'!$Q$2:$Q$77="Stage IV Only"))</f>
        <v>5</v>
      </c>
      <c r="C36" s="11">
        <f>SUMPRODUCT(ISNUMBER(SEARCH(","&amp;$A36&amp;",",","&amp;SUBSTITUTE('1L Screening Matrix'!$K$2:$K$77,", ",",")&amp;","))*('1L Screening Matrix'!$Q$2:$Q$77="Stage IV + Other"))</f>
        <v>4</v>
      </c>
      <c r="D36" s="11">
        <f>SUMPRODUCT(ISNUMBER(SEARCH(","&amp;$A36&amp;",",","&amp;SUBSTITUTE('1L Screening Matrix'!$K$2:$K$77,", ",",")&amp;","))*('1L Screening Matrix'!$Q$2:$Q$77="Stage III Only"))</f>
        <v>0</v>
      </c>
      <c r="E36" s="13">
        <f t="shared" si="0"/>
        <v>9</v>
      </c>
      <c r="F36" s="11">
        <f>SUMPRODUCT(ISNUMBER(SEARCH(","&amp;$A36&amp;",",","&amp;SUBSTITUTE('2L Screening Matrix'!$K$2:$K$46,", ",",")&amp;","))*('2L Screening Matrix'!$Q$2:$Q$46="Stage IV Only"))</f>
        <v>0</v>
      </c>
      <c r="G36" s="11">
        <f>SUMPRODUCT(ISNUMBER(SEARCH(","&amp;$A36&amp;",",","&amp;SUBSTITUTE('2L Screening Matrix'!$K$2:$K$46,", ",",")&amp;","))*('2L Screening Matrix'!$Q$2:$Q$46="Stage IV + Other"))</f>
        <v>0</v>
      </c>
      <c r="H36" s="11">
        <f>SUMPRODUCT(ISNUMBER(SEARCH(","&amp;$A36&amp;",",","&amp;SUBSTITUTE('2L Screening Matrix'!$K$2:$K$46,", ",",")&amp;","))*('2L Screening Matrix'!$Q$2:$Q$46="Stage III Only"))</f>
        <v>0</v>
      </c>
      <c r="I36" s="13">
        <f t="shared" si="1"/>
        <v>0</v>
      </c>
      <c r="J36" s="14">
        <f t="shared" si="2"/>
        <v>9</v>
      </c>
      <c r="K36" s="5" t="str">
        <f ca="1">IFERROR(_xludf.textjoin(", ",TRUE(),IF(ISNUMBER(SEARCH(","&amp;$A36&amp;",",","&amp;SUBSTITUTE('1L Screening Matrix'!$K$2:$K$77,", ",",")&amp;",")),'1L Screening Matrix'!$C$2:$C$77,"")),"")</f>
        <v/>
      </c>
      <c r="L36" s="5" t="str">
        <f ca="1">IFERROR(_xludf.textjoin(", ",TRUE(),IF(ISNUMBER(SEARCH(","&amp;$A36&amp;",",","&amp;SUBSTITUTE('2L Screening Matrix'!$K$2:$K$46,", ",",")&amp;",")),'2L Screening Matrix'!$C$2:$C$46,"")),"")</f>
        <v/>
      </c>
    </row>
    <row r="37" spans="1:12" ht="15" customHeight="1" x14ac:dyDescent="0.2">
      <c r="A37" s="15" t="s">
        <v>1385</v>
      </c>
      <c r="B37" s="11">
        <f>SUMPRODUCT(ISNUMBER(SEARCH(","&amp;$A37&amp;",",","&amp;SUBSTITUTE('1L Screening Matrix'!$K$2:$K$77,", ",",")&amp;","))*('1L Screening Matrix'!$Q$2:$Q$77="Stage IV Only"))</f>
        <v>0</v>
      </c>
      <c r="C37" s="11">
        <f>SUMPRODUCT(ISNUMBER(SEARCH(","&amp;$A37&amp;",",","&amp;SUBSTITUTE('1L Screening Matrix'!$K$2:$K$77,", ",",")&amp;","))*('1L Screening Matrix'!$Q$2:$Q$77="Stage IV + Other"))</f>
        <v>0</v>
      </c>
      <c r="D37" s="11">
        <f>SUMPRODUCT(ISNUMBER(SEARCH(","&amp;$A37&amp;",",","&amp;SUBSTITUTE('1L Screening Matrix'!$K$2:$K$77,", ",",")&amp;","))*('1L Screening Matrix'!$Q$2:$Q$77="Stage III Only"))</f>
        <v>0</v>
      </c>
      <c r="E37" s="13">
        <f t="shared" si="0"/>
        <v>0</v>
      </c>
      <c r="F37" s="11">
        <f>SUMPRODUCT(ISNUMBER(SEARCH(","&amp;$A37&amp;",",","&amp;SUBSTITUTE('2L Screening Matrix'!$K$2:$K$46,", ",",")&amp;","))*('2L Screening Matrix'!$Q$2:$Q$46="Stage IV Only"))</f>
        <v>1</v>
      </c>
      <c r="G37" s="11">
        <f>SUMPRODUCT(ISNUMBER(SEARCH(","&amp;$A37&amp;",",","&amp;SUBSTITUTE('2L Screening Matrix'!$K$2:$K$46,", ",",")&amp;","))*('2L Screening Matrix'!$Q$2:$Q$46="Stage IV + Other"))</f>
        <v>0</v>
      </c>
      <c r="H37" s="11">
        <f>SUMPRODUCT(ISNUMBER(SEARCH(","&amp;$A37&amp;",",","&amp;SUBSTITUTE('2L Screening Matrix'!$K$2:$K$46,", ",",")&amp;","))*('2L Screening Matrix'!$Q$2:$Q$46="Stage III Only"))</f>
        <v>0</v>
      </c>
      <c r="I37" s="13">
        <f t="shared" si="1"/>
        <v>1</v>
      </c>
      <c r="J37" s="14">
        <f t="shared" si="2"/>
        <v>1</v>
      </c>
      <c r="K37" s="5" t="str">
        <f ca="1">IFERROR(_xludf.textjoin(", ",TRUE(),IF(ISNUMBER(SEARCH(","&amp;$A37&amp;",",","&amp;SUBSTITUTE('1L Screening Matrix'!$K$2:$K$77,", ",",")&amp;",")),'1L Screening Matrix'!$C$2:$C$77,"")),"")</f>
        <v/>
      </c>
      <c r="L37" s="5" t="str">
        <f ca="1">IFERROR(_xludf.textjoin(", ",TRUE(),IF(ISNUMBER(SEARCH(","&amp;$A37&amp;",",","&amp;SUBSTITUTE('2L Screening Matrix'!$K$2:$K$46,", ",",")&amp;",")),'2L Screening Matrix'!$C$2:$C$46,"")),"")</f>
        <v/>
      </c>
    </row>
    <row r="38" spans="1:12" ht="15" customHeight="1" x14ac:dyDescent="0.2">
      <c r="A38" s="12" t="s">
        <v>2084</v>
      </c>
      <c r="B38" s="11">
        <f>SUMPRODUCT(ISNUMBER(SEARCH(","&amp;$A38&amp;",",","&amp;SUBSTITUTE('1L Screening Matrix'!$K$2:$K$77,", ",",")&amp;","))*('1L Screening Matrix'!$Q$2:$Q$77="Stage IV Only"))</f>
        <v>0</v>
      </c>
      <c r="C38" s="11">
        <f>SUMPRODUCT(ISNUMBER(SEARCH(","&amp;$A38&amp;",",","&amp;SUBSTITUTE('1L Screening Matrix'!$K$2:$K$77,", ",",")&amp;","))*('1L Screening Matrix'!$Q$2:$Q$77="Stage IV + Other"))</f>
        <v>0</v>
      </c>
      <c r="D38" s="11">
        <f>SUMPRODUCT(ISNUMBER(SEARCH(","&amp;$A38&amp;",",","&amp;SUBSTITUTE('1L Screening Matrix'!$K$2:$K$77,", ",",")&amp;","))*('1L Screening Matrix'!$Q$2:$Q$77="Stage III Only"))</f>
        <v>1</v>
      </c>
      <c r="E38" s="13">
        <f t="shared" si="0"/>
        <v>1</v>
      </c>
      <c r="F38" s="11">
        <f>SUMPRODUCT(ISNUMBER(SEARCH(","&amp;$A38&amp;",",","&amp;SUBSTITUTE('2L Screening Matrix'!$K$2:$K$46,", ",",")&amp;","))*('2L Screening Matrix'!$Q$2:$Q$46="Stage IV Only"))</f>
        <v>0</v>
      </c>
      <c r="G38" s="11">
        <f>SUMPRODUCT(ISNUMBER(SEARCH(","&amp;$A38&amp;",",","&amp;SUBSTITUTE('2L Screening Matrix'!$K$2:$K$46,", ",",")&amp;","))*('2L Screening Matrix'!$Q$2:$Q$46="Stage IV + Other"))</f>
        <v>1</v>
      </c>
      <c r="H38" s="11">
        <f>SUMPRODUCT(ISNUMBER(SEARCH(","&amp;$A38&amp;",",","&amp;SUBSTITUTE('2L Screening Matrix'!$K$2:$K$46,", ",",")&amp;","))*('2L Screening Matrix'!$Q$2:$Q$46="Stage III Only"))</f>
        <v>0</v>
      </c>
      <c r="I38" s="13">
        <f t="shared" si="1"/>
        <v>1</v>
      </c>
      <c r="J38" s="14">
        <f t="shared" si="2"/>
        <v>2</v>
      </c>
      <c r="K38" s="5" t="str">
        <f ca="1">IFERROR(_xludf.textjoin(", ",TRUE(),IF(ISNUMBER(SEARCH(","&amp;$A38&amp;",",","&amp;SUBSTITUTE('1L Screening Matrix'!$K$2:$K$77,", ",",")&amp;",")),'1L Screening Matrix'!$C$2:$C$77,"")),"")</f>
        <v/>
      </c>
      <c r="L38" s="5" t="str">
        <f ca="1">IFERROR(_xludf.textjoin(", ",TRUE(),IF(ISNUMBER(SEARCH(","&amp;$A38&amp;",",","&amp;SUBSTITUTE('2L Screening Matrix'!$K$2:$K$46,", ",",")&amp;",")),'2L Screening Matrix'!$C$2:$C$46,"")),"")</f>
        <v/>
      </c>
    </row>
    <row r="39" spans="1:12" ht="15" customHeight="1" x14ac:dyDescent="0.2">
      <c r="A39" s="15" t="s">
        <v>865</v>
      </c>
      <c r="B39" s="11">
        <f>SUMPRODUCT(ISNUMBER(SEARCH(","&amp;$A39&amp;",",","&amp;SUBSTITUTE('1L Screening Matrix'!$K$2:$K$77,", ",",")&amp;","))*('1L Screening Matrix'!$Q$2:$Q$77="Stage IV Only"))</f>
        <v>0</v>
      </c>
      <c r="C39" s="11">
        <f>SUMPRODUCT(ISNUMBER(SEARCH(","&amp;$A39&amp;",",","&amp;SUBSTITUTE('1L Screening Matrix'!$K$2:$K$77,", ",",")&amp;","))*('1L Screening Matrix'!$Q$2:$Q$77="Stage IV + Other"))</f>
        <v>2</v>
      </c>
      <c r="D39" s="11">
        <f>SUMPRODUCT(ISNUMBER(SEARCH(","&amp;$A39&amp;",",","&amp;SUBSTITUTE('1L Screening Matrix'!$K$2:$K$77,", ",",")&amp;","))*('1L Screening Matrix'!$Q$2:$Q$77="Stage III Only"))</f>
        <v>1</v>
      </c>
      <c r="E39" s="13">
        <f t="shared" si="0"/>
        <v>3</v>
      </c>
      <c r="F39" s="11">
        <f>SUMPRODUCT(ISNUMBER(SEARCH(","&amp;$A39&amp;",",","&amp;SUBSTITUTE('2L Screening Matrix'!$K$2:$K$46,", ",",")&amp;","))*('2L Screening Matrix'!$Q$2:$Q$46="Stage IV Only"))</f>
        <v>0</v>
      </c>
      <c r="G39" s="11">
        <f>SUMPRODUCT(ISNUMBER(SEARCH(","&amp;$A39&amp;",",","&amp;SUBSTITUTE('2L Screening Matrix'!$K$2:$K$46,", ",",")&amp;","))*('2L Screening Matrix'!$Q$2:$Q$46="Stage IV + Other"))</f>
        <v>1</v>
      </c>
      <c r="H39" s="11">
        <f>SUMPRODUCT(ISNUMBER(SEARCH(","&amp;$A39&amp;",",","&amp;SUBSTITUTE('2L Screening Matrix'!$K$2:$K$46,", ",",")&amp;","))*('2L Screening Matrix'!$Q$2:$Q$46="Stage III Only"))</f>
        <v>0</v>
      </c>
      <c r="I39" s="13">
        <f t="shared" si="1"/>
        <v>1</v>
      </c>
      <c r="J39" s="14">
        <f t="shared" si="2"/>
        <v>4</v>
      </c>
      <c r="K39" s="5" t="str">
        <f ca="1">IFERROR(_xludf.textjoin(", ",TRUE(),IF(ISNUMBER(SEARCH(","&amp;$A39&amp;",",","&amp;SUBSTITUTE('1L Screening Matrix'!$K$2:$K$77,", ",",")&amp;",")),'1L Screening Matrix'!$C$2:$C$77,"")),"")</f>
        <v/>
      </c>
      <c r="L39" s="5" t="str">
        <f ca="1">IFERROR(_xludf.textjoin(", ",TRUE(),IF(ISNUMBER(SEARCH(","&amp;$A39&amp;",",","&amp;SUBSTITUTE('2L Screening Matrix'!$K$2:$K$46,", ",",")&amp;",")),'2L Screening Matrix'!$C$2:$C$46,"")),"")</f>
        <v/>
      </c>
    </row>
    <row r="40" spans="1:12" ht="15" customHeight="1" x14ac:dyDescent="0.2">
      <c r="A40" s="12" t="s">
        <v>1002</v>
      </c>
      <c r="B40" s="11">
        <f>SUMPRODUCT(ISNUMBER(SEARCH(","&amp;$A40&amp;",",","&amp;SUBSTITUTE('1L Screening Matrix'!$K$2:$K$77,", ",",")&amp;","))*('1L Screening Matrix'!$Q$2:$Q$77="Stage IV Only"))</f>
        <v>0</v>
      </c>
      <c r="C40" s="11">
        <f>SUMPRODUCT(ISNUMBER(SEARCH(","&amp;$A40&amp;",",","&amp;SUBSTITUTE('1L Screening Matrix'!$K$2:$K$77,", ",",")&amp;","))*('1L Screening Matrix'!$Q$2:$Q$77="Stage IV + Other"))</f>
        <v>0</v>
      </c>
      <c r="D40" s="11">
        <f>SUMPRODUCT(ISNUMBER(SEARCH(","&amp;$A40&amp;",",","&amp;SUBSTITUTE('1L Screening Matrix'!$K$2:$K$77,", ",",")&amp;","))*('1L Screening Matrix'!$Q$2:$Q$77="Stage III Only"))</f>
        <v>0</v>
      </c>
      <c r="E40" s="13">
        <f t="shared" si="0"/>
        <v>0</v>
      </c>
      <c r="F40" s="11">
        <f>SUMPRODUCT(ISNUMBER(SEARCH(","&amp;$A40&amp;",",","&amp;SUBSTITUTE('2L Screening Matrix'!$K$2:$K$46,", ",",")&amp;","))*('2L Screening Matrix'!$Q$2:$Q$46="Stage IV Only"))</f>
        <v>0</v>
      </c>
      <c r="G40" s="11">
        <f>SUMPRODUCT(ISNUMBER(SEARCH(","&amp;$A40&amp;",",","&amp;SUBSTITUTE('2L Screening Matrix'!$K$2:$K$46,", ",",")&amp;","))*('2L Screening Matrix'!$Q$2:$Q$46="Stage IV + Other"))</f>
        <v>1</v>
      </c>
      <c r="H40" s="11">
        <f>SUMPRODUCT(ISNUMBER(SEARCH(","&amp;$A40&amp;",",","&amp;SUBSTITUTE('2L Screening Matrix'!$K$2:$K$46,", ",",")&amp;","))*('2L Screening Matrix'!$Q$2:$Q$46="Stage III Only"))</f>
        <v>0</v>
      </c>
      <c r="I40" s="13">
        <f t="shared" si="1"/>
        <v>1</v>
      </c>
      <c r="J40" s="14">
        <f t="shared" si="2"/>
        <v>1</v>
      </c>
      <c r="K40" s="5" t="str">
        <f ca="1">IFERROR(_xludf.textjoin(", ",TRUE(),IF(ISNUMBER(SEARCH(","&amp;$A40&amp;",",","&amp;SUBSTITUTE('1L Screening Matrix'!$K$2:$K$77,", ",",")&amp;",")),'1L Screening Matrix'!$C$2:$C$77,"")),"")</f>
        <v/>
      </c>
      <c r="L40" s="5" t="str">
        <f ca="1">IFERROR(_xludf.textjoin(", ",TRUE(),IF(ISNUMBER(SEARCH(","&amp;$A40&amp;",",","&amp;SUBSTITUTE('2L Screening Matrix'!$K$2:$K$46,", ",",")&amp;",")),'2L Screening Matrix'!$C$2:$C$46,"")),"")</f>
        <v/>
      </c>
    </row>
    <row r="41" spans="1:12" ht="15" customHeight="1" x14ac:dyDescent="0.2">
      <c r="A41" s="15" t="s">
        <v>1772</v>
      </c>
      <c r="B41" s="11">
        <f>SUMPRODUCT(ISNUMBER(SEARCH(","&amp;$A41&amp;",",","&amp;SUBSTITUTE('1L Screening Matrix'!$K$2:$K$77,", ",",")&amp;","))*('1L Screening Matrix'!$Q$2:$Q$77="Stage IV Only"))</f>
        <v>0</v>
      </c>
      <c r="C41" s="11">
        <f>SUMPRODUCT(ISNUMBER(SEARCH(","&amp;$A41&amp;",",","&amp;SUBSTITUTE('1L Screening Matrix'!$K$2:$K$77,", ",",")&amp;","))*('1L Screening Matrix'!$Q$2:$Q$77="Stage IV + Other"))</f>
        <v>0</v>
      </c>
      <c r="D41" s="11">
        <f>SUMPRODUCT(ISNUMBER(SEARCH(","&amp;$A41&amp;",",","&amp;SUBSTITUTE('1L Screening Matrix'!$K$2:$K$77,", ",",")&amp;","))*('1L Screening Matrix'!$Q$2:$Q$77="Stage III Only"))</f>
        <v>0</v>
      </c>
      <c r="E41" s="13">
        <f t="shared" si="0"/>
        <v>0</v>
      </c>
      <c r="F41" s="11">
        <f>SUMPRODUCT(ISNUMBER(SEARCH(","&amp;$A41&amp;",",","&amp;SUBSTITUTE('2L Screening Matrix'!$K$2:$K$46,", ",",")&amp;","))*('2L Screening Matrix'!$Q$2:$Q$46="Stage IV Only"))</f>
        <v>2</v>
      </c>
      <c r="G41" s="11">
        <f>SUMPRODUCT(ISNUMBER(SEARCH(","&amp;$A41&amp;",",","&amp;SUBSTITUTE('2L Screening Matrix'!$K$2:$K$46,", ",",")&amp;","))*('2L Screening Matrix'!$Q$2:$Q$46="Stage IV + Other"))</f>
        <v>0</v>
      </c>
      <c r="H41" s="11">
        <f>SUMPRODUCT(ISNUMBER(SEARCH(","&amp;$A41&amp;",",","&amp;SUBSTITUTE('2L Screening Matrix'!$K$2:$K$46,", ",",")&amp;","))*('2L Screening Matrix'!$Q$2:$Q$46="Stage III Only"))</f>
        <v>0</v>
      </c>
      <c r="I41" s="13">
        <f t="shared" si="1"/>
        <v>2</v>
      </c>
      <c r="J41" s="14">
        <f t="shared" si="2"/>
        <v>2</v>
      </c>
      <c r="K41" s="5" t="str">
        <f ca="1">IFERROR(_xludf.textjoin(", ",TRUE(),IF(ISNUMBER(SEARCH(","&amp;$A41&amp;",",","&amp;SUBSTITUTE('1L Screening Matrix'!$K$2:$K$77,", ",",")&amp;",")),'1L Screening Matrix'!$C$2:$C$77,"")),"")</f>
        <v/>
      </c>
      <c r="L41" s="5" t="str">
        <f ca="1">IFERROR(_xludf.textjoin(", ",TRUE(),IF(ISNUMBER(SEARCH(","&amp;$A41&amp;",",","&amp;SUBSTITUTE('2L Screening Matrix'!$K$2:$K$46,", ",",")&amp;",")),'2L Screening Matrix'!$C$2:$C$46,"")),"")</f>
        <v/>
      </c>
    </row>
    <row r="42" spans="1:12" ht="15" customHeight="1" x14ac:dyDescent="0.2">
      <c r="A42" s="12" t="s">
        <v>2112</v>
      </c>
      <c r="B42" s="11">
        <f>SUMPRODUCT(ISNUMBER(SEARCH(","&amp;$A42&amp;",",","&amp;SUBSTITUTE('1L Screening Matrix'!$K$2:$K$77,", ",",")&amp;","))*('1L Screening Matrix'!$Q$2:$Q$77="Stage IV Only"))</f>
        <v>0</v>
      </c>
      <c r="C42" s="11">
        <f>SUMPRODUCT(ISNUMBER(SEARCH(","&amp;$A42&amp;",",","&amp;SUBSTITUTE('1L Screening Matrix'!$K$2:$K$77,", ",",")&amp;","))*('1L Screening Matrix'!$Q$2:$Q$77="Stage IV + Other"))</f>
        <v>0</v>
      </c>
      <c r="D42" s="11">
        <f>SUMPRODUCT(ISNUMBER(SEARCH(","&amp;$A42&amp;",",","&amp;SUBSTITUTE('1L Screening Matrix'!$K$2:$K$77,", ",",")&amp;","))*('1L Screening Matrix'!$Q$2:$Q$77="Stage III Only"))</f>
        <v>0</v>
      </c>
      <c r="E42" s="13">
        <f t="shared" si="0"/>
        <v>0</v>
      </c>
      <c r="F42" s="11">
        <f>SUMPRODUCT(ISNUMBER(SEARCH(","&amp;$A42&amp;",",","&amp;SUBSTITUTE('2L Screening Matrix'!$K$2:$K$46,", ",",")&amp;","))*('2L Screening Matrix'!$Q$2:$Q$46="Stage IV Only"))</f>
        <v>0</v>
      </c>
      <c r="G42" s="11">
        <f>SUMPRODUCT(ISNUMBER(SEARCH(","&amp;$A42&amp;",",","&amp;SUBSTITUTE('2L Screening Matrix'!$K$2:$K$46,", ",",")&amp;","))*('2L Screening Matrix'!$Q$2:$Q$46="Stage IV + Other"))</f>
        <v>1</v>
      </c>
      <c r="H42" s="11">
        <f>SUMPRODUCT(ISNUMBER(SEARCH(","&amp;$A42&amp;",",","&amp;SUBSTITUTE('2L Screening Matrix'!$K$2:$K$46,", ",",")&amp;","))*('2L Screening Matrix'!$Q$2:$Q$46="Stage III Only"))</f>
        <v>0</v>
      </c>
      <c r="I42" s="13">
        <f t="shared" si="1"/>
        <v>1</v>
      </c>
      <c r="J42" s="14">
        <f t="shared" si="2"/>
        <v>1</v>
      </c>
      <c r="K42" s="5" t="str">
        <f ca="1">IFERROR(_xludf.textjoin(", ",TRUE(),IF(ISNUMBER(SEARCH(","&amp;$A42&amp;",",","&amp;SUBSTITUTE('1L Screening Matrix'!$K$2:$K$77,", ",",")&amp;",")),'1L Screening Matrix'!$C$2:$C$77,"")),"")</f>
        <v/>
      </c>
      <c r="L42" s="5" t="str">
        <f ca="1">IFERROR(_xludf.textjoin(", ",TRUE(),IF(ISNUMBER(SEARCH(","&amp;$A42&amp;",",","&amp;SUBSTITUTE('2L Screening Matrix'!$K$2:$K$46,", ",",")&amp;",")),'2L Screening Matrix'!$C$2:$C$46,"")),"")</f>
        <v/>
      </c>
    </row>
    <row r="43" spans="1:12" ht="15" customHeight="1" x14ac:dyDescent="0.2">
      <c r="A43" s="15" t="s">
        <v>907</v>
      </c>
      <c r="B43" s="11">
        <f>SUMPRODUCT(ISNUMBER(SEARCH(","&amp;$A43&amp;",",","&amp;SUBSTITUTE('1L Screening Matrix'!$K$2:$K$77,", ",",")&amp;","))*('1L Screening Matrix'!$Q$2:$Q$77="Stage IV Only"))</f>
        <v>2</v>
      </c>
      <c r="C43" s="11">
        <f>SUMPRODUCT(ISNUMBER(SEARCH(","&amp;$A43&amp;",",","&amp;SUBSTITUTE('1L Screening Matrix'!$K$2:$K$77,", ",",")&amp;","))*('1L Screening Matrix'!$Q$2:$Q$77="Stage IV + Other"))</f>
        <v>0</v>
      </c>
      <c r="D43" s="11">
        <f>SUMPRODUCT(ISNUMBER(SEARCH(","&amp;$A43&amp;",",","&amp;SUBSTITUTE('1L Screening Matrix'!$K$2:$K$77,", ",",")&amp;","))*('1L Screening Matrix'!$Q$2:$Q$77="Stage III Only"))</f>
        <v>0</v>
      </c>
      <c r="E43" s="13">
        <f t="shared" si="0"/>
        <v>2</v>
      </c>
      <c r="F43" s="11">
        <f>SUMPRODUCT(ISNUMBER(SEARCH(","&amp;$A43&amp;",",","&amp;SUBSTITUTE('2L Screening Matrix'!$K$2:$K$46,", ",",")&amp;","))*('2L Screening Matrix'!$Q$2:$Q$46="Stage IV Only"))</f>
        <v>0</v>
      </c>
      <c r="G43" s="11">
        <f>SUMPRODUCT(ISNUMBER(SEARCH(","&amp;$A43&amp;",",","&amp;SUBSTITUTE('2L Screening Matrix'!$K$2:$K$46,", ",",")&amp;","))*('2L Screening Matrix'!$Q$2:$Q$46="Stage IV + Other"))</f>
        <v>0</v>
      </c>
      <c r="H43" s="11">
        <f>SUMPRODUCT(ISNUMBER(SEARCH(","&amp;$A43&amp;",",","&amp;SUBSTITUTE('2L Screening Matrix'!$K$2:$K$46,", ",",")&amp;","))*('2L Screening Matrix'!$Q$2:$Q$46="Stage III Only"))</f>
        <v>0</v>
      </c>
      <c r="I43" s="13">
        <f t="shared" si="1"/>
        <v>0</v>
      </c>
      <c r="J43" s="14">
        <f t="shared" si="2"/>
        <v>2</v>
      </c>
      <c r="K43" s="5" t="str">
        <f ca="1">IFERROR(_xludf.textjoin(", ",TRUE(),IF(ISNUMBER(SEARCH(","&amp;$A43&amp;",",","&amp;SUBSTITUTE('1L Screening Matrix'!$K$2:$K$77,", ",",")&amp;",")),'1L Screening Matrix'!$C$2:$C$77,"")),"")</f>
        <v/>
      </c>
      <c r="L43" s="5" t="str">
        <f ca="1">IFERROR(_xludf.textjoin(", ",TRUE(),IF(ISNUMBER(SEARCH(","&amp;$A43&amp;",",","&amp;SUBSTITUTE('2L Screening Matrix'!$K$2:$K$46,", ",",")&amp;",")),'2L Screening Matrix'!$C$2:$C$46,"")),"")</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57"/>
  <sheetViews>
    <sheetView tabSelected="1" zoomScaleNormal="100" workbookViewId="0">
      <pane xSplit="1" ySplit="1" topLeftCell="B2" activePane="bottomRight" state="frozen"/>
      <selection pane="topRight" activeCell="B1" sqref="B1"/>
      <selection pane="bottomLeft" activeCell="A2" sqref="A2"/>
      <selection pane="bottomRight" activeCell="AC25" sqref="AC25"/>
    </sheetView>
  </sheetViews>
  <sheetFormatPr baseColWidth="10" defaultColWidth="8.6640625" defaultRowHeight="15" customHeight="1" x14ac:dyDescent="0.2"/>
  <cols>
    <col min="1" max="1" width="25" customWidth="1"/>
    <col min="2" max="38" width="6" customWidth="1"/>
    <col min="39" max="39" width="8" customWidth="1"/>
  </cols>
  <sheetData>
    <row r="1" spans="1:39" ht="68.25" customHeight="1" x14ac:dyDescent="0.2">
      <c r="A1" s="2" t="s">
        <v>2113</v>
      </c>
      <c r="B1" s="16" t="s">
        <v>2083</v>
      </c>
      <c r="C1" s="16" t="s">
        <v>2048</v>
      </c>
      <c r="D1" s="16" t="s">
        <v>2094</v>
      </c>
      <c r="E1" s="16" t="s">
        <v>2095</v>
      </c>
      <c r="F1" s="16" t="s">
        <v>881</v>
      </c>
      <c r="G1" s="16" t="s">
        <v>2045</v>
      </c>
      <c r="H1" s="16" t="s">
        <v>2047</v>
      </c>
      <c r="I1" s="16" t="s">
        <v>232</v>
      </c>
      <c r="J1" s="16" t="s">
        <v>118</v>
      </c>
      <c r="K1" s="16" t="s">
        <v>2057</v>
      </c>
      <c r="L1" s="16" t="s">
        <v>2061</v>
      </c>
      <c r="M1" s="16" t="s">
        <v>2078</v>
      </c>
      <c r="N1" s="16" t="s">
        <v>905</v>
      </c>
      <c r="O1" s="16" t="s">
        <v>180</v>
      </c>
      <c r="P1" s="16" t="s">
        <v>256</v>
      </c>
      <c r="Q1" s="16" t="s">
        <v>1002</v>
      </c>
      <c r="R1" s="16" t="s">
        <v>1772</v>
      </c>
      <c r="S1" s="16" t="s">
        <v>2062</v>
      </c>
      <c r="T1" s="16" t="s">
        <v>865</v>
      </c>
      <c r="U1" s="16" t="s">
        <v>2090</v>
      </c>
      <c r="V1" s="16" t="s">
        <v>2056</v>
      </c>
      <c r="W1" s="16" t="s">
        <v>2085</v>
      </c>
      <c r="X1" s="16" t="s">
        <v>2070</v>
      </c>
      <c r="Y1" s="16" t="s">
        <v>2087</v>
      </c>
      <c r="Z1" s="16" t="s">
        <v>2051</v>
      </c>
      <c r="AA1" s="16" t="s">
        <v>2055</v>
      </c>
      <c r="AB1" s="16" t="s">
        <v>1032</v>
      </c>
      <c r="AC1" s="16" t="s">
        <v>2068</v>
      </c>
      <c r="AD1" s="16" t="s">
        <v>2069</v>
      </c>
      <c r="AE1" s="16" t="s">
        <v>1317</v>
      </c>
      <c r="AF1" s="16" t="s">
        <v>2064</v>
      </c>
      <c r="AG1" s="16" t="s">
        <v>2043</v>
      </c>
      <c r="AH1" s="16" t="s">
        <v>2046</v>
      </c>
      <c r="AI1" s="16" t="s">
        <v>2077</v>
      </c>
      <c r="AJ1" s="16" t="s">
        <v>2081</v>
      </c>
      <c r="AK1" s="16" t="s">
        <v>1345</v>
      </c>
      <c r="AL1" s="16" t="s">
        <v>2074</v>
      </c>
      <c r="AM1" s="2" t="s">
        <v>2114</v>
      </c>
    </row>
    <row r="2" spans="1:39" ht="15" customHeight="1" x14ac:dyDescent="0.2">
      <c r="A2" s="12" t="s">
        <v>1432</v>
      </c>
      <c r="B2" s="11">
        <f>SUMPRODUCT(ISNUMBER(SEARCH(",PD-1,",","&amp;SUBSTITUTE('1L Screening Matrix'!$I$2:$I$77,", ",",")&amp;","))*('1L Screening Matrix'!$C$2:$C$77=$A2))+SUMPRODUCT(ISNUMBER(SEARCH(",PD-1,",","&amp;SUBSTITUTE('2L Screening Matrix'!$I$2:$I$46,", ",",")&amp;","))*('2L Screening Matrix'!$C$2:$C$46=$A2))</f>
        <v>2</v>
      </c>
      <c r="C2" s="11">
        <f>SUMPRODUCT(ISNUMBER(SEARCH(",CD279,",","&amp;SUBSTITUTE('1L Screening Matrix'!$I$2:$I$77,", ",",")&amp;","))*('1L Screening Matrix'!$C$2:$C$77=$A2))+SUMPRODUCT(ISNUMBER(SEARCH(",CD279,",","&amp;SUBSTITUTE('2L Screening Matrix'!$I$2:$I$46,", ",",")&amp;","))*('2L Screening Matrix'!$C$2:$C$46=$A2))</f>
        <v>2</v>
      </c>
      <c r="D2" s="11">
        <f>SUMPRODUCT(ISNUMBER(SEARCH(",TS,",","&amp;SUBSTITUTE('1L Screening Matrix'!$I$2:$I$77,", ",",")&amp;","))*('1L Screening Matrix'!$C$2:$C$77=$A2))+SUMPRODUCT(ISNUMBER(SEARCH(",TS,",","&amp;SUBSTITUTE('2L Screening Matrix'!$I$2:$I$46,", ",",")&amp;","))*('2L Screening Matrix'!$C$2:$C$46=$A2))</f>
        <v>1</v>
      </c>
      <c r="E2" s="11">
        <f>SUMPRODUCT(ISNUMBER(SEARCH(",TYMS,",","&amp;SUBSTITUTE('1L Screening Matrix'!$I$2:$I$77,", ",",")&amp;","))*('1L Screening Matrix'!$C$2:$C$77=$A2))+SUMPRODUCT(ISNUMBER(SEARCH(",TYMS,",","&amp;SUBSTITUTE('2L Screening Matrix'!$I$2:$I$46,", ",",")&amp;","))*('2L Screening Matrix'!$C$2:$C$46=$A2))</f>
        <v>1</v>
      </c>
      <c r="F2" s="11">
        <f>SUMPRODUCT(ISNUMBER(SEARCH(",PD-L1,",","&amp;SUBSTITUTE('1L Screening Matrix'!$I$2:$I$77,", ",",")&amp;","))*('1L Screening Matrix'!$C$2:$C$77=$A2))+SUMPRODUCT(ISNUMBER(SEARCH(",PD-L1,",","&amp;SUBSTITUTE('2L Screening Matrix'!$I$2:$I$46,", ",",")&amp;","))*('2L Screening Matrix'!$C$2:$C$46=$A2))</f>
        <v>0</v>
      </c>
      <c r="G2" s="11">
        <f>SUMPRODUCT(ISNUMBER(SEARCH(",B7-H1,",","&amp;SUBSTITUTE('1L Screening Matrix'!$I$2:$I$77,", ",",")&amp;","))*('1L Screening Matrix'!$C$2:$C$77=$A2))+SUMPRODUCT(ISNUMBER(SEARCH(",B7-H1,",","&amp;SUBSTITUTE('2L Screening Matrix'!$I$2:$I$46,", ",",")&amp;","))*('2L Screening Matrix'!$C$2:$C$46=$A2))</f>
        <v>0</v>
      </c>
      <c r="H2" s="11">
        <f>SUMPRODUCT(ISNUMBER(SEARCH(",CD274,",","&amp;SUBSTITUTE('1L Screening Matrix'!$I$2:$I$77,", ",",")&amp;","))*('1L Screening Matrix'!$C$2:$C$77=$A2))+SUMPRODUCT(ISNUMBER(SEARCH(",CD274,",","&amp;SUBSTITUTE('2L Screening Matrix'!$I$2:$I$46,", ",",")&amp;","))*('2L Screening Matrix'!$C$2:$C$46=$A2))</f>
        <v>0</v>
      </c>
      <c r="I2" s="11">
        <f>SUMPRODUCT(ISNUMBER(SEARCH(",EGFR,",","&amp;SUBSTITUTE('1L Screening Matrix'!$I$2:$I$77,", ",",")&amp;","))*('1L Screening Matrix'!$C$2:$C$77=$A2))+SUMPRODUCT(ISNUMBER(SEARCH(",EGFR,",","&amp;SUBSTITUTE('2L Screening Matrix'!$I$2:$I$46,", ",",")&amp;","))*('2L Screening Matrix'!$C$2:$C$46=$A2))</f>
        <v>0</v>
      </c>
      <c r="J2" s="11">
        <f>SUMPRODUCT(ISNUMBER(SEARCH(",VEGF,",","&amp;SUBSTITUTE('1L Screening Matrix'!$I$2:$I$77,", ",",")&amp;","))*('1L Screening Matrix'!$C$2:$C$77=$A2))+SUMPRODUCT(ISNUMBER(SEARCH(",VEGF,",","&amp;SUBSTITUTE('2L Screening Matrix'!$I$2:$I$46,", ",",")&amp;","))*('2L Screening Matrix'!$C$2:$C$46=$A2))</f>
        <v>1</v>
      </c>
      <c r="K2" s="11">
        <f>SUMPRODUCT(ISNUMBER(SEARCH(",ERBB,",","&amp;SUBSTITUTE('1L Screening Matrix'!$I$2:$I$77,", ",",")&amp;","))*('1L Screening Matrix'!$C$2:$C$77=$A2))+SUMPRODUCT(ISNUMBER(SEARCH(",ERBB,",","&amp;SUBSTITUTE('2L Screening Matrix'!$I$2:$I$46,", ",",")&amp;","))*('2L Screening Matrix'!$C$2:$C$46=$A2))</f>
        <v>0</v>
      </c>
      <c r="L2" s="11">
        <f>SUMPRODUCT(ISNUMBER(SEARCH(",HER1,",","&amp;SUBSTITUTE('1L Screening Matrix'!$I$2:$I$77,", ",",")&amp;","))*('1L Screening Matrix'!$C$2:$C$77=$A2))+SUMPRODUCT(ISNUMBER(SEARCH(",HER1,",","&amp;SUBSTITUTE('2L Screening Matrix'!$I$2:$I$46,", ",",")&amp;","))*('2L Screening Matrix'!$C$2:$C$46=$A2))</f>
        <v>0</v>
      </c>
      <c r="M2" s="11">
        <f>SUMPRODUCT(ISNUMBER(SEARCH(",Microtubule,",","&amp;SUBSTITUTE('1L Screening Matrix'!$I$2:$I$77,", ",",")&amp;","))*('1L Screening Matrix'!$C$2:$C$77=$A2))+SUMPRODUCT(ISNUMBER(SEARCH(",Microtubule,",","&amp;SUBSTITUTE('2L Screening Matrix'!$I$2:$I$46,", ",",")&amp;","))*('2L Screening Matrix'!$C$2:$C$46=$A2))</f>
        <v>1</v>
      </c>
      <c r="N2" s="11">
        <f>SUMPRODUCT(ISNUMBER(SEARCH(",KRAS G12C,",","&amp;SUBSTITUTE('1L Screening Matrix'!$I$2:$I$77,", ",",")&amp;","))*('1L Screening Matrix'!$C$2:$C$77=$A2))+SUMPRODUCT(ISNUMBER(SEARCH(",KRAS G12C,",","&amp;SUBSTITUTE('2L Screening Matrix'!$I$2:$I$46,", ",",")&amp;","))*('2L Screening Matrix'!$C$2:$C$46=$A2))</f>
        <v>0</v>
      </c>
      <c r="O2" s="11">
        <f>SUMPRODUCT(ISNUMBER(SEARCH(",EGFR T790M,",","&amp;SUBSTITUTE('1L Screening Matrix'!$I$2:$I$77,", ",",")&amp;","))*('1L Screening Matrix'!$C$2:$C$77=$A2))+SUMPRODUCT(ISNUMBER(SEARCH(",EGFR T790M,",","&amp;SUBSTITUTE('2L Screening Matrix'!$I$2:$I$46,", ",",")&amp;","))*('2L Screening Matrix'!$C$2:$C$46=$A2))</f>
        <v>0</v>
      </c>
      <c r="P2" s="11">
        <f>SUMPRODUCT(ISNUMBER(SEARCH(",ALK,",","&amp;SUBSTITUTE('1L Screening Matrix'!$I$2:$I$77,", ",",")&amp;","))*('1L Screening Matrix'!$C$2:$C$77=$A2))+SUMPRODUCT(ISNUMBER(SEARCH(",ALK,",","&amp;SUBSTITUTE('2L Screening Matrix'!$I$2:$I$46,", ",",")&amp;","))*('2L Screening Matrix'!$C$2:$C$46=$A2))</f>
        <v>0</v>
      </c>
      <c r="Q2" s="11">
        <f>SUMPRODUCT(ISNUMBER(SEARCH(",TROP2,",","&amp;SUBSTITUTE('1L Screening Matrix'!$I$2:$I$77,", ",",")&amp;","))*('1L Screening Matrix'!$C$2:$C$77=$A2))+SUMPRODUCT(ISNUMBER(SEARCH(",TROP2,",","&amp;SUBSTITUTE('2L Screening Matrix'!$I$2:$I$46,", ",",")&amp;","))*('2L Screening Matrix'!$C$2:$C$46=$A2))</f>
        <v>0</v>
      </c>
      <c r="R2" s="11">
        <f>SUMPRODUCT(ISNUMBER(SEARCH(",c-MET/MET,",","&amp;SUBSTITUTE('1L Screening Matrix'!$I$2:$I$77,", ",",")&amp;","))*('1L Screening Matrix'!$C$2:$C$77=$A2))+SUMPRODUCT(ISNUMBER(SEARCH(",c-MET/MET,",","&amp;SUBSTITUTE('2L Screening Matrix'!$I$2:$I$46,", ",",")&amp;","))*('2L Screening Matrix'!$C$2:$C$46=$A2))</f>
        <v>2</v>
      </c>
      <c r="S2" s="11">
        <f>SUMPRODUCT(ISNUMBER(SEARCH(",HER2,",","&amp;SUBSTITUTE('1L Screening Matrix'!$I$2:$I$77,", ",",")&amp;","))*('1L Screening Matrix'!$C$2:$C$77=$A2))+SUMPRODUCT(ISNUMBER(SEARCH(",HER2,",","&amp;SUBSTITUTE('2L Screening Matrix'!$I$2:$I$46,", ",",")&amp;","))*('2L Screening Matrix'!$C$2:$C$46=$A2))</f>
        <v>0</v>
      </c>
      <c r="T2" s="11">
        <f>SUMPRODUCT(ISNUMBER(SEARCH(",ROS1,",","&amp;SUBSTITUTE('1L Screening Matrix'!$I$2:$I$77,", ",",")&amp;","))*('1L Screening Matrix'!$C$2:$C$77=$A2))+SUMPRODUCT(ISNUMBER(SEARCH(",ROS1,",","&amp;SUBSTITUTE('2L Screening Matrix'!$I$2:$I$46,", ",",")&amp;","))*('2L Screening Matrix'!$C$2:$C$46=$A2))</f>
        <v>0</v>
      </c>
      <c r="U2" s="11">
        <f>SUMPRODUCT(ISNUMBER(SEARCH(",TIGIT,",","&amp;SUBSTITUTE('1L Screening Matrix'!$I$2:$I$77,", ",",")&amp;","))*('1L Screening Matrix'!$C$2:$C$77=$A2))+SUMPRODUCT(ISNUMBER(SEARCH(",TIGIT,",","&amp;SUBSTITUTE('2L Screening Matrix'!$I$2:$I$46,", ",",")&amp;","))*('2L Screening Matrix'!$C$2:$C$46=$A2))</f>
        <v>0</v>
      </c>
      <c r="V2" s="11">
        <f>SUMPRODUCT(ISNUMBER(SEARCH(",EGFR L858R,",","&amp;SUBSTITUTE('1L Screening Matrix'!$I$2:$I$77,", ",",")&amp;","))*('1L Screening Matrix'!$C$2:$C$77=$A2))+SUMPRODUCT(ISNUMBER(SEARCH(",EGFR L858R,",","&amp;SUBSTITUTE('2L Screening Matrix'!$I$2:$I$46,", ",",")&amp;","))*('2L Screening Matrix'!$C$2:$C$46=$A2))</f>
        <v>0</v>
      </c>
      <c r="W2" s="11">
        <f>SUMPRODUCT(ISNUMBER(SEARCH(",ROS,",","&amp;SUBSTITUTE('1L Screening Matrix'!$I$2:$I$77,", ",",")&amp;","))*('1L Screening Matrix'!$C$2:$C$77=$A2))+SUMPRODUCT(ISNUMBER(SEARCH(",ROS,",","&amp;SUBSTITUTE('2L Screening Matrix'!$I$2:$I$46,", ",",")&amp;","))*('2L Screening Matrix'!$C$2:$C$46=$A2))</f>
        <v>0</v>
      </c>
      <c r="X2" s="11">
        <f>SUMPRODUCT(ISNUMBER(SEARCH(",IL-2,",","&amp;SUBSTITUTE('1L Screening Matrix'!$I$2:$I$77,", ",",")&amp;","))*('1L Screening Matrix'!$C$2:$C$77=$A2))+SUMPRODUCT(ISNUMBER(SEARCH(",IL-2,",","&amp;SUBSTITUTE('2L Screening Matrix'!$I$2:$I$46,", ",",")&amp;","))*('2L Screening Matrix'!$C$2:$C$46=$A2))</f>
        <v>0</v>
      </c>
      <c r="Y2" s="11">
        <f>SUMPRODUCT(ISNUMBER(SEARCH(",TCGF,",","&amp;SUBSTITUTE('1L Screening Matrix'!$I$2:$I$77,", ",",")&amp;","))*('1L Screening Matrix'!$C$2:$C$77=$A2))+SUMPRODUCT(ISNUMBER(SEARCH(",TCGF,",","&amp;SUBSTITUTE('2L Screening Matrix'!$I$2:$I$46,", ",",")&amp;","))*('2L Screening Matrix'!$C$2:$C$46=$A2))</f>
        <v>0</v>
      </c>
      <c r="Z2" s="11">
        <f>SUMPRODUCT(ISNUMBER(SEARCH(",CTLA-4,",","&amp;SUBSTITUTE('1L Screening Matrix'!$I$2:$I$77,", ",",")&amp;","))*('1L Screening Matrix'!$C$2:$C$77=$A2))+SUMPRODUCT(ISNUMBER(SEARCH(",CTLA-4,",","&amp;SUBSTITUTE('2L Screening Matrix'!$I$2:$I$46,", ",",")&amp;","))*('2L Screening Matrix'!$C$2:$C$46=$A2))</f>
        <v>0</v>
      </c>
      <c r="AA2" s="11">
        <f>SUMPRODUCT(ISNUMBER(SEARCH(",EGFR Exon 20,",","&amp;SUBSTITUTE('1L Screening Matrix'!$I$2:$I$77,", ",",")&amp;","))*('1L Screening Matrix'!$C$2:$C$77=$A2))+SUMPRODUCT(ISNUMBER(SEARCH(",EGFR Exon 20,",","&amp;SUBSTITUTE('2L Screening Matrix'!$I$2:$I$46,", ",",")&amp;","))*('2L Screening Matrix'!$C$2:$C$46=$A2))</f>
        <v>0</v>
      </c>
      <c r="AB2" s="11">
        <f>SUMPRODUCT(ISNUMBER(SEARCH(",HER2 Exon 20,",","&amp;SUBSTITUTE('1L Screening Matrix'!$I$2:$I$77,", ",",")&amp;","))*('1L Screening Matrix'!$C$2:$C$77=$A2))+SUMPRODUCT(ISNUMBER(SEARCH(",HER2 Exon 20,",","&amp;SUBSTITUTE('2L Screening Matrix'!$I$2:$I$46,", ",",")&amp;","))*('2L Screening Matrix'!$C$2:$C$46=$A2))</f>
        <v>0</v>
      </c>
      <c r="AC2" s="11">
        <f>SUMPRODUCT(ISNUMBER(SEARCH(",IL-15,",","&amp;SUBSTITUTE('1L Screening Matrix'!$I$2:$I$77,", ",",")&amp;","))*('1L Screening Matrix'!$C$2:$C$77=$A2))+SUMPRODUCT(ISNUMBER(SEARCH(",IL-15,",","&amp;SUBSTITUTE('2L Screening Matrix'!$I$2:$I$46,", ",",")&amp;","))*('2L Screening Matrix'!$C$2:$C$46=$A2))</f>
        <v>0</v>
      </c>
      <c r="AD2" s="11">
        <f>SUMPRODUCT(ISNUMBER(SEARCH(",IL-15R,",","&amp;SUBSTITUTE('1L Screening Matrix'!$I$2:$I$77,", ",",")&amp;","))*('1L Screening Matrix'!$C$2:$C$77=$A2))+SUMPRODUCT(ISNUMBER(SEARCH(",IL-15R,",","&amp;SUBSTITUTE('2L Screening Matrix'!$I$2:$I$46,", ",",")&amp;","))*('2L Screening Matrix'!$C$2:$C$46=$A2))</f>
        <v>0</v>
      </c>
      <c r="AE2" s="11">
        <f>SUMPRODUCT(ISNUMBER(SEARCH(",KRAS G12D,",","&amp;SUBSTITUTE('1L Screening Matrix'!$I$2:$I$77,", ",",")&amp;","))*('1L Screening Matrix'!$C$2:$C$77=$A2))+SUMPRODUCT(ISNUMBER(SEARCH(",KRAS G12D,",","&amp;SUBSTITUTE('2L Screening Matrix'!$I$2:$I$46,", ",",")&amp;","))*('2L Screening Matrix'!$C$2:$C$46=$A2))</f>
        <v>0</v>
      </c>
      <c r="AF2" s="11">
        <f>SUMPRODUCT(ISNUMBER(SEARCH(",HER4,",","&amp;SUBSTITUTE('1L Screening Matrix'!$I$2:$I$77,", ",",")&amp;","))*('1L Screening Matrix'!$C$2:$C$77=$A2))+SUMPRODUCT(ISNUMBER(SEARCH(",HER4,",","&amp;SUBSTITUTE('2L Screening Matrix'!$I$2:$I$46,", ",",")&amp;","))*('2L Screening Matrix'!$C$2:$C$46=$A2))</f>
        <v>0</v>
      </c>
      <c r="AG2" s="11">
        <f>SUMPRODUCT(ISNUMBER(SEARCH(",ALK L1196M,",","&amp;SUBSTITUTE('1L Screening Matrix'!$I$2:$I$77,", ",",")&amp;","))*('1L Screening Matrix'!$C$2:$C$77=$A2))+SUMPRODUCT(ISNUMBER(SEARCH(",ALK L1196M,",","&amp;SUBSTITUTE('2L Screening Matrix'!$I$2:$I$46,", ",",")&amp;","))*('2L Screening Matrix'!$C$2:$C$46=$A2))</f>
        <v>0</v>
      </c>
      <c r="AH2" s="11">
        <f>SUMPRODUCT(ISNUMBER(SEARCH(",CD152,",","&amp;SUBSTITUTE('1L Screening Matrix'!$I$2:$I$77,", ",",")&amp;","))*('1L Screening Matrix'!$C$2:$C$77=$A2))+SUMPRODUCT(ISNUMBER(SEARCH(",CD152,",","&amp;SUBSTITUTE('2L Screening Matrix'!$I$2:$I$46,", ",",")&amp;","))*('2L Screening Matrix'!$C$2:$C$46=$A2))</f>
        <v>0</v>
      </c>
      <c r="AI2" s="11">
        <f>SUMPRODUCT(ISNUMBER(SEARCH(",MLN19,",","&amp;SUBSTITUTE('1L Screening Matrix'!$I$2:$I$77,", ",",")&amp;","))*('1L Screening Matrix'!$C$2:$C$77=$A2))+SUMPRODUCT(ISNUMBER(SEARCH(",MLN19,",","&amp;SUBSTITUTE('2L Screening Matrix'!$I$2:$I$46,", ",",")&amp;","))*('2L Screening Matrix'!$C$2:$C$46=$A2))</f>
        <v>0</v>
      </c>
      <c r="AJ2" s="11">
        <f>SUMPRODUCT(ISNUMBER(SEARCH(",NTRK,",","&amp;SUBSTITUTE('1L Screening Matrix'!$I$2:$I$77,", ",",")&amp;","))*('1L Screening Matrix'!$C$2:$C$77=$A2))+SUMPRODUCT(ISNUMBER(SEARCH(",NTRK,",","&amp;SUBSTITUTE('2L Screening Matrix'!$I$2:$I$46,", ",",")&amp;","))*('2L Screening Matrix'!$C$2:$C$46=$A2))</f>
        <v>0</v>
      </c>
      <c r="AK2" s="11">
        <f>SUMPRODUCT(ISNUMBER(SEARCH(",Integrin β6,",","&amp;SUBSTITUTE('1L Screening Matrix'!$I$2:$I$77,", ",",")&amp;","))*('1L Screening Matrix'!$C$2:$C$77=$A2))+SUMPRODUCT(ISNUMBER(SEARCH(",Integrin β6,",","&amp;SUBSTITUTE('2L Screening Matrix'!$I$2:$I$46,", ",",")&amp;","))*('2L Screening Matrix'!$C$2:$C$46=$A2))</f>
        <v>0</v>
      </c>
      <c r="AL2" s="11">
        <f>SUMPRODUCT(ISNUMBER(SEARCH(",LAG-3,",","&amp;SUBSTITUTE('1L Screening Matrix'!$I$2:$I$77,", ",",")&amp;","))*('1L Screening Matrix'!$C$2:$C$77=$A2))+SUMPRODUCT(ISNUMBER(SEARCH(",LAG-3,",","&amp;SUBSTITUTE('2L Screening Matrix'!$I$2:$I$46,", ",",")&amp;","))*('2L Screening Matrix'!$C$2:$C$46=$A2))</f>
        <v>0</v>
      </c>
      <c r="AM2" s="14">
        <f t="shared" ref="AM2:AM33" si="0">SUM(B2:AL2)</f>
        <v>10</v>
      </c>
    </row>
    <row r="3" spans="1:39" ht="15" customHeight="1" x14ac:dyDescent="0.2">
      <c r="A3" s="15" t="s">
        <v>318</v>
      </c>
      <c r="B3" s="11">
        <f>SUMPRODUCT(ISNUMBER(SEARCH(",PD-1,",","&amp;SUBSTITUTE('1L Screening Matrix'!$I$2:$I$77,", ",",")&amp;","))*('1L Screening Matrix'!$C$2:$C$77=$A3))+SUMPRODUCT(ISNUMBER(SEARCH(",PD-1,",","&amp;SUBSTITUTE('2L Screening Matrix'!$I$2:$I$46,", ",",")&amp;","))*('2L Screening Matrix'!$C$2:$C$46=$A3))</f>
        <v>1</v>
      </c>
      <c r="C3" s="11">
        <f>SUMPRODUCT(ISNUMBER(SEARCH(",CD279,",","&amp;SUBSTITUTE('1L Screening Matrix'!$I$2:$I$77,", ",",")&amp;","))*('1L Screening Matrix'!$C$2:$C$77=$A3))+SUMPRODUCT(ISNUMBER(SEARCH(",CD279,",","&amp;SUBSTITUTE('2L Screening Matrix'!$I$2:$I$46,", ",",")&amp;","))*('2L Screening Matrix'!$C$2:$C$46=$A3))</f>
        <v>1</v>
      </c>
      <c r="D3" s="11">
        <f>SUMPRODUCT(ISNUMBER(SEARCH(",TS,",","&amp;SUBSTITUTE('1L Screening Matrix'!$I$2:$I$77,", ",",")&amp;","))*('1L Screening Matrix'!$C$2:$C$77=$A3))+SUMPRODUCT(ISNUMBER(SEARCH(",TS,",","&amp;SUBSTITUTE('2L Screening Matrix'!$I$2:$I$46,", ",",")&amp;","))*('2L Screening Matrix'!$C$2:$C$46=$A3))</f>
        <v>2</v>
      </c>
      <c r="E3" s="11">
        <f>SUMPRODUCT(ISNUMBER(SEARCH(",TYMS,",","&amp;SUBSTITUTE('1L Screening Matrix'!$I$2:$I$77,", ",",")&amp;","))*('1L Screening Matrix'!$C$2:$C$77=$A3))+SUMPRODUCT(ISNUMBER(SEARCH(",TYMS,",","&amp;SUBSTITUTE('2L Screening Matrix'!$I$2:$I$46,", ",",")&amp;","))*('2L Screening Matrix'!$C$2:$C$46=$A3))</f>
        <v>2</v>
      </c>
      <c r="F3" s="11">
        <f>SUMPRODUCT(ISNUMBER(SEARCH(",PD-L1,",","&amp;SUBSTITUTE('1L Screening Matrix'!$I$2:$I$77,", ",",")&amp;","))*('1L Screening Matrix'!$C$2:$C$77=$A3))+SUMPRODUCT(ISNUMBER(SEARCH(",PD-L1,",","&amp;SUBSTITUTE('2L Screening Matrix'!$I$2:$I$46,", ",",")&amp;","))*('2L Screening Matrix'!$C$2:$C$46=$A3))</f>
        <v>0</v>
      </c>
      <c r="G3" s="11">
        <f>SUMPRODUCT(ISNUMBER(SEARCH(",B7-H1,",","&amp;SUBSTITUTE('1L Screening Matrix'!$I$2:$I$77,", ",",")&amp;","))*('1L Screening Matrix'!$C$2:$C$77=$A3))+SUMPRODUCT(ISNUMBER(SEARCH(",B7-H1,",","&amp;SUBSTITUTE('2L Screening Matrix'!$I$2:$I$46,", ",",")&amp;","))*('2L Screening Matrix'!$C$2:$C$46=$A3))</f>
        <v>0</v>
      </c>
      <c r="H3" s="11">
        <f>SUMPRODUCT(ISNUMBER(SEARCH(",CD274,",","&amp;SUBSTITUTE('1L Screening Matrix'!$I$2:$I$77,", ",",")&amp;","))*('1L Screening Matrix'!$C$2:$C$77=$A3))+SUMPRODUCT(ISNUMBER(SEARCH(",CD274,",","&amp;SUBSTITUTE('2L Screening Matrix'!$I$2:$I$46,", ",",")&amp;","))*('2L Screening Matrix'!$C$2:$C$46=$A3))</f>
        <v>0</v>
      </c>
      <c r="I3" s="11">
        <f>SUMPRODUCT(ISNUMBER(SEARCH(",EGFR,",","&amp;SUBSTITUTE('1L Screening Matrix'!$I$2:$I$77,", ",",")&amp;","))*('1L Screening Matrix'!$C$2:$C$77=$A3))+SUMPRODUCT(ISNUMBER(SEARCH(",EGFR,",","&amp;SUBSTITUTE('2L Screening Matrix'!$I$2:$I$46,", ",",")&amp;","))*('2L Screening Matrix'!$C$2:$C$46=$A3))</f>
        <v>0</v>
      </c>
      <c r="J3" s="11">
        <f>SUMPRODUCT(ISNUMBER(SEARCH(",VEGF,",","&amp;SUBSTITUTE('1L Screening Matrix'!$I$2:$I$77,", ",",")&amp;","))*('1L Screening Matrix'!$C$2:$C$77=$A3))+SUMPRODUCT(ISNUMBER(SEARCH(",VEGF,",","&amp;SUBSTITUTE('2L Screening Matrix'!$I$2:$I$46,", ",",")&amp;","))*('2L Screening Matrix'!$C$2:$C$46=$A3))</f>
        <v>0</v>
      </c>
      <c r="K3" s="11">
        <f>SUMPRODUCT(ISNUMBER(SEARCH(",ERBB,",","&amp;SUBSTITUTE('1L Screening Matrix'!$I$2:$I$77,", ",",")&amp;","))*('1L Screening Matrix'!$C$2:$C$77=$A3))+SUMPRODUCT(ISNUMBER(SEARCH(",ERBB,",","&amp;SUBSTITUTE('2L Screening Matrix'!$I$2:$I$46,", ",",")&amp;","))*('2L Screening Matrix'!$C$2:$C$46=$A3))</f>
        <v>0</v>
      </c>
      <c r="L3" s="11">
        <f>SUMPRODUCT(ISNUMBER(SEARCH(",HER1,",","&amp;SUBSTITUTE('1L Screening Matrix'!$I$2:$I$77,", ",",")&amp;","))*('1L Screening Matrix'!$C$2:$C$77=$A3))+SUMPRODUCT(ISNUMBER(SEARCH(",HER1,",","&amp;SUBSTITUTE('2L Screening Matrix'!$I$2:$I$46,", ",",")&amp;","))*('2L Screening Matrix'!$C$2:$C$46=$A3))</f>
        <v>0</v>
      </c>
      <c r="M3" s="11">
        <f>SUMPRODUCT(ISNUMBER(SEARCH(",Microtubule,",","&amp;SUBSTITUTE('1L Screening Matrix'!$I$2:$I$77,", ",",")&amp;","))*('1L Screening Matrix'!$C$2:$C$77=$A3))+SUMPRODUCT(ISNUMBER(SEARCH(",Microtubule,",","&amp;SUBSTITUTE('2L Screening Matrix'!$I$2:$I$46,", ",",")&amp;","))*('2L Screening Matrix'!$C$2:$C$46=$A3))</f>
        <v>0</v>
      </c>
      <c r="N3" s="11">
        <f>SUMPRODUCT(ISNUMBER(SEARCH(",KRAS G12C,",","&amp;SUBSTITUTE('1L Screening Matrix'!$I$2:$I$77,", ",",")&amp;","))*('1L Screening Matrix'!$C$2:$C$77=$A3))+SUMPRODUCT(ISNUMBER(SEARCH(",KRAS G12C,",","&amp;SUBSTITUTE('2L Screening Matrix'!$I$2:$I$46,", ",",")&amp;","))*('2L Screening Matrix'!$C$2:$C$46=$A3))</f>
        <v>2</v>
      </c>
      <c r="O3" s="11">
        <f>SUMPRODUCT(ISNUMBER(SEARCH(",EGFR T790M,",","&amp;SUBSTITUTE('1L Screening Matrix'!$I$2:$I$77,", ",",")&amp;","))*('1L Screening Matrix'!$C$2:$C$77=$A3))+SUMPRODUCT(ISNUMBER(SEARCH(",EGFR T790M,",","&amp;SUBSTITUTE('2L Screening Matrix'!$I$2:$I$46,", ",",")&amp;","))*('2L Screening Matrix'!$C$2:$C$46=$A3))</f>
        <v>0</v>
      </c>
      <c r="P3" s="11">
        <f>SUMPRODUCT(ISNUMBER(SEARCH(",ALK,",","&amp;SUBSTITUTE('1L Screening Matrix'!$I$2:$I$77,", ",",")&amp;","))*('1L Screening Matrix'!$C$2:$C$77=$A3))+SUMPRODUCT(ISNUMBER(SEARCH(",ALK,",","&amp;SUBSTITUTE('2L Screening Matrix'!$I$2:$I$46,", ",",")&amp;","))*('2L Screening Matrix'!$C$2:$C$46=$A3))</f>
        <v>0</v>
      </c>
      <c r="Q3" s="11">
        <f>SUMPRODUCT(ISNUMBER(SEARCH(",TROP2,",","&amp;SUBSTITUTE('1L Screening Matrix'!$I$2:$I$77,", ",",")&amp;","))*('1L Screening Matrix'!$C$2:$C$77=$A3))+SUMPRODUCT(ISNUMBER(SEARCH(",TROP2,",","&amp;SUBSTITUTE('2L Screening Matrix'!$I$2:$I$46,", ",",")&amp;","))*('2L Screening Matrix'!$C$2:$C$46=$A3))</f>
        <v>0</v>
      </c>
      <c r="R3" s="11">
        <f>SUMPRODUCT(ISNUMBER(SEARCH(",c-MET/MET,",","&amp;SUBSTITUTE('1L Screening Matrix'!$I$2:$I$77,", ",",")&amp;","))*('1L Screening Matrix'!$C$2:$C$77=$A3))+SUMPRODUCT(ISNUMBER(SEARCH(",c-MET/MET,",","&amp;SUBSTITUTE('2L Screening Matrix'!$I$2:$I$46,", ",",")&amp;","))*('2L Screening Matrix'!$C$2:$C$46=$A3))</f>
        <v>0</v>
      </c>
      <c r="S3" s="11">
        <f>SUMPRODUCT(ISNUMBER(SEARCH(",HER2,",","&amp;SUBSTITUTE('1L Screening Matrix'!$I$2:$I$77,", ",",")&amp;","))*('1L Screening Matrix'!$C$2:$C$77=$A3))+SUMPRODUCT(ISNUMBER(SEARCH(",HER2,",","&amp;SUBSTITUTE('2L Screening Matrix'!$I$2:$I$46,", ",",")&amp;","))*('2L Screening Matrix'!$C$2:$C$46=$A3))</f>
        <v>0</v>
      </c>
      <c r="T3" s="11">
        <f>SUMPRODUCT(ISNUMBER(SEARCH(",ROS1,",","&amp;SUBSTITUTE('1L Screening Matrix'!$I$2:$I$77,", ",",")&amp;","))*('1L Screening Matrix'!$C$2:$C$77=$A3))+SUMPRODUCT(ISNUMBER(SEARCH(",ROS1,",","&amp;SUBSTITUTE('2L Screening Matrix'!$I$2:$I$46,", ",",")&amp;","))*('2L Screening Matrix'!$C$2:$C$46=$A3))</f>
        <v>0</v>
      </c>
      <c r="U3" s="11">
        <f>SUMPRODUCT(ISNUMBER(SEARCH(",TIGIT,",","&amp;SUBSTITUTE('1L Screening Matrix'!$I$2:$I$77,", ",",")&amp;","))*('1L Screening Matrix'!$C$2:$C$77=$A3))+SUMPRODUCT(ISNUMBER(SEARCH(",TIGIT,",","&amp;SUBSTITUTE('2L Screening Matrix'!$I$2:$I$46,", ",",")&amp;","))*('2L Screening Matrix'!$C$2:$C$46=$A3))</f>
        <v>0</v>
      </c>
      <c r="V3" s="11">
        <f>SUMPRODUCT(ISNUMBER(SEARCH(",EGFR L858R,",","&amp;SUBSTITUTE('1L Screening Matrix'!$I$2:$I$77,", ",",")&amp;","))*('1L Screening Matrix'!$C$2:$C$77=$A3))+SUMPRODUCT(ISNUMBER(SEARCH(",EGFR L858R,",","&amp;SUBSTITUTE('2L Screening Matrix'!$I$2:$I$46,", ",",")&amp;","))*('2L Screening Matrix'!$C$2:$C$46=$A3))</f>
        <v>0</v>
      </c>
      <c r="W3" s="11">
        <f>SUMPRODUCT(ISNUMBER(SEARCH(",ROS,",","&amp;SUBSTITUTE('1L Screening Matrix'!$I$2:$I$77,", ",",")&amp;","))*('1L Screening Matrix'!$C$2:$C$77=$A3))+SUMPRODUCT(ISNUMBER(SEARCH(",ROS,",","&amp;SUBSTITUTE('2L Screening Matrix'!$I$2:$I$46,", ",",")&amp;","))*('2L Screening Matrix'!$C$2:$C$46=$A3))</f>
        <v>0</v>
      </c>
      <c r="X3" s="11">
        <f>SUMPRODUCT(ISNUMBER(SEARCH(",IL-2,",","&amp;SUBSTITUTE('1L Screening Matrix'!$I$2:$I$77,", ",",")&amp;","))*('1L Screening Matrix'!$C$2:$C$77=$A3))+SUMPRODUCT(ISNUMBER(SEARCH(",IL-2,",","&amp;SUBSTITUTE('2L Screening Matrix'!$I$2:$I$46,", ",",")&amp;","))*('2L Screening Matrix'!$C$2:$C$46=$A3))</f>
        <v>0</v>
      </c>
      <c r="Y3" s="11">
        <f>SUMPRODUCT(ISNUMBER(SEARCH(",TCGF,",","&amp;SUBSTITUTE('1L Screening Matrix'!$I$2:$I$77,", ",",")&amp;","))*('1L Screening Matrix'!$C$2:$C$77=$A3))+SUMPRODUCT(ISNUMBER(SEARCH(",TCGF,",","&amp;SUBSTITUTE('2L Screening Matrix'!$I$2:$I$46,", ",",")&amp;","))*('2L Screening Matrix'!$C$2:$C$46=$A3))</f>
        <v>0</v>
      </c>
      <c r="Z3" s="11">
        <f>SUMPRODUCT(ISNUMBER(SEARCH(",CTLA-4,",","&amp;SUBSTITUTE('1L Screening Matrix'!$I$2:$I$77,", ",",")&amp;","))*('1L Screening Matrix'!$C$2:$C$77=$A3))+SUMPRODUCT(ISNUMBER(SEARCH(",CTLA-4,",","&amp;SUBSTITUTE('2L Screening Matrix'!$I$2:$I$46,", ",",")&amp;","))*('2L Screening Matrix'!$C$2:$C$46=$A3))</f>
        <v>0</v>
      </c>
      <c r="AA3" s="11">
        <f>SUMPRODUCT(ISNUMBER(SEARCH(",EGFR Exon 20,",","&amp;SUBSTITUTE('1L Screening Matrix'!$I$2:$I$77,", ",",")&amp;","))*('1L Screening Matrix'!$C$2:$C$77=$A3))+SUMPRODUCT(ISNUMBER(SEARCH(",EGFR Exon 20,",","&amp;SUBSTITUTE('2L Screening Matrix'!$I$2:$I$46,", ",",")&amp;","))*('2L Screening Matrix'!$C$2:$C$46=$A3))</f>
        <v>0</v>
      </c>
      <c r="AB3" s="11">
        <f>SUMPRODUCT(ISNUMBER(SEARCH(",HER2 Exon 20,",","&amp;SUBSTITUTE('1L Screening Matrix'!$I$2:$I$77,", ",",")&amp;","))*('1L Screening Matrix'!$C$2:$C$77=$A3))+SUMPRODUCT(ISNUMBER(SEARCH(",HER2 Exon 20,",","&amp;SUBSTITUTE('2L Screening Matrix'!$I$2:$I$46,", ",",")&amp;","))*('2L Screening Matrix'!$C$2:$C$46=$A3))</f>
        <v>0</v>
      </c>
      <c r="AC3" s="11">
        <f>SUMPRODUCT(ISNUMBER(SEARCH(",IL-15,",","&amp;SUBSTITUTE('1L Screening Matrix'!$I$2:$I$77,", ",",")&amp;","))*('1L Screening Matrix'!$C$2:$C$77=$A3))+SUMPRODUCT(ISNUMBER(SEARCH(",IL-15,",","&amp;SUBSTITUTE('2L Screening Matrix'!$I$2:$I$46,", ",",")&amp;","))*('2L Screening Matrix'!$C$2:$C$46=$A3))</f>
        <v>0</v>
      </c>
      <c r="AD3" s="11">
        <f>SUMPRODUCT(ISNUMBER(SEARCH(",IL-15R,",","&amp;SUBSTITUTE('1L Screening Matrix'!$I$2:$I$77,", ",",")&amp;","))*('1L Screening Matrix'!$C$2:$C$77=$A3))+SUMPRODUCT(ISNUMBER(SEARCH(",IL-15R,",","&amp;SUBSTITUTE('2L Screening Matrix'!$I$2:$I$46,", ",",")&amp;","))*('2L Screening Matrix'!$C$2:$C$46=$A3))</f>
        <v>0</v>
      </c>
      <c r="AE3" s="11">
        <f>SUMPRODUCT(ISNUMBER(SEARCH(",KRAS G12D,",","&amp;SUBSTITUTE('1L Screening Matrix'!$I$2:$I$77,", ",",")&amp;","))*('1L Screening Matrix'!$C$2:$C$77=$A3))+SUMPRODUCT(ISNUMBER(SEARCH(",KRAS G12D,",","&amp;SUBSTITUTE('2L Screening Matrix'!$I$2:$I$46,", ",",")&amp;","))*('2L Screening Matrix'!$C$2:$C$46=$A3))</f>
        <v>0</v>
      </c>
      <c r="AF3" s="11">
        <f>SUMPRODUCT(ISNUMBER(SEARCH(",HER4,",","&amp;SUBSTITUTE('1L Screening Matrix'!$I$2:$I$77,", ",",")&amp;","))*('1L Screening Matrix'!$C$2:$C$77=$A3))+SUMPRODUCT(ISNUMBER(SEARCH(",HER4,",","&amp;SUBSTITUTE('2L Screening Matrix'!$I$2:$I$46,", ",",")&amp;","))*('2L Screening Matrix'!$C$2:$C$46=$A3))</f>
        <v>0</v>
      </c>
      <c r="AG3" s="11">
        <f>SUMPRODUCT(ISNUMBER(SEARCH(",ALK L1196M,",","&amp;SUBSTITUTE('1L Screening Matrix'!$I$2:$I$77,", ",",")&amp;","))*('1L Screening Matrix'!$C$2:$C$77=$A3))+SUMPRODUCT(ISNUMBER(SEARCH(",ALK L1196M,",","&amp;SUBSTITUTE('2L Screening Matrix'!$I$2:$I$46,", ",",")&amp;","))*('2L Screening Matrix'!$C$2:$C$46=$A3))</f>
        <v>0</v>
      </c>
      <c r="AH3" s="11">
        <f>SUMPRODUCT(ISNUMBER(SEARCH(",CD152,",","&amp;SUBSTITUTE('1L Screening Matrix'!$I$2:$I$77,", ",",")&amp;","))*('1L Screening Matrix'!$C$2:$C$77=$A3))+SUMPRODUCT(ISNUMBER(SEARCH(",CD152,",","&amp;SUBSTITUTE('2L Screening Matrix'!$I$2:$I$46,", ",",")&amp;","))*('2L Screening Matrix'!$C$2:$C$46=$A3))</f>
        <v>0</v>
      </c>
      <c r="AI3" s="11">
        <f>SUMPRODUCT(ISNUMBER(SEARCH(",MLN19,",","&amp;SUBSTITUTE('1L Screening Matrix'!$I$2:$I$77,", ",",")&amp;","))*('1L Screening Matrix'!$C$2:$C$77=$A3))+SUMPRODUCT(ISNUMBER(SEARCH(",MLN19,",","&amp;SUBSTITUTE('2L Screening Matrix'!$I$2:$I$46,", ",",")&amp;","))*('2L Screening Matrix'!$C$2:$C$46=$A3))</f>
        <v>0</v>
      </c>
      <c r="AJ3" s="11">
        <f>SUMPRODUCT(ISNUMBER(SEARCH(",NTRK,",","&amp;SUBSTITUTE('1L Screening Matrix'!$I$2:$I$77,", ",",")&amp;","))*('1L Screening Matrix'!$C$2:$C$77=$A3))+SUMPRODUCT(ISNUMBER(SEARCH(",NTRK,",","&amp;SUBSTITUTE('2L Screening Matrix'!$I$2:$I$46,", ",",")&amp;","))*('2L Screening Matrix'!$C$2:$C$46=$A3))</f>
        <v>0</v>
      </c>
      <c r="AK3" s="11">
        <f>SUMPRODUCT(ISNUMBER(SEARCH(",Integrin β6,",","&amp;SUBSTITUTE('1L Screening Matrix'!$I$2:$I$77,", ",",")&amp;","))*('1L Screening Matrix'!$C$2:$C$77=$A3))+SUMPRODUCT(ISNUMBER(SEARCH(",Integrin β6,",","&amp;SUBSTITUTE('2L Screening Matrix'!$I$2:$I$46,", ",",")&amp;","))*('2L Screening Matrix'!$C$2:$C$46=$A3))</f>
        <v>0</v>
      </c>
      <c r="AL3" s="11">
        <f>SUMPRODUCT(ISNUMBER(SEARCH(",LAG-3,",","&amp;SUBSTITUTE('1L Screening Matrix'!$I$2:$I$77,", ",",")&amp;","))*('1L Screening Matrix'!$C$2:$C$77=$A3))+SUMPRODUCT(ISNUMBER(SEARCH(",LAG-3,",","&amp;SUBSTITUTE('2L Screening Matrix'!$I$2:$I$46,", ",",")&amp;","))*('2L Screening Matrix'!$C$2:$C$46=$A3))</f>
        <v>0</v>
      </c>
      <c r="AM3" s="14">
        <f t="shared" si="0"/>
        <v>8</v>
      </c>
    </row>
    <row r="4" spans="1:39" ht="15" customHeight="1" x14ac:dyDescent="0.2">
      <c r="A4" s="12" t="s">
        <v>605</v>
      </c>
      <c r="B4" s="11">
        <f>SUMPRODUCT(ISNUMBER(SEARCH(",PD-1,",","&amp;SUBSTITUTE('1L Screening Matrix'!$I$2:$I$77,", ",",")&amp;","))*('1L Screening Matrix'!$C$2:$C$77=$A4))+SUMPRODUCT(ISNUMBER(SEARCH(",PD-1,",","&amp;SUBSTITUTE('2L Screening Matrix'!$I$2:$I$46,", ",",")&amp;","))*('2L Screening Matrix'!$C$2:$C$46=$A4))</f>
        <v>0</v>
      </c>
      <c r="C4" s="11">
        <f>SUMPRODUCT(ISNUMBER(SEARCH(",CD279,",","&amp;SUBSTITUTE('1L Screening Matrix'!$I$2:$I$77,", ",",")&amp;","))*('1L Screening Matrix'!$C$2:$C$77=$A4))+SUMPRODUCT(ISNUMBER(SEARCH(",CD279,",","&amp;SUBSTITUTE('2L Screening Matrix'!$I$2:$I$46,", ",",")&amp;","))*('2L Screening Matrix'!$C$2:$C$46=$A4))</f>
        <v>0</v>
      </c>
      <c r="D4" s="11">
        <f>SUMPRODUCT(ISNUMBER(SEARCH(",TS,",","&amp;SUBSTITUTE('1L Screening Matrix'!$I$2:$I$77,", ",",")&amp;","))*('1L Screening Matrix'!$C$2:$C$77=$A4))+SUMPRODUCT(ISNUMBER(SEARCH(",TS,",","&amp;SUBSTITUTE('2L Screening Matrix'!$I$2:$I$46,", ",",")&amp;","))*('2L Screening Matrix'!$C$2:$C$46=$A4))</f>
        <v>0</v>
      </c>
      <c r="E4" s="11">
        <f>SUMPRODUCT(ISNUMBER(SEARCH(",TYMS,",","&amp;SUBSTITUTE('1L Screening Matrix'!$I$2:$I$77,", ",",")&amp;","))*('1L Screening Matrix'!$C$2:$C$77=$A4))+SUMPRODUCT(ISNUMBER(SEARCH(",TYMS,",","&amp;SUBSTITUTE('2L Screening Matrix'!$I$2:$I$46,", ",",")&amp;","))*('2L Screening Matrix'!$C$2:$C$46=$A4))</f>
        <v>0</v>
      </c>
      <c r="F4" s="11">
        <f>SUMPRODUCT(ISNUMBER(SEARCH(",PD-L1,",","&amp;SUBSTITUTE('1L Screening Matrix'!$I$2:$I$77,", ",",")&amp;","))*('1L Screening Matrix'!$C$2:$C$77=$A4))+SUMPRODUCT(ISNUMBER(SEARCH(",PD-L1,",","&amp;SUBSTITUTE('2L Screening Matrix'!$I$2:$I$46,", ",",")&amp;","))*('2L Screening Matrix'!$C$2:$C$46=$A4))</f>
        <v>0</v>
      </c>
      <c r="G4" s="11">
        <f>SUMPRODUCT(ISNUMBER(SEARCH(",B7-H1,",","&amp;SUBSTITUTE('1L Screening Matrix'!$I$2:$I$77,", ",",")&amp;","))*('1L Screening Matrix'!$C$2:$C$77=$A4))+SUMPRODUCT(ISNUMBER(SEARCH(",B7-H1,",","&amp;SUBSTITUTE('2L Screening Matrix'!$I$2:$I$46,", ",",")&amp;","))*('2L Screening Matrix'!$C$2:$C$46=$A4))</f>
        <v>0</v>
      </c>
      <c r="H4" s="11">
        <f>SUMPRODUCT(ISNUMBER(SEARCH(",CD274,",","&amp;SUBSTITUTE('1L Screening Matrix'!$I$2:$I$77,", ",",")&amp;","))*('1L Screening Matrix'!$C$2:$C$77=$A4))+SUMPRODUCT(ISNUMBER(SEARCH(",CD274,",","&amp;SUBSTITUTE('2L Screening Matrix'!$I$2:$I$46,", ",",")&amp;","))*('2L Screening Matrix'!$C$2:$C$46=$A4))</f>
        <v>0</v>
      </c>
      <c r="I4" s="11">
        <f>SUMPRODUCT(ISNUMBER(SEARCH(",EGFR,",","&amp;SUBSTITUTE('1L Screening Matrix'!$I$2:$I$77,", ",",")&amp;","))*('1L Screening Matrix'!$C$2:$C$77=$A4))+SUMPRODUCT(ISNUMBER(SEARCH(",EGFR,",","&amp;SUBSTITUTE('2L Screening Matrix'!$I$2:$I$46,", ",",")&amp;","))*('2L Screening Matrix'!$C$2:$C$46=$A4))</f>
        <v>0</v>
      </c>
      <c r="J4" s="11">
        <f>SUMPRODUCT(ISNUMBER(SEARCH(",VEGF,",","&amp;SUBSTITUTE('1L Screening Matrix'!$I$2:$I$77,", ",",")&amp;","))*('1L Screening Matrix'!$C$2:$C$77=$A4))+SUMPRODUCT(ISNUMBER(SEARCH(",VEGF,",","&amp;SUBSTITUTE('2L Screening Matrix'!$I$2:$I$46,", ",",")&amp;","))*('2L Screening Matrix'!$C$2:$C$46=$A4))</f>
        <v>1</v>
      </c>
      <c r="K4" s="11">
        <f>SUMPRODUCT(ISNUMBER(SEARCH(",ERBB,",","&amp;SUBSTITUTE('1L Screening Matrix'!$I$2:$I$77,", ",",")&amp;","))*('1L Screening Matrix'!$C$2:$C$77=$A4))+SUMPRODUCT(ISNUMBER(SEARCH(",ERBB,",","&amp;SUBSTITUTE('2L Screening Matrix'!$I$2:$I$46,", ",",")&amp;","))*('2L Screening Matrix'!$C$2:$C$46=$A4))</f>
        <v>0</v>
      </c>
      <c r="L4" s="11">
        <f>SUMPRODUCT(ISNUMBER(SEARCH(",HER1,",","&amp;SUBSTITUTE('1L Screening Matrix'!$I$2:$I$77,", ",",")&amp;","))*('1L Screening Matrix'!$C$2:$C$77=$A4))+SUMPRODUCT(ISNUMBER(SEARCH(",HER1,",","&amp;SUBSTITUTE('2L Screening Matrix'!$I$2:$I$46,", ",",")&amp;","))*('2L Screening Matrix'!$C$2:$C$46=$A4))</f>
        <v>0</v>
      </c>
      <c r="M4" s="11">
        <f>SUMPRODUCT(ISNUMBER(SEARCH(",Microtubule,",","&amp;SUBSTITUTE('1L Screening Matrix'!$I$2:$I$77,", ",",")&amp;","))*('1L Screening Matrix'!$C$2:$C$77=$A4))+SUMPRODUCT(ISNUMBER(SEARCH(",Microtubule,",","&amp;SUBSTITUTE('2L Screening Matrix'!$I$2:$I$46,", ",",")&amp;","))*('2L Screening Matrix'!$C$2:$C$46=$A4))</f>
        <v>0</v>
      </c>
      <c r="N4" s="11">
        <f>SUMPRODUCT(ISNUMBER(SEARCH(",KRAS G12C,",","&amp;SUBSTITUTE('1L Screening Matrix'!$I$2:$I$77,", ",",")&amp;","))*('1L Screening Matrix'!$C$2:$C$77=$A4))+SUMPRODUCT(ISNUMBER(SEARCH(",KRAS G12C,",","&amp;SUBSTITUTE('2L Screening Matrix'!$I$2:$I$46,", ",",")&amp;","))*('2L Screening Matrix'!$C$2:$C$46=$A4))</f>
        <v>0</v>
      </c>
      <c r="O4" s="11">
        <f>SUMPRODUCT(ISNUMBER(SEARCH(",EGFR T790M,",","&amp;SUBSTITUTE('1L Screening Matrix'!$I$2:$I$77,", ",",")&amp;","))*('1L Screening Matrix'!$C$2:$C$77=$A4))+SUMPRODUCT(ISNUMBER(SEARCH(",EGFR T790M,",","&amp;SUBSTITUTE('2L Screening Matrix'!$I$2:$I$46,", ",",")&amp;","))*('2L Screening Matrix'!$C$2:$C$46=$A4))</f>
        <v>0</v>
      </c>
      <c r="P4" s="11">
        <f>SUMPRODUCT(ISNUMBER(SEARCH(",ALK,",","&amp;SUBSTITUTE('1L Screening Matrix'!$I$2:$I$77,", ",",")&amp;","))*('1L Screening Matrix'!$C$2:$C$77=$A4))+SUMPRODUCT(ISNUMBER(SEARCH(",ALK,",","&amp;SUBSTITUTE('2L Screening Matrix'!$I$2:$I$46,", ",",")&amp;","))*('2L Screening Matrix'!$C$2:$C$46=$A4))</f>
        <v>0</v>
      </c>
      <c r="Q4" s="11">
        <f>SUMPRODUCT(ISNUMBER(SEARCH(",TROP2,",","&amp;SUBSTITUTE('1L Screening Matrix'!$I$2:$I$77,", ",",")&amp;","))*('1L Screening Matrix'!$C$2:$C$77=$A4))+SUMPRODUCT(ISNUMBER(SEARCH(",TROP2,",","&amp;SUBSTITUTE('2L Screening Matrix'!$I$2:$I$46,", ",",")&amp;","))*('2L Screening Matrix'!$C$2:$C$46=$A4))</f>
        <v>0</v>
      </c>
      <c r="R4" s="11">
        <f>SUMPRODUCT(ISNUMBER(SEARCH(",c-MET/MET,",","&amp;SUBSTITUTE('1L Screening Matrix'!$I$2:$I$77,", ",",")&amp;","))*('1L Screening Matrix'!$C$2:$C$77=$A4))+SUMPRODUCT(ISNUMBER(SEARCH(",c-MET/MET,",","&amp;SUBSTITUTE('2L Screening Matrix'!$I$2:$I$46,", ",",")&amp;","))*('2L Screening Matrix'!$C$2:$C$46=$A4))</f>
        <v>0</v>
      </c>
      <c r="S4" s="11">
        <f>SUMPRODUCT(ISNUMBER(SEARCH(",HER2,",","&amp;SUBSTITUTE('1L Screening Matrix'!$I$2:$I$77,", ",",")&amp;","))*('1L Screening Matrix'!$C$2:$C$77=$A4))+SUMPRODUCT(ISNUMBER(SEARCH(",HER2,",","&amp;SUBSTITUTE('2L Screening Matrix'!$I$2:$I$46,", ",",")&amp;","))*('2L Screening Matrix'!$C$2:$C$46=$A4))</f>
        <v>0</v>
      </c>
      <c r="T4" s="11">
        <f>SUMPRODUCT(ISNUMBER(SEARCH(",ROS1,",","&amp;SUBSTITUTE('1L Screening Matrix'!$I$2:$I$77,", ",",")&amp;","))*('1L Screening Matrix'!$C$2:$C$77=$A4))+SUMPRODUCT(ISNUMBER(SEARCH(",ROS1,",","&amp;SUBSTITUTE('2L Screening Matrix'!$I$2:$I$46,", ",",")&amp;","))*('2L Screening Matrix'!$C$2:$C$46=$A4))</f>
        <v>0</v>
      </c>
      <c r="U4" s="11">
        <f>SUMPRODUCT(ISNUMBER(SEARCH(",TIGIT,",","&amp;SUBSTITUTE('1L Screening Matrix'!$I$2:$I$77,", ",",")&amp;","))*('1L Screening Matrix'!$C$2:$C$77=$A4))+SUMPRODUCT(ISNUMBER(SEARCH(",TIGIT,",","&amp;SUBSTITUTE('2L Screening Matrix'!$I$2:$I$46,", ",",")&amp;","))*('2L Screening Matrix'!$C$2:$C$46=$A4))</f>
        <v>0</v>
      </c>
      <c r="V4" s="11">
        <f>SUMPRODUCT(ISNUMBER(SEARCH(",EGFR L858R,",","&amp;SUBSTITUTE('1L Screening Matrix'!$I$2:$I$77,", ",",")&amp;","))*('1L Screening Matrix'!$C$2:$C$77=$A4))+SUMPRODUCT(ISNUMBER(SEARCH(",EGFR L858R,",","&amp;SUBSTITUTE('2L Screening Matrix'!$I$2:$I$46,", ",",")&amp;","))*('2L Screening Matrix'!$C$2:$C$46=$A4))</f>
        <v>0</v>
      </c>
      <c r="W4" s="11">
        <f>SUMPRODUCT(ISNUMBER(SEARCH(",ROS,",","&amp;SUBSTITUTE('1L Screening Matrix'!$I$2:$I$77,", ",",")&amp;","))*('1L Screening Matrix'!$C$2:$C$77=$A4))+SUMPRODUCT(ISNUMBER(SEARCH(",ROS,",","&amp;SUBSTITUTE('2L Screening Matrix'!$I$2:$I$46,", ",",")&amp;","))*('2L Screening Matrix'!$C$2:$C$46=$A4))</f>
        <v>0</v>
      </c>
      <c r="X4" s="11">
        <f>SUMPRODUCT(ISNUMBER(SEARCH(",IL-2,",","&amp;SUBSTITUTE('1L Screening Matrix'!$I$2:$I$77,", ",",")&amp;","))*('1L Screening Matrix'!$C$2:$C$77=$A4))+SUMPRODUCT(ISNUMBER(SEARCH(",IL-2,",","&amp;SUBSTITUTE('2L Screening Matrix'!$I$2:$I$46,", ",",")&amp;","))*('2L Screening Matrix'!$C$2:$C$46=$A4))</f>
        <v>0</v>
      </c>
      <c r="Y4" s="11">
        <f>SUMPRODUCT(ISNUMBER(SEARCH(",TCGF,",","&amp;SUBSTITUTE('1L Screening Matrix'!$I$2:$I$77,", ",",")&amp;","))*('1L Screening Matrix'!$C$2:$C$77=$A4))+SUMPRODUCT(ISNUMBER(SEARCH(",TCGF,",","&amp;SUBSTITUTE('2L Screening Matrix'!$I$2:$I$46,", ",",")&amp;","))*('2L Screening Matrix'!$C$2:$C$46=$A4))</f>
        <v>0</v>
      </c>
      <c r="Z4" s="11">
        <f>SUMPRODUCT(ISNUMBER(SEARCH(",CTLA-4,",","&amp;SUBSTITUTE('1L Screening Matrix'!$I$2:$I$77,", ",",")&amp;","))*('1L Screening Matrix'!$C$2:$C$77=$A4))+SUMPRODUCT(ISNUMBER(SEARCH(",CTLA-4,",","&amp;SUBSTITUTE('2L Screening Matrix'!$I$2:$I$46,", ",",")&amp;","))*('2L Screening Matrix'!$C$2:$C$46=$A4))</f>
        <v>0</v>
      </c>
      <c r="AA4" s="11">
        <f>SUMPRODUCT(ISNUMBER(SEARCH(",EGFR Exon 20,",","&amp;SUBSTITUTE('1L Screening Matrix'!$I$2:$I$77,", ",",")&amp;","))*('1L Screening Matrix'!$C$2:$C$77=$A4))+SUMPRODUCT(ISNUMBER(SEARCH(",EGFR Exon 20,",","&amp;SUBSTITUTE('2L Screening Matrix'!$I$2:$I$46,", ",",")&amp;","))*('2L Screening Matrix'!$C$2:$C$46=$A4))</f>
        <v>0</v>
      </c>
      <c r="AB4" s="11">
        <f>SUMPRODUCT(ISNUMBER(SEARCH(",HER2 Exon 20,",","&amp;SUBSTITUTE('1L Screening Matrix'!$I$2:$I$77,", ",",")&amp;","))*('1L Screening Matrix'!$C$2:$C$77=$A4))+SUMPRODUCT(ISNUMBER(SEARCH(",HER2 Exon 20,",","&amp;SUBSTITUTE('2L Screening Matrix'!$I$2:$I$46,", ",",")&amp;","))*('2L Screening Matrix'!$C$2:$C$46=$A4))</f>
        <v>0</v>
      </c>
      <c r="AC4" s="11">
        <f>SUMPRODUCT(ISNUMBER(SEARCH(",IL-15,",","&amp;SUBSTITUTE('1L Screening Matrix'!$I$2:$I$77,", ",",")&amp;","))*('1L Screening Matrix'!$C$2:$C$77=$A4))+SUMPRODUCT(ISNUMBER(SEARCH(",IL-15,",","&amp;SUBSTITUTE('2L Screening Matrix'!$I$2:$I$46,", ",",")&amp;","))*('2L Screening Matrix'!$C$2:$C$46=$A4))</f>
        <v>0</v>
      </c>
      <c r="AD4" s="11">
        <f>SUMPRODUCT(ISNUMBER(SEARCH(",IL-15R,",","&amp;SUBSTITUTE('1L Screening Matrix'!$I$2:$I$77,", ",",")&amp;","))*('1L Screening Matrix'!$C$2:$C$77=$A4))+SUMPRODUCT(ISNUMBER(SEARCH(",IL-15R,",","&amp;SUBSTITUTE('2L Screening Matrix'!$I$2:$I$46,", ",",")&amp;","))*('2L Screening Matrix'!$C$2:$C$46=$A4))</f>
        <v>0</v>
      </c>
      <c r="AE4" s="11">
        <f>SUMPRODUCT(ISNUMBER(SEARCH(",KRAS G12D,",","&amp;SUBSTITUTE('1L Screening Matrix'!$I$2:$I$77,", ",",")&amp;","))*('1L Screening Matrix'!$C$2:$C$77=$A4))+SUMPRODUCT(ISNUMBER(SEARCH(",KRAS G12D,",","&amp;SUBSTITUTE('2L Screening Matrix'!$I$2:$I$46,", ",",")&amp;","))*('2L Screening Matrix'!$C$2:$C$46=$A4))</f>
        <v>0</v>
      </c>
      <c r="AF4" s="11">
        <f>SUMPRODUCT(ISNUMBER(SEARCH(",HER4,",","&amp;SUBSTITUTE('1L Screening Matrix'!$I$2:$I$77,", ",",")&amp;","))*('1L Screening Matrix'!$C$2:$C$77=$A4))+SUMPRODUCT(ISNUMBER(SEARCH(",HER4,",","&amp;SUBSTITUTE('2L Screening Matrix'!$I$2:$I$46,", ",",")&amp;","))*('2L Screening Matrix'!$C$2:$C$46=$A4))</f>
        <v>0</v>
      </c>
      <c r="AG4" s="11">
        <f>SUMPRODUCT(ISNUMBER(SEARCH(",ALK L1196M,",","&amp;SUBSTITUTE('1L Screening Matrix'!$I$2:$I$77,", ",",")&amp;","))*('1L Screening Matrix'!$C$2:$C$77=$A4))+SUMPRODUCT(ISNUMBER(SEARCH(",ALK L1196M,",","&amp;SUBSTITUTE('2L Screening Matrix'!$I$2:$I$46,", ",",")&amp;","))*('2L Screening Matrix'!$C$2:$C$46=$A4))</f>
        <v>0</v>
      </c>
      <c r="AH4" s="11">
        <f>SUMPRODUCT(ISNUMBER(SEARCH(",CD152,",","&amp;SUBSTITUTE('1L Screening Matrix'!$I$2:$I$77,", ",",")&amp;","))*('1L Screening Matrix'!$C$2:$C$77=$A4))+SUMPRODUCT(ISNUMBER(SEARCH(",CD152,",","&amp;SUBSTITUTE('2L Screening Matrix'!$I$2:$I$46,", ",",")&amp;","))*('2L Screening Matrix'!$C$2:$C$46=$A4))</f>
        <v>0</v>
      </c>
      <c r="AI4" s="11">
        <f>SUMPRODUCT(ISNUMBER(SEARCH(",MLN19,",","&amp;SUBSTITUTE('1L Screening Matrix'!$I$2:$I$77,", ",",")&amp;","))*('1L Screening Matrix'!$C$2:$C$77=$A4))+SUMPRODUCT(ISNUMBER(SEARCH(",MLN19,",","&amp;SUBSTITUTE('2L Screening Matrix'!$I$2:$I$46,", ",",")&amp;","))*('2L Screening Matrix'!$C$2:$C$46=$A4))</f>
        <v>0</v>
      </c>
      <c r="AJ4" s="11">
        <f>SUMPRODUCT(ISNUMBER(SEARCH(",NTRK,",","&amp;SUBSTITUTE('1L Screening Matrix'!$I$2:$I$77,", ",",")&amp;","))*('1L Screening Matrix'!$C$2:$C$77=$A4))+SUMPRODUCT(ISNUMBER(SEARCH(",NTRK,",","&amp;SUBSTITUTE('2L Screening Matrix'!$I$2:$I$46,", ",",")&amp;","))*('2L Screening Matrix'!$C$2:$C$46=$A4))</f>
        <v>0</v>
      </c>
      <c r="AK4" s="11">
        <f>SUMPRODUCT(ISNUMBER(SEARCH(",Integrin β6,",","&amp;SUBSTITUTE('1L Screening Matrix'!$I$2:$I$77,", ",",")&amp;","))*('1L Screening Matrix'!$C$2:$C$77=$A4))+SUMPRODUCT(ISNUMBER(SEARCH(",Integrin β6,",","&amp;SUBSTITUTE('2L Screening Matrix'!$I$2:$I$46,", ",",")&amp;","))*('2L Screening Matrix'!$C$2:$C$46=$A4))</f>
        <v>0</v>
      </c>
      <c r="AL4" s="11">
        <f>SUMPRODUCT(ISNUMBER(SEARCH(",LAG-3,",","&amp;SUBSTITUTE('1L Screening Matrix'!$I$2:$I$77,", ",",")&amp;","))*('1L Screening Matrix'!$C$2:$C$77=$A4))+SUMPRODUCT(ISNUMBER(SEARCH(",LAG-3,",","&amp;SUBSTITUTE('2L Screening Matrix'!$I$2:$I$46,", ",",")&amp;","))*('2L Screening Matrix'!$C$2:$C$46=$A4))</f>
        <v>0</v>
      </c>
      <c r="AM4" s="14">
        <f t="shared" si="0"/>
        <v>1</v>
      </c>
    </row>
    <row r="5" spans="1:39" ht="15" customHeight="1" x14ac:dyDescent="0.2">
      <c r="A5" s="15" t="s">
        <v>1093</v>
      </c>
      <c r="B5" s="11">
        <f>SUMPRODUCT(ISNUMBER(SEARCH(",PD-1,",","&amp;SUBSTITUTE('1L Screening Matrix'!$I$2:$I$77,", ",",")&amp;","))*('1L Screening Matrix'!$C$2:$C$77=$A5))+SUMPRODUCT(ISNUMBER(SEARCH(",PD-1,",","&amp;SUBSTITUTE('2L Screening Matrix'!$I$2:$I$46,", ",",")&amp;","))*('2L Screening Matrix'!$C$2:$C$46=$A5))</f>
        <v>1</v>
      </c>
      <c r="C5" s="11">
        <f>SUMPRODUCT(ISNUMBER(SEARCH(",CD279,",","&amp;SUBSTITUTE('1L Screening Matrix'!$I$2:$I$77,", ",",")&amp;","))*('1L Screening Matrix'!$C$2:$C$77=$A5))+SUMPRODUCT(ISNUMBER(SEARCH(",CD279,",","&amp;SUBSTITUTE('2L Screening Matrix'!$I$2:$I$46,", ",",")&amp;","))*('2L Screening Matrix'!$C$2:$C$46=$A5))</f>
        <v>1</v>
      </c>
      <c r="D5" s="11">
        <f>SUMPRODUCT(ISNUMBER(SEARCH(",TS,",","&amp;SUBSTITUTE('1L Screening Matrix'!$I$2:$I$77,", ",",")&amp;","))*('1L Screening Matrix'!$C$2:$C$77=$A5))+SUMPRODUCT(ISNUMBER(SEARCH(",TS,",","&amp;SUBSTITUTE('2L Screening Matrix'!$I$2:$I$46,", ",",")&amp;","))*('2L Screening Matrix'!$C$2:$C$46=$A5))</f>
        <v>1</v>
      </c>
      <c r="E5" s="11">
        <f>SUMPRODUCT(ISNUMBER(SEARCH(",TYMS,",","&amp;SUBSTITUTE('1L Screening Matrix'!$I$2:$I$77,", ",",")&amp;","))*('1L Screening Matrix'!$C$2:$C$77=$A5))+SUMPRODUCT(ISNUMBER(SEARCH(",TYMS,",","&amp;SUBSTITUTE('2L Screening Matrix'!$I$2:$I$46,", ",",")&amp;","))*('2L Screening Matrix'!$C$2:$C$46=$A5))</f>
        <v>1</v>
      </c>
      <c r="F5" s="11">
        <f>SUMPRODUCT(ISNUMBER(SEARCH(",PD-L1,",","&amp;SUBSTITUTE('1L Screening Matrix'!$I$2:$I$77,", ",",")&amp;","))*('1L Screening Matrix'!$C$2:$C$77=$A5))+SUMPRODUCT(ISNUMBER(SEARCH(",PD-L1,",","&amp;SUBSTITUTE('2L Screening Matrix'!$I$2:$I$46,", ",",")&amp;","))*('2L Screening Matrix'!$C$2:$C$46=$A5))</f>
        <v>1</v>
      </c>
      <c r="G5" s="11">
        <f>SUMPRODUCT(ISNUMBER(SEARCH(",B7-H1,",","&amp;SUBSTITUTE('1L Screening Matrix'!$I$2:$I$77,", ",",")&amp;","))*('1L Screening Matrix'!$C$2:$C$77=$A5))+SUMPRODUCT(ISNUMBER(SEARCH(",B7-H1,",","&amp;SUBSTITUTE('2L Screening Matrix'!$I$2:$I$46,", ",",")&amp;","))*('2L Screening Matrix'!$C$2:$C$46=$A5))</f>
        <v>1</v>
      </c>
      <c r="H5" s="11">
        <f>SUMPRODUCT(ISNUMBER(SEARCH(",CD274,",","&amp;SUBSTITUTE('1L Screening Matrix'!$I$2:$I$77,", ",",")&amp;","))*('1L Screening Matrix'!$C$2:$C$77=$A5))+SUMPRODUCT(ISNUMBER(SEARCH(",CD274,",","&amp;SUBSTITUTE('2L Screening Matrix'!$I$2:$I$46,", ",",")&amp;","))*('2L Screening Matrix'!$C$2:$C$46=$A5))</f>
        <v>1</v>
      </c>
      <c r="I5" s="11">
        <f>SUMPRODUCT(ISNUMBER(SEARCH(",EGFR,",","&amp;SUBSTITUTE('1L Screening Matrix'!$I$2:$I$77,", ",",")&amp;","))*('1L Screening Matrix'!$C$2:$C$77=$A5))+SUMPRODUCT(ISNUMBER(SEARCH(",EGFR,",","&amp;SUBSTITUTE('2L Screening Matrix'!$I$2:$I$46,", ",",")&amp;","))*('2L Screening Matrix'!$C$2:$C$46=$A5))</f>
        <v>0</v>
      </c>
      <c r="J5" s="11">
        <f>SUMPRODUCT(ISNUMBER(SEARCH(",VEGF,",","&amp;SUBSTITUTE('1L Screening Matrix'!$I$2:$I$77,", ",",")&amp;","))*('1L Screening Matrix'!$C$2:$C$77=$A5))+SUMPRODUCT(ISNUMBER(SEARCH(",VEGF,",","&amp;SUBSTITUTE('2L Screening Matrix'!$I$2:$I$46,", ",",")&amp;","))*('2L Screening Matrix'!$C$2:$C$46=$A5))</f>
        <v>0</v>
      </c>
      <c r="K5" s="11">
        <f>SUMPRODUCT(ISNUMBER(SEARCH(",ERBB,",","&amp;SUBSTITUTE('1L Screening Matrix'!$I$2:$I$77,", ",",")&amp;","))*('1L Screening Matrix'!$C$2:$C$77=$A5))+SUMPRODUCT(ISNUMBER(SEARCH(",ERBB,",","&amp;SUBSTITUTE('2L Screening Matrix'!$I$2:$I$46,", ",",")&amp;","))*('2L Screening Matrix'!$C$2:$C$46=$A5))</f>
        <v>0</v>
      </c>
      <c r="L5" s="11">
        <f>SUMPRODUCT(ISNUMBER(SEARCH(",HER1,",","&amp;SUBSTITUTE('1L Screening Matrix'!$I$2:$I$77,", ",",")&amp;","))*('1L Screening Matrix'!$C$2:$C$77=$A5))+SUMPRODUCT(ISNUMBER(SEARCH(",HER1,",","&amp;SUBSTITUTE('2L Screening Matrix'!$I$2:$I$46,", ",",")&amp;","))*('2L Screening Matrix'!$C$2:$C$46=$A5))</f>
        <v>0</v>
      </c>
      <c r="M5" s="11">
        <f>SUMPRODUCT(ISNUMBER(SEARCH(",Microtubule,",","&amp;SUBSTITUTE('1L Screening Matrix'!$I$2:$I$77,", ",",")&amp;","))*('1L Screening Matrix'!$C$2:$C$77=$A5))+SUMPRODUCT(ISNUMBER(SEARCH(",Microtubule,",","&amp;SUBSTITUTE('2L Screening Matrix'!$I$2:$I$46,", ",",")&amp;","))*('2L Screening Matrix'!$C$2:$C$46=$A5))</f>
        <v>1</v>
      </c>
      <c r="N5" s="11">
        <f>SUMPRODUCT(ISNUMBER(SEARCH(",KRAS G12C,",","&amp;SUBSTITUTE('1L Screening Matrix'!$I$2:$I$77,", ",",")&amp;","))*('1L Screening Matrix'!$C$2:$C$77=$A5))+SUMPRODUCT(ISNUMBER(SEARCH(",KRAS G12C,",","&amp;SUBSTITUTE('2L Screening Matrix'!$I$2:$I$46,", ",",")&amp;","))*('2L Screening Matrix'!$C$2:$C$46=$A5))</f>
        <v>0</v>
      </c>
      <c r="O5" s="11">
        <f>SUMPRODUCT(ISNUMBER(SEARCH(",EGFR T790M,",","&amp;SUBSTITUTE('1L Screening Matrix'!$I$2:$I$77,", ",",")&amp;","))*('1L Screening Matrix'!$C$2:$C$77=$A5))+SUMPRODUCT(ISNUMBER(SEARCH(",EGFR T790M,",","&amp;SUBSTITUTE('2L Screening Matrix'!$I$2:$I$46,", ",",")&amp;","))*('2L Screening Matrix'!$C$2:$C$46=$A5))</f>
        <v>0</v>
      </c>
      <c r="P5" s="11">
        <f>SUMPRODUCT(ISNUMBER(SEARCH(",ALK,",","&amp;SUBSTITUTE('1L Screening Matrix'!$I$2:$I$77,", ",",")&amp;","))*('1L Screening Matrix'!$C$2:$C$77=$A5))+SUMPRODUCT(ISNUMBER(SEARCH(",ALK,",","&amp;SUBSTITUTE('2L Screening Matrix'!$I$2:$I$46,", ",",")&amp;","))*('2L Screening Matrix'!$C$2:$C$46=$A5))</f>
        <v>0</v>
      </c>
      <c r="Q5" s="11">
        <f>SUMPRODUCT(ISNUMBER(SEARCH(",TROP2,",","&amp;SUBSTITUTE('1L Screening Matrix'!$I$2:$I$77,", ",",")&amp;","))*('1L Screening Matrix'!$C$2:$C$77=$A5))+SUMPRODUCT(ISNUMBER(SEARCH(",TROP2,",","&amp;SUBSTITUTE('2L Screening Matrix'!$I$2:$I$46,", ",",")&amp;","))*('2L Screening Matrix'!$C$2:$C$46=$A5))</f>
        <v>0</v>
      </c>
      <c r="R5" s="11">
        <f>SUMPRODUCT(ISNUMBER(SEARCH(",c-MET/MET,",","&amp;SUBSTITUTE('1L Screening Matrix'!$I$2:$I$77,", ",",")&amp;","))*('1L Screening Matrix'!$C$2:$C$77=$A5))+SUMPRODUCT(ISNUMBER(SEARCH(",c-MET/MET,",","&amp;SUBSTITUTE('2L Screening Matrix'!$I$2:$I$46,", ",",")&amp;","))*('2L Screening Matrix'!$C$2:$C$46=$A5))</f>
        <v>0</v>
      </c>
      <c r="S5" s="11">
        <f>SUMPRODUCT(ISNUMBER(SEARCH(",HER2,",","&amp;SUBSTITUTE('1L Screening Matrix'!$I$2:$I$77,", ",",")&amp;","))*('1L Screening Matrix'!$C$2:$C$77=$A5))+SUMPRODUCT(ISNUMBER(SEARCH(",HER2,",","&amp;SUBSTITUTE('2L Screening Matrix'!$I$2:$I$46,", ",",")&amp;","))*('2L Screening Matrix'!$C$2:$C$46=$A5))</f>
        <v>0</v>
      </c>
      <c r="T5" s="11">
        <f>SUMPRODUCT(ISNUMBER(SEARCH(",ROS1,",","&amp;SUBSTITUTE('1L Screening Matrix'!$I$2:$I$77,", ",",")&amp;","))*('1L Screening Matrix'!$C$2:$C$77=$A5))+SUMPRODUCT(ISNUMBER(SEARCH(",ROS1,",","&amp;SUBSTITUTE('2L Screening Matrix'!$I$2:$I$46,", ",",")&amp;","))*('2L Screening Matrix'!$C$2:$C$46=$A5))</f>
        <v>0</v>
      </c>
      <c r="U5" s="11">
        <f>SUMPRODUCT(ISNUMBER(SEARCH(",TIGIT,",","&amp;SUBSTITUTE('1L Screening Matrix'!$I$2:$I$77,", ",",")&amp;","))*('1L Screening Matrix'!$C$2:$C$77=$A5))+SUMPRODUCT(ISNUMBER(SEARCH(",TIGIT,",","&amp;SUBSTITUTE('2L Screening Matrix'!$I$2:$I$46,", ",",")&amp;","))*('2L Screening Matrix'!$C$2:$C$46=$A5))</f>
        <v>2</v>
      </c>
      <c r="V5" s="11">
        <f>SUMPRODUCT(ISNUMBER(SEARCH(",EGFR L858R,",","&amp;SUBSTITUTE('1L Screening Matrix'!$I$2:$I$77,", ",",")&amp;","))*('1L Screening Matrix'!$C$2:$C$77=$A5))+SUMPRODUCT(ISNUMBER(SEARCH(",EGFR L858R,",","&amp;SUBSTITUTE('2L Screening Matrix'!$I$2:$I$46,", ",",")&amp;","))*('2L Screening Matrix'!$C$2:$C$46=$A5))</f>
        <v>0</v>
      </c>
      <c r="W5" s="11">
        <f>SUMPRODUCT(ISNUMBER(SEARCH(",ROS,",","&amp;SUBSTITUTE('1L Screening Matrix'!$I$2:$I$77,", ",",")&amp;","))*('1L Screening Matrix'!$C$2:$C$77=$A5))+SUMPRODUCT(ISNUMBER(SEARCH(",ROS,",","&amp;SUBSTITUTE('2L Screening Matrix'!$I$2:$I$46,", ",",")&amp;","))*('2L Screening Matrix'!$C$2:$C$46=$A5))</f>
        <v>0</v>
      </c>
      <c r="X5" s="11">
        <f>SUMPRODUCT(ISNUMBER(SEARCH(",IL-2,",","&amp;SUBSTITUTE('1L Screening Matrix'!$I$2:$I$77,", ",",")&amp;","))*('1L Screening Matrix'!$C$2:$C$77=$A5))+SUMPRODUCT(ISNUMBER(SEARCH(",IL-2,",","&amp;SUBSTITUTE('2L Screening Matrix'!$I$2:$I$46,", ",",")&amp;","))*('2L Screening Matrix'!$C$2:$C$46=$A5))</f>
        <v>0</v>
      </c>
      <c r="Y5" s="11">
        <f>SUMPRODUCT(ISNUMBER(SEARCH(",TCGF,",","&amp;SUBSTITUTE('1L Screening Matrix'!$I$2:$I$77,", ",",")&amp;","))*('1L Screening Matrix'!$C$2:$C$77=$A5))+SUMPRODUCT(ISNUMBER(SEARCH(",TCGF,",","&amp;SUBSTITUTE('2L Screening Matrix'!$I$2:$I$46,", ",",")&amp;","))*('2L Screening Matrix'!$C$2:$C$46=$A5))</f>
        <v>0</v>
      </c>
      <c r="Z5" s="11">
        <f>SUMPRODUCT(ISNUMBER(SEARCH(",CTLA-4,",","&amp;SUBSTITUTE('1L Screening Matrix'!$I$2:$I$77,", ",",")&amp;","))*('1L Screening Matrix'!$C$2:$C$77=$A5))+SUMPRODUCT(ISNUMBER(SEARCH(",CTLA-4,",","&amp;SUBSTITUTE('2L Screening Matrix'!$I$2:$I$46,", ",",")&amp;","))*('2L Screening Matrix'!$C$2:$C$46=$A5))</f>
        <v>0</v>
      </c>
      <c r="AA5" s="11">
        <f>SUMPRODUCT(ISNUMBER(SEARCH(",EGFR Exon 20,",","&amp;SUBSTITUTE('1L Screening Matrix'!$I$2:$I$77,", ",",")&amp;","))*('1L Screening Matrix'!$C$2:$C$77=$A5))+SUMPRODUCT(ISNUMBER(SEARCH(",EGFR Exon 20,",","&amp;SUBSTITUTE('2L Screening Matrix'!$I$2:$I$46,", ",",")&amp;","))*('2L Screening Matrix'!$C$2:$C$46=$A5))</f>
        <v>0</v>
      </c>
      <c r="AB5" s="11">
        <f>SUMPRODUCT(ISNUMBER(SEARCH(",HER2 Exon 20,",","&amp;SUBSTITUTE('1L Screening Matrix'!$I$2:$I$77,", ",",")&amp;","))*('1L Screening Matrix'!$C$2:$C$77=$A5))+SUMPRODUCT(ISNUMBER(SEARCH(",HER2 Exon 20,",","&amp;SUBSTITUTE('2L Screening Matrix'!$I$2:$I$46,", ",",")&amp;","))*('2L Screening Matrix'!$C$2:$C$46=$A5))</f>
        <v>0</v>
      </c>
      <c r="AC5" s="11">
        <f>SUMPRODUCT(ISNUMBER(SEARCH(",IL-15,",","&amp;SUBSTITUTE('1L Screening Matrix'!$I$2:$I$77,", ",",")&amp;","))*('1L Screening Matrix'!$C$2:$C$77=$A5))+SUMPRODUCT(ISNUMBER(SEARCH(",IL-15,",","&amp;SUBSTITUTE('2L Screening Matrix'!$I$2:$I$46,", ",",")&amp;","))*('2L Screening Matrix'!$C$2:$C$46=$A5))</f>
        <v>0</v>
      </c>
      <c r="AD5" s="11">
        <f>SUMPRODUCT(ISNUMBER(SEARCH(",IL-15R,",","&amp;SUBSTITUTE('1L Screening Matrix'!$I$2:$I$77,", ",",")&amp;","))*('1L Screening Matrix'!$C$2:$C$77=$A5))+SUMPRODUCT(ISNUMBER(SEARCH(",IL-15R,",","&amp;SUBSTITUTE('2L Screening Matrix'!$I$2:$I$46,", ",",")&amp;","))*('2L Screening Matrix'!$C$2:$C$46=$A5))</f>
        <v>0</v>
      </c>
      <c r="AE5" s="11">
        <f>SUMPRODUCT(ISNUMBER(SEARCH(",KRAS G12D,",","&amp;SUBSTITUTE('1L Screening Matrix'!$I$2:$I$77,", ",",")&amp;","))*('1L Screening Matrix'!$C$2:$C$77=$A5))+SUMPRODUCT(ISNUMBER(SEARCH(",KRAS G12D,",","&amp;SUBSTITUTE('2L Screening Matrix'!$I$2:$I$46,", ",",")&amp;","))*('2L Screening Matrix'!$C$2:$C$46=$A5))</f>
        <v>0</v>
      </c>
      <c r="AF5" s="11">
        <f>SUMPRODUCT(ISNUMBER(SEARCH(",HER4,",","&amp;SUBSTITUTE('1L Screening Matrix'!$I$2:$I$77,", ",",")&amp;","))*('1L Screening Matrix'!$C$2:$C$77=$A5))+SUMPRODUCT(ISNUMBER(SEARCH(",HER4,",","&amp;SUBSTITUTE('2L Screening Matrix'!$I$2:$I$46,", ",",")&amp;","))*('2L Screening Matrix'!$C$2:$C$46=$A5))</f>
        <v>0</v>
      </c>
      <c r="AG5" s="11">
        <f>SUMPRODUCT(ISNUMBER(SEARCH(",ALK L1196M,",","&amp;SUBSTITUTE('1L Screening Matrix'!$I$2:$I$77,", ",",")&amp;","))*('1L Screening Matrix'!$C$2:$C$77=$A5))+SUMPRODUCT(ISNUMBER(SEARCH(",ALK L1196M,",","&amp;SUBSTITUTE('2L Screening Matrix'!$I$2:$I$46,", ",",")&amp;","))*('2L Screening Matrix'!$C$2:$C$46=$A5))</f>
        <v>0</v>
      </c>
      <c r="AH5" s="11">
        <f>SUMPRODUCT(ISNUMBER(SEARCH(",CD152,",","&amp;SUBSTITUTE('1L Screening Matrix'!$I$2:$I$77,", ",",")&amp;","))*('1L Screening Matrix'!$C$2:$C$77=$A5))+SUMPRODUCT(ISNUMBER(SEARCH(",CD152,",","&amp;SUBSTITUTE('2L Screening Matrix'!$I$2:$I$46,", ",",")&amp;","))*('2L Screening Matrix'!$C$2:$C$46=$A5))</f>
        <v>0</v>
      </c>
      <c r="AI5" s="11">
        <f>SUMPRODUCT(ISNUMBER(SEARCH(",MLN19,",","&amp;SUBSTITUTE('1L Screening Matrix'!$I$2:$I$77,", ",",")&amp;","))*('1L Screening Matrix'!$C$2:$C$77=$A5))+SUMPRODUCT(ISNUMBER(SEARCH(",MLN19,",","&amp;SUBSTITUTE('2L Screening Matrix'!$I$2:$I$46,", ",",")&amp;","))*('2L Screening Matrix'!$C$2:$C$46=$A5))</f>
        <v>0</v>
      </c>
      <c r="AJ5" s="11">
        <f>SUMPRODUCT(ISNUMBER(SEARCH(",NTRK,",","&amp;SUBSTITUTE('1L Screening Matrix'!$I$2:$I$77,", ",",")&amp;","))*('1L Screening Matrix'!$C$2:$C$77=$A5))+SUMPRODUCT(ISNUMBER(SEARCH(",NTRK,",","&amp;SUBSTITUTE('2L Screening Matrix'!$I$2:$I$46,", ",",")&amp;","))*('2L Screening Matrix'!$C$2:$C$46=$A5))</f>
        <v>0</v>
      </c>
      <c r="AK5" s="11">
        <f>SUMPRODUCT(ISNUMBER(SEARCH(",Integrin β6,",","&amp;SUBSTITUTE('1L Screening Matrix'!$I$2:$I$77,", ",",")&amp;","))*('1L Screening Matrix'!$C$2:$C$77=$A5))+SUMPRODUCT(ISNUMBER(SEARCH(",Integrin β6,",","&amp;SUBSTITUTE('2L Screening Matrix'!$I$2:$I$46,", ",",")&amp;","))*('2L Screening Matrix'!$C$2:$C$46=$A5))</f>
        <v>0</v>
      </c>
      <c r="AL5" s="11">
        <f>SUMPRODUCT(ISNUMBER(SEARCH(",LAG-3,",","&amp;SUBSTITUTE('1L Screening Matrix'!$I$2:$I$77,", ",",")&amp;","))*('1L Screening Matrix'!$C$2:$C$77=$A5))+SUMPRODUCT(ISNUMBER(SEARCH(",LAG-3,",","&amp;SUBSTITUTE('2L Screening Matrix'!$I$2:$I$46,", ",",")&amp;","))*('2L Screening Matrix'!$C$2:$C$46=$A5))</f>
        <v>0</v>
      </c>
      <c r="AM5" s="14">
        <f t="shared" si="0"/>
        <v>10</v>
      </c>
    </row>
    <row r="6" spans="1:39" ht="15" customHeight="1" x14ac:dyDescent="0.2">
      <c r="A6" s="12" t="s">
        <v>911</v>
      </c>
      <c r="B6" s="11">
        <f>SUMPRODUCT(ISNUMBER(SEARCH(",PD-1,",","&amp;SUBSTITUTE('1L Screening Matrix'!$I$2:$I$77,", ",",")&amp;","))*('1L Screening Matrix'!$C$2:$C$77=$A6))+SUMPRODUCT(ISNUMBER(SEARCH(",PD-1,",","&amp;SUBSTITUTE('2L Screening Matrix'!$I$2:$I$46,", ",",")&amp;","))*('2L Screening Matrix'!$C$2:$C$46=$A6))</f>
        <v>0</v>
      </c>
      <c r="C6" s="11">
        <f>SUMPRODUCT(ISNUMBER(SEARCH(",CD279,",","&amp;SUBSTITUTE('1L Screening Matrix'!$I$2:$I$77,", ",",")&amp;","))*('1L Screening Matrix'!$C$2:$C$77=$A6))+SUMPRODUCT(ISNUMBER(SEARCH(",CD279,",","&amp;SUBSTITUTE('2L Screening Matrix'!$I$2:$I$46,", ",",")&amp;","))*('2L Screening Matrix'!$C$2:$C$46=$A6))</f>
        <v>0</v>
      </c>
      <c r="D6" s="11">
        <f>SUMPRODUCT(ISNUMBER(SEARCH(",TS,",","&amp;SUBSTITUTE('1L Screening Matrix'!$I$2:$I$77,", ",",")&amp;","))*('1L Screening Matrix'!$C$2:$C$77=$A6))+SUMPRODUCT(ISNUMBER(SEARCH(",TS,",","&amp;SUBSTITUTE('2L Screening Matrix'!$I$2:$I$46,", ",",")&amp;","))*('2L Screening Matrix'!$C$2:$C$46=$A6))</f>
        <v>0</v>
      </c>
      <c r="E6" s="11">
        <f>SUMPRODUCT(ISNUMBER(SEARCH(",TYMS,",","&amp;SUBSTITUTE('1L Screening Matrix'!$I$2:$I$77,", ",",")&amp;","))*('1L Screening Matrix'!$C$2:$C$77=$A6))+SUMPRODUCT(ISNUMBER(SEARCH(",TYMS,",","&amp;SUBSTITUTE('2L Screening Matrix'!$I$2:$I$46,", ",",")&amp;","))*('2L Screening Matrix'!$C$2:$C$46=$A6))</f>
        <v>0</v>
      </c>
      <c r="F6" s="11">
        <f>SUMPRODUCT(ISNUMBER(SEARCH(",PD-L1,",","&amp;SUBSTITUTE('1L Screening Matrix'!$I$2:$I$77,", ",",")&amp;","))*('1L Screening Matrix'!$C$2:$C$77=$A6))+SUMPRODUCT(ISNUMBER(SEARCH(",PD-L1,",","&amp;SUBSTITUTE('2L Screening Matrix'!$I$2:$I$46,", ",",")&amp;","))*('2L Screening Matrix'!$C$2:$C$46=$A6))</f>
        <v>0</v>
      </c>
      <c r="G6" s="11">
        <f>SUMPRODUCT(ISNUMBER(SEARCH(",B7-H1,",","&amp;SUBSTITUTE('1L Screening Matrix'!$I$2:$I$77,", ",",")&amp;","))*('1L Screening Matrix'!$C$2:$C$77=$A6))+SUMPRODUCT(ISNUMBER(SEARCH(",B7-H1,",","&amp;SUBSTITUTE('2L Screening Matrix'!$I$2:$I$46,", ",",")&amp;","))*('2L Screening Matrix'!$C$2:$C$46=$A6))</f>
        <v>0</v>
      </c>
      <c r="H6" s="11">
        <f>SUMPRODUCT(ISNUMBER(SEARCH(",CD274,",","&amp;SUBSTITUTE('1L Screening Matrix'!$I$2:$I$77,", ",",")&amp;","))*('1L Screening Matrix'!$C$2:$C$77=$A6))+SUMPRODUCT(ISNUMBER(SEARCH(",CD274,",","&amp;SUBSTITUTE('2L Screening Matrix'!$I$2:$I$46,", ",",")&amp;","))*('2L Screening Matrix'!$C$2:$C$46=$A6))</f>
        <v>0</v>
      </c>
      <c r="I6" s="11">
        <f>SUMPRODUCT(ISNUMBER(SEARCH(",EGFR,",","&amp;SUBSTITUTE('1L Screening Matrix'!$I$2:$I$77,", ",",")&amp;","))*('1L Screening Matrix'!$C$2:$C$77=$A6))+SUMPRODUCT(ISNUMBER(SEARCH(",EGFR,",","&amp;SUBSTITUTE('2L Screening Matrix'!$I$2:$I$46,", ",",")&amp;","))*('2L Screening Matrix'!$C$2:$C$46=$A6))</f>
        <v>0</v>
      </c>
      <c r="J6" s="11">
        <f>SUMPRODUCT(ISNUMBER(SEARCH(",VEGF,",","&amp;SUBSTITUTE('1L Screening Matrix'!$I$2:$I$77,", ",",")&amp;","))*('1L Screening Matrix'!$C$2:$C$77=$A6))+SUMPRODUCT(ISNUMBER(SEARCH(",VEGF,",","&amp;SUBSTITUTE('2L Screening Matrix'!$I$2:$I$46,", ",",")&amp;","))*('2L Screening Matrix'!$C$2:$C$46=$A6))</f>
        <v>0</v>
      </c>
      <c r="K6" s="11">
        <f>SUMPRODUCT(ISNUMBER(SEARCH(",ERBB,",","&amp;SUBSTITUTE('1L Screening Matrix'!$I$2:$I$77,", ",",")&amp;","))*('1L Screening Matrix'!$C$2:$C$77=$A6))+SUMPRODUCT(ISNUMBER(SEARCH(",ERBB,",","&amp;SUBSTITUTE('2L Screening Matrix'!$I$2:$I$46,", ",",")&amp;","))*('2L Screening Matrix'!$C$2:$C$46=$A6))</f>
        <v>0</v>
      </c>
      <c r="L6" s="11">
        <f>SUMPRODUCT(ISNUMBER(SEARCH(",HER1,",","&amp;SUBSTITUTE('1L Screening Matrix'!$I$2:$I$77,", ",",")&amp;","))*('1L Screening Matrix'!$C$2:$C$77=$A6))+SUMPRODUCT(ISNUMBER(SEARCH(",HER1,",","&amp;SUBSTITUTE('2L Screening Matrix'!$I$2:$I$46,", ",",")&amp;","))*('2L Screening Matrix'!$C$2:$C$46=$A6))</f>
        <v>0</v>
      </c>
      <c r="M6" s="11">
        <f>SUMPRODUCT(ISNUMBER(SEARCH(",Microtubule,",","&amp;SUBSTITUTE('1L Screening Matrix'!$I$2:$I$77,", ",",")&amp;","))*('1L Screening Matrix'!$C$2:$C$77=$A6))+SUMPRODUCT(ISNUMBER(SEARCH(",Microtubule,",","&amp;SUBSTITUTE('2L Screening Matrix'!$I$2:$I$46,", ",",")&amp;","))*('2L Screening Matrix'!$C$2:$C$46=$A6))</f>
        <v>0</v>
      </c>
      <c r="N6" s="11">
        <f>SUMPRODUCT(ISNUMBER(SEARCH(",KRAS G12C,",","&amp;SUBSTITUTE('1L Screening Matrix'!$I$2:$I$77,", ",",")&amp;","))*('1L Screening Matrix'!$C$2:$C$77=$A6))+SUMPRODUCT(ISNUMBER(SEARCH(",KRAS G12C,",","&amp;SUBSTITUTE('2L Screening Matrix'!$I$2:$I$46,", ",",")&amp;","))*('2L Screening Matrix'!$C$2:$C$46=$A6))</f>
        <v>0</v>
      </c>
      <c r="O6" s="11">
        <f>SUMPRODUCT(ISNUMBER(SEARCH(",EGFR T790M,",","&amp;SUBSTITUTE('1L Screening Matrix'!$I$2:$I$77,", ",",")&amp;","))*('1L Screening Matrix'!$C$2:$C$77=$A6))+SUMPRODUCT(ISNUMBER(SEARCH(",EGFR T790M,",","&amp;SUBSTITUTE('2L Screening Matrix'!$I$2:$I$46,", ",",")&amp;","))*('2L Screening Matrix'!$C$2:$C$46=$A6))</f>
        <v>2</v>
      </c>
      <c r="P6" s="11">
        <f>SUMPRODUCT(ISNUMBER(SEARCH(",ALK,",","&amp;SUBSTITUTE('1L Screening Matrix'!$I$2:$I$77,", ",",")&amp;","))*('1L Screening Matrix'!$C$2:$C$77=$A6))+SUMPRODUCT(ISNUMBER(SEARCH(",ALK,",","&amp;SUBSTITUTE('2L Screening Matrix'!$I$2:$I$46,", ",",")&amp;","))*('2L Screening Matrix'!$C$2:$C$46=$A6))</f>
        <v>0</v>
      </c>
      <c r="Q6" s="11">
        <f>SUMPRODUCT(ISNUMBER(SEARCH(",TROP2,",","&amp;SUBSTITUTE('1L Screening Matrix'!$I$2:$I$77,", ",",")&amp;","))*('1L Screening Matrix'!$C$2:$C$77=$A6))+SUMPRODUCT(ISNUMBER(SEARCH(",TROP2,",","&amp;SUBSTITUTE('2L Screening Matrix'!$I$2:$I$46,", ",",")&amp;","))*('2L Screening Matrix'!$C$2:$C$46=$A6))</f>
        <v>0</v>
      </c>
      <c r="R6" s="11">
        <f>SUMPRODUCT(ISNUMBER(SEARCH(",c-MET/MET,",","&amp;SUBSTITUTE('1L Screening Matrix'!$I$2:$I$77,", ",",")&amp;","))*('1L Screening Matrix'!$C$2:$C$77=$A6))+SUMPRODUCT(ISNUMBER(SEARCH(",c-MET/MET,",","&amp;SUBSTITUTE('2L Screening Matrix'!$I$2:$I$46,", ",",")&amp;","))*('2L Screening Matrix'!$C$2:$C$46=$A6))</f>
        <v>0</v>
      </c>
      <c r="S6" s="11">
        <f>SUMPRODUCT(ISNUMBER(SEARCH(",HER2,",","&amp;SUBSTITUTE('1L Screening Matrix'!$I$2:$I$77,", ",",")&amp;","))*('1L Screening Matrix'!$C$2:$C$77=$A6))+SUMPRODUCT(ISNUMBER(SEARCH(",HER2,",","&amp;SUBSTITUTE('2L Screening Matrix'!$I$2:$I$46,", ",",")&amp;","))*('2L Screening Matrix'!$C$2:$C$46=$A6))</f>
        <v>0</v>
      </c>
      <c r="T6" s="11">
        <f>SUMPRODUCT(ISNUMBER(SEARCH(",ROS1,",","&amp;SUBSTITUTE('1L Screening Matrix'!$I$2:$I$77,", ",",")&amp;","))*('1L Screening Matrix'!$C$2:$C$77=$A6))+SUMPRODUCT(ISNUMBER(SEARCH(",ROS1,",","&amp;SUBSTITUTE('2L Screening Matrix'!$I$2:$I$46,", ",",")&amp;","))*('2L Screening Matrix'!$C$2:$C$46=$A6))</f>
        <v>0</v>
      </c>
      <c r="U6" s="11">
        <f>SUMPRODUCT(ISNUMBER(SEARCH(",TIGIT,",","&amp;SUBSTITUTE('1L Screening Matrix'!$I$2:$I$77,", ",",")&amp;","))*('1L Screening Matrix'!$C$2:$C$77=$A6))+SUMPRODUCT(ISNUMBER(SEARCH(",TIGIT,",","&amp;SUBSTITUTE('2L Screening Matrix'!$I$2:$I$46,", ",",")&amp;","))*('2L Screening Matrix'!$C$2:$C$46=$A6))</f>
        <v>0</v>
      </c>
      <c r="V6" s="11">
        <f>SUMPRODUCT(ISNUMBER(SEARCH(",EGFR L858R,",","&amp;SUBSTITUTE('1L Screening Matrix'!$I$2:$I$77,", ",",")&amp;","))*('1L Screening Matrix'!$C$2:$C$77=$A6))+SUMPRODUCT(ISNUMBER(SEARCH(",EGFR L858R,",","&amp;SUBSTITUTE('2L Screening Matrix'!$I$2:$I$46,", ",",")&amp;","))*('2L Screening Matrix'!$C$2:$C$46=$A6))</f>
        <v>0</v>
      </c>
      <c r="W6" s="11">
        <f>SUMPRODUCT(ISNUMBER(SEARCH(",ROS,",","&amp;SUBSTITUTE('1L Screening Matrix'!$I$2:$I$77,", ",",")&amp;","))*('1L Screening Matrix'!$C$2:$C$77=$A6))+SUMPRODUCT(ISNUMBER(SEARCH(",ROS,",","&amp;SUBSTITUTE('2L Screening Matrix'!$I$2:$I$46,", ",",")&amp;","))*('2L Screening Matrix'!$C$2:$C$46=$A6))</f>
        <v>0</v>
      </c>
      <c r="X6" s="11">
        <f>SUMPRODUCT(ISNUMBER(SEARCH(",IL-2,",","&amp;SUBSTITUTE('1L Screening Matrix'!$I$2:$I$77,", ",",")&amp;","))*('1L Screening Matrix'!$C$2:$C$77=$A6))+SUMPRODUCT(ISNUMBER(SEARCH(",IL-2,",","&amp;SUBSTITUTE('2L Screening Matrix'!$I$2:$I$46,", ",",")&amp;","))*('2L Screening Matrix'!$C$2:$C$46=$A6))</f>
        <v>0</v>
      </c>
      <c r="Y6" s="11">
        <f>SUMPRODUCT(ISNUMBER(SEARCH(",TCGF,",","&amp;SUBSTITUTE('1L Screening Matrix'!$I$2:$I$77,", ",",")&amp;","))*('1L Screening Matrix'!$C$2:$C$77=$A6))+SUMPRODUCT(ISNUMBER(SEARCH(",TCGF,",","&amp;SUBSTITUTE('2L Screening Matrix'!$I$2:$I$46,", ",",")&amp;","))*('2L Screening Matrix'!$C$2:$C$46=$A6))</f>
        <v>0</v>
      </c>
      <c r="Z6" s="11">
        <f>SUMPRODUCT(ISNUMBER(SEARCH(",CTLA-4,",","&amp;SUBSTITUTE('1L Screening Matrix'!$I$2:$I$77,", ",",")&amp;","))*('1L Screening Matrix'!$C$2:$C$77=$A6))+SUMPRODUCT(ISNUMBER(SEARCH(",CTLA-4,",","&amp;SUBSTITUTE('2L Screening Matrix'!$I$2:$I$46,", ",",")&amp;","))*('2L Screening Matrix'!$C$2:$C$46=$A6))</f>
        <v>0</v>
      </c>
      <c r="AA6" s="11">
        <f>SUMPRODUCT(ISNUMBER(SEARCH(",EGFR Exon 20,",","&amp;SUBSTITUTE('1L Screening Matrix'!$I$2:$I$77,", ",",")&amp;","))*('1L Screening Matrix'!$C$2:$C$77=$A6))+SUMPRODUCT(ISNUMBER(SEARCH(",EGFR Exon 20,",","&amp;SUBSTITUTE('2L Screening Matrix'!$I$2:$I$46,", ",",")&amp;","))*('2L Screening Matrix'!$C$2:$C$46=$A6))</f>
        <v>0</v>
      </c>
      <c r="AB6" s="11">
        <f>SUMPRODUCT(ISNUMBER(SEARCH(",HER2 Exon 20,",","&amp;SUBSTITUTE('1L Screening Matrix'!$I$2:$I$77,", ",",")&amp;","))*('1L Screening Matrix'!$C$2:$C$77=$A6))+SUMPRODUCT(ISNUMBER(SEARCH(",HER2 Exon 20,",","&amp;SUBSTITUTE('2L Screening Matrix'!$I$2:$I$46,", ",",")&amp;","))*('2L Screening Matrix'!$C$2:$C$46=$A6))</f>
        <v>0</v>
      </c>
      <c r="AC6" s="11">
        <f>SUMPRODUCT(ISNUMBER(SEARCH(",IL-15,",","&amp;SUBSTITUTE('1L Screening Matrix'!$I$2:$I$77,", ",",")&amp;","))*('1L Screening Matrix'!$C$2:$C$77=$A6))+SUMPRODUCT(ISNUMBER(SEARCH(",IL-15,",","&amp;SUBSTITUTE('2L Screening Matrix'!$I$2:$I$46,", ",",")&amp;","))*('2L Screening Matrix'!$C$2:$C$46=$A6))</f>
        <v>0</v>
      </c>
      <c r="AD6" s="11">
        <f>SUMPRODUCT(ISNUMBER(SEARCH(",IL-15R,",","&amp;SUBSTITUTE('1L Screening Matrix'!$I$2:$I$77,", ",",")&amp;","))*('1L Screening Matrix'!$C$2:$C$77=$A6))+SUMPRODUCT(ISNUMBER(SEARCH(",IL-15R,",","&amp;SUBSTITUTE('2L Screening Matrix'!$I$2:$I$46,", ",",")&amp;","))*('2L Screening Matrix'!$C$2:$C$46=$A6))</f>
        <v>0</v>
      </c>
      <c r="AE6" s="11">
        <f>SUMPRODUCT(ISNUMBER(SEARCH(",KRAS G12D,",","&amp;SUBSTITUTE('1L Screening Matrix'!$I$2:$I$77,", ",",")&amp;","))*('1L Screening Matrix'!$C$2:$C$77=$A6))+SUMPRODUCT(ISNUMBER(SEARCH(",KRAS G12D,",","&amp;SUBSTITUTE('2L Screening Matrix'!$I$2:$I$46,", ",",")&amp;","))*('2L Screening Matrix'!$C$2:$C$46=$A6))</f>
        <v>0</v>
      </c>
      <c r="AF6" s="11">
        <f>SUMPRODUCT(ISNUMBER(SEARCH(",HER4,",","&amp;SUBSTITUTE('1L Screening Matrix'!$I$2:$I$77,", ",",")&amp;","))*('1L Screening Matrix'!$C$2:$C$77=$A6))+SUMPRODUCT(ISNUMBER(SEARCH(",HER4,",","&amp;SUBSTITUTE('2L Screening Matrix'!$I$2:$I$46,", ",",")&amp;","))*('2L Screening Matrix'!$C$2:$C$46=$A6))</f>
        <v>0</v>
      </c>
      <c r="AG6" s="11">
        <f>SUMPRODUCT(ISNUMBER(SEARCH(",ALK L1196M,",","&amp;SUBSTITUTE('1L Screening Matrix'!$I$2:$I$77,", ",",")&amp;","))*('1L Screening Matrix'!$C$2:$C$77=$A6))+SUMPRODUCT(ISNUMBER(SEARCH(",ALK L1196M,",","&amp;SUBSTITUTE('2L Screening Matrix'!$I$2:$I$46,", ",",")&amp;","))*('2L Screening Matrix'!$C$2:$C$46=$A6))</f>
        <v>0</v>
      </c>
      <c r="AH6" s="11">
        <f>SUMPRODUCT(ISNUMBER(SEARCH(",CD152,",","&amp;SUBSTITUTE('1L Screening Matrix'!$I$2:$I$77,", ",",")&amp;","))*('1L Screening Matrix'!$C$2:$C$77=$A6))+SUMPRODUCT(ISNUMBER(SEARCH(",CD152,",","&amp;SUBSTITUTE('2L Screening Matrix'!$I$2:$I$46,", ",",")&amp;","))*('2L Screening Matrix'!$C$2:$C$46=$A6))</f>
        <v>0</v>
      </c>
      <c r="AI6" s="11">
        <f>SUMPRODUCT(ISNUMBER(SEARCH(",MLN19,",","&amp;SUBSTITUTE('1L Screening Matrix'!$I$2:$I$77,", ",",")&amp;","))*('1L Screening Matrix'!$C$2:$C$77=$A6))+SUMPRODUCT(ISNUMBER(SEARCH(",MLN19,",","&amp;SUBSTITUTE('2L Screening Matrix'!$I$2:$I$46,", ",",")&amp;","))*('2L Screening Matrix'!$C$2:$C$46=$A6))</f>
        <v>0</v>
      </c>
      <c r="AJ6" s="11">
        <f>SUMPRODUCT(ISNUMBER(SEARCH(",NTRK,",","&amp;SUBSTITUTE('1L Screening Matrix'!$I$2:$I$77,", ",",")&amp;","))*('1L Screening Matrix'!$C$2:$C$77=$A6))+SUMPRODUCT(ISNUMBER(SEARCH(",NTRK,",","&amp;SUBSTITUTE('2L Screening Matrix'!$I$2:$I$46,", ",",")&amp;","))*('2L Screening Matrix'!$C$2:$C$46=$A6))</f>
        <v>0</v>
      </c>
      <c r="AK6" s="11">
        <f>SUMPRODUCT(ISNUMBER(SEARCH(",Integrin β6,",","&amp;SUBSTITUTE('1L Screening Matrix'!$I$2:$I$77,", ",",")&amp;","))*('1L Screening Matrix'!$C$2:$C$77=$A6))+SUMPRODUCT(ISNUMBER(SEARCH(",Integrin β6,",","&amp;SUBSTITUTE('2L Screening Matrix'!$I$2:$I$46,", ",",")&amp;","))*('2L Screening Matrix'!$C$2:$C$46=$A6))</f>
        <v>0</v>
      </c>
      <c r="AL6" s="11">
        <f>SUMPRODUCT(ISNUMBER(SEARCH(",LAG-3,",","&amp;SUBSTITUTE('1L Screening Matrix'!$I$2:$I$77,", ",",")&amp;","))*('1L Screening Matrix'!$C$2:$C$77=$A6))+SUMPRODUCT(ISNUMBER(SEARCH(",LAG-3,",","&amp;SUBSTITUTE('2L Screening Matrix'!$I$2:$I$46,", ",",")&amp;","))*('2L Screening Matrix'!$C$2:$C$46=$A6))</f>
        <v>0</v>
      </c>
      <c r="AM6" s="14">
        <f t="shared" si="0"/>
        <v>2</v>
      </c>
    </row>
    <row r="7" spans="1:39" ht="15" customHeight="1" x14ac:dyDescent="0.2">
      <c r="A7" s="15" t="s">
        <v>1880</v>
      </c>
      <c r="B7" s="11">
        <f>SUMPRODUCT(ISNUMBER(SEARCH(",PD-1,",","&amp;SUBSTITUTE('1L Screening Matrix'!$I$2:$I$77,", ",",")&amp;","))*('1L Screening Matrix'!$C$2:$C$77=$A7))+SUMPRODUCT(ISNUMBER(SEARCH(",PD-1,",","&amp;SUBSTITUTE('2L Screening Matrix'!$I$2:$I$46,", ",",")&amp;","))*('2L Screening Matrix'!$C$2:$C$46=$A7))</f>
        <v>0</v>
      </c>
      <c r="C7" s="11">
        <f>SUMPRODUCT(ISNUMBER(SEARCH(",CD279,",","&amp;SUBSTITUTE('1L Screening Matrix'!$I$2:$I$77,", ",",")&amp;","))*('1L Screening Matrix'!$C$2:$C$77=$A7))+SUMPRODUCT(ISNUMBER(SEARCH(",CD279,",","&amp;SUBSTITUTE('2L Screening Matrix'!$I$2:$I$46,", ",",")&amp;","))*('2L Screening Matrix'!$C$2:$C$46=$A7))</f>
        <v>0</v>
      </c>
      <c r="D7" s="11">
        <f>SUMPRODUCT(ISNUMBER(SEARCH(",TS,",","&amp;SUBSTITUTE('1L Screening Matrix'!$I$2:$I$77,", ",",")&amp;","))*('1L Screening Matrix'!$C$2:$C$77=$A7))+SUMPRODUCT(ISNUMBER(SEARCH(",TS,",","&amp;SUBSTITUTE('2L Screening Matrix'!$I$2:$I$46,", ",",")&amp;","))*('2L Screening Matrix'!$C$2:$C$46=$A7))</f>
        <v>0</v>
      </c>
      <c r="E7" s="11">
        <f>SUMPRODUCT(ISNUMBER(SEARCH(",TYMS,",","&amp;SUBSTITUTE('1L Screening Matrix'!$I$2:$I$77,", ",",")&amp;","))*('1L Screening Matrix'!$C$2:$C$77=$A7))+SUMPRODUCT(ISNUMBER(SEARCH(",TYMS,",","&amp;SUBSTITUTE('2L Screening Matrix'!$I$2:$I$46,", ",",")&amp;","))*('2L Screening Matrix'!$C$2:$C$46=$A7))</f>
        <v>0</v>
      </c>
      <c r="F7" s="11">
        <f>SUMPRODUCT(ISNUMBER(SEARCH(",PD-L1,",","&amp;SUBSTITUTE('1L Screening Matrix'!$I$2:$I$77,", ",",")&amp;","))*('1L Screening Matrix'!$C$2:$C$77=$A7))+SUMPRODUCT(ISNUMBER(SEARCH(",PD-L1,",","&amp;SUBSTITUTE('2L Screening Matrix'!$I$2:$I$46,", ",",")&amp;","))*('2L Screening Matrix'!$C$2:$C$46=$A7))</f>
        <v>0</v>
      </c>
      <c r="G7" s="11">
        <f>SUMPRODUCT(ISNUMBER(SEARCH(",B7-H1,",","&amp;SUBSTITUTE('1L Screening Matrix'!$I$2:$I$77,", ",",")&amp;","))*('1L Screening Matrix'!$C$2:$C$77=$A7))+SUMPRODUCT(ISNUMBER(SEARCH(",B7-H1,",","&amp;SUBSTITUTE('2L Screening Matrix'!$I$2:$I$46,", ",",")&amp;","))*('2L Screening Matrix'!$C$2:$C$46=$A7))</f>
        <v>0</v>
      </c>
      <c r="H7" s="11">
        <f>SUMPRODUCT(ISNUMBER(SEARCH(",CD274,",","&amp;SUBSTITUTE('1L Screening Matrix'!$I$2:$I$77,", ",",")&amp;","))*('1L Screening Matrix'!$C$2:$C$77=$A7))+SUMPRODUCT(ISNUMBER(SEARCH(",CD274,",","&amp;SUBSTITUTE('2L Screening Matrix'!$I$2:$I$46,", ",",")&amp;","))*('2L Screening Matrix'!$C$2:$C$46=$A7))</f>
        <v>0</v>
      </c>
      <c r="I7" s="11">
        <f>SUMPRODUCT(ISNUMBER(SEARCH(",EGFR,",","&amp;SUBSTITUTE('1L Screening Matrix'!$I$2:$I$77,", ",",")&amp;","))*('1L Screening Matrix'!$C$2:$C$77=$A7))+SUMPRODUCT(ISNUMBER(SEARCH(",EGFR,",","&amp;SUBSTITUTE('2L Screening Matrix'!$I$2:$I$46,", ",",")&amp;","))*('2L Screening Matrix'!$C$2:$C$46=$A7))</f>
        <v>0</v>
      </c>
      <c r="J7" s="11">
        <f>SUMPRODUCT(ISNUMBER(SEARCH(",VEGF,",","&amp;SUBSTITUTE('1L Screening Matrix'!$I$2:$I$77,", ",",")&amp;","))*('1L Screening Matrix'!$C$2:$C$77=$A7))+SUMPRODUCT(ISNUMBER(SEARCH(",VEGF,",","&amp;SUBSTITUTE('2L Screening Matrix'!$I$2:$I$46,", ",",")&amp;","))*('2L Screening Matrix'!$C$2:$C$46=$A7))</f>
        <v>0</v>
      </c>
      <c r="K7" s="11">
        <f>SUMPRODUCT(ISNUMBER(SEARCH(",ERBB,",","&amp;SUBSTITUTE('1L Screening Matrix'!$I$2:$I$77,", ",",")&amp;","))*('1L Screening Matrix'!$C$2:$C$77=$A7))+SUMPRODUCT(ISNUMBER(SEARCH(",ERBB,",","&amp;SUBSTITUTE('2L Screening Matrix'!$I$2:$I$46,", ",",")&amp;","))*('2L Screening Matrix'!$C$2:$C$46=$A7))</f>
        <v>0</v>
      </c>
      <c r="L7" s="11">
        <f>SUMPRODUCT(ISNUMBER(SEARCH(",HER1,",","&amp;SUBSTITUTE('1L Screening Matrix'!$I$2:$I$77,", ",",")&amp;","))*('1L Screening Matrix'!$C$2:$C$77=$A7))+SUMPRODUCT(ISNUMBER(SEARCH(",HER1,",","&amp;SUBSTITUTE('2L Screening Matrix'!$I$2:$I$46,", ",",")&amp;","))*('2L Screening Matrix'!$C$2:$C$46=$A7))</f>
        <v>0</v>
      </c>
      <c r="M7" s="11">
        <f>SUMPRODUCT(ISNUMBER(SEARCH(",Microtubule,",","&amp;SUBSTITUTE('1L Screening Matrix'!$I$2:$I$77,", ",",")&amp;","))*('1L Screening Matrix'!$C$2:$C$77=$A7))+SUMPRODUCT(ISNUMBER(SEARCH(",Microtubule,",","&amp;SUBSTITUTE('2L Screening Matrix'!$I$2:$I$46,", ",",")&amp;","))*('2L Screening Matrix'!$C$2:$C$46=$A7))</f>
        <v>0</v>
      </c>
      <c r="N7" s="11">
        <f>SUMPRODUCT(ISNUMBER(SEARCH(",KRAS G12C,",","&amp;SUBSTITUTE('1L Screening Matrix'!$I$2:$I$77,", ",",")&amp;","))*('1L Screening Matrix'!$C$2:$C$77=$A7))+SUMPRODUCT(ISNUMBER(SEARCH(",KRAS G12C,",","&amp;SUBSTITUTE('2L Screening Matrix'!$I$2:$I$46,", ",",")&amp;","))*('2L Screening Matrix'!$C$2:$C$46=$A7))</f>
        <v>0</v>
      </c>
      <c r="O7" s="11">
        <f>SUMPRODUCT(ISNUMBER(SEARCH(",EGFR T790M,",","&amp;SUBSTITUTE('1L Screening Matrix'!$I$2:$I$77,", ",",")&amp;","))*('1L Screening Matrix'!$C$2:$C$77=$A7))+SUMPRODUCT(ISNUMBER(SEARCH(",EGFR T790M,",","&amp;SUBSTITUTE('2L Screening Matrix'!$I$2:$I$46,", ",",")&amp;","))*('2L Screening Matrix'!$C$2:$C$46=$A7))</f>
        <v>0</v>
      </c>
      <c r="P7" s="11">
        <f>SUMPRODUCT(ISNUMBER(SEARCH(",ALK,",","&amp;SUBSTITUTE('1L Screening Matrix'!$I$2:$I$77,", ",",")&amp;","))*('1L Screening Matrix'!$C$2:$C$77=$A7))+SUMPRODUCT(ISNUMBER(SEARCH(",ALK,",","&amp;SUBSTITUTE('2L Screening Matrix'!$I$2:$I$46,", ",",")&amp;","))*('2L Screening Matrix'!$C$2:$C$46=$A7))</f>
        <v>0</v>
      </c>
      <c r="Q7" s="11">
        <f>SUMPRODUCT(ISNUMBER(SEARCH(",TROP2,",","&amp;SUBSTITUTE('1L Screening Matrix'!$I$2:$I$77,", ",",")&amp;","))*('1L Screening Matrix'!$C$2:$C$77=$A7))+SUMPRODUCT(ISNUMBER(SEARCH(",TROP2,",","&amp;SUBSTITUTE('2L Screening Matrix'!$I$2:$I$46,", ",",")&amp;","))*('2L Screening Matrix'!$C$2:$C$46=$A7))</f>
        <v>0</v>
      </c>
      <c r="R7" s="11">
        <f>SUMPRODUCT(ISNUMBER(SEARCH(",c-MET/MET,",","&amp;SUBSTITUTE('1L Screening Matrix'!$I$2:$I$77,", ",",")&amp;","))*('1L Screening Matrix'!$C$2:$C$77=$A7))+SUMPRODUCT(ISNUMBER(SEARCH(",c-MET/MET,",","&amp;SUBSTITUTE('2L Screening Matrix'!$I$2:$I$46,", ",",")&amp;","))*('2L Screening Matrix'!$C$2:$C$46=$A7))</f>
        <v>0</v>
      </c>
      <c r="S7" s="11">
        <f>SUMPRODUCT(ISNUMBER(SEARCH(",HER2,",","&amp;SUBSTITUTE('1L Screening Matrix'!$I$2:$I$77,", ",",")&amp;","))*('1L Screening Matrix'!$C$2:$C$77=$A7))+SUMPRODUCT(ISNUMBER(SEARCH(",HER2,",","&amp;SUBSTITUTE('2L Screening Matrix'!$I$2:$I$46,", ",",")&amp;","))*('2L Screening Matrix'!$C$2:$C$46=$A7))</f>
        <v>0</v>
      </c>
      <c r="T7" s="11">
        <f>SUMPRODUCT(ISNUMBER(SEARCH(",ROS1,",","&amp;SUBSTITUTE('1L Screening Matrix'!$I$2:$I$77,", ",",")&amp;","))*('1L Screening Matrix'!$C$2:$C$77=$A7))+SUMPRODUCT(ISNUMBER(SEARCH(",ROS1,",","&amp;SUBSTITUTE('2L Screening Matrix'!$I$2:$I$46,", ",",")&amp;","))*('2L Screening Matrix'!$C$2:$C$46=$A7))</f>
        <v>0</v>
      </c>
      <c r="U7" s="11">
        <f>SUMPRODUCT(ISNUMBER(SEARCH(",TIGIT,",","&amp;SUBSTITUTE('1L Screening Matrix'!$I$2:$I$77,", ",",")&amp;","))*('1L Screening Matrix'!$C$2:$C$77=$A7))+SUMPRODUCT(ISNUMBER(SEARCH(",TIGIT,",","&amp;SUBSTITUTE('2L Screening Matrix'!$I$2:$I$46,", ",",")&amp;","))*('2L Screening Matrix'!$C$2:$C$46=$A7))</f>
        <v>0</v>
      </c>
      <c r="V7" s="11">
        <f>SUMPRODUCT(ISNUMBER(SEARCH(",EGFR L858R,",","&amp;SUBSTITUTE('1L Screening Matrix'!$I$2:$I$77,", ",",")&amp;","))*('1L Screening Matrix'!$C$2:$C$77=$A7))+SUMPRODUCT(ISNUMBER(SEARCH(",EGFR L858R,",","&amp;SUBSTITUTE('2L Screening Matrix'!$I$2:$I$46,", ",",")&amp;","))*('2L Screening Matrix'!$C$2:$C$46=$A7))</f>
        <v>0</v>
      </c>
      <c r="W7" s="11">
        <f>SUMPRODUCT(ISNUMBER(SEARCH(",ROS,",","&amp;SUBSTITUTE('1L Screening Matrix'!$I$2:$I$77,", ",",")&amp;","))*('1L Screening Matrix'!$C$2:$C$77=$A7))+SUMPRODUCT(ISNUMBER(SEARCH(",ROS,",","&amp;SUBSTITUTE('2L Screening Matrix'!$I$2:$I$46,", ",",")&amp;","))*('2L Screening Matrix'!$C$2:$C$46=$A7))</f>
        <v>0</v>
      </c>
      <c r="X7" s="11">
        <f>SUMPRODUCT(ISNUMBER(SEARCH(",IL-2,",","&amp;SUBSTITUTE('1L Screening Matrix'!$I$2:$I$77,", ",",")&amp;","))*('1L Screening Matrix'!$C$2:$C$77=$A7))+SUMPRODUCT(ISNUMBER(SEARCH(",IL-2,",","&amp;SUBSTITUTE('2L Screening Matrix'!$I$2:$I$46,", ",",")&amp;","))*('2L Screening Matrix'!$C$2:$C$46=$A7))</f>
        <v>0</v>
      </c>
      <c r="Y7" s="11">
        <f>SUMPRODUCT(ISNUMBER(SEARCH(",TCGF,",","&amp;SUBSTITUTE('1L Screening Matrix'!$I$2:$I$77,", ",",")&amp;","))*('1L Screening Matrix'!$C$2:$C$77=$A7))+SUMPRODUCT(ISNUMBER(SEARCH(",TCGF,",","&amp;SUBSTITUTE('2L Screening Matrix'!$I$2:$I$46,", ",",")&amp;","))*('2L Screening Matrix'!$C$2:$C$46=$A7))</f>
        <v>0</v>
      </c>
      <c r="Z7" s="11">
        <f>SUMPRODUCT(ISNUMBER(SEARCH(",CTLA-4,",","&amp;SUBSTITUTE('1L Screening Matrix'!$I$2:$I$77,", ",",")&amp;","))*('1L Screening Matrix'!$C$2:$C$77=$A7))+SUMPRODUCT(ISNUMBER(SEARCH(",CTLA-4,",","&amp;SUBSTITUTE('2L Screening Matrix'!$I$2:$I$46,", ",",")&amp;","))*('2L Screening Matrix'!$C$2:$C$46=$A7))</f>
        <v>0</v>
      </c>
      <c r="AA7" s="11">
        <f>SUMPRODUCT(ISNUMBER(SEARCH(",EGFR Exon 20,",","&amp;SUBSTITUTE('1L Screening Matrix'!$I$2:$I$77,", ",",")&amp;","))*('1L Screening Matrix'!$C$2:$C$77=$A7))+SUMPRODUCT(ISNUMBER(SEARCH(",EGFR Exon 20,",","&amp;SUBSTITUTE('2L Screening Matrix'!$I$2:$I$46,", ",",")&amp;","))*('2L Screening Matrix'!$C$2:$C$46=$A7))</f>
        <v>0</v>
      </c>
      <c r="AB7" s="11">
        <f>SUMPRODUCT(ISNUMBER(SEARCH(",HER2 Exon 20,",","&amp;SUBSTITUTE('1L Screening Matrix'!$I$2:$I$77,", ",",")&amp;","))*('1L Screening Matrix'!$C$2:$C$77=$A7))+SUMPRODUCT(ISNUMBER(SEARCH(",HER2 Exon 20,",","&amp;SUBSTITUTE('2L Screening Matrix'!$I$2:$I$46,", ",",")&amp;","))*('2L Screening Matrix'!$C$2:$C$46=$A7))</f>
        <v>0</v>
      </c>
      <c r="AC7" s="11">
        <f>SUMPRODUCT(ISNUMBER(SEARCH(",IL-15,",","&amp;SUBSTITUTE('1L Screening Matrix'!$I$2:$I$77,", ",",")&amp;","))*('1L Screening Matrix'!$C$2:$C$77=$A7))+SUMPRODUCT(ISNUMBER(SEARCH(",IL-15,",","&amp;SUBSTITUTE('2L Screening Matrix'!$I$2:$I$46,", ",",")&amp;","))*('2L Screening Matrix'!$C$2:$C$46=$A7))</f>
        <v>0</v>
      </c>
      <c r="AD7" s="11">
        <f>SUMPRODUCT(ISNUMBER(SEARCH(",IL-15R,",","&amp;SUBSTITUTE('1L Screening Matrix'!$I$2:$I$77,", ",",")&amp;","))*('1L Screening Matrix'!$C$2:$C$77=$A7))+SUMPRODUCT(ISNUMBER(SEARCH(",IL-15R,",","&amp;SUBSTITUTE('2L Screening Matrix'!$I$2:$I$46,", ",",")&amp;","))*('2L Screening Matrix'!$C$2:$C$46=$A7))</f>
        <v>0</v>
      </c>
      <c r="AE7" s="11">
        <f>SUMPRODUCT(ISNUMBER(SEARCH(",KRAS G12D,",","&amp;SUBSTITUTE('1L Screening Matrix'!$I$2:$I$77,", ",",")&amp;","))*('1L Screening Matrix'!$C$2:$C$77=$A7))+SUMPRODUCT(ISNUMBER(SEARCH(",KRAS G12D,",","&amp;SUBSTITUTE('2L Screening Matrix'!$I$2:$I$46,", ",",")&amp;","))*('2L Screening Matrix'!$C$2:$C$46=$A7))</f>
        <v>1</v>
      </c>
      <c r="AF7" s="11">
        <f>SUMPRODUCT(ISNUMBER(SEARCH(",HER4,",","&amp;SUBSTITUTE('1L Screening Matrix'!$I$2:$I$77,", ",",")&amp;","))*('1L Screening Matrix'!$C$2:$C$77=$A7))+SUMPRODUCT(ISNUMBER(SEARCH(",HER4,",","&amp;SUBSTITUTE('2L Screening Matrix'!$I$2:$I$46,", ",",")&amp;","))*('2L Screening Matrix'!$C$2:$C$46=$A7))</f>
        <v>0</v>
      </c>
      <c r="AG7" s="11">
        <f>SUMPRODUCT(ISNUMBER(SEARCH(",ALK L1196M,",","&amp;SUBSTITUTE('1L Screening Matrix'!$I$2:$I$77,", ",",")&amp;","))*('1L Screening Matrix'!$C$2:$C$77=$A7))+SUMPRODUCT(ISNUMBER(SEARCH(",ALK L1196M,",","&amp;SUBSTITUTE('2L Screening Matrix'!$I$2:$I$46,", ",",")&amp;","))*('2L Screening Matrix'!$C$2:$C$46=$A7))</f>
        <v>0</v>
      </c>
      <c r="AH7" s="11">
        <f>SUMPRODUCT(ISNUMBER(SEARCH(",CD152,",","&amp;SUBSTITUTE('1L Screening Matrix'!$I$2:$I$77,", ",",")&amp;","))*('1L Screening Matrix'!$C$2:$C$77=$A7))+SUMPRODUCT(ISNUMBER(SEARCH(",CD152,",","&amp;SUBSTITUTE('2L Screening Matrix'!$I$2:$I$46,", ",",")&amp;","))*('2L Screening Matrix'!$C$2:$C$46=$A7))</f>
        <v>0</v>
      </c>
      <c r="AI7" s="11">
        <f>SUMPRODUCT(ISNUMBER(SEARCH(",MLN19,",","&amp;SUBSTITUTE('1L Screening Matrix'!$I$2:$I$77,", ",",")&amp;","))*('1L Screening Matrix'!$C$2:$C$77=$A7))+SUMPRODUCT(ISNUMBER(SEARCH(",MLN19,",","&amp;SUBSTITUTE('2L Screening Matrix'!$I$2:$I$46,", ",",")&amp;","))*('2L Screening Matrix'!$C$2:$C$46=$A7))</f>
        <v>0</v>
      </c>
      <c r="AJ7" s="11">
        <f>SUMPRODUCT(ISNUMBER(SEARCH(",NTRK,",","&amp;SUBSTITUTE('1L Screening Matrix'!$I$2:$I$77,", ",",")&amp;","))*('1L Screening Matrix'!$C$2:$C$77=$A7))+SUMPRODUCT(ISNUMBER(SEARCH(",NTRK,",","&amp;SUBSTITUTE('2L Screening Matrix'!$I$2:$I$46,", ",",")&amp;","))*('2L Screening Matrix'!$C$2:$C$46=$A7))</f>
        <v>0</v>
      </c>
      <c r="AK7" s="11">
        <f>SUMPRODUCT(ISNUMBER(SEARCH(",Integrin β6,",","&amp;SUBSTITUTE('1L Screening Matrix'!$I$2:$I$77,", ",",")&amp;","))*('1L Screening Matrix'!$C$2:$C$77=$A7))+SUMPRODUCT(ISNUMBER(SEARCH(",Integrin β6,",","&amp;SUBSTITUTE('2L Screening Matrix'!$I$2:$I$46,", ",",")&amp;","))*('2L Screening Matrix'!$C$2:$C$46=$A7))</f>
        <v>0</v>
      </c>
      <c r="AL7" s="11">
        <f>SUMPRODUCT(ISNUMBER(SEARCH(",LAG-3,",","&amp;SUBSTITUTE('1L Screening Matrix'!$I$2:$I$77,", ",",")&amp;","))*('1L Screening Matrix'!$C$2:$C$77=$A7))+SUMPRODUCT(ISNUMBER(SEARCH(",LAG-3,",","&amp;SUBSTITUTE('2L Screening Matrix'!$I$2:$I$46,", ",",")&amp;","))*('2L Screening Matrix'!$C$2:$C$46=$A7))</f>
        <v>0</v>
      </c>
      <c r="AM7" s="14">
        <f t="shared" si="0"/>
        <v>1</v>
      </c>
    </row>
    <row r="8" spans="1:39" ht="15" customHeight="1" x14ac:dyDescent="0.2">
      <c r="A8" s="12" t="s">
        <v>350</v>
      </c>
      <c r="B8" s="11">
        <f>SUMPRODUCT(ISNUMBER(SEARCH(",PD-1,",","&amp;SUBSTITUTE('1L Screening Matrix'!$I$2:$I$77,", ",",")&amp;","))*('1L Screening Matrix'!$C$2:$C$77=$A8))+SUMPRODUCT(ISNUMBER(SEARCH(",PD-1,",","&amp;SUBSTITUTE('2L Screening Matrix'!$I$2:$I$46,", ",",")&amp;","))*('2L Screening Matrix'!$C$2:$C$46=$A8))</f>
        <v>6</v>
      </c>
      <c r="C8" s="11">
        <f>SUMPRODUCT(ISNUMBER(SEARCH(",CD279,",","&amp;SUBSTITUTE('1L Screening Matrix'!$I$2:$I$77,", ",",")&amp;","))*('1L Screening Matrix'!$C$2:$C$77=$A8))+SUMPRODUCT(ISNUMBER(SEARCH(",CD279,",","&amp;SUBSTITUTE('2L Screening Matrix'!$I$2:$I$46,", ",",")&amp;","))*('2L Screening Matrix'!$C$2:$C$46=$A8))</f>
        <v>6</v>
      </c>
      <c r="D8" s="11">
        <f>SUMPRODUCT(ISNUMBER(SEARCH(",TS,",","&amp;SUBSTITUTE('1L Screening Matrix'!$I$2:$I$77,", ",",")&amp;","))*('1L Screening Matrix'!$C$2:$C$77=$A8))+SUMPRODUCT(ISNUMBER(SEARCH(",TS,",","&amp;SUBSTITUTE('2L Screening Matrix'!$I$2:$I$46,", ",",")&amp;","))*('2L Screening Matrix'!$C$2:$C$46=$A8))</f>
        <v>2</v>
      </c>
      <c r="E8" s="11">
        <f>SUMPRODUCT(ISNUMBER(SEARCH(",TYMS,",","&amp;SUBSTITUTE('1L Screening Matrix'!$I$2:$I$77,", ",",")&amp;","))*('1L Screening Matrix'!$C$2:$C$77=$A8))+SUMPRODUCT(ISNUMBER(SEARCH(",TYMS,",","&amp;SUBSTITUTE('2L Screening Matrix'!$I$2:$I$46,", ",",")&amp;","))*('2L Screening Matrix'!$C$2:$C$46=$A8))</f>
        <v>2</v>
      </c>
      <c r="F8" s="11">
        <f>SUMPRODUCT(ISNUMBER(SEARCH(",PD-L1,",","&amp;SUBSTITUTE('1L Screening Matrix'!$I$2:$I$77,", ",",")&amp;","))*('1L Screening Matrix'!$C$2:$C$77=$A8))+SUMPRODUCT(ISNUMBER(SEARCH(",PD-L1,",","&amp;SUBSTITUTE('2L Screening Matrix'!$I$2:$I$46,", ",",")&amp;","))*('2L Screening Matrix'!$C$2:$C$46=$A8))</f>
        <v>3</v>
      </c>
      <c r="G8" s="11">
        <f>SUMPRODUCT(ISNUMBER(SEARCH(",B7-H1,",","&amp;SUBSTITUTE('1L Screening Matrix'!$I$2:$I$77,", ",",")&amp;","))*('1L Screening Matrix'!$C$2:$C$77=$A8))+SUMPRODUCT(ISNUMBER(SEARCH(",B7-H1,",","&amp;SUBSTITUTE('2L Screening Matrix'!$I$2:$I$46,", ",",")&amp;","))*('2L Screening Matrix'!$C$2:$C$46=$A8))</f>
        <v>3</v>
      </c>
      <c r="H8" s="11">
        <f>SUMPRODUCT(ISNUMBER(SEARCH(",CD274,",","&amp;SUBSTITUTE('1L Screening Matrix'!$I$2:$I$77,", ",",")&amp;","))*('1L Screening Matrix'!$C$2:$C$77=$A8))+SUMPRODUCT(ISNUMBER(SEARCH(",CD274,",","&amp;SUBSTITUTE('2L Screening Matrix'!$I$2:$I$46,", ",",")&amp;","))*('2L Screening Matrix'!$C$2:$C$46=$A8))</f>
        <v>3</v>
      </c>
      <c r="I8" s="11">
        <f>SUMPRODUCT(ISNUMBER(SEARCH(",EGFR,",","&amp;SUBSTITUTE('1L Screening Matrix'!$I$2:$I$77,", ",",")&amp;","))*('1L Screening Matrix'!$C$2:$C$77=$A8))+SUMPRODUCT(ISNUMBER(SEARCH(",EGFR,",","&amp;SUBSTITUTE('2L Screening Matrix'!$I$2:$I$46,", ",",")&amp;","))*('2L Screening Matrix'!$C$2:$C$46=$A8))</f>
        <v>0</v>
      </c>
      <c r="J8" s="11">
        <f>SUMPRODUCT(ISNUMBER(SEARCH(",VEGF,",","&amp;SUBSTITUTE('1L Screening Matrix'!$I$2:$I$77,", ",",")&amp;","))*('1L Screening Matrix'!$C$2:$C$77=$A8))+SUMPRODUCT(ISNUMBER(SEARCH(",VEGF,",","&amp;SUBSTITUTE('2L Screening Matrix'!$I$2:$I$46,", ",",")&amp;","))*('2L Screening Matrix'!$C$2:$C$46=$A8))</f>
        <v>0</v>
      </c>
      <c r="K8" s="11">
        <f>SUMPRODUCT(ISNUMBER(SEARCH(",ERBB,",","&amp;SUBSTITUTE('1L Screening Matrix'!$I$2:$I$77,", ",",")&amp;","))*('1L Screening Matrix'!$C$2:$C$77=$A8))+SUMPRODUCT(ISNUMBER(SEARCH(",ERBB,",","&amp;SUBSTITUTE('2L Screening Matrix'!$I$2:$I$46,", ",",")&amp;","))*('2L Screening Matrix'!$C$2:$C$46=$A8))</f>
        <v>0</v>
      </c>
      <c r="L8" s="11">
        <f>SUMPRODUCT(ISNUMBER(SEARCH(",HER1,",","&amp;SUBSTITUTE('1L Screening Matrix'!$I$2:$I$77,", ",",")&amp;","))*('1L Screening Matrix'!$C$2:$C$77=$A8))+SUMPRODUCT(ISNUMBER(SEARCH(",HER1,",","&amp;SUBSTITUTE('2L Screening Matrix'!$I$2:$I$46,", ",",")&amp;","))*('2L Screening Matrix'!$C$2:$C$46=$A8))</f>
        <v>0</v>
      </c>
      <c r="M8" s="11">
        <f>SUMPRODUCT(ISNUMBER(SEARCH(",Microtubule,",","&amp;SUBSTITUTE('1L Screening Matrix'!$I$2:$I$77,", ",",")&amp;","))*('1L Screening Matrix'!$C$2:$C$77=$A8))+SUMPRODUCT(ISNUMBER(SEARCH(",Microtubule,",","&amp;SUBSTITUTE('2L Screening Matrix'!$I$2:$I$46,", ",",")&amp;","))*('2L Screening Matrix'!$C$2:$C$46=$A8))</f>
        <v>2</v>
      </c>
      <c r="N8" s="11">
        <f>SUMPRODUCT(ISNUMBER(SEARCH(",KRAS G12C,",","&amp;SUBSTITUTE('1L Screening Matrix'!$I$2:$I$77,", ",",")&amp;","))*('1L Screening Matrix'!$C$2:$C$77=$A8))+SUMPRODUCT(ISNUMBER(SEARCH(",KRAS G12C,",","&amp;SUBSTITUTE('2L Screening Matrix'!$I$2:$I$46,", ",",")&amp;","))*('2L Screening Matrix'!$C$2:$C$46=$A8))</f>
        <v>0</v>
      </c>
      <c r="O8" s="11">
        <f>SUMPRODUCT(ISNUMBER(SEARCH(",EGFR T790M,",","&amp;SUBSTITUTE('1L Screening Matrix'!$I$2:$I$77,", ",",")&amp;","))*('1L Screening Matrix'!$C$2:$C$77=$A8))+SUMPRODUCT(ISNUMBER(SEARCH(",EGFR T790M,",","&amp;SUBSTITUTE('2L Screening Matrix'!$I$2:$I$46,", ",",")&amp;","))*('2L Screening Matrix'!$C$2:$C$46=$A8))</f>
        <v>2</v>
      </c>
      <c r="P8" s="11">
        <f>SUMPRODUCT(ISNUMBER(SEARCH(",ALK,",","&amp;SUBSTITUTE('1L Screening Matrix'!$I$2:$I$77,", ",",")&amp;","))*('1L Screening Matrix'!$C$2:$C$77=$A8))+SUMPRODUCT(ISNUMBER(SEARCH(",ALK,",","&amp;SUBSTITUTE('2L Screening Matrix'!$I$2:$I$46,", ",",")&amp;","))*('2L Screening Matrix'!$C$2:$C$46=$A8))</f>
        <v>0</v>
      </c>
      <c r="Q8" s="11">
        <f>SUMPRODUCT(ISNUMBER(SEARCH(",TROP2,",","&amp;SUBSTITUTE('1L Screening Matrix'!$I$2:$I$77,", ",",")&amp;","))*('1L Screening Matrix'!$C$2:$C$77=$A8))+SUMPRODUCT(ISNUMBER(SEARCH(",TROP2,",","&amp;SUBSTITUTE('2L Screening Matrix'!$I$2:$I$46,", ",",")&amp;","))*('2L Screening Matrix'!$C$2:$C$46=$A8))</f>
        <v>1</v>
      </c>
      <c r="R8" s="11">
        <f>SUMPRODUCT(ISNUMBER(SEARCH(",c-MET/MET,",","&amp;SUBSTITUTE('1L Screening Matrix'!$I$2:$I$77,", ",",")&amp;","))*('1L Screening Matrix'!$C$2:$C$77=$A8))+SUMPRODUCT(ISNUMBER(SEARCH(",c-MET/MET,",","&amp;SUBSTITUTE('2L Screening Matrix'!$I$2:$I$46,", ",",")&amp;","))*('2L Screening Matrix'!$C$2:$C$46=$A8))</f>
        <v>1</v>
      </c>
      <c r="S8" s="11">
        <f>SUMPRODUCT(ISNUMBER(SEARCH(",HER2,",","&amp;SUBSTITUTE('1L Screening Matrix'!$I$2:$I$77,", ",",")&amp;","))*('1L Screening Matrix'!$C$2:$C$77=$A8))+SUMPRODUCT(ISNUMBER(SEARCH(",HER2,",","&amp;SUBSTITUTE('2L Screening Matrix'!$I$2:$I$46,", ",",")&amp;","))*('2L Screening Matrix'!$C$2:$C$46=$A8))</f>
        <v>0</v>
      </c>
      <c r="T8" s="11">
        <f>SUMPRODUCT(ISNUMBER(SEARCH(",ROS1,",","&amp;SUBSTITUTE('1L Screening Matrix'!$I$2:$I$77,", ",",")&amp;","))*('1L Screening Matrix'!$C$2:$C$77=$A8))+SUMPRODUCT(ISNUMBER(SEARCH(",ROS1,",","&amp;SUBSTITUTE('2L Screening Matrix'!$I$2:$I$46,", ",",")&amp;","))*('2L Screening Matrix'!$C$2:$C$46=$A8))</f>
        <v>0</v>
      </c>
      <c r="U8" s="11">
        <f>SUMPRODUCT(ISNUMBER(SEARCH(",TIGIT,",","&amp;SUBSTITUTE('1L Screening Matrix'!$I$2:$I$77,", ",",")&amp;","))*('1L Screening Matrix'!$C$2:$C$77=$A8))+SUMPRODUCT(ISNUMBER(SEARCH(",TIGIT,",","&amp;SUBSTITUTE('2L Screening Matrix'!$I$2:$I$46,", ",",")&amp;","))*('2L Screening Matrix'!$C$2:$C$46=$A8))</f>
        <v>4</v>
      </c>
      <c r="V8" s="11">
        <f>SUMPRODUCT(ISNUMBER(SEARCH(",EGFR L858R,",","&amp;SUBSTITUTE('1L Screening Matrix'!$I$2:$I$77,", ",",")&amp;","))*('1L Screening Matrix'!$C$2:$C$77=$A8))+SUMPRODUCT(ISNUMBER(SEARCH(",EGFR L858R,",","&amp;SUBSTITUTE('2L Screening Matrix'!$I$2:$I$46,", ",",")&amp;","))*('2L Screening Matrix'!$C$2:$C$46=$A8))</f>
        <v>0</v>
      </c>
      <c r="W8" s="11">
        <f>SUMPRODUCT(ISNUMBER(SEARCH(",ROS,",","&amp;SUBSTITUTE('1L Screening Matrix'!$I$2:$I$77,", ",",")&amp;","))*('1L Screening Matrix'!$C$2:$C$77=$A8))+SUMPRODUCT(ISNUMBER(SEARCH(",ROS,",","&amp;SUBSTITUTE('2L Screening Matrix'!$I$2:$I$46,", ",",")&amp;","))*('2L Screening Matrix'!$C$2:$C$46=$A8))</f>
        <v>0</v>
      </c>
      <c r="X8" s="11">
        <f>SUMPRODUCT(ISNUMBER(SEARCH(",IL-2,",","&amp;SUBSTITUTE('1L Screening Matrix'!$I$2:$I$77,", ",",")&amp;","))*('1L Screening Matrix'!$C$2:$C$77=$A8))+SUMPRODUCT(ISNUMBER(SEARCH(",IL-2,",","&amp;SUBSTITUTE('2L Screening Matrix'!$I$2:$I$46,", ",",")&amp;","))*('2L Screening Matrix'!$C$2:$C$46=$A8))</f>
        <v>0</v>
      </c>
      <c r="Y8" s="11">
        <f>SUMPRODUCT(ISNUMBER(SEARCH(",TCGF,",","&amp;SUBSTITUTE('1L Screening Matrix'!$I$2:$I$77,", ",",")&amp;","))*('1L Screening Matrix'!$C$2:$C$77=$A8))+SUMPRODUCT(ISNUMBER(SEARCH(",TCGF,",","&amp;SUBSTITUTE('2L Screening Matrix'!$I$2:$I$46,", ",",")&amp;","))*('2L Screening Matrix'!$C$2:$C$46=$A8))</f>
        <v>0</v>
      </c>
      <c r="Z8" s="11">
        <f>SUMPRODUCT(ISNUMBER(SEARCH(",CTLA-4,",","&amp;SUBSTITUTE('1L Screening Matrix'!$I$2:$I$77,", ",",")&amp;","))*('1L Screening Matrix'!$C$2:$C$77=$A8))+SUMPRODUCT(ISNUMBER(SEARCH(",CTLA-4,",","&amp;SUBSTITUTE('2L Screening Matrix'!$I$2:$I$46,", ",",")&amp;","))*('2L Screening Matrix'!$C$2:$C$46=$A8))</f>
        <v>1</v>
      </c>
      <c r="AA8" s="11">
        <f>SUMPRODUCT(ISNUMBER(SEARCH(",EGFR Exon 20,",","&amp;SUBSTITUTE('1L Screening Matrix'!$I$2:$I$77,", ",",")&amp;","))*('1L Screening Matrix'!$C$2:$C$77=$A8))+SUMPRODUCT(ISNUMBER(SEARCH(",EGFR Exon 20,",","&amp;SUBSTITUTE('2L Screening Matrix'!$I$2:$I$46,", ",",")&amp;","))*('2L Screening Matrix'!$C$2:$C$46=$A8))</f>
        <v>0</v>
      </c>
      <c r="AB8" s="11">
        <f>SUMPRODUCT(ISNUMBER(SEARCH(",HER2 Exon 20,",","&amp;SUBSTITUTE('1L Screening Matrix'!$I$2:$I$77,", ",",")&amp;","))*('1L Screening Matrix'!$C$2:$C$77=$A8))+SUMPRODUCT(ISNUMBER(SEARCH(",HER2 Exon 20,",","&amp;SUBSTITUTE('2L Screening Matrix'!$I$2:$I$46,", ",",")&amp;","))*('2L Screening Matrix'!$C$2:$C$46=$A8))</f>
        <v>0</v>
      </c>
      <c r="AC8" s="11">
        <f>SUMPRODUCT(ISNUMBER(SEARCH(",IL-15,",","&amp;SUBSTITUTE('1L Screening Matrix'!$I$2:$I$77,", ",",")&amp;","))*('1L Screening Matrix'!$C$2:$C$77=$A8))+SUMPRODUCT(ISNUMBER(SEARCH(",IL-15,",","&amp;SUBSTITUTE('2L Screening Matrix'!$I$2:$I$46,", ",",")&amp;","))*('2L Screening Matrix'!$C$2:$C$46=$A8))</f>
        <v>0</v>
      </c>
      <c r="AD8" s="11">
        <f>SUMPRODUCT(ISNUMBER(SEARCH(",IL-15R,",","&amp;SUBSTITUTE('1L Screening Matrix'!$I$2:$I$77,", ",",")&amp;","))*('1L Screening Matrix'!$C$2:$C$77=$A8))+SUMPRODUCT(ISNUMBER(SEARCH(",IL-15R,",","&amp;SUBSTITUTE('2L Screening Matrix'!$I$2:$I$46,", ",",")&amp;","))*('2L Screening Matrix'!$C$2:$C$46=$A8))</f>
        <v>0</v>
      </c>
      <c r="AE8" s="11">
        <f>SUMPRODUCT(ISNUMBER(SEARCH(",KRAS G12D,",","&amp;SUBSTITUTE('1L Screening Matrix'!$I$2:$I$77,", ",",")&amp;","))*('1L Screening Matrix'!$C$2:$C$77=$A8))+SUMPRODUCT(ISNUMBER(SEARCH(",KRAS G12D,",","&amp;SUBSTITUTE('2L Screening Matrix'!$I$2:$I$46,", ",",")&amp;","))*('2L Screening Matrix'!$C$2:$C$46=$A8))</f>
        <v>0</v>
      </c>
      <c r="AF8" s="11">
        <f>SUMPRODUCT(ISNUMBER(SEARCH(",HER4,",","&amp;SUBSTITUTE('1L Screening Matrix'!$I$2:$I$77,", ",",")&amp;","))*('1L Screening Matrix'!$C$2:$C$77=$A8))+SUMPRODUCT(ISNUMBER(SEARCH(",HER4,",","&amp;SUBSTITUTE('2L Screening Matrix'!$I$2:$I$46,", ",",")&amp;","))*('2L Screening Matrix'!$C$2:$C$46=$A8))</f>
        <v>0</v>
      </c>
      <c r="AG8" s="11">
        <f>SUMPRODUCT(ISNUMBER(SEARCH(",ALK L1196M,",","&amp;SUBSTITUTE('1L Screening Matrix'!$I$2:$I$77,", ",",")&amp;","))*('1L Screening Matrix'!$C$2:$C$77=$A8))+SUMPRODUCT(ISNUMBER(SEARCH(",ALK L1196M,",","&amp;SUBSTITUTE('2L Screening Matrix'!$I$2:$I$46,", ",",")&amp;","))*('2L Screening Matrix'!$C$2:$C$46=$A8))</f>
        <v>0</v>
      </c>
      <c r="AH8" s="11">
        <f>SUMPRODUCT(ISNUMBER(SEARCH(",CD152,",","&amp;SUBSTITUTE('1L Screening Matrix'!$I$2:$I$77,", ",",")&amp;","))*('1L Screening Matrix'!$C$2:$C$77=$A8))+SUMPRODUCT(ISNUMBER(SEARCH(",CD152,",","&amp;SUBSTITUTE('2L Screening Matrix'!$I$2:$I$46,", ",",")&amp;","))*('2L Screening Matrix'!$C$2:$C$46=$A8))</f>
        <v>1</v>
      </c>
      <c r="AI8" s="11">
        <f>SUMPRODUCT(ISNUMBER(SEARCH(",MLN19,",","&amp;SUBSTITUTE('1L Screening Matrix'!$I$2:$I$77,", ",",")&amp;","))*('1L Screening Matrix'!$C$2:$C$77=$A8))+SUMPRODUCT(ISNUMBER(SEARCH(",MLN19,",","&amp;SUBSTITUTE('2L Screening Matrix'!$I$2:$I$46,", ",",")&amp;","))*('2L Screening Matrix'!$C$2:$C$46=$A8))</f>
        <v>0</v>
      </c>
      <c r="AJ8" s="11">
        <f>SUMPRODUCT(ISNUMBER(SEARCH(",NTRK,",","&amp;SUBSTITUTE('1L Screening Matrix'!$I$2:$I$77,", ",",")&amp;","))*('1L Screening Matrix'!$C$2:$C$77=$A8))+SUMPRODUCT(ISNUMBER(SEARCH(",NTRK,",","&amp;SUBSTITUTE('2L Screening Matrix'!$I$2:$I$46,", ",",")&amp;","))*('2L Screening Matrix'!$C$2:$C$46=$A8))</f>
        <v>0</v>
      </c>
      <c r="AK8" s="11">
        <f>SUMPRODUCT(ISNUMBER(SEARCH(",Integrin β6,",","&amp;SUBSTITUTE('1L Screening Matrix'!$I$2:$I$77,", ",",")&amp;","))*('1L Screening Matrix'!$C$2:$C$77=$A8))+SUMPRODUCT(ISNUMBER(SEARCH(",Integrin β6,",","&amp;SUBSTITUTE('2L Screening Matrix'!$I$2:$I$46,", ",",")&amp;","))*('2L Screening Matrix'!$C$2:$C$46=$A8))</f>
        <v>0</v>
      </c>
      <c r="AL8" s="11">
        <f>SUMPRODUCT(ISNUMBER(SEARCH(",LAG-3,",","&amp;SUBSTITUTE('1L Screening Matrix'!$I$2:$I$77,", ",",")&amp;","))*('1L Screening Matrix'!$C$2:$C$77=$A8))+SUMPRODUCT(ISNUMBER(SEARCH(",LAG-3,",","&amp;SUBSTITUTE('2L Screening Matrix'!$I$2:$I$46,", ",",")&amp;","))*('2L Screening Matrix'!$C$2:$C$46=$A8))</f>
        <v>0</v>
      </c>
      <c r="AM8" s="14">
        <f t="shared" si="0"/>
        <v>37</v>
      </c>
    </row>
    <row r="9" spans="1:39" ht="15" customHeight="1" x14ac:dyDescent="0.2">
      <c r="A9" s="15" t="s">
        <v>194</v>
      </c>
      <c r="B9" s="11">
        <f>SUMPRODUCT(ISNUMBER(SEARCH(",PD-1,",","&amp;SUBSTITUTE('1L Screening Matrix'!$I$2:$I$77,", ",",")&amp;","))*('1L Screening Matrix'!$C$2:$C$77=$A9))+SUMPRODUCT(ISNUMBER(SEARCH(",PD-1,",","&amp;SUBSTITUTE('2L Screening Matrix'!$I$2:$I$46,", ",",")&amp;","))*('2L Screening Matrix'!$C$2:$C$46=$A9))</f>
        <v>5</v>
      </c>
      <c r="C9" s="11">
        <f>SUMPRODUCT(ISNUMBER(SEARCH(",CD279,",","&amp;SUBSTITUTE('1L Screening Matrix'!$I$2:$I$77,", ",",")&amp;","))*('1L Screening Matrix'!$C$2:$C$77=$A9))+SUMPRODUCT(ISNUMBER(SEARCH(",CD279,",","&amp;SUBSTITUTE('2L Screening Matrix'!$I$2:$I$46,", ",",")&amp;","))*('2L Screening Matrix'!$C$2:$C$46=$A9))</f>
        <v>5</v>
      </c>
      <c r="D9" s="11">
        <f>SUMPRODUCT(ISNUMBER(SEARCH(",TS,",","&amp;SUBSTITUTE('1L Screening Matrix'!$I$2:$I$77,", ",",")&amp;","))*('1L Screening Matrix'!$C$2:$C$77=$A9))+SUMPRODUCT(ISNUMBER(SEARCH(",TS,",","&amp;SUBSTITUTE('2L Screening Matrix'!$I$2:$I$46,", ",",")&amp;","))*('2L Screening Matrix'!$C$2:$C$46=$A9))</f>
        <v>2</v>
      </c>
      <c r="E9" s="11">
        <f>SUMPRODUCT(ISNUMBER(SEARCH(",TYMS,",","&amp;SUBSTITUTE('1L Screening Matrix'!$I$2:$I$77,", ",",")&amp;","))*('1L Screening Matrix'!$C$2:$C$77=$A9))+SUMPRODUCT(ISNUMBER(SEARCH(",TYMS,",","&amp;SUBSTITUTE('2L Screening Matrix'!$I$2:$I$46,", ",",")&amp;","))*('2L Screening Matrix'!$C$2:$C$46=$A9))</f>
        <v>2</v>
      </c>
      <c r="F9" s="11">
        <f>SUMPRODUCT(ISNUMBER(SEARCH(",PD-L1,",","&amp;SUBSTITUTE('1L Screening Matrix'!$I$2:$I$77,", ",",")&amp;","))*('1L Screening Matrix'!$C$2:$C$77=$A9))+SUMPRODUCT(ISNUMBER(SEARCH(",PD-L1,",","&amp;SUBSTITUTE('2L Screening Matrix'!$I$2:$I$46,", ",",")&amp;","))*('2L Screening Matrix'!$C$2:$C$46=$A9))</f>
        <v>0</v>
      </c>
      <c r="G9" s="11">
        <f>SUMPRODUCT(ISNUMBER(SEARCH(",B7-H1,",","&amp;SUBSTITUTE('1L Screening Matrix'!$I$2:$I$77,", ",",")&amp;","))*('1L Screening Matrix'!$C$2:$C$77=$A9))+SUMPRODUCT(ISNUMBER(SEARCH(",B7-H1,",","&amp;SUBSTITUTE('2L Screening Matrix'!$I$2:$I$46,", ",",")&amp;","))*('2L Screening Matrix'!$C$2:$C$46=$A9))</f>
        <v>0</v>
      </c>
      <c r="H9" s="11">
        <f>SUMPRODUCT(ISNUMBER(SEARCH(",CD274,",","&amp;SUBSTITUTE('1L Screening Matrix'!$I$2:$I$77,", ",",")&amp;","))*('1L Screening Matrix'!$C$2:$C$77=$A9))+SUMPRODUCT(ISNUMBER(SEARCH(",CD274,",","&amp;SUBSTITUTE('2L Screening Matrix'!$I$2:$I$46,", ",",")&amp;","))*('2L Screening Matrix'!$C$2:$C$46=$A9))</f>
        <v>0</v>
      </c>
      <c r="I9" s="11">
        <f>SUMPRODUCT(ISNUMBER(SEARCH(",EGFR,",","&amp;SUBSTITUTE('1L Screening Matrix'!$I$2:$I$77,", ",",")&amp;","))*('1L Screening Matrix'!$C$2:$C$77=$A9))+SUMPRODUCT(ISNUMBER(SEARCH(",EGFR,",","&amp;SUBSTITUTE('2L Screening Matrix'!$I$2:$I$46,", ",",")&amp;","))*('2L Screening Matrix'!$C$2:$C$46=$A9))</f>
        <v>0</v>
      </c>
      <c r="J9" s="11">
        <f>SUMPRODUCT(ISNUMBER(SEARCH(",VEGF,",","&amp;SUBSTITUTE('1L Screening Matrix'!$I$2:$I$77,", ",",")&amp;","))*('1L Screening Matrix'!$C$2:$C$77=$A9))+SUMPRODUCT(ISNUMBER(SEARCH(",VEGF,",","&amp;SUBSTITUTE('2L Screening Matrix'!$I$2:$I$46,", ",",")&amp;","))*('2L Screening Matrix'!$C$2:$C$46=$A9))</f>
        <v>0</v>
      </c>
      <c r="K9" s="11">
        <f>SUMPRODUCT(ISNUMBER(SEARCH(",ERBB,",","&amp;SUBSTITUTE('1L Screening Matrix'!$I$2:$I$77,", ",",")&amp;","))*('1L Screening Matrix'!$C$2:$C$77=$A9))+SUMPRODUCT(ISNUMBER(SEARCH(",ERBB,",","&amp;SUBSTITUTE('2L Screening Matrix'!$I$2:$I$46,", ",",")&amp;","))*('2L Screening Matrix'!$C$2:$C$46=$A9))</f>
        <v>0</v>
      </c>
      <c r="L9" s="11">
        <f>SUMPRODUCT(ISNUMBER(SEARCH(",HER1,",","&amp;SUBSTITUTE('1L Screening Matrix'!$I$2:$I$77,", ",",")&amp;","))*('1L Screening Matrix'!$C$2:$C$77=$A9))+SUMPRODUCT(ISNUMBER(SEARCH(",HER1,",","&amp;SUBSTITUTE('2L Screening Matrix'!$I$2:$I$46,", ",",")&amp;","))*('2L Screening Matrix'!$C$2:$C$46=$A9))</f>
        <v>0</v>
      </c>
      <c r="M9" s="11">
        <f>SUMPRODUCT(ISNUMBER(SEARCH(",Microtubule,",","&amp;SUBSTITUTE('1L Screening Matrix'!$I$2:$I$77,", ",",")&amp;","))*('1L Screening Matrix'!$C$2:$C$77=$A9))+SUMPRODUCT(ISNUMBER(SEARCH(",Microtubule,",","&amp;SUBSTITUTE('2L Screening Matrix'!$I$2:$I$46,", ",",")&amp;","))*('2L Screening Matrix'!$C$2:$C$46=$A9))</f>
        <v>1</v>
      </c>
      <c r="N9" s="11">
        <f>SUMPRODUCT(ISNUMBER(SEARCH(",KRAS G12C,",","&amp;SUBSTITUTE('1L Screening Matrix'!$I$2:$I$77,", ",",")&amp;","))*('1L Screening Matrix'!$C$2:$C$77=$A9))+SUMPRODUCT(ISNUMBER(SEARCH(",KRAS G12C,",","&amp;SUBSTITUTE('2L Screening Matrix'!$I$2:$I$46,", ",",")&amp;","))*('2L Screening Matrix'!$C$2:$C$46=$A9))</f>
        <v>3</v>
      </c>
      <c r="O9" s="11">
        <f>SUMPRODUCT(ISNUMBER(SEARCH(",EGFR T790M,",","&amp;SUBSTITUTE('1L Screening Matrix'!$I$2:$I$77,", ",",")&amp;","))*('1L Screening Matrix'!$C$2:$C$77=$A9))+SUMPRODUCT(ISNUMBER(SEARCH(",EGFR T790M,",","&amp;SUBSTITUTE('2L Screening Matrix'!$I$2:$I$46,", ",",")&amp;","))*('2L Screening Matrix'!$C$2:$C$46=$A9))</f>
        <v>0</v>
      </c>
      <c r="P9" s="11">
        <f>SUMPRODUCT(ISNUMBER(SEARCH(",ALK,",","&amp;SUBSTITUTE('1L Screening Matrix'!$I$2:$I$77,", ",",")&amp;","))*('1L Screening Matrix'!$C$2:$C$77=$A9))+SUMPRODUCT(ISNUMBER(SEARCH(",ALK,",","&amp;SUBSTITUTE('2L Screening Matrix'!$I$2:$I$46,", ",",")&amp;","))*('2L Screening Matrix'!$C$2:$C$46=$A9))</f>
        <v>1</v>
      </c>
      <c r="Q9" s="11">
        <f>SUMPRODUCT(ISNUMBER(SEARCH(",TROP2,",","&amp;SUBSTITUTE('1L Screening Matrix'!$I$2:$I$77,", ",",")&amp;","))*('1L Screening Matrix'!$C$2:$C$77=$A9))+SUMPRODUCT(ISNUMBER(SEARCH(",TROP2,",","&amp;SUBSTITUTE('2L Screening Matrix'!$I$2:$I$46,", ",",")&amp;","))*('2L Screening Matrix'!$C$2:$C$46=$A9))</f>
        <v>0</v>
      </c>
      <c r="R9" s="11">
        <f>SUMPRODUCT(ISNUMBER(SEARCH(",c-MET/MET,",","&amp;SUBSTITUTE('1L Screening Matrix'!$I$2:$I$77,", ",",")&amp;","))*('1L Screening Matrix'!$C$2:$C$77=$A9))+SUMPRODUCT(ISNUMBER(SEARCH(",c-MET/MET,",","&amp;SUBSTITUTE('2L Screening Matrix'!$I$2:$I$46,", ",",")&amp;","))*('2L Screening Matrix'!$C$2:$C$46=$A9))</f>
        <v>0</v>
      </c>
      <c r="S9" s="11">
        <f>SUMPRODUCT(ISNUMBER(SEARCH(",HER2,",","&amp;SUBSTITUTE('1L Screening Matrix'!$I$2:$I$77,", ",",")&amp;","))*('1L Screening Matrix'!$C$2:$C$77=$A9))+SUMPRODUCT(ISNUMBER(SEARCH(",HER2,",","&amp;SUBSTITUTE('2L Screening Matrix'!$I$2:$I$46,", ",",")&amp;","))*('2L Screening Matrix'!$C$2:$C$46=$A9))</f>
        <v>0</v>
      </c>
      <c r="T9" s="11">
        <f>SUMPRODUCT(ISNUMBER(SEARCH(",ROS1,",","&amp;SUBSTITUTE('1L Screening Matrix'!$I$2:$I$77,", ",",")&amp;","))*('1L Screening Matrix'!$C$2:$C$77=$A9))+SUMPRODUCT(ISNUMBER(SEARCH(",ROS1,",","&amp;SUBSTITUTE('2L Screening Matrix'!$I$2:$I$46,", ",",")&amp;","))*('2L Screening Matrix'!$C$2:$C$46=$A9))</f>
        <v>1</v>
      </c>
      <c r="U9" s="11">
        <f>SUMPRODUCT(ISNUMBER(SEARCH(",TIGIT,",","&amp;SUBSTITUTE('1L Screening Matrix'!$I$2:$I$77,", ",",")&amp;","))*('1L Screening Matrix'!$C$2:$C$77=$A9))+SUMPRODUCT(ISNUMBER(SEARCH(",TIGIT,",","&amp;SUBSTITUTE('2L Screening Matrix'!$I$2:$I$46,", ",",")&amp;","))*('2L Screening Matrix'!$C$2:$C$46=$A9))</f>
        <v>0</v>
      </c>
      <c r="V9" s="11">
        <f>SUMPRODUCT(ISNUMBER(SEARCH(",EGFR L858R,",","&amp;SUBSTITUTE('1L Screening Matrix'!$I$2:$I$77,", ",",")&amp;","))*('1L Screening Matrix'!$C$2:$C$77=$A9))+SUMPRODUCT(ISNUMBER(SEARCH(",EGFR L858R,",","&amp;SUBSTITUTE('2L Screening Matrix'!$I$2:$I$46,", ",",")&amp;","))*('2L Screening Matrix'!$C$2:$C$46=$A9))</f>
        <v>0</v>
      </c>
      <c r="W9" s="11">
        <f>SUMPRODUCT(ISNUMBER(SEARCH(",ROS,",","&amp;SUBSTITUTE('1L Screening Matrix'!$I$2:$I$77,", ",",")&amp;","))*('1L Screening Matrix'!$C$2:$C$77=$A9))+SUMPRODUCT(ISNUMBER(SEARCH(",ROS,",","&amp;SUBSTITUTE('2L Screening Matrix'!$I$2:$I$46,", ",",")&amp;","))*('2L Screening Matrix'!$C$2:$C$46=$A9))</f>
        <v>0</v>
      </c>
      <c r="X9" s="11">
        <f>SUMPRODUCT(ISNUMBER(SEARCH(",IL-2,",","&amp;SUBSTITUTE('1L Screening Matrix'!$I$2:$I$77,", ",",")&amp;","))*('1L Screening Matrix'!$C$2:$C$77=$A9))+SUMPRODUCT(ISNUMBER(SEARCH(",IL-2,",","&amp;SUBSTITUTE('2L Screening Matrix'!$I$2:$I$46,", ",",")&amp;","))*('2L Screening Matrix'!$C$2:$C$46=$A9))</f>
        <v>0</v>
      </c>
      <c r="Y9" s="11">
        <f>SUMPRODUCT(ISNUMBER(SEARCH(",TCGF,",","&amp;SUBSTITUTE('1L Screening Matrix'!$I$2:$I$77,", ",",")&amp;","))*('1L Screening Matrix'!$C$2:$C$77=$A9))+SUMPRODUCT(ISNUMBER(SEARCH(",TCGF,",","&amp;SUBSTITUTE('2L Screening Matrix'!$I$2:$I$46,", ",",")&amp;","))*('2L Screening Matrix'!$C$2:$C$46=$A9))</f>
        <v>0</v>
      </c>
      <c r="Z9" s="11">
        <f>SUMPRODUCT(ISNUMBER(SEARCH(",CTLA-4,",","&amp;SUBSTITUTE('1L Screening Matrix'!$I$2:$I$77,", ",",")&amp;","))*('1L Screening Matrix'!$C$2:$C$77=$A9))+SUMPRODUCT(ISNUMBER(SEARCH(",CTLA-4,",","&amp;SUBSTITUTE('2L Screening Matrix'!$I$2:$I$46,", ",",")&amp;","))*('2L Screening Matrix'!$C$2:$C$46=$A9))</f>
        <v>0</v>
      </c>
      <c r="AA9" s="11">
        <f>SUMPRODUCT(ISNUMBER(SEARCH(",EGFR Exon 20,",","&amp;SUBSTITUTE('1L Screening Matrix'!$I$2:$I$77,", ",",")&amp;","))*('1L Screening Matrix'!$C$2:$C$77=$A9))+SUMPRODUCT(ISNUMBER(SEARCH(",EGFR Exon 20,",","&amp;SUBSTITUTE('2L Screening Matrix'!$I$2:$I$46,", ",",")&amp;","))*('2L Screening Matrix'!$C$2:$C$46=$A9))</f>
        <v>0</v>
      </c>
      <c r="AB9" s="11">
        <f>SUMPRODUCT(ISNUMBER(SEARCH(",HER2 Exon 20,",","&amp;SUBSTITUTE('1L Screening Matrix'!$I$2:$I$77,", ",",")&amp;","))*('1L Screening Matrix'!$C$2:$C$77=$A9))+SUMPRODUCT(ISNUMBER(SEARCH(",HER2 Exon 20,",","&amp;SUBSTITUTE('2L Screening Matrix'!$I$2:$I$46,", ",",")&amp;","))*('2L Screening Matrix'!$C$2:$C$46=$A9))</f>
        <v>0</v>
      </c>
      <c r="AC9" s="11">
        <f>SUMPRODUCT(ISNUMBER(SEARCH(",IL-15,",","&amp;SUBSTITUTE('1L Screening Matrix'!$I$2:$I$77,", ",",")&amp;","))*('1L Screening Matrix'!$C$2:$C$77=$A9))+SUMPRODUCT(ISNUMBER(SEARCH(",IL-15,",","&amp;SUBSTITUTE('2L Screening Matrix'!$I$2:$I$46,", ",",")&amp;","))*('2L Screening Matrix'!$C$2:$C$46=$A9))</f>
        <v>0</v>
      </c>
      <c r="AD9" s="11">
        <f>SUMPRODUCT(ISNUMBER(SEARCH(",IL-15R,",","&amp;SUBSTITUTE('1L Screening Matrix'!$I$2:$I$77,", ",",")&amp;","))*('1L Screening Matrix'!$C$2:$C$77=$A9))+SUMPRODUCT(ISNUMBER(SEARCH(",IL-15R,",","&amp;SUBSTITUTE('2L Screening Matrix'!$I$2:$I$46,", ",",")&amp;","))*('2L Screening Matrix'!$C$2:$C$46=$A9))</f>
        <v>0</v>
      </c>
      <c r="AE9" s="11">
        <f>SUMPRODUCT(ISNUMBER(SEARCH(",KRAS G12D,",","&amp;SUBSTITUTE('1L Screening Matrix'!$I$2:$I$77,", ",",")&amp;","))*('1L Screening Matrix'!$C$2:$C$77=$A9))+SUMPRODUCT(ISNUMBER(SEARCH(",KRAS G12D,",","&amp;SUBSTITUTE('2L Screening Matrix'!$I$2:$I$46,", ",",")&amp;","))*('2L Screening Matrix'!$C$2:$C$46=$A9))</f>
        <v>0</v>
      </c>
      <c r="AF9" s="11">
        <f>SUMPRODUCT(ISNUMBER(SEARCH(",HER4,",","&amp;SUBSTITUTE('1L Screening Matrix'!$I$2:$I$77,", ",",")&amp;","))*('1L Screening Matrix'!$C$2:$C$77=$A9))+SUMPRODUCT(ISNUMBER(SEARCH(",HER4,",","&amp;SUBSTITUTE('2L Screening Matrix'!$I$2:$I$46,", ",",")&amp;","))*('2L Screening Matrix'!$C$2:$C$46=$A9))</f>
        <v>0</v>
      </c>
      <c r="AG9" s="11">
        <f>SUMPRODUCT(ISNUMBER(SEARCH(",ALK L1196M,",","&amp;SUBSTITUTE('1L Screening Matrix'!$I$2:$I$77,", ",",")&amp;","))*('1L Screening Matrix'!$C$2:$C$77=$A9))+SUMPRODUCT(ISNUMBER(SEARCH(",ALK L1196M,",","&amp;SUBSTITUTE('2L Screening Matrix'!$I$2:$I$46,", ",",")&amp;","))*('2L Screening Matrix'!$C$2:$C$46=$A9))</f>
        <v>0</v>
      </c>
      <c r="AH9" s="11">
        <f>SUMPRODUCT(ISNUMBER(SEARCH(",CD152,",","&amp;SUBSTITUTE('1L Screening Matrix'!$I$2:$I$77,", ",",")&amp;","))*('1L Screening Matrix'!$C$2:$C$77=$A9))+SUMPRODUCT(ISNUMBER(SEARCH(",CD152,",","&amp;SUBSTITUTE('2L Screening Matrix'!$I$2:$I$46,", ",",")&amp;","))*('2L Screening Matrix'!$C$2:$C$46=$A9))</f>
        <v>0</v>
      </c>
      <c r="AI9" s="11">
        <f>SUMPRODUCT(ISNUMBER(SEARCH(",MLN19,",","&amp;SUBSTITUTE('1L Screening Matrix'!$I$2:$I$77,", ",",")&amp;","))*('1L Screening Matrix'!$C$2:$C$77=$A9))+SUMPRODUCT(ISNUMBER(SEARCH(",MLN19,",","&amp;SUBSTITUTE('2L Screening Matrix'!$I$2:$I$46,", ",",")&amp;","))*('2L Screening Matrix'!$C$2:$C$46=$A9))</f>
        <v>0</v>
      </c>
      <c r="AJ9" s="11">
        <f>SUMPRODUCT(ISNUMBER(SEARCH(",NTRK,",","&amp;SUBSTITUTE('1L Screening Matrix'!$I$2:$I$77,", ",",")&amp;","))*('1L Screening Matrix'!$C$2:$C$77=$A9))+SUMPRODUCT(ISNUMBER(SEARCH(",NTRK,",","&amp;SUBSTITUTE('2L Screening Matrix'!$I$2:$I$46,", ",",")&amp;","))*('2L Screening Matrix'!$C$2:$C$46=$A9))</f>
        <v>1</v>
      </c>
      <c r="AK9" s="11">
        <f>SUMPRODUCT(ISNUMBER(SEARCH(",Integrin β6,",","&amp;SUBSTITUTE('1L Screening Matrix'!$I$2:$I$77,", ",",")&amp;","))*('1L Screening Matrix'!$C$2:$C$77=$A9))+SUMPRODUCT(ISNUMBER(SEARCH(",Integrin β6,",","&amp;SUBSTITUTE('2L Screening Matrix'!$I$2:$I$46,", ",",")&amp;","))*('2L Screening Matrix'!$C$2:$C$46=$A9))</f>
        <v>0</v>
      </c>
      <c r="AL9" s="11">
        <f>SUMPRODUCT(ISNUMBER(SEARCH(",LAG-3,",","&amp;SUBSTITUTE('1L Screening Matrix'!$I$2:$I$77,", ",",")&amp;","))*('1L Screening Matrix'!$C$2:$C$77=$A9))+SUMPRODUCT(ISNUMBER(SEARCH(",LAG-3,",","&amp;SUBSTITUTE('2L Screening Matrix'!$I$2:$I$46,", ",",")&amp;","))*('2L Screening Matrix'!$C$2:$C$46=$A9))</f>
        <v>1</v>
      </c>
      <c r="AM9" s="14">
        <f t="shared" si="0"/>
        <v>22</v>
      </c>
    </row>
    <row r="10" spans="1:39" ht="15" customHeight="1" x14ac:dyDescent="0.2">
      <c r="A10" s="12" t="s">
        <v>1072</v>
      </c>
      <c r="B10" s="11">
        <f>SUMPRODUCT(ISNUMBER(SEARCH(",PD-1,",","&amp;SUBSTITUTE('1L Screening Matrix'!$I$2:$I$77,", ",",")&amp;","))*('1L Screening Matrix'!$C$2:$C$77=$A10))+SUMPRODUCT(ISNUMBER(SEARCH(",PD-1,",","&amp;SUBSTITUTE('2L Screening Matrix'!$I$2:$I$46,", ",",")&amp;","))*('2L Screening Matrix'!$C$2:$C$46=$A10))</f>
        <v>0</v>
      </c>
      <c r="C10" s="11">
        <f>SUMPRODUCT(ISNUMBER(SEARCH(",CD279,",","&amp;SUBSTITUTE('1L Screening Matrix'!$I$2:$I$77,", ",",")&amp;","))*('1L Screening Matrix'!$C$2:$C$77=$A10))+SUMPRODUCT(ISNUMBER(SEARCH(",CD279,",","&amp;SUBSTITUTE('2L Screening Matrix'!$I$2:$I$46,", ",",")&amp;","))*('2L Screening Matrix'!$C$2:$C$46=$A10))</f>
        <v>0</v>
      </c>
      <c r="D10" s="11">
        <f>SUMPRODUCT(ISNUMBER(SEARCH(",TS,",","&amp;SUBSTITUTE('1L Screening Matrix'!$I$2:$I$77,", ",",")&amp;","))*('1L Screening Matrix'!$C$2:$C$77=$A10))+SUMPRODUCT(ISNUMBER(SEARCH(",TS,",","&amp;SUBSTITUTE('2L Screening Matrix'!$I$2:$I$46,", ",",")&amp;","))*('2L Screening Matrix'!$C$2:$C$46=$A10))</f>
        <v>0</v>
      </c>
      <c r="E10" s="11">
        <f>SUMPRODUCT(ISNUMBER(SEARCH(",TYMS,",","&amp;SUBSTITUTE('1L Screening Matrix'!$I$2:$I$77,", ",",")&amp;","))*('1L Screening Matrix'!$C$2:$C$77=$A10))+SUMPRODUCT(ISNUMBER(SEARCH(",TYMS,",","&amp;SUBSTITUTE('2L Screening Matrix'!$I$2:$I$46,", ",",")&amp;","))*('2L Screening Matrix'!$C$2:$C$46=$A10))</f>
        <v>0</v>
      </c>
      <c r="F10" s="11">
        <f>SUMPRODUCT(ISNUMBER(SEARCH(",PD-L1,",","&amp;SUBSTITUTE('1L Screening Matrix'!$I$2:$I$77,", ",",")&amp;","))*('1L Screening Matrix'!$C$2:$C$77=$A10))+SUMPRODUCT(ISNUMBER(SEARCH(",PD-L1,",","&amp;SUBSTITUTE('2L Screening Matrix'!$I$2:$I$46,", ",",")&amp;","))*('2L Screening Matrix'!$C$2:$C$46=$A10))</f>
        <v>0</v>
      </c>
      <c r="G10" s="11">
        <f>SUMPRODUCT(ISNUMBER(SEARCH(",B7-H1,",","&amp;SUBSTITUTE('1L Screening Matrix'!$I$2:$I$77,", ",",")&amp;","))*('1L Screening Matrix'!$C$2:$C$77=$A10))+SUMPRODUCT(ISNUMBER(SEARCH(",B7-H1,",","&amp;SUBSTITUTE('2L Screening Matrix'!$I$2:$I$46,", ",",")&amp;","))*('2L Screening Matrix'!$C$2:$C$46=$A10))</f>
        <v>0</v>
      </c>
      <c r="H10" s="11">
        <f>SUMPRODUCT(ISNUMBER(SEARCH(",CD274,",","&amp;SUBSTITUTE('1L Screening Matrix'!$I$2:$I$77,", ",",")&amp;","))*('1L Screening Matrix'!$C$2:$C$77=$A10))+SUMPRODUCT(ISNUMBER(SEARCH(",CD274,",","&amp;SUBSTITUTE('2L Screening Matrix'!$I$2:$I$46,", ",",")&amp;","))*('2L Screening Matrix'!$C$2:$C$46=$A10))</f>
        <v>0</v>
      </c>
      <c r="I10" s="11">
        <f>SUMPRODUCT(ISNUMBER(SEARCH(",EGFR,",","&amp;SUBSTITUTE('1L Screening Matrix'!$I$2:$I$77,", ",",")&amp;","))*('1L Screening Matrix'!$C$2:$C$77=$A10))+SUMPRODUCT(ISNUMBER(SEARCH(",EGFR,",","&amp;SUBSTITUTE('2L Screening Matrix'!$I$2:$I$46,", ",",")&amp;","))*('2L Screening Matrix'!$C$2:$C$46=$A10))</f>
        <v>0</v>
      </c>
      <c r="J10" s="11">
        <f>SUMPRODUCT(ISNUMBER(SEARCH(",VEGF,",","&amp;SUBSTITUTE('1L Screening Matrix'!$I$2:$I$77,", ",",")&amp;","))*('1L Screening Matrix'!$C$2:$C$77=$A10))+SUMPRODUCT(ISNUMBER(SEARCH(",VEGF,",","&amp;SUBSTITUTE('2L Screening Matrix'!$I$2:$I$46,", ",",")&amp;","))*('2L Screening Matrix'!$C$2:$C$46=$A10))</f>
        <v>0</v>
      </c>
      <c r="K10" s="11">
        <f>SUMPRODUCT(ISNUMBER(SEARCH(",ERBB,",","&amp;SUBSTITUTE('1L Screening Matrix'!$I$2:$I$77,", ",",")&amp;","))*('1L Screening Matrix'!$C$2:$C$77=$A10))+SUMPRODUCT(ISNUMBER(SEARCH(",ERBB,",","&amp;SUBSTITUTE('2L Screening Matrix'!$I$2:$I$46,", ",",")&amp;","))*('2L Screening Matrix'!$C$2:$C$46=$A10))</f>
        <v>0</v>
      </c>
      <c r="L10" s="11">
        <f>SUMPRODUCT(ISNUMBER(SEARCH(",HER1,",","&amp;SUBSTITUTE('1L Screening Matrix'!$I$2:$I$77,", ",",")&amp;","))*('1L Screening Matrix'!$C$2:$C$77=$A10))+SUMPRODUCT(ISNUMBER(SEARCH(",HER1,",","&amp;SUBSTITUTE('2L Screening Matrix'!$I$2:$I$46,", ",",")&amp;","))*('2L Screening Matrix'!$C$2:$C$46=$A10))</f>
        <v>0</v>
      </c>
      <c r="M10" s="11">
        <f>SUMPRODUCT(ISNUMBER(SEARCH(",Microtubule,",","&amp;SUBSTITUTE('1L Screening Matrix'!$I$2:$I$77,", ",",")&amp;","))*('1L Screening Matrix'!$C$2:$C$77=$A10))+SUMPRODUCT(ISNUMBER(SEARCH(",Microtubule,",","&amp;SUBSTITUTE('2L Screening Matrix'!$I$2:$I$46,", ",",")&amp;","))*('2L Screening Matrix'!$C$2:$C$46=$A10))</f>
        <v>0</v>
      </c>
      <c r="N10" s="11">
        <f>SUMPRODUCT(ISNUMBER(SEARCH(",KRAS G12C,",","&amp;SUBSTITUTE('1L Screening Matrix'!$I$2:$I$77,", ",",")&amp;","))*('1L Screening Matrix'!$C$2:$C$77=$A10))+SUMPRODUCT(ISNUMBER(SEARCH(",KRAS G12C,",","&amp;SUBSTITUTE('2L Screening Matrix'!$I$2:$I$46,", ",",")&amp;","))*('2L Screening Matrix'!$C$2:$C$46=$A10))</f>
        <v>0</v>
      </c>
      <c r="O10" s="11">
        <f>SUMPRODUCT(ISNUMBER(SEARCH(",EGFR T790M,",","&amp;SUBSTITUTE('1L Screening Matrix'!$I$2:$I$77,", ",",")&amp;","))*('1L Screening Matrix'!$C$2:$C$77=$A10))+SUMPRODUCT(ISNUMBER(SEARCH(",EGFR T790M,",","&amp;SUBSTITUTE('2L Screening Matrix'!$I$2:$I$46,", ",",")&amp;","))*('2L Screening Matrix'!$C$2:$C$46=$A10))</f>
        <v>0</v>
      </c>
      <c r="P10" s="11">
        <f>SUMPRODUCT(ISNUMBER(SEARCH(",ALK,",","&amp;SUBSTITUTE('1L Screening Matrix'!$I$2:$I$77,", ",",")&amp;","))*('1L Screening Matrix'!$C$2:$C$77=$A10))+SUMPRODUCT(ISNUMBER(SEARCH(",ALK,",","&amp;SUBSTITUTE('2L Screening Matrix'!$I$2:$I$46,", ",",")&amp;","))*('2L Screening Matrix'!$C$2:$C$46=$A10))</f>
        <v>0</v>
      </c>
      <c r="Q10" s="11">
        <f>SUMPRODUCT(ISNUMBER(SEARCH(",TROP2,",","&amp;SUBSTITUTE('1L Screening Matrix'!$I$2:$I$77,", ",",")&amp;","))*('1L Screening Matrix'!$C$2:$C$77=$A10))+SUMPRODUCT(ISNUMBER(SEARCH(",TROP2,",","&amp;SUBSTITUTE('2L Screening Matrix'!$I$2:$I$46,", ",",")&amp;","))*('2L Screening Matrix'!$C$2:$C$46=$A10))</f>
        <v>0</v>
      </c>
      <c r="R10" s="11">
        <f>SUMPRODUCT(ISNUMBER(SEARCH(",c-MET/MET,",","&amp;SUBSTITUTE('1L Screening Matrix'!$I$2:$I$77,", ",",")&amp;","))*('1L Screening Matrix'!$C$2:$C$77=$A10))+SUMPRODUCT(ISNUMBER(SEARCH(",c-MET/MET,",","&amp;SUBSTITUTE('2L Screening Matrix'!$I$2:$I$46,", ",",")&amp;","))*('2L Screening Matrix'!$C$2:$C$46=$A10))</f>
        <v>0</v>
      </c>
      <c r="S10" s="11">
        <f>SUMPRODUCT(ISNUMBER(SEARCH(",HER2,",","&amp;SUBSTITUTE('1L Screening Matrix'!$I$2:$I$77,", ",",")&amp;","))*('1L Screening Matrix'!$C$2:$C$77=$A10))+SUMPRODUCT(ISNUMBER(SEARCH(",HER2,",","&amp;SUBSTITUTE('2L Screening Matrix'!$I$2:$I$46,", ",",")&amp;","))*('2L Screening Matrix'!$C$2:$C$46=$A10))</f>
        <v>1</v>
      </c>
      <c r="T10" s="11">
        <f>SUMPRODUCT(ISNUMBER(SEARCH(",ROS1,",","&amp;SUBSTITUTE('1L Screening Matrix'!$I$2:$I$77,", ",",")&amp;","))*('1L Screening Matrix'!$C$2:$C$77=$A10))+SUMPRODUCT(ISNUMBER(SEARCH(",ROS1,",","&amp;SUBSTITUTE('2L Screening Matrix'!$I$2:$I$46,", ",",")&amp;","))*('2L Screening Matrix'!$C$2:$C$46=$A10))</f>
        <v>0</v>
      </c>
      <c r="U10" s="11">
        <f>SUMPRODUCT(ISNUMBER(SEARCH(",TIGIT,",","&amp;SUBSTITUTE('1L Screening Matrix'!$I$2:$I$77,", ",",")&amp;","))*('1L Screening Matrix'!$C$2:$C$77=$A10))+SUMPRODUCT(ISNUMBER(SEARCH(",TIGIT,",","&amp;SUBSTITUTE('2L Screening Matrix'!$I$2:$I$46,", ",",")&amp;","))*('2L Screening Matrix'!$C$2:$C$46=$A10))</f>
        <v>0</v>
      </c>
      <c r="V10" s="11">
        <f>SUMPRODUCT(ISNUMBER(SEARCH(",EGFR L858R,",","&amp;SUBSTITUTE('1L Screening Matrix'!$I$2:$I$77,", ",",")&amp;","))*('1L Screening Matrix'!$C$2:$C$77=$A10))+SUMPRODUCT(ISNUMBER(SEARCH(",EGFR L858R,",","&amp;SUBSTITUTE('2L Screening Matrix'!$I$2:$I$46,", ",",")&amp;","))*('2L Screening Matrix'!$C$2:$C$46=$A10))</f>
        <v>0</v>
      </c>
      <c r="W10" s="11">
        <f>SUMPRODUCT(ISNUMBER(SEARCH(",ROS,",","&amp;SUBSTITUTE('1L Screening Matrix'!$I$2:$I$77,", ",",")&amp;","))*('1L Screening Matrix'!$C$2:$C$77=$A10))+SUMPRODUCT(ISNUMBER(SEARCH(",ROS,",","&amp;SUBSTITUTE('2L Screening Matrix'!$I$2:$I$46,", ",",")&amp;","))*('2L Screening Matrix'!$C$2:$C$46=$A10))</f>
        <v>0</v>
      </c>
      <c r="X10" s="11">
        <f>SUMPRODUCT(ISNUMBER(SEARCH(",IL-2,",","&amp;SUBSTITUTE('1L Screening Matrix'!$I$2:$I$77,", ",",")&amp;","))*('1L Screening Matrix'!$C$2:$C$77=$A10))+SUMPRODUCT(ISNUMBER(SEARCH(",IL-2,",","&amp;SUBSTITUTE('2L Screening Matrix'!$I$2:$I$46,", ",",")&amp;","))*('2L Screening Matrix'!$C$2:$C$46=$A10))</f>
        <v>0</v>
      </c>
      <c r="Y10" s="11">
        <f>SUMPRODUCT(ISNUMBER(SEARCH(",TCGF,",","&amp;SUBSTITUTE('1L Screening Matrix'!$I$2:$I$77,", ",",")&amp;","))*('1L Screening Matrix'!$C$2:$C$77=$A10))+SUMPRODUCT(ISNUMBER(SEARCH(",TCGF,",","&amp;SUBSTITUTE('2L Screening Matrix'!$I$2:$I$46,", ",",")&amp;","))*('2L Screening Matrix'!$C$2:$C$46=$A10))</f>
        <v>0</v>
      </c>
      <c r="Z10" s="11">
        <f>SUMPRODUCT(ISNUMBER(SEARCH(",CTLA-4,",","&amp;SUBSTITUTE('1L Screening Matrix'!$I$2:$I$77,", ",",")&amp;","))*('1L Screening Matrix'!$C$2:$C$77=$A10))+SUMPRODUCT(ISNUMBER(SEARCH(",CTLA-4,",","&amp;SUBSTITUTE('2L Screening Matrix'!$I$2:$I$46,", ",",")&amp;","))*('2L Screening Matrix'!$C$2:$C$46=$A10))</f>
        <v>0</v>
      </c>
      <c r="AA10" s="11">
        <f>SUMPRODUCT(ISNUMBER(SEARCH(",EGFR Exon 20,",","&amp;SUBSTITUTE('1L Screening Matrix'!$I$2:$I$77,", ",",")&amp;","))*('1L Screening Matrix'!$C$2:$C$77=$A10))+SUMPRODUCT(ISNUMBER(SEARCH(",EGFR Exon 20,",","&amp;SUBSTITUTE('2L Screening Matrix'!$I$2:$I$46,", ",",")&amp;","))*('2L Screening Matrix'!$C$2:$C$46=$A10))</f>
        <v>1</v>
      </c>
      <c r="AB10" s="11">
        <f>SUMPRODUCT(ISNUMBER(SEARCH(",HER2 Exon 20,",","&amp;SUBSTITUTE('1L Screening Matrix'!$I$2:$I$77,", ",",")&amp;","))*('1L Screening Matrix'!$C$2:$C$77=$A10))+SUMPRODUCT(ISNUMBER(SEARCH(",HER2 Exon 20,",","&amp;SUBSTITUTE('2L Screening Matrix'!$I$2:$I$46,", ",",")&amp;","))*('2L Screening Matrix'!$C$2:$C$46=$A10))</f>
        <v>1</v>
      </c>
      <c r="AC10" s="11">
        <f>SUMPRODUCT(ISNUMBER(SEARCH(",IL-15,",","&amp;SUBSTITUTE('1L Screening Matrix'!$I$2:$I$77,", ",",")&amp;","))*('1L Screening Matrix'!$C$2:$C$77=$A10))+SUMPRODUCT(ISNUMBER(SEARCH(",IL-15,",","&amp;SUBSTITUTE('2L Screening Matrix'!$I$2:$I$46,", ",",")&amp;","))*('2L Screening Matrix'!$C$2:$C$46=$A10))</f>
        <v>0</v>
      </c>
      <c r="AD10" s="11">
        <f>SUMPRODUCT(ISNUMBER(SEARCH(",IL-15R,",","&amp;SUBSTITUTE('1L Screening Matrix'!$I$2:$I$77,", ",",")&amp;","))*('1L Screening Matrix'!$C$2:$C$77=$A10))+SUMPRODUCT(ISNUMBER(SEARCH(",IL-15R,",","&amp;SUBSTITUTE('2L Screening Matrix'!$I$2:$I$46,", ",",")&amp;","))*('2L Screening Matrix'!$C$2:$C$46=$A10))</f>
        <v>0</v>
      </c>
      <c r="AE10" s="11">
        <f>SUMPRODUCT(ISNUMBER(SEARCH(",KRAS G12D,",","&amp;SUBSTITUTE('1L Screening Matrix'!$I$2:$I$77,", ",",")&amp;","))*('1L Screening Matrix'!$C$2:$C$77=$A10))+SUMPRODUCT(ISNUMBER(SEARCH(",KRAS G12D,",","&amp;SUBSTITUTE('2L Screening Matrix'!$I$2:$I$46,", ",",")&amp;","))*('2L Screening Matrix'!$C$2:$C$46=$A10))</f>
        <v>0</v>
      </c>
      <c r="AF10" s="11">
        <f>SUMPRODUCT(ISNUMBER(SEARCH(",HER4,",","&amp;SUBSTITUTE('1L Screening Matrix'!$I$2:$I$77,", ",",")&amp;","))*('1L Screening Matrix'!$C$2:$C$77=$A10))+SUMPRODUCT(ISNUMBER(SEARCH(",HER4,",","&amp;SUBSTITUTE('2L Screening Matrix'!$I$2:$I$46,", ",",")&amp;","))*('2L Screening Matrix'!$C$2:$C$46=$A10))</f>
        <v>0</v>
      </c>
      <c r="AG10" s="11">
        <f>SUMPRODUCT(ISNUMBER(SEARCH(",ALK L1196M,",","&amp;SUBSTITUTE('1L Screening Matrix'!$I$2:$I$77,", ",",")&amp;","))*('1L Screening Matrix'!$C$2:$C$77=$A10))+SUMPRODUCT(ISNUMBER(SEARCH(",ALK L1196M,",","&amp;SUBSTITUTE('2L Screening Matrix'!$I$2:$I$46,", ",",")&amp;","))*('2L Screening Matrix'!$C$2:$C$46=$A10))</f>
        <v>0</v>
      </c>
      <c r="AH10" s="11">
        <f>SUMPRODUCT(ISNUMBER(SEARCH(",CD152,",","&amp;SUBSTITUTE('1L Screening Matrix'!$I$2:$I$77,", ",",")&amp;","))*('1L Screening Matrix'!$C$2:$C$77=$A10))+SUMPRODUCT(ISNUMBER(SEARCH(",CD152,",","&amp;SUBSTITUTE('2L Screening Matrix'!$I$2:$I$46,", ",",")&amp;","))*('2L Screening Matrix'!$C$2:$C$46=$A10))</f>
        <v>0</v>
      </c>
      <c r="AI10" s="11">
        <f>SUMPRODUCT(ISNUMBER(SEARCH(",MLN19,",","&amp;SUBSTITUTE('1L Screening Matrix'!$I$2:$I$77,", ",",")&amp;","))*('1L Screening Matrix'!$C$2:$C$77=$A10))+SUMPRODUCT(ISNUMBER(SEARCH(",MLN19,",","&amp;SUBSTITUTE('2L Screening Matrix'!$I$2:$I$46,", ",",")&amp;","))*('2L Screening Matrix'!$C$2:$C$46=$A10))</f>
        <v>0</v>
      </c>
      <c r="AJ10" s="11">
        <f>SUMPRODUCT(ISNUMBER(SEARCH(",NTRK,",","&amp;SUBSTITUTE('1L Screening Matrix'!$I$2:$I$77,", ",",")&amp;","))*('1L Screening Matrix'!$C$2:$C$77=$A10))+SUMPRODUCT(ISNUMBER(SEARCH(",NTRK,",","&amp;SUBSTITUTE('2L Screening Matrix'!$I$2:$I$46,", ",",")&amp;","))*('2L Screening Matrix'!$C$2:$C$46=$A10))</f>
        <v>0</v>
      </c>
      <c r="AK10" s="11">
        <f>SUMPRODUCT(ISNUMBER(SEARCH(",Integrin β6,",","&amp;SUBSTITUTE('1L Screening Matrix'!$I$2:$I$77,", ",",")&amp;","))*('1L Screening Matrix'!$C$2:$C$77=$A10))+SUMPRODUCT(ISNUMBER(SEARCH(",Integrin β6,",","&amp;SUBSTITUTE('2L Screening Matrix'!$I$2:$I$46,", ",",")&amp;","))*('2L Screening Matrix'!$C$2:$C$46=$A10))</f>
        <v>0</v>
      </c>
      <c r="AL10" s="11">
        <f>SUMPRODUCT(ISNUMBER(SEARCH(",LAG-3,",","&amp;SUBSTITUTE('1L Screening Matrix'!$I$2:$I$77,", ",",")&amp;","))*('1L Screening Matrix'!$C$2:$C$77=$A10))+SUMPRODUCT(ISNUMBER(SEARCH(",LAG-3,",","&amp;SUBSTITUTE('2L Screening Matrix'!$I$2:$I$46,", ",",")&amp;","))*('2L Screening Matrix'!$C$2:$C$46=$A10))</f>
        <v>0</v>
      </c>
      <c r="AM10" s="14">
        <f t="shared" si="0"/>
        <v>3</v>
      </c>
    </row>
    <row r="11" spans="1:39" ht="15" customHeight="1" x14ac:dyDescent="0.2">
      <c r="A11" s="15" t="s">
        <v>1855</v>
      </c>
      <c r="B11" s="11">
        <f>SUMPRODUCT(ISNUMBER(SEARCH(",PD-1,",","&amp;SUBSTITUTE('1L Screening Matrix'!$I$2:$I$77,", ",",")&amp;","))*('1L Screening Matrix'!$C$2:$C$77=$A11))+SUMPRODUCT(ISNUMBER(SEARCH(",PD-1,",","&amp;SUBSTITUTE('2L Screening Matrix'!$I$2:$I$46,", ",",")&amp;","))*('2L Screening Matrix'!$C$2:$C$46=$A11))</f>
        <v>0</v>
      </c>
      <c r="C11" s="11">
        <f>SUMPRODUCT(ISNUMBER(SEARCH(",CD279,",","&amp;SUBSTITUTE('1L Screening Matrix'!$I$2:$I$77,", ",",")&amp;","))*('1L Screening Matrix'!$C$2:$C$77=$A11))+SUMPRODUCT(ISNUMBER(SEARCH(",CD279,",","&amp;SUBSTITUTE('2L Screening Matrix'!$I$2:$I$46,", ",",")&amp;","))*('2L Screening Matrix'!$C$2:$C$46=$A11))</f>
        <v>0</v>
      </c>
      <c r="D11" s="11">
        <f>SUMPRODUCT(ISNUMBER(SEARCH(",TS,",","&amp;SUBSTITUTE('1L Screening Matrix'!$I$2:$I$77,", ",",")&amp;","))*('1L Screening Matrix'!$C$2:$C$77=$A11))+SUMPRODUCT(ISNUMBER(SEARCH(",TS,",","&amp;SUBSTITUTE('2L Screening Matrix'!$I$2:$I$46,", ",",")&amp;","))*('2L Screening Matrix'!$C$2:$C$46=$A11))</f>
        <v>0</v>
      </c>
      <c r="E11" s="11">
        <f>SUMPRODUCT(ISNUMBER(SEARCH(",TYMS,",","&amp;SUBSTITUTE('1L Screening Matrix'!$I$2:$I$77,", ",",")&amp;","))*('1L Screening Matrix'!$C$2:$C$77=$A11))+SUMPRODUCT(ISNUMBER(SEARCH(",TYMS,",","&amp;SUBSTITUTE('2L Screening Matrix'!$I$2:$I$46,", ",",")&amp;","))*('2L Screening Matrix'!$C$2:$C$46=$A11))</f>
        <v>0</v>
      </c>
      <c r="F11" s="11">
        <f>SUMPRODUCT(ISNUMBER(SEARCH(",PD-L1,",","&amp;SUBSTITUTE('1L Screening Matrix'!$I$2:$I$77,", ",",")&amp;","))*('1L Screening Matrix'!$C$2:$C$77=$A11))+SUMPRODUCT(ISNUMBER(SEARCH(",PD-L1,",","&amp;SUBSTITUTE('2L Screening Matrix'!$I$2:$I$46,", ",",")&amp;","))*('2L Screening Matrix'!$C$2:$C$46=$A11))</f>
        <v>0</v>
      </c>
      <c r="G11" s="11">
        <f>SUMPRODUCT(ISNUMBER(SEARCH(",B7-H1,",","&amp;SUBSTITUTE('1L Screening Matrix'!$I$2:$I$77,", ",",")&amp;","))*('1L Screening Matrix'!$C$2:$C$77=$A11))+SUMPRODUCT(ISNUMBER(SEARCH(",B7-H1,",","&amp;SUBSTITUTE('2L Screening Matrix'!$I$2:$I$46,", ",",")&amp;","))*('2L Screening Matrix'!$C$2:$C$46=$A11))</f>
        <v>0</v>
      </c>
      <c r="H11" s="11">
        <f>SUMPRODUCT(ISNUMBER(SEARCH(",CD274,",","&amp;SUBSTITUTE('1L Screening Matrix'!$I$2:$I$77,", ",",")&amp;","))*('1L Screening Matrix'!$C$2:$C$77=$A11))+SUMPRODUCT(ISNUMBER(SEARCH(",CD274,",","&amp;SUBSTITUTE('2L Screening Matrix'!$I$2:$I$46,", ",",")&amp;","))*('2L Screening Matrix'!$C$2:$C$46=$A11))</f>
        <v>0</v>
      </c>
      <c r="I11" s="11">
        <f>SUMPRODUCT(ISNUMBER(SEARCH(",EGFR,",","&amp;SUBSTITUTE('1L Screening Matrix'!$I$2:$I$77,", ",",")&amp;","))*('1L Screening Matrix'!$C$2:$C$77=$A11))+SUMPRODUCT(ISNUMBER(SEARCH(",EGFR,",","&amp;SUBSTITUTE('2L Screening Matrix'!$I$2:$I$46,", ",",")&amp;","))*('2L Screening Matrix'!$C$2:$C$46=$A11))</f>
        <v>0</v>
      </c>
      <c r="J11" s="11">
        <f>SUMPRODUCT(ISNUMBER(SEARCH(",VEGF,",","&amp;SUBSTITUTE('1L Screening Matrix'!$I$2:$I$77,", ",",")&amp;","))*('1L Screening Matrix'!$C$2:$C$77=$A11))+SUMPRODUCT(ISNUMBER(SEARCH(",VEGF,",","&amp;SUBSTITUTE('2L Screening Matrix'!$I$2:$I$46,", ",",")&amp;","))*('2L Screening Matrix'!$C$2:$C$46=$A11))</f>
        <v>0</v>
      </c>
      <c r="K11" s="11">
        <f>SUMPRODUCT(ISNUMBER(SEARCH(",ERBB,",","&amp;SUBSTITUTE('1L Screening Matrix'!$I$2:$I$77,", ",",")&amp;","))*('1L Screening Matrix'!$C$2:$C$77=$A11))+SUMPRODUCT(ISNUMBER(SEARCH(",ERBB,",","&amp;SUBSTITUTE('2L Screening Matrix'!$I$2:$I$46,", ",",")&amp;","))*('2L Screening Matrix'!$C$2:$C$46=$A11))</f>
        <v>0</v>
      </c>
      <c r="L11" s="11">
        <f>SUMPRODUCT(ISNUMBER(SEARCH(",HER1,",","&amp;SUBSTITUTE('1L Screening Matrix'!$I$2:$I$77,", ",",")&amp;","))*('1L Screening Matrix'!$C$2:$C$77=$A11))+SUMPRODUCT(ISNUMBER(SEARCH(",HER1,",","&amp;SUBSTITUTE('2L Screening Matrix'!$I$2:$I$46,", ",",")&amp;","))*('2L Screening Matrix'!$C$2:$C$46=$A11))</f>
        <v>0</v>
      </c>
      <c r="M11" s="11">
        <f>SUMPRODUCT(ISNUMBER(SEARCH(",Microtubule,",","&amp;SUBSTITUTE('1L Screening Matrix'!$I$2:$I$77,", ",",")&amp;","))*('1L Screening Matrix'!$C$2:$C$77=$A11))+SUMPRODUCT(ISNUMBER(SEARCH(",Microtubule,",","&amp;SUBSTITUTE('2L Screening Matrix'!$I$2:$I$46,", ",",")&amp;","))*('2L Screening Matrix'!$C$2:$C$46=$A11))</f>
        <v>1</v>
      </c>
      <c r="N11" s="11">
        <f>SUMPRODUCT(ISNUMBER(SEARCH(",KRAS G12C,",","&amp;SUBSTITUTE('1L Screening Matrix'!$I$2:$I$77,", ",",")&amp;","))*('1L Screening Matrix'!$C$2:$C$77=$A11))+SUMPRODUCT(ISNUMBER(SEARCH(",KRAS G12C,",","&amp;SUBSTITUTE('2L Screening Matrix'!$I$2:$I$46,", ",",")&amp;","))*('2L Screening Matrix'!$C$2:$C$46=$A11))</f>
        <v>0</v>
      </c>
      <c r="O11" s="11">
        <f>SUMPRODUCT(ISNUMBER(SEARCH(",EGFR T790M,",","&amp;SUBSTITUTE('1L Screening Matrix'!$I$2:$I$77,", ",",")&amp;","))*('1L Screening Matrix'!$C$2:$C$77=$A11))+SUMPRODUCT(ISNUMBER(SEARCH(",EGFR T790M,",","&amp;SUBSTITUTE('2L Screening Matrix'!$I$2:$I$46,", ",",")&amp;","))*('2L Screening Matrix'!$C$2:$C$46=$A11))</f>
        <v>0</v>
      </c>
      <c r="P11" s="11">
        <f>SUMPRODUCT(ISNUMBER(SEARCH(",ALK,",","&amp;SUBSTITUTE('1L Screening Matrix'!$I$2:$I$77,", ",",")&amp;","))*('1L Screening Matrix'!$C$2:$C$77=$A11))+SUMPRODUCT(ISNUMBER(SEARCH(",ALK,",","&amp;SUBSTITUTE('2L Screening Matrix'!$I$2:$I$46,", ",",")&amp;","))*('2L Screening Matrix'!$C$2:$C$46=$A11))</f>
        <v>0</v>
      </c>
      <c r="Q11" s="11">
        <f>SUMPRODUCT(ISNUMBER(SEARCH(",TROP2,",","&amp;SUBSTITUTE('1L Screening Matrix'!$I$2:$I$77,", ",",")&amp;","))*('1L Screening Matrix'!$C$2:$C$77=$A11))+SUMPRODUCT(ISNUMBER(SEARCH(",TROP2,",","&amp;SUBSTITUTE('2L Screening Matrix'!$I$2:$I$46,", ",",")&amp;","))*('2L Screening Matrix'!$C$2:$C$46=$A11))</f>
        <v>0</v>
      </c>
      <c r="R11" s="11">
        <f>SUMPRODUCT(ISNUMBER(SEARCH(",c-MET/MET,",","&amp;SUBSTITUTE('1L Screening Matrix'!$I$2:$I$77,", ",",")&amp;","))*('1L Screening Matrix'!$C$2:$C$77=$A11))+SUMPRODUCT(ISNUMBER(SEARCH(",c-MET/MET,",","&amp;SUBSTITUTE('2L Screening Matrix'!$I$2:$I$46,", ",",")&amp;","))*('2L Screening Matrix'!$C$2:$C$46=$A11))</f>
        <v>0</v>
      </c>
      <c r="S11" s="11">
        <f>SUMPRODUCT(ISNUMBER(SEARCH(",HER2,",","&amp;SUBSTITUTE('1L Screening Matrix'!$I$2:$I$77,", ",",")&amp;","))*('1L Screening Matrix'!$C$2:$C$77=$A11))+SUMPRODUCT(ISNUMBER(SEARCH(",HER2,",","&amp;SUBSTITUTE('2L Screening Matrix'!$I$2:$I$46,", ",",")&amp;","))*('2L Screening Matrix'!$C$2:$C$46=$A11))</f>
        <v>0</v>
      </c>
      <c r="T11" s="11">
        <f>SUMPRODUCT(ISNUMBER(SEARCH(",ROS1,",","&amp;SUBSTITUTE('1L Screening Matrix'!$I$2:$I$77,", ",",")&amp;","))*('1L Screening Matrix'!$C$2:$C$77=$A11))+SUMPRODUCT(ISNUMBER(SEARCH(",ROS1,",","&amp;SUBSTITUTE('2L Screening Matrix'!$I$2:$I$46,", ",",")&amp;","))*('2L Screening Matrix'!$C$2:$C$46=$A11))</f>
        <v>0</v>
      </c>
      <c r="U11" s="11">
        <f>SUMPRODUCT(ISNUMBER(SEARCH(",TIGIT,",","&amp;SUBSTITUTE('1L Screening Matrix'!$I$2:$I$77,", ",",")&amp;","))*('1L Screening Matrix'!$C$2:$C$77=$A11))+SUMPRODUCT(ISNUMBER(SEARCH(",TIGIT,",","&amp;SUBSTITUTE('2L Screening Matrix'!$I$2:$I$46,", ",",")&amp;","))*('2L Screening Matrix'!$C$2:$C$46=$A11))</f>
        <v>0</v>
      </c>
      <c r="V11" s="11">
        <f>SUMPRODUCT(ISNUMBER(SEARCH(",EGFR L858R,",","&amp;SUBSTITUTE('1L Screening Matrix'!$I$2:$I$77,", ",",")&amp;","))*('1L Screening Matrix'!$C$2:$C$77=$A11))+SUMPRODUCT(ISNUMBER(SEARCH(",EGFR L858R,",","&amp;SUBSTITUTE('2L Screening Matrix'!$I$2:$I$46,", ",",")&amp;","))*('2L Screening Matrix'!$C$2:$C$46=$A11))</f>
        <v>0</v>
      </c>
      <c r="W11" s="11">
        <f>SUMPRODUCT(ISNUMBER(SEARCH(",ROS,",","&amp;SUBSTITUTE('1L Screening Matrix'!$I$2:$I$77,", ",",")&amp;","))*('1L Screening Matrix'!$C$2:$C$77=$A11))+SUMPRODUCT(ISNUMBER(SEARCH(",ROS,",","&amp;SUBSTITUTE('2L Screening Matrix'!$I$2:$I$46,", ",",")&amp;","))*('2L Screening Matrix'!$C$2:$C$46=$A11))</f>
        <v>0</v>
      </c>
      <c r="X11" s="11">
        <f>SUMPRODUCT(ISNUMBER(SEARCH(",IL-2,",","&amp;SUBSTITUTE('1L Screening Matrix'!$I$2:$I$77,", ",",")&amp;","))*('1L Screening Matrix'!$C$2:$C$77=$A11))+SUMPRODUCT(ISNUMBER(SEARCH(",IL-2,",","&amp;SUBSTITUTE('2L Screening Matrix'!$I$2:$I$46,", ",",")&amp;","))*('2L Screening Matrix'!$C$2:$C$46=$A11))</f>
        <v>0</v>
      </c>
      <c r="Y11" s="11">
        <f>SUMPRODUCT(ISNUMBER(SEARCH(",TCGF,",","&amp;SUBSTITUTE('1L Screening Matrix'!$I$2:$I$77,", ",",")&amp;","))*('1L Screening Matrix'!$C$2:$C$77=$A11))+SUMPRODUCT(ISNUMBER(SEARCH(",TCGF,",","&amp;SUBSTITUTE('2L Screening Matrix'!$I$2:$I$46,", ",",")&amp;","))*('2L Screening Matrix'!$C$2:$C$46=$A11))</f>
        <v>0</v>
      </c>
      <c r="Z11" s="11">
        <f>SUMPRODUCT(ISNUMBER(SEARCH(",CTLA-4,",","&amp;SUBSTITUTE('1L Screening Matrix'!$I$2:$I$77,", ",",")&amp;","))*('1L Screening Matrix'!$C$2:$C$77=$A11))+SUMPRODUCT(ISNUMBER(SEARCH(",CTLA-4,",","&amp;SUBSTITUTE('2L Screening Matrix'!$I$2:$I$46,", ",",")&amp;","))*('2L Screening Matrix'!$C$2:$C$46=$A11))</f>
        <v>0</v>
      </c>
      <c r="AA11" s="11">
        <f>SUMPRODUCT(ISNUMBER(SEARCH(",EGFR Exon 20,",","&amp;SUBSTITUTE('1L Screening Matrix'!$I$2:$I$77,", ",",")&amp;","))*('1L Screening Matrix'!$C$2:$C$77=$A11))+SUMPRODUCT(ISNUMBER(SEARCH(",EGFR Exon 20,",","&amp;SUBSTITUTE('2L Screening Matrix'!$I$2:$I$46,", ",",")&amp;","))*('2L Screening Matrix'!$C$2:$C$46=$A11))</f>
        <v>0</v>
      </c>
      <c r="AB11" s="11">
        <f>SUMPRODUCT(ISNUMBER(SEARCH(",HER2 Exon 20,",","&amp;SUBSTITUTE('1L Screening Matrix'!$I$2:$I$77,", ",",")&amp;","))*('1L Screening Matrix'!$C$2:$C$77=$A11))+SUMPRODUCT(ISNUMBER(SEARCH(",HER2 Exon 20,",","&amp;SUBSTITUTE('2L Screening Matrix'!$I$2:$I$46,", ",",")&amp;","))*('2L Screening Matrix'!$C$2:$C$46=$A11))</f>
        <v>0</v>
      </c>
      <c r="AC11" s="11">
        <f>SUMPRODUCT(ISNUMBER(SEARCH(",IL-15,",","&amp;SUBSTITUTE('1L Screening Matrix'!$I$2:$I$77,", ",",")&amp;","))*('1L Screening Matrix'!$C$2:$C$77=$A11))+SUMPRODUCT(ISNUMBER(SEARCH(",IL-15,",","&amp;SUBSTITUTE('2L Screening Matrix'!$I$2:$I$46,", ",",")&amp;","))*('2L Screening Matrix'!$C$2:$C$46=$A11))</f>
        <v>0</v>
      </c>
      <c r="AD11" s="11">
        <f>SUMPRODUCT(ISNUMBER(SEARCH(",IL-15R,",","&amp;SUBSTITUTE('1L Screening Matrix'!$I$2:$I$77,", ",",")&amp;","))*('1L Screening Matrix'!$C$2:$C$77=$A11))+SUMPRODUCT(ISNUMBER(SEARCH(",IL-15R,",","&amp;SUBSTITUTE('2L Screening Matrix'!$I$2:$I$46,", ",",")&amp;","))*('2L Screening Matrix'!$C$2:$C$46=$A11))</f>
        <v>0</v>
      </c>
      <c r="AE11" s="11">
        <f>SUMPRODUCT(ISNUMBER(SEARCH(",KRAS G12D,",","&amp;SUBSTITUTE('1L Screening Matrix'!$I$2:$I$77,", ",",")&amp;","))*('1L Screening Matrix'!$C$2:$C$77=$A11))+SUMPRODUCT(ISNUMBER(SEARCH(",KRAS G12D,",","&amp;SUBSTITUTE('2L Screening Matrix'!$I$2:$I$46,", ",",")&amp;","))*('2L Screening Matrix'!$C$2:$C$46=$A11))</f>
        <v>0</v>
      </c>
      <c r="AF11" s="11">
        <f>SUMPRODUCT(ISNUMBER(SEARCH(",HER4,",","&amp;SUBSTITUTE('1L Screening Matrix'!$I$2:$I$77,", ",",")&amp;","))*('1L Screening Matrix'!$C$2:$C$77=$A11))+SUMPRODUCT(ISNUMBER(SEARCH(",HER4,",","&amp;SUBSTITUTE('2L Screening Matrix'!$I$2:$I$46,", ",",")&amp;","))*('2L Screening Matrix'!$C$2:$C$46=$A11))</f>
        <v>0</v>
      </c>
      <c r="AG11" s="11">
        <f>SUMPRODUCT(ISNUMBER(SEARCH(",ALK L1196M,",","&amp;SUBSTITUTE('1L Screening Matrix'!$I$2:$I$77,", ",",")&amp;","))*('1L Screening Matrix'!$C$2:$C$77=$A11))+SUMPRODUCT(ISNUMBER(SEARCH(",ALK L1196M,",","&amp;SUBSTITUTE('2L Screening Matrix'!$I$2:$I$46,", ",",")&amp;","))*('2L Screening Matrix'!$C$2:$C$46=$A11))</f>
        <v>0</v>
      </c>
      <c r="AH11" s="11">
        <f>SUMPRODUCT(ISNUMBER(SEARCH(",CD152,",","&amp;SUBSTITUTE('1L Screening Matrix'!$I$2:$I$77,", ",",")&amp;","))*('1L Screening Matrix'!$C$2:$C$77=$A11))+SUMPRODUCT(ISNUMBER(SEARCH(",CD152,",","&amp;SUBSTITUTE('2L Screening Matrix'!$I$2:$I$46,", ",",")&amp;","))*('2L Screening Matrix'!$C$2:$C$46=$A11))</f>
        <v>0</v>
      </c>
      <c r="AI11" s="11">
        <f>SUMPRODUCT(ISNUMBER(SEARCH(",MLN19,",","&amp;SUBSTITUTE('1L Screening Matrix'!$I$2:$I$77,", ",",")&amp;","))*('1L Screening Matrix'!$C$2:$C$77=$A11))+SUMPRODUCT(ISNUMBER(SEARCH(",MLN19,",","&amp;SUBSTITUTE('2L Screening Matrix'!$I$2:$I$46,", ",",")&amp;","))*('2L Screening Matrix'!$C$2:$C$46=$A11))</f>
        <v>0</v>
      </c>
      <c r="AJ11" s="11">
        <f>SUMPRODUCT(ISNUMBER(SEARCH(",NTRK,",","&amp;SUBSTITUTE('1L Screening Matrix'!$I$2:$I$77,", ",",")&amp;","))*('1L Screening Matrix'!$C$2:$C$77=$A11))+SUMPRODUCT(ISNUMBER(SEARCH(",NTRK,",","&amp;SUBSTITUTE('2L Screening Matrix'!$I$2:$I$46,", ",",")&amp;","))*('2L Screening Matrix'!$C$2:$C$46=$A11))</f>
        <v>0</v>
      </c>
      <c r="AK11" s="11">
        <f>SUMPRODUCT(ISNUMBER(SEARCH(",Integrin β6,",","&amp;SUBSTITUTE('1L Screening Matrix'!$I$2:$I$77,", ",",")&amp;","))*('1L Screening Matrix'!$C$2:$C$77=$A11))+SUMPRODUCT(ISNUMBER(SEARCH(",Integrin β6,",","&amp;SUBSTITUTE('2L Screening Matrix'!$I$2:$I$46,", ",",")&amp;","))*('2L Screening Matrix'!$C$2:$C$46=$A11))</f>
        <v>0</v>
      </c>
      <c r="AL11" s="11">
        <f>SUMPRODUCT(ISNUMBER(SEARCH(",LAG-3,",","&amp;SUBSTITUTE('1L Screening Matrix'!$I$2:$I$77,", ",",")&amp;","))*('1L Screening Matrix'!$C$2:$C$77=$A11))+SUMPRODUCT(ISNUMBER(SEARCH(",LAG-3,",","&amp;SUBSTITUTE('2L Screening Matrix'!$I$2:$I$46,", ",",")&amp;","))*('2L Screening Matrix'!$C$2:$C$46=$A11))</f>
        <v>0</v>
      </c>
      <c r="AM11" s="14">
        <f t="shared" si="0"/>
        <v>1</v>
      </c>
    </row>
    <row r="12" spans="1:39" ht="15" customHeight="1" x14ac:dyDescent="0.2">
      <c r="A12" s="12" t="s">
        <v>1780</v>
      </c>
      <c r="B12" s="11">
        <f>SUMPRODUCT(ISNUMBER(SEARCH(",PD-1,",","&amp;SUBSTITUTE('1L Screening Matrix'!$I$2:$I$77,", ",",")&amp;","))*('1L Screening Matrix'!$C$2:$C$77=$A12))+SUMPRODUCT(ISNUMBER(SEARCH(",PD-1,",","&amp;SUBSTITUTE('2L Screening Matrix'!$I$2:$I$46,", ",",")&amp;","))*('2L Screening Matrix'!$C$2:$C$46=$A12))</f>
        <v>1</v>
      </c>
      <c r="C12" s="11">
        <f>SUMPRODUCT(ISNUMBER(SEARCH(",CD279,",","&amp;SUBSTITUTE('1L Screening Matrix'!$I$2:$I$77,", ",",")&amp;","))*('1L Screening Matrix'!$C$2:$C$77=$A12))+SUMPRODUCT(ISNUMBER(SEARCH(",CD279,",","&amp;SUBSTITUTE('2L Screening Matrix'!$I$2:$I$46,", ",",")&amp;","))*('2L Screening Matrix'!$C$2:$C$46=$A12))</f>
        <v>1</v>
      </c>
      <c r="D12" s="11">
        <f>SUMPRODUCT(ISNUMBER(SEARCH(",TS,",","&amp;SUBSTITUTE('1L Screening Matrix'!$I$2:$I$77,", ",",")&amp;","))*('1L Screening Matrix'!$C$2:$C$77=$A12))+SUMPRODUCT(ISNUMBER(SEARCH(",TS,",","&amp;SUBSTITUTE('2L Screening Matrix'!$I$2:$I$46,", ",",")&amp;","))*('2L Screening Matrix'!$C$2:$C$46=$A12))</f>
        <v>0</v>
      </c>
      <c r="E12" s="11">
        <f>SUMPRODUCT(ISNUMBER(SEARCH(",TYMS,",","&amp;SUBSTITUTE('1L Screening Matrix'!$I$2:$I$77,", ",",")&amp;","))*('1L Screening Matrix'!$C$2:$C$77=$A12))+SUMPRODUCT(ISNUMBER(SEARCH(",TYMS,",","&amp;SUBSTITUTE('2L Screening Matrix'!$I$2:$I$46,", ",",")&amp;","))*('2L Screening Matrix'!$C$2:$C$46=$A12))</f>
        <v>0</v>
      </c>
      <c r="F12" s="11">
        <f>SUMPRODUCT(ISNUMBER(SEARCH(",PD-L1,",","&amp;SUBSTITUTE('1L Screening Matrix'!$I$2:$I$77,", ",",")&amp;","))*('1L Screening Matrix'!$C$2:$C$77=$A12))+SUMPRODUCT(ISNUMBER(SEARCH(",PD-L1,",","&amp;SUBSTITUTE('2L Screening Matrix'!$I$2:$I$46,", ",",")&amp;","))*('2L Screening Matrix'!$C$2:$C$46=$A12))</f>
        <v>0</v>
      </c>
      <c r="G12" s="11">
        <f>SUMPRODUCT(ISNUMBER(SEARCH(",B7-H1,",","&amp;SUBSTITUTE('1L Screening Matrix'!$I$2:$I$77,", ",",")&amp;","))*('1L Screening Matrix'!$C$2:$C$77=$A12))+SUMPRODUCT(ISNUMBER(SEARCH(",B7-H1,",","&amp;SUBSTITUTE('2L Screening Matrix'!$I$2:$I$46,", ",",")&amp;","))*('2L Screening Matrix'!$C$2:$C$46=$A12))</f>
        <v>0</v>
      </c>
      <c r="H12" s="11">
        <f>SUMPRODUCT(ISNUMBER(SEARCH(",CD274,",","&amp;SUBSTITUTE('1L Screening Matrix'!$I$2:$I$77,", ",",")&amp;","))*('1L Screening Matrix'!$C$2:$C$77=$A12))+SUMPRODUCT(ISNUMBER(SEARCH(",CD274,",","&amp;SUBSTITUTE('2L Screening Matrix'!$I$2:$I$46,", ",",")&amp;","))*('2L Screening Matrix'!$C$2:$C$46=$A12))</f>
        <v>0</v>
      </c>
      <c r="I12" s="11">
        <f>SUMPRODUCT(ISNUMBER(SEARCH(",EGFR,",","&amp;SUBSTITUTE('1L Screening Matrix'!$I$2:$I$77,", ",",")&amp;","))*('1L Screening Matrix'!$C$2:$C$77=$A12))+SUMPRODUCT(ISNUMBER(SEARCH(",EGFR,",","&amp;SUBSTITUTE('2L Screening Matrix'!$I$2:$I$46,", ",",")&amp;","))*('2L Screening Matrix'!$C$2:$C$46=$A12))</f>
        <v>0</v>
      </c>
      <c r="J12" s="11">
        <f>SUMPRODUCT(ISNUMBER(SEARCH(",VEGF,",","&amp;SUBSTITUTE('1L Screening Matrix'!$I$2:$I$77,", ",",")&amp;","))*('1L Screening Matrix'!$C$2:$C$77=$A12))+SUMPRODUCT(ISNUMBER(SEARCH(",VEGF,",","&amp;SUBSTITUTE('2L Screening Matrix'!$I$2:$I$46,", ",",")&amp;","))*('2L Screening Matrix'!$C$2:$C$46=$A12))</f>
        <v>0</v>
      </c>
      <c r="K12" s="11">
        <f>SUMPRODUCT(ISNUMBER(SEARCH(",ERBB,",","&amp;SUBSTITUTE('1L Screening Matrix'!$I$2:$I$77,", ",",")&amp;","))*('1L Screening Matrix'!$C$2:$C$77=$A12))+SUMPRODUCT(ISNUMBER(SEARCH(",ERBB,",","&amp;SUBSTITUTE('2L Screening Matrix'!$I$2:$I$46,", ",",")&amp;","))*('2L Screening Matrix'!$C$2:$C$46=$A12))</f>
        <v>0</v>
      </c>
      <c r="L12" s="11">
        <f>SUMPRODUCT(ISNUMBER(SEARCH(",HER1,",","&amp;SUBSTITUTE('1L Screening Matrix'!$I$2:$I$77,", ",",")&amp;","))*('1L Screening Matrix'!$C$2:$C$77=$A12))+SUMPRODUCT(ISNUMBER(SEARCH(",HER1,",","&amp;SUBSTITUTE('2L Screening Matrix'!$I$2:$I$46,", ",",")&amp;","))*('2L Screening Matrix'!$C$2:$C$46=$A12))</f>
        <v>0</v>
      </c>
      <c r="M12" s="11">
        <f>SUMPRODUCT(ISNUMBER(SEARCH(",Microtubule,",","&amp;SUBSTITUTE('1L Screening Matrix'!$I$2:$I$77,", ",",")&amp;","))*('1L Screening Matrix'!$C$2:$C$77=$A12))+SUMPRODUCT(ISNUMBER(SEARCH(",Microtubule,",","&amp;SUBSTITUTE('2L Screening Matrix'!$I$2:$I$46,", ",",")&amp;","))*('2L Screening Matrix'!$C$2:$C$46=$A12))</f>
        <v>0</v>
      </c>
      <c r="N12" s="11">
        <f>SUMPRODUCT(ISNUMBER(SEARCH(",KRAS G12C,",","&amp;SUBSTITUTE('1L Screening Matrix'!$I$2:$I$77,", ",",")&amp;","))*('1L Screening Matrix'!$C$2:$C$77=$A12))+SUMPRODUCT(ISNUMBER(SEARCH(",KRAS G12C,",","&amp;SUBSTITUTE('2L Screening Matrix'!$I$2:$I$46,", ",",")&amp;","))*('2L Screening Matrix'!$C$2:$C$46=$A12))</f>
        <v>0</v>
      </c>
      <c r="O12" s="11">
        <f>SUMPRODUCT(ISNUMBER(SEARCH(",EGFR T790M,",","&amp;SUBSTITUTE('1L Screening Matrix'!$I$2:$I$77,", ",",")&amp;","))*('1L Screening Matrix'!$C$2:$C$77=$A12))+SUMPRODUCT(ISNUMBER(SEARCH(",EGFR T790M,",","&amp;SUBSTITUTE('2L Screening Matrix'!$I$2:$I$46,", ",",")&amp;","))*('2L Screening Matrix'!$C$2:$C$46=$A12))</f>
        <v>0</v>
      </c>
      <c r="P12" s="11">
        <f>SUMPRODUCT(ISNUMBER(SEARCH(",ALK,",","&amp;SUBSTITUTE('1L Screening Matrix'!$I$2:$I$77,", ",",")&amp;","))*('1L Screening Matrix'!$C$2:$C$77=$A12))+SUMPRODUCT(ISNUMBER(SEARCH(",ALK,",","&amp;SUBSTITUTE('2L Screening Matrix'!$I$2:$I$46,", ",",")&amp;","))*('2L Screening Matrix'!$C$2:$C$46=$A12))</f>
        <v>0</v>
      </c>
      <c r="Q12" s="11">
        <f>SUMPRODUCT(ISNUMBER(SEARCH(",TROP2,",","&amp;SUBSTITUTE('1L Screening Matrix'!$I$2:$I$77,", ",",")&amp;","))*('1L Screening Matrix'!$C$2:$C$77=$A12))+SUMPRODUCT(ISNUMBER(SEARCH(",TROP2,",","&amp;SUBSTITUTE('2L Screening Matrix'!$I$2:$I$46,", ",",")&amp;","))*('2L Screening Matrix'!$C$2:$C$46=$A12))</f>
        <v>0</v>
      </c>
      <c r="R12" s="11">
        <f>SUMPRODUCT(ISNUMBER(SEARCH(",c-MET/MET,",","&amp;SUBSTITUTE('1L Screening Matrix'!$I$2:$I$77,", ",",")&amp;","))*('1L Screening Matrix'!$C$2:$C$77=$A12))+SUMPRODUCT(ISNUMBER(SEARCH(",c-MET/MET,",","&amp;SUBSTITUTE('2L Screening Matrix'!$I$2:$I$46,", ",",")&amp;","))*('2L Screening Matrix'!$C$2:$C$46=$A12))</f>
        <v>0</v>
      </c>
      <c r="S12" s="11">
        <f>SUMPRODUCT(ISNUMBER(SEARCH(",HER2,",","&amp;SUBSTITUTE('1L Screening Matrix'!$I$2:$I$77,", ",",")&amp;","))*('1L Screening Matrix'!$C$2:$C$77=$A12))+SUMPRODUCT(ISNUMBER(SEARCH(",HER2,",","&amp;SUBSTITUTE('2L Screening Matrix'!$I$2:$I$46,", ",",")&amp;","))*('2L Screening Matrix'!$C$2:$C$46=$A12))</f>
        <v>0</v>
      </c>
      <c r="T12" s="11">
        <f>SUMPRODUCT(ISNUMBER(SEARCH(",ROS1,",","&amp;SUBSTITUTE('1L Screening Matrix'!$I$2:$I$77,", ",",")&amp;","))*('1L Screening Matrix'!$C$2:$C$77=$A12))+SUMPRODUCT(ISNUMBER(SEARCH(",ROS1,",","&amp;SUBSTITUTE('2L Screening Matrix'!$I$2:$I$46,", ",",")&amp;","))*('2L Screening Matrix'!$C$2:$C$46=$A12))</f>
        <v>0</v>
      </c>
      <c r="U12" s="11">
        <f>SUMPRODUCT(ISNUMBER(SEARCH(",TIGIT,",","&amp;SUBSTITUTE('1L Screening Matrix'!$I$2:$I$77,", ",",")&amp;","))*('1L Screening Matrix'!$C$2:$C$77=$A12))+SUMPRODUCT(ISNUMBER(SEARCH(",TIGIT,",","&amp;SUBSTITUTE('2L Screening Matrix'!$I$2:$I$46,", ",",")&amp;","))*('2L Screening Matrix'!$C$2:$C$46=$A12))</f>
        <v>0</v>
      </c>
      <c r="V12" s="11">
        <f>SUMPRODUCT(ISNUMBER(SEARCH(",EGFR L858R,",","&amp;SUBSTITUTE('1L Screening Matrix'!$I$2:$I$77,", ",",")&amp;","))*('1L Screening Matrix'!$C$2:$C$77=$A12))+SUMPRODUCT(ISNUMBER(SEARCH(",EGFR L858R,",","&amp;SUBSTITUTE('2L Screening Matrix'!$I$2:$I$46,", ",",")&amp;","))*('2L Screening Matrix'!$C$2:$C$46=$A12))</f>
        <v>0</v>
      </c>
      <c r="W12" s="11">
        <f>SUMPRODUCT(ISNUMBER(SEARCH(",ROS,",","&amp;SUBSTITUTE('1L Screening Matrix'!$I$2:$I$77,", ",",")&amp;","))*('1L Screening Matrix'!$C$2:$C$77=$A12))+SUMPRODUCT(ISNUMBER(SEARCH(",ROS,",","&amp;SUBSTITUTE('2L Screening Matrix'!$I$2:$I$46,", ",",")&amp;","))*('2L Screening Matrix'!$C$2:$C$46=$A12))</f>
        <v>0</v>
      </c>
      <c r="X12" s="11">
        <f>SUMPRODUCT(ISNUMBER(SEARCH(",IL-2,",","&amp;SUBSTITUTE('1L Screening Matrix'!$I$2:$I$77,", ",",")&amp;","))*('1L Screening Matrix'!$C$2:$C$77=$A12))+SUMPRODUCT(ISNUMBER(SEARCH(",IL-2,",","&amp;SUBSTITUTE('2L Screening Matrix'!$I$2:$I$46,", ",",")&amp;","))*('2L Screening Matrix'!$C$2:$C$46=$A12))</f>
        <v>0</v>
      </c>
      <c r="Y12" s="11">
        <f>SUMPRODUCT(ISNUMBER(SEARCH(",TCGF,",","&amp;SUBSTITUTE('1L Screening Matrix'!$I$2:$I$77,", ",",")&amp;","))*('1L Screening Matrix'!$C$2:$C$77=$A12))+SUMPRODUCT(ISNUMBER(SEARCH(",TCGF,",","&amp;SUBSTITUTE('2L Screening Matrix'!$I$2:$I$46,", ",",")&amp;","))*('2L Screening Matrix'!$C$2:$C$46=$A12))</f>
        <v>0</v>
      </c>
      <c r="Z12" s="11">
        <f>SUMPRODUCT(ISNUMBER(SEARCH(",CTLA-4,",","&amp;SUBSTITUTE('1L Screening Matrix'!$I$2:$I$77,", ",",")&amp;","))*('1L Screening Matrix'!$C$2:$C$77=$A12))+SUMPRODUCT(ISNUMBER(SEARCH(",CTLA-4,",","&amp;SUBSTITUTE('2L Screening Matrix'!$I$2:$I$46,", ",",")&amp;","))*('2L Screening Matrix'!$C$2:$C$46=$A12))</f>
        <v>0</v>
      </c>
      <c r="AA12" s="11">
        <f>SUMPRODUCT(ISNUMBER(SEARCH(",EGFR Exon 20,",","&amp;SUBSTITUTE('1L Screening Matrix'!$I$2:$I$77,", ",",")&amp;","))*('1L Screening Matrix'!$C$2:$C$77=$A12))+SUMPRODUCT(ISNUMBER(SEARCH(",EGFR Exon 20,",","&amp;SUBSTITUTE('2L Screening Matrix'!$I$2:$I$46,", ",",")&amp;","))*('2L Screening Matrix'!$C$2:$C$46=$A12))</f>
        <v>0</v>
      </c>
      <c r="AB12" s="11">
        <f>SUMPRODUCT(ISNUMBER(SEARCH(",HER2 Exon 20,",","&amp;SUBSTITUTE('1L Screening Matrix'!$I$2:$I$77,", ",",")&amp;","))*('1L Screening Matrix'!$C$2:$C$77=$A12))+SUMPRODUCT(ISNUMBER(SEARCH(",HER2 Exon 20,",","&amp;SUBSTITUTE('2L Screening Matrix'!$I$2:$I$46,", ",",")&amp;","))*('2L Screening Matrix'!$C$2:$C$46=$A12))</f>
        <v>0</v>
      </c>
      <c r="AC12" s="11">
        <f>SUMPRODUCT(ISNUMBER(SEARCH(",IL-15,",","&amp;SUBSTITUTE('1L Screening Matrix'!$I$2:$I$77,", ",",")&amp;","))*('1L Screening Matrix'!$C$2:$C$77=$A12))+SUMPRODUCT(ISNUMBER(SEARCH(",IL-15,",","&amp;SUBSTITUTE('2L Screening Matrix'!$I$2:$I$46,", ",",")&amp;","))*('2L Screening Matrix'!$C$2:$C$46=$A12))</f>
        <v>0</v>
      </c>
      <c r="AD12" s="11">
        <f>SUMPRODUCT(ISNUMBER(SEARCH(",IL-15R,",","&amp;SUBSTITUTE('1L Screening Matrix'!$I$2:$I$77,", ",",")&amp;","))*('1L Screening Matrix'!$C$2:$C$77=$A12))+SUMPRODUCT(ISNUMBER(SEARCH(",IL-15R,",","&amp;SUBSTITUTE('2L Screening Matrix'!$I$2:$I$46,", ",",")&amp;","))*('2L Screening Matrix'!$C$2:$C$46=$A12))</f>
        <v>0</v>
      </c>
      <c r="AE12" s="11">
        <f>SUMPRODUCT(ISNUMBER(SEARCH(",KRAS G12D,",","&amp;SUBSTITUTE('1L Screening Matrix'!$I$2:$I$77,", ",",")&amp;","))*('1L Screening Matrix'!$C$2:$C$77=$A12))+SUMPRODUCT(ISNUMBER(SEARCH(",KRAS G12D,",","&amp;SUBSTITUTE('2L Screening Matrix'!$I$2:$I$46,", ",",")&amp;","))*('2L Screening Matrix'!$C$2:$C$46=$A12))</f>
        <v>0</v>
      </c>
      <c r="AF12" s="11">
        <f>SUMPRODUCT(ISNUMBER(SEARCH(",HER4,",","&amp;SUBSTITUTE('1L Screening Matrix'!$I$2:$I$77,", ",",")&amp;","))*('1L Screening Matrix'!$C$2:$C$77=$A12))+SUMPRODUCT(ISNUMBER(SEARCH(",HER4,",","&amp;SUBSTITUTE('2L Screening Matrix'!$I$2:$I$46,", ",",")&amp;","))*('2L Screening Matrix'!$C$2:$C$46=$A12))</f>
        <v>0</v>
      </c>
      <c r="AG12" s="11">
        <f>SUMPRODUCT(ISNUMBER(SEARCH(",ALK L1196M,",","&amp;SUBSTITUTE('1L Screening Matrix'!$I$2:$I$77,", ",",")&amp;","))*('1L Screening Matrix'!$C$2:$C$77=$A12))+SUMPRODUCT(ISNUMBER(SEARCH(",ALK L1196M,",","&amp;SUBSTITUTE('2L Screening Matrix'!$I$2:$I$46,", ",",")&amp;","))*('2L Screening Matrix'!$C$2:$C$46=$A12))</f>
        <v>0</v>
      </c>
      <c r="AH12" s="11">
        <f>SUMPRODUCT(ISNUMBER(SEARCH(",CD152,",","&amp;SUBSTITUTE('1L Screening Matrix'!$I$2:$I$77,", ",",")&amp;","))*('1L Screening Matrix'!$C$2:$C$77=$A12))+SUMPRODUCT(ISNUMBER(SEARCH(",CD152,",","&amp;SUBSTITUTE('2L Screening Matrix'!$I$2:$I$46,", ",",")&amp;","))*('2L Screening Matrix'!$C$2:$C$46=$A12))</f>
        <v>0</v>
      </c>
      <c r="AI12" s="11">
        <f>SUMPRODUCT(ISNUMBER(SEARCH(",MLN19,",","&amp;SUBSTITUTE('1L Screening Matrix'!$I$2:$I$77,", ",",")&amp;","))*('1L Screening Matrix'!$C$2:$C$77=$A12))+SUMPRODUCT(ISNUMBER(SEARCH(",MLN19,",","&amp;SUBSTITUTE('2L Screening Matrix'!$I$2:$I$46,", ",",")&amp;","))*('2L Screening Matrix'!$C$2:$C$46=$A12))</f>
        <v>0</v>
      </c>
      <c r="AJ12" s="11">
        <f>SUMPRODUCT(ISNUMBER(SEARCH(",NTRK,",","&amp;SUBSTITUTE('1L Screening Matrix'!$I$2:$I$77,", ",",")&amp;","))*('1L Screening Matrix'!$C$2:$C$77=$A12))+SUMPRODUCT(ISNUMBER(SEARCH(",NTRK,",","&amp;SUBSTITUTE('2L Screening Matrix'!$I$2:$I$46,", ",",")&amp;","))*('2L Screening Matrix'!$C$2:$C$46=$A12))</f>
        <v>0</v>
      </c>
      <c r="AK12" s="11">
        <f>SUMPRODUCT(ISNUMBER(SEARCH(",Integrin β6,",","&amp;SUBSTITUTE('1L Screening Matrix'!$I$2:$I$77,", ",",")&amp;","))*('1L Screening Matrix'!$C$2:$C$77=$A12))+SUMPRODUCT(ISNUMBER(SEARCH(",Integrin β6,",","&amp;SUBSTITUTE('2L Screening Matrix'!$I$2:$I$46,", ",",")&amp;","))*('2L Screening Matrix'!$C$2:$C$46=$A12))</f>
        <v>0</v>
      </c>
      <c r="AL12" s="11">
        <f>SUMPRODUCT(ISNUMBER(SEARCH(",LAG-3,",","&amp;SUBSTITUTE('1L Screening Matrix'!$I$2:$I$77,", ",",")&amp;","))*('1L Screening Matrix'!$C$2:$C$77=$A12))+SUMPRODUCT(ISNUMBER(SEARCH(",LAG-3,",","&amp;SUBSTITUTE('2L Screening Matrix'!$I$2:$I$46,", ",",")&amp;","))*('2L Screening Matrix'!$C$2:$C$46=$A12))</f>
        <v>0</v>
      </c>
      <c r="AM12" s="14">
        <f t="shared" si="0"/>
        <v>2</v>
      </c>
    </row>
    <row r="13" spans="1:39" ht="15" customHeight="1" x14ac:dyDescent="0.2">
      <c r="A13" s="15" t="s">
        <v>1286</v>
      </c>
      <c r="B13" s="11">
        <f>SUMPRODUCT(ISNUMBER(SEARCH(",PD-1,",","&amp;SUBSTITUTE('1L Screening Matrix'!$I$2:$I$77,", ",",")&amp;","))*('1L Screening Matrix'!$C$2:$C$77=$A13))+SUMPRODUCT(ISNUMBER(SEARCH(",PD-1,",","&amp;SUBSTITUTE('2L Screening Matrix'!$I$2:$I$46,", ",",")&amp;","))*('2L Screening Matrix'!$C$2:$C$46=$A13))</f>
        <v>0</v>
      </c>
      <c r="C13" s="11">
        <f>SUMPRODUCT(ISNUMBER(SEARCH(",CD279,",","&amp;SUBSTITUTE('1L Screening Matrix'!$I$2:$I$77,", ",",")&amp;","))*('1L Screening Matrix'!$C$2:$C$77=$A13))+SUMPRODUCT(ISNUMBER(SEARCH(",CD279,",","&amp;SUBSTITUTE('2L Screening Matrix'!$I$2:$I$46,", ",",")&amp;","))*('2L Screening Matrix'!$C$2:$C$46=$A13))</f>
        <v>0</v>
      </c>
      <c r="D13" s="11">
        <f>SUMPRODUCT(ISNUMBER(SEARCH(",TS,",","&amp;SUBSTITUTE('1L Screening Matrix'!$I$2:$I$77,", ",",")&amp;","))*('1L Screening Matrix'!$C$2:$C$77=$A13))+SUMPRODUCT(ISNUMBER(SEARCH(",TS,",","&amp;SUBSTITUTE('2L Screening Matrix'!$I$2:$I$46,", ",",")&amp;","))*('2L Screening Matrix'!$C$2:$C$46=$A13))</f>
        <v>1</v>
      </c>
      <c r="E13" s="11">
        <f>SUMPRODUCT(ISNUMBER(SEARCH(",TYMS,",","&amp;SUBSTITUTE('1L Screening Matrix'!$I$2:$I$77,", ",",")&amp;","))*('1L Screening Matrix'!$C$2:$C$77=$A13))+SUMPRODUCT(ISNUMBER(SEARCH(",TYMS,",","&amp;SUBSTITUTE('2L Screening Matrix'!$I$2:$I$46,", ",",")&amp;","))*('2L Screening Matrix'!$C$2:$C$46=$A13))</f>
        <v>1</v>
      </c>
      <c r="F13" s="11">
        <f>SUMPRODUCT(ISNUMBER(SEARCH(",PD-L1,",","&amp;SUBSTITUTE('1L Screening Matrix'!$I$2:$I$77,", ",",")&amp;","))*('1L Screening Matrix'!$C$2:$C$77=$A13))+SUMPRODUCT(ISNUMBER(SEARCH(",PD-L1,",","&amp;SUBSTITUTE('2L Screening Matrix'!$I$2:$I$46,", ",",")&amp;","))*('2L Screening Matrix'!$C$2:$C$46=$A13))</f>
        <v>3</v>
      </c>
      <c r="G13" s="11">
        <f>SUMPRODUCT(ISNUMBER(SEARCH(",B7-H1,",","&amp;SUBSTITUTE('1L Screening Matrix'!$I$2:$I$77,", ",",")&amp;","))*('1L Screening Matrix'!$C$2:$C$77=$A13))+SUMPRODUCT(ISNUMBER(SEARCH(",B7-H1,",","&amp;SUBSTITUTE('2L Screening Matrix'!$I$2:$I$46,", ",",")&amp;","))*('2L Screening Matrix'!$C$2:$C$46=$A13))</f>
        <v>2</v>
      </c>
      <c r="H13" s="11">
        <f>SUMPRODUCT(ISNUMBER(SEARCH(",CD274,",","&amp;SUBSTITUTE('1L Screening Matrix'!$I$2:$I$77,", ",",")&amp;","))*('1L Screening Matrix'!$C$2:$C$77=$A13))+SUMPRODUCT(ISNUMBER(SEARCH(",CD274,",","&amp;SUBSTITUTE('2L Screening Matrix'!$I$2:$I$46,", ",",")&amp;","))*('2L Screening Matrix'!$C$2:$C$46=$A13))</f>
        <v>2</v>
      </c>
      <c r="I13" s="11">
        <f>SUMPRODUCT(ISNUMBER(SEARCH(",EGFR,",","&amp;SUBSTITUTE('1L Screening Matrix'!$I$2:$I$77,", ",",")&amp;","))*('1L Screening Matrix'!$C$2:$C$77=$A13))+SUMPRODUCT(ISNUMBER(SEARCH(",EGFR,",","&amp;SUBSTITUTE('2L Screening Matrix'!$I$2:$I$46,", ",",")&amp;","))*('2L Screening Matrix'!$C$2:$C$46=$A13))</f>
        <v>0</v>
      </c>
      <c r="J13" s="11">
        <f>SUMPRODUCT(ISNUMBER(SEARCH(",VEGF,",","&amp;SUBSTITUTE('1L Screening Matrix'!$I$2:$I$77,", ",",")&amp;","))*('1L Screening Matrix'!$C$2:$C$77=$A13))+SUMPRODUCT(ISNUMBER(SEARCH(",VEGF,",","&amp;SUBSTITUTE('2L Screening Matrix'!$I$2:$I$46,", ",",")&amp;","))*('2L Screening Matrix'!$C$2:$C$46=$A13))</f>
        <v>3</v>
      </c>
      <c r="K13" s="11">
        <f>SUMPRODUCT(ISNUMBER(SEARCH(",ERBB,",","&amp;SUBSTITUTE('1L Screening Matrix'!$I$2:$I$77,", ",",")&amp;","))*('1L Screening Matrix'!$C$2:$C$77=$A13))+SUMPRODUCT(ISNUMBER(SEARCH(",ERBB,",","&amp;SUBSTITUTE('2L Screening Matrix'!$I$2:$I$46,", ",",")&amp;","))*('2L Screening Matrix'!$C$2:$C$46=$A13))</f>
        <v>0</v>
      </c>
      <c r="L13" s="11">
        <f>SUMPRODUCT(ISNUMBER(SEARCH(",HER1,",","&amp;SUBSTITUTE('1L Screening Matrix'!$I$2:$I$77,", ",",")&amp;","))*('1L Screening Matrix'!$C$2:$C$77=$A13))+SUMPRODUCT(ISNUMBER(SEARCH(",HER1,",","&amp;SUBSTITUTE('2L Screening Matrix'!$I$2:$I$46,", ",",")&amp;","))*('2L Screening Matrix'!$C$2:$C$46=$A13))</f>
        <v>0</v>
      </c>
      <c r="M13" s="11">
        <f>SUMPRODUCT(ISNUMBER(SEARCH(",Microtubule,",","&amp;SUBSTITUTE('1L Screening Matrix'!$I$2:$I$77,", ",",")&amp;","))*('1L Screening Matrix'!$C$2:$C$77=$A13))+SUMPRODUCT(ISNUMBER(SEARCH(",Microtubule,",","&amp;SUBSTITUTE('2L Screening Matrix'!$I$2:$I$46,", ",",")&amp;","))*('2L Screening Matrix'!$C$2:$C$46=$A13))</f>
        <v>1</v>
      </c>
      <c r="N13" s="11">
        <f>SUMPRODUCT(ISNUMBER(SEARCH(",KRAS G12C,",","&amp;SUBSTITUTE('1L Screening Matrix'!$I$2:$I$77,", ",",")&amp;","))*('1L Screening Matrix'!$C$2:$C$77=$A13))+SUMPRODUCT(ISNUMBER(SEARCH(",KRAS G12C,",","&amp;SUBSTITUTE('2L Screening Matrix'!$I$2:$I$46,", ",",")&amp;","))*('2L Screening Matrix'!$C$2:$C$46=$A13))</f>
        <v>0</v>
      </c>
      <c r="O13" s="11">
        <f>SUMPRODUCT(ISNUMBER(SEARCH(",EGFR T790M,",","&amp;SUBSTITUTE('1L Screening Matrix'!$I$2:$I$77,", ",",")&amp;","))*('1L Screening Matrix'!$C$2:$C$77=$A13))+SUMPRODUCT(ISNUMBER(SEARCH(",EGFR T790M,",","&amp;SUBSTITUTE('2L Screening Matrix'!$I$2:$I$46,", ",",")&amp;","))*('2L Screening Matrix'!$C$2:$C$46=$A13))</f>
        <v>0</v>
      </c>
      <c r="P13" s="11">
        <f>SUMPRODUCT(ISNUMBER(SEARCH(",ALK,",","&amp;SUBSTITUTE('1L Screening Matrix'!$I$2:$I$77,", ",",")&amp;","))*('1L Screening Matrix'!$C$2:$C$77=$A13))+SUMPRODUCT(ISNUMBER(SEARCH(",ALK,",","&amp;SUBSTITUTE('2L Screening Matrix'!$I$2:$I$46,", ",",")&amp;","))*('2L Screening Matrix'!$C$2:$C$46=$A13))</f>
        <v>0</v>
      </c>
      <c r="Q13" s="11">
        <f>SUMPRODUCT(ISNUMBER(SEARCH(",TROP2,",","&amp;SUBSTITUTE('1L Screening Matrix'!$I$2:$I$77,", ",",")&amp;","))*('1L Screening Matrix'!$C$2:$C$77=$A13))+SUMPRODUCT(ISNUMBER(SEARCH(",TROP2,",","&amp;SUBSTITUTE('2L Screening Matrix'!$I$2:$I$46,", ",",")&amp;","))*('2L Screening Matrix'!$C$2:$C$46=$A13))</f>
        <v>0</v>
      </c>
      <c r="R13" s="11">
        <f>SUMPRODUCT(ISNUMBER(SEARCH(",c-MET/MET,",","&amp;SUBSTITUTE('1L Screening Matrix'!$I$2:$I$77,", ",",")&amp;","))*('1L Screening Matrix'!$C$2:$C$77=$A13))+SUMPRODUCT(ISNUMBER(SEARCH(",c-MET/MET,",","&amp;SUBSTITUTE('2L Screening Matrix'!$I$2:$I$46,", ",",")&amp;","))*('2L Screening Matrix'!$C$2:$C$46=$A13))</f>
        <v>0</v>
      </c>
      <c r="S13" s="11">
        <f>SUMPRODUCT(ISNUMBER(SEARCH(",HER2,",","&amp;SUBSTITUTE('1L Screening Matrix'!$I$2:$I$77,", ",",")&amp;","))*('1L Screening Matrix'!$C$2:$C$77=$A13))+SUMPRODUCT(ISNUMBER(SEARCH(",HER2,",","&amp;SUBSTITUTE('2L Screening Matrix'!$I$2:$I$46,", ",",")&amp;","))*('2L Screening Matrix'!$C$2:$C$46=$A13))</f>
        <v>0</v>
      </c>
      <c r="T13" s="11">
        <f>SUMPRODUCT(ISNUMBER(SEARCH(",ROS1,",","&amp;SUBSTITUTE('1L Screening Matrix'!$I$2:$I$77,", ",",")&amp;","))*('1L Screening Matrix'!$C$2:$C$77=$A13))+SUMPRODUCT(ISNUMBER(SEARCH(",ROS1,",","&amp;SUBSTITUTE('2L Screening Matrix'!$I$2:$I$46,", ",",")&amp;","))*('2L Screening Matrix'!$C$2:$C$46=$A13))</f>
        <v>0</v>
      </c>
      <c r="U13" s="11">
        <f>SUMPRODUCT(ISNUMBER(SEARCH(",TIGIT,",","&amp;SUBSTITUTE('1L Screening Matrix'!$I$2:$I$77,", ",",")&amp;","))*('1L Screening Matrix'!$C$2:$C$77=$A13))+SUMPRODUCT(ISNUMBER(SEARCH(",TIGIT,",","&amp;SUBSTITUTE('2L Screening Matrix'!$I$2:$I$46,", ",",")&amp;","))*('2L Screening Matrix'!$C$2:$C$46=$A13))</f>
        <v>0</v>
      </c>
      <c r="V13" s="11">
        <f>SUMPRODUCT(ISNUMBER(SEARCH(",EGFR L858R,",","&amp;SUBSTITUTE('1L Screening Matrix'!$I$2:$I$77,", ",",")&amp;","))*('1L Screening Matrix'!$C$2:$C$77=$A13))+SUMPRODUCT(ISNUMBER(SEARCH(",EGFR L858R,",","&amp;SUBSTITUTE('2L Screening Matrix'!$I$2:$I$46,", ",",")&amp;","))*('2L Screening Matrix'!$C$2:$C$46=$A13))</f>
        <v>0</v>
      </c>
      <c r="W13" s="11">
        <f>SUMPRODUCT(ISNUMBER(SEARCH(",ROS,",","&amp;SUBSTITUTE('1L Screening Matrix'!$I$2:$I$77,", ",",")&amp;","))*('1L Screening Matrix'!$C$2:$C$77=$A13))+SUMPRODUCT(ISNUMBER(SEARCH(",ROS,",","&amp;SUBSTITUTE('2L Screening Matrix'!$I$2:$I$46,", ",",")&amp;","))*('2L Screening Matrix'!$C$2:$C$46=$A13))</f>
        <v>0</v>
      </c>
      <c r="X13" s="11">
        <f>SUMPRODUCT(ISNUMBER(SEARCH(",IL-2,",","&amp;SUBSTITUTE('1L Screening Matrix'!$I$2:$I$77,", ",",")&amp;","))*('1L Screening Matrix'!$C$2:$C$77=$A13))+SUMPRODUCT(ISNUMBER(SEARCH(",IL-2,",","&amp;SUBSTITUTE('2L Screening Matrix'!$I$2:$I$46,", ",",")&amp;","))*('2L Screening Matrix'!$C$2:$C$46=$A13))</f>
        <v>0</v>
      </c>
      <c r="Y13" s="11">
        <f>SUMPRODUCT(ISNUMBER(SEARCH(",TCGF,",","&amp;SUBSTITUTE('1L Screening Matrix'!$I$2:$I$77,", ",",")&amp;","))*('1L Screening Matrix'!$C$2:$C$77=$A13))+SUMPRODUCT(ISNUMBER(SEARCH(",TCGF,",","&amp;SUBSTITUTE('2L Screening Matrix'!$I$2:$I$46,", ",",")&amp;","))*('2L Screening Matrix'!$C$2:$C$46=$A13))</f>
        <v>0</v>
      </c>
      <c r="Z13" s="11">
        <f>SUMPRODUCT(ISNUMBER(SEARCH(",CTLA-4,",","&amp;SUBSTITUTE('1L Screening Matrix'!$I$2:$I$77,", ",",")&amp;","))*('1L Screening Matrix'!$C$2:$C$77=$A13))+SUMPRODUCT(ISNUMBER(SEARCH(",CTLA-4,",","&amp;SUBSTITUTE('2L Screening Matrix'!$I$2:$I$46,", ",",")&amp;","))*('2L Screening Matrix'!$C$2:$C$46=$A13))</f>
        <v>1</v>
      </c>
      <c r="AA13" s="11">
        <f>SUMPRODUCT(ISNUMBER(SEARCH(",EGFR Exon 20,",","&amp;SUBSTITUTE('1L Screening Matrix'!$I$2:$I$77,", ",",")&amp;","))*('1L Screening Matrix'!$C$2:$C$77=$A13))+SUMPRODUCT(ISNUMBER(SEARCH(",EGFR Exon 20,",","&amp;SUBSTITUTE('2L Screening Matrix'!$I$2:$I$46,", ",",")&amp;","))*('2L Screening Matrix'!$C$2:$C$46=$A13))</f>
        <v>0</v>
      </c>
      <c r="AB13" s="11">
        <f>SUMPRODUCT(ISNUMBER(SEARCH(",HER2 Exon 20,",","&amp;SUBSTITUTE('1L Screening Matrix'!$I$2:$I$77,", ",",")&amp;","))*('1L Screening Matrix'!$C$2:$C$77=$A13))+SUMPRODUCT(ISNUMBER(SEARCH(",HER2 Exon 20,",","&amp;SUBSTITUTE('2L Screening Matrix'!$I$2:$I$46,", ",",")&amp;","))*('2L Screening Matrix'!$C$2:$C$46=$A13))</f>
        <v>0</v>
      </c>
      <c r="AC13" s="11">
        <f>SUMPRODUCT(ISNUMBER(SEARCH(",IL-15,",","&amp;SUBSTITUTE('1L Screening Matrix'!$I$2:$I$77,", ",",")&amp;","))*('1L Screening Matrix'!$C$2:$C$77=$A13))+SUMPRODUCT(ISNUMBER(SEARCH(",IL-15,",","&amp;SUBSTITUTE('2L Screening Matrix'!$I$2:$I$46,", ",",")&amp;","))*('2L Screening Matrix'!$C$2:$C$46=$A13))</f>
        <v>0</v>
      </c>
      <c r="AD13" s="11">
        <f>SUMPRODUCT(ISNUMBER(SEARCH(",IL-15R,",","&amp;SUBSTITUTE('1L Screening Matrix'!$I$2:$I$77,", ",",")&amp;","))*('1L Screening Matrix'!$C$2:$C$77=$A13))+SUMPRODUCT(ISNUMBER(SEARCH(",IL-15R,",","&amp;SUBSTITUTE('2L Screening Matrix'!$I$2:$I$46,", ",",")&amp;","))*('2L Screening Matrix'!$C$2:$C$46=$A13))</f>
        <v>0</v>
      </c>
      <c r="AE13" s="11">
        <f>SUMPRODUCT(ISNUMBER(SEARCH(",KRAS G12D,",","&amp;SUBSTITUTE('1L Screening Matrix'!$I$2:$I$77,", ",",")&amp;","))*('1L Screening Matrix'!$C$2:$C$77=$A13))+SUMPRODUCT(ISNUMBER(SEARCH(",KRAS G12D,",","&amp;SUBSTITUTE('2L Screening Matrix'!$I$2:$I$46,", ",",")&amp;","))*('2L Screening Matrix'!$C$2:$C$46=$A13))</f>
        <v>0</v>
      </c>
      <c r="AF13" s="11">
        <f>SUMPRODUCT(ISNUMBER(SEARCH(",HER4,",","&amp;SUBSTITUTE('1L Screening Matrix'!$I$2:$I$77,", ",",")&amp;","))*('1L Screening Matrix'!$C$2:$C$77=$A13))+SUMPRODUCT(ISNUMBER(SEARCH(",HER4,",","&amp;SUBSTITUTE('2L Screening Matrix'!$I$2:$I$46,", ",",")&amp;","))*('2L Screening Matrix'!$C$2:$C$46=$A13))</f>
        <v>0</v>
      </c>
      <c r="AG13" s="11">
        <f>SUMPRODUCT(ISNUMBER(SEARCH(",ALK L1196M,",","&amp;SUBSTITUTE('1L Screening Matrix'!$I$2:$I$77,", ",",")&amp;","))*('1L Screening Matrix'!$C$2:$C$77=$A13))+SUMPRODUCT(ISNUMBER(SEARCH(",ALK L1196M,",","&amp;SUBSTITUTE('2L Screening Matrix'!$I$2:$I$46,", ",",")&amp;","))*('2L Screening Matrix'!$C$2:$C$46=$A13))</f>
        <v>0</v>
      </c>
      <c r="AH13" s="11">
        <f>SUMPRODUCT(ISNUMBER(SEARCH(",CD152,",","&amp;SUBSTITUTE('1L Screening Matrix'!$I$2:$I$77,", ",",")&amp;","))*('1L Screening Matrix'!$C$2:$C$77=$A13))+SUMPRODUCT(ISNUMBER(SEARCH(",CD152,",","&amp;SUBSTITUTE('2L Screening Matrix'!$I$2:$I$46,", ",",")&amp;","))*('2L Screening Matrix'!$C$2:$C$46=$A13))</f>
        <v>1</v>
      </c>
      <c r="AI13" s="11">
        <f>SUMPRODUCT(ISNUMBER(SEARCH(",MLN19,",","&amp;SUBSTITUTE('1L Screening Matrix'!$I$2:$I$77,", ",",")&amp;","))*('1L Screening Matrix'!$C$2:$C$77=$A13))+SUMPRODUCT(ISNUMBER(SEARCH(",MLN19,",","&amp;SUBSTITUTE('2L Screening Matrix'!$I$2:$I$46,", ",",")&amp;","))*('2L Screening Matrix'!$C$2:$C$46=$A13))</f>
        <v>0</v>
      </c>
      <c r="AJ13" s="11">
        <f>SUMPRODUCT(ISNUMBER(SEARCH(",NTRK,",","&amp;SUBSTITUTE('1L Screening Matrix'!$I$2:$I$77,", ",",")&amp;","))*('1L Screening Matrix'!$C$2:$C$77=$A13))+SUMPRODUCT(ISNUMBER(SEARCH(",NTRK,",","&amp;SUBSTITUTE('2L Screening Matrix'!$I$2:$I$46,", ",",")&amp;","))*('2L Screening Matrix'!$C$2:$C$46=$A13))</f>
        <v>0</v>
      </c>
      <c r="AK13" s="11">
        <f>SUMPRODUCT(ISNUMBER(SEARCH(",Integrin β6,",","&amp;SUBSTITUTE('1L Screening Matrix'!$I$2:$I$77,", ",",")&amp;","))*('1L Screening Matrix'!$C$2:$C$77=$A13))+SUMPRODUCT(ISNUMBER(SEARCH(",Integrin β6,",","&amp;SUBSTITUTE('2L Screening Matrix'!$I$2:$I$46,", ",",")&amp;","))*('2L Screening Matrix'!$C$2:$C$46=$A13))</f>
        <v>0</v>
      </c>
      <c r="AL13" s="11">
        <f>SUMPRODUCT(ISNUMBER(SEARCH(",LAG-3,",","&amp;SUBSTITUTE('1L Screening Matrix'!$I$2:$I$77,", ",",")&amp;","))*('1L Screening Matrix'!$C$2:$C$77=$A13))+SUMPRODUCT(ISNUMBER(SEARCH(",LAG-3,",","&amp;SUBSTITUTE('2L Screening Matrix'!$I$2:$I$46,", ",",")&amp;","))*('2L Screening Matrix'!$C$2:$C$46=$A13))</f>
        <v>0</v>
      </c>
      <c r="AM13" s="14">
        <f t="shared" si="0"/>
        <v>15</v>
      </c>
    </row>
    <row r="14" spans="1:39" ht="15" customHeight="1" x14ac:dyDescent="0.2">
      <c r="A14" s="12" t="s">
        <v>617</v>
      </c>
      <c r="B14" s="11">
        <f>SUMPRODUCT(ISNUMBER(SEARCH(",PD-1,",","&amp;SUBSTITUTE('1L Screening Matrix'!$I$2:$I$77,", ",",")&amp;","))*('1L Screening Matrix'!$C$2:$C$77=$A14))+SUMPRODUCT(ISNUMBER(SEARCH(",PD-1,",","&amp;SUBSTITUTE('2L Screening Matrix'!$I$2:$I$46,", ",",")&amp;","))*('2L Screening Matrix'!$C$2:$C$46=$A14))</f>
        <v>0</v>
      </c>
      <c r="C14" s="11">
        <f>SUMPRODUCT(ISNUMBER(SEARCH(",CD279,",","&amp;SUBSTITUTE('1L Screening Matrix'!$I$2:$I$77,", ",",")&amp;","))*('1L Screening Matrix'!$C$2:$C$77=$A14))+SUMPRODUCT(ISNUMBER(SEARCH(",CD279,",","&amp;SUBSTITUTE('2L Screening Matrix'!$I$2:$I$46,", ",",")&amp;","))*('2L Screening Matrix'!$C$2:$C$46=$A14))</f>
        <v>0</v>
      </c>
      <c r="D14" s="11">
        <f>SUMPRODUCT(ISNUMBER(SEARCH(",TS,",","&amp;SUBSTITUTE('1L Screening Matrix'!$I$2:$I$77,", ",",")&amp;","))*('1L Screening Matrix'!$C$2:$C$77=$A14))+SUMPRODUCT(ISNUMBER(SEARCH(",TS,",","&amp;SUBSTITUTE('2L Screening Matrix'!$I$2:$I$46,", ",",")&amp;","))*('2L Screening Matrix'!$C$2:$C$46=$A14))</f>
        <v>0</v>
      </c>
      <c r="E14" s="11">
        <f>SUMPRODUCT(ISNUMBER(SEARCH(",TYMS,",","&amp;SUBSTITUTE('1L Screening Matrix'!$I$2:$I$77,", ",",")&amp;","))*('1L Screening Matrix'!$C$2:$C$77=$A14))+SUMPRODUCT(ISNUMBER(SEARCH(",TYMS,",","&amp;SUBSTITUTE('2L Screening Matrix'!$I$2:$I$46,", ",",")&amp;","))*('2L Screening Matrix'!$C$2:$C$46=$A14))</f>
        <v>0</v>
      </c>
      <c r="F14" s="11">
        <f>SUMPRODUCT(ISNUMBER(SEARCH(",PD-L1,",","&amp;SUBSTITUTE('1L Screening Matrix'!$I$2:$I$77,", ",",")&amp;","))*('1L Screening Matrix'!$C$2:$C$77=$A14))+SUMPRODUCT(ISNUMBER(SEARCH(",PD-L1,",","&amp;SUBSTITUTE('2L Screening Matrix'!$I$2:$I$46,", ",",")&amp;","))*('2L Screening Matrix'!$C$2:$C$46=$A14))</f>
        <v>0</v>
      </c>
      <c r="G14" s="11">
        <f>SUMPRODUCT(ISNUMBER(SEARCH(",B7-H1,",","&amp;SUBSTITUTE('1L Screening Matrix'!$I$2:$I$77,", ",",")&amp;","))*('1L Screening Matrix'!$C$2:$C$77=$A14))+SUMPRODUCT(ISNUMBER(SEARCH(",B7-H1,",","&amp;SUBSTITUTE('2L Screening Matrix'!$I$2:$I$46,", ",",")&amp;","))*('2L Screening Matrix'!$C$2:$C$46=$A14))</f>
        <v>0</v>
      </c>
      <c r="H14" s="11">
        <f>SUMPRODUCT(ISNUMBER(SEARCH(",CD274,",","&amp;SUBSTITUTE('1L Screening Matrix'!$I$2:$I$77,", ",",")&amp;","))*('1L Screening Matrix'!$C$2:$C$77=$A14))+SUMPRODUCT(ISNUMBER(SEARCH(",CD274,",","&amp;SUBSTITUTE('2L Screening Matrix'!$I$2:$I$46,", ",",")&amp;","))*('2L Screening Matrix'!$C$2:$C$46=$A14))</f>
        <v>0</v>
      </c>
      <c r="I14" s="11">
        <f>SUMPRODUCT(ISNUMBER(SEARCH(",EGFR,",","&amp;SUBSTITUTE('1L Screening Matrix'!$I$2:$I$77,", ",",")&amp;","))*('1L Screening Matrix'!$C$2:$C$77=$A14))+SUMPRODUCT(ISNUMBER(SEARCH(",EGFR,",","&amp;SUBSTITUTE('2L Screening Matrix'!$I$2:$I$46,", ",",")&amp;","))*('2L Screening Matrix'!$C$2:$C$46=$A14))</f>
        <v>0</v>
      </c>
      <c r="J14" s="11">
        <f>SUMPRODUCT(ISNUMBER(SEARCH(",VEGF,",","&amp;SUBSTITUTE('1L Screening Matrix'!$I$2:$I$77,", ",",")&amp;","))*('1L Screening Matrix'!$C$2:$C$77=$A14))+SUMPRODUCT(ISNUMBER(SEARCH(",VEGF,",","&amp;SUBSTITUTE('2L Screening Matrix'!$I$2:$I$46,", ",",")&amp;","))*('2L Screening Matrix'!$C$2:$C$46=$A14))</f>
        <v>1</v>
      </c>
      <c r="K14" s="11">
        <f>SUMPRODUCT(ISNUMBER(SEARCH(",ERBB,",","&amp;SUBSTITUTE('1L Screening Matrix'!$I$2:$I$77,", ",",")&amp;","))*('1L Screening Matrix'!$C$2:$C$77=$A14))+SUMPRODUCT(ISNUMBER(SEARCH(",ERBB,",","&amp;SUBSTITUTE('2L Screening Matrix'!$I$2:$I$46,", ",",")&amp;","))*('2L Screening Matrix'!$C$2:$C$46=$A14))</f>
        <v>0</v>
      </c>
      <c r="L14" s="11">
        <f>SUMPRODUCT(ISNUMBER(SEARCH(",HER1,",","&amp;SUBSTITUTE('1L Screening Matrix'!$I$2:$I$77,", ",",")&amp;","))*('1L Screening Matrix'!$C$2:$C$77=$A14))+SUMPRODUCT(ISNUMBER(SEARCH(",HER1,",","&amp;SUBSTITUTE('2L Screening Matrix'!$I$2:$I$46,", ",",")&amp;","))*('2L Screening Matrix'!$C$2:$C$46=$A14))</f>
        <v>0</v>
      </c>
      <c r="M14" s="11">
        <f>SUMPRODUCT(ISNUMBER(SEARCH(",Microtubule,",","&amp;SUBSTITUTE('1L Screening Matrix'!$I$2:$I$77,", ",",")&amp;","))*('1L Screening Matrix'!$C$2:$C$77=$A14))+SUMPRODUCT(ISNUMBER(SEARCH(",Microtubule,",","&amp;SUBSTITUTE('2L Screening Matrix'!$I$2:$I$46,", ",",")&amp;","))*('2L Screening Matrix'!$C$2:$C$46=$A14))</f>
        <v>1</v>
      </c>
      <c r="N14" s="11">
        <f>SUMPRODUCT(ISNUMBER(SEARCH(",KRAS G12C,",","&amp;SUBSTITUTE('1L Screening Matrix'!$I$2:$I$77,", ",",")&amp;","))*('1L Screening Matrix'!$C$2:$C$77=$A14))+SUMPRODUCT(ISNUMBER(SEARCH(",KRAS G12C,",","&amp;SUBSTITUTE('2L Screening Matrix'!$I$2:$I$46,", ",",")&amp;","))*('2L Screening Matrix'!$C$2:$C$46=$A14))</f>
        <v>0</v>
      </c>
      <c r="O14" s="11">
        <f>SUMPRODUCT(ISNUMBER(SEARCH(",EGFR T790M,",","&amp;SUBSTITUTE('1L Screening Matrix'!$I$2:$I$77,", ",",")&amp;","))*('1L Screening Matrix'!$C$2:$C$77=$A14))+SUMPRODUCT(ISNUMBER(SEARCH(",EGFR T790M,",","&amp;SUBSTITUTE('2L Screening Matrix'!$I$2:$I$46,", ",",")&amp;","))*('2L Screening Matrix'!$C$2:$C$46=$A14))</f>
        <v>0</v>
      </c>
      <c r="P14" s="11">
        <f>SUMPRODUCT(ISNUMBER(SEARCH(",ALK,",","&amp;SUBSTITUTE('1L Screening Matrix'!$I$2:$I$77,", ",",")&amp;","))*('1L Screening Matrix'!$C$2:$C$77=$A14))+SUMPRODUCT(ISNUMBER(SEARCH(",ALK,",","&amp;SUBSTITUTE('2L Screening Matrix'!$I$2:$I$46,", ",",")&amp;","))*('2L Screening Matrix'!$C$2:$C$46=$A14))</f>
        <v>0</v>
      </c>
      <c r="Q14" s="11">
        <f>SUMPRODUCT(ISNUMBER(SEARCH(",TROP2,",","&amp;SUBSTITUTE('1L Screening Matrix'!$I$2:$I$77,", ",",")&amp;","))*('1L Screening Matrix'!$C$2:$C$77=$A14))+SUMPRODUCT(ISNUMBER(SEARCH(",TROP2,",","&amp;SUBSTITUTE('2L Screening Matrix'!$I$2:$I$46,", ",",")&amp;","))*('2L Screening Matrix'!$C$2:$C$46=$A14))</f>
        <v>0</v>
      </c>
      <c r="R14" s="11">
        <f>SUMPRODUCT(ISNUMBER(SEARCH(",c-MET/MET,",","&amp;SUBSTITUTE('1L Screening Matrix'!$I$2:$I$77,", ",",")&amp;","))*('1L Screening Matrix'!$C$2:$C$77=$A14))+SUMPRODUCT(ISNUMBER(SEARCH(",c-MET/MET,",","&amp;SUBSTITUTE('2L Screening Matrix'!$I$2:$I$46,", ",",")&amp;","))*('2L Screening Matrix'!$C$2:$C$46=$A14))</f>
        <v>0</v>
      </c>
      <c r="S14" s="11">
        <f>SUMPRODUCT(ISNUMBER(SEARCH(",HER2,",","&amp;SUBSTITUTE('1L Screening Matrix'!$I$2:$I$77,", ",",")&amp;","))*('1L Screening Matrix'!$C$2:$C$77=$A14))+SUMPRODUCT(ISNUMBER(SEARCH(",HER2,",","&amp;SUBSTITUTE('2L Screening Matrix'!$I$2:$I$46,", ",",")&amp;","))*('2L Screening Matrix'!$C$2:$C$46=$A14))</f>
        <v>0</v>
      </c>
      <c r="T14" s="11">
        <f>SUMPRODUCT(ISNUMBER(SEARCH(",ROS1,",","&amp;SUBSTITUTE('1L Screening Matrix'!$I$2:$I$77,", ",",")&amp;","))*('1L Screening Matrix'!$C$2:$C$77=$A14))+SUMPRODUCT(ISNUMBER(SEARCH(",ROS1,",","&amp;SUBSTITUTE('2L Screening Matrix'!$I$2:$I$46,", ",",")&amp;","))*('2L Screening Matrix'!$C$2:$C$46=$A14))</f>
        <v>0</v>
      </c>
      <c r="U14" s="11">
        <f>SUMPRODUCT(ISNUMBER(SEARCH(",TIGIT,",","&amp;SUBSTITUTE('1L Screening Matrix'!$I$2:$I$77,", ",",")&amp;","))*('1L Screening Matrix'!$C$2:$C$77=$A14))+SUMPRODUCT(ISNUMBER(SEARCH(",TIGIT,",","&amp;SUBSTITUTE('2L Screening Matrix'!$I$2:$I$46,", ",",")&amp;","))*('2L Screening Matrix'!$C$2:$C$46=$A14))</f>
        <v>0</v>
      </c>
      <c r="V14" s="11">
        <f>SUMPRODUCT(ISNUMBER(SEARCH(",EGFR L858R,",","&amp;SUBSTITUTE('1L Screening Matrix'!$I$2:$I$77,", ",",")&amp;","))*('1L Screening Matrix'!$C$2:$C$77=$A14))+SUMPRODUCT(ISNUMBER(SEARCH(",EGFR L858R,",","&amp;SUBSTITUTE('2L Screening Matrix'!$I$2:$I$46,", ",",")&amp;","))*('2L Screening Matrix'!$C$2:$C$46=$A14))</f>
        <v>0</v>
      </c>
      <c r="W14" s="11">
        <f>SUMPRODUCT(ISNUMBER(SEARCH(",ROS,",","&amp;SUBSTITUTE('1L Screening Matrix'!$I$2:$I$77,", ",",")&amp;","))*('1L Screening Matrix'!$C$2:$C$77=$A14))+SUMPRODUCT(ISNUMBER(SEARCH(",ROS,",","&amp;SUBSTITUTE('2L Screening Matrix'!$I$2:$I$46,", ",",")&amp;","))*('2L Screening Matrix'!$C$2:$C$46=$A14))</f>
        <v>0</v>
      </c>
      <c r="X14" s="11">
        <f>SUMPRODUCT(ISNUMBER(SEARCH(",IL-2,",","&amp;SUBSTITUTE('1L Screening Matrix'!$I$2:$I$77,", ",",")&amp;","))*('1L Screening Matrix'!$C$2:$C$77=$A14))+SUMPRODUCT(ISNUMBER(SEARCH(",IL-2,",","&amp;SUBSTITUTE('2L Screening Matrix'!$I$2:$I$46,", ",",")&amp;","))*('2L Screening Matrix'!$C$2:$C$46=$A14))</f>
        <v>0</v>
      </c>
      <c r="Y14" s="11">
        <f>SUMPRODUCT(ISNUMBER(SEARCH(",TCGF,",","&amp;SUBSTITUTE('1L Screening Matrix'!$I$2:$I$77,", ",",")&amp;","))*('1L Screening Matrix'!$C$2:$C$77=$A14))+SUMPRODUCT(ISNUMBER(SEARCH(",TCGF,",","&amp;SUBSTITUTE('2L Screening Matrix'!$I$2:$I$46,", ",",")&amp;","))*('2L Screening Matrix'!$C$2:$C$46=$A14))</f>
        <v>0</v>
      </c>
      <c r="Z14" s="11">
        <f>SUMPRODUCT(ISNUMBER(SEARCH(",CTLA-4,",","&amp;SUBSTITUTE('1L Screening Matrix'!$I$2:$I$77,", ",",")&amp;","))*('1L Screening Matrix'!$C$2:$C$77=$A14))+SUMPRODUCT(ISNUMBER(SEARCH(",CTLA-4,",","&amp;SUBSTITUTE('2L Screening Matrix'!$I$2:$I$46,", ",",")&amp;","))*('2L Screening Matrix'!$C$2:$C$46=$A14))</f>
        <v>0</v>
      </c>
      <c r="AA14" s="11">
        <f>SUMPRODUCT(ISNUMBER(SEARCH(",EGFR Exon 20,",","&amp;SUBSTITUTE('1L Screening Matrix'!$I$2:$I$77,", ",",")&amp;","))*('1L Screening Matrix'!$C$2:$C$77=$A14))+SUMPRODUCT(ISNUMBER(SEARCH(",EGFR Exon 20,",","&amp;SUBSTITUTE('2L Screening Matrix'!$I$2:$I$46,", ",",")&amp;","))*('2L Screening Matrix'!$C$2:$C$46=$A14))</f>
        <v>0</v>
      </c>
      <c r="AB14" s="11">
        <f>SUMPRODUCT(ISNUMBER(SEARCH(",HER2 Exon 20,",","&amp;SUBSTITUTE('1L Screening Matrix'!$I$2:$I$77,", ",",")&amp;","))*('1L Screening Matrix'!$C$2:$C$77=$A14))+SUMPRODUCT(ISNUMBER(SEARCH(",HER2 Exon 20,",","&amp;SUBSTITUTE('2L Screening Matrix'!$I$2:$I$46,", ",",")&amp;","))*('2L Screening Matrix'!$C$2:$C$46=$A14))</f>
        <v>0</v>
      </c>
      <c r="AC14" s="11">
        <f>SUMPRODUCT(ISNUMBER(SEARCH(",IL-15,",","&amp;SUBSTITUTE('1L Screening Matrix'!$I$2:$I$77,", ",",")&amp;","))*('1L Screening Matrix'!$C$2:$C$77=$A14))+SUMPRODUCT(ISNUMBER(SEARCH(",IL-15,",","&amp;SUBSTITUTE('2L Screening Matrix'!$I$2:$I$46,", ",",")&amp;","))*('2L Screening Matrix'!$C$2:$C$46=$A14))</f>
        <v>0</v>
      </c>
      <c r="AD14" s="11">
        <f>SUMPRODUCT(ISNUMBER(SEARCH(",IL-15R,",","&amp;SUBSTITUTE('1L Screening Matrix'!$I$2:$I$77,", ",",")&amp;","))*('1L Screening Matrix'!$C$2:$C$77=$A14))+SUMPRODUCT(ISNUMBER(SEARCH(",IL-15R,",","&amp;SUBSTITUTE('2L Screening Matrix'!$I$2:$I$46,", ",",")&amp;","))*('2L Screening Matrix'!$C$2:$C$46=$A14))</f>
        <v>0</v>
      </c>
      <c r="AE14" s="11">
        <f>SUMPRODUCT(ISNUMBER(SEARCH(",KRAS G12D,",","&amp;SUBSTITUTE('1L Screening Matrix'!$I$2:$I$77,", ",",")&amp;","))*('1L Screening Matrix'!$C$2:$C$77=$A14))+SUMPRODUCT(ISNUMBER(SEARCH(",KRAS G12D,",","&amp;SUBSTITUTE('2L Screening Matrix'!$I$2:$I$46,", ",",")&amp;","))*('2L Screening Matrix'!$C$2:$C$46=$A14))</f>
        <v>0</v>
      </c>
      <c r="AF14" s="11">
        <f>SUMPRODUCT(ISNUMBER(SEARCH(",HER4,",","&amp;SUBSTITUTE('1L Screening Matrix'!$I$2:$I$77,", ",",")&amp;","))*('1L Screening Matrix'!$C$2:$C$77=$A14))+SUMPRODUCT(ISNUMBER(SEARCH(",HER4,",","&amp;SUBSTITUTE('2L Screening Matrix'!$I$2:$I$46,", ",",")&amp;","))*('2L Screening Matrix'!$C$2:$C$46=$A14))</f>
        <v>0</v>
      </c>
      <c r="AG14" s="11">
        <f>SUMPRODUCT(ISNUMBER(SEARCH(",ALK L1196M,",","&amp;SUBSTITUTE('1L Screening Matrix'!$I$2:$I$77,", ",",")&amp;","))*('1L Screening Matrix'!$C$2:$C$77=$A14))+SUMPRODUCT(ISNUMBER(SEARCH(",ALK L1196M,",","&amp;SUBSTITUTE('2L Screening Matrix'!$I$2:$I$46,", ",",")&amp;","))*('2L Screening Matrix'!$C$2:$C$46=$A14))</f>
        <v>0</v>
      </c>
      <c r="AH14" s="11">
        <f>SUMPRODUCT(ISNUMBER(SEARCH(",CD152,",","&amp;SUBSTITUTE('1L Screening Matrix'!$I$2:$I$77,", ",",")&amp;","))*('1L Screening Matrix'!$C$2:$C$77=$A14))+SUMPRODUCT(ISNUMBER(SEARCH(",CD152,",","&amp;SUBSTITUTE('2L Screening Matrix'!$I$2:$I$46,", ",",")&amp;","))*('2L Screening Matrix'!$C$2:$C$46=$A14))</f>
        <v>0</v>
      </c>
      <c r="AI14" s="11">
        <f>SUMPRODUCT(ISNUMBER(SEARCH(",MLN19,",","&amp;SUBSTITUTE('1L Screening Matrix'!$I$2:$I$77,", ",",")&amp;","))*('1L Screening Matrix'!$C$2:$C$77=$A14))+SUMPRODUCT(ISNUMBER(SEARCH(",MLN19,",","&amp;SUBSTITUTE('2L Screening Matrix'!$I$2:$I$46,", ",",")&amp;","))*('2L Screening Matrix'!$C$2:$C$46=$A14))</f>
        <v>0</v>
      </c>
      <c r="AJ14" s="11">
        <f>SUMPRODUCT(ISNUMBER(SEARCH(",NTRK,",","&amp;SUBSTITUTE('1L Screening Matrix'!$I$2:$I$77,", ",",")&amp;","))*('1L Screening Matrix'!$C$2:$C$77=$A14))+SUMPRODUCT(ISNUMBER(SEARCH(",NTRK,",","&amp;SUBSTITUTE('2L Screening Matrix'!$I$2:$I$46,", ",",")&amp;","))*('2L Screening Matrix'!$C$2:$C$46=$A14))</f>
        <v>0</v>
      </c>
      <c r="AK14" s="11">
        <f>SUMPRODUCT(ISNUMBER(SEARCH(",Integrin β6,",","&amp;SUBSTITUTE('1L Screening Matrix'!$I$2:$I$77,", ",",")&amp;","))*('1L Screening Matrix'!$C$2:$C$77=$A14))+SUMPRODUCT(ISNUMBER(SEARCH(",Integrin β6,",","&amp;SUBSTITUTE('2L Screening Matrix'!$I$2:$I$46,", ",",")&amp;","))*('2L Screening Matrix'!$C$2:$C$46=$A14))</f>
        <v>0</v>
      </c>
      <c r="AL14" s="11">
        <f>SUMPRODUCT(ISNUMBER(SEARCH(",LAG-3,",","&amp;SUBSTITUTE('1L Screening Matrix'!$I$2:$I$77,", ",",")&amp;","))*('1L Screening Matrix'!$C$2:$C$77=$A14))+SUMPRODUCT(ISNUMBER(SEARCH(",LAG-3,",","&amp;SUBSTITUTE('2L Screening Matrix'!$I$2:$I$46,", ",",")&amp;","))*('2L Screening Matrix'!$C$2:$C$46=$A14))</f>
        <v>0</v>
      </c>
      <c r="AM14" s="14">
        <f t="shared" si="0"/>
        <v>2</v>
      </c>
    </row>
    <row r="15" spans="1:39" ht="15" customHeight="1" x14ac:dyDescent="0.2">
      <c r="A15" s="15" t="s">
        <v>1309</v>
      </c>
      <c r="B15" s="11">
        <f>SUMPRODUCT(ISNUMBER(SEARCH(",PD-1,",","&amp;SUBSTITUTE('1L Screening Matrix'!$I$2:$I$77,", ",",")&amp;","))*('1L Screening Matrix'!$C$2:$C$77=$A15))+SUMPRODUCT(ISNUMBER(SEARCH(",PD-1,",","&amp;SUBSTITUTE('2L Screening Matrix'!$I$2:$I$46,", ",",")&amp;","))*('2L Screening Matrix'!$C$2:$C$46=$A15))</f>
        <v>0</v>
      </c>
      <c r="C15" s="11">
        <f>SUMPRODUCT(ISNUMBER(SEARCH(",CD279,",","&amp;SUBSTITUTE('1L Screening Matrix'!$I$2:$I$77,", ",",")&amp;","))*('1L Screening Matrix'!$C$2:$C$77=$A15))+SUMPRODUCT(ISNUMBER(SEARCH(",CD279,",","&amp;SUBSTITUTE('2L Screening Matrix'!$I$2:$I$46,", ",",")&amp;","))*('2L Screening Matrix'!$C$2:$C$46=$A15))</f>
        <v>0</v>
      </c>
      <c r="D15" s="11">
        <f>SUMPRODUCT(ISNUMBER(SEARCH(",TS,",","&amp;SUBSTITUTE('1L Screening Matrix'!$I$2:$I$77,", ",",")&amp;","))*('1L Screening Matrix'!$C$2:$C$77=$A15))+SUMPRODUCT(ISNUMBER(SEARCH(",TS,",","&amp;SUBSTITUTE('2L Screening Matrix'!$I$2:$I$46,", ",",")&amp;","))*('2L Screening Matrix'!$C$2:$C$46=$A15))</f>
        <v>0</v>
      </c>
      <c r="E15" s="11">
        <f>SUMPRODUCT(ISNUMBER(SEARCH(",TYMS,",","&amp;SUBSTITUTE('1L Screening Matrix'!$I$2:$I$77,", ",",")&amp;","))*('1L Screening Matrix'!$C$2:$C$77=$A15))+SUMPRODUCT(ISNUMBER(SEARCH(",TYMS,",","&amp;SUBSTITUTE('2L Screening Matrix'!$I$2:$I$46,", ",",")&amp;","))*('2L Screening Matrix'!$C$2:$C$46=$A15))</f>
        <v>0</v>
      </c>
      <c r="F15" s="11">
        <f>SUMPRODUCT(ISNUMBER(SEARCH(",PD-L1,",","&amp;SUBSTITUTE('1L Screening Matrix'!$I$2:$I$77,", ",",")&amp;","))*('1L Screening Matrix'!$C$2:$C$77=$A15))+SUMPRODUCT(ISNUMBER(SEARCH(",PD-L1,",","&amp;SUBSTITUTE('2L Screening Matrix'!$I$2:$I$46,", ",",")&amp;","))*('2L Screening Matrix'!$C$2:$C$46=$A15))</f>
        <v>0</v>
      </c>
      <c r="G15" s="11">
        <f>SUMPRODUCT(ISNUMBER(SEARCH(",B7-H1,",","&amp;SUBSTITUTE('1L Screening Matrix'!$I$2:$I$77,", ",",")&amp;","))*('1L Screening Matrix'!$C$2:$C$77=$A15))+SUMPRODUCT(ISNUMBER(SEARCH(",B7-H1,",","&amp;SUBSTITUTE('2L Screening Matrix'!$I$2:$I$46,", ",",")&amp;","))*('2L Screening Matrix'!$C$2:$C$46=$A15))</f>
        <v>0</v>
      </c>
      <c r="H15" s="11">
        <f>SUMPRODUCT(ISNUMBER(SEARCH(",CD274,",","&amp;SUBSTITUTE('1L Screening Matrix'!$I$2:$I$77,", ",",")&amp;","))*('1L Screening Matrix'!$C$2:$C$77=$A15))+SUMPRODUCT(ISNUMBER(SEARCH(",CD274,",","&amp;SUBSTITUTE('2L Screening Matrix'!$I$2:$I$46,", ",",")&amp;","))*('2L Screening Matrix'!$C$2:$C$46=$A15))</f>
        <v>0</v>
      </c>
      <c r="I15" s="11">
        <f>SUMPRODUCT(ISNUMBER(SEARCH(",EGFR,",","&amp;SUBSTITUTE('1L Screening Matrix'!$I$2:$I$77,", ",",")&amp;","))*('1L Screening Matrix'!$C$2:$C$77=$A15))+SUMPRODUCT(ISNUMBER(SEARCH(",EGFR,",","&amp;SUBSTITUTE('2L Screening Matrix'!$I$2:$I$46,", ",",")&amp;","))*('2L Screening Matrix'!$C$2:$C$46=$A15))</f>
        <v>2</v>
      </c>
      <c r="J15" s="11">
        <f>SUMPRODUCT(ISNUMBER(SEARCH(",VEGF,",","&amp;SUBSTITUTE('1L Screening Matrix'!$I$2:$I$77,", ",",")&amp;","))*('1L Screening Matrix'!$C$2:$C$77=$A15))+SUMPRODUCT(ISNUMBER(SEARCH(",VEGF,",","&amp;SUBSTITUTE('2L Screening Matrix'!$I$2:$I$46,", ",",")&amp;","))*('2L Screening Matrix'!$C$2:$C$46=$A15))</f>
        <v>0</v>
      </c>
      <c r="K15" s="11">
        <f>SUMPRODUCT(ISNUMBER(SEARCH(",ERBB,",","&amp;SUBSTITUTE('1L Screening Matrix'!$I$2:$I$77,", ",",")&amp;","))*('1L Screening Matrix'!$C$2:$C$77=$A15))+SUMPRODUCT(ISNUMBER(SEARCH(",ERBB,",","&amp;SUBSTITUTE('2L Screening Matrix'!$I$2:$I$46,", ",",")&amp;","))*('2L Screening Matrix'!$C$2:$C$46=$A15))</f>
        <v>2</v>
      </c>
      <c r="L15" s="11">
        <f>SUMPRODUCT(ISNUMBER(SEARCH(",HER1,",","&amp;SUBSTITUTE('1L Screening Matrix'!$I$2:$I$77,", ",",")&amp;","))*('1L Screening Matrix'!$C$2:$C$77=$A15))+SUMPRODUCT(ISNUMBER(SEARCH(",HER1,",","&amp;SUBSTITUTE('2L Screening Matrix'!$I$2:$I$46,", ",",")&amp;","))*('2L Screening Matrix'!$C$2:$C$46=$A15))</f>
        <v>2</v>
      </c>
      <c r="M15" s="11">
        <f>SUMPRODUCT(ISNUMBER(SEARCH(",Microtubule,",","&amp;SUBSTITUTE('1L Screening Matrix'!$I$2:$I$77,", ",",")&amp;","))*('1L Screening Matrix'!$C$2:$C$77=$A15))+SUMPRODUCT(ISNUMBER(SEARCH(",Microtubule,",","&amp;SUBSTITUTE('2L Screening Matrix'!$I$2:$I$46,", ",",")&amp;","))*('2L Screening Matrix'!$C$2:$C$46=$A15))</f>
        <v>0</v>
      </c>
      <c r="N15" s="11">
        <f>SUMPRODUCT(ISNUMBER(SEARCH(",KRAS G12C,",","&amp;SUBSTITUTE('1L Screening Matrix'!$I$2:$I$77,", ",",")&amp;","))*('1L Screening Matrix'!$C$2:$C$77=$A15))+SUMPRODUCT(ISNUMBER(SEARCH(",KRAS G12C,",","&amp;SUBSTITUTE('2L Screening Matrix'!$I$2:$I$46,", ",",")&amp;","))*('2L Screening Matrix'!$C$2:$C$46=$A15))</f>
        <v>0</v>
      </c>
      <c r="O15" s="11">
        <f>SUMPRODUCT(ISNUMBER(SEARCH(",EGFR T790M,",","&amp;SUBSTITUTE('1L Screening Matrix'!$I$2:$I$77,", ",",")&amp;","))*('1L Screening Matrix'!$C$2:$C$77=$A15))+SUMPRODUCT(ISNUMBER(SEARCH(",EGFR T790M,",","&amp;SUBSTITUTE('2L Screening Matrix'!$I$2:$I$46,", ",",")&amp;","))*('2L Screening Matrix'!$C$2:$C$46=$A15))</f>
        <v>0</v>
      </c>
      <c r="P15" s="11">
        <f>SUMPRODUCT(ISNUMBER(SEARCH(",ALK,",","&amp;SUBSTITUTE('1L Screening Matrix'!$I$2:$I$77,", ",",")&amp;","))*('1L Screening Matrix'!$C$2:$C$77=$A15))+SUMPRODUCT(ISNUMBER(SEARCH(",ALK,",","&amp;SUBSTITUTE('2L Screening Matrix'!$I$2:$I$46,", ",",")&amp;","))*('2L Screening Matrix'!$C$2:$C$46=$A15))</f>
        <v>0</v>
      </c>
      <c r="Q15" s="11">
        <f>SUMPRODUCT(ISNUMBER(SEARCH(",TROP2,",","&amp;SUBSTITUTE('1L Screening Matrix'!$I$2:$I$77,", ",",")&amp;","))*('1L Screening Matrix'!$C$2:$C$77=$A15))+SUMPRODUCT(ISNUMBER(SEARCH(",TROP2,",","&amp;SUBSTITUTE('2L Screening Matrix'!$I$2:$I$46,", ",",")&amp;","))*('2L Screening Matrix'!$C$2:$C$46=$A15))</f>
        <v>0</v>
      </c>
      <c r="R15" s="11">
        <f>SUMPRODUCT(ISNUMBER(SEARCH(",c-MET/MET,",","&amp;SUBSTITUTE('1L Screening Matrix'!$I$2:$I$77,", ",",")&amp;","))*('1L Screening Matrix'!$C$2:$C$77=$A15))+SUMPRODUCT(ISNUMBER(SEARCH(",c-MET/MET,",","&amp;SUBSTITUTE('2L Screening Matrix'!$I$2:$I$46,", ",",")&amp;","))*('2L Screening Matrix'!$C$2:$C$46=$A15))</f>
        <v>0</v>
      </c>
      <c r="S15" s="11">
        <f>SUMPRODUCT(ISNUMBER(SEARCH(",HER2,",","&amp;SUBSTITUTE('1L Screening Matrix'!$I$2:$I$77,", ",",")&amp;","))*('1L Screening Matrix'!$C$2:$C$77=$A15))+SUMPRODUCT(ISNUMBER(SEARCH(",HER2,",","&amp;SUBSTITUTE('2L Screening Matrix'!$I$2:$I$46,", ",",")&amp;","))*('2L Screening Matrix'!$C$2:$C$46=$A15))</f>
        <v>0</v>
      </c>
      <c r="T15" s="11">
        <f>SUMPRODUCT(ISNUMBER(SEARCH(",ROS1,",","&amp;SUBSTITUTE('1L Screening Matrix'!$I$2:$I$77,", ",",")&amp;","))*('1L Screening Matrix'!$C$2:$C$77=$A15))+SUMPRODUCT(ISNUMBER(SEARCH(",ROS1,",","&amp;SUBSTITUTE('2L Screening Matrix'!$I$2:$I$46,", ",",")&amp;","))*('2L Screening Matrix'!$C$2:$C$46=$A15))</f>
        <v>0</v>
      </c>
      <c r="U15" s="11">
        <f>SUMPRODUCT(ISNUMBER(SEARCH(",TIGIT,",","&amp;SUBSTITUTE('1L Screening Matrix'!$I$2:$I$77,", ",",")&amp;","))*('1L Screening Matrix'!$C$2:$C$77=$A15))+SUMPRODUCT(ISNUMBER(SEARCH(",TIGIT,",","&amp;SUBSTITUTE('2L Screening Matrix'!$I$2:$I$46,", ",",")&amp;","))*('2L Screening Matrix'!$C$2:$C$46=$A15))</f>
        <v>0</v>
      </c>
      <c r="V15" s="11">
        <f>SUMPRODUCT(ISNUMBER(SEARCH(",EGFR L858R,",","&amp;SUBSTITUTE('1L Screening Matrix'!$I$2:$I$77,", ",",")&amp;","))*('1L Screening Matrix'!$C$2:$C$77=$A15))+SUMPRODUCT(ISNUMBER(SEARCH(",EGFR L858R,",","&amp;SUBSTITUTE('2L Screening Matrix'!$I$2:$I$46,", ",",")&amp;","))*('2L Screening Matrix'!$C$2:$C$46=$A15))</f>
        <v>0</v>
      </c>
      <c r="W15" s="11">
        <f>SUMPRODUCT(ISNUMBER(SEARCH(",ROS,",","&amp;SUBSTITUTE('1L Screening Matrix'!$I$2:$I$77,", ",",")&amp;","))*('1L Screening Matrix'!$C$2:$C$77=$A15))+SUMPRODUCT(ISNUMBER(SEARCH(",ROS,",","&amp;SUBSTITUTE('2L Screening Matrix'!$I$2:$I$46,", ",",")&amp;","))*('2L Screening Matrix'!$C$2:$C$46=$A15))</f>
        <v>0</v>
      </c>
      <c r="X15" s="11">
        <f>SUMPRODUCT(ISNUMBER(SEARCH(",IL-2,",","&amp;SUBSTITUTE('1L Screening Matrix'!$I$2:$I$77,", ",",")&amp;","))*('1L Screening Matrix'!$C$2:$C$77=$A15))+SUMPRODUCT(ISNUMBER(SEARCH(",IL-2,",","&amp;SUBSTITUTE('2L Screening Matrix'!$I$2:$I$46,", ",",")&amp;","))*('2L Screening Matrix'!$C$2:$C$46=$A15))</f>
        <v>0</v>
      </c>
      <c r="Y15" s="11">
        <f>SUMPRODUCT(ISNUMBER(SEARCH(",TCGF,",","&amp;SUBSTITUTE('1L Screening Matrix'!$I$2:$I$77,", ",",")&amp;","))*('1L Screening Matrix'!$C$2:$C$77=$A15))+SUMPRODUCT(ISNUMBER(SEARCH(",TCGF,",","&amp;SUBSTITUTE('2L Screening Matrix'!$I$2:$I$46,", ",",")&amp;","))*('2L Screening Matrix'!$C$2:$C$46=$A15))</f>
        <v>0</v>
      </c>
      <c r="Z15" s="11">
        <f>SUMPRODUCT(ISNUMBER(SEARCH(",CTLA-4,",","&amp;SUBSTITUTE('1L Screening Matrix'!$I$2:$I$77,", ",",")&amp;","))*('1L Screening Matrix'!$C$2:$C$77=$A15))+SUMPRODUCT(ISNUMBER(SEARCH(",CTLA-4,",","&amp;SUBSTITUTE('2L Screening Matrix'!$I$2:$I$46,", ",",")&amp;","))*('2L Screening Matrix'!$C$2:$C$46=$A15))</f>
        <v>0</v>
      </c>
      <c r="AA15" s="11">
        <f>SUMPRODUCT(ISNUMBER(SEARCH(",EGFR Exon 20,",","&amp;SUBSTITUTE('1L Screening Matrix'!$I$2:$I$77,", ",",")&amp;","))*('1L Screening Matrix'!$C$2:$C$77=$A15))+SUMPRODUCT(ISNUMBER(SEARCH(",EGFR Exon 20,",","&amp;SUBSTITUTE('2L Screening Matrix'!$I$2:$I$46,", ",",")&amp;","))*('2L Screening Matrix'!$C$2:$C$46=$A15))</f>
        <v>0</v>
      </c>
      <c r="AB15" s="11">
        <f>SUMPRODUCT(ISNUMBER(SEARCH(",HER2 Exon 20,",","&amp;SUBSTITUTE('1L Screening Matrix'!$I$2:$I$77,", ",",")&amp;","))*('1L Screening Matrix'!$C$2:$C$77=$A15))+SUMPRODUCT(ISNUMBER(SEARCH(",HER2 Exon 20,",","&amp;SUBSTITUTE('2L Screening Matrix'!$I$2:$I$46,", ",",")&amp;","))*('2L Screening Matrix'!$C$2:$C$46=$A15))</f>
        <v>0</v>
      </c>
      <c r="AC15" s="11">
        <f>SUMPRODUCT(ISNUMBER(SEARCH(",IL-15,",","&amp;SUBSTITUTE('1L Screening Matrix'!$I$2:$I$77,", ",",")&amp;","))*('1L Screening Matrix'!$C$2:$C$77=$A15))+SUMPRODUCT(ISNUMBER(SEARCH(",IL-15,",","&amp;SUBSTITUTE('2L Screening Matrix'!$I$2:$I$46,", ",",")&amp;","))*('2L Screening Matrix'!$C$2:$C$46=$A15))</f>
        <v>0</v>
      </c>
      <c r="AD15" s="11">
        <f>SUMPRODUCT(ISNUMBER(SEARCH(",IL-15R,",","&amp;SUBSTITUTE('1L Screening Matrix'!$I$2:$I$77,", ",",")&amp;","))*('1L Screening Matrix'!$C$2:$C$77=$A15))+SUMPRODUCT(ISNUMBER(SEARCH(",IL-15R,",","&amp;SUBSTITUTE('2L Screening Matrix'!$I$2:$I$46,", ",",")&amp;","))*('2L Screening Matrix'!$C$2:$C$46=$A15))</f>
        <v>0</v>
      </c>
      <c r="AE15" s="11">
        <f>SUMPRODUCT(ISNUMBER(SEARCH(",KRAS G12D,",","&amp;SUBSTITUTE('1L Screening Matrix'!$I$2:$I$77,", ",",")&amp;","))*('1L Screening Matrix'!$C$2:$C$77=$A15))+SUMPRODUCT(ISNUMBER(SEARCH(",KRAS G12D,",","&amp;SUBSTITUTE('2L Screening Matrix'!$I$2:$I$46,", ",",")&amp;","))*('2L Screening Matrix'!$C$2:$C$46=$A15))</f>
        <v>0</v>
      </c>
      <c r="AF15" s="11">
        <f>SUMPRODUCT(ISNUMBER(SEARCH(",HER4,",","&amp;SUBSTITUTE('1L Screening Matrix'!$I$2:$I$77,", ",",")&amp;","))*('1L Screening Matrix'!$C$2:$C$77=$A15))+SUMPRODUCT(ISNUMBER(SEARCH(",HER4,",","&amp;SUBSTITUTE('2L Screening Matrix'!$I$2:$I$46,", ",",")&amp;","))*('2L Screening Matrix'!$C$2:$C$46=$A15))</f>
        <v>0</v>
      </c>
      <c r="AG15" s="11">
        <f>SUMPRODUCT(ISNUMBER(SEARCH(",ALK L1196M,",","&amp;SUBSTITUTE('1L Screening Matrix'!$I$2:$I$77,", ",",")&amp;","))*('1L Screening Matrix'!$C$2:$C$77=$A15))+SUMPRODUCT(ISNUMBER(SEARCH(",ALK L1196M,",","&amp;SUBSTITUTE('2L Screening Matrix'!$I$2:$I$46,", ",",")&amp;","))*('2L Screening Matrix'!$C$2:$C$46=$A15))</f>
        <v>0</v>
      </c>
      <c r="AH15" s="11">
        <f>SUMPRODUCT(ISNUMBER(SEARCH(",CD152,",","&amp;SUBSTITUTE('1L Screening Matrix'!$I$2:$I$77,", ",",")&amp;","))*('1L Screening Matrix'!$C$2:$C$77=$A15))+SUMPRODUCT(ISNUMBER(SEARCH(",CD152,",","&amp;SUBSTITUTE('2L Screening Matrix'!$I$2:$I$46,", ",",")&amp;","))*('2L Screening Matrix'!$C$2:$C$46=$A15))</f>
        <v>0</v>
      </c>
      <c r="AI15" s="11">
        <f>SUMPRODUCT(ISNUMBER(SEARCH(",MLN19,",","&amp;SUBSTITUTE('1L Screening Matrix'!$I$2:$I$77,", ",",")&amp;","))*('1L Screening Matrix'!$C$2:$C$77=$A15))+SUMPRODUCT(ISNUMBER(SEARCH(",MLN19,",","&amp;SUBSTITUTE('2L Screening Matrix'!$I$2:$I$46,", ",",")&amp;","))*('2L Screening Matrix'!$C$2:$C$46=$A15))</f>
        <v>0</v>
      </c>
      <c r="AJ15" s="11">
        <f>SUMPRODUCT(ISNUMBER(SEARCH(",NTRK,",","&amp;SUBSTITUTE('1L Screening Matrix'!$I$2:$I$77,", ",",")&amp;","))*('1L Screening Matrix'!$C$2:$C$77=$A15))+SUMPRODUCT(ISNUMBER(SEARCH(",NTRK,",","&amp;SUBSTITUTE('2L Screening Matrix'!$I$2:$I$46,", ",",")&amp;","))*('2L Screening Matrix'!$C$2:$C$46=$A15))</f>
        <v>0</v>
      </c>
      <c r="AK15" s="11">
        <f>SUMPRODUCT(ISNUMBER(SEARCH(",Integrin β6,",","&amp;SUBSTITUTE('1L Screening Matrix'!$I$2:$I$77,", ",",")&amp;","))*('1L Screening Matrix'!$C$2:$C$77=$A15))+SUMPRODUCT(ISNUMBER(SEARCH(",Integrin β6,",","&amp;SUBSTITUTE('2L Screening Matrix'!$I$2:$I$46,", ",",")&amp;","))*('2L Screening Matrix'!$C$2:$C$46=$A15))</f>
        <v>0</v>
      </c>
      <c r="AL15" s="11">
        <f>SUMPRODUCT(ISNUMBER(SEARCH(",LAG-3,",","&amp;SUBSTITUTE('1L Screening Matrix'!$I$2:$I$77,", ",",")&amp;","))*('1L Screening Matrix'!$C$2:$C$77=$A15))+SUMPRODUCT(ISNUMBER(SEARCH(",LAG-3,",","&amp;SUBSTITUTE('2L Screening Matrix'!$I$2:$I$46,", ",",")&amp;","))*('2L Screening Matrix'!$C$2:$C$46=$A15))</f>
        <v>0</v>
      </c>
      <c r="AM15" s="14">
        <f t="shared" si="0"/>
        <v>6</v>
      </c>
    </row>
    <row r="16" spans="1:39" ht="15" customHeight="1" x14ac:dyDescent="0.2">
      <c r="A16" s="12" t="s">
        <v>214</v>
      </c>
      <c r="B16" s="11">
        <f>SUMPRODUCT(ISNUMBER(SEARCH(",PD-1,",","&amp;SUBSTITUTE('1L Screening Matrix'!$I$2:$I$77,", ",",")&amp;","))*('1L Screening Matrix'!$C$2:$C$77=$A16))+SUMPRODUCT(ISNUMBER(SEARCH(",PD-1,",","&amp;SUBSTITUTE('2L Screening Matrix'!$I$2:$I$46,", ",",")&amp;","))*('2L Screening Matrix'!$C$2:$C$46=$A16))</f>
        <v>0</v>
      </c>
      <c r="C16" s="11">
        <f>SUMPRODUCT(ISNUMBER(SEARCH(",CD279,",","&amp;SUBSTITUTE('1L Screening Matrix'!$I$2:$I$77,", ",",")&amp;","))*('1L Screening Matrix'!$C$2:$C$77=$A16))+SUMPRODUCT(ISNUMBER(SEARCH(",CD279,",","&amp;SUBSTITUTE('2L Screening Matrix'!$I$2:$I$46,", ",",")&amp;","))*('2L Screening Matrix'!$C$2:$C$46=$A16))</f>
        <v>0</v>
      </c>
      <c r="D16" s="11">
        <f>SUMPRODUCT(ISNUMBER(SEARCH(",TS,",","&amp;SUBSTITUTE('1L Screening Matrix'!$I$2:$I$77,", ",",")&amp;","))*('1L Screening Matrix'!$C$2:$C$77=$A16))+SUMPRODUCT(ISNUMBER(SEARCH(",TS,",","&amp;SUBSTITUTE('2L Screening Matrix'!$I$2:$I$46,", ",",")&amp;","))*('2L Screening Matrix'!$C$2:$C$46=$A16))</f>
        <v>0</v>
      </c>
      <c r="E16" s="11">
        <f>SUMPRODUCT(ISNUMBER(SEARCH(",TYMS,",","&amp;SUBSTITUTE('1L Screening Matrix'!$I$2:$I$77,", ",",")&amp;","))*('1L Screening Matrix'!$C$2:$C$77=$A16))+SUMPRODUCT(ISNUMBER(SEARCH(",TYMS,",","&amp;SUBSTITUTE('2L Screening Matrix'!$I$2:$I$46,", ",",")&amp;","))*('2L Screening Matrix'!$C$2:$C$46=$A16))</f>
        <v>0</v>
      </c>
      <c r="F16" s="11">
        <f>SUMPRODUCT(ISNUMBER(SEARCH(",PD-L1,",","&amp;SUBSTITUTE('1L Screening Matrix'!$I$2:$I$77,", ",",")&amp;","))*('1L Screening Matrix'!$C$2:$C$77=$A16))+SUMPRODUCT(ISNUMBER(SEARCH(",PD-L1,",","&amp;SUBSTITUTE('2L Screening Matrix'!$I$2:$I$46,", ",",")&amp;","))*('2L Screening Matrix'!$C$2:$C$46=$A16))</f>
        <v>0</v>
      </c>
      <c r="G16" s="11">
        <f>SUMPRODUCT(ISNUMBER(SEARCH(",B7-H1,",","&amp;SUBSTITUTE('1L Screening Matrix'!$I$2:$I$77,", ",",")&amp;","))*('1L Screening Matrix'!$C$2:$C$77=$A16))+SUMPRODUCT(ISNUMBER(SEARCH(",B7-H1,",","&amp;SUBSTITUTE('2L Screening Matrix'!$I$2:$I$46,", ",",")&amp;","))*('2L Screening Matrix'!$C$2:$C$46=$A16))</f>
        <v>0</v>
      </c>
      <c r="H16" s="11">
        <f>SUMPRODUCT(ISNUMBER(SEARCH(",CD274,",","&amp;SUBSTITUTE('1L Screening Matrix'!$I$2:$I$77,", ",",")&amp;","))*('1L Screening Matrix'!$C$2:$C$77=$A16))+SUMPRODUCT(ISNUMBER(SEARCH(",CD274,",","&amp;SUBSTITUTE('2L Screening Matrix'!$I$2:$I$46,", ",",")&amp;","))*('2L Screening Matrix'!$C$2:$C$46=$A16))</f>
        <v>0</v>
      </c>
      <c r="I16" s="11">
        <f>SUMPRODUCT(ISNUMBER(SEARCH(",EGFR,",","&amp;SUBSTITUTE('1L Screening Matrix'!$I$2:$I$77,", ",",")&amp;","))*('1L Screening Matrix'!$C$2:$C$77=$A16))+SUMPRODUCT(ISNUMBER(SEARCH(",EGFR,",","&amp;SUBSTITUTE('2L Screening Matrix'!$I$2:$I$46,", ",",")&amp;","))*('2L Screening Matrix'!$C$2:$C$46=$A16))</f>
        <v>1</v>
      </c>
      <c r="J16" s="11">
        <f>SUMPRODUCT(ISNUMBER(SEARCH(",VEGF,",","&amp;SUBSTITUTE('1L Screening Matrix'!$I$2:$I$77,", ",",")&amp;","))*('1L Screening Matrix'!$C$2:$C$77=$A16))+SUMPRODUCT(ISNUMBER(SEARCH(",VEGF,",","&amp;SUBSTITUTE('2L Screening Matrix'!$I$2:$I$46,", ",",")&amp;","))*('2L Screening Matrix'!$C$2:$C$46=$A16))</f>
        <v>0</v>
      </c>
      <c r="K16" s="11">
        <f>SUMPRODUCT(ISNUMBER(SEARCH(",ERBB,",","&amp;SUBSTITUTE('1L Screening Matrix'!$I$2:$I$77,", ",",")&amp;","))*('1L Screening Matrix'!$C$2:$C$77=$A16))+SUMPRODUCT(ISNUMBER(SEARCH(",ERBB,",","&amp;SUBSTITUTE('2L Screening Matrix'!$I$2:$I$46,", ",",")&amp;","))*('2L Screening Matrix'!$C$2:$C$46=$A16))</f>
        <v>0</v>
      </c>
      <c r="L16" s="11">
        <f>SUMPRODUCT(ISNUMBER(SEARCH(",HER1,",","&amp;SUBSTITUTE('1L Screening Matrix'!$I$2:$I$77,", ",",")&amp;","))*('1L Screening Matrix'!$C$2:$C$77=$A16))+SUMPRODUCT(ISNUMBER(SEARCH(",HER1,",","&amp;SUBSTITUTE('2L Screening Matrix'!$I$2:$I$46,", ",",")&amp;","))*('2L Screening Matrix'!$C$2:$C$46=$A16))</f>
        <v>0</v>
      </c>
      <c r="M16" s="11">
        <f>SUMPRODUCT(ISNUMBER(SEARCH(",Microtubule,",","&amp;SUBSTITUTE('1L Screening Matrix'!$I$2:$I$77,", ",",")&amp;","))*('1L Screening Matrix'!$C$2:$C$77=$A16))+SUMPRODUCT(ISNUMBER(SEARCH(",Microtubule,",","&amp;SUBSTITUTE('2L Screening Matrix'!$I$2:$I$46,", ",",")&amp;","))*('2L Screening Matrix'!$C$2:$C$46=$A16))</f>
        <v>0</v>
      </c>
      <c r="N16" s="11">
        <f>SUMPRODUCT(ISNUMBER(SEARCH(",KRAS G12C,",","&amp;SUBSTITUTE('1L Screening Matrix'!$I$2:$I$77,", ",",")&amp;","))*('1L Screening Matrix'!$C$2:$C$77=$A16))+SUMPRODUCT(ISNUMBER(SEARCH(",KRAS G12C,",","&amp;SUBSTITUTE('2L Screening Matrix'!$I$2:$I$46,", ",",")&amp;","))*('2L Screening Matrix'!$C$2:$C$46=$A16))</f>
        <v>0</v>
      </c>
      <c r="O16" s="11">
        <f>SUMPRODUCT(ISNUMBER(SEARCH(",EGFR T790M,",","&amp;SUBSTITUTE('1L Screening Matrix'!$I$2:$I$77,", ",",")&amp;","))*('1L Screening Matrix'!$C$2:$C$77=$A16))+SUMPRODUCT(ISNUMBER(SEARCH(",EGFR T790M,",","&amp;SUBSTITUTE('2L Screening Matrix'!$I$2:$I$46,", ",",")&amp;","))*('2L Screening Matrix'!$C$2:$C$46=$A16))</f>
        <v>0</v>
      </c>
      <c r="P16" s="11">
        <f>SUMPRODUCT(ISNUMBER(SEARCH(",ALK,",","&amp;SUBSTITUTE('1L Screening Matrix'!$I$2:$I$77,", ",",")&amp;","))*('1L Screening Matrix'!$C$2:$C$77=$A16))+SUMPRODUCT(ISNUMBER(SEARCH(",ALK,",","&amp;SUBSTITUTE('2L Screening Matrix'!$I$2:$I$46,", ",",")&amp;","))*('2L Screening Matrix'!$C$2:$C$46=$A16))</f>
        <v>0</v>
      </c>
      <c r="Q16" s="11">
        <f>SUMPRODUCT(ISNUMBER(SEARCH(",TROP2,",","&amp;SUBSTITUTE('1L Screening Matrix'!$I$2:$I$77,", ",",")&amp;","))*('1L Screening Matrix'!$C$2:$C$77=$A16))+SUMPRODUCT(ISNUMBER(SEARCH(",TROP2,",","&amp;SUBSTITUTE('2L Screening Matrix'!$I$2:$I$46,", ",",")&amp;","))*('2L Screening Matrix'!$C$2:$C$46=$A16))</f>
        <v>0</v>
      </c>
      <c r="R16" s="11">
        <f>SUMPRODUCT(ISNUMBER(SEARCH(",c-MET/MET,",","&amp;SUBSTITUTE('1L Screening Matrix'!$I$2:$I$77,", ",",")&amp;","))*('1L Screening Matrix'!$C$2:$C$77=$A16))+SUMPRODUCT(ISNUMBER(SEARCH(",c-MET/MET,",","&amp;SUBSTITUTE('2L Screening Matrix'!$I$2:$I$46,", ",",")&amp;","))*('2L Screening Matrix'!$C$2:$C$46=$A16))</f>
        <v>0</v>
      </c>
      <c r="S16" s="11">
        <f>SUMPRODUCT(ISNUMBER(SEARCH(",HER2,",","&amp;SUBSTITUTE('1L Screening Matrix'!$I$2:$I$77,", ",",")&amp;","))*('1L Screening Matrix'!$C$2:$C$77=$A16))+SUMPRODUCT(ISNUMBER(SEARCH(",HER2,",","&amp;SUBSTITUTE('2L Screening Matrix'!$I$2:$I$46,", ",",")&amp;","))*('2L Screening Matrix'!$C$2:$C$46=$A16))</f>
        <v>1</v>
      </c>
      <c r="T16" s="11">
        <f>SUMPRODUCT(ISNUMBER(SEARCH(",ROS1,",","&amp;SUBSTITUTE('1L Screening Matrix'!$I$2:$I$77,", ",",")&amp;","))*('1L Screening Matrix'!$C$2:$C$77=$A16))+SUMPRODUCT(ISNUMBER(SEARCH(",ROS1,",","&amp;SUBSTITUTE('2L Screening Matrix'!$I$2:$I$46,", ",",")&amp;","))*('2L Screening Matrix'!$C$2:$C$46=$A16))</f>
        <v>0</v>
      </c>
      <c r="U16" s="11">
        <f>SUMPRODUCT(ISNUMBER(SEARCH(",TIGIT,",","&amp;SUBSTITUTE('1L Screening Matrix'!$I$2:$I$77,", ",",")&amp;","))*('1L Screening Matrix'!$C$2:$C$77=$A16))+SUMPRODUCT(ISNUMBER(SEARCH(",TIGIT,",","&amp;SUBSTITUTE('2L Screening Matrix'!$I$2:$I$46,", ",",")&amp;","))*('2L Screening Matrix'!$C$2:$C$46=$A16))</f>
        <v>0</v>
      </c>
      <c r="V16" s="11">
        <f>SUMPRODUCT(ISNUMBER(SEARCH(",EGFR L858R,",","&amp;SUBSTITUTE('1L Screening Matrix'!$I$2:$I$77,", ",",")&amp;","))*('1L Screening Matrix'!$C$2:$C$77=$A16))+SUMPRODUCT(ISNUMBER(SEARCH(",EGFR L858R,",","&amp;SUBSTITUTE('2L Screening Matrix'!$I$2:$I$46,", ",",")&amp;","))*('2L Screening Matrix'!$C$2:$C$46=$A16))</f>
        <v>1</v>
      </c>
      <c r="W16" s="11">
        <f>SUMPRODUCT(ISNUMBER(SEARCH(",ROS,",","&amp;SUBSTITUTE('1L Screening Matrix'!$I$2:$I$77,", ",",")&amp;","))*('1L Screening Matrix'!$C$2:$C$77=$A16))+SUMPRODUCT(ISNUMBER(SEARCH(",ROS,",","&amp;SUBSTITUTE('2L Screening Matrix'!$I$2:$I$46,", ",",")&amp;","))*('2L Screening Matrix'!$C$2:$C$46=$A16))</f>
        <v>0</v>
      </c>
      <c r="X16" s="11">
        <f>SUMPRODUCT(ISNUMBER(SEARCH(",IL-2,",","&amp;SUBSTITUTE('1L Screening Matrix'!$I$2:$I$77,", ",",")&amp;","))*('1L Screening Matrix'!$C$2:$C$77=$A16))+SUMPRODUCT(ISNUMBER(SEARCH(",IL-2,",","&amp;SUBSTITUTE('2L Screening Matrix'!$I$2:$I$46,", ",",")&amp;","))*('2L Screening Matrix'!$C$2:$C$46=$A16))</f>
        <v>0</v>
      </c>
      <c r="Y16" s="11">
        <f>SUMPRODUCT(ISNUMBER(SEARCH(",TCGF,",","&amp;SUBSTITUTE('1L Screening Matrix'!$I$2:$I$77,", ",",")&amp;","))*('1L Screening Matrix'!$C$2:$C$77=$A16))+SUMPRODUCT(ISNUMBER(SEARCH(",TCGF,",","&amp;SUBSTITUTE('2L Screening Matrix'!$I$2:$I$46,", ",",")&amp;","))*('2L Screening Matrix'!$C$2:$C$46=$A16))</f>
        <v>0</v>
      </c>
      <c r="Z16" s="11">
        <f>SUMPRODUCT(ISNUMBER(SEARCH(",CTLA-4,",","&amp;SUBSTITUTE('1L Screening Matrix'!$I$2:$I$77,", ",",")&amp;","))*('1L Screening Matrix'!$C$2:$C$77=$A16))+SUMPRODUCT(ISNUMBER(SEARCH(",CTLA-4,",","&amp;SUBSTITUTE('2L Screening Matrix'!$I$2:$I$46,", ",",")&amp;","))*('2L Screening Matrix'!$C$2:$C$46=$A16))</f>
        <v>0</v>
      </c>
      <c r="AA16" s="11">
        <f>SUMPRODUCT(ISNUMBER(SEARCH(",EGFR Exon 20,",","&amp;SUBSTITUTE('1L Screening Matrix'!$I$2:$I$77,", ",",")&amp;","))*('1L Screening Matrix'!$C$2:$C$77=$A16))+SUMPRODUCT(ISNUMBER(SEARCH(",EGFR Exon 20,",","&amp;SUBSTITUTE('2L Screening Matrix'!$I$2:$I$46,", ",",")&amp;","))*('2L Screening Matrix'!$C$2:$C$46=$A16))</f>
        <v>0</v>
      </c>
      <c r="AB16" s="11">
        <f>SUMPRODUCT(ISNUMBER(SEARCH(",HER2 Exon 20,",","&amp;SUBSTITUTE('1L Screening Matrix'!$I$2:$I$77,", ",",")&amp;","))*('1L Screening Matrix'!$C$2:$C$77=$A16))+SUMPRODUCT(ISNUMBER(SEARCH(",HER2 Exon 20,",","&amp;SUBSTITUTE('2L Screening Matrix'!$I$2:$I$46,", ",",")&amp;","))*('2L Screening Matrix'!$C$2:$C$46=$A16))</f>
        <v>1</v>
      </c>
      <c r="AC16" s="11">
        <f>SUMPRODUCT(ISNUMBER(SEARCH(",IL-15,",","&amp;SUBSTITUTE('1L Screening Matrix'!$I$2:$I$77,", ",",")&amp;","))*('1L Screening Matrix'!$C$2:$C$77=$A16))+SUMPRODUCT(ISNUMBER(SEARCH(",IL-15,",","&amp;SUBSTITUTE('2L Screening Matrix'!$I$2:$I$46,", ",",")&amp;","))*('2L Screening Matrix'!$C$2:$C$46=$A16))</f>
        <v>0</v>
      </c>
      <c r="AD16" s="11">
        <f>SUMPRODUCT(ISNUMBER(SEARCH(",IL-15R,",","&amp;SUBSTITUTE('1L Screening Matrix'!$I$2:$I$77,", ",",")&amp;","))*('1L Screening Matrix'!$C$2:$C$77=$A16))+SUMPRODUCT(ISNUMBER(SEARCH(",IL-15R,",","&amp;SUBSTITUTE('2L Screening Matrix'!$I$2:$I$46,", ",",")&amp;","))*('2L Screening Matrix'!$C$2:$C$46=$A16))</f>
        <v>0</v>
      </c>
      <c r="AE16" s="11">
        <f>SUMPRODUCT(ISNUMBER(SEARCH(",KRAS G12D,",","&amp;SUBSTITUTE('1L Screening Matrix'!$I$2:$I$77,", ",",")&amp;","))*('1L Screening Matrix'!$C$2:$C$77=$A16))+SUMPRODUCT(ISNUMBER(SEARCH(",KRAS G12D,",","&amp;SUBSTITUTE('2L Screening Matrix'!$I$2:$I$46,", ",",")&amp;","))*('2L Screening Matrix'!$C$2:$C$46=$A16))</f>
        <v>0</v>
      </c>
      <c r="AF16" s="11">
        <f>SUMPRODUCT(ISNUMBER(SEARCH(",HER4,",","&amp;SUBSTITUTE('1L Screening Matrix'!$I$2:$I$77,", ",",")&amp;","))*('1L Screening Matrix'!$C$2:$C$77=$A16))+SUMPRODUCT(ISNUMBER(SEARCH(",HER4,",","&amp;SUBSTITUTE('2L Screening Matrix'!$I$2:$I$46,", ",",")&amp;","))*('2L Screening Matrix'!$C$2:$C$46=$A16))</f>
        <v>1</v>
      </c>
      <c r="AG16" s="11">
        <f>SUMPRODUCT(ISNUMBER(SEARCH(",ALK L1196M,",","&amp;SUBSTITUTE('1L Screening Matrix'!$I$2:$I$77,", ",",")&amp;","))*('1L Screening Matrix'!$C$2:$C$77=$A16))+SUMPRODUCT(ISNUMBER(SEARCH(",ALK L1196M,",","&amp;SUBSTITUTE('2L Screening Matrix'!$I$2:$I$46,", ",",")&amp;","))*('2L Screening Matrix'!$C$2:$C$46=$A16))</f>
        <v>0</v>
      </c>
      <c r="AH16" s="11">
        <f>SUMPRODUCT(ISNUMBER(SEARCH(",CD152,",","&amp;SUBSTITUTE('1L Screening Matrix'!$I$2:$I$77,", ",",")&amp;","))*('1L Screening Matrix'!$C$2:$C$77=$A16))+SUMPRODUCT(ISNUMBER(SEARCH(",CD152,",","&amp;SUBSTITUTE('2L Screening Matrix'!$I$2:$I$46,", ",",")&amp;","))*('2L Screening Matrix'!$C$2:$C$46=$A16))</f>
        <v>0</v>
      </c>
      <c r="AI16" s="11">
        <f>SUMPRODUCT(ISNUMBER(SEARCH(",MLN19,",","&amp;SUBSTITUTE('1L Screening Matrix'!$I$2:$I$77,", ",",")&amp;","))*('1L Screening Matrix'!$C$2:$C$77=$A16))+SUMPRODUCT(ISNUMBER(SEARCH(",MLN19,",","&amp;SUBSTITUTE('2L Screening Matrix'!$I$2:$I$46,", ",",")&amp;","))*('2L Screening Matrix'!$C$2:$C$46=$A16))</f>
        <v>0</v>
      </c>
      <c r="AJ16" s="11">
        <f>SUMPRODUCT(ISNUMBER(SEARCH(",NTRK,",","&amp;SUBSTITUTE('1L Screening Matrix'!$I$2:$I$77,", ",",")&amp;","))*('1L Screening Matrix'!$C$2:$C$77=$A16))+SUMPRODUCT(ISNUMBER(SEARCH(",NTRK,",","&amp;SUBSTITUTE('2L Screening Matrix'!$I$2:$I$46,", ",",")&amp;","))*('2L Screening Matrix'!$C$2:$C$46=$A16))</f>
        <v>0</v>
      </c>
      <c r="AK16" s="11">
        <f>SUMPRODUCT(ISNUMBER(SEARCH(",Integrin β6,",","&amp;SUBSTITUTE('1L Screening Matrix'!$I$2:$I$77,", ",",")&amp;","))*('1L Screening Matrix'!$C$2:$C$77=$A16))+SUMPRODUCT(ISNUMBER(SEARCH(",Integrin β6,",","&amp;SUBSTITUTE('2L Screening Matrix'!$I$2:$I$46,", ",",")&amp;","))*('2L Screening Matrix'!$C$2:$C$46=$A16))</f>
        <v>0</v>
      </c>
      <c r="AL16" s="11">
        <f>SUMPRODUCT(ISNUMBER(SEARCH(",LAG-3,",","&amp;SUBSTITUTE('1L Screening Matrix'!$I$2:$I$77,", ",",")&amp;","))*('1L Screening Matrix'!$C$2:$C$77=$A16))+SUMPRODUCT(ISNUMBER(SEARCH(",LAG-3,",","&amp;SUBSTITUTE('2L Screening Matrix'!$I$2:$I$46,", ",",")&amp;","))*('2L Screening Matrix'!$C$2:$C$46=$A16))</f>
        <v>0</v>
      </c>
      <c r="AM16" s="14">
        <f t="shared" si="0"/>
        <v>5</v>
      </c>
    </row>
    <row r="17" spans="1:39" ht="15" customHeight="1" x14ac:dyDescent="0.2">
      <c r="A17" s="15" t="s">
        <v>1406</v>
      </c>
      <c r="B17" s="11">
        <f>SUMPRODUCT(ISNUMBER(SEARCH(",PD-1,",","&amp;SUBSTITUTE('1L Screening Matrix'!$I$2:$I$77,", ",",")&amp;","))*('1L Screening Matrix'!$C$2:$C$77=$A17))+SUMPRODUCT(ISNUMBER(SEARCH(",PD-1,",","&amp;SUBSTITUTE('2L Screening Matrix'!$I$2:$I$46,", ",",")&amp;","))*('2L Screening Matrix'!$C$2:$C$46=$A17))</f>
        <v>1</v>
      </c>
      <c r="C17" s="11">
        <f>SUMPRODUCT(ISNUMBER(SEARCH(",CD279,",","&amp;SUBSTITUTE('1L Screening Matrix'!$I$2:$I$77,", ",",")&amp;","))*('1L Screening Matrix'!$C$2:$C$77=$A17))+SUMPRODUCT(ISNUMBER(SEARCH(",CD279,",","&amp;SUBSTITUTE('2L Screening Matrix'!$I$2:$I$46,", ",",")&amp;","))*('2L Screening Matrix'!$C$2:$C$46=$A17))</f>
        <v>0</v>
      </c>
      <c r="D17" s="11">
        <f>SUMPRODUCT(ISNUMBER(SEARCH(",TS,",","&amp;SUBSTITUTE('1L Screening Matrix'!$I$2:$I$77,", ",",")&amp;","))*('1L Screening Matrix'!$C$2:$C$77=$A17))+SUMPRODUCT(ISNUMBER(SEARCH(",TS,",","&amp;SUBSTITUTE('2L Screening Matrix'!$I$2:$I$46,", ",",")&amp;","))*('2L Screening Matrix'!$C$2:$C$46=$A17))</f>
        <v>0</v>
      </c>
      <c r="E17" s="11">
        <f>SUMPRODUCT(ISNUMBER(SEARCH(",TYMS,",","&amp;SUBSTITUTE('1L Screening Matrix'!$I$2:$I$77,", ",",")&amp;","))*('1L Screening Matrix'!$C$2:$C$77=$A17))+SUMPRODUCT(ISNUMBER(SEARCH(",TYMS,",","&amp;SUBSTITUTE('2L Screening Matrix'!$I$2:$I$46,", ",",")&amp;","))*('2L Screening Matrix'!$C$2:$C$46=$A17))</f>
        <v>0</v>
      </c>
      <c r="F17" s="11">
        <f>SUMPRODUCT(ISNUMBER(SEARCH(",PD-L1,",","&amp;SUBSTITUTE('1L Screening Matrix'!$I$2:$I$77,", ",",")&amp;","))*('1L Screening Matrix'!$C$2:$C$77=$A17))+SUMPRODUCT(ISNUMBER(SEARCH(",PD-L1,",","&amp;SUBSTITUTE('2L Screening Matrix'!$I$2:$I$46,", ",",")&amp;","))*('2L Screening Matrix'!$C$2:$C$46=$A17))</f>
        <v>0</v>
      </c>
      <c r="G17" s="11">
        <f>SUMPRODUCT(ISNUMBER(SEARCH(",B7-H1,",","&amp;SUBSTITUTE('1L Screening Matrix'!$I$2:$I$77,", ",",")&amp;","))*('1L Screening Matrix'!$C$2:$C$77=$A17))+SUMPRODUCT(ISNUMBER(SEARCH(",B7-H1,",","&amp;SUBSTITUTE('2L Screening Matrix'!$I$2:$I$46,", ",",")&amp;","))*('2L Screening Matrix'!$C$2:$C$46=$A17))</f>
        <v>0</v>
      </c>
      <c r="H17" s="11">
        <f>SUMPRODUCT(ISNUMBER(SEARCH(",CD274,",","&amp;SUBSTITUTE('1L Screening Matrix'!$I$2:$I$77,", ",",")&amp;","))*('1L Screening Matrix'!$C$2:$C$77=$A17))+SUMPRODUCT(ISNUMBER(SEARCH(",CD274,",","&amp;SUBSTITUTE('2L Screening Matrix'!$I$2:$I$46,", ",",")&amp;","))*('2L Screening Matrix'!$C$2:$C$46=$A17))</f>
        <v>0</v>
      </c>
      <c r="I17" s="11">
        <f>SUMPRODUCT(ISNUMBER(SEARCH(",EGFR,",","&amp;SUBSTITUTE('1L Screening Matrix'!$I$2:$I$77,", ",",")&amp;","))*('1L Screening Matrix'!$C$2:$C$77=$A17))+SUMPRODUCT(ISNUMBER(SEARCH(",EGFR,",","&amp;SUBSTITUTE('2L Screening Matrix'!$I$2:$I$46,", ",",")&amp;","))*('2L Screening Matrix'!$C$2:$C$46=$A17))</f>
        <v>0</v>
      </c>
      <c r="J17" s="11">
        <f>SUMPRODUCT(ISNUMBER(SEARCH(",VEGF,",","&amp;SUBSTITUTE('1L Screening Matrix'!$I$2:$I$77,", ",",")&amp;","))*('1L Screening Matrix'!$C$2:$C$77=$A17))+SUMPRODUCT(ISNUMBER(SEARCH(",VEGF,",","&amp;SUBSTITUTE('2L Screening Matrix'!$I$2:$I$46,", ",",")&amp;","))*('2L Screening Matrix'!$C$2:$C$46=$A17))</f>
        <v>0</v>
      </c>
      <c r="K17" s="11">
        <f>SUMPRODUCT(ISNUMBER(SEARCH(",ERBB,",","&amp;SUBSTITUTE('1L Screening Matrix'!$I$2:$I$77,", ",",")&amp;","))*('1L Screening Matrix'!$C$2:$C$77=$A17))+SUMPRODUCT(ISNUMBER(SEARCH(",ERBB,",","&amp;SUBSTITUTE('2L Screening Matrix'!$I$2:$I$46,", ",",")&amp;","))*('2L Screening Matrix'!$C$2:$C$46=$A17))</f>
        <v>0</v>
      </c>
      <c r="L17" s="11">
        <f>SUMPRODUCT(ISNUMBER(SEARCH(",HER1,",","&amp;SUBSTITUTE('1L Screening Matrix'!$I$2:$I$77,", ",",")&amp;","))*('1L Screening Matrix'!$C$2:$C$77=$A17))+SUMPRODUCT(ISNUMBER(SEARCH(",HER1,",","&amp;SUBSTITUTE('2L Screening Matrix'!$I$2:$I$46,", ",",")&amp;","))*('2L Screening Matrix'!$C$2:$C$46=$A17))</f>
        <v>0</v>
      </c>
      <c r="M17" s="11">
        <f>SUMPRODUCT(ISNUMBER(SEARCH(",Microtubule,",","&amp;SUBSTITUTE('1L Screening Matrix'!$I$2:$I$77,", ",",")&amp;","))*('1L Screening Matrix'!$C$2:$C$77=$A17))+SUMPRODUCT(ISNUMBER(SEARCH(",Microtubule,",","&amp;SUBSTITUTE('2L Screening Matrix'!$I$2:$I$46,", ",",")&amp;","))*('2L Screening Matrix'!$C$2:$C$46=$A17))</f>
        <v>0</v>
      </c>
      <c r="N17" s="11">
        <f>SUMPRODUCT(ISNUMBER(SEARCH(",KRAS G12C,",","&amp;SUBSTITUTE('1L Screening Matrix'!$I$2:$I$77,", ",",")&amp;","))*('1L Screening Matrix'!$C$2:$C$77=$A17))+SUMPRODUCT(ISNUMBER(SEARCH(",KRAS G12C,",","&amp;SUBSTITUTE('2L Screening Matrix'!$I$2:$I$46,", ",",")&amp;","))*('2L Screening Matrix'!$C$2:$C$46=$A17))</f>
        <v>0</v>
      </c>
      <c r="O17" s="11">
        <f>SUMPRODUCT(ISNUMBER(SEARCH(",EGFR T790M,",","&amp;SUBSTITUTE('1L Screening Matrix'!$I$2:$I$77,", ",",")&amp;","))*('1L Screening Matrix'!$C$2:$C$77=$A17))+SUMPRODUCT(ISNUMBER(SEARCH(",EGFR T790M,",","&amp;SUBSTITUTE('2L Screening Matrix'!$I$2:$I$46,", ",",")&amp;","))*('2L Screening Matrix'!$C$2:$C$46=$A17))</f>
        <v>0</v>
      </c>
      <c r="P17" s="11">
        <f>SUMPRODUCT(ISNUMBER(SEARCH(",ALK,",","&amp;SUBSTITUTE('1L Screening Matrix'!$I$2:$I$77,", ",",")&amp;","))*('1L Screening Matrix'!$C$2:$C$77=$A17))+SUMPRODUCT(ISNUMBER(SEARCH(",ALK,",","&amp;SUBSTITUTE('2L Screening Matrix'!$I$2:$I$46,", ",",")&amp;","))*('2L Screening Matrix'!$C$2:$C$46=$A17))</f>
        <v>0</v>
      </c>
      <c r="Q17" s="11">
        <f>SUMPRODUCT(ISNUMBER(SEARCH(",TROP2,",","&amp;SUBSTITUTE('1L Screening Matrix'!$I$2:$I$77,", ",",")&amp;","))*('1L Screening Matrix'!$C$2:$C$77=$A17))+SUMPRODUCT(ISNUMBER(SEARCH(",TROP2,",","&amp;SUBSTITUTE('2L Screening Matrix'!$I$2:$I$46,", ",",")&amp;","))*('2L Screening Matrix'!$C$2:$C$46=$A17))</f>
        <v>0</v>
      </c>
      <c r="R17" s="11">
        <f>SUMPRODUCT(ISNUMBER(SEARCH(",c-MET/MET,",","&amp;SUBSTITUTE('1L Screening Matrix'!$I$2:$I$77,", ",",")&amp;","))*('1L Screening Matrix'!$C$2:$C$77=$A17))+SUMPRODUCT(ISNUMBER(SEARCH(",c-MET/MET,",","&amp;SUBSTITUTE('2L Screening Matrix'!$I$2:$I$46,", ",",")&amp;","))*('2L Screening Matrix'!$C$2:$C$46=$A17))</f>
        <v>0</v>
      </c>
      <c r="S17" s="11">
        <f>SUMPRODUCT(ISNUMBER(SEARCH(",HER2,",","&amp;SUBSTITUTE('1L Screening Matrix'!$I$2:$I$77,", ",",")&amp;","))*('1L Screening Matrix'!$C$2:$C$77=$A17))+SUMPRODUCT(ISNUMBER(SEARCH(",HER2,",","&amp;SUBSTITUTE('2L Screening Matrix'!$I$2:$I$46,", ",",")&amp;","))*('2L Screening Matrix'!$C$2:$C$46=$A17))</f>
        <v>0</v>
      </c>
      <c r="T17" s="11">
        <f>SUMPRODUCT(ISNUMBER(SEARCH(",ROS1,",","&amp;SUBSTITUTE('1L Screening Matrix'!$I$2:$I$77,", ",",")&amp;","))*('1L Screening Matrix'!$C$2:$C$77=$A17))+SUMPRODUCT(ISNUMBER(SEARCH(",ROS1,",","&amp;SUBSTITUTE('2L Screening Matrix'!$I$2:$I$46,", ",",")&amp;","))*('2L Screening Matrix'!$C$2:$C$46=$A17))</f>
        <v>0</v>
      </c>
      <c r="U17" s="11">
        <f>SUMPRODUCT(ISNUMBER(SEARCH(",TIGIT,",","&amp;SUBSTITUTE('1L Screening Matrix'!$I$2:$I$77,", ",",")&amp;","))*('1L Screening Matrix'!$C$2:$C$77=$A17))+SUMPRODUCT(ISNUMBER(SEARCH(",TIGIT,",","&amp;SUBSTITUTE('2L Screening Matrix'!$I$2:$I$46,", ",",")&amp;","))*('2L Screening Matrix'!$C$2:$C$46=$A17))</f>
        <v>0</v>
      </c>
      <c r="V17" s="11">
        <f>SUMPRODUCT(ISNUMBER(SEARCH(",EGFR L858R,",","&amp;SUBSTITUTE('1L Screening Matrix'!$I$2:$I$77,", ",",")&amp;","))*('1L Screening Matrix'!$C$2:$C$77=$A17))+SUMPRODUCT(ISNUMBER(SEARCH(",EGFR L858R,",","&amp;SUBSTITUTE('2L Screening Matrix'!$I$2:$I$46,", ",",")&amp;","))*('2L Screening Matrix'!$C$2:$C$46=$A17))</f>
        <v>0</v>
      </c>
      <c r="W17" s="11">
        <f>SUMPRODUCT(ISNUMBER(SEARCH(",ROS,",","&amp;SUBSTITUTE('1L Screening Matrix'!$I$2:$I$77,", ",",")&amp;","))*('1L Screening Matrix'!$C$2:$C$77=$A17))+SUMPRODUCT(ISNUMBER(SEARCH(",ROS,",","&amp;SUBSTITUTE('2L Screening Matrix'!$I$2:$I$46,", ",",")&amp;","))*('2L Screening Matrix'!$C$2:$C$46=$A17))</f>
        <v>0</v>
      </c>
      <c r="X17" s="11">
        <f>SUMPRODUCT(ISNUMBER(SEARCH(",IL-2,",","&amp;SUBSTITUTE('1L Screening Matrix'!$I$2:$I$77,", ",",")&amp;","))*('1L Screening Matrix'!$C$2:$C$77=$A17))+SUMPRODUCT(ISNUMBER(SEARCH(",IL-2,",","&amp;SUBSTITUTE('2L Screening Matrix'!$I$2:$I$46,", ",",")&amp;","))*('2L Screening Matrix'!$C$2:$C$46=$A17))</f>
        <v>0</v>
      </c>
      <c r="Y17" s="11">
        <f>SUMPRODUCT(ISNUMBER(SEARCH(",TCGF,",","&amp;SUBSTITUTE('1L Screening Matrix'!$I$2:$I$77,", ",",")&amp;","))*('1L Screening Matrix'!$C$2:$C$77=$A17))+SUMPRODUCT(ISNUMBER(SEARCH(",TCGF,",","&amp;SUBSTITUTE('2L Screening Matrix'!$I$2:$I$46,", ",",")&amp;","))*('2L Screening Matrix'!$C$2:$C$46=$A17))</f>
        <v>0</v>
      </c>
      <c r="Z17" s="11">
        <f>SUMPRODUCT(ISNUMBER(SEARCH(",CTLA-4,",","&amp;SUBSTITUTE('1L Screening Matrix'!$I$2:$I$77,", ",",")&amp;","))*('1L Screening Matrix'!$C$2:$C$77=$A17))+SUMPRODUCT(ISNUMBER(SEARCH(",CTLA-4,",","&amp;SUBSTITUTE('2L Screening Matrix'!$I$2:$I$46,", ",",")&amp;","))*('2L Screening Matrix'!$C$2:$C$46=$A17))</f>
        <v>1</v>
      </c>
      <c r="AA17" s="11">
        <f>SUMPRODUCT(ISNUMBER(SEARCH(",EGFR Exon 20,",","&amp;SUBSTITUTE('1L Screening Matrix'!$I$2:$I$77,", ",",")&amp;","))*('1L Screening Matrix'!$C$2:$C$77=$A17))+SUMPRODUCT(ISNUMBER(SEARCH(",EGFR Exon 20,",","&amp;SUBSTITUTE('2L Screening Matrix'!$I$2:$I$46,", ",",")&amp;","))*('2L Screening Matrix'!$C$2:$C$46=$A17))</f>
        <v>0</v>
      </c>
      <c r="AB17" s="11">
        <f>SUMPRODUCT(ISNUMBER(SEARCH(",HER2 Exon 20,",","&amp;SUBSTITUTE('1L Screening Matrix'!$I$2:$I$77,", ",",")&amp;","))*('1L Screening Matrix'!$C$2:$C$77=$A17))+SUMPRODUCT(ISNUMBER(SEARCH(",HER2 Exon 20,",","&amp;SUBSTITUTE('2L Screening Matrix'!$I$2:$I$46,", ",",")&amp;","))*('2L Screening Matrix'!$C$2:$C$46=$A17))</f>
        <v>0</v>
      </c>
      <c r="AC17" s="11">
        <f>SUMPRODUCT(ISNUMBER(SEARCH(",IL-15,",","&amp;SUBSTITUTE('1L Screening Matrix'!$I$2:$I$77,", ",",")&amp;","))*('1L Screening Matrix'!$C$2:$C$77=$A17))+SUMPRODUCT(ISNUMBER(SEARCH(",IL-15,",","&amp;SUBSTITUTE('2L Screening Matrix'!$I$2:$I$46,", ",",")&amp;","))*('2L Screening Matrix'!$C$2:$C$46=$A17))</f>
        <v>0</v>
      </c>
      <c r="AD17" s="11">
        <f>SUMPRODUCT(ISNUMBER(SEARCH(",IL-15R,",","&amp;SUBSTITUTE('1L Screening Matrix'!$I$2:$I$77,", ",",")&amp;","))*('1L Screening Matrix'!$C$2:$C$77=$A17))+SUMPRODUCT(ISNUMBER(SEARCH(",IL-15R,",","&amp;SUBSTITUTE('2L Screening Matrix'!$I$2:$I$46,", ",",")&amp;","))*('2L Screening Matrix'!$C$2:$C$46=$A17))</f>
        <v>0</v>
      </c>
      <c r="AE17" s="11">
        <f>SUMPRODUCT(ISNUMBER(SEARCH(",KRAS G12D,",","&amp;SUBSTITUTE('1L Screening Matrix'!$I$2:$I$77,", ",",")&amp;","))*('1L Screening Matrix'!$C$2:$C$77=$A17))+SUMPRODUCT(ISNUMBER(SEARCH(",KRAS G12D,",","&amp;SUBSTITUTE('2L Screening Matrix'!$I$2:$I$46,", ",",")&amp;","))*('2L Screening Matrix'!$C$2:$C$46=$A17))</f>
        <v>0</v>
      </c>
      <c r="AF17" s="11">
        <f>SUMPRODUCT(ISNUMBER(SEARCH(",HER4,",","&amp;SUBSTITUTE('1L Screening Matrix'!$I$2:$I$77,", ",",")&amp;","))*('1L Screening Matrix'!$C$2:$C$77=$A17))+SUMPRODUCT(ISNUMBER(SEARCH(",HER4,",","&amp;SUBSTITUTE('2L Screening Matrix'!$I$2:$I$46,", ",",")&amp;","))*('2L Screening Matrix'!$C$2:$C$46=$A17))</f>
        <v>0</v>
      </c>
      <c r="AG17" s="11">
        <f>SUMPRODUCT(ISNUMBER(SEARCH(",ALK L1196M,",","&amp;SUBSTITUTE('1L Screening Matrix'!$I$2:$I$77,", ",",")&amp;","))*('1L Screening Matrix'!$C$2:$C$77=$A17))+SUMPRODUCT(ISNUMBER(SEARCH(",ALK L1196M,",","&amp;SUBSTITUTE('2L Screening Matrix'!$I$2:$I$46,", ",",")&amp;","))*('2L Screening Matrix'!$C$2:$C$46=$A17))</f>
        <v>0</v>
      </c>
      <c r="AH17" s="11">
        <f>SUMPRODUCT(ISNUMBER(SEARCH(",CD152,",","&amp;SUBSTITUTE('1L Screening Matrix'!$I$2:$I$77,", ",",")&amp;","))*('1L Screening Matrix'!$C$2:$C$77=$A17))+SUMPRODUCT(ISNUMBER(SEARCH(",CD152,",","&amp;SUBSTITUTE('2L Screening Matrix'!$I$2:$I$46,", ",",")&amp;","))*('2L Screening Matrix'!$C$2:$C$46=$A17))</f>
        <v>0</v>
      </c>
      <c r="AI17" s="11">
        <f>SUMPRODUCT(ISNUMBER(SEARCH(",MLN19,",","&amp;SUBSTITUTE('1L Screening Matrix'!$I$2:$I$77,", ",",")&amp;","))*('1L Screening Matrix'!$C$2:$C$77=$A17))+SUMPRODUCT(ISNUMBER(SEARCH(",MLN19,",","&amp;SUBSTITUTE('2L Screening Matrix'!$I$2:$I$46,", ",",")&amp;","))*('2L Screening Matrix'!$C$2:$C$46=$A17))</f>
        <v>0</v>
      </c>
      <c r="AJ17" s="11">
        <f>SUMPRODUCT(ISNUMBER(SEARCH(",NTRK,",","&amp;SUBSTITUTE('1L Screening Matrix'!$I$2:$I$77,", ",",")&amp;","))*('1L Screening Matrix'!$C$2:$C$77=$A17))+SUMPRODUCT(ISNUMBER(SEARCH(",NTRK,",","&amp;SUBSTITUTE('2L Screening Matrix'!$I$2:$I$46,", ",",")&amp;","))*('2L Screening Matrix'!$C$2:$C$46=$A17))</f>
        <v>0</v>
      </c>
      <c r="AK17" s="11">
        <f>SUMPRODUCT(ISNUMBER(SEARCH(",Integrin β6,",","&amp;SUBSTITUTE('1L Screening Matrix'!$I$2:$I$77,", ",",")&amp;","))*('1L Screening Matrix'!$C$2:$C$77=$A17))+SUMPRODUCT(ISNUMBER(SEARCH(",Integrin β6,",","&amp;SUBSTITUTE('2L Screening Matrix'!$I$2:$I$46,", ",",")&amp;","))*('2L Screening Matrix'!$C$2:$C$46=$A17))</f>
        <v>0</v>
      </c>
      <c r="AL17" s="11">
        <f>SUMPRODUCT(ISNUMBER(SEARCH(",LAG-3,",","&amp;SUBSTITUTE('1L Screening Matrix'!$I$2:$I$77,", ",",")&amp;","))*('1L Screening Matrix'!$C$2:$C$77=$A17))+SUMPRODUCT(ISNUMBER(SEARCH(",LAG-3,",","&amp;SUBSTITUTE('2L Screening Matrix'!$I$2:$I$46,", ",",")&amp;","))*('2L Screening Matrix'!$C$2:$C$46=$A17))</f>
        <v>0</v>
      </c>
      <c r="AM17" s="14">
        <f t="shared" si="0"/>
        <v>2</v>
      </c>
    </row>
    <row r="18" spans="1:39" ht="15" customHeight="1" x14ac:dyDescent="0.2">
      <c r="A18" s="12" t="s">
        <v>1843</v>
      </c>
      <c r="B18" s="11">
        <f>SUMPRODUCT(ISNUMBER(SEARCH(",PD-1,",","&amp;SUBSTITUTE('1L Screening Matrix'!$I$2:$I$77,", ",",")&amp;","))*('1L Screening Matrix'!$C$2:$C$77=$A18))+SUMPRODUCT(ISNUMBER(SEARCH(",PD-1,",","&amp;SUBSTITUTE('2L Screening Matrix'!$I$2:$I$46,", ",",")&amp;","))*('2L Screening Matrix'!$C$2:$C$46=$A18))</f>
        <v>1</v>
      </c>
      <c r="C18" s="11">
        <f>SUMPRODUCT(ISNUMBER(SEARCH(",CD279,",","&amp;SUBSTITUTE('1L Screening Matrix'!$I$2:$I$77,", ",",")&amp;","))*('1L Screening Matrix'!$C$2:$C$77=$A18))+SUMPRODUCT(ISNUMBER(SEARCH(",CD279,",","&amp;SUBSTITUTE('2L Screening Matrix'!$I$2:$I$46,", ",",")&amp;","))*('2L Screening Matrix'!$C$2:$C$46=$A18))</f>
        <v>1</v>
      </c>
      <c r="D18" s="11">
        <f>SUMPRODUCT(ISNUMBER(SEARCH(",TS,",","&amp;SUBSTITUTE('1L Screening Matrix'!$I$2:$I$77,", ",",")&amp;","))*('1L Screening Matrix'!$C$2:$C$77=$A18))+SUMPRODUCT(ISNUMBER(SEARCH(",TS,",","&amp;SUBSTITUTE('2L Screening Matrix'!$I$2:$I$46,", ",",")&amp;","))*('2L Screening Matrix'!$C$2:$C$46=$A18))</f>
        <v>0</v>
      </c>
      <c r="E18" s="11">
        <f>SUMPRODUCT(ISNUMBER(SEARCH(",TYMS,",","&amp;SUBSTITUTE('1L Screening Matrix'!$I$2:$I$77,", ",",")&amp;","))*('1L Screening Matrix'!$C$2:$C$77=$A18))+SUMPRODUCT(ISNUMBER(SEARCH(",TYMS,",","&amp;SUBSTITUTE('2L Screening Matrix'!$I$2:$I$46,", ",",")&amp;","))*('2L Screening Matrix'!$C$2:$C$46=$A18))</f>
        <v>0</v>
      </c>
      <c r="F18" s="11">
        <f>SUMPRODUCT(ISNUMBER(SEARCH(",PD-L1,",","&amp;SUBSTITUTE('1L Screening Matrix'!$I$2:$I$77,", ",",")&amp;","))*('1L Screening Matrix'!$C$2:$C$77=$A18))+SUMPRODUCT(ISNUMBER(SEARCH(",PD-L1,",","&amp;SUBSTITUTE('2L Screening Matrix'!$I$2:$I$46,", ",",")&amp;","))*('2L Screening Matrix'!$C$2:$C$46=$A18))</f>
        <v>0</v>
      </c>
      <c r="G18" s="11">
        <f>SUMPRODUCT(ISNUMBER(SEARCH(",B7-H1,",","&amp;SUBSTITUTE('1L Screening Matrix'!$I$2:$I$77,", ",",")&amp;","))*('1L Screening Matrix'!$C$2:$C$77=$A18))+SUMPRODUCT(ISNUMBER(SEARCH(",B7-H1,",","&amp;SUBSTITUTE('2L Screening Matrix'!$I$2:$I$46,", ",",")&amp;","))*('2L Screening Matrix'!$C$2:$C$46=$A18))</f>
        <v>0</v>
      </c>
      <c r="H18" s="11">
        <f>SUMPRODUCT(ISNUMBER(SEARCH(",CD274,",","&amp;SUBSTITUTE('1L Screening Matrix'!$I$2:$I$77,", ",",")&amp;","))*('1L Screening Matrix'!$C$2:$C$77=$A18))+SUMPRODUCT(ISNUMBER(SEARCH(",CD274,",","&amp;SUBSTITUTE('2L Screening Matrix'!$I$2:$I$46,", ",",")&amp;","))*('2L Screening Matrix'!$C$2:$C$46=$A18))</f>
        <v>0</v>
      </c>
      <c r="I18" s="11">
        <f>SUMPRODUCT(ISNUMBER(SEARCH(",EGFR,",","&amp;SUBSTITUTE('1L Screening Matrix'!$I$2:$I$77,", ",",")&amp;","))*('1L Screening Matrix'!$C$2:$C$77=$A18))+SUMPRODUCT(ISNUMBER(SEARCH(",EGFR,",","&amp;SUBSTITUTE('2L Screening Matrix'!$I$2:$I$46,", ",",")&amp;","))*('2L Screening Matrix'!$C$2:$C$46=$A18))</f>
        <v>0</v>
      </c>
      <c r="J18" s="11">
        <f>SUMPRODUCT(ISNUMBER(SEARCH(",VEGF,",","&amp;SUBSTITUTE('1L Screening Matrix'!$I$2:$I$77,", ",",")&amp;","))*('1L Screening Matrix'!$C$2:$C$77=$A18))+SUMPRODUCT(ISNUMBER(SEARCH(",VEGF,",","&amp;SUBSTITUTE('2L Screening Matrix'!$I$2:$I$46,", ",",")&amp;","))*('2L Screening Matrix'!$C$2:$C$46=$A18))</f>
        <v>0</v>
      </c>
      <c r="K18" s="11">
        <f>SUMPRODUCT(ISNUMBER(SEARCH(",ERBB,",","&amp;SUBSTITUTE('1L Screening Matrix'!$I$2:$I$77,", ",",")&amp;","))*('1L Screening Matrix'!$C$2:$C$77=$A18))+SUMPRODUCT(ISNUMBER(SEARCH(",ERBB,",","&amp;SUBSTITUTE('2L Screening Matrix'!$I$2:$I$46,", ",",")&amp;","))*('2L Screening Matrix'!$C$2:$C$46=$A18))</f>
        <v>0</v>
      </c>
      <c r="L18" s="11">
        <f>SUMPRODUCT(ISNUMBER(SEARCH(",HER1,",","&amp;SUBSTITUTE('1L Screening Matrix'!$I$2:$I$77,", ",",")&amp;","))*('1L Screening Matrix'!$C$2:$C$77=$A18))+SUMPRODUCT(ISNUMBER(SEARCH(",HER1,",","&amp;SUBSTITUTE('2L Screening Matrix'!$I$2:$I$46,", ",",")&amp;","))*('2L Screening Matrix'!$C$2:$C$46=$A18))</f>
        <v>0</v>
      </c>
      <c r="M18" s="11">
        <f>SUMPRODUCT(ISNUMBER(SEARCH(",Microtubule,",","&amp;SUBSTITUTE('1L Screening Matrix'!$I$2:$I$77,", ",",")&amp;","))*('1L Screening Matrix'!$C$2:$C$77=$A18))+SUMPRODUCT(ISNUMBER(SEARCH(",Microtubule,",","&amp;SUBSTITUTE('2L Screening Matrix'!$I$2:$I$46,", ",",")&amp;","))*('2L Screening Matrix'!$C$2:$C$46=$A18))</f>
        <v>0</v>
      </c>
      <c r="N18" s="11">
        <f>SUMPRODUCT(ISNUMBER(SEARCH(",KRAS G12C,",","&amp;SUBSTITUTE('1L Screening Matrix'!$I$2:$I$77,", ",",")&amp;","))*('1L Screening Matrix'!$C$2:$C$77=$A18))+SUMPRODUCT(ISNUMBER(SEARCH(",KRAS G12C,",","&amp;SUBSTITUTE('2L Screening Matrix'!$I$2:$I$46,", ",",")&amp;","))*('2L Screening Matrix'!$C$2:$C$46=$A18))</f>
        <v>0</v>
      </c>
      <c r="O18" s="11">
        <f>SUMPRODUCT(ISNUMBER(SEARCH(",EGFR T790M,",","&amp;SUBSTITUTE('1L Screening Matrix'!$I$2:$I$77,", ",",")&amp;","))*('1L Screening Matrix'!$C$2:$C$77=$A18))+SUMPRODUCT(ISNUMBER(SEARCH(",EGFR T790M,",","&amp;SUBSTITUTE('2L Screening Matrix'!$I$2:$I$46,", ",",")&amp;","))*('2L Screening Matrix'!$C$2:$C$46=$A18))</f>
        <v>0</v>
      </c>
      <c r="P18" s="11">
        <f>SUMPRODUCT(ISNUMBER(SEARCH(",ALK,",","&amp;SUBSTITUTE('1L Screening Matrix'!$I$2:$I$77,", ",",")&amp;","))*('1L Screening Matrix'!$C$2:$C$77=$A18))+SUMPRODUCT(ISNUMBER(SEARCH(",ALK,",","&amp;SUBSTITUTE('2L Screening Matrix'!$I$2:$I$46,", ",",")&amp;","))*('2L Screening Matrix'!$C$2:$C$46=$A18))</f>
        <v>0</v>
      </c>
      <c r="Q18" s="11">
        <f>SUMPRODUCT(ISNUMBER(SEARCH(",TROP2,",","&amp;SUBSTITUTE('1L Screening Matrix'!$I$2:$I$77,", ",",")&amp;","))*('1L Screening Matrix'!$C$2:$C$77=$A18))+SUMPRODUCT(ISNUMBER(SEARCH(",TROP2,",","&amp;SUBSTITUTE('2L Screening Matrix'!$I$2:$I$46,", ",",")&amp;","))*('2L Screening Matrix'!$C$2:$C$46=$A18))</f>
        <v>0</v>
      </c>
      <c r="R18" s="11">
        <f>SUMPRODUCT(ISNUMBER(SEARCH(",c-MET/MET,",","&amp;SUBSTITUTE('1L Screening Matrix'!$I$2:$I$77,", ",",")&amp;","))*('1L Screening Matrix'!$C$2:$C$77=$A18))+SUMPRODUCT(ISNUMBER(SEARCH(",c-MET/MET,",","&amp;SUBSTITUTE('2L Screening Matrix'!$I$2:$I$46,", ",",")&amp;","))*('2L Screening Matrix'!$C$2:$C$46=$A18))</f>
        <v>0</v>
      </c>
      <c r="S18" s="11">
        <f>SUMPRODUCT(ISNUMBER(SEARCH(",HER2,",","&amp;SUBSTITUTE('1L Screening Matrix'!$I$2:$I$77,", ",",")&amp;","))*('1L Screening Matrix'!$C$2:$C$77=$A18))+SUMPRODUCT(ISNUMBER(SEARCH(",HER2,",","&amp;SUBSTITUTE('2L Screening Matrix'!$I$2:$I$46,", ",",")&amp;","))*('2L Screening Matrix'!$C$2:$C$46=$A18))</f>
        <v>0</v>
      </c>
      <c r="T18" s="11">
        <f>SUMPRODUCT(ISNUMBER(SEARCH(",ROS1,",","&amp;SUBSTITUTE('1L Screening Matrix'!$I$2:$I$77,", ",",")&amp;","))*('1L Screening Matrix'!$C$2:$C$77=$A18))+SUMPRODUCT(ISNUMBER(SEARCH(",ROS1,",","&amp;SUBSTITUTE('2L Screening Matrix'!$I$2:$I$46,", ",",")&amp;","))*('2L Screening Matrix'!$C$2:$C$46=$A18))</f>
        <v>0</v>
      </c>
      <c r="U18" s="11">
        <f>SUMPRODUCT(ISNUMBER(SEARCH(",TIGIT,",","&amp;SUBSTITUTE('1L Screening Matrix'!$I$2:$I$77,", ",",")&amp;","))*('1L Screening Matrix'!$C$2:$C$77=$A18))+SUMPRODUCT(ISNUMBER(SEARCH(",TIGIT,",","&amp;SUBSTITUTE('2L Screening Matrix'!$I$2:$I$46,", ",",")&amp;","))*('2L Screening Matrix'!$C$2:$C$46=$A18))</f>
        <v>0</v>
      </c>
      <c r="V18" s="11">
        <f>SUMPRODUCT(ISNUMBER(SEARCH(",EGFR L858R,",","&amp;SUBSTITUTE('1L Screening Matrix'!$I$2:$I$77,", ",",")&amp;","))*('1L Screening Matrix'!$C$2:$C$77=$A18))+SUMPRODUCT(ISNUMBER(SEARCH(",EGFR L858R,",","&amp;SUBSTITUTE('2L Screening Matrix'!$I$2:$I$46,", ",",")&amp;","))*('2L Screening Matrix'!$C$2:$C$46=$A18))</f>
        <v>0</v>
      </c>
      <c r="W18" s="11">
        <f>SUMPRODUCT(ISNUMBER(SEARCH(",ROS,",","&amp;SUBSTITUTE('1L Screening Matrix'!$I$2:$I$77,", ",",")&amp;","))*('1L Screening Matrix'!$C$2:$C$77=$A18))+SUMPRODUCT(ISNUMBER(SEARCH(",ROS,",","&amp;SUBSTITUTE('2L Screening Matrix'!$I$2:$I$46,", ",",")&amp;","))*('2L Screening Matrix'!$C$2:$C$46=$A18))</f>
        <v>0</v>
      </c>
      <c r="X18" s="11">
        <f>SUMPRODUCT(ISNUMBER(SEARCH(",IL-2,",","&amp;SUBSTITUTE('1L Screening Matrix'!$I$2:$I$77,", ",",")&amp;","))*('1L Screening Matrix'!$C$2:$C$77=$A18))+SUMPRODUCT(ISNUMBER(SEARCH(",IL-2,",","&amp;SUBSTITUTE('2L Screening Matrix'!$I$2:$I$46,", ",",")&amp;","))*('2L Screening Matrix'!$C$2:$C$46=$A18))</f>
        <v>0</v>
      </c>
      <c r="Y18" s="11">
        <f>SUMPRODUCT(ISNUMBER(SEARCH(",TCGF,",","&amp;SUBSTITUTE('1L Screening Matrix'!$I$2:$I$77,", ",",")&amp;","))*('1L Screening Matrix'!$C$2:$C$77=$A18))+SUMPRODUCT(ISNUMBER(SEARCH(",TCGF,",","&amp;SUBSTITUTE('2L Screening Matrix'!$I$2:$I$46,", ",",")&amp;","))*('2L Screening Matrix'!$C$2:$C$46=$A18))</f>
        <v>0</v>
      </c>
      <c r="Z18" s="11">
        <f>SUMPRODUCT(ISNUMBER(SEARCH(",CTLA-4,",","&amp;SUBSTITUTE('1L Screening Matrix'!$I$2:$I$77,", ",",")&amp;","))*('1L Screening Matrix'!$C$2:$C$77=$A18))+SUMPRODUCT(ISNUMBER(SEARCH(",CTLA-4,",","&amp;SUBSTITUTE('2L Screening Matrix'!$I$2:$I$46,", ",",")&amp;","))*('2L Screening Matrix'!$C$2:$C$46=$A18))</f>
        <v>0</v>
      </c>
      <c r="AA18" s="11">
        <f>SUMPRODUCT(ISNUMBER(SEARCH(",EGFR Exon 20,",","&amp;SUBSTITUTE('1L Screening Matrix'!$I$2:$I$77,", ",",")&amp;","))*('1L Screening Matrix'!$C$2:$C$77=$A18))+SUMPRODUCT(ISNUMBER(SEARCH(",EGFR Exon 20,",","&amp;SUBSTITUTE('2L Screening Matrix'!$I$2:$I$46,", ",",")&amp;","))*('2L Screening Matrix'!$C$2:$C$46=$A18))</f>
        <v>0</v>
      </c>
      <c r="AB18" s="11">
        <f>SUMPRODUCT(ISNUMBER(SEARCH(",HER2 Exon 20,",","&amp;SUBSTITUTE('1L Screening Matrix'!$I$2:$I$77,", ",",")&amp;","))*('1L Screening Matrix'!$C$2:$C$77=$A18))+SUMPRODUCT(ISNUMBER(SEARCH(",HER2 Exon 20,",","&amp;SUBSTITUTE('2L Screening Matrix'!$I$2:$I$46,", ",",")&amp;","))*('2L Screening Matrix'!$C$2:$C$46=$A18))</f>
        <v>0</v>
      </c>
      <c r="AC18" s="11">
        <f>SUMPRODUCT(ISNUMBER(SEARCH(",IL-15,",","&amp;SUBSTITUTE('1L Screening Matrix'!$I$2:$I$77,", ",",")&amp;","))*('1L Screening Matrix'!$C$2:$C$77=$A18))+SUMPRODUCT(ISNUMBER(SEARCH(",IL-15,",","&amp;SUBSTITUTE('2L Screening Matrix'!$I$2:$I$46,", ",",")&amp;","))*('2L Screening Matrix'!$C$2:$C$46=$A18))</f>
        <v>0</v>
      </c>
      <c r="AD18" s="11">
        <f>SUMPRODUCT(ISNUMBER(SEARCH(",IL-15R,",","&amp;SUBSTITUTE('1L Screening Matrix'!$I$2:$I$77,", ",",")&amp;","))*('1L Screening Matrix'!$C$2:$C$77=$A18))+SUMPRODUCT(ISNUMBER(SEARCH(",IL-15R,",","&amp;SUBSTITUTE('2L Screening Matrix'!$I$2:$I$46,", ",",")&amp;","))*('2L Screening Matrix'!$C$2:$C$46=$A18))</f>
        <v>0</v>
      </c>
      <c r="AE18" s="11">
        <f>SUMPRODUCT(ISNUMBER(SEARCH(",KRAS G12D,",","&amp;SUBSTITUTE('1L Screening Matrix'!$I$2:$I$77,", ",",")&amp;","))*('1L Screening Matrix'!$C$2:$C$77=$A18))+SUMPRODUCT(ISNUMBER(SEARCH(",KRAS G12D,",","&amp;SUBSTITUTE('2L Screening Matrix'!$I$2:$I$46,", ",",")&amp;","))*('2L Screening Matrix'!$C$2:$C$46=$A18))</f>
        <v>0</v>
      </c>
      <c r="AF18" s="11">
        <f>SUMPRODUCT(ISNUMBER(SEARCH(",HER4,",","&amp;SUBSTITUTE('1L Screening Matrix'!$I$2:$I$77,", ",",")&amp;","))*('1L Screening Matrix'!$C$2:$C$77=$A18))+SUMPRODUCT(ISNUMBER(SEARCH(",HER4,",","&amp;SUBSTITUTE('2L Screening Matrix'!$I$2:$I$46,", ",",")&amp;","))*('2L Screening Matrix'!$C$2:$C$46=$A18))</f>
        <v>0</v>
      </c>
      <c r="AG18" s="11">
        <f>SUMPRODUCT(ISNUMBER(SEARCH(",ALK L1196M,",","&amp;SUBSTITUTE('1L Screening Matrix'!$I$2:$I$77,", ",",")&amp;","))*('1L Screening Matrix'!$C$2:$C$77=$A18))+SUMPRODUCT(ISNUMBER(SEARCH(",ALK L1196M,",","&amp;SUBSTITUTE('2L Screening Matrix'!$I$2:$I$46,", ",",")&amp;","))*('2L Screening Matrix'!$C$2:$C$46=$A18))</f>
        <v>0</v>
      </c>
      <c r="AH18" s="11">
        <f>SUMPRODUCT(ISNUMBER(SEARCH(",CD152,",","&amp;SUBSTITUTE('1L Screening Matrix'!$I$2:$I$77,", ",",")&amp;","))*('1L Screening Matrix'!$C$2:$C$77=$A18))+SUMPRODUCT(ISNUMBER(SEARCH(",CD152,",","&amp;SUBSTITUTE('2L Screening Matrix'!$I$2:$I$46,", ",",")&amp;","))*('2L Screening Matrix'!$C$2:$C$46=$A18))</f>
        <v>0</v>
      </c>
      <c r="AI18" s="11">
        <f>SUMPRODUCT(ISNUMBER(SEARCH(",MLN19,",","&amp;SUBSTITUTE('1L Screening Matrix'!$I$2:$I$77,", ",",")&amp;","))*('1L Screening Matrix'!$C$2:$C$77=$A18))+SUMPRODUCT(ISNUMBER(SEARCH(",MLN19,",","&amp;SUBSTITUTE('2L Screening Matrix'!$I$2:$I$46,", ",",")&amp;","))*('2L Screening Matrix'!$C$2:$C$46=$A18))</f>
        <v>0</v>
      </c>
      <c r="AJ18" s="11">
        <f>SUMPRODUCT(ISNUMBER(SEARCH(",NTRK,",","&amp;SUBSTITUTE('1L Screening Matrix'!$I$2:$I$77,", ",",")&amp;","))*('1L Screening Matrix'!$C$2:$C$77=$A18))+SUMPRODUCT(ISNUMBER(SEARCH(",NTRK,",","&amp;SUBSTITUTE('2L Screening Matrix'!$I$2:$I$46,", ",",")&amp;","))*('2L Screening Matrix'!$C$2:$C$46=$A18))</f>
        <v>0</v>
      </c>
      <c r="AK18" s="11">
        <f>SUMPRODUCT(ISNUMBER(SEARCH(",Integrin β6,",","&amp;SUBSTITUTE('1L Screening Matrix'!$I$2:$I$77,", ",",")&amp;","))*('1L Screening Matrix'!$C$2:$C$77=$A18))+SUMPRODUCT(ISNUMBER(SEARCH(",Integrin β6,",","&amp;SUBSTITUTE('2L Screening Matrix'!$I$2:$I$46,", ",",")&amp;","))*('2L Screening Matrix'!$C$2:$C$46=$A18))</f>
        <v>0</v>
      </c>
      <c r="AL18" s="11">
        <f>SUMPRODUCT(ISNUMBER(SEARCH(",LAG-3,",","&amp;SUBSTITUTE('1L Screening Matrix'!$I$2:$I$77,", ",",")&amp;","))*('1L Screening Matrix'!$C$2:$C$77=$A18))+SUMPRODUCT(ISNUMBER(SEARCH(",LAG-3,",","&amp;SUBSTITUTE('2L Screening Matrix'!$I$2:$I$46,", ",",")&amp;","))*('2L Screening Matrix'!$C$2:$C$46=$A18))</f>
        <v>0</v>
      </c>
      <c r="AM18" s="14">
        <f t="shared" si="0"/>
        <v>2</v>
      </c>
    </row>
    <row r="19" spans="1:39" ht="15" customHeight="1" x14ac:dyDescent="0.2">
      <c r="A19" s="15" t="s">
        <v>664</v>
      </c>
      <c r="B19" s="11">
        <f>SUMPRODUCT(ISNUMBER(SEARCH(",PD-1,",","&amp;SUBSTITUTE('1L Screening Matrix'!$I$2:$I$77,", ",",")&amp;","))*('1L Screening Matrix'!$C$2:$C$77=$A19))+SUMPRODUCT(ISNUMBER(SEARCH(",PD-1,",","&amp;SUBSTITUTE('2L Screening Matrix'!$I$2:$I$46,", ",",")&amp;","))*('2L Screening Matrix'!$C$2:$C$46=$A19))</f>
        <v>1</v>
      </c>
      <c r="C19" s="11">
        <f>SUMPRODUCT(ISNUMBER(SEARCH(",CD279,",","&amp;SUBSTITUTE('1L Screening Matrix'!$I$2:$I$77,", ",",")&amp;","))*('1L Screening Matrix'!$C$2:$C$77=$A19))+SUMPRODUCT(ISNUMBER(SEARCH(",CD279,",","&amp;SUBSTITUTE('2L Screening Matrix'!$I$2:$I$46,", ",",")&amp;","))*('2L Screening Matrix'!$C$2:$C$46=$A19))</f>
        <v>1</v>
      </c>
      <c r="D19" s="11">
        <f>SUMPRODUCT(ISNUMBER(SEARCH(",TS,",","&amp;SUBSTITUTE('1L Screening Matrix'!$I$2:$I$77,", ",",")&amp;","))*('1L Screening Matrix'!$C$2:$C$77=$A19))+SUMPRODUCT(ISNUMBER(SEARCH(",TS,",","&amp;SUBSTITUTE('2L Screening Matrix'!$I$2:$I$46,", ",",")&amp;","))*('2L Screening Matrix'!$C$2:$C$46=$A19))</f>
        <v>1</v>
      </c>
      <c r="E19" s="11">
        <f>SUMPRODUCT(ISNUMBER(SEARCH(",TYMS,",","&amp;SUBSTITUTE('1L Screening Matrix'!$I$2:$I$77,", ",",")&amp;","))*('1L Screening Matrix'!$C$2:$C$77=$A19))+SUMPRODUCT(ISNUMBER(SEARCH(",TYMS,",","&amp;SUBSTITUTE('2L Screening Matrix'!$I$2:$I$46,", ",",")&amp;","))*('2L Screening Matrix'!$C$2:$C$46=$A19))</f>
        <v>1</v>
      </c>
      <c r="F19" s="11">
        <f>SUMPRODUCT(ISNUMBER(SEARCH(",PD-L1,",","&amp;SUBSTITUTE('1L Screening Matrix'!$I$2:$I$77,", ",",")&amp;","))*('1L Screening Matrix'!$C$2:$C$77=$A19))+SUMPRODUCT(ISNUMBER(SEARCH(",PD-L1,",","&amp;SUBSTITUTE('2L Screening Matrix'!$I$2:$I$46,", ",",")&amp;","))*('2L Screening Matrix'!$C$2:$C$46=$A19))</f>
        <v>0</v>
      </c>
      <c r="G19" s="11">
        <f>SUMPRODUCT(ISNUMBER(SEARCH(",B7-H1,",","&amp;SUBSTITUTE('1L Screening Matrix'!$I$2:$I$77,", ",",")&amp;","))*('1L Screening Matrix'!$C$2:$C$77=$A19))+SUMPRODUCT(ISNUMBER(SEARCH(",B7-H1,",","&amp;SUBSTITUTE('2L Screening Matrix'!$I$2:$I$46,", ",",")&amp;","))*('2L Screening Matrix'!$C$2:$C$46=$A19))</f>
        <v>0</v>
      </c>
      <c r="H19" s="11">
        <f>SUMPRODUCT(ISNUMBER(SEARCH(",CD274,",","&amp;SUBSTITUTE('1L Screening Matrix'!$I$2:$I$77,", ",",")&amp;","))*('1L Screening Matrix'!$C$2:$C$77=$A19))+SUMPRODUCT(ISNUMBER(SEARCH(",CD274,",","&amp;SUBSTITUTE('2L Screening Matrix'!$I$2:$I$46,", ",",")&amp;","))*('2L Screening Matrix'!$C$2:$C$46=$A19))</f>
        <v>0</v>
      </c>
      <c r="I19" s="11">
        <f>SUMPRODUCT(ISNUMBER(SEARCH(",EGFR,",","&amp;SUBSTITUTE('1L Screening Matrix'!$I$2:$I$77,", ",",")&amp;","))*('1L Screening Matrix'!$C$2:$C$77=$A19))+SUMPRODUCT(ISNUMBER(SEARCH(",EGFR,",","&amp;SUBSTITUTE('2L Screening Matrix'!$I$2:$I$46,", ",",")&amp;","))*('2L Screening Matrix'!$C$2:$C$46=$A19))</f>
        <v>0</v>
      </c>
      <c r="J19" s="11">
        <f>SUMPRODUCT(ISNUMBER(SEARCH(",VEGF,",","&amp;SUBSTITUTE('1L Screening Matrix'!$I$2:$I$77,", ",",")&amp;","))*('1L Screening Matrix'!$C$2:$C$77=$A19))+SUMPRODUCT(ISNUMBER(SEARCH(",VEGF,",","&amp;SUBSTITUTE('2L Screening Matrix'!$I$2:$I$46,", ",",")&amp;","))*('2L Screening Matrix'!$C$2:$C$46=$A19))</f>
        <v>1</v>
      </c>
      <c r="K19" s="11">
        <f>SUMPRODUCT(ISNUMBER(SEARCH(",ERBB,",","&amp;SUBSTITUTE('1L Screening Matrix'!$I$2:$I$77,", ",",")&amp;","))*('1L Screening Matrix'!$C$2:$C$77=$A19))+SUMPRODUCT(ISNUMBER(SEARCH(",ERBB,",","&amp;SUBSTITUTE('2L Screening Matrix'!$I$2:$I$46,", ",",")&amp;","))*('2L Screening Matrix'!$C$2:$C$46=$A19))</f>
        <v>0</v>
      </c>
      <c r="L19" s="11">
        <f>SUMPRODUCT(ISNUMBER(SEARCH(",HER1,",","&amp;SUBSTITUTE('1L Screening Matrix'!$I$2:$I$77,", ",",")&amp;","))*('1L Screening Matrix'!$C$2:$C$77=$A19))+SUMPRODUCT(ISNUMBER(SEARCH(",HER1,",","&amp;SUBSTITUTE('2L Screening Matrix'!$I$2:$I$46,", ",",")&amp;","))*('2L Screening Matrix'!$C$2:$C$46=$A19))</f>
        <v>0</v>
      </c>
      <c r="M19" s="11">
        <f>SUMPRODUCT(ISNUMBER(SEARCH(",Microtubule,",","&amp;SUBSTITUTE('1L Screening Matrix'!$I$2:$I$77,", ",",")&amp;","))*('1L Screening Matrix'!$C$2:$C$77=$A19))+SUMPRODUCT(ISNUMBER(SEARCH(",Microtubule,",","&amp;SUBSTITUTE('2L Screening Matrix'!$I$2:$I$46,", ",",")&amp;","))*('2L Screening Matrix'!$C$2:$C$46=$A19))</f>
        <v>0</v>
      </c>
      <c r="N19" s="11">
        <f>SUMPRODUCT(ISNUMBER(SEARCH(",KRAS G12C,",","&amp;SUBSTITUTE('1L Screening Matrix'!$I$2:$I$77,", ",",")&amp;","))*('1L Screening Matrix'!$C$2:$C$77=$A19))+SUMPRODUCT(ISNUMBER(SEARCH(",KRAS G12C,",","&amp;SUBSTITUTE('2L Screening Matrix'!$I$2:$I$46,", ",",")&amp;","))*('2L Screening Matrix'!$C$2:$C$46=$A19))</f>
        <v>0</v>
      </c>
      <c r="O19" s="11">
        <f>SUMPRODUCT(ISNUMBER(SEARCH(",EGFR T790M,",","&amp;SUBSTITUTE('1L Screening Matrix'!$I$2:$I$77,", ",",")&amp;","))*('1L Screening Matrix'!$C$2:$C$77=$A19))+SUMPRODUCT(ISNUMBER(SEARCH(",EGFR T790M,",","&amp;SUBSTITUTE('2L Screening Matrix'!$I$2:$I$46,", ",",")&amp;","))*('2L Screening Matrix'!$C$2:$C$46=$A19))</f>
        <v>0</v>
      </c>
      <c r="P19" s="11">
        <f>SUMPRODUCT(ISNUMBER(SEARCH(",ALK,",","&amp;SUBSTITUTE('1L Screening Matrix'!$I$2:$I$77,", ",",")&amp;","))*('1L Screening Matrix'!$C$2:$C$77=$A19))+SUMPRODUCT(ISNUMBER(SEARCH(",ALK,",","&amp;SUBSTITUTE('2L Screening Matrix'!$I$2:$I$46,", ",",")&amp;","))*('2L Screening Matrix'!$C$2:$C$46=$A19))</f>
        <v>0</v>
      </c>
      <c r="Q19" s="11">
        <f>SUMPRODUCT(ISNUMBER(SEARCH(",TROP2,",","&amp;SUBSTITUTE('1L Screening Matrix'!$I$2:$I$77,", ",",")&amp;","))*('1L Screening Matrix'!$C$2:$C$77=$A19))+SUMPRODUCT(ISNUMBER(SEARCH(",TROP2,",","&amp;SUBSTITUTE('2L Screening Matrix'!$I$2:$I$46,", ",",")&amp;","))*('2L Screening Matrix'!$C$2:$C$46=$A19))</f>
        <v>0</v>
      </c>
      <c r="R19" s="11">
        <f>SUMPRODUCT(ISNUMBER(SEARCH(",c-MET/MET,",","&amp;SUBSTITUTE('1L Screening Matrix'!$I$2:$I$77,", ",",")&amp;","))*('1L Screening Matrix'!$C$2:$C$77=$A19))+SUMPRODUCT(ISNUMBER(SEARCH(",c-MET/MET,",","&amp;SUBSTITUTE('2L Screening Matrix'!$I$2:$I$46,", ",",")&amp;","))*('2L Screening Matrix'!$C$2:$C$46=$A19))</f>
        <v>0</v>
      </c>
      <c r="S19" s="11">
        <f>SUMPRODUCT(ISNUMBER(SEARCH(",HER2,",","&amp;SUBSTITUTE('1L Screening Matrix'!$I$2:$I$77,", ",",")&amp;","))*('1L Screening Matrix'!$C$2:$C$77=$A19))+SUMPRODUCT(ISNUMBER(SEARCH(",HER2,",","&amp;SUBSTITUTE('2L Screening Matrix'!$I$2:$I$46,", ",",")&amp;","))*('2L Screening Matrix'!$C$2:$C$46=$A19))</f>
        <v>0</v>
      </c>
      <c r="T19" s="11">
        <f>SUMPRODUCT(ISNUMBER(SEARCH(",ROS1,",","&amp;SUBSTITUTE('1L Screening Matrix'!$I$2:$I$77,", ",",")&amp;","))*('1L Screening Matrix'!$C$2:$C$77=$A19))+SUMPRODUCT(ISNUMBER(SEARCH(",ROS1,",","&amp;SUBSTITUTE('2L Screening Matrix'!$I$2:$I$46,", ",",")&amp;","))*('2L Screening Matrix'!$C$2:$C$46=$A19))</f>
        <v>0</v>
      </c>
      <c r="U19" s="11">
        <f>SUMPRODUCT(ISNUMBER(SEARCH(",TIGIT,",","&amp;SUBSTITUTE('1L Screening Matrix'!$I$2:$I$77,", ",",")&amp;","))*('1L Screening Matrix'!$C$2:$C$77=$A19))+SUMPRODUCT(ISNUMBER(SEARCH(",TIGIT,",","&amp;SUBSTITUTE('2L Screening Matrix'!$I$2:$I$46,", ",",")&amp;","))*('2L Screening Matrix'!$C$2:$C$46=$A19))</f>
        <v>0</v>
      </c>
      <c r="V19" s="11">
        <f>SUMPRODUCT(ISNUMBER(SEARCH(",EGFR L858R,",","&amp;SUBSTITUTE('1L Screening Matrix'!$I$2:$I$77,", ",",")&amp;","))*('1L Screening Matrix'!$C$2:$C$77=$A19))+SUMPRODUCT(ISNUMBER(SEARCH(",EGFR L858R,",","&amp;SUBSTITUTE('2L Screening Matrix'!$I$2:$I$46,", ",",")&amp;","))*('2L Screening Matrix'!$C$2:$C$46=$A19))</f>
        <v>0</v>
      </c>
      <c r="W19" s="11">
        <f>SUMPRODUCT(ISNUMBER(SEARCH(",ROS,",","&amp;SUBSTITUTE('1L Screening Matrix'!$I$2:$I$77,", ",",")&amp;","))*('1L Screening Matrix'!$C$2:$C$77=$A19))+SUMPRODUCT(ISNUMBER(SEARCH(",ROS,",","&amp;SUBSTITUTE('2L Screening Matrix'!$I$2:$I$46,", ",",")&amp;","))*('2L Screening Matrix'!$C$2:$C$46=$A19))</f>
        <v>0</v>
      </c>
      <c r="X19" s="11">
        <f>SUMPRODUCT(ISNUMBER(SEARCH(",IL-2,",","&amp;SUBSTITUTE('1L Screening Matrix'!$I$2:$I$77,", ",",")&amp;","))*('1L Screening Matrix'!$C$2:$C$77=$A19))+SUMPRODUCT(ISNUMBER(SEARCH(",IL-2,",","&amp;SUBSTITUTE('2L Screening Matrix'!$I$2:$I$46,", ",",")&amp;","))*('2L Screening Matrix'!$C$2:$C$46=$A19))</f>
        <v>0</v>
      </c>
      <c r="Y19" s="11">
        <f>SUMPRODUCT(ISNUMBER(SEARCH(",TCGF,",","&amp;SUBSTITUTE('1L Screening Matrix'!$I$2:$I$77,", ",",")&amp;","))*('1L Screening Matrix'!$C$2:$C$77=$A19))+SUMPRODUCT(ISNUMBER(SEARCH(",TCGF,",","&amp;SUBSTITUTE('2L Screening Matrix'!$I$2:$I$46,", ",",")&amp;","))*('2L Screening Matrix'!$C$2:$C$46=$A19))</f>
        <v>0</v>
      </c>
      <c r="Z19" s="11">
        <f>SUMPRODUCT(ISNUMBER(SEARCH(",CTLA-4,",","&amp;SUBSTITUTE('1L Screening Matrix'!$I$2:$I$77,", ",",")&amp;","))*('1L Screening Matrix'!$C$2:$C$77=$A19))+SUMPRODUCT(ISNUMBER(SEARCH(",CTLA-4,",","&amp;SUBSTITUTE('2L Screening Matrix'!$I$2:$I$46,", ",",")&amp;","))*('2L Screening Matrix'!$C$2:$C$46=$A19))</f>
        <v>0</v>
      </c>
      <c r="AA19" s="11">
        <f>SUMPRODUCT(ISNUMBER(SEARCH(",EGFR Exon 20,",","&amp;SUBSTITUTE('1L Screening Matrix'!$I$2:$I$77,", ",",")&amp;","))*('1L Screening Matrix'!$C$2:$C$77=$A19))+SUMPRODUCT(ISNUMBER(SEARCH(",EGFR Exon 20,",","&amp;SUBSTITUTE('2L Screening Matrix'!$I$2:$I$46,", ",",")&amp;","))*('2L Screening Matrix'!$C$2:$C$46=$A19))</f>
        <v>0</v>
      </c>
      <c r="AB19" s="11">
        <f>SUMPRODUCT(ISNUMBER(SEARCH(",HER2 Exon 20,",","&amp;SUBSTITUTE('1L Screening Matrix'!$I$2:$I$77,", ",",")&amp;","))*('1L Screening Matrix'!$C$2:$C$77=$A19))+SUMPRODUCT(ISNUMBER(SEARCH(",HER2 Exon 20,",","&amp;SUBSTITUTE('2L Screening Matrix'!$I$2:$I$46,", ",",")&amp;","))*('2L Screening Matrix'!$C$2:$C$46=$A19))</f>
        <v>0</v>
      </c>
      <c r="AC19" s="11">
        <f>SUMPRODUCT(ISNUMBER(SEARCH(",IL-15,",","&amp;SUBSTITUTE('1L Screening Matrix'!$I$2:$I$77,", ",",")&amp;","))*('1L Screening Matrix'!$C$2:$C$77=$A19))+SUMPRODUCT(ISNUMBER(SEARCH(",IL-15,",","&amp;SUBSTITUTE('2L Screening Matrix'!$I$2:$I$46,", ",",")&amp;","))*('2L Screening Matrix'!$C$2:$C$46=$A19))</f>
        <v>0</v>
      </c>
      <c r="AD19" s="11">
        <f>SUMPRODUCT(ISNUMBER(SEARCH(",IL-15R,",","&amp;SUBSTITUTE('1L Screening Matrix'!$I$2:$I$77,", ",",")&amp;","))*('1L Screening Matrix'!$C$2:$C$77=$A19))+SUMPRODUCT(ISNUMBER(SEARCH(",IL-15R,",","&amp;SUBSTITUTE('2L Screening Matrix'!$I$2:$I$46,", ",",")&amp;","))*('2L Screening Matrix'!$C$2:$C$46=$A19))</f>
        <v>0</v>
      </c>
      <c r="AE19" s="11">
        <f>SUMPRODUCT(ISNUMBER(SEARCH(",KRAS G12D,",","&amp;SUBSTITUTE('1L Screening Matrix'!$I$2:$I$77,", ",",")&amp;","))*('1L Screening Matrix'!$C$2:$C$77=$A19))+SUMPRODUCT(ISNUMBER(SEARCH(",KRAS G12D,",","&amp;SUBSTITUTE('2L Screening Matrix'!$I$2:$I$46,", ",",")&amp;","))*('2L Screening Matrix'!$C$2:$C$46=$A19))</f>
        <v>0</v>
      </c>
      <c r="AF19" s="11">
        <f>SUMPRODUCT(ISNUMBER(SEARCH(",HER4,",","&amp;SUBSTITUTE('1L Screening Matrix'!$I$2:$I$77,", ",",")&amp;","))*('1L Screening Matrix'!$C$2:$C$77=$A19))+SUMPRODUCT(ISNUMBER(SEARCH(",HER4,",","&amp;SUBSTITUTE('2L Screening Matrix'!$I$2:$I$46,", ",",")&amp;","))*('2L Screening Matrix'!$C$2:$C$46=$A19))</f>
        <v>0</v>
      </c>
      <c r="AG19" s="11">
        <f>SUMPRODUCT(ISNUMBER(SEARCH(",ALK L1196M,",","&amp;SUBSTITUTE('1L Screening Matrix'!$I$2:$I$77,", ",",")&amp;","))*('1L Screening Matrix'!$C$2:$C$77=$A19))+SUMPRODUCT(ISNUMBER(SEARCH(",ALK L1196M,",","&amp;SUBSTITUTE('2L Screening Matrix'!$I$2:$I$46,", ",",")&amp;","))*('2L Screening Matrix'!$C$2:$C$46=$A19))</f>
        <v>0</v>
      </c>
      <c r="AH19" s="11">
        <f>SUMPRODUCT(ISNUMBER(SEARCH(",CD152,",","&amp;SUBSTITUTE('1L Screening Matrix'!$I$2:$I$77,", ",",")&amp;","))*('1L Screening Matrix'!$C$2:$C$77=$A19))+SUMPRODUCT(ISNUMBER(SEARCH(",CD152,",","&amp;SUBSTITUTE('2L Screening Matrix'!$I$2:$I$46,", ",",")&amp;","))*('2L Screening Matrix'!$C$2:$C$46=$A19))</f>
        <v>0</v>
      </c>
      <c r="AI19" s="11">
        <f>SUMPRODUCT(ISNUMBER(SEARCH(",MLN19,",","&amp;SUBSTITUTE('1L Screening Matrix'!$I$2:$I$77,", ",",")&amp;","))*('1L Screening Matrix'!$C$2:$C$77=$A19))+SUMPRODUCT(ISNUMBER(SEARCH(",MLN19,",","&amp;SUBSTITUTE('2L Screening Matrix'!$I$2:$I$46,", ",",")&amp;","))*('2L Screening Matrix'!$C$2:$C$46=$A19))</f>
        <v>0</v>
      </c>
      <c r="AJ19" s="11">
        <f>SUMPRODUCT(ISNUMBER(SEARCH(",NTRK,",","&amp;SUBSTITUTE('1L Screening Matrix'!$I$2:$I$77,", ",",")&amp;","))*('1L Screening Matrix'!$C$2:$C$77=$A19))+SUMPRODUCT(ISNUMBER(SEARCH(",NTRK,",","&amp;SUBSTITUTE('2L Screening Matrix'!$I$2:$I$46,", ",",")&amp;","))*('2L Screening Matrix'!$C$2:$C$46=$A19))</f>
        <v>0</v>
      </c>
      <c r="AK19" s="11">
        <f>SUMPRODUCT(ISNUMBER(SEARCH(",Integrin β6,",","&amp;SUBSTITUTE('1L Screening Matrix'!$I$2:$I$77,", ",",")&amp;","))*('1L Screening Matrix'!$C$2:$C$77=$A19))+SUMPRODUCT(ISNUMBER(SEARCH(",Integrin β6,",","&amp;SUBSTITUTE('2L Screening Matrix'!$I$2:$I$46,", ",",")&amp;","))*('2L Screening Matrix'!$C$2:$C$46=$A19))</f>
        <v>0</v>
      </c>
      <c r="AL19" s="11">
        <f>SUMPRODUCT(ISNUMBER(SEARCH(",LAG-3,",","&amp;SUBSTITUTE('1L Screening Matrix'!$I$2:$I$77,", ",",")&amp;","))*('1L Screening Matrix'!$C$2:$C$77=$A19))+SUMPRODUCT(ISNUMBER(SEARCH(",LAG-3,",","&amp;SUBSTITUTE('2L Screening Matrix'!$I$2:$I$46,", ",",")&amp;","))*('2L Screening Matrix'!$C$2:$C$46=$A19))</f>
        <v>0</v>
      </c>
      <c r="AM19" s="14">
        <f t="shared" si="0"/>
        <v>5</v>
      </c>
    </row>
    <row r="20" spans="1:39" ht="15" customHeight="1" x14ac:dyDescent="0.2">
      <c r="A20" s="12" t="s">
        <v>663</v>
      </c>
      <c r="B20" s="11">
        <f>SUMPRODUCT(ISNUMBER(SEARCH(",PD-1,",","&amp;SUBSTITUTE('1L Screening Matrix'!$I$2:$I$77,", ",",")&amp;","))*('1L Screening Matrix'!$C$2:$C$77=$A20))+SUMPRODUCT(ISNUMBER(SEARCH(",PD-1,",","&amp;SUBSTITUTE('2L Screening Matrix'!$I$2:$I$46,", ",",")&amp;","))*('2L Screening Matrix'!$C$2:$C$46=$A20))</f>
        <v>0</v>
      </c>
      <c r="C20" s="11">
        <f>SUMPRODUCT(ISNUMBER(SEARCH(",CD279,",","&amp;SUBSTITUTE('1L Screening Matrix'!$I$2:$I$77,", ",",")&amp;","))*('1L Screening Matrix'!$C$2:$C$77=$A20))+SUMPRODUCT(ISNUMBER(SEARCH(",CD279,",","&amp;SUBSTITUTE('2L Screening Matrix'!$I$2:$I$46,", ",",")&amp;","))*('2L Screening Matrix'!$C$2:$C$46=$A20))</f>
        <v>0</v>
      </c>
      <c r="D20" s="11">
        <f>SUMPRODUCT(ISNUMBER(SEARCH(",TS,",","&amp;SUBSTITUTE('1L Screening Matrix'!$I$2:$I$77,", ",",")&amp;","))*('1L Screening Matrix'!$C$2:$C$77=$A20))+SUMPRODUCT(ISNUMBER(SEARCH(",TS,",","&amp;SUBSTITUTE('2L Screening Matrix'!$I$2:$I$46,", ",",")&amp;","))*('2L Screening Matrix'!$C$2:$C$46=$A20))</f>
        <v>0</v>
      </c>
      <c r="E20" s="11">
        <f>SUMPRODUCT(ISNUMBER(SEARCH(",TYMS,",","&amp;SUBSTITUTE('1L Screening Matrix'!$I$2:$I$77,", ",",")&amp;","))*('1L Screening Matrix'!$C$2:$C$77=$A20))+SUMPRODUCT(ISNUMBER(SEARCH(",TYMS,",","&amp;SUBSTITUTE('2L Screening Matrix'!$I$2:$I$46,", ",",")&amp;","))*('2L Screening Matrix'!$C$2:$C$46=$A20))</f>
        <v>0</v>
      </c>
      <c r="F20" s="11">
        <f>SUMPRODUCT(ISNUMBER(SEARCH(",PD-L1,",","&amp;SUBSTITUTE('1L Screening Matrix'!$I$2:$I$77,", ",",")&amp;","))*('1L Screening Matrix'!$C$2:$C$77=$A20))+SUMPRODUCT(ISNUMBER(SEARCH(",PD-L1,",","&amp;SUBSTITUTE('2L Screening Matrix'!$I$2:$I$46,", ",",")&amp;","))*('2L Screening Matrix'!$C$2:$C$46=$A20))</f>
        <v>0</v>
      </c>
      <c r="G20" s="11">
        <f>SUMPRODUCT(ISNUMBER(SEARCH(",B7-H1,",","&amp;SUBSTITUTE('1L Screening Matrix'!$I$2:$I$77,", ",",")&amp;","))*('1L Screening Matrix'!$C$2:$C$77=$A20))+SUMPRODUCT(ISNUMBER(SEARCH(",B7-H1,",","&amp;SUBSTITUTE('2L Screening Matrix'!$I$2:$I$46,", ",",")&amp;","))*('2L Screening Matrix'!$C$2:$C$46=$A20))</f>
        <v>0</v>
      </c>
      <c r="H20" s="11">
        <f>SUMPRODUCT(ISNUMBER(SEARCH(",CD274,",","&amp;SUBSTITUTE('1L Screening Matrix'!$I$2:$I$77,", ",",")&amp;","))*('1L Screening Matrix'!$C$2:$C$77=$A20))+SUMPRODUCT(ISNUMBER(SEARCH(",CD274,",","&amp;SUBSTITUTE('2L Screening Matrix'!$I$2:$I$46,", ",",")&amp;","))*('2L Screening Matrix'!$C$2:$C$46=$A20))</f>
        <v>0</v>
      </c>
      <c r="I20" s="11">
        <f>SUMPRODUCT(ISNUMBER(SEARCH(",EGFR,",","&amp;SUBSTITUTE('1L Screening Matrix'!$I$2:$I$77,", ",",")&amp;","))*('1L Screening Matrix'!$C$2:$C$77=$A20))+SUMPRODUCT(ISNUMBER(SEARCH(",EGFR,",","&amp;SUBSTITUTE('2L Screening Matrix'!$I$2:$I$46,", ",",")&amp;","))*('2L Screening Matrix'!$C$2:$C$46=$A20))</f>
        <v>0</v>
      </c>
      <c r="J20" s="11">
        <f>SUMPRODUCT(ISNUMBER(SEARCH(",VEGF,",","&amp;SUBSTITUTE('1L Screening Matrix'!$I$2:$I$77,", ",",")&amp;","))*('1L Screening Matrix'!$C$2:$C$77=$A20))+SUMPRODUCT(ISNUMBER(SEARCH(",VEGF,",","&amp;SUBSTITUTE('2L Screening Matrix'!$I$2:$I$46,", ",",")&amp;","))*('2L Screening Matrix'!$C$2:$C$46=$A20))</f>
        <v>0</v>
      </c>
      <c r="K20" s="11">
        <f>SUMPRODUCT(ISNUMBER(SEARCH(",ERBB,",","&amp;SUBSTITUTE('1L Screening Matrix'!$I$2:$I$77,", ",",")&amp;","))*('1L Screening Matrix'!$C$2:$C$77=$A20))+SUMPRODUCT(ISNUMBER(SEARCH(",ERBB,",","&amp;SUBSTITUTE('2L Screening Matrix'!$I$2:$I$46,", ",",")&amp;","))*('2L Screening Matrix'!$C$2:$C$46=$A20))</f>
        <v>0</v>
      </c>
      <c r="L20" s="11">
        <f>SUMPRODUCT(ISNUMBER(SEARCH(",HER1,",","&amp;SUBSTITUTE('1L Screening Matrix'!$I$2:$I$77,", ",",")&amp;","))*('1L Screening Matrix'!$C$2:$C$77=$A20))+SUMPRODUCT(ISNUMBER(SEARCH(",HER1,",","&amp;SUBSTITUTE('2L Screening Matrix'!$I$2:$I$46,", ",",")&amp;","))*('2L Screening Matrix'!$C$2:$C$46=$A20))</f>
        <v>0</v>
      </c>
      <c r="M20" s="11">
        <f>SUMPRODUCT(ISNUMBER(SEARCH(",Microtubule,",","&amp;SUBSTITUTE('1L Screening Matrix'!$I$2:$I$77,", ",",")&amp;","))*('1L Screening Matrix'!$C$2:$C$77=$A20))+SUMPRODUCT(ISNUMBER(SEARCH(",Microtubule,",","&amp;SUBSTITUTE('2L Screening Matrix'!$I$2:$I$46,", ",",")&amp;","))*('2L Screening Matrix'!$C$2:$C$46=$A20))</f>
        <v>0</v>
      </c>
      <c r="N20" s="11">
        <f>SUMPRODUCT(ISNUMBER(SEARCH(",KRAS G12C,",","&amp;SUBSTITUTE('1L Screening Matrix'!$I$2:$I$77,", ",",")&amp;","))*('1L Screening Matrix'!$C$2:$C$77=$A20))+SUMPRODUCT(ISNUMBER(SEARCH(",KRAS G12C,",","&amp;SUBSTITUTE('2L Screening Matrix'!$I$2:$I$46,", ",",")&amp;","))*('2L Screening Matrix'!$C$2:$C$46=$A20))</f>
        <v>0</v>
      </c>
      <c r="O20" s="11">
        <f>SUMPRODUCT(ISNUMBER(SEARCH(",EGFR T790M,",","&amp;SUBSTITUTE('1L Screening Matrix'!$I$2:$I$77,", ",",")&amp;","))*('1L Screening Matrix'!$C$2:$C$77=$A20))+SUMPRODUCT(ISNUMBER(SEARCH(",EGFR T790M,",","&amp;SUBSTITUTE('2L Screening Matrix'!$I$2:$I$46,", ",",")&amp;","))*('2L Screening Matrix'!$C$2:$C$46=$A20))</f>
        <v>0</v>
      </c>
      <c r="P20" s="11">
        <f>SUMPRODUCT(ISNUMBER(SEARCH(",ALK,",","&amp;SUBSTITUTE('1L Screening Matrix'!$I$2:$I$77,", ",",")&amp;","))*('1L Screening Matrix'!$C$2:$C$77=$A20))+SUMPRODUCT(ISNUMBER(SEARCH(",ALK,",","&amp;SUBSTITUTE('2L Screening Matrix'!$I$2:$I$46,", ",",")&amp;","))*('2L Screening Matrix'!$C$2:$C$46=$A20))</f>
        <v>0</v>
      </c>
      <c r="Q20" s="11">
        <f>SUMPRODUCT(ISNUMBER(SEARCH(",TROP2,",","&amp;SUBSTITUTE('1L Screening Matrix'!$I$2:$I$77,", ",",")&amp;","))*('1L Screening Matrix'!$C$2:$C$77=$A20))+SUMPRODUCT(ISNUMBER(SEARCH(",TROP2,",","&amp;SUBSTITUTE('2L Screening Matrix'!$I$2:$I$46,", ",",")&amp;","))*('2L Screening Matrix'!$C$2:$C$46=$A20))</f>
        <v>0</v>
      </c>
      <c r="R20" s="11">
        <f>SUMPRODUCT(ISNUMBER(SEARCH(",c-MET/MET,",","&amp;SUBSTITUTE('1L Screening Matrix'!$I$2:$I$77,", ",",")&amp;","))*('1L Screening Matrix'!$C$2:$C$77=$A20))+SUMPRODUCT(ISNUMBER(SEARCH(",c-MET/MET,",","&amp;SUBSTITUTE('2L Screening Matrix'!$I$2:$I$46,", ",",")&amp;","))*('2L Screening Matrix'!$C$2:$C$46=$A20))</f>
        <v>0</v>
      </c>
      <c r="S20" s="11">
        <f>SUMPRODUCT(ISNUMBER(SEARCH(",HER2,",","&amp;SUBSTITUTE('1L Screening Matrix'!$I$2:$I$77,", ",",")&amp;","))*('1L Screening Matrix'!$C$2:$C$77=$A20))+SUMPRODUCT(ISNUMBER(SEARCH(",HER2,",","&amp;SUBSTITUTE('2L Screening Matrix'!$I$2:$I$46,", ",",")&amp;","))*('2L Screening Matrix'!$C$2:$C$46=$A20))</f>
        <v>0</v>
      </c>
      <c r="T20" s="11">
        <f>SUMPRODUCT(ISNUMBER(SEARCH(",ROS1,",","&amp;SUBSTITUTE('1L Screening Matrix'!$I$2:$I$77,", ",",")&amp;","))*('1L Screening Matrix'!$C$2:$C$77=$A20))+SUMPRODUCT(ISNUMBER(SEARCH(",ROS1,",","&amp;SUBSTITUTE('2L Screening Matrix'!$I$2:$I$46,", ",",")&amp;","))*('2L Screening Matrix'!$C$2:$C$46=$A20))</f>
        <v>0</v>
      </c>
      <c r="U20" s="11">
        <f>SUMPRODUCT(ISNUMBER(SEARCH(",TIGIT,",","&amp;SUBSTITUTE('1L Screening Matrix'!$I$2:$I$77,", ",",")&amp;","))*('1L Screening Matrix'!$C$2:$C$77=$A20))+SUMPRODUCT(ISNUMBER(SEARCH(",TIGIT,",","&amp;SUBSTITUTE('2L Screening Matrix'!$I$2:$I$46,", ",",")&amp;","))*('2L Screening Matrix'!$C$2:$C$46=$A20))</f>
        <v>0</v>
      </c>
      <c r="V20" s="11">
        <f>SUMPRODUCT(ISNUMBER(SEARCH(",EGFR L858R,",","&amp;SUBSTITUTE('1L Screening Matrix'!$I$2:$I$77,", ",",")&amp;","))*('1L Screening Matrix'!$C$2:$C$77=$A20))+SUMPRODUCT(ISNUMBER(SEARCH(",EGFR L858R,",","&amp;SUBSTITUTE('2L Screening Matrix'!$I$2:$I$46,", ",",")&amp;","))*('2L Screening Matrix'!$C$2:$C$46=$A20))</f>
        <v>0</v>
      </c>
      <c r="W20" s="11">
        <f>SUMPRODUCT(ISNUMBER(SEARCH(",ROS,",","&amp;SUBSTITUTE('1L Screening Matrix'!$I$2:$I$77,", ",",")&amp;","))*('1L Screening Matrix'!$C$2:$C$77=$A20))+SUMPRODUCT(ISNUMBER(SEARCH(",ROS,",","&amp;SUBSTITUTE('2L Screening Matrix'!$I$2:$I$46,", ",",")&amp;","))*('2L Screening Matrix'!$C$2:$C$46=$A20))</f>
        <v>0</v>
      </c>
      <c r="X20" s="11">
        <f>SUMPRODUCT(ISNUMBER(SEARCH(",IL-2,",","&amp;SUBSTITUTE('1L Screening Matrix'!$I$2:$I$77,", ",",")&amp;","))*('1L Screening Matrix'!$C$2:$C$77=$A20))+SUMPRODUCT(ISNUMBER(SEARCH(",IL-2,",","&amp;SUBSTITUTE('2L Screening Matrix'!$I$2:$I$46,", ",",")&amp;","))*('2L Screening Matrix'!$C$2:$C$46=$A20))</f>
        <v>0</v>
      </c>
      <c r="Y20" s="11">
        <f>SUMPRODUCT(ISNUMBER(SEARCH(",TCGF,",","&amp;SUBSTITUTE('1L Screening Matrix'!$I$2:$I$77,", ",",")&amp;","))*('1L Screening Matrix'!$C$2:$C$77=$A20))+SUMPRODUCT(ISNUMBER(SEARCH(",TCGF,",","&amp;SUBSTITUTE('2L Screening Matrix'!$I$2:$I$46,", ",",")&amp;","))*('2L Screening Matrix'!$C$2:$C$46=$A20))</f>
        <v>0</v>
      </c>
      <c r="Z20" s="11">
        <f>SUMPRODUCT(ISNUMBER(SEARCH(",CTLA-4,",","&amp;SUBSTITUTE('1L Screening Matrix'!$I$2:$I$77,", ",",")&amp;","))*('1L Screening Matrix'!$C$2:$C$77=$A20))+SUMPRODUCT(ISNUMBER(SEARCH(",CTLA-4,",","&amp;SUBSTITUTE('2L Screening Matrix'!$I$2:$I$46,", ",",")&amp;","))*('2L Screening Matrix'!$C$2:$C$46=$A20))</f>
        <v>0</v>
      </c>
      <c r="AA20" s="11">
        <f>SUMPRODUCT(ISNUMBER(SEARCH(",EGFR Exon 20,",","&amp;SUBSTITUTE('1L Screening Matrix'!$I$2:$I$77,", ",",")&amp;","))*('1L Screening Matrix'!$C$2:$C$77=$A20))+SUMPRODUCT(ISNUMBER(SEARCH(",EGFR Exon 20,",","&amp;SUBSTITUTE('2L Screening Matrix'!$I$2:$I$46,", ",",")&amp;","))*('2L Screening Matrix'!$C$2:$C$46=$A20))</f>
        <v>0</v>
      </c>
      <c r="AB20" s="11">
        <f>SUMPRODUCT(ISNUMBER(SEARCH(",HER2 Exon 20,",","&amp;SUBSTITUTE('1L Screening Matrix'!$I$2:$I$77,", ",",")&amp;","))*('1L Screening Matrix'!$C$2:$C$77=$A20))+SUMPRODUCT(ISNUMBER(SEARCH(",HER2 Exon 20,",","&amp;SUBSTITUTE('2L Screening Matrix'!$I$2:$I$46,", ",",")&amp;","))*('2L Screening Matrix'!$C$2:$C$46=$A20))</f>
        <v>0</v>
      </c>
      <c r="AC20" s="11">
        <f>SUMPRODUCT(ISNUMBER(SEARCH(",IL-15,",","&amp;SUBSTITUTE('1L Screening Matrix'!$I$2:$I$77,", ",",")&amp;","))*('1L Screening Matrix'!$C$2:$C$77=$A20))+SUMPRODUCT(ISNUMBER(SEARCH(",IL-15,",","&amp;SUBSTITUTE('2L Screening Matrix'!$I$2:$I$46,", ",",")&amp;","))*('2L Screening Matrix'!$C$2:$C$46=$A20))</f>
        <v>0</v>
      </c>
      <c r="AD20" s="11">
        <f>SUMPRODUCT(ISNUMBER(SEARCH(",IL-15R,",","&amp;SUBSTITUTE('1L Screening Matrix'!$I$2:$I$77,", ",",")&amp;","))*('1L Screening Matrix'!$C$2:$C$77=$A20))+SUMPRODUCT(ISNUMBER(SEARCH(",IL-15R,",","&amp;SUBSTITUTE('2L Screening Matrix'!$I$2:$I$46,", ",",")&amp;","))*('2L Screening Matrix'!$C$2:$C$46=$A20))</f>
        <v>0</v>
      </c>
      <c r="AE20" s="11">
        <f>SUMPRODUCT(ISNUMBER(SEARCH(",KRAS G12D,",","&amp;SUBSTITUTE('1L Screening Matrix'!$I$2:$I$77,", ",",")&amp;","))*('1L Screening Matrix'!$C$2:$C$77=$A20))+SUMPRODUCT(ISNUMBER(SEARCH(",KRAS G12D,",","&amp;SUBSTITUTE('2L Screening Matrix'!$I$2:$I$46,", ",",")&amp;","))*('2L Screening Matrix'!$C$2:$C$46=$A20))</f>
        <v>0</v>
      </c>
      <c r="AF20" s="11">
        <f>SUMPRODUCT(ISNUMBER(SEARCH(",HER4,",","&amp;SUBSTITUTE('1L Screening Matrix'!$I$2:$I$77,", ",",")&amp;","))*('1L Screening Matrix'!$C$2:$C$77=$A20))+SUMPRODUCT(ISNUMBER(SEARCH(",HER4,",","&amp;SUBSTITUTE('2L Screening Matrix'!$I$2:$I$46,", ",",")&amp;","))*('2L Screening Matrix'!$C$2:$C$46=$A20))</f>
        <v>0</v>
      </c>
      <c r="AG20" s="11">
        <f>SUMPRODUCT(ISNUMBER(SEARCH(",ALK L1196M,",","&amp;SUBSTITUTE('1L Screening Matrix'!$I$2:$I$77,", ",",")&amp;","))*('1L Screening Matrix'!$C$2:$C$77=$A20))+SUMPRODUCT(ISNUMBER(SEARCH(",ALK L1196M,",","&amp;SUBSTITUTE('2L Screening Matrix'!$I$2:$I$46,", ",",")&amp;","))*('2L Screening Matrix'!$C$2:$C$46=$A20))</f>
        <v>0</v>
      </c>
      <c r="AH20" s="11">
        <f>SUMPRODUCT(ISNUMBER(SEARCH(",CD152,",","&amp;SUBSTITUTE('1L Screening Matrix'!$I$2:$I$77,", ",",")&amp;","))*('1L Screening Matrix'!$C$2:$C$77=$A20))+SUMPRODUCT(ISNUMBER(SEARCH(",CD152,",","&amp;SUBSTITUTE('2L Screening Matrix'!$I$2:$I$46,", ",",")&amp;","))*('2L Screening Matrix'!$C$2:$C$46=$A20))</f>
        <v>0</v>
      </c>
      <c r="AI20" s="11">
        <f>SUMPRODUCT(ISNUMBER(SEARCH(",MLN19,",","&amp;SUBSTITUTE('1L Screening Matrix'!$I$2:$I$77,", ",",")&amp;","))*('1L Screening Matrix'!$C$2:$C$77=$A20))+SUMPRODUCT(ISNUMBER(SEARCH(",MLN19,",","&amp;SUBSTITUTE('2L Screening Matrix'!$I$2:$I$46,", ",",")&amp;","))*('2L Screening Matrix'!$C$2:$C$46=$A20))</f>
        <v>0</v>
      </c>
      <c r="AJ20" s="11">
        <f>SUMPRODUCT(ISNUMBER(SEARCH(",NTRK,",","&amp;SUBSTITUTE('1L Screening Matrix'!$I$2:$I$77,", ",",")&amp;","))*('1L Screening Matrix'!$C$2:$C$77=$A20))+SUMPRODUCT(ISNUMBER(SEARCH(",NTRK,",","&amp;SUBSTITUTE('2L Screening Matrix'!$I$2:$I$46,", ",",")&amp;","))*('2L Screening Matrix'!$C$2:$C$46=$A20))</f>
        <v>0</v>
      </c>
      <c r="AK20" s="11">
        <f>SUMPRODUCT(ISNUMBER(SEARCH(",Integrin β6,",","&amp;SUBSTITUTE('1L Screening Matrix'!$I$2:$I$77,", ",",")&amp;","))*('1L Screening Matrix'!$C$2:$C$77=$A20))+SUMPRODUCT(ISNUMBER(SEARCH(",Integrin β6,",","&amp;SUBSTITUTE('2L Screening Matrix'!$I$2:$I$46,", ",",")&amp;","))*('2L Screening Matrix'!$C$2:$C$46=$A20))</f>
        <v>0</v>
      </c>
      <c r="AL20" s="11">
        <f>SUMPRODUCT(ISNUMBER(SEARCH(",LAG-3,",","&amp;SUBSTITUTE('1L Screening Matrix'!$I$2:$I$77,", ",",")&amp;","))*('1L Screening Matrix'!$C$2:$C$77=$A20))+SUMPRODUCT(ISNUMBER(SEARCH(",LAG-3,",","&amp;SUBSTITUTE('2L Screening Matrix'!$I$2:$I$46,", ",",")&amp;","))*('2L Screening Matrix'!$C$2:$C$46=$A20))</f>
        <v>0</v>
      </c>
      <c r="AM20" s="14">
        <f t="shared" si="0"/>
        <v>0</v>
      </c>
    </row>
    <row r="21" spans="1:39" ht="15" customHeight="1" x14ac:dyDescent="0.2">
      <c r="A21" s="15" t="s">
        <v>951</v>
      </c>
      <c r="B21" s="11">
        <f>SUMPRODUCT(ISNUMBER(SEARCH(",PD-1,",","&amp;SUBSTITUTE('1L Screening Matrix'!$I$2:$I$77,", ",",")&amp;","))*('1L Screening Matrix'!$C$2:$C$77=$A21))+SUMPRODUCT(ISNUMBER(SEARCH(",PD-1,",","&amp;SUBSTITUTE('2L Screening Matrix'!$I$2:$I$46,", ",",")&amp;","))*('2L Screening Matrix'!$C$2:$C$46=$A21))</f>
        <v>0</v>
      </c>
      <c r="C21" s="11">
        <f>SUMPRODUCT(ISNUMBER(SEARCH(",CD279,",","&amp;SUBSTITUTE('1L Screening Matrix'!$I$2:$I$77,", ",",")&amp;","))*('1L Screening Matrix'!$C$2:$C$77=$A21))+SUMPRODUCT(ISNUMBER(SEARCH(",CD279,",","&amp;SUBSTITUTE('2L Screening Matrix'!$I$2:$I$46,", ",",")&amp;","))*('2L Screening Matrix'!$C$2:$C$46=$A21))</f>
        <v>0</v>
      </c>
      <c r="D21" s="11">
        <f>SUMPRODUCT(ISNUMBER(SEARCH(",TS,",","&amp;SUBSTITUTE('1L Screening Matrix'!$I$2:$I$77,", ",",")&amp;","))*('1L Screening Matrix'!$C$2:$C$77=$A21))+SUMPRODUCT(ISNUMBER(SEARCH(",TS,",","&amp;SUBSTITUTE('2L Screening Matrix'!$I$2:$I$46,", ",",")&amp;","))*('2L Screening Matrix'!$C$2:$C$46=$A21))</f>
        <v>1</v>
      </c>
      <c r="E21" s="11">
        <f>SUMPRODUCT(ISNUMBER(SEARCH(",TYMS,",","&amp;SUBSTITUTE('1L Screening Matrix'!$I$2:$I$77,", ",",")&amp;","))*('1L Screening Matrix'!$C$2:$C$77=$A21))+SUMPRODUCT(ISNUMBER(SEARCH(",TYMS,",","&amp;SUBSTITUTE('2L Screening Matrix'!$I$2:$I$46,", ",",")&amp;","))*('2L Screening Matrix'!$C$2:$C$46=$A21))</f>
        <v>1</v>
      </c>
      <c r="F21" s="11">
        <f>SUMPRODUCT(ISNUMBER(SEARCH(",PD-L1,",","&amp;SUBSTITUTE('1L Screening Matrix'!$I$2:$I$77,", ",",")&amp;","))*('1L Screening Matrix'!$C$2:$C$77=$A21))+SUMPRODUCT(ISNUMBER(SEARCH(",PD-L1,",","&amp;SUBSTITUTE('2L Screening Matrix'!$I$2:$I$46,", ",",")&amp;","))*('2L Screening Matrix'!$C$2:$C$46=$A21))</f>
        <v>0</v>
      </c>
      <c r="G21" s="11">
        <f>SUMPRODUCT(ISNUMBER(SEARCH(",B7-H1,",","&amp;SUBSTITUTE('1L Screening Matrix'!$I$2:$I$77,", ",",")&amp;","))*('1L Screening Matrix'!$C$2:$C$77=$A21))+SUMPRODUCT(ISNUMBER(SEARCH(",B7-H1,",","&amp;SUBSTITUTE('2L Screening Matrix'!$I$2:$I$46,", ",",")&amp;","))*('2L Screening Matrix'!$C$2:$C$46=$A21))</f>
        <v>0</v>
      </c>
      <c r="H21" s="11">
        <f>SUMPRODUCT(ISNUMBER(SEARCH(",CD274,",","&amp;SUBSTITUTE('1L Screening Matrix'!$I$2:$I$77,", ",",")&amp;","))*('1L Screening Matrix'!$C$2:$C$77=$A21))+SUMPRODUCT(ISNUMBER(SEARCH(",CD274,",","&amp;SUBSTITUTE('2L Screening Matrix'!$I$2:$I$46,", ",",")&amp;","))*('2L Screening Matrix'!$C$2:$C$46=$A21))</f>
        <v>0</v>
      </c>
      <c r="I21" s="11">
        <f>SUMPRODUCT(ISNUMBER(SEARCH(",EGFR,",","&amp;SUBSTITUTE('1L Screening Matrix'!$I$2:$I$77,", ",",")&amp;","))*('1L Screening Matrix'!$C$2:$C$77=$A21))+SUMPRODUCT(ISNUMBER(SEARCH(",EGFR,",","&amp;SUBSTITUTE('2L Screening Matrix'!$I$2:$I$46,", ",",")&amp;","))*('2L Screening Matrix'!$C$2:$C$46=$A21))</f>
        <v>1</v>
      </c>
      <c r="J21" s="11">
        <f>SUMPRODUCT(ISNUMBER(SEARCH(",VEGF,",","&amp;SUBSTITUTE('1L Screening Matrix'!$I$2:$I$77,", ",",")&amp;","))*('1L Screening Matrix'!$C$2:$C$77=$A21))+SUMPRODUCT(ISNUMBER(SEARCH(",VEGF,",","&amp;SUBSTITUTE('2L Screening Matrix'!$I$2:$I$46,", ",",")&amp;","))*('2L Screening Matrix'!$C$2:$C$46=$A21))</f>
        <v>0</v>
      </c>
      <c r="K21" s="11">
        <f>SUMPRODUCT(ISNUMBER(SEARCH(",ERBB,",","&amp;SUBSTITUTE('1L Screening Matrix'!$I$2:$I$77,", ",",")&amp;","))*('1L Screening Matrix'!$C$2:$C$77=$A21))+SUMPRODUCT(ISNUMBER(SEARCH(",ERBB,",","&amp;SUBSTITUTE('2L Screening Matrix'!$I$2:$I$46,", ",",")&amp;","))*('2L Screening Matrix'!$C$2:$C$46=$A21))</f>
        <v>1</v>
      </c>
      <c r="L21" s="11">
        <f>SUMPRODUCT(ISNUMBER(SEARCH(",HER1,",","&amp;SUBSTITUTE('1L Screening Matrix'!$I$2:$I$77,", ",",")&amp;","))*('1L Screening Matrix'!$C$2:$C$77=$A21))+SUMPRODUCT(ISNUMBER(SEARCH(",HER1,",","&amp;SUBSTITUTE('2L Screening Matrix'!$I$2:$I$46,", ",",")&amp;","))*('2L Screening Matrix'!$C$2:$C$46=$A21))</f>
        <v>1</v>
      </c>
      <c r="M21" s="11">
        <f>SUMPRODUCT(ISNUMBER(SEARCH(",Microtubule,",","&amp;SUBSTITUTE('1L Screening Matrix'!$I$2:$I$77,", ",",")&amp;","))*('1L Screening Matrix'!$C$2:$C$77=$A21))+SUMPRODUCT(ISNUMBER(SEARCH(",Microtubule,",","&amp;SUBSTITUTE('2L Screening Matrix'!$I$2:$I$46,", ",",")&amp;","))*('2L Screening Matrix'!$C$2:$C$46=$A21))</f>
        <v>0</v>
      </c>
      <c r="N21" s="11">
        <f>SUMPRODUCT(ISNUMBER(SEARCH(",KRAS G12C,",","&amp;SUBSTITUTE('1L Screening Matrix'!$I$2:$I$77,", ",",")&amp;","))*('1L Screening Matrix'!$C$2:$C$77=$A21))+SUMPRODUCT(ISNUMBER(SEARCH(",KRAS G12C,",","&amp;SUBSTITUTE('2L Screening Matrix'!$I$2:$I$46,", ",",")&amp;","))*('2L Screening Matrix'!$C$2:$C$46=$A21))</f>
        <v>0</v>
      </c>
      <c r="O21" s="11">
        <f>SUMPRODUCT(ISNUMBER(SEARCH(",EGFR T790M,",","&amp;SUBSTITUTE('1L Screening Matrix'!$I$2:$I$77,", ",",")&amp;","))*('1L Screening Matrix'!$C$2:$C$77=$A21))+SUMPRODUCT(ISNUMBER(SEARCH(",EGFR T790M,",","&amp;SUBSTITUTE('2L Screening Matrix'!$I$2:$I$46,", ",",")&amp;","))*('2L Screening Matrix'!$C$2:$C$46=$A21))</f>
        <v>0</v>
      </c>
      <c r="P21" s="11">
        <f>SUMPRODUCT(ISNUMBER(SEARCH(",ALK,",","&amp;SUBSTITUTE('1L Screening Matrix'!$I$2:$I$77,", ",",")&amp;","))*('1L Screening Matrix'!$C$2:$C$77=$A21))+SUMPRODUCT(ISNUMBER(SEARCH(",ALK,",","&amp;SUBSTITUTE('2L Screening Matrix'!$I$2:$I$46,", ",",")&amp;","))*('2L Screening Matrix'!$C$2:$C$46=$A21))</f>
        <v>0</v>
      </c>
      <c r="Q21" s="11">
        <f>SUMPRODUCT(ISNUMBER(SEARCH(",TROP2,",","&amp;SUBSTITUTE('1L Screening Matrix'!$I$2:$I$77,", ",",")&amp;","))*('1L Screening Matrix'!$C$2:$C$77=$A21))+SUMPRODUCT(ISNUMBER(SEARCH(",TROP2,",","&amp;SUBSTITUTE('2L Screening Matrix'!$I$2:$I$46,", ",",")&amp;","))*('2L Screening Matrix'!$C$2:$C$46=$A21))</f>
        <v>0</v>
      </c>
      <c r="R21" s="11">
        <f>SUMPRODUCT(ISNUMBER(SEARCH(",c-MET/MET,",","&amp;SUBSTITUTE('1L Screening Matrix'!$I$2:$I$77,", ",",")&amp;","))*('1L Screening Matrix'!$C$2:$C$77=$A21))+SUMPRODUCT(ISNUMBER(SEARCH(",c-MET/MET,",","&amp;SUBSTITUTE('2L Screening Matrix'!$I$2:$I$46,", ",",")&amp;","))*('2L Screening Matrix'!$C$2:$C$46=$A21))</f>
        <v>0</v>
      </c>
      <c r="S21" s="11">
        <f>SUMPRODUCT(ISNUMBER(SEARCH(",HER2,",","&amp;SUBSTITUTE('1L Screening Matrix'!$I$2:$I$77,", ",",")&amp;","))*('1L Screening Matrix'!$C$2:$C$77=$A21))+SUMPRODUCT(ISNUMBER(SEARCH(",HER2,",","&amp;SUBSTITUTE('2L Screening Matrix'!$I$2:$I$46,", ",",")&amp;","))*('2L Screening Matrix'!$C$2:$C$46=$A21))</f>
        <v>0</v>
      </c>
      <c r="T21" s="11">
        <f>SUMPRODUCT(ISNUMBER(SEARCH(",ROS1,",","&amp;SUBSTITUTE('1L Screening Matrix'!$I$2:$I$77,", ",",")&amp;","))*('1L Screening Matrix'!$C$2:$C$77=$A21))+SUMPRODUCT(ISNUMBER(SEARCH(",ROS1,",","&amp;SUBSTITUTE('2L Screening Matrix'!$I$2:$I$46,", ",",")&amp;","))*('2L Screening Matrix'!$C$2:$C$46=$A21))</f>
        <v>0</v>
      </c>
      <c r="U21" s="11">
        <f>SUMPRODUCT(ISNUMBER(SEARCH(",TIGIT,",","&amp;SUBSTITUTE('1L Screening Matrix'!$I$2:$I$77,", ",",")&amp;","))*('1L Screening Matrix'!$C$2:$C$77=$A21))+SUMPRODUCT(ISNUMBER(SEARCH(",TIGIT,",","&amp;SUBSTITUTE('2L Screening Matrix'!$I$2:$I$46,", ",",")&amp;","))*('2L Screening Matrix'!$C$2:$C$46=$A21))</f>
        <v>0</v>
      </c>
      <c r="V21" s="11">
        <f>SUMPRODUCT(ISNUMBER(SEARCH(",EGFR L858R,",","&amp;SUBSTITUTE('1L Screening Matrix'!$I$2:$I$77,", ",",")&amp;","))*('1L Screening Matrix'!$C$2:$C$77=$A21))+SUMPRODUCT(ISNUMBER(SEARCH(",EGFR L858R,",","&amp;SUBSTITUTE('2L Screening Matrix'!$I$2:$I$46,", ",",")&amp;","))*('2L Screening Matrix'!$C$2:$C$46=$A21))</f>
        <v>0</v>
      </c>
      <c r="W21" s="11">
        <f>SUMPRODUCT(ISNUMBER(SEARCH(",ROS,",","&amp;SUBSTITUTE('1L Screening Matrix'!$I$2:$I$77,", ",",")&amp;","))*('1L Screening Matrix'!$C$2:$C$77=$A21))+SUMPRODUCT(ISNUMBER(SEARCH(",ROS,",","&amp;SUBSTITUTE('2L Screening Matrix'!$I$2:$I$46,", ",",")&amp;","))*('2L Screening Matrix'!$C$2:$C$46=$A21))</f>
        <v>0</v>
      </c>
      <c r="X21" s="11">
        <f>SUMPRODUCT(ISNUMBER(SEARCH(",IL-2,",","&amp;SUBSTITUTE('1L Screening Matrix'!$I$2:$I$77,", ",",")&amp;","))*('1L Screening Matrix'!$C$2:$C$77=$A21))+SUMPRODUCT(ISNUMBER(SEARCH(",IL-2,",","&amp;SUBSTITUTE('2L Screening Matrix'!$I$2:$I$46,", ",",")&amp;","))*('2L Screening Matrix'!$C$2:$C$46=$A21))</f>
        <v>0</v>
      </c>
      <c r="Y21" s="11">
        <f>SUMPRODUCT(ISNUMBER(SEARCH(",TCGF,",","&amp;SUBSTITUTE('1L Screening Matrix'!$I$2:$I$77,", ",",")&amp;","))*('1L Screening Matrix'!$C$2:$C$77=$A21))+SUMPRODUCT(ISNUMBER(SEARCH(",TCGF,",","&amp;SUBSTITUTE('2L Screening Matrix'!$I$2:$I$46,", ",",")&amp;","))*('2L Screening Matrix'!$C$2:$C$46=$A21))</f>
        <v>0</v>
      </c>
      <c r="Z21" s="11">
        <f>SUMPRODUCT(ISNUMBER(SEARCH(",CTLA-4,",","&amp;SUBSTITUTE('1L Screening Matrix'!$I$2:$I$77,", ",",")&amp;","))*('1L Screening Matrix'!$C$2:$C$77=$A21))+SUMPRODUCT(ISNUMBER(SEARCH(",CTLA-4,",","&amp;SUBSTITUTE('2L Screening Matrix'!$I$2:$I$46,", ",",")&amp;","))*('2L Screening Matrix'!$C$2:$C$46=$A21))</f>
        <v>0</v>
      </c>
      <c r="AA21" s="11">
        <f>SUMPRODUCT(ISNUMBER(SEARCH(",EGFR Exon 20,",","&amp;SUBSTITUTE('1L Screening Matrix'!$I$2:$I$77,", ",",")&amp;","))*('1L Screening Matrix'!$C$2:$C$77=$A21))+SUMPRODUCT(ISNUMBER(SEARCH(",EGFR Exon 20,",","&amp;SUBSTITUTE('2L Screening Matrix'!$I$2:$I$46,", ",",")&amp;","))*('2L Screening Matrix'!$C$2:$C$46=$A21))</f>
        <v>1</v>
      </c>
      <c r="AB21" s="11">
        <f>SUMPRODUCT(ISNUMBER(SEARCH(",HER2 Exon 20,",","&amp;SUBSTITUTE('1L Screening Matrix'!$I$2:$I$77,", ",",")&amp;","))*('1L Screening Matrix'!$C$2:$C$77=$A21))+SUMPRODUCT(ISNUMBER(SEARCH(",HER2 Exon 20,",","&amp;SUBSTITUTE('2L Screening Matrix'!$I$2:$I$46,", ",",")&amp;","))*('2L Screening Matrix'!$C$2:$C$46=$A21))</f>
        <v>0</v>
      </c>
      <c r="AC21" s="11">
        <f>SUMPRODUCT(ISNUMBER(SEARCH(",IL-15,",","&amp;SUBSTITUTE('1L Screening Matrix'!$I$2:$I$77,", ",",")&amp;","))*('1L Screening Matrix'!$C$2:$C$77=$A21))+SUMPRODUCT(ISNUMBER(SEARCH(",IL-15,",","&amp;SUBSTITUTE('2L Screening Matrix'!$I$2:$I$46,", ",",")&amp;","))*('2L Screening Matrix'!$C$2:$C$46=$A21))</f>
        <v>0</v>
      </c>
      <c r="AD21" s="11">
        <f>SUMPRODUCT(ISNUMBER(SEARCH(",IL-15R,",","&amp;SUBSTITUTE('1L Screening Matrix'!$I$2:$I$77,", ",",")&amp;","))*('1L Screening Matrix'!$C$2:$C$77=$A21))+SUMPRODUCT(ISNUMBER(SEARCH(",IL-15R,",","&amp;SUBSTITUTE('2L Screening Matrix'!$I$2:$I$46,", ",",")&amp;","))*('2L Screening Matrix'!$C$2:$C$46=$A21))</f>
        <v>0</v>
      </c>
      <c r="AE21" s="11">
        <f>SUMPRODUCT(ISNUMBER(SEARCH(",KRAS G12D,",","&amp;SUBSTITUTE('1L Screening Matrix'!$I$2:$I$77,", ",",")&amp;","))*('1L Screening Matrix'!$C$2:$C$77=$A21))+SUMPRODUCT(ISNUMBER(SEARCH(",KRAS G12D,",","&amp;SUBSTITUTE('2L Screening Matrix'!$I$2:$I$46,", ",",")&amp;","))*('2L Screening Matrix'!$C$2:$C$46=$A21))</f>
        <v>0</v>
      </c>
      <c r="AF21" s="11">
        <f>SUMPRODUCT(ISNUMBER(SEARCH(",HER4,",","&amp;SUBSTITUTE('1L Screening Matrix'!$I$2:$I$77,", ",",")&amp;","))*('1L Screening Matrix'!$C$2:$C$77=$A21))+SUMPRODUCT(ISNUMBER(SEARCH(",HER4,",","&amp;SUBSTITUTE('2L Screening Matrix'!$I$2:$I$46,", ",",")&amp;","))*('2L Screening Matrix'!$C$2:$C$46=$A21))</f>
        <v>0</v>
      </c>
      <c r="AG21" s="11">
        <f>SUMPRODUCT(ISNUMBER(SEARCH(",ALK L1196M,",","&amp;SUBSTITUTE('1L Screening Matrix'!$I$2:$I$77,", ",",")&amp;","))*('1L Screening Matrix'!$C$2:$C$77=$A21))+SUMPRODUCT(ISNUMBER(SEARCH(",ALK L1196M,",","&amp;SUBSTITUTE('2L Screening Matrix'!$I$2:$I$46,", ",",")&amp;","))*('2L Screening Matrix'!$C$2:$C$46=$A21))</f>
        <v>0</v>
      </c>
      <c r="AH21" s="11">
        <f>SUMPRODUCT(ISNUMBER(SEARCH(",CD152,",","&amp;SUBSTITUTE('1L Screening Matrix'!$I$2:$I$77,", ",",")&amp;","))*('1L Screening Matrix'!$C$2:$C$77=$A21))+SUMPRODUCT(ISNUMBER(SEARCH(",CD152,",","&amp;SUBSTITUTE('2L Screening Matrix'!$I$2:$I$46,", ",",")&amp;","))*('2L Screening Matrix'!$C$2:$C$46=$A21))</f>
        <v>0</v>
      </c>
      <c r="AI21" s="11">
        <f>SUMPRODUCT(ISNUMBER(SEARCH(",MLN19,",","&amp;SUBSTITUTE('1L Screening Matrix'!$I$2:$I$77,", ",",")&amp;","))*('1L Screening Matrix'!$C$2:$C$77=$A21))+SUMPRODUCT(ISNUMBER(SEARCH(",MLN19,",","&amp;SUBSTITUTE('2L Screening Matrix'!$I$2:$I$46,", ",",")&amp;","))*('2L Screening Matrix'!$C$2:$C$46=$A21))</f>
        <v>0</v>
      </c>
      <c r="AJ21" s="11">
        <f>SUMPRODUCT(ISNUMBER(SEARCH(",NTRK,",","&amp;SUBSTITUTE('1L Screening Matrix'!$I$2:$I$77,", ",",")&amp;","))*('1L Screening Matrix'!$C$2:$C$77=$A21))+SUMPRODUCT(ISNUMBER(SEARCH(",NTRK,",","&amp;SUBSTITUTE('2L Screening Matrix'!$I$2:$I$46,", ",",")&amp;","))*('2L Screening Matrix'!$C$2:$C$46=$A21))</f>
        <v>0</v>
      </c>
      <c r="AK21" s="11">
        <f>SUMPRODUCT(ISNUMBER(SEARCH(",Integrin β6,",","&amp;SUBSTITUTE('1L Screening Matrix'!$I$2:$I$77,", ",",")&amp;","))*('1L Screening Matrix'!$C$2:$C$77=$A21))+SUMPRODUCT(ISNUMBER(SEARCH(",Integrin β6,",","&amp;SUBSTITUTE('2L Screening Matrix'!$I$2:$I$46,", ",",")&amp;","))*('2L Screening Matrix'!$C$2:$C$46=$A21))</f>
        <v>0</v>
      </c>
      <c r="AL21" s="11">
        <f>SUMPRODUCT(ISNUMBER(SEARCH(",LAG-3,",","&amp;SUBSTITUTE('1L Screening Matrix'!$I$2:$I$77,", ",",")&amp;","))*('1L Screening Matrix'!$C$2:$C$77=$A21))+SUMPRODUCT(ISNUMBER(SEARCH(",LAG-3,",","&amp;SUBSTITUTE('2L Screening Matrix'!$I$2:$I$46,", ",",")&amp;","))*('2L Screening Matrix'!$C$2:$C$46=$A21))</f>
        <v>0</v>
      </c>
      <c r="AM21" s="14">
        <f t="shared" si="0"/>
        <v>6</v>
      </c>
    </row>
    <row r="22" spans="1:39" ht="15" customHeight="1" x14ac:dyDescent="0.2">
      <c r="A22" s="12" t="s">
        <v>833</v>
      </c>
      <c r="B22" s="11">
        <f>SUMPRODUCT(ISNUMBER(SEARCH(",PD-1,",","&amp;SUBSTITUTE('1L Screening Matrix'!$I$2:$I$77,", ",",")&amp;","))*('1L Screening Matrix'!$C$2:$C$77=$A22))+SUMPRODUCT(ISNUMBER(SEARCH(",PD-1,",","&amp;SUBSTITUTE('2L Screening Matrix'!$I$2:$I$46,", ",",")&amp;","))*('2L Screening Matrix'!$C$2:$C$46=$A22))</f>
        <v>3</v>
      </c>
      <c r="C22" s="11">
        <f>SUMPRODUCT(ISNUMBER(SEARCH(",CD279,",","&amp;SUBSTITUTE('1L Screening Matrix'!$I$2:$I$77,", ",",")&amp;","))*('1L Screening Matrix'!$C$2:$C$77=$A22))+SUMPRODUCT(ISNUMBER(SEARCH(",CD279,",","&amp;SUBSTITUTE('2L Screening Matrix'!$I$2:$I$46,", ",",")&amp;","))*('2L Screening Matrix'!$C$2:$C$46=$A22))</f>
        <v>3</v>
      </c>
      <c r="D22" s="11">
        <f>SUMPRODUCT(ISNUMBER(SEARCH(",TS,",","&amp;SUBSTITUTE('1L Screening Matrix'!$I$2:$I$77,", ",",")&amp;","))*('1L Screening Matrix'!$C$2:$C$77=$A22))+SUMPRODUCT(ISNUMBER(SEARCH(",TS,",","&amp;SUBSTITUTE('2L Screening Matrix'!$I$2:$I$46,", ",",")&amp;","))*('2L Screening Matrix'!$C$2:$C$46=$A22))</f>
        <v>0</v>
      </c>
      <c r="E22" s="11">
        <f>SUMPRODUCT(ISNUMBER(SEARCH(",TYMS,",","&amp;SUBSTITUTE('1L Screening Matrix'!$I$2:$I$77,", ",",")&amp;","))*('1L Screening Matrix'!$C$2:$C$77=$A22))+SUMPRODUCT(ISNUMBER(SEARCH(",TYMS,",","&amp;SUBSTITUTE('2L Screening Matrix'!$I$2:$I$46,", ",",")&amp;","))*('2L Screening Matrix'!$C$2:$C$46=$A22))</f>
        <v>0</v>
      </c>
      <c r="F22" s="11">
        <f>SUMPRODUCT(ISNUMBER(SEARCH(",PD-L1,",","&amp;SUBSTITUTE('1L Screening Matrix'!$I$2:$I$77,", ",",")&amp;","))*('1L Screening Matrix'!$C$2:$C$77=$A22))+SUMPRODUCT(ISNUMBER(SEARCH(",PD-L1,",","&amp;SUBSTITUTE('2L Screening Matrix'!$I$2:$I$46,", ",",")&amp;","))*('2L Screening Matrix'!$C$2:$C$46=$A22))</f>
        <v>1</v>
      </c>
      <c r="G22" s="11">
        <f>SUMPRODUCT(ISNUMBER(SEARCH(",B7-H1,",","&amp;SUBSTITUTE('1L Screening Matrix'!$I$2:$I$77,", ",",")&amp;","))*('1L Screening Matrix'!$C$2:$C$77=$A22))+SUMPRODUCT(ISNUMBER(SEARCH(",B7-H1,",","&amp;SUBSTITUTE('2L Screening Matrix'!$I$2:$I$46,", ",",")&amp;","))*('2L Screening Matrix'!$C$2:$C$46=$A22))</f>
        <v>1</v>
      </c>
      <c r="H22" s="11">
        <f>SUMPRODUCT(ISNUMBER(SEARCH(",CD274,",","&amp;SUBSTITUTE('1L Screening Matrix'!$I$2:$I$77,", ",",")&amp;","))*('1L Screening Matrix'!$C$2:$C$77=$A22))+SUMPRODUCT(ISNUMBER(SEARCH(",CD274,",","&amp;SUBSTITUTE('2L Screening Matrix'!$I$2:$I$46,", ",",")&amp;","))*('2L Screening Matrix'!$C$2:$C$46=$A22))</f>
        <v>1</v>
      </c>
      <c r="I22" s="11">
        <f>SUMPRODUCT(ISNUMBER(SEARCH(",EGFR,",","&amp;SUBSTITUTE('1L Screening Matrix'!$I$2:$I$77,", ",",")&amp;","))*('1L Screening Matrix'!$C$2:$C$77=$A22))+SUMPRODUCT(ISNUMBER(SEARCH(",EGFR,",","&amp;SUBSTITUTE('2L Screening Matrix'!$I$2:$I$46,", ",",")&amp;","))*('2L Screening Matrix'!$C$2:$C$46=$A22))</f>
        <v>0</v>
      </c>
      <c r="J22" s="11">
        <f>SUMPRODUCT(ISNUMBER(SEARCH(",VEGF,",","&amp;SUBSTITUTE('1L Screening Matrix'!$I$2:$I$77,", ",",")&amp;","))*('1L Screening Matrix'!$C$2:$C$77=$A22))+SUMPRODUCT(ISNUMBER(SEARCH(",VEGF,",","&amp;SUBSTITUTE('2L Screening Matrix'!$I$2:$I$46,", ",",")&amp;","))*('2L Screening Matrix'!$C$2:$C$46=$A22))</f>
        <v>0</v>
      </c>
      <c r="K22" s="11">
        <f>SUMPRODUCT(ISNUMBER(SEARCH(",ERBB,",","&amp;SUBSTITUTE('1L Screening Matrix'!$I$2:$I$77,", ",",")&amp;","))*('1L Screening Matrix'!$C$2:$C$77=$A22))+SUMPRODUCT(ISNUMBER(SEARCH(",ERBB,",","&amp;SUBSTITUTE('2L Screening Matrix'!$I$2:$I$46,", ",",")&amp;","))*('2L Screening Matrix'!$C$2:$C$46=$A22))</f>
        <v>0</v>
      </c>
      <c r="L22" s="11">
        <f>SUMPRODUCT(ISNUMBER(SEARCH(",HER1,",","&amp;SUBSTITUTE('1L Screening Matrix'!$I$2:$I$77,", ",",")&amp;","))*('1L Screening Matrix'!$C$2:$C$77=$A22))+SUMPRODUCT(ISNUMBER(SEARCH(",HER1,",","&amp;SUBSTITUTE('2L Screening Matrix'!$I$2:$I$46,", ",",")&amp;","))*('2L Screening Matrix'!$C$2:$C$46=$A22))</f>
        <v>0</v>
      </c>
      <c r="M22" s="11">
        <f>SUMPRODUCT(ISNUMBER(SEARCH(",Microtubule,",","&amp;SUBSTITUTE('1L Screening Matrix'!$I$2:$I$77,", ",",")&amp;","))*('1L Screening Matrix'!$C$2:$C$77=$A22))+SUMPRODUCT(ISNUMBER(SEARCH(",Microtubule,",","&amp;SUBSTITUTE('2L Screening Matrix'!$I$2:$I$46,", ",",")&amp;","))*('2L Screening Matrix'!$C$2:$C$46=$A22))</f>
        <v>0</v>
      </c>
      <c r="N22" s="11">
        <f>SUMPRODUCT(ISNUMBER(SEARCH(",KRAS G12C,",","&amp;SUBSTITUTE('1L Screening Matrix'!$I$2:$I$77,", ",",")&amp;","))*('1L Screening Matrix'!$C$2:$C$77=$A22))+SUMPRODUCT(ISNUMBER(SEARCH(",KRAS G12C,",","&amp;SUBSTITUTE('2L Screening Matrix'!$I$2:$I$46,", ",",")&amp;","))*('2L Screening Matrix'!$C$2:$C$46=$A22))</f>
        <v>0</v>
      </c>
      <c r="O22" s="11">
        <f>SUMPRODUCT(ISNUMBER(SEARCH(",EGFR T790M,",","&amp;SUBSTITUTE('1L Screening Matrix'!$I$2:$I$77,", ",",")&amp;","))*('1L Screening Matrix'!$C$2:$C$77=$A22))+SUMPRODUCT(ISNUMBER(SEARCH(",EGFR T790M,",","&amp;SUBSTITUTE('2L Screening Matrix'!$I$2:$I$46,", ",",")&amp;","))*('2L Screening Matrix'!$C$2:$C$46=$A22))</f>
        <v>2</v>
      </c>
      <c r="P22" s="11">
        <f>SUMPRODUCT(ISNUMBER(SEARCH(",ALK,",","&amp;SUBSTITUTE('1L Screening Matrix'!$I$2:$I$77,", ",",")&amp;","))*('1L Screening Matrix'!$C$2:$C$77=$A22))+SUMPRODUCT(ISNUMBER(SEARCH(",ALK,",","&amp;SUBSTITUTE('2L Screening Matrix'!$I$2:$I$46,", ",",")&amp;","))*('2L Screening Matrix'!$C$2:$C$46=$A22))</f>
        <v>0</v>
      </c>
      <c r="Q22" s="11">
        <f>SUMPRODUCT(ISNUMBER(SEARCH(",TROP2,",","&amp;SUBSTITUTE('1L Screening Matrix'!$I$2:$I$77,", ",",")&amp;","))*('1L Screening Matrix'!$C$2:$C$77=$A22))+SUMPRODUCT(ISNUMBER(SEARCH(",TROP2,",","&amp;SUBSTITUTE('2L Screening Matrix'!$I$2:$I$46,", ",",")&amp;","))*('2L Screening Matrix'!$C$2:$C$46=$A22))</f>
        <v>6</v>
      </c>
      <c r="R22" s="11">
        <f>SUMPRODUCT(ISNUMBER(SEARCH(",c-MET/MET,",","&amp;SUBSTITUTE('1L Screening Matrix'!$I$2:$I$77,", ",",")&amp;","))*('1L Screening Matrix'!$C$2:$C$77=$A22))+SUMPRODUCT(ISNUMBER(SEARCH(",c-MET/MET,",","&amp;SUBSTITUTE('2L Screening Matrix'!$I$2:$I$46,", ",",")&amp;","))*('2L Screening Matrix'!$C$2:$C$46=$A22))</f>
        <v>0</v>
      </c>
      <c r="S22" s="11">
        <f>SUMPRODUCT(ISNUMBER(SEARCH(",HER2,",","&amp;SUBSTITUTE('1L Screening Matrix'!$I$2:$I$77,", ",",")&amp;","))*('1L Screening Matrix'!$C$2:$C$77=$A22))+SUMPRODUCT(ISNUMBER(SEARCH(",HER2,",","&amp;SUBSTITUTE('2L Screening Matrix'!$I$2:$I$46,", ",",")&amp;","))*('2L Screening Matrix'!$C$2:$C$46=$A22))</f>
        <v>2</v>
      </c>
      <c r="T22" s="11">
        <f>SUMPRODUCT(ISNUMBER(SEARCH(",ROS1,",","&amp;SUBSTITUTE('1L Screening Matrix'!$I$2:$I$77,", ",",")&amp;","))*('1L Screening Matrix'!$C$2:$C$77=$A22))+SUMPRODUCT(ISNUMBER(SEARCH(",ROS1,",","&amp;SUBSTITUTE('2L Screening Matrix'!$I$2:$I$46,", ",",")&amp;","))*('2L Screening Matrix'!$C$2:$C$46=$A22))</f>
        <v>0</v>
      </c>
      <c r="U22" s="11">
        <f>SUMPRODUCT(ISNUMBER(SEARCH(",TIGIT,",","&amp;SUBSTITUTE('1L Screening Matrix'!$I$2:$I$77,", ",",")&amp;","))*('1L Screening Matrix'!$C$2:$C$77=$A22))+SUMPRODUCT(ISNUMBER(SEARCH(",TIGIT,",","&amp;SUBSTITUTE('2L Screening Matrix'!$I$2:$I$46,", ",",")&amp;","))*('2L Screening Matrix'!$C$2:$C$46=$A22))</f>
        <v>0</v>
      </c>
      <c r="V22" s="11">
        <f>SUMPRODUCT(ISNUMBER(SEARCH(",EGFR L858R,",","&amp;SUBSTITUTE('1L Screening Matrix'!$I$2:$I$77,", ",",")&amp;","))*('1L Screening Matrix'!$C$2:$C$77=$A22))+SUMPRODUCT(ISNUMBER(SEARCH(",EGFR L858R,",","&amp;SUBSTITUTE('2L Screening Matrix'!$I$2:$I$46,", ",",")&amp;","))*('2L Screening Matrix'!$C$2:$C$46=$A22))</f>
        <v>0</v>
      </c>
      <c r="W22" s="11">
        <f>SUMPRODUCT(ISNUMBER(SEARCH(",ROS,",","&amp;SUBSTITUTE('1L Screening Matrix'!$I$2:$I$77,", ",",")&amp;","))*('1L Screening Matrix'!$C$2:$C$77=$A22))+SUMPRODUCT(ISNUMBER(SEARCH(",ROS,",","&amp;SUBSTITUTE('2L Screening Matrix'!$I$2:$I$46,", ",",")&amp;","))*('2L Screening Matrix'!$C$2:$C$46=$A22))</f>
        <v>0</v>
      </c>
      <c r="X22" s="11">
        <f>SUMPRODUCT(ISNUMBER(SEARCH(",IL-2,",","&amp;SUBSTITUTE('1L Screening Matrix'!$I$2:$I$77,", ",",")&amp;","))*('1L Screening Matrix'!$C$2:$C$77=$A22))+SUMPRODUCT(ISNUMBER(SEARCH(",IL-2,",","&amp;SUBSTITUTE('2L Screening Matrix'!$I$2:$I$46,", ",",")&amp;","))*('2L Screening Matrix'!$C$2:$C$46=$A22))</f>
        <v>0</v>
      </c>
      <c r="Y22" s="11">
        <f>SUMPRODUCT(ISNUMBER(SEARCH(",TCGF,",","&amp;SUBSTITUTE('1L Screening Matrix'!$I$2:$I$77,", ",",")&amp;","))*('1L Screening Matrix'!$C$2:$C$77=$A22))+SUMPRODUCT(ISNUMBER(SEARCH(",TCGF,",","&amp;SUBSTITUTE('2L Screening Matrix'!$I$2:$I$46,", ",",")&amp;","))*('2L Screening Matrix'!$C$2:$C$46=$A22))</f>
        <v>0</v>
      </c>
      <c r="Z22" s="11">
        <f>SUMPRODUCT(ISNUMBER(SEARCH(",CTLA-4,",","&amp;SUBSTITUTE('1L Screening Matrix'!$I$2:$I$77,", ",",")&amp;","))*('1L Screening Matrix'!$C$2:$C$77=$A22))+SUMPRODUCT(ISNUMBER(SEARCH(",CTLA-4,",","&amp;SUBSTITUTE('2L Screening Matrix'!$I$2:$I$46,", ",",")&amp;","))*('2L Screening Matrix'!$C$2:$C$46=$A22))</f>
        <v>0</v>
      </c>
      <c r="AA22" s="11">
        <f>SUMPRODUCT(ISNUMBER(SEARCH(",EGFR Exon 20,",","&amp;SUBSTITUTE('1L Screening Matrix'!$I$2:$I$77,", ",",")&amp;","))*('1L Screening Matrix'!$C$2:$C$77=$A22))+SUMPRODUCT(ISNUMBER(SEARCH(",EGFR Exon 20,",","&amp;SUBSTITUTE('2L Screening Matrix'!$I$2:$I$46,", ",",")&amp;","))*('2L Screening Matrix'!$C$2:$C$46=$A22))</f>
        <v>0</v>
      </c>
      <c r="AB22" s="11">
        <f>SUMPRODUCT(ISNUMBER(SEARCH(",HER2 Exon 20,",","&amp;SUBSTITUTE('1L Screening Matrix'!$I$2:$I$77,", ",",")&amp;","))*('1L Screening Matrix'!$C$2:$C$77=$A22))+SUMPRODUCT(ISNUMBER(SEARCH(",HER2 Exon 20,",","&amp;SUBSTITUTE('2L Screening Matrix'!$I$2:$I$46,", ",",")&amp;","))*('2L Screening Matrix'!$C$2:$C$46=$A22))</f>
        <v>0</v>
      </c>
      <c r="AC22" s="11">
        <f>SUMPRODUCT(ISNUMBER(SEARCH(",IL-15,",","&amp;SUBSTITUTE('1L Screening Matrix'!$I$2:$I$77,", ",",")&amp;","))*('1L Screening Matrix'!$C$2:$C$77=$A22))+SUMPRODUCT(ISNUMBER(SEARCH(",IL-15,",","&amp;SUBSTITUTE('2L Screening Matrix'!$I$2:$I$46,", ",",")&amp;","))*('2L Screening Matrix'!$C$2:$C$46=$A22))</f>
        <v>0</v>
      </c>
      <c r="AD22" s="11">
        <f>SUMPRODUCT(ISNUMBER(SEARCH(",IL-15R,",","&amp;SUBSTITUTE('1L Screening Matrix'!$I$2:$I$77,", ",",")&amp;","))*('1L Screening Matrix'!$C$2:$C$77=$A22))+SUMPRODUCT(ISNUMBER(SEARCH(",IL-15R,",","&amp;SUBSTITUTE('2L Screening Matrix'!$I$2:$I$46,", ",",")&amp;","))*('2L Screening Matrix'!$C$2:$C$46=$A22))</f>
        <v>0</v>
      </c>
      <c r="AE22" s="11">
        <f>SUMPRODUCT(ISNUMBER(SEARCH(",KRAS G12D,",","&amp;SUBSTITUTE('1L Screening Matrix'!$I$2:$I$77,", ",",")&amp;","))*('1L Screening Matrix'!$C$2:$C$77=$A22))+SUMPRODUCT(ISNUMBER(SEARCH(",KRAS G12D,",","&amp;SUBSTITUTE('2L Screening Matrix'!$I$2:$I$46,", ",",")&amp;","))*('2L Screening Matrix'!$C$2:$C$46=$A22))</f>
        <v>0</v>
      </c>
      <c r="AF22" s="11">
        <f>SUMPRODUCT(ISNUMBER(SEARCH(",HER4,",","&amp;SUBSTITUTE('1L Screening Matrix'!$I$2:$I$77,", ",",")&amp;","))*('1L Screening Matrix'!$C$2:$C$77=$A22))+SUMPRODUCT(ISNUMBER(SEARCH(",HER4,",","&amp;SUBSTITUTE('2L Screening Matrix'!$I$2:$I$46,", ",",")&amp;","))*('2L Screening Matrix'!$C$2:$C$46=$A22))</f>
        <v>0</v>
      </c>
      <c r="AG22" s="11">
        <f>SUMPRODUCT(ISNUMBER(SEARCH(",ALK L1196M,",","&amp;SUBSTITUTE('1L Screening Matrix'!$I$2:$I$77,", ",",")&amp;","))*('1L Screening Matrix'!$C$2:$C$77=$A22))+SUMPRODUCT(ISNUMBER(SEARCH(",ALK L1196M,",","&amp;SUBSTITUTE('2L Screening Matrix'!$I$2:$I$46,", ",",")&amp;","))*('2L Screening Matrix'!$C$2:$C$46=$A22))</f>
        <v>0</v>
      </c>
      <c r="AH22" s="11">
        <f>SUMPRODUCT(ISNUMBER(SEARCH(",CD152,",","&amp;SUBSTITUTE('1L Screening Matrix'!$I$2:$I$77,", ",",")&amp;","))*('1L Screening Matrix'!$C$2:$C$77=$A22))+SUMPRODUCT(ISNUMBER(SEARCH(",CD152,",","&amp;SUBSTITUTE('2L Screening Matrix'!$I$2:$I$46,", ",",")&amp;","))*('2L Screening Matrix'!$C$2:$C$46=$A22))</f>
        <v>0</v>
      </c>
      <c r="AI22" s="11">
        <f>SUMPRODUCT(ISNUMBER(SEARCH(",MLN19,",","&amp;SUBSTITUTE('1L Screening Matrix'!$I$2:$I$77,", ",",")&amp;","))*('1L Screening Matrix'!$C$2:$C$77=$A22))+SUMPRODUCT(ISNUMBER(SEARCH(",MLN19,",","&amp;SUBSTITUTE('2L Screening Matrix'!$I$2:$I$46,", ",",")&amp;","))*('2L Screening Matrix'!$C$2:$C$46=$A22))</f>
        <v>2</v>
      </c>
      <c r="AJ22" s="11">
        <f>SUMPRODUCT(ISNUMBER(SEARCH(",NTRK,",","&amp;SUBSTITUTE('1L Screening Matrix'!$I$2:$I$77,", ",",")&amp;","))*('1L Screening Matrix'!$C$2:$C$77=$A22))+SUMPRODUCT(ISNUMBER(SEARCH(",NTRK,",","&amp;SUBSTITUTE('2L Screening Matrix'!$I$2:$I$46,", ",",")&amp;","))*('2L Screening Matrix'!$C$2:$C$46=$A22))</f>
        <v>0</v>
      </c>
      <c r="AK22" s="11">
        <f>SUMPRODUCT(ISNUMBER(SEARCH(",Integrin β6,",","&amp;SUBSTITUTE('1L Screening Matrix'!$I$2:$I$77,", ",",")&amp;","))*('1L Screening Matrix'!$C$2:$C$77=$A22))+SUMPRODUCT(ISNUMBER(SEARCH(",Integrin β6,",","&amp;SUBSTITUTE('2L Screening Matrix'!$I$2:$I$46,", ",",")&amp;","))*('2L Screening Matrix'!$C$2:$C$46=$A22))</f>
        <v>0</v>
      </c>
      <c r="AL22" s="11">
        <f>SUMPRODUCT(ISNUMBER(SEARCH(",LAG-3,",","&amp;SUBSTITUTE('1L Screening Matrix'!$I$2:$I$77,", ",",")&amp;","))*('1L Screening Matrix'!$C$2:$C$77=$A22))+SUMPRODUCT(ISNUMBER(SEARCH(",LAG-3,",","&amp;SUBSTITUTE('2L Screening Matrix'!$I$2:$I$46,", ",",")&amp;","))*('2L Screening Matrix'!$C$2:$C$46=$A22))</f>
        <v>0</v>
      </c>
      <c r="AM22" s="14">
        <f t="shared" si="0"/>
        <v>21</v>
      </c>
    </row>
    <row r="23" spans="1:39" ht="15" customHeight="1" x14ac:dyDescent="0.2">
      <c r="A23" s="15" t="s">
        <v>809</v>
      </c>
      <c r="B23" s="11">
        <f>SUMPRODUCT(ISNUMBER(SEARCH(",PD-1,",","&amp;SUBSTITUTE('1L Screening Matrix'!$I$2:$I$77,", ",",")&amp;","))*('1L Screening Matrix'!$C$2:$C$77=$A23))+SUMPRODUCT(ISNUMBER(SEARCH(",PD-1,",","&amp;SUBSTITUTE('2L Screening Matrix'!$I$2:$I$46,", ",",")&amp;","))*('2L Screening Matrix'!$C$2:$C$46=$A23))</f>
        <v>0</v>
      </c>
      <c r="C23" s="11">
        <f>SUMPRODUCT(ISNUMBER(SEARCH(",CD279,",","&amp;SUBSTITUTE('1L Screening Matrix'!$I$2:$I$77,", ",",")&amp;","))*('1L Screening Matrix'!$C$2:$C$77=$A23))+SUMPRODUCT(ISNUMBER(SEARCH(",CD279,",","&amp;SUBSTITUTE('2L Screening Matrix'!$I$2:$I$46,", ",",")&amp;","))*('2L Screening Matrix'!$C$2:$C$46=$A23))</f>
        <v>0</v>
      </c>
      <c r="D23" s="11">
        <f>SUMPRODUCT(ISNUMBER(SEARCH(",TS,",","&amp;SUBSTITUTE('1L Screening Matrix'!$I$2:$I$77,", ",",")&amp;","))*('1L Screening Matrix'!$C$2:$C$77=$A23))+SUMPRODUCT(ISNUMBER(SEARCH(",TS,",","&amp;SUBSTITUTE('2L Screening Matrix'!$I$2:$I$46,", ",",")&amp;","))*('2L Screening Matrix'!$C$2:$C$46=$A23))</f>
        <v>0</v>
      </c>
      <c r="E23" s="11">
        <f>SUMPRODUCT(ISNUMBER(SEARCH(",TYMS,",","&amp;SUBSTITUTE('1L Screening Matrix'!$I$2:$I$77,", ",",")&amp;","))*('1L Screening Matrix'!$C$2:$C$77=$A23))+SUMPRODUCT(ISNUMBER(SEARCH(",TYMS,",","&amp;SUBSTITUTE('2L Screening Matrix'!$I$2:$I$46,", ",",")&amp;","))*('2L Screening Matrix'!$C$2:$C$46=$A23))</f>
        <v>0</v>
      </c>
      <c r="F23" s="11">
        <f>SUMPRODUCT(ISNUMBER(SEARCH(",PD-L1,",","&amp;SUBSTITUTE('1L Screening Matrix'!$I$2:$I$77,", ",",")&amp;","))*('1L Screening Matrix'!$C$2:$C$77=$A23))+SUMPRODUCT(ISNUMBER(SEARCH(",PD-L1,",","&amp;SUBSTITUTE('2L Screening Matrix'!$I$2:$I$46,", ",",")&amp;","))*('2L Screening Matrix'!$C$2:$C$46=$A23))</f>
        <v>0</v>
      </c>
      <c r="G23" s="11">
        <f>SUMPRODUCT(ISNUMBER(SEARCH(",B7-H1,",","&amp;SUBSTITUTE('1L Screening Matrix'!$I$2:$I$77,", ",",")&amp;","))*('1L Screening Matrix'!$C$2:$C$77=$A23))+SUMPRODUCT(ISNUMBER(SEARCH(",B7-H1,",","&amp;SUBSTITUTE('2L Screening Matrix'!$I$2:$I$46,", ",",")&amp;","))*('2L Screening Matrix'!$C$2:$C$46=$A23))</f>
        <v>0</v>
      </c>
      <c r="H23" s="11">
        <f>SUMPRODUCT(ISNUMBER(SEARCH(",CD274,",","&amp;SUBSTITUTE('1L Screening Matrix'!$I$2:$I$77,", ",",")&amp;","))*('1L Screening Matrix'!$C$2:$C$77=$A23))+SUMPRODUCT(ISNUMBER(SEARCH(",CD274,",","&amp;SUBSTITUTE('2L Screening Matrix'!$I$2:$I$46,", ",",")&amp;","))*('2L Screening Matrix'!$C$2:$C$46=$A23))</f>
        <v>0</v>
      </c>
      <c r="I23" s="11">
        <f>SUMPRODUCT(ISNUMBER(SEARCH(",EGFR,",","&amp;SUBSTITUTE('1L Screening Matrix'!$I$2:$I$77,", ",",")&amp;","))*('1L Screening Matrix'!$C$2:$C$77=$A23))+SUMPRODUCT(ISNUMBER(SEARCH(",EGFR,",","&amp;SUBSTITUTE('2L Screening Matrix'!$I$2:$I$46,", ",",")&amp;","))*('2L Screening Matrix'!$C$2:$C$46=$A23))</f>
        <v>1</v>
      </c>
      <c r="J23" s="11">
        <f>SUMPRODUCT(ISNUMBER(SEARCH(",VEGF,",","&amp;SUBSTITUTE('1L Screening Matrix'!$I$2:$I$77,", ",",")&amp;","))*('1L Screening Matrix'!$C$2:$C$77=$A23))+SUMPRODUCT(ISNUMBER(SEARCH(",VEGF,",","&amp;SUBSTITUTE('2L Screening Matrix'!$I$2:$I$46,", ",",")&amp;","))*('2L Screening Matrix'!$C$2:$C$46=$A23))</f>
        <v>0</v>
      </c>
      <c r="K23" s="11">
        <f>SUMPRODUCT(ISNUMBER(SEARCH(",ERBB,",","&amp;SUBSTITUTE('1L Screening Matrix'!$I$2:$I$77,", ",",")&amp;","))*('1L Screening Matrix'!$C$2:$C$77=$A23))+SUMPRODUCT(ISNUMBER(SEARCH(",ERBB,",","&amp;SUBSTITUTE('2L Screening Matrix'!$I$2:$I$46,", ",",")&amp;","))*('2L Screening Matrix'!$C$2:$C$46=$A23))</f>
        <v>1</v>
      </c>
      <c r="L23" s="11">
        <f>SUMPRODUCT(ISNUMBER(SEARCH(",HER1,",","&amp;SUBSTITUTE('1L Screening Matrix'!$I$2:$I$77,", ",",")&amp;","))*('1L Screening Matrix'!$C$2:$C$77=$A23))+SUMPRODUCT(ISNUMBER(SEARCH(",HER1,",","&amp;SUBSTITUTE('2L Screening Matrix'!$I$2:$I$46,", ",",")&amp;","))*('2L Screening Matrix'!$C$2:$C$46=$A23))</f>
        <v>0</v>
      </c>
      <c r="M23" s="11">
        <f>SUMPRODUCT(ISNUMBER(SEARCH(",Microtubule,",","&amp;SUBSTITUTE('1L Screening Matrix'!$I$2:$I$77,", ",",")&amp;","))*('1L Screening Matrix'!$C$2:$C$77=$A23))+SUMPRODUCT(ISNUMBER(SEARCH(",Microtubule,",","&amp;SUBSTITUTE('2L Screening Matrix'!$I$2:$I$46,", ",",")&amp;","))*('2L Screening Matrix'!$C$2:$C$46=$A23))</f>
        <v>0</v>
      </c>
      <c r="N23" s="11">
        <f>SUMPRODUCT(ISNUMBER(SEARCH(",KRAS G12C,",","&amp;SUBSTITUTE('1L Screening Matrix'!$I$2:$I$77,", ",",")&amp;","))*('1L Screening Matrix'!$C$2:$C$77=$A23))+SUMPRODUCT(ISNUMBER(SEARCH(",KRAS G12C,",","&amp;SUBSTITUTE('2L Screening Matrix'!$I$2:$I$46,", ",",")&amp;","))*('2L Screening Matrix'!$C$2:$C$46=$A23))</f>
        <v>0</v>
      </c>
      <c r="O23" s="11">
        <f>SUMPRODUCT(ISNUMBER(SEARCH(",EGFR T790M,",","&amp;SUBSTITUTE('1L Screening Matrix'!$I$2:$I$77,", ",",")&amp;","))*('1L Screening Matrix'!$C$2:$C$77=$A23))+SUMPRODUCT(ISNUMBER(SEARCH(",EGFR T790M,",","&amp;SUBSTITUTE('2L Screening Matrix'!$I$2:$I$46,", ",",")&amp;","))*('2L Screening Matrix'!$C$2:$C$46=$A23))</f>
        <v>0</v>
      </c>
      <c r="P23" s="11">
        <f>SUMPRODUCT(ISNUMBER(SEARCH(",ALK,",","&amp;SUBSTITUTE('1L Screening Matrix'!$I$2:$I$77,", ",",")&amp;","))*('1L Screening Matrix'!$C$2:$C$77=$A23))+SUMPRODUCT(ISNUMBER(SEARCH(",ALK,",","&amp;SUBSTITUTE('2L Screening Matrix'!$I$2:$I$46,", ",",")&amp;","))*('2L Screening Matrix'!$C$2:$C$46=$A23))</f>
        <v>0</v>
      </c>
      <c r="Q23" s="11">
        <f>SUMPRODUCT(ISNUMBER(SEARCH(",TROP2,",","&amp;SUBSTITUTE('1L Screening Matrix'!$I$2:$I$77,", ",",")&amp;","))*('1L Screening Matrix'!$C$2:$C$77=$A23))+SUMPRODUCT(ISNUMBER(SEARCH(",TROP2,",","&amp;SUBSTITUTE('2L Screening Matrix'!$I$2:$I$46,", ",",")&amp;","))*('2L Screening Matrix'!$C$2:$C$46=$A23))</f>
        <v>0</v>
      </c>
      <c r="R23" s="11">
        <f>SUMPRODUCT(ISNUMBER(SEARCH(",c-MET/MET,",","&amp;SUBSTITUTE('1L Screening Matrix'!$I$2:$I$77,", ",",")&amp;","))*('1L Screening Matrix'!$C$2:$C$77=$A23))+SUMPRODUCT(ISNUMBER(SEARCH(",c-MET/MET,",","&amp;SUBSTITUTE('2L Screening Matrix'!$I$2:$I$46,", ",",")&amp;","))*('2L Screening Matrix'!$C$2:$C$46=$A23))</f>
        <v>0</v>
      </c>
      <c r="S23" s="11">
        <f>SUMPRODUCT(ISNUMBER(SEARCH(",HER2,",","&amp;SUBSTITUTE('1L Screening Matrix'!$I$2:$I$77,", ",",")&amp;","))*('1L Screening Matrix'!$C$2:$C$77=$A23))+SUMPRODUCT(ISNUMBER(SEARCH(",HER2,",","&amp;SUBSTITUTE('2L Screening Matrix'!$I$2:$I$46,", ",",")&amp;","))*('2L Screening Matrix'!$C$2:$C$46=$A23))</f>
        <v>1</v>
      </c>
      <c r="T23" s="11">
        <f>SUMPRODUCT(ISNUMBER(SEARCH(",ROS1,",","&amp;SUBSTITUTE('1L Screening Matrix'!$I$2:$I$77,", ",",")&amp;","))*('1L Screening Matrix'!$C$2:$C$77=$A23))+SUMPRODUCT(ISNUMBER(SEARCH(",ROS1,",","&amp;SUBSTITUTE('2L Screening Matrix'!$I$2:$I$46,", ",",")&amp;","))*('2L Screening Matrix'!$C$2:$C$46=$A23))</f>
        <v>0</v>
      </c>
      <c r="U23" s="11">
        <f>SUMPRODUCT(ISNUMBER(SEARCH(",TIGIT,",","&amp;SUBSTITUTE('1L Screening Matrix'!$I$2:$I$77,", ",",")&amp;","))*('1L Screening Matrix'!$C$2:$C$77=$A23))+SUMPRODUCT(ISNUMBER(SEARCH(",TIGIT,",","&amp;SUBSTITUTE('2L Screening Matrix'!$I$2:$I$46,", ",",")&amp;","))*('2L Screening Matrix'!$C$2:$C$46=$A23))</f>
        <v>0</v>
      </c>
      <c r="V23" s="11">
        <f>SUMPRODUCT(ISNUMBER(SEARCH(",EGFR L858R,",","&amp;SUBSTITUTE('1L Screening Matrix'!$I$2:$I$77,", ",",")&amp;","))*('1L Screening Matrix'!$C$2:$C$77=$A23))+SUMPRODUCT(ISNUMBER(SEARCH(",EGFR L858R,",","&amp;SUBSTITUTE('2L Screening Matrix'!$I$2:$I$46,", ",",")&amp;","))*('2L Screening Matrix'!$C$2:$C$46=$A23))</f>
        <v>0</v>
      </c>
      <c r="W23" s="11">
        <f>SUMPRODUCT(ISNUMBER(SEARCH(",ROS,",","&amp;SUBSTITUTE('1L Screening Matrix'!$I$2:$I$77,", ",",")&amp;","))*('1L Screening Matrix'!$C$2:$C$77=$A23))+SUMPRODUCT(ISNUMBER(SEARCH(",ROS,",","&amp;SUBSTITUTE('2L Screening Matrix'!$I$2:$I$46,", ",",")&amp;","))*('2L Screening Matrix'!$C$2:$C$46=$A23))</f>
        <v>0</v>
      </c>
      <c r="X23" s="11">
        <f>SUMPRODUCT(ISNUMBER(SEARCH(",IL-2,",","&amp;SUBSTITUTE('1L Screening Matrix'!$I$2:$I$77,", ",",")&amp;","))*('1L Screening Matrix'!$C$2:$C$77=$A23))+SUMPRODUCT(ISNUMBER(SEARCH(",IL-2,",","&amp;SUBSTITUTE('2L Screening Matrix'!$I$2:$I$46,", ",",")&amp;","))*('2L Screening Matrix'!$C$2:$C$46=$A23))</f>
        <v>0</v>
      </c>
      <c r="Y23" s="11">
        <f>SUMPRODUCT(ISNUMBER(SEARCH(",TCGF,",","&amp;SUBSTITUTE('1L Screening Matrix'!$I$2:$I$77,", ",",")&amp;","))*('1L Screening Matrix'!$C$2:$C$77=$A23))+SUMPRODUCT(ISNUMBER(SEARCH(",TCGF,",","&amp;SUBSTITUTE('2L Screening Matrix'!$I$2:$I$46,", ",",")&amp;","))*('2L Screening Matrix'!$C$2:$C$46=$A23))</f>
        <v>0</v>
      </c>
      <c r="Z23" s="11">
        <f>SUMPRODUCT(ISNUMBER(SEARCH(",CTLA-4,",","&amp;SUBSTITUTE('1L Screening Matrix'!$I$2:$I$77,", ",",")&amp;","))*('1L Screening Matrix'!$C$2:$C$77=$A23))+SUMPRODUCT(ISNUMBER(SEARCH(",CTLA-4,",","&amp;SUBSTITUTE('2L Screening Matrix'!$I$2:$I$46,", ",",")&amp;","))*('2L Screening Matrix'!$C$2:$C$46=$A23))</f>
        <v>0</v>
      </c>
      <c r="AA23" s="11">
        <f>SUMPRODUCT(ISNUMBER(SEARCH(",EGFR Exon 20,",","&amp;SUBSTITUTE('1L Screening Matrix'!$I$2:$I$77,", ",",")&amp;","))*('1L Screening Matrix'!$C$2:$C$77=$A23))+SUMPRODUCT(ISNUMBER(SEARCH(",EGFR Exon 20,",","&amp;SUBSTITUTE('2L Screening Matrix'!$I$2:$I$46,", ",",")&amp;","))*('2L Screening Matrix'!$C$2:$C$46=$A23))</f>
        <v>1</v>
      </c>
      <c r="AB23" s="11">
        <f>SUMPRODUCT(ISNUMBER(SEARCH(",HER2 Exon 20,",","&amp;SUBSTITUTE('1L Screening Matrix'!$I$2:$I$77,", ",",")&amp;","))*('1L Screening Matrix'!$C$2:$C$77=$A23))+SUMPRODUCT(ISNUMBER(SEARCH(",HER2 Exon 20,",","&amp;SUBSTITUTE('2L Screening Matrix'!$I$2:$I$46,", ",",")&amp;","))*('2L Screening Matrix'!$C$2:$C$46=$A23))</f>
        <v>1</v>
      </c>
      <c r="AC23" s="11">
        <f>SUMPRODUCT(ISNUMBER(SEARCH(",IL-15,",","&amp;SUBSTITUTE('1L Screening Matrix'!$I$2:$I$77,", ",",")&amp;","))*('1L Screening Matrix'!$C$2:$C$77=$A23))+SUMPRODUCT(ISNUMBER(SEARCH(",IL-15,",","&amp;SUBSTITUTE('2L Screening Matrix'!$I$2:$I$46,", ",",")&amp;","))*('2L Screening Matrix'!$C$2:$C$46=$A23))</f>
        <v>0</v>
      </c>
      <c r="AD23" s="11">
        <f>SUMPRODUCT(ISNUMBER(SEARCH(",IL-15R,",","&amp;SUBSTITUTE('1L Screening Matrix'!$I$2:$I$77,", ",",")&amp;","))*('1L Screening Matrix'!$C$2:$C$77=$A23))+SUMPRODUCT(ISNUMBER(SEARCH(",IL-15R,",","&amp;SUBSTITUTE('2L Screening Matrix'!$I$2:$I$46,", ",",")&amp;","))*('2L Screening Matrix'!$C$2:$C$46=$A23))</f>
        <v>0</v>
      </c>
      <c r="AE23" s="11">
        <f>SUMPRODUCT(ISNUMBER(SEARCH(",KRAS G12D,",","&amp;SUBSTITUTE('1L Screening Matrix'!$I$2:$I$77,", ",",")&amp;","))*('1L Screening Matrix'!$C$2:$C$77=$A23))+SUMPRODUCT(ISNUMBER(SEARCH(",KRAS G12D,",","&amp;SUBSTITUTE('2L Screening Matrix'!$I$2:$I$46,", ",",")&amp;","))*('2L Screening Matrix'!$C$2:$C$46=$A23))</f>
        <v>0</v>
      </c>
      <c r="AF23" s="11">
        <f>SUMPRODUCT(ISNUMBER(SEARCH(",HER4,",","&amp;SUBSTITUTE('1L Screening Matrix'!$I$2:$I$77,", ",",")&amp;","))*('1L Screening Matrix'!$C$2:$C$77=$A23))+SUMPRODUCT(ISNUMBER(SEARCH(",HER4,",","&amp;SUBSTITUTE('2L Screening Matrix'!$I$2:$I$46,", ",",")&amp;","))*('2L Screening Matrix'!$C$2:$C$46=$A23))</f>
        <v>0</v>
      </c>
      <c r="AG23" s="11">
        <f>SUMPRODUCT(ISNUMBER(SEARCH(",ALK L1196M,",","&amp;SUBSTITUTE('1L Screening Matrix'!$I$2:$I$77,", ",",")&amp;","))*('1L Screening Matrix'!$C$2:$C$77=$A23))+SUMPRODUCT(ISNUMBER(SEARCH(",ALK L1196M,",","&amp;SUBSTITUTE('2L Screening Matrix'!$I$2:$I$46,", ",",")&amp;","))*('2L Screening Matrix'!$C$2:$C$46=$A23))</f>
        <v>0</v>
      </c>
      <c r="AH23" s="11">
        <f>SUMPRODUCT(ISNUMBER(SEARCH(",CD152,",","&amp;SUBSTITUTE('1L Screening Matrix'!$I$2:$I$77,", ",",")&amp;","))*('1L Screening Matrix'!$C$2:$C$77=$A23))+SUMPRODUCT(ISNUMBER(SEARCH(",CD152,",","&amp;SUBSTITUTE('2L Screening Matrix'!$I$2:$I$46,", ",",")&amp;","))*('2L Screening Matrix'!$C$2:$C$46=$A23))</f>
        <v>0</v>
      </c>
      <c r="AI23" s="11">
        <f>SUMPRODUCT(ISNUMBER(SEARCH(",MLN19,",","&amp;SUBSTITUTE('1L Screening Matrix'!$I$2:$I$77,", ",",")&amp;","))*('1L Screening Matrix'!$C$2:$C$77=$A23))+SUMPRODUCT(ISNUMBER(SEARCH(",MLN19,",","&amp;SUBSTITUTE('2L Screening Matrix'!$I$2:$I$46,", ",",")&amp;","))*('2L Screening Matrix'!$C$2:$C$46=$A23))</f>
        <v>0</v>
      </c>
      <c r="AJ23" s="11">
        <f>SUMPRODUCT(ISNUMBER(SEARCH(",NTRK,",","&amp;SUBSTITUTE('1L Screening Matrix'!$I$2:$I$77,", ",",")&amp;","))*('1L Screening Matrix'!$C$2:$C$77=$A23))+SUMPRODUCT(ISNUMBER(SEARCH(",NTRK,",","&amp;SUBSTITUTE('2L Screening Matrix'!$I$2:$I$46,", ",",")&amp;","))*('2L Screening Matrix'!$C$2:$C$46=$A23))</f>
        <v>0</v>
      </c>
      <c r="AK23" s="11">
        <f>SUMPRODUCT(ISNUMBER(SEARCH(",Integrin β6,",","&amp;SUBSTITUTE('1L Screening Matrix'!$I$2:$I$77,", ",",")&amp;","))*('1L Screening Matrix'!$C$2:$C$77=$A23))+SUMPRODUCT(ISNUMBER(SEARCH(",Integrin β6,",","&amp;SUBSTITUTE('2L Screening Matrix'!$I$2:$I$46,", ",",")&amp;","))*('2L Screening Matrix'!$C$2:$C$46=$A23))</f>
        <v>0</v>
      </c>
      <c r="AL23" s="11">
        <f>SUMPRODUCT(ISNUMBER(SEARCH(",LAG-3,",","&amp;SUBSTITUTE('1L Screening Matrix'!$I$2:$I$77,", ",",")&amp;","))*('1L Screening Matrix'!$C$2:$C$77=$A23))+SUMPRODUCT(ISNUMBER(SEARCH(",LAG-3,",","&amp;SUBSTITUTE('2L Screening Matrix'!$I$2:$I$46,", ",",")&amp;","))*('2L Screening Matrix'!$C$2:$C$46=$A23))</f>
        <v>0</v>
      </c>
      <c r="AM23" s="14">
        <f t="shared" si="0"/>
        <v>5</v>
      </c>
    </row>
    <row r="24" spans="1:39" ht="15" customHeight="1" x14ac:dyDescent="0.2">
      <c r="A24" s="12" t="s">
        <v>1903</v>
      </c>
      <c r="B24" s="11">
        <f>SUMPRODUCT(ISNUMBER(SEARCH(",PD-1,",","&amp;SUBSTITUTE('1L Screening Matrix'!$I$2:$I$77,", ",",")&amp;","))*('1L Screening Matrix'!$C$2:$C$77=$A24))+SUMPRODUCT(ISNUMBER(SEARCH(",PD-1,",","&amp;SUBSTITUTE('2L Screening Matrix'!$I$2:$I$46,", ",",")&amp;","))*('2L Screening Matrix'!$C$2:$C$46=$A24))</f>
        <v>1</v>
      </c>
      <c r="C24" s="11">
        <f>SUMPRODUCT(ISNUMBER(SEARCH(",CD279,",","&amp;SUBSTITUTE('1L Screening Matrix'!$I$2:$I$77,", ",",")&amp;","))*('1L Screening Matrix'!$C$2:$C$77=$A24))+SUMPRODUCT(ISNUMBER(SEARCH(",CD279,",","&amp;SUBSTITUTE('2L Screening Matrix'!$I$2:$I$46,", ",",")&amp;","))*('2L Screening Matrix'!$C$2:$C$46=$A24))</f>
        <v>1</v>
      </c>
      <c r="D24" s="11">
        <f>SUMPRODUCT(ISNUMBER(SEARCH(",TS,",","&amp;SUBSTITUTE('1L Screening Matrix'!$I$2:$I$77,", ",",")&amp;","))*('1L Screening Matrix'!$C$2:$C$77=$A24))+SUMPRODUCT(ISNUMBER(SEARCH(",TS,",","&amp;SUBSTITUTE('2L Screening Matrix'!$I$2:$I$46,", ",",")&amp;","))*('2L Screening Matrix'!$C$2:$C$46=$A24))</f>
        <v>1</v>
      </c>
      <c r="E24" s="11">
        <f>SUMPRODUCT(ISNUMBER(SEARCH(",TYMS,",","&amp;SUBSTITUTE('1L Screening Matrix'!$I$2:$I$77,", ",",")&amp;","))*('1L Screening Matrix'!$C$2:$C$77=$A24))+SUMPRODUCT(ISNUMBER(SEARCH(",TYMS,",","&amp;SUBSTITUTE('2L Screening Matrix'!$I$2:$I$46,", ",",")&amp;","))*('2L Screening Matrix'!$C$2:$C$46=$A24))</f>
        <v>1</v>
      </c>
      <c r="F24" s="11">
        <f>SUMPRODUCT(ISNUMBER(SEARCH(",PD-L1,",","&amp;SUBSTITUTE('1L Screening Matrix'!$I$2:$I$77,", ",",")&amp;","))*('1L Screening Matrix'!$C$2:$C$77=$A24))+SUMPRODUCT(ISNUMBER(SEARCH(",PD-L1,",","&amp;SUBSTITUTE('2L Screening Matrix'!$I$2:$I$46,", ",",")&amp;","))*('2L Screening Matrix'!$C$2:$C$46=$A24))</f>
        <v>0</v>
      </c>
      <c r="G24" s="11">
        <f>SUMPRODUCT(ISNUMBER(SEARCH(",B7-H1,",","&amp;SUBSTITUTE('1L Screening Matrix'!$I$2:$I$77,", ",",")&amp;","))*('1L Screening Matrix'!$C$2:$C$77=$A24))+SUMPRODUCT(ISNUMBER(SEARCH(",B7-H1,",","&amp;SUBSTITUTE('2L Screening Matrix'!$I$2:$I$46,", ",",")&amp;","))*('2L Screening Matrix'!$C$2:$C$46=$A24))</f>
        <v>0</v>
      </c>
      <c r="H24" s="11">
        <f>SUMPRODUCT(ISNUMBER(SEARCH(",CD274,",","&amp;SUBSTITUTE('1L Screening Matrix'!$I$2:$I$77,", ",",")&amp;","))*('1L Screening Matrix'!$C$2:$C$77=$A24))+SUMPRODUCT(ISNUMBER(SEARCH(",CD274,",","&amp;SUBSTITUTE('2L Screening Matrix'!$I$2:$I$46,", ",",")&amp;","))*('2L Screening Matrix'!$C$2:$C$46=$A24))</f>
        <v>0</v>
      </c>
      <c r="I24" s="11">
        <f>SUMPRODUCT(ISNUMBER(SEARCH(",EGFR,",","&amp;SUBSTITUTE('1L Screening Matrix'!$I$2:$I$77,", ",",")&amp;","))*('1L Screening Matrix'!$C$2:$C$77=$A24))+SUMPRODUCT(ISNUMBER(SEARCH(",EGFR,",","&amp;SUBSTITUTE('2L Screening Matrix'!$I$2:$I$46,", ",",")&amp;","))*('2L Screening Matrix'!$C$2:$C$46=$A24))</f>
        <v>0</v>
      </c>
      <c r="J24" s="11">
        <f>SUMPRODUCT(ISNUMBER(SEARCH(",VEGF,",","&amp;SUBSTITUTE('1L Screening Matrix'!$I$2:$I$77,", ",",")&amp;","))*('1L Screening Matrix'!$C$2:$C$77=$A24))+SUMPRODUCT(ISNUMBER(SEARCH(",VEGF,",","&amp;SUBSTITUTE('2L Screening Matrix'!$I$2:$I$46,", ",",")&amp;","))*('2L Screening Matrix'!$C$2:$C$46=$A24))</f>
        <v>0</v>
      </c>
      <c r="K24" s="11">
        <f>SUMPRODUCT(ISNUMBER(SEARCH(",ERBB,",","&amp;SUBSTITUTE('1L Screening Matrix'!$I$2:$I$77,", ",",")&amp;","))*('1L Screening Matrix'!$C$2:$C$77=$A24))+SUMPRODUCT(ISNUMBER(SEARCH(",ERBB,",","&amp;SUBSTITUTE('2L Screening Matrix'!$I$2:$I$46,", ",",")&amp;","))*('2L Screening Matrix'!$C$2:$C$46=$A24))</f>
        <v>0</v>
      </c>
      <c r="L24" s="11">
        <f>SUMPRODUCT(ISNUMBER(SEARCH(",HER1,",","&amp;SUBSTITUTE('1L Screening Matrix'!$I$2:$I$77,", ",",")&amp;","))*('1L Screening Matrix'!$C$2:$C$77=$A24))+SUMPRODUCT(ISNUMBER(SEARCH(",HER1,",","&amp;SUBSTITUTE('2L Screening Matrix'!$I$2:$I$46,", ",",")&amp;","))*('2L Screening Matrix'!$C$2:$C$46=$A24))</f>
        <v>0</v>
      </c>
      <c r="M24" s="11">
        <f>SUMPRODUCT(ISNUMBER(SEARCH(",Microtubule,",","&amp;SUBSTITUTE('1L Screening Matrix'!$I$2:$I$77,", ",",")&amp;","))*('1L Screening Matrix'!$C$2:$C$77=$A24))+SUMPRODUCT(ISNUMBER(SEARCH(",Microtubule,",","&amp;SUBSTITUTE('2L Screening Matrix'!$I$2:$I$46,", ",",")&amp;","))*('2L Screening Matrix'!$C$2:$C$46=$A24))</f>
        <v>1</v>
      </c>
      <c r="N24" s="11">
        <f>SUMPRODUCT(ISNUMBER(SEARCH(",KRAS G12C,",","&amp;SUBSTITUTE('1L Screening Matrix'!$I$2:$I$77,", ",",")&amp;","))*('1L Screening Matrix'!$C$2:$C$77=$A24))+SUMPRODUCT(ISNUMBER(SEARCH(",KRAS G12C,",","&amp;SUBSTITUTE('2L Screening Matrix'!$I$2:$I$46,", ",",")&amp;","))*('2L Screening Matrix'!$C$2:$C$46=$A24))</f>
        <v>0</v>
      </c>
      <c r="O24" s="11">
        <f>SUMPRODUCT(ISNUMBER(SEARCH(",EGFR T790M,",","&amp;SUBSTITUTE('1L Screening Matrix'!$I$2:$I$77,", ",",")&amp;","))*('1L Screening Matrix'!$C$2:$C$77=$A24))+SUMPRODUCT(ISNUMBER(SEARCH(",EGFR T790M,",","&amp;SUBSTITUTE('2L Screening Matrix'!$I$2:$I$46,", ",",")&amp;","))*('2L Screening Matrix'!$C$2:$C$46=$A24))</f>
        <v>0</v>
      </c>
      <c r="P24" s="11">
        <f>SUMPRODUCT(ISNUMBER(SEARCH(",ALK,",","&amp;SUBSTITUTE('1L Screening Matrix'!$I$2:$I$77,", ",",")&amp;","))*('1L Screening Matrix'!$C$2:$C$77=$A24))+SUMPRODUCT(ISNUMBER(SEARCH(",ALK,",","&amp;SUBSTITUTE('2L Screening Matrix'!$I$2:$I$46,", ",",")&amp;","))*('2L Screening Matrix'!$C$2:$C$46=$A24))</f>
        <v>0</v>
      </c>
      <c r="Q24" s="11">
        <f>SUMPRODUCT(ISNUMBER(SEARCH(",TROP2,",","&amp;SUBSTITUTE('1L Screening Matrix'!$I$2:$I$77,", ",",")&amp;","))*('1L Screening Matrix'!$C$2:$C$77=$A24))+SUMPRODUCT(ISNUMBER(SEARCH(",TROP2,",","&amp;SUBSTITUTE('2L Screening Matrix'!$I$2:$I$46,", ",",")&amp;","))*('2L Screening Matrix'!$C$2:$C$46=$A24))</f>
        <v>0</v>
      </c>
      <c r="R24" s="11">
        <f>SUMPRODUCT(ISNUMBER(SEARCH(",c-MET/MET,",","&amp;SUBSTITUTE('1L Screening Matrix'!$I$2:$I$77,", ",",")&amp;","))*('1L Screening Matrix'!$C$2:$C$77=$A24))+SUMPRODUCT(ISNUMBER(SEARCH(",c-MET/MET,",","&amp;SUBSTITUTE('2L Screening Matrix'!$I$2:$I$46,", ",",")&amp;","))*('2L Screening Matrix'!$C$2:$C$46=$A24))</f>
        <v>0</v>
      </c>
      <c r="S24" s="11">
        <f>SUMPRODUCT(ISNUMBER(SEARCH(",HER2,",","&amp;SUBSTITUTE('1L Screening Matrix'!$I$2:$I$77,", ",",")&amp;","))*('1L Screening Matrix'!$C$2:$C$77=$A24))+SUMPRODUCT(ISNUMBER(SEARCH(",HER2,",","&amp;SUBSTITUTE('2L Screening Matrix'!$I$2:$I$46,", ",",")&amp;","))*('2L Screening Matrix'!$C$2:$C$46=$A24))</f>
        <v>0</v>
      </c>
      <c r="T24" s="11">
        <f>SUMPRODUCT(ISNUMBER(SEARCH(",ROS1,",","&amp;SUBSTITUTE('1L Screening Matrix'!$I$2:$I$77,", ",",")&amp;","))*('1L Screening Matrix'!$C$2:$C$77=$A24))+SUMPRODUCT(ISNUMBER(SEARCH(",ROS1,",","&amp;SUBSTITUTE('2L Screening Matrix'!$I$2:$I$46,", ",",")&amp;","))*('2L Screening Matrix'!$C$2:$C$46=$A24))</f>
        <v>0</v>
      </c>
      <c r="U24" s="11">
        <f>SUMPRODUCT(ISNUMBER(SEARCH(",TIGIT,",","&amp;SUBSTITUTE('1L Screening Matrix'!$I$2:$I$77,", ",",")&amp;","))*('1L Screening Matrix'!$C$2:$C$77=$A24))+SUMPRODUCT(ISNUMBER(SEARCH(",TIGIT,",","&amp;SUBSTITUTE('2L Screening Matrix'!$I$2:$I$46,", ",",")&amp;","))*('2L Screening Matrix'!$C$2:$C$46=$A24))</f>
        <v>0</v>
      </c>
      <c r="V24" s="11">
        <f>SUMPRODUCT(ISNUMBER(SEARCH(",EGFR L858R,",","&amp;SUBSTITUTE('1L Screening Matrix'!$I$2:$I$77,", ",",")&amp;","))*('1L Screening Matrix'!$C$2:$C$77=$A24))+SUMPRODUCT(ISNUMBER(SEARCH(",EGFR L858R,",","&amp;SUBSTITUTE('2L Screening Matrix'!$I$2:$I$46,", ",",")&amp;","))*('2L Screening Matrix'!$C$2:$C$46=$A24))</f>
        <v>0</v>
      </c>
      <c r="W24" s="11">
        <f>SUMPRODUCT(ISNUMBER(SEARCH(",ROS,",","&amp;SUBSTITUTE('1L Screening Matrix'!$I$2:$I$77,", ",",")&amp;","))*('1L Screening Matrix'!$C$2:$C$77=$A24))+SUMPRODUCT(ISNUMBER(SEARCH(",ROS,",","&amp;SUBSTITUTE('2L Screening Matrix'!$I$2:$I$46,", ",",")&amp;","))*('2L Screening Matrix'!$C$2:$C$46=$A24))</f>
        <v>0</v>
      </c>
      <c r="X24" s="11">
        <f>SUMPRODUCT(ISNUMBER(SEARCH(",IL-2,",","&amp;SUBSTITUTE('1L Screening Matrix'!$I$2:$I$77,", ",",")&amp;","))*('1L Screening Matrix'!$C$2:$C$77=$A24))+SUMPRODUCT(ISNUMBER(SEARCH(",IL-2,",","&amp;SUBSTITUTE('2L Screening Matrix'!$I$2:$I$46,", ",",")&amp;","))*('2L Screening Matrix'!$C$2:$C$46=$A24))</f>
        <v>0</v>
      </c>
      <c r="Y24" s="11">
        <f>SUMPRODUCT(ISNUMBER(SEARCH(",TCGF,",","&amp;SUBSTITUTE('1L Screening Matrix'!$I$2:$I$77,", ",",")&amp;","))*('1L Screening Matrix'!$C$2:$C$77=$A24))+SUMPRODUCT(ISNUMBER(SEARCH(",TCGF,",","&amp;SUBSTITUTE('2L Screening Matrix'!$I$2:$I$46,", ",",")&amp;","))*('2L Screening Matrix'!$C$2:$C$46=$A24))</f>
        <v>0</v>
      </c>
      <c r="Z24" s="11">
        <f>SUMPRODUCT(ISNUMBER(SEARCH(",CTLA-4,",","&amp;SUBSTITUTE('1L Screening Matrix'!$I$2:$I$77,", ",",")&amp;","))*('1L Screening Matrix'!$C$2:$C$77=$A24))+SUMPRODUCT(ISNUMBER(SEARCH(",CTLA-4,",","&amp;SUBSTITUTE('2L Screening Matrix'!$I$2:$I$46,", ",",")&amp;","))*('2L Screening Matrix'!$C$2:$C$46=$A24))</f>
        <v>0</v>
      </c>
      <c r="AA24" s="11">
        <f>SUMPRODUCT(ISNUMBER(SEARCH(",EGFR Exon 20,",","&amp;SUBSTITUTE('1L Screening Matrix'!$I$2:$I$77,", ",",")&amp;","))*('1L Screening Matrix'!$C$2:$C$77=$A24))+SUMPRODUCT(ISNUMBER(SEARCH(",EGFR Exon 20,",","&amp;SUBSTITUTE('2L Screening Matrix'!$I$2:$I$46,", ",",")&amp;","))*('2L Screening Matrix'!$C$2:$C$46=$A24))</f>
        <v>0</v>
      </c>
      <c r="AB24" s="11">
        <f>SUMPRODUCT(ISNUMBER(SEARCH(",HER2 Exon 20,",","&amp;SUBSTITUTE('1L Screening Matrix'!$I$2:$I$77,", ",",")&amp;","))*('1L Screening Matrix'!$C$2:$C$77=$A24))+SUMPRODUCT(ISNUMBER(SEARCH(",HER2 Exon 20,",","&amp;SUBSTITUTE('2L Screening Matrix'!$I$2:$I$46,", ",",")&amp;","))*('2L Screening Matrix'!$C$2:$C$46=$A24))</f>
        <v>0</v>
      </c>
      <c r="AC24" s="11">
        <f>SUMPRODUCT(ISNUMBER(SEARCH(",IL-15,",","&amp;SUBSTITUTE('1L Screening Matrix'!$I$2:$I$77,", ",",")&amp;","))*('1L Screening Matrix'!$C$2:$C$77=$A24))+SUMPRODUCT(ISNUMBER(SEARCH(",IL-15,",","&amp;SUBSTITUTE('2L Screening Matrix'!$I$2:$I$46,", ",",")&amp;","))*('2L Screening Matrix'!$C$2:$C$46=$A24))</f>
        <v>0</v>
      </c>
      <c r="AD24" s="11">
        <f>SUMPRODUCT(ISNUMBER(SEARCH(",IL-15R,",","&amp;SUBSTITUTE('1L Screening Matrix'!$I$2:$I$77,", ",",")&amp;","))*('1L Screening Matrix'!$C$2:$C$77=$A24))+SUMPRODUCT(ISNUMBER(SEARCH(",IL-15R,",","&amp;SUBSTITUTE('2L Screening Matrix'!$I$2:$I$46,", ",",")&amp;","))*('2L Screening Matrix'!$C$2:$C$46=$A24))</f>
        <v>0</v>
      </c>
      <c r="AE24" s="11">
        <f>SUMPRODUCT(ISNUMBER(SEARCH(",KRAS G12D,",","&amp;SUBSTITUTE('1L Screening Matrix'!$I$2:$I$77,", ",",")&amp;","))*('1L Screening Matrix'!$C$2:$C$77=$A24))+SUMPRODUCT(ISNUMBER(SEARCH(",KRAS G12D,",","&amp;SUBSTITUTE('2L Screening Matrix'!$I$2:$I$46,", ",",")&amp;","))*('2L Screening Matrix'!$C$2:$C$46=$A24))</f>
        <v>0</v>
      </c>
      <c r="AF24" s="11">
        <f>SUMPRODUCT(ISNUMBER(SEARCH(",HER4,",","&amp;SUBSTITUTE('1L Screening Matrix'!$I$2:$I$77,", ",",")&amp;","))*('1L Screening Matrix'!$C$2:$C$77=$A24))+SUMPRODUCT(ISNUMBER(SEARCH(",HER4,",","&amp;SUBSTITUTE('2L Screening Matrix'!$I$2:$I$46,", ",",")&amp;","))*('2L Screening Matrix'!$C$2:$C$46=$A24))</f>
        <v>0</v>
      </c>
      <c r="AG24" s="11">
        <f>SUMPRODUCT(ISNUMBER(SEARCH(",ALK L1196M,",","&amp;SUBSTITUTE('1L Screening Matrix'!$I$2:$I$77,", ",",")&amp;","))*('1L Screening Matrix'!$C$2:$C$77=$A24))+SUMPRODUCT(ISNUMBER(SEARCH(",ALK L1196M,",","&amp;SUBSTITUTE('2L Screening Matrix'!$I$2:$I$46,", ",",")&amp;","))*('2L Screening Matrix'!$C$2:$C$46=$A24))</f>
        <v>0</v>
      </c>
      <c r="AH24" s="11">
        <f>SUMPRODUCT(ISNUMBER(SEARCH(",CD152,",","&amp;SUBSTITUTE('1L Screening Matrix'!$I$2:$I$77,", ",",")&amp;","))*('1L Screening Matrix'!$C$2:$C$77=$A24))+SUMPRODUCT(ISNUMBER(SEARCH(",CD152,",","&amp;SUBSTITUTE('2L Screening Matrix'!$I$2:$I$46,", ",",")&amp;","))*('2L Screening Matrix'!$C$2:$C$46=$A24))</f>
        <v>0</v>
      </c>
      <c r="AI24" s="11">
        <f>SUMPRODUCT(ISNUMBER(SEARCH(",MLN19,",","&amp;SUBSTITUTE('1L Screening Matrix'!$I$2:$I$77,", ",",")&amp;","))*('1L Screening Matrix'!$C$2:$C$77=$A24))+SUMPRODUCT(ISNUMBER(SEARCH(",MLN19,",","&amp;SUBSTITUTE('2L Screening Matrix'!$I$2:$I$46,", ",",")&amp;","))*('2L Screening Matrix'!$C$2:$C$46=$A24))</f>
        <v>0</v>
      </c>
      <c r="AJ24" s="11">
        <f>SUMPRODUCT(ISNUMBER(SEARCH(",NTRK,",","&amp;SUBSTITUTE('1L Screening Matrix'!$I$2:$I$77,", ",",")&amp;","))*('1L Screening Matrix'!$C$2:$C$77=$A24))+SUMPRODUCT(ISNUMBER(SEARCH(",NTRK,",","&amp;SUBSTITUTE('2L Screening Matrix'!$I$2:$I$46,", ",",")&amp;","))*('2L Screening Matrix'!$C$2:$C$46=$A24))</f>
        <v>0</v>
      </c>
      <c r="AK24" s="11">
        <f>SUMPRODUCT(ISNUMBER(SEARCH(",Integrin β6,",","&amp;SUBSTITUTE('1L Screening Matrix'!$I$2:$I$77,", ",",")&amp;","))*('1L Screening Matrix'!$C$2:$C$77=$A24))+SUMPRODUCT(ISNUMBER(SEARCH(",Integrin β6,",","&amp;SUBSTITUTE('2L Screening Matrix'!$I$2:$I$46,", ",",")&amp;","))*('2L Screening Matrix'!$C$2:$C$46=$A24))</f>
        <v>0</v>
      </c>
      <c r="AL24" s="11">
        <f>SUMPRODUCT(ISNUMBER(SEARCH(",LAG-3,",","&amp;SUBSTITUTE('1L Screening Matrix'!$I$2:$I$77,", ",",")&amp;","))*('1L Screening Matrix'!$C$2:$C$77=$A24))+SUMPRODUCT(ISNUMBER(SEARCH(",LAG-3,",","&amp;SUBSTITUTE('2L Screening Matrix'!$I$2:$I$46,", ",",")&amp;","))*('2L Screening Matrix'!$C$2:$C$46=$A24))</f>
        <v>0</v>
      </c>
      <c r="AM24" s="14">
        <f t="shared" si="0"/>
        <v>5</v>
      </c>
    </row>
    <row r="25" spans="1:39" ht="15" customHeight="1" x14ac:dyDescent="0.2">
      <c r="A25" s="15" t="s">
        <v>140</v>
      </c>
      <c r="B25" s="11">
        <f>SUMPRODUCT(ISNUMBER(SEARCH(",PD-1,",","&amp;SUBSTITUTE('1L Screening Matrix'!$I$2:$I$77,", ",",")&amp;","))*('1L Screening Matrix'!$C$2:$C$77=$A25))+SUMPRODUCT(ISNUMBER(SEARCH(",PD-1,",","&amp;SUBSTITUTE('2L Screening Matrix'!$I$2:$I$46,", ",",")&amp;","))*('2L Screening Matrix'!$C$2:$C$46=$A25))</f>
        <v>1</v>
      </c>
      <c r="C25" s="11">
        <f>SUMPRODUCT(ISNUMBER(SEARCH(",CD279,",","&amp;SUBSTITUTE('1L Screening Matrix'!$I$2:$I$77,", ",",")&amp;","))*('1L Screening Matrix'!$C$2:$C$77=$A25))+SUMPRODUCT(ISNUMBER(SEARCH(",CD279,",","&amp;SUBSTITUTE('2L Screening Matrix'!$I$2:$I$46,", ",",")&amp;","))*('2L Screening Matrix'!$C$2:$C$46=$A25))</f>
        <v>1</v>
      </c>
      <c r="D25" s="11">
        <f>SUMPRODUCT(ISNUMBER(SEARCH(",TS,",","&amp;SUBSTITUTE('1L Screening Matrix'!$I$2:$I$77,", ",",")&amp;","))*('1L Screening Matrix'!$C$2:$C$77=$A25))+SUMPRODUCT(ISNUMBER(SEARCH(",TS,",","&amp;SUBSTITUTE('2L Screening Matrix'!$I$2:$I$46,", ",",")&amp;","))*('2L Screening Matrix'!$C$2:$C$46=$A25))</f>
        <v>1</v>
      </c>
      <c r="E25" s="11">
        <f>SUMPRODUCT(ISNUMBER(SEARCH(",TYMS,",","&amp;SUBSTITUTE('1L Screening Matrix'!$I$2:$I$77,", ",",")&amp;","))*('1L Screening Matrix'!$C$2:$C$77=$A25))+SUMPRODUCT(ISNUMBER(SEARCH(",TYMS,",","&amp;SUBSTITUTE('2L Screening Matrix'!$I$2:$I$46,", ",",")&amp;","))*('2L Screening Matrix'!$C$2:$C$46=$A25))</f>
        <v>1</v>
      </c>
      <c r="F25" s="11">
        <f>SUMPRODUCT(ISNUMBER(SEARCH(",PD-L1,",","&amp;SUBSTITUTE('1L Screening Matrix'!$I$2:$I$77,", ",",")&amp;","))*('1L Screening Matrix'!$C$2:$C$77=$A25))+SUMPRODUCT(ISNUMBER(SEARCH(",PD-L1,",","&amp;SUBSTITUTE('2L Screening Matrix'!$I$2:$I$46,", ",",")&amp;","))*('2L Screening Matrix'!$C$2:$C$46=$A25))</f>
        <v>1</v>
      </c>
      <c r="G25" s="11">
        <f>SUMPRODUCT(ISNUMBER(SEARCH(",B7-H1,",","&amp;SUBSTITUTE('1L Screening Matrix'!$I$2:$I$77,", ",",")&amp;","))*('1L Screening Matrix'!$C$2:$C$77=$A25))+SUMPRODUCT(ISNUMBER(SEARCH(",B7-H1,",","&amp;SUBSTITUTE('2L Screening Matrix'!$I$2:$I$46,", ",",")&amp;","))*('2L Screening Matrix'!$C$2:$C$46=$A25))</f>
        <v>1</v>
      </c>
      <c r="H25" s="11">
        <f>SUMPRODUCT(ISNUMBER(SEARCH(",CD274,",","&amp;SUBSTITUTE('1L Screening Matrix'!$I$2:$I$77,", ",",")&amp;","))*('1L Screening Matrix'!$C$2:$C$77=$A25))+SUMPRODUCT(ISNUMBER(SEARCH(",CD274,",","&amp;SUBSTITUTE('2L Screening Matrix'!$I$2:$I$46,", ",",")&amp;","))*('2L Screening Matrix'!$C$2:$C$46=$A25))</f>
        <v>1</v>
      </c>
      <c r="I25" s="11">
        <f>SUMPRODUCT(ISNUMBER(SEARCH(",EGFR,",","&amp;SUBSTITUTE('1L Screening Matrix'!$I$2:$I$77,", ",",")&amp;","))*('1L Screening Matrix'!$C$2:$C$77=$A25))+SUMPRODUCT(ISNUMBER(SEARCH(",EGFR,",","&amp;SUBSTITUTE('2L Screening Matrix'!$I$2:$I$46,", ",",")&amp;","))*('2L Screening Matrix'!$C$2:$C$46=$A25))</f>
        <v>0</v>
      </c>
      <c r="J25" s="11">
        <f>SUMPRODUCT(ISNUMBER(SEARCH(",VEGF,",","&amp;SUBSTITUTE('1L Screening Matrix'!$I$2:$I$77,", ",",")&amp;","))*('1L Screening Matrix'!$C$2:$C$77=$A25))+SUMPRODUCT(ISNUMBER(SEARCH(",VEGF,",","&amp;SUBSTITUTE('2L Screening Matrix'!$I$2:$I$46,", ",",")&amp;","))*('2L Screening Matrix'!$C$2:$C$46=$A25))</f>
        <v>0</v>
      </c>
      <c r="K25" s="11">
        <f>SUMPRODUCT(ISNUMBER(SEARCH(",ERBB,",","&amp;SUBSTITUTE('1L Screening Matrix'!$I$2:$I$77,", ",",")&amp;","))*('1L Screening Matrix'!$C$2:$C$77=$A25))+SUMPRODUCT(ISNUMBER(SEARCH(",ERBB,",","&amp;SUBSTITUTE('2L Screening Matrix'!$I$2:$I$46,", ",",")&amp;","))*('2L Screening Matrix'!$C$2:$C$46=$A25))</f>
        <v>0</v>
      </c>
      <c r="L25" s="11">
        <f>SUMPRODUCT(ISNUMBER(SEARCH(",HER1,",","&amp;SUBSTITUTE('1L Screening Matrix'!$I$2:$I$77,", ",",")&amp;","))*('1L Screening Matrix'!$C$2:$C$77=$A25))+SUMPRODUCT(ISNUMBER(SEARCH(",HER1,",","&amp;SUBSTITUTE('2L Screening Matrix'!$I$2:$I$46,", ",",")&amp;","))*('2L Screening Matrix'!$C$2:$C$46=$A25))</f>
        <v>0</v>
      </c>
      <c r="M25" s="11">
        <f>SUMPRODUCT(ISNUMBER(SEARCH(",Microtubule,",","&amp;SUBSTITUTE('1L Screening Matrix'!$I$2:$I$77,", ",",")&amp;","))*('1L Screening Matrix'!$C$2:$C$77=$A25))+SUMPRODUCT(ISNUMBER(SEARCH(",Microtubule,",","&amp;SUBSTITUTE('2L Screening Matrix'!$I$2:$I$46,", ",",")&amp;","))*('2L Screening Matrix'!$C$2:$C$46=$A25))</f>
        <v>0</v>
      </c>
      <c r="N25" s="11">
        <f>SUMPRODUCT(ISNUMBER(SEARCH(",KRAS G12C,",","&amp;SUBSTITUTE('1L Screening Matrix'!$I$2:$I$77,", ",",")&amp;","))*('1L Screening Matrix'!$C$2:$C$77=$A25))+SUMPRODUCT(ISNUMBER(SEARCH(",KRAS G12C,",","&amp;SUBSTITUTE('2L Screening Matrix'!$I$2:$I$46,", ",",")&amp;","))*('2L Screening Matrix'!$C$2:$C$46=$A25))</f>
        <v>2</v>
      </c>
      <c r="O25" s="11">
        <f>SUMPRODUCT(ISNUMBER(SEARCH(",EGFR T790M,",","&amp;SUBSTITUTE('1L Screening Matrix'!$I$2:$I$77,", ",",")&amp;","))*('1L Screening Matrix'!$C$2:$C$77=$A25))+SUMPRODUCT(ISNUMBER(SEARCH(",EGFR T790M,",","&amp;SUBSTITUTE('2L Screening Matrix'!$I$2:$I$46,", ",",")&amp;","))*('2L Screening Matrix'!$C$2:$C$46=$A25))</f>
        <v>0</v>
      </c>
      <c r="P25" s="11">
        <f>SUMPRODUCT(ISNUMBER(SEARCH(",ALK,",","&amp;SUBSTITUTE('1L Screening Matrix'!$I$2:$I$77,", ",",")&amp;","))*('1L Screening Matrix'!$C$2:$C$77=$A25))+SUMPRODUCT(ISNUMBER(SEARCH(",ALK,",","&amp;SUBSTITUTE('2L Screening Matrix'!$I$2:$I$46,", ",",")&amp;","))*('2L Screening Matrix'!$C$2:$C$46=$A25))</f>
        <v>0</v>
      </c>
      <c r="Q25" s="11">
        <f>SUMPRODUCT(ISNUMBER(SEARCH(",TROP2,",","&amp;SUBSTITUTE('1L Screening Matrix'!$I$2:$I$77,", ",",")&amp;","))*('1L Screening Matrix'!$C$2:$C$77=$A25))+SUMPRODUCT(ISNUMBER(SEARCH(",TROP2,",","&amp;SUBSTITUTE('2L Screening Matrix'!$I$2:$I$46,", ",",")&amp;","))*('2L Screening Matrix'!$C$2:$C$46=$A25))</f>
        <v>0</v>
      </c>
      <c r="R25" s="11">
        <f>SUMPRODUCT(ISNUMBER(SEARCH(",c-MET/MET,",","&amp;SUBSTITUTE('1L Screening Matrix'!$I$2:$I$77,", ",",")&amp;","))*('1L Screening Matrix'!$C$2:$C$77=$A25))+SUMPRODUCT(ISNUMBER(SEARCH(",c-MET/MET,",","&amp;SUBSTITUTE('2L Screening Matrix'!$I$2:$I$46,", ",",")&amp;","))*('2L Screening Matrix'!$C$2:$C$46=$A25))</f>
        <v>0</v>
      </c>
      <c r="S25" s="11">
        <f>SUMPRODUCT(ISNUMBER(SEARCH(",HER2,",","&amp;SUBSTITUTE('1L Screening Matrix'!$I$2:$I$77,", ",",")&amp;","))*('1L Screening Matrix'!$C$2:$C$77=$A25))+SUMPRODUCT(ISNUMBER(SEARCH(",HER2,",","&amp;SUBSTITUTE('2L Screening Matrix'!$I$2:$I$46,", ",",")&amp;","))*('2L Screening Matrix'!$C$2:$C$46=$A25))</f>
        <v>0</v>
      </c>
      <c r="T25" s="11">
        <f>SUMPRODUCT(ISNUMBER(SEARCH(",ROS1,",","&amp;SUBSTITUTE('1L Screening Matrix'!$I$2:$I$77,", ",",")&amp;","))*('1L Screening Matrix'!$C$2:$C$77=$A25))+SUMPRODUCT(ISNUMBER(SEARCH(",ROS1,",","&amp;SUBSTITUTE('2L Screening Matrix'!$I$2:$I$46,", ",",")&amp;","))*('2L Screening Matrix'!$C$2:$C$46=$A25))</f>
        <v>0</v>
      </c>
      <c r="U25" s="11">
        <f>SUMPRODUCT(ISNUMBER(SEARCH(",TIGIT,",","&amp;SUBSTITUTE('1L Screening Matrix'!$I$2:$I$77,", ",",")&amp;","))*('1L Screening Matrix'!$C$2:$C$77=$A25))+SUMPRODUCT(ISNUMBER(SEARCH(",TIGIT,",","&amp;SUBSTITUTE('2L Screening Matrix'!$I$2:$I$46,", ",",")&amp;","))*('2L Screening Matrix'!$C$2:$C$46=$A25))</f>
        <v>0</v>
      </c>
      <c r="V25" s="11">
        <f>SUMPRODUCT(ISNUMBER(SEARCH(",EGFR L858R,",","&amp;SUBSTITUTE('1L Screening Matrix'!$I$2:$I$77,", ",",")&amp;","))*('1L Screening Matrix'!$C$2:$C$77=$A25))+SUMPRODUCT(ISNUMBER(SEARCH(",EGFR L858R,",","&amp;SUBSTITUTE('2L Screening Matrix'!$I$2:$I$46,", ",",")&amp;","))*('2L Screening Matrix'!$C$2:$C$46=$A25))</f>
        <v>0</v>
      </c>
      <c r="W25" s="11">
        <f>SUMPRODUCT(ISNUMBER(SEARCH(",ROS,",","&amp;SUBSTITUTE('1L Screening Matrix'!$I$2:$I$77,", ",",")&amp;","))*('1L Screening Matrix'!$C$2:$C$77=$A25))+SUMPRODUCT(ISNUMBER(SEARCH(",ROS,",","&amp;SUBSTITUTE('2L Screening Matrix'!$I$2:$I$46,", ",",")&amp;","))*('2L Screening Matrix'!$C$2:$C$46=$A25))</f>
        <v>0</v>
      </c>
      <c r="X25" s="11">
        <f>SUMPRODUCT(ISNUMBER(SEARCH(",IL-2,",","&amp;SUBSTITUTE('1L Screening Matrix'!$I$2:$I$77,", ",",")&amp;","))*('1L Screening Matrix'!$C$2:$C$77=$A25))+SUMPRODUCT(ISNUMBER(SEARCH(",IL-2,",","&amp;SUBSTITUTE('2L Screening Matrix'!$I$2:$I$46,", ",",")&amp;","))*('2L Screening Matrix'!$C$2:$C$46=$A25))</f>
        <v>0</v>
      </c>
      <c r="Y25" s="11">
        <f>SUMPRODUCT(ISNUMBER(SEARCH(",TCGF,",","&amp;SUBSTITUTE('1L Screening Matrix'!$I$2:$I$77,", ",",")&amp;","))*('1L Screening Matrix'!$C$2:$C$77=$A25))+SUMPRODUCT(ISNUMBER(SEARCH(",TCGF,",","&amp;SUBSTITUTE('2L Screening Matrix'!$I$2:$I$46,", ",",")&amp;","))*('2L Screening Matrix'!$C$2:$C$46=$A25))</f>
        <v>0</v>
      </c>
      <c r="Z25" s="11">
        <f>SUMPRODUCT(ISNUMBER(SEARCH(",CTLA-4,",","&amp;SUBSTITUTE('1L Screening Matrix'!$I$2:$I$77,", ",",")&amp;","))*('1L Screening Matrix'!$C$2:$C$77=$A25))+SUMPRODUCT(ISNUMBER(SEARCH(",CTLA-4,",","&amp;SUBSTITUTE('2L Screening Matrix'!$I$2:$I$46,", ",",")&amp;","))*('2L Screening Matrix'!$C$2:$C$46=$A25))</f>
        <v>0</v>
      </c>
      <c r="AA25" s="11">
        <f>SUMPRODUCT(ISNUMBER(SEARCH(",EGFR Exon 20,",","&amp;SUBSTITUTE('1L Screening Matrix'!$I$2:$I$77,", ",",")&amp;","))*('1L Screening Matrix'!$C$2:$C$77=$A25))+SUMPRODUCT(ISNUMBER(SEARCH(",EGFR Exon 20,",","&amp;SUBSTITUTE('2L Screening Matrix'!$I$2:$I$46,", ",",")&amp;","))*('2L Screening Matrix'!$C$2:$C$46=$A25))</f>
        <v>0</v>
      </c>
      <c r="AB25" s="11">
        <f>SUMPRODUCT(ISNUMBER(SEARCH(",HER2 Exon 20,",","&amp;SUBSTITUTE('1L Screening Matrix'!$I$2:$I$77,", ",",")&amp;","))*('1L Screening Matrix'!$C$2:$C$77=$A25))+SUMPRODUCT(ISNUMBER(SEARCH(",HER2 Exon 20,",","&amp;SUBSTITUTE('2L Screening Matrix'!$I$2:$I$46,", ",",")&amp;","))*('2L Screening Matrix'!$C$2:$C$46=$A25))</f>
        <v>0</v>
      </c>
      <c r="AC25" s="11">
        <f>SUMPRODUCT(ISNUMBER(SEARCH(",IL-15,",","&amp;SUBSTITUTE('1L Screening Matrix'!$I$2:$I$77,", ",",")&amp;","))*('1L Screening Matrix'!$C$2:$C$77=$A25))+SUMPRODUCT(ISNUMBER(SEARCH(",IL-15,",","&amp;SUBSTITUTE('2L Screening Matrix'!$I$2:$I$46,", ",",")&amp;","))*('2L Screening Matrix'!$C$2:$C$46=$A25))</f>
        <v>0</v>
      </c>
      <c r="AD25" s="11">
        <f>SUMPRODUCT(ISNUMBER(SEARCH(",IL-15R,",","&amp;SUBSTITUTE('1L Screening Matrix'!$I$2:$I$77,", ",",")&amp;","))*('1L Screening Matrix'!$C$2:$C$77=$A25))+SUMPRODUCT(ISNUMBER(SEARCH(",IL-15R,",","&amp;SUBSTITUTE('2L Screening Matrix'!$I$2:$I$46,", ",",")&amp;","))*('2L Screening Matrix'!$C$2:$C$46=$A25))</f>
        <v>0</v>
      </c>
      <c r="AE25" s="11">
        <f>SUMPRODUCT(ISNUMBER(SEARCH(",KRAS G12D,",","&amp;SUBSTITUTE('1L Screening Matrix'!$I$2:$I$77,", ",",")&amp;","))*('1L Screening Matrix'!$C$2:$C$77=$A25))+SUMPRODUCT(ISNUMBER(SEARCH(",KRAS G12D,",","&amp;SUBSTITUTE('2L Screening Matrix'!$I$2:$I$46,", ",",")&amp;","))*('2L Screening Matrix'!$C$2:$C$46=$A25))</f>
        <v>0</v>
      </c>
      <c r="AF25" s="11">
        <f>SUMPRODUCT(ISNUMBER(SEARCH(",HER4,",","&amp;SUBSTITUTE('1L Screening Matrix'!$I$2:$I$77,", ",",")&amp;","))*('1L Screening Matrix'!$C$2:$C$77=$A25))+SUMPRODUCT(ISNUMBER(SEARCH(",HER4,",","&amp;SUBSTITUTE('2L Screening Matrix'!$I$2:$I$46,", ",",")&amp;","))*('2L Screening Matrix'!$C$2:$C$46=$A25))</f>
        <v>0</v>
      </c>
      <c r="AG25" s="11">
        <f>SUMPRODUCT(ISNUMBER(SEARCH(",ALK L1196M,",","&amp;SUBSTITUTE('1L Screening Matrix'!$I$2:$I$77,", ",",")&amp;","))*('1L Screening Matrix'!$C$2:$C$77=$A25))+SUMPRODUCT(ISNUMBER(SEARCH(",ALK L1196M,",","&amp;SUBSTITUTE('2L Screening Matrix'!$I$2:$I$46,", ",",")&amp;","))*('2L Screening Matrix'!$C$2:$C$46=$A25))</f>
        <v>0</v>
      </c>
      <c r="AH25" s="11">
        <f>SUMPRODUCT(ISNUMBER(SEARCH(",CD152,",","&amp;SUBSTITUTE('1L Screening Matrix'!$I$2:$I$77,", ",",")&amp;","))*('1L Screening Matrix'!$C$2:$C$77=$A25))+SUMPRODUCT(ISNUMBER(SEARCH(",CD152,",","&amp;SUBSTITUTE('2L Screening Matrix'!$I$2:$I$46,", ",",")&amp;","))*('2L Screening Matrix'!$C$2:$C$46=$A25))</f>
        <v>0</v>
      </c>
      <c r="AI25" s="11">
        <f>SUMPRODUCT(ISNUMBER(SEARCH(",MLN19,",","&amp;SUBSTITUTE('1L Screening Matrix'!$I$2:$I$77,", ",",")&amp;","))*('1L Screening Matrix'!$C$2:$C$77=$A25))+SUMPRODUCT(ISNUMBER(SEARCH(",MLN19,",","&amp;SUBSTITUTE('2L Screening Matrix'!$I$2:$I$46,", ",",")&amp;","))*('2L Screening Matrix'!$C$2:$C$46=$A25))</f>
        <v>0</v>
      </c>
      <c r="AJ25" s="11">
        <f>SUMPRODUCT(ISNUMBER(SEARCH(",NTRK,",","&amp;SUBSTITUTE('1L Screening Matrix'!$I$2:$I$77,", ",",")&amp;","))*('1L Screening Matrix'!$C$2:$C$77=$A25))+SUMPRODUCT(ISNUMBER(SEARCH(",NTRK,",","&amp;SUBSTITUTE('2L Screening Matrix'!$I$2:$I$46,", ",",")&amp;","))*('2L Screening Matrix'!$C$2:$C$46=$A25))</f>
        <v>0</v>
      </c>
      <c r="AK25" s="11">
        <f>SUMPRODUCT(ISNUMBER(SEARCH(",Integrin β6,",","&amp;SUBSTITUTE('1L Screening Matrix'!$I$2:$I$77,", ",",")&amp;","))*('1L Screening Matrix'!$C$2:$C$77=$A25))+SUMPRODUCT(ISNUMBER(SEARCH(",Integrin β6,",","&amp;SUBSTITUTE('2L Screening Matrix'!$I$2:$I$46,", ",",")&amp;","))*('2L Screening Matrix'!$C$2:$C$46=$A25))</f>
        <v>0</v>
      </c>
      <c r="AL25" s="11">
        <f>SUMPRODUCT(ISNUMBER(SEARCH(",LAG-3,",","&amp;SUBSTITUTE('1L Screening Matrix'!$I$2:$I$77,", ",",")&amp;","))*('1L Screening Matrix'!$C$2:$C$77=$A25))+SUMPRODUCT(ISNUMBER(SEARCH(",LAG-3,",","&amp;SUBSTITUTE('2L Screening Matrix'!$I$2:$I$46,", ",",")&amp;","))*('2L Screening Matrix'!$C$2:$C$46=$A25))</f>
        <v>0</v>
      </c>
      <c r="AM25" s="14">
        <f t="shared" si="0"/>
        <v>9</v>
      </c>
    </row>
    <row r="26" spans="1:39" ht="15" customHeight="1" x14ac:dyDescent="0.2">
      <c r="A26" s="12" t="s">
        <v>108</v>
      </c>
      <c r="B26" s="11">
        <f>SUMPRODUCT(ISNUMBER(SEARCH(",PD-1,",","&amp;SUBSTITUTE('1L Screening Matrix'!$I$2:$I$77,", ",",")&amp;","))*('1L Screening Matrix'!$C$2:$C$77=$A26))+SUMPRODUCT(ISNUMBER(SEARCH(",PD-1,",","&amp;SUBSTITUTE('2L Screening Matrix'!$I$2:$I$46,", ",",")&amp;","))*('2L Screening Matrix'!$C$2:$C$46=$A26))</f>
        <v>1</v>
      </c>
      <c r="C26" s="11">
        <f>SUMPRODUCT(ISNUMBER(SEARCH(",CD279,",","&amp;SUBSTITUTE('1L Screening Matrix'!$I$2:$I$77,", ",",")&amp;","))*('1L Screening Matrix'!$C$2:$C$77=$A26))+SUMPRODUCT(ISNUMBER(SEARCH(",CD279,",","&amp;SUBSTITUTE('2L Screening Matrix'!$I$2:$I$46,", ",",")&amp;","))*('2L Screening Matrix'!$C$2:$C$46=$A26))</f>
        <v>1</v>
      </c>
      <c r="D26" s="11">
        <f>SUMPRODUCT(ISNUMBER(SEARCH(",TS,",","&amp;SUBSTITUTE('1L Screening Matrix'!$I$2:$I$77,", ",",")&amp;","))*('1L Screening Matrix'!$C$2:$C$77=$A26))+SUMPRODUCT(ISNUMBER(SEARCH(",TS,",","&amp;SUBSTITUTE('2L Screening Matrix'!$I$2:$I$46,", ",",")&amp;","))*('2L Screening Matrix'!$C$2:$C$46=$A26))</f>
        <v>0</v>
      </c>
      <c r="E26" s="11">
        <f>SUMPRODUCT(ISNUMBER(SEARCH(",TYMS,",","&amp;SUBSTITUTE('1L Screening Matrix'!$I$2:$I$77,", ",",")&amp;","))*('1L Screening Matrix'!$C$2:$C$77=$A26))+SUMPRODUCT(ISNUMBER(SEARCH(",TYMS,",","&amp;SUBSTITUTE('2L Screening Matrix'!$I$2:$I$46,", ",",")&amp;","))*('2L Screening Matrix'!$C$2:$C$46=$A26))</f>
        <v>0</v>
      </c>
      <c r="F26" s="11">
        <f>SUMPRODUCT(ISNUMBER(SEARCH(",PD-L1,",","&amp;SUBSTITUTE('1L Screening Matrix'!$I$2:$I$77,", ",",")&amp;","))*('1L Screening Matrix'!$C$2:$C$77=$A26))+SUMPRODUCT(ISNUMBER(SEARCH(",PD-L1,",","&amp;SUBSTITUTE('2L Screening Matrix'!$I$2:$I$46,", ",",")&amp;","))*('2L Screening Matrix'!$C$2:$C$46=$A26))</f>
        <v>2</v>
      </c>
      <c r="G26" s="11">
        <f>SUMPRODUCT(ISNUMBER(SEARCH(",B7-H1,",","&amp;SUBSTITUTE('1L Screening Matrix'!$I$2:$I$77,", ",",")&amp;","))*('1L Screening Matrix'!$C$2:$C$77=$A26))+SUMPRODUCT(ISNUMBER(SEARCH(",B7-H1,",","&amp;SUBSTITUTE('2L Screening Matrix'!$I$2:$I$46,", ",",")&amp;","))*('2L Screening Matrix'!$C$2:$C$46=$A26))</f>
        <v>2</v>
      </c>
      <c r="H26" s="11">
        <f>SUMPRODUCT(ISNUMBER(SEARCH(",CD274,",","&amp;SUBSTITUTE('1L Screening Matrix'!$I$2:$I$77,", ",",")&amp;","))*('1L Screening Matrix'!$C$2:$C$77=$A26))+SUMPRODUCT(ISNUMBER(SEARCH(",CD274,",","&amp;SUBSTITUTE('2L Screening Matrix'!$I$2:$I$46,", ",",")&amp;","))*('2L Screening Matrix'!$C$2:$C$46=$A26))</f>
        <v>2</v>
      </c>
      <c r="I26" s="11">
        <f>SUMPRODUCT(ISNUMBER(SEARCH(",EGFR,",","&amp;SUBSTITUTE('1L Screening Matrix'!$I$2:$I$77,", ",",")&amp;","))*('1L Screening Matrix'!$C$2:$C$77=$A26))+SUMPRODUCT(ISNUMBER(SEARCH(",EGFR,",","&amp;SUBSTITUTE('2L Screening Matrix'!$I$2:$I$46,", ",",")&amp;","))*('2L Screening Matrix'!$C$2:$C$46=$A26))</f>
        <v>1</v>
      </c>
      <c r="J26" s="11">
        <f>SUMPRODUCT(ISNUMBER(SEARCH(",VEGF,",","&amp;SUBSTITUTE('1L Screening Matrix'!$I$2:$I$77,", ",",")&amp;","))*('1L Screening Matrix'!$C$2:$C$77=$A26))+SUMPRODUCT(ISNUMBER(SEARCH(",VEGF,",","&amp;SUBSTITUTE('2L Screening Matrix'!$I$2:$I$46,", ",",")&amp;","))*('2L Screening Matrix'!$C$2:$C$46=$A26))</f>
        <v>0</v>
      </c>
      <c r="K26" s="11">
        <f>SUMPRODUCT(ISNUMBER(SEARCH(",ERBB,",","&amp;SUBSTITUTE('1L Screening Matrix'!$I$2:$I$77,", ",",")&amp;","))*('1L Screening Matrix'!$C$2:$C$77=$A26))+SUMPRODUCT(ISNUMBER(SEARCH(",ERBB,",","&amp;SUBSTITUTE('2L Screening Matrix'!$I$2:$I$46,", ",",")&amp;","))*('2L Screening Matrix'!$C$2:$C$46=$A26))</f>
        <v>1</v>
      </c>
      <c r="L26" s="11">
        <f>SUMPRODUCT(ISNUMBER(SEARCH(",HER1,",","&amp;SUBSTITUTE('1L Screening Matrix'!$I$2:$I$77,", ",",")&amp;","))*('1L Screening Matrix'!$C$2:$C$77=$A26))+SUMPRODUCT(ISNUMBER(SEARCH(",HER1,",","&amp;SUBSTITUTE('2L Screening Matrix'!$I$2:$I$46,", ",",")&amp;","))*('2L Screening Matrix'!$C$2:$C$46=$A26))</f>
        <v>1</v>
      </c>
      <c r="M26" s="11">
        <f>SUMPRODUCT(ISNUMBER(SEARCH(",Microtubule,",","&amp;SUBSTITUTE('1L Screening Matrix'!$I$2:$I$77,", ",",")&amp;","))*('1L Screening Matrix'!$C$2:$C$77=$A26))+SUMPRODUCT(ISNUMBER(SEARCH(",Microtubule,",","&amp;SUBSTITUTE('2L Screening Matrix'!$I$2:$I$46,", ",",")&amp;","))*('2L Screening Matrix'!$C$2:$C$46=$A26))</f>
        <v>0</v>
      </c>
      <c r="N26" s="11">
        <f>SUMPRODUCT(ISNUMBER(SEARCH(",KRAS G12C,",","&amp;SUBSTITUTE('1L Screening Matrix'!$I$2:$I$77,", ",",")&amp;","))*('1L Screening Matrix'!$C$2:$C$77=$A26))+SUMPRODUCT(ISNUMBER(SEARCH(",KRAS G12C,",","&amp;SUBSTITUTE('2L Screening Matrix'!$I$2:$I$46,", ",",")&amp;","))*('2L Screening Matrix'!$C$2:$C$46=$A26))</f>
        <v>2</v>
      </c>
      <c r="O26" s="11">
        <f>SUMPRODUCT(ISNUMBER(SEARCH(",EGFR T790M,",","&amp;SUBSTITUTE('1L Screening Matrix'!$I$2:$I$77,", ",",")&amp;","))*('1L Screening Matrix'!$C$2:$C$77=$A26))+SUMPRODUCT(ISNUMBER(SEARCH(",EGFR T790M,",","&amp;SUBSTITUTE('2L Screening Matrix'!$I$2:$I$46,", ",",")&amp;","))*('2L Screening Matrix'!$C$2:$C$46=$A26))</f>
        <v>0</v>
      </c>
      <c r="P26" s="11">
        <f>SUMPRODUCT(ISNUMBER(SEARCH(",ALK,",","&amp;SUBSTITUTE('1L Screening Matrix'!$I$2:$I$77,", ",",")&amp;","))*('1L Screening Matrix'!$C$2:$C$77=$A26))+SUMPRODUCT(ISNUMBER(SEARCH(",ALK,",","&amp;SUBSTITUTE('2L Screening Matrix'!$I$2:$I$46,", ",",")&amp;","))*('2L Screening Matrix'!$C$2:$C$46=$A26))</f>
        <v>2</v>
      </c>
      <c r="Q26" s="11">
        <f>SUMPRODUCT(ISNUMBER(SEARCH(",TROP2,",","&amp;SUBSTITUTE('1L Screening Matrix'!$I$2:$I$77,", ",",")&amp;","))*('1L Screening Matrix'!$C$2:$C$77=$A26))+SUMPRODUCT(ISNUMBER(SEARCH(",TROP2,",","&amp;SUBSTITUTE('2L Screening Matrix'!$I$2:$I$46,", ",",")&amp;","))*('2L Screening Matrix'!$C$2:$C$46=$A26))</f>
        <v>0</v>
      </c>
      <c r="R26" s="11">
        <f>SUMPRODUCT(ISNUMBER(SEARCH(",c-MET/MET,",","&amp;SUBSTITUTE('1L Screening Matrix'!$I$2:$I$77,", ",",")&amp;","))*('1L Screening Matrix'!$C$2:$C$77=$A26))+SUMPRODUCT(ISNUMBER(SEARCH(",c-MET/MET,",","&amp;SUBSTITUTE('2L Screening Matrix'!$I$2:$I$46,", ",",")&amp;","))*('2L Screening Matrix'!$C$2:$C$46=$A26))</f>
        <v>0</v>
      </c>
      <c r="S26" s="11">
        <f>SUMPRODUCT(ISNUMBER(SEARCH(",HER2,",","&amp;SUBSTITUTE('1L Screening Matrix'!$I$2:$I$77,", ",",")&amp;","))*('1L Screening Matrix'!$C$2:$C$77=$A26))+SUMPRODUCT(ISNUMBER(SEARCH(",HER2,",","&amp;SUBSTITUTE('2L Screening Matrix'!$I$2:$I$46,", ",",")&amp;","))*('2L Screening Matrix'!$C$2:$C$46=$A26))</f>
        <v>0</v>
      </c>
      <c r="T26" s="11">
        <f>SUMPRODUCT(ISNUMBER(SEARCH(",ROS1,",","&amp;SUBSTITUTE('1L Screening Matrix'!$I$2:$I$77,", ",",")&amp;","))*('1L Screening Matrix'!$C$2:$C$77=$A26))+SUMPRODUCT(ISNUMBER(SEARCH(",ROS1,",","&amp;SUBSTITUTE('2L Screening Matrix'!$I$2:$I$46,", ",",")&amp;","))*('2L Screening Matrix'!$C$2:$C$46=$A26))</f>
        <v>2</v>
      </c>
      <c r="U26" s="11">
        <f>SUMPRODUCT(ISNUMBER(SEARCH(",TIGIT,",","&amp;SUBSTITUTE('1L Screening Matrix'!$I$2:$I$77,", ",",")&amp;","))*('1L Screening Matrix'!$C$2:$C$77=$A26))+SUMPRODUCT(ISNUMBER(SEARCH(",TIGIT,",","&amp;SUBSTITUTE('2L Screening Matrix'!$I$2:$I$46,", ",",")&amp;","))*('2L Screening Matrix'!$C$2:$C$46=$A26))</f>
        <v>0</v>
      </c>
      <c r="V26" s="11">
        <f>SUMPRODUCT(ISNUMBER(SEARCH(",EGFR L858R,",","&amp;SUBSTITUTE('1L Screening Matrix'!$I$2:$I$77,", ",",")&amp;","))*('1L Screening Matrix'!$C$2:$C$77=$A26))+SUMPRODUCT(ISNUMBER(SEARCH(",EGFR L858R,",","&amp;SUBSTITUTE('2L Screening Matrix'!$I$2:$I$46,", ",",")&amp;","))*('2L Screening Matrix'!$C$2:$C$46=$A26))</f>
        <v>0</v>
      </c>
      <c r="W26" s="11">
        <f>SUMPRODUCT(ISNUMBER(SEARCH(",ROS,",","&amp;SUBSTITUTE('1L Screening Matrix'!$I$2:$I$77,", ",",")&amp;","))*('1L Screening Matrix'!$C$2:$C$77=$A26))+SUMPRODUCT(ISNUMBER(SEARCH(",ROS,",","&amp;SUBSTITUTE('2L Screening Matrix'!$I$2:$I$46,", ",",")&amp;","))*('2L Screening Matrix'!$C$2:$C$46=$A26))</f>
        <v>2</v>
      </c>
      <c r="X26" s="11">
        <f>SUMPRODUCT(ISNUMBER(SEARCH(",IL-2,",","&amp;SUBSTITUTE('1L Screening Matrix'!$I$2:$I$77,", ",",")&amp;","))*('1L Screening Matrix'!$C$2:$C$77=$A26))+SUMPRODUCT(ISNUMBER(SEARCH(",IL-2,",","&amp;SUBSTITUTE('2L Screening Matrix'!$I$2:$I$46,", ",",")&amp;","))*('2L Screening Matrix'!$C$2:$C$46=$A26))</f>
        <v>0</v>
      </c>
      <c r="Y26" s="11">
        <f>SUMPRODUCT(ISNUMBER(SEARCH(",TCGF,",","&amp;SUBSTITUTE('1L Screening Matrix'!$I$2:$I$77,", ",",")&amp;","))*('1L Screening Matrix'!$C$2:$C$77=$A26))+SUMPRODUCT(ISNUMBER(SEARCH(",TCGF,",","&amp;SUBSTITUTE('2L Screening Matrix'!$I$2:$I$46,", ",",")&amp;","))*('2L Screening Matrix'!$C$2:$C$46=$A26))</f>
        <v>0</v>
      </c>
      <c r="Z26" s="11">
        <f>SUMPRODUCT(ISNUMBER(SEARCH(",CTLA-4,",","&amp;SUBSTITUTE('1L Screening Matrix'!$I$2:$I$77,", ",",")&amp;","))*('1L Screening Matrix'!$C$2:$C$77=$A26))+SUMPRODUCT(ISNUMBER(SEARCH(",CTLA-4,",","&amp;SUBSTITUTE('2L Screening Matrix'!$I$2:$I$46,", ",",")&amp;","))*('2L Screening Matrix'!$C$2:$C$46=$A26))</f>
        <v>0</v>
      </c>
      <c r="AA26" s="11">
        <f>SUMPRODUCT(ISNUMBER(SEARCH(",EGFR Exon 20,",","&amp;SUBSTITUTE('1L Screening Matrix'!$I$2:$I$77,", ",",")&amp;","))*('1L Screening Matrix'!$C$2:$C$77=$A26))+SUMPRODUCT(ISNUMBER(SEARCH(",EGFR Exon 20,",","&amp;SUBSTITUTE('2L Screening Matrix'!$I$2:$I$46,", ",",")&amp;","))*('2L Screening Matrix'!$C$2:$C$46=$A26))</f>
        <v>0</v>
      </c>
      <c r="AB26" s="11">
        <f>SUMPRODUCT(ISNUMBER(SEARCH(",HER2 Exon 20,",","&amp;SUBSTITUTE('1L Screening Matrix'!$I$2:$I$77,", ",",")&amp;","))*('1L Screening Matrix'!$C$2:$C$77=$A26))+SUMPRODUCT(ISNUMBER(SEARCH(",HER2 Exon 20,",","&amp;SUBSTITUTE('2L Screening Matrix'!$I$2:$I$46,", ",",")&amp;","))*('2L Screening Matrix'!$C$2:$C$46=$A26))</f>
        <v>0</v>
      </c>
      <c r="AC26" s="11">
        <f>SUMPRODUCT(ISNUMBER(SEARCH(",IL-15,",","&amp;SUBSTITUTE('1L Screening Matrix'!$I$2:$I$77,", ",",")&amp;","))*('1L Screening Matrix'!$C$2:$C$77=$A26))+SUMPRODUCT(ISNUMBER(SEARCH(",IL-15,",","&amp;SUBSTITUTE('2L Screening Matrix'!$I$2:$I$46,", ",",")&amp;","))*('2L Screening Matrix'!$C$2:$C$46=$A26))</f>
        <v>0</v>
      </c>
      <c r="AD26" s="11">
        <f>SUMPRODUCT(ISNUMBER(SEARCH(",IL-15R,",","&amp;SUBSTITUTE('1L Screening Matrix'!$I$2:$I$77,", ",",")&amp;","))*('1L Screening Matrix'!$C$2:$C$77=$A26))+SUMPRODUCT(ISNUMBER(SEARCH(",IL-15R,",","&amp;SUBSTITUTE('2L Screening Matrix'!$I$2:$I$46,", ",",")&amp;","))*('2L Screening Matrix'!$C$2:$C$46=$A26))</f>
        <v>0</v>
      </c>
      <c r="AE26" s="11">
        <f>SUMPRODUCT(ISNUMBER(SEARCH(",KRAS G12D,",","&amp;SUBSTITUTE('1L Screening Matrix'!$I$2:$I$77,", ",",")&amp;","))*('1L Screening Matrix'!$C$2:$C$77=$A26))+SUMPRODUCT(ISNUMBER(SEARCH(",KRAS G12D,",","&amp;SUBSTITUTE('2L Screening Matrix'!$I$2:$I$46,", ",",")&amp;","))*('2L Screening Matrix'!$C$2:$C$46=$A26))</f>
        <v>0</v>
      </c>
      <c r="AF26" s="11">
        <f>SUMPRODUCT(ISNUMBER(SEARCH(",HER4,",","&amp;SUBSTITUTE('1L Screening Matrix'!$I$2:$I$77,", ",",")&amp;","))*('1L Screening Matrix'!$C$2:$C$77=$A26))+SUMPRODUCT(ISNUMBER(SEARCH(",HER4,",","&amp;SUBSTITUTE('2L Screening Matrix'!$I$2:$I$46,", ",",")&amp;","))*('2L Screening Matrix'!$C$2:$C$46=$A26))</f>
        <v>0</v>
      </c>
      <c r="AG26" s="11">
        <f>SUMPRODUCT(ISNUMBER(SEARCH(",ALK L1196M,",","&amp;SUBSTITUTE('1L Screening Matrix'!$I$2:$I$77,", ",",")&amp;","))*('1L Screening Matrix'!$C$2:$C$77=$A26))+SUMPRODUCT(ISNUMBER(SEARCH(",ALK L1196M,",","&amp;SUBSTITUTE('2L Screening Matrix'!$I$2:$I$46,", ",",")&amp;","))*('2L Screening Matrix'!$C$2:$C$46=$A26))</f>
        <v>1</v>
      </c>
      <c r="AH26" s="11">
        <f>SUMPRODUCT(ISNUMBER(SEARCH(",CD152,",","&amp;SUBSTITUTE('1L Screening Matrix'!$I$2:$I$77,", ",",")&amp;","))*('1L Screening Matrix'!$C$2:$C$77=$A26))+SUMPRODUCT(ISNUMBER(SEARCH(",CD152,",","&amp;SUBSTITUTE('2L Screening Matrix'!$I$2:$I$46,", ",",")&amp;","))*('2L Screening Matrix'!$C$2:$C$46=$A26))</f>
        <v>0</v>
      </c>
      <c r="AI26" s="11">
        <f>SUMPRODUCT(ISNUMBER(SEARCH(",MLN19,",","&amp;SUBSTITUTE('1L Screening Matrix'!$I$2:$I$77,", ",",")&amp;","))*('1L Screening Matrix'!$C$2:$C$77=$A26))+SUMPRODUCT(ISNUMBER(SEARCH(",MLN19,",","&amp;SUBSTITUTE('2L Screening Matrix'!$I$2:$I$46,", ",",")&amp;","))*('2L Screening Matrix'!$C$2:$C$46=$A26))</f>
        <v>0</v>
      </c>
      <c r="AJ26" s="11">
        <f>SUMPRODUCT(ISNUMBER(SEARCH(",NTRK,",","&amp;SUBSTITUTE('1L Screening Matrix'!$I$2:$I$77,", ",",")&amp;","))*('1L Screening Matrix'!$C$2:$C$77=$A26))+SUMPRODUCT(ISNUMBER(SEARCH(",NTRK,",","&amp;SUBSTITUTE('2L Screening Matrix'!$I$2:$I$46,", ",",")&amp;","))*('2L Screening Matrix'!$C$2:$C$46=$A26))</f>
        <v>2</v>
      </c>
      <c r="AK26" s="11">
        <f>SUMPRODUCT(ISNUMBER(SEARCH(",Integrin β6,",","&amp;SUBSTITUTE('1L Screening Matrix'!$I$2:$I$77,", ",",")&amp;","))*('1L Screening Matrix'!$C$2:$C$77=$A26))+SUMPRODUCT(ISNUMBER(SEARCH(",Integrin β6,",","&amp;SUBSTITUTE('2L Screening Matrix'!$I$2:$I$46,", ",",")&amp;","))*('2L Screening Matrix'!$C$2:$C$46=$A26))</f>
        <v>0</v>
      </c>
      <c r="AL26" s="11">
        <f>SUMPRODUCT(ISNUMBER(SEARCH(",LAG-3,",","&amp;SUBSTITUTE('1L Screening Matrix'!$I$2:$I$77,", ",",")&amp;","))*('1L Screening Matrix'!$C$2:$C$77=$A26))+SUMPRODUCT(ISNUMBER(SEARCH(",LAG-3,",","&amp;SUBSTITUTE('2L Screening Matrix'!$I$2:$I$46,", ",",")&amp;","))*('2L Screening Matrix'!$C$2:$C$46=$A26))</f>
        <v>0</v>
      </c>
      <c r="AM26" s="14">
        <f t="shared" si="0"/>
        <v>22</v>
      </c>
    </row>
    <row r="27" spans="1:39" ht="15" customHeight="1" x14ac:dyDescent="0.2">
      <c r="A27" s="15" t="s">
        <v>1041</v>
      </c>
      <c r="B27" s="11">
        <f>SUMPRODUCT(ISNUMBER(SEARCH(",PD-1,",","&amp;SUBSTITUTE('1L Screening Matrix'!$I$2:$I$77,", ",",")&amp;","))*('1L Screening Matrix'!$C$2:$C$77=$A27))+SUMPRODUCT(ISNUMBER(SEARCH(",PD-1,",","&amp;SUBSTITUTE('2L Screening Matrix'!$I$2:$I$46,", ",",")&amp;","))*('2L Screening Matrix'!$C$2:$C$46=$A27))</f>
        <v>1</v>
      </c>
      <c r="C27" s="11">
        <f>SUMPRODUCT(ISNUMBER(SEARCH(",CD279,",","&amp;SUBSTITUTE('1L Screening Matrix'!$I$2:$I$77,", ",",")&amp;","))*('1L Screening Matrix'!$C$2:$C$77=$A27))+SUMPRODUCT(ISNUMBER(SEARCH(",CD279,",","&amp;SUBSTITUTE('2L Screening Matrix'!$I$2:$I$46,", ",",")&amp;","))*('2L Screening Matrix'!$C$2:$C$46=$A27))</f>
        <v>1</v>
      </c>
      <c r="D27" s="11">
        <f>SUMPRODUCT(ISNUMBER(SEARCH(",TS,",","&amp;SUBSTITUTE('1L Screening Matrix'!$I$2:$I$77,", ",",")&amp;","))*('1L Screening Matrix'!$C$2:$C$77=$A27))+SUMPRODUCT(ISNUMBER(SEARCH(",TS,",","&amp;SUBSTITUTE('2L Screening Matrix'!$I$2:$I$46,", ",",")&amp;","))*('2L Screening Matrix'!$C$2:$C$46=$A27))</f>
        <v>0</v>
      </c>
      <c r="E27" s="11">
        <f>SUMPRODUCT(ISNUMBER(SEARCH(",TYMS,",","&amp;SUBSTITUTE('1L Screening Matrix'!$I$2:$I$77,", ",",")&amp;","))*('1L Screening Matrix'!$C$2:$C$77=$A27))+SUMPRODUCT(ISNUMBER(SEARCH(",TYMS,",","&amp;SUBSTITUTE('2L Screening Matrix'!$I$2:$I$46,", ",",")&amp;","))*('2L Screening Matrix'!$C$2:$C$46=$A27))</f>
        <v>0</v>
      </c>
      <c r="F27" s="11">
        <f>SUMPRODUCT(ISNUMBER(SEARCH(",PD-L1,",","&amp;SUBSTITUTE('1L Screening Matrix'!$I$2:$I$77,", ",",")&amp;","))*('1L Screening Matrix'!$C$2:$C$77=$A27))+SUMPRODUCT(ISNUMBER(SEARCH(",PD-L1,",","&amp;SUBSTITUTE('2L Screening Matrix'!$I$2:$I$46,", ",",")&amp;","))*('2L Screening Matrix'!$C$2:$C$46=$A27))</f>
        <v>0</v>
      </c>
      <c r="G27" s="11">
        <f>SUMPRODUCT(ISNUMBER(SEARCH(",B7-H1,",","&amp;SUBSTITUTE('1L Screening Matrix'!$I$2:$I$77,", ",",")&amp;","))*('1L Screening Matrix'!$C$2:$C$77=$A27))+SUMPRODUCT(ISNUMBER(SEARCH(",B7-H1,",","&amp;SUBSTITUTE('2L Screening Matrix'!$I$2:$I$46,", ",",")&amp;","))*('2L Screening Matrix'!$C$2:$C$46=$A27))</f>
        <v>0</v>
      </c>
      <c r="H27" s="11">
        <f>SUMPRODUCT(ISNUMBER(SEARCH(",CD274,",","&amp;SUBSTITUTE('1L Screening Matrix'!$I$2:$I$77,", ",",")&amp;","))*('1L Screening Matrix'!$C$2:$C$77=$A27))+SUMPRODUCT(ISNUMBER(SEARCH(",CD274,",","&amp;SUBSTITUTE('2L Screening Matrix'!$I$2:$I$46,", ",",")&amp;","))*('2L Screening Matrix'!$C$2:$C$46=$A27))</f>
        <v>0</v>
      </c>
      <c r="I27" s="11">
        <f>SUMPRODUCT(ISNUMBER(SEARCH(",EGFR,",","&amp;SUBSTITUTE('1L Screening Matrix'!$I$2:$I$77,", ",",")&amp;","))*('1L Screening Matrix'!$C$2:$C$77=$A27))+SUMPRODUCT(ISNUMBER(SEARCH(",EGFR,",","&amp;SUBSTITUTE('2L Screening Matrix'!$I$2:$I$46,", ",",")&amp;","))*('2L Screening Matrix'!$C$2:$C$46=$A27))</f>
        <v>0</v>
      </c>
      <c r="J27" s="11">
        <f>SUMPRODUCT(ISNUMBER(SEARCH(",VEGF,",","&amp;SUBSTITUTE('1L Screening Matrix'!$I$2:$I$77,", ",",")&amp;","))*('1L Screening Matrix'!$C$2:$C$77=$A27))+SUMPRODUCT(ISNUMBER(SEARCH(",VEGF,",","&amp;SUBSTITUTE('2L Screening Matrix'!$I$2:$I$46,", ",",")&amp;","))*('2L Screening Matrix'!$C$2:$C$46=$A27))</f>
        <v>0</v>
      </c>
      <c r="K27" s="11">
        <f>SUMPRODUCT(ISNUMBER(SEARCH(",ERBB,",","&amp;SUBSTITUTE('1L Screening Matrix'!$I$2:$I$77,", ",",")&amp;","))*('1L Screening Matrix'!$C$2:$C$77=$A27))+SUMPRODUCT(ISNUMBER(SEARCH(",ERBB,",","&amp;SUBSTITUTE('2L Screening Matrix'!$I$2:$I$46,", ",",")&amp;","))*('2L Screening Matrix'!$C$2:$C$46=$A27))</f>
        <v>0</v>
      </c>
      <c r="L27" s="11">
        <f>SUMPRODUCT(ISNUMBER(SEARCH(",HER1,",","&amp;SUBSTITUTE('1L Screening Matrix'!$I$2:$I$77,", ",",")&amp;","))*('1L Screening Matrix'!$C$2:$C$77=$A27))+SUMPRODUCT(ISNUMBER(SEARCH(",HER1,",","&amp;SUBSTITUTE('2L Screening Matrix'!$I$2:$I$46,", ",",")&amp;","))*('2L Screening Matrix'!$C$2:$C$46=$A27))</f>
        <v>0</v>
      </c>
      <c r="M27" s="11">
        <f>SUMPRODUCT(ISNUMBER(SEARCH(",Microtubule,",","&amp;SUBSTITUTE('1L Screening Matrix'!$I$2:$I$77,", ",",")&amp;","))*('1L Screening Matrix'!$C$2:$C$77=$A27))+SUMPRODUCT(ISNUMBER(SEARCH(",Microtubule,",","&amp;SUBSTITUTE('2L Screening Matrix'!$I$2:$I$46,", ",",")&amp;","))*('2L Screening Matrix'!$C$2:$C$46=$A27))</f>
        <v>0</v>
      </c>
      <c r="N27" s="11">
        <f>SUMPRODUCT(ISNUMBER(SEARCH(",KRAS G12C,",","&amp;SUBSTITUTE('1L Screening Matrix'!$I$2:$I$77,", ",",")&amp;","))*('1L Screening Matrix'!$C$2:$C$77=$A27))+SUMPRODUCT(ISNUMBER(SEARCH(",KRAS G12C,",","&amp;SUBSTITUTE('2L Screening Matrix'!$I$2:$I$46,", ",",")&amp;","))*('2L Screening Matrix'!$C$2:$C$46=$A27))</f>
        <v>0</v>
      </c>
      <c r="O27" s="11">
        <f>SUMPRODUCT(ISNUMBER(SEARCH(",EGFR T790M,",","&amp;SUBSTITUTE('1L Screening Matrix'!$I$2:$I$77,", ",",")&amp;","))*('1L Screening Matrix'!$C$2:$C$77=$A27))+SUMPRODUCT(ISNUMBER(SEARCH(",EGFR T790M,",","&amp;SUBSTITUTE('2L Screening Matrix'!$I$2:$I$46,", ",",")&amp;","))*('2L Screening Matrix'!$C$2:$C$46=$A27))</f>
        <v>0</v>
      </c>
      <c r="P27" s="11">
        <f>SUMPRODUCT(ISNUMBER(SEARCH(",ALK,",","&amp;SUBSTITUTE('1L Screening Matrix'!$I$2:$I$77,", ",",")&amp;","))*('1L Screening Matrix'!$C$2:$C$77=$A27))+SUMPRODUCT(ISNUMBER(SEARCH(",ALK,",","&amp;SUBSTITUTE('2L Screening Matrix'!$I$2:$I$46,", ",",")&amp;","))*('2L Screening Matrix'!$C$2:$C$46=$A27))</f>
        <v>0</v>
      </c>
      <c r="Q27" s="11">
        <f>SUMPRODUCT(ISNUMBER(SEARCH(",TROP2,",","&amp;SUBSTITUTE('1L Screening Matrix'!$I$2:$I$77,", ",",")&amp;","))*('1L Screening Matrix'!$C$2:$C$77=$A27))+SUMPRODUCT(ISNUMBER(SEARCH(",TROP2,",","&amp;SUBSTITUTE('2L Screening Matrix'!$I$2:$I$46,", ",",")&amp;","))*('2L Screening Matrix'!$C$2:$C$46=$A27))</f>
        <v>1</v>
      </c>
      <c r="R27" s="11">
        <f>SUMPRODUCT(ISNUMBER(SEARCH(",c-MET/MET,",","&amp;SUBSTITUTE('1L Screening Matrix'!$I$2:$I$77,", ",",")&amp;","))*('1L Screening Matrix'!$C$2:$C$77=$A27))+SUMPRODUCT(ISNUMBER(SEARCH(",c-MET/MET,",","&amp;SUBSTITUTE('2L Screening Matrix'!$I$2:$I$46,", ",",")&amp;","))*('2L Screening Matrix'!$C$2:$C$46=$A27))</f>
        <v>0</v>
      </c>
      <c r="S27" s="11">
        <f>SUMPRODUCT(ISNUMBER(SEARCH(",HER2,",","&amp;SUBSTITUTE('1L Screening Matrix'!$I$2:$I$77,", ",",")&amp;","))*('1L Screening Matrix'!$C$2:$C$77=$A27))+SUMPRODUCT(ISNUMBER(SEARCH(",HER2,",","&amp;SUBSTITUTE('2L Screening Matrix'!$I$2:$I$46,", ",",")&amp;","))*('2L Screening Matrix'!$C$2:$C$46=$A27))</f>
        <v>0</v>
      </c>
      <c r="T27" s="11">
        <f>SUMPRODUCT(ISNUMBER(SEARCH(",ROS1,",","&amp;SUBSTITUTE('1L Screening Matrix'!$I$2:$I$77,", ",",")&amp;","))*('1L Screening Matrix'!$C$2:$C$77=$A27))+SUMPRODUCT(ISNUMBER(SEARCH(",ROS1,",","&amp;SUBSTITUTE('2L Screening Matrix'!$I$2:$I$46,", ",",")&amp;","))*('2L Screening Matrix'!$C$2:$C$46=$A27))</f>
        <v>0</v>
      </c>
      <c r="U27" s="11">
        <f>SUMPRODUCT(ISNUMBER(SEARCH(",TIGIT,",","&amp;SUBSTITUTE('1L Screening Matrix'!$I$2:$I$77,", ",",")&amp;","))*('1L Screening Matrix'!$C$2:$C$77=$A27))+SUMPRODUCT(ISNUMBER(SEARCH(",TIGIT,",","&amp;SUBSTITUTE('2L Screening Matrix'!$I$2:$I$46,", ",",")&amp;","))*('2L Screening Matrix'!$C$2:$C$46=$A27))</f>
        <v>0</v>
      </c>
      <c r="V27" s="11">
        <f>SUMPRODUCT(ISNUMBER(SEARCH(",EGFR L858R,",","&amp;SUBSTITUTE('1L Screening Matrix'!$I$2:$I$77,", ",",")&amp;","))*('1L Screening Matrix'!$C$2:$C$77=$A27))+SUMPRODUCT(ISNUMBER(SEARCH(",EGFR L858R,",","&amp;SUBSTITUTE('2L Screening Matrix'!$I$2:$I$46,", ",",")&amp;","))*('2L Screening Matrix'!$C$2:$C$46=$A27))</f>
        <v>0</v>
      </c>
      <c r="W27" s="11">
        <f>SUMPRODUCT(ISNUMBER(SEARCH(",ROS,",","&amp;SUBSTITUTE('1L Screening Matrix'!$I$2:$I$77,", ",",")&amp;","))*('1L Screening Matrix'!$C$2:$C$77=$A27))+SUMPRODUCT(ISNUMBER(SEARCH(",ROS,",","&amp;SUBSTITUTE('2L Screening Matrix'!$I$2:$I$46,", ",",")&amp;","))*('2L Screening Matrix'!$C$2:$C$46=$A27))</f>
        <v>0</v>
      </c>
      <c r="X27" s="11">
        <f>SUMPRODUCT(ISNUMBER(SEARCH(",IL-2,",","&amp;SUBSTITUTE('1L Screening Matrix'!$I$2:$I$77,", ",",")&amp;","))*('1L Screening Matrix'!$C$2:$C$77=$A27))+SUMPRODUCT(ISNUMBER(SEARCH(",IL-2,",","&amp;SUBSTITUTE('2L Screening Matrix'!$I$2:$I$46,", ",",")&amp;","))*('2L Screening Matrix'!$C$2:$C$46=$A27))</f>
        <v>0</v>
      </c>
      <c r="Y27" s="11">
        <f>SUMPRODUCT(ISNUMBER(SEARCH(",TCGF,",","&amp;SUBSTITUTE('1L Screening Matrix'!$I$2:$I$77,", ",",")&amp;","))*('1L Screening Matrix'!$C$2:$C$77=$A27))+SUMPRODUCT(ISNUMBER(SEARCH(",TCGF,",","&amp;SUBSTITUTE('2L Screening Matrix'!$I$2:$I$46,", ",",")&amp;","))*('2L Screening Matrix'!$C$2:$C$46=$A27))</f>
        <v>0</v>
      </c>
      <c r="Z27" s="11">
        <f>SUMPRODUCT(ISNUMBER(SEARCH(",CTLA-4,",","&amp;SUBSTITUTE('1L Screening Matrix'!$I$2:$I$77,", ",",")&amp;","))*('1L Screening Matrix'!$C$2:$C$77=$A27))+SUMPRODUCT(ISNUMBER(SEARCH(",CTLA-4,",","&amp;SUBSTITUTE('2L Screening Matrix'!$I$2:$I$46,", ",",")&amp;","))*('2L Screening Matrix'!$C$2:$C$46=$A27))</f>
        <v>0</v>
      </c>
      <c r="AA27" s="11">
        <f>SUMPRODUCT(ISNUMBER(SEARCH(",EGFR Exon 20,",","&amp;SUBSTITUTE('1L Screening Matrix'!$I$2:$I$77,", ",",")&amp;","))*('1L Screening Matrix'!$C$2:$C$77=$A27))+SUMPRODUCT(ISNUMBER(SEARCH(",EGFR Exon 20,",","&amp;SUBSTITUTE('2L Screening Matrix'!$I$2:$I$46,", ",",")&amp;","))*('2L Screening Matrix'!$C$2:$C$46=$A27))</f>
        <v>0</v>
      </c>
      <c r="AB27" s="11">
        <f>SUMPRODUCT(ISNUMBER(SEARCH(",HER2 Exon 20,",","&amp;SUBSTITUTE('1L Screening Matrix'!$I$2:$I$77,", ",",")&amp;","))*('1L Screening Matrix'!$C$2:$C$77=$A27))+SUMPRODUCT(ISNUMBER(SEARCH(",HER2 Exon 20,",","&amp;SUBSTITUTE('2L Screening Matrix'!$I$2:$I$46,", ",",")&amp;","))*('2L Screening Matrix'!$C$2:$C$46=$A27))</f>
        <v>0</v>
      </c>
      <c r="AC27" s="11">
        <f>SUMPRODUCT(ISNUMBER(SEARCH(",IL-15,",","&amp;SUBSTITUTE('1L Screening Matrix'!$I$2:$I$77,", ",",")&amp;","))*('1L Screening Matrix'!$C$2:$C$77=$A27))+SUMPRODUCT(ISNUMBER(SEARCH(",IL-15,",","&amp;SUBSTITUTE('2L Screening Matrix'!$I$2:$I$46,", ",",")&amp;","))*('2L Screening Matrix'!$C$2:$C$46=$A27))</f>
        <v>0</v>
      </c>
      <c r="AD27" s="11">
        <f>SUMPRODUCT(ISNUMBER(SEARCH(",IL-15R,",","&amp;SUBSTITUTE('1L Screening Matrix'!$I$2:$I$77,", ",",")&amp;","))*('1L Screening Matrix'!$C$2:$C$77=$A27))+SUMPRODUCT(ISNUMBER(SEARCH(",IL-15R,",","&amp;SUBSTITUTE('2L Screening Matrix'!$I$2:$I$46,", ",",")&amp;","))*('2L Screening Matrix'!$C$2:$C$46=$A27))</f>
        <v>0</v>
      </c>
      <c r="AE27" s="11">
        <f>SUMPRODUCT(ISNUMBER(SEARCH(",KRAS G12D,",","&amp;SUBSTITUTE('1L Screening Matrix'!$I$2:$I$77,", ",",")&amp;","))*('1L Screening Matrix'!$C$2:$C$77=$A27))+SUMPRODUCT(ISNUMBER(SEARCH(",KRAS G12D,",","&amp;SUBSTITUTE('2L Screening Matrix'!$I$2:$I$46,", ",",")&amp;","))*('2L Screening Matrix'!$C$2:$C$46=$A27))</f>
        <v>0</v>
      </c>
      <c r="AF27" s="11">
        <f>SUMPRODUCT(ISNUMBER(SEARCH(",HER4,",","&amp;SUBSTITUTE('1L Screening Matrix'!$I$2:$I$77,", ",",")&amp;","))*('1L Screening Matrix'!$C$2:$C$77=$A27))+SUMPRODUCT(ISNUMBER(SEARCH(",HER4,",","&amp;SUBSTITUTE('2L Screening Matrix'!$I$2:$I$46,", ",",")&amp;","))*('2L Screening Matrix'!$C$2:$C$46=$A27))</f>
        <v>0</v>
      </c>
      <c r="AG27" s="11">
        <f>SUMPRODUCT(ISNUMBER(SEARCH(",ALK L1196M,",","&amp;SUBSTITUTE('1L Screening Matrix'!$I$2:$I$77,", ",",")&amp;","))*('1L Screening Matrix'!$C$2:$C$77=$A27))+SUMPRODUCT(ISNUMBER(SEARCH(",ALK L1196M,",","&amp;SUBSTITUTE('2L Screening Matrix'!$I$2:$I$46,", ",",")&amp;","))*('2L Screening Matrix'!$C$2:$C$46=$A27))</f>
        <v>0</v>
      </c>
      <c r="AH27" s="11">
        <f>SUMPRODUCT(ISNUMBER(SEARCH(",CD152,",","&amp;SUBSTITUTE('1L Screening Matrix'!$I$2:$I$77,", ",",")&amp;","))*('1L Screening Matrix'!$C$2:$C$77=$A27))+SUMPRODUCT(ISNUMBER(SEARCH(",CD152,",","&amp;SUBSTITUTE('2L Screening Matrix'!$I$2:$I$46,", ",",")&amp;","))*('2L Screening Matrix'!$C$2:$C$46=$A27))</f>
        <v>0</v>
      </c>
      <c r="AI27" s="11">
        <f>SUMPRODUCT(ISNUMBER(SEARCH(",MLN19,",","&amp;SUBSTITUTE('1L Screening Matrix'!$I$2:$I$77,", ",",")&amp;","))*('1L Screening Matrix'!$C$2:$C$77=$A27))+SUMPRODUCT(ISNUMBER(SEARCH(",MLN19,",","&amp;SUBSTITUTE('2L Screening Matrix'!$I$2:$I$46,", ",",")&amp;","))*('2L Screening Matrix'!$C$2:$C$46=$A27))</f>
        <v>0</v>
      </c>
      <c r="AJ27" s="11">
        <f>SUMPRODUCT(ISNUMBER(SEARCH(",NTRK,",","&amp;SUBSTITUTE('1L Screening Matrix'!$I$2:$I$77,", ",",")&amp;","))*('1L Screening Matrix'!$C$2:$C$77=$A27))+SUMPRODUCT(ISNUMBER(SEARCH(",NTRK,",","&amp;SUBSTITUTE('2L Screening Matrix'!$I$2:$I$46,", ",",")&amp;","))*('2L Screening Matrix'!$C$2:$C$46=$A27))</f>
        <v>0</v>
      </c>
      <c r="AK27" s="11">
        <f>SUMPRODUCT(ISNUMBER(SEARCH(",Integrin β6,",","&amp;SUBSTITUTE('1L Screening Matrix'!$I$2:$I$77,", ",",")&amp;","))*('1L Screening Matrix'!$C$2:$C$77=$A27))+SUMPRODUCT(ISNUMBER(SEARCH(",Integrin β6,",","&amp;SUBSTITUTE('2L Screening Matrix'!$I$2:$I$46,", ",",")&amp;","))*('2L Screening Matrix'!$C$2:$C$46=$A27))</f>
        <v>0</v>
      </c>
      <c r="AL27" s="11">
        <f>SUMPRODUCT(ISNUMBER(SEARCH(",LAG-3,",","&amp;SUBSTITUTE('1L Screening Matrix'!$I$2:$I$77,", ",",")&amp;","))*('1L Screening Matrix'!$C$2:$C$77=$A27))+SUMPRODUCT(ISNUMBER(SEARCH(",LAG-3,",","&amp;SUBSTITUTE('2L Screening Matrix'!$I$2:$I$46,", ",",")&amp;","))*('2L Screening Matrix'!$C$2:$C$46=$A27))</f>
        <v>0</v>
      </c>
      <c r="AM27" s="14">
        <f t="shared" si="0"/>
        <v>3</v>
      </c>
    </row>
    <row r="28" spans="1:39" ht="15" customHeight="1" x14ac:dyDescent="0.2">
      <c r="A28" s="12" t="s">
        <v>985</v>
      </c>
      <c r="B28" s="11">
        <f>SUMPRODUCT(ISNUMBER(SEARCH(",PD-1,",","&amp;SUBSTITUTE('1L Screening Matrix'!$I$2:$I$77,", ",",")&amp;","))*('1L Screening Matrix'!$C$2:$C$77=$A28))+SUMPRODUCT(ISNUMBER(SEARCH(",PD-1,",","&amp;SUBSTITUTE('2L Screening Matrix'!$I$2:$I$46,", ",",")&amp;","))*('2L Screening Matrix'!$C$2:$C$46=$A28))</f>
        <v>4</v>
      </c>
      <c r="C28" s="11">
        <f>SUMPRODUCT(ISNUMBER(SEARCH(",CD279,",","&amp;SUBSTITUTE('1L Screening Matrix'!$I$2:$I$77,", ",",")&amp;","))*('1L Screening Matrix'!$C$2:$C$77=$A28))+SUMPRODUCT(ISNUMBER(SEARCH(",CD279,",","&amp;SUBSTITUTE('2L Screening Matrix'!$I$2:$I$46,", ",",")&amp;","))*('2L Screening Matrix'!$C$2:$C$46=$A28))</f>
        <v>4</v>
      </c>
      <c r="D28" s="11">
        <f>SUMPRODUCT(ISNUMBER(SEARCH(",TS,",","&amp;SUBSTITUTE('1L Screening Matrix'!$I$2:$I$77,", ",",")&amp;","))*('1L Screening Matrix'!$C$2:$C$77=$A28))+SUMPRODUCT(ISNUMBER(SEARCH(",TS,",","&amp;SUBSTITUTE('2L Screening Matrix'!$I$2:$I$46,", ",",")&amp;","))*('2L Screening Matrix'!$C$2:$C$46=$A28))</f>
        <v>0</v>
      </c>
      <c r="E28" s="11">
        <f>SUMPRODUCT(ISNUMBER(SEARCH(",TYMS,",","&amp;SUBSTITUTE('1L Screening Matrix'!$I$2:$I$77,", ",",")&amp;","))*('1L Screening Matrix'!$C$2:$C$77=$A28))+SUMPRODUCT(ISNUMBER(SEARCH(",TYMS,",","&amp;SUBSTITUTE('2L Screening Matrix'!$I$2:$I$46,", ",",")&amp;","))*('2L Screening Matrix'!$C$2:$C$46=$A28))</f>
        <v>0</v>
      </c>
      <c r="F28" s="11">
        <f>SUMPRODUCT(ISNUMBER(SEARCH(",PD-L1,",","&amp;SUBSTITUTE('1L Screening Matrix'!$I$2:$I$77,", ",",")&amp;","))*('1L Screening Matrix'!$C$2:$C$77=$A28))+SUMPRODUCT(ISNUMBER(SEARCH(",PD-L1,",","&amp;SUBSTITUTE('2L Screening Matrix'!$I$2:$I$46,", ",",")&amp;","))*('2L Screening Matrix'!$C$2:$C$46=$A28))</f>
        <v>0</v>
      </c>
      <c r="G28" s="11">
        <f>SUMPRODUCT(ISNUMBER(SEARCH(",B7-H1,",","&amp;SUBSTITUTE('1L Screening Matrix'!$I$2:$I$77,", ",",")&amp;","))*('1L Screening Matrix'!$C$2:$C$77=$A28))+SUMPRODUCT(ISNUMBER(SEARCH(",B7-H1,",","&amp;SUBSTITUTE('2L Screening Matrix'!$I$2:$I$46,", ",",")&amp;","))*('2L Screening Matrix'!$C$2:$C$46=$A28))</f>
        <v>0</v>
      </c>
      <c r="H28" s="11">
        <f>SUMPRODUCT(ISNUMBER(SEARCH(",CD274,",","&amp;SUBSTITUTE('1L Screening Matrix'!$I$2:$I$77,", ",",")&amp;","))*('1L Screening Matrix'!$C$2:$C$77=$A28))+SUMPRODUCT(ISNUMBER(SEARCH(",CD274,",","&amp;SUBSTITUTE('2L Screening Matrix'!$I$2:$I$46,", ",",")&amp;","))*('2L Screening Matrix'!$C$2:$C$46=$A28))</f>
        <v>0</v>
      </c>
      <c r="I28" s="11">
        <f>SUMPRODUCT(ISNUMBER(SEARCH(",EGFR,",","&amp;SUBSTITUTE('1L Screening Matrix'!$I$2:$I$77,", ",",")&amp;","))*('1L Screening Matrix'!$C$2:$C$77=$A28))+SUMPRODUCT(ISNUMBER(SEARCH(",EGFR,",","&amp;SUBSTITUTE('2L Screening Matrix'!$I$2:$I$46,", ",",")&amp;","))*('2L Screening Matrix'!$C$2:$C$46=$A28))</f>
        <v>0</v>
      </c>
      <c r="J28" s="11">
        <f>SUMPRODUCT(ISNUMBER(SEARCH(",VEGF,",","&amp;SUBSTITUTE('1L Screening Matrix'!$I$2:$I$77,", ",",")&amp;","))*('1L Screening Matrix'!$C$2:$C$77=$A28))+SUMPRODUCT(ISNUMBER(SEARCH(",VEGF,",","&amp;SUBSTITUTE('2L Screening Matrix'!$I$2:$I$46,", ",",")&amp;","))*('2L Screening Matrix'!$C$2:$C$46=$A28))</f>
        <v>0</v>
      </c>
      <c r="K28" s="11">
        <f>SUMPRODUCT(ISNUMBER(SEARCH(",ERBB,",","&amp;SUBSTITUTE('1L Screening Matrix'!$I$2:$I$77,", ",",")&amp;","))*('1L Screening Matrix'!$C$2:$C$77=$A28))+SUMPRODUCT(ISNUMBER(SEARCH(",ERBB,",","&amp;SUBSTITUTE('2L Screening Matrix'!$I$2:$I$46,", ",",")&amp;","))*('2L Screening Matrix'!$C$2:$C$46=$A28))</f>
        <v>0</v>
      </c>
      <c r="L28" s="11">
        <f>SUMPRODUCT(ISNUMBER(SEARCH(",HER1,",","&amp;SUBSTITUTE('1L Screening Matrix'!$I$2:$I$77,", ",",")&amp;","))*('1L Screening Matrix'!$C$2:$C$77=$A28))+SUMPRODUCT(ISNUMBER(SEARCH(",HER1,",","&amp;SUBSTITUTE('2L Screening Matrix'!$I$2:$I$46,", ",",")&amp;","))*('2L Screening Matrix'!$C$2:$C$46=$A28))</f>
        <v>0</v>
      </c>
      <c r="M28" s="11">
        <f>SUMPRODUCT(ISNUMBER(SEARCH(",Microtubule,",","&amp;SUBSTITUTE('1L Screening Matrix'!$I$2:$I$77,", ",",")&amp;","))*('1L Screening Matrix'!$C$2:$C$77=$A28))+SUMPRODUCT(ISNUMBER(SEARCH(",Microtubule,",","&amp;SUBSTITUTE('2L Screening Matrix'!$I$2:$I$46,", ",",")&amp;","))*('2L Screening Matrix'!$C$2:$C$46=$A28))</f>
        <v>1</v>
      </c>
      <c r="N28" s="11">
        <f>SUMPRODUCT(ISNUMBER(SEARCH(",KRAS G12C,",","&amp;SUBSTITUTE('1L Screening Matrix'!$I$2:$I$77,", ",",")&amp;","))*('1L Screening Matrix'!$C$2:$C$77=$A28))+SUMPRODUCT(ISNUMBER(SEARCH(",KRAS G12C,",","&amp;SUBSTITUTE('2L Screening Matrix'!$I$2:$I$46,", ",",")&amp;","))*('2L Screening Matrix'!$C$2:$C$46=$A28))</f>
        <v>0</v>
      </c>
      <c r="O28" s="11">
        <f>SUMPRODUCT(ISNUMBER(SEARCH(",EGFR T790M,",","&amp;SUBSTITUTE('1L Screening Matrix'!$I$2:$I$77,", ",",")&amp;","))*('1L Screening Matrix'!$C$2:$C$77=$A28))+SUMPRODUCT(ISNUMBER(SEARCH(",EGFR T790M,",","&amp;SUBSTITUTE('2L Screening Matrix'!$I$2:$I$46,", ",",")&amp;","))*('2L Screening Matrix'!$C$2:$C$46=$A28))</f>
        <v>0</v>
      </c>
      <c r="P28" s="11">
        <f>SUMPRODUCT(ISNUMBER(SEARCH(",ALK,",","&amp;SUBSTITUTE('1L Screening Matrix'!$I$2:$I$77,", ",",")&amp;","))*('1L Screening Matrix'!$C$2:$C$77=$A28))+SUMPRODUCT(ISNUMBER(SEARCH(",ALK,",","&amp;SUBSTITUTE('2L Screening Matrix'!$I$2:$I$46,", ",",")&amp;","))*('2L Screening Matrix'!$C$2:$C$46=$A28))</f>
        <v>0</v>
      </c>
      <c r="Q28" s="11">
        <f>SUMPRODUCT(ISNUMBER(SEARCH(",TROP2,",","&amp;SUBSTITUTE('1L Screening Matrix'!$I$2:$I$77,", ",",")&amp;","))*('1L Screening Matrix'!$C$2:$C$77=$A28))+SUMPRODUCT(ISNUMBER(SEARCH(",TROP2,",","&amp;SUBSTITUTE('2L Screening Matrix'!$I$2:$I$46,", ",",")&amp;","))*('2L Screening Matrix'!$C$2:$C$46=$A28))</f>
        <v>0</v>
      </c>
      <c r="R28" s="11">
        <f>SUMPRODUCT(ISNUMBER(SEARCH(",c-MET/MET,",","&amp;SUBSTITUTE('1L Screening Matrix'!$I$2:$I$77,", ",",")&amp;","))*('1L Screening Matrix'!$C$2:$C$77=$A28))+SUMPRODUCT(ISNUMBER(SEARCH(",c-MET/MET,",","&amp;SUBSTITUTE('2L Screening Matrix'!$I$2:$I$46,", ",",")&amp;","))*('2L Screening Matrix'!$C$2:$C$46=$A28))</f>
        <v>0</v>
      </c>
      <c r="S28" s="11">
        <f>SUMPRODUCT(ISNUMBER(SEARCH(",HER2,",","&amp;SUBSTITUTE('1L Screening Matrix'!$I$2:$I$77,", ",",")&amp;","))*('1L Screening Matrix'!$C$2:$C$77=$A28))+SUMPRODUCT(ISNUMBER(SEARCH(",HER2,",","&amp;SUBSTITUTE('2L Screening Matrix'!$I$2:$I$46,", ",",")&amp;","))*('2L Screening Matrix'!$C$2:$C$46=$A28))</f>
        <v>0</v>
      </c>
      <c r="T28" s="11">
        <f>SUMPRODUCT(ISNUMBER(SEARCH(",ROS1,",","&amp;SUBSTITUTE('1L Screening Matrix'!$I$2:$I$77,", ",",")&amp;","))*('1L Screening Matrix'!$C$2:$C$77=$A28))+SUMPRODUCT(ISNUMBER(SEARCH(",ROS1,",","&amp;SUBSTITUTE('2L Screening Matrix'!$I$2:$I$46,", ",",")&amp;","))*('2L Screening Matrix'!$C$2:$C$46=$A28))</f>
        <v>0</v>
      </c>
      <c r="U28" s="11">
        <f>SUMPRODUCT(ISNUMBER(SEARCH(",TIGIT,",","&amp;SUBSTITUTE('1L Screening Matrix'!$I$2:$I$77,", ",",")&amp;","))*('1L Screening Matrix'!$C$2:$C$77=$A28))+SUMPRODUCT(ISNUMBER(SEARCH(",TIGIT,",","&amp;SUBSTITUTE('2L Screening Matrix'!$I$2:$I$46,", ",",")&amp;","))*('2L Screening Matrix'!$C$2:$C$46=$A28))</f>
        <v>0</v>
      </c>
      <c r="V28" s="11">
        <f>SUMPRODUCT(ISNUMBER(SEARCH(",EGFR L858R,",","&amp;SUBSTITUTE('1L Screening Matrix'!$I$2:$I$77,", ",",")&amp;","))*('1L Screening Matrix'!$C$2:$C$77=$A28))+SUMPRODUCT(ISNUMBER(SEARCH(",EGFR L858R,",","&amp;SUBSTITUTE('2L Screening Matrix'!$I$2:$I$46,", ",",")&amp;","))*('2L Screening Matrix'!$C$2:$C$46=$A28))</f>
        <v>0</v>
      </c>
      <c r="W28" s="11">
        <f>SUMPRODUCT(ISNUMBER(SEARCH(",ROS,",","&amp;SUBSTITUTE('1L Screening Matrix'!$I$2:$I$77,", ",",")&amp;","))*('1L Screening Matrix'!$C$2:$C$77=$A28))+SUMPRODUCT(ISNUMBER(SEARCH(",ROS,",","&amp;SUBSTITUTE('2L Screening Matrix'!$I$2:$I$46,", ",",")&amp;","))*('2L Screening Matrix'!$C$2:$C$46=$A28))</f>
        <v>0</v>
      </c>
      <c r="X28" s="11">
        <f>SUMPRODUCT(ISNUMBER(SEARCH(",IL-2,",","&amp;SUBSTITUTE('1L Screening Matrix'!$I$2:$I$77,", ",",")&amp;","))*('1L Screening Matrix'!$C$2:$C$77=$A28))+SUMPRODUCT(ISNUMBER(SEARCH(",IL-2,",","&amp;SUBSTITUTE('2L Screening Matrix'!$I$2:$I$46,", ",",")&amp;","))*('2L Screening Matrix'!$C$2:$C$46=$A28))</f>
        <v>0</v>
      </c>
      <c r="Y28" s="11">
        <f>SUMPRODUCT(ISNUMBER(SEARCH(",TCGF,",","&amp;SUBSTITUTE('1L Screening Matrix'!$I$2:$I$77,", ",",")&amp;","))*('1L Screening Matrix'!$C$2:$C$77=$A28))+SUMPRODUCT(ISNUMBER(SEARCH(",TCGF,",","&amp;SUBSTITUTE('2L Screening Matrix'!$I$2:$I$46,", ",",")&amp;","))*('2L Screening Matrix'!$C$2:$C$46=$A28))</f>
        <v>0</v>
      </c>
      <c r="Z28" s="11">
        <f>SUMPRODUCT(ISNUMBER(SEARCH(",CTLA-4,",","&amp;SUBSTITUTE('1L Screening Matrix'!$I$2:$I$77,", ",",")&amp;","))*('1L Screening Matrix'!$C$2:$C$77=$A28))+SUMPRODUCT(ISNUMBER(SEARCH(",CTLA-4,",","&amp;SUBSTITUTE('2L Screening Matrix'!$I$2:$I$46,", ",",")&amp;","))*('2L Screening Matrix'!$C$2:$C$46=$A28))</f>
        <v>0</v>
      </c>
      <c r="AA28" s="11">
        <f>SUMPRODUCT(ISNUMBER(SEARCH(",EGFR Exon 20,",","&amp;SUBSTITUTE('1L Screening Matrix'!$I$2:$I$77,", ",",")&amp;","))*('1L Screening Matrix'!$C$2:$C$77=$A28))+SUMPRODUCT(ISNUMBER(SEARCH(",EGFR Exon 20,",","&amp;SUBSTITUTE('2L Screening Matrix'!$I$2:$I$46,", ",",")&amp;","))*('2L Screening Matrix'!$C$2:$C$46=$A28))</f>
        <v>0</v>
      </c>
      <c r="AB28" s="11">
        <f>SUMPRODUCT(ISNUMBER(SEARCH(",HER2 Exon 20,",","&amp;SUBSTITUTE('1L Screening Matrix'!$I$2:$I$77,", ",",")&amp;","))*('1L Screening Matrix'!$C$2:$C$77=$A28))+SUMPRODUCT(ISNUMBER(SEARCH(",HER2 Exon 20,",","&amp;SUBSTITUTE('2L Screening Matrix'!$I$2:$I$46,", ",",")&amp;","))*('2L Screening Matrix'!$C$2:$C$46=$A28))</f>
        <v>0</v>
      </c>
      <c r="AC28" s="11">
        <f>SUMPRODUCT(ISNUMBER(SEARCH(",IL-15,",","&amp;SUBSTITUTE('1L Screening Matrix'!$I$2:$I$77,", ",",")&amp;","))*('1L Screening Matrix'!$C$2:$C$77=$A28))+SUMPRODUCT(ISNUMBER(SEARCH(",IL-15,",","&amp;SUBSTITUTE('2L Screening Matrix'!$I$2:$I$46,", ",",")&amp;","))*('2L Screening Matrix'!$C$2:$C$46=$A28))</f>
        <v>4</v>
      </c>
      <c r="AD28" s="11">
        <f>SUMPRODUCT(ISNUMBER(SEARCH(",IL-15R,",","&amp;SUBSTITUTE('1L Screening Matrix'!$I$2:$I$77,", ",",")&amp;","))*('1L Screening Matrix'!$C$2:$C$77=$A28))+SUMPRODUCT(ISNUMBER(SEARCH(",IL-15R,",","&amp;SUBSTITUTE('2L Screening Matrix'!$I$2:$I$46,", ",",")&amp;","))*('2L Screening Matrix'!$C$2:$C$46=$A28))</f>
        <v>4</v>
      </c>
      <c r="AE28" s="11">
        <f>SUMPRODUCT(ISNUMBER(SEARCH(",KRAS G12D,",","&amp;SUBSTITUTE('1L Screening Matrix'!$I$2:$I$77,", ",",")&amp;","))*('1L Screening Matrix'!$C$2:$C$77=$A28))+SUMPRODUCT(ISNUMBER(SEARCH(",KRAS G12D,",","&amp;SUBSTITUTE('2L Screening Matrix'!$I$2:$I$46,", ",",")&amp;","))*('2L Screening Matrix'!$C$2:$C$46=$A28))</f>
        <v>0</v>
      </c>
      <c r="AF28" s="11">
        <f>SUMPRODUCT(ISNUMBER(SEARCH(",HER4,",","&amp;SUBSTITUTE('1L Screening Matrix'!$I$2:$I$77,", ",",")&amp;","))*('1L Screening Matrix'!$C$2:$C$77=$A28))+SUMPRODUCT(ISNUMBER(SEARCH(",HER4,",","&amp;SUBSTITUTE('2L Screening Matrix'!$I$2:$I$46,", ",",")&amp;","))*('2L Screening Matrix'!$C$2:$C$46=$A28))</f>
        <v>0</v>
      </c>
      <c r="AG28" s="11">
        <f>SUMPRODUCT(ISNUMBER(SEARCH(",ALK L1196M,",","&amp;SUBSTITUTE('1L Screening Matrix'!$I$2:$I$77,", ",",")&amp;","))*('1L Screening Matrix'!$C$2:$C$77=$A28))+SUMPRODUCT(ISNUMBER(SEARCH(",ALK L1196M,",","&amp;SUBSTITUTE('2L Screening Matrix'!$I$2:$I$46,", ",",")&amp;","))*('2L Screening Matrix'!$C$2:$C$46=$A28))</f>
        <v>0</v>
      </c>
      <c r="AH28" s="11">
        <f>SUMPRODUCT(ISNUMBER(SEARCH(",CD152,",","&amp;SUBSTITUTE('1L Screening Matrix'!$I$2:$I$77,", ",",")&amp;","))*('1L Screening Matrix'!$C$2:$C$77=$A28))+SUMPRODUCT(ISNUMBER(SEARCH(",CD152,",","&amp;SUBSTITUTE('2L Screening Matrix'!$I$2:$I$46,", ",",")&amp;","))*('2L Screening Matrix'!$C$2:$C$46=$A28))</f>
        <v>0</v>
      </c>
      <c r="AI28" s="11">
        <f>SUMPRODUCT(ISNUMBER(SEARCH(",MLN19,",","&amp;SUBSTITUTE('1L Screening Matrix'!$I$2:$I$77,", ",",")&amp;","))*('1L Screening Matrix'!$C$2:$C$77=$A28))+SUMPRODUCT(ISNUMBER(SEARCH(",MLN19,",","&amp;SUBSTITUTE('2L Screening Matrix'!$I$2:$I$46,", ",",")&amp;","))*('2L Screening Matrix'!$C$2:$C$46=$A28))</f>
        <v>0</v>
      </c>
      <c r="AJ28" s="11">
        <f>SUMPRODUCT(ISNUMBER(SEARCH(",NTRK,",","&amp;SUBSTITUTE('1L Screening Matrix'!$I$2:$I$77,", ",",")&amp;","))*('1L Screening Matrix'!$C$2:$C$77=$A28))+SUMPRODUCT(ISNUMBER(SEARCH(",NTRK,",","&amp;SUBSTITUTE('2L Screening Matrix'!$I$2:$I$46,", ",",")&amp;","))*('2L Screening Matrix'!$C$2:$C$46=$A28))</f>
        <v>0</v>
      </c>
      <c r="AK28" s="11">
        <f>SUMPRODUCT(ISNUMBER(SEARCH(",Integrin β6,",","&amp;SUBSTITUTE('1L Screening Matrix'!$I$2:$I$77,", ",",")&amp;","))*('1L Screening Matrix'!$C$2:$C$77=$A28))+SUMPRODUCT(ISNUMBER(SEARCH(",Integrin β6,",","&amp;SUBSTITUTE('2L Screening Matrix'!$I$2:$I$46,", ",",")&amp;","))*('2L Screening Matrix'!$C$2:$C$46=$A28))</f>
        <v>0</v>
      </c>
      <c r="AL28" s="11">
        <f>SUMPRODUCT(ISNUMBER(SEARCH(",LAG-3,",","&amp;SUBSTITUTE('1L Screening Matrix'!$I$2:$I$77,", ",",")&amp;","))*('1L Screening Matrix'!$C$2:$C$77=$A28))+SUMPRODUCT(ISNUMBER(SEARCH(",LAG-3,",","&amp;SUBSTITUTE('2L Screening Matrix'!$I$2:$I$46,", ",",")&amp;","))*('2L Screening Matrix'!$C$2:$C$46=$A28))</f>
        <v>0</v>
      </c>
      <c r="AM28" s="14">
        <f t="shared" si="0"/>
        <v>17</v>
      </c>
    </row>
    <row r="29" spans="1:39" ht="15" customHeight="1" x14ac:dyDescent="0.2">
      <c r="A29" s="15" t="s">
        <v>793</v>
      </c>
      <c r="B29" s="11">
        <f>SUMPRODUCT(ISNUMBER(SEARCH(",PD-1,",","&amp;SUBSTITUTE('1L Screening Matrix'!$I$2:$I$77,", ",",")&amp;","))*('1L Screening Matrix'!$C$2:$C$77=$A29))+SUMPRODUCT(ISNUMBER(SEARCH(",PD-1,",","&amp;SUBSTITUTE('2L Screening Matrix'!$I$2:$I$46,", ",",")&amp;","))*('2L Screening Matrix'!$C$2:$C$46=$A29))</f>
        <v>1</v>
      </c>
      <c r="C29" s="11">
        <f>SUMPRODUCT(ISNUMBER(SEARCH(",CD279,",","&amp;SUBSTITUTE('1L Screening Matrix'!$I$2:$I$77,", ",",")&amp;","))*('1L Screening Matrix'!$C$2:$C$77=$A29))+SUMPRODUCT(ISNUMBER(SEARCH(",CD279,",","&amp;SUBSTITUTE('2L Screening Matrix'!$I$2:$I$46,", ",",")&amp;","))*('2L Screening Matrix'!$C$2:$C$46=$A29))</f>
        <v>1</v>
      </c>
      <c r="D29" s="11">
        <f>SUMPRODUCT(ISNUMBER(SEARCH(",TS,",","&amp;SUBSTITUTE('1L Screening Matrix'!$I$2:$I$77,", ",",")&amp;","))*('1L Screening Matrix'!$C$2:$C$77=$A29))+SUMPRODUCT(ISNUMBER(SEARCH(",TS,",","&amp;SUBSTITUTE('2L Screening Matrix'!$I$2:$I$46,", ",",")&amp;","))*('2L Screening Matrix'!$C$2:$C$46=$A29))</f>
        <v>1</v>
      </c>
      <c r="E29" s="11">
        <f>SUMPRODUCT(ISNUMBER(SEARCH(",TYMS,",","&amp;SUBSTITUTE('1L Screening Matrix'!$I$2:$I$77,", ",",")&amp;","))*('1L Screening Matrix'!$C$2:$C$77=$A29))+SUMPRODUCT(ISNUMBER(SEARCH(",TYMS,",","&amp;SUBSTITUTE('2L Screening Matrix'!$I$2:$I$46,", ",",")&amp;","))*('2L Screening Matrix'!$C$2:$C$46=$A29))</f>
        <v>1</v>
      </c>
      <c r="F29" s="11">
        <f>SUMPRODUCT(ISNUMBER(SEARCH(",PD-L1,",","&amp;SUBSTITUTE('1L Screening Matrix'!$I$2:$I$77,", ",",")&amp;","))*('1L Screening Matrix'!$C$2:$C$77=$A29))+SUMPRODUCT(ISNUMBER(SEARCH(",PD-L1,",","&amp;SUBSTITUTE('2L Screening Matrix'!$I$2:$I$46,", ",",")&amp;","))*('2L Screening Matrix'!$C$2:$C$46=$A29))</f>
        <v>0</v>
      </c>
      <c r="G29" s="11">
        <f>SUMPRODUCT(ISNUMBER(SEARCH(",B7-H1,",","&amp;SUBSTITUTE('1L Screening Matrix'!$I$2:$I$77,", ",",")&amp;","))*('1L Screening Matrix'!$C$2:$C$77=$A29))+SUMPRODUCT(ISNUMBER(SEARCH(",B7-H1,",","&amp;SUBSTITUTE('2L Screening Matrix'!$I$2:$I$46,", ",",")&amp;","))*('2L Screening Matrix'!$C$2:$C$46=$A29))</f>
        <v>0</v>
      </c>
      <c r="H29" s="11">
        <f>SUMPRODUCT(ISNUMBER(SEARCH(",CD274,",","&amp;SUBSTITUTE('1L Screening Matrix'!$I$2:$I$77,", ",",")&amp;","))*('1L Screening Matrix'!$C$2:$C$77=$A29))+SUMPRODUCT(ISNUMBER(SEARCH(",CD274,",","&amp;SUBSTITUTE('2L Screening Matrix'!$I$2:$I$46,", ",",")&amp;","))*('2L Screening Matrix'!$C$2:$C$46=$A29))</f>
        <v>0</v>
      </c>
      <c r="I29" s="11">
        <f>SUMPRODUCT(ISNUMBER(SEARCH(",EGFR,",","&amp;SUBSTITUTE('1L Screening Matrix'!$I$2:$I$77,", ",",")&amp;","))*('1L Screening Matrix'!$C$2:$C$77=$A29))+SUMPRODUCT(ISNUMBER(SEARCH(",EGFR,",","&amp;SUBSTITUTE('2L Screening Matrix'!$I$2:$I$46,", ",",")&amp;","))*('2L Screening Matrix'!$C$2:$C$46=$A29))</f>
        <v>0</v>
      </c>
      <c r="J29" s="11">
        <f>SUMPRODUCT(ISNUMBER(SEARCH(",VEGF,",","&amp;SUBSTITUTE('1L Screening Matrix'!$I$2:$I$77,", ",",")&amp;","))*('1L Screening Matrix'!$C$2:$C$77=$A29))+SUMPRODUCT(ISNUMBER(SEARCH(",VEGF,",","&amp;SUBSTITUTE('2L Screening Matrix'!$I$2:$I$46,", ",",")&amp;","))*('2L Screening Matrix'!$C$2:$C$46=$A29))</f>
        <v>0</v>
      </c>
      <c r="K29" s="11">
        <f>SUMPRODUCT(ISNUMBER(SEARCH(",ERBB,",","&amp;SUBSTITUTE('1L Screening Matrix'!$I$2:$I$77,", ",",")&amp;","))*('1L Screening Matrix'!$C$2:$C$77=$A29))+SUMPRODUCT(ISNUMBER(SEARCH(",ERBB,",","&amp;SUBSTITUTE('2L Screening Matrix'!$I$2:$I$46,", ",",")&amp;","))*('2L Screening Matrix'!$C$2:$C$46=$A29))</f>
        <v>0</v>
      </c>
      <c r="L29" s="11">
        <f>SUMPRODUCT(ISNUMBER(SEARCH(",HER1,",","&amp;SUBSTITUTE('1L Screening Matrix'!$I$2:$I$77,", ",",")&amp;","))*('1L Screening Matrix'!$C$2:$C$77=$A29))+SUMPRODUCT(ISNUMBER(SEARCH(",HER1,",","&amp;SUBSTITUTE('2L Screening Matrix'!$I$2:$I$46,", ",",")&amp;","))*('2L Screening Matrix'!$C$2:$C$46=$A29))</f>
        <v>0</v>
      </c>
      <c r="M29" s="11">
        <f>SUMPRODUCT(ISNUMBER(SEARCH(",Microtubule,",","&amp;SUBSTITUTE('1L Screening Matrix'!$I$2:$I$77,", ",",")&amp;","))*('1L Screening Matrix'!$C$2:$C$77=$A29))+SUMPRODUCT(ISNUMBER(SEARCH(",Microtubule,",","&amp;SUBSTITUTE('2L Screening Matrix'!$I$2:$I$46,", ",",")&amp;","))*('2L Screening Matrix'!$C$2:$C$46=$A29))</f>
        <v>1</v>
      </c>
      <c r="N29" s="11">
        <f>SUMPRODUCT(ISNUMBER(SEARCH(",KRAS G12C,",","&amp;SUBSTITUTE('1L Screening Matrix'!$I$2:$I$77,", ",",")&amp;","))*('1L Screening Matrix'!$C$2:$C$77=$A29))+SUMPRODUCT(ISNUMBER(SEARCH(",KRAS G12C,",","&amp;SUBSTITUTE('2L Screening Matrix'!$I$2:$I$46,", ",",")&amp;","))*('2L Screening Matrix'!$C$2:$C$46=$A29))</f>
        <v>0</v>
      </c>
      <c r="O29" s="11">
        <f>SUMPRODUCT(ISNUMBER(SEARCH(",EGFR T790M,",","&amp;SUBSTITUTE('1L Screening Matrix'!$I$2:$I$77,", ",",")&amp;","))*('1L Screening Matrix'!$C$2:$C$77=$A29))+SUMPRODUCT(ISNUMBER(SEARCH(",EGFR T790M,",","&amp;SUBSTITUTE('2L Screening Matrix'!$I$2:$I$46,", ",",")&amp;","))*('2L Screening Matrix'!$C$2:$C$46=$A29))</f>
        <v>0</v>
      </c>
      <c r="P29" s="11">
        <f>SUMPRODUCT(ISNUMBER(SEARCH(",ALK,",","&amp;SUBSTITUTE('1L Screening Matrix'!$I$2:$I$77,", ",",")&amp;","))*('1L Screening Matrix'!$C$2:$C$77=$A29))+SUMPRODUCT(ISNUMBER(SEARCH(",ALK,",","&amp;SUBSTITUTE('2L Screening Matrix'!$I$2:$I$46,", ",",")&amp;","))*('2L Screening Matrix'!$C$2:$C$46=$A29))</f>
        <v>0</v>
      </c>
      <c r="Q29" s="11">
        <f>SUMPRODUCT(ISNUMBER(SEARCH(",TROP2,",","&amp;SUBSTITUTE('1L Screening Matrix'!$I$2:$I$77,", ",",")&amp;","))*('1L Screening Matrix'!$C$2:$C$77=$A29))+SUMPRODUCT(ISNUMBER(SEARCH(",TROP2,",","&amp;SUBSTITUTE('2L Screening Matrix'!$I$2:$I$46,", ",",")&amp;","))*('2L Screening Matrix'!$C$2:$C$46=$A29))</f>
        <v>0</v>
      </c>
      <c r="R29" s="11">
        <f>SUMPRODUCT(ISNUMBER(SEARCH(",c-MET/MET,",","&amp;SUBSTITUTE('1L Screening Matrix'!$I$2:$I$77,", ",",")&amp;","))*('1L Screening Matrix'!$C$2:$C$77=$A29))+SUMPRODUCT(ISNUMBER(SEARCH(",c-MET/MET,",","&amp;SUBSTITUTE('2L Screening Matrix'!$I$2:$I$46,", ",",")&amp;","))*('2L Screening Matrix'!$C$2:$C$46=$A29))</f>
        <v>0</v>
      </c>
      <c r="S29" s="11">
        <f>SUMPRODUCT(ISNUMBER(SEARCH(",HER2,",","&amp;SUBSTITUTE('1L Screening Matrix'!$I$2:$I$77,", ",",")&amp;","))*('1L Screening Matrix'!$C$2:$C$77=$A29))+SUMPRODUCT(ISNUMBER(SEARCH(",HER2,",","&amp;SUBSTITUTE('2L Screening Matrix'!$I$2:$I$46,", ",",")&amp;","))*('2L Screening Matrix'!$C$2:$C$46=$A29))</f>
        <v>0</v>
      </c>
      <c r="T29" s="11">
        <f>SUMPRODUCT(ISNUMBER(SEARCH(",ROS1,",","&amp;SUBSTITUTE('1L Screening Matrix'!$I$2:$I$77,", ",",")&amp;","))*('1L Screening Matrix'!$C$2:$C$77=$A29))+SUMPRODUCT(ISNUMBER(SEARCH(",ROS1,",","&amp;SUBSTITUTE('2L Screening Matrix'!$I$2:$I$46,", ",",")&amp;","))*('2L Screening Matrix'!$C$2:$C$46=$A29))</f>
        <v>0</v>
      </c>
      <c r="U29" s="11">
        <f>SUMPRODUCT(ISNUMBER(SEARCH(",TIGIT,",","&amp;SUBSTITUTE('1L Screening Matrix'!$I$2:$I$77,", ",",")&amp;","))*('1L Screening Matrix'!$C$2:$C$77=$A29))+SUMPRODUCT(ISNUMBER(SEARCH(",TIGIT,",","&amp;SUBSTITUTE('2L Screening Matrix'!$I$2:$I$46,", ",",")&amp;","))*('2L Screening Matrix'!$C$2:$C$46=$A29))</f>
        <v>0</v>
      </c>
      <c r="V29" s="11">
        <f>SUMPRODUCT(ISNUMBER(SEARCH(",EGFR L858R,",","&amp;SUBSTITUTE('1L Screening Matrix'!$I$2:$I$77,", ",",")&amp;","))*('1L Screening Matrix'!$C$2:$C$77=$A29))+SUMPRODUCT(ISNUMBER(SEARCH(",EGFR L858R,",","&amp;SUBSTITUTE('2L Screening Matrix'!$I$2:$I$46,", ",",")&amp;","))*('2L Screening Matrix'!$C$2:$C$46=$A29))</f>
        <v>0</v>
      </c>
      <c r="W29" s="11">
        <f>SUMPRODUCT(ISNUMBER(SEARCH(",ROS,",","&amp;SUBSTITUTE('1L Screening Matrix'!$I$2:$I$77,", ",",")&amp;","))*('1L Screening Matrix'!$C$2:$C$77=$A29))+SUMPRODUCT(ISNUMBER(SEARCH(",ROS,",","&amp;SUBSTITUTE('2L Screening Matrix'!$I$2:$I$46,", ",",")&amp;","))*('2L Screening Matrix'!$C$2:$C$46=$A29))</f>
        <v>0</v>
      </c>
      <c r="X29" s="11">
        <f>SUMPRODUCT(ISNUMBER(SEARCH(",IL-2,",","&amp;SUBSTITUTE('1L Screening Matrix'!$I$2:$I$77,", ",",")&amp;","))*('1L Screening Matrix'!$C$2:$C$77=$A29))+SUMPRODUCT(ISNUMBER(SEARCH(",IL-2,",","&amp;SUBSTITUTE('2L Screening Matrix'!$I$2:$I$46,", ",",")&amp;","))*('2L Screening Matrix'!$C$2:$C$46=$A29))</f>
        <v>0</v>
      </c>
      <c r="Y29" s="11">
        <f>SUMPRODUCT(ISNUMBER(SEARCH(",TCGF,",","&amp;SUBSTITUTE('1L Screening Matrix'!$I$2:$I$77,", ",",")&amp;","))*('1L Screening Matrix'!$C$2:$C$77=$A29))+SUMPRODUCT(ISNUMBER(SEARCH(",TCGF,",","&amp;SUBSTITUTE('2L Screening Matrix'!$I$2:$I$46,", ",",")&amp;","))*('2L Screening Matrix'!$C$2:$C$46=$A29))</f>
        <v>0</v>
      </c>
      <c r="Z29" s="11">
        <f>SUMPRODUCT(ISNUMBER(SEARCH(",CTLA-4,",","&amp;SUBSTITUTE('1L Screening Matrix'!$I$2:$I$77,", ",",")&amp;","))*('1L Screening Matrix'!$C$2:$C$77=$A29))+SUMPRODUCT(ISNUMBER(SEARCH(",CTLA-4,",","&amp;SUBSTITUTE('2L Screening Matrix'!$I$2:$I$46,", ",",")&amp;","))*('2L Screening Matrix'!$C$2:$C$46=$A29))</f>
        <v>0</v>
      </c>
      <c r="AA29" s="11">
        <f>SUMPRODUCT(ISNUMBER(SEARCH(",EGFR Exon 20,",","&amp;SUBSTITUTE('1L Screening Matrix'!$I$2:$I$77,", ",",")&amp;","))*('1L Screening Matrix'!$C$2:$C$77=$A29))+SUMPRODUCT(ISNUMBER(SEARCH(",EGFR Exon 20,",","&amp;SUBSTITUTE('2L Screening Matrix'!$I$2:$I$46,", ",",")&amp;","))*('2L Screening Matrix'!$C$2:$C$46=$A29))</f>
        <v>0</v>
      </c>
      <c r="AB29" s="11">
        <f>SUMPRODUCT(ISNUMBER(SEARCH(",HER2 Exon 20,",","&amp;SUBSTITUTE('1L Screening Matrix'!$I$2:$I$77,", ",",")&amp;","))*('1L Screening Matrix'!$C$2:$C$77=$A29))+SUMPRODUCT(ISNUMBER(SEARCH(",HER2 Exon 20,",","&amp;SUBSTITUTE('2L Screening Matrix'!$I$2:$I$46,", ",",")&amp;","))*('2L Screening Matrix'!$C$2:$C$46=$A29))</f>
        <v>0</v>
      </c>
      <c r="AC29" s="11">
        <f>SUMPRODUCT(ISNUMBER(SEARCH(",IL-15,",","&amp;SUBSTITUTE('1L Screening Matrix'!$I$2:$I$77,", ",",")&amp;","))*('1L Screening Matrix'!$C$2:$C$77=$A29))+SUMPRODUCT(ISNUMBER(SEARCH(",IL-15,",","&amp;SUBSTITUTE('2L Screening Matrix'!$I$2:$I$46,", ",",")&amp;","))*('2L Screening Matrix'!$C$2:$C$46=$A29))</f>
        <v>0</v>
      </c>
      <c r="AD29" s="11">
        <f>SUMPRODUCT(ISNUMBER(SEARCH(",IL-15R,",","&amp;SUBSTITUTE('1L Screening Matrix'!$I$2:$I$77,", ",",")&amp;","))*('1L Screening Matrix'!$C$2:$C$77=$A29))+SUMPRODUCT(ISNUMBER(SEARCH(",IL-15R,",","&amp;SUBSTITUTE('2L Screening Matrix'!$I$2:$I$46,", ",",")&amp;","))*('2L Screening Matrix'!$C$2:$C$46=$A29))</f>
        <v>0</v>
      </c>
      <c r="AE29" s="11">
        <f>SUMPRODUCT(ISNUMBER(SEARCH(",KRAS G12D,",","&amp;SUBSTITUTE('1L Screening Matrix'!$I$2:$I$77,", ",",")&amp;","))*('1L Screening Matrix'!$C$2:$C$77=$A29))+SUMPRODUCT(ISNUMBER(SEARCH(",KRAS G12D,",","&amp;SUBSTITUTE('2L Screening Matrix'!$I$2:$I$46,", ",",")&amp;","))*('2L Screening Matrix'!$C$2:$C$46=$A29))</f>
        <v>0</v>
      </c>
      <c r="AF29" s="11">
        <f>SUMPRODUCT(ISNUMBER(SEARCH(",HER4,",","&amp;SUBSTITUTE('1L Screening Matrix'!$I$2:$I$77,", ",",")&amp;","))*('1L Screening Matrix'!$C$2:$C$77=$A29))+SUMPRODUCT(ISNUMBER(SEARCH(",HER4,",","&amp;SUBSTITUTE('2L Screening Matrix'!$I$2:$I$46,", ",",")&amp;","))*('2L Screening Matrix'!$C$2:$C$46=$A29))</f>
        <v>0</v>
      </c>
      <c r="AG29" s="11">
        <f>SUMPRODUCT(ISNUMBER(SEARCH(",ALK L1196M,",","&amp;SUBSTITUTE('1L Screening Matrix'!$I$2:$I$77,", ",",")&amp;","))*('1L Screening Matrix'!$C$2:$C$77=$A29))+SUMPRODUCT(ISNUMBER(SEARCH(",ALK L1196M,",","&amp;SUBSTITUTE('2L Screening Matrix'!$I$2:$I$46,", ",",")&amp;","))*('2L Screening Matrix'!$C$2:$C$46=$A29))</f>
        <v>0</v>
      </c>
      <c r="AH29" s="11">
        <f>SUMPRODUCT(ISNUMBER(SEARCH(",CD152,",","&amp;SUBSTITUTE('1L Screening Matrix'!$I$2:$I$77,", ",",")&amp;","))*('1L Screening Matrix'!$C$2:$C$77=$A29))+SUMPRODUCT(ISNUMBER(SEARCH(",CD152,",","&amp;SUBSTITUTE('2L Screening Matrix'!$I$2:$I$46,", ",",")&amp;","))*('2L Screening Matrix'!$C$2:$C$46=$A29))</f>
        <v>0</v>
      </c>
      <c r="AI29" s="11">
        <f>SUMPRODUCT(ISNUMBER(SEARCH(",MLN19,",","&amp;SUBSTITUTE('1L Screening Matrix'!$I$2:$I$77,", ",",")&amp;","))*('1L Screening Matrix'!$C$2:$C$77=$A29))+SUMPRODUCT(ISNUMBER(SEARCH(",MLN19,",","&amp;SUBSTITUTE('2L Screening Matrix'!$I$2:$I$46,", ",",")&amp;","))*('2L Screening Matrix'!$C$2:$C$46=$A29))</f>
        <v>0</v>
      </c>
      <c r="AJ29" s="11">
        <f>SUMPRODUCT(ISNUMBER(SEARCH(",NTRK,",","&amp;SUBSTITUTE('1L Screening Matrix'!$I$2:$I$77,", ",",")&amp;","))*('1L Screening Matrix'!$C$2:$C$77=$A29))+SUMPRODUCT(ISNUMBER(SEARCH(",NTRK,",","&amp;SUBSTITUTE('2L Screening Matrix'!$I$2:$I$46,", ",",")&amp;","))*('2L Screening Matrix'!$C$2:$C$46=$A29))</f>
        <v>0</v>
      </c>
      <c r="AK29" s="11">
        <f>SUMPRODUCT(ISNUMBER(SEARCH(",Integrin β6,",","&amp;SUBSTITUTE('1L Screening Matrix'!$I$2:$I$77,", ",",")&amp;","))*('1L Screening Matrix'!$C$2:$C$77=$A29))+SUMPRODUCT(ISNUMBER(SEARCH(",Integrin β6,",","&amp;SUBSTITUTE('2L Screening Matrix'!$I$2:$I$46,", ",",")&amp;","))*('2L Screening Matrix'!$C$2:$C$46=$A29))</f>
        <v>0</v>
      </c>
      <c r="AL29" s="11">
        <f>SUMPRODUCT(ISNUMBER(SEARCH(",LAG-3,",","&amp;SUBSTITUTE('1L Screening Matrix'!$I$2:$I$77,", ",",")&amp;","))*('1L Screening Matrix'!$C$2:$C$77=$A29))+SUMPRODUCT(ISNUMBER(SEARCH(",LAG-3,",","&amp;SUBSTITUTE('2L Screening Matrix'!$I$2:$I$46,", ",",")&amp;","))*('2L Screening Matrix'!$C$2:$C$46=$A29))</f>
        <v>0</v>
      </c>
      <c r="AM29" s="14">
        <f t="shared" si="0"/>
        <v>5</v>
      </c>
    </row>
    <row r="30" spans="1:39" ht="15" customHeight="1" x14ac:dyDescent="0.2">
      <c r="A30" s="12" t="s">
        <v>1321</v>
      </c>
      <c r="B30" s="11">
        <f>SUMPRODUCT(ISNUMBER(SEARCH(",PD-1,",","&amp;SUBSTITUTE('1L Screening Matrix'!$I$2:$I$77,", ",",")&amp;","))*('1L Screening Matrix'!$C$2:$C$77=$A30))+SUMPRODUCT(ISNUMBER(SEARCH(",PD-1,",","&amp;SUBSTITUTE('2L Screening Matrix'!$I$2:$I$46,", ",",")&amp;","))*('2L Screening Matrix'!$C$2:$C$46=$A30))</f>
        <v>4</v>
      </c>
      <c r="C30" s="11">
        <f>SUMPRODUCT(ISNUMBER(SEARCH(",CD279,",","&amp;SUBSTITUTE('1L Screening Matrix'!$I$2:$I$77,", ",",")&amp;","))*('1L Screening Matrix'!$C$2:$C$77=$A30))+SUMPRODUCT(ISNUMBER(SEARCH(",CD279,",","&amp;SUBSTITUTE('2L Screening Matrix'!$I$2:$I$46,", ",",")&amp;","))*('2L Screening Matrix'!$C$2:$C$46=$A30))</f>
        <v>4</v>
      </c>
      <c r="D30" s="11">
        <f>SUMPRODUCT(ISNUMBER(SEARCH(",TS,",","&amp;SUBSTITUTE('1L Screening Matrix'!$I$2:$I$77,", ",",")&amp;","))*('1L Screening Matrix'!$C$2:$C$77=$A30))+SUMPRODUCT(ISNUMBER(SEARCH(",TS,",","&amp;SUBSTITUTE('2L Screening Matrix'!$I$2:$I$46,", ",",")&amp;","))*('2L Screening Matrix'!$C$2:$C$46=$A30))</f>
        <v>0</v>
      </c>
      <c r="E30" s="11">
        <f>SUMPRODUCT(ISNUMBER(SEARCH(",TYMS,",","&amp;SUBSTITUTE('1L Screening Matrix'!$I$2:$I$77,", ",",")&amp;","))*('1L Screening Matrix'!$C$2:$C$77=$A30))+SUMPRODUCT(ISNUMBER(SEARCH(",TYMS,",","&amp;SUBSTITUTE('2L Screening Matrix'!$I$2:$I$46,", ",",")&amp;","))*('2L Screening Matrix'!$C$2:$C$46=$A30))</f>
        <v>0</v>
      </c>
      <c r="F30" s="11">
        <f>SUMPRODUCT(ISNUMBER(SEARCH(",PD-L1,",","&amp;SUBSTITUTE('1L Screening Matrix'!$I$2:$I$77,", ",",")&amp;","))*('1L Screening Matrix'!$C$2:$C$77=$A30))+SUMPRODUCT(ISNUMBER(SEARCH(",PD-L1,",","&amp;SUBSTITUTE('2L Screening Matrix'!$I$2:$I$46,", ",",")&amp;","))*('2L Screening Matrix'!$C$2:$C$46=$A30))</f>
        <v>0</v>
      </c>
      <c r="G30" s="11">
        <f>SUMPRODUCT(ISNUMBER(SEARCH(",B7-H1,",","&amp;SUBSTITUTE('1L Screening Matrix'!$I$2:$I$77,", ",",")&amp;","))*('1L Screening Matrix'!$C$2:$C$77=$A30))+SUMPRODUCT(ISNUMBER(SEARCH(",B7-H1,",","&amp;SUBSTITUTE('2L Screening Matrix'!$I$2:$I$46,", ",",")&amp;","))*('2L Screening Matrix'!$C$2:$C$46=$A30))</f>
        <v>0</v>
      </c>
      <c r="H30" s="11">
        <f>SUMPRODUCT(ISNUMBER(SEARCH(",CD274,",","&amp;SUBSTITUTE('1L Screening Matrix'!$I$2:$I$77,", ",",")&amp;","))*('1L Screening Matrix'!$C$2:$C$77=$A30))+SUMPRODUCT(ISNUMBER(SEARCH(",CD274,",","&amp;SUBSTITUTE('2L Screening Matrix'!$I$2:$I$46,", ",",")&amp;","))*('2L Screening Matrix'!$C$2:$C$46=$A30))</f>
        <v>0</v>
      </c>
      <c r="I30" s="11">
        <f>SUMPRODUCT(ISNUMBER(SEARCH(",EGFR,",","&amp;SUBSTITUTE('1L Screening Matrix'!$I$2:$I$77,", ",",")&amp;","))*('1L Screening Matrix'!$C$2:$C$77=$A30))+SUMPRODUCT(ISNUMBER(SEARCH(",EGFR,",","&amp;SUBSTITUTE('2L Screening Matrix'!$I$2:$I$46,", ",",")&amp;","))*('2L Screening Matrix'!$C$2:$C$46=$A30))</f>
        <v>0</v>
      </c>
      <c r="J30" s="11">
        <f>SUMPRODUCT(ISNUMBER(SEARCH(",VEGF,",","&amp;SUBSTITUTE('1L Screening Matrix'!$I$2:$I$77,", ",",")&amp;","))*('1L Screening Matrix'!$C$2:$C$77=$A30))+SUMPRODUCT(ISNUMBER(SEARCH(",VEGF,",","&amp;SUBSTITUTE('2L Screening Matrix'!$I$2:$I$46,", ",",")&amp;","))*('2L Screening Matrix'!$C$2:$C$46=$A30))</f>
        <v>0</v>
      </c>
      <c r="K30" s="11">
        <f>SUMPRODUCT(ISNUMBER(SEARCH(",ERBB,",","&amp;SUBSTITUTE('1L Screening Matrix'!$I$2:$I$77,", ",",")&amp;","))*('1L Screening Matrix'!$C$2:$C$77=$A30))+SUMPRODUCT(ISNUMBER(SEARCH(",ERBB,",","&amp;SUBSTITUTE('2L Screening Matrix'!$I$2:$I$46,", ",",")&amp;","))*('2L Screening Matrix'!$C$2:$C$46=$A30))</f>
        <v>0</v>
      </c>
      <c r="L30" s="11">
        <f>SUMPRODUCT(ISNUMBER(SEARCH(",HER1,",","&amp;SUBSTITUTE('1L Screening Matrix'!$I$2:$I$77,", ",",")&amp;","))*('1L Screening Matrix'!$C$2:$C$77=$A30))+SUMPRODUCT(ISNUMBER(SEARCH(",HER1,",","&amp;SUBSTITUTE('2L Screening Matrix'!$I$2:$I$46,", ",",")&amp;","))*('2L Screening Matrix'!$C$2:$C$46=$A30))</f>
        <v>0</v>
      </c>
      <c r="M30" s="11">
        <f>SUMPRODUCT(ISNUMBER(SEARCH(",Microtubule,",","&amp;SUBSTITUTE('1L Screening Matrix'!$I$2:$I$77,", ",",")&amp;","))*('1L Screening Matrix'!$C$2:$C$77=$A30))+SUMPRODUCT(ISNUMBER(SEARCH(",Microtubule,",","&amp;SUBSTITUTE('2L Screening Matrix'!$I$2:$I$46,", ",",")&amp;","))*('2L Screening Matrix'!$C$2:$C$46=$A30))</f>
        <v>0</v>
      </c>
      <c r="N30" s="11">
        <f>SUMPRODUCT(ISNUMBER(SEARCH(",KRAS G12C,",","&amp;SUBSTITUTE('1L Screening Matrix'!$I$2:$I$77,", ",",")&amp;","))*('1L Screening Matrix'!$C$2:$C$77=$A30))+SUMPRODUCT(ISNUMBER(SEARCH(",KRAS G12C,",","&amp;SUBSTITUTE('2L Screening Matrix'!$I$2:$I$46,", ",",")&amp;","))*('2L Screening Matrix'!$C$2:$C$46=$A30))</f>
        <v>0</v>
      </c>
      <c r="O30" s="11">
        <f>SUMPRODUCT(ISNUMBER(SEARCH(",EGFR T790M,",","&amp;SUBSTITUTE('1L Screening Matrix'!$I$2:$I$77,", ",",")&amp;","))*('1L Screening Matrix'!$C$2:$C$77=$A30))+SUMPRODUCT(ISNUMBER(SEARCH(",EGFR T790M,",","&amp;SUBSTITUTE('2L Screening Matrix'!$I$2:$I$46,", ",",")&amp;","))*('2L Screening Matrix'!$C$2:$C$46=$A30))</f>
        <v>0</v>
      </c>
      <c r="P30" s="11">
        <f>SUMPRODUCT(ISNUMBER(SEARCH(",ALK,",","&amp;SUBSTITUTE('1L Screening Matrix'!$I$2:$I$77,", ",",")&amp;","))*('1L Screening Matrix'!$C$2:$C$77=$A30))+SUMPRODUCT(ISNUMBER(SEARCH(",ALK,",","&amp;SUBSTITUTE('2L Screening Matrix'!$I$2:$I$46,", ",",")&amp;","))*('2L Screening Matrix'!$C$2:$C$46=$A30))</f>
        <v>0</v>
      </c>
      <c r="Q30" s="11">
        <f>SUMPRODUCT(ISNUMBER(SEARCH(",TROP2,",","&amp;SUBSTITUTE('1L Screening Matrix'!$I$2:$I$77,", ",",")&amp;","))*('1L Screening Matrix'!$C$2:$C$77=$A30))+SUMPRODUCT(ISNUMBER(SEARCH(",TROP2,",","&amp;SUBSTITUTE('2L Screening Matrix'!$I$2:$I$46,", ",",")&amp;","))*('2L Screening Matrix'!$C$2:$C$46=$A30))</f>
        <v>0</v>
      </c>
      <c r="R30" s="11">
        <f>SUMPRODUCT(ISNUMBER(SEARCH(",c-MET/MET,",","&amp;SUBSTITUTE('1L Screening Matrix'!$I$2:$I$77,", ",",")&amp;","))*('1L Screening Matrix'!$C$2:$C$77=$A30))+SUMPRODUCT(ISNUMBER(SEARCH(",c-MET/MET,",","&amp;SUBSTITUTE('2L Screening Matrix'!$I$2:$I$46,", ",",")&amp;","))*('2L Screening Matrix'!$C$2:$C$46=$A30))</f>
        <v>0</v>
      </c>
      <c r="S30" s="11">
        <f>SUMPRODUCT(ISNUMBER(SEARCH(",HER2,",","&amp;SUBSTITUTE('1L Screening Matrix'!$I$2:$I$77,", ",",")&amp;","))*('1L Screening Matrix'!$C$2:$C$77=$A30))+SUMPRODUCT(ISNUMBER(SEARCH(",HER2,",","&amp;SUBSTITUTE('2L Screening Matrix'!$I$2:$I$46,", ",",")&amp;","))*('2L Screening Matrix'!$C$2:$C$46=$A30))</f>
        <v>0</v>
      </c>
      <c r="T30" s="11">
        <f>SUMPRODUCT(ISNUMBER(SEARCH(",ROS1,",","&amp;SUBSTITUTE('1L Screening Matrix'!$I$2:$I$77,", ",",")&amp;","))*('1L Screening Matrix'!$C$2:$C$77=$A30))+SUMPRODUCT(ISNUMBER(SEARCH(",ROS1,",","&amp;SUBSTITUTE('2L Screening Matrix'!$I$2:$I$46,", ",",")&amp;","))*('2L Screening Matrix'!$C$2:$C$46=$A30))</f>
        <v>0</v>
      </c>
      <c r="U30" s="11">
        <f>SUMPRODUCT(ISNUMBER(SEARCH(",TIGIT,",","&amp;SUBSTITUTE('1L Screening Matrix'!$I$2:$I$77,", ",",")&amp;","))*('1L Screening Matrix'!$C$2:$C$77=$A30))+SUMPRODUCT(ISNUMBER(SEARCH(",TIGIT,",","&amp;SUBSTITUTE('2L Screening Matrix'!$I$2:$I$46,", ",",")&amp;","))*('2L Screening Matrix'!$C$2:$C$46=$A30))</f>
        <v>0</v>
      </c>
      <c r="V30" s="11">
        <f>SUMPRODUCT(ISNUMBER(SEARCH(",EGFR L858R,",","&amp;SUBSTITUTE('1L Screening Matrix'!$I$2:$I$77,", ",",")&amp;","))*('1L Screening Matrix'!$C$2:$C$77=$A30))+SUMPRODUCT(ISNUMBER(SEARCH(",EGFR L858R,",","&amp;SUBSTITUTE('2L Screening Matrix'!$I$2:$I$46,", ",",")&amp;","))*('2L Screening Matrix'!$C$2:$C$46=$A30))</f>
        <v>0</v>
      </c>
      <c r="W30" s="11">
        <f>SUMPRODUCT(ISNUMBER(SEARCH(",ROS,",","&amp;SUBSTITUTE('1L Screening Matrix'!$I$2:$I$77,", ",",")&amp;","))*('1L Screening Matrix'!$C$2:$C$77=$A30))+SUMPRODUCT(ISNUMBER(SEARCH(",ROS,",","&amp;SUBSTITUTE('2L Screening Matrix'!$I$2:$I$46,", ",",")&amp;","))*('2L Screening Matrix'!$C$2:$C$46=$A30))</f>
        <v>0</v>
      </c>
      <c r="X30" s="11">
        <f>SUMPRODUCT(ISNUMBER(SEARCH(",IL-2,",","&amp;SUBSTITUTE('1L Screening Matrix'!$I$2:$I$77,", ",",")&amp;","))*('1L Screening Matrix'!$C$2:$C$77=$A30))+SUMPRODUCT(ISNUMBER(SEARCH(",IL-2,",","&amp;SUBSTITUTE('2L Screening Matrix'!$I$2:$I$46,", ",",")&amp;","))*('2L Screening Matrix'!$C$2:$C$46=$A30))</f>
        <v>4</v>
      </c>
      <c r="Y30" s="11">
        <f>SUMPRODUCT(ISNUMBER(SEARCH(",TCGF,",","&amp;SUBSTITUTE('1L Screening Matrix'!$I$2:$I$77,", ",",")&amp;","))*('1L Screening Matrix'!$C$2:$C$77=$A30))+SUMPRODUCT(ISNUMBER(SEARCH(",TCGF,",","&amp;SUBSTITUTE('2L Screening Matrix'!$I$2:$I$46,", ",",")&amp;","))*('2L Screening Matrix'!$C$2:$C$46=$A30))</f>
        <v>4</v>
      </c>
      <c r="Z30" s="11">
        <f>SUMPRODUCT(ISNUMBER(SEARCH(",CTLA-4,",","&amp;SUBSTITUTE('1L Screening Matrix'!$I$2:$I$77,", ",",")&amp;","))*('1L Screening Matrix'!$C$2:$C$77=$A30))+SUMPRODUCT(ISNUMBER(SEARCH(",CTLA-4,",","&amp;SUBSTITUTE('2L Screening Matrix'!$I$2:$I$46,", ",",")&amp;","))*('2L Screening Matrix'!$C$2:$C$46=$A30))</f>
        <v>0</v>
      </c>
      <c r="AA30" s="11">
        <f>SUMPRODUCT(ISNUMBER(SEARCH(",EGFR Exon 20,",","&amp;SUBSTITUTE('1L Screening Matrix'!$I$2:$I$77,", ",",")&amp;","))*('1L Screening Matrix'!$C$2:$C$77=$A30))+SUMPRODUCT(ISNUMBER(SEARCH(",EGFR Exon 20,",","&amp;SUBSTITUTE('2L Screening Matrix'!$I$2:$I$46,", ",",")&amp;","))*('2L Screening Matrix'!$C$2:$C$46=$A30))</f>
        <v>0</v>
      </c>
      <c r="AB30" s="11">
        <f>SUMPRODUCT(ISNUMBER(SEARCH(",HER2 Exon 20,",","&amp;SUBSTITUTE('1L Screening Matrix'!$I$2:$I$77,", ",",")&amp;","))*('1L Screening Matrix'!$C$2:$C$77=$A30))+SUMPRODUCT(ISNUMBER(SEARCH(",HER2 Exon 20,",","&amp;SUBSTITUTE('2L Screening Matrix'!$I$2:$I$46,", ",",")&amp;","))*('2L Screening Matrix'!$C$2:$C$46=$A30))</f>
        <v>0</v>
      </c>
      <c r="AC30" s="11">
        <f>SUMPRODUCT(ISNUMBER(SEARCH(",IL-15,",","&amp;SUBSTITUTE('1L Screening Matrix'!$I$2:$I$77,", ",",")&amp;","))*('1L Screening Matrix'!$C$2:$C$77=$A30))+SUMPRODUCT(ISNUMBER(SEARCH(",IL-15,",","&amp;SUBSTITUTE('2L Screening Matrix'!$I$2:$I$46,", ",",")&amp;","))*('2L Screening Matrix'!$C$2:$C$46=$A30))</f>
        <v>0</v>
      </c>
      <c r="AD30" s="11">
        <f>SUMPRODUCT(ISNUMBER(SEARCH(",IL-15R,",","&amp;SUBSTITUTE('1L Screening Matrix'!$I$2:$I$77,", ",",")&amp;","))*('1L Screening Matrix'!$C$2:$C$77=$A30))+SUMPRODUCT(ISNUMBER(SEARCH(",IL-15R,",","&amp;SUBSTITUTE('2L Screening Matrix'!$I$2:$I$46,", ",",")&amp;","))*('2L Screening Matrix'!$C$2:$C$46=$A30))</f>
        <v>0</v>
      </c>
      <c r="AE30" s="11">
        <f>SUMPRODUCT(ISNUMBER(SEARCH(",KRAS G12D,",","&amp;SUBSTITUTE('1L Screening Matrix'!$I$2:$I$77,", ",",")&amp;","))*('1L Screening Matrix'!$C$2:$C$77=$A30))+SUMPRODUCT(ISNUMBER(SEARCH(",KRAS G12D,",","&amp;SUBSTITUTE('2L Screening Matrix'!$I$2:$I$46,", ",",")&amp;","))*('2L Screening Matrix'!$C$2:$C$46=$A30))</f>
        <v>0</v>
      </c>
      <c r="AF30" s="11">
        <f>SUMPRODUCT(ISNUMBER(SEARCH(",HER4,",","&amp;SUBSTITUTE('1L Screening Matrix'!$I$2:$I$77,", ",",")&amp;","))*('1L Screening Matrix'!$C$2:$C$77=$A30))+SUMPRODUCT(ISNUMBER(SEARCH(",HER4,",","&amp;SUBSTITUTE('2L Screening Matrix'!$I$2:$I$46,", ",",")&amp;","))*('2L Screening Matrix'!$C$2:$C$46=$A30))</f>
        <v>0</v>
      </c>
      <c r="AG30" s="11">
        <f>SUMPRODUCT(ISNUMBER(SEARCH(",ALK L1196M,",","&amp;SUBSTITUTE('1L Screening Matrix'!$I$2:$I$77,", ",",")&amp;","))*('1L Screening Matrix'!$C$2:$C$77=$A30))+SUMPRODUCT(ISNUMBER(SEARCH(",ALK L1196M,",","&amp;SUBSTITUTE('2L Screening Matrix'!$I$2:$I$46,", ",",")&amp;","))*('2L Screening Matrix'!$C$2:$C$46=$A30))</f>
        <v>0</v>
      </c>
      <c r="AH30" s="11">
        <f>SUMPRODUCT(ISNUMBER(SEARCH(",CD152,",","&amp;SUBSTITUTE('1L Screening Matrix'!$I$2:$I$77,", ",",")&amp;","))*('1L Screening Matrix'!$C$2:$C$77=$A30))+SUMPRODUCT(ISNUMBER(SEARCH(",CD152,",","&amp;SUBSTITUTE('2L Screening Matrix'!$I$2:$I$46,", ",",")&amp;","))*('2L Screening Matrix'!$C$2:$C$46=$A30))</f>
        <v>0</v>
      </c>
      <c r="AI30" s="11">
        <f>SUMPRODUCT(ISNUMBER(SEARCH(",MLN19,",","&amp;SUBSTITUTE('1L Screening Matrix'!$I$2:$I$77,", ",",")&amp;","))*('1L Screening Matrix'!$C$2:$C$77=$A30))+SUMPRODUCT(ISNUMBER(SEARCH(",MLN19,",","&amp;SUBSTITUTE('2L Screening Matrix'!$I$2:$I$46,", ",",")&amp;","))*('2L Screening Matrix'!$C$2:$C$46=$A30))</f>
        <v>0</v>
      </c>
      <c r="AJ30" s="11">
        <f>SUMPRODUCT(ISNUMBER(SEARCH(",NTRK,",","&amp;SUBSTITUTE('1L Screening Matrix'!$I$2:$I$77,", ",",")&amp;","))*('1L Screening Matrix'!$C$2:$C$77=$A30))+SUMPRODUCT(ISNUMBER(SEARCH(",NTRK,",","&amp;SUBSTITUTE('2L Screening Matrix'!$I$2:$I$46,", ",",")&amp;","))*('2L Screening Matrix'!$C$2:$C$46=$A30))</f>
        <v>0</v>
      </c>
      <c r="AK30" s="11">
        <f>SUMPRODUCT(ISNUMBER(SEARCH(",Integrin β6,",","&amp;SUBSTITUTE('1L Screening Matrix'!$I$2:$I$77,", ",",")&amp;","))*('1L Screening Matrix'!$C$2:$C$77=$A30))+SUMPRODUCT(ISNUMBER(SEARCH(",Integrin β6,",","&amp;SUBSTITUTE('2L Screening Matrix'!$I$2:$I$46,", ",",")&amp;","))*('2L Screening Matrix'!$C$2:$C$46=$A30))</f>
        <v>0</v>
      </c>
      <c r="AL30" s="11">
        <f>SUMPRODUCT(ISNUMBER(SEARCH(",LAG-3,",","&amp;SUBSTITUTE('1L Screening Matrix'!$I$2:$I$77,", ",",")&amp;","))*('1L Screening Matrix'!$C$2:$C$77=$A30))+SUMPRODUCT(ISNUMBER(SEARCH(",LAG-3,",","&amp;SUBSTITUTE('2L Screening Matrix'!$I$2:$I$46,", ",",")&amp;","))*('2L Screening Matrix'!$C$2:$C$46=$A30))</f>
        <v>0</v>
      </c>
      <c r="AM30" s="14">
        <f t="shared" si="0"/>
        <v>16</v>
      </c>
    </row>
    <row r="31" spans="1:39" ht="15" customHeight="1" x14ac:dyDescent="0.2">
      <c r="A31" s="15" t="s">
        <v>1349</v>
      </c>
      <c r="B31" s="11">
        <f>SUMPRODUCT(ISNUMBER(SEARCH(",PD-1,",","&amp;SUBSTITUTE('1L Screening Matrix'!$I$2:$I$77,", ",",")&amp;","))*('1L Screening Matrix'!$C$2:$C$77=$A31))+SUMPRODUCT(ISNUMBER(SEARCH(",PD-1,",","&amp;SUBSTITUTE('2L Screening Matrix'!$I$2:$I$46,", ",",")&amp;","))*('2L Screening Matrix'!$C$2:$C$46=$A31))</f>
        <v>1</v>
      </c>
      <c r="C31" s="11">
        <f>SUMPRODUCT(ISNUMBER(SEARCH(",CD279,",","&amp;SUBSTITUTE('1L Screening Matrix'!$I$2:$I$77,", ",",")&amp;","))*('1L Screening Matrix'!$C$2:$C$77=$A31))+SUMPRODUCT(ISNUMBER(SEARCH(",CD279,",","&amp;SUBSTITUTE('2L Screening Matrix'!$I$2:$I$46,", ",",")&amp;","))*('2L Screening Matrix'!$C$2:$C$46=$A31))</f>
        <v>1</v>
      </c>
      <c r="D31" s="11">
        <f>SUMPRODUCT(ISNUMBER(SEARCH(",TS,",","&amp;SUBSTITUTE('1L Screening Matrix'!$I$2:$I$77,", ",",")&amp;","))*('1L Screening Matrix'!$C$2:$C$77=$A31))+SUMPRODUCT(ISNUMBER(SEARCH(",TS,",","&amp;SUBSTITUTE('2L Screening Matrix'!$I$2:$I$46,", ",",")&amp;","))*('2L Screening Matrix'!$C$2:$C$46=$A31))</f>
        <v>0</v>
      </c>
      <c r="E31" s="11">
        <f>SUMPRODUCT(ISNUMBER(SEARCH(",TYMS,",","&amp;SUBSTITUTE('1L Screening Matrix'!$I$2:$I$77,", ",",")&amp;","))*('1L Screening Matrix'!$C$2:$C$77=$A31))+SUMPRODUCT(ISNUMBER(SEARCH(",TYMS,",","&amp;SUBSTITUTE('2L Screening Matrix'!$I$2:$I$46,", ",",")&amp;","))*('2L Screening Matrix'!$C$2:$C$46=$A31))</f>
        <v>0</v>
      </c>
      <c r="F31" s="11">
        <f>SUMPRODUCT(ISNUMBER(SEARCH(",PD-L1,",","&amp;SUBSTITUTE('1L Screening Matrix'!$I$2:$I$77,", ",",")&amp;","))*('1L Screening Matrix'!$C$2:$C$77=$A31))+SUMPRODUCT(ISNUMBER(SEARCH(",PD-L1,",","&amp;SUBSTITUTE('2L Screening Matrix'!$I$2:$I$46,", ",",")&amp;","))*('2L Screening Matrix'!$C$2:$C$46=$A31))</f>
        <v>0</v>
      </c>
      <c r="G31" s="11">
        <f>SUMPRODUCT(ISNUMBER(SEARCH(",B7-H1,",","&amp;SUBSTITUTE('1L Screening Matrix'!$I$2:$I$77,", ",",")&amp;","))*('1L Screening Matrix'!$C$2:$C$77=$A31))+SUMPRODUCT(ISNUMBER(SEARCH(",B7-H1,",","&amp;SUBSTITUTE('2L Screening Matrix'!$I$2:$I$46,", ",",")&amp;","))*('2L Screening Matrix'!$C$2:$C$46=$A31))</f>
        <v>0</v>
      </c>
      <c r="H31" s="11">
        <f>SUMPRODUCT(ISNUMBER(SEARCH(",CD274,",","&amp;SUBSTITUTE('1L Screening Matrix'!$I$2:$I$77,", ",",")&amp;","))*('1L Screening Matrix'!$C$2:$C$77=$A31))+SUMPRODUCT(ISNUMBER(SEARCH(",CD274,",","&amp;SUBSTITUTE('2L Screening Matrix'!$I$2:$I$46,", ",",")&amp;","))*('2L Screening Matrix'!$C$2:$C$46=$A31))</f>
        <v>0</v>
      </c>
      <c r="I31" s="11">
        <f>SUMPRODUCT(ISNUMBER(SEARCH(",EGFR,",","&amp;SUBSTITUTE('1L Screening Matrix'!$I$2:$I$77,", ",",")&amp;","))*('1L Screening Matrix'!$C$2:$C$77=$A31))+SUMPRODUCT(ISNUMBER(SEARCH(",EGFR,",","&amp;SUBSTITUTE('2L Screening Matrix'!$I$2:$I$46,", ",",")&amp;","))*('2L Screening Matrix'!$C$2:$C$46=$A31))</f>
        <v>0</v>
      </c>
      <c r="J31" s="11">
        <f>SUMPRODUCT(ISNUMBER(SEARCH(",VEGF,",","&amp;SUBSTITUTE('1L Screening Matrix'!$I$2:$I$77,", ",",")&amp;","))*('1L Screening Matrix'!$C$2:$C$77=$A31))+SUMPRODUCT(ISNUMBER(SEARCH(",VEGF,",","&amp;SUBSTITUTE('2L Screening Matrix'!$I$2:$I$46,", ",",")&amp;","))*('2L Screening Matrix'!$C$2:$C$46=$A31))</f>
        <v>0</v>
      </c>
      <c r="K31" s="11">
        <f>SUMPRODUCT(ISNUMBER(SEARCH(",ERBB,",","&amp;SUBSTITUTE('1L Screening Matrix'!$I$2:$I$77,", ",",")&amp;","))*('1L Screening Matrix'!$C$2:$C$77=$A31))+SUMPRODUCT(ISNUMBER(SEARCH(",ERBB,",","&amp;SUBSTITUTE('2L Screening Matrix'!$I$2:$I$46,", ",",")&amp;","))*('2L Screening Matrix'!$C$2:$C$46=$A31))</f>
        <v>0</v>
      </c>
      <c r="L31" s="11">
        <f>SUMPRODUCT(ISNUMBER(SEARCH(",HER1,",","&amp;SUBSTITUTE('1L Screening Matrix'!$I$2:$I$77,", ",",")&amp;","))*('1L Screening Matrix'!$C$2:$C$77=$A31))+SUMPRODUCT(ISNUMBER(SEARCH(",HER1,",","&amp;SUBSTITUTE('2L Screening Matrix'!$I$2:$I$46,", ",",")&amp;","))*('2L Screening Matrix'!$C$2:$C$46=$A31))</f>
        <v>0</v>
      </c>
      <c r="M31" s="11">
        <f>SUMPRODUCT(ISNUMBER(SEARCH(",Microtubule,",","&amp;SUBSTITUTE('1L Screening Matrix'!$I$2:$I$77,", ",",")&amp;","))*('1L Screening Matrix'!$C$2:$C$77=$A31))+SUMPRODUCT(ISNUMBER(SEARCH(",Microtubule,",","&amp;SUBSTITUTE('2L Screening Matrix'!$I$2:$I$46,", ",",")&amp;","))*('2L Screening Matrix'!$C$2:$C$46=$A31))</f>
        <v>0</v>
      </c>
      <c r="N31" s="11">
        <f>SUMPRODUCT(ISNUMBER(SEARCH(",KRAS G12C,",","&amp;SUBSTITUTE('1L Screening Matrix'!$I$2:$I$77,", ",",")&amp;","))*('1L Screening Matrix'!$C$2:$C$77=$A31))+SUMPRODUCT(ISNUMBER(SEARCH(",KRAS G12C,",","&amp;SUBSTITUTE('2L Screening Matrix'!$I$2:$I$46,", ",",")&amp;","))*('2L Screening Matrix'!$C$2:$C$46=$A31))</f>
        <v>0</v>
      </c>
      <c r="O31" s="11">
        <f>SUMPRODUCT(ISNUMBER(SEARCH(",EGFR T790M,",","&amp;SUBSTITUTE('1L Screening Matrix'!$I$2:$I$77,", ",",")&amp;","))*('1L Screening Matrix'!$C$2:$C$77=$A31))+SUMPRODUCT(ISNUMBER(SEARCH(",EGFR T790M,",","&amp;SUBSTITUTE('2L Screening Matrix'!$I$2:$I$46,", ",",")&amp;","))*('2L Screening Matrix'!$C$2:$C$46=$A31))</f>
        <v>0</v>
      </c>
      <c r="P31" s="11">
        <f>SUMPRODUCT(ISNUMBER(SEARCH(",ALK,",","&amp;SUBSTITUTE('1L Screening Matrix'!$I$2:$I$77,", ",",")&amp;","))*('1L Screening Matrix'!$C$2:$C$77=$A31))+SUMPRODUCT(ISNUMBER(SEARCH(",ALK,",","&amp;SUBSTITUTE('2L Screening Matrix'!$I$2:$I$46,", ",",")&amp;","))*('2L Screening Matrix'!$C$2:$C$46=$A31))</f>
        <v>0</v>
      </c>
      <c r="Q31" s="11">
        <f>SUMPRODUCT(ISNUMBER(SEARCH(",TROP2,",","&amp;SUBSTITUTE('1L Screening Matrix'!$I$2:$I$77,", ",",")&amp;","))*('1L Screening Matrix'!$C$2:$C$77=$A31))+SUMPRODUCT(ISNUMBER(SEARCH(",TROP2,",","&amp;SUBSTITUTE('2L Screening Matrix'!$I$2:$I$46,", ",",")&amp;","))*('2L Screening Matrix'!$C$2:$C$46=$A31))</f>
        <v>0</v>
      </c>
      <c r="R31" s="11">
        <f>SUMPRODUCT(ISNUMBER(SEARCH(",c-MET/MET,",","&amp;SUBSTITUTE('1L Screening Matrix'!$I$2:$I$77,", ",",")&amp;","))*('1L Screening Matrix'!$C$2:$C$77=$A31))+SUMPRODUCT(ISNUMBER(SEARCH(",c-MET/MET,",","&amp;SUBSTITUTE('2L Screening Matrix'!$I$2:$I$46,", ",",")&amp;","))*('2L Screening Matrix'!$C$2:$C$46=$A31))</f>
        <v>0</v>
      </c>
      <c r="S31" s="11">
        <f>SUMPRODUCT(ISNUMBER(SEARCH(",HER2,",","&amp;SUBSTITUTE('1L Screening Matrix'!$I$2:$I$77,", ",",")&amp;","))*('1L Screening Matrix'!$C$2:$C$77=$A31))+SUMPRODUCT(ISNUMBER(SEARCH(",HER2,",","&amp;SUBSTITUTE('2L Screening Matrix'!$I$2:$I$46,", ",",")&amp;","))*('2L Screening Matrix'!$C$2:$C$46=$A31))</f>
        <v>0</v>
      </c>
      <c r="T31" s="11">
        <f>SUMPRODUCT(ISNUMBER(SEARCH(",ROS1,",","&amp;SUBSTITUTE('1L Screening Matrix'!$I$2:$I$77,", ",",")&amp;","))*('1L Screening Matrix'!$C$2:$C$77=$A31))+SUMPRODUCT(ISNUMBER(SEARCH(",ROS1,",","&amp;SUBSTITUTE('2L Screening Matrix'!$I$2:$I$46,", ",",")&amp;","))*('2L Screening Matrix'!$C$2:$C$46=$A31))</f>
        <v>0</v>
      </c>
      <c r="U31" s="11">
        <f>SUMPRODUCT(ISNUMBER(SEARCH(",TIGIT,",","&amp;SUBSTITUTE('1L Screening Matrix'!$I$2:$I$77,", ",",")&amp;","))*('1L Screening Matrix'!$C$2:$C$77=$A31))+SUMPRODUCT(ISNUMBER(SEARCH(",TIGIT,",","&amp;SUBSTITUTE('2L Screening Matrix'!$I$2:$I$46,", ",",")&amp;","))*('2L Screening Matrix'!$C$2:$C$46=$A31))</f>
        <v>0</v>
      </c>
      <c r="V31" s="11">
        <f>SUMPRODUCT(ISNUMBER(SEARCH(",EGFR L858R,",","&amp;SUBSTITUTE('1L Screening Matrix'!$I$2:$I$77,", ",",")&amp;","))*('1L Screening Matrix'!$C$2:$C$77=$A31))+SUMPRODUCT(ISNUMBER(SEARCH(",EGFR L858R,",","&amp;SUBSTITUTE('2L Screening Matrix'!$I$2:$I$46,", ",",")&amp;","))*('2L Screening Matrix'!$C$2:$C$46=$A31))</f>
        <v>0</v>
      </c>
      <c r="W31" s="11">
        <f>SUMPRODUCT(ISNUMBER(SEARCH(",ROS,",","&amp;SUBSTITUTE('1L Screening Matrix'!$I$2:$I$77,", ",",")&amp;","))*('1L Screening Matrix'!$C$2:$C$77=$A31))+SUMPRODUCT(ISNUMBER(SEARCH(",ROS,",","&amp;SUBSTITUTE('2L Screening Matrix'!$I$2:$I$46,", ",",")&amp;","))*('2L Screening Matrix'!$C$2:$C$46=$A31))</f>
        <v>0</v>
      </c>
      <c r="X31" s="11">
        <f>SUMPRODUCT(ISNUMBER(SEARCH(",IL-2,",","&amp;SUBSTITUTE('1L Screening Matrix'!$I$2:$I$77,", ",",")&amp;","))*('1L Screening Matrix'!$C$2:$C$77=$A31))+SUMPRODUCT(ISNUMBER(SEARCH(",IL-2,",","&amp;SUBSTITUTE('2L Screening Matrix'!$I$2:$I$46,", ",",")&amp;","))*('2L Screening Matrix'!$C$2:$C$46=$A31))</f>
        <v>0</v>
      </c>
      <c r="Y31" s="11">
        <f>SUMPRODUCT(ISNUMBER(SEARCH(",TCGF,",","&amp;SUBSTITUTE('1L Screening Matrix'!$I$2:$I$77,", ",",")&amp;","))*('1L Screening Matrix'!$C$2:$C$77=$A31))+SUMPRODUCT(ISNUMBER(SEARCH(",TCGF,",","&amp;SUBSTITUTE('2L Screening Matrix'!$I$2:$I$46,", ",",")&amp;","))*('2L Screening Matrix'!$C$2:$C$46=$A31))</f>
        <v>0</v>
      </c>
      <c r="Z31" s="11">
        <f>SUMPRODUCT(ISNUMBER(SEARCH(",CTLA-4,",","&amp;SUBSTITUTE('1L Screening Matrix'!$I$2:$I$77,", ",",")&amp;","))*('1L Screening Matrix'!$C$2:$C$77=$A31))+SUMPRODUCT(ISNUMBER(SEARCH(",CTLA-4,",","&amp;SUBSTITUTE('2L Screening Matrix'!$I$2:$I$46,", ",",")&amp;","))*('2L Screening Matrix'!$C$2:$C$46=$A31))</f>
        <v>0</v>
      </c>
      <c r="AA31" s="11">
        <f>SUMPRODUCT(ISNUMBER(SEARCH(",EGFR Exon 20,",","&amp;SUBSTITUTE('1L Screening Matrix'!$I$2:$I$77,", ",",")&amp;","))*('1L Screening Matrix'!$C$2:$C$77=$A31))+SUMPRODUCT(ISNUMBER(SEARCH(",EGFR Exon 20,",","&amp;SUBSTITUTE('2L Screening Matrix'!$I$2:$I$46,", ",",")&amp;","))*('2L Screening Matrix'!$C$2:$C$46=$A31))</f>
        <v>0</v>
      </c>
      <c r="AB31" s="11">
        <f>SUMPRODUCT(ISNUMBER(SEARCH(",HER2 Exon 20,",","&amp;SUBSTITUTE('1L Screening Matrix'!$I$2:$I$77,", ",",")&amp;","))*('1L Screening Matrix'!$C$2:$C$77=$A31))+SUMPRODUCT(ISNUMBER(SEARCH(",HER2 Exon 20,",","&amp;SUBSTITUTE('2L Screening Matrix'!$I$2:$I$46,", ",",")&amp;","))*('2L Screening Matrix'!$C$2:$C$46=$A31))</f>
        <v>0</v>
      </c>
      <c r="AC31" s="11">
        <f>SUMPRODUCT(ISNUMBER(SEARCH(",IL-15,",","&amp;SUBSTITUTE('1L Screening Matrix'!$I$2:$I$77,", ",",")&amp;","))*('1L Screening Matrix'!$C$2:$C$77=$A31))+SUMPRODUCT(ISNUMBER(SEARCH(",IL-15,",","&amp;SUBSTITUTE('2L Screening Matrix'!$I$2:$I$46,", ",",")&amp;","))*('2L Screening Matrix'!$C$2:$C$46=$A31))</f>
        <v>0</v>
      </c>
      <c r="AD31" s="11">
        <f>SUMPRODUCT(ISNUMBER(SEARCH(",IL-15R,",","&amp;SUBSTITUTE('1L Screening Matrix'!$I$2:$I$77,", ",",")&amp;","))*('1L Screening Matrix'!$C$2:$C$77=$A31))+SUMPRODUCT(ISNUMBER(SEARCH(",IL-15R,",","&amp;SUBSTITUTE('2L Screening Matrix'!$I$2:$I$46,", ",",")&amp;","))*('2L Screening Matrix'!$C$2:$C$46=$A31))</f>
        <v>0</v>
      </c>
      <c r="AE31" s="11">
        <f>SUMPRODUCT(ISNUMBER(SEARCH(",KRAS G12D,",","&amp;SUBSTITUTE('1L Screening Matrix'!$I$2:$I$77,", ",",")&amp;","))*('1L Screening Matrix'!$C$2:$C$77=$A31))+SUMPRODUCT(ISNUMBER(SEARCH(",KRAS G12D,",","&amp;SUBSTITUTE('2L Screening Matrix'!$I$2:$I$46,", ",",")&amp;","))*('2L Screening Matrix'!$C$2:$C$46=$A31))</f>
        <v>0</v>
      </c>
      <c r="AF31" s="11">
        <f>SUMPRODUCT(ISNUMBER(SEARCH(",HER4,",","&amp;SUBSTITUTE('1L Screening Matrix'!$I$2:$I$77,", ",",")&amp;","))*('1L Screening Matrix'!$C$2:$C$77=$A31))+SUMPRODUCT(ISNUMBER(SEARCH(",HER4,",","&amp;SUBSTITUTE('2L Screening Matrix'!$I$2:$I$46,", ",",")&amp;","))*('2L Screening Matrix'!$C$2:$C$46=$A31))</f>
        <v>0</v>
      </c>
      <c r="AG31" s="11">
        <f>SUMPRODUCT(ISNUMBER(SEARCH(",ALK L1196M,",","&amp;SUBSTITUTE('1L Screening Matrix'!$I$2:$I$77,", ",",")&amp;","))*('1L Screening Matrix'!$C$2:$C$77=$A31))+SUMPRODUCT(ISNUMBER(SEARCH(",ALK L1196M,",","&amp;SUBSTITUTE('2L Screening Matrix'!$I$2:$I$46,", ",",")&amp;","))*('2L Screening Matrix'!$C$2:$C$46=$A31))</f>
        <v>0</v>
      </c>
      <c r="AH31" s="11">
        <f>SUMPRODUCT(ISNUMBER(SEARCH(",CD152,",","&amp;SUBSTITUTE('1L Screening Matrix'!$I$2:$I$77,", ",",")&amp;","))*('1L Screening Matrix'!$C$2:$C$77=$A31))+SUMPRODUCT(ISNUMBER(SEARCH(",CD152,",","&amp;SUBSTITUTE('2L Screening Matrix'!$I$2:$I$46,", ",",")&amp;","))*('2L Screening Matrix'!$C$2:$C$46=$A31))</f>
        <v>0</v>
      </c>
      <c r="AI31" s="11">
        <f>SUMPRODUCT(ISNUMBER(SEARCH(",MLN19,",","&amp;SUBSTITUTE('1L Screening Matrix'!$I$2:$I$77,", ",",")&amp;","))*('1L Screening Matrix'!$C$2:$C$77=$A31))+SUMPRODUCT(ISNUMBER(SEARCH(",MLN19,",","&amp;SUBSTITUTE('2L Screening Matrix'!$I$2:$I$46,", ",",")&amp;","))*('2L Screening Matrix'!$C$2:$C$46=$A31))</f>
        <v>0</v>
      </c>
      <c r="AJ31" s="11">
        <f>SUMPRODUCT(ISNUMBER(SEARCH(",NTRK,",","&amp;SUBSTITUTE('1L Screening Matrix'!$I$2:$I$77,", ",",")&amp;","))*('1L Screening Matrix'!$C$2:$C$77=$A31))+SUMPRODUCT(ISNUMBER(SEARCH(",NTRK,",","&amp;SUBSTITUTE('2L Screening Matrix'!$I$2:$I$46,", ",",")&amp;","))*('2L Screening Matrix'!$C$2:$C$46=$A31))</f>
        <v>0</v>
      </c>
      <c r="AK31" s="11">
        <f>SUMPRODUCT(ISNUMBER(SEARCH(",Integrin β6,",","&amp;SUBSTITUTE('1L Screening Matrix'!$I$2:$I$77,", ",",")&amp;","))*('1L Screening Matrix'!$C$2:$C$77=$A31))+SUMPRODUCT(ISNUMBER(SEARCH(",Integrin β6,",","&amp;SUBSTITUTE('2L Screening Matrix'!$I$2:$I$46,", ",",")&amp;","))*('2L Screening Matrix'!$C$2:$C$46=$A31))</f>
        <v>0</v>
      </c>
      <c r="AL31" s="11">
        <f>SUMPRODUCT(ISNUMBER(SEARCH(",LAG-3,",","&amp;SUBSTITUTE('1L Screening Matrix'!$I$2:$I$77,", ",",")&amp;","))*('1L Screening Matrix'!$C$2:$C$77=$A31))+SUMPRODUCT(ISNUMBER(SEARCH(",LAG-3,",","&amp;SUBSTITUTE('2L Screening Matrix'!$I$2:$I$46,", ",",")&amp;","))*('2L Screening Matrix'!$C$2:$C$46=$A31))</f>
        <v>0</v>
      </c>
      <c r="AM31" s="14">
        <f t="shared" si="0"/>
        <v>2</v>
      </c>
    </row>
    <row r="32" spans="1:39" ht="15" customHeight="1" x14ac:dyDescent="0.2">
      <c r="A32" s="12" t="s">
        <v>730</v>
      </c>
      <c r="B32" s="11">
        <f>SUMPRODUCT(ISNUMBER(SEARCH(",PD-1,",","&amp;SUBSTITUTE('1L Screening Matrix'!$I$2:$I$77,", ",",")&amp;","))*('1L Screening Matrix'!$C$2:$C$77=$A32))+SUMPRODUCT(ISNUMBER(SEARCH(",PD-1,",","&amp;SUBSTITUTE('2L Screening Matrix'!$I$2:$I$46,", ",",")&amp;","))*('2L Screening Matrix'!$C$2:$C$46=$A32))</f>
        <v>0</v>
      </c>
      <c r="C32" s="11">
        <f>SUMPRODUCT(ISNUMBER(SEARCH(",CD279,",","&amp;SUBSTITUTE('1L Screening Matrix'!$I$2:$I$77,", ",",")&amp;","))*('1L Screening Matrix'!$C$2:$C$77=$A32))+SUMPRODUCT(ISNUMBER(SEARCH(",CD279,",","&amp;SUBSTITUTE('2L Screening Matrix'!$I$2:$I$46,", ",",")&amp;","))*('2L Screening Matrix'!$C$2:$C$46=$A32))</f>
        <v>0</v>
      </c>
      <c r="D32" s="11">
        <f>SUMPRODUCT(ISNUMBER(SEARCH(",TS,",","&amp;SUBSTITUTE('1L Screening Matrix'!$I$2:$I$77,", ",",")&amp;","))*('1L Screening Matrix'!$C$2:$C$77=$A32))+SUMPRODUCT(ISNUMBER(SEARCH(",TS,",","&amp;SUBSTITUTE('2L Screening Matrix'!$I$2:$I$46,", ",",")&amp;","))*('2L Screening Matrix'!$C$2:$C$46=$A32))</f>
        <v>0</v>
      </c>
      <c r="E32" s="11">
        <f>SUMPRODUCT(ISNUMBER(SEARCH(",TYMS,",","&amp;SUBSTITUTE('1L Screening Matrix'!$I$2:$I$77,", ",",")&amp;","))*('1L Screening Matrix'!$C$2:$C$77=$A32))+SUMPRODUCT(ISNUMBER(SEARCH(",TYMS,",","&amp;SUBSTITUTE('2L Screening Matrix'!$I$2:$I$46,", ",",")&amp;","))*('2L Screening Matrix'!$C$2:$C$46=$A32))</f>
        <v>0</v>
      </c>
      <c r="F32" s="11">
        <f>SUMPRODUCT(ISNUMBER(SEARCH(",PD-L1,",","&amp;SUBSTITUTE('1L Screening Matrix'!$I$2:$I$77,", ",",")&amp;","))*('1L Screening Matrix'!$C$2:$C$77=$A32))+SUMPRODUCT(ISNUMBER(SEARCH(",PD-L1,",","&amp;SUBSTITUTE('2L Screening Matrix'!$I$2:$I$46,", ",",")&amp;","))*('2L Screening Matrix'!$C$2:$C$46=$A32))</f>
        <v>0</v>
      </c>
      <c r="G32" s="11">
        <f>SUMPRODUCT(ISNUMBER(SEARCH(",B7-H1,",","&amp;SUBSTITUTE('1L Screening Matrix'!$I$2:$I$77,", ",",")&amp;","))*('1L Screening Matrix'!$C$2:$C$77=$A32))+SUMPRODUCT(ISNUMBER(SEARCH(",B7-H1,",","&amp;SUBSTITUTE('2L Screening Matrix'!$I$2:$I$46,", ",",")&amp;","))*('2L Screening Matrix'!$C$2:$C$46=$A32))</f>
        <v>0</v>
      </c>
      <c r="H32" s="11">
        <f>SUMPRODUCT(ISNUMBER(SEARCH(",CD274,",","&amp;SUBSTITUTE('1L Screening Matrix'!$I$2:$I$77,", ",",")&amp;","))*('1L Screening Matrix'!$C$2:$C$77=$A32))+SUMPRODUCT(ISNUMBER(SEARCH(",CD274,",","&amp;SUBSTITUTE('2L Screening Matrix'!$I$2:$I$46,", ",",")&amp;","))*('2L Screening Matrix'!$C$2:$C$46=$A32))</f>
        <v>0</v>
      </c>
      <c r="I32" s="11">
        <f>SUMPRODUCT(ISNUMBER(SEARCH(",EGFR,",","&amp;SUBSTITUTE('1L Screening Matrix'!$I$2:$I$77,", ",",")&amp;","))*('1L Screening Matrix'!$C$2:$C$77=$A32))+SUMPRODUCT(ISNUMBER(SEARCH(",EGFR,",","&amp;SUBSTITUTE('2L Screening Matrix'!$I$2:$I$46,", ",",")&amp;","))*('2L Screening Matrix'!$C$2:$C$46=$A32))</f>
        <v>2</v>
      </c>
      <c r="J32" s="11">
        <f>SUMPRODUCT(ISNUMBER(SEARCH(",VEGF,",","&amp;SUBSTITUTE('1L Screening Matrix'!$I$2:$I$77,", ",",")&amp;","))*('1L Screening Matrix'!$C$2:$C$77=$A32))+SUMPRODUCT(ISNUMBER(SEARCH(",VEGF,",","&amp;SUBSTITUTE('2L Screening Matrix'!$I$2:$I$46,", ",",")&amp;","))*('2L Screening Matrix'!$C$2:$C$46=$A32))</f>
        <v>0</v>
      </c>
      <c r="K32" s="11">
        <f>SUMPRODUCT(ISNUMBER(SEARCH(",ERBB,",","&amp;SUBSTITUTE('1L Screening Matrix'!$I$2:$I$77,", ",",")&amp;","))*('1L Screening Matrix'!$C$2:$C$77=$A32))+SUMPRODUCT(ISNUMBER(SEARCH(",ERBB,",","&amp;SUBSTITUTE('2L Screening Matrix'!$I$2:$I$46,", ",",")&amp;","))*('2L Screening Matrix'!$C$2:$C$46=$A32))</f>
        <v>2</v>
      </c>
      <c r="L32" s="11">
        <f>SUMPRODUCT(ISNUMBER(SEARCH(",HER1,",","&amp;SUBSTITUTE('1L Screening Matrix'!$I$2:$I$77,", ",",")&amp;","))*('1L Screening Matrix'!$C$2:$C$77=$A32))+SUMPRODUCT(ISNUMBER(SEARCH(",HER1,",","&amp;SUBSTITUTE('2L Screening Matrix'!$I$2:$I$46,", ",",")&amp;","))*('2L Screening Matrix'!$C$2:$C$46=$A32))</f>
        <v>2</v>
      </c>
      <c r="M32" s="11">
        <f>SUMPRODUCT(ISNUMBER(SEARCH(",Microtubule,",","&amp;SUBSTITUTE('1L Screening Matrix'!$I$2:$I$77,", ",",")&amp;","))*('1L Screening Matrix'!$C$2:$C$77=$A32))+SUMPRODUCT(ISNUMBER(SEARCH(",Microtubule,",","&amp;SUBSTITUTE('2L Screening Matrix'!$I$2:$I$46,", ",",")&amp;","))*('2L Screening Matrix'!$C$2:$C$46=$A32))</f>
        <v>0</v>
      </c>
      <c r="N32" s="11">
        <f>SUMPRODUCT(ISNUMBER(SEARCH(",KRAS G12C,",","&amp;SUBSTITUTE('1L Screening Matrix'!$I$2:$I$77,", ",",")&amp;","))*('1L Screening Matrix'!$C$2:$C$77=$A32))+SUMPRODUCT(ISNUMBER(SEARCH(",KRAS G12C,",","&amp;SUBSTITUTE('2L Screening Matrix'!$I$2:$I$46,", ",",")&amp;","))*('2L Screening Matrix'!$C$2:$C$46=$A32))</f>
        <v>0</v>
      </c>
      <c r="O32" s="11">
        <f>SUMPRODUCT(ISNUMBER(SEARCH(",EGFR T790M,",","&amp;SUBSTITUTE('1L Screening Matrix'!$I$2:$I$77,", ",",")&amp;","))*('1L Screening Matrix'!$C$2:$C$77=$A32))+SUMPRODUCT(ISNUMBER(SEARCH(",EGFR T790M,",","&amp;SUBSTITUTE('2L Screening Matrix'!$I$2:$I$46,", ",",")&amp;","))*('2L Screening Matrix'!$C$2:$C$46=$A32))</f>
        <v>2</v>
      </c>
      <c r="P32" s="11">
        <f>SUMPRODUCT(ISNUMBER(SEARCH(",ALK,",","&amp;SUBSTITUTE('1L Screening Matrix'!$I$2:$I$77,", ",",")&amp;","))*('1L Screening Matrix'!$C$2:$C$77=$A32))+SUMPRODUCT(ISNUMBER(SEARCH(",ALK,",","&amp;SUBSTITUTE('2L Screening Matrix'!$I$2:$I$46,", ",",")&amp;","))*('2L Screening Matrix'!$C$2:$C$46=$A32))</f>
        <v>0</v>
      </c>
      <c r="Q32" s="11">
        <f>SUMPRODUCT(ISNUMBER(SEARCH(",TROP2,",","&amp;SUBSTITUTE('1L Screening Matrix'!$I$2:$I$77,", ",",")&amp;","))*('1L Screening Matrix'!$C$2:$C$77=$A32))+SUMPRODUCT(ISNUMBER(SEARCH(",TROP2,",","&amp;SUBSTITUTE('2L Screening Matrix'!$I$2:$I$46,", ",",")&amp;","))*('2L Screening Matrix'!$C$2:$C$46=$A32))</f>
        <v>0</v>
      </c>
      <c r="R32" s="11">
        <f>SUMPRODUCT(ISNUMBER(SEARCH(",c-MET/MET,",","&amp;SUBSTITUTE('1L Screening Matrix'!$I$2:$I$77,", ",",")&amp;","))*('1L Screening Matrix'!$C$2:$C$77=$A32))+SUMPRODUCT(ISNUMBER(SEARCH(",c-MET/MET,",","&amp;SUBSTITUTE('2L Screening Matrix'!$I$2:$I$46,", ",",")&amp;","))*('2L Screening Matrix'!$C$2:$C$46=$A32))</f>
        <v>2</v>
      </c>
      <c r="S32" s="11">
        <f>SUMPRODUCT(ISNUMBER(SEARCH(",HER2,",","&amp;SUBSTITUTE('1L Screening Matrix'!$I$2:$I$77,", ",",")&amp;","))*('1L Screening Matrix'!$C$2:$C$77=$A32))+SUMPRODUCT(ISNUMBER(SEARCH(",HER2,",","&amp;SUBSTITUTE('2L Screening Matrix'!$I$2:$I$46,", ",",")&amp;","))*('2L Screening Matrix'!$C$2:$C$46=$A32))</f>
        <v>0</v>
      </c>
      <c r="T32" s="11">
        <f>SUMPRODUCT(ISNUMBER(SEARCH(",ROS1,",","&amp;SUBSTITUTE('1L Screening Matrix'!$I$2:$I$77,", ",",")&amp;","))*('1L Screening Matrix'!$C$2:$C$77=$A32))+SUMPRODUCT(ISNUMBER(SEARCH(",ROS1,",","&amp;SUBSTITUTE('2L Screening Matrix'!$I$2:$I$46,", ",",")&amp;","))*('2L Screening Matrix'!$C$2:$C$46=$A32))</f>
        <v>0</v>
      </c>
      <c r="U32" s="11">
        <f>SUMPRODUCT(ISNUMBER(SEARCH(",TIGIT,",","&amp;SUBSTITUTE('1L Screening Matrix'!$I$2:$I$77,", ",",")&amp;","))*('1L Screening Matrix'!$C$2:$C$77=$A32))+SUMPRODUCT(ISNUMBER(SEARCH(",TIGIT,",","&amp;SUBSTITUTE('2L Screening Matrix'!$I$2:$I$46,", ",",")&amp;","))*('2L Screening Matrix'!$C$2:$C$46=$A32))</f>
        <v>0</v>
      </c>
      <c r="V32" s="11">
        <f>SUMPRODUCT(ISNUMBER(SEARCH(",EGFR L858R,",","&amp;SUBSTITUTE('1L Screening Matrix'!$I$2:$I$77,", ",",")&amp;","))*('1L Screening Matrix'!$C$2:$C$77=$A32))+SUMPRODUCT(ISNUMBER(SEARCH(",EGFR L858R,",","&amp;SUBSTITUTE('2L Screening Matrix'!$I$2:$I$46,", ",",")&amp;","))*('2L Screening Matrix'!$C$2:$C$46=$A32))</f>
        <v>2</v>
      </c>
      <c r="W32" s="11">
        <f>SUMPRODUCT(ISNUMBER(SEARCH(",ROS,",","&amp;SUBSTITUTE('1L Screening Matrix'!$I$2:$I$77,", ",",")&amp;","))*('1L Screening Matrix'!$C$2:$C$77=$A32))+SUMPRODUCT(ISNUMBER(SEARCH(",ROS,",","&amp;SUBSTITUTE('2L Screening Matrix'!$I$2:$I$46,", ",",")&amp;","))*('2L Screening Matrix'!$C$2:$C$46=$A32))</f>
        <v>0</v>
      </c>
      <c r="X32" s="11">
        <f>SUMPRODUCT(ISNUMBER(SEARCH(",IL-2,",","&amp;SUBSTITUTE('1L Screening Matrix'!$I$2:$I$77,", ",",")&amp;","))*('1L Screening Matrix'!$C$2:$C$77=$A32))+SUMPRODUCT(ISNUMBER(SEARCH(",IL-2,",","&amp;SUBSTITUTE('2L Screening Matrix'!$I$2:$I$46,", ",",")&amp;","))*('2L Screening Matrix'!$C$2:$C$46=$A32))</f>
        <v>0</v>
      </c>
      <c r="Y32" s="11">
        <f>SUMPRODUCT(ISNUMBER(SEARCH(",TCGF,",","&amp;SUBSTITUTE('1L Screening Matrix'!$I$2:$I$77,", ",",")&amp;","))*('1L Screening Matrix'!$C$2:$C$77=$A32))+SUMPRODUCT(ISNUMBER(SEARCH(",TCGF,",","&amp;SUBSTITUTE('2L Screening Matrix'!$I$2:$I$46,", ",",")&amp;","))*('2L Screening Matrix'!$C$2:$C$46=$A32))</f>
        <v>0</v>
      </c>
      <c r="Z32" s="11">
        <f>SUMPRODUCT(ISNUMBER(SEARCH(",CTLA-4,",","&amp;SUBSTITUTE('1L Screening Matrix'!$I$2:$I$77,", ",",")&amp;","))*('1L Screening Matrix'!$C$2:$C$77=$A32))+SUMPRODUCT(ISNUMBER(SEARCH(",CTLA-4,",","&amp;SUBSTITUTE('2L Screening Matrix'!$I$2:$I$46,", ",",")&amp;","))*('2L Screening Matrix'!$C$2:$C$46=$A32))</f>
        <v>0</v>
      </c>
      <c r="AA32" s="11">
        <f>SUMPRODUCT(ISNUMBER(SEARCH(",EGFR Exon 20,",","&amp;SUBSTITUTE('1L Screening Matrix'!$I$2:$I$77,", ",",")&amp;","))*('1L Screening Matrix'!$C$2:$C$77=$A32))+SUMPRODUCT(ISNUMBER(SEARCH(",EGFR Exon 20,",","&amp;SUBSTITUTE('2L Screening Matrix'!$I$2:$I$46,", ",",")&amp;","))*('2L Screening Matrix'!$C$2:$C$46=$A32))</f>
        <v>0</v>
      </c>
      <c r="AB32" s="11">
        <f>SUMPRODUCT(ISNUMBER(SEARCH(",HER2 Exon 20,",","&amp;SUBSTITUTE('1L Screening Matrix'!$I$2:$I$77,", ",",")&amp;","))*('1L Screening Matrix'!$C$2:$C$77=$A32))+SUMPRODUCT(ISNUMBER(SEARCH(",HER2 Exon 20,",","&amp;SUBSTITUTE('2L Screening Matrix'!$I$2:$I$46,", ",",")&amp;","))*('2L Screening Matrix'!$C$2:$C$46=$A32))</f>
        <v>0</v>
      </c>
      <c r="AC32" s="11">
        <f>SUMPRODUCT(ISNUMBER(SEARCH(",IL-15,",","&amp;SUBSTITUTE('1L Screening Matrix'!$I$2:$I$77,", ",",")&amp;","))*('1L Screening Matrix'!$C$2:$C$77=$A32))+SUMPRODUCT(ISNUMBER(SEARCH(",IL-15,",","&amp;SUBSTITUTE('2L Screening Matrix'!$I$2:$I$46,", ",",")&amp;","))*('2L Screening Matrix'!$C$2:$C$46=$A32))</f>
        <v>0</v>
      </c>
      <c r="AD32" s="11">
        <f>SUMPRODUCT(ISNUMBER(SEARCH(",IL-15R,",","&amp;SUBSTITUTE('1L Screening Matrix'!$I$2:$I$77,", ",",")&amp;","))*('1L Screening Matrix'!$C$2:$C$77=$A32))+SUMPRODUCT(ISNUMBER(SEARCH(",IL-15R,",","&amp;SUBSTITUTE('2L Screening Matrix'!$I$2:$I$46,", ",",")&amp;","))*('2L Screening Matrix'!$C$2:$C$46=$A32))</f>
        <v>0</v>
      </c>
      <c r="AE32" s="11">
        <f>SUMPRODUCT(ISNUMBER(SEARCH(",KRAS G12D,",","&amp;SUBSTITUTE('1L Screening Matrix'!$I$2:$I$77,", ",",")&amp;","))*('1L Screening Matrix'!$C$2:$C$77=$A32))+SUMPRODUCT(ISNUMBER(SEARCH(",KRAS G12D,",","&amp;SUBSTITUTE('2L Screening Matrix'!$I$2:$I$46,", ",",")&amp;","))*('2L Screening Matrix'!$C$2:$C$46=$A32))</f>
        <v>0</v>
      </c>
      <c r="AF32" s="11">
        <f>SUMPRODUCT(ISNUMBER(SEARCH(",HER4,",","&amp;SUBSTITUTE('1L Screening Matrix'!$I$2:$I$77,", ",",")&amp;","))*('1L Screening Matrix'!$C$2:$C$77=$A32))+SUMPRODUCT(ISNUMBER(SEARCH(",HER4,",","&amp;SUBSTITUTE('2L Screening Matrix'!$I$2:$I$46,", ",",")&amp;","))*('2L Screening Matrix'!$C$2:$C$46=$A32))</f>
        <v>0</v>
      </c>
      <c r="AG32" s="11">
        <f>SUMPRODUCT(ISNUMBER(SEARCH(",ALK L1196M,",","&amp;SUBSTITUTE('1L Screening Matrix'!$I$2:$I$77,", ",",")&amp;","))*('1L Screening Matrix'!$C$2:$C$77=$A32))+SUMPRODUCT(ISNUMBER(SEARCH(",ALK L1196M,",","&amp;SUBSTITUTE('2L Screening Matrix'!$I$2:$I$46,", ",",")&amp;","))*('2L Screening Matrix'!$C$2:$C$46=$A32))</f>
        <v>0</v>
      </c>
      <c r="AH32" s="11">
        <f>SUMPRODUCT(ISNUMBER(SEARCH(",CD152,",","&amp;SUBSTITUTE('1L Screening Matrix'!$I$2:$I$77,", ",",")&amp;","))*('1L Screening Matrix'!$C$2:$C$77=$A32))+SUMPRODUCT(ISNUMBER(SEARCH(",CD152,",","&amp;SUBSTITUTE('2L Screening Matrix'!$I$2:$I$46,", ",",")&amp;","))*('2L Screening Matrix'!$C$2:$C$46=$A32))</f>
        <v>0</v>
      </c>
      <c r="AI32" s="11">
        <f>SUMPRODUCT(ISNUMBER(SEARCH(",MLN19,",","&amp;SUBSTITUTE('1L Screening Matrix'!$I$2:$I$77,", ",",")&amp;","))*('1L Screening Matrix'!$C$2:$C$77=$A32))+SUMPRODUCT(ISNUMBER(SEARCH(",MLN19,",","&amp;SUBSTITUTE('2L Screening Matrix'!$I$2:$I$46,", ",",")&amp;","))*('2L Screening Matrix'!$C$2:$C$46=$A32))</f>
        <v>0</v>
      </c>
      <c r="AJ32" s="11">
        <f>SUMPRODUCT(ISNUMBER(SEARCH(",NTRK,",","&amp;SUBSTITUTE('1L Screening Matrix'!$I$2:$I$77,", ",",")&amp;","))*('1L Screening Matrix'!$C$2:$C$77=$A32))+SUMPRODUCT(ISNUMBER(SEARCH(",NTRK,",","&amp;SUBSTITUTE('2L Screening Matrix'!$I$2:$I$46,", ",",")&amp;","))*('2L Screening Matrix'!$C$2:$C$46=$A32))</f>
        <v>0</v>
      </c>
      <c r="AK32" s="11">
        <f>SUMPRODUCT(ISNUMBER(SEARCH(",Integrin β6,",","&amp;SUBSTITUTE('1L Screening Matrix'!$I$2:$I$77,", ",",")&amp;","))*('1L Screening Matrix'!$C$2:$C$77=$A32))+SUMPRODUCT(ISNUMBER(SEARCH(",Integrin β6,",","&amp;SUBSTITUTE('2L Screening Matrix'!$I$2:$I$46,", ",",")&amp;","))*('2L Screening Matrix'!$C$2:$C$46=$A32))</f>
        <v>0</v>
      </c>
      <c r="AL32" s="11">
        <f>SUMPRODUCT(ISNUMBER(SEARCH(",LAG-3,",","&amp;SUBSTITUTE('1L Screening Matrix'!$I$2:$I$77,", ",",")&amp;","))*('1L Screening Matrix'!$C$2:$C$77=$A32))+SUMPRODUCT(ISNUMBER(SEARCH(",LAG-3,",","&amp;SUBSTITUTE('2L Screening Matrix'!$I$2:$I$46,", ",",")&amp;","))*('2L Screening Matrix'!$C$2:$C$46=$A32))</f>
        <v>0</v>
      </c>
      <c r="AM32" s="14">
        <f t="shared" si="0"/>
        <v>12</v>
      </c>
    </row>
    <row r="33" spans="1:39" ht="15" customHeight="1" x14ac:dyDescent="0.2">
      <c r="A33" s="15" t="s">
        <v>1663</v>
      </c>
      <c r="B33" s="11">
        <f>SUMPRODUCT(ISNUMBER(SEARCH(",PD-1,",","&amp;SUBSTITUTE('1L Screening Matrix'!$I$2:$I$77,", ",",")&amp;","))*('1L Screening Matrix'!$C$2:$C$77=$A33))+SUMPRODUCT(ISNUMBER(SEARCH(",PD-1,",","&amp;SUBSTITUTE('2L Screening Matrix'!$I$2:$I$46,", ",",")&amp;","))*('2L Screening Matrix'!$C$2:$C$46=$A33))</f>
        <v>0</v>
      </c>
      <c r="C33" s="11">
        <f>SUMPRODUCT(ISNUMBER(SEARCH(",CD279,",","&amp;SUBSTITUTE('1L Screening Matrix'!$I$2:$I$77,", ",",")&amp;","))*('1L Screening Matrix'!$C$2:$C$77=$A33))+SUMPRODUCT(ISNUMBER(SEARCH(",CD279,",","&amp;SUBSTITUTE('2L Screening Matrix'!$I$2:$I$46,", ",",")&amp;","))*('2L Screening Matrix'!$C$2:$C$46=$A33))</f>
        <v>0</v>
      </c>
      <c r="D33" s="11">
        <f>SUMPRODUCT(ISNUMBER(SEARCH(",TS,",","&amp;SUBSTITUTE('1L Screening Matrix'!$I$2:$I$77,", ",",")&amp;","))*('1L Screening Matrix'!$C$2:$C$77=$A33))+SUMPRODUCT(ISNUMBER(SEARCH(",TS,",","&amp;SUBSTITUTE('2L Screening Matrix'!$I$2:$I$46,", ",",")&amp;","))*('2L Screening Matrix'!$C$2:$C$46=$A33))</f>
        <v>0</v>
      </c>
      <c r="E33" s="11">
        <f>SUMPRODUCT(ISNUMBER(SEARCH(",TYMS,",","&amp;SUBSTITUTE('1L Screening Matrix'!$I$2:$I$77,", ",",")&amp;","))*('1L Screening Matrix'!$C$2:$C$77=$A33))+SUMPRODUCT(ISNUMBER(SEARCH(",TYMS,",","&amp;SUBSTITUTE('2L Screening Matrix'!$I$2:$I$46,", ",",")&amp;","))*('2L Screening Matrix'!$C$2:$C$46=$A33))</f>
        <v>0</v>
      </c>
      <c r="F33" s="11">
        <f>SUMPRODUCT(ISNUMBER(SEARCH(",PD-L1,",","&amp;SUBSTITUTE('1L Screening Matrix'!$I$2:$I$77,", ",",")&amp;","))*('1L Screening Matrix'!$C$2:$C$77=$A33))+SUMPRODUCT(ISNUMBER(SEARCH(",PD-L1,",","&amp;SUBSTITUTE('2L Screening Matrix'!$I$2:$I$46,", ",",")&amp;","))*('2L Screening Matrix'!$C$2:$C$46=$A33))</f>
        <v>0</v>
      </c>
      <c r="G33" s="11">
        <f>SUMPRODUCT(ISNUMBER(SEARCH(",B7-H1,",","&amp;SUBSTITUTE('1L Screening Matrix'!$I$2:$I$77,", ",",")&amp;","))*('1L Screening Matrix'!$C$2:$C$77=$A33))+SUMPRODUCT(ISNUMBER(SEARCH(",B7-H1,",","&amp;SUBSTITUTE('2L Screening Matrix'!$I$2:$I$46,", ",",")&amp;","))*('2L Screening Matrix'!$C$2:$C$46=$A33))</f>
        <v>0</v>
      </c>
      <c r="H33" s="11">
        <f>SUMPRODUCT(ISNUMBER(SEARCH(",CD274,",","&amp;SUBSTITUTE('1L Screening Matrix'!$I$2:$I$77,", ",",")&amp;","))*('1L Screening Matrix'!$C$2:$C$77=$A33))+SUMPRODUCT(ISNUMBER(SEARCH(",CD274,",","&amp;SUBSTITUTE('2L Screening Matrix'!$I$2:$I$46,", ",",")&amp;","))*('2L Screening Matrix'!$C$2:$C$46=$A33))</f>
        <v>0</v>
      </c>
      <c r="I33" s="11">
        <f>SUMPRODUCT(ISNUMBER(SEARCH(",EGFR,",","&amp;SUBSTITUTE('1L Screening Matrix'!$I$2:$I$77,", ",",")&amp;","))*('1L Screening Matrix'!$C$2:$C$77=$A33))+SUMPRODUCT(ISNUMBER(SEARCH(",EGFR,",","&amp;SUBSTITUTE('2L Screening Matrix'!$I$2:$I$46,", ",",")&amp;","))*('2L Screening Matrix'!$C$2:$C$46=$A33))</f>
        <v>1</v>
      </c>
      <c r="J33" s="11">
        <f>SUMPRODUCT(ISNUMBER(SEARCH(",VEGF,",","&amp;SUBSTITUTE('1L Screening Matrix'!$I$2:$I$77,", ",",")&amp;","))*('1L Screening Matrix'!$C$2:$C$77=$A33))+SUMPRODUCT(ISNUMBER(SEARCH(",VEGF,",","&amp;SUBSTITUTE('2L Screening Matrix'!$I$2:$I$46,", ",",")&amp;","))*('2L Screening Matrix'!$C$2:$C$46=$A33))</f>
        <v>0</v>
      </c>
      <c r="K33" s="11">
        <f>SUMPRODUCT(ISNUMBER(SEARCH(",ERBB,",","&amp;SUBSTITUTE('1L Screening Matrix'!$I$2:$I$77,", ",",")&amp;","))*('1L Screening Matrix'!$C$2:$C$77=$A33))+SUMPRODUCT(ISNUMBER(SEARCH(",ERBB,",","&amp;SUBSTITUTE('2L Screening Matrix'!$I$2:$I$46,", ",",")&amp;","))*('2L Screening Matrix'!$C$2:$C$46=$A33))</f>
        <v>0</v>
      </c>
      <c r="L33" s="11">
        <f>SUMPRODUCT(ISNUMBER(SEARCH(",HER1,",","&amp;SUBSTITUTE('1L Screening Matrix'!$I$2:$I$77,", ",",")&amp;","))*('1L Screening Matrix'!$C$2:$C$77=$A33))+SUMPRODUCT(ISNUMBER(SEARCH(",HER1,",","&amp;SUBSTITUTE('2L Screening Matrix'!$I$2:$I$46,", ",",")&amp;","))*('2L Screening Matrix'!$C$2:$C$46=$A33))</f>
        <v>1</v>
      </c>
      <c r="M33" s="11">
        <f>SUMPRODUCT(ISNUMBER(SEARCH(",Microtubule,",","&amp;SUBSTITUTE('1L Screening Matrix'!$I$2:$I$77,", ",",")&amp;","))*('1L Screening Matrix'!$C$2:$C$77=$A33))+SUMPRODUCT(ISNUMBER(SEARCH(",Microtubule,",","&amp;SUBSTITUTE('2L Screening Matrix'!$I$2:$I$46,", ",",")&amp;","))*('2L Screening Matrix'!$C$2:$C$46=$A33))</f>
        <v>0</v>
      </c>
      <c r="N33" s="11">
        <f>SUMPRODUCT(ISNUMBER(SEARCH(",KRAS G12C,",","&amp;SUBSTITUTE('1L Screening Matrix'!$I$2:$I$77,", ",",")&amp;","))*('1L Screening Matrix'!$C$2:$C$77=$A33))+SUMPRODUCT(ISNUMBER(SEARCH(",KRAS G12C,",","&amp;SUBSTITUTE('2L Screening Matrix'!$I$2:$I$46,", ",",")&amp;","))*('2L Screening Matrix'!$C$2:$C$46=$A33))</f>
        <v>0</v>
      </c>
      <c r="O33" s="11">
        <f>SUMPRODUCT(ISNUMBER(SEARCH(",EGFR T790M,",","&amp;SUBSTITUTE('1L Screening Matrix'!$I$2:$I$77,", ",",")&amp;","))*('1L Screening Matrix'!$C$2:$C$77=$A33))+SUMPRODUCT(ISNUMBER(SEARCH(",EGFR T790M,",","&amp;SUBSTITUTE('2L Screening Matrix'!$I$2:$I$46,", ",",")&amp;","))*('2L Screening Matrix'!$C$2:$C$46=$A33))</f>
        <v>0</v>
      </c>
      <c r="P33" s="11">
        <f>SUMPRODUCT(ISNUMBER(SEARCH(",ALK,",","&amp;SUBSTITUTE('1L Screening Matrix'!$I$2:$I$77,", ",",")&amp;","))*('1L Screening Matrix'!$C$2:$C$77=$A33))+SUMPRODUCT(ISNUMBER(SEARCH(",ALK,",","&amp;SUBSTITUTE('2L Screening Matrix'!$I$2:$I$46,", ",",")&amp;","))*('2L Screening Matrix'!$C$2:$C$46=$A33))</f>
        <v>0</v>
      </c>
      <c r="Q33" s="11">
        <f>SUMPRODUCT(ISNUMBER(SEARCH(",TROP2,",","&amp;SUBSTITUTE('1L Screening Matrix'!$I$2:$I$77,", ",",")&amp;","))*('1L Screening Matrix'!$C$2:$C$77=$A33))+SUMPRODUCT(ISNUMBER(SEARCH(",TROP2,",","&amp;SUBSTITUTE('2L Screening Matrix'!$I$2:$I$46,", ",",")&amp;","))*('2L Screening Matrix'!$C$2:$C$46=$A33))</f>
        <v>0</v>
      </c>
      <c r="R33" s="11">
        <f>SUMPRODUCT(ISNUMBER(SEARCH(",c-MET/MET,",","&amp;SUBSTITUTE('1L Screening Matrix'!$I$2:$I$77,", ",",")&amp;","))*('1L Screening Matrix'!$C$2:$C$77=$A33))+SUMPRODUCT(ISNUMBER(SEARCH(",c-MET/MET,",","&amp;SUBSTITUTE('2L Screening Matrix'!$I$2:$I$46,", ",",")&amp;","))*('2L Screening Matrix'!$C$2:$C$46=$A33))</f>
        <v>0</v>
      </c>
      <c r="S33" s="11">
        <f>SUMPRODUCT(ISNUMBER(SEARCH(",HER2,",","&amp;SUBSTITUTE('1L Screening Matrix'!$I$2:$I$77,", ",",")&amp;","))*('1L Screening Matrix'!$C$2:$C$77=$A33))+SUMPRODUCT(ISNUMBER(SEARCH(",HER2,",","&amp;SUBSTITUTE('2L Screening Matrix'!$I$2:$I$46,", ",",")&amp;","))*('2L Screening Matrix'!$C$2:$C$46=$A33))</f>
        <v>1</v>
      </c>
      <c r="T33" s="11">
        <f>SUMPRODUCT(ISNUMBER(SEARCH(",ROS1,",","&amp;SUBSTITUTE('1L Screening Matrix'!$I$2:$I$77,", ",",")&amp;","))*('1L Screening Matrix'!$C$2:$C$77=$A33))+SUMPRODUCT(ISNUMBER(SEARCH(",ROS1,",","&amp;SUBSTITUTE('2L Screening Matrix'!$I$2:$I$46,", ",",")&amp;","))*('2L Screening Matrix'!$C$2:$C$46=$A33))</f>
        <v>0</v>
      </c>
      <c r="U33" s="11">
        <f>SUMPRODUCT(ISNUMBER(SEARCH(",TIGIT,",","&amp;SUBSTITUTE('1L Screening Matrix'!$I$2:$I$77,", ",",")&amp;","))*('1L Screening Matrix'!$C$2:$C$77=$A33))+SUMPRODUCT(ISNUMBER(SEARCH(",TIGIT,",","&amp;SUBSTITUTE('2L Screening Matrix'!$I$2:$I$46,", ",",")&amp;","))*('2L Screening Matrix'!$C$2:$C$46=$A33))</f>
        <v>0</v>
      </c>
      <c r="V33" s="11">
        <f>SUMPRODUCT(ISNUMBER(SEARCH(",EGFR L858R,",","&amp;SUBSTITUTE('1L Screening Matrix'!$I$2:$I$77,", ",",")&amp;","))*('1L Screening Matrix'!$C$2:$C$77=$A33))+SUMPRODUCT(ISNUMBER(SEARCH(",EGFR L858R,",","&amp;SUBSTITUTE('2L Screening Matrix'!$I$2:$I$46,", ",",")&amp;","))*('2L Screening Matrix'!$C$2:$C$46=$A33))</f>
        <v>0</v>
      </c>
      <c r="W33" s="11">
        <f>SUMPRODUCT(ISNUMBER(SEARCH(",ROS,",","&amp;SUBSTITUTE('1L Screening Matrix'!$I$2:$I$77,", ",",")&amp;","))*('1L Screening Matrix'!$C$2:$C$77=$A33))+SUMPRODUCT(ISNUMBER(SEARCH(",ROS,",","&amp;SUBSTITUTE('2L Screening Matrix'!$I$2:$I$46,", ",",")&amp;","))*('2L Screening Matrix'!$C$2:$C$46=$A33))</f>
        <v>0</v>
      </c>
      <c r="X33" s="11">
        <f>SUMPRODUCT(ISNUMBER(SEARCH(",IL-2,",","&amp;SUBSTITUTE('1L Screening Matrix'!$I$2:$I$77,", ",",")&amp;","))*('1L Screening Matrix'!$C$2:$C$77=$A33))+SUMPRODUCT(ISNUMBER(SEARCH(",IL-2,",","&amp;SUBSTITUTE('2L Screening Matrix'!$I$2:$I$46,", ",",")&amp;","))*('2L Screening Matrix'!$C$2:$C$46=$A33))</f>
        <v>0</v>
      </c>
      <c r="Y33" s="11">
        <f>SUMPRODUCT(ISNUMBER(SEARCH(",TCGF,",","&amp;SUBSTITUTE('1L Screening Matrix'!$I$2:$I$77,", ",",")&amp;","))*('1L Screening Matrix'!$C$2:$C$77=$A33))+SUMPRODUCT(ISNUMBER(SEARCH(",TCGF,",","&amp;SUBSTITUTE('2L Screening Matrix'!$I$2:$I$46,", ",",")&amp;","))*('2L Screening Matrix'!$C$2:$C$46=$A33))</f>
        <v>0</v>
      </c>
      <c r="Z33" s="11">
        <f>SUMPRODUCT(ISNUMBER(SEARCH(",CTLA-4,",","&amp;SUBSTITUTE('1L Screening Matrix'!$I$2:$I$77,", ",",")&amp;","))*('1L Screening Matrix'!$C$2:$C$77=$A33))+SUMPRODUCT(ISNUMBER(SEARCH(",CTLA-4,",","&amp;SUBSTITUTE('2L Screening Matrix'!$I$2:$I$46,", ",",")&amp;","))*('2L Screening Matrix'!$C$2:$C$46=$A33))</f>
        <v>0</v>
      </c>
      <c r="AA33" s="11">
        <f>SUMPRODUCT(ISNUMBER(SEARCH(",EGFR Exon 20,",","&amp;SUBSTITUTE('1L Screening Matrix'!$I$2:$I$77,", ",",")&amp;","))*('1L Screening Matrix'!$C$2:$C$77=$A33))+SUMPRODUCT(ISNUMBER(SEARCH(",EGFR Exon 20,",","&amp;SUBSTITUTE('2L Screening Matrix'!$I$2:$I$46,", ",",")&amp;","))*('2L Screening Matrix'!$C$2:$C$46=$A33))</f>
        <v>0</v>
      </c>
      <c r="AB33" s="11">
        <f>SUMPRODUCT(ISNUMBER(SEARCH(",HER2 Exon 20,",","&amp;SUBSTITUTE('1L Screening Matrix'!$I$2:$I$77,", ",",")&amp;","))*('1L Screening Matrix'!$C$2:$C$77=$A33))+SUMPRODUCT(ISNUMBER(SEARCH(",HER2 Exon 20,",","&amp;SUBSTITUTE('2L Screening Matrix'!$I$2:$I$46,", ",",")&amp;","))*('2L Screening Matrix'!$C$2:$C$46=$A33))</f>
        <v>0</v>
      </c>
      <c r="AC33" s="11">
        <f>SUMPRODUCT(ISNUMBER(SEARCH(",IL-15,",","&amp;SUBSTITUTE('1L Screening Matrix'!$I$2:$I$77,", ",",")&amp;","))*('1L Screening Matrix'!$C$2:$C$77=$A33))+SUMPRODUCT(ISNUMBER(SEARCH(",IL-15,",","&amp;SUBSTITUTE('2L Screening Matrix'!$I$2:$I$46,", ",",")&amp;","))*('2L Screening Matrix'!$C$2:$C$46=$A33))</f>
        <v>0</v>
      </c>
      <c r="AD33" s="11">
        <f>SUMPRODUCT(ISNUMBER(SEARCH(",IL-15R,",","&amp;SUBSTITUTE('1L Screening Matrix'!$I$2:$I$77,", ",",")&amp;","))*('1L Screening Matrix'!$C$2:$C$77=$A33))+SUMPRODUCT(ISNUMBER(SEARCH(",IL-15R,",","&amp;SUBSTITUTE('2L Screening Matrix'!$I$2:$I$46,", ",",")&amp;","))*('2L Screening Matrix'!$C$2:$C$46=$A33))</f>
        <v>0</v>
      </c>
      <c r="AE33" s="11">
        <f>SUMPRODUCT(ISNUMBER(SEARCH(",KRAS G12D,",","&amp;SUBSTITUTE('1L Screening Matrix'!$I$2:$I$77,", ",",")&amp;","))*('1L Screening Matrix'!$C$2:$C$77=$A33))+SUMPRODUCT(ISNUMBER(SEARCH(",KRAS G12D,",","&amp;SUBSTITUTE('2L Screening Matrix'!$I$2:$I$46,", ",",")&amp;","))*('2L Screening Matrix'!$C$2:$C$46=$A33))</f>
        <v>0</v>
      </c>
      <c r="AF33" s="11">
        <f>SUMPRODUCT(ISNUMBER(SEARCH(",HER4,",","&amp;SUBSTITUTE('1L Screening Matrix'!$I$2:$I$77,", ",",")&amp;","))*('1L Screening Matrix'!$C$2:$C$77=$A33))+SUMPRODUCT(ISNUMBER(SEARCH(",HER4,",","&amp;SUBSTITUTE('2L Screening Matrix'!$I$2:$I$46,", ",",")&amp;","))*('2L Screening Matrix'!$C$2:$C$46=$A33))</f>
        <v>1</v>
      </c>
      <c r="AG33" s="11">
        <f>SUMPRODUCT(ISNUMBER(SEARCH(",ALK L1196M,",","&amp;SUBSTITUTE('1L Screening Matrix'!$I$2:$I$77,", ",",")&amp;","))*('1L Screening Matrix'!$C$2:$C$77=$A33))+SUMPRODUCT(ISNUMBER(SEARCH(",ALK L1196M,",","&amp;SUBSTITUTE('2L Screening Matrix'!$I$2:$I$46,", ",",")&amp;","))*('2L Screening Matrix'!$C$2:$C$46=$A33))</f>
        <v>0</v>
      </c>
      <c r="AH33" s="11">
        <f>SUMPRODUCT(ISNUMBER(SEARCH(",CD152,",","&amp;SUBSTITUTE('1L Screening Matrix'!$I$2:$I$77,", ",",")&amp;","))*('1L Screening Matrix'!$C$2:$C$77=$A33))+SUMPRODUCT(ISNUMBER(SEARCH(",CD152,",","&amp;SUBSTITUTE('2L Screening Matrix'!$I$2:$I$46,", ",",")&amp;","))*('2L Screening Matrix'!$C$2:$C$46=$A33))</f>
        <v>0</v>
      </c>
      <c r="AI33" s="11">
        <f>SUMPRODUCT(ISNUMBER(SEARCH(",MLN19,",","&amp;SUBSTITUTE('1L Screening Matrix'!$I$2:$I$77,", ",",")&amp;","))*('1L Screening Matrix'!$C$2:$C$77=$A33))+SUMPRODUCT(ISNUMBER(SEARCH(",MLN19,",","&amp;SUBSTITUTE('2L Screening Matrix'!$I$2:$I$46,", ",",")&amp;","))*('2L Screening Matrix'!$C$2:$C$46=$A33))</f>
        <v>1</v>
      </c>
      <c r="AJ33" s="11">
        <f>SUMPRODUCT(ISNUMBER(SEARCH(",NTRK,",","&amp;SUBSTITUTE('1L Screening Matrix'!$I$2:$I$77,", ",",")&amp;","))*('1L Screening Matrix'!$C$2:$C$77=$A33))+SUMPRODUCT(ISNUMBER(SEARCH(",NTRK,",","&amp;SUBSTITUTE('2L Screening Matrix'!$I$2:$I$46,", ",",")&amp;","))*('2L Screening Matrix'!$C$2:$C$46=$A33))</f>
        <v>0</v>
      </c>
      <c r="AK33" s="11">
        <f>SUMPRODUCT(ISNUMBER(SEARCH(",Integrin β6,",","&amp;SUBSTITUTE('1L Screening Matrix'!$I$2:$I$77,", ",",")&amp;","))*('1L Screening Matrix'!$C$2:$C$77=$A33))+SUMPRODUCT(ISNUMBER(SEARCH(",Integrin β6,",","&amp;SUBSTITUTE('2L Screening Matrix'!$I$2:$I$46,", ",",")&amp;","))*('2L Screening Matrix'!$C$2:$C$46=$A33))</f>
        <v>0</v>
      </c>
      <c r="AL33" s="11">
        <f>SUMPRODUCT(ISNUMBER(SEARCH(",LAG-3,",","&amp;SUBSTITUTE('1L Screening Matrix'!$I$2:$I$77,", ",",")&amp;","))*('1L Screening Matrix'!$C$2:$C$77=$A33))+SUMPRODUCT(ISNUMBER(SEARCH(",LAG-3,",","&amp;SUBSTITUTE('2L Screening Matrix'!$I$2:$I$46,", ",",")&amp;","))*('2L Screening Matrix'!$C$2:$C$46=$A33))</f>
        <v>0</v>
      </c>
      <c r="AM33" s="14">
        <f t="shared" si="0"/>
        <v>5</v>
      </c>
    </row>
    <row r="34" spans="1:39" ht="15" customHeight="1" x14ac:dyDescent="0.2">
      <c r="A34" s="12" t="s">
        <v>1752</v>
      </c>
      <c r="B34" s="11">
        <f>SUMPRODUCT(ISNUMBER(SEARCH(",PD-1,",","&amp;SUBSTITUTE('1L Screening Matrix'!$I$2:$I$77,", ",",")&amp;","))*('1L Screening Matrix'!$C$2:$C$77=$A34))+SUMPRODUCT(ISNUMBER(SEARCH(",PD-1,",","&amp;SUBSTITUTE('2L Screening Matrix'!$I$2:$I$46,", ",",")&amp;","))*('2L Screening Matrix'!$C$2:$C$46=$A34))</f>
        <v>0</v>
      </c>
      <c r="C34" s="11">
        <f>SUMPRODUCT(ISNUMBER(SEARCH(",CD279,",","&amp;SUBSTITUTE('1L Screening Matrix'!$I$2:$I$77,", ",",")&amp;","))*('1L Screening Matrix'!$C$2:$C$77=$A34))+SUMPRODUCT(ISNUMBER(SEARCH(",CD279,",","&amp;SUBSTITUTE('2L Screening Matrix'!$I$2:$I$46,", ",",")&amp;","))*('2L Screening Matrix'!$C$2:$C$46=$A34))</f>
        <v>0</v>
      </c>
      <c r="D34" s="11">
        <f>SUMPRODUCT(ISNUMBER(SEARCH(",TS,",","&amp;SUBSTITUTE('1L Screening Matrix'!$I$2:$I$77,", ",",")&amp;","))*('1L Screening Matrix'!$C$2:$C$77=$A34))+SUMPRODUCT(ISNUMBER(SEARCH(",TS,",","&amp;SUBSTITUTE('2L Screening Matrix'!$I$2:$I$46,", ",",")&amp;","))*('2L Screening Matrix'!$C$2:$C$46=$A34))</f>
        <v>0</v>
      </c>
      <c r="E34" s="11">
        <f>SUMPRODUCT(ISNUMBER(SEARCH(",TYMS,",","&amp;SUBSTITUTE('1L Screening Matrix'!$I$2:$I$77,", ",",")&amp;","))*('1L Screening Matrix'!$C$2:$C$77=$A34))+SUMPRODUCT(ISNUMBER(SEARCH(",TYMS,",","&amp;SUBSTITUTE('2L Screening Matrix'!$I$2:$I$46,", ",",")&amp;","))*('2L Screening Matrix'!$C$2:$C$46=$A34))</f>
        <v>0</v>
      </c>
      <c r="F34" s="11">
        <f>SUMPRODUCT(ISNUMBER(SEARCH(",PD-L1,",","&amp;SUBSTITUTE('1L Screening Matrix'!$I$2:$I$77,", ",",")&amp;","))*('1L Screening Matrix'!$C$2:$C$77=$A34))+SUMPRODUCT(ISNUMBER(SEARCH(",PD-L1,",","&amp;SUBSTITUTE('2L Screening Matrix'!$I$2:$I$46,", ",",")&amp;","))*('2L Screening Matrix'!$C$2:$C$46=$A34))</f>
        <v>0</v>
      </c>
      <c r="G34" s="11">
        <f>SUMPRODUCT(ISNUMBER(SEARCH(",B7-H1,",","&amp;SUBSTITUTE('1L Screening Matrix'!$I$2:$I$77,", ",",")&amp;","))*('1L Screening Matrix'!$C$2:$C$77=$A34))+SUMPRODUCT(ISNUMBER(SEARCH(",B7-H1,",","&amp;SUBSTITUTE('2L Screening Matrix'!$I$2:$I$46,", ",",")&amp;","))*('2L Screening Matrix'!$C$2:$C$46=$A34))</f>
        <v>0</v>
      </c>
      <c r="H34" s="11">
        <f>SUMPRODUCT(ISNUMBER(SEARCH(",CD274,",","&amp;SUBSTITUTE('1L Screening Matrix'!$I$2:$I$77,", ",",")&amp;","))*('1L Screening Matrix'!$C$2:$C$77=$A34))+SUMPRODUCT(ISNUMBER(SEARCH(",CD274,",","&amp;SUBSTITUTE('2L Screening Matrix'!$I$2:$I$46,", ",",")&amp;","))*('2L Screening Matrix'!$C$2:$C$46=$A34))</f>
        <v>0</v>
      </c>
      <c r="I34" s="11">
        <f>SUMPRODUCT(ISNUMBER(SEARCH(",EGFR,",","&amp;SUBSTITUTE('1L Screening Matrix'!$I$2:$I$77,", ",",")&amp;","))*('1L Screening Matrix'!$C$2:$C$77=$A34))+SUMPRODUCT(ISNUMBER(SEARCH(",EGFR,",","&amp;SUBSTITUTE('2L Screening Matrix'!$I$2:$I$46,", ",",")&amp;","))*('2L Screening Matrix'!$C$2:$C$46=$A34))</f>
        <v>0</v>
      </c>
      <c r="J34" s="11">
        <f>SUMPRODUCT(ISNUMBER(SEARCH(",VEGF,",","&amp;SUBSTITUTE('1L Screening Matrix'!$I$2:$I$77,", ",",")&amp;","))*('1L Screening Matrix'!$C$2:$C$77=$A34))+SUMPRODUCT(ISNUMBER(SEARCH(",VEGF,",","&amp;SUBSTITUTE('2L Screening Matrix'!$I$2:$I$46,", ",",")&amp;","))*('2L Screening Matrix'!$C$2:$C$46=$A34))</f>
        <v>0</v>
      </c>
      <c r="K34" s="11">
        <f>SUMPRODUCT(ISNUMBER(SEARCH(",ERBB,",","&amp;SUBSTITUTE('1L Screening Matrix'!$I$2:$I$77,", ",",")&amp;","))*('1L Screening Matrix'!$C$2:$C$77=$A34))+SUMPRODUCT(ISNUMBER(SEARCH(",ERBB,",","&amp;SUBSTITUTE('2L Screening Matrix'!$I$2:$I$46,", ",",")&amp;","))*('2L Screening Matrix'!$C$2:$C$46=$A34))</f>
        <v>0</v>
      </c>
      <c r="L34" s="11">
        <f>SUMPRODUCT(ISNUMBER(SEARCH(",HER1,",","&amp;SUBSTITUTE('1L Screening Matrix'!$I$2:$I$77,", ",",")&amp;","))*('1L Screening Matrix'!$C$2:$C$77=$A34))+SUMPRODUCT(ISNUMBER(SEARCH(",HER1,",","&amp;SUBSTITUTE('2L Screening Matrix'!$I$2:$I$46,", ",",")&amp;","))*('2L Screening Matrix'!$C$2:$C$46=$A34))</f>
        <v>0</v>
      </c>
      <c r="M34" s="11">
        <f>SUMPRODUCT(ISNUMBER(SEARCH(",Microtubule,",","&amp;SUBSTITUTE('1L Screening Matrix'!$I$2:$I$77,", ",",")&amp;","))*('1L Screening Matrix'!$C$2:$C$77=$A34))+SUMPRODUCT(ISNUMBER(SEARCH(",Microtubule,",","&amp;SUBSTITUTE('2L Screening Matrix'!$I$2:$I$46,", ",",")&amp;","))*('2L Screening Matrix'!$C$2:$C$46=$A34))</f>
        <v>0</v>
      </c>
      <c r="N34" s="11">
        <f>SUMPRODUCT(ISNUMBER(SEARCH(",KRAS G12C,",","&amp;SUBSTITUTE('1L Screening Matrix'!$I$2:$I$77,", ",",")&amp;","))*('1L Screening Matrix'!$C$2:$C$77=$A34))+SUMPRODUCT(ISNUMBER(SEARCH(",KRAS G12C,",","&amp;SUBSTITUTE('2L Screening Matrix'!$I$2:$I$46,", ",",")&amp;","))*('2L Screening Matrix'!$C$2:$C$46=$A34))</f>
        <v>0</v>
      </c>
      <c r="O34" s="11">
        <f>SUMPRODUCT(ISNUMBER(SEARCH(",EGFR T790M,",","&amp;SUBSTITUTE('1L Screening Matrix'!$I$2:$I$77,", ",",")&amp;","))*('1L Screening Matrix'!$C$2:$C$77=$A34))+SUMPRODUCT(ISNUMBER(SEARCH(",EGFR T790M,",","&amp;SUBSTITUTE('2L Screening Matrix'!$I$2:$I$46,", ",",")&amp;","))*('2L Screening Matrix'!$C$2:$C$46=$A34))</f>
        <v>0</v>
      </c>
      <c r="P34" s="11">
        <f>SUMPRODUCT(ISNUMBER(SEARCH(",ALK,",","&amp;SUBSTITUTE('1L Screening Matrix'!$I$2:$I$77,", ",",")&amp;","))*('1L Screening Matrix'!$C$2:$C$77=$A34))+SUMPRODUCT(ISNUMBER(SEARCH(",ALK,",","&amp;SUBSTITUTE('2L Screening Matrix'!$I$2:$I$46,", ",",")&amp;","))*('2L Screening Matrix'!$C$2:$C$46=$A34))</f>
        <v>0</v>
      </c>
      <c r="Q34" s="11">
        <f>SUMPRODUCT(ISNUMBER(SEARCH(",TROP2,",","&amp;SUBSTITUTE('1L Screening Matrix'!$I$2:$I$77,", ",",")&amp;","))*('1L Screening Matrix'!$C$2:$C$77=$A34))+SUMPRODUCT(ISNUMBER(SEARCH(",TROP2,",","&amp;SUBSTITUTE('2L Screening Matrix'!$I$2:$I$46,", ",",")&amp;","))*('2L Screening Matrix'!$C$2:$C$46=$A34))</f>
        <v>0</v>
      </c>
      <c r="R34" s="11">
        <f>SUMPRODUCT(ISNUMBER(SEARCH(",c-MET/MET,",","&amp;SUBSTITUTE('1L Screening Matrix'!$I$2:$I$77,", ",",")&amp;","))*('1L Screening Matrix'!$C$2:$C$77=$A34))+SUMPRODUCT(ISNUMBER(SEARCH(",c-MET/MET,",","&amp;SUBSTITUTE('2L Screening Matrix'!$I$2:$I$46,", ",",")&amp;","))*('2L Screening Matrix'!$C$2:$C$46=$A34))</f>
        <v>0</v>
      </c>
      <c r="S34" s="11">
        <f>SUMPRODUCT(ISNUMBER(SEARCH(",HER2,",","&amp;SUBSTITUTE('1L Screening Matrix'!$I$2:$I$77,", ",",")&amp;","))*('1L Screening Matrix'!$C$2:$C$77=$A34))+SUMPRODUCT(ISNUMBER(SEARCH(",HER2,",","&amp;SUBSTITUTE('2L Screening Matrix'!$I$2:$I$46,", ",",")&amp;","))*('2L Screening Matrix'!$C$2:$C$46=$A34))</f>
        <v>0</v>
      </c>
      <c r="T34" s="11">
        <f>SUMPRODUCT(ISNUMBER(SEARCH(",ROS1,",","&amp;SUBSTITUTE('1L Screening Matrix'!$I$2:$I$77,", ",",")&amp;","))*('1L Screening Matrix'!$C$2:$C$77=$A34))+SUMPRODUCT(ISNUMBER(SEARCH(",ROS1,",","&amp;SUBSTITUTE('2L Screening Matrix'!$I$2:$I$46,", ",",")&amp;","))*('2L Screening Matrix'!$C$2:$C$46=$A34))</f>
        <v>0</v>
      </c>
      <c r="U34" s="11">
        <f>SUMPRODUCT(ISNUMBER(SEARCH(",TIGIT,",","&amp;SUBSTITUTE('1L Screening Matrix'!$I$2:$I$77,", ",",")&amp;","))*('1L Screening Matrix'!$C$2:$C$77=$A34))+SUMPRODUCT(ISNUMBER(SEARCH(",TIGIT,",","&amp;SUBSTITUTE('2L Screening Matrix'!$I$2:$I$46,", ",",")&amp;","))*('2L Screening Matrix'!$C$2:$C$46=$A34))</f>
        <v>0</v>
      </c>
      <c r="V34" s="11">
        <f>SUMPRODUCT(ISNUMBER(SEARCH(",EGFR L858R,",","&amp;SUBSTITUTE('1L Screening Matrix'!$I$2:$I$77,", ",",")&amp;","))*('1L Screening Matrix'!$C$2:$C$77=$A34))+SUMPRODUCT(ISNUMBER(SEARCH(",EGFR L858R,",","&amp;SUBSTITUTE('2L Screening Matrix'!$I$2:$I$46,", ",",")&amp;","))*('2L Screening Matrix'!$C$2:$C$46=$A34))</f>
        <v>0</v>
      </c>
      <c r="W34" s="11">
        <f>SUMPRODUCT(ISNUMBER(SEARCH(",ROS,",","&amp;SUBSTITUTE('1L Screening Matrix'!$I$2:$I$77,", ",",")&amp;","))*('1L Screening Matrix'!$C$2:$C$77=$A34))+SUMPRODUCT(ISNUMBER(SEARCH(",ROS,",","&amp;SUBSTITUTE('2L Screening Matrix'!$I$2:$I$46,", ",",")&amp;","))*('2L Screening Matrix'!$C$2:$C$46=$A34))</f>
        <v>0</v>
      </c>
      <c r="X34" s="11">
        <f>SUMPRODUCT(ISNUMBER(SEARCH(",IL-2,",","&amp;SUBSTITUTE('1L Screening Matrix'!$I$2:$I$77,", ",",")&amp;","))*('1L Screening Matrix'!$C$2:$C$77=$A34))+SUMPRODUCT(ISNUMBER(SEARCH(",IL-2,",","&amp;SUBSTITUTE('2L Screening Matrix'!$I$2:$I$46,", ",",")&amp;","))*('2L Screening Matrix'!$C$2:$C$46=$A34))</f>
        <v>1</v>
      </c>
      <c r="Y34" s="11">
        <f>SUMPRODUCT(ISNUMBER(SEARCH(",TCGF,",","&amp;SUBSTITUTE('1L Screening Matrix'!$I$2:$I$77,", ",",")&amp;","))*('1L Screening Matrix'!$C$2:$C$77=$A34))+SUMPRODUCT(ISNUMBER(SEARCH(",TCGF,",","&amp;SUBSTITUTE('2L Screening Matrix'!$I$2:$I$46,", ",",")&amp;","))*('2L Screening Matrix'!$C$2:$C$46=$A34))</f>
        <v>1</v>
      </c>
      <c r="Z34" s="11">
        <f>SUMPRODUCT(ISNUMBER(SEARCH(",CTLA-4,",","&amp;SUBSTITUTE('1L Screening Matrix'!$I$2:$I$77,", ",",")&amp;","))*('1L Screening Matrix'!$C$2:$C$77=$A34))+SUMPRODUCT(ISNUMBER(SEARCH(",CTLA-4,",","&amp;SUBSTITUTE('2L Screening Matrix'!$I$2:$I$46,", ",",")&amp;","))*('2L Screening Matrix'!$C$2:$C$46=$A34))</f>
        <v>0</v>
      </c>
      <c r="AA34" s="11">
        <f>SUMPRODUCT(ISNUMBER(SEARCH(",EGFR Exon 20,",","&amp;SUBSTITUTE('1L Screening Matrix'!$I$2:$I$77,", ",",")&amp;","))*('1L Screening Matrix'!$C$2:$C$77=$A34))+SUMPRODUCT(ISNUMBER(SEARCH(",EGFR Exon 20,",","&amp;SUBSTITUTE('2L Screening Matrix'!$I$2:$I$46,", ",",")&amp;","))*('2L Screening Matrix'!$C$2:$C$46=$A34))</f>
        <v>0</v>
      </c>
      <c r="AB34" s="11">
        <f>SUMPRODUCT(ISNUMBER(SEARCH(",HER2 Exon 20,",","&amp;SUBSTITUTE('1L Screening Matrix'!$I$2:$I$77,", ",",")&amp;","))*('1L Screening Matrix'!$C$2:$C$77=$A34))+SUMPRODUCT(ISNUMBER(SEARCH(",HER2 Exon 20,",","&amp;SUBSTITUTE('2L Screening Matrix'!$I$2:$I$46,", ",",")&amp;","))*('2L Screening Matrix'!$C$2:$C$46=$A34))</f>
        <v>0</v>
      </c>
      <c r="AC34" s="11">
        <f>SUMPRODUCT(ISNUMBER(SEARCH(",IL-15,",","&amp;SUBSTITUTE('1L Screening Matrix'!$I$2:$I$77,", ",",")&amp;","))*('1L Screening Matrix'!$C$2:$C$77=$A34))+SUMPRODUCT(ISNUMBER(SEARCH(",IL-15,",","&amp;SUBSTITUTE('2L Screening Matrix'!$I$2:$I$46,", ",",")&amp;","))*('2L Screening Matrix'!$C$2:$C$46=$A34))</f>
        <v>0</v>
      </c>
      <c r="AD34" s="11">
        <f>SUMPRODUCT(ISNUMBER(SEARCH(",IL-15R,",","&amp;SUBSTITUTE('1L Screening Matrix'!$I$2:$I$77,", ",",")&amp;","))*('1L Screening Matrix'!$C$2:$C$77=$A34))+SUMPRODUCT(ISNUMBER(SEARCH(",IL-15R,",","&amp;SUBSTITUTE('2L Screening Matrix'!$I$2:$I$46,", ",",")&amp;","))*('2L Screening Matrix'!$C$2:$C$46=$A34))</f>
        <v>0</v>
      </c>
      <c r="AE34" s="11">
        <f>SUMPRODUCT(ISNUMBER(SEARCH(",KRAS G12D,",","&amp;SUBSTITUTE('1L Screening Matrix'!$I$2:$I$77,", ",",")&amp;","))*('1L Screening Matrix'!$C$2:$C$77=$A34))+SUMPRODUCT(ISNUMBER(SEARCH(",KRAS G12D,",","&amp;SUBSTITUTE('2L Screening Matrix'!$I$2:$I$46,", ",",")&amp;","))*('2L Screening Matrix'!$C$2:$C$46=$A34))</f>
        <v>0</v>
      </c>
      <c r="AF34" s="11">
        <f>SUMPRODUCT(ISNUMBER(SEARCH(",HER4,",","&amp;SUBSTITUTE('1L Screening Matrix'!$I$2:$I$77,", ",",")&amp;","))*('1L Screening Matrix'!$C$2:$C$77=$A34))+SUMPRODUCT(ISNUMBER(SEARCH(",HER4,",","&amp;SUBSTITUTE('2L Screening Matrix'!$I$2:$I$46,", ",",")&amp;","))*('2L Screening Matrix'!$C$2:$C$46=$A34))</f>
        <v>0</v>
      </c>
      <c r="AG34" s="11">
        <f>SUMPRODUCT(ISNUMBER(SEARCH(",ALK L1196M,",","&amp;SUBSTITUTE('1L Screening Matrix'!$I$2:$I$77,", ",",")&amp;","))*('1L Screening Matrix'!$C$2:$C$77=$A34))+SUMPRODUCT(ISNUMBER(SEARCH(",ALK L1196M,",","&amp;SUBSTITUTE('2L Screening Matrix'!$I$2:$I$46,", ",",")&amp;","))*('2L Screening Matrix'!$C$2:$C$46=$A34))</f>
        <v>0</v>
      </c>
      <c r="AH34" s="11">
        <f>SUMPRODUCT(ISNUMBER(SEARCH(",CD152,",","&amp;SUBSTITUTE('1L Screening Matrix'!$I$2:$I$77,", ",",")&amp;","))*('1L Screening Matrix'!$C$2:$C$77=$A34))+SUMPRODUCT(ISNUMBER(SEARCH(",CD152,",","&amp;SUBSTITUTE('2L Screening Matrix'!$I$2:$I$46,", ",",")&amp;","))*('2L Screening Matrix'!$C$2:$C$46=$A34))</f>
        <v>0</v>
      </c>
      <c r="AI34" s="11">
        <f>SUMPRODUCT(ISNUMBER(SEARCH(",MLN19,",","&amp;SUBSTITUTE('1L Screening Matrix'!$I$2:$I$77,", ",",")&amp;","))*('1L Screening Matrix'!$C$2:$C$77=$A34))+SUMPRODUCT(ISNUMBER(SEARCH(",MLN19,",","&amp;SUBSTITUTE('2L Screening Matrix'!$I$2:$I$46,", ",",")&amp;","))*('2L Screening Matrix'!$C$2:$C$46=$A34))</f>
        <v>0</v>
      </c>
      <c r="AJ34" s="11">
        <f>SUMPRODUCT(ISNUMBER(SEARCH(",NTRK,",","&amp;SUBSTITUTE('1L Screening Matrix'!$I$2:$I$77,", ",",")&amp;","))*('1L Screening Matrix'!$C$2:$C$77=$A34))+SUMPRODUCT(ISNUMBER(SEARCH(",NTRK,",","&amp;SUBSTITUTE('2L Screening Matrix'!$I$2:$I$46,", ",",")&amp;","))*('2L Screening Matrix'!$C$2:$C$46=$A34))</f>
        <v>0</v>
      </c>
      <c r="AK34" s="11">
        <f>SUMPRODUCT(ISNUMBER(SEARCH(",Integrin β6,",","&amp;SUBSTITUTE('1L Screening Matrix'!$I$2:$I$77,", ",",")&amp;","))*('1L Screening Matrix'!$C$2:$C$77=$A34))+SUMPRODUCT(ISNUMBER(SEARCH(",Integrin β6,",","&amp;SUBSTITUTE('2L Screening Matrix'!$I$2:$I$46,", ",",")&amp;","))*('2L Screening Matrix'!$C$2:$C$46=$A34))</f>
        <v>0</v>
      </c>
      <c r="AL34" s="11">
        <f>SUMPRODUCT(ISNUMBER(SEARCH(",LAG-3,",","&amp;SUBSTITUTE('1L Screening Matrix'!$I$2:$I$77,", ",",")&amp;","))*('1L Screening Matrix'!$C$2:$C$77=$A34))+SUMPRODUCT(ISNUMBER(SEARCH(",LAG-3,",","&amp;SUBSTITUTE('2L Screening Matrix'!$I$2:$I$46,", ",",")&amp;","))*('2L Screening Matrix'!$C$2:$C$46=$A34))</f>
        <v>0</v>
      </c>
      <c r="AM34" s="14">
        <f t="shared" ref="AM34:AM65" si="1">SUM(B34:AL34)</f>
        <v>2</v>
      </c>
    </row>
    <row r="35" spans="1:39" ht="15" customHeight="1" x14ac:dyDescent="0.2">
      <c r="A35" s="15" t="s">
        <v>280</v>
      </c>
      <c r="B35" s="11">
        <f>SUMPRODUCT(ISNUMBER(SEARCH(",PD-1,",","&amp;SUBSTITUTE('1L Screening Matrix'!$I$2:$I$77,", ",",")&amp;","))*('1L Screening Matrix'!$C$2:$C$77=$A35))+SUMPRODUCT(ISNUMBER(SEARCH(",PD-1,",","&amp;SUBSTITUTE('2L Screening Matrix'!$I$2:$I$46,", ",",")&amp;","))*('2L Screening Matrix'!$C$2:$C$46=$A35))</f>
        <v>0</v>
      </c>
      <c r="C35" s="11">
        <f>SUMPRODUCT(ISNUMBER(SEARCH(",CD279,",","&amp;SUBSTITUTE('1L Screening Matrix'!$I$2:$I$77,", ",",")&amp;","))*('1L Screening Matrix'!$C$2:$C$77=$A35))+SUMPRODUCT(ISNUMBER(SEARCH(",CD279,",","&amp;SUBSTITUTE('2L Screening Matrix'!$I$2:$I$46,", ",",")&amp;","))*('2L Screening Matrix'!$C$2:$C$46=$A35))</f>
        <v>0</v>
      </c>
      <c r="D35" s="11">
        <f>SUMPRODUCT(ISNUMBER(SEARCH(",TS,",","&amp;SUBSTITUTE('1L Screening Matrix'!$I$2:$I$77,", ",",")&amp;","))*('1L Screening Matrix'!$C$2:$C$77=$A35))+SUMPRODUCT(ISNUMBER(SEARCH(",TS,",","&amp;SUBSTITUTE('2L Screening Matrix'!$I$2:$I$46,", ",",")&amp;","))*('2L Screening Matrix'!$C$2:$C$46=$A35))</f>
        <v>0</v>
      </c>
      <c r="E35" s="11">
        <f>SUMPRODUCT(ISNUMBER(SEARCH(",TYMS,",","&amp;SUBSTITUTE('1L Screening Matrix'!$I$2:$I$77,", ",",")&amp;","))*('1L Screening Matrix'!$C$2:$C$77=$A35))+SUMPRODUCT(ISNUMBER(SEARCH(",TYMS,",","&amp;SUBSTITUTE('2L Screening Matrix'!$I$2:$I$46,", ",",")&amp;","))*('2L Screening Matrix'!$C$2:$C$46=$A35))</f>
        <v>0</v>
      </c>
      <c r="F35" s="11">
        <f>SUMPRODUCT(ISNUMBER(SEARCH(",PD-L1,",","&amp;SUBSTITUTE('1L Screening Matrix'!$I$2:$I$77,", ",",")&amp;","))*('1L Screening Matrix'!$C$2:$C$77=$A35))+SUMPRODUCT(ISNUMBER(SEARCH(",PD-L1,",","&amp;SUBSTITUTE('2L Screening Matrix'!$I$2:$I$46,", ",",")&amp;","))*('2L Screening Matrix'!$C$2:$C$46=$A35))</f>
        <v>0</v>
      </c>
      <c r="G35" s="11">
        <f>SUMPRODUCT(ISNUMBER(SEARCH(",B7-H1,",","&amp;SUBSTITUTE('1L Screening Matrix'!$I$2:$I$77,", ",",")&amp;","))*('1L Screening Matrix'!$C$2:$C$77=$A35))+SUMPRODUCT(ISNUMBER(SEARCH(",B7-H1,",","&amp;SUBSTITUTE('2L Screening Matrix'!$I$2:$I$46,", ",",")&amp;","))*('2L Screening Matrix'!$C$2:$C$46=$A35))</f>
        <v>0</v>
      </c>
      <c r="H35" s="11">
        <f>SUMPRODUCT(ISNUMBER(SEARCH(",CD274,",","&amp;SUBSTITUTE('1L Screening Matrix'!$I$2:$I$77,", ",",")&amp;","))*('1L Screening Matrix'!$C$2:$C$77=$A35))+SUMPRODUCT(ISNUMBER(SEARCH(",CD274,",","&amp;SUBSTITUTE('2L Screening Matrix'!$I$2:$I$46,", ",",")&amp;","))*('2L Screening Matrix'!$C$2:$C$46=$A35))</f>
        <v>0</v>
      </c>
      <c r="I35" s="11">
        <f>SUMPRODUCT(ISNUMBER(SEARCH(",EGFR,",","&amp;SUBSTITUTE('1L Screening Matrix'!$I$2:$I$77,", ",",")&amp;","))*('1L Screening Matrix'!$C$2:$C$77=$A35))+SUMPRODUCT(ISNUMBER(SEARCH(",EGFR,",","&amp;SUBSTITUTE('2L Screening Matrix'!$I$2:$I$46,", ",",")&amp;","))*('2L Screening Matrix'!$C$2:$C$46=$A35))</f>
        <v>0</v>
      </c>
      <c r="J35" s="11">
        <f>SUMPRODUCT(ISNUMBER(SEARCH(",VEGF,",","&amp;SUBSTITUTE('1L Screening Matrix'!$I$2:$I$77,", ",",")&amp;","))*('1L Screening Matrix'!$C$2:$C$77=$A35))+SUMPRODUCT(ISNUMBER(SEARCH(",VEGF,",","&amp;SUBSTITUTE('2L Screening Matrix'!$I$2:$I$46,", ",",")&amp;","))*('2L Screening Matrix'!$C$2:$C$46=$A35))</f>
        <v>0</v>
      </c>
      <c r="K35" s="11">
        <f>SUMPRODUCT(ISNUMBER(SEARCH(",ERBB,",","&amp;SUBSTITUTE('1L Screening Matrix'!$I$2:$I$77,", ",",")&amp;","))*('1L Screening Matrix'!$C$2:$C$77=$A35))+SUMPRODUCT(ISNUMBER(SEARCH(",ERBB,",","&amp;SUBSTITUTE('2L Screening Matrix'!$I$2:$I$46,", ",",")&amp;","))*('2L Screening Matrix'!$C$2:$C$46=$A35))</f>
        <v>0</v>
      </c>
      <c r="L35" s="11">
        <f>SUMPRODUCT(ISNUMBER(SEARCH(",HER1,",","&amp;SUBSTITUTE('1L Screening Matrix'!$I$2:$I$77,", ",",")&amp;","))*('1L Screening Matrix'!$C$2:$C$77=$A35))+SUMPRODUCT(ISNUMBER(SEARCH(",HER1,",","&amp;SUBSTITUTE('2L Screening Matrix'!$I$2:$I$46,", ",",")&amp;","))*('2L Screening Matrix'!$C$2:$C$46=$A35))</f>
        <v>0</v>
      </c>
      <c r="M35" s="11">
        <f>SUMPRODUCT(ISNUMBER(SEARCH(",Microtubule,",","&amp;SUBSTITUTE('1L Screening Matrix'!$I$2:$I$77,", ",",")&amp;","))*('1L Screening Matrix'!$C$2:$C$77=$A35))+SUMPRODUCT(ISNUMBER(SEARCH(",Microtubule,",","&amp;SUBSTITUTE('2L Screening Matrix'!$I$2:$I$46,", ",",")&amp;","))*('2L Screening Matrix'!$C$2:$C$46=$A35))</f>
        <v>0</v>
      </c>
      <c r="N35" s="11">
        <f>SUMPRODUCT(ISNUMBER(SEARCH(",KRAS G12C,",","&amp;SUBSTITUTE('1L Screening Matrix'!$I$2:$I$77,", ",",")&amp;","))*('1L Screening Matrix'!$C$2:$C$77=$A35))+SUMPRODUCT(ISNUMBER(SEARCH(",KRAS G12C,",","&amp;SUBSTITUTE('2L Screening Matrix'!$I$2:$I$46,", ",",")&amp;","))*('2L Screening Matrix'!$C$2:$C$46=$A35))</f>
        <v>0</v>
      </c>
      <c r="O35" s="11">
        <f>SUMPRODUCT(ISNUMBER(SEARCH(",EGFR T790M,",","&amp;SUBSTITUTE('1L Screening Matrix'!$I$2:$I$77,", ",",")&amp;","))*('1L Screening Matrix'!$C$2:$C$77=$A35))+SUMPRODUCT(ISNUMBER(SEARCH(",EGFR T790M,",","&amp;SUBSTITUTE('2L Screening Matrix'!$I$2:$I$46,", ",",")&amp;","))*('2L Screening Matrix'!$C$2:$C$46=$A35))</f>
        <v>0</v>
      </c>
      <c r="P35" s="11">
        <f>SUMPRODUCT(ISNUMBER(SEARCH(",ALK,",","&amp;SUBSTITUTE('1L Screening Matrix'!$I$2:$I$77,", ",",")&amp;","))*('1L Screening Matrix'!$C$2:$C$77=$A35))+SUMPRODUCT(ISNUMBER(SEARCH(",ALK,",","&amp;SUBSTITUTE('2L Screening Matrix'!$I$2:$I$46,", ",",")&amp;","))*('2L Screening Matrix'!$C$2:$C$46=$A35))</f>
        <v>0</v>
      </c>
      <c r="Q35" s="11">
        <f>SUMPRODUCT(ISNUMBER(SEARCH(",TROP2,",","&amp;SUBSTITUTE('1L Screening Matrix'!$I$2:$I$77,", ",",")&amp;","))*('1L Screening Matrix'!$C$2:$C$77=$A35))+SUMPRODUCT(ISNUMBER(SEARCH(",TROP2,",","&amp;SUBSTITUTE('2L Screening Matrix'!$I$2:$I$46,", ",",")&amp;","))*('2L Screening Matrix'!$C$2:$C$46=$A35))</f>
        <v>0</v>
      </c>
      <c r="R35" s="11">
        <f>SUMPRODUCT(ISNUMBER(SEARCH(",c-MET/MET,",","&amp;SUBSTITUTE('1L Screening Matrix'!$I$2:$I$77,", ",",")&amp;","))*('1L Screening Matrix'!$C$2:$C$77=$A35))+SUMPRODUCT(ISNUMBER(SEARCH(",c-MET/MET,",","&amp;SUBSTITUTE('2L Screening Matrix'!$I$2:$I$46,", ",",")&amp;","))*('2L Screening Matrix'!$C$2:$C$46=$A35))</f>
        <v>0</v>
      </c>
      <c r="S35" s="11">
        <f>SUMPRODUCT(ISNUMBER(SEARCH(",HER2,",","&amp;SUBSTITUTE('1L Screening Matrix'!$I$2:$I$77,", ",",")&amp;","))*('1L Screening Matrix'!$C$2:$C$77=$A35))+SUMPRODUCT(ISNUMBER(SEARCH(",HER2,",","&amp;SUBSTITUTE('2L Screening Matrix'!$I$2:$I$46,", ",",")&amp;","))*('2L Screening Matrix'!$C$2:$C$46=$A35))</f>
        <v>0</v>
      </c>
      <c r="T35" s="11">
        <f>SUMPRODUCT(ISNUMBER(SEARCH(",ROS1,",","&amp;SUBSTITUTE('1L Screening Matrix'!$I$2:$I$77,", ",",")&amp;","))*('1L Screening Matrix'!$C$2:$C$77=$A35))+SUMPRODUCT(ISNUMBER(SEARCH(",ROS1,",","&amp;SUBSTITUTE('2L Screening Matrix'!$I$2:$I$46,", ",",")&amp;","))*('2L Screening Matrix'!$C$2:$C$46=$A35))</f>
        <v>0</v>
      </c>
      <c r="U35" s="11">
        <f>SUMPRODUCT(ISNUMBER(SEARCH(",TIGIT,",","&amp;SUBSTITUTE('1L Screening Matrix'!$I$2:$I$77,", ",",")&amp;","))*('1L Screening Matrix'!$C$2:$C$77=$A35))+SUMPRODUCT(ISNUMBER(SEARCH(",TIGIT,",","&amp;SUBSTITUTE('2L Screening Matrix'!$I$2:$I$46,", ",",")&amp;","))*('2L Screening Matrix'!$C$2:$C$46=$A35))</f>
        <v>0</v>
      </c>
      <c r="V35" s="11">
        <f>SUMPRODUCT(ISNUMBER(SEARCH(",EGFR L858R,",","&amp;SUBSTITUTE('1L Screening Matrix'!$I$2:$I$77,", ",",")&amp;","))*('1L Screening Matrix'!$C$2:$C$77=$A35))+SUMPRODUCT(ISNUMBER(SEARCH(",EGFR L858R,",","&amp;SUBSTITUTE('2L Screening Matrix'!$I$2:$I$46,", ",",")&amp;","))*('2L Screening Matrix'!$C$2:$C$46=$A35))</f>
        <v>0</v>
      </c>
      <c r="W35" s="11">
        <f>SUMPRODUCT(ISNUMBER(SEARCH(",ROS,",","&amp;SUBSTITUTE('1L Screening Matrix'!$I$2:$I$77,", ",",")&amp;","))*('1L Screening Matrix'!$C$2:$C$77=$A35))+SUMPRODUCT(ISNUMBER(SEARCH(",ROS,",","&amp;SUBSTITUTE('2L Screening Matrix'!$I$2:$I$46,", ",",")&amp;","))*('2L Screening Matrix'!$C$2:$C$46=$A35))</f>
        <v>0</v>
      </c>
      <c r="X35" s="11">
        <f>SUMPRODUCT(ISNUMBER(SEARCH(",IL-2,",","&amp;SUBSTITUTE('1L Screening Matrix'!$I$2:$I$77,", ",",")&amp;","))*('1L Screening Matrix'!$C$2:$C$77=$A35))+SUMPRODUCT(ISNUMBER(SEARCH(",IL-2,",","&amp;SUBSTITUTE('2L Screening Matrix'!$I$2:$I$46,", ",",")&amp;","))*('2L Screening Matrix'!$C$2:$C$46=$A35))</f>
        <v>0</v>
      </c>
      <c r="Y35" s="11">
        <f>SUMPRODUCT(ISNUMBER(SEARCH(",TCGF,",","&amp;SUBSTITUTE('1L Screening Matrix'!$I$2:$I$77,", ",",")&amp;","))*('1L Screening Matrix'!$C$2:$C$77=$A35))+SUMPRODUCT(ISNUMBER(SEARCH(",TCGF,",","&amp;SUBSTITUTE('2L Screening Matrix'!$I$2:$I$46,", ",",")&amp;","))*('2L Screening Matrix'!$C$2:$C$46=$A35))</f>
        <v>0</v>
      </c>
      <c r="Z35" s="11">
        <f>SUMPRODUCT(ISNUMBER(SEARCH(",CTLA-4,",","&amp;SUBSTITUTE('1L Screening Matrix'!$I$2:$I$77,", ",",")&amp;","))*('1L Screening Matrix'!$C$2:$C$77=$A35))+SUMPRODUCT(ISNUMBER(SEARCH(",CTLA-4,",","&amp;SUBSTITUTE('2L Screening Matrix'!$I$2:$I$46,", ",",")&amp;","))*('2L Screening Matrix'!$C$2:$C$46=$A35))</f>
        <v>0</v>
      </c>
      <c r="AA35" s="11">
        <f>SUMPRODUCT(ISNUMBER(SEARCH(",EGFR Exon 20,",","&amp;SUBSTITUTE('1L Screening Matrix'!$I$2:$I$77,", ",",")&amp;","))*('1L Screening Matrix'!$C$2:$C$77=$A35))+SUMPRODUCT(ISNUMBER(SEARCH(",EGFR Exon 20,",","&amp;SUBSTITUTE('2L Screening Matrix'!$I$2:$I$46,", ",",")&amp;","))*('2L Screening Matrix'!$C$2:$C$46=$A35))</f>
        <v>0</v>
      </c>
      <c r="AB35" s="11">
        <f>SUMPRODUCT(ISNUMBER(SEARCH(",HER2 Exon 20,",","&amp;SUBSTITUTE('1L Screening Matrix'!$I$2:$I$77,", ",",")&amp;","))*('1L Screening Matrix'!$C$2:$C$77=$A35))+SUMPRODUCT(ISNUMBER(SEARCH(",HER2 Exon 20,",","&amp;SUBSTITUTE('2L Screening Matrix'!$I$2:$I$46,", ",",")&amp;","))*('2L Screening Matrix'!$C$2:$C$46=$A35))</f>
        <v>0</v>
      </c>
      <c r="AC35" s="11">
        <f>SUMPRODUCT(ISNUMBER(SEARCH(",IL-15,",","&amp;SUBSTITUTE('1L Screening Matrix'!$I$2:$I$77,", ",",")&amp;","))*('1L Screening Matrix'!$C$2:$C$77=$A35))+SUMPRODUCT(ISNUMBER(SEARCH(",IL-15,",","&amp;SUBSTITUTE('2L Screening Matrix'!$I$2:$I$46,", ",",")&amp;","))*('2L Screening Matrix'!$C$2:$C$46=$A35))</f>
        <v>0</v>
      </c>
      <c r="AD35" s="11">
        <f>SUMPRODUCT(ISNUMBER(SEARCH(",IL-15R,",","&amp;SUBSTITUTE('1L Screening Matrix'!$I$2:$I$77,", ",",")&amp;","))*('1L Screening Matrix'!$C$2:$C$77=$A35))+SUMPRODUCT(ISNUMBER(SEARCH(",IL-15R,",","&amp;SUBSTITUTE('2L Screening Matrix'!$I$2:$I$46,", ",",")&amp;","))*('2L Screening Matrix'!$C$2:$C$46=$A35))</f>
        <v>0</v>
      </c>
      <c r="AE35" s="11">
        <f>SUMPRODUCT(ISNUMBER(SEARCH(",KRAS G12D,",","&amp;SUBSTITUTE('1L Screening Matrix'!$I$2:$I$77,", ",",")&amp;","))*('1L Screening Matrix'!$C$2:$C$77=$A35))+SUMPRODUCT(ISNUMBER(SEARCH(",KRAS G12D,",","&amp;SUBSTITUTE('2L Screening Matrix'!$I$2:$I$46,", ",",")&amp;","))*('2L Screening Matrix'!$C$2:$C$46=$A35))</f>
        <v>0</v>
      </c>
      <c r="AF35" s="11">
        <f>SUMPRODUCT(ISNUMBER(SEARCH(",HER4,",","&amp;SUBSTITUTE('1L Screening Matrix'!$I$2:$I$77,", ",",")&amp;","))*('1L Screening Matrix'!$C$2:$C$77=$A35))+SUMPRODUCT(ISNUMBER(SEARCH(",HER4,",","&amp;SUBSTITUTE('2L Screening Matrix'!$I$2:$I$46,", ",",")&amp;","))*('2L Screening Matrix'!$C$2:$C$46=$A35))</f>
        <v>0</v>
      </c>
      <c r="AG35" s="11">
        <f>SUMPRODUCT(ISNUMBER(SEARCH(",ALK L1196M,",","&amp;SUBSTITUTE('1L Screening Matrix'!$I$2:$I$77,", ",",")&amp;","))*('1L Screening Matrix'!$C$2:$C$77=$A35))+SUMPRODUCT(ISNUMBER(SEARCH(",ALK L1196M,",","&amp;SUBSTITUTE('2L Screening Matrix'!$I$2:$I$46,", ",",")&amp;","))*('2L Screening Matrix'!$C$2:$C$46=$A35))</f>
        <v>0</v>
      </c>
      <c r="AH35" s="11">
        <f>SUMPRODUCT(ISNUMBER(SEARCH(",CD152,",","&amp;SUBSTITUTE('1L Screening Matrix'!$I$2:$I$77,", ",",")&amp;","))*('1L Screening Matrix'!$C$2:$C$77=$A35))+SUMPRODUCT(ISNUMBER(SEARCH(",CD152,",","&amp;SUBSTITUTE('2L Screening Matrix'!$I$2:$I$46,", ",",")&amp;","))*('2L Screening Matrix'!$C$2:$C$46=$A35))</f>
        <v>0</v>
      </c>
      <c r="AI35" s="11">
        <f>SUMPRODUCT(ISNUMBER(SEARCH(",MLN19,",","&amp;SUBSTITUTE('1L Screening Matrix'!$I$2:$I$77,", ",",")&amp;","))*('1L Screening Matrix'!$C$2:$C$77=$A35))+SUMPRODUCT(ISNUMBER(SEARCH(",MLN19,",","&amp;SUBSTITUTE('2L Screening Matrix'!$I$2:$I$46,", ",",")&amp;","))*('2L Screening Matrix'!$C$2:$C$46=$A35))</f>
        <v>0</v>
      </c>
      <c r="AJ35" s="11">
        <f>SUMPRODUCT(ISNUMBER(SEARCH(",NTRK,",","&amp;SUBSTITUTE('1L Screening Matrix'!$I$2:$I$77,", ",",")&amp;","))*('1L Screening Matrix'!$C$2:$C$77=$A35))+SUMPRODUCT(ISNUMBER(SEARCH(",NTRK,",","&amp;SUBSTITUTE('2L Screening Matrix'!$I$2:$I$46,", ",",")&amp;","))*('2L Screening Matrix'!$C$2:$C$46=$A35))</f>
        <v>0</v>
      </c>
      <c r="AK35" s="11">
        <f>SUMPRODUCT(ISNUMBER(SEARCH(",Integrin β6,",","&amp;SUBSTITUTE('1L Screening Matrix'!$I$2:$I$77,", ",",")&amp;","))*('1L Screening Matrix'!$C$2:$C$77=$A35))+SUMPRODUCT(ISNUMBER(SEARCH(",Integrin β6,",","&amp;SUBSTITUTE('2L Screening Matrix'!$I$2:$I$46,", ",",")&amp;","))*('2L Screening Matrix'!$C$2:$C$46=$A35))</f>
        <v>0</v>
      </c>
      <c r="AL35" s="11">
        <f>SUMPRODUCT(ISNUMBER(SEARCH(",LAG-3,",","&amp;SUBSTITUTE('1L Screening Matrix'!$I$2:$I$77,", ",",")&amp;","))*('1L Screening Matrix'!$C$2:$C$77=$A35))+SUMPRODUCT(ISNUMBER(SEARCH(",LAG-3,",","&amp;SUBSTITUTE('2L Screening Matrix'!$I$2:$I$46,", ",",")&amp;","))*('2L Screening Matrix'!$C$2:$C$46=$A35))</f>
        <v>0</v>
      </c>
      <c r="AM35" s="14">
        <f t="shared" si="1"/>
        <v>0</v>
      </c>
    </row>
    <row r="36" spans="1:39" ht="15" customHeight="1" x14ac:dyDescent="0.2">
      <c r="A36" s="12" t="s">
        <v>281</v>
      </c>
      <c r="B36" s="11">
        <f>SUMPRODUCT(ISNUMBER(SEARCH(",PD-1,",","&amp;SUBSTITUTE('1L Screening Matrix'!$I$2:$I$77,", ",",")&amp;","))*('1L Screening Matrix'!$C$2:$C$77=$A36))+SUMPRODUCT(ISNUMBER(SEARCH(",PD-1,",","&amp;SUBSTITUTE('2L Screening Matrix'!$I$2:$I$46,", ",",")&amp;","))*('2L Screening Matrix'!$C$2:$C$46=$A36))</f>
        <v>5</v>
      </c>
      <c r="C36" s="11">
        <f>SUMPRODUCT(ISNUMBER(SEARCH(",CD279,",","&amp;SUBSTITUTE('1L Screening Matrix'!$I$2:$I$77,", ",",")&amp;","))*('1L Screening Matrix'!$C$2:$C$77=$A36))+SUMPRODUCT(ISNUMBER(SEARCH(",CD279,",","&amp;SUBSTITUTE('2L Screening Matrix'!$I$2:$I$46,", ",",")&amp;","))*('2L Screening Matrix'!$C$2:$C$46=$A36))</f>
        <v>5</v>
      </c>
      <c r="D36" s="11">
        <f>SUMPRODUCT(ISNUMBER(SEARCH(",TS,",","&amp;SUBSTITUTE('1L Screening Matrix'!$I$2:$I$77,", ",",")&amp;","))*('1L Screening Matrix'!$C$2:$C$77=$A36))+SUMPRODUCT(ISNUMBER(SEARCH(",TS,",","&amp;SUBSTITUTE('2L Screening Matrix'!$I$2:$I$46,", ",",")&amp;","))*('2L Screening Matrix'!$C$2:$C$46=$A36))</f>
        <v>0</v>
      </c>
      <c r="E36" s="11">
        <f>SUMPRODUCT(ISNUMBER(SEARCH(",TYMS,",","&amp;SUBSTITUTE('1L Screening Matrix'!$I$2:$I$77,", ",",")&amp;","))*('1L Screening Matrix'!$C$2:$C$77=$A36))+SUMPRODUCT(ISNUMBER(SEARCH(",TYMS,",","&amp;SUBSTITUTE('2L Screening Matrix'!$I$2:$I$46,", ",",")&amp;","))*('2L Screening Matrix'!$C$2:$C$46=$A36))</f>
        <v>0</v>
      </c>
      <c r="F36" s="11">
        <f>SUMPRODUCT(ISNUMBER(SEARCH(",PD-L1,",","&amp;SUBSTITUTE('1L Screening Matrix'!$I$2:$I$77,", ",",")&amp;","))*('1L Screening Matrix'!$C$2:$C$77=$A36))+SUMPRODUCT(ISNUMBER(SEARCH(",PD-L1,",","&amp;SUBSTITUTE('2L Screening Matrix'!$I$2:$I$46,", ",",")&amp;","))*('2L Screening Matrix'!$C$2:$C$46=$A36))</f>
        <v>0</v>
      </c>
      <c r="G36" s="11">
        <f>SUMPRODUCT(ISNUMBER(SEARCH(",B7-H1,",","&amp;SUBSTITUTE('1L Screening Matrix'!$I$2:$I$77,", ",",")&amp;","))*('1L Screening Matrix'!$C$2:$C$77=$A36))+SUMPRODUCT(ISNUMBER(SEARCH(",B7-H1,",","&amp;SUBSTITUTE('2L Screening Matrix'!$I$2:$I$46,", ",",")&amp;","))*('2L Screening Matrix'!$C$2:$C$46=$A36))</f>
        <v>0</v>
      </c>
      <c r="H36" s="11">
        <f>SUMPRODUCT(ISNUMBER(SEARCH(",CD274,",","&amp;SUBSTITUTE('1L Screening Matrix'!$I$2:$I$77,", ",",")&amp;","))*('1L Screening Matrix'!$C$2:$C$77=$A36))+SUMPRODUCT(ISNUMBER(SEARCH(",CD274,",","&amp;SUBSTITUTE('2L Screening Matrix'!$I$2:$I$46,", ",",")&amp;","))*('2L Screening Matrix'!$C$2:$C$46=$A36))</f>
        <v>0</v>
      </c>
      <c r="I36" s="11">
        <f>SUMPRODUCT(ISNUMBER(SEARCH(",EGFR,",","&amp;SUBSTITUTE('1L Screening Matrix'!$I$2:$I$77,", ",",")&amp;","))*('1L Screening Matrix'!$C$2:$C$77=$A36))+SUMPRODUCT(ISNUMBER(SEARCH(",EGFR,",","&amp;SUBSTITUTE('2L Screening Matrix'!$I$2:$I$46,", ",",")&amp;","))*('2L Screening Matrix'!$C$2:$C$46=$A36))</f>
        <v>0</v>
      </c>
      <c r="J36" s="11">
        <f>SUMPRODUCT(ISNUMBER(SEARCH(",VEGF,",","&amp;SUBSTITUTE('1L Screening Matrix'!$I$2:$I$77,", ",",")&amp;","))*('1L Screening Matrix'!$C$2:$C$77=$A36))+SUMPRODUCT(ISNUMBER(SEARCH(",VEGF,",","&amp;SUBSTITUTE('2L Screening Matrix'!$I$2:$I$46,", ",",")&amp;","))*('2L Screening Matrix'!$C$2:$C$46=$A36))</f>
        <v>0</v>
      </c>
      <c r="K36" s="11">
        <f>SUMPRODUCT(ISNUMBER(SEARCH(",ERBB,",","&amp;SUBSTITUTE('1L Screening Matrix'!$I$2:$I$77,", ",",")&amp;","))*('1L Screening Matrix'!$C$2:$C$77=$A36))+SUMPRODUCT(ISNUMBER(SEARCH(",ERBB,",","&amp;SUBSTITUTE('2L Screening Matrix'!$I$2:$I$46,", ",",")&amp;","))*('2L Screening Matrix'!$C$2:$C$46=$A36))</f>
        <v>0</v>
      </c>
      <c r="L36" s="11">
        <f>SUMPRODUCT(ISNUMBER(SEARCH(",HER1,",","&amp;SUBSTITUTE('1L Screening Matrix'!$I$2:$I$77,", ",",")&amp;","))*('1L Screening Matrix'!$C$2:$C$77=$A36))+SUMPRODUCT(ISNUMBER(SEARCH(",HER1,",","&amp;SUBSTITUTE('2L Screening Matrix'!$I$2:$I$46,", ",",")&amp;","))*('2L Screening Matrix'!$C$2:$C$46=$A36))</f>
        <v>0</v>
      </c>
      <c r="M36" s="11">
        <f>SUMPRODUCT(ISNUMBER(SEARCH(",Microtubule,",","&amp;SUBSTITUTE('1L Screening Matrix'!$I$2:$I$77,", ",",")&amp;","))*('1L Screening Matrix'!$C$2:$C$77=$A36))+SUMPRODUCT(ISNUMBER(SEARCH(",Microtubule,",","&amp;SUBSTITUTE('2L Screening Matrix'!$I$2:$I$46,", ",",")&amp;","))*('2L Screening Matrix'!$C$2:$C$46=$A36))</f>
        <v>0</v>
      </c>
      <c r="N36" s="11">
        <f>SUMPRODUCT(ISNUMBER(SEARCH(",KRAS G12C,",","&amp;SUBSTITUTE('1L Screening Matrix'!$I$2:$I$77,", ",",")&amp;","))*('1L Screening Matrix'!$C$2:$C$77=$A36))+SUMPRODUCT(ISNUMBER(SEARCH(",KRAS G12C,",","&amp;SUBSTITUTE('2L Screening Matrix'!$I$2:$I$46,", ",",")&amp;","))*('2L Screening Matrix'!$C$2:$C$46=$A36))</f>
        <v>2</v>
      </c>
      <c r="O36" s="11">
        <f>SUMPRODUCT(ISNUMBER(SEARCH(",EGFR T790M,",","&amp;SUBSTITUTE('1L Screening Matrix'!$I$2:$I$77,", ",",")&amp;","))*('1L Screening Matrix'!$C$2:$C$77=$A36))+SUMPRODUCT(ISNUMBER(SEARCH(",EGFR T790M,",","&amp;SUBSTITUTE('2L Screening Matrix'!$I$2:$I$46,", ",",")&amp;","))*('2L Screening Matrix'!$C$2:$C$46=$A36))</f>
        <v>0</v>
      </c>
      <c r="P36" s="11">
        <f>SUMPRODUCT(ISNUMBER(SEARCH(",ALK,",","&amp;SUBSTITUTE('1L Screening Matrix'!$I$2:$I$77,", ",",")&amp;","))*('1L Screening Matrix'!$C$2:$C$77=$A36))+SUMPRODUCT(ISNUMBER(SEARCH(",ALK,",","&amp;SUBSTITUTE('2L Screening Matrix'!$I$2:$I$46,", ",",")&amp;","))*('2L Screening Matrix'!$C$2:$C$46=$A36))</f>
        <v>0</v>
      </c>
      <c r="Q36" s="11">
        <f>SUMPRODUCT(ISNUMBER(SEARCH(",TROP2,",","&amp;SUBSTITUTE('1L Screening Matrix'!$I$2:$I$77,", ",",")&amp;","))*('1L Screening Matrix'!$C$2:$C$77=$A36))+SUMPRODUCT(ISNUMBER(SEARCH(",TROP2,",","&amp;SUBSTITUTE('2L Screening Matrix'!$I$2:$I$46,", ",",")&amp;","))*('2L Screening Matrix'!$C$2:$C$46=$A36))</f>
        <v>4</v>
      </c>
      <c r="R36" s="11">
        <f>SUMPRODUCT(ISNUMBER(SEARCH(",c-MET/MET,",","&amp;SUBSTITUTE('1L Screening Matrix'!$I$2:$I$77,", ",",")&amp;","))*('1L Screening Matrix'!$C$2:$C$77=$A36))+SUMPRODUCT(ISNUMBER(SEARCH(",c-MET/MET,",","&amp;SUBSTITUTE('2L Screening Matrix'!$I$2:$I$46,", ",",")&amp;","))*('2L Screening Matrix'!$C$2:$C$46=$A36))</f>
        <v>0</v>
      </c>
      <c r="S36" s="11">
        <f>SUMPRODUCT(ISNUMBER(SEARCH(",HER2,",","&amp;SUBSTITUTE('1L Screening Matrix'!$I$2:$I$77,", ",",")&amp;","))*('1L Screening Matrix'!$C$2:$C$77=$A36))+SUMPRODUCT(ISNUMBER(SEARCH(",HER2,",","&amp;SUBSTITUTE('2L Screening Matrix'!$I$2:$I$46,", ",",")&amp;","))*('2L Screening Matrix'!$C$2:$C$46=$A36))</f>
        <v>0</v>
      </c>
      <c r="T36" s="11">
        <f>SUMPRODUCT(ISNUMBER(SEARCH(",ROS1,",","&amp;SUBSTITUTE('1L Screening Matrix'!$I$2:$I$77,", ",",")&amp;","))*('1L Screening Matrix'!$C$2:$C$77=$A36))+SUMPRODUCT(ISNUMBER(SEARCH(",ROS1,",","&amp;SUBSTITUTE('2L Screening Matrix'!$I$2:$I$46,", ",",")&amp;","))*('2L Screening Matrix'!$C$2:$C$46=$A36))</f>
        <v>0</v>
      </c>
      <c r="U36" s="11">
        <f>SUMPRODUCT(ISNUMBER(SEARCH(",TIGIT,",","&amp;SUBSTITUTE('1L Screening Matrix'!$I$2:$I$77,", ",",")&amp;","))*('1L Screening Matrix'!$C$2:$C$77=$A36))+SUMPRODUCT(ISNUMBER(SEARCH(",TIGIT,",","&amp;SUBSTITUTE('2L Screening Matrix'!$I$2:$I$46,", ",",")&amp;","))*('2L Screening Matrix'!$C$2:$C$46=$A36))</f>
        <v>0</v>
      </c>
      <c r="V36" s="11">
        <f>SUMPRODUCT(ISNUMBER(SEARCH(",EGFR L858R,",","&amp;SUBSTITUTE('1L Screening Matrix'!$I$2:$I$77,", ",",")&amp;","))*('1L Screening Matrix'!$C$2:$C$77=$A36))+SUMPRODUCT(ISNUMBER(SEARCH(",EGFR L858R,",","&amp;SUBSTITUTE('2L Screening Matrix'!$I$2:$I$46,", ",",")&amp;","))*('2L Screening Matrix'!$C$2:$C$46=$A36))</f>
        <v>0</v>
      </c>
      <c r="W36" s="11">
        <f>SUMPRODUCT(ISNUMBER(SEARCH(",ROS,",","&amp;SUBSTITUTE('1L Screening Matrix'!$I$2:$I$77,", ",",")&amp;","))*('1L Screening Matrix'!$C$2:$C$77=$A36))+SUMPRODUCT(ISNUMBER(SEARCH(",ROS,",","&amp;SUBSTITUTE('2L Screening Matrix'!$I$2:$I$46,", ",",")&amp;","))*('2L Screening Matrix'!$C$2:$C$46=$A36))</f>
        <v>0</v>
      </c>
      <c r="X36" s="11">
        <f>SUMPRODUCT(ISNUMBER(SEARCH(",IL-2,",","&amp;SUBSTITUTE('1L Screening Matrix'!$I$2:$I$77,", ",",")&amp;","))*('1L Screening Matrix'!$C$2:$C$77=$A36))+SUMPRODUCT(ISNUMBER(SEARCH(",IL-2,",","&amp;SUBSTITUTE('2L Screening Matrix'!$I$2:$I$46,", ",",")&amp;","))*('2L Screening Matrix'!$C$2:$C$46=$A36))</f>
        <v>0</v>
      </c>
      <c r="Y36" s="11">
        <f>SUMPRODUCT(ISNUMBER(SEARCH(",TCGF,",","&amp;SUBSTITUTE('1L Screening Matrix'!$I$2:$I$77,", ",",")&amp;","))*('1L Screening Matrix'!$C$2:$C$77=$A36))+SUMPRODUCT(ISNUMBER(SEARCH(",TCGF,",","&amp;SUBSTITUTE('2L Screening Matrix'!$I$2:$I$46,", ",",")&amp;","))*('2L Screening Matrix'!$C$2:$C$46=$A36))</f>
        <v>0</v>
      </c>
      <c r="Z36" s="11">
        <f>SUMPRODUCT(ISNUMBER(SEARCH(",CTLA-4,",","&amp;SUBSTITUTE('1L Screening Matrix'!$I$2:$I$77,", ",",")&amp;","))*('1L Screening Matrix'!$C$2:$C$77=$A36))+SUMPRODUCT(ISNUMBER(SEARCH(",CTLA-4,",","&amp;SUBSTITUTE('2L Screening Matrix'!$I$2:$I$46,", ",",")&amp;","))*('2L Screening Matrix'!$C$2:$C$46=$A36))</f>
        <v>0</v>
      </c>
      <c r="AA36" s="11">
        <f>SUMPRODUCT(ISNUMBER(SEARCH(",EGFR Exon 20,",","&amp;SUBSTITUTE('1L Screening Matrix'!$I$2:$I$77,", ",",")&amp;","))*('1L Screening Matrix'!$C$2:$C$77=$A36))+SUMPRODUCT(ISNUMBER(SEARCH(",EGFR Exon 20,",","&amp;SUBSTITUTE('2L Screening Matrix'!$I$2:$I$46,", ",",")&amp;","))*('2L Screening Matrix'!$C$2:$C$46=$A36))</f>
        <v>0</v>
      </c>
      <c r="AB36" s="11">
        <f>SUMPRODUCT(ISNUMBER(SEARCH(",HER2 Exon 20,",","&amp;SUBSTITUTE('1L Screening Matrix'!$I$2:$I$77,", ",",")&amp;","))*('1L Screening Matrix'!$C$2:$C$77=$A36))+SUMPRODUCT(ISNUMBER(SEARCH(",HER2 Exon 20,",","&amp;SUBSTITUTE('2L Screening Matrix'!$I$2:$I$46,", ",",")&amp;","))*('2L Screening Matrix'!$C$2:$C$46=$A36))</f>
        <v>0</v>
      </c>
      <c r="AC36" s="11">
        <f>SUMPRODUCT(ISNUMBER(SEARCH(",IL-15,",","&amp;SUBSTITUTE('1L Screening Matrix'!$I$2:$I$77,", ",",")&amp;","))*('1L Screening Matrix'!$C$2:$C$77=$A36))+SUMPRODUCT(ISNUMBER(SEARCH(",IL-15,",","&amp;SUBSTITUTE('2L Screening Matrix'!$I$2:$I$46,", ",",")&amp;","))*('2L Screening Matrix'!$C$2:$C$46=$A36))</f>
        <v>0</v>
      </c>
      <c r="AD36" s="11">
        <f>SUMPRODUCT(ISNUMBER(SEARCH(",IL-15R,",","&amp;SUBSTITUTE('1L Screening Matrix'!$I$2:$I$77,", ",",")&amp;","))*('1L Screening Matrix'!$C$2:$C$77=$A36))+SUMPRODUCT(ISNUMBER(SEARCH(",IL-15R,",","&amp;SUBSTITUTE('2L Screening Matrix'!$I$2:$I$46,", ",",")&amp;","))*('2L Screening Matrix'!$C$2:$C$46=$A36))</f>
        <v>0</v>
      </c>
      <c r="AE36" s="11">
        <f>SUMPRODUCT(ISNUMBER(SEARCH(",KRAS G12D,",","&amp;SUBSTITUTE('1L Screening Matrix'!$I$2:$I$77,", ",",")&amp;","))*('1L Screening Matrix'!$C$2:$C$77=$A36))+SUMPRODUCT(ISNUMBER(SEARCH(",KRAS G12D,",","&amp;SUBSTITUTE('2L Screening Matrix'!$I$2:$I$46,", ",",")&amp;","))*('2L Screening Matrix'!$C$2:$C$46=$A36))</f>
        <v>0</v>
      </c>
      <c r="AF36" s="11">
        <f>SUMPRODUCT(ISNUMBER(SEARCH(",HER4,",","&amp;SUBSTITUTE('1L Screening Matrix'!$I$2:$I$77,", ",",")&amp;","))*('1L Screening Matrix'!$C$2:$C$77=$A36))+SUMPRODUCT(ISNUMBER(SEARCH(",HER4,",","&amp;SUBSTITUTE('2L Screening Matrix'!$I$2:$I$46,", ",",")&amp;","))*('2L Screening Matrix'!$C$2:$C$46=$A36))</f>
        <v>0</v>
      </c>
      <c r="AG36" s="11">
        <f>SUMPRODUCT(ISNUMBER(SEARCH(",ALK L1196M,",","&amp;SUBSTITUTE('1L Screening Matrix'!$I$2:$I$77,", ",",")&amp;","))*('1L Screening Matrix'!$C$2:$C$77=$A36))+SUMPRODUCT(ISNUMBER(SEARCH(",ALK L1196M,",","&amp;SUBSTITUTE('2L Screening Matrix'!$I$2:$I$46,", ",",")&amp;","))*('2L Screening Matrix'!$C$2:$C$46=$A36))</f>
        <v>0</v>
      </c>
      <c r="AH36" s="11">
        <f>SUMPRODUCT(ISNUMBER(SEARCH(",CD152,",","&amp;SUBSTITUTE('1L Screening Matrix'!$I$2:$I$77,", ",",")&amp;","))*('1L Screening Matrix'!$C$2:$C$77=$A36))+SUMPRODUCT(ISNUMBER(SEARCH(",CD152,",","&amp;SUBSTITUTE('2L Screening Matrix'!$I$2:$I$46,", ",",")&amp;","))*('2L Screening Matrix'!$C$2:$C$46=$A36))</f>
        <v>0</v>
      </c>
      <c r="AI36" s="11">
        <f>SUMPRODUCT(ISNUMBER(SEARCH(",MLN19,",","&amp;SUBSTITUTE('1L Screening Matrix'!$I$2:$I$77,", ",",")&amp;","))*('1L Screening Matrix'!$C$2:$C$77=$A36))+SUMPRODUCT(ISNUMBER(SEARCH(",MLN19,",","&amp;SUBSTITUTE('2L Screening Matrix'!$I$2:$I$46,", ",",")&amp;","))*('2L Screening Matrix'!$C$2:$C$46=$A36))</f>
        <v>0</v>
      </c>
      <c r="AJ36" s="11">
        <f>SUMPRODUCT(ISNUMBER(SEARCH(",NTRK,",","&amp;SUBSTITUTE('1L Screening Matrix'!$I$2:$I$77,", ",",")&amp;","))*('1L Screening Matrix'!$C$2:$C$77=$A36))+SUMPRODUCT(ISNUMBER(SEARCH(",NTRK,",","&amp;SUBSTITUTE('2L Screening Matrix'!$I$2:$I$46,", ",",")&amp;","))*('2L Screening Matrix'!$C$2:$C$46=$A36))</f>
        <v>0</v>
      </c>
      <c r="AK36" s="11">
        <f>SUMPRODUCT(ISNUMBER(SEARCH(",Integrin β6,",","&amp;SUBSTITUTE('1L Screening Matrix'!$I$2:$I$77,", ",",")&amp;","))*('1L Screening Matrix'!$C$2:$C$77=$A36))+SUMPRODUCT(ISNUMBER(SEARCH(",Integrin β6,",","&amp;SUBSTITUTE('2L Screening Matrix'!$I$2:$I$46,", ",",")&amp;","))*('2L Screening Matrix'!$C$2:$C$46=$A36))</f>
        <v>0</v>
      </c>
      <c r="AL36" s="11">
        <f>SUMPRODUCT(ISNUMBER(SEARCH(",LAG-3,",","&amp;SUBSTITUTE('1L Screening Matrix'!$I$2:$I$77,", ",",")&amp;","))*('1L Screening Matrix'!$C$2:$C$77=$A36))+SUMPRODUCT(ISNUMBER(SEARCH(",LAG-3,",","&amp;SUBSTITUTE('2L Screening Matrix'!$I$2:$I$46,", ",",")&amp;","))*('2L Screening Matrix'!$C$2:$C$46=$A36))</f>
        <v>0</v>
      </c>
      <c r="AM36" s="14">
        <f t="shared" si="1"/>
        <v>16</v>
      </c>
    </row>
    <row r="37" spans="1:39" ht="15" customHeight="1" x14ac:dyDescent="0.2">
      <c r="A37" s="15" t="s">
        <v>304</v>
      </c>
      <c r="B37" s="11">
        <f>SUMPRODUCT(ISNUMBER(SEARCH(",PD-1,",","&amp;SUBSTITUTE('1L Screening Matrix'!$I$2:$I$77,", ",",")&amp;","))*('1L Screening Matrix'!$C$2:$C$77=$A37))+SUMPRODUCT(ISNUMBER(SEARCH(",PD-1,",","&amp;SUBSTITUTE('2L Screening Matrix'!$I$2:$I$46,", ",",")&amp;","))*('2L Screening Matrix'!$C$2:$C$46=$A37))</f>
        <v>0</v>
      </c>
      <c r="C37" s="11">
        <f>SUMPRODUCT(ISNUMBER(SEARCH(",CD279,",","&amp;SUBSTITUTE('1L Screening Matrix'!$I$2:$I$77,", ",",")&amp;","))*('1L Screening Matrix'!$C$2:$C$77=$A37))+SUMPRODUCT(ISNUMBER(SEARCH(",CD279,",","&amp;SUBSTITUTE('2L Screening Matrix'!$I$2:$I$46,", ",",")&amp;","))*('2L Screening Matrix'!$C$2:$C$46=$A37))</f>
        <v>0</v>
      </c>
      <c r="D37" s="11">
        <f>SUMPRODUCT(ISNUMBER(SEARCH(",TS,",","&amp;SUBSTITUTE('1L Screening Matrix'!$I$2:$I$77,", ",",")&amp;","))*('1L Screening Matrix'!$C$2:$C$77=$A37))+SUMPRODUCT(ISNUMBER(SEARCH(",TS,",","&amp;SUBSTITUTE('2L Screening Matrix'!$I$2:$I$46,", ",",")&amp;","))*('2L Screening Matrix'!$C$2:$C$46=$A37))</f>
        <v>0</v>
      </c>
      <c r="E37" s="11">
        <f>SUMPRODUCT(ISNUMBER(SEARCH(",TYMS,",","&amp;SUBSTITUTE('1L Screening Matrix'!$I$2:$I$77,", ",",")&amp;","))*('1L Screening Matrix'!$C$2:$C$77=$A37))+SUMPRODUCT(ISNUMBER(SEARCH(",TYMS,",","&amp;SUBSTITUTE('2L Screening Matrix'!$I$2:$I$46,", ",",")&amp;","))*('2L Screening Matrix'!$C$2:$C$46=$A37))</f>
        <v>0</v>
      </c>
      <c r="F37" s="11">
        <f>SUMPRODUCT(ISNUMBER(SEARCH(",PD-L1,",","&amp;SUBSTITUTE('1L Screening Matrix'!$I$2:$I$77,", ",",")&amp;","))*('1L Screening Matrix'!$C$2:$C$77=$A37))+SUMPRODUCT(ISNUMBER(SEARCH(",PD-L1,",","&amp;SUBSTITUTE('2L Screening Matrix'!$I$2:$I$46,", ",",")&amp;","))*('2L Screening Matrix'!$C$2:$C$46=$A37))</f>
        <v>0</v>
      </c>
      <c r="G37" s="11">
        <f>SUMPRODUCT(ISNUMBER(SEARCH(",B7-H1,",","&amp;SUBSTITUTE('1L Screening Matrix'!$I$2:$I$77,", ",",")&amp;","))*('1L Screening Matrix'!$C$2:$C$77=$A37))+SUMPRODUCT(ISNUMBER(SEARCH(",B7-H1,",","&amp;SUBSTITUTE('2L Screening Matrix'!$I$2:$I$46,", ",",")&amp;","))*('2L Screening Matrix'!$C$2:$C$46=$A37))</f>
        <v>0</v>
      </c>
      <c r="H37" s="11">
        <f>SUMPRODUCT(ISNUMBER(SEARCH(",CD274,",","&amp;SUBSTITUTE('1L Screening Matrix'!$I$2:$I$77,", ",",")&amp;","))*('1L Screening Matrix'!$C$2:$C$77=$A37))+SUMPRODUCT(ISNUMBER(SEARCH(",CD274,",","&amp;SUBSTITUTE('2L Screening Matrix'!$I$2:$I$46,", ",",")&amp;","))*('2L Screening Matrix'!$C$2:$C$46=$A37))</f>
        <v>0</v>
      </c>
      <c r="I37" s="11">
        <f>SUMPRODUCT(ISNUMBER(SEARCH(",EGFR,",","&amp;SUBSTITUTE('1L Screening Matrix'!$I$2:$I$77,", ",",")&amp;","))*('1L Screening Matrix'!$C$2:$C$77=$A37))+SUMPRODUCT(ISNUMBER(SEARCH(",EGFR,",","&amp;SUBSTITUTE('2L Screening Matrix'!$I$2:$I$46,", ",",")&amp;","))*('2L Screening Matrix'!$C$2:$C$46=$A37))</f>
        <v>0</v>
      </c>
      <c r="J37" s="11">
        <f>SUMPRODUCT(ISNUMBER(SEARCH(",VEGF,",","&amp;SUBSTITUTE('1L Screening Matrix'!$I$2:$I$77,", ",",")&amp;","))*('1L Screening Matrix'!$C$2:$C$77=$A37))+SUMPRODUCT(ISNUMBER(SEARCH(",VEGF,",","&amp;SUBSTITUTE('2L Screening Matrix'!$I$2:$I$46,", ",",")&amp;","))*('2L Screening Matrix'!$C$2:$C$46=$A37))</f>
        <v>0</v>
      </c>
      <c r="K37" s="11">
        <f>SUMPRODUCT(ISNUMBER(SEARCH(",ERBB,",","&amp;SUBSTITUTE('1L Screening Matrix'!$I$2:$I$77,", ",",")&amp;","))*('1L Screening Matrix'!$C$2:$C$77=$A37))+SUMPRODUCT(ISNUMBER(SEARCH(",ERBB,",","&amp;SUBSTITUTE('2L Screening Matrix'!$I$2:$I$46,", ",",")&amp;","))*('2L Screening Matrix'!$C$2:$C$46=$A37))</f>
        <v>0</v>
      </c>
      <c r="L37" s="11">
        <f>SUMPRODUCT(ISNUMBER(SEARCH(",HER1,",","&amp;SUBSTITUTE('1L Screening Matrix'!$I$2:$I$77,", ",",")&amp;","))*('1L Screening Matrix'!$C$2:$C$77=$A37))+SUMPRODUCT(ISNUMBER(SEARCH(",HER1,",","&amp;SUBSTITUTE('2L Screening Matrix'!$I$2:$I$46,", ",",")&amp;","))*('2L Screening Matrix'!$C$2:$C$46=$A37))</f>
        <v>0</v>
      </c>
      <c r="M37" s="11">
        <f>SUMPRODUCT(ISNUMBER(SEARCH(",Microtubule,",","&amp;SUBSTITUTE('1L Screening Matrix'!$I$2:$I$77,", ",",")&amp;","))*('1L Screening Matrix'!$C$2:$C$77=$A37))+SUMPRODUCT(ISNUMBER(SEARCH(",Microtubule,",","&amp;SUBSTITUTE('2L Screening Matrix'!$I$2:$I$46,", ",",")&amp;","))*('2L Screening Matrix'!$C$2:$C$46=$A37))</f>
        <v>0</v>
      </c>
      <c r="N37" s="11">
        <f>SUMPRODUCT(ISNUMBER(SEARCH(",KRAS G12C,",","&amp;SUBSTITUTE('1L Screening Matrix'!$I$2:$I$77,", ",",")&amp;","))*('1L Screening Matrix'!$C$2:$C$77=$A37))+SUMPRODUCT(ISNUMBER(SEARCH(",KRAS G12C,",","&amp;SUBSTITUTE('2L Screening Matrix'!$I$2:$I$46,", ",",")&amp;","))*('2L Screening Matrix'!$C$2:$C$46=$A37))</f>
        <v>0</v>
      </c>
      <c r="O37" s="11">
        <f>SUMPRODUCT(ISNUMBER(SEARCH(",EGFR T790M,",","&amp;SUBSTITUTE('1L Screening Matrix'!$I$2:$I$77,", ",",")&amp;","))*('1L Screening Matrix'!$C$2:$C$77=$A37))+SUMPRODUCT(ISNUMBER(SEARCH(",EGFR T790M,",","&amp;SUBSTITUTE('2L Screening Matrix'!$I$2:$I$46,", ",",")&amp;","))*('2L Screening Matrix'!$C$2:$C$46=$A37))</f>
        <v>0</v>
      </c>
      <c r="P37" s="11">
        <f>SUMPRODUCT(ISNUMBER(SEARCH(",ALK,",","&amp;SUBSTITUTE('1L Screening Matrix'!$I$2:$I$77,", ",",")&amp;","))*('1L Screening Matrix'!$C$2:$C$77=$A37))+SUMPRODUCT(ISNUMBER(SEARCH(",ALK,",","&amp;SUBSTITUTE('2L Screening Matrix'!$I$2:$I$46,", ",",")&amp;","))*('2L Screening Matrix'!$C$2:$C$46=$A37))</f>
        <v>0</v>
      </c>
      <c r="Q37" s="11">
        <f>SUMPRODUCT(ISNUMBER(SEARCH(",TROP2,",","&amp;SUBSTITUTE('1L Screening Matrix'!$I$2:$I$77,", ",",")&amp;","))*('1L Screening Matrix'!$C$2:$C$77=$A37))+SUMPRODUCT(ISNUMBER(SEARCH(",TROP2,",","&amp;SUBSTITUTE('2L Screening Matrix'!$I$2:$I$46,", ",",")&amp;","))*('2L Screening Matrix'!$C$2:$C$46=$A37))</f>
        <v>0</v>
      </c>
      <c r="R37" s="11">
        <f>SUMPRODUCT(ISNUMBER(SEARCH(",c-MET/MET,",","&amp;SUBSTITUTE('1L Screening Matrix'!$I$2:$I$77,", ",",")&amp;","))*('1L Screening Matrix'!$C$2:$C$77=$A37))+SUMPRODUCT(ISNUMBER(SEARCH(",c-MET/MET,",","&amp;SUBSTITUTE('2L Screening Matrix'!$I$2:$I$46,", ",",")&amp;","))*('2L Screening Matrix'!$C$2:$C$46=$A37))</f>
        <v>0</v>
      </c>
      <c r="S37" s="11">
        <f>SUMPRODUCT(ISNUMBER(SEARCH(",HER2,",","&amp;SUBSTITUTE('1L Screening Matrix'!$I$2:$I$77,", ",",")&amp;","))*('1L Screening Matrix'!$C$2:$C$77=$A37))+SUMPRODUCT(ISNUMBER(SEARCH(",HER2,",","&amp;SUBSTITUTE('2L Screening Matrix'!$I$2:$I$46,", ",",")&amp;","))*('2L Screening Matrix'!$C$2:$C$46=$A37))</f>
        <v>0</v>
      </c>
      <c r="T37" s="11">
        <f>SUMPRODUCT(ISNUMBER(SEARCH(",ROS1,",","&amp;SUBSTITUTE('1L Screening Matrix'!$I$2:$I$77,", ",",")&amp;","))*('1L Screening Matrix'!$C$2:$C$77=$A37))+SUMPRODUCT(ISNUMBER(SEARCH(",ROS1,",","&amp;SUBSTITUTE('2L Screening Matrix'!$I$2:$I$46,", ",",")&amp;","))*('2L Screening Matrix'!$C$2:$C$46=$A37))</f>
        <v>0</v>
      </c>
      <c r="U37" s="11">
        <f>SUMPRODUCT(ISNUMBER(SEARCH(",TIGIT,",","&amp;SUBSTITUTE('1L Screening Matrix'!$I$2:$I$77,", ",",")&amp;","))*('1L Screening Matrix'!$C$2:$C$77=$A37))+SUMPRODUCT(ISNUMBER(SEARCH(",TIGIT,",","&amp;SUBSTITUTE('2L Screening Matrix'!$I$2:$I$46,", ",",")&amp;","))*('2L Screening Matrix'!$C$2:$C$46=$A37))</f>
        <v>0</v>
      </c>
      <c r="V37" s="11">
        <f>SUMPRODUCT(ISNUMBER(SEARCH(",EGFR L858R,",","&amp;SUBSTITUTE('1L Screening Matrix'!$I$2:$I$77,", ",",")&amp;","))*('1L Screening Matrix'!$C$2:$C$77=$A37))+SUMPRODUCT(ISNUMBER(SEARCH(",EGFR L858R,",","&amp;SUBSTITUTE('2L Screening Matrix'!$I$2:$I$46,", ",",")&amp;","))*('2L Screening Matrix'!$C$2:$C$46=$A37))</f>
        <v>0</v>
      </c>
      <c r="W37" s="11">
        <f>SUMPRODUCT(ISNUMBER(SEARCH(",ROS,",","&amp;SUBSTITUTE('1L Screening Matrix'!$I$2:$I$77,", ",",")&amp;","))*('1L Screening Matrix'!$C$2:$C$77=$A37))+SUMPRODUCT(ISNUMBER(SEARCH(",ROS,",","&amp;SUBSTITUTE('2L Screening Matrix'!$I$2:$I$46,", ",",")&amp;","))*('2L Screening Matrix'!$C$2:$C$46=$A37))</f>
        <v>0</v>
      </c>
      <c r="X37" s="11">
        <f>SUMPRODUCT(ISNUMBER(SEARCH(",IL-2,",","&amp;SUBSTITUTE('1L Screening Matrix'!$I$2:$I$77,", ",",")&amp;","))*('1L Screening Matrix'!$C$2:$C$77=$A37))+SUMPRODUCT(ISNUMBER(SEARCH(",IL-2,",","&amp;SUBSTITUTE('2L Screening Matrix'!$I$2:$I$46,", ",",")&amp;","))*('2L Screening Matrix'!$C$2:$C$46=$A37))</f>
        <v>0</v>
      </c>
      <c r="Y37" s="11">
        <f>SUMPRODUCT(ISNUMBER(SEARCH(",TCGF,",","&amp;SUBSTITUTE('1L Screening Matrix'!$I$2:$I$77,", ",",")&amp;","))*('1L Screening Matrix'!$C$2:$C$77=$A37))+SUMPRODUCT(ISNUMBER(SEARCH(",TCGF,",","&amp;SUBSTITUTE('2L Screening Matrix'!$I$2:$I$46,", ",",")&amp;","))*('2L Screening Matrix'!$C$2:$C$46=$A37))</f>
        <v>0</v>
      </c>
      <c r="Z37" s="11">
        <f>SUMPRODUCT(ISNUMBER(SEARCH(",CTLA-4,",","&amp;SUBSTITUTE('1L Screening Matrix'!$I$2:$I$77,", ",",")&amp;","))*('1L Screening Matrix'!$C$2:$C$77=$A37))+SUMPRODUCT(ISNUMBER(SEARCH(",CTLA-4,",","&amp;SUBSTITUTE('2L Screening Matrix'!$I$2:$I$46,", ",",")&amp;","))*('2L Screening Matrix'!$C$2:$C$46=$A37))</f>
        <v>0</v>
      </c>
      <c r="AA37" s="11">
        <f>SUMPRODUCT(ISNUMBER(SEARCH(",EGFR Exon 20,",","&amp;SUBSTITUTE('1L Screening Matrix'!$I$2:$I$77,", ",",")&amp;","))*('1L Screening Matrix'!$C$2:$C$77=$A37))+SUMPRODUCT(ISNUMBER(SEARCH(",EGFR Exon 20,",","&amp;SUBSTITUTE('2L Screening Matrix'!$I$2:$I$46,", ",",")&amp;","))*('2L Screening Matrix'!$C$2:$C$46=$A37))</f>
        <v>0</v>
      </c>
      <c r="AB37" s="11">
        <f>SUMPRODUCT(ISNUMBER(SEARCH(",HER2 Exon 20,",","&amp;SUBSTITUTE('1L Screening Matrix'!$I$2:$I$77,", ",",")&amp;","))*('1L Screening Matrix'!$C$2:$C$77=$A37))+SUMPRODUCT(ISNUMBER(SEARCH(",HER2 Exon 20,",","&amp;SUBSTITUTE('2L Screening Matrix'!$I$2:$I$46,", ",",")&amp;","))*('2L Screening Matrix'!$C$2:$C$46=$A37))</f>
        <v>0</v>
      </c>
      <c r="AC37" s="11">
        <f>SUMPRODUCT(ISNUMBER(SEARCH(",IL-15,",","&amp;SUBSTITUTE('1L Screening Matrix'!$I$2:$I$77,", ",",")&amp;","))*('1L Screening Matrix'!$C$2:$C$77=$A37))+SUMPRODUCT(ISNUMBER(SEARCH(",IL-15,",","&amp;SUBSTITUTE('2L Screening Matrix'!$I$2:$I$46,", ",",")&amp;","))*('2L Screening Matrix'!$C$2:$C$46=$A37))</f>
        <v>0</v>
      </c>
      <c r="AD37" s="11">
        <f>SUMPRODUCT(ISNUMBER(SEARCH(",IL-15R,",","&amp;SUBSTITUTE('1L Screening Matrix'!$I$2:$I$77,", ",",")&amp;","))*('1L Screening Matrix'!$C$2:$C$77=$A37))+SUMPRODUCT(ISNUMBER(SEARCH(",IL-15R,",","&amp;SUBSTITUTE('2L Screening Matrix'!$I$2:$I$46,", ",",")&amp;","))*('2L Screening Matrix'!$C$2:$C$46=$A37))</f>
        <v>0</v>
      </c>
      <c r="AE37" s="11">
        <f>SUMPRODUCT(ISNUMBER(SEARCH(",KRAS G12D,",","&amp;SUBSTITUTE('1L Screening Matrix'!$I$2:$I$77,", ",",")&amp;","))*('1L Screening Matrix'!$C$2:$C$77=$A37))+SUMPRODUCT(ISNUMBER(SEARCH(",KRAS G12D,",","&amp;SUBSTITUTE('2L Screening Matrix'!$I$2:$I$46,", ",",")&amp;","))*('2L Screening Matrix'!$C$2:$C$46=$A37))</f>
        <v>0</v>
      </c>
      <c r="AF37" s="11">
        <f>SUMPRODUCT(ISNUMBER(SEARCH(",HER4,",","&amp;SUBSTITUTE('1L Screening Matrix'!$I$2:$I$77,", ",",")&amp;","))*('1L Screening Matrix'!$C$2:$C$77=$A37))+SUMPRODUCT(ISNUMBER(SEARCH(",HER4,",","&amp;SUBSTITUTE('2L Screening Matrix'!$I$2:$I$46,", ",",")&amp;","))*('2L Screening Matrix'!$C$2:$C$46=$A37))</f>
        <v>0</v>
      </c>
      <c r="AG37" s="11">
        <f>SUMPRODUCT(ISNUMBER(SEARCH(",ALK L1196M,",","&amp;SUBSTITUTE('1L Screening Matrix'!$I$2:$I$77,", ",",")&amp;","))*('1L Screening Matrix'!$C$2:$C$77=$A37))+SUMPRODUCT(ISNUMBER(SEARCH(",ALK L1196M,",","&amp;SUBSTITUTE('2L Screening Matrix'!$I$2:$I$46,", ",",")&amp;","))*('2L Screening Matrix'!$C$2:$C$46=$A37))</f>
        <v>0</v>
      </c>
      <c r="AH37" s="11">
        <f>SUMPRODUCT(ISNUMBER(SEARCH(",CD152,",","&amp;SUBSTITUTE('1L Screening Matrix'!$I$2:$I$77,", ",",")&amp;","))*('1L Screening Matrix'!$C$2:$C$77=$A37))+SUMPRODUCT(ISNUMBER(SEARCH(",CD152,",","&amp;SUBSTITUTE('2L Screening Matrix'!$I$2:$I$46,", ",",")&amp;","))*('2L Screening Matrix'!$C$2:$C$46=$A37))</f>
        <v>0</v>
      </c>
      <c r="AI37" s="11">
        <f>SUMPRODUCT(ISNUMBER(SEARCH(",MLN19,",","&amp;SUBSTITUTE('1L Screening Matrix'!$I$2:$I$77,", ",",")&amp;","))*('1L Screening Matrix'!$C$2:$C$77=$A37))+SUMPRODUCT(ISNUMBER(SEARCH(",MLN19,",","&amp;SUBSTITUTE('2L Screening Matrix'!$I$2:$I$46,", ",",")&amp;","))*('2L Screening Matrix'!$C$2:$C$46=$A37))</f>
        <v>0</v>
      </c>
      <c r="AJ37" s="11">
        <f>SUMPRODUCT(ISNUMBER(SEARCH(",NTRK,",","&amp;SUBSTITUTE('1L Screening Matrix'!$I$2:$I$77,", ",",")&amp;","))*('1L Screening Matrix'!$C$2:$C$77=$A37))+SUMPRODUCT(ISNUMBER(SEARCH(",NTRK,",","&amp;SUBSTITUTE('2L Screening Matrix'!$I$2:$I$46,", ",",")&amp;","))*('2L Screening Matrix'!$C$2:$C$46=$A37))</f>
        <v>0</v>
      </c>
      <c r="AK37" s="11">
        <f>SUMPRODUCT(ISNUMBER(SEARCH(",Integrin β6,",","&amp;SUBSTITUTE('1L Screening Matrix'!$I$2:$I$77,", ",",")&amp;","))*('1L Screening Matrix'!$C$2:$C$77=$A37))+SUMPRODUCT(ISNUMBER(SEARCH(",Integrin β6,",","&amp;SUBSTITUTE('2L Screening Matrix'!$I$2:$I$46,", ",",")&amp;","))*('2L Screening Matrix'!$C$2:$C$46=$A37))</f>
        <v>0</v>
      </c>
      <c r="AL37" s="11">
        <f>SUMPRODUCT(ISNUMBER(SEARCH(",LAG-3,",","&amp;SUBSTITUTE('1L Screening Matrix'!$I$2:$I$77,", ",",")&amp;","))*('1L Screening Matrix'!$C$2:$C$77=$A37))+SUMPRODUCT(ISNUMBER(SEARCH(",LAG-3,",","&amp;SUBSTITUTE('2L Screening Matrix'!$I$2:$I$46,", ",",")&amp;","))*('2L Screening Matrix'!$C$2:$C$46=$A37))</f>
        <v>0</v>
      </c>
      <c r="AM37" s="14">
        <f t="shared" si="1"/>
        <v>0</v>
      </c>
    </row>
    <row r="38" spans="1:39" ht="15" customHeight="1" x14ac:dyDescent="0.2">
      <c r="A38" s="12" t="s">
        <v>1216</v>
      </c>
      <c r="B38" s="11">
        <f>SUMPRODUCT(ISNUMBER(SEARCH(",PD-1,",","&amp;SUBSTITUTE('1L Screening Matrix'!$I$2:$I$77,", ",",")&amp;","))*('1L Screening Matrix'!$C$2:$C$77=$A38))+SUMPRODUCT(ISNUMBER(SEARCH(",PD-1,",","&amp;SUBSTITUTE('2L Screening Matrix'!$I$2:$I$46,", ",",")&amp;","))*('2L Screening Matrix'!$C$2:$C$46=$A38))</f>
        <v>2</v>
      </c>
      <c r="C38" s="11">
        <f>SUMPRODUCT(ISNUMBER(SEARCH(",CD279,",","&amp;SUBSTITUTE('1L Screening Matrix'!$I$2:$I$77,", ",",")&amp;","))*('1L Screening Matrix'!$C$2:$C$77=$A38))+SUMPRODUCT(ISNUMBER(SEARCH(",CD279,",","&amp;SUBSTITUTE('2L Screening Matrix'!$I$2:$I$46,", ",",")&amp;","))*('2L Screening Matrix'!$C$2:$C$46=$A38))</f>
        <v>2</v>
      </c>
      <c r="D38" s="11">
        <f>SUMPRODUCT(ISNUMBER(SEARCH(",TS,",","&amp;SUBSTITUTE('1L Screening Matrix'!$I$2:$I$77,", ",",")&amp;","))*('1L Screening Matrix'!$C$2:$C$77=$A38))+SUMPRODUCT(ISNUMBER(SEARCH(",TS,",","&amp;SUBSTITUTE('2L Screening Matrix'!$I$2:$I$46,", ",",")&amp;","))*('2L Screening Matrix'!$C$2:$C$46=$A38))</f>
        <v>0</v>
      </c>
      <c r="E38" s="11">
        <f>SUMPRODUCT(ISNUMBER(SEARCH(",TYMS,",","&amp;SUBSTITUTE('1L Screening Matrix'!$I$2:$I$77,", ",",")&amp;","))*('1L Screening Matrix'!$C$2:$C$77=$A38))+SUMPRODUCT(ISNUMBER(SEARCH(",TYMS,",","&amp;SUBSTITUTE('2L Screening Matrix'!$I$2:$I$46,", ",",")&amp;","))*('2L Screening Matrix'!$C$2:$C$46=$A38))</f>
        <v>0</v>
      </c>
      <c r="F38" s="11">
        <f>SUMPRODUCT(ISNUMBER(SEARCH(",PD-L1,",","&amp;SUBSTITUTE('1L Screening Matrix'!$I$2:$I$77,", ",",")&amp;","))*('1L Screening Matrix'!$C$2:$C$77=$A38))+SUMPRODUCT(ISNUMBER(SEARCH(",PD-L1,",","&amp;SUBSTITUTE('2L Screening Matrix'!$I$2:$I$46,", ",",")&amp;","))*('2L Screening Matrix'!$C$2:$C$46=$A38))</f>
        <v>1</v>
      </c>
      <c r="G38" s="11">
        <f>SUMPRODUCT(ISNUMBER(SEARCH(",B7-H1,",","&amp;SUBSTITUTE('1L Screening Matrix'!$I$2:$I$77,", ",",")&amp;","))*('1L Screening Matrix'!$C$2:$C$77=$A38))+SUMPRODUCT(ISNUMBER(SEARCH(",B7-H1,",","&amp;SUBSTITUTE('2L Screening Matrix'!$I$2:$I$46,", ",",")&amp;","))*('2L Screening Matrix'!$C$2:$C$46=$A38))</f>
        <v>1</v>
      </c>
      <c r="H38" s="11">
        <f>SUMPRODUCT(ISNUMBER(SEARCH(",CD274,",","&amp;SUBSTITUTE('1L Screening Matrix'!$I$2:$I$77,", ",",")&amp;","))*('1L Screening Matrix'!$C$2:$C$77=$A38))+SUMPRODUCT(ISNUMBER(SEARCH(",CD274,",","&amp;SUBSTITUTE('2L Screening Matrix'!$I$2:$I$46,", ",",")&amp;","))*('2L Screening Matrix'!$C$2:$C$46=$A38))</f>
        <v>1</v>
      </c>
      <c r="I38" s="11">
        <f>SUMPRODUCT(ISNUMBER(SEARCH(",EGFR,",","&amp;SUBSTITUTE('1L Screening Matrix'!$I$2:$I$77,", ",",")&amp;","))*('1L Screening Matrix'!$C$2:$C$77=$A38))+SUMPRODUCT(ISNUMBER(SEARCH(",EGFR,",","&amp;SUBSTITUTE('2L Screening Matrix'!$I$2:$I$46,", ",",")&amp;","))*('2L Screening Matrix'!$C$2:$C$46=$A38))</f>
        <v>0</v>
      </c>
      <c r="J38" s="11">
        <f>SUMPRODUCT(ISNUMBER(SEARCH(",VEGF,",","&amp;SUBSTITUTE('1L Screening Matrix'!$I$2:$I$77,", ",",")&amp;","))*('1L Screening Matrix'!$C$2:$C$77=$A38))+SUMPRODUCT(ISNUMBER(SEARCH(",VEGF,",","&amp;SUBSTITUTE('2L Screening Matrix'!$I$2:$I$46,", ",",")&amp;","))*('2L Screening Matrix'!$C$2:$C$46=$A38))</f>
        <v>0</v>
      </c>
      <c r="K38" s="11">
        <f>SUMPRODUCT(ISNUMBER(SEARCH(",ERBB,",","&amp;SUBSTITUTE('1L Screening Matrix'!$I$2:$I$77,", ",",")&amp;","))*('1L Screening Matrix'!$C$2:$C$77=$A38))+SUMPRODUCT(ISNUMBER(SEARCH(",ERBB,",","&amp;SUBSTITUTE('2L Screening Matrix'!$I$2:$I$46,", ",",")&amp;","))*('2L Screening Matrix'!$C$2:$C$46=$A38))</f>
        <v>0</v>
      </c>
      <c r="L38" s="11">
        <f>SUMPRODUCT(ISNUMBER(SEARCH(",HER1,",","&amp;SUBSTITUTE('1L Screening Matrix'!$I$2:$I$77,", ",",")&amp;","))*('1L Screening Matrix'!$C$2:$C$77=$A38))+SUMPRODUCT(ISNUMBER(SEARCH(",HER1,",","&amp;SUBSTITUTE('2L Screening Matrix'!$I$2:$I$46,", ",",")&amp;","))*('2L Screening Matrix'!$C$2:$C$46=$A38))</f>
        <v>0</v>
      </c>
      <c r="M38" s="11">
        <f>SUMPRODUCT(ISNUMBER(SEARCH(",Microtubule,",","&amp;SUBSTITUTE('1L Screening Matrix'!$I$2:$I$77,", ",",")&amp;","))*('1L Screening Matrix'!$C$2:$C$77=$A38))+SUMPRODUCT(ISNUMBER(SEARCH(",Microtubule,",","&amp;SUBSTITUTE('2L Screening Matrix'!$I$2:$I$46,", ",",")&amp;","))*('2L Screening Matrix'!$C$2:$C$46=$A38))</f>
        <v>1</v>
      </c>
      <c r="N38" s="11">
        <f>SUMPRODUCT(ISNUMBER(SEARCH(",KRAS G12C,",","&amp;SUBSTITUTE('1L Screening Matrix'!$I$2:$I$77,", ",",")&amp;","))*('1L Screening Matrix'!$C$2:$C$77=$A38))+SUMPRODUCT(ISNUMBER(SEARCH(",KRAS G12C,",","&amp;SUBSTITUTE('2L Screening Matrix'!$I$2:$I$46,", ",",")&amp;","))*('2L Screening Matrix'!$C$2:$C$46=$A38))</f>
        <v>0</v>
      </c>
      <c r="O38" s="11">
        <f>SUMPRODUCT(ISNUMBER(SEARCH(",EGFR T790M,",","&amp;SUBSTITUTE('1L Screening Matrix'!$I$2:$I$77,", ",",")&amp;","))*('1L Screening Matrix'!$C$2:$C$77=$A38))+SUMPRODUCT(ISNUMBER(SEARCH(",EGFR T790M,",","&amp;SUBSTITUTE('2L Screening Matrix'!$I$2:$I$46,", ",",")&amp;","))*('2L Screening Matrix'!$C$2:$C$46=$A38))</f>
        <v>0</v>
      </c>
      <c r="P38" s="11">
        <f>SUMPRODUCT(ISNUMBER(SEARCH(",ALK,",","&amp;SUBSTITUTE('1L Screening Matrix'!$I$2:$I$77,", ",",")&amp;","))*('1L Screening Matrix'!$C$2:$C$77=$A38))+SUMPRODUCT(ISNUMBER(SEARCH(",ALK,",","&amp;SUBSTITUTE('2L Screening Matrix'!$I$2:$I$46,", ",",")&amp;","))*('2L Screening Matrix'!$C$2:$C$46=$A38))</f>
        <v>0</v>
      </c>
      <c r="Q38" s="11">
        <f>SUMPRODUCT(ISNUMBER(SEARCH(",TROP2,",","&amp;SUBSTITUTE('1L Screening Matrix'!$I$2:$I$77,", ",",")&amp;","))*('1L Screening Matrix'!$C$2:$C$77=$A38))+SUMPRODUCT(ISNUMBER(SEARCH(",TROP2,",","&amp;SUBSTITUTE('2L Screening Matrix'!$I$2:$I$46,", ",",")&amp;","))*('2L Screening Matrix'!$C$2:$C$46=$A38))</f>
        <v>0</v>
      </c>
      <c r="R38" s="11">
        <f>SUMPRODUCT(ISNUMBER(SEARCH(",c-MET/MET,",","&amp;SUBSTITUTE('1L Screening Matrix'!$I$2:$I$77,", ",",")&amp;","))*('1L Screening Matrix'!$C$2:$C$77=$A38))+SUMPRODUCT(ISNUMBER(SEARCH(",c-MET/MET,",","&amp;SUBSTITUTE('2L Screening Matrix'!$I$2:$I$46,", ",",")&amp;","))*('2L Screening Matrix'!$C$2:$C$46=$A38))</f>
        <v>0</v>
      </c>
      <c r="S38" s="11">
        <f>SUMPRODUCT(ISNUMBER(SEARCH(",HER2,",","&amp;SUBSTITUTE('1L Screening Matrix'!$I$2:$I$77,", ",",")&amp;","))*('1L Screening Matrix'!$C$2:$C$77=$A38))+SUMPRODUCT(ISNUMBER(SEARCH(",HER2,",","&amp;SUBSTITUTE('2L Screening Matrix'!$I$2:$I$46,", ",",")&amp;","))*('2L Screening Matrix'!$C$2:$C$46=$A38))</f>
        <v>0</v>
      </c>
      <c r="T38" s="11">
        <f>SUMPRODUCT(ISNUMBER(SEARCH(",ROS1,",","&amp;SUBSTITUTE('1L Screening Matrix'!$I$2:$I$77,", ",",")&amp;","))*('1L Screening Matrix'!$C$2:$C$77=$A38))+SUMPRODUCT(ISNUMBER(SEARCH(",ROS1,",","&amp;SUBSTITUTE('2L Screening Matrix'!$I$2:$I$46,", ",",")&amp;","))*('2L Screening Matrix'!$C$2:$C$46=$A38))</f>
        <v>0</v>
      </c>
      <c r="U38" s="11">
        <f>SUMPRODUCT(ISNUMBER(SEARCH(",TIGIT,",","&amp;SUBSTITUTE('1L Screening Matrix'!$I$2:$I$77,", ",",")&amp;","))*('1L Screening Matrix'!$C$2:$C$77=$A38))+SUMPRODUCT(ISNUMBER(SEARCH(",TIGIT,",","&amp;SUBSTITUTE('2L Screening Matrix'!$I$2:$I$46,", ",",")&amp;","))*('2L Screening Matrix'!$C$2:$C$46=$A38))</f>
        <v>0</v>
      </c>
      <c r="V38" s="11">
        <f>SUMPRODUCT(ISNUMBER(SEARCH(",EGFR L858R,",","&amp;SUBSTITUTE('1L Screening Matrix'!$I$2:$I$77,", ",",")&amp;","))*('1L Screening Matrix'!$C$2:$C$77=$A38))+SUMPRODUCT(ISNUMBER(SEARCH(",EGFR L858R,",","&amp;SUBSTITUTE('2L Screening Matrix'!$I$2:$I$46,", ",",")&amp;","))*('2L Screening Matrix'!$C$2:$C$46=$A38))</f>
        <v>0</v>
      </c>
      <c r="W38" s="11">
        <f>SUMPRODUCT(ISNUMBER(SEARCH(",ROS,",","&amp;SUBSTITUTE('1L Screening Matrix'!$I$2:$I$77,", ",",")&amp;","))*('1L Screening Matrix'!$C$2:$C$77=$A38))+SUMPRODUCT(ISNUMBER(SEARCH(",ROS,",","&amp;SUBSTITUTE('2L Screening Matrix'!$I$2:$I$46,", ",",")&amp;","))*('2L Screening Matrix'!$C$2:$C$46=$A38))</f>
        <v>0</v>
      </c>
      <c r="X38" s="11">
        <f>SUMPRODUCT(ISNUMBER(SEARCH(",IL-2,",","&amp;SUBSTITUTE('1L Screening Matrix'!$I$2:$I$77,", ",",")&amp;","))*('1L Screening Matrix'!$C$2:$C$77=$A38))+SUMPRODUCT(ISNUMBER(SEARCH(",IL-2,",","&amp;SUBSTITUTE('2L Screening Matrix'!$I$2:$I$46,", ",",")&amp;","))*('2L Screening Matrix'!$C$2:$C$46=$A38))</f>
        <v>0</v>
      </c>
      <c r="Y38" s="11">
        <f>SUMPRODUCT(ISNUMBER(SEARCH(",TCGF,",","&amp;SUBSTITUTE('1L Screening Matrix'!$I$2:$I$77,", ",",")&amp;","))*('1L Screening Matrix'!$C$2:$C$77=$A38))+SUMPRODUCT(ISNUMBER(SEARCH(",TCGF,",","&amp;SUBSTITUTE('2L Screening Matrix'!$I$2:$I$46,", ",",")&amp;","))*('2L Screening Matrix'!$C$2:$C$46=$A38))</f>
        <v>0</v>
      </c>
      <c r="Z38" s="11">
        <f>SUMPRODUCT(ISNUMBER(SEARCH(",CTLA-4,",","&amp;SUBSTITUTE('1L Screening Matrix'!$I$2:$I$77,", ",",")&amp;","))*('1L Screening Matrix'!$C$2:$C$77=$A38))+SUMPRODUCT(ISNUMBER(SEARCH(",CTLA-4,",","&amp;SUBSTITUTE('2L Screening Matrix'!$I$2:$I$46,", ",",")&amp;","))*('2L Screening Matrix'!$C$2:$C$46=$A38))</f>
        <v>0</v>
      </c>
      <c r="AA38" s="11">
        <f>SUMPRODUCT(ISNUMBER(SEARCH(",EGFR Exon 20,",","&amp;SUBSTITUTE('1L Screening Matrix'!$I$2:$I$77,", ",",")&amp;","))*('1L Screening Matrix'!$C$2:$C$77=$A38))+SUMPRODUCT(ISNUMBER(SEARCH(",EGFR Exon 20,",","&amp;SUBSTITUTE('2L Screening Matrix'!$I$2:$I$46,", ",",")&amp;","))*('2L Screening Matrix'!$C$2:$C$46=$A38))</f>
        <v>0</v>
      </c>
      <c r="AB38" s="11">
        <f>SUMPRODUCT(ISNUMBER(SEARCH(",HER2 Exon 20,",","&amp;SUBSTITUTE('1L Screening Matrix'!$I$2:$I$77,", ",",")&amp;","))*('1L Screening Matrix'!$C$2:$C$77=$A38))+SUMPRODUCT(ISNUMBER(SEARCH(",HER2 Exon 20,",","&amp;SUBSTITUTE('2L Screening Matrix'!$I$2:$I$46,", ",",")&amp;","))*('2L Screening Matrix'!$C$2:$C$46=$A38))</f>
        <v>0</v>
      </c>
      <c r="AC38" s="11">
        <f>SUMPRODUCT(ISNUMBER(SEARCH(",IL-15,",","&amp;SUBSTITUTE('1L Screening Matrix'!$I$2:$I$77,", ",",")&amp;","))*('1L Screening Matrix'!$C$2:$C$77=$A38))+SUMPRODUCT(ISNUMBER(SEARCH(",IL-15,",","&amp;SUBSTITUTE('2L Screening Matrix'!$I$2:$I$46,", ",",")&amp;","))*('2L Screening Matrix'!$C$2:$C$46=$A38))</f>
        <v>0</v>
      </c>
      <c r="AD38" s="11">
        <f>SUMPRODUCT(ISNUMBER(SEARCH(",IL-15R,",","&amp;SUBSTITUTE('1L Screening Matrix'!$I$2:$I$77,", ",",")&amp;","))*('1L Screening Matrix'!$C$2:$C$77=$A38))+SUMPRODUCT(ISNUMBER(SEARCH(",IL-15R,",","&amp;SUBSTITUTE('2L Screening Matrix'!$I$2:$I$46,", ",",")&amp;","))*('2L Screening Matrix'!$C$2:$C$46=$A38))</f>
        <v>0</v>
      </c>
      <c r="AE38" s="11">
        <f>SUMPRODUCT(ISNUMBER(SEARCH(",KRAS G12D,",","&amp;SUBSTITUTE('1L Screening Matrix'!$I$2:$I$77,", ",",")&amp;","))*('1L Screening Matrix'!$C$2:$C$77=$A38))+SUMPRODUCT(ISNUMBER(SEARCH(",KRAS G12D,",","&amp;SUBSTITUTE('2L Screening Matrix'!$I$2:$I$46,", ",",")&amp;","))*('2L Screening Matrix'!$C$2:$C$46=$A38))</f>
        <v>0</v>
      </c>
      <c r="AF38" s="11">
        <f>SUMPRODUCT(ISNUMBER(SEARCH(",HER4,",","&amp;SUBSTITUTE('1L Screening Matrix'!$I$2:$I$77,", ",",")&amp;","))*('1L Screening Matrix'!$C$2:$C$77=$A38))+SUMPRODUCT(ISNUMBER(SEARCH(",HER4,",","&amp;SUBSTITUTE('2L Screening Matrix'!$I$2:$I$46,", ",",")&amp;","))*('2L Screening Matrix'!$C$2:$C$46=$A38))</f>
        <v>0</v>
      </c>
      <c r="AG38" s="11">
        <f>SUMPRODUCT(ISNUMBER(SEARCH(",ALK L1196M,",","&amp;SUBSTITUTE('1L Screening Matrix'!$I$2:$I$77,", ",",")&amp;","))*('1L Screening Matrix'!$C$2:$C$77=$A38))+SUMPRODUCT(ISNUMBER(SEARCH(",ALK L1196M,",","&amp;SUBSTITUTE('2L Screening Matrix'!$I$2:$I$46,", ",",")&amp;","))*('2L Screening Matrix'!$C$2:$C$46=$A38))</f>
        <v>0</v>
      </c>
      <c r="AH38" s="11">
        <f>SUMPRODUCT(ISNUMBER(SEARCH(",CD152,",","&amp;SUBSTITUTE('1L Screening Matrix'!$I$2:$I$77,", ",",")&amp;","))*('1L Screening Matrix'!$C$2:$C$77=$A38))+SUMPRODUCT(ISNUMBER(SEARCH(",CD152,",","&amp;SUBSTITUTE('2L Screening Matrix'!$I$2:$I$46,", ",",")&amp;","))*('2L Screening Matrix'!$C$2:$C$46=$A38))</f>
        <v>0</v>
      </c>
      <c r="AI38" s="11">
        <f>SUMPRODUCT(ISNUMBER(SEARCH(",MLN19,",","&amp;SUBSTITUTE('1L Screening Matrix'!$I$2:$I$77,", ",",")&amp;","))*('1L Screening Matrix'!$C$2:$C$77=$A38))+SUMPRODUCT(ISNUMBER(SEARCH(",MLN19,",","&amp;SUBSTITUTE('2L Screening Matrix'!$I$2:$I$46,", ",",")&amp;","))*('2L Screening Matrix'!$C$2:$C$46=$A38))</f>
        <v>0</v>
      </c>
      <c r="AJ38" s="11">
        <f>SUMPRODUCT(ISNUMBER(SEARCH(",NTRK,",","&amp;SUBSTITUTE('1L Screening Matrix'!$I$2:$I$77,", ",",")&amp;","))*('1L Screening Matrix'!$C$2:$C$77=$A38))+SUMPRODUCT(ISNUMBER(SEARCH(",NTRK,",","&amp;SUBSTITUTE('2L Screening Matrix'!$I$2:$I$46,", ",",")&amp;","))*('2L Screening Matrix'!$C$2:$C$46=$A38))</f>
        <v>0</v>
      </c>
      <c r="AK38" s="11">
        <f>SUMPRODUCT(ISNUMBER(SEARCH(",Integrin β6,",","&amp;SUBSTITUTE('1L Screening Matrix'!$I$2:$I$77,", ",",")&amp;","))*('1L Screening Matrix'!$C$2:$C$77=$A38))+SUMPRODUCT(ISNUMBER(SEARCH(",Integrin β6,",","&amp;SUBSTITUTE('2L Screening Matrix'!$I$2:$I$46,", ",",")&amp;","))*('2L Screening Matrix'!$C$2:$C$46=$A38))</f>
        <v>0</v>
      </c>
      <c r="AL38" s="11">
        <f>SUMPRODUCT(ISNUMBER(SEARCH(",LAG-3,",","&amp;SUBSTITUTE('1L Screening Matrix'!$I$2:$I$77,", ",",")&amp;","))*('1L Screening Matrix'!$C$2:$C$77=$A38))+SUMPRODUCT(ISNUMBER(SEARCH(",LAG-3,",","&amp;SUBSTITUTE('2L Screening Matrix'!$I$2:$I$46,", ",",")&amp;","))*('2L Screening Matrix'!$C$2:$C$46=$A38))</f>
        <v>0</v>
      </c>
      <c r="AM38" s="14">
        <f t="shared" si="1"/>
        <v>8</v>
      </c>
    </row>
    <row r="39" spans="1:39" ht="15" customHeight="1" x14ac:dyDescent="0.2">
      <c r="A39" s="15" t="s">
        <v>1391</v>
      </c>
      <c r="B39" s="11">
        <f>SUMPRODUCT(ISNUMBER(SEARCH(",PD-1,",","&amp;SUBSTITUTE('1L Screening Matrix'!$I$2:$I$77,", ",",")&amp;","))*('1L Screening Matrix'!$C$2:$C$77=$A39))+SUMPRODUCT(ISNUMBER(SEARCH(",PD-1,",","&amp;SUBSTITUTE('2L Screening Matrix'!$I$2:$I$46,", ",",")&amp;","))*('2L Screening Matrix'!$C$2:$C$46=$A39))</f>
        <v>0</v>
      </c>
      <c r="C39" s="11">
        <f>SUMPRODUCT(ISNUMBER(SEARCH(",CD279,",","&amp;SUBSTITUTE('1L Screening Matrix'!$I$2:$I$77,", ",",")&amp;","))*('1L Screening Matrix'!$C$2:$C$77=$A39))+SUMPRODUCT(ISNUMBER(SEARCH(",CD279,",","&amp;SUBSTITUTE('2L Screening Matrix'!$I$2:$I$46,", ",",")&amp;","))*('2L Screening Matrix'!$C$2:$C$46=$A39))</f>
        <v>0</v>
      </c>
      <c r="D39" s="11">
        <f>SUMPRODUCT(ISNUMBER(SEARCH(",TS,",","&amp;SUBSTITUTE('1L Screening Matrix'!$I$2:$I$77,", ",",")&amp;","))*('1L Screening Matrix'!$C$2:$C$77=$A39))+SUMPRODUCT(ISNUMBER(SEARCH(",TS,",","&amp;SUBSTITUTE('2L Screening Matrix'!$I$2:$I$46,", ",",")&amp;","))*('2L Screening Matrix'!$C$2:$C$46=$A39))</f>
        <v>0</v>
      </c>
      <c r="E39" s="11">
        <f>SUMPRODUCT(ISNUMBER(SEARCH(",TYMS,",","&amp;SUBSTITUTE('1L Screening Matrix'!$I$2:$I$77,", ",",")&amp;","))*('1L Screening Matrix'!$C$2:$C$77=$A39))+SUMPRODUCT(ISNUMBER(SEARCH(",TYMS,",","&amp;SUBSTITUTE('2L Screening Matrix'!$I$2:$I$46,", ",",")&amp;","))*('2L Screening Matrix'!$C$2:$C$46=$A39))</f>
        <v>0</v>
      </c>
      <c r="F39" s="11">
        <f>SUMPRODUCT(ISNUMBER(SEARCH(",PD-L1,",","&amp;SUBSTITUTE('1L Screening Matrix'!$I$2:$I$77,", ",",")&amp;","))*('1L Screening Matrix'!$C$2:$C$77=$A39))+SUMPRODUCT(ISNUMBER(SEARCH(",PD-L1,",","&amp;SUBSTITUTE('2L Screening Matrix'!$I$2:$I$46,", ",",")&amp;","))*('2L Screening Matrix'!$C$2:$C$46=$A39))</f>
        <v>0</v>
      </c>
      <c r="G39" s="11">
        <f>SUMPRODUCT(ISNUMBER(SEARCH(",B7-H1,",","&amp;SUBSTITUTE('1L Screening Matrix'!$I$2:$I$77,", ",",")&amp;","))*('1L Screening Matrix'!$C$2:$C$77=$A39))+SUMPRODUCT(ISNUMBER(SEARCH(",B7-H1,",","&amp;SUBSTITUTE('2L Screening Matrix'!$I$2:$I$46,", ",",")&amp;","))*('2L Screening Matrix'!$C$2:$C$46=$A39))</f>
        <v>0</v>
      </c>
      <c r="H39" s="11">
        <f>SUMPRODUCT(ISNUMBER(SEARCH(",CD274,",","&amp;SUBSTITUTE('1L Screening Matrix'!$I$2:$I$77,", ",",")&amp;","))*('1L Screening Matrix'!$C$2:$C$77=$A39))+SUMPRODUCT(ISNUMBER(SEARCH(",CD274,",","&amp;SUBSTITUTE('2L Screening Matrix'!$I$2:$I$46,", ",",")&amp;","))*('2L Screening Matrix'!$C$2:$C$46=$A39))</f>
        <v>0</v>
      </c>
      <c r="I39" s="11">
        <f>SUMPRODUCT(ISNUMBER(SEARCH(",EGFR,",","&amp;SUBSTITUTE('1L Screening Matrix'!$I$2:$I$77,", ",",")&amp;","))*('1L Screening Matrix'!$C$2:$C$77=$A39))+SUMPRODUCT(ISNUMBER(SEARCH(",EGFR,",","&amp;SUBSTITUTE('2L Screening Matrix'!$I$2:$I$46,", ",",")&amp;","))*('2L Screening Matrix'!$C$2:$C$46=$A39))</f>
        <v>0</v>
      </c>
      <c r="J39" s="11">
        <f>SUMPRODUCT(ISNUMBER(SEARCH(",VEGF,",","&amp;SUBSTITUTE('1L Screening Matrix'!$I$2:$I$77,", ",",")&amp;","))*('1L Screening Matrix'!$C$2:$C$77=$A39))+SUMPRODUCT(ISNUMBER(SEARCH(",VEGF,",","&amp;SUBSTITUTE('2L Screening Matrix'!$I$2:$I$46,", ",",")&amp;","))*('2L Screening Matrix'!$C$2:$C$46=$A39))</f>
        <v>0</v>
      </c>
      <c r="K39" s="11">
        <f>SUMPRODUCT(ISNUMBER(SEARCH(",ERBB,",","&amp;SUBSTITUTE('1L Screening Matrix'!$I$2:$I$77,", ",",")&amp;","))*('1L Screening Matrix'!$C$2:$C$77=$A39))+SUMPRODUCT(ISNUMBER(SEARCH(",ERBB,",","&amp;SUBSTITUTE('2L Screening Matrix'!$I$2:$I$46,", ",",")&amp;","))*('2L Screening Matrix'!$C$2:$C$46=$A39))</f>
        <v>0</v>
      </c>
      <c r="L39" s="11">
        <f>SUMPRODUCT(ISNUMBER(SEARCH(",HER1,",","&amp;SUBSTITUTE('1L Screening Matrix'!$I$2:$I$77,", ",",")&amp;","))*('1L Screening Matrix'!$C$2:$C$77=$A39))+SUMPRODUCT(ISNUMBER(SEARCH(",HER1,",","&amp;SUBSTITUTE('2L Screening Matrix'!$I$2:$I$46,", ",",")&amp;","))*('2L Screening Matrix'!$C$2:$C$46=$A39))</f>
        <v>0</v>
      </c>
      <c r="M39" s="11">
        <f>SUMPRODUCT(ISNUMBER(SEARCH(",Microtubule,",","&amp;SUBSTITUTE('1L Screening Matrix'!$I$2:$I$77,", ",",")&amp;","))*('1L Screening Matrix'!$C$2:$C$77=$A39))+SUMPRODUCT(ISNUMBER(SEARCH(",Microtubule,",","&amp;SUBSTITUTE('2L Screening Matrix'!$I$2:$I$46,", ",",")&amp;","))*('2L Screening Matrix'!$C$2:$C$46=$A39))</f>
        <v>0</v>
      </c>
      <c r="N39" s="11">
        <f>SUMPRODUCT(ISNUMBER(SEARCH(",KRAS G12C,",","&amp;SUBSTITUTE('1L Screening Matrix'!$I$2:$I$77,", ",",")&amp;","))*('1L Screening Matrix'!$C$2:$C$77=$A39))+SUMPRODUCT(ISNUMBER(SEARCH(",KRAS G12C,",","&amp;SUBSTITUTE('2L Screening Matrix'!$I$2:$I$46,", ",",")&amp;","))*('2L Screening Matrix'!$C$2:$C$46=$A39))</f>
        <v>0</v>
      </c>
      <c r="O39" s="11">
        <f>SUMPRODUCT(ISNUMBER(SEARCH(",EGFR T790M,",","&amp;SUBSTITUTE('1L Screening Matrix'!$I$2:$I$77,", ",",")&amp;","))*('1L Screening Matrix'!$C$2:$C$77=$A39))+SUMPRODUCT(ISNUMBER(SEARCH(",EGFR T790M,",","&amp;SUBSTITUTE('2L Screening Matrix'!$I$2:$I$46,", ",",")&amp;","))*('2L Screening Matrix'!$C$2:$C$46=$A39))</f>
        <v>0</v>
      </c>
      <c r="P39" s="11">
        <f>SUMPRODUCT(ISNUMBER(SEARCH(",ALK,",","&amp;SUBSTITUTE('1L Screening Matrix'!$I$2:$I$77,", ",",")&amp;","))*('1L Screening Matrix'!$C$2:$C$77=$A39))+SUMPRODUCT(ISNUMBER(SEARCH(",ALK,",","&amp;SUBSTITUTE('2L Screening Matrix'!$I$2:$I$46,", ",",")&amp;","))*('2L Screening Matrix'!$C$2:$C$46=$A39))</f>
        <v>1</v>
      </c>
      <c r="Q39" s="11">
        <f>SUMPRODUCT(ISNUMBER(SEARCH(",TROP2,",","&amp;SUBSTITUTE('1L Screening Matrix'!$I$2:$I$77,", ",",")&amp;","))*('1L Screening Matrix'!$C$2:$C$77=$A39))+SUMPRODUCT(ISNUMBER(SEARCH(",TROP2,",","&amp;SUBSTITUTE('2L Screening Matrix'!$I$2:$I$46,", ",",")&amp;","))*('2L Screening Matrix'!$C$2:$C$46=$A39))</f>
        <v>0</v>
      </c>
      <c r="R39" s="11">
        <f>SUMPRODUCT(ISNUMBER(SEARCH(",c-MET/MET,",","&amp;SUBSTITUTE('1L Screening Matrix'!$I$2:$I$77,", ",",")&amp;","))*('1L Screening Matrix'!$C$2:$C$77=$A39))+SUMPRODUCT(ISNUMBER(SEARCH(",c-MET/MET,",","&amp;SUBSTITUTE('2L Screening Matrix'!$I$2:$I$46,", ",",")&amp;","))*('2L Screening Matrix'!$C$2:$C$46=$A39))</f>
        <v>0</v>
      </c>
      <c r="S39" s="11">
        <f>SUMPRODUCT(ISNUMBER(SEARCH(",HER2,",","&amp;SUBSTITUTE('1L Screening Matrix'!$I$2:$I$77,", ",",")&amp;","))*('1L Screening Matrix'!$C$2:$C$77=$A39))+SUMPRODUCT(ISNUMBER(SEARCH(",HER2,",","&amp;SUBSTITUTE('2L Screening Matrix'!$I$2:$I$46,", ",",")&amp;","))*('2L Screening Matrix'!$C$2:$C$46=$A39))</f>
        <v>0</v>
      </c>
      <c r="T39" s="11">
        <f>SUMPRODUCT(ISNUMBER(SEARCH(",ROS1,",","&amp;SUBSTITUTE('1L Screening Matrix'!$I$2:$I$77,", ",",")&amp;","))*('1L Screening Matrix'!$C$2:$C$77=$A39))+SUMPRODUCT(ISNUMBER(SEARCH(",ROS1,",","&amp;SUBSTITUTE('2L Screening Matrix'!$I$2:$I$46,", ",",")&amp;","))*('2L Screening Matrix'!$C$2:$C$46=$A39))</f>
        <v>0</v>
      </c>
      <c r="U39" s="11">
        <f>SUMPRODUCT(ISNUMBER(SEARCH(",TIGIT,",","&amp;SUBSTITUTE('1L Screening Matrix'!$I$2:$I$77,", ",",")&amp;","))*('1L Screening Matrix'!$C$2:$C$77=$A39))+SUMPRODUCT(ISNUMBER(SEARCH(",TIGIT,",","&amp;SUBSTITUTE('2L Screening Matrix'!$I$2:$I$46,", ",",")&amp;","))*('2L Screening Matrix'!$C$2:$C$46=$A39))</f>
        <v>0</v>
      </c>
      <c r="V39" s="11">
        <f>SUMPRODUCT(ISNUMBER(SEARCH(",EGFR L858R,",","&amp;SUBSTITUTE('1L Screening Matrix'!$I$2:$I$77,", ",",")&amp;","))*('1L Screening Matrix'!$C$2:$C$77=$A39))+SUMPRODUCT(ISNUMBER(SEARCH(",EGFR L858R,",","&amp;SUBSTITUTE('2L Screening Matrix'!$I$2:$I$46,", ",",")&amp;","))*('2L Screening Matrix'!$C$2:$C$46=$A39))</f>
        <v>0</v>
      </c>
      <c r="W39" s="11">
        <f>SUMPRODUCT(ISNUMBER(SEARCH(",ROS,",","&amp;SUBSTITUTE('1L Screening Matrix'!$I$2:$I$77,", ",",")&amp;","))*('1L Screening Matrix'!$C$2:$C$77=$A39))+SUMPRODUCT(ISNUMBER(SEARCH(",ROS,",","&amp;SUBSTITUTE('2L Screening Matrix'!$I$2:$I$46,", ",",")&amp;","))*('2L Screening Matrix'!$C$2:$C$46=$A39))</f>
        <v>0</v>
      </c>
      <c r="X39" s="11">
        <f>SUMPRODUCT(ISNUMBER(SEARCH(",IL-2,",","&amp;SUBSTITUTE('1L Screening Matrix'!$I$2:$I$77,", ",",")&amp;","))*('1L Screening Matrix'!$C$2:$C$77=$A39))+SUMPRODUCT(ISNUMBER(SEARCH(",IL-2,",","&amp;SUBSTITUTE('2L Screening Matrix'!$I$2:$I$46,", ",",")&amp;","))*('2L Screening Matrix'!$C$2:$C$46=$A39))</f>
        <v>0</v>
      </c>
      <c r="Y39" s="11">
        <f>SUMPRODUCT(ISNUMBER(SEARCH(",TCGF,",","&amp;SUBSTITUTE('1L Screening Matrix'!$I$2:$I$77,", ",",")&amp;","))*('1L Screening Matrix'!$C$2:$C$77=$A39))+SUMPRODUCT(ISNUMBER(SEARCH(",TCGF,",","&amp;SUBSTITUTE('2L Screening Matrix'!$I$2:$I$46,", ",",")&amp;","))*('2L Screening Matrix'!$C$2:$C$46=$A39))</f>
        <v>0</v>
      </c>
      <c r="Z39" s="11">
        <f>SUMPRODUCT(ISNUMBER(SEARCH(",CTLA-4,",","&amp;SUBSTITUTE('1L Screening Matrix'!$I$2:$I$77,", ",",")&amp;","))*('1L Screening Matrix'!$C$2:$C$77=$A39))+SUMPRODUCT(ISNUMBER(SEARCH(",CTLA-4,",","&amp;SUBSTITUTE('2L Screening Matrix'!$I$2:$I$46,", ",",")&amp;","))*('2L Screening Matrix'!$C$2:$C$46=$A39))</f>
        <v>0</v>
      </c>
      <c r="AA39" s="11">
        <f>SUMPRODUCT(ISNUMBER(SEARCH(",EGFR Exon 20,",","&amp;SUBSTITUTE('1L Screening Matrix'!$I$2:$I$77,", ",",")&amp;","))*('1L Screening Matrix'!$C$2:$C$77=$A39))+SUMPRODUCT(ISNUMBER(SEARCH(",EGFR Exon 20,",","&amp;SUBSTITUTE('2L Screening Matrix'!$I$2:$I$46,", ",",")&amp;","))*('2L Screening Matrix'!$C$2:$C$46=$A39))</f>
        <v>0</v>
      </c>
      <c r="AB39" s="11">
        <f>SUMPRODUCT(ISNUMBER(SEARCH(",HER2 Exon 20,",","&amp;SUBSTITUTE('1L Screening Matrix'!$I$2:$I$77,", ",",")&amp;","))*('1L Screening Matrix'!$C$2:$C$77=$A39))+SUMPRODUCT(ISNUMBER(SEARCH(",HER2 Exon 20,",","&amp;SUBSTITUTE('2L Screening Matrix'!$I$2:$I$46,", ",",")&amp;","))*('2L Screening Matrix'!$C$2:$C$46=$A39))</f>
        <v>0</v>
      </c>
      <c r="AC39" s="11">
        <f>SUMPRODUCT(ISNUMBER(SEARCH(",IL-15,",","&amp;SUBSTITUTE('1L Screening Matrix'!$I$2:$I$77,", ",",")&amp;","))*('1L Screening Matrix'!$C$2:$C$77=$A39))+SUMPRODUCT(ISNUMBER(SEARCH(",IL-15,",","&amp;SUBSTITUTE('2L Screening Matrix'!$I$2:$I$46,", ",",")&amp;","))*('2L Screening Matrix'!$C$2:$C$46=$A39))</f>
        <v>0</v>
      </c>
      <c r="AD39" s="11">
        <f>SUMPRODUCT(ISNUMBER(SEARCH(",IL-15R,",","&amp;SUBSTITUTE('1L Screening Matrix'!$I$2:$I$77,", ",",")&amp;","))*('1L Screening Matrix'!$C$2:$C$77=$A39))+SUMPRODUCT(ISNUMBER(SEARCH(",IL-15R,",","&amp;SUBSTITUTE('2L Screening Matrix'!$I$2:$I$46,", ",",")&amp;","))*('2L Screening Matrix'!$C$2:$C$46=$A39))</f>
        <v>0</v>
      </c>
      <c r="AE39" s="11">
        <f>SUMPRODUCT(ISNUMBER(SEARCH(",KRAS G12D,",","&amp;SUBSTITUTE('1L Screening Matrix'!$I$2:$I$77,", ",",")&amp;","))*('1L Screening Matrix'!$C$2:$C$77=$A39))+SUMPRODUCT(ISNUMBER(SEARCH(",KRAS G12D,",","&amp;SUBSTITUTE('2L Screening Matrix'!$I$2:$I$46,", ",",")&amp;","))*('2L Screening Matrix'!$C$2:$C$46=$A39))</f>
        <v>0</v>
      </c>
      <c r="AF39" s="11">
        <f>SUMPRODUCT(ISNUMBER(SEARCH(",HER4,",","&amp;SUBSTITUTE('1L Screening Matrix'!$I$2:$I$77,", ",",")&amp;","))*('1L Screening Matrix'!$C$2:$C$77=$A39))+SUMPRODUCT(ISNUMBER(SEARCH(",HER4,",","&amp;SUBSTITUTE('2L Screening Matrix'!$I$2:$I$46,", ",",")&amp;","))*('2L Screening Matrix'!$C$2:$C$46=$A39))</f>
        <v>0</v>
      </c>
      <c r="AG39" s="11">
        <f>SUMPRODUCT(ISNUMBER(SEARCH(",ALK L1196M,",","&amp;SUBSTITUTE('1L Screening Matrix'!$I$2:$I$77,", ",",")&amp;","))*('1L Screening Matrix'!$C$2:$C$77=$A39))+SUMPRODUCT(ISNUMBER(SEARCH(",ALK L1196M,",","&amp;SUBSTITUTE('2L Screening Matrix'!$I$2:$I$46,", ",",")&amp;","))*('2L Screening Matrix'!$C$2:$C$46=$A39))</f>
        <v>0</v>
      </c>
      <c r="AH39" s="11">
        <f>SUMPRODUCT(ISNUMBER(SEARCH(",CD152,",","&amp;SUBSTITUTE('1L Screening Matrix'!$I$2:$I$77,", ",",")&amp;","))*('1L Screening Matrix'!$C$2:$C$77=$A39))+SUMPRODUCT(ISNUMBER(SEARCH(",CD152,",","&amp;SUBSTITUTE('2L Screening Matrix'!$I$2:$I$46,", ",",")&amp;","))*('2L Screening Matrix'!$C$2:$C$46=$A39))</f>
        <v>0</v>
      </c>
      <c r="AI39" s="11">
        <f>SUMPRODUCT(ISNUMBER(SEARCH(",MLN19,",","&amp;SUBSTITUTE('1L Screening Matrix'!$I$2:$I$77,", ",",")&amp;","))*('1L Screening Matrix'!$C$2:$C$77=$A39))+SUMPRODUCT(ISNUMBER(SEARCH(",MLN19,",","&amp;SUBSTITUTE('2L Screening Matrix'!$I$2:$I$46,", ",",")&amp;","))*('2L Screening Matrix'!$C$2:$C$46=$A39))</f>
        <v>0</v>
      </c>
      <c r="AJ39" s="11">
        <f>SUMPRODUCT(ISNUMBER(SEARCH(",NTRK,",","&amp;SUBSTITUTE('1L Screening Matrix'!$I$2:$I$77,", ",",")&amp;","))*('1L Screening Matrix'!$C$2:$C$77=$A39))+SUMPRODUCT(ISNUMBER(SEARCH(",NTRK,",","&amp;SUBSTITUTE('2L Screening Matrix'!$I$2:$I$46,", ",",")&amp;","))*('2L Screening Matrix'!$C$2:$C$46=$A39))</f>
        <v>0</v>
      </c>
      <c r="AK39" s="11">
        <f>SUMPRODUCT(ISNUMBER(SEARCH(",Integrin β6,",","&amp;SUBSTITUTE('1L Screening Matrix'!$I$2:$I$77,", ",",")&amp;","))*('1L Screening Matrix'!$C$2:$C$77=$A39))+SUMPRODUCT(ISNUMBER(SEARCH(",Integrin β6,",","&amp;SUBSTITUTE('2L Screening Matrix'!$I$2:$I$46,", ",",")&amp;","))*('2L Screening Matrix'!$C$2:$C$46=$A39))</f>
        <v>0</v>
      </c>
      <c r="AL39" s="11">
        <f>SUMPRODUCT(ISNUMBER(SEARCH(",LAG-3,",","&amp;SUBSTITUTE('1L Screening Matrix'!$I$2:$I$77,", ",",")&amp;","))*('1L Screening Matrix'!$C$2:$C$77=$A39))+SUMPRODUCT(ISNUMBER(SEARCH(",LAG-3,",","&amp;SUBSTITUTE('2L Screening Matrix'!$I$2:$I$46,", ",",")&amp;","))*('2L Screening Matrix'!$C$2:$C$46=$A39))</f>
        <v>0</v>
      </c>
      <c r="AM39" s="14">
        <f t="shared" si="1"/>
        <v>1</v>
      </c>
    </row>
    <row r="40" spans="1:39" ht="15" customHeight="1" x14ac:dyDescent="0.2">
      <c r="A40" s="12" t="s">
        <v>1740</v>
      </c>
      <c r="B40" s="11">
        <f>SUMPRODUCT(ISNUMBER(SEARCH(",PD-1,",","&amp;SUBSTITUTE('1L Screening Matrix'!$I$2:$I$77,", ",",")&amp;","))*('1L Screening Matrix'!$C$2:$C$77=$A40))+SUMPRODUCT(ISNUMBER(SEARCH(",PD-1,",","&amp;SUBSTITUTE('2L Screening Matrix'!$I$2:$I$46,", ",",")&amp;","))*('2L Screening Matrix'!$C$2:$C$46=$A40))</f>
        <v>0</v>
      </c>
      <c r="C40" s="11">
        <f>SUMPRODUCT(ISNUMBER(SEARCH(",CD279,",","&amp;SUBSTITUTE('1L Screening Matrix'!$I$2:$I$77,", ",",")&amp;","))*('1L Screening Matrix'!$C$2:$C$77=$A40))+SUMPRODUCT(ISNUMBER(SEARCH(",CD279,",","&amp;SUBSTITUTE('2L Screening Matrix'!$I$2:$I$46,", ",",")&amp;","))*('2L Screening Matrix'!$C$2:$C$46=$A40))</f>
        <v>0</v>
      </c>
      <c r="D40" s="11">
        <f>SUMPRODUCT(ISNUMBER(SEARCH(",TS,",","&amp;SUBSTITUTE('1L Screening Matrix'!$I$2:$I$77,", ",",")&amp;","))*('1L Screening Matrix'!$C$2:$C$77=$A40))+SUMPRODUCT(ISNUMBER(SEARCH(",TS,",","&amp;SUBSTITUTE('2L Screening Matrix'!$I$2:$I$46,", ",",")&amp;","))*('2L Screening Matrix'!$C$2:$C$46=$A40))</f>
        <v>0</v>
      </c>
      <c r="E40" s="11">
        <f>SUMPRODUCT(ISNUMBER(SEARCH(",TYMS,",","&amp;SUBSTITUTE('1L Screening Matrix'!$I$2:$I$77,", ",",")&amp;","))*('1L Screening Matrix'!$C$2:$C$77=$A40))+SUMPRODUCT(ISNUMBER(SEARCH(",TYMS,",","&amp;SUBSTITUTE('2L Screening Matrix'!$I$2:$I$46,", ",",")&amp;","))*('2L Screening Matrix'!$C$2:$C$46=$A40))</f>
        <v>0</v>
      </c>
      <c r="F40" s="11">
        <f>SUMPRODUCT(ISNUMBER(SEARCH(",PD-L1,",","&amp;SUBSTITUTE('1L Screening Matrix'!$I$2:$I$77,", ",",")&amp;","))*('1L Screening Matrix'!$C$2:$C$77=$A40))+SUMPRODUCT(ISNUMBER(SEARCH(",PD-L1,",","&amp;SUBSTITUTE('2L Screening Matrix'!$I$2:$I$46,", ",",")&amp;","))*('2L Screening Matrix'!$C$2:$C$46=$A40))</f>
        <v>0</v>
      </c>
      <c r="G40" s="11">
        <f>SUMPRODUCT(ISNUMBER(SEARCH(",B7-H1,",","&amp;SUBSTITUTE('1L Screening Matrix'!$I$2:$I$77,", ",",")&amp;","))*('1L Screening Matrix'!$C$2:$C$77=$A40))+SUMPRODUCT(ISNUMBER(SEARCH(",B7-H1,",","&amp;SUBSTITUTE('2L Screening Matrix'!$I$2:$I$46,", ",",")&amp;","))*('2L Screening Matrix'!$C$2:$C$46=$A40))</f>
        <v>0</v>
      </c>
      <c r="H40" s="11">
        <f>SUMPRODUCT(ISNUMBER(SEARCH(",CD274,",","&amp;SUBSTITUTE('1L Screening Matrix'!$I$2:$I$77,", ",",")&amp;","))*('1L Screening Matrix'!$C$2:$C$77=$A40))+SUMPRODUCT(ISNUMBER(SEARCH(",CD274,",","&amp;SUBSTITUTE('2L Screening Matrix'!$I$2:$I$46,", ",",")&amp;","))*('2L Screening Matrix'!$C$2:$C$46=$A40))</f>
        <v>0</v>
      </c>
      <c r="I40" s="11">
        <f>SUMPRODUCT(ISNUMBER(SEARCH(",EGFR,",","&amp;SUBSTITUTE('1L Screening Matrix'!$I$2:$I$77,", ",",")&amp;","))*('1L Screening Matrix'!$C$2:$C$77=$A40))+SUMPRODUCT(ISNUMBER(SEARCH(",EGFR,",","&amp;SUBSTITUTE('2L Screening Matrix'!$I$2:$I$46,", ",",")&amp;","))*('2L Screening Matrix'!$C$2:$C$46=$A40))</f>
        <v>0</v>
      </c>
      <c r="J40" s="11">
        <f>SUMPRODUCT(ISNUMBER(SEARCH(",VEGF,",","&amp;SUBSTITUTE('1L Screening Matrix'!$I$2:$I$77,", ",",")&amp;","))*('1L Screening Matrix'!$C$2:$C$77=$A40))+SUMPRODUCT(ISNUMBER(SEARCH(",VEGF,",","&amp;SUBSTITUTE('2L Screening Matrix'!$I$2:$I$46,", ",",")&amp;","))*('2L Screening Matrix'!$C$2:$C$46=$A40))</f>
        <v>0</v>
      </c>
      <c r="K40" s="11">
        <f>SUMPRODUCT(ISNUMBER(SEARCH(",ERBB,",","&amp;SUBSTITUTE('1L Screening Matrix'!$I$2:$I$77,", ",",")&amp;","))*('1L Screening Matrix'!$C$2:$C$77=$A40))+SUMPRODUCT(ISNUMBER(SEARCH(",ERBB,",","&amp;SUBSTITUTE('2L Screening Matrix'!$I$2:$I$46,", ",",")&amp;","))*('2L Screening Matrix'!$C$2:$C$46=$A40))</f>
        <v>0</v>
      </c>
      <c r="L40" s="11">
        <f>SUMPRODUCT(ISNUMBER(SEARCH(",HER1,",","&amp;SUBSTITUTE('1L Screening Matrix'!$I$2:$I$77,", ",",")&amp;","))*('1L Screening Matrix'!$C$2:$C$77=$A40))+SUMPRODUCT(ISNUMBER(SEARCH(",HER1,",","&amp;SUBSTITUTE('2L Screening Matrix'!$I$2:$I$46,", ",",")&amp;","))*('2L Screening Matrix'!$C$2:$C$46=$A40))</f>
        <v>0</v>
      </c>
      <c r="M40" s="11">
        <f>SUMPRODUCT(ISNUMBER(SEARCH(",Microtubule,",","&amp;SUBSTITUTE('1L Screening Matrix'!$I$2:$I$77,", ",",")&amp;","))*('1L Screening Matrix'!$C$2:$C$77=$A40))+SUMPRODUCT(ISNUMBER(SEARCH(",Microtubule,",","&amp;SUBSTITUTE('2L Screening Matrix'!$I$2:$I$46,", ",",")&amp;","))*('2L Screening Matrix'!$C$2:$C$46=$A40))</f>
        <v>0</v>
      </c>
      <c r="N40" s="11">
        <f>SUMPRODUCT(ISNUMBER(SEARCH(",KRAS G12C,",","&amp;SUBSTITUTE('1L Screening Matrix'!$I$2:$I$77,", ",",")&amp;","))*('1L Screening Matrix'!$C$2:$C$77=$A40))+SUMPRODUCT(ISNUMBER(SEARCH(",KRAS G12C,",","&amp;SUBSTITUTE('2L Screening Matrix'!$I$2:$I$46,", ",",")&amp;","))*('2L Screening Matrix'!$C$2:$C$46=$A40))</f>
        <v>0</v>
      </c>
      <c r="O40" s="11">
        <f>SUMPRODUCT(ISNUMBER(SEARCH(",EGFR T790M,",","&amp;SUBSTITUTE('1L Screening Matrix'!$I$2:$I$77,", ",",")&amp;","))*('1L Screening Matrix'!$C$2:$C$77=$A40))+SUMPRODUCT(ISNUMBER(SEARCH(",EGFR T790M,",","&amp;SUBSTITUTE('2L Screening Matrix'!$I$2:$I$46,", ",",")&amp;","))*('2L Screening Matrix'!$C$2:$C$46=$A40))</f>
        <v>0</v>
      </c>
      <c r="P40" s="11">
        <f>SUMPRODUCT(ISNUMBER(SEARCH(",ALK,",","&amp;SUBSTITUTE('1L Screening Matrix'!$I$2:$I$77,", ",",")&amp;","))*('1L Screening Matrix'!$C$2:$C$77=$A40))+SUMPRODUCT(ISNUMBER(SEARCH(",ALK,",","&amp;SUBSTITUTE('2L Screening Matrix'!$I$2:$I$46,", ",",")&amp;","))*('2L Screening Matrix'!$C$2:$C$46=$A40))</f>
        <v>0</v>
      </c>
      <c r="Q40" s="11">
        <f>SUMPRODUCT(ISNUMBER(SEARCH(",TROP2,",","&amp;SUBSTITUTE('1L Screening Matrix'!$I$2:$I$77,", ",",")&amp;","))*('1L Screening Matrix'!$C$2:$C$77=$A40))+SUMPRODUCT(ISNUMBER(SEARCH(",TROP2,",","&amp;SUBSTITUTE('2L Screening Matrix'!$I$2:$I$46,", ",",")&amp;","))*('2L Screening Matrix'!$C$2:$C$46=$A40))</f>
        <v>0</v>
      </c>
      <c r="R40" s="11">
        <f>SUMPRODUCT(ISNUMBER(SEARCH(",c-MET/MET,",","&amp;SUBSTITUTE('1L Screening Matrix'!$I$2:$I$77,", ",",")&amp;","))*('1L Screening Matrix'!$C$2:$C$77=$A40))+SUMPRODUCT(ISNUMBER(SEARCH(",c-MET/MET,",","&amp;SUBSTITUTE('2L Screening Matrix'!$I$2:$I$46,", ",",")&amp;","))*('2L Screening Matrix'!$C$2:$C$46=$A40))</f>
        <v>0</v>
      </c>
      <c r="S40" s="11">
        <f>SUMPRODUCT(ISNUMBER(SEARCH(",HER2,",","&amp;SUBSTITUTE('1L Screening Matrix'!$I$2:$I$77,", ",",")&amp;","))*('1L Screening Matrix'!$C$2:$C$77=$A40))+SUMPRODUCT(ISNUMBER(SEARCH(",HER2,",","&amp;SUBSTITUTE('2L Screening Matrix'!$I$2:$I$46,", ",",")&amp;","))*('2L Screening Matrix'!$C$2:$C$46=$A40))</f>
        <v>1</v>
      </c>
      <c r="T40" s="11">
        <f>SUMPRODUCT(ISNUMBER(SEARCH(",ROS1,",","&amp;SUBSTITUTE('1L Screening Matrix'!$I$2:$I$77,", ",",")&amp;","))*('1L Screening Matrix'!$C$2:$C$77=$A40))+SUMPRODUCT(ISNUMBER(SEARCH(",ROS1,",","&amp;SUBSTITUTE('2L Screening Matrix'!$I$2:$I$46,", ",",")&amp;","))*('2L Screening Matrix'!$C$2:$C$46=$A40))</f>
        <v>0</v>
      </c>
      <c r="U40" s="11">
        <f>SUMPRODUCT(ISNUMBER(SEARCH(",TIGIT,",","&amp;SUBSTITUTE('1L Screening Matrix'!$I$2:$I$77,", ",",")&amp;","))*('1L Screening Matrix'!$C$2:$C$77=$A40))+SUMPRODUCT(ISNUMBER(SEARCH(",TIGIT,",","&amp;SUBSTITUTE('2L Screening Matrix'!$I$2:$I$46,", ",",")&amp;","))*('2L Screening Matrix'!$C$2:$C$46=$A40))</f>
        <v>0</v>
      </c>
      <c r="V40" s="11">
        <f>SUMPRODUCT(ISNUMBER(SEARCH(",EGFR L858R,",","&amp;SUBSTITUTE('1L Screening Matrix'!$I$2:$I$77,", ",",")&amp;","))*('1L Screening Matrix'!$C$2:$C$77=$A40))+SUMPRODUCT(ISNUMBER(SEARCH(",EGFR L858R,",","&amp;SUBSTITUTE('2L Screening Matrix'!$I$2:$I$46,", ",",")&amp;","))*('2L Screening Matrix'!$C$2:$C$46=$A40))</f>
        <v>0</v>
      </c>
      <c r="W40" s="11">
        <f>SUMPRODUCT(ISNUMBER(SEARCH(",ROS,",","&amp;SUBSTITUTE('1L Screening Matrix'!$I$2:$I$77,", ",",")&amp;","))*('1L Screening Matrix'!$C$2:$C$77=$A40))+SUMPRODUCT(ISNUMBER(SEARCH(",ROS,",","&amp;SUBSTITUTE('2L Screening Matrix'!$I$2:$I$46,", ",",")&amp;","))*('2L Screening Matrix'!$C$2:$C$46=$A40))</f>
        <v>0</v>
      </c>
      <c r="X40" s="11">
        <f>SUMPRODUCT(ISNUMBER(SEARCH(",IL-2,",","&amp;SUBSTITUTE('1L Screening Matrix'!$I$2:$I$77,", ",",")&amp;","))*('1L Screening Matrix'!$C$2:$C$77=$A40))+SUMPRODUCT(ISNUMBER(SEARCH(",IL-2,",","&amp;SUBSTITUTE('2L Screening Matrix'!$I$2:$I$46,", ",",")&amp;","))*('2L Screening Matrix'!$C$2:$C$46=$A40))</f>
        <v>0</v>
      </c>
      <c r="Y40" s="11">
        <f>SUMPRODUCT(ISNUMBER(SEARCH(",TCGF,",","&amp;SUBSTITUTE('1L Screening Matrix'!$I$2:$I$77,", ",",")&amp;","))*('1L Screening Matrix'!$C$2:$C$77=$A40))+SUMPRODUCT(ISNUMBER(SEARCH(",TCGF,",","&amp;SUBSTITUTE('2L Screening Matrix'!$I$2:$I$46,", ",",")&amp;","))*('2L Screening Matrix'!$C$2:$C$46=$A40))</f>
        <v>0</v>
      </c>
      <c r="Z40" s="11">
        <f>SUMPRODUCT(ISNUMBER(SEARCH(",CTLA-4,",","&amp;SUBSTITUTE('1L Screening Matrix'!$I$2:$I$77,", ",",")&amp;","))*('1L Screening Matrix'!$C$2:$C$77=$A40))+SUMPRODUCT(ISNUMBER(SEARCH(",CTLA-4,",","&amp;SUBSTITUTE('2L Screening Matrix'!$I$2:$I$46,", ",",")&amp;","))*('2L Screening Matrix'!$C$2:$C$46=$A40))</f>
        <v>0</v>
      </c>
      <c r="AA40" s="11">
        <f>SUMPRODUCT(ISNUMBER(SEARCH(",EGFR Exon 20,",","&amp;SUBSTITUTE('1L Screening Matrix'!$I$2:$I$77,", ",",")&amp;","))*('1L Screening Matrix'!$C$2:$C$77=$A40))+SUMPRODUCT(ISNUMBER(SEARCH(",EGFR Exon 20,",","&amp;SUBSTITUTE('2L Screening Matrix'!$I$2:$I$46,", ",",")&amp;","))*('2L Screening Matrix'!$C$2:$C$46=$A40))</f>
        <v>0</v>
      </c>
      <c r="AB40" s="11">
        <f>SUMPRODUCT(ISNUMBER(SEARCH(",HER2 Exon 20,",","&amp;SUBSTITUTE('1L Screening Matrix'!$I$2:$I$77,", ",",")&amp;","))*('1L Screening Matrix'!$C$2:$C$77=$A40))+SUMPRODUCT(ISNUMBER(SEARCH(",HER2 Exon 20,",","&amp;SUBSTITUTE('2L Screening Matrix'!$I$2:$I$46,", ",",")&amp;","))*('2L Screening Matrix'!$C$2:$C$46=$A40))</f>
        <v>0</v>
      </c>
      <c r="AC40" s="11">
        <f>SUMPRODUCT(ISNUMBER(SEARCH(",IL-15,",","&amp;SUBSTITUTE('1L Screening Matrix'!$I$2:$I$77,", ",",")&amp;","))*('1L Screening Matrix'!$C$2:$C$77=$A40))+SUMPRODUCT(ISNUMBER(SEARCH(",IL-15,",","&amp;SUBSTITUTE('2L Screening Matrix'!$I$2:$I$46,", ",",")&amp;","))*('2L Screening Matrix'!$C$2:$C$46=$A40))</f>
        <v>0</v>
      </c>
      <c r="AD40" s="11">
        <f>SUMPRODUCT(ISNUMBER(SEARCH(",IL-15R,",","&amp;SUBSTITUTE('1L Screening Matrix'!$I$2:$I$77,", ",",")&amp;","))*('1L Screening Matrix'!$C$2:$C$77=$A40))+SUMPRODUCT(ISNUMBER(SEARCH(",IL-15R,",","&amp;SUBSTITUTE('2L Screening Matrix'!$I$2:$I$46,", ",",")&amp;","))*('2L Screening Matrix'!$C$2:$C$46=$A40))</f>
        <v>0</v>
      </c>
      <c r="AE40" s="11">
        <f>SUMPRODUCT(ISNUMBER(SEARCH(",KRAS G12D,",","&amp;SUBSTITUTE('1L Screening Matrix'!$I$2:$I$77,", ",",")&amp;","))*('1L Screening Matrix'!$C$2:$C$77=$A40))+SUMPRODUCT(ISNUMBER(SEARCH(",KRAS G12D,",","&amp;SUBSTITUTE('2L Screening Matrix'!$I$2:$I$46,", ",",")&amp;","))*('2L Screening Matrix'!$C$2:$C$46=$A40))</f>
        <v>0</v>
      </c>
      <c r="AF40" s="11">
        <f>SUMPRODUCT(ISNUMBER(SEARCH(",HER4,",","&amp;SUBSTITUTE('1L Screening Matrix'!$I$2:$I$77,", ",",")&amp;","))*('1L Screening Matrix'!$C$2:$C$77=$A40))+SUMPRODUCT(ISNUMBER(SEARCH(",HER4,",","&amp;SUBSTITUTE('2L Screening Matrix'!$I$2:$I$46,", ",",")&amp;","))*('2L Screening Matrix'!$C$2:$C$46=$A40))</f>
        <v>0</v>
      </c>
      <c r="AG40" s="11">
        <f>SUMPRODUCT(ISNUMBER(SEARCH(",ALK L1196M,",","&amp;SUBSTITUTE('1L Screening Matrix'!$I$2:$I$77,", ",",")&amp;","))*('1L Screening Matrix'!$C$2:$C$77=$A40))+SUMPRODUCT(ISNUMBER(SEARCH(",ALK L1196M,",","&amp;SUBSTITUTE('2L Screening Matrix'!$I$2:$I$46,", ",",")&amp;","))*('2L Screening Matrix'!$C$2:$C$46=$A40))</f>
        <v>0</v>
      </c>
      <c r="AH40" s="11">
        <f>SUMPRODUCT(ISNUMBER(SEARCH(",CD152,",","&amp;SUBSTITUTE('1L Screening Matrix'!$I$2:$I$77,", ",",")&amp;","))*('1L Screening Matrix'!$C$2:$C$77=$A40))+SUMPRODUCT(ISNUMBER(SEARCH(",CD152,",","&amp;SUBSTITUTE('2L Screening Matrix'!$I$2:$I$46,", ",",")&amp;","))*('2L Screening Matrix'!$C$2:$C$46=$A40))</f>
        <v>0</v>
      </c>
      <c r="AI40" s="11">
        <f>SUMPRODUCT(ISNUMBER(SEARCH(",MLN19,",","&amp;SUBSTITUTE('1L Screening Matrix'!$I$2:$I$77,", ",",")&amp;","))*('1L Screening Matrix'!$C$2:$C$77=$A40))+SUMPRODUCT(ISNUMBER(SEARCH(",MLN19,",","&amp;SUBSTITUTE('2L Screening Matrix'!$I$2:$I$46,", ",",")&amp;","))*('2L Screening Matrix'!$C$2:$C$46=$A40))</f>
        <v>0</v>
      </c>
      <c r="AJ40" s="11">
        <f>SUMPRODUCT(ISNUMBER(SEARCH(",NTRK,",","&amp;SUBSTITUTE('1L Screening Matrix'!$I$2:$I$77,", ",",")&amp;","))*('1L Screening Matrix'!$C$2:$C$77=$A40))+SUMPRODUCT(ISNUMBER(SEARCH(",NTRK,",","&amp;SUBSTITUTE('2L Screening Matrix'!$I$2:$I$46,", ",",")&amp;","))*('2L Screening Matrix'!$C$2:$C$46=$A40))</f>
        <v>0</v>
      </c>
      <c r="AK40" s="11">
        <f>SUMPRODUCT(ISNUMBER(SEARCH(",Integrin β6,",","&amp;SUBSTITUTE('1L Screening Matrix'!$I$2:$I$77,", ",",")&amp;","))*('1L Screening Matrix'!$C$2:$C$77=$A40))+SUMPRODUCT(ISNUMBER(SEARCH(",Integrin β6,",","&amp;SUBSTITUTE('2L Screening Matrix'!$I$2:$I$46,", ",",")&amp;","))*('2L Screening Matrix'!$C$2:$C$46=$A40))</f>
        <v>0</v>
      </c>
      <c r="AL40" s="11">
        <f>SUMPRODUCT(ISNUMBER(SEARCH(",LAG-3,",","&amp;SUBSTITUTE('1L Screening Matrix'!$I$2:$I$77,", ",",")&amp;","))*('1L Screening Matrix'!$C$2:$C$77=$A40))+SUMPRODUCT(ISNUMBER(SEARCH(",LAG-3,",","&amp;SUBSTITUTE('2L Screening Matrix'!$I$2:$I$46,", ",",")&amp;","))*('2L Screening Matrix'!$C$2:$C$46=$A40))</f>
        <v>0</v>
      </c>
      <c r="AM40" s="14">
        <f t="shared" si="1"/>
        <v>1</v>
      </c>
    </row>
    <row r="41" spans="1:39" ht="15" customHeight="1" x14ac:dyDescent="0.2">
      <c r="A41" s="15" t="s">
        <v>1367</v>
      </c>
      <c r="B41" s="11">
        <f>SUMPRODUCT(ISNUMBER(SEARCH(",PD-1,",","&amp;SUBSTITUTE('1L Screening Matrix'!$I$2:$I$77,", ",",")&amp;","))*('1L Screening Matrix'!$C$2:$C$77=$A41))+SUMPRODUCT(ISNUMBER(SEARCH(",PD-1,",","&amp;SUBSTITUTE('2L Screening Matrix'!$I$2:$I$46,", ",",")&amp;","))*('2L Screening Matrix'!$C$2:$C$46=$A41))</f>
        <v>0</v>
      </c>
      <c r="C41" s="11">
        <f>SUMPRODUCT(ISNUMBER(SEARCH(",CD279,",","&amp;SUBSTITUTE('1L Screening Matrix'!$I$2:$I$77,", ",",")&amp;","))*('1L Screening Matrix'!$C$2:$C$77=$A41))+SUMPRODUCT(ISNUMBER(SEARCH(",CD279,",","&amp;SUBSTITUTE('2L Screening Matrix'!$I$2:$I$46,", ",",")&amp;","))*('2L Screening Matrix'!$C$2:$C$46=$A41))</f>
        <v>0</v>
      </c>
      <c r="D41" s="11">
        <f>SUMPRODUCT(ISNUMBER(SEARCH(",TS,",","&amp;SUBSTITUTE('1L Screening Matrix'!$I$2:$I$77,", ",",")&amp;","))*('1L Screening Matrix'!$C$2:$C$77=$A41))+SUMPRODUCT(ISNUMBER(SEARCH(",TS,",","&amp;SUBSTITUTE('2L Screening Matrix'!$I$2:$I$46,", ",",")&amp;","))*('2L Screening Matrix'!$C$2:$C$46=$A41))</f>
        <v>0</v>
      </c>
      <c r="E41" s="11">
        <f>SUMPRODUCT(ISNUMBER(SEARCH(",TYMS,",","&amp;SUBSTITUTE('1L Screening Matrix'!$I$2:$I$77,", ",",")&amp;","))*('1L Screening Matrix'!$C$2:$C$77=$A41))+SUMPRODUCT(ISNUMBER(SEARCH(",TYMS,",","&amp;SUBSTITUTE('2L Screening Matrix'!$I$2:$I$46,", ",",")&amp;","))*('2L Screening Matrix'!$C$2:$C$46=$A41))</f>
        <v>0</v>
      </c>
      <c r="F41" s="11">
        <f>SUMPRODUCT(ISNUMBER(SEARCH(",PD-L1,",","&amp;SUBSTITUTE('1L Screening Matrix'!$I$2:$I$77,", ",",")&amp;","))*('1L Screening Matrix'!$C$2:$C$77=$A41))+SUMPRODUCT(ISNUMBER(SEARCH(",PD-L1,",","&amp;SUBSTITUTE('2L Screening Matrix'!$I$2:$I$46,", ",",")&amp;","))*('2L Screening Matrix'!$C$2:$C$46=$A41))</f>
        <v>0</v>
      </c>
      <c r="G41" s="11">
        <f>SUMPRODUCT(ISNUMBER(SEARCH(",B7-H1,",","&amp;SUBSTITUTE('1L Screening Matrix'!$I$2:$I$77,", ",",")&amp;","))*('1L Screening Matrix'!$C$2:$C$77=$A41))+SUMPRODUCT(ISNUMBER(SEARCH(",B7-H1,",","&amp;SUBSTITUTE('2L Screening Matrix'!$I$2:$I$46,", ",",")&amp;","))*('2L Screening Matrix'!$C$2:$C$46=$A41))</f>
        <v>0</v>
      </c>
      <c r="H41" s="11">
        <f>SUMPRODUCT(ISNUMBER(SEARCH(",CD274,",","&amp;SUBSTITUTE('1L Screening Matrix'!$I$2:$I$77,", ",",")&amp;","))*('1L Screening Matrix'!$C$2:$C$77=$A41))+SUMPRODUCT(ISNUMBER(SEARCH(",CD274,",","&amp;SUBSTITUTE('2L Screening Matrix'!$I$2:$I$46,", ",",")&amp;","))*('2L Screening Matrix'!$C$2:$C$46=$A41))</f>
        <v>0</v>
      </c>
      <c r="I41" s="11">
        <f>SUMPRODUCT(ISNUMBER(SEARCH(",EGFR,",","&amp;SUBSTITUTE('1L Screening Matrix'!$I$2:$I$77,", ",",")&amp;","))*('1L Screening Matrix'!$C$2:$C$77=$A41))+SUMPRODUCT(ISNUMBER(SEARCH(",EGFR,",","&amp;SUBSTITUTE('2L Screening Matrix'!$I$2:$I$46,", ",",")&amp;","))*('2L Screening Matrix'!$C$2:$C$46=$A41))</f>
        <v>1</v>
      </c>
      <c r="J41" s="11">
        <f>SUMPRODUCT(ISNUMBER(SEARCH(",VEGF,",","&amp;SUBSTITUTE('1L Screening Matrix'!$I$2:$I$77,", ",",")&amp;","))*('1L Screening Matrix'!$C$2:$C$77=$A41))+SUMPRODUCT(ISNUMBER(SEARCH(",VEGF,",","&amp;SUBSTITUTE('2L Screening Matrix'!$I$2:$I$46,", ",",")&amp;","))*('2L Screening Matrix'!$C$2:$C$46=$A41))</f>
        <v>0</v>
      </c>
      <c r="K41" s="11">
        <f>SUMPRODUCT(ISNUMBER(SEARCH(",ERBB,",","&amp;SUBSTITUTE('1L Screening Matrix'!$I$2:$I$77,", ",",")&amp;","))*('1L Screening Matrix'!$C$2:$C$77=$A41))+SUMPRODUCT(ISNUMBER(SEARCH(",ERBB,",","&amp;SUBSTITUTE('2L Screening Matrix'!$I$2:$I$46,", ",",")&amp;","))*('2L Screening Matrix'!$C$2:$C$46=$A41))</f>
        <v>1</v>
      </c>
      <c r="L41" s="11">
        <f>SUMPRODUCT(ISNUMBER(SEARCH(",HER1,",","&amp;SUBSTITUTE('1L Screening Matrix'!$I$2:$I$77,", ",",")&amp;","))*('1L Screening Matrix'!$C$2:$C$77=$A41))+SUMPRODUCT(ISNUMBER(SEARCH(",HER1,",","&amp;SUBSTITUTE('2L Screening Matrix'!$I$2:$I$46,", ",",")&amp;","))*('2L Screening Matrix'!$C$2:$C$46=$A41))</f>
        <v>1</v>
      </c>
      <c r="M41" s="11">
        <f>SUMPRODUCT(ISNUMBER(SEARCH(",Microtubule,",","&amp;SUBSTITUTE('1L Screening Matrix'!$I$2:$I$77,", ",",")&amp;","))*('1L Screening Matrix'!$C$2:$C$77=$A41))+SUMPRODUCT(ISNUMBER(SEARCH(",Microtubule,",","&amp;SUBSTITUTE('2L Screening Matrix'!$I$2:$I$46,", ",",")&amp;","))*('2L Screening Matrix'!$C$2:$C$46=$A41))</f>
        <v>0</v>
      </c>
      <c r="N41" s="11">
        <f>SUMPRODUCT(ISNUMBER(SEARCH(",KRAS G12C,",","&amp;SUBSTITUTE('1L Screening Matrix'!$I$2:$I$77,", ",",")&amp;","))*('1L Screening Matrix'!$C$2:$C$77=$A41))+SUMPRODUCT(ISNUMBER(SEARCH(",KRAS G12C,",","&amp;SUBSTITUTE('2L Screening Matrix'!$I$2:$I$46,", ",",")&amp;","))*('2L Screening Matrix'!$C$2:$C$46=$A41))</f>
        <v>0</v>
      </c>
      <c r="O41" s="11">
        <f>SUMPRODUCT(ISNUMBER(SEARCH(",EGFR T790M,",","&amp;SUBSTITUTE('1L Screening Matrix'!$I$2:$I$77,", ",",")&amp;","))*('1L Screening Matrix'!$C$2:$C$77=$A41))+SUMPRODUCT(ISNUMBER(SEARCH(",EGFR T790M,",","&amp;SUBSTITUTE('2L Screening Matrix'!$I$2:$I$46,", ",",")&amp;","))*('2L Screening Matrix'!$C$2:$C$46=$A41))</f>
        <v>0</v>
      </c>
      <c r="P41" s="11">
        <f>SUMPRODUCT(ISNUMBER(SEARCH(",ALK,",","&amp;SUBSTITUTE('1L Screening Matrix'!$I$2:$I$77,", ",",")&amp;","))*('1L Screening Matrix'!$C$2:$C$77=$A41))+SUMPRODUCT(ISNUMBER(SEARCH(",ALK,",","&amp;SUBSTITUTE('2L Screening Matrix'!$I$2:$I$46,", ",",")&amp;","))*('2L Screening Matrix'!$C$2:$C$46=$A41))</f>
        <v>0</v>
      </c>
      <c r="Q41" s="11">
        <f>SUMPRODUCT(ISNUMBER(SEARCH(",TROP2,",","&amp;SUBSTITUTE('1L Screening Matrix'!$I$2:$I$77,", ",",")&amp;","))*('1L Screening Matrix'!$C$2:$C$77=$A41))+SUMPRODUCT(ISNUMBER(SEARCH(",TROP2,",","&amp;SUBSTITUTE('2L Screening Matrix'!$I$2:$I$46,", ",",")&amp;","))*('2L Screening Matrix'!$C$2:$C$46=$A41))</f>
        <v>0</v>
      </c>
      <c r="R41" s="11">
        <f>SUMPRODUCT(ISNUMBER(SEARCH(",c-MET/MET,",","&amp;SUBSTITUTE('1L Screening Matrix'!$I$2:$I$77,", ",",")&amp;","))*('1L Screening Matrix'!$C$2:$C$77=$A41))+SUMPRODUCT(ISNUMBER(SEARCH(",c-MET/MET,",","&amp;SUBSTITUTE('2L Screening Matrix'!$I$2:$I$46,", ",",")&amp;","))*('2L Screening Matrix'!$C$2:$C$46=$A41))</f>
        <v>1</v>
      </c>
      <c r="S41" s="11">
        <f>SUMPRODUCT(ISNUMBER(SEARCH(",HER2,",","&amp;SUBSTITUTE('1L Screening Matrix'!$I$2:$I$77,", ",",")&amp;","))*('1L Screening Matrix'!$C$2:$C$77=$A41))+SUMPRODUCT(ISNUMBER(SEARCH(",HER2,",","&amp;SUBSTITUTE('2L Screening Matrix'!$I$2:$I$46,", ",",")&amp;","))*('2L Screening Matrix'!$C$2:$C$46=$A41))</f>
        <v>1</v>
      </c>
      <c r="T41" s="11">
        <f>SUMPRODUCT(ISNUMBER(SEARCH(",ROS1,",","&amp;SUBSTITUTE('1L Screening Matrix'!$I$2:$I$77,", ",",")&amp;","))*('1L Screening Matrix'!$C$2:$C$77=$A41))+SUMPRODUCT(ISNUMBER(SEARCH(",ROS1,",","&amp;SUBSTITUTE('2L Screening Matrix'!$I$2:$I$46,", ",",")&amp;","))*('2L Screening Matrix'!$C$2:$C$46=$A41))</f>
        <v>0</v>
      </c>
      <c r="U41" s="11">
        <f>SUMPRODUCT(ISNUMBER(SEARCH(",TIGIT,",","&amp;SUBSTITUTE('1L Screening Matrix'!$I$2:$I$77,", ",",")&amp;","))*('1L Screening Matrix'!$C$2:$C$77=$A41))+SUMPRODUCT(ISNUMBER(SEARCH(",TIGIT,",","&amp;SUBSTITUTE('2L Screening Matrix'!$I$2:$I$46,", ",",")&amp;","))*('2L Screening Matrix'!$C$2:$C$46=$A41))</f>
        <v>0</v>
      </c>
      <c r="V41" s="11">
        <f>SUMPRODUCT(ISNUMBER(SEARCH(",EGFR L858R,",","&amp;SUBSTITUTE('1L Screening Matrix'!$I$2:$I$77,", ",",")&amp;","))*('1L Screening Matrix'!$C$2:$C$77=$A41))+SUMPRODUCT(ISNUMBER(SEARCH(",EGFR L858R,",","&amp;SUBSTITUTE('2L Screening Matrix'!$I$2:$I$46,", ",",")&amp;","))*('2L Screening Matrix'!$C$2:$C$46=$A41))</f>
        <v>0</v>
      </c>
      <c r="W41" s="11">
        <f>SUMPRODUCT(ISNUMBER(SEARCH(",ROS,",","&amp;SUBSTITUTE('1L Screening Matrix'!$I$2:$I$77,", ",",")&amp;","))*('1L Screening Matrix'!$C$2:$C$77=$A41))+SUMPRODUCT(ISNUMBER(SEARCH(",ROS,",","&amp;SUBSTITUTE('2L Screening Matrix'!$I$2:$I$46,", ",",")&amp;","))*('2L Screening Matrix'!$C$2:$C$46=$A41))</f>
        <v>0</v>
      </c>
      <c r="X41" s="11">
        <f>SUMPRODUCT(ISNUMBER(SEARCH(",IL-2,",","&amp;SUBSTITUTE('1L Screening Matrix'!$I$2:$I$77,", ",",")&amp;","))*('1L Screening Matrix'!$C$2:$C$77=$A41))+SUMPRODUCT(ISNUMBER(SEARCH(",IL-2,",","&amp;SUBSTITUTE('2L Screening Matrix'!$I$2:$I$46,", ",",")&amp;","))*('2L Screening Matrix'!$C$2:$C$46=$A41))</f>
        <v>0</v>
      </c>
      <c r="Y41" s="11">
        <f>SUMPRODUCT(ISNUMBER(SEARCH(",TCGF,",","&amp;SUBSTITUTE('1L Screening Matrix'!$I$2:$I$77,", ",",")&amp;","))*('1L Screening Matrix'!$C$2:$C$77=$A41))+SUMPRODUCT(ISNUMBER(SEARCH(",TCGF,",","&amp;SUBSTITUTE('2L Screening Matrix'!$I$2:$I$46,", ",",")&amp;","))*('2L Screening Matrix'!$C$2:$C$46=$A41))</f>
        <v>0</v>
      </c>
      <c r="Z41" s="11">
        <f>SUMPRODUCT(ISNUMBER(SEARCH(",CTLA-4,",","&amp;SUBSTITUTE('1L Screening Matrix'!$I$2:$I$77,", ",",")&amp;","))*('1L Screening Matrix'!$C$2:$C$77=$A41))+SUMPRODUCT(ISNUMBER(SEARCH(",CTLA-4,",","&amp;SUBSTITUTE('2L Screening Matrix'!$I$2:$I$46,", ",",")&amp;","))*('2L Screening Matrix'!$C$2:$C$46=$A41))</f>
        <v>0</v>
      </c>
      <c r="AA41" s="11">
        <f>SUMPRODUCT(ISNUMBER(SEARCH(",EGFR Exon 20,",","&amp;SUBSTITUTE('1L Screening Matrix'!$I$2:$I$77,", ",",")&amp;","))*('1L Screening Matrix'!$C$2:$C$77=$A41))+SUMPRODUCT(ISNUMBER(SEARCH(",EGFR Exon 20,",","&amp;SUBSTITUTE('2L Screening Matrix'!$I$2:$I$46,", ",",")&amp;","))*('2L Screening Matrix'!$C$2:$C$46=$A41))</f>
        <v>1</v>
      </c>
      <c r="AB41" s="11">
        <f>SUMPRODUCT(ISNUMBER(SEARCH(",HER2 Exon 20,",","&amp;SUBSTITUTE('1L Screening Matrix'!$I$2:$I$77,", ",",")&amp;","))*('1L Screening Matrix'!$C$2:$C$77=$A41))+SUMPRODUCT(ISNUMBER(SEARCH(",HER2 Exon 20,",","&amp;SUBSTITUTE('2L Screening Matrix'!$I$2:$I$46,", ",",")&amp;","))*('2L Screening Matrix'!$C$2:$C$46=$A41))</f>
        <v>1</v>
      </c>
      <c r="AC41" s="11">
        <f>SUMPRODUCT(ISNUMBER(SEARCH(",IL-15,",","&amp;SUBSTITUTE('1L Screening Matrix'!$I$2:$I$77,", ",",")&amp;","))*('1L Screening Matrix'!$C$2:$C$77=$A41))+SUMPRODUCT(ISNUMBER(SEARCH(",IL-15,",","&amp;SUBSTITUTE('2L Screening Matrix'!$I$2:$I$46,", ",",")&amp;","))*('2L Screening Matrix'!$C$2:$C$46=$A41))</f>
        <v>0</v>
      </c>
      <c r="AD41" s="11">
        <f>SUMPRODUCT(ISNUMBER(SEARCH(",IL-15R,",","&amp;SUBSTITUTE('1L Screening Matrix'!$I$2:$I$77,", ",",")&amp;","))*('1L Screening Matrix'!$C$2:$C$77=$A41))+SUMPRODUCT(ISNUMBER(SEARCH(",IL-15R,",","&amp;SUBSTITUTE('2L Screening Matrix'!$I$2:$I$46,", ",",")&amp;","))*('2L Screening Matrix'!$C$2:$C$46=$A41))</f>
        <v>0</v>
      </c>
      <c r="AE41" s="11">
        <f>SUMPRODUCT(ISNUMBER(SEARCH(",KRAS G12D,",","&amp;SUBSTITUTE('1L Screening Matrix'!$I$2:$I$77,", ",",")&amp;","))*('1L Screening Matrix'!$C$2:$C$77=$A41))+SUMPRODUCT(ISNUMBER(SEARCH(",KRAS G12D,",","&amp;SUBSTITUTE('2L Screening Matrix'!$I$2:$I$46,", ",",")&amp;","))*('2L Screening Matrix'!$C$2:$C$46=$A41))</f>
        <v>0</v>
      </c>
      <c r="AF41" s="11">
        <f>SUMPRODUCT(ISNUMBER(SEARCH(",HER4,",","&amp;SUBSTITUTE('1L Screening Matrix'!$I$2:$I$77,", ",",")&amp;","))*('1L Screening Matrix'!$C$2:$C$77=$A41))+SUMPRODUCT(ISNUMBER(SEARCH(",HER4,",","&amp;SUBSTITUTE('2L Screening Matrix'!$I$2:$I$46,", ",",")&amp;","))*('2L Screening Matrix'!$C$2:$C$46=$A41))</f>
        <v>0</v>
      </c>
      <c r="AG41" s="11">
        <f>SUMPRODUCT(ISNUMBER(SEARCH(",ALK L1196M,",","&amp;SUBSTITUTE('1L Screening Matrix'!$I$2:$I$77,", ",",")&amp;","))*('1L Screening Matrix'!$C$2:$C$77=$A41))+SUMPRODUCT(ISNUMBER(SEARCH(",ALK L1196M,",","&amp;SUBSTITUTE('2L Screening Matrix'!$I$2:$I$46,", ",",")&amp;","))*('2L Screening Matrix'!$C$2:$C$46=$A41))</f>
        <v>0</v>
      </c>
      <c r="AH41" s="11">
        <f>SUMPRODUCT(ISNUMBER(SEARCH(",CD152,",","&amp;SUBSTITUTE('1L Screening Matrix'!$I$2:$I$77,", ",",")&amp;","))*('1L Screening Matrix'!$C$2:$C$77=$A41))+SUMPRODUCT(ISNUMBER(SEARCH(",CD152,",","&amp;SUBSTITUTE('2L Screening Matrix'!$I$2:$I$46,", ",",")&amp;","))*('2L Screening Matrix'!$C$2:$C$46=$A41))</f>
        <v>0</v>
      </c>
      <c r="AI41" s="11">
        <f>SUMPRODUCT(ISNUMBER(SEARCH(",MLN19,",","&amp;SUBSTITUTE('1L Screening Matrix'!$I$2:$I$77,", ",",")&amp;","))*('1L Screening Matrix'!$C$2:$C$77=$A41))+SUMPRODUCT(ISNUMBER(SEARCH(",MLN19,",","&amp;SUBSTITUTE('2L Screening Matrix'!$I$2:$I$46,", ",",")&amp;","))*('2L Screening Matrix'!$C$2:$C$46=$A41))</f>
        <v>0</v>
      </c>
      <c r="AJ41" s="11">
        <f>SUMPRODUCT(ISNUMBER(SEARCH(",NTRK,",","&amp;SUBSTITUTE('1L Screening Matrix'!$I$2:$I$77,", ",",")&amp;","))*('1L Screening Matrix'!$C$2:$C$77=$A41))+SUMPRODUCT(ISNUMBER(SEARCH(",NTRK,",","&amp;SUBSTITUTE('2L Screening Matrix'!$I$2:$I$46,", ",",")&amp;","))*('2L Screening Matrix'!$C$2:$C$46=$A41))</f>
        <v>0</v>
      </c>
      <c r="AK41" s="11">
        <f>SUMPRODUCT(ISNUMBER(SEARCH(",Integrin β6,",","&amp;SUBSTITUTE('1L Screening Matrix'!$I$2:$I$77,", ",",")&amp;","))*('1L Screening Matrix'!$C$2:$C$77=$A41))+SUMPRODUCT(ISNUMBER(SEARCH(",Integrin β6,",","&amp;SUBSTITUTE('2L Screening Matrix'!$I$2:$I$46,", ",",")&amp;","))*('2L Screening Matrix'!$C$2:$C$46=$A41))</f>
        <v>0</v>
      </c>
      <c r="AL41" s="11">
        <f>SUMPRODUCT(ISNUMBER(SEARCH(",LAG-3,",","&amp;SUBSTITUTE('1L Screening Matrix'!$I$2:$I$77,", ",",")&amp;","))*('1L Screening Matrix'!$C$2:$C$77=$A41))+SUMPRODUCT(ISNUMBER(SEARCH(",LAG-3,",","&amp;SUBSTITUTE('2L Screening Matrix'!$I$2:$I$46,", ",",")&amp;","))*('2L Screening Matrix'!$C$2:$C$46=$A41))</f>
        <v>0</v>
      </c>
      <c r="AM41" s="14">
        <f t="shared" si="1"/>
        <v>7</v>
      </c>
    </row>
    <row r="42" spans="1:39" ht="15" customHeight="1" x14ac:dyDescent="0.2">
      <c r="A42" s="12" t="s">
        <v>235</v>
      </c>
      <c r="B42" s="11">
        <f>SUMPRODUCT(ISNUMBER(SEARCH(",PD-1,",","&amp;SUBSTITUTE('1L Screening Matrix'!$I$2:$I$77,", ",",")&amp;","))*('1L Screening Matrix'!$C$2:$C$77=$A42))+SUMPRODUCT(ISNUMBER(SEARCH(",PD-1,",","&amp;SUBSTITUTE('2L Screening Matrix'!$I$2:$I$46,", ",",")&amp;","))*('2L Screening Matrix'!$C$2:$C$46=$A42))</f>
        <v>2</v>
      </c>
      <c r="C42" s="11">
        <f>SUMPRODUCT(ISNUMBER(SEARCH(",CD279,",","&amp;SUBSTITUTE('1L Screening Matrix'!$I$2:$I$77,", ",",")&amp;","))*('1L Screening Matrix'!$C$2:$C$77=$A42))+SUMPRODUCT(ISNUMBER(SEARCH(",CD279,",","&amp;SUBSTITUTE('2L Screening Matrix'!$I$2:$I$46,", ",",")&amp;","))*('2L Screening Matrix'!$C$2:$C$46=$A42))</f>
        <v>2</v>
      </c>
      <c r="D42" s="11">
        <f>SUMPRODUCT(ISNUMBER(SEARCH(",TS,",","&amp;SUBSTITUTE('1L Screening Matrix'!$I$2:$I$77,", ",",")&amp;","))*('1L Screening Matrix'!$C$2:$C$77=$A42))+SUMPRODUCT(ISNUMBER(SEARCH(",TS,",","&amp;SUBSTITUTE('2L Screening Matrix'!$I$2:$I$46,", ",",")&amp;","))*('2L Screening Matrix'!$C$2:$C$46=$A42))</f>
        <v>0</v>
      </c>
      <c r="E42" s="11">
        <f>SUMPRODUCT(ISNUMBER(SEARCH(",TYMS,",","&amp;SUBSTITUTE('1L Screening Matrix'!$I$2:$I$77,", ",",")&amp;","))*('1L Screening Matrix'!$C$2:$C$77=$A42))+SUMPRODUCT(ISNUMBER(SEARCH(",TYMS,",","&amp;SUBSTITUTE('2L Screening Matrix'!$I$2:$I$46,", ",",")&amp;","))*('2L Screening Matrix'!$C$2:$C$46=$A42))</f>
        <v>0</v>
      </c>
      <c r="F42" s="11">
        <f>SUMPRODUCT(ISNUMBER(SEARCH(",PD-L1,",","&amp;SUBSTITUTE('1L Screening Matrix'!$I$2:$I$77,", ",",")&amp;","))*('1L Screening Matrix'!$C$2:$C$77=$A42))+SUMPRODUCT(ISNUMBER(SEARCH(",PD-L1,",","&amp;SUBSTITUTE('2L Screening Matrix'!$I$2:$I$46,", ",",")&amp;","))*('2L Screening Matrix'!$C$2:$C$46=$A42))</f>
        <v>1</v>
      </c>
      <c r="G42" s="11">
        <f>SUMPRODUCT(ISNUMBER(SEARCH(",B7-H1,",","&amp;SUBSTITUTE('1L Screening Matrix'!$I$2:$I$77,", ",",")&amp;","))*('1L Screening Matrix'!$C$2:$C$77=$A42))+SUMPRODUCT(ISNUMBER(SEARCH(",B7-H1,",","&amp;SUBSTITUTE('2L Screening Matrix'!$I$2:$I$46,", ",",")&amp;","))*('2L Screening Matrix'!$C$2:$C$46=$A42))</f>
        <v>1</v>
      </c>
      <c r="H42" s="11">
        <f>SUMPRODUCT(ISNUMBER(SEARCH(",CD274,",","&amp;SUBSTITUTE('1L Screening Matrix'!$I$2:$I$77,", ",",")&amp;","))*('1L Screening Matrix'!$C$2:$C$77=$A42))+SUMPRODUCT(ISNUMBER(SEARCH(",CD274,",","&amp;SUBSTITUTE('2L Screening Matrix'!$I$2:$I$46,", ",",")&amp;","))*('2L Screening Matrix'!$C$2:$C$46=$A42))</f>
        <v>1</v>
      </c>
      <c r="I42" s="11">
        <f>SUMPRODUCT(ISNUMBER(SEARCH(",EGFR,",","&amp;SUBSTITUTE('1L Screening Matrix'!$I$2:$I$77,", ",",")&amp;","))*('1L Screening Matrix'!$C$2:$C$77=$A42))+SUMPRODUCT(ISNUMBER(SEARCH(",EGFR,",","&amp;SUBSTITUTE('2L Screening Matrix'!$I$2:$I$46,", ",",")&amp;","))*('2L Screening Matrix'!$C$2:$C$46=$A42))</f>
        <v>0</v>
      </c>
      <c r="J42" s="11">
        <f>SUMPRODUCT(ISNUMBER(SEARCH(",VEGF,",","&amp;SUBSTITUTE('1L Screening Matrix'!$I$2:$I$77,", ",",")&amp;","))*('1L Screening Matrix'!$C$2:$C$77=$A42))+SUMPRODUCT(ISNUMBER(SEARCH(",VEGF,",","&amp;SUBSTITUTE('2L Screening Matrix'!$I$2:$I$46,", ",",")&amp;","))*('2L Screening Matrix'!$C$2:$C$46=$A42))</f>
        <v>2</v>
      </c>
      <c r="K42" s="11">
        <f>SUMPRODUCT(ISNUMBER(SEARCH(",ERBB,",","&amp;SUBSTITUTE('1L Screening Matrix'!$I$2:$I$77,", ",",")&amp;","))*('1L Screening Matrix'!$C$2:$C$77=$A42))+SUMPRODUCT(ISNUMBER(SEARCH(",ERBB,",","&amp;SUBSTITUTE('2L Screening Matrix'!$I$2:$I$46,", ",",")&amp;","))*('2L Screening Matrix'!$C$2:$C$46=$A42))</f>
        <v>0</v>
      </c>
      <c r="L42" s="11">
        <f>SUMPRODUCT(ISNUMBER(SEARCH(",HER1,",","&amp;SUBSTITUTE('1L Screening Matrix'!$I$2:$I$77,", ",",")&amp;","))*('1L Screening Matrix'!$C$2:$C$77=$A42))+SUMPRODUCT(ISNUMBER(SEARCH(",HER1,",","&amp;SUBSTITUTE('2L Screening Matrix'!$I$2:$I$46,", ",",")&amp;","))*('2L Screening Matrix'!$C$2:$C$46=$A42))</f>
        <v>0</v>
      </c>
      <c r="M42" s="11">
        <f>SUMPRODUCT(ISNUMBER(SEARCH(",Microtubule,",","&amp;SUBSTITUTE('1L Screening Matrix'!$I$2:$I$77,", ",",")&amp;","))*('1L Screening Matrix'!$C$2:$C$77=$A42))+SUMPRODUCT(ISNUMBER(SEARCH(",Microtubule,",","&amp;SUBSTITUTE('2L Screening Matrix'!$I$2:$I$46,", ",",")&amp;","))*('2L Screening Matrix'!$C$2:$C$46=$A42))</f>
        <v>0</v>
      </c>
      <c r="N42" s="11">
        <f>SUMPRODUCT(ISNUMBER(SEARCH(",KRAS G12C,",","&amp;SUBSTITUTE('1L Screening Matrix'!$I$2:$I$77,", ",",")&amp;","))*('1L Screening Matrix'!$C$2:$C$77=$A42))+SUMPRODUCT(ISNUMBER(SEARCH(",KRAS G12C,",","&amp;SUBSTITUTE('2L Screening Matrix'!$I$2:$I$46,", ",",")&amp;","))*('2L Screening Matrix'!$C$2:$C$46=$A42))</f>
        <v>0</v>
      </c>
      <c r="O42" s="11">
        <f>SUMPRODUCT(ISNUMBER(SEARCH(",EGFR T790M,",","&amp;SUBSTITUTE('1L Screening Matrix'!$I$2:$I$77,", ",",")&amp;","))*('1L Screening Matrix'!$C$2:$C$77=$A42))+SUMPRODUCT(ISNUMBER(SEARCH(",EGFR T790M,",","&amp;SUBSTITUTE('2L Screening Matrix'!$I$2:$I$46,", ",",")&amp;","))*('2L Screening Matrix'!$C$2:$C$46=$A42))</f>
        <v>0</v>
      </c>
      <c r="P42" s="11">
        <f>SUMPRODUCT(ISNUMBER(SEARCH(",ALK,",","&amp;SUBSTITUTE('1L Screening Matrix'!$I$2:$I$77,", ",",")&amp;","))*('1L Screening Matrix'!$C$2:$C$77=$A42))+SUMPRODUCT(ISNUMBER(SEARCH(",ALK,",","&amp;SUBSTITUTE('2L Screening Matrix'!$I$2:$I$46,", ",",")&amp;","))*('2L Screening Matrix'!$C$2:$C$46=$A42))</f>
        <v>1</v>
      </c>
      <c r="Q42" s="11">
        <f>SUMPRODUCT(ISNUMBER(SEARCH(",TROP2,",","&amp;SUBSTITUTE('1L Screening Matrix'!$I$2:$I$77,", ",",")&amp;","))*('1L Screening Matrix'!$C$2:$C$77=$A42))+SUMPRODUCT(ISNUMBER(SEARCH(",TROP2,",","&amp;SUBSTITUTE('2L Screening Matrix'!$I$2:$I$46,", ",",")&amp;","))*('2L Screening Matrix'!$C$2:$C$46=$A42))</f>
        <v>0</v>
      </c>
      <c r="R42" s="11">
        <f>SUMPRODUCT(ISNUMBER(SEARCH(",c-MET/MET,",","&amp;SUBSTITUTE('1L Screening Matrix'!$I$2:$I$77,", ",",")&amp;","))*('1L Screening Matrix'!$C$2:$C$77=$A42))+SUMPRODUCT(ISNUMBER(SEARCH(",c-MET/MET,",","&amp;SUBSTITUTE('2L Screening Matrix'!$I$2:$I$46,", ",",")&amp;","))*('2L Screening Matrix'!$C$2:$C$46=$A42))</f>
        <v>1</v>
      </c>
      <c r="S42" s="11">
        <f>SUMPRODUCT(ISNUMBER(SEARCH(",HER2,",","&amp;SUBSTITUTE('1L Screening Matrix'!$I$2:$I$77,", ",",")&amp;","))*('1L Screening Matrix'!$C$2:$C$77=$A42))+SUMPRODUCT(ISNUMBER(SEARCH(",HER2,",","&amp;SUBSTITUTE('2L Screening Matrix'!$I$2:$I$46,", ",",")&amp;","))*('2L Screening Matrix'!$C$2:$C$46=$A42))</f>
        <v>0</v>
      </c>
      <c r="T42" s="11">
        <f>SUMPRODUCT(ISNUMBER(SEARCH(",ROS1,",","&amp;SUBSTITUTE('1L Screening Matrix'!$I$2:$I$77,", ",",")&amp;","))*('1L Screening Matrix'!$C$2:$C$77=$A42))+SUMPRODUCT(ISNUMBER(SEARCH(",ROS1,",","&amp;SUBSTITUTE('2L Screening Matrix'!$I$2:$I$46,", ",",")&amp;","))*('2L Screening Matrix'!$C$2:$C$46=$A42))</f>
        <v>1</v>
      </c>
      <c r="U42" s="11">
        <f>SUMPRODUCT(ISNUMBER(SEARCH(",TIGIT,",","&amp;SUBSTITUTE('1L Screening Matrix'!$I$2:$I$77,", ",",")&amp;","))*('1L Screening Matrix'!$C$2:$C$77=$A42))+SUMPRODUCT(ISNUMBER(SEARCH(",TIGIT,",","&amp;SUBSTITUTE('2L Screening Matrix'!$I$2:$I$46,", ",",")&amp;","))*('2L Screening Matrix'!$C$2:$C$46=$A42))</f>
        <v>0</v>
      </c>
      <c r="V42" s="11">
        <f>SUMPRODUCT(ISNUMBER(SEARCH(",EGFR L858R,",","&amp;SUBSTITUTE('1L Screening Matrix'!$I$2:$I$77,", ",",")&amp;","))*('1L Screening Matrix'!$C$2:$C$77=$A42))+SUMPRODUCT(ISNUMBER(SEARCH(",EGFR L858R,",","&amp;SUBSTITUTE('2L Screening Matrix'!$I$2:$I$46,", ",",")&amp;","))*('2L Screening Matrix'!$C$2:$C$46=$A42))</f>
        <v>0</v>
      </c>
      <c r="W42" s="11">
        <f>SUMPRODUCT(ISNUMBER(SEARCH(",ROS,",","&amp;SUBSTITUTE('1L Screening Matrix'!$I$2:$I$77,", ",",")&amp;","))*('1L Screening Matrix'!$C$2:$C$77=$A42))+SUMPRODUCT(ISNUMBER(SEARCH(",ROS,",","&amp;SUBSTITUTE('2L Screening Matrix'!$I$2:$I$46,", ",",")&amp;","))*('2L Screening Matrix'!$C$2:$C$46=$A42))</f>
        <v>1</v>
      </c>
      <c r="X42" s="11">
        <f>SUMPRODUCT(ISNUMBER(SEARCH(",IL-2,",","&amp;SUBSTITUTE('1L Screening Matrix'!$I$2:$I$77,", ",",")&amp;","))*('1L Screening Matrix'!$C$2:$C$77=$A42))+SUMPRODUCT(ISNUMBER(SEARCH(",IL-2,",","&amp;SUBSTITUTE('2L Screening Matrix'!$I$2:$I$46,", ",",")&amp;","))*('2L Screening Matrix'!$C$2:$C$46=$A42))</f>
        <v>0</v>
      </c>
      <c r="Y42" s="11">
        <f>SUMPRODUCT(ISNUMBER(SEARCH(",TCGF,",","&amp;SUBSTITUTE('1L Screening Matrix'!$I$2:$I$77,", ",",")&amp;","))*('1L Screening Matrix'!$C$2:$C$77=$A42))+SUMPRODUCT(ISNUMBER(SEARCH(",TCGF,",","&amp;SUBSTITUTE('2L Screening Matrix'!$I$2:$I$46,", ",",")&amp;","))*('2L Screening Matrix'!$C$2:$C$46=$A42))</f>
        <v>0</v>
      </c>
      <c r="Z42" s="11">
        <f>SUMPRODUCT(ISNUMBER(SEARCH(",CTLA-4,",","&amp;SUBSTITUTE('1L Screening Matrix'!$I$2:$I$77,", ",",")&amp;","))*('1L Screening Matrix'!$C$2:$C$77=$A42))+SUMPRODUCT(ISNUMBER(SEARCH(",CTLA-4,",","&amp;SUBSTITUTE('2L Screening Matrix'!$I$2:$I$46,", ",",")&amp;","))*('2L Screening Matrix'!$C$2:$C$46=$A42))</f>
        <v>0</v>
      </c>
      <c r="AA42" s="11">
        <f>SUMPRODUCT(ISNUMBER(SEARCH(",EGFR Exon 20,",","&amp;SUBSTITUTE('1L Screening Matrix'!$I$2:$I$77,", ",",")&amp;","))*('1L Screening Matrix'!$C$2:$C$77=$A42))+SUMPRODUCT(ISNUMBER(SEARCH(",EGFR Exon 20,",","&amp;SUBSTITUTE('2L Screening Matrix'!$I$2:$I$46,", ",",")&amp;","))*('2L Screening Matrix'!$C$2:$C$46=$A42))</f>
        <v>0</v>
      </c>
      <c r="AB42" s="11">
        <f>SUMPRODUCT(ISNUMBER(SEARCH(",HER2 Exon 20,",","&amp;SUBSTITUTE('1L Screening Matrix'!$I$2:$I$77,", ",",")&amp;","))*('1L Screening Matrix'!$C$2:$C$77=$A42))+SUMPRODUCT(ISNUMBER(SEARCH(",HER2 Exon 20,",","&amp;SUBSTITUTE('2L Screening Matrix'!$I$2:$I$46,", ",",")&amp;","))*('2L Screening Matrix'!$C$2:$C$46=$A42))</f>
        <v>0</v>
      </c>
      <c r="AC42" s="11">
        <f>SUMPRODUCT(ISNUMBER(SEARCH(",IL-15,",","&amp;SUBSTITUTE('1L Screening Matrix'!$I$2:$I$77,", ",",")&amp;","))*('1L Screening Matrix'!$C$2:$C$77=$A42))+SUMPRODUCT(ISNUMBER(SEARCH(",IL-15,",","&amp;SUBSTITUTE('2L Screening Matrix'!$I$2:$I$46,", ",",")&amp;","))*('2L Screening Matrix'!$C$2:$C$46=$A42))</f>
        <v>0</v>
      </c>
      <c r="AD42" s="11">
        <f>SUMPRODUCT(ISNUMBER(SEARCH(",IL-15R,",","&amp;SUBSTITUTE('1L Screening Matrix'!$I$2:$I$77,", ",",")&amp;","))*('1L Screening Matrix'!$C$2:$C$77=$A42))+SUMPRODUCT(ISNUMBER(SEARCH(",IL-15R,",","&amp;SUBSTITUTE('2L Screening Matrix'!$I$2:$I$46,", ",",")&amp;","))*('2L Screening Matrix'!$C$2:$C$46=$A42))</f>
        <v>0</v>
      </c>
      <c r="AE42" s="11">
        <f>SUMPRODUCT(ISNUMBER(SEARCH(",KRAS G12D,",","&amp;SUBSTITUTE('1L Screening Matrix'!$I$2:$I$77,", ",",")&amp;","))*('1L Screening Matrix'!$C$2:$C$77=$A42))+SUMPRODUCT(ISNUMBER(SEARCH(",KRAS G12D,",","&amp;SUBSTITUTE('2L Screening Matrix'!$I$2:$I$46,", ",",")&amp;","))*('2L Screening Matrix'!$C$2:$C$46=$A42))</f>
        <v>0</v>
      </c>
      <c r="AF42" s="11">
        <f>SUMPRODUCT(ISNUMBER(SEARCH(",HER4,",","&amp;SUBSTITUTE('1L Screening Matrix'!$I$2:$I$77,", ",",")&amp;","))*('1L Screening Matrix'!$C$2:$C$77=$A42))+SUMPRODUCT(ISNUMBER(SEARCH(",HER4,",","&amp;SUBSTITUTE('2L Screening Matrix'!$I$2:$I$46,", ",",")&amp;","))*('2L Screening Matrix'!$C$2:$C$46=$A42))</f>
        <v>0</v>
      </c>
      <c r="AG42" s="11">
        <f>SUMPRODUCT(ISNUMBER(SEARCH(",ALK L1196M,",","&amp;SUBSTITUTE('1L Screening Matrix'!$I$2:$I$77,", ",",")&amp;","))*('1L Screening Matrix'!$C$2:$C$77=$A42))+SUMPRODUCT(ISNUMBER(SEARCH(",ALK L1196M,",","&amp;SUBSTITUTE('2L Screening Matrix'!$I$2:$I$46,", ",",")&amp;","))*('2L Screening Matrix'!$C$2:$C$46=$A42))</f>
        <v>0</v>
      </c>
      <c r="AH42" s="11">
        <f>SUMPRODUCT(ISNUMBER(SEARCH(",CD152,",","&amp;SUBSTITUTE('1L Screening Matrix'!$I$2:$I$77,", ",",")&amp;","))*('1L Screening Matrix'!$C$2:$C$77=$A42))+SUMPRODUCT(ISNUMBER(SEARCH(",CD152,",","&amp;SUBSTITUTE('2L Screening Matrix'!$I$2:$I$46,", ",",")&amp;","))*('2L Screening Matrix'!$C$2:$C$46=$A42))</f>
        <v>0</v>
      </c>
      <c r="AI42" s="11">
        <f>SUMPRODUCT(ISNUMBER(SEARCH(",MLN19,",","&amp;SUBSTITUTE('1L Screening Matrix'!$I$2:$I$77,", ",",")&amp;","))*('1L Screening Matrix'!$C$2:$C$77=$A42))+SUMPRODUCT(ISNUMBER(SEARCH(",MLN19,",","&amp;SUBSTITUTE('2L Screening Matrix'!$I$2:$I$46,", ",",")&amp;","))*('2L Screening Matrix'!$C$2:$C$46=$A42))</f>
        <v>0</v>
      </c>
      <c r="AJ42" s="11">
        <f>SUMPRODUCT(ISNUMBER(SEARCH(",NTRK,",","&amp;SUBSTITUTE('1L Screening Matrix'!$I$2:$I$77,", ",",")&amp;","))*('1L Screening Matrix'!$C$2:$C$77=$A42))+SUMPRODUCT(ISNUMBER(SEARCH(",NTRK,",","&amp;SUBSTITUTE('2L Screening Matrix'!$I$2:$I$46,", ",",")&amp;","))*('2L Screening Matrix'!$C$2:$C$46=$A42))</f>
        <v>0</v>
      </c>
      <c r="AK42" s="11">
        <f>SUMPRODUCT(ISNUMBER(SEARCH(",Integrin β6,",","&amp;SUBSTITUTE('1L Screening Matrix'!$I$2:$I$77,", ",",")&amp;","))*('1L Screening Matrix'!$C$2:$C$77=$A42))+SUMPRODUCT(ISNUMBER(SEARCH(",Integrin β6,",","&amp;SUBSTITUTE('2L Screening Matrix'!$I$2:$I$46,", ",",")&amp;","))*('2L Screening Matrix'!$C$2:$C$46=$A42))</f>
        <v>3</v>
      </c>
      <c r="AL42" s="11">
        <f>SUMPRODUCT(ISNUMBER(SEARCH(",LAG-3,",","&amp;SUBSTITUTE('1L Screening Matrix'!$I$2:$I$77,", ",",")&amp;","))*('1L Screening Matrix'!$C$2:$C$77=$A42))+SUMPRODUCT(ISNUMBER(SEARCH(",LAG-3,",","&amp;SUBSTITUTE('2L Screening Matrix'!$I$2:$I$46,", ",",")&amp;","))*('2L Screening Matrix'!$C$2:$C$46=$A42))</f>
        <v>0</v>
      </c>
      <c r="AM42" s="14">
        <f t="shared" si="1"/>
        <v>16</v>
      </c>
    </row>
    <row r="43" spans="1:39" ht="15" customHeight="1" x14ac:dyDescent="0.2">
      <c r="A43" s="15" t="s">
        <v>822</v>
      </c>
      <c r="B43" s="11">
        <f>SUMPRODUCT(ISNUMBER(SEARCH(",PD-1,",","&amp;SUBSTITUTE('1L Screening Matrix'!$I$2:$I$77,", ",",")&amp;","))*('1L Screening Matrix'!$C$2:$C$77=$A43))+SUMPRODUCT(ISNUMBER(SEARCH(",PD-1,",","&amp;SUBSTITUTE('2L Screening Matrix'!$I$2:$I$46,", ",",")&amp;","))*('2L Screening Matrix'!$C$2:$C$46=$A43))</f>
        <v>0</v>
      </c>
      <c r="C43" s="11">
        <f>SUMPRODUCT(ISNUMBER(SEARCH(",CD279,",","&amp;SUBSTITUTE('1L Screening Matrix'!$I$2:$I$77,", ",",")&amp;","))*('1L Screening Matrix'!$C$2:$C$77=$A43))+SUMPRODUCT(ISNUMBER(SEARCH(",CD279,",","&amp;SUBSTITUTE('2L Screening Matrix'!$I$2:$I$46,", ",",")&amp;","))*('2L Screening Matrix'!$C$2:$C$46=$A43))</f>
        <v>0</v>
      </c>
      <c r="D43" s="11">
        <f>SUMPRODUCT(ISNUMBER(SEARCH(",TS,",","&amp;SUBSTITUTE('1L Screening Matrix'!$I$2:$I$77,", ",",")&amp;","))*('1L Screening Matrix'!$C$2:$C$77=$A43))+SUMPRODUCT(ISNUMBER(SEARCH(",TS,",","&amp;SUBSTITUTE('2L Screening Matrix'!$I$2:$I$46,", ",",")&amp;","))*('2L Screening Matrix'!$C$2:$C$46=$A43))</f>
        <v>0</v>
      </c>
      <c r="E43" s="11">
        <f>SUMPRODUCT(ISNUMBER(SEARCH(",TYMS,",","&amp;SUBSTITUTE('1L Screening Matrix'!$I$2:$I$77,", ",",")&amp;","))*('1L Screening Matrix'!$C$2:$C$77=$A43))+SUMPRODUCT(ISNUMBER(SEARCH(",TYMS,",","&amp;SUBSTITUTE('2L Screening Matrix'!$I$2:$I$46,", ",",")&amp;","))*('2L Screening Matrix'!$C$2:$C$46=$A43))</f>
        <v>0</v>
      </c>
      <c r="F43" s="11">
        <f>SUMPRODUCT(ISNUMBER(SEARCH(",PD-L1,",","&amp;SUBSTITUTE('1L Screening Matrix'!$I$2:$I$77,", ",",")&amp;","))*('1L Screening Matrix'!$C$2:$C$77=$A43))+SUMPRODUCT(ISNUMBER(SEARCH(",PD-L1,",","&amp;SUBSTITUTE('2L Screening Matrix'!$I$2:$I$46,", ",",")&amp;","))*('2L Screening Matrix'!$C$2:$C$46=$A43))</f>
        <v>0</v>
      </c>
      <c r="G43" s="11">
        <f>SUMPRODUCT(ISNUMBER(SEARCH(",B7-H1,",","&amp;SUBSTITUTE('1L Screening Matrix'!$I$2:$I$77,", ",",")&amp;","))*('1L Screening Matrix'!$C$2:$C$77=$A43))+SUMPRODUCT(ISNUMBER(SEARCH(",B7-H1,",","&amp;SUBSTITUTE('2L Screening Matrix'!$I$2:$I$46,", ",",")&amp;","))*('2L Screening Matrix'!$C$2:$C$46=$A43))</f>
        <v>0</v>
      </c>
      <c r="H43" s="11">
        <f>SUMPRODUCT(ISNUMBER(SEARCH(",CD274,",","&amp;SUBSTITUTE('1L Screening Matrix'!$I$2:$I$77,", ",",")&amp;","))*('1L Screening Matrix'!$C$2:$C$77=$A43))+SUMPRODUCT(ISNUMBER(SEARCH(",CD274,",","&amp;SUBSTITUTE('2L Screening Matrix'!$I$2:$I$46,", ",",")&amp;","))*('2L Screening Matrix'!$C$2:$C$46=$A43))</f>
        <v>0</v>
      </c>
      <c r="I43" s="11">
        <f>SUMPRODUCT(ISNUMBER(SEARCH(",EGFR,",","&amp;SUBSTITUTE('1L Screening Matrix'!$I$2:$I$77,", ",",")&amp;","))*('1L Screening Matrix'!$C$2:$C$77=$A43))+SUMPRODUCT(ISNUMBER(SEARCH(",EGFR,",","&amp;SUBSTITUTE('2L Screening Matrix'!$I$2:$I$46,", ",",")&amp;","))*('2L Screening Matrix'!$C$2:$C$46=$A43))</f>
        <v>0</v>
      </c>
      <c r="J43" s="11">
        <f>SUMPRODUCT(ISNUMBER(SEARCH(",VEGF,",","&amp;SUBSTITUTE('1L Screening Matrix'!$I$2:$I$77,", ",",")&amp;","))*('1L Screening Matrix'!$C$2:$C$77=$A43))+SUMPRODUCT(ISNUMBER(SEARCH(",VEGF,",","&amp;SUBSTITUTE('2L Screening Matrix'!$I$2:$I$46,", ",",")&amp;","))*('2L Screening Matrix'!$C$2:$C$46=$A43))</f>
        <v>1</v>
      </c>
      <c r="K43" s="11">
        <f>SUMPRODUCT(ISNUMBER(SEARCH(",ERBB,",","&amp;SUBSTITUTE('1L Screening Matrix'!$I$2:$I$77,", ",",")&amp;","))*('1L Screening Matrix'!$C$2:$C$77=$A43))+SUMPRODUCT(ISNUMBER(SEARCH(",ERBB,",","&amp;SUBSTITUTE('2L Screening Matrix'!$I$2:$I$46,", ",",")&amp;","))*('2L Screening Matrix'!$C$2:$C$46=$A43))</f>
        <v>0</v>
      </c>
      <c r="L43" s="11">
        <f>SUMPRODUCT(ISNUMBER(SEARCH(",HER1,",","&amp;SUBSTITUTE('1L Screening Matrix'!$I$2:$I$77,", ",",")&amp;","))*('1L Screening Matrix'!$C$2:$C$77=$A43))+SUMPRODUCT(ISNUMBER(SEARCH(",HER1,",","&amp;SUBSTITUTE('2L Screening Matrix'!$I$2:$I$46,", ",",")&amp;","))*('2L Screening Matrix'!$C$2:$C$46=$A43))</f>
        <v>0</v>
      </c>
      <c r="M43" s="11">
        <f>SUMPRODUCT(ISNUMBER(SEARCH(",Microtubule,",","&amp;SUBSTITUTE('1L Screening Matrix'!$I$2:$I$77,", ",",")&amp;","))*('1L Screening Matrix'!$C$2:$C$77=$A43))+SUMPRODUCT(ISNUMBER(SEARCH(",Microtubule,",","&amp;SUBSTITUTE('2L Screening Matrix'!$I$2:$I$46,", ",",")&amp;","))*('2L Screening Matrix'!$C$2:$C$46=$A43))</f>
        <v>0</v>
      </c>
      <c r="N43" s="11">
        <f>SUMPRODUCT(ISNUMBER(SEARCH(",KRAS G12C,",","&amp;SUBSTITUTE('1L Screening Matrix'!$I$2:$I$77,", ",",")&amp;","))*('1L Screening Matrix'!$C$2:$C$77=$A43))+SUMPRODUCT(ISNUMBER(SEARCH(",KRAS G12C,",","&amp;SUBSTITUTE('2L Screening Matrix'!$I$2:$I$46,", ",",")&amp;","))*('2L Screening Matrix'!$C$2:$C$46=$A43))</f>
        <v>0</v>
      </c>
      <c r="O43" s="11">
        <f>SUMPRODUCT(ISNUMBER(SEARCH(",EGFR T790M,",","&amp;SUBSTITUTE('1L Screening Matrix'!$I$2:$I$77,", ",",")&amp;","))*('1L Screening Matrix'!$C$2:$C$77=$A43))+SUMPRODUCT(ISNUMBER(SEARCH(",EGFR T790M,",","&amp;SUBSTITUTE('2L Screening Matrix'!$I$2:$I$46,", ",",")&amp;","))*('2L Screening Matrix'!$C$2:$C$46=$A43))</f>
        <v>0</v>
      </c>
      <c r="P43" s="11">
        <f>SUMPRODUCT(ISNUMBER(SEARCH(",ALK,",","&amp;SUBSTITUTE('1L Screening Matrix'!$I$2:$I$77,", ",",")&amp;","))*('1L Screening Matrix'!$C$2:$C$77=$A43))+SUMPRODUCT(ISNUMBER(SEARCH(",ALK,",","&amp;SUBSTITUTE('2L Screening Matrix'!$I$2:$I$46,", ",",")&amp;","))*('2L Screening Matrix'!$C$2:$C$46=$A43))</f>
        <v>0</v>
      </c>
      <c r="Q43" s="11">
        <f>SUMPRODUCT(ISNUMBER(SEARCH(",TROP2,",","&amp;SUBSTITUTE('1L Screening Matrix'!$I$2:$I$77,", ",",")&amp;","))*('1L Screening Matrix'!$C$2:$C$77=$A43))+SUMPRODUCT(ISNUMBER(SEARCH(",TROP2,",","&amp;SUBSTITUTE('2L Screening Matrix'!$I$2:$I$46,", ",",")&amp;","))*('2L Screening Matrix'!$C$2:$C$46=$A43))</f>
        <v>0</v>
      </c>
      <c r="R43" s="11">
        <f>SUMPRODUCT(ISNUMBER(SEARCH(",c-MET/MET,",","&amp;SUBSTITUTE('1L Screening Matrix'!$I$2:$I$77,", ",",")&amp;","))*('1L Screening Matrix'!$C$2:$C$77=$A43))+SUMPRODUCT(ISNUMBER(SEARCH(",c-MET/MET,",","&amp;SUBSTITUTE('2L Screening Matrix'!$I$2:$I$46,", ",",")&amp;","))*('2L Screening Matrix'!$C$2:$C$46=$A43))</f>
        <v>0</v>
      </c>
      <c r="S43" s="11">
        <f>SUMPRODUCT(ISNUMBER(SEARCH(",HER2,",","&amp;SUBSTITUTE('1L Screening Matrix'!$I$2:$I$77,", ",",")&amp;","))*('1L Screening Matrix'!$C$2:$C$77=$A43))+SUMPRODUCT(ISNUMBER(SEARCH(",HER2,",","&amp;SUBSTITUTE('2L Screening Matrix'!$I$2:$I$46,", ",",")&amp;","))*('2L Screening Matrix'!$C$2:$C$46=$A43))</f>
        <v>0</v>
      </c>
      <c r="T43" s="11">
        <f>SUMPRODUCT(ISNUMBER(SEARCH(",ROS1,",","&amp;SUBSTITUTE('1L Screening Matrix'!$I$2:$I$77,", ",",")&amp;","))*('1L Screening Matrix'!$C$2:$C$77=$A43))+SUMPRODUCT(ISNUMBER(SEARCH(",ROS1,",","&amp;SUBSTITUTE('2L Screening Matrix'!$I$2:$I$46,", ",",")&amp;","))*('2L Screening Matrix'!$C$2:$C$46=$A43))</f>
        <v>0</v>
      </c>
      <c r="U43" s="11">
        <f>SUMPRODUCT(ISNUMBER(SEARCH(",TIGIT,",","&amp;SUBSTITUTE('1L Screening Matrix'!$I$2:$I$77,", ",",")&amp;","))*('1L Screening Matrix'!$C$2:$C$77=$A43))+SUMPRODUCT(ISNUMBER(SEARCH(",TIGIT,",","&amp;SUBSTITUTE('2L Screening Matrix'!$I$2:$I$46,", ",",")&amp;","))*('2L Screening Matrix'!$C$2:$C$46=$A43))</f>
        <v>0</v>
      </c>
      <c r="V43" s="11">
        <f>SUMPRODUCT(ISNUMBER(SEARCH(",EGFR L858R,",","&amp;SUBSTITUTE('1L Screening Matrix'!$I$2:$I$77,", ",",")&amp;","))*('1L Screening Matrix'!$C$2:$C$77=$A43))+SUMPRODUCT(ISNUMBER(SEARCH(",EGFR L858R,",","&amp;SUBSTITUTE('2L Screening Matrix'!$I$2:$I$46,", ",",")&amp;","))*('2L Screening Matrix'!$C$2:$C$46=$A43))</f>
        <v>0</v>
      </c>
      <c r="W43" s="11">
        <f>SUMPRODUCT(ISNUMBER(SEARCH(",ROS,",","&amp;SUBSTITUTE('1L Screening Matrix'!$I$2:$I$77,", ",",")&amp;","))*('1L Screening Matrix'!$C$2:$C$77=$A43))+SUMPRODUCT(ISNUMBER(SEARCH(",ROS,",","&amp;SUBSTITUTE('2L Screening Matrix'!$I$2:$I$46,", ",",")&amp;","))*('2L Screening Matrix'!$C$2:$C$46=$A43))</f>
        <v>0</v>
      </c>
      <c r="X43" s="11">
        <f>SUMPRODUCT(ISNUMBER(SEARCH(",IL-2,",","&amp;SUBSTITUTE('1L Screening Matrix'!$I$2:$I$77,", ",",")&amp;","))*('1L Screening Matrix'!$C$2:$C$77=$A43))+SUMPRODUCT(ISNUMBER(SEARCH(",IL-2,",","&amp;SUBSTITUTE('2L Screening Matrix'!$I$2:$I$46,", ",",")&amp;","))*('2L Screening Matrix'!$C$2:$C$46=$A43))</f>
        <v>0</v>
      </c>
      <c r="Y43" s="11">
        <f>SUMPRODUCT(ISNUMBER(SEARCH(",TCGF,",","&amp;SUBSTITUTE('1L Screening Matrix'!$I$2:$I$77,", ",",")&amp;","))*('1L Screening Matrix'!$C$2:$C$77=$A43))+SUMPRODUCT(ISNUMBER(SEARCH(",TCGF,",","&amp;SUBSTITUTE('2L Screening Matrix'!$I$2:$I$46,", ",",")&amp;","))*('2L Screening Matrix'!$C$2:$C$46=$A43))</f>
        <v>0</v>
      </c>
      <c r="Z43" s="11">
        <f>SUMPRODUCT(ISNUMBER(SEARCH(",CTLA-4,",","&amp;SUBSTITUTE('1L Screening Matrix'!$I$2:$I$77,", ",",")&amp;","))*('1L Screening Matrix'!$C$2:$C$77=$A43))+SUMPRODUCT(ISNUMBER(SEARCH(",CTLA-4,",","&amp;SUBSTITUTE('2L Screening Matrix'!$I$2:$I$46,", ",",")&amp;","))*('2L Screening Matrix'!$C$2:$C$46=$A43))</f>
        <v>0</v>
      </c>
      <c r="AA43" s="11">
        <f>SUMPRODUCT(ISNUMBER(SEARCH(",EGFR Exon 20,",","&amp;SUBSTITUTE('1L Screening Matrix'!$I$2:$I$77,", ",",")&amp;","))*('1L Screening Matrix'!$C$2:$C$77=$A43))+SUMPRODUCT(ISNUMBER(SEARCH(",EGFR Exon 20,",","&amp;SUBSTITUTE('2L Screening Matrix'!$I$2:$I$46,", ",",")&amp;","))*('2L Screening Matrix'!$C$2:$C$46=$A43))</f>
        <v>0</v>
      </c>
      <c r="AB43" s="11">
        <f>SUMPRODUCT(ISNUMBER(SEARCH(",HER2 Exon 20,",","&amp;SUBSTITUTE('1L Screening Matrix'!$I$2:$I$77,", ",",")&amp;","))*('1L Screening Matrix'!$C$2:$C$77=$A43))+SUMPRODUCT(ISNUMBER(SEARCH(",HER2 Exon 20,",","&amp;SUBSTITUTE('2L Screening Matrix'!$I$2:$I$46,", ",",")&amp;","))*('2L Screening Matrix'!$C$2:$C$46=$A43))</f>
        <v>0</v>
      </c>
      <c r="AC43" s="11">
        <f>SUMPRODUCT(ISNUMBER(SEARCH(",IL-15,",","&amp;SUBSTITUTE('1L Screening Matrix'!$I$2:$I$77,", ",",")&amp;","))*('1L Screening Matrix'!$C$2:$C$77=$A43))+SUMPRODUCT(ISNUMBER(SEARCH(",IL-15,",","&amp;SUBSTITUTE('2L Screening Matrix'!$I$2:$I$46,", ",",")&amp;","))*('2L Screening Matrix'!$C$2:$C$46=$A43))</f>
        <v>0</v>
      </c>
      <c r="AD43" s="11">
        <f>SUMPRODUCT(ISNUMBER(SEARCH(",IL-15R,",","&amp;SUBSTITUTE('1L Screening Matrix'!$I$2:$I$77,", ",",")&amp;","))*('1L Screening Matrix'!$C$2:$C$77=$A43))+SUMPRODUCT(ISNUMBER(SEARCH(",IL-15R,",","&amp;SUBSTITUTE('2L Screening Matrix'!$I$2:$I$46,", ",",")&amp;","))*('2L Screening Matrix'!$C$2:$C$46=$A43))</f>
        <v>0</v>
      </c>
      <c r="AE43" s="11">
        <f>SUMPRODUCT(ISNUMBER(SEARCH(",KRAS G12D,",","&amp;SUBSTITUTE('1L Screening Matrix'!$I$2:$I$77,", ",",")&amp;","))*('1L Screening Matrix'!$C$2:$C$77=$A43))+SUMPRODUCT(ISNUMBER(SEARCH(",KRAS G12D,",","&amp;SUBSTITUTE('2L Screening Matrix'!$I$2:$I$46,", ",",")&amp;","))*('2L Screening Matrix'!$C$2:$C$46=$A43))</f>
        <v>0</v>
      </c>
      <c r="AF43" s="11">
        <f>SUMPRODUCT(ISNUMBER(SEARCH(",HER4,",","&amp;SUBSTITUTE('1L Screening Matrix'!$I$2:$I$77,", ",",")&amp;","))*('1L Screening Matrix'!$C$2:$C$77=$A43))+SUMPRODUCT(ISNUMBER(SEARCH(",HER4,",","&amp;SUBSTITUTE('2L Screening Matrix'!$I$2:$I$46,", ",",")&amp;","))*('2L Screening Matrix'!$C$2:$C$46=$A43))</f>
        <v>0</v>
      </c>
      <c r="AG43" s="11">
        <f>SUMPRODUCT(ISNUMBER(SEARCH(",ALK L1196M,",","&amp;SUBSTITUTE('1L Screening Matrix'!$I$2:$I$77,", ",",")&amp;","))*('1L Screening Matrix'!$C$2:$C$77=$A43))+SUMPRODUCT(ISNUMBER(SEARCH(",ALK L1196M,",","&amp;SUBSTITUTE('2L Screening Matrix'!$I$2:$I$46,", ",",")&amp;","))*('2L Screening Matrix'!$C$2:$C$46=$A43))</f>
        <v>0</v>
      </c>
      <c r="AH43" s="11">
        <f>SUMPRODUCT(ISNUMBER(SEARCH(",CD152,",","&amp;SUBSTITUTE('1L Screening Matrix'!$I$2:$I$77,", ",",")&amp;","))*('1L Screening Matrix'!$C$2:$C$77=$A43))+SUMPRODUCT(ISNUMBER(SEARCH(",CD152,",","&amp;SUBSTITUTE('2L Screening Matrix'!$I$2:$I$46,", ",",")&amp;","))*('2L Screening Matrix'!$C$2:$C$46=$A43))</f>
        <v>0</v>
      </c>
      <c r="AI43" s="11">
        <f>SUMPRODUCT(ISNUMBER(SEARCH(",MLN19,",","&amp;SUBSTITUTE('1L Screening Matrix'!$I$2:$I$77,", ",",")&amp;","))*('1L Screening Matrix'!$C$2:$C$77=$A43))+SUMPRODUCT(ISNUMBER(SEARCH(",MLN19,",","&amp;SUBSTITUTE('2L Screening Matrix'!$I$2:$I$46,", ",",")&amp;","))*('2L Screening Matrix'!$C$2:$C$46=$A43))</f>
        <v>0</v>
      </c>
      <c r="AJ43" s="11">
        <f>SUMPRODUCT(ISNUMBER(SEARCH(",NTRK,",","&amp;SUBSTITUTE('1L Screening Matrix'!$I$2:$I$77,", ",",")&amp;","))*('1L Screening Matrix'!$C$2:$C$77=$A43))+SUMPRODUCT(ISNUMBER(SEARCH(",NTRK,",","&amp;SUBSTITUTE('2L Screening Matrix'!$I$2:$I$46,", ",",")&amp;","))*('2L Screening Matrix'!$C$2:$C$46=$A43))</f>
        <v>0</v>
      </c>
      <c r="AK43" s="11">
        <f>SUMPRODUCT(ISNUMBER(SEARCH(",Integrin β6,",","&amp;SUBSTITUTE('1L Screening Matrix'!$I$2:$I$77,", ",",")&amp;","))*('1L Screening Matrix'!$C$2:$C$77=$A43))+SUMPRODUCT(ISNUMBER(SEARCH(",Integrin β6,",","&amp;SUBSTITUTE('2L Screening Matrix'!$I$2:$I$46,", ",",")&amp;","))*('2L Screening Matrix'!$C$2:$C$46=$A43))</f>
        <v>0</v>
      </c>
      <c r="AL43" s="11">
        <f>SUMPRODUCT(ISNUMBER(SEARCH(",LAG-3,",","&amp;SUBSTITUTE('1L Screening Matrix'!$I$2:$I$77,", ",",")&amp;","))*('1L Screening Matrix'!$C$2:$C$77=$A43))+SUMPRODUCT(ISNUMBER(SEARCH(",LAG-3,",","&amp;SUBSTITUTE('2L Screening Matrix'!$I$2:$I$46,", ",",")&amp;","))*('2L Screening Matrix'!$C$2:$C$46=$A43))</f>
        <v>0</v>
      </c>
      <c r="AM43" s="14">
        <f t="shared" si="1"/>
        <v>1</v>
      </c>
    </row>
    <row r="44" spans="1:39" ht="15" customHeight="1" x14ac:dyDescent="0.2">
      <c r="A44" s="12" t="s">
        <v>571</v>
      </c>
      <c r="B44" s="11">
        <f>SUMPRODUCT(ISNUMBER(SEARCH(",PD-1,",","&amp;SUBSTITUTE('1L Screening Matrix'!$I$2:$I$77,", ",",")&amp;","))*('1L Screening Matrix'!$C$2:$C$77=$A44))+SUMPRODUCT(ISNUMBER(SEARCH(",PD-1,",","&amp;SUBSTITUTE('2L Screening Matrix'!$I$2:$I$46,", ",",")&amp;","))*('2L Screening Matrix'!$C$2:$C$46=$A44))</f>
        <v>2</v>
      </c>
      <c r="C44" s="11">
        <f>SUMPRODUCT(ISNUMBER(SEARCH(",CD279,",","&amp;SUBSTITUTE('1L Screening Matrix'!$I$2:$I$77,", ",",")&amp;","))*('1L Screening Matrix'!$C$2:$C$77=$A44))+SUMPRODUCT(ISNUMBER(SEARCH(",CD279,",","&amp;SUBSTITUTE('2L Screening Matrix'!$I$2:$I$46,", ",",")&amp;","))*('2L Screening Matrix'!$C$2:$C$46=$A44))</f>
        <v>2</v>
      </c>
      <c r="D44" s="11">
        <f>SUMPRODUCT(ISNUMBER(SEARCH(",TS,",","&amp;SUBSTITUTE('1L Screening Matrix'!$I$2:$I$77,", ",",")&amp;","))*('1L Screening Matrix'!$C$2:$C$77=$A44))+SUMPRODUCT(ISNUMBER(SEARCH(",TS,",","&amp;SUBSTITUTE('2L Screening Matrix'!$I$2:$I$46,", ",",")&amp;","))*('2L Screening Matrix'!$C$2:$C$46=$A44))</f>
        <v>1</v>
      </c>
      <c r="E44" s="11">
        <f>SUMPRODUCT(ISNUMBER(SEARCH(",TYMS,",","&amp;SUBSTITUTE('1L Screening Matrix'!$I$2:$I$77,", ",",")&amp;","))*('1L Screening Matrix'!$C$2:$C$77=$A44))+SUMPRODUCT(ISNUMBER(SEARCH(",TYMS,",","&amp;SUBSTITUTE('2L Screening Matrix'!$I$2:$I$46,", ",",")&amp;","))*('2L Screening Matrix'!$C$2:$C$46=$A44))</f>
        <v>1</v>
      </c>
      <c r="F44" s="11">
        <f>SUMPRODUCT(ISNUMBER(SEARCH(",PD-L1,",","&amp;SUBSTITUTE('1L Screening Matrix'!$I$2:$I$77,", ",",")&amp;","))*('1L Screening Matrix'!$C$2:$C$77=$A44))+SUMPRODUCT(ISNUMBER(SEARCH(",PD-L1,",","&amp;SUBSTITUTE('2L Screening Matrix'!$I$2:$I$46,", ",",")&amp;","))*('2L Screening Matrix'!$C$2:$C$46=$A44))</f>
        <v>0</v>
      </c>
      <c r="G44" s="11">
        <f>SUMPRODUCT(ISNUMBER(SEARCH(",B7-H1,",","&amp;SUBSTITUTE('1L Screening Matrix'!$I$2:$I$77,", ",",")&amp;","))*('1L Screening Matrix'!$C$2:$C$77=$A44))+SUMPRODUCT(ISNUMBER(SEARCH(",B7-H1,",","&amp;SUBSTITUTE('2L Screening Matrix'!$I$2:$I$46,", ",",")&amp;","))*('2L Screening Matrix'!$C$2:$C$46=$A44))</f>
        <v>0</v>
      </c>
      <c r="H44" s="11">
        <f>SUMPRODUCT(ISNUMBER(SEARCH(",CD274,",","&amp;SUBSTITUTE('1L Screening Matrix'!$I$2:$I$77,", ",",")&amp;","))*('1L Screening Matrix'!$C$2:$C$77=$A44))+SUMPRODUCT(ISNUMBER(SEARCH(",CD274,",","&amp;SUBSTITUTE('2L Screening Matrix'!$I$2:$I$46,", ",",")&amp;","))*('2L Screening Matrix'!$C$2:$C$46=$A44))</f>
        <v>0</v>
      </c>
      <c r="I44" s="11">
        <f>SUMPRODUCT(ISNUMBER(SEARCH(",EGFR,",","&amp;SUBSTITUTE('1L Screening Matrix'!$I$2:$I$77,", ",",")&amp;","))*('1L Screening Matrix'!$C$2:$C$77=$A44))+SUMPRODUCT(ISNUMBER(SEARCH(",EGFR,",","&amp;SUBSTITUTE('2L Screening Matrix'!$I$2:$I$46,", ",",")&amp;","))*('2L Screening Matrix'!$C$2:$C$46=$A44))</f>
        <v>0</v>
      </c>
      <c r="J44" s="11">
        <f>SUMPRODUCT(ISNUMBER(SEARCH(",VEGF,",","&amp;SUBSTITUTE('1L Screening Matrix'!$I$2:$I$77,", ",",")&amp;","))*('1L Screening Matrix'!$C$2:$C$77=$A44))+SUMPRODUCT(ISNUMBER(SEARCH(",VEGF,",","&amp;SUBSTITUTE('2L Screening Matrix'!$I$2:$I$46,", ",",")&amp;","))*('2L Screening Matrix'!$C$2:$C$46=$A44))</f>
        <v>0</v>
      </c>
      <c r="K44" s="11">
        <f>SUMPRODUCT(ISNUMBER(SEARCH(",ERBB,",","&amp;SUBSTITUTE('1L Screening Matrix'!$I$2:$I$77,", ",",")&amp;","))*('1L Screening Matrix'!$C$2:$C$77=$A44))+SUMPRODUCT(ISNUMBER(SEARCH(",ERBB,",","&amp;SUBSTITUTE('2L Screening Matrix'!$I$2:$I$46,", ",",")&amp;","))*('2L Screening Matrix'!$C$2:$C$46=$A44))</f>
        <v>0</v>
      </c>
      <c r="L44" s="11">
        <f>SUMPRODUCT(ISNUMBER(SEARCH(",HER1,",","&amp;SUBSTITUTE('1L Screening Matrix'!$I$2:$I$77,", ",",")&amp;","))*('1L Screening Matrix'!$C$2:$C$77=$A44))+SUMPRODUCT(ISNUMBER(SEARCH(",HER1,",","&amp;SUBSTITUTE('2L Screening Matrix'!$I$2:$I$46,", ",",")&amp;","))*('2L Screening Matrix'!$C$2:$C$46=$A44))</f>
        <v>0</v>
      </c>
      <c r="M44" s="11">
        <f>SUMPRODUCT(ISNUMBER(SEARCH(",Microtubule,",","&amp;SUBSTITUTE('1L Screening Matrix'!$I$2:$I$77,", ",",")&amp;","))*('1L Screening Matrix'!$C$2:$C$77=$A44))+SUMPRODUCT(ISNUMBER(SEARCH(",Microtubule,",","&amp;SUBSTITUTE('2L Screening Matrix'!$I$2:$I$46,", ",",")&amp;","))*('2L Screening Matrix'!$C$2:$C$46=$A44))</f>
        <v>1</v>
      </c>
      <c r="N44" s="11">
        <f>SUMPRODUCT(ISNUMBER(SEARCH(",KRAS G12C,",","&amp;SUBSTITUTE('1L Screening Matrix'!$I$2:$I$77,", ",",")&amp;","))*('1L Screening Matrix'!$C$2:$C$77=$A44))+SUMPRODUCT(ISNUMBER(SEARCH(",KRAS G12C,",","&amp;SUBSTITUTE('2L Screening Matrix'!$I$2:$I$46,", ",",")&amp;","))*('2L Screening Matrix'!$C$2:$C$46=$A44))</f>
        <v>0</v>
      </c>
      <c r="O44" s="11">
        <f>SUMPRODUCT(ISNUMBER(SEARCH(",EGFR T790M,",","&amp;SUBSTITUTE('1L Screening Matrix'!$I$2:$I$77,", ",",")&amp;","))*('1L Screening Matrix'!$C$2:$C$77=$A44))+SUMPRODUCT(ISNUMBER(SEARCH(",EGFR T790M,",","&amp;SUBSTITUTE('2L Screening Matrix'!$I$2:$I$46,", ",",")&amp;","))*('2L Screening Matrix'!$C$2:$C$46=$A44))</f>
        <v>0</v>
      </c>
      <c r="P44" s="11">
        <f>SUMPRODUCT(ISNUMBER(SEARCH(",ALK,",","&amp;SUBSTITUTE('1L Screening Matrix'!$I$2:$I$77,", ",",")&amp;","))*('1L Screening Matrix'!$C$2:$C$77=$A44))+SUMPRODUCT(ISNUMBER(SEARCH(",ALK,",","&amp;SUBSTITUTE('2L Screening Matrix'!$I$2:$I$46,", ",",")&amp;","))*('2L Screening Matrix'!$C$2:$C$46=$A44))</f>
        <v>0</v>
      </c>
      <c r="Q44" s="11">
        <f>SUMPRODUCT(ISNUMBER(SEARCH(",TROP2,",","&amp;SUBSTITUTE('1L Screening Matrix'!$I$2:$I$77,", ",",")&amp;","))*('1L Screening Matrix'!$C$2:$C$77=$A44))+SUMPRODUCT(ISNUMBER(SEARCH(",TROP2,",","&amp;SUBSTITUTE('2L Screening Matrix'!$I$2:$I$46,", ",",")&amp;","))*('2L Screening Matrix'!$C$2:$C$46=$A44))</f>
        <v>0</v>
      </c>
      <c r="R44" s="11">
        <f>SUMPRODUCT(ISNUMBER(SEARCH(",c-MET/MET,",","&amp;SUBSTITUTE('1L Screening Matrix'!$I$2:$I$77,", ",",")&amp;","))*('1L Screening Matrix'!$C$2:$C$77=$A44))+SUMPRODUCT(ISNUMBER(SEARCH(",c-MET/MET,",","&amp;SUBSTITUTE('2L Screening Matrix'!$I$2:$I$46,", ",",")&amp;","))*('2L Screening Matrix'!$C$2:$C$46=$A44))</f>
        <v>0</v>
      </c>
      <c r="S44" s="11">
        <f>SUMPRODUCT(ISNUMBER(SEARCH(",HER2,",","&amp;SUBSTITUTE('1L Screening Matrix'!$I$2:$I$77,", ",",")&amp;","))*('1L Screening Matrix'!$C$2:$C$77=$A44))+SUMPRODUCT(ISNUMBER(SEARCH(",HER2,",","&amp;SUBSTITUTE('2L Screening Matrix'!$I$2:$I$46,", ",",")&amp;","))*('2L Screening Matrix'!$C$2:$C$46=$A44))</f>
        <v>0</v>
      </c>
      <c r="T44" s="11">
        <f>SUMPRODUCT(ISNUMBER(SEARCH(",ROS1,",","&amp;SUBSTITUTE('1L Screening Matrix'!$I$2:$I$77,", ",",")&amp;","))*('1L Screening Matrix'!$C$2:$C$77=$A44))+SUMPRODUCT(ISNUMBER(SEARCH(",ROS1,",","&amp;SUBSTITUTE('2L Screening Matrix'!$I$2:$I$46,", ",",")&amp;","))*('2L Screening Matrix'!$C$2:$C$46=$A44))</f>
        <v>0</v>
      </c>
      <c r="U44" s="11">
        <f>SUMPRODUCT(ISNUMBER(SEARCH(",TIGIT,",","&amp;SUBSTITUTE('1L Screening Matrix'!$I$2:$I$77,", ",",")&amp;","))*('1L Screening Matrix'!$C$2:$C$77=$A44))+SUMPRODUCT(ISNUMBER(SEARCH(",TIGIT,",","&amp;SUBSTITUTE('2L Screening Matrix'!$I$2:$I$46,", ",",")&amp;","))*('2L Screening Matrix'!$C$2:$C$46=$A44))</f>
        <v>0</v>
      </c>
      <c r="V44" s="11">
        <f>SUMPRODUCT(ISNUMBER(SEARCH(",EGFR L858R,",","&amp;SUBSTITUTE('1L Screening Matrix'!$I$2:$I$77,", ",",")&amp;","))*('1L Screening Matrix'!$C$2:$C$77=$A44))+SUMPRODUCT(ISNUMBER(SEARCH(",EGFR L858R,",","&amp;SUBSTITUTE('2L Screening Matrix'!$I$2:$I$46,", ",",")&amp;","))*('2L Screening Matrix'!$C$2:$C$46=$A44))</f>
        <v>0</v>
      </c>
      <c r="W44" s="11">
        <f>SUMPRODUCT(ISNUMBER(SEARCH(",ROS,",","&amp;SUBSTITUTE('1L Screening Matrix'!$I$2:$I$77,", ",",")&amp;","))*('1L Screening Matrix'!$C$2:$C$77=$A44))+SUMPRODUCT(ISNUMBER(SEARCH(",ROS,",","&amp;SUBSTITUTE('2L Screening Matrix'!$I$2:$I$46,", ",",")&amp;","))*('2L Screening Matrix'!$C$2:$C$46=$A44))</f>
        <v>0</v>
      </c>
      <c r="X44" s="11">
        <f>SUMPRODUCT(ISNUMBER(SEARCH(",IL-2,",","&amp;SUBSTITUTE('1L Screening Matrix'!$I$2:$I$77,", ",",")&amp;","))*('1L Screening Matrix'!$C$2:$C$77=$A44))+SUMPRODUCT(ISNUMBER(SEARCH(",IL-2,",","&amp;SUBSTITUTE('2L Screening Matrix'!$I$2:$I$46,", ",",")&amp;","))*('2L Screening Matrix'!$C$2:$C$46=$A44))</f>
        <v>0</v>
      </c>
      <c r="Y44" s="11">
        <f>SUMPRODUCT(ISNUMBER(SEARCH(",TCGF,",","&amp;SUBSTITUTE('1L Screening Matrix'!$I$2:$I$77,", ",",")&amp;","))*('1L Screening Matrix'!$C$2:$C$77=$A44))+SUMPRODUCT(ISNUMBER(SEARCH(",TCGF,",","&amp;SUBSTITUTE('2L Screening Matrix'!$I$2:$I$46,", ",",")&amp;","))*('2L Screening Matrix'!$C$2:$C$46=$A44))</f>
        <v>0</v>
      </c>
      <c r="Z44" s="11">
        <f>SUMPRODUCT(ISNUMBER(SEARCH(",CTLA-4,",","&amp;SUBSTITUTE('1L Screening Matrix'!$I$2:$I$77,", ",",")&amp;","))*('1L Screening Matrix'!$C$2:$C$77=$A44))+SUMPRODUCT(ISNUMBER(SEARCH(",CTLA-4,",","&amp;SUBSTITUTE('2L Screening Matrix'!$I$2:$I$46,", ",",")&amp;","))*('2L Screening Matrix'!$C$2:$C$46=$A44))</f>
        <v>0</v>
      </c>
      <c r="AA44" s="11">
        <f>SUMPRODUCT(ISNUMBER(SEARCH(",EGFR Exon 20,",","&amp;SUBSTITUTE('1L Screening Matrix'!$I$2:$I$77,", ",",")&amp;","))*('1L Screening Matrix'!$C$2:$C$77=$A44))+SUMPRODUCT(ISNUMBER(SEARCH(",EGFR Exon 20,",","&amp;SUBSTITUTE('2L Screening Matrix'!$I$2:$I$46,", ",",")&amp;","))*('2L Screening Matrix'!$C$2:$C$46=$A44))</f>
        <v>0</v>
      </c>
      <c r="AB44" s="11">
        <f>SUMPRODUCT(ISNUMBER(SEARCH(",HER2 Exon 20,",","&amp;SUBSTITUTE('1L Screening Matrix'!$I$2:$I$77,", ",",")&amp;","))*('1L Screening Matrix'!$C$2:$C$77=$A44))+SUMPRODUCT(ISNUMBER(SEARCH(",HER2 Exon 20,",","&amp;SUBSTITUTE('2L Screening Matrix'!$I$2:$I$46,", ",",")&amp;","))*('2L Screening Matrix'!$C$2:$C$46=$A44))</f>
        <v>0</v>
      </c>
      <c r="AC44" s="11">
        <f>SUMPRODUCT(ISNUMBER(SEARCH(",IL-15,",","&amp;SUBSTITUTE('1L Screening Matrix'!$I$2:$I$77,", ",",")&amp;","))*('1L Screening Matrix'!$C$2:$C$77=$A44))+SUMPRODUCT(ISNUMBER(SEARCH(",IL-15,",","&amp;SUBSTITUTE('2L Screening Matrix'!$I$2:$I$46,", ",",")&amp;","))*('2L Screening Matrix'!$C$2:$C$46=$A44))</f>
        <v>0</v>
      </c>
      <c r="AD44" s="11">
        <f>SUMPRODUCT(ISNUMBER(SEARCH(",IL-15R,",","&amp;SUBSTITUTE('1L Screening Matrix'!$I$2:$I$77,", ",",")&amp;","))*('1L Screening Matrix'!$C$2:$C$77=$A44))+SUMPRODUCT(ISNUMBER(SEARCH(",IL-15R,",","&amp;SUBSTITUTE('2L Screening Matrix'!$I$2:$I$46,", ",",")&amp;","))*('2L Screening Matrix'!$C$2:$C$46=$A44))</f>
        <v>0</v>
      </c>
      <c r="AE44" s="11">
        <f>SUMPRODUCT(ISNUMBER(SEARCH(",KRAS G12D,",","&amp;SUBSTITUTE('1L Screening Matrix'!$I$2:$I$77,", ",",")&amp;","))*('1L Screening Matrix'!$C$2:$C$77=$A44))+SUMPRODUCT(ISNUMBER(SEARCH(",KRAS G12D,",","&amp;SUBSTITUTE('2L Screening Matrix'!$I$2:$I$46,", ",",")&amp;","))*('2L Screening Matrix'!$C$2:$C$46=$A44))</f>
        <v>0</v>
      </c>
      <c r="AF44" s="11">
        <f>SUMPRODUCT(ISNUMBER(SEARCH(",HER4,",","&amp;SUBSTITUTE('1L Screening Matrix'!$I$2:$I$77,", ",",")&amp;","))*('1L Screening Matrix'!$C$2:$C$77=$A44))+SUMPRODUCT(ISNUMBER(SEARCH(",HER4,",","&amp;SUBSTITUTE('2L Screening Matrix'!$I$2:$I$46,", ",",")&amp;","))*('2L Screening Matrix'!$C$2:$C$46=$A44))</f>
        <v>0</v>
      </c>
      <c r="AG44" s="11">
        <f>SUMPRODUCT(ISNUMBER(SEARCH(",ALK L1196M,",","&amp;SUBSTITUTE('1L Screening Matrix'!$I$2:$I$77,", ",",")&amp;","))*('1L Screening Matrix'!$C$2:$C$77=$A44))+SUMPRODUCT(ISNUMBER(SEARCH(",ALK L1196M,",","&amp;SUBSTITUTE('2L Screening Matrix'!$I$2:$I$46,", ",",")&amp;","))*('2L Screening Matrix'!$C$2:$C$46=$A44))</f>
        <v>0</v>
      </c>
      <c r="AH44" s="11">
        <f>SUMPRODUCT(ISNUMBER(SEARCH(",CD152,",","&amp;SUBSTITUTE('1L Screening Matrix'!$I$2:$I$77,", ",",")&amp;","))*('1L Screening Matrix'!$C$2:$C$77=$A44))+SUMPRODUCT(ISNUMBER(SEARCH(",CD152,",","&amp;SUBSTITUTE('2L Screening Matrix'!$I$2:$I$46,", ",",")&amp;","))*('2L Screening Matrix'!$C$2:$C$46=$A44))</f>
        <v>0</v>
      </c>
      <c r="AI44" s="11">
        <f>SUMPRODUCT(ISNUMBER(SEARCH(",MLN19,",","&amp;SUBSTITUTE('1L Screening Matrix'!$I$2:$I$77,", ",",")&amp;","))*('1L Screening Matrix'!$C$2:$C$77=$A44))+SUMPRODUCT(ISNUMBER(SEARCH(",MLN19,",","&amp;SUBSTITUTE('2L Screening Matrix'!$I$2:$I$46,", ",",")&amp;","))*('2L Screening Matrix'!$C$2:$C$46=$A44))</f>
        <v>0</v>
      </c>
      <c r="AJ44" s="11">
        <f>SUMPRODUCT(ISNUMBER(SEARCH(",NTRK,",","&amp;SUBSTITUTE('1L Screening Matrix'!$I$2:$I$77,", ",",")&amp;","))*('1L Screening Matrix'!$C$2:$C$77=$A44))+SUMPRODUCT(ISNUMBER(SEARCH(",NTRK,",","&amp;SUBSTITUTE('2L Screening Matrix'!$I$2:$I$46,", ",",")&amp;","))*('2L Screening Matrix'!$C$2:$C$46=$A44))</f>
        <v>0</v>
      </c>
      <c r="AK44" s="11">
        <f>SUMPRODUCT(ISNUMBER(SEARCH(",Integrin β6,",","&amp;SUBSTITUTE('1L Screening Matrix'!$I$2:$I$77,", ",",")&amp;","))*('1L Screening Matrix'!$C$2:$C$77=$A44))+SUMPRODUCT(ISNUMBER(SEARCH(",Integrin β6,",","&amp;SUBSTITUTE('2L Screening Matrix'!$I$2:$I$46,", ",",")&amp;","))*('2L Screening Matrix'!$C$2:$C$46=$A44))</f>
        <v>0</v>
      </c>
      <c r="AL44" s="11">
        <f>SUMPRODUCT(ISNUMBER(SEARCH(",LAG-3,",","&amp;SUBSTITUTE('1L Screening Matrix'!$I$2:$I$77,", ",",")&amp;","))*('1L Screening Matrix'!$C$2:$C$77=$A44))+SUMPRODUCT(ISNUMBER(SEARCH(",LAG-3,",","&amp;SUBSTITUTE('2L Screening Matrix'!$I$2:$I$46,", ",",")&amp;","))*('2L Screening Matrix'!$C$2:$C$46=$A44))</f>
        <v>2</v>
      </c>
      <c r="AM44" s="14">
        <f t="shared" si="1"/>
        <v>9</v>
      </c>
    </row>
    <row r="45" spans="1:39" ht="15" customHeight="1" x14ac:dyDescent="0.2">
      <c r="A45" s="15" t="s">
        <v>1314</v>
      </c>
      <c r="B45" s="11">
        <f>SUMPRODUCT(ISNUMBER(SEARCH(",PD-1,",","&amp;SUBSTITUTE('1L Screening Matrix'!$I$2:$I$77,", ",",")&amp;","))*('1L Screening Matrix'!$C$2:$C$77=$A45))+SUMPRODUCT(ISNUMBER(SEARCH(",PD-1,",","&amp;SUBSTITUTE('2L Screening Matrix'!$I$2:$I$46,", ",",")&amp;","))*('2L Screening Matrix'!$C$2:$C$46=$A45))</f>
        <v>1</v>
      </c>
      <c r="C45" s="11">
        <f>SUMPRODUCT(ISNUMBER(SEARCH(",CD279,",","&amp;SUBSTITUTE('1L Screening Matrix'!$I$2:$I$77,", ",",")&amp;","))*('1L Screening Matrix'!$C$2:$C$77=$A45))+SUMPRODUCT(ISNUMBER(SEARCH(",CD279,",","&amp;SUBSTITUTE('2L Screening Matrix'!$I$2:$I$46,", ",",")&amp;","))*('2L Screening Matrix'!$C$2:$C$46=$A45))</f>
        <v>1</v>
      </c>
      <c r="D45" s="11">
        <f>SUMPRODUCT(ISNUMBER(SEARCH(",TS,",","&amp;SUBSTITUTE('1L Screening Matrix'!$I$2:$I$77,", ",",")&amp;","))*('1L Screening Matrix'!$C$2:$C$77=$A45))+SUMPRODUCT(ISNUMBER(SEARCH(",TS,",","&amp;SUBSTITUTE('2L Screening Matrix'!$I$2:$I$46,", ",",")&amp;","))*('2L Screening Matrix'!$C$2:$C$46=$A45))</f>
        <v>1</v>
      </c>
      <c r="E45" s="11">
        <f>SUMPRODUCT(ISNUMBER(SEARCH(",TYMS,",","&amp;SUBSTITUTE('1L Screening Matrix'!$I$2:$I$77,", ",",")&amp;","))*('1L Screening Matrix'!$C$2:$C$77=$A45))+SUMPRODUCT(ISNUMBER(SEARCH(",TYMS,",","&amp;SUBSTITUTE('2L Screening Matrix'!$I$2:$I$46,", ",",")&amp;","))*('2L Screening Matrix'!$C$2:$C$46=$A45))</f>
        <v>1</v>
      </c>
      <c r="F45" s="11">
        <f>SUMPRODUCT(ISNUMBER(SEARCH(",PD-L1,",","&amp;SUBSTITUTE('1L Screening Matrix'!$I$2:$I$77,", ",",")&amp;","))*('1L Screening Matrix'!$C$2:$C$77=$A45))+SUMPRODUCT(ISNUMBER(SEARCH(",PD-L1,",","&amp;SUBSTITUTE('2L Screening Matrix'!$I$2:$I$46,", ",",")&amp;","))*('2L Screening Matrix'!$C$2:$C$46=$A45))</f>
        <v>0</v>
      </c>
      <c r="G45" s="11">
        <f>SUMPRODUCT(ISNUMBER(SEARCH(",B7-H1,",","&amp;SUBSTITUTE('1L Screening Matrix'!$I$2:$I$77,", ",",")&amp;","))*('1L Screening Matrix'!$C$2:$C$77=$A45))+SUMPRODUCT(ISNUMBER(SEARCH(",B7-H1,",","&amp;SUBSTITUTE('2L Screening Matrix'!$I$2:$I$46,", ",",")&amp;","))*('2L Screening Matrix'!$C$2:$C$46=$A45))</f>
        <v>0</v>
      </c>
      <c r="H45" s="11">
        <f>SUMPRODUCT(ISNUMBER(SEARCH(",CD274,",","&amp;SUBSTITUTE('1L Screening Matrix'!$I$2:$I$77,", ",",")&amp;","))*('1L Screening Matrix'!$C$2:$C$77=$A45))+SUMPRODUCT(ISNUMBER(SEARCH(",CD274,",","&amp;SUBSTITUTE('2L Screening Matrix'!$I$2:$I$46,", ",",")&amp;","))*('2L Screening Matrix'!$C$2:$C$46=$A45))</f>
        <v>0</v>
      </c>
      <c r="I45" s="11">
        <f>SUMPRODUCT(ISNUMBER(SEARCH(",EGFR,",","&amp;SUBSTITUTE('1L Screening Matrix'!$I$2:$I$77,", ",",")&amp;","))*('1L Screening Matrix'!$C$2:$C$77=$A45))+SUMPRODUCT(ISNUMBER(SEARCH(",EGFR,",","&amp;SUBSTITUTE('2L Screening Matrix'!$I$2:$I$46,", ",",")&amp;","))*('2L Screening Matrix'!$C$2:$C$46=$A45))</f>
        <v>0</v>
      </c>
      <c r="J45" s="11">
        <f>SUMPRODUCT(ISNUMBER(SEARCH(",VEGF,",","&amp;SUBSTITUTE('1L Screening Matrix'!$I$2:$I$77,", ",",")&amp;","))*('1L Screening Matrix'!$C$2:$C$77=$A45))+SUMPRODUCT(ISNUMBER(SEARCH(",VEGF,",","&amp;SUBSTITUTE('2L Screening Matrix'!$I$2:$I$46,", ",",")&amp;","))*('2L Screening Matrix'!$C$2:$C$46=$A45))</f>
        <v>0</v>
      </c>
      <c r="K45" s="11">
        <f>SUMPRODUCT(ISNUMBER(SEARCH(",ERBB,",","&amp;SUBSTITUTE('1L Screening Matrix'!$I$2:$I$77,", ",",")&amp;","))*('1L Screening Matrix'!$C$2:$C$77=$A45))+SUMPRODUCT(ISNUMBER(SEARCH(",ERBB,",","&amp;SUBSTITUTE('2L Screening Matrix'!$I$2:$I$46,", ",",")&amp;","))*('2L Screening Matrix'!$C$2:$C$46=$A45))</f>
        <v>0</v>
      </c>
      <c r="L45" s="11">
        <f>SUMPRODUCT(ISNUMBER(SEARCH(",HER1,",","&amp;SUBSTITUTE('1L Screening Matrix'!$I$2:$I$77,", ",",")&amp;","))*('1L Screening Matrix'!$C$2:$C$77=$A45))+SUMPRODUCT(ISNUMBER(SEARCH(",HER1,",","&amp;SUBSTITUTE('2L Screening Matrix'!$I$2:$I$46,", ",",")&amp;","))*('2L Screening Matrix'!$C$2:$C$46=$A45))</f>
        <v>0</v>
      </c>
      <c r="M45" s="11">
        <f>SUMPRODUCT(ISNUMBER(SEARCH(",Microtubule,",","&amp;SUBSTITUTE('1L Screening Matrix'!$I$2:$I$77,", ",",")&amp;","))*('1L Screening Matrix'!$C$2:$C$77=$A45))+SUMPRODUCT(ISNUMBER(SEARCH(",Microtubule,",","&amp;SUBSTITUTE('2L Screening Matrix'!$I$2:$I$46,", ",",")&amp;","))*('2L Screening Matrix'!$C$2:$C$46=$A45))</f>
        <v>0</v>
      </c>
      <c r="N45" s="11">
        <f>SUMPRODUCT(ISNUMBER(SEARCH(",KRAS G12C,",","&amp;SUBSTITUTE('1L Screening Matrix'!$I$2:$I$77,", ",",")&amp;","))*('1L Screening Matrix'!$C$2:$C$77=$A45))+SUMPRODUCT(ISNUMBER(SEARCH(",KRAS G12C,",","&amp;SUBSTITUTE('2L Screening Matrix'!$I$2:$I$46,", ",",")&amp;","))*('2L Screening Matrix'!$C$2:$C$46=$A45))</f>
        <v>3</v>
      </c>
      <c r="O45" s="11">
        <f>SUMPRODUCT(ISNUMBER(SEARCH(",EGFR T790M,",","&amp;SUBSTITUTE('1L Screening Matrix'!$I$2:$I$77,", ",",")&amp;","))*('1L Screening Matrix'!$C$2:$C$77=$A45))+SUMPRODUCT(ISNUMBER(SEARCH(",EGFR T790M,",","&amp;SUBSTITUTE('2L Screening Matrix'!$I$2:$I$46,", ",",")&amp;","))*('2L Screening Matrix'!$C$2:$C$46=$A45))</f>
        <v>0</v>
      </c>
      <c r="P45" s="11">
        <f>SUMPRODUCT(ISNUMBER(SEARCH(",ALK,",","&amp;SUBSTITUTE('1L Screening Matrix'!$I$2:$I$77,", ",",")&amp;","))*('1L Screening Matrix'!$C$2:$C$77=$A45))+SUMPRODUCT(ISNUMBER(SEARCH(",ALK,",","&amp;SUBSTITUTE('2L Screening Matrix'!$I$2:$I$46,", ",",")&amp;","))*('2L Screening Matrix'!$C$2:$C$46=$A45))</f>
        <v>0</v>
      </c>
      <c r="Q45" s="11">
        <f>SUMPRODUCT(ISNUMBER(SEARCH(",TROP2,",","&amp;SUBSTITUTE('1L Screening Matrix'!$I$2:$I$77,", ",",")&amp;","))*('1L Screening Matrix'!$C$2:$C$77=$A45))+SUMPRODUCT(ISNUMBER(SEARCH(",TROP2,",","&amp;SUBSTITUTE('2L Screening Matrix'!$I$2:$I$46,", ",",")&amp;","))*('2L Screening Matrix'!$C$2:$C$46=$A45))</f>
        <v>0</v>
      </c>
      <c r="R45" s="11">
        <f>SUMPRODUCT(ISNUMBER(SEARCH(",c-MET/MET,",","&amp;SUBSTITUTE('1L Screening Matrix'!$I$2:$I$77,", ",",")&amp;","))*('1L Screening Matrix'!$C$2:$C$77=$A45))+SUMPRODUCT(ISNUMBER(SEARCH(",c-MET/MET,",","&amp;SUBSTITUTE('2L Screening Matrix'!$I$2:$I$46,", ",",")&amp;","))*('2L Screening Matrix'!$C$2:$C$46=$A45))</f>
        <v>0</v>
      </c>
      <c r="S45" s="11">
        <f>SUMPRODUCT(ISNUMBER(SEARCH(",HER2,",","&amp;SUBSTITUTE('1L Screening Matrix'!$I$2:$I$77,", ",",")&amp;","))*('1L Screening Matrix'!$C$2:$C$77=$A45))+SUMPRODUCT(ISNUMBER(SEARCH(",HER2,",","&amp;SUBSTITUTE('2L Screening Matrix'!$I$2:$I$46,", ",",")&amp;","))*('2L Screening Matrix'!$C$2:$C$46=$A45))</f>
        <v>0</v>
      </c>
      <c r="T45" s="11">
        <f>SUMPRODUCT(ISNUMBER(SEARCH(",ROS1,",","&amp;SUBSTITUTE('1L Screening Matrix'!$I$2:$I$77,", ",",")&amp;","))*('1L Screening Matrix'!$C$2:$C$77=$A45))+SUMPRODUCT(ISNUMBER(SEARCH(",ROS1,",","&amp;SUBSTITUTE('2L Screening Matrix'!$I$2:$I$46,", ",",")&amp;","))*('2L Screening Matrix'!$C$2:$C$46=$A45))</f>
        <v>0</v>
      </c>
      <c r="U45" s="11">
        <f>SUMPRODUCT(ISNUMBER(SEARCH(",TIGIT,",","&amp;SUBSTITUTE('1L Screening Matrix'!$I$2:$I$77,", ",",")&amp;","))*('1L Screening Matrix'!$C$2:$C$77=$A45))+SUMPRODUCT(ISNUMBER(SEARCH(",TIGIT,",","&amp;SUBSTITUTE('2L Screening Matrix'!$I$2:$I$46,", ",",")&amp;","))*('2L Screening Matrix'!$C$2:$C$46=$A45))</f>
        <v>0</v>
      </c>
      <c r="V45" s="11">
        <f>SUMPRODUCT(ISNUMBER(SEARCH(",EGFR L858R,",","&amp;SUBSTITUTE('1L Screening Matrix'!$I$2:$I$77,", ",",")&amp;","))*('1L Screening Matrix'!$C$2:$C$77=$A45))+SUMPRODUCT(ISNUMBER(SEARCH(",EGFR L858R,",","&amp;SUBSTITUTE('2L Screening Matrix'!$I$2:$I$46,", ",",")&amp;","))*('2L Screening Matrix'!$C$2:$C$46=$A45))</f>
        <v>0</v>
      </c>
      <c r="W45" s="11">
        <f>SUMPRODUCT(ISNUMBER(SEARCH(",ROS,",","&amp;SUBSTITUTE('1L Screening Matrix'!$I$2:$I$77,", ",",")&amp;","))*('1L Screening Matrix'!$C$2:$C$77=$A45))+SUMPRODUCT(ISNUMBER(SEARCH(",ROS,",","&amp;SUBSTITUTE('2L Screening Matrix'!$I$2:$I$46,", ",",")&amp;","))*('2L Screening Matrix'!$C$2:$C$46=$A45))</f>
        <v>0</v>
      </c>
      <c r="X45" s="11">
        <f>SUMPRODUCT(ISNUMBER(SEARCH(",IL-2,",","&amp;SUBSTITUTE('1L Screening Matrix'!$I$2:$I$77,", ",",")&amp;","))*('1L Screening Matrix'!$C$2:$C$77=$A45))+SUMPRODUCT(ISNUMBER(SEARCH(",IL-2,",","&amp;SUBSTITUTE('2L Screening Matrix'!$I$2:$I$46,", ",",")&amp;","))*('2L Screening Matrix'!$C$2:$C$46=$A45))</f>
        <v>0</v>
      </c>
      <c r="Y45" s="11">
        <f>SUMPRODUCT(ISNUMBER(SEARCH(",TCGF,",","&amp;SUBSTITUTE('1L Screening Matrix'!$I$2:$I$77,", ",",")&amp;","))*('1L Screening Matrix'!$C$2:$C$77=$A45))+SUMPRODUCT(ISNUMBER(SEARCH(",TCGF,",","&amp;SUBSTITUTE('2L Screening Matrix'!$I$2:$I$46,", ",",")&amp;","))*('2L Screening Matrix'!$C$2:$C$46=$A45))</f>
        <v>0</v>
      </c>
      <c r="Z45" s="11">
        <f>SUMPRODUCT(ISNUMBER(SEARCH(",CTLA-4,",","&amp;SUBSTITUTE('1L Screening Matrix'!$I$2:$I$77,", ",",")&amp;","))*('1L Screening Matrix'!$C$2:$C$77=$A45))+SUMPRODUCT(ISNUMBER(SEARCH(",CTLA-4,",","&amp;SUBSTITUTE('2L Screening Matrix'!$I$2:$I$46,", ",",")&amp;","))*('2L Screening Matrix'!$C$2:$C$46=$A45))</f>
        <v>0</v>
      </c>
      <c r="AA45" s="11">
        <f>SUMPRODUCT(ISNUMBER(SEARCH(",EGFR Exon 20,",","&amp;SUBSTITUTE('1L Screening Matrix'!$I$2:$I$77,", ",",")&amp;","))*('1L Screening Matrix'!$C$2:$C$77=$A45))+SUMPRODUCT(ISNUMBER(SEARCH(",EGFR Exon 20,",","&amp;SUBSTITUTE('2L Screening Matrix'!$I$2:$I$46,", ",",")&amp;","))*('2L Screening Matrix'!$C$2:$C$46=$A45))</f>
        <v>0</v>
      </c>
      <c r="AB45" s="11">
        <f>SUMPRODUCT(ISNUMBER(SEARCH(",HER2 Exon 20,",","&amp;SUBSTITUTE('1L Screening Matrix'!$I$2:$I$77,", ",",")&amp;","))*('1L Screening Matrix'!$C$2:$C$77=$A45))+SUMPRODUCT(ISNUMBER(SEARCH(",HER2 Exon 20,",","&amp;SUBSTITUTE('2L Screening Matrix'!$I$2:$I$46,", ",",")&amp;","))*('2L Screening Matrix'!$C$2:$C$46=$A45))</f>
        <v>0</v>
      </c>
      <c r="AC45" s="11">
        <f>SUMPRODUCT(ISNUMBER(SEARCH(",IL-15,",","&amp;SUBSTITUTE('1L Screening Matrix'!$I$2:$I$77,", ",",")&amp;","))*('1L Screening Matrix'!$C$2:$C$77=$A45))+SUMPRODUCT(ISNUMBER(SEARCH(",IL-15,",","&amp;SUBSTITUTE('2L Screening Matrix'!$I$2:$I$46,", ",",")&amp;","))*('2L Screening Matrix'!$C$2:$C$46=$A45))</f>
        <v>0</v>
      </c>
      <c r="AD45" s="11">
        <f>SUMPRODUCT(ISNUMBER(SEARCH(",IL-15R,",","&amp;SUBSTITUTE('1L Screening Matrix'!$I$2:$I$77,", ",",")&amp;","))*('1L Screening Matrix'!$C$2:$C$77=$A45))+SUMPRODUCT(ISNUMBER(SEARCH(",IL-15R,",","&amp;SUBSTITUTE('2L Screening Matrix'!$I$2:$I$46,", ",",")&amp;","))*('2L Screening Matrix'!$C$2:$C$46=$A45))</f>
        <v>0</v>
      </c>
      <c r="AE45" s="11">
        <f>SUMPRODUCT(ISNUMBER(SEARCH(",KRAS G12D,",","&amp;SUBSTITUTE('1L Screening Matrix'!$I$2:$I$77,", ",",")&amp;","))*('1L Screening Matrix'!$C$2:$C$77=$A45))+SUMPRODUCT(ISNUMBER(SEARCH(",KRAS G12D,",","&amp;SUBSTITUTE('2L Screening Matrix'!$I$2:$I$46,", ",",")&amp;","))*('2L Screening Matrix'!$C$2:$C$46=$A45))</f>
        <v>3</v>
      </c>
      <c r="AF45" s="11">
        <f>SUMPRODUCT(ISNUMBER(SEARCH(",HER4,",","&amp;SUBSTITUTE('1L Screening Matrix'!$I$2:$I$77,", ",",")&amp;","))*('1L Screening Matrix'!$C$2:$C$77=$A45))+SUMPRODUCT(ISNUMBER(SEARCH(",HER4,",","&amp;SUBSTITUTE('2L Screening Matrix'!$I$2:$I$46,", ",",")&amp;","))*('2L Screening Matrix'!$C$2:$C$46=$A45))</f>
        <v>0</v>
      </c>
      <c r="AG45" s="11">
        <f>SUMPRODUCT(ISNUMBER(SEARCH(",ALK L1196M,",","&amp;SUBSTITUTE('1L Screening Matrix'!$I$2:$I$77,", ",",")&amp;","))*('1L Screening Matrix'!$C$2:$C$77=$A45))+SUMPRODUCT(ISNUMBER(SEARCH(",ALK L1196M,",","&amp;SUBSTITUTE('2L Screening Matrix'!$I$2:$I$46,", ",",")&amp;","))*('2L Screening Matrix'!$C$2:$C$46=$A45))</f>
        <v>0</v>
      </c>
      <c r="AH45" s="11">
        <f>SUMPRODUCT(ISNUMBER(SEARCH(",CD152,",","&amp;SUBSTITUTE('1L Screening Matrix'!$I$2:$I$77,", ",",")&amp;","))*('1L Screening Matrix'!$C$2:$C$77=$A45))+SUMPRODUCT(ISNUMBER(SEARCH(",CD152,",","&amp;SUBSTITUTE('2L Screening Matrix'!$I$2:$I$46,", ",",")&amp;","))*('2L Screening Matrix'!$C$2:$C$46=$A45))</f>
        <v>0</v>
      </c>
      <c r="AI45" s="11">
        <f>SUMPRODUCT(ISNUMBER(SEARCH(",MLN19,",","&amp;SUBSTITUTE('1L Screening Matrix'!$I$2:$I$77,", ",",")&amp;","))*('1L Screening Matrix'!$C$2:$C$77=$A45))+SUMPRODUCT(ISNUMBER(SEARCH(",MLN19,",","&amp;SUBSTITUTE('2L Screening Matrix'!$I$2:$I$46,", ",",")&amp;","))*('2L Screening Matrix'!$C$2:$C$46=$A45))</f>
        <v>0</v>
      </c>
      <c r="AJ45" s="11">
        <f>SUMPRODUCT(ISNUMBER(SEARCH(",NTRK,",","&amp;SUBSTITUTE('1L Screening Matrix'!$I$2:$I$77,", ",",")&amp;","))*('1L Screening Matrix'!$C$2:$C$77=$A45))+SUMPRODUCT(ISNUMBER(SEARCH(",NTRK,",","&amp;SUBSTITUTE('2L Screening Matrix'!$I$2:$I$46,", ",",")&amp;","))*('2L Screening Matrix'!$C$2:$C$46=$A45))</f>
        <v>0</v>
      </c>
      <c r="AK45" s="11">
        <f>SUMPRODUCT(ISNUMBER(SEARCH(",Integrin β6,",","&amp;SUBSTITUTE('1L Screening Matrix'!$I$2:$I$77,", ",",")&amp;","))*('1L Screening Matrix'!$C$2:$C$77=$A45))+SUMPRODUCT(ISNUMBER(SEARCH(",Integrin β6,",","&amp;SUBSTITUTE('2L Screening Matrix'!$I$2:$I$46,", ",",")&amp;","))*('2L Screening Matrix'!$C$2:$C$46=$A45))</f>
        <v>0</v>
      </c>
      <c r="AL45" s="11">
        <f>SUMPRODUCT(ISNUMBER(SEARCH(",LAG-3,",","&amp;SUBSTITUTE('1L Screening Matrix'!$I$2:$I$77,", ",",")&amp;","))*('1L Screening Matrix'!$C$2:$C$77=$A45))+SUMPRODUCT(ISNUMBER(SEARCH(",LAG-3,",","&amp;SUBSTITUTE('2L Screening Matrix'!$I$2:$I$46,", ",",")&amp;","))*('2L Screening Matrix'!$C$2:$C$46=$A45))</f>
        <v>0</v>
      </c>
      <c r="AM45" s="14">
        <f t="shared" si="1"/>
        <v>10</v>
      </c>
    </row>
    <row r="46" spans="1:39" ht="15" customHeight="1" x14ac:dyDescent="0.2">
      <c r="A46" s="12" t="s">
        <v>107</v>
      </c>
      <c r="B46" s="11">
        <f>SUMPRODUCT(ISNUMBER(SEARCH(",PD-1,",","&amp;SUBSTITUTE('1L Screening Matrix'!$I$2:$I$77,", ",",")&amp;","))*('1L Screening Matrix'!$C$2:$C$77=$A46))+SUMPRODUCT(ISNUMBER(SEARCH(",PD-1,",","&amp;SUBSTITUTE('2L Screening Matrix'!$I$2:$I$46,", ",",")&amp;","))*('2L Screening Matrix'!$C$2:$C$46=$A46))</f>
        <v>0</v>
      </c>
      <c r="C46" s="11">
        <f>SUMPRODUCT(ISNUMBER(SEARCH(",CD279,",","&amp;SUBSTITUTE('1L Screening Matrix'!$I$2:$I$77,", ",",")&amp;","))*('1L Screening Matrix'!$C$2:$C$77=$A46))+SUMPRODUCT(ISNUMBER(SEARCH(",CD279,",","&amp;SUBSTITUTE('2L Screening Matrix'!$I$2:$I$46,", ",",")&amp;","))*('2L Screening Matrix'!$C$2:$C$46=$A46))</f>
        <v>0</v>
      </c>
      <c r="D46" s="11">
        <f>SUMPRODUCT(ISNUMBER(SEARCH(",TS,",","&amp;SUBSTITUTE('1L Screening Matrix'!$I$2:$I$77,", ",",")&amp;","))*('1L Screening Matrix'!$C$2:$C$77=$A46))+SUMPRODUCT(ISNUMBER(SEARCH(",TS,",","&amp;SUBSTITUTE('2L Screening Matrix'!$I$2:$I$46,", ",",")&amp;","))*('2L Screening Matrix'!$C$2:$C$46=$A46))</f>
        <v>0</v>
      </c>
      <c r="E46" s="11">
        <f>SUMPRODUCT(ISNUMBER(SEARCH(",TYMS,",","&amp;SUBSTITUTE('1L Screening Matrix'!$I$2:$I$77,", ",",")&amp;","))*('1L Screening Matrix'!$C$2:$C$77=$A46))+SUMPRODUCT(ISNUMBER(SEARCH(",TYMS,",","&amp;SUBSTITUTE('2L Screening Matrix'!$I$2:$I$46,", ",",")&amp;","))*('2L Screening Matrix'!$C$2:$C$46=$A46))</f>
        <v>0</v>
      </c>
      <c r="F46" s="11">
        <f>SUMPRODUCT(ISNUMBER(SEARCH(",PD-L1,",","&amp;SUBSTITUTE('1L Screening Matrix'!$I$2:$I$77,", ",",")&amp;","))*('1L Screening Matrix'!$C$2:$C$77=$A46))+SUMPRODUCT(ISNUMBER(SEARCH(",PD-L1,",","&amp;SUBSTITUTE('2L Screening Matrix'!$I$2:$I$46,", ",",")&amp;","))*('2L Screening Matrix'!$C$2:$C$46=$A46))</f>
        <v>0</v>
      </c>
      <c r="G46" s="11">
        <f>SUMPRODUCT(ISNUMBER(SEARCH(",B7-H1,",","&amp;SUBSTITUTE('1L Screening Matrix'!$I$2:$I$77,", ",",")&amp;","))*('1L Screening Matrix'!$C$2:$C$77=$A46))+SUMPRODUCT(ISNUMBER(SEARCH(",B7-H1,",","&amp;SUBSTITUTE('2L Screening Matrix'!$I$2:$I$46,", ",",")&amp;","))*('2L Screening Matrix'!$C$2:$C$46=$A46))</f>
        <v>0</v>
      </c>
      <c r="H46" s="11">
        <f>SUMPRODUCT(ISNUMBER(SEARCH(",CD274,",","&amp;SUBSTITUTE('1L Screening Matrix'!$I$2:$I$77,", ",",")&amp;","))*('1L Screening Matrix'!$C$2:$C$77=$A46))+SUMPRODUCT(ISNUMBER(SEARCH(",CD274,",","&amp;SUBSTITUTE('2L Screening Matrix'!$I$2:$I$46,", ",",")&amp;","))*('2L Screening Matrix'!$C$2:$C$46=$A46))</f>
        <v>0</v>
      </c>
      <c r="I46" s="11">
        <f>SUMPRODUCT(ISNUMBER(SEARCH(",EGFR,",","&amp;SUBSTITUTE('1L Screening Matrix'!$I$2:$I$77,", ",",")&amp;","))*('1L Screening Matrix'!$C$2:$C$77=$A46))+SUMPRODUCT(ISNUMBER(SEARCH(",EGFR,",","&amp;SUBSTITUTE('2L Screening Matrix'!$I$2:$I$46,", ",",")&amp;","))*('2L Screening Matrix'!$C$2:$C$46=$A46))</f>
        <v>0</v>
      </c>
      <c r="J46" s="11">
        <f>SUMPRODUCT(ISNUMBER(SEARCH(",VEGF,",","&amp;SUBSTITUTE('1L Screening Matrix'!$I$2:$I$77,", ",",")&amp;","))*('1L Screening Matrix'!$C$2:$C$77=$A46))+SUMPRODUCT(ISNUMBER(SEARCH(",VEGF,",","&amp;SUBSTITUTE('2L Screening Matrix'!$I$2:$I$46,", ",",")&amp;","))*('2L Screening Matrix'!$C$2:$C$46=$A46))</f>
        <v>0</v>
      </c>
      <c r="K46" s="11">
        <f>SUMPRODUCT(ISNUMBER(SEARCH(",ERBB,",","&amp;SUBSTITUTE('1L Screening Matrix'!$I$2:$I$77,", ",",")&amp;","))*('1L Screening Matrix'!$C$2:$C$77=$A46))+SUMPRODUCT(ISNUMBER(SEARCH(",ERBB,",","&amp;SUBSTITUTE('2L Screening Matrix'!$I$2:$I$46,", ",",")&amp;","))*('2L Screening Matrix'!$C$2:$C$46=$A46))</f>
        <v>0</v>
      </c>
      <c r="L46" s="11">
        <f>SUMPRODUCT(ISNUMBER(SEARCH(",HER1,",","&amp;SUBSTITUTE('1L Screening Matrix'!$I$2:$I$77,", ",",")&amp;","))*('1L Screening Matrix'!$C$2:$C$77=$A46))+SUMPRODUCT(ISNUMBER(SEARCH(",HER1,",","&amp;SUBSTITUTE('2L Screening Matrix'!$I$2:$I$46,", ",",")&amp;","))*('2L Screening Matrix'!$C$2:$C$46=$A46))</f>
        <v>0</v>
      </c>
      <c r="M46" s="11">
        <f>SUMPRODUCT(ISNUMBER(SEARCH(",Microtubule,",","&amp;SUBSTITUTE('1L Screening Matrix'!$I$2:$I$77,", ",",")&amp;","))*('1L Screening Matrix'!$C$2:$C$77=$A46))+SUMPRODUCT(ISNUMBER(SEARCH(",Microtubule,",","&amp;SUBSTITUTE('2L Screening Matrix'!$I$2:$I$46,", ",",")&amp;","))*('2L Screening Matrix'!$C$2:$C$46=$A46))</f>
        <v>0</v>
      </c>
      <c r="N46" s="11">
        <f>SUMPRODUCT(ISNUMBER(SEARCH(",KRAS G12C,",","&amp;SUBSTITUTE('1L Screening Matrix'!$I$2:$I$77,", ",",")&amp;","))*('1L Screening Matrix'!$C$2:$C$77=$A46))+SUMPRODUCT(ISNUMBER(SEARCH(",KRAS G12C,",","&amp;SUBSTITUTE('2L Screening Matrix'!$I$2:$I$46,", ",",")&amp;","))*('2L Screening Matrix'!$C$2:$C$46=$A46))</f>
        <v>0</v>
      </c>
      <c r="O46" s="11">
        <f>SUMPRODUCT(ISNUMBER(SEARCH(",EGFR T790M,",","&amp;SUBSTITUTE('1L Screening Matrix'!$I$2:$I$77,", ",",")&amp;","))*('1L Screening Matrix'!$C$2:$C$77=$A46))+SUMPRODUCT(ISNUMBER(SEARCH(",EGFR T790M,",","&amp;SUBSTITUTE('2L Screening Matrix'!$I$2:$I$46,", ",",")&amp;","))*('2L Screening Matrix'!$C$2:$C$46=$A46))</f>
        <v>0</v>
      </c>
      <c r="P46" s="11">
        <f>SUMPRODUCT(ISNUMBER(SEARCH(",ALK,",","&amp;SUBSTITUTE('1L Screening Matrix'!$I$2:$I$77,", ",",")&amp;","))*('1L Screening Matrix'!$C$2:$C$77=$A46))+SUMPRODUCT(ISNUMBER(SEARCH(",ALK,",","&amp;SUBSTITUTE('2L Screening Matrix'!$I$2:$I$46,", ",",")&amp;","))*('2L Screening Matrix'!$C$2:$C$46=$A46))</f>
        <v>0</v>
      </c>
      <c r="Q46" s="11">
        <f>SUMPRODUCT(ISNUMBER(SEARCH(",TROP2,",","&amp;SUBSTITUTE('1L Screening Matrix'!$I$2:$I$77,", ",",")&amp;","))*('1L Screening Matrix'!$C$2:$C$77=$A46))+SUMPRODUCT(ISNUMBER(SEARCH(",TROP2,",","&amp;SUBSTITUTE('2L Screening Matrix'!$I$2:$I$46,", ",",")&amp;","))*('2L Screening Matrix'!$C$2:$C$46=$A46))</f>
        <v>0</v>
      </c>
      <c r="R46" s="11">
        <f>SUMPRODUCT(ISNUMBER(SEARCH(",c-MET/MET,",","&amp;SUBSTITUTE('1L Screening Matrix'!$I$2:$I$77,", ",",")&amp;","))*('1L Screening Matrix'!$C$2:$C$77=$A46))+SUMPRODUCT(ISNUMBER(SEARCH(",c-MET/MET,",","&amp;SUBSTITUTE('2L Screening Matrix'!$I$2:$I$46,", ",",")&amp;","))*('2L Screening Matrix'!$C$2:$C$46=$A46))</f>
        <v>0</v>
      </c>
      <c r="S46" s="11">
        <f>SUMPRODUCT(ISNUMBER(SEARCH(",HER2,",","&amp;SUBSTITUTE('1L Screening Matrix'!$I$2:$I$77,", ",",")&amp;","))*('1L Screening Matrix'!$C$2:$C$77=$A46))+SUMPRODUCT(ISNUMBER(SEARCH(",HER2,",","&amp;SUBSTITUTE('2L Screening Matrix'!$I$2:$I$46,", ",",")&amp;","))*('2L Screening Matrix'!$C$2:$C$46=$A46))</f>
        <v>0</v>
      </c>
      <c r="T46" s="11">
        <f>SUMPRODUCT(ISNUMBER(SEARCH(",ROS1,",","&amp;SUBSTITUTE('1L Screening Matrix'!$I$2:$I$77,", ",",")&amp;","))*('1L Screening Matrix'!$C$2:$C$77=$A46))+SUMPRODUCT(ISNUMBER(SEARCH(",ROS1,",","&amp;SUBSTITUTE('2L Screening Matrix'!$I$2:$I$46,", ",",")&amp;","))*('2L Screening Matrix'!$C$2:$C$46=$A46))</f>
        <v>0</v>
      </c>
      <c r="U46" s="11">
        <f>SUMPRODUCT(ISNUMBER(SEARCH(",TIGIT,",","&amp;SUBSTITUTE('1L Screening Matrix'!$I$2:$I$77,", ",",")&amp;","))*('1L Screening Matrix'!$C$2:$C$77=$A46))+SUMPRODUCT(ISNUMBER(SEARCH(",TIGIT,",","&amp;SUBSTITUTE('2L Screening Matrix'!$I$2:$I$46,", ",",")&amp;","))*('2L Screening Matrix'!$C$2:$C$46=$A46))</f>
        <v>0</v>
      </c>
      <c r="V46" s="11">
        <f>SUMPRODUCT(ISNUMBER(SEARCH(",EGFR L858R,",","&amp;SUBSTITUTE('1L Screening Matrix'!$I$2:$I$77,", ",",")&amp;","))*('1L Screening Matrix'!$C$2:$C$77=$A46))+SUMPRODUCT(ISNUMBER(SEARCH(",EGFR L858R,",","&amp;SUBSTITUTE('2L Screening Matrix'!$I$2:$I$46,", ",",")&amp;","))*('2L Screening Matrix'!$C$2:$C$46=$A46))</f>
        <v>0</v>
      </c>
      <c r="W46" s="11">
        <f>SUMPRODUCT(ISNUMBER(SEARCH(",ROS,",","&amp;SUBSTITUTE('1L Screening Matrix'!$I$2:$I$77,", ",",")&amp;","))*('1L Screening Matrix'!$C$2:$C$77=$A46))+SUMPRODUCT(ISNUMBER(SEARCH(",ROS,",","&amp;SUBSTITUTE('2L Screening Matrix'!$I$2:$I$46,", ",",")&amp;","))*('2L Screening Matrix'!$C$2:$C$46=$A46))</f>
        <v>0</v>
      </c>
      <c r="X46" s="11">
        <f>SUMPRODUCT(ISNUMBER(SEARCH(",IL-2,",","&amp;SUBSTITUTE('1L Screening Matrix'!$I$2:$I$77,", ",",")&amp;","))*('1L Screening Matrix'!$C$2:$C$77=$A46))+SUMPRODUCT(ISNUMBER(SEARCH(",IL-2,",","&amp;SUBSTITUTE('2L Screening Matrix'!$I$2:$I$46,", ",",")&amp;","))*('2L Screening Matrix'!$C$2:$C$46=$A46))</f>
        <v>0</v>
      </c>
      <c r="Y46" s="11">
        <f>SUMPRODUCT(ISNUMBER(SEARCH(",TCGF,",","&amp;SUBSTITUTE('1L Screening Matrix'!$I$2:$I$77,", ",",")&amp;","))*('1L Screening Matrix'!$C$2:$C$77=$A46))+SUMPRODUCT(ISNUMBER(SEARCH(",TCGF,",","&amp;SUBSTITUTE('2L Screening Matrix'!$I$2:$I$46,", ",",")&amp;","))*('2L Screening Matrix'!$C$2:$C$46=$A46))</f>
        <v>0</v>
      </c>
      <c r="Z46" s="11">
        <f>SUMPRODUCT(ISNUMBER(SEARCH(",CTLA-4,",","&amp;SUBSTITUTE('1L Screening Matrix'!$I$2:$I$77,", ",",")&amp;","))*('1L Screening Matrix'!$C$2:$C$77=$A46))+SUMPRODUCT(ISNUMBER(SEARCH(",CTLA-4,",","&amp;SUBSTITUTE('2L Screening Matrix'!$I$2:$I$46,", ",",")&amp;","))*('2L Screening Matrix'!$C$2:$C$46=$A46))</f>
        <v>0</v>
      </c>
      <c r="AA46" s="11">
        <f>SUMPRODUCT(ISNUMBER(SEARCH(",EGFR Exon 20,",","&amp;SUBSTITUTE('1L Screening Matrix'!$I$2:$I$77,", ",",")&amp;","))*('1L Screening Matrix'!$C$2:$C$77=$A46))+SUMPRODUCT(ISNUMBER(SEARCH(",EGFR Exon 20,",","&amp;SUBSTITUTE('2L Screening Matrix'!$I$2:$I$46,", ",",")&amp;","))*('2L Screening Matrix'!$C$2:$C$46=$A46))</f>
        <v>0</v>
      </c>
      <c r="AB46" s="11">
        <f>SUMPRODUCT(ISNUMBER(SEARCH(",HER2 Exon 20,",","&amp;SUBSTITUTE('1L Screening Matrix'!$I$2:$I$77,", ",",")&amp;","))*('1L Screening Matrix'!$C$2:$C$77=$A46))+SUMPRODUCT(ISNUMBER(SEARCH(",HER2 Exon 20,",","&amp;SUBSTITUTE('2L Screening Matrix'!$I$2:$I$46,", ",",")&amp;","))*('2L Screening Matrix'!$C$2:$C$46=$A46))</f>
        <v>0</v>
      </c>
      <c r="AC46" s="11">
        <f>SUMPRODUCT(ISNUMBER(SEARCH(",IL-15,",","&amp;SUBSTITUTE('1L Screening Matrix'!$I$2:$I$77,", ",",")&amp;","))*('1L Screening Matrix'!$C$2:$C$77=$A46))+SUMPRODUCT(ISNUMBER(SEARCH(",IL-15,",","&amp;SUBSTITUTE('2L Screening Matrix'!$I$2:$I$46,", ",",")&amp;","))*('2L Screening Matrix'!$C$2:$C$46=$A46))</f>
        <v>0</v>
      </c>
      <c r="AD46" s="11">
        <f>SUMPRODUCT(ISNUMBER(SEARCH(",IL-15R,",","&amp;SUBSTITUTE('1L Screening Matrix'!$I$2:$I$77,", ",",")&amp;","))*('1L Screening Matrix'!$C$2:$C$77=$A46))+SUMPRODUCT(ISNUMBER(SEARCH(",IL-15R,",","&amp;SUBSTITUTE('2L Screening Matrix'!$I$2:$I$46,", ",",")&amp;","))*('2L Screening Matrix'!$C$2:$C$46=$A46))</f>
        <v>0</v>
      </c>
      <c r="AE46" s="11">
        <f>SUMPRODUCT(ISNUMBER(SEARCH(",KRAS G12D,",","&amp;SUBSTITUTE('1L Screening Matrix'!$I$2:$I$77,", ",",")&amp;","))*('1L Screening Matrix'!$C$2:$C$77=$A46))+SUMPRODUCT(ISNUMBER(SEARCH(",KRAS G12D,",","&amp;SUBSTITUTE('2L Screening Matrix'!$I$2:$I$46,", ",",")&amp;","))*('2L Screening Matrix'!$C$2:$C$46=$A46))</f>
        <v>0</v>
      </c>
      <c r="AF46" s="11">
        <f>SUMPRODUCT(ISNUMBER(SEARCH(",HER4,",","&amp;SUBSTITUTE('1L Screening Matrix'!$I$2:$I$77,", ",",")&amp;","))*('1L Screening Matrix'!$C$2:$C$77=$A46))+SUMPRODUCT(ISNUMBER(SEARCH(",HER4,",","&amp;SUBSTITUTE('2L Screening Matrix'!$I$2:$I$46,", ",",")&amp;","))*('2L Screening Matrix'!$C$2:$C$46=$A46))</f>
        <v>0</v>
      </c>
      <c r="AG46" s="11">
        <f>SUMPRODUCT(ISNUMBER(SEARCH(",ALK L1196M,",","&amp;SUBSTITUTE('1L Screening Matrix'!$I$2:$I$77,", ",",")&amp;","))*('1L Screening Matrix'!$C$2:$C$77=$A46))+SUMPRODUCT(ISNUMBER(SEARCH(",ALK L1196M,",","&amp;SUBSTITUTE('2L Screening Matrix'!$I$2:$I$46,", ",",")&amp;","))*('2L Screening Matrix'!$C$2:$C$46=$A46))</f>
        <v>0</v>
      </c>
      <c r="AH46" s="11">
        <f>SUMPRODUCT(ISNUMBER(SEARCH(",CD152,",","&amp;SUBSTITUTE('1L Screening Matrix'!$I$2:$I$77,", ",",")&amp;","))*('1L Screening Matrix'!$C$2:$C$77=$A46))+SUMPRODUCT(ISNUMBER(SEARCH(",CD152,",","&amp;SUBSTITUTE('2L Screening Matrix'!$I$2:$I$46,", ",",")&amp;","))*('2L Screening Matrix'!$C$2:$C$46=$A46))</f>
        <v>0</v>
      </c>
      <c r="AI46" s="11">
        <f>SUMPRODUCT(ISNUMBER(SEARCH(",MLN19,",","&amp;SUBSTITUTE('1L Screening Matrix'!$I$2:$I$77,", ",",")&amp;","))*('1L Screening Matrix'!$C$2:$C$77=$A46))+SUMPRODUCT(ISNUMBER(SEARCH(",MLN19,",","&amp;SUBSTITUTE('2L Screening Matrix'!$I$2:$I$46,", ",",")&amp;","))*('2L Screening Matrix'!$C$2:$C$46=$A46))</f>
        <v>0</v>
      </c>
      <c r="AJ46" s="11">
        <f>SUMPRODUCT(ISNUMBER(SEARCH(",NTRK,",","&amp;SUBSTITUTE('1L Screening Matrix'!$I$2:$I$77,", ",",")&amp;","))*('1L Screening Matrix'!$C$2:$C$77=$A46))+SUMPRODUCT(ISNUMBER(SEARCH(",NTRK,",","&amp;SUBSTITUTE('2L Screening Matrix'!$I$2:$I$46,", ",",")&amp;","))*('2L Screening Matrix'!$C$2:$C$46=$A46))</f>
        <v>0</v>
      </c>
      <c r="AK46" s="11">
        <f>SUMPRODUCT(ISNUMBER(SEARCH(",Integrin β6,",","&amp;SUBSTITUTE('1L Screening Matrix'!$I$2:$I$77,", ",",")&amp;","))*('1L Screening Matrix'!$C$2:$C$77=$A46))+SUMPRODUCT(ISNUMBER(SEARCH(",Integrin β6,",","&amp;SUBSTITUTE('2L Screening Matrix'!$I$2:$I$46,", ",",")&amp;","))*('2L Screening Matrix'!$C$2:$C$46=$A46))</f>
        <v>0</v>
      </c>
      <c r="AL46" s="11">
        <f>SUMPRODUCT(ISNUMBER(SEARCH(",LAG-3,",","&amp;SUBSTITUTE('1L Screening Matrix'!$I$2:$I$77,", ",",")&amp;","))*('1L Screening Matrix'!$C$2:$C$77=$A46))+SUMPRODUCT(ISNUMBER(SEARCH(",LAG-3,",","&amp;SUBSTITUTE('2L Screening Matrix'!$I$2:$I$46,", ",",")&amp;","))*('2L Screening Matrix'!$C$2:$C$46=$A46))</f>
        <v>0</v>
      </c>
      <c r="AM46" s="14">
        <f t="shared" si="1"/>
        <v>0</v>
      </c>
    </row>
    <row r="47" spans="1:39" ht="15" customHeight="1" x14ac:dyDescent="0.2">
      <c r="A47" s="15" t="s">
        <v>883</v>
      </c>
      <c r="B47" s="11">
        <f>SUMPRODUCT(ISNUMBER(SEARCH(",PD-1,",","&amp;SUBSTITUTE('1L Screening Matrix'!$I$2:$I$77,", ",",")&amp;","))*('1L Screening Matrix'!$C$2:$C$77=$A47))+SUMPRODUCT(ISNUMBER(SEARCH(",PD-1,",","&amp;SUBSTITUTE('2L Screening Matrix'!$I$2:$I$46,", ",",")&amp;","))*('2L Screening Matrix'!$C$2:$C$46=$A47))</f>
        <v>1</v>
      </c>
      <c r="C47" s="11">
        <f>SUMPRODUCT(ISNUMBER(SEARCH(",CD279,",","&amp;SUBSTITUTE('1L Screening Matrix'!$I$2:$I$77,", ",",")&amp;","))*('1L Screening Matrix'!$C$2:$C$77=$A47))+SUMPRODUCT(ISNUMBER(SEARCH(",CD279,",","&amp;SUBSTITUTE('2L Screening Matrix'!$I$2:$I$46,", ",",")&amp;","))*('2L Screening Matrix'!$C$2:$C$46=$A47))</f>
        <v>1</v>
      </c>
      <c r="D47" s="11">
        <f>SUMPRODUCT(ISNUMBER(SEARCH(",TS,",","&amp;SUBSTITUTE('1L Screening Matrix'!$I$2:$I$77,", ",",")&amp;","))*('1L Screening Matrix'!$C$2:$C$77=$A47))+SUMPRODUCT(ISNUMBER(SEARCH(",TS,",","&amp;SUBSTITUTE('2L Screening Matrix'!$I$2:$I$46,", ",",")&amp;","))*('2L Screening Matrix'!$C$2:$C$46=$A47))</f>
        <v>1</v>
      </c>
      <c r="E47" s="11">
        <f>SUMPRODUCT(ISNUMBER(SEARCH(",TYMS,",","&amp;SUBSTITUTE('1L Screening Matrix'!$I$2:$I$77,", ",",")&amp;","))*('1L Screening Matrix'!$C$2:$C$77=$A47))+SUMPRODUCT(ISNUMBER(SEARCH(",TYMS,",","&amp;SUBSTITUTE('2L Screening Matrix'!$I$2:$I$46,", ",",")&amp;","))*('2L Screening Matrix'!$C$2:$C$46=$A47))</f>
        <v>1</v>
      </c>
      <c r="F47" s="11">
        <f>SUMPRODUCT(ISNUMBER(SEARCH(",PD-L1,",","&amp;SUBSTITUTE('1L Screening Matrix'!$I$2:$I$77,", ",",")&amp;","))*('1L Screening Matrix'!$C$2:$C$77=$A47))+SUMPRODUCT(ISNUMBER(SEARCH(",PD-L1,",","&amp;SUBSTITUTE('2L Screening Matrix'!$I$2:$I$46,", ",",")&amp;","))*('2L Screening Matrix'!$C$2:$C$46=$A47))</f>
        <v>0</v>
      </c>
      <c r="G47" s="11">
        <f>SUMPRODUCT(ISNUMBER(SEARCH(",B7-H1,",","&amp;SUBSTITUTE('1L Screening Matrix'!$I$2:$I$77,", ",",")&amp;","))*('1L Screening Matrix'!$C$2:$C$77=$A47))+SUMPRODUCT(ISNUMBER(SEARCH(",B7-H1,",","&amp;SUBSTITUTE('2L Screening Matrix'!$I$2:$I$46,", ",",")&amp;","))*('2L Screening Matrix'!$C$2:$C$46=$A47))</f>
        <v>0</v>
      </c>
      <c r="H47" s="11">
        <f>SUMPRODUCT(ISNUMBER(SEARCH(",CD274,",","&amp;SUBSTITUTE('1L Screening Matrix'!$I$2:$I$77,", ",",")&amp;","))*('1L Screening Matrix'!$C$2:$C$77=$A47))+SUMPRODUCT(ISNUMBER(SEARCH(",CD274,",","&amp;SUBSTITUTE('2L Screening Matrix'!$I$2:$I$46,", ",",")&amp;","))*('2L Screening Matrix'!$C$2:$C$46=$A47))</f>
        <v>0</v>
      </c>
      <c r="I47" s="11">
        <f>SUMPRODUCT(ISNUMBER(SEARCH(",EGFR,",","&amp;SUBSTITUTE('1L Screening Matrix'!$I$2:$I$77,", ",",")&amp;","))*('1L Screening Matrix'!$C$2:$C$77=$A47))+SUMPRODUCT(ISNUMBER(SEARCH(",EGFR,",","&amp;SUBSTITUTE('2L Screening Matrix'!$I$2:$I$46,", ",",")&amp;","))*('2L Screening Matrix'!$C$2:$C$46=$A47))</f>
        <v>0</v>
      </c>
      <c r="J47" s="11">
        <f>SUMPRODUCT(ISNUMBER(SEARCH(",VEGF,",","&amp;SUBSTITUTE('1L Screening Matrix'!$I$2:$I$77,", ",",")&amp;","))*('1L Screening Matrix'!$C$2:$C$77=$A47))+SUMPRODUCT(ISNUMBER(SEARCH(",VEGF,",","&amp;SUBSTITUTE('2L Screening Matrix'!$I$2:$I$46,", ",",")&amp;","))*('2L Screening Matrix'!$C$2:$C$46=$A47))</f>
        <v>0</v>
      </c>
      <c r="K47" s="11">
        <f>SUMPRODUCT(ISNUMBER(SEARCH(",ERBB,",","&amp;SUBSTITUTE('1L Screening Matrix'!$I$2:$I$77,", ",",")&amp;","))*('1L Screening Matrix'!$C$2:$C$77=$A47))+SUMPRODUCT(ISNUMBER(SEARCH(",ERBB,",","&amp;SUBSTITUTE('2L Screening Matrix'!$I$2:$I$46,", ",",")&amp;","))*('2L Screening Matrix'!$C$2:$C$46=$A47))</f>
        <v>0</v>
      </c>
      <c r="L47" s="11">
        <f>SUMPRODUCT(ISNUMBER(SEARCH(",HER1,",","&amp;SUBSTITUTE('1L Screening Matrix'!$I$2:$I$77,", ",",")&amp;","))*('1L Screening Matrix'!$C$2:$C$77=$A47))+SUMPRODUCT(ISNUMBER(SEARCH(",HER1,",","&amp;SUBSTITUTE('2L Screening Matrix'!$I$2:$I$46,", ",",")&amp;","))*('2L Screening Matrix'!$C$2:$C$46=$A47))</f>
        <v>0</v>
      </c>
      <c r="M47" s="11">
        <f>SUMPRODUCT(ISNUMBER(SEARCH(",Microtubule,",","&amp;SUBSTITUTE('1L Screening Matrix'!$I$2:$I$77,", ",",")&amp;","))*('1L Screening Matrix'!$C$2:$C$77=$A47))+SUMPRODUCT(ISNUMBER(SEARCH(",Microtubule,",","&amp;SUBSTITUTE('2L Screening Matrix'!$I$2:$I$46,", ",",")&amp;","))*('2L Screening Matrix'!$C$2:$C$46=$A47))</f>
        <v>0</v>
      </c>
      <c r="N47" s="11">
        <f>SUMPRODUCT(ISNUMBER(SEARCH(",KRAS G12C,",","&amp;SUBSTITUTE('1L Screening Matrix'!$I$2:$I$77,", ",",")&amp;","))*('1L Screening Matrix'!$C$2:$C$77=$A47))+SUMPRODUCT(ISNUMBER(SEARCH(",KRAS G12C,",","&amp;SUBSTITUTE('2L Screening Matrix'!$I$2:$I$46,", ",",")&amp;","))*('2L Screening Matrix'!$C$2:$C$46=$A47))</f>
        <v>0</v>
      </c>
      <c r="O47" s="11">
        <f>SUMPRODUCT(ISNUMBER(SEARCH(",EGFR T790M,",","&amp;SUBSTITUTE('1L Screening Matrix'!$I$2:$I$77,", ",",")&amp;","))*('1L Screening Matrix'!$C$2:$C$77=$A47))+SUMPRODUCT(ISNUMBER(SEARCH(",EGFR T790M,",","&amp;SUBSTITUTE('2L Screening Matrix'!$I$2:$I$46,", ",",")&amp;","))*('2L Screening Matrix'!$C$2:$C$46=$A47))</f>
        <v>0</v>
      </c>
      <c r="P47" s="11">
        <f>SUMPRODUCT(ISNUMBER(SEARCH(",ALK,",","&amp;SUBSTITUTE('1L Screening Matrix'!$I$2:$I$77,", ",",")&amp;","))*('1L Screening Matrix'!$C$2:$C$77=$A47))+SUMPRODUCT(ISNUMBER(SEARCH(",ALK,",","&amp;SUBSTITUTE('2L Screening Matrix'!$I$2:$I$46,", ",",")&amp;","))*('2L Screening Matrix'!$C$2:$C$46=$A47))</f>
        <v>0</v>
      </c>
      <c r="Q47" s="11">
        <f>SUMPRODUCT(ISNUMBER(SEARCH(",TROP2,",","&amp;SUBSTITUTE('1L Screening Matrix'!$I$2:$I$77,", ",",")&amp;","))*('1L Screening Matrix'!$C$2:$C$77=$A47))+SUMPRODUCT(ISNUMBER(SEARCH(",TROP2,",","&amp;SUBSTITUTE('2L Screening Matrix'!$I$2:$I$46,", ",",")&amp;","))*('2L Screening Matrix'!$C$2:$C$46=$A47))</f>
        <v>0</v>
      </c>
      <c r="R47" s="11">
        <f>SUMPRODUCT(ISNUMBER(SEARCH(",c-MET/MET,",","&amp;SUBSTITUTE('1L Screening Matrix'!$I$2:$I$77,", ",",")&amp;","))*('1L Screening Matrix'!$C$2:$C$77=$A47))+SUMPRODUCT(ISNUMBER(SEARCH(",c-MET/MET,",","&amp;SUBSTITUTE('2L Screening Matrix'!$I$2:$I$46,", ",",")&amp;","))*('2L Screening Matrix'!$C$2:$C$46=$A47))</f>
        <v>0</v>
      </c>
      <c r="S47" s="11">
        <f>SUMPRODUCT(ISNUMBER(SEARCH(",HER2,",","&amp;SUBSTITUTE('1L Screening Matrix'!$I$2:$I$77,", ",",")&amp;","))*('1L Screening Matrix'!$C$2:$C$77=$A47))+SUMPRODUCT(ISNUMBER(SEARCH(",HER2,",","&amp;SUBSTITUTE('2L Screening Matrix'!$I$2:$I$46,", ",",")&amp;","))*('2L Screening Matrix'!$C$2:$C$46=$A47))</f>
        <v>0</v>
      </c>
      <c r="T47" s="11">
        <f>SUMPRODUCT(ISNUMBER(SEARCH(",ROS1,",","&amp;SUBSTITUTE('1L Screening Matrix'!$I$2:$I$77,", ",",")&amp;","))*('1L Screening Matrix'!$C$2:$C$77=$A47))+SUMPRODUCT(ISNUMBER(SEARCH(",ROS1,",","&amp;SUBSTITUTE('2L Screening Matrix'!$I$2:$I$46,", ",",")&amp;","))*('2L Screening Matrix'!$C$2:$C$46=$A47))</f>
        <v>0</v>
      </c>
      <c r="U47" s="11">
        <f>SUMPRODUCT(ISNUMBER(SEARCH(",TIGIT,",","&amp;SUBSTITUTE('1L Screening Matrix'!$I$2:$I$77,", ",",")&amp;","))*('1L Screening Matrix'!$C$2:$C$77=$A47))+SUMPRODUCT(ISNUMBER(SEARCH(",TIGIT,",","&amp;SUBSTITUTE('2L Screening Matrix'!$I$2:$I$46,", ",",")&amp;","))*('2L Screening Matrix'!$C$2:$C$46=$A47))</f>
        <v>0</v>
      </c>
      <c r="V47" s="11">
        <f>SUMPRODUCT(ISNUMBER(SEARCH(",EGFR L858R,",","&amp;SUBSTITUTE('1L Screening Matrix'!$I$2:$I$77,", ",",")&amp;","))*('1L Screening Matrix'!$C$2:$C$77=$A47))+SUMPRODUCT(ISNUMBER(SEARCH(",EGFR L858R,",","&amp;SUBSTITUTE('2L Screening Matrix'!$I$2:$I$46,", ",",")&amp;","))*('2L Screening Matrix'!$C$2:$C$46=$A47))</f>
        <v>0</v>
      </c>
      <c r="W47" s="11">
        <f>SUMPRODUCT(ISNUMBER(SEARCH(",ROS,",","&amp;SUBSTITUTE('1L Screening Matrix'!$I$2:$I$77,", ",",")&amp;","))*('1L Screening Matrix'!$C$2:$C$77=$A47))+SUMPRODUCT(ISNUMBER(SEARCH(",ROS,",","&amp;SUBSTITUTE('2L Screening Matrix'!$I$2:$I$46,", ",",")&amp;","))*('2L Screening Matrix'!$C$2:$C$46=$A47))</f>
        <v>0</v>
      </c>
      <c r="X47" s="11">
        <f>SUMPRODUCT(ISNUMBER(SEARCH(",IL-2,",","&amp;SUBSTITUTE('1L Screening Matrix'!$I$2:$I$77,", ",",")&amp;","))*('1L Screening Matrix'!$C$2:$C$77=$A47))+SUMPRODUCT(ISNUMBER(SEARCH(",IL-2,",","&amp;SUBSTITUTE('2L Screening Matrix'!$I$2:$I$46,", ",",")&amp;","))*('2L Screening Matrix'!$C$2:$C$46=$A47))</f>
        <v>0</v>
      </c>
      <c r="Y47" s="11">
        <f>SUMPRODUCT(ISNUMBER(SEARCH(",TCGF,",","&amp;SUBSTITUTE('1L Screening Matrix'!$I$2:$I$77,", ",",")&amp;","))*('1L Screening Matrix'!$C$2:$C$77=$A47))+SUMPRODUCT(ISNUMBER(SEARCH(",TCGF,",","&amp;SUBSTITUTE('2L Screening Matrix'!$I$2:$I$46,", ",",")&amp;","))*('2L Screening Matrix'!$C$2:$C$46=$A47))</f>
        <v>0</v>
      </c>
      <c r="Z47" s="11">
        <f>SUMPRODUCT(ISNUMBER(SEARCH(",CTLA-4,",","&amp;SUBSTITUTE('1L Screening Matrix'!$I$2:$I$77,", ",",")&amp;","))*('1L Screening Matrix'!$C$2:$C$77=$A47))+SUMPRODUCT(ISNUMBER(SEARCH(",CTLA-4,",","&amp;SUBSTITUTE('2L Screening Matrix'!$I$2:$I$46,", ",",")&amp;","))*('2L Screening Matrix'!$C$2:$C$46=$A47))</f>
        <v>0</v>
      </c>
      <c r="AA47" s="11">
        <f>SUMPRODUCT(ISNUMBER(SEARCH(",EGFR Exon 20,",","&amp;SUBSTITUTE('1L Screening Matrix'!$I$2:$I$77,", ",",")&amp;","))*('1L Screening Matrix'!$C$2:$C$77=$A47))+SUMPRODUCT(ISNUMBER(SEARCH(",EGFR Exon 20,",","&amp;SUBSTITUTE('2L Screening Matrix'!$I$2:$I$46,", ",",")&amp;","))*('2L Screening Matrix'!$C$2:$C$46=$A47))</f>
        <v>0</v>
      </c>
      <c r="AB47" s="11">
        <f>SUMPRODUCT(ISNUMBER(SEARCH(",HER2 Exon 20,",","&amp;SUBSTITUTE('1L Screening Matrix'!$I$2:$I$77,", ",",")&amp;","))*('1L Screening Matrix'!$C$2:$C$77=$A47))+SUMPRODUCT(ISNUMBER(SEARCH(",HER2 Exon 20,",","&amp;SUBSTITUTE('2L Screening Matrix'!$I$2:$I$46,", ",",")&amp;","))*('2L Screening Matrix'!$C$2:$C$46=$A47))</f>
        <v>0</v>
      </c>
      <c r="AC47" s="11">
        <f>SUMPRODUCT(ISNUMBER(SEARCH(",IL-15,",","&amp;SUBSTITUTE('1L Screening Matrix'!$I$2:$I$77,", ",",")&amp;","))*('1L Screening Matrix'!$C$2:$C$77=$A47))+SUMPRODUCT(ISNUMBER(SEARCH(",IL-15,",","&amp;SUBSTITUTE('2L Screening Matrix'!$I$2:$I$46,", ",",")&amp;","))*('2L Screening Matrix'!$C$2:$C$46=$A47))</f>
        <v>0</v>
      </c>
      <c r="AD47" s="11">
        <f>SUMPRODUCT(ISNUMBER(SEARCH(",IL-15R,",","&amp;SUBSTITUTE('1L Screening Matrix'!$I$2:$I$77,", ",",")&amp;","))*('1L Screening Matrix'!$C$2:$C$77=$A47))+SUMPRODUCT(ISNUMBER(SEARCH(",IL-15R,",","&amp;SUBSTITUTE('2L Screening Matrix'!$I$2:$I$46,", ",",")&amp;","))*('2L Screening Matrix'!$C$2:$C$46=$A47))</f>
        <v>0</v>
      </c>
      <c r="AE47" s="11">
        <f>SUMPRODUCT(ISNUMBER(SEARCH(",KRAS G12D,",","&amp;SUBSTITUTE('1L Screening Matrix'!$I$2:$I$77,", ",",")&amp;","))*('1L Screening Matrix'!$C$2:$C$77=$A47))+SUMPRODUCT(ISNUMBER(SEARCH(",KRAS G12D,",","&amp;SUBSTITUTE('2L Screening Matrix'!$I$2:$I$46,", ",",")&amp;","))*('2L Screening Matrix'!$C$2:$C$46=$A47))</f>
        <v>0</v>
      </c>
      <c r="AF47" s="11">
        <f>SUMPRODUCT(ISNUMBER(SEARCH(",HER4,",","&amp;SUBSTITUTE('1L Screening Matrix'!$I$2:$I$77,", ",",")&amp;","))*('1L Screening Matrix'!$C$2:$C$77=$A47))+SUMPRODUCT(ISNUMBER(SEARCH(",HER4,",","&amp;SUBSTITUTE('2L Screening Matrix'!$I$2:$I$46,", ",",")&amp;","))*('2L Screening Matrix'!$C$2:$C$46=$A47))</f>
        <v>0</v>
      </c>
      <c r="AG47" s="11">
        <f>SUMPRODUCT(ISNUMBER(SEARCH(",ALK L1196M,",","&amp;SUBSTITUTE('1L Screening Matrix'!$I$2:$I$77,", ",",")&amp;","))*('1L Screening Matrix'!$C$2:$C$77=$A47))+SUMPRODUCT(ISNUMBER(SEARCH(",ALK L1196M,",","&amp;SUBSTITUTE('2L Screening Matrix'!$I$2:$I$46,", ",",")&amp;","))*('2L Screening Matrix'!$C$2:$C$46=$A47))</f>
        <v>0</v>
      </c>
      <c r="AH47" s="11">
        <f>SUMPRODUCT(ISNUMBER(SEARCH(",CD152,",","&amp;SUBSTITUTE('1L Screening Matrix'!$I$2:$I$77,", ",",")&amp;","))*('1L Screening Matrix'!$C$2:$C$77=$A47))+SUMPRODUCT(ISNUMBER(SEARCH(",CD152,",","&amp;SUBSTITUTE('2L Screening Matrix'!$I$2:$I$46,", ",",")&amp;","))*('2L Screening Matrix'!$C$2:$C$46=$A47))</f>
        <v>0</v>
      </c>
      <c r="AI47" s="11">
        <f>SUMPRODUCT(ISNUMBER(SEARCH(",MLN19,",","&amp;SUBSTITUTE('1L Screening Matrix'!$I$2:$I$77,", ",",")&amp;","))*('1L Screening Matrix'!$C$2:$C$77=$A47))+SUMPRODUCT(ISNUMBER(SEARCH(",MLN19,",","&amp;SUBSTITUTE('2L Screening Matrix'!$I$2:$I$46,", ",",")&amp;","))*('2L Screening Matrix'!$C$2:$C$46=$A47))</f>
        <v>0</v>
      </c>
      <c r="AJ47" s="11">
        <f>SUMPRODUCT(ISNUMBER(SEARCH(",NTRK,",","&amp;SUBSTITUTE('1L Screening Matrix'!$I$2:$I$77,", ",",")&amp;","))*('1L Screening Matrix'!$C$2:$C$77=$A47))+SUMPRODUCT(ISNUMBER(SEARCH(",NTRK,",","&amp;SUBSTITUTE('2L Screening Matrix'!$I$2:$I$46,", ",",")&amp;","))*('2L Screening Matrix'!$C$2:$C$46=$A47))</f>
        <v>0</v>
      </c>
      <c r="AK47" s="11">
        <f>SUMPRODUCT(ISNUMBER(SEARCH(",Integrin β6,",","&amp;SUBSTITUTE('1L Screening Matrix'!$I$2:$I$77,", ",",")&amp;","))*('1L Screening Matrix'!$C$2:$C$77=$A47))+SUMPRODUCT(ISNUMBER(SEARCH(",Integrin β6,",","&amp;SUBSTITUTE('2L Screening Matrix'!$I$2:$I$46,", ",",")&amp;","))*('2L Screening Matrix'!$C$2:$C$46=$A47))</f>
        <v>0</v>
      </c>
      <c r="AL47" s="11">
        <f>SUMPRODUCT(ISNUMBER(SEARCH(",LAG-3,",","&amp;SUBSTITUTE('1L Screening Matrix'!$I$2:$I$77,", ",",")&amp;","))*('1L Screening Matrix'!$C$2:$C$77=$A47))+SUMPRODUCT(ISNUMBER(SEARCH(",LAG-3,",","&amp;SUBSTITUTE('2L Screening Matrix'!$I$2:$I$46,", ",",")&amp;","))*('2L Screening Matrix'!$C$2:$C$46=$A47))</f>
        <v>0</v>
      </c>
      <c r="AM47" s="14">
        <f t="shared" si="1"/>
        <v>4</v>
      </c>
    </row>
    <row r="48" spans="1:39" ht="15" customHeight="1" x14ac:dyDescent="0.2">
      <c r="A48" s="12" t="s">
        <v>635</v>
      </c>
      <c r="B48" s="11">
        <f>SUMPRODUCT(ISNUMBER(SEARCH(",PD-1,",","&amp;SUBSTITUTE('1L Screening Matrix'!$I$2:$I$77,", ",",")&amp;","))*('1L Screening Matrix'!$C$2:$C$77=$A48))+SUMPRODUCT(ISNUMBER(SEARCH(",PD-1,",","&amp;SUBSTITUTE('2L Screening Matrix'!$I$2:$I$46,", ",",")&amp;","))*('2L Screening Matrix'!$C$2:$C$46=$A48))</f>
        <v>0</v>
      </c>
      <c r="C48" s="11">
        <f>SUMPRODUCT(ISNUMBER(SEARCH(",CD279,",","&amp;SUBSTITUTE('1L Screening Matrix'!$I$2:$I$77,", ",",")&amp;","))*('1L Screening Matrix'!$C$2:$C$77=$A48))+SUMPRODUCT(ISNUMBER(SEARCH(",CD279,",","&amp;SUBSTITUTE('2L Screening Matrix'!$I$2:$I$46,", ",",")&amp;","))*('2L Screening Matrix'!$C$2:$C$46=$A48))</f>
        <v>0</v>
      </c>
      <c r="D48" s="11">
        <f>SUMPRODUCT(ISNUMBER(SEARCH(",TS,",","&amp;SUBSTITUTE('1L Screening Matrix'!$I$2:$I$77,", ",",")&amp;","))*('1L Screening Matrix'!$C$2:$C$77=$A48))+SUMPRODUCT(ISNUMBER(SEARCH(",TS,",","&amp;SUBSTITUTE('2L Screening Matrix'!$I$2:$I$46,", ",",")&amp;","))*('2L Screening Matrix'!$C$2:$C$46=$A48))</f>
        <v>0</v>
      </c>
      <c r="E48" s="11">
        <f>SUMPRODUCT(ISNUMBER(SEARCH(",TYMS,",","&amp;SUBSTITUTE('1L Screening Matrix'!$I$2:$I$77,", ",",")&amp;","))*('1L Screening Matrix'!$C$2:$C$77=$A48))+SUMPRODUCT(ISNUMBER(SEARCH(",TYMS,",","&amp;SUBSTITUTE('2L Screening Matrix'!$I$2:$I$46,", ",",")&amp;","))*('2L Screening Matrix'!$C$2:$C$46=$A48))</f>
        <v>0</v>
      </c>
      <c r="F48" s="11">
        <f>SUMPRODUCT(ISNUMBER(SEARCH(",PD-L1,",","&amp;SUBSTITUTE('1L Screening Matrix'!$I$2:$I$77,", ",",")&amp;","))*('1L Screening Matrix'!$C$2:$C$77=$A48))+SUMPRODUCT(ISNUMBER(SEARCH(",PD-L1,",","&amp;SUBSTITUTE('2L Screening Matrix'!$I$2:$I$46,", ",",")&amp;","))*('2L Screening Matrix'!$C$2:$C$46=$A48))</f>
        <v>0</v>
      </c>
      <c r="G48" s="11">
        <f>SUMPRODUCT(ISNUMBER(SEARCH(",B7-H1,",","&amp;SUBSTITUTE('1L Screening Matrix'!$I$2:$I$77,", ",",")&amp;","))*('1L Screening Matrix'!$C$2:$C$77=$A48))+SUMPRODUCT(ISNUMBER(SEARCH(",B7-H1,",","&amp;SUBSTITUTE('2L Screening Matrix'!$I$2:$I$46,", ",",")&amp;","))*('2L Screening Matrix'!$C$2:$C$46=$A48))</f>
        <v>0</v>
      </c>
      <c r="H48" s="11">
        <f>SUMPRODUCT(ISNUMBER(SEARCH(",CD274,",","&amp;SUBSTITUTE('1L Screening Matrix'!$I$2:$I$77,", ",",")&amp;","))*('1L Screening Matrix'!$C$2:$C$77=$A48))+SUMPRODUCT(ISNUMBER(SEARCH(",CD274,",","&amp;SUBSTITUTE('2L Screening Matrix'!$I$2:$I$46,", ",",")&amp;","))*('2L Screening Matrix'!$C$2:$C$46=$A48))</f>
        <v>0</v>
      </c>
      <c r="I48" s="11">
        <f>SUMPRODUCT(ISNUMBER(SEARCH(",EGFR,",","&amp;SUBSTITUTE('1L Screening Matrix'!$I$2:$I$77,", ",",")&amp;","))*('1L Screening Matrix'!$C$2:$C$77=$A48))+SUMPRODUCT(ISNUMBER(SEARCH(",EGFR,",","&amp;SUBSTITUTE('2L Screening Matrix'!$I$2:$I$46,", ",",")&amp;","))*('2L Screening Matrix'!$C$2:$C$46=$A48))</f>
        <v>0</v>
      </c>
      <c r="J48" s="11">
        <f>SUMPRODUCT(ISNUMBER(SEARCH(",VEGF,",","&amp;SUBSTITUTE('1L Screening Matrix'!$I$2:$I$77,", ",",")&amp;","))*('1L Screening Matrix'!$C$2:$C$77=$A48))+SUMPRODUCT(ISNUMBER(SEARCH(",VEGF,",","&amp;SUBSTITUTE('2L Screening Matrix'!$I$2:$I$46,", ",",")&amp;","))*('2L Screening Matrix'!$C$2:$C$46=$A48))</f>
        <v>1</v>
      </c>
      <c r="K48" s="11">
        <f>SUMPRODUCT(ISNUMBER(SEARCH(",ERBB,",","&amp;SUBSTITUTE('1L Screening Matrix'!$I$2:$I$77,", ",",")&amp;","))*('1L Screening Matrix'!$C$2:$C$77=$A48))+SUMPRODUCT(ISNUMBER(SEARCH(",ERBB,",","&amp;SUBSTITUTE('2L Screening Matrix'!$I$2:$I$46,", ",",")&amp;","))*('2L Screening Matrix'!$C$2:$C$46=$A48))</f>
        <v>0</v>
      </c>
      <c r="L48" s="11">
        <f>SUMPRODUCT(ISNUMBER(SEARCH(",HER1,",","&amp;SUBSTITUTE('1L Screening Matrix'!$I$2:$I$77,", ",",")&amp;","))*('1L Screening Matrix'!$C$2:$C$77=$A48))+SUMPRODUCT(ISNUMBER(SEARCH(",HER1,",","&amp;SUBSTITUTE('2L Screening Matrix'!$I$2:$I$46,", ",",")&amp;","))*('2L Screening Matrix'!$C$2:$C$46=$A48))</f>
        <v>0</v>
      </c>
      <c r="M48" s="11">
        <f>SUMPRODUCT(ISNUMBER(SEARCH(",Microtubule,",","&amp;SUBSTITUTE('1L Screening Matrix'!$I$2:$I$77,", ",",")&amp;","))*('1L Screening Matrix'!$C$2:$C$77=$A48))+SUMPRODUCT(ISNUMBER(SEARCH(",Microtubule,",","&amp;SUBSTITUTE('2L Screening Matrix'!$I$2:$I$46,", ",",")&amp;","))*('2L Screening Matrix'!$C$2:$C$46=$A48))</f>
        <v>0</v>
      </c>
      <c r="N48" s="11">
        <f>SUMPRODUCT(ISNUMBER(SEARCH(",KRAS G12C,",","&amp;SUBSTITUTE('1L Screening Matrix'!$I$2:$I$77,", ",",")&amp;","))*('1L Screening Matrix'!$C$2:$C$77=$A48))+SUMPRODUCT(ISNUMBER(SEARCH(",KRAS G12C,",","&amp;SUBSTITUTE('2L Screening Matrix'!$I$2:$I$46,", ",",")&amp;","))*('2L Screening Matrix'!$C$2:$C$46=$A48))</f>
        <v>0</v>
      </c>
      <c r="O48" s="11">
        <f>SUMPRODUCT(ISNUMBER(SEARCH(",EGFR T790M,",","&amp;SUBSTITUTE('1L Screening Matrix'!$I$2:$I$77,", ",",")&amp;","))*('1L Screening Matrix'!$C$2:$C$77=$A48))+SUMPRODUCT(ISNUMBER(SEARCH(",EGFR T790M,",","&amp;SUBSTITUTE('2L Screening Matrix'!$I$2:$I$46,", ",",")&amp;","))*('2L Screening Matrix'!$C$2:$C$46=$A48))</f>
        <v>0</v>
      </c>
      <c r="P48" s="11">
        <f>SUMPRODUCT(ISNUMBER(SEARCH(",ALK,",","&amp;SUBSTITUTE('1L Screening Matrix'!$I$2:$I$77,", ",",")&amp;","))*('1L Screening Matrix'!$C$2:$C$77=$A48))+SUMPRODUCT(ISNUMBER(SEARCH(",ALK,",","&amp;SUBSTITUTE('2L Screening Matrix'!$I$2:$I$46,", ",",")&amp;","))*('2L Screening Matrix'!$C$2:$C$46=$A48))</f>
        <v>0</v>
      </c>
      <c r="Q48" s="11">
        <f>SUMPRODUCT(ISNUMBER(SEARCH(",TROP2,",","&amp;SUBSTITUTE('1L Screening Matrix'!$I$2:$I$77,", ",",")&amp;","))*('1L Screening Matrix'!$C$2:$C$77=$A48))+SUMPRODUCT(ISNUMBER(SEARCH(",TROP2,",","&amp;SUBSTITUTE('2L Screening Matrix'!$I$2:$I$46,", ",",")&amp;","))*('2L Screening Matrix'!$C$2:$C$46=$A48))</f>
        <v>0</v>
      </c>
      <c r="R48" s="11">
        <f>SUMPRODUCT(ISNUMBER(SEARCH(",c-MET/MET,",","&amp;SUBSTITUTE('1L Screening Matrix'!$I$2:$I$77,", ",",")&amp;","))*('1L Screening Matrix'!$C$2:$C$77=$A48))+SUMPRODUCT(ISNUMBER(SEARCH(",c-MET/MET,",","&amp;SUBSTITUTE('2L Screening Matrix'!$I$2:$I$46,", ",",")&amp;","))*('2L Screening Matrix'!$C$2:$C$46=$A48))</f>
        <v>0</v>
      </c>
      <c r="S48" s="11">
        <f>SUMPRODUCT(ISNUMBER(SEARCH(",HER2,",","&amp;SUBSTITUTE('1L Screening Matrix'!$I$2:$I$77,", ",",")&amp;","))*('1L Screening Matrix'!$C$2:$C$77=$A48))+SUMPRODUCT(ISNUMBER(SEARCH(",HER2,",","&amp;SUBSTITUTE('2L Screening Matrix'!$I$2:$I$46,", ",",")&amp;","))*('2L Screening Matrix'!$C$2:$C$46=$A48))</f>
        <v>0</v>
      </c>
      <c r="T48" s="11">
        <f>SUMPRODUCT(ISNUMBER(SEARCH(",ROS1,",","&amp;SUBSTITUTE('1L Screening Matrix'!$I$2:$I$77,", ",",")&amp;","))*('1L Screening Matrix'!$C$2:$C$77=$A48))+SUMPRODUCT(ISNUMBER(SEARCH(",ROS1,",","&amp;SUBSTITUTE('2L Screening Matrix'!$I$2:$I$46,", ",",")&amp;","))*('2L Screening Matrix'!$C$2:$C$46=$A48))</f>
        <v>0</v>
      </c>
      <c r="U48" s="11">
        <f>SUMPRODUCT(ISNUMBER(SEARCH(",TIGIT,",","&amp;SUBSTITUTE('1L Screening Matrix'!$I$2:$I$77,", ",",")&amp;","))*('1L Screening Matrix'!$C$2:$C$77=$A48))+SUMPRODUCT(ISNUMBER(SEARCH(",TIGIT,",","&amp;SUBSTITUTE('2L Screening Matrix'!$I$2:$I$46,", ",",")&amp;","))*('2L Screening Matrix'!$C$2:$C$46=$A48))</f>
        <v>0</v>
      </c>
      <c r="V48" s="11">
        <f>SUMPRODUCT(ISNUMBER(SEARCH(",EGFR L858R,",","&amp;SUBSTITUTE('1L Screening Matrix'!$I$2:$I$77,", ",",")&amp;","))*('1L Screening Matrix'!$C$2:$C$77=$A48))+SUMPRODUCT(ISNUMBER(SEARCH(",EGFR L858R,",","&amp;SUBSTITUTE('2L Screening Matrix'!$I$2:$I$46,", ",",")&amp;","))*('2L Screening Matrix'!$C$2:$C$46=$A48))</f>
        <v>0</v>
      </c>
      <c r="W48" s="11">
        <f>SUMPRODUCT(ISNUMBER(SEARCH(",ROS,",","&amp;SUBSTITUTE('1L Screening Matrix'!$I$2:$I$77,", ",",")&amp;","))*('1L Screening Matrix'!$C$2:$C$77=$A48))+SUMPRODUCT(ISNUMBER(SEARCH(",ROS,",","&amp;SUBSTITUTE('2L Screening Matrix'!$I$2:$I$46,", ",",")&amp;","))*('2L Screening Matrix'!$C$2:$C$46=$A48))</f>
        <v>0</v>
      </c>
      <c r="X48" s="11">
        <f>SUMPRODUCT(ISNUMBER(SEARCH(",IL-2,",","&amp;SUBSTITUTE('1L Screening Matrix'!$I$2:$I$77,", ",",")&amp;","))*('1L Screening Matrix'!$C$2:$C$77=$A48))+SUMPRODUCT(ISNUMBER(SEARCH(",IL-2,",","&amp;SUBSTITUTE('2L Screening Matrix'!$I$2:$I$46,", ",",")&amp;","))*('2L Screening Matrix'!$C$2:$C$46=$A48))</f>
        <v>0</v>
      </c>
      <c r="Y48" s="11">
        <f>SUMPRODUCT(ISNUMBER(SEARCH(",TCGF,",","&amp;SUBSTITUTE('1L Screening Matrix'!$I$2:$I$77,", ",",")&amp;","))*('1L Screening Matrix'!$C$2:$C$77=$A48))+SUMPRODUCT(ISNUMBER(SEARCH(",TCGF,",","&amp;SUBSTITUTE('2L Screening Matrix'!$I$2:$I$46,", ",",")&amp;","))*('2L Screening Matrix'!$C$2:$C$46=$A48))</f>
        <v>0</v>
      </c>
      <c r="Z48" s="11">
        <f>SUMPRODUCT(ISNUMBER(SEARCH(",CTLA-4,",","&amp;SUBSTITUTE('1L Screening Matrix'!$I$2:$I$77,", ",",")&amp;","))*('1L Screening Matrix'!$C$2:$C$77=$A48))+SUMPRODUCT(ISNUMBER(SEARCH(",CTLA-4,",","&amp;SUBSTITUTE('2L Screening Matrix'!$I$2:$I$46,", ",",")&amp;","))*('2L Screening Matrix'!$C$2:$C$46=$A48))</f>
        <v>0</v>
      </c>
      <c r="AA48" s="11">
        <f>SUMPRODUCT(ISNUMBER(SEARCH(",EGFR Exon 20,",","&amp;SUBSTITUTE('1L Screening Matrix'!$I$2:$I$77,", ",",")&amp;","))*('1L Screening Matrix'!$C$2:$C$77=$A48))+SUMPRODUCT(ISNUMBER(SEARCH(",EGFR Exon 20,",","&amp;SUBSTITUTE('2L Screening Matrix'!$I$2:$I$46,", ",",")&amp;","))*('2L Screening Matrix'!$C$2:$C$46=$A48))</f>
        <v>0</v>
      </c>
      <c r="AB48" s="11">
        <f>SUMPRODUCT(ISNUMBER(SEARCH(",HER2 Exon 20,",","&amp;SUBSTITUTE('1L Screening Matrix'!$I$2:$I$77,", ",",")&amp;","))*('1L Screening Matrix'!$C$2:$C$77=$A48))+SUMPRODUCT(ISNUMBER(SEARCH(",HER2 Exon 20,",","&amp;SUBSTITUTE('2L Screening Matrix'!$I$2:$I$46,", ",",")&amp;","))*('2L Screening Matrix'!$C$2:$C$46=$A48))</f>
        <v>0</v>
      </c>
      <c r="AC48" s="11">
        <f>SUMPRODUCT(ISNUMBER(SEARCH(",IL-15,",","&amp;SUBSTITUTE('1L Screening Matrix'!$I$2:$I$77,", ",",")&amp;","))*('1L Screening Matrix'!$C$2:$C$77=$A48))+SUMPRODUCT(ISNUMBER(SEARCH(",IL-15,",","&amp;SUBSTITUTE('2L Screening Matrix'!$I$2:$I$46,", ",",")&amp;","))*('2L Screening Matrix'!$C$2:$C$46=$A48))</f>
        <v>0</v>
      </c>
      <c r="AD48" s="11">
        <f>SUMPRODUCT(ISNUMBER(SEARCH(",IL-15R,",","&amp;SUBSTITUTE('1L Screening Matrix'!$I$2:$I$77,", ",",")&amp;","))*('1L Screening Matrix'!$C$2:$C$77=$A48))+SUMPRODUCT(ISNUMBER(SEARCH(",IL-15R,",","&amp;SUBSTITUTE('2L Screening Matrix'!$I$2:$I$46,", ",",")&amp;","))*('2L Screening Matrix'!$C$2:$C$46=$A48))</f>
        <v>0</v>
      </c>
      <c r="AE48" s="11">
        <f>SUMPRODUCT(ISNUMBER(SEARCH(",KRAS G12D,",","&amp;SUBSTITUTE('1L Screening Matrix'!$I$2:$I$77,", ",",")&amp;","))*('1L Screening Matrix'!$C$2:$C$77=$A48))+SUMPRODUCT(ISNUMBER(SEARCH(",KRAS G12D,",","&amp;SUBSTITUTE('2L Screening Matrix'!$I$2:$I$46,", ",",")&amp;","))*('2L Screening Matrix'!$C$2:$C$46=$A48))</f>
        <v>0</v>
      </c>
      <c r="AF48" s="11">
        <f>SUMPRODUCT(ISNUMBER(SEARCH(",HER4,",","&amp;SUBSTITUTE('1L Screening Matrix'!$I$2:$I$77,", ",",")&amp;","))*('1L Screening Matrix'!$C$2:$C$77=$A48))+SUMPRODUCT(ISNUMBER(SEARCH(",HER4,",","&amp;SUBSTITUTE('2L Screening Matrix'!$I$2:$I$46,", ",",")&amp;","))*('2L Screening Matrix'!$C$2:$C$46=$A48))</f>
        <v>0</v>
      </c>
      <c r="AG48" s="11">
        <f>SUMPRODUCT(ISNUMBER(SEARCH(",ALK L1196M,",","&amp;SUBSTITUTE('1L Screening Matrix'!$I$2:$I$77,", ",",")&amp;","))*('1L Screening Matrix'!$C$2:$C$77=$A48))+SUMPRODUCT(ISNUMBER(SEARCH(",ALK L1196M,",","&amp;SUBSTITUTE('2L Screening Matrix'!$I$2:$I$46,", ",",")&amp;","))*('2L Screening Matrix'!$C$2:$C$46=$A48))</f>
        <v>0</v>
      </c>
      <c r="AH48" s="11">
        <f>SUMPRODUCT(ISNUMBER(SEARCH(",CD152,",","&amp;SUBSTITUTE('1L Screening Matrix'!$I$2:$I$77,", ",",")&amp;","))*('1L Screening Matrix'!$C$2:$C$77=$A48))+SUMPRODUCT(ISNUMBER(SEARCH(",CD152,",","&amp;SUBSTITUTE('2L Screening Matrix'!$I$2:$I$46,", ",",")&amp;","))*('2L Screening Matrix'!$C$2:$C$46=$A48))</f>
        <v>0</v>
      </c>
      <c r="AI48" s="11">
        <f>SUMPRODUCT(ISNUMBER(SEARCH(",MLN19,",","&amp;SUBSTITUTE('1L Screening Matrix'!$I$2:$I$77,", ",",")&amp;","))*('1L Screening Matrix'!$C$2:$C$77=$A48))+SUMPRODUCT(ISNUMBER(SEARCH(",MLN19,",","&amp;SUBSTITUTE('2L Screening Matrix'!$I$2:$I$46,", ",",")&amp;","))*('2L Screening Matrix'!$C$2:$C$46=$A48))</f>
        <v>0</v>
      </c>
      <c r="AJ48" s="11">
        <f>SUMPRODUCT(ISNUMBER(SEARCH(",NTRK,",","&amp;SUBSTITUTE('1L Screening Matrix'!$I$2:$I$77,", ",",")&amp;","))*('1L Screening Matrix'!$C$2:$C$77=$A48))+SUMPRODUCT(ISNUMBER(SEARCH(",NTRK,",","&amp;SUBSTITUTE('2L Screening Matrix'!$I$2:$I$46,", ",",")&amp;","))*('2L Screening Matrix'!$C$2:$C$46=$A48))</f>
        <v>0</v>
      </c>
      <c r="AK48" s="11">
        <f>SUMPRODUCT(ISNUMBER(SEARCH(",Integrin β6,",","&amp;SUBSTITUTE('1L Screening Matrix'!$I$2:$I$77,", ",",")&amp;","))*('1L Screening Matrix'!$C$2:$C$77=$A48))+SUMPRODUCT(ISNUMBER(SEARCH(",Integrin β6,",","&amp;SUBSTITUTE('2L Screening Matrix'!$I$2:$I$46,", ",",")&amp;","))*('2L Screening Matrix'!$C$2:$C$46=$A48))</f>
        <v>0</v>
      </c>
      <c r="AL48" s="11">
        <f>SUMPRODUCT(ISNUMBER(SEARCH(",LAG-3,",","&amp;SUBSTITUTE('1L Screening Matrix'!$I$2:$I$77,", ",",")&amp;","))*('1L Screening Matrix'!$C$2:$C$77=$A48))+SUMPRODUCT(ISNUMBER(SEARCH(",LAG-3,",","&amp;SUBSTITUTE('2L Screening Matrix'!$I$2:$I$46,", ",",")&amp;","))*('2L Screening Matrix'!$C$2:$C$46=$A48))</f>
        <v>0</v>
      </c>
      <c r="AM48" s="14">
        <f t="shared" si="1"/>
        <v>1</v>
      </c>
    </row>
    <row r="49" spans="1:39" ht="15" customHeight="1" x14ac:dyDescent="0.2">
      <c r="A49" s="15" t="s">
        <v>1244</v>
      </c>
      <c r="B49" s="11">
        <f>SUMPRODUCT(ISNUMBER(SEARCH(",PD-1,",","&amp;SUBSTITUTE('1L Screening Matrix'!$I$2:$I$77,", ",",")&amp;","))*('1L Screening Matrix'!$C$2:$C$77=$A49))+SUMPRODUCT(ISNUMBER(SEARCH(",PD-1,",","&amp;SUBSTITUTE('2L Screening Matrix'!$I$2:$I$46,", ",",")&amp;","))*('2L Screening Matrix'!$C$2:$C$46=$A49))</f>
        <v>0</v>
      </c>
      <c r="C49" s="11">
        <f>SUMPRODUCT(ISNUMBER(SEARCH(",CD279,",","&amp;SUBSTITUTE('1L Screening Matrix'!$I$2:$I$77,", ",",")&amp;","))*('1L Screening Matrix'!$C$2:$C$77=$A49))+SUMPRODUCT(ISNUMBER(SEARCH(",CD279,",","&amp;SUBSTITUTE('2L Screening Matrix'!$I$2:$I$46,", ",",")&amp;","))*('2L Screening Matrix'!$C$2:$C$46=$A49))</f>
        <v>0</v>
      </c>
      <c r="D49" s="11">
        <f>SUMPRODUCT(ISNUMBER(SEARCH(",TS,",","&amp;SUBSTITUTE('1L Screening Matrix'!$I$2:$I$77,", ",",")&amp;","))*('1L Screening Matrix'!$C$2:$C$77=$A49))+SUMPRODUCT(ISNUMBER(SEARCH(",TS,",","&amp;SUBSTITUTE('2L Screening Matrix'!$I$2:$I$46,", ",",")&amp;","))*('2L Screening Matrix'!$C$2:$C$46=$A49))</f>
        <v>0</v>
      </c>
      <c r="E49" s="11">
        <f>SUMPRODUCT(ISNUMBER(SEARCH(",TYMS,",","&amp;SUBSTITUTE('1L Screening Matrix'!$I$2:$I$77,", ",",")&amp;","))*('1L Screening Matrix'!$C$2:$C$77=$A49))+SUMPRODUCT(ISNUMBER(SEARCH(",TYMS,",","&amp;SUBSTITUTE('2L Screening Matrix'!$I$2:$I$46,", ",",")&amp;","))*('2L Screening Matrix'!$C$2:$C$46=$A49))</f>
        <v>0</v>
      </c>
      <c r="F49" s="11">
        <f>SUMPRODUCT(ISNUMBER(SEARCH(",PD-L1,",","&amp;SUBSTITUTE('1L Screening Matrix'!$I$2:$I$77,", ",",")&amp;","))*('1L Screening Matrix'!$C$2:$C$77=$A49))+SUMPRODUCT(ISNUMBER(SEARCH(",PD-L1,",","&amp;SUBSTITUTE('2L Screening Matrix'!$I$2:$I$46,", ",",")&amp;","))*('2L Screening Matrix'!$C$2:$C$46=$A49))</f>
        <v>3</v>
      </c>
      <c r="G49" s="11">
        <f>SUMPRODUCT(ISNUMBER(SEARCH(",B7-H1,",","&amp;SUBSTITUTE('1L Screening Matrix'!$I$2:$I$77,", ",",")&amp;","))*('1L Screening Matrix'!$C$2:$C$77=$A49))+SUMPRODUCT(ISNUMBER(SEARCH(",B7-H1,",","&amp;SUBSTITUTE('2L Screening Matrix'!$I$2:$I$46,", ",",")&amp;","))*('2L Screening Matrix'!$C$2:$C$46=$A49))</f>
        <v>3</v>
      </c>
      <c r="H49" s="11">
        <f>SUMPRODUCT(ISNUMBER(SEARCH(",CD274,",","&amp;SUBSTITUTE('1L Screening Matrix'!$I$2:$I$77,", ",",")&amp;","))*('1L Screening Matrix'!$C$2:$C$77=$A49))+SUMPRODUCT(ISNUMBER(SEARCH(",CD274,",","&amp;SUBSTITUTE('2L Screening Matrix'!$I$2:$I$46,", ",",")&amp;","))*('2L Screening Matrix'!$C$2:$C$46=$A49))</f>
        <v>3</v>
      </c>
      <c r="I49" s="11">
        <f>SUMPRODUCT(ISNUMBER(SEARCH(",EGFR,",","&amp;SUBSTITUTE('1L Screening Matrix'!$I$2:$I$77,", ",",")&amp;","))*('1L Screening Matrix'!$C$2:$C$77=$A49))+SUMPRODUCT(ISNUMBER(SEARCH(",EGFR,",","&amp;SUBSTITUTE('2L Screening Matrix'!$I$2:$I$46,", ",",")&amp;","))*('2L Screening Matrix'!$C$2:$C$46=$A49))</f>
        <v>0</v>
      </c>
      <c r="J49" s="11">
        <f>SUMPRODUCT(ISNUMBER(SEARCH(",VEGF,",","&amp;SUBSTITUTE('1L Screening Matrix'!$I$2:$I$77,", ",",")&amp;","))*('1L Screening Matrix'!$C$2:$C$77=$A49))+SUMPRODUCT(ISNUMBER(SEARCH(",VEGF,",","&amp;SUBSTITUTE('2L Screening Matrix'!$I$2:$I$46,", ",",")&amp;","))*('2L Screening Matrix'!$C$2:$C$46=$A49))</f>
        <v>0</v>
      </c>
      <c r="K49" s="11">
        <f>SUMPRODUCT(ISNUMBER(SEARCH(",ERBB,",","&amp;SUBSTITUTE('1L Screening Matrix'!$I$2:$I$77,", ",",")&amp;","))*('1L Screening Matrix'!$C$2:$C$77=$A49))+SUMPRODUCT(ISNUMBER(SEARCH(",ERBB,",","&amp;SUBSTITUTE('2L Screening Matrix'!$I$2:$I$46,", ",",")&amp;","))*('2L Screening Matrix'!$C$2:$C$46=$A49))</f>
        <v>0</v>
      </c>
      <c r="L49" s="11">
        <f>SUMPRODUCT(ISNUMBER(SEARCH(",HER1,",","&amp;SUBSTITUTE('1L Screening Matrix'!$I$2:$I$77,", ",",")&amp;","))*('1L Screening Matrix'!$C$2:$C$77=$A49))+SUMPRODUCT(ISNUMBER(SEARCH(",HER1,",","&amp;SUBSTITUTE('2L Screening Matrix'!$I$2:$I$46,", ",",")&amp;","))*('2L Screening Matrix'!$C$2:$C$46=$A49))</f>
        <v>0</v>
      </c>
      <c r="M49" s="11">
        <f>SUMPRODUCT(ISNUMBER(SEARCH(",Microtubule,",","&amp;SUBSTITUTE('1L Screening Matrix'!$I$2:$I$77,", ",",")&amp;","))*('1L Screening Matrix'!$C$2:$C$77=$A49))+SUMPRODUCT(ISNUMBER(SEARCH(",Microtubule,",","&amp;SUBSTITUTE('2L Screening Matrix'!$I$2:$I$46,", ",",")&amp;","))*('2L Screening Matrix'!$C$2:$C$46=$A49))</f>
        <v>0</v>
      </c>
      <c r="N49" s="11">
        <f>SUMPRODUCT(ISNUMBER(SEARCH(",KRAS G12C,",","&amp;SUBSTITUTE('1L Screening Matrix'!$I$2:$I$77,", ",",")&amp;","))*('1L Screening Matrix'!$C$2:$C$77=$A49))+SUMPRODUCT(ISNUMBER(SEARCH(",KRAS G12C,",","&amp;SUBSTITUTE('2L Screening Matrix'!$I$2:$I$46,", ",",")&amp;","))*('2L Screening Matrix'!$C$2:$C$46=$A49))</f>
        <v>0</v>
      </c>
      <c r="O49" s="11">
        <f>SUMPRODUCT(ISNUMBER(SEARCH(",EGFR T790M,",","&amp;SUBSTITUTE('1L Screening Matrix'!$I$2:$I$77,", ",",")&amp;","))*('1L Screening Matrix'!$C$2:$C$77=$A49))+SUMPRODUCT(ISNUMBER(SEARCH(",EGFR T790M,",","&amp;SUBSTITUTE('2L Screening Matrix'!$I$2:$I$46,", ",",")&amp;","))*('2L Screening Matrix'!$C$2:$C$46=$A49))</f>
        <v>0</v>
      </c>
      <c r="P49" s="11">
        <f>SUMPRODUCT(ISNUMBER(SEARCH(",ALK,",","&amp;SUBSTITUTE('1L Screening Matrix'!$I$2:$I$77,", ",",")&amp;","))*('1L Screening Matrix'!$C$2:$C$77=$A49))+SUMPRODUCT(ISNUMBER(SEARCH(",ALK,",","&amp;SUBSTITUTE('2L Screening Matrix'!$I$2:$I$46,", ",",")&amp;","))*('2L Screening Matrix'!$C$2:$C$46=$A49))</f>
        <v>0</v>
      </c>
      <c r="Q49" s="11">
        <f>SUMPRODUCT(ISNUMBER(SEARCH(",TROP2,",","&amp;SUBSTITUTE('1L Screening Matrix'!$I$2:$I$77,", ",",")&amp;","))*('1L Screening Matrix'!$C$2:$C$77=$A49))+SUMPRODUCT(ISNUMBER(SEARCH(",TROP2,",","&amp;SUBSTITUTE('2L Screening Matrix'!$I$2:$I$46,", ",",")&amp;","))*('2L Screening Matrix'!$C$2:$C$46=$A49))</f>
        <v>0</v>
      </c>
      <c r="R49" s="11">
        <f>SUMPRODUCT(ISNUMBER(SEARCH(",c-MET/MET,",","&amp;SUBSTITUTE('1L Screening Matrix'!$I$2:$I$77,", ",",")&amp;","))*('1L Screening Matrix'!$C$2:$C$77=$A49))+SUMPRODUCT(ISNUMBER(SEARCH(",c-MET/MET,",","&amp;SUBSTITUTE('2L Screening Matrix'!$I$2:$I$46,", ",",")&amp;","))*('2L Screening Matrix'!$C$2:$C$46=$A49))</f>
        <v>0</v>
      </c>
      <c r="S49" s="11">
        <f>SUMPRODUCT(ISNUMBER(SEARCH(",HER2,",","&amp;SUBSTITUTE('1L Screening Matrix'!$I$2:$I$77,", ",",")&amp;","))*('1L Screening Matrix'!$C$2:$C$77=$A49))+SUMPRODUCT(ISNUMBER(SEARCH(",HER2,",","&amp;SUBSTITUTE('2L Screening Matrix'!$I$2:$I$46,", ",",")&amp;","))*('2L Screening Matrix'!$C$2:$C$46=$A49))</f>
        <v>0</v>
      </c>
      <c r="T49" s="11">
        <f>SUMPRODUCT(ISNUMBER(SEARCH(",ROS1,",","&amp;SUBSTITUTE('1L Screening Matrix'!$I$2:$I$77,", ",",")&amp;","))*('1L Screening Matrix'!$C$2:$C$77=$A49))+SUMPRODUCT(ISNUMBER(SEARCH(",ROS1,",","&amp;SUBSTITUTE('2L Screening Matrix'!$I$2:$I$46,", ",",")&amp;","))*('2L Screening Matrix'!$C$2:$C$46=$A49))</f>
        <v>0</v>
      </c>
      <c r="U49" s="11">
        <f>SUMPRODUCT(ISNUMBER(SEARCH(",TIGIT,",","&amp;SUBSTITUTE('1L Screening Matrix'!$I$2:$I$77,", ",",")&amp;","))*('1L Screening Matrix'!$C$2:$C$77=$A49))+SUMPRODUCT(ISNUMBER(SEARCH(",TIGIT,",","&amp;SUBSTITUTE('2L Screening Matrix'!$I$2:$I$46,", ",",")&amp;","))*('2L Screening Matrix'!$C$2:$C$46=$A49))</f>
        <v>0</v>
      </c>
      <c r="V49" s="11">
        <f>SUMPRODUCT(ISNUMBER(SEARCH(",EGFR L858R,",","&amp;SUBSTITUTE('1L Screening Matrix'!$I$2:$I$77,", ",",")&amp;","))*('1L Screening Matrix'!$C$2:$C$77=$A49))+SUMPRODUCT(ISNUMBER(SEARCH(",EGFR L858R,",","&amp;SUBSTITUTE('2L Screening Matrix'!$I$2:$I$46,", ",",")&amp;","))*('2L Screening Matrix'!$C$2:$C$46=$A49))</f>
        <v>0</v>
      </c>
      <c r="W49" s="11">
        <f>SUMPRODUCT(ISNUMBER(SEARCH(",ROS,",","&amp;SUBSTITUTE('1L Screening Matrix'!$I$2:$I$77,", ",",")&amp;","))*('1L Screening Matrix'!$C$2:$C$77=$A49))+SUMPRODUCT(ISNUMBER(SEARCH(",ROS,",","&amp;SUBSTITUTE('2L Screening Matrix'!$I$2:$I$46,", ",",")&amp;","))*('2L Screening Matrix'!$C$2:$C$46=$A49))</f>
        <v>0</v>
      </c>
      <c r="X49" s="11">
        <f>SUMPRODUCT(ISNUMBER(SEARCH(",IL-2,",","&amp;SUBSTITUTE('1L Screening Matrix'!$I$2:$I$77,", ",",")&amp;","))*('1L Screening Matrix'!$C$2:$C$77=$A49))+SUMPRODUCT(ISNUMBER(SEARCH(",IL-2,",","&amp;SUBSTITUTE('2L Screening Matrix'!$I$2:$I$46,", ",",")&amp;","))*('2L Screening Matrix'!$C$2:$C$46=$A49))</f>
        <v>0</v>
      </c>
      <c r="Y49" s="11">
        <f>SUMPRODUCT(ISNUMBER(SEARCH(",TCGF,",","&amp;SUBSTITUTE('1L Screening Matrix'!$I$2:$I$77,", ",",")&amp;","))*('1L Screening Matrix'!$C$2:$C$77=$A49))+SUMPRODUCT(ISNUMBER(SEARCH(",TCGF,",","&amp;SUBSTITUTE('2L Screening Matrix'!$I$2:$I$46,", ",",")&amp;","))*('2L Screening Matrix'!$C$2:$C$46=$A49))</f>
        <v>0</v>
      </c>
      <c r="Z49" s="11">
        <f>SUMPRODUCT(ISNUMBER(SEARCH(",CTLA-4,",","&amp;SUBSTITUTE('1L Screening Matrix'!$I$2:$I$77,", ",",")&amp;","))*('1L Screening Matrix'!$C$2:$C$77=$A49))+SUMPRODUCT(ISNUMBER(SEARCH(",CTLA-4,",","&amp;SUBSTITUTE('2L Screening Matrix'!$I$2:$I$46,", ",",")&amp;","))*('2L Screening Matrix'!$C$2:$C$46=$A49))</f>
        <v>0</v>
      </c>
      <c r="AA49" s="11">
        <f>SUMPRODUCT(ISNUMBER(SEARCH(",EGFR Exon 20,",","&amp;SUBSTITUTE('1L Screening Matrix'!$I$2:$I$77,", ",",")&amp;","))*('1L Screening Matrix'!$C$2:$C$77=$A49))+SUMPRODUCT(ISNUMBER(SEARCH(",EGFR Exon 20,",","&amp;SUBSTITUTE('2L Screening Matrix'!$I$2:$I$46,", ",",")&amp;","))*('2L Screening Matrix'!$C$2:$C$46=$A49))</f>
        <v>0</v>
      </c>
      <c r="AB49" s="11">
        <f>SUMPRODUCT(ISNUMBER(SEARCH(",HER2 Exon 20,",","&amp;SUBSTITUTE('1L Screening Matrix'!$I$2:$I$77,", ",",")&amp;","))*('1L Screening Matrix'!$C$2:$C$77=$A49))+SUMPRODUCT(ISNUMBER(SEARCH(",HER2 Exon 20,",","&amp;SUBSTITUTE('2L Screening Matrix'!$I$2:$I$46,", ",",")&amp;","))*('2L Screening Matrix'!$C$2:$C$46=$A49))</f>
        <v>0</v>
      </c>
      <c r="AC49" s="11">
        <f>SUMPRODUCT(ISNUMBER(SEARCH(",IL-15,",","&amp;SUBSTITUTE('1L Screening Matrix'!$I$2:$I$77,", ",",")&amp;","))*('1L Screening Matrix'!$C$2:$C$77=$A49))+SUMPRODUCT(ISNUMBER(SEARCH(",IL-15,",","&amp;SUBSTITUTE('2L Screening Matrix'!$I$2:$I$46,", ",",")&amp;","))*('2L Screening Matrix'!$C$2:$C$46=$A49))</f>
        <v>0</v>
      </c>
      <c r="AD49" s="11">
        <f>SUMPRODUCT(ISNUMBER(SEARCH(",IL-15R,",","&amp;SUBSTITUTE('1L Screening Matrix'!$I$2:$I$77,", ",",")&amp;","))*('1L Screening Matrix'!$C$2:$C$77=$A49))+SUMPRODUCT(ISNUMBER(SEARCH(",IL-15R,",","&amp;SUBSTITUTE('2L Screening Matrix'!$I$2:$I$46,", ",",")&amp;","))*('2L Screening Matrix'!$C$2:$C$46=$A49))</f>
        <v>0</v>
      </c>
      <c r="AE49" s="11">
        <f>SUMPRODUCT(ISNUMBER(SEARCH(",KRAS G12D,",","&amp;SUBSTITUTE('1L Screening Matrix'!$I$2:$I$77,", ",",")&amp;","))*('1L Screening Matrix'!$C$2:$C$77=$A49))+SUMPRODUCT(ISNUMBER(SEARCH(",KRAS G12D,",","&amp;SUBSTITUTE('2L Screening Matrix'!$I$2:$I$46,", ",",")&amp;","))*('2L Screening Matrix'!$C$2:$C$46=$A49))</f>
        <v>0</v>
      </c>
      <c r="AF49" s="11">
        <f>SUMPRODUCT(ISNUMBER(SEARCH(",HER4,",","&amp;SUBSTITUTE('1L Screening Matrix'!$I$2:$I$77,", ",",")&amp;","))*('1L Screening Matrix'!$C$2:$C$77=$A49))+SUMPRODUCT(ISNUMBER(SEARCH(",HER4,",","&amp;SUBSTITUTE('2L Screening Matrix'!$I$2:$I$46,", ",",")&amp;","))*('2L Screening Matrix'!$C$2:$C$46=$A49))</f>
        <v>0</v>
      </c>
      <c r="AG49" s="11">
        <f>SUMPRODUCT(ISNUMBER(SEARCH(",ALK L1196M,",","&amp;SUBSTITUTE('1L Screening Matrix'!$I$2:$I$77,", ",",")&amp;","))*('1L Screening Matrix'!$C$2:$C$77=$A49))+SUMPRODUCT(ISNUMBER(SEARCH(",ALK L1196M,",","&amp;SUBSTITUTE('2L Screening Matrix'!$I$2:$I$46,", ",",")&amp;","))*('2L Screening Matrix'!$C$2:$C$46=$A49))</f>
        <v>0</v>
      </c>
      <c r="AH49" s="11">
        <f>SUMPRODUCT(ISNUMBER(SEARCH(",CD152,",","&amp;SUBSTITUTE('1L Screening Matrix'!$I$2:$I$77,", ",",")&amp;","))*('1L Screening Matrix'!$C$2:$C$77=$A49))+SUMPRODUCT(ISNUMBER(SEARCH(",CD152,",","&amp;SUBSTITUTE('2L Screening Matrix'!$I$2:$I$46,", ",",")&amp;","))*('2L Screening Matrix'!$C$2:$C$46=$A49))</f>
        <v>0</v>
      </c>
      <c r="AI49" s="11">
        <f>SUMPRODUCT(ISNUMBER(SEARCH(",MLN19,",","&amp;SUBSTITUTE('1L Screening Matrix'!$I$2:$I$77,", ",",")&amp;","))*('1L Screening Matrix'!$C$2:$C$77=$A49))+SUMPRODUCT(ISNUMBER(SEARCH(",MLN19,",","&amp;SUBSTITUTE('2L Screening Matrix'!$I$2:$I$46,", ",",")&amp;","))*('2L Screening Matrix'!$C$2:$C$46=$A49))</f>
        <v>0</v>
      </c>
      <c r="AJ49" s="11">
        <f>SUMPRODUCT(ISNUMBER(SEARCH(",NTRK,",","&amp;SUBSTITUTE('1L Screening Matrix'!$I$2:$I$77,", ",",")&amp;","))*('1L Screening Matrix'!$C$2:$C$77=$A49))+SUMPRODUCT(ISNUMBER(SEARCH(",NTRK,",","&amp;SUBSTITUTE('2L Screening Matrix'!$I$2:$I$46,", ",",")&amp;","))*('2L Screening Matrix'!$C$2:$C$46=$A49))</f>
        <v>0</v>
      </c>
      <c r="AK49" s="11">
        <f>SUMPRODUCT(ISNUMBER(SEARCH(",Integrin β6,",","&amp;SUBSTITUTE('1L Screening Matrix'!$I$2:$I$77,", ",",")&amp;","))*('1L Screening Matrix'!$C$2:$C$77=$A49))+SUMPRODUCT(ISNUMBER(SEARCH(",Integrin β6,",","&amp;SUBSTITUTE('2L Screening Matrix'!$I$2:$I$46,", ",",")&amp;","))*('2L Screening Matrix'!$C$2:$C$46=$A49))</f>
        <v>0</v>
      </c>
      <c r="AL49" s="11">
        <f>SUMPRODUCT(ISNUMBER(SEARCH(",LAG-3,",","&amp;SUBSTITUTE('1L Screening Matrix'!$I$2:$I$77,", ",",")&amp;","))*('1L Screening Matrix'!$C$2:$C$77=$A49))+SUMPRODUCT(ISNUMBER(SEARCH(",LAG-3,",","&amp;SUBSTITUTE('2L Screening Matrix'!$I$2:$I$46,", ",",")&amp;","))*('2L Screening Matrix'!$C$2:$C$46=$A49))</f>
        <v>0</v>
      </c>
      <c r="AM49" s="14">
        <f t="shared" si="1"/>
        <v>9</v>
      </c>
    </row>
    <row r="50" spans="1:39" ht="15" customHeight="1" x14ac:dyDescent="0.2">
      <c r="A50" s="12" t="s">
        <v>869</v>
      </c>
      <c r="B50" s="11">
        <f>SUMPRODUCT(ISNUMBER(SEARCH(",PD-1,",","&amp;SUBSTITUTE('1L Screening Matrix'!$I$2:$I$77,", ",",")&amp;","))*('1L Screening Matrix'!$C$2:$C$77=$A50))+SUMPRODUCT(ISNUMBER(SEARCH(",PD-1,",","&amp;SUBSTITUTE('2L Screening Matrix'!$I$2:$I$46,", ",",")&amp;","))*('2L Screening Matrix'!$C$2:$C$46=$A50))</f>
        <v>3</v>
      </c>
      <c r="C50" s="11">
        <f>SUMPRODUCT(ISNUMBER(SEARCH(",CD279,",","&amp;SUBSTITUTE('1L Screening Matrix'!$I$2:$I$77,", ",",")&amp;","))*('1L Screening Matrix'!$C$2:$C$77=$A50))+SUMPRODUCT(ISNUMBER(SEARCH(",CD279,",","&amp;SUBSTITUTE('2L Screening Matrix'!$I$2:$I$46,", ",",")&amp;","))*('2L Screening Matrix'!$C$2:$C$46=$A50))</f>
        <v>3</v>
      </c>
      <c r="D50" s="11">
        <f>SUMPRODUCT(ISNUMBER(SEARCH(",TS,",","&amp;SUBSTITUTE('1L Screening Matrix'!$I$2:$I$77,", ",",")&amp;","))*('1L Screening Matrix'!$C$2:$C$77=$A50))+SUMPRODUCT(ISNUMBER(SEARCH(",TS,",","&amp;SUBSTITUTE('2L Screening Matrix'!$I$2:$I$46,", ",",")&amp;","))*('2L Screening Matrix'!$C$2:$C$46=$A50))</f>
        <v>1</v>
      </c>
      <c r="E50" s="11">
        <f>SUMPRODUCT(ISNUMBER(SEARCH(",TYMS,",","&amp;SUBSTITUTE('1L Screening Matrix'!$I$2:$I$77,", ",",")&amp;","))*('1L Screening Matrix'!$C$2:$C$77=$A50))+SUMPRODUCT(ISNUMBER(SEARCH(",TYMS,",","&amp;SUBSTITUTE('2L Screening Matrix'!$I$2:$I$46,", ",",")&amp;","))*('2L Screening Matrix'!$C$2:$C$46=$A50))</f>
        <v>1</v>
      </c>
      <c r="F50" s="11">
        <f>SUMPRODUCT(ISNUMBER(SEARCH(",PD-L1,",","&amp;SUBSTITUTE('1L Screening Matrix'!$I$2:$I$77,", ",",")&amp;","))*('1L Screening Matrix'!$C$2:$C$77=$A50))+SUMPRODUCT(ISNUMBER(SEARCH(",PD-L1,",","&amp;SUBSTITUTE('2L Screening Matrix'!$I$2:$I$46,", ",",")&amp;","))*('2L Screening Matrix'!$C$2:$C$46=$A50))</f>
        <v>0</v>
      </c>
      <c r="G50" s="11">
        <f>SUMPRODUCT(ISNUMBER(SEARCH(",B7-H1,",","&amp;SUBSTITUTE('1L Screening Matrix'!$I$2:$I$77,", ",",")&amp;","))*('1L Screening Matrix'!$C$2:$C$77=$A50))+SUMPRODUCT(ISNUMBER(SEARCH(",B7-H1,",","&amp;SUBSTITUTE('2L Screening Matrix'!$I$2:$I$46,", ",",")&amp;","))*('2L Screening Matrix'!$C$2:$C$46=$A50))</f>
        <v>0</v>
      </c>
      <c r="H50" s="11">
        <f>SUMPRODUCT(ISNUMBER(SEARCH(",CD274,",","&amp;SUBSTITUTE('1L Screening Matrix'!$I$2:$I$77,", ",",")&amp;","))*('1L Screening Matrix'!$C$2:$C$77=$A50))+SUMPRODUCT(ISNUMBER(SEARCH(",CD274,",","&amp;SUBSTITUTE('2L Screening Matrix'!$I$2:$I$46,", ",",")&amp;","))*('2L Screening Matrix'!$C$2:$C$46=$A50))</f>
        <v>0</v>
      </c>
      <c r="I50" s="11">
        <f>SUMPRODUCT(ISNUMBER(SEARCH(",EGFR,",","&amp;SUBSTITUTE('1L Screening Matrix'!$I$2:$I$77,", ",",")&amp;","))*('1L Screening Matrix'!$C$2:$C$77=$A50))+SUMPRODUCT(ISNUMBER(SEARCH(",EGFR,",","&amp;SUBSTITUTE('2L Screening Matrix'!$I$2:$I$46,", ",",")&amp;","))*('2L Screening Matrix'!$C$2:$C$46=$A50))</f>
        <v>0</v>
      </c>
      <c r="J50" s="11">
        <f>SUMPRODUCT(ISNUMBER(SEARCH(",VEGF,",","&amp;SUBSTITUTE('1L Screening Matrix'!$I$2:$I$77,", ",",")&amp;","))*('1L Screening Matrix'!$C$2:$C$77=$A50))+SUMPRODUCT(ISNUMBER(SEARCH(",VEGF,",","&amp;SUBSTITUTE('2L Screening Matrix'!$I$2:$I$46,", ",",")&amp;","))*('2L Screening Matrix'!$C$2:$C$46=$A50))</f>
        <v>3</v>
      </c>
      <c r="K50" s="11">
        <f>SUMPRODUCT(ISNUMBER(SEARCH(",ERBB,",","&amp;SUBSTITUTE('1L Screening Matrix'!$I$2:$I$77,", ",",")&amp;","))*('1L Screening Matrix'!$C$2:$C$77=$A50))+SUMPRODUCT(ISNUMBER(SEARCH(",ERBB,",","&amp;SUBSTITUTE('2L Screening Matrix'!$I$2:$I$46,", ",",")&amp;","))*('2L Screening Matrix'!$C$2:$C$46=$A50))</f>
        <v>0</v>
      </c>
      <c r="L50" s="11">
        <f>SUMPRODUCT(ISNUMBER(SEARCH(",HER1,",","&amp;SUBSTITUTE('1L Screening Matrix'!$I$2:$I$77,", ",",")&amp;","))*('1L Screening Matrix'!$C$2:$C$77=$A50))+SUMPRODUCT(ISNUMBER(SEARCH(",HER1,",","&amp;SUBSTITUTE('2L Screening Matrix'!$I$2:$I$46,", ",",")&amp;","))*('2L Screening Matrix'!$C$2:$C$46=$A50))</f>
        <v>0</v>
      </c>
      <c r="M50" s="11">
        <f>SUMPRODUCT(ISNUMBER(SEARCH(",Microtubule,",","&amp;SUBSTITUTE('1L Screening Matrix'!$I$2:$I$77,", ",",")&amp;","))*('1L Screening Matrix'!$C$2:$C$77=$A50))+SUMPRODUCT(ISNUMBER(SEARCH(",Microtubule,",","&amp;SUBSTITUTE('2L Screening Matrix'!$I$2:$I$46,", ",",")&amp;","))*('2L Screening Matrix'!$C$2:$C$46=$A50))</f>
        <v>0</v>
      </c>
      <c r="N50" s="11">
        <f>SUMPRODUCT(ISNUMBER(SEARCH(",KRAS G12C,",","&amp;SUBSTITUTE('1L Screening Matrix'!$I$2:$I$77,", ",",")&amp;","))*('1L Screening Matrix'!$C$2:$C$77=$A50))+SUMPRODUCT(ISNUMBER(SEARCH(",KRAS G12C,",","&amp;SUBSTITUTE('2L Screening Matrix'!$I$2:$I$46,", ",",")&amp;","))*('2L Screening Matrix'!$C$2:$C$46=$A50))</f>
        <v>0</v>
      </c>
      <c r="O50" s="11">
        <f>SUMPRODUCT(ISNUMBER(SEARCH(",EGFR T790M,",","&amp;SUBSTITUTE('1L Screening Matrix'!$I$2:$I$77,", ",",")&amp;","))*('1L Screening Matrix'!$C$2:$C$77=$A50))+SUMPRODUCT(ISNUMBER(SEARCH(",EGFR T790M,",","&amp;SUBSTITUTE('2L Screening Matrix'!$I$2:$I$46,", ",",")&amp;","))*('2L Screening Matrix'!$C$2:$C$46=$A50))</f>
        <v>0</v>
      </c>
      <c r="P50" s="11">
        <f>SUMPRODUCT(ISNUMBER(SEARCH(",ALK,",","&amp;SUBSTITUTE('1L Screening Matrix'!$I$2:$I$77,", ",",")&amp;","))*('1L Screening Matrix'!$C$2:$C$77=$A50))+SUMPRODUCT(ISNUMBER(SEARCH(",ALK,",","&amp;SUBSTITUTE('2L Screening Matrix'!$I$2:$I$46,", ",",")&amp;","))*('2L Screening Matrix'!$C$2:$C$46=$A50))</f>
        <v>0</v>
      </c>
      <c r="Q50" s="11">
        <f>SUMPRODUCT(ISNUMBER(SEARCH(",TROP2,",","&amp;SUBSTITUTE('1L Screening Matrix'!$I$2:$I$77,", ",",")&amp;","))*('1L Screening Matrix'!$C$2:$C$77=$A50))+SUMPRODUCT(ISNUMBER(SEARCH(",TROP2,",","&amp;SUBSTITUTE('2L Screening Matrix'!$I$2:$I$46,", ",",")&amp;","))*('2L Screening Matrix'!$C$2:$C$46=$A50))</f>
        <v>0</v>
      </c>
      <c r="R50" s="11">
        <f>SUMPRODUCT(ISNUMBER(SEARCH(",c-MET/MET,",","&amp;SUBSTITUTE('1L Screening Matrix'!$I$2:$I$77,", ",",")&amp;","))*('1L Screening Matrix'!$C$2:$C$77=$A50))+SUMPRODUCT(ISNUMBER(SEARCH(",c-MET/MET,",","&amp;SUBSTITUTE('2L Screening Matrix'!$I$2:$I$46,", ",",")&amp;","))*('2L Screening Matrix'!$C$2:$C$46=$A50))</f>
        <v>0</v>
      </c>
      <c r="S50" s="11">
        <f>SUMPRODUCT(ISNUMBER(SEARCH(",HER2,",","&amp;SUBSTITUTE('1L Screening Matrix'!$I$2:$I$77,", ",",")&amp;","))*('1L Screening Matrix'!$C$2:$C$77=$A50))+SUMPRODUCT(ISNUMBER(SEARCH(",HER2,",","&amp;SUBSTITUTE('2L Screening Matrix'!$I$2:$I$46,", ",",")&amp;","))*('2L Screening Matrix'!$C$2:$C$46=$A50))</f>
        <v>0</v>
      </c>
      <c r="T50" s="11">
        <f>SUMPRODUCT(ISNUMBER(SEARCH(",ROS1,",","&amp;SUBSTITUTE('1L Screening Matrix'!$I$2:$I$77,", ",",")&amp;","))*('1L Screening Matrix'!$C$2:$C$77=$A50))+SUMPRODUCT(ISNUMBER(SEARCH(",ROS1,",","&amp;SUBSTITUTE('2L Screening Matrix'!$I$2:$I$46,", ",",")&amp;","))*('2L Screening Matrix'!$C$2:$C$46=$A50))</f>
        <v>0</v>
      </c>
      <c r="U50" s="11">
        <f>SUMPRODUCT(ISNUMBER(SEARCH(",TIGIT,",","&amp;SUBSTITUTE('1L Screening Matrix'!$I$2:$I$77,", ",",")&amp;","))*('1L Screening Matrix'!$C$2:$C$77=$A50))+SUMPRODUCT(ISNUMBER(SEARCH(",TIGIT,",","&amp;SUBSTITUTE('2L Screening Matrix'!$I$2:$I$46,", ",",")&amp;","))*('2L Screening Matrix'!$C$2:$C$46=$A50))</f>
        <v>0</v>
      </c>
      <c r="V50" s="11">
        <f>SUMPRODUCT(ISNUMBER(SEARCH(",EGFR L858R,",","&amp;SUBSTITUTE('1L Screening Matrix'!$I$2:$I$77,", ",",")&amp;","))*('1L Screening Matrix'!$C$2:$C$77=$A50))+SUMPRODUCT(ISNUMBER(SEARCH(",EGFR L858R,",","&amp;SUBSTITUTE('2L Screening Matrix'!$I$2:$I$46,", ",",")&amp;","))*('2L Screening Matrix'!$C$2:$C$46=$A50))</f>
        <v>0</v>
      </c>
      <c r="W50" s="11">
        <f>SUMPRODUCT(ISNUMBER(SEARCH(",ROS,",","&amp;SUBSTITUTE('1L Screening Matrix'!$I$2:$I$77,", ",",")&amp;","))*('1L Screening Matrix'!$C$2:$C$77=$A50))+SUMPRODUCT(ISNUMBER(SEARCH(",ROS,",","&amp;SUBSTITUTE('2L Screening Matrix'!$I$2:$I$46,", ",",")&amp;","))*('2L Screening Matrix'!$C$2:$C$46=$A50))</f>
        <v>0</v>
      </c>
      <c r="X50" s="11">
        <f>SUMPRODUCT(ISNUMBER(SEARCH(",IL-2,",","&amp;SUBSTITUTE('1L Screening Matrix'!$I$2:$I$77,", ",",")&amp;","))*('1L Screening Matrix'!$C$2:$C$77=$A50))+SUMPRODUCT(ISNUMBER(SEARCH(",IL-2,",","&amp;SUBSTITUTE('2L Screening Matrix'!$I$2:$I$46,", ",",")&amp;","))*('2L Screening Matrix'!$C$2:$C$46=$A50))</f>
        <v>0</v>
      </c>
      <c r="Y50" s="11">
        <f>SUMPRODUCT(ISNUMBER(SEARCH(",TCGF,",","&amp;SUBSTITUTE('1L Screening Matrix'!$I$2:$I$77,", ",",")&amp;","))*('1L Screening Matrix'!$C$2:$C$77=$A50))+SUMPRODUCT(ISNUMBER(SEARCH(",TCGF,",","&amp;SUBSTITUTE('2L Screening Matrix'!$I$2:$I$46,", ",",")&amp;","))*('2L Screening Matrix'!$C$2:$C$46=$A50))</f>
        <v>0</v>
      </c>
      <c r="Z50" s="11">
        <f>SUMPRODUCT(ISNUMBER(SEARCH(",CTLA-4,",","&amp;SUBSTITUTE('1L Screening Matrix'!$I$2:$I$77,", ",",")&amp;","))*('1L Screening Matrix'!$C$2:$C$77=$A50))+SUMPRODUCT(ISNUMBER(SEARCH(",CTLA-4,",","&amp;SUBSTITUTE('2L Screening Matrix'!$I$2:$I$46,", ",",")&amp;","))*('2L Screening Matrix'!$C$2:$C$46=$A50))</f>
        <v>0</v>
      </c>
      <c r="AA50" s="11">
        <f>SUMPRODUCT(ISNUMBER(SEARCH(",EGFR Exon 20,",","&amp;SUBSTITUTE('1L Screening Matrix'!$I$2:$I$77,", ",",")&amp;","))*('1L Screening Matrix'!$C$2:$C$77=$A50))+SUMPRODUCT(ISNUMBER(SEARCH(",EGFR Exon 20,",","&amp;SUBSTITUTE('2L Screening Matrix'!$I$2:$I$46,", ",",")&amp;","))*('2L Screening Matrix'!$C$2:$C$46=$A50))</f>
        <v>0</v>
      </c>
      <c r="AB50" s="11">
        <f>SUMPRODUCT(ISNUMBER(SEARCH(",HER2 Exon 20,",","&amp;SUBSTITUTE('1L Screening Matrix'!$I$2:$I$77,", ",",")&amp;","))*('1L Screening Matrix'!$C$2:$C$77=$A50))+SUMPRODUCT(ISNUMBER(SEARCH(",HER2 Exon 20,",","&amp;SUBSTITUTE('2L Screening Matrix'!$I$2:$I$46,", ",",")&amp;","))*('2L Screening Matrix'!$C$2:$C$46=$A50))</f>
        <v>0</v>
      </c>
      <c r="AC50" s="11">
        <f>SUMPRODUCT(ISNUMBER(SEARCH(",IL-15,",","&amp;SUBSTITUTE('1L Screening Matrix'!$I$2:$I$77,", ",",")&amp;","))*('1L Screening Matrix'!$C$2:$C$77=$A50))+SUMPRODUCT(ISNUMBER(SEARCH(",IL-15,",","&amp;SUBSTITUTE('2L Screening Matrix'!$I$2:$I$46,", ",",")&amp;","))*('2L Screening Matrix'!$C$2:$C$46=$A50))</f>
        <v>0</v>
      </c>
      <c r="AD50" s="11">
        <f>SUMPRODUCT(ISNUMBER(SEARCH(",IL-15R,",","&amp;SUBSTITUTE('1L Screening Matrix'!$I$2:$I$77,", ",",")&amp;","))*('1L Screening Matrix'!$C$2:$C$77=$A50))+SUMPRODUCT(ISNUMBER(SEARCH(",IL-15R,",","&amp;SUBSTITUTE('2L Screening Matrix'!$I$2:$I$46,", ",",")&amp;","))*('2L Screening Matrix'!$C$2:$C$46=$A50))</f>
        <v>0</v>
      </c>
      <c r="AE50" s="11">
        <f>SUMPRODUCT(ISNUMBER(SEARCH(",KRAS G12D,",","&amp;SUBSTITUTE('1L Screening Matrix'!$I$2:$I$77,", ",",")&amp;","))*('1L Screening Matrix'!$C$2:$C$77=$A50))+SUMPRODUCT(ISNUMBER(SEARCH(",KRAS G12D,",","&amp;SUBSTITUTE('2L Screening Matrix'!$I$2:$I$46,", ",",")&amp;","))*('2L Screening Matrix'!$C$2:$C$46=$A50))</f>
        <v>0</v>
      </c>
      <c r="AF50" s="11">
        <f>SUMPRODUCT(ISNUMBER(SEARCH(",HER4,",","&amp;SUBSTITUTE('1L Screening Matrix'!$I$2:$I$77,", ",",")&amp;","))*('1L Screening Matrix'!$C$2:$C$77=$A50))+SUMPRODUCT(ISNUMBER(SEARCH(",HER4,",","&amp;SUBSTITUTE('2L Screening Matrix'!$I$2:$I$46,", ",",")&amp;","))*('2L Screening Matrix'!$C$2:$C$46=$A50))</f>
        <v>0</v>
      </c>
      <c r="AG50" s="11">
        <f>SUMPRODUCT(ISNUMBER(SEARCH(",ALK L1196M,",","&amp;SUBSTITUTE('1L Screening Matrix'!$I$2:$I$77,", ",",")&amp;","))*('1L Screening Matrix'!$C$2:$C$77=$A50))+SUMPRODUCT(ISNUMBER(SEARCH(",ALK L1196M,",","&amp;SUBSTITUTE('2L Screening Matrix'!$I$2:$I$46,", ",",")&amp;","))*('2L Screening Matrix'!$C$2:$C$46=$A50))</f>
        <v>0</v>
      </c>
      <c r="AH50" s="11">
        <f>SUMPRODUCT(ISNUMBER(SEARCH(",CD152,",","&amp;SUBSTITUTE('1L Screening Matrix'!$I$2:$I$77,", ",",")&amp;","))*('1L Screening Matrix'!$C$2:$C$77=$A50))+SUMPRODUCT(ISNUMBER(SEARCH(",CD152,",","&amp;SUBSTITUTE('2L Screening Matrix'!$I$2:$I$46,", ",",")&amp;","))*('2L Screening Matrix'!$C$2:$C$46=$A50))</f>
        <v>0</v>
      </c>
      <c r="AI50" s="11">
        <f>SUMPRODUCT(ISNUMBER(SEARCH(",MLN19,",","&amp;SUBSTITUTE('1L Screening Matrix'!$I$2:$I$77,", ",",")&amp;","))*('1L Screening Matrix'!$C$2:$C$77=$A50))+SUMPRODUCT(ISNUMBER(SEARCH(",MLN19,",","&amp;SUBSTITUTE('2L Screening Matrix'!$I$2:$I$46,", ",",")&amp;","))*('2L Screening Matrix'!$C$2:$C$46=$A50))</f>
        <v>0</v>
      </c>
      <c r="AJ50" s="11">
        <f>SUMPRODUCT(ISNUMBER(SEARCH(",NTRK,",","&amp;SUBSTITUTE('1L Screening Matrix'!$I$2:$I$77,", ",",")&amp;","))*('1L Screening Matrix'!$C$2:$C$77=$A50))+SUMPRODUCT(ISNUMBER(SEARCH(",NTRK,",","&amp;SUBSTITUTE('2L Screening Matrix'!$I$2:$I$46,", ",",")&amp;","))*('2L Screening Matrix'!$C$2:$C$46=$A50))</f>
        <v>0</v>
      </c>
      <c r="AK50" s="11">
        <f>SUMPRODUCT(ISNUMBER(SEARCH(",Integrin β6,",","&amp;SUBSTITUTE('1L Screening Matrix'!$I$2:$I$77,", ",",")&amp;","))*('1L Screening Matrix'!$C$2:$C$77=$A50))+SUMPRODUCT(ISNUMBER(SEARCH(",Integrin β6,",","&amp;SUBSTITUTE('2L Screening Matrix'!$I$2:$I$46,", ",",")&amp;","))*('2L Screening Matrix'!$C$2:$C$46=$A50))</f>
        <v>0</v>
      </c>
      <c r="AL50" s="11">
        <f>SUMPRODUCT(ISNUMBER(SEARCH(",LAG-3,",","&amp;SUBSTITUTE('1L Screening Matrix'!$I$2:$I$77,", ",",")&amp;","))*('1L Screening Matrix'!$C$2:$C$77=$A50))+SUMPRODUCT(ISNUMBER(SEARCH(",LAG-3,",","&amp;SUBSTITUTE('2L Screening Matrix'!$I$2:$I$46,", ",",")&amp;","))*('2L Screening Matrix'!$C$2:$C$46=$A50))</f>
        <v>0</v>
      </c>
      <c r="AM50" s="14">
        <f t="shared" si="1"/>
        <v>11</v>
      </c>
    </row>
    <row r="51" spans="1:39" ht="15" customHeight="1" x14ac:dyDescent="0.2">
      <c r="A51" s="15" t="s">
        <v>1789</v>
      </c>
      <c r="B51" s="11">
        <f>SUMPRODUCT(ISNUMBER(SEARCH(",PD-1,",","&amp;SUBSTITUTE('1L Screening Matrix'!$I$2:$I$77,", ",",")&amp;","))*('1L Screening Matrix'!$C$2:$C$77=$A51))+SUMPRODUCT(ISNUMBER(SEARCH(",PD-1,",","&amp;SUBSTITUTE('2L Screening Matrix'!$I$2:$I$46,", ",",")&amp;","))*('2L Screening Matrix'!$C$2:$C$46=$A51))</f>
        <v>0</v>
      </c>
      <c r="C51" s="11">
        <f>SUMPRODUCT(ISNUMBER(SEARCH(",CD279,",","&amp;SUBSTITUTE('1L Screening Matrix'!$I$2:$I$77,", ",",")&amp;","))*('1L Screening Matrix'!$C$2:$C$77=$A51))+SUMPRODUCT(ISNUMBER(SEARCH(",CD279,",","&amp;SUBSTITUTE('2L Screening Matrix'!$I$2:$I$46,", ",",")&amp;","))*('2L Screening Matrix'!$C$2:$C$46=$A51))</f>
        <v>0</v>
      </c>
      <c r="D51" s="11">
        <f>SUMPRODUCT(ISNUMBER(SEARCH(",TS,",","&amp;SUBSTITUTE('1L Screening Matrix'!$I$2:$I$77,", ",",")&amp;","))*('1L Screening Matrix'!$C$2:$C$77=$A51))+SUMPRODUCT(ISNUMBER(SEARCH(",TS,",","&amp;SUBSTITUTE('2L Screening Matrix'!$I$2:$I$46,", ",",")&amp;","))*('2L Screening Matrix'!$C$2:$C$46=$A51))</f>
        <v>0</v>
      </c>
      <c r="E51" s="11">
        <f>SUMPRODUCT(ISNUMBER(SEARCH(",TYMS,",","&amp;SUBSTITUTE('1L Screening Matrix'!$I$2:$I$77,", ",",")&amp;","))*('1L Screening Matrix'!$C$2:$C$77=$A51))+SUMPRODUCT(ISNUMBER(SEARCH(",TYMS,",","&amp;SUBSTITUTE('2L Screening Matrix'!$I$2:$I$46,", ",",")&amp;","))*('2L Screening Matrix'!$C$2:$C$46=$A51))</f>
        <v>0</v>
      </c>
      <c r="F51" s="11">
        <f>SUMPRODUCT(ISNUMBER(SEARCH(",PD-L1,",","&amp;SUBSTITUTE('1L Screening Matrix'!$I$2:$I$77,", ",",")&amp;","))*('1L Screening Matrix'!$C$2:$C$77=$A51))+SUMPRODUCT(ISNUMBER(SEARCH(",PD-L1,",","&amp;SUBSTITUTE('2L Screening Matrix'!$I$2:$I$46,", ",",")&amp;","))*('2L Screening Matrix'!$C$2:$C$46=$A51))</f>
        <v>0</v>
      </c>
      <c r="G51" s="11">
        <f>SUMPRODUCT(ISNUMBER(SEARCH(",B7-H1,",","&amp;SUBSTITUTE('1L Screening Matrix'!$I$2:$I$77,", ",",")&amp;","))*('1L Screening Matrix'!$C$2:$C$77=$A51))+SUMPRODUCT(ISNUMBER(SEARCH(",B7-H1,",","&amp;SUBSTITUTE('2L Screening Matrix'!$I$2:$I$46,", ",",")&amp;","))*('2L Screening Matrix'!$C$2:$C$46=$A51))</f>
        <v>0</v>
      </c>
      <c r="H51" s="11">
        <f>SUMPRODUCT(ISNUMBER(SEARCH(",CD274,",","&amp;SUBSTITUTE('1L Screening Matrix'!$I$2:$I$77,", ",",")&amp;","))*('1L Screening Matrix'!$C$2:$C$77=$A51))+SUMPRODUCT(ISNUMBER(SEARCH(",CD274,",","&amp;SUBSTITUTE('2L Screening Matrix'!$I$2:$I$46,", ",",")&amp;","))*('2L Screening Matrix'!$C$2:$C$46=$A51))</f>
        <v>0</v>
      </c>
      <c r="I51" s="11">
        <f>SUMPRODUCT(ISNUMBER(SEARCH(",EGFR,",","&amp;SUBSTITUTE('1L Screening Matrix'!$I$2:$I$77,", ",",")&amp;","))*('1L Screening Matrix'!$C$2:$C$77=$A51))+SUMPRODUCT(ISNUMBER(SEARCH(",EGFR,",","&amp;SUBSTITUTE('2L Screening Matrix'!$I$2:$I$46,", ",",")&amp;","))*('2L Screening Matrix'!$C$2:$C$46=$A51))</f>
        <v>1</v>
      </c>
      <c r="J51" s="11">
        <f>SUMPRODUCT(ISNUMBER(SEARCH(",VEGF,",","&amp;SUBSTITUTE('1L Screening Matrix'!$I$2:$I$77,", ",",")&amp;","))*('1L Screening Matrix'!$C$2:$C$77=$A51))+SUMPRODUCT(ISNUMBER(SEARCH(",VEGF,",","&amp;SUBSTITUTE('2L Screening Matrix'!$I$2:$I$46,", ",",")&amp;","))*('2L Screening Matrix'!$C$2:$C$46=$A51))</f>
        <v>0</v>
      </c>
      <c r="K51" s="11">
        <f>SUMPRODUCT(ISNUMBER(SEARCH(",ERBB,",","&amp;SUBSTITUTE('1L Screening Matrix'!$I$2:$I$77,", ",",")&amp;","))*('1L Screening Matrix'!$C$2:$C$77=$A51))+SUMPRODUCT(ISNUMBER(SEARCH(",ERBB,",","&amp;SUBSTITUTE('2L Screening Matrix'!$I$2:$I$46,", ",",")&amp;","))*('2L Screening Matrix'!$C$2:$C$46=$A51))</f>
        <v>1</v>
      </c>
      <c r="L51" s="11">
        <f>SUMPRODUCT(ISNUMBER(SEARCH(",HER1,",","&amp;SUBSTITUTE('1L Screening Matrix'!$I$2:$I$77,", ",",")&amp;","))*('1L Screening Matrix'!$C$2:$C$77=$A51))+SUMPRODUCT(ISNUMBER(SEARCH(",HER1,",","&amp;SUBSTITUTE('2L Screening Matrix'!$I$2:$I$46,", ",",")&amp;","))*('2L Screening Matrix'!$C$2:$C$46=$A51))</f>
        <v>1</v>
      </c>
      <c r="M51" s="11">
        <f>SUMPRODUCT(ISNUMBER(SEARCH(",Microtubule,",","&amp;SUBSTITUTE('1L Screening Matrix'!$I$2:$I$77,", ",",")&amp;","))*('1L Screening Matrix'!$C$2:$C$77=$A51))+SUMPRODUCT(ISNUMBER(SEARCH(",Microtubule,",","&amp;SUBSTITUTE('2L Screening Matrix'!$I$2:$I$46,", ",",")&amp;","))*('2L Screening Matrix'!$C$2:$C$46=$A51))</f>
        <v>0</v>
      </c>
      <c r="N51" s="11">
        <f>SUMPRODUCT(ISNUMBER(SEARCH(",KRAS G12C,",","&amp;SUBSTITUTE('1L Screening Matrix'!$I$2:$I$77,", ",",")&amp;","))*('1L Screening Matrix'!$C$2:$C$77=$A51))+SUMPRODUCT(ISNUMBER(SEARCH(",KRAS G12C,",","&amp;SUBSTITUTE('2L Screening Matrix'!$I$2:$I$46,", ",",")&amp;","))*('2L Screening Matrix'!$C$2:$C$46=$A51))</f>
        <v>0</v>
      </c>
      <c r="O51" s="11">
        <f>SUMPRODUCT(ISNUMBER(SEARCH(",EGFR T790M,",","&amp;SUBSTITUTE('1L Screening Matrix'!$I$2:$I$77,", ",",")&amp;","))*('1L Screening Matrix'!$C$2:$C$77=$A51))+SUMPRODUCT(ISNUMBER(SEARCH(",EGFR T790M,",","&amp;SUBSTITUTE('2L Screening Matrix'!$I$2:$I$46,", ",",")&amp;","))*('2L Screening Matrix'!$C$2:$C$46=$A51))</f>
        <v>0</v>
      </c>
      <c r="P51" s="11">
        <f>SUMPRODUCT(ISNUMBER(SEARCH(",ALK,",","&amp;SUBSTITUTE('1L Screening Matrix'!$I$2:$I$77,", ",",")&amp;","))*('1L Screening Matrix'!$C$2:$C$77=$A51))+SUMPRODUCT(ISNUMBER(SEARCH(",ALK,",","&amp;SUBSTITUTE('2L Screening Matrix'!$I$2:$I$46,", ",",")&amp;","))*('2L Screening Matrix'!$C$2:$C$46=$A51))</f>
        <v>0</v>
      </c>
      <c r="Q51" s="11">
        <f>SUMPRODUCT(ISNUMBER(SEARCH(",TROP2,",","&amp;SUBSTITUTE('1L Screening Matrix'!$I$2:$I$77,", ",",")&amp;","))*('1L Screening Matrix'!$C$2:$C$77=$A51))+SUMPRODUCT(ISNUMBER(SEARCH(",TROP2,",","&amp;SUBSTITUTE('2L Screening Matrix'!$I$2:$I$46,", ",",")&amp;","))*('2L Screening Matrix'!$C$2:$C$46=$A51))</f>
        <v>0</v>
      </c>
      <c r="R51" s="11">
        <f>SUMPRODUCT(ISNUMBER(SEARCH(",c-MET/MET,",","&amp;SUBSTITUTE('1L Screening Matrix'!$I$2:$I$77,", ",",")&amp;","))*('1L Screening Matrix'!$C$2:$C$77=$A51))+SUMPRODUCT(ISNUMBER(SEARCH(",c-MET/MET,",","&amp;SUBSTITUTE('2L Screening Matrix'!$I$2:$I$46,", ",",")&amp;","))*('2L Screening Matrix'!$C$2:$C$46=$A51))</f>
        <v>0</v>
      </c>
      <c r="S51" s="11">
        <f>SUMPRODUCT(ISNUMBER(SEARCH(",HER2,",","&amp;SUBSTITUTE('1L Screening Matrix'!$I$2:$I$77,", ",",")&amp;","))*('1L Screening Matrix'!$C$2:$C$77=$A51))+SUMPRODUCT(ISNUMBER(SEARCH(",HER2,",","&amp;SUBSTITUTE('2L Screening Matrix'!$I$2:$I$46,", ",",")&amp;","))*('2L Screening Matrix'!$C$2:$C$46=$A51))</f>
        <v>0</v>
      </c>
      <c r="T51" s="11">
        <f>SUMPRODUCT(ISNUMBER(SEARCH(",ROS1,",","&amp;SUBSTITUTE('1L Screening Matrix'!$I$2:$I$77,", ",",")&amp;","))*('1L Screening Matrix'!$C$2:$C$77=$A51))+SUMPRODUCT(ISNUMBER(SEARCH(",ROS1,",","&amp;SUBSTITUTE('2L Screening Matrix'!$I$2:$I$46,", ",",")&amp;","))*('2L Screening Matrix'!$C$2:$C$46=$A51))</f>
        <v>0</v>
      </c>
      <c r="U51" s="11">
        <f>SUMPRODUCT(ISNUMBER(SEARCH(",TIGIT,",","&amp;SUBSTITUTE('1L Screening Matrix'!$I$2:$I$77,", ",",")&amp;","))*('1L Screening Matrix'!$C$2:$C$77=$A51))+SUMPRODUCT(ISNUMBER(SEARCH(",TIGIT,",","&amp;SUBSTITUTE('2L Screening Matrix'!$I$2:$I$46,", ",",")&amp;","))*('2L Screening Matrix'!$C$2:$C$46=$A51))</f>
        <v>0</v>
      </c>
      <c r="V51" s="11">
        <f>SUMPRODUCT(ISNUMBER(SEARCH(",EGFR L858R,",","&amp;SUBSTITUTE('1L Screening Matrix'!$I$2:$I$77,", ",",")&amp;","))*('1L Screening Matrix'!$C$2:$C$77=$A51))+SUMPRODUCT(ISNUMBER(SEARCH(",EGFR L858R,",","&amp;SUBSTITUTE('2L Screening Matrix'!$I$2:$I$46,", ",",")&amp;","))*('2L Screening Matrix'!$C$2:$C$46=$A51))</f>
        <v>0</v>
      </c>
      <c r="W51" s="11">
        <f>SUMPRODUCT(ISNUMBER(SEARCH(",ROS,",","&amp;SUBSTITUTE('1L Screening Matrix'!$I$2:$I$77,", ",",")&amp;","))*('1L Screening Matrix'!$C$2:$C$77=$A51))+SUMPRODUCT(ISNUMBER(SEARCH(",ROS,",","&amp;SUBSTITUTE('2L Screening Matrix'!$I$2:$I$46,", ",",")&amp;","))*('2L Screening Matrix'!$C$2:$C$46=$A51))</f>
        <v>0</v>
      </c>
      <c r="X51" s="11">
        <f>SUMPRODUCT(ISNUMBER(SEARCH(",IL-2,",","&amp;SUBSTITUTE('1L Screening Matrix'!$I$2:$I$77,", ",",")&amp;","))*('1L Screening Matrix'!$C$2:$C$77=$A51))+SUMPRODUCT(ISNUMBER(SEARCH(",IL-2,",","&amp;SUBSTITUTE('2L Screening Matrix'!$I$2:$I$46,", ",",")&amp;","))*('2L Screening Matrix'!$C$2:$C$46=$A51))</f>
        <v>0</v>
      </c>
      <c r="Y51" s="11">
        <f>SUMPRODUCT(ISNUMBER(SEARCH(",TCGF,",","&amp;SUBSTITUTE('1L Screening Matrix'!$I$2:$I$77,", ",",")&amp;","))*('1L Screening Matrix'!$C$2:$C$77=$A51))+SUMPRODUCT(ISNUMBER(SEARCH(",TCGF,",","&amp;SUBSTITUTE('2L Screening Matrix'!$I$2:$I$46,", ",",")&amp;","))*('2L Screening Matrix'!$C$2:$C$46=$A51))</f>
        <v>0</v>
      </c>
      <c r="Z51" s="11">
        <f>SUMPRODUCT(ISNUMBER(SEARCH(",CTLA-4,",","&amp;SUBSTITUTE('1L Screening Matrix'!$I$2:$I$77,", ",",")&amp;","))*('1L Screening Matrix'!$C$2:$C$77=$A51))+SUMPRODUCT(ISNUMBER(SEARCH(",CTLA-4,",","&amp;SUBSTITUTE('2L Screening Matrix'!$I$2:$I$46,", ",",")&amp;","))*('2L Screening Matrix'!$C$2:$C$46=$A51))</f>
        <v>0</v>
      </c>
      <c r="AA51" s="11">
        <f>SUMPRODUCT(ISNUMBER(SEARCH(",EGFR Exon 20,",","&amp;SUBSTITUTE('1L Screening Matrix'!$I$2:$I$77,", ",",")&amp;","))*('1L Screening Matrix'!$C$2:$C$77=$A51))+SUMPRODUCT(ISNUMBER(SEARCH(",EGFR Exon 20,",","&amp;SUBSTITUTE('2L Screening Matrix'!$I$2:$I$46,", ",",")&amp;","))*('2L Screening Matrix'!$C$2:$C$46=$A51))</f>
        <v>0</v>
      </c>
      <c r="AB51" s="11">
        <f>SUMPRODUCT(ISNUMBER(SEARCH(",HER2 Exon 20,",","&amp;SUBSTITUTE('1L Screening Matrix'!$I$2:$I$77,", ",",")&amp;","))*('1L Screening Matrix'!$C$2:$C$77=$A51))+SUMPRODUCT(ISNUMBER(SEARCH(",HER2 Exon 20,",","&amp;SUBSTITUTE('2L Screening Matrix'!$I$2:$I$46,", ",",")&amp;","))*('2L Screening Matrix'!$C$2:$C$46=$A51))</f>
        <v>0</v>
      </c>
      <c r="AC51" s="11">
        <f>SUMPRODUCT(ISNUMBER(SEARCH(",IL-15,",","&amp;SUBSTITUTE('1L Screening Matrix'!$I$2:$I$77,", ",",")&amp;","))*('1L Screening Matrix'!$C$2:$C$77=$A51))+SUMPRODUCT(ISNUMBER(SEARCH(",IL-15,",","&amp;SUBSTITUTE('2L Screening Matrix'!$I$2:$I$46,", ",",")&amp;","))*('2L Screening Matrix'!$C$2:$C$46=$A51))</f>
        <v>0</v>
      </c>
      <c r="AD51" s="11">
        <f>SUMPRODUCT(ISNUMBER(SEARCH(",IL-15R,",","&amp;SUBSTITUTE('1L Screening Matrix'!$I$2:$I$77,", ",",")&amp;","))*('1L Screening Matrix'!$C$2:$C$77=$A51))+SUMPRODUCT(ISNUMBER(SEARCH(",IL-15R,",","&amp;SUBSTITUTE('2L Screening Matrix'!$I$2:$I$46,", ",",")&amp;","))*('2L Screening Matrix'!$C$2:$C$46=$A51))</f>
        <v>0</v>
      </c>
      <c r="AE51" s="11">
        <f>SUMPRODUCT(ISNUMBER(SEARCH(",KRAS G12D,",","&amp;SUBSTITUTE('1L Screening Matrix'!$I$2:$I$77,", ",",")&amp;","))*('1L Screening Matrix'!$C$2:$C$77=$A51))+SUMPRODUCT(ISNUMBER(SEARCH(",KRAS G12D,",","&amp;SUBSTITUTE('2L Screening Matrix'!$I$2:$I$46,", ",",")&amp;","))*('2L Screening Matrix'!$C$2:$C$46=$A51))</f>
        <v>0</v>
      </c>
      <c r="AF51" s="11">
        <f>SUMPRODUCT(ISNUMBER(SEARCH(",HER4,",","&amp;SUBSTITUTE('1L Screening Matrix'!$I$2:$I$77,", ",",")&amp;","))*('1L Screening Matrix'!$C$2:$C$77=$A51))+SUMPRODUCT(ISNUMBER(SEARCH(",HER4,",","&amp;SUBSTITUTE('2L Screening Matrix'!$I$2:$I$46,", ",",")&amp;","))*('2L Screening Matrix'!$C$2:$C$46=$A51))</f>
        <v>0</v>
      </c>
      <c r="AG51" s="11">
        <f>SUMPRODUCT(ISNUMBER(SEARCH(",ALK L1196M,",","&amp;SUBSTITUTE('1L Screening Matrix'!$I$2:$I$77,", ",",")&amp;","))*('1L Screening Matrix'!$C$2:$C$77=$A51))+SUMPRODUCT(ISNUMBER(SEARCH(",ALK L1196M,",","&amp;SUBSTITUTE('2L Screening Matrix'!$I$2:$I$46,", ",",")&amp;","))*('2L Screening Matrix'!$C$2:$C$46=$A51))</f>
        <v>0</v>
      </c>
      <c r="AH51" s="11">
        <f>SUMPRODUCT(ISNUMBER(SEARCH(",CD152,",","&amp;SUBSTITUTE('1L Screening Matrix'!$I$2:$I$77,", ",",")&amp;","))*('1L Screening Matrix'!$C$2:$C$77=$A51))+SUMPRODUCT(ISNUMBER(SEARCH(",CD152,",","&amp;SUBSTITUTE('2L Screening Matrix'!$I$2:$I$46,", ",",")&amp;","))*('2L Screening Matrix'!$C$2:$C$46=$A51))</f>
        <v>0</v>
      </c>
      <c r="AI51" s="11">
        <f>SUMPRODUCT(ISNUMBER(SEARCH(",MLN19,",","&amp;SUBSTITUTE('1L Screening Matrix'!$I$2:$I$77,", ",",")&amp;","))*('1L Screening Matrix'!$C$2:$C$77=$A51))+SUMPRODUCT(ISNUMBER(SEARCH(",MLN19,",","&amp;SUBSTITUTE('2L Screening Matrix'!$I$2:$I$46,", ",",")&amp;","))*('2L Screening Matrix'!$C$2:$C$46=$A51))</f>
        <v>0</v>
      </c>
      <c r="AJ51" s="11">
        <f>SUMPRODUCT(ISNUMBER(SEARCH(",NTRK,",","&amp;SUBSTITUTE('1L Screening Matrix'!$I$2:$I$77,", ",",")&amp;","))*('1L Screening Matrix'!$C$2:$C$77=$A51))+SUMPRODUCT(ISNUMBER(SEARCH(",NTRK,",","&amp;SUBSTITUTE('2L Screening Matrix'!$I$2:$I$46,", ",",")&amp;","))*('2L Screening Matrix'!$C$2:$C$46=$A51))</f>
        <v>0</v>
      </c>
      <c r="AK51" s="11">
        <f>SUMPRODUCT(ISNUMBER(SEARCH(",Integrin β6,",","&amp;SUBSTITUTE('1L Screening Matrix'!$I$2:$I$77,", ",",")&amp;","))*('1L Screening Matrix'!$C$2:$C$77=$A51))+SUMPRODUCT(ISNUMBER(SEARCH(",Integrin β6,",","&amp;SUBSTITUTE('2L Screening Matrix'!$I$2:$I$46,", ",",")&amp;","))*('2L Screening Matrix'!$C$2:$C$46=$A51))</f>
        <v>0</v>
      </c>
      <c r="AL51" s="11">
        <f>SUMPRODUCT(ISNUMBER(SEARCH(",LAG-3,",","&amp;SUBSTITUTE('1L Screening Matrix'!$I$2:$I$77,", ",",")&amp;","))*('1L Screening Matrix'!$C$2:$C$77=$A51))+SUMPRODUCT(ISNUMBER(SEARCH(",LAG-3,",","&amp;SUBSTITUTE('2L Screening Matrix'!$I$2:$I$46,", ",",")&amp;","))*('2L Screening Matrix'!$C$2:$C$46=$A51))</f>
        <v>0</v>
      </c>
      <c r="AM51" s="14">
        <f t="shared" si="1"/>
        <v>3</v>
      </c>
    </row>
    <row r="52" spans="1:39" ht="15" customHeight="1" x14ac:dyDescent="0.2">
      <c r="A52" s="12" t="s">
        <v>950</v>
      </c>
      <c r="B52" s="11">
        <f>SUMPRODUCT(ISNUMBER(SEARCH(",PD-1,",","&amp;SUBSTITUTE('1L Screening Matrix'!$I$2:$I$77,", ",",")&amp;","))*('1L Screening Matrix'!$C$2:$C$77=$A52))+SUMPRODUCT(ISNUMBER(SEARCH(",PD-1,",","&amp;SUBSTITUTE('2L Screening Matrix'!$I$2:$I$46,", ",",")&amp;","))*('2L Screening Matrix'!$C$2:$C$46=$A52))</f>
        <v>0</v>
      </c>
      <c r="C52" s="11">
        <f>SUMPRODUCT(ISNUMBER(SEARCH(",CD279,",","&amp;SUBSTITUTE('1L Screening Matrix'!$I$2:$I$77,", ",",")&amp;","))*('1L Screening Matrix'!$C$2:$C$77=$A52))+SUMPRODUCT(ISNUMBER(SEARCH(",CD279,",","&amp;SUBSTITUTE('2L Screening Matrix'!$I$2:$I$46,", ",",")&amp;","))*('2L Screening Matrix'!$C$2:$C$46=$A52))</f>
        <v>0</v>
      </c>
      <c r="D52" s="11">
        <f>SUMPRODUCT(ISNUMBER(SEARCH(",TS,",","&amp;SUBSTITUTE('1L Screening Matrix'!$I$2:$I$77,", ",",")&amp;","))*('1L Screening Matrix'!$C$2:$C$77=$A52))+SUMPRODUCT(ISNUMBER(SEARCH(",TS,",","&amp;SUBSTITUTE('2L Screening Matrix'!$I$2:$I$46,", ",",")&amp;","))*('2L Screening Matrix'!$C$2:$C$46=$A52))</f>
        <v>0</v>
      </c>
      <c r="E52" s="11">
        <f>SUMPRODUCT(ISNUMBER(SEARCH(",TYMS,",","&amp;SUBSTITUTE('1L Screening Matrix'!$I$2:$I$77,", ",",")&amp;","))*('1L Screening Matrix'!$C$2:$C$77=$A52))+SUMPRODUCT(ISNUMBER(SEARCH(",TYMS,",","&amp;SUBSTITUTE('2L Screening Matrix'!$I$2:$I$46,", ",",")&amp;","))*('2L Screening Matrix'!$C$2:$C$46=$A52))</f>
        <v>0</v>
      </c>
      <c r="F52" s="11">
        <f>SUMPRODUCT(ISNUMBER(SEARCH(",PD-L1,",","&amp;SUBSTITUTE('1L Screening Matrix'!$I$2:$I$77,", ",",")&amp;","))*('1L Screening Matrix'!$C$2:$C$77=$A52))+SUMPRODUCT(ISNUMBER(SEARCH(",PD-L1,",","&amp;SUBSTITUTE('2L Screening Matrix'!$I$2:$I$46,", ",",")&amp;","))*('2L Screening Matrix'!$C$2:$C$46=$A52))</f>
        <v>0</v>
      </c>
      <c r="G52" s="11">
        <f>SUMPRODUCT(ISNUMBER(SEARCH(",B7-H1,",","&amp;SUBSTITUTE('1L Screening Matrix'!$I$2:$I$77,", ",",")&amp;","))*('1L Screening Matrix'!$C$2:$C$77=$A52))+SUMPRODUCT(ISNUMBER(SEARCH(",B7-H1,",","&amp;SUBSTITUTE('2L Screening Matrix'!$I$2:$I$46,", ",",")&amp;","))*('2L Screening Matrix'!$C$2:$C$46=$A52))</f>
        <v>0</v>
      </c>
      <c r="H52" s="11">
        <f>SUMPRODUCT(ISNUMBER(SEARCH(",CD274,",","&amp;SUBSTITUTE('1L Screening Matrix'!$I$2:$I$77,", ",",")&amp;","))*('1L Screening Matrix'!$C$2:$C$77=$A52))+SUMPRODUCT(ISNUMBER(SEARCH(",CD274,",","&amp;SUBSTITUTE('2L Screening Matrix'!$I$2:$I$46,", ",",")&amp;","))*('2L Screening Matrix'!$C$2:$C$46=$A52))</f>
        <v>0</v>
      </c>
      <c r="I52" s="11">
        <f>SUMPRODUCT(ISNUMBER(SEARCH(",EGFR,",","&amp;SUBSTITUTE('1L Screening Matrix'!$I$2:$I$77,", ",",")&amp;","))*('1L Screening Matrix'!$C$2:$C$77=$A52))+SUMPRODUCT(ISNUMBER(SEARCH(",EGFR,",","&amp;SUBSTITUTE('2L Screening Matrix'!$I$2:$I$46,", ",",")&amp;","))*('2L Screening Matrix'!$C$2:$C$46=$A52))</f>
        <v>0</v>
      </c>
      <c r="J52" s="11">
        <f>SUMPRODUCT(ISNUMBER(SEARCH(",VEGF,",","&amp;SUBSTITUTE('1L Screening Matrix'!$I$2:$I$77,", ",",")&amp;","))*('1L Screening Matrix'!$C$2:$C$77=$A52))+SUMPRODUCT(ISNUMBER(SEARCH(",VEGF,",","&amp;SUBSTITUTE('2L Screening Matrix'!$I$2:$I$46,", ",",")&amp;","))*('2L Screening Matrix'!$C$2:$C$46=$A52))</f>
        <v>0</v>
      </c>
      <c r="K52" s="11">
        <f>SUMPRODUCT(ISNUMBER(SEARCH(",ERBB,",","&amp;SUBSTITUTE('1L Screening Matrix'!$I$2:$I$77,", ",",")&amp;","))*('1L Screening Matrix'!$C$2:$C$77=$A52))+SUMPRODUCT(ISNUMBER(SEARCH(",ERBB,",","&amp;SUBSTITUTE('2L Screening Matrix'!$I$2:$I$46,", ",",")&amp;","))*('2L Screening Matrix'!$C$2:$C$46=$A52))</f>
        <v>0</v>
      </c>
      <c r="L52" s="11">
        <f>SUMPRODUCT(ISNUMBER(SEARCH(",HER1,",","&amp;SUBSTITUTE('1L Screening Matrix'!$I$2:$I$77,", ",",")&amp;","))*('1L Screening Matrix'!$C$2:$C$77=$A52))+SUMPRODUCT(ISNUMBER(SEARCH(",HER1,",","&amp;SUBSTITUTE('2L Screening Matrix'!$I$2:$I$46,", ",",")&amp;","))*('2L Screening Matrix'!$C$2:$C$46=$A52))</f>
        <v>0</v>
      </c>
      <c r="M52" s="11">
        <f>SUMPRODUCT(ISNUMBER(SEARCH(",Microtubule,",","&amp;SUBSTITUTE('1L Screening Matrix'!$I$2:$I$77,", ",",")&amp;","))*('1L Screening Matrix'!$C$2:$C$77=$A52))+SUMPRODUCT(ISNUMBER(SEARCH(",Microtubule,",","&amp;SUBSTITUTE('2L Screening Matrix'!$I$2:$I$46,", ",",")&amp;","))*('2L Screening Matrix'!$C$2:$C$46=$A52))</f>
        <v>0</v>
      </c>
      <c r="N52" s="11">
        <f>SUMPRODUCT(ISNUMBER(SEARCH(",KRAS G12C,",","&amp;SUBSTITUTE('1L Screening Matrix'!$I$2:$I$77,", ",",")&amp;","))*('1L Screening Matrix'!$C$2:$C$77=$A52))+SUMPRODUCT(ISNUMBER(SEARCH(",KRAS G12C,",","&amp;SUBSTITUTE('2L Screening Matrix'!$I$2:$I$46,", ",",")&amp;","))*('2L Screening Matrix'!$C$2:$C$46=$A52))</f>
        <v>0</v>
      </c>
      <c r="O52" s="11">
        <f>SUMPRODUCT(ISNUMBER(SEARCH(",EGFR T790M,",","&amp;SUBSTITUTE('1L Screening Matrix'!$I$2:$I$77,", ",",")&amp;","))*('1L Screening Matrix'!$C$2:$C$77=$A52))+SUMPRODUCT(ISNUMBER(SEARCH(",EGFR T790M,",","&amp;SUBSTITUTE('2L Screening Matrix'!$I$2:$I$46,", ",",")&amp;","))*('2L Screening Matrix'!$C$2:$C$46=$A52))</f>
        <v>0</v>
      </c>
      <c r="P52" s="11">
        <f>SUMPRODUCT(ISNUMBER(SEARCH(",ALK,",","&amp;SUBSTITUTE('1L Screening Matrix'!$I$2:$I$77,", ",",")&amp;","))*('1L Screening Matrix'!$C$2:$C$77=$A52))+SUMPRODUCT(ISNUMBER(SEARCH(",ALK,",","&amp;SUBSTITUTE('2L Screening Matrix'!$I$2:$I$46,", ",",")&amp;","))*('2L Screening Matrix'!$C$2:$C$46=$A52))</f>
        <v>0</v>
      </c>
      <c r="Q52" s="11">
        <f>SUMPRODUCT(ISNUMBER(SEARCH(",TROP2,",","&amp;SUBSTITUTE('1L Screening Matrix'!$I$2:$I$77,", ",",")&amp;","))*('1L Screening Matrix'!$C$2:$C$77=$A52))+SUMPRODUCT(ISNUMBER(SEARCH(",TROP2,",","&amp;SUBSTITUTE('2L Screening Matrix'!$I$2:$I$46,", ",",")&amp;","))*('2L Screening Matrix'!$C$2:$C$46=$A52))</f>
        <v>0</v>
      </c>
      <c r="R52" s="11">
        <f>SUMPRODUCT(ISNUMBER(SEARCH(",c-MET/MET,",","&amp;SUBSTITUTE('1L Screening Matrix'!$I$2:$I$77,", ",",")&amp;","))*('1L Screening Matrix'!$C$2:$C$77=$A52))+SUMPRODUCT(ISNUMBER(SEARCH(",c-MET/MET,",","&amp;SUBSTITUTE('2L Screening Matrix'!$I$2:$I$46,", ",",")&amp;","))*('2L Screening Matrix'!$C$2:$C$46=$A52))</f>
        <v>0</v>
      </c>
      <c r="S52" s="11">
        <f>SUMPRODUCT(ISNUMBER(SEARCH(",HER2,",","&amp;SUBSTITUTE('1L Screening Matrix'!$I$2:$I$77,", ",",")&amp;","))*('1L Screening Matrix'!$C$2:$C$77=$A52))+SUMPRODUCT(ISNUMBER(SEARCH(",HER2,",","&amp;SUBSTITUTE('2L Screening Matrix'!$I$2:$I$46,", ",",")&amp;","))*('2L Screening Matrix'!$C$2:$C$46=$A52))</f>
        <v>0</v>
      </c>
      <c r="T52" s="11">
        <f>SUMPRODUCT(ISNUMBER(SEARCH(",ROS1,",","&amp;SUBSTITUTE('1L Screening Matrix'!$I$2:$I$77,", ",",")&amp;","))*('1L Screening Matrix'!$C$2:$C$77=$A52))+SUMPRODUCT(ISNUMBER(SEARCH(",ROS1,",","&amp;SUBSTITUTE('2L Screening Matrix'!$I$2:$I$46,", ",",")&amp;","))*('2L Screening Matrix'!$C$2:$C$46=$A52))</f>
        <v>0</v>
      </c>
      <c r="U52" s="11">
        <f>SUMPRODUCT(ISNUMBER(SEARCH(",TIGIT,",","&amp;SUBSTITUTE('1L Screening Matrix'!$I$2:$I$77,", ",",")&amp;","))*('1L Screening Matrix'!$C$2:$C$77=$A52))+SUMPRODUCT(ISNUMBER(SEARCH(",TIGIT,",","&amp;SUBSTITUTE('2L Screening Matrix'!$I$2:$I$46,", ",",")&amp;","))*('2L Screening Matrix'!$C$2:$C$46=$A52))</f>
        <v>0</v>
      </c>
      <c r="V52" s="11">
        <f>SUMPRODUCT(ISNUMBER(SEARCH(",EGFR L858R,",","&amp;SUBSTITUTE('1L Screening Matrix'!$I$2:$I$77,", ",",")&amp;","))*('1L Screening Matrix'!$C$2:$C$77=$A52))+SUMPRODUCT(ISNUMBER(SEARCH(",EGFR L858R,",","&amp;SUBSTITUTE('2L Screening Matrix'!$I$2:$I$46,", ",",")&amp;","))*('2L Screening Matrix'!$C$2:$C$46=$A52))</f>
        <v>0</v>
      </c>
      <c r="W52" s="11">
        <f>SUMPRODUCT(ISNUMBER(SEARCH(",ROS,",","&amp;SUBSTITUTE('1L Screening Matrix'!$I$2:$I$77,", ",",")&amp;","))*('1L Screening Matrix'!$C$2:$C$77=$A52))+SUMPRODUCT(ISNUMBER(SEARCH(",ROS,",","&amp;SUBSTITUTE('2L Screening Matrix'!$I$2:$I$46,", ",",")&amp;","))*('2L Screening Matrix'!$C$2:$C$46=$A52))</f>
        <v>0</v>
      </c>
      <c r="X52" s="11">
        <f>SUMPRODUCT(ISNUMBER(SEARCH(",IL-2,",","&amp;SUBSTITUTE('1L Screening Matrix'!$I$2:$I$77,", ",",")&amp;","))*('1L Screening Matrix'!$C$2:$C$77=$A52))+SUMPRODUCT(ISNUMBER(SEARCH(",IL-2,",","&amp;SUBSTITUTE('2L Screening Matrix'!$I$2:$I$46,", ",",")&amp;","))*('2L Screening Matrix'!$C$2:$C$46=$A52))</f>
        <v>0</v>
      </c>
      <c r="Y52" s="11">
        <f>SUMPRODUCT(ISNUMBER(SEARCH(",TCGF,",","&amp;SUBSTITUTE('1L Screening Matrix'!$I$2:$I$77,", ",",")&amp;","))*('1L Screening Matrix'!$C$2:$C$77=$A52))+SUMPRODUCT(ISNUMBER(SEARCH(",TCGF,",","&amp;SUBSTITUTE('2L Screening Matrix'!$I$2:$I$46,", ",",")&amp;","))*('2L Screening Matrix'!$C$2:$C$46=$A52))</f>
        <v>0</v>
      </c>
      <c r="Z52" s="11">
        <f>SUMPRODUCT(ISNUMBER(SEARCH(",CTLA-4,",","&amp;SUBSTITUTE('1L Screening Matrix'!$I$2:$I$77,", ",",")&amp;","))*('1L Screening Matrix'!$C$2:$C$77=$A52))+SUMPRODUCT(ISNUMBER(SEARCH(",CTLA-4,",","&amp;SUBSTITUTE('2L Screening Matrix'!$I$2:$I$46,", ",",")&amp;","))*('2L Screening Matrix'!$C$2:$C$46=$A52))</f>
        <v>0</v>
      </c>
      <c r="AA52" s="11">
        <f>SUMPRODUCT(ISNUMBER(SEARCH(",EGFR Exon 20,",","&amp;SUBSTITUTE('1L Screening Matrix'!$I$2:$I$77,", ",",")&amp;","))*('1L Screening Matrix'!$C$2:$C$77=$A52))+SUMPRODUCT(ISNUMBER(SEARCH(",EGFR Exon 20,",","&amp;SUBSTITUTE('2L Screening Matrix'!$I$2:$I$46,", ",",")&amp;","))*('2L Screening Matrix'!$C$2:$C$46=$A52))</f>
        <v>0</v>
      </c>
      <c r="AB52" s="11">
        <f>SUMPRODUCT(ISNUMBER(SEARCH(",HER2 Exon 20,",","&amp;SUBSTITUTE('1L Screening Matrix'!$I$2:$I$77,", ",",")&amp;","))*('1L Screening Matrix'!$C$2:$C$77=$A52))+SUMPRODUCT(ISNUMBER(SEARCH(",HER2 Exon 20,",","&amp;SUBSTITUTE('2L Screening Matrix'!$I$2:$I$46,", ",",")&amp;","))*('2L Screening Matrix'!$C$2:$C$46=$A52))</f>
        <v>0</v>
      </c>
      <c r="AC52" s="11">
        <f>SUMPRODUCT(ISNUMBER(SEARCH(",IL-15,",","&amp;SUBSTITUTE('1L Screening Matrix'!$I$2:$I$77,", ",",")&amp;","))*('1L Screening Matrix'!$C$2:$C$77=$A52))+SUMPRODUCT(ISNUMBER(SEARCH(",IL-15,",","&amp;SUBSTITUTE('2L Screening Matrix'!$I$2:$I$46,", ",",")&amp;","))*('2L Screening Matrix'!$C$2:$C$46=$A52))</f>
        <v>0</v>
      </c>
      <c r="AD52" s="11">
        <f>SUMPRODUCT(ISNUMBER(SEARCH(",IL-15R,",","&amp;SUBSTITUTE('1L Screening Matrix'!$I$2:$I$77,", ",",")&amp;","))*('1L Screening Matrix'!$C$2:$C$77=$A52))+SUMPRODUCT(ISNUMBER(SEARCH(",IL-15R,",","&amp;SUBSTITUTE('2L Screening Matrix'!$I$2:$I$46,", ",",")&amp;","))*('2L Screening Matrix'!$C$2:$C$46=$A52))</f>
        <v>0</v>
      </c>
      <c r="AE52" s="11">
        <f>SUMPRODUCT(ISNUMBER(SEARCH(",KRAS G12D,",","&amp;SUBSTITUTE('1L Screening Matrix'!$I$2:$I$77,", ",",")&amp;","))*('1L Screening Matrix'!$C$2:$C$77=$A52))+SUMPRODUCT(ISNUMBER(SEARCH(",KRAS G12D,",","&amp;SUBSTITUTE('2L Screening Matrix'!$I$2:$I$46,", ",",")&amp;","))*('2L Screening Matrix'!$C$2:$C$46=$A52))</f>
        <v>0</v>
      </c>
      <c r="AF52" s="11">
        <f>SUMPRODUCT(ISNUMBER(SEARCH(",HER4,",","&amp;SUBSTITUTE('1L Screening Matrix'!$I$2:$I$77,", ",",")&amp;","))*('1L Screening Matrix'!$C$2:$C$77=$A52))+SUMPRODUCT(ISNUMBER(SEARCH(",HER4,",","&amp;SUBSTITUTE('2L Screening Matrix'!$I$2:$I$46,", ",",")&amp;","))*('2L Screening Matrix'!$C$2:$C$46=$A52))</f>
        <v>0</v>
      </c>
      <c r="AG52" s="11">
        <f>SUMPRODUCT(ISNUMBER(SEARCH(",ALK L1196M,",","&amp;SUBSTITUTE('1L Screening Matrix'!$I$2:$I$77,", ",",")&amp;","))*('1L Screening Matrix'!$C$2:$C$77=$A52))+SUMPRODUCT(ISNUMBER(SEARCH(",ALK L1196M,",","&amp;SUBSTITUTE('2L Screening Matrix'!$I$2:$I$46,", ",",")&amp;","))*('2L Screening Matrix'!$C$2:$C$46=$A52))</f>
        <v>0</v>
      </c>
      <c r="AH52" s="11">
        <f>SUMPRODUCT(ISNUMBER(SEARCH(",CD152,",","&amp;SUBSTITUTE('1L Screening Matrix'!$I$2:$I$77,", ",",")&amp;","))*('1L Screening Matrix'!$C$2:$C$77=$A52))+SUMPRODUCT(ISNUMBER(SEARCH(",CD152,",","&amp;SUBSTITUTE('2L Screening Matrix'!$I$2:$I$46,", ",",")&amp;","))*('2L Screening Matrix'!$C$2:$C$46=$A52))</f>
        <v>0</v>
      </c>
      <c r="AI52" s="11">
        <f>SUMPRODUCT(ISNUMBER(SEARCH(",MLN19,",","&amp;SUBSTITUTE('1L Screening Matrix'!$I$2:$I$77,", ",",")&amp;","))*('1L Screening Matrix'!$C$2:$C$77=$A52))+SUMPRODUCT(ISNUMBER(SEARCH(",MLN19,",","&amp;SUBSTITUTE('2L Screening Matrix'!$I$2:$I$46,", ",",")&amp;","))*('2L Screening Matrix'!$C$2:$C$46=$A52))</f>
        <v>0</v>
      </c>
      <c r="AJ52" s="11">
        <f>SUMPRODUCT(ISNUMBER(SEARCH(",NTRK,",","&amp;SUBSTITUTE('1L Screening Matrix'!$I$2:$I$77,", ",",")&amp;","))*('1L Screening Matrix'!$C$2:$C$77=$A52))+SUMPRODUCT(ISNUMBER(SEARCH(",NTRK,",","&amp;SUBSTITUTE('2L Screening Matrix'!$I$2:$I$46,", ",",")&amp;","))*('2L Screening Matrix'!$C$2:$C$46=$A52))</f>
        <v>0</v>
      </c>
      <c r="AK52" s="11">
        <f>SUMPRODUCT(ISNUMBER(SEARCH(",Integrin β6,",","&amp;SUBSTITUTE('1L Screening Matrix'!$I$2:$I$77,", ",",")&amp;","))*('1L Screening Matrix'!$C$2:$C$77=$A52))+SUMPRODUCT(ISNUMBER(SEARCH(",Integrin β6,",","&amp;SUBSTITUTE('2L Screening Matrix'!$I$2:$I$46,", ",",")&amp;","))*('2L Screening Matrix'!$C$2:$C$46=$A52))</f>
        <v>0</v>
      </c>
      <c r="AL52" s="11">
        <f>SUMPRODUCT(ISNUMBER(SEARCH(",LAG-3,",","&amp;SUBSTITUTE('1L Screening Matrix'!$I$2:$I$77,", ",",")&amp;","))*('1L Screening Matrix'!$C$2:$C$77=$A52))+SUMPRODUCT(ISNUMBER(SEARCH(",LAG-3,",","&amp;SUBSTITUTE('2L Screening Matrix'!$I$2:$I$46,", ",",")&amp;","))*('2L Screening Matrix'!$C$2:$C$46=$A52))</f>
        <v>0</v>
      </c>
      <c r="AM52" s="14">
        <f t="shared" si="1"/>
        <v>0</v>
      </c>
    </row>
    <row r="53" spans="1:39" ht="15" customHeight="1" x14ac:dyDescent="0.2">
      <c r="A53" s="15" t="s">
        <v>529</v>
      </c>
      <c r="B53" s="11">
        <f>SUMPRODUCT(ISNUMBER(SEARCH(",PD-1,",","&amp;SUBSTITUTE('1L Screening Matrix'!$I$2:$I$77,", ",",")&amp;","))*('1L Screening Matrix'!$C$2:$C$77=$A53))+SUMPRODUCT(ISNUMBER(SEARCH(",PD-1,",","&amp;SUBSTITUTE('2L Screening Matrix'!$I$2:$I$46,", ",",")&amp;","))*('2L Screening Matrix'!$C$2:$C$46=$A53))</f>
        <v>0</v>
      </c>
      <c r="C53" s="11">
        <f>SUMPRODUCT(ISNUMBER(SEARCH(",CD279,",","&amp;SUBSTITUTE('1L Screening Matrix'!$I$2:$I$77,", ",",")&amp;","))*('1L Screening Matrix'!$C$2:$C$77=$A53))+SUMPRODUCT(ISNUMBER(SEARCH(",CD279,",","&amp;SUBSTITUTE('2L Screening Matrix'!$I$2:$I$46,", ",",")&amp;","))*('2L Screening Matrix'!$C$2:$C$46=$A53))</f>
        <v>0</v>
      </c>
      <c r="D53" s="11">
        <f>SUMPRODUCT(ISNUMBER(SEARCH(",TS,",","&amp;SUBSTITUTE('1L Screening Matrix'!$I$2:$I$77,", ",",")&amp;","))*('1L Screening Matrix'!$C$2:$C$77=$A53))+SUMPRODUCT(ISNUMBER(SEARCH(",TS,",","&amp;SUBSTITUTE('2L Screening Matrix'!$I$2:$I$46,", ",",")&amp;","))*('2L Screening Matrix'!$C$2:$C$46=$A53))</f>
        <v>0</v>
      </c>
      <c r="E53" s="11">
        <f>SUMPRODUCT(ISNUMBER(SEARCH(",TYMS,",","&amp;SUBSTITUTE('1L Screening Matrix'!$I$2:$I$77,", ",",")&amp;","))*('1L Screening Matrix'!$C$2:$C$77=$A53))+SUMPRODUCT(ISNUMBER(SEARCH(",TYMS,",","&amp;SUBSTITUTE('2L Screening Matrix'!$I$2:$I$46,", ",",")&amp;","))*('2L Screening Matrix'!$C$2:$C$46=$A53))</f>
        <v>0</v>
      </c>
      <c r="F53" s="11">
        <f>SUMPRODUCT(ISNUMBER(SEARCH(",PD-L1,",","&amp;SUBSTITUTE('1L Screening Matrix'!$I$2:$I$77,", ",",")&amp;","))*('1L Screening Matrix'!$C$2:$C$77=$A53))+SUMPRODUCT(ISNUMBER(SEARCH(",PD-L1,",","&amp;SUBSTITUTE('2L Screening Matrix'!$I$2:$I$46,", ",",")&amp;","))*('2L Screening Matrix'!$C$2:$C$46=$A53))</f>
        <v>0</v>
      </c>
      <c r="G53" s="11">
        <f>SUMPRODUCT(ISNUMBER(SEARCH(",B7-H1,",","&amp;SUBSTITUTE('1L Screening Matrix'!$I$2:$I$77,", ",",")&amp;","))*('1L Screening Matrix'!$C$2:$C$77=$A53))+SUMPRODUCT(ISNUMBER(SEARCH(",B7-H1,",","&amp;SUBSTITUTE('2L Screening Matrix'!$I$2:$I$46,", ",",")&amp;","))*('2L Screening Matrix'!$C$2:$C$46=$A53))</f>
        <v>0</v>
      </c>
      <c r="H53" s="11">
        <f>SUMPRODUCT(ISNUMBER(SEARCH(",CD274,",","&amp;SUBSTITUTE('1L Screening Matrix'!$I$2:$I$77,", ",",")&amp;","))*('1L Screening Matrix'!$C$2:$C$77=$A53))+SUMPRODUCT(ISNUMBER(SEARCH(",CD274,",","&amp;SUBSTITUTE('2L Screening Matrix'!$I$2:$I$46,", ",",")&amp;","))*('2L Screening Matrix'!$C$2:$C$46=$A53))</f>
        <v>0</v>
      </c>
      <c r="I53" s="11">
        <f>SUMPRODUCT(ISNUMBER(SEARCH(",EGFR,",","&amp;SUBSTITUTE('1L Screening Matrix'!$I$2:$I$77,", ",",")&amp;","))*('1L Screening Matrix'!$C$2:$C$77=$A53))+SUMPRODUCT(ISNUMBER(SEARCH(",EGFR,",","&amp;SUBSTITUTE('2L Screening Matrix'!$I$2:$I$46,", ",",")&amp;","))*('2L Screening Matrix'!$C$2:$C$46=$A53))</f>
        <v>0</v>
      </c>
      <c r="J53" s="11">
        <f>SUMPRODUCT(ISNUMBER(SEARCH(",VEGF,",","&amp;SUBSTITUTE('1L Screening Matrix'!$I$2:$I$77,", ",",")&amp;","))*('1L Screening Matrix'!$C$2:$C$77=$A53))+SUMPRODUCT(ISNUMBER(SEARCH(",VEGF,",","&amp;SUBSTITUTE('2L Screening Matrix'!$I$2:$I$46,", ",",")&amp;","))*('2L Screening Matrix'!$C$2:$C$46=$A53))</f>
        <v>0</v>
      </c>
      <c r="K53" s="11">
        <f>SUMPRODUCT(ISNUMBER(SEARCH(",ERBB,",","&amp;SUBSTITUTE('1L Screening Matrix'!$I$2:$I$77,", ",",")&amp;","))*('1L Screening Matrix'!$C$2:$C$77=$A53))+SUMPRODUCT(ISNUMBER(SEARCH(",ERBB,",","&amp;SUBSTITUTE('2L Screening Matrix'!$I$2:$I$46,", ",",")&amp;","))*('2L Screening Matrix'!$C$2:$C$46=$A53))</f>
        <v>0</v>
      </c>
      <c r="L53" s="11">
        <f>SUMPRODUCT(ISNUMBER(SEARCH(",HER1,",","&amp;SUBSTITUTE('1L Screening Matrix'!$I$2:$I$77,", ",",")&amp;","))*('1L Screening Matrix'!$C$2:$C$77=$A53))+SUMPRODUCT(ISNUMBER(SEARCH(",HER1,",","&amp;SUBSTITUTE('2L Screening Matrix'!$I$2:$I$46,", ",",")&amp;","))*('2L Screening Matrix'!$C$2:$C$46=$A53))</f>
        <v>0</v>
      </c>
      <c r="M53" s="11">
        <f>SUMPRODUCT(ISNUMBER(SEARCH(",Microtubule,",","&amp;SUBSTITUTE('1L Screening Matrix'!$I$2:$I$77,", ",",")&amp;","))*('1L Screening Matrix'!$C$2:$C$77=$A53))+SUMPRODUCT(ISNUMBER(SEARCH(",Microtubule,",","&amp;SUBSTITUTE('2L Screening Matrix'!$I$2:$I$46,", ",",")&amp;","))*('2L Screening Matrix'!$C$2:$C$46=$A53))</f>
        <v>0</v>
      </c>
      <c r="N53" s="11">
        <f>SUMPRODUCT(ISNUMBER(SEARCH(",KRAS G12C,",","&amp;SUBSTITUTE('1L Screening Matrix'!$I$2:$I$77,", ",",")&amp;","))*('1L Screening Matrix'!$C$2:$C$77=$A53))+SUMPRODUCT(ISNUMBER(SEARCH(",KRAS G12C,",","&amp;SUBSTITUTE('2L Screening Matrix'!$I$2:$I$46,", ",",")&amp;","))*('2L Screening Matrix'!$C$2:$C$46=$A53))</f>
        <v>0</v>
      </c>
      <c r="O53" s="11">
        <f>SUMPRODUCT(ISNUMBER(SEARCH(",EGFR T790M,",","&amp;SUBSTITUTE('1L Screening Matrix'!$I$2:$I$77,", ",",")&amp;","))*('1L Screening Matrix'!$C$2:$C$77=$A53))+SUMPRODUCT(ISNUMBER(SEARCH(",EGFR T790M,",","&amp;SUBSTITUTE('2L Screening Matrix'!$I$2:$I$46,", ",",")&amp;","))*('2L Screening Matrix'!$C$2:$C$46=$A53))</f>
        <v>0</v>
      </c>
      <c r="P53" s="11">
        <f>SUMPRODUCT(ISNUMBER(SEARCH(",ALK,",","&amp;SUBSTITUTE('1L Screening Matrix'!$I$2:$I$77,", ",",")&amp;","))*('1L Screening Matrix'!$C$2:$C$77=$A53))+SUMPRODUCT(ISNUMBER(SEARCH(",ALK,",","&amp;SUBSTITUTE('2L Screening Matrix'!$I$2:$I$46,", ",",")&amp;","))*('2L Screening Matrix'!$C$2:$C$46=$A53))</f>
        <v>0</v>
      </c>
      <c r="Q53" s="11">
        <f>SUMPRODUCT(ISNUMBER(SEARCH(",TROP2,",","&amp;SUBSTITUTE('1L Screening Matrix'!$I$2:$I$77,", ",",")&amp;","))*('1L Screening Matrix'!$C$2:$C$77=$A53))+SUMPRODUCT(ISNUMBER(SEARCH(",TROP2,",","&amp;SUBSTITUTE('2L Screening Matrix'!$I$2:$I$46,", ",",")&amp;","))*('2L Screening Matrix'!$C$2:$C$46=$A53))</f>
        <v>0</v>
      </c>
      <c r="R53" s="11">
        <f>SUMPRODUCT(ISNUMBER(SEARCH(",c-MET/MET,",","&amp;SUBSTITUTE('1L Screening Matrix'!$I$2:$I$77,", ",",")&amp;","))*('1L Screening Matrix'!$C$2:$C$77=$A53))+SUMPRODUCT(ISNUMBER(SEARCH(",c-MET/MET,",","&amp;SUBSTITUTE('2L Screening Matrix'!$I$2:$I$46,", ",",")&amp;","))*('2L Screening Matrix'!$C$2:$C$46=$A53))</f>
        <v>0</v>
      </c>
      <c r="S53" s="11">
        <f>SUMPRODUCT(ISNUMBER(SEARCH(",HER2,",","&amp;SUBSTITUTE('1L Screening Matrix'!$I$2:$I$77,", ",",")&amp;","))*('1L Screening Matrix'!$C$2:$C$77=$A53))+SUMPRODUCT(ISNUMBER(SEARCH(",HER2,",","&amp;SUBSTITUTE('2L Screening Matrix'!$I$2:$I$46,", ",",")&amp;","))*('2L Screening Matrix'!$C$2:$C$46=$A53))</f>
        <v>0</v>
      </c>
      <c r="T53" s="11">
        <f>SUMPRODUCT(ISNUMBER(SEARCH(",ROS1,",","&amp;SUBSTITUTE('1L Screening Matrix'!$I$2:$I$77,", ",",")&amp;","))*('1L Screening Matrix'!$C$2:$C$77=$A53))+SUMPRODUCT(ISNUMBER(SEARCH(",ROS1,",","&amp;SUBSTITUTE('2L Screening Matrix'!$I$2:$I$46,", ",",")&amp;","))*('2L Screening Matrix'!$C$2:$C$46=$A53))</f>
        <v>0</v>
      </c>
      <c r="U53" s="11">
        <f>SUMPRODUCT(ISNUMBER(SEARCH(",TIGIT,",","&amp;SUBSTITUTE('1L Screening Matrix'!$I$2:$I$77,", ",",")&amp;","))*('1L Screening Matrix'!$C$2:$C$77=$A53))+SUMPRODUCT(ISNUMBER(SEARCH(",TIGIT,",","&amp;SUBSTITUTE('2L Screening Matrix'!$I$2:$I$46,", ",",")&amp;","))*('2L Screening Matrix'!$C$2:$C$46=$A53))</f>
        <v>0</v>
      </c>
      <c r="V53" s="11">
        <f>SUMPRODUCT(ISNUMBER(SEARCH(",EGFR L858R,",","&amp;SUBSTITUTE('1L Screening Matrix'!$I$2:$I$77,", ",",")&amp;","))*('1L Screening Matrix'!$C$2:$C$77=$A53))+SUMPRODUCT(ISNUMBER(SEARCH(",EGFR L858R,",","&amp;SUBSTITUTE('2L Screening Matrix'!$I$2:$I$46,", ",",")&amp;","))*('2L Screening Matrix'!$C$2:$C$46=$A53))</f>
        <v>0</v>
      </c>
      <c r="W53" s="11">
        <f>SUMPRODUCT(ISNUMBER(SEARCH(",ROS,",","&amp;SUBSTITUTE('1L Screening Matrix'!$I$2:$I$77,", ",",")&amp;","))*('1L Screening Matrix'!$C$2:$C$77=$A53))+SUMPRODUCT(ISNUMBER(SEARCH(",ROS,",","&amp;SUBSTITUTE('2L Screening Matrix'!$I$2:$I$46,", ",",")&amp;","))*('2L Screening Matrix'!$C$2:$C$46=$A53))</f>
        <v>0</v>
      </c>
      <c r="X53" s="11">
        <f>SUMPRODUCT(ISNUMBER(SEARCH(",IL-2,",","&amp;SUBSTITUTE('1L Screening Matrix'!$I$2:$I$77,", ",",")&amp;","))*('1L Screening Matrix'!$C$2:$C$77=$A53))+SUMPRODUCT(ISNUMBER(SEARCH(",IL-2,",","&amp;SUBSTITUTE('2L Screening Matrix'!$I$2:$I$46,", ",",")&amp;","))*('2L Screening Matrix'!$C$2:$C$46=$A53))</f>
        <v>0</v>
      </c>
      <c r="Y53" s="11">
        <f>SUMPRODUCT(ISNUMBER(SEARCH(",TCGF,",","&amp;SUBSTITUTE('1L Screening Matrix'!$I$2:$I$77,", ",",")&amp;","))*('1L Screening Matrix'!$C$2:$C$77=$A53))+SUMPRODUCT(ISNUMBER(SEARCH(",TCGF,",","&amp;SUBSTITUTE('2L Screening Matrix'!$I$2:$I$46,", ",",")&amp;","))*('2L Screening Matrix'!$C$2:$C$46=$A53))</f>
        <v>0</v>
      </c>
      <c r="Z53" s="11">
        <f>SUMPRODUCT(ISNUMBER(SEARCH(",CTLA-4,",","&amp;SUBSTITUTE('1L Screening Matrix'!$I$2:$I$77,", ",",")&amp;","))*('1L Screening Matrix'!$C$2:$C$77=$A53))+SUMPRODUCT(ISNUMBER(SEARCH(",CTLA-4,",","&amp;SUBSTITUTE('2L Screening Matrix'!$I$2:$I$46,", ",",")&amp;","))*('2L Screening Matrix'!$C$2:$C$46=$A53))</f>
        <v>0</v>
      </c>
      <c r="AA53" s="11">
        <f>SUMPRODUCT(ISNUMBER(SEARCH(",EGFR Exon 20,",","&amp;SUBSTITUTE('1L Screening Matrix'!$I$2:$I$77,", ",",")&amp;","))*('1L Screening Matrix'!$C$2:$C$77=$A53))+SUMPRODUCT(ISNUMBER(SEARCH(",EGFR Exon 20,",","&amp;SUBSTITUTE('2L Screening Matrix'!$I$2:$I$46,", ",",")&amp;","))*('2L Screening Matrix'!$C$2:$C$46=$A53))</f>
        <v>0</v>
      </c>
      <c r="AB53" s="11">
        <f>SUMPRODUCT(ISNUMBER(SEARCH(",HER2 Exon 20,",","&amp;SUBSTITUTE('1L Screening Matrix'!$I$2:$I$77,", ",",")&amp;","))*('1L Screening Matrix'!$C$2:$C$77=$A53))+SUMPRODUCT(ISNUMBER(SEARCH(",HER2 Exon 20,",","&amp;SUBSTITUTE('2L Screening Matrix'!$I$2:$I$46,", ",",")&amp;","))*('2L Screening Matrix'!$C$2:$C$46=$A53))</f>
        <v>0</v>
      </c>
      <c r="AC53" s="11">
        <f>SUMPRODUCT(ISNUMBER(SEARCH(",IL-15,",","&amp;SUBSTITUTE('1L Screening Matrix'!$I$2:$I$77,", ",",")&amp;","))*('1L Screening Matrix'!$C$2:$C$77=$A53))+SUMPRODUCT(ISNUMBER(SEARCH(",IL-15,",","&amp;SUBSTITUTE('2L Screening Matrix'!$I$2:$I$46,", ",",")&amp;","))*('2L Screening Matrix'!$C$2:$C$46=$A53))</f>
        <v>0</v>
      </c>
      <c r="AD53" s="11">
        <f>SUMPRODUCT(ISNUMBER(SEARCH(",IL-15R,",","&amp;SUBSTITUTE('1L Screening Matrix'!$I$2:$I$77,", ",",")&amp;","))*('1L Screening Matrix'!$C$2:$C$77=$A53))+SUMPRODUCT(ISNUMBER(SEARCH(",IL-15R,",","&amp;SUBSTITUTE('2L Screening Matrix'!$I$2:$I$46,", ",",")&amp;","))*('2L Screening Matrix'!$C$2:$C$46=$A53))</f>
        <v>0</v>
      </c>
      <c r="AE53" s="11">
        <f>SUMPRODUCT(ISNUMBER(SEARCH(",KRAS G12D,",","&amp;SUBSTITUTE('1L Screening Matrix'!$I$2:$I$77,", ",",")&amp;","))*('1L Screening Matrix'!$C$2:$C$77=$A53))+SUMPRODUCT(ISNUMBER(SEARCH(",KRAS G12D,",","&amp;SUBSTITUTE('2L Screening Matrix'!$I$2:$I$46,", ",",")&amp;","))*('2L Screening Matrix'!$C$2:$C$46=$A53))</f>
        <v>0</v>
      </c>
      <c r="AF53" s="11">
        <f>SUMPRODUCT(ISNUMBER(SEARCH(",HER4,",","&amp;SUBSTITUTE('1L Screening Matrix'!$I$2:$I$77,", ",",")&amp;","))*('1L Screening Matrix'!$C$2:$C$77=$A53))+SUMPRODUCT(ISNUMBER(SEARCH(",HER4,",","&amp;SUBSTITUTE('2L Screening Matrix'!$I$2:$I$46,", ",",")&amp;","))*('2L Screening Matrix'!$C$2:$C$46=$A53))</f>
        <v>0</v>
      </c>
      <c r="AG53" s="11">
        <f>SUMPRODUCT(ISNUMBER(SEARCH(",ALK L1196M,",","&amp;SUBSTITUTE('1L Screening Matrix'!$I$2:$I$77,", ",",")&amp;","))*('1L Screening Matrix'!$C$2:$C$77=$A53))+SUMPRODUCT(ISNUMBER(SEARCH(",ALK L1196M,",","&amp;SUBSTITUTE('2L Screening Matrix'!$I$2:$I$46,", ",",")&amp;","))*('2L Screening Matrix'!$C$2:$C$46=$A53))</f>
        <v>0</v>
      </c>
      <c r="AH53" s="11">
        <f>SUMPRODUCT(ISNUMBER(SEARCH(",CD152,",","&amp;SUBSTITUTE('1L Screening Matrix'!$I$2:$I$77,", ",",")&amp;","))*('1L Screening Matrix'!$C$2:$C$77=$A53))+SUMPRODUCT(ISNUMBER(SEARCH(",CD152,",","&amp;SUBSTITUTE('2L Screening Matrix'!$I$2:$I$46,", ",",")&amp;","))*('2L Screening Matrix'!$C$2:$C$46=$A53))</f>
        <v>0</v>
      </c>
      <c r="AI53" s="11">
        <f>SUMPRODUCT(ISNUMBER(SEARCH(",MLN19,",","&amp;SUBSTITUTE('1L Screening Matrix'!$I$2:$I$77,", ",",")&amp;","))*('1L Screening Matrix'!$C$2:$C$77=$A53))+SUMPRODUCT(ISNUMBER(SEARCH(",MLN19,",","&amp;SUBSTITUTE('2L Screening Matrix'!$I$2:$I$46,", ",",")&amp;","))*('2L Screening Matrix'!$C$2:$C$46=$A53))</f>
        <v>0</v>
      </c>
      <c r="AJ53" s="11">
        <f>SUMPRODUCT(ISNUMBER(SEARCH(",NTRK,",","&amp;SUBSTITUTE('1L Screening Matrix'!$I$2:$I$77,", ",",")&amp;","))*('1L Screening Matrix'!$C$2:$C$77=$A53))+SUMPRODUCT(ISNUMBER(SEARCH(",NTRK,",","&amp;SUBSTITUTE('2L Screening Matrix'!$I$2:$I$46,", ",",")&amp;","))*('2L Screening Matrix'!$C$2:$C$46=$A53))</f>
        <v>0</v>
      </c>
      <c r="AK53" s="11">
        <f>SUMPRODUCT(ISNUMBER(SEARCH(",Integrin β6,",","&amp;SUBSTITUTE('1L Screening Matrix'!$I$2:$I$77,", ",",")&amp;","))*('1L Screening Matrix'!$C$2:$C$77=$A53))+SUMPRODUCT(ISNUMBER(SEARCH(",Integrin β6,",","&amp;SUBSTITUTE('2L Screening Matrix'!$I$2:$I$46,", ",",")&amp;","))*('2L Screening Matrix'!$C$2:$C$46=$A53))</f>
        <v>0</v>
      </c>
      <c r="AL53" s="11">
        <f>SUMPRODUCT(ISNUMBER(SEARCH(",LAG-3,",","&amp;SUBSTITUTE('1L Screening Matrix'!$I$2:$I$77,", ",",")&amp;","))*('1L Screening Matrix'!$C$2:$C$77=$A53))+SUMPRODUCT(ISNUMBER(SEARCH(",LAG-3,",","&amp;SUBSTITUTE('2L Screening Matrix'!$I$2:$I$46,", ",",")&amp;","))*('2L Screening Matrix'!$C$2:$C$46=$A53))</f>
        <v>0</v>
      </c>
      <c r="AM53" s="14">
        <f t="shared" si="1"/>
        <v>0</v>
      </c>
    </row>
    <row r="54" spans="1:39" ht="15" customHeight="1" x14ac:dyDescent="0.2">
      <c r="A54" s="12" t="s">
        <v>1850</v>
      </c>
      <c r="B54" s="11">
        <f>SUMPRODUCT(ISNUMBER(SEARCH(",PD-1,",","&amp;SUBSTITUTE('1L Screening Matrix'!$I$2:$I$77,", ",",")&amp;","))*('1L Screening Matrix'!$C$2:$C$77=$A54))+SUMPRODUCT(ISNUMBER(SEARCH(",PD-1,",","&amp;SUBSTITUTE('2L Screening Matrix'!$I$2:$I$46,", ",",")&amp;","))*('2L Screening Matrix'!$C$2:$C$46=$A54))</f>
        <v>0</v>
      </c>
      <c r="C54" s="11">
        <f>SUMPRODUCT(ISNUMBER(SEARCH(",CD279,",","&amp;SUBSTITUTE('1L Screening Matrix'!$I$2:$I$77,", ",",")&amp;","))*('1L Screening Matrix'!$C$2:$C$77=$A54))+SUMPRODUCT(ISNUMBER(SEARCH(",CD279,",","&amp;SUBSTITUTE('2L Screening Matrix'!$I$2:$I$46,", ",",")&amp;","))*('2L Screening Matrix'!$C$2:$C$46=$A54))</f>
        <v>0</v>
      </c>
      <c r="D54" s="11">
        <f>SUMPRODUCT(ISNUMBER(SEARCH(",TS,",","&amp;SUBSTITUTE('1L Screening Matrix'!$I$2:$I$77,", ",",")&amp;","))*('1L Screening Matrix'!$C$2:$C$77=$A54))+SUMPRODUCT(ISNUMBER(SEARCH(",TS,",","&amp;SUBSTITUTE('2L Screening Matrix'!$I$2:$I$46,", ",",")&amp;","))*('2L Screening Matrix'!$C$2:$C$46=$A54))</f>
        <v>0</v>
      </c>
      <c r="E54" s="11">
        <f>SUMPRODUCT(ISNUMBER(SEARCH(",TYMS,",","&amp;SUBSTITUTE('1L Screening Matrix'!$I$2:$I$77,", ",",")&amp;","))*('1L Screening Matrix'!$C$2:$C$77=$A54))+SUMPRODUCT(ISNUMBER(SEARCH(",TYMS,",","&amp;SUBSTITUTE('2L Screening Matrix'!$I$2:$I$46,", ",",")&amp;","))*('2L Screening Matrix'!$C$2:$C$46=$A54))</f>
        <v>0</v>
      </c>
      <c r="F54" s="11">
        <f>SUMPRODUCT(ISNUMBER(SEARCH(",PD-L1,",","&amp;SUBSTITUTE('1L Screening Matrix'!$I$2:$I$77,", ",",")&amp;","))*('1L Screening Matrix'!$C$2:$C$77=$A54))+SUMPRODUCT(ISNUMBER(SEARCH(",PD-L1,",","&amp;SUBSTITUTE('2L Screening Matrix'!$I$2:$I$46,", ",",")&amp;","))*('2L Screening Matrix'!$C$2:$C$46=$A54))</f>
        <v>0</v>
      </c>
      <c r="G54" s="11">
        <f>SUMPRODUCT(ISNUMBER(SEARCH(",B7-H1,",","&amp;SUBSTITUTE('1L Screening Matrix'!$I$2:$I$77,", ",",")&amp;","))*('1L Screening Matrix'!$C$2:$C$77=$A54))+SUMPRODUCT(ISNUMBER(SEARCH(",B7-H1,",","&amp;SUBSTITUTE('2L Screening Matrix'!$I$2:$I$46,", ",",")&amp;","))*('2L Screening Matrix'!$C$2:$C$46=$A54))</f>
        <v>0</v>
      </c>
      <c r="H54" s="11">
        <f>SUMPRODUCT(ISNUMBER(SEARCH(",CD274,",","&amp;SUBSTITUTE('1L Screening Matrix'!$I$2:$I$77,", ",",")&amp;","))*('1L Screening Matrix'!$C$2:$C$77=$A54))+SUMPRODUCT(ISNUMBER(SEARCH(",CD274,",","&amp;SUBSTITUTE('2L Screening Matrix'!$I$2:$I$46,", ",",")&amp;","))*('2L Screening Matrix'!$C$2:$C$46=$A54))</f>
        <v>0</v>
      </c>
      <c r="I54" s="11">
        <f>SUMPRODUCT(ISNUMBER(SEARCH(",EGFR,",","&amp;SUBSTITUTE('1L Screening Matrix'!$I$2:$I$77,", ",",")&amp;","))*('1L Screening Matrix'!$C$2:$C$77=$A54))+SUMPRODUCT(ISNUMBER(SEARCH(",EGFR,",","&amp;SUBSTITUTE('2L Screening Matrix'!$I$2:$I$46,", ",",")&amp;","))*('2L Screening Matrix'!$C$2:$C$46=$A54))</f>
        <v>0</v>
      </c>
      <c r="J54" s="11">
        <f>SUMPRODUCT(ISNUMBER(SEARCH(",VEGF,",","&amp;SUBSTITUTE('1L Screening Matrix'!$I$2:$I$77,", ",",")&amp;","))*('1L Screening Matrix'!$C$2:$C$77=$A54))+SUMPRODUCT(ISNUMBER(SEARCH(",VEGF,",","&amp;SUBSTITUTE('2L Screening Matrix'!$I$2:$I$46,", ",",")&amp;","))*('2L Screening Matrix'!$C$2:$C$46=$A54))</f>
        <v>0</v>
      </c>
      <c r="K54" s="11">
        <f>SUMPRODUCT(ISNUMBER(SEARCH(",ERBB,",","&amp;SUBSTITUTE('1L Screening Matrix'!$I$2:$I$77,", ",",")&amp;","))*('1L Screening Matrix'!$C$2:$C$77=$A54))+SUMPRODUCT(ISNUMBER(SEARCH(",ERBB,",","&amp;SUBSTITUTE('2L Screening Matrix'!$I$2:$I$46,", ",",")&amp;","))*('2L Screening Matrix'!$C$2:$C$46=$A54))</f>
        <v>0</v>
      </c>
      <c r="L54" s="11">
        <f>SUMPRODUCT(ISNUMBER(SEARCH(",HER1,",","&amp;SUBSTITUTE('1L Screening Matrix'!$I$2:$I$77,", ",",")&amp;","))*('1L Screening Matrix'!$C$2:$C$77=$A54))+SUMPRODUCT(ISNUMBER(SEARCH(",HER1,",","&amp;SUBSTITUTE('2L Screening Matrix'!$I$2:$I$46,", ",",")&amp;","))*('2L Screening Matrix'!$C$2:$C$46=$A54))</f>
        <v>0</v>
      </c>
      <c r="M54" s="11">
        <f>SUMPRODUCT(ISNUMBER(SEARCH(",Microtubule,",","&amp;SUBSTITUTE('1L Screening Matrix'!$I$2:$I$77,", ",",")&amp;","))*('1L Screening Matrix'!$C$2:$C$77=$A54))+SUMPRODUCT(ISNUMBER(SEARCH(",Microtubule,",","&amp;SUBSTITUTE('2L Screening Matrix'!$I$2:$I$46,", ",",")&amp;","))*('2L Screening Matrix'!$C$2:$C$46=$A54))</f>
        <v>0</v>
      </c>
      <c r="N54" s="11">
        <f>SUMPRODUCT(ISNUMBER(SEARCH(",KRAS G12C,",","&amp;SUBSTITUTE('1L Screening Matrix'!$I$2:$I$77,", ",",")&amp;","))*('1L Screening Matrix'!$C$2:$C$77=$A54))+SUMPRODUCT(ISNUMBER(SEARCH(",KRAS G12C,",","&amp;SUBSTITUTE('2L Screening Matrix'!$I$2:$I$46,", ",",")&amp;","))*('2L Screening Matrix'!$C$2:$C$46=$A54))</f>
        <v>0</v>
      </c>
      <c r="O54" s="11">
        <f>SUMPRODUCT(ISNUMBER(SEARCH(",EGFR T790M,",","&amp;SUBSTITUTE('1L Screening Matrix'!$I$2:$I$77,", ",",")&amp;","))*('1L Screening Matrix'!$C$2:$C$77=$A54))+SUMPRODUCT(ISNUMBER(SEARCH(",EGFR T790M,",","&amp;SUBSTITUTE('2L Screening Matrix'!$I$2:$I$46,", ",",")&amp;","))*('2L Screening Matrix'!$C$2:$C$46=$A54))</f>
        <v>0</v>
      </c>
      <c r="P54" s="11">
        <f>SUMPRODUCT(ISNUMBER(SEARCH(",ALK,",","&amp;SUBSTITUTE('1L Screening Matrix'!$I$2:$I$77,", ",",")&amp;","))*('1L Screening Matrix'!$C$2:$C$77=$A54))+SUMPRODUCT(ISNUMBER(SEARCH(",ALK,",","&amp;SUBSTITUTE('2L Screening Matrix'!$I$2:$I$46,", ",",")&amp;","))*('2L Screening Matrix'!$C$2:$C$46=$A54))</f>
        <v>0</v>
      </c>
      <c r="Q54" s="11">
        <f>SUMPRODUCT(ISNUMBER(SEARCH(",TROP2,",","&amp;SUBSTITUTE('1L Screening Matrix'!$I$2:$I$77,", ",",")&amp;","))*('1L Screening Matrix'!$C$2:$C$77=$A54))+SUMPRODUCT(ISNUMBER(SEARCH(",TROP2,",","&amp;SUBSTITUTE('2L Screening Matrix'!$I$2:$I$46,", ",",")&amp;","))*('2L Screening Matrix'!$C$2:$C$46=$A54))</f>
        <v>0</v>
      </c>
      <c r="R54" s="11">
        <f>SUMPRODUCT(ISNUMBER(SEARCH(",c-MET/MET,",","&amp;SUBSTITUTE('1L Screening Matrix'!$I$2:$I$77,", ",",")&amp;","))*('1L Screening Matrix'!$C$2:$C$77=$A54))+SUMPRODUCT(ISNUMBER(SEARCH(",c-MET/MET,",","&amp;SUBSTITUTE('2L Screening Matrix'!$I$2:$I$46,", ",",")&amp;","))*('2L Screening Matrix'!$C$2:$C$46=$A54))</f>
        <v>0</v>
      </c>
      <c r="S54" s="11">
        <f>SUMPRODUCT(ISNUMBER(SEARCH(",HER2,",","&amp;SUBSTITUTE('1L Screening Matrix'!$I$2:$I$77,", ",",")&amp;","))*('1L Screening Matrix'!$C$2:$C$77=$A54))+SUMPRODUCT(ISNUMBER(SEARCH(",HER2,",","&amp;SUBSTITUTE('2L Screening Matrix'!$I$2:$I$46,", ",",")&amp;","))*('2L Screening Matrix'!$C$2:$C$46=$A54))</f>
        <v>0</v>
      </c>
      <c r="T54" s="11">
        <f>SUMPRODUCT(ISNUMBER(SEARCH(",ROS1,",","&amp;SUBSTITUTE('1L Screening Matrix'!$I$2:$I$77,", ",",")&amp;","))*('1L Screening Matrix'!$C$2:$C$77=$A54))+SUMPRODUCT(ISNUMBER(SEARCH(",ROS1,",","&amp;SUBSTITUTE('2L Screening Matrix'!$I$2:$I$46,", ",",")&amp;","))*('2L Screening Matrix'!$C$2:$C$46=$A54))</f>
        <v>0</v>
      </c>
      <c r="U54" s="11">
        <f>SUMPRODUCT(ISNUMBER(SEARCH(",TIGIT,",","&amp;SUBSTITUTE('1L Screening Matrix'!$I$2:$I$77,", ",",")&amp;","))*('1L Screening Matrix'!$C$2:$C$77=$A54))+SUMPRODUCT(ISNUMBER(SEARCH(",TIGIT,",","&amp;SUBSTITUTE('2L Screening Matrix'!$I$2:$I$46,", ",",")&amp;","))*('2L Screening Matrix'!$C$2:$C$46=$A54))</f>
        <v>0</v>
      </c>
      <c r="V54" s="11">
        <f>SUMPRODUCT(ISNUMBER(SEARCH(",EGFR L858R,",","&amp;SUBSTITUTE('1L Screening Matrix'!$I$2:$I$77,", ",",")&amp;","))*('1L Screening Matrix'!$C$2:$C$77=$A54))+SUMPRODUCT(ISNUMBER(SEARCH(",EGFR L858R,",","&amp;SUBSTITUTE('2L Screening Matrix'!$I$2:$I$46,", ",",")&amp;","))*('2L Screening Matrix'!$C$2:$C$46=$A54))</f>
        <v>0</v>
      </c>
      <c r="W54" s="11">
        <f>SUMPRODUCT(ISNUMBER(SEARCH(",ROS,",","&amp;SUBSTITUTE('1L Screening Matrix'!$I$2:$I$77,", ",",")&amp;","))*('1L Screening Matrix'!$C$2:$C$77=$A54))+SUMPRODUCT(ISNUMBER(SEARCH(",ROS,",","&amp;SUBSTITUTE('2L Screening Matrix'!$I$2:$I$46,", ",",")&amp;","))*('2L Screening Matrix'!$C$2:$C$46=$A54))</f>
        <v>0</v>
      </c>
      <c r="X54" s="11">
        <f>SUMPRODUCT(ISNUMBER(SEARCH(",IL-2,",","&amp;SUBSTITUTE('1L Screening Matrix'!$I$2:$I$77,", ",",")&amp;","))*('1L Screening Matrix'!$C$2:$C$77=$A54))+SUMPRODUCT(ISNUMBER(SEARCH(",IL-2,",","&amp;SUBSTITUTE('2L Screening Matrix'!$I$2:$I$46,", ",",")&amp;","))*('2L Screening Matrix'!$C$2:$C$46=$A54))</f>
        <v>0</v>
      </c>
      <c r="Y54" s="11">
        <f>SUMPRODUCT(ISNUMBER(SEARCH(",TCGF,",","&amp;SUBSTITUTE('1L Screening Matrix'!$I$2:$I$77,", ",",")&amp;","))*('1L Screening Matrix'!$C$2:$C$77=$A54))+SUMPRODUCT(ISNUMBER(SEARCH(",TCGF,",","&amp;SUBSTITUTE('2L Screening Matrix'!$I$2:$I$46,", ",",")&amp;","))*('2L Screening Matrix'!$C$2:$C$46=$A54))</f>
        <v>0</v>
      </c>
      <c r="Z54" s="11">
        <f>SUMPRODUCT(ISNUMBER(SEARCH(",CTLA-4,",","&amp;SUBSTITUTE('1L Screening Matrix'!$I$2:$I$77,", ",",")&amp;","))*('1L Screening Matrix'!$C$2:$C$77=$A54))+SUMPRODUCT(ISNUMBER(SEARCH(",CTLA-4,",","&amp;SUBSTITUTE('2L Screening Matrix'!$I$2:$I$46,", ",",")&amp;","))*('2L Screening Matrix'!$C$2:$C$46=$A54))</f>
        <v>0</v>
      </c>
      <c r="AA54" s="11">
        <f>SUMPRODUCT(ISNUMBER(SEARCH(",EGFR Exon 20,",","&amp;SUBSTITUTE('1L Screening Matrix'!$I$2:$I$77,", ",",")&amp;","))*('1L Screening Matrix'!$C$2:$C$77=$A54))+SUMPRODUCT(ISNUMBER(SEARCH(",EGFR Exon 20,",","&amp;SUBSTITUTE('2L Screening Matrix'!$I$2:$I$46,", ",",")&amp;","))*('2L Screening Matrix'!$C$2:$C$46=$A54))</f>
        <v>0</v>
      </c>
      <c r="AB54" s="11">
        <f>SUMPRODUCT(ISNUMBER(SEARCH(",HER2 Exon 20,",","&amp;SUBSTITUTE('1L Screening Matrix'!$I$2:$I$77,", ",",")&amp;","))*('1L Screening Matrix'!$C$2:$C$77=$A54))+SUMPRODUCT(ISNUMBER(SEARCH(",HER2 Exon 20,",","&amp;SUBSTITUTE('2L Screening Matrix'!$I$2:$I$46,", ",",")&amp;","))*('2L Screening Matrix'!$C$2:$C$46=$A54))</f>
        <v>0</v>
      </c>
      <c r="AC54" s="11">
        <f>SUMPRODUCT(ISNUMBER(SEARCH(",IL-15,",","&amp;SUBSTITUTE('1L Screening Matrix'!$I$2:$I$77,", ",",")&amp;","))*('1L Screening Matrix'!$C$2:$C$77=$A54))+SUMPRODUCT(ISNUMBER(SEARCH(",IL-15,",","&amp;SUBSTITUTE('2L Screening Matrix'!$I$2:$I$46,", ",",")&amp;","))*('2L Screening Matrix'!$C$2:$C$46=$A54))</f>
        <v>0</v>
      </c>
      <c r="AD54" s="11">
        <f>SUMPRODUCT(ISNUMBER(SEARCH(",IL-15R,",","&amp;SUBSTITUTE('1L Screening Matrix'!$I$2:$I$77,", ",",")&amp;","))*('1L Screening Matrix'!$C$2:$C$77=$A54))+SUMPRODUCT(ISNUMBER(SEARCH(",IL-15R,",","&amp;SUBSTITUTE('2L Screening Matrix'!$I$2:$I$46,", ",",")&amp;","))*('2L Screening Matrix'!$C$2:$C$46=$A54))</f>
        <v>0</v>
      </c>
      <c r="AE54" s="11">
        <f>SUMPRODUCT(ISNUMBER(SEARCH(",KRAS G12D,",","&amp;SUBSTITUTE('1L Screening Matrix'!$I$2:$I$77,", ",",")&amp;","))*('1L Screening Matrix'!$C$2:$C$77=$A54))+SUMPRODUCT(ISNUMBER(SEARCH(",KRAS G12D,",","&amp;SUBSTITUTE('2L Screening Matrix'!$I$2:$I$46,", ",",")&amp;","))*('2L Screening Matrix'!$C$2:$C$46=$A54))</f>
        <v>0</v>
      </c>
      <c r="AF54" s="11">
        <f>SUMPRODUCT(ISNUMBER(SEARCH(",HER4,",","&amp;SUBSTITUTE('1L Screening Matrix'!$I$2:$I$77,", ",",")&amp;","))*('1L Screening Matrix'!$C$2:$C$77=$A54))+SUMPRODUCT(ISNUMBER(SEARCH(",HER4,",","&amp;SUBSTITUTE('2L Screening Matrix'!$I$2:$I$46,", ",",")&amp;","))*('2L Screening Matrix'!$C$2:$C$46=$A54))</f>
        <v>0</v>
      </c>
      <c r="AG54" s="11">
        <f>SUMPRODUCT(ISNUMBER(SEARCH(",ALK L1196M,",","&amp;SUBSTITUTE('1L Screening Matrix'!$I$2:$I$77,", ",",")&amp;","))*('1L Screening Matrix'!$C$2:$C$77=$A54))+SUMPRODUCT(ISNUMBER(SEARCH(",ALK L1196M,",","&amp;SUBSTITUTE('2L Screening Matrix'!$I$2:$I$46,", ",",")&amp;","))*('2L Screening Matrix'!$C$2:$C$46=$A54))</f>
        <v>0</v>
      </c>
      <c r="AH54" s="11">
        <f>SUMPRODUCT(ISNUMBER(SEARCH(",CD152,",","&amp;SUBSTITUTE('1L Screening Matrix'!$I$2:$I$77,", ",",")&amp;","))*('1L Screening Matrix'!$C$2:$C$77=$A54))+SUMPRODUCT(ISNUMBER(SEARCH(",CD152,",","&amp;SUBSTITUTE('2L Screening Matrix'!$I$2:$I$46,", ",",")&amp;","))*('2L Screening Matrix'!$C$2:$C$46=$A54))</f>
        <v>0</v>
      </c>
      <c r="AI54" s="11">
        <f>SUMPRODUCT(ISNUMBER(SEARCH(",MLN19,",","&amp;SUBSTITUTE('1L Screening Matrix'!$I$2:$I$77,", ",",")&amp;","))*('1L Screening Matrix'!$C$2:$C$77=$A54))+SUMPRODUCT(ISNUMBER(SEARCH(",MLN19,",","&amp;SUBSTITUTE('2L Screening Matrix'!$I$2:$I$46,", ",",")&amp;","))*('2L Screening Matrix'!$C$2:$C$46=$A54))</f>
        <v>0</v>
      </c>
      <c r="AJ54" s="11">
        <f>SUMPRODUCT(ISNUMBER(SEARCH(",NTRK,",","&amp;SUBSTITUTE('1L Screening Matrix'!$I$2:$I$77,", ",",")&amp;","))*('1L Screening Matrix'!$C$2:$C$77=$A54))+SUMPRODUCT(ISNUMBER(SEARCH(",NTRK,",","&amp;SUBSTITUTE('2L Screening Matrix'!$I$2:$I$46,", ",",")&amp;","))*('2L Screening Matrix'!$C$2:$C$46=$A54))</f>
        <v>0</v>
      </c>
      <c r="AK54" s="11">
        <f>SUMPRODUCT(ISNUMBER(SEARCH(",Integrin β6,",","&amp;SUBSTITUTE('1L Screening Matrix'!$I$2:$I$77,", ",",")&amp;","))*('1L Screening Matrix'!$C$2:$C$77=$A54))+SUMPRODUCT(ISNUMBER(SEARCH(",Integrin β6,",","&amp;SUBSTITUTE('2L Screening Matrix'!$I$2:$I$46,", ",",")&amp;","))*('2L Screening Matrix'!$C$2:$C$46=$A54))</f>
        <v>0</v>
      </c>
      <c r="AL54" s="11">
        <f>SUMPRODUCT(ISNUMBER(SEARCH(",LAG-3,",","&amp;SUBSTITUTE('1L Screening Matrix'!$I$2:$I$77,", ",",")&amp;","))*('1L Screening Matrix'!$C$2:$C$77=$A54))+SUMPRODUCT(ISNUMBER(SEARCH(",LAG-3,",","&amp;SUBSTITUTE('2L Screening Matrix'!$I$2:$I$46,", ",",")&amp;","))*('2L Screening Matrix'!$C$2:$C$46=$A54))</f>
        <v>0</v>
      </c>
      <c r="AM54" s="14">
        <f t="shared" si="1"/>
        <v>0</v>
      </c>
    </row>
    <row r="55" spans="1:39" ht="15" customHeight="1" x14ac:dyDescent="0.2">
      <c r="A55" s="15" t="s">
        <v>648</v>
      </c>
      <c r="B55" s="11">
        <f>SUMPRODUCT(ISNUMBER(SEARCH(",PD-1,",","&amp;SUBSTITUTE('1L Screening Matrix'!$I$2:$I$77,", ",",")&amp;","))*('1L Screening Matrix'!$C$2:$C$77=$A55))+SUMPRODUCT(ISNUMBER(SEARCH(",PD-1,",","&amp;SUBSTITUTE('2L Screening Matrix'!$I$2:$I$46,", ",",")&amp;","))*('2L Screening Matrix'!$C$2:$C$46=$A55))</f>
        <v>0</v>
      </c>
      <c r="C55" s="11">
        <f>SUMPRODUCT(ISNUMBER(SEARCH(",CD279,",","&amp;SUBSTITUTE('1L Screening Matrix'!$I$2:$I$77,", ",",")&amp;","))*('1L Screening Matrix'!$C$2:$C$77=$A55))+SUMPRODUCT(ISNUMBER(SEARCH(",CD279,",","&amp;SUBSTITUTE('2L Screening Matrix'!$I$2:$I$46,", ",",")&amp;","))*('2L Screening Matrix'!$C$2:$C$46=$A55))</f>
        <v>0</v>
      </c>
      <c r="D55" s="11">
        <f>SUMPRODUCT(ISNUMBER(SEARCH(",TS,",","&amp;SUBSTITUTE('1L Screening Matrix'!$I$2:$I$77,", ",",")&amp;","))*('1L Screening Matrix'!$C$2:$C$77=$A55))+SUMPRODUCT(ISNUMBER(SEARCH(",TS,",","&amp;SUBSTITUTE('2L Screening Matrix'!$I$2:$I$46,", ",",")&amp;","))*('2L Screening Matrix'!$C$2:$C$46=$A55))</f>
        <v>0</v>
      </c>
      <c r="E55" s="11">
        <f>SUMPRODUCT(ISNUMBER(SEARCH(",TYMS,",","&amp;SUBSTITUTE('1L Screening Matrix'!$I$2:$I$77,", ",",")&amp;","))*('1L Screening Matrix'!$C$2:$C$77=$A55))+SUMPRODUCT(ISNUMBER(SEARCH(",TYMS,",","&amp;SUBSTITUTE('2L Screening Matrix'!$I$2:$I$46,", ",",")&amp;","))*('2L Screening Matrix'!$C$2:$C$46=$A55))</f>
        <v>0</v>
      </c>
      <c r="F55" s="11">
        <f>SUMPRODUCT(ISNUMBER(SEARCH(",PD-L1,",","&amp;SUBSTITUTE('1L Screening Matrix'!$I$2:$I$77,", ",",")&amp;","))*('1L Screening Matrix'!$C$2:$C$77=$A55))+SUMPRODUCT(ISNUMBER(SEARCH(",PD-L1,",","&amp;SUBSTITUTE('2L Screening Matrix'!$I$2:$I$46,", ",",")&amp;","))*('2L Screening Matrix'!$C$2:$C$46=$A55))</f>
        <v>0</v>
      </c>
      <c r="G55" s="11">
        <f>SUMPRODUCT(ISNUMBER(SEARCH(",B7-H1,",","&amp;SUBSTITUTE('1L Screening Matrix'!$I$2:$I$77,", ",",")&amp;","))*('1L Screening Matrix'!$C$2:$C$77=$A55))+SUMPRODUCT(ISNUMBER(SEARCH(",B7-H1,",","&amp;SUBSTITUTE('2L Screening Matrix'!$I$2:$I$46,", ",",")&amp;","))*('2L Screening Matrix'!$C$2:$C$46=$A55))</f>
        <v>0</v>
      </c>
      <c r="H55" s="11">
        <f>SUMPRODUCT(ISNUMBER(SEARCH(",CD274,",","&amp;SUBSTITUTE('1L Screening Matrix'!$I$2:$I$77,", ",",")&amp;","))*('1L Screening Matrix'!$C$2:$C$77=$A55))+SUMPRODUCT(ISNUMBER(SEARCH(",CD274,",","&amp;SUBSTITUTE('2L Screening Matrix'!$I$2:$I$46,", ",",")&amp;","))*('2L Screening Matrix'!$C$2:$C$46=$A55))</f>
        <v>0</v>
      </c>
      <c r="I55" s="11">
        <f>SUMPRODUCT(ISNUMBER(SEARCH(",EGFR,",","&amp;SUBSTITUTE('1L Screening Matrix'!$I$2:$I$77,", ",",")&amp;","))*('1L Screening Matrix'!$C$2:$C$77=$A55))+SUMPRODUCT(ISNUMBER(SEARCH(",EGFR,",","&amp;SUBSTITUTE('2L Screening Matrix'!$I$2:$I$46,", ",",")&amp;","))*('2L Screening Matrix'!$C$2:$C$46=$A55))</f>
        <v>0</v>
      </c>
      <c r="J55" s="11">
        <f>SUMPRODUCT(ISNUMBER(SEARCH(",VEGF,",","&amp;SUBSTITUTE('1L Screening Matrix'!$I$2:$I$77,", ",",")&amp;","))*('1L Screening Matrix'!$C$2:$C$77=$A55))+SUMPRODUCT(ISNUMBER(SEARCH(",VEGF,",","&amp;SUBSTITUTE('2L Screening Matrix'!$I$2:$I$46,", ",",")&amp;","))*('2L Screening Matrix'!$C$2:$C$46=$A55))</f>
        <v>0</v>
      </c>
      <c r="K55" s="11">
        <f>SUMPRODUCT(ISNUMBER(SEARCH(",ERBB,",","&amp;SUBSTITUTE('1L Screening Matrix'!$I$2:$I$77,", ",",")&amp;","))*('1L Screening Matrix'!$C$2:$C$77=$A55))+SUMPRODUCT(ISNUMBER(SEARCH(",ERBB,",","&amp;SUBSTITUTE('2L Screening Matrix'!$I$2:$I$46,", ",",")&amp;","))*('2L Screening Matrix'!$C$2:$C$46=$A55))</f>
        <v>0</v>
      </c>
      <c r="L55" s="11">
        <f>SUMPRODUCT(ISNUMBER(SEARCH(",HER1,",","&amp;SUBSTITUTE('1L Screening Matrix'!$I$2:$I$77,", ",",")&amp;","))*('1L Screening Matrix'!$C$2:$C$77=$A55))+SUMPRODUCT(ISNUMBER(SEARCH(",HER1,",","&amp;SUBSTITUTE('2L Screening Matrix'!$I$2:$I$46,", ",",")&amp;","))*('2L Screening Matrix'!$C$2:$C$46=$A55))</f>
        <v>0</v>
      </c>
      <c r="M55" s="11">
        <f>SUMPRODUCT(ISNUMBER(SEARCH(",Microtubule,",","&amp;SUBSTITUTE('1L Screening Matrix'!$I$2:$I$77,", ",",")&amp;","))*('1L Screening Matrix'!$C$2:$C$77=$A55))+SUMPRODUCT(ISNUMBER(SEARCH(",Microtubule,",","&amp;SUBSTITUTE('2L Screening Matrix'!$I$2:$I$46,", ",",")&amp;","))*('2L Screening Matrix'!$C$2:$C$46=$A55))</f>
        <v>0</v>
      </c>
      <c r="N55" s="11">
        <f>SUMPRODUCT(ISNUMBER(SEARCH(",KRAS G12C,",","&amp;SUBSTITUTE('1L Screening Matrix'!$I$2:$I$77,", ",",")&amp;","))*('1L Screening Matrix'!$C$2:$C$77=$A55))+SUMPRODUCT(ISNUMBER(SEARCH(",KRAS G12C,",","&amp;SUBSTITUTE('2L Screening Matrix'!$I$2:$I$46,", ",",")&amp;","))*('2L Screening Matrix'!$C$2:$C$46=$A55))</f>
        <v>0</v>
      </c>
      <c r="O55" s="11">
        <f>SUMPRODUCT(ISNUMBER(SEARCH(",EGFR T790M,",","&amp;SUBSTITUTE('1L Screening Matrix'!$I$2:$I$77,", ",",")&amp;","))*('1L Screening Matrix'!$C$2:$C$77=$A55))+SUMPRODUCT(ISNUMBER(SEARCH(",EGFR T790M,",","&amp;SUBSTITUTE('2L Screening Matrix'!$I$2:$I$46,", ",",")&amp;","))*('2L Screening Matrix'!$C$2:$C$46=$A55))</f>
        <v>0</v>
      </c>
      <c r="P55" s="11">
        <f>SUMPRODUCT(ISNUMBER(SEARCH(",ALK,",","&amp;SUBSTITUTE('1L Screening Matrix'!$I$2:$I$77,", ",",")&amp;","))*('1L Screening Matrix'!$C$2:$C$77=$A55))+SUMPRODUCT(ISNUMBER(SEARCH(",ALK,",","&amp;SUBSTITUTE('2L Screening Matrix'!$I$2:$I$46,", ",",")&amp;","))*('2L Screening Matrix'!$C$2:$C$46=$A55))</f>
        <v>0</v>
      </c>
      <c r="Q55" s="11">
        <f>SUMPRODUCT(ISNUMBER(SEARCH(",TROP2,",","&amp;SUBSTITUTE('1L Screening Matrix'!$I$2:$I$77,", ",",")&amp;","))*('1L Screening Matrix'!$C$2:$C$77=$A55))+SUMPRODUCT(ISNUMBER(SEARCH(",TROP2,",","&amp;SUBSTITUTE('2L Screening Matrix'!$I$2:$I$46,", ",",")&amp;","))*('2L Screening Matrix'!$C$2:$C$46=$A55))</f>
        <v>0</v>
      </c>
      <c r="R55" s="11">
        <f>SUMPRODUCT(ISNUMBER(SEARCH(",c-MET/MET,",","&amp;SUBSTITUTE('1L Screening Matrix'!$I$2:$I$77,", ",",")&amp;","))*('1L Screening Matrix'!$C$2:$C$77=$A55))+SUMPRODUCT(ISNUMBER(SEARCH(",c-MET/MET,",","&amp;SUBSTITUTE('2L Screening Matrix'!$I$2:$I$46,", ",",")&amp;","))*('2L Screening Matrix'!$C$2:$C$46=$A55))</f>
        <v>0</v>
      </c>
      <c r="S55" s="11">
        <f>SUMPRODUCT(ISNUMBER(SEARCH(",HER2,",","&amp;SUBSTITUTE('1L Screening Matrix'!$I$2:$I$77,", ",",")&amp;","))*('1L Screening Matrix'!$C$2:$C$77=$A55))+SUMPRODUCT(ISNUMBER(SEARCH(",HER2,",","&amp;SUBSTITUTE('2L Screening Matrix'!$I$2:$I$46,", ",",")&amp;","))*('2L Screening Matrix'!$C$2:$C$46=$A55))</f>
        <v>0</v>
      </c>
      <c r="T55" s="11">
        <f>SUMPRODUCT(ISNUMBER(SEARCH(",ROS1,",","&amp;SUBSTITUTE('1L Screening Matrix'!$I$2:$I$77,", ",",")&amp;","))*('1L Screening Matrix'!$C$2:$C$77=$A55))+SUMPRODUCT(ISNUMBER(SEARCH(",ROS1,",","&amp;SUBSTITUTE('2L Screening Matrix'!$I$2:$I$46,", ",",")&amp;","))*('2L Screening Matrix'!$C$2:$C$46=$A55))</f>
        <v>0</v>
      </c>
      <c r="U55" s="11">
        <f>SUMPRODUCT(ISNUMBER(SEARCH(",TIGIT,",","&amp;SUBSTITUTE('1L Screening Matrix'!$I$2:$I$77,", ",",")&amp;","))*('1L Screening Matrix'!$C$2:$C$77=$A55))+SUMPRODUCT(ISNUMBER(SEARCH(",TIGIT,",","&amp;SUBSTITUTE('2L Screening Matrix'!$I$2:$I$46,", ",",")&amp;","))*('2L Screening Matrix'!$C$2:$C$46=$A55))</f>
        <v>0</v>
      </c>
      <c r="V55" s="11">
        <f>SUMPRODUCT(ISNUMBER(SEARCH(",EGFR L858R,",","&amp;SUBSTITUTE('1L Screening Matrix'!$I$2:$I$77,", ",",")&amp;","))*('1L Screening Matrix'!$C$2:$C$77=$A55))+SUMPRODUCT(ISNUMBER(SEARCH(",EGFR L858R,",","&amp;SUBSTITUTE('2L Screening Matrix'!$I$2:$I$46,", ",",")&amp;","))*('2L Screening Matrix'!$C$2:$C$46=$A55))</f>
        <v>0</v>
      </c>
      <c r="W55" s="11">
        <f>SUMPRODUCT(ISNUMBER(SEARCH(",ROS,",","&amp;SUBSTITUTE('1L Screening Matrix'!$I$2:$I$77,", ",",")&amp;","))*('1L Screening Matrix'!$C$2:$C$77=$A55))+SUMPRODUCT(ISNUMBER(SEARCH(",ROS,",","&amp;SUBSTITUTE('2L Screening Matrix'!$I$2:$I$46,", ",",")&amp;","))*('2L Screening Matrix'!$C$2:$C$46=$A55))</f>
        <v>0</v>
      </c>
      <c r="X55" s="11">
        <f>SUMPRODUCT(ISNUMBER(SEARCH(",IL-2,",","&amp;SUBSTITUTE('1L Screening Matrix'!$I$2:$I$77,", ",",")&amp;","))*('1L Screening Matrix'!$C$2:$C$77=$A55))+SUMPRODUCT(ISNUMBER(SEARCH(",IL-2,",","&amp;SUBSTITUTE('2L Screening Matrix'!$I$2:$I$46,", ",",")&amp;","))*('2L Screening Matrix'!$C$2:$C$46=$A55))</f>
        <v>0</v>
      </c>
      <c r="Y55" s="11">
        <f>SUMPRODUCT(ISNUMBER(SEARCH(",TCGF,",","&amp;SUBSTITUTE('1L Screening Matrix'!$I$2:$I$77,", ",",")&amp;","))*('1L Screening Matrix'!$C$2:$C$77=$A55))+SUMPRODUCT(ISNUMBER(SEARCH(",TCGF,",","&amp;SUBSTITUTE('2L Screening Matrix'!$I$2:$I$46,", ",",")&amp;","))*('2L Screening Matrix'!$C$2:$C$46=$A55))</f>
        <v>0</v>
      </c>
      <c r="Z55" s="11">
        <f>SUMPRODUCT(ISNUMBER(SEARCH(",CTLA-4,",","&amp;SUBSTITUTE('1L Screening Matrix'!$I$2:$I$77,", ",",")&amp;","))*('1L Screening Matrix'!$C$2:$C$77=$A55))+SUMPRODUCT(ISNUMBER(SEARCH(",CTLA-4,",","&amp;SUBSTITUTE('2L Screening Matrix'!$I$2:$I$46,", ",",")&amp;","))*('2L Screening Matrix'!$C$2:$C$46=$A55))</f>
        <v>0</v>
      </c>
      <c r="AA55" s="11">
        <f>SUMPRODUCT(ISNUMBER(SEARCH(",EGFR Exon 20,",","&amp;SUBSTITUTE('1L Screening Matrix'!$I$2:$I$77,", ",",")&amp;","))*('1L Screening Matrix'!$C$2:$C$77=$A55))+SUMPRODUCT(ISNUMBER(SEARCH(",EGFR Exon 20,",","&amp;SUBSTITUTE('2L Screening Matrix'!$I$2:$I$46,", ",",")&amp;","))*('2L Screening Matrix'!$C$2:$C$46=$A55))</f>
        <v>0</v>
      </c>
      <c r="AB55" s="11">
        <f>SUMPRODUCT(ISNUMBER(SEARCH(",HER2 Exon 20,",","&amp;SUBSTITUTE('1L Screening Matrix'!$I$2:$I$77,", ",",")&amp;","))*('1L Screening Matrix'!$C$2:$C$77=$A55))+SUMPRODUCT(ISNUMBER(SEARCH(",HER2 Exon 20,",","&amp;SUBSTITUTE('2L Screening Matrix'!$I$2:$I$46,", ",",")&amp;","))*('2L Screening Matrix'!$C$2:$C$46=$A55))</f>
        <v>0</v>
      </c>
      <c r="AC55" s="11">
        <f>SUMPRODUCT(ISNUMBER(SEARCH(",IL-15,",","&amp;SUBSTITUTE('1L Screening Matrix'!$I$2:$I$77,", ",",")&amp;","))*('1L Screening Matrix'!$C$2:$C$77=$A55))+SUMPRODUCT(ISNUMBER(SEARCH(",IL-15,",","&amp;SUBSTITUTE('2L Screening Matrix'!$I$2:$I$46,", ",",")&amp;","))*('2L Screening Matrix'!$C$2:$C$46=$A55))</f>
        <v>0</v>
      </c>
      <c r="AD55" s="11">
        <f>SUMPRODUCT(ISNUMBER(SEARCH(",IL-15R,",","&amp;SUBSTITUTE('1L Screening Matrix'!$I$2:$I$77,", ",",")&amp;","))*('1L Screening Matrix'!$C$2:$C$77=$A55))+SUMPRODUCT(ISNUMBER(SEARCH(",IL-15R,",","&amp;SUBSTITUTE('2L Screening Matrix'!$I$2:$I$46,", ",",")&amp;","))*('2L Screening Matrix'!$C$2:$C$46=$A55))</f>
        <v>0</v>
      </c>
      <c r="AE55" s="11">
        <f>SUMPRODUCT(ISNUMBER(SEARCH(",KRAS G12D,",","&amp;SUBSTITUTE('1L Screening Matrix'!$I$2:$I$77,", ",",")&amp;","))*('1L Screening Matrix'!$C$2:$C$77=$A55))+SUMPRODUCT(ISNUMBER(SEARCH(",KRAS G12D,",","&amp;SUBSTITUTE('2L Screening Matrix'!$I$2:$I$46,", ",",")&amp;","))*('2L Screening Matrix'!$C$2:$C$46=$A55))</f>
        <v>0</v>
      </c>
      <c r="AF55" s="11">
        <f>SUMPRODUCT(ISNUMBER(SEARCH(",HER4,",","&amp;SUBSTITUTE('1L Screening Matrix'!$I$2:$I$77,", ",",")&amp;","))*('1L Screening Matrix'!$C$2:$C$77=$A55))+SUMPRODUCT(ISNUMBER(SEARCH(",HER4,",","&amp;SUBSTITUTE('2L Screening Matrix'!$I$2:$I$46,", ",",")&amp;","))*('2L Screening Matrix'!$C$2:$C$46=$A55))</f>
        <v>0</v>
      </c>
      <c r="AG55" s="11">
        <f>SUMPRODUCT(ISNUMBER(SEARCH(",ALK L1196M,",","&amp;SUBSTITUTE('1L Screening Matrix'!$I$2:$I$77,", ",",")&amp;","))*('1L Screening Matrix'!$C$2:$C$77=$A55))+SUMPRODUCT(ISNUMBER(SEARCH(",ALK L1196M,",","&amp;SUBSTITUTE('2L Screening Matrix'!$I$2:$I$46,", ",",")&amp;","))*('2L Screening Matrix'!$C$2:$C$46=$A55))</f>
        <v>0</v>
      </c>
      <c r="AH55" s="11">
        <f>SUMPRODUCT(ISNUMBER(SEARCH(",CD152,",","&amp;SUBSTITUTE('1L Screening Matrix'!$I$2:$I$77,", ",",")&amp;","))*('1L Screening Matrix'!$C$2:$C$77=$A55))+SUMPRODUCT(ISNUMBER(SEARCH(",CD152,",","&amp;SUBSTITUTE('2L Screening Matrix'!$I$2:$I$46,", ",",")&amp;","))*('2L Screening Matrix'!$C$2:$C$46=$A55))</f>
        <v>0</v>
      </c>
      <c r="AI55" s="11">
        <f>SUMPRODUCT(ISNUMBER(SEARCH(",MLN19,",","&amp;SUBSTITUTE('1L Screening Matrix'!$I$2:$I$77,", ",",")&amp;","))*('1L Screening Matrix'!$C$2:$C$77=$A55))+SUMPRODUCT(ISNUMBER(SEARCH(",MLN19,",","&amp;SUBSTITUTE('2L Screening Matrix'!$I$2:$I$46,", ",",")&amp;","))*('2L Screening Matrix'!$C$2:$C$46=$A55))</f>
        <v>0</v>
      </c>
      <c r="AJ55" s="11">
        <f>SUMPRODUCT(ISNUMBER(SEARCH(",NTRK,",","&amp;SUBSTITUTE('1L Screening Matrix'!$I$2:$I$77,", ",",")&amp;","))*('1L Screening Matrix'!$C$2:$C$77=$A55))+SUMPRODUCT(ISNUMBER(SEARCH(",NTRK,",","&amp;SUBSTITUTE('2L Screening Matrix'!$I$2:$I$46,", ",",")&amp;","))*('2L Screening Matrix'!$C$2:$C$46=$A55))</f>
        <v>0</v>
      </c>
      <c r="AK55" s="11">
        <f>SUMPRODUCT(ISNUMBER(SEARCH(",Integrin β6,",","&amp;SUBSTITUTE('1L Screening Matrix'!$I$2:$I$77,", ",",")&amp;","))*('1L Screening Matrix'!$C$2:$C$77=$A55))+SUMPRODUCT(ISNUMBER(SEARCH(",Integrin β6,",","&amp;SUBSTITUTE('2L Screening Matrix'!$I$2:$I$46,", ",",")&amp;","))*('2L Screening Matrix'!$C$2:$C$46=$A55))</f>
        <v>0</v>
      </c>
      <c r="AL55" s="11">
        <f>SUMPRODUCT(ISNUMBER(SEARCH(",LAG-3,",","&amp;SUBSTITUTE('1L Screening Matrix'!$I$2:$I$77,", ",",")&amp;","))*('1L Screening Matrix'!$C$2:$C$77=$A55))+SUMPRODUCT(ISNUMBER(SEARCH(",LAG-3,",","&amp;SUBSTITUTE('2L Screening Matrix'!$I$2:$I$46,", ",",")&amp;","))*('2L Screening Matrix'!$C$2:$C$46=$A55))</f>
        <v>0</v>
      </c>
      <c r="AM55" s="14">
        <f t="shared" si="1"/>
        <v>0</v>
      </c>
    </row>
    <row r="56" spans="1:39" ht="15" customHeight="1" x14ac:dyDescent="0.2">
      <c r="A56" s="12" t="s">
        <v>604</v>
      </c>
      <c r="B56" s="11">
        <f>SUMPRODUCT(ISNUMBER(SEARCH(",PD-1,",","&amp;SUBSTITUTE('1L Screening Matrix'!$I$2:$I$77,", ",",")&amp;","))*('1L Screening Matrix'!$C$2:$C$77=$A56))+SUMPRODUCT(ISNUMBER(SEARCH(",PD-1,",","&amp;SUBSTITUTE('2L Screening Matrix'!$I$2:$I$46,", ",",")&amp;","))*('2L Screening Matrix'!$C$2:$C$46=$A56))</f>
        <v>0</v>
      </c>
      <c r="C56" s="11">
        <f>SUMPRODUCT(ISNUMBER(SEARCH(",CD279,",","&amp;SUBSTITUTE('1L Screening Matrix'!$I$2:$I$77,", ",",")&amp;","))*('1L Screening Matrix'!$C$2:$C$77=$A56))+SUMPRODUCT(ISNUMBER(SEARCH(",CD279,",","&amp;SUBSTITUTE('2L Screening Matrix'!$I$2:$I$46,", ",",")&amp;","))*('2L Screening Matrix'!$C$2:$C$46=$A56))</f>
        <v>0</v>
      </c>
      <c r="D56" s="11">
        <f>SUMPRODUCT(ISNUMBER(SEARCH(",TS,",","&amp;SUBSTITUTE('1L Screening Matrix'!$I$2:$I$77,", ",",")&amp;","))*('1L Screening Matrix'!$C$2:$C$77=$A56))+SUMPRODUCT(ISNUMBER(SEARCH(",TS,",","&amp;SUBSTITUTE('2L Screening Matrix'!$I$2:$I$46,", ",",")&amp;","))*('2L Screening Matrix'!$C$2:$C$46=$A56))</f>
        <v>0</v>
      </c>
      <c r="E56" s="11">
        <f>SUMPRODUCT(ISNUMBER(SEARCH(",TYMS,",","&amp;SUBSTITUTE('1L Screening Matrix'!$I$2:$I$77,", ",",")&amp;","))*('1L Screening Matrix'!$C$2:$C$77=$A56))+SUMPRODUCT(ISNUMBER(SEARCH(",TYMS,",","&amp;SUBSTITUTE('2L Screening Matrix'!$I$2:$I$46,", ",",")&amp;","))*('2L Screening Matrix'!$C$2:$C$46=$A56))</f>
        <v>0</v>
      </c>
      <c r="F56" s="11">
        <f>SUMPRODUCT(ISNUMBER(SEARCH(",PD-L1,",","&amp;SUBSTITUTE('1L Screening Matrix'!$I$2:$I$77,", ",",")&amp;","))*('1L Screening Matrix'!$C$2:$C$77=$A56))+SUMPRODUCT(ISNUMBER(SEARCH(",PD-L1,",","&amp;SUBSTITUTE('2L Screening Matrix'!$I$2:$I$46,", ",",")&amp;","))*('2L Screening Matrix'!$C$2:$C$46=$A56))</f>
        <v>0</v>
      </c>
      <c r="G56" s="11">
        <f>SUMPRODUCT(ISNUMBER(SEARCH(",B7-H1,",","&amp;SUBSTITUTE('1L Screening Matrix'!$I$2:$I$77,", ",",")&amp;","))*('1L Screening Matrix'!$C$2:$C$77=$A56))+SUMPRODUCT(ISNUMBER(SEARCH(",B7-H1,",","&amp;SUBSTITUTE('2L Screening Matrix'!$I$2:$I$46,", ",",")&amp;","))*('2L Screening Matrix'!$C$2:$C$46=$A56))</f>
        <v>0</v>
      </c>
      <c r="H56" s="11">
        <f>SUMPRODUCT(ISNUMBER(SEARCH(",CD274,",","&amp;SUBSTITUTE('1L Screening Matrix'!$I$2:$I$77,", ",",")&amp;","))*('1L Screening Matrix'!$C$2:$C$77=$A56))+SUMPRODUCT(ISNUMBER(SEARCH(",CD274,",","&amp;SUBSTITUTE('2L Screening Matrix'!$I$2:$I$46,", ",",")&amp;","))*('2L Screening Matrix'!$C$2:$C$46=$A56))</f>
        <v>0</v>
      </c>
      <c r="I56" s="11">
        <f>SUMPRODUCT(ISNUMBER(SEARCH(",EGFR,",","&amp;SUBSTITUTE('1L Screening Matrix'!$I$2:$I$77,", ",",")&amp;","))*('1L Screening Matrix'!$C$2:$C$77=$A56))+SUMPRODUCT(ISNUMBER(SEARCH(",EGFR,",","&amp;SUBSTITUTE('2L Screening Matrix'!$I$2:$I$46,", ",",")&amp;","))*('2L Screening Matrix'!$C$2:$C$46=$A56))</f>
        <v>0</v>
      </c>
      <c r="J56" s="11">
        <f>SUMPRODUCT(ISNUMBER(SEARCH(",VEGF,",","&amp;SUBSTITUTE('1L Screening Matrix'!$I$2:$I$77,", ",",")&amp;","))*('1L Screening Matrix'!$C$2:$C$77=$A56))+SUMPRODUCT(ISNUMBER(SEARCH(",VEGF,",","&amp;SUBSTITUTE('2L Screening Matrix'!$I$2:$I$46,", ",",")&amp;","))*('2L Screening Matrix'!$C$2:$C$46=$A56))</f>
        <v>0</v>
      </c>
      <c r="K56" s="11">
        <f>SUMPRODUCT(ISNUMBER(SEARCH(",ERBB,",","&amp;SUBSTITUTE('1L Screening Matrix'!$I$2:$I$77,", ",",")&amp;","))*('1L Screening Matrix'!$C$2:$C$77=$A56))+SUMPRODUCT(ISNUMBER(SEARCH(",ERBB,",","&amp;SUBSTITUTE('2L Screening Matrix'!$I$2:$I$46,", ",",")&amp;","))*('2L Screening Matrix'!$C$2:$C$46=$A56))</f>
        <v>0</v>
      </c>
      <c r="L56" s="11">
        <f>SUMPRODUCT(ISNUMBER(SEARCH(",HER1,",","&amp;SUBSTITUTE('1L Screening Matrix'!$I$2:$I$77,", ",",")&amp;","))*('1L Screening Matrix'!$C$2:$C$77=$A56))+SUMPRODUCT(ISNUMBER(SEARCH(",HER1,",","&amp;SUBSTITUTE('2L Screening Matrix'!$I$2:$I$46,", ",",")&amp;","))*('2L Screening Matrix'!$C$2:$C$46=$A56))</f>
        <v>0</v>
      </c>
      <c r="M56" s="11">
        <f>SUMPRODUCT(ISNUMBER(SEARCH(",Microtubule,",","&amp;SUBSTITUTE('1L Screening Matrix'!$I$2:$I$77,", ",",")&amp;","))*('1L Screening Matrix'!$C$2:$C$77=$A56))+SUMPRODUCT(ISNUMBER(SEARCH(",Microtubule,",","&amp;SUBSTITUTE('2L Screening Matrix'!$I$2:$I$46,", ",",")&amp;","))*('2L Screening Matrix'!$C$2:$C$46=$A56))</f>
        <v>0</v>
      </c>
      <c r="N56" s="11">
        <f>SUMPRODUCT(ISNUMBER(SEARCH(",KRAS G12C,",","&amp;SUBSTITUTE('1L Screening Matrix'!$I$2:$I$77,", ",",")&amp;","))*('1L Screening Matrix'!$C$2:$C$77=$A56))+SUMPRODUCT(ISNUMBER(SEARCH(",KRAS G12C,",","&amp;SUBSTITUTE('2L Screening Matrix'!$I$2:$I$46,", ",",")&amp;","))*('2L Screening Matrix'!$C$2:$C$46=$A56))</f>
        <v>0</v>
      </c>
      <c r="O56" s="11">
        <f>SUMPRODUCT(ISNUMBER(SEARCH(",EGFR T790M,",","&amp;SUBSTITUTE('1L Screening Matrix'!$I$2:$I$77,", ",",")&amp;","))*('1L Screening Matrix'!$C$2:$C$77=$A56))+SUMPRODUCT(ISNUMBER(SEARCH(",EGFR T790M,",","&amp;SUBSTITUTE('2L Screening Matrix'!$I$2:$I$46,", ",",")&amp;","))*('2L Screening Matrix'!$C$2:$C$46=$A56))</f>
        <v>0</v>
      </c>
      <c r="P56" s="11">
        <f>SUMPRODUCT(ISNUMBER(SEARCH(",ALK,",","&amp;SUBSTITUTE('1L Screening Matrix'!$I$2:$I$77,", ",",")&amp;","))*('1L Screening Matrix'!$C$2:$C$77=$A56))+SUMPRODUCT(ISNUMBER(SEARCH(",ALK,",","&amp;SUBSTITUTE('2L Screening Matrix'!$I$2:$I$46,", ",",")&amp;","))*('2L Screening Matrix'!$C$2:$C$46=$A56))</f>
        <v>0</v>
      </c>
      <c r="Q56" s="11">
        <f>SUMPRODUCT(ISNUMBER(SEARCH(",TROP2,",","&amp;SUBSTITUTE('1L Screening Matrix'!$I$2:$I$77,", ",",")&amp;","))*('1L Screening Matrix'!$C$2:$C$77=$A56))+SUMPRODUCT(ISNUMBER(SEARCH(",TROP2,",","&amp;SUBSTITUTE('2L Screening Matrix'!$I$2:$I$46,", ",",")&amp;","))*('2L Screening Matrix'!$C$2:$C$46=$A56))</f>
        <v>0</v>
      </c>
      <c r="R56" s="11">
        <f>SUMPRODUCT(ISNUMBER(SEARCH(",c-MET/MET,",","&amp;SUBSTITUTE('1L Screening Matrix'!$I$2:$I$77,", ",",")&amp;","))*('1L Screening Matrix'!$C$2:$C$77=$A56))+SUMPRODUCT(ISNUMBER(SEARCH(",c-MET/MET,",","&amp;SUBSTITUTE('2L Screening Matrix'!$I$2:$I$46,", ",",")&amp;","))*('2L Screening Matrix'!$C$2:$C$46=$A56))</f>
        <v>0</v>
      </c>
      <c r="S56" s="11">
        <f>SUMPRODUCT(ISNUMBER(SEARCH(",HER2,",","&amp;SUBSTITUTE('1L Screening Matrix'!$I$2:$I$77,", ",",")&amp;","))*('1L Screening Matrix'!$C$2:$C$77=$A56))+SUMPRODUCT(ISNUMBER(SEARCH(",HER2,",","&amp;SUBSTITUTE('2L Screening Matrix'!$I$2:$I$46,", ",",")&amp;","))*('2L Screening Matrix'!$C$2:$C$46=$A56))</f>
        <v>0</v>
      </c>
      <c r="T56" s="11">
        <f>SUMPRODUCT(ISNUMBER(SEARCH(",ROS1,",","&amp;SUBSTITUTE('1L Screening Matrix'!$I$2:$I$77,", ",",")&amp;","))*('1L Screening Matrix'!$C$2:$C$77=$A56))+SUMPRODUCT(ISNUMBER(SEARCH(",ROS1,",","&amp;SUBSTITUTE('2L Screening Matrix'!$I$2:$I$46,", ",",")&amp;","))*('2L Screening Matrix'!$C$2:$C$46=$A56))</f>
        <v>0</v>
      </c>
      <c r="U56" s="11">
        <f>SUMPRODUCT(ISNUMBER(SEARCH(",TIGIT,",","&amp;SUBSTITUTE('1L Screening Matrix'!$I$2:$I$77,", ",",")&amp;","))*('1L Screening Matrix'!$C$2:$C$77=$A56))+SUMPRODUCT(ISNUMBER(SEARCH(",TIGIT,",","&amp;SUBSTITUTE('2L Screening Matrix'!$I$2:$I$46,", ",",")&amp;","))*('2L Screening Matrix'!$C$2:$C$46=$A56))</f>
        <v>0</v>
      </c>
      <c r="V56" s="11">
        <f>SUMPRODUCT(ISNUMBER(SEARCH(",EGFR L858R,",","&amp;SUBSTITUTE('1L Screening Matrix'!$I$2:$I$77,", ",",")&amp;","))*('1L Screening Matrix'!$C$2:$C$77=$A56))+SUMPRODUCT(ISNUMBER(SEARCH(",EGFR L858R,",","&amp;SUBSTITUTE('2L Screening Matrix'!$I$2:$I$46,", ",",")&amp;","))*('2L Screening Matrix'!$C$2:$C$46=$A56))</f>
        <v>0</v>
      </c>
      <c r="W56" s="11">
        <f>SUMPRODUCT(ISNUMBER(SEARCH(",ROS,",","&amp;SUBSTITUTE('1L Screening Matrix'!$I$2:$I$77,", ",",")&amp;","))*('1L Screening Matrix'!$C$2:$C$77=$A56))+SUMPRODUCT(ISNUMBER(SEARCH(",ROS,",","&amp;SUBSTITUTE('2L Screening Matrix'!$I$2:$I$46,", ",",")&amp;","))*('2L Screening Matrix'!$C$2:$C$46=$A56))</f>
        <v>0</v>
      </c>
      <c r="X56" s="11">
        <f>SUMPRODUCT(ISNUMBER(SEARCH(",IL-2,",","&amp;SUBSTITUTE('1L Screening Matrix'!$I$2:$I$77,", ",",")&amp;","))*('1L Screening Matrix'!$C$2:$C$77=$A56))+SUMPRODUCT(ISNUMBER(SEARCH(",IL-2,",","&amp;SUBSTITUTE('2L Screening Matrix'!$I$2:$I$46,", ",",")&amp;","))*('2L Screening Matrix'!$C$2:$C$46=$A56))</f>
        <v>0</v>
      </c>
      <c r="Y56" s="11">
        <f>SUMPRODUCT(ISNUMBER(SEARCH(",TCGF,",","&amp;SUBSTITUTE('1L Screening Matrix'!$I$2:$I$77,", ",",")&amp;","))*('1L Screening Matrix'!$C$2:$C$77=$A56))+SUMPRODUCT(ISNUMBER(SEARCH(",TCGF,",","&amp;SUBSTITUTE('2L Screening Matrix'!$I$2:$I$46,", ",",")&amp;","))*('2L Screening Matrix'!$C$2:$C$46=$A56))</f>
        <v>0</v>
      </c>
      <c r="Z56" s="11">
        <f>SUMPRODUCT(ISNUMBER(SEARCH(",CTLA-4,",","&amp;SUBSTITUTE('1L Screening Matrix'!$I$2:$I$77,", ",",")&amp;","))*('1L Screening Matrix'!$C$2:$C$77=$A56))+SUMPRODUCT(ISNUMBER(SEARCH(",CTLA-4,",","&amp;SUBSTITUTE('2L Screening Matrix'!$I$2:$I$46,", ",",")&amp;","))*('2L Screening Matrix'!$C$2:$C$46=$A56))</f>
        <v>0</v>
      </c>
      <c r="AA56" s="11">
        <f>SUMPRODUCT(ISNUMBER(SEARCH(",EGFR Exon 20,",","&amp;SUBSTITUTE('1L Screening Matrix'!$I$2:$I$77,", ",",")&amp;","))*('1L Screening Matrix'!$C$2:$C$77=$A56))+SUMPRODUCT(ISNUMBER(SEARCH(",EGFR Exon 20,",","&amp;SUBSTITUTE('2L Screening Matrix'!$I$2:$I$46,", ",",")&amp;","))*('2L Screening Matrix'!$C$2:$C$46=$A56))</f>
        <v>0</v>
      </c>
      <c r="AB56" s="11">
        <f>SUMPRODUCT(ISNUMBER(SEARCH(",HER2 Exon 20,",","&amp;SUBSTITUTE('1L Screening Matrix'!$I$2:$I$77,", ",",")&amp;","))*('1L Screening Matrix'!$C$2:$C$77=$A56))+SUMPRODUCT(ISNUMBER(SEARCH(",HER2 Exon 20,",","&amp;SUBSTITUTE('2L Screening Matrix'!$I$2:$I$46,", ",",")&amp;","))*('2L Screening Matrix'!$C$2:$C$46=$A56))</f>
        <v>0</v>
      </c>
      <c r="AC56" s="11">
        <f>SUMPRODUCT(ISNUMBER(SEARCH(",IL-15,",","&amp;SUBSTITUTE('1L Screening Matrix'!$I$2:$I$77,", ",",")&amp;","))*('1L Screening Matrix'!$C$2:$C$77=$A56))+SUMPRODUCT(ISNUMBER(SEARCH(",IL-15,",","&amp;SUBSTITUTE('2L Screening Matrix'!$I$2:$I$46,", ",",")&amp;","))*('2L Screening Matrix'!$C$2:$C$46=$A56))</f>
        <v>0</v>
      </c>
      <c r="AD56" s="11">
        <f>SUMPRODUCT(ISNUMBER(SEARCH(",IL-15R,",","&amp;SUBSTITUTE('1L Screening Matrix'!$I$2:$I$77,", ",",")&amp;","))*('1L Screening Matrix'!$C$2:$C$77=$A56))+SUMPRODUCT(ISNUMBER(SEARCH(",IL-15R,",","&amp;SUBSTITUTE('2L Screening Matrix'!$I$2:$I$46,", ",",")&amp;","))*('2L Screening Matrix'!$C$2:$C$46=$A56))</f>
        <v>0</v>
      </c>
      <c r="AE56" s="11">
        <f>SUMPRODUCT(ISNUMBER(SEARCH(",KRAS G12D,",","&amp;SUBSTITUTE('1L Screening Matrix'!$I$2:$I$77,", ",",")&amp;","))*('1L Screening Matrix'!$C$2:$C$77=$A56))+SUMPRODUCT(ISNUMBER(SEARCH(",KRAS G12D,",","&amp;SUBSTITUTE('2L Screening Matrix'!$I$2:$I$46,", ",",")&amp;","))*('2L Screening Matrix'!$C$2:$C$46=$A56))</f>
        <v>0</v>
      </c>
      <c r="AF56" s="11">
        <f>SUMPRODUCT(ISNUMBER(SEARCH(",HER4,",","&amp;SUBSTITUTE('1L Screening Matrix'!$I$2:$I$77,", ",",")&amp;","))*('1L Screening Matrix'!$C$2:$C$77=$A56))+SUMPRODUCT(ISNUMBER(SEARCH(",HER4,",","&amp;SUBSTITUTE('2L Screening Matrix'!$I$2:$I$46,", ",",")&amp;","))*('2L Screening Matrix'!$C$2:$C$46=$A56))</f>
        <v>0</v>
      </c>
      <c r="AG56" s="11">
        <f>SUMPRODUCT(ISNUMBER(SEARCH(",ALK L1196M,",","&amp;SUBSTITUTE('1L Screening Matrix'!$I$2:$I$77,", ",",")&amp;","))*('1L Screening Matrix'!$C$2:$C$77=$A56))+SUMPRODUCT(ISNUMBER(SEARCH(",ALK L1196M,",","&amp;SUBSTITUTE('2L Screening Matrix'!$I$2:$I$46,", ",",")&amp;","))*('2L Screening Matrix'!$C$2:$C$46=$A56))</f>
        <v>0</v>
      </c>
      <c r="AH56" s="11">
        <f>SUMPRODUCT(ISNUMBER(SEARCH(",CD152,",","&amp;SUBSTITUTE('1L Screening Matrix'!$I$2:$I$77,", ",",")&amp;","))*('1L Screening Matrix'!$C$2:$C$77=$A56))+SUMPRODUCT(ISNUMBER(SEARCH(",CD152,",","&amp;SUBSTITUTE('2L Screening Matrix'!$I$2:$I$46,", ",",")&amp;","))*('2L Screening Matrix'!$C$2:$C$46=$A56))</f>
        <v>0</v>
      </c>
      <c r="AI56" s="11">
        <f>SUMPRODUCT(ISNUMBER(SEARCH(",MLN19,",","&amp;SUBSTITUTE('1L Screening Matrix'!$I$2:$I$77,", ",",")&amp;","))*('1L Screening Matrix'!$C$2:$C$77=$A56))+SUMPRODUCT(ISNUMBER(SEARCH(",MLN19,",","&amp;SUBSTITUTE('2L Screening Matrix'!$I$2:$I$46,", ",",")&amp;","))*('2L Screening Matrix'!$C$2:$C$46=$A56))</f>
        <v>0</v>
      </c>
      <c r="AJ56" s="11">
        <f>SUMPRODUCT(ISNUMBER(SEARCH(",NTRK,",","&amp;SUBSTITUTE('1L Screening Matrix'!$I$2:$I$77,", ",",")&amp;","))*('1L Screening Matrix'!$C$2:$C$77=$A56))+SUMPRODUCT(ISNUMBER(SEARCH(",NTRK,",","&amp;SUBSTITUTE('2L Screening Matrix'!$I$2:$I$46,", ",",")&amp;","))*('2L Screening Matrix'!$C$2:$C$46=$A56))</f>
        <v>0</v>
      </c>
      <c r="AK56" s="11">
        <f>SUMPRODUCT(ISNUMBER(SEARCH(",Integrin β6,",","&amp;SUBSTITUTE('1L Screening Matrix'!$I$2:$I$77,", ",",")&amp;","))*('1L Screening Matrix'!$C$2:$C$77=$A56))+SUMPRODUCT(ISNUMBER(SEARCH(",Integrin β6,",","&amp;SUBSTITUTE('2L Screening Matrix'!$I$2:$I$46,", ",",")&amp;","))*('2L Screening Matrix'!$C$2:$C$46=$A56))</f>
        <v>0</v>
      </c>
      <c r="AL56" s="11">
        <f>SUMPRODUCT(ISNUMBER(SEARCH(",LAG-3,",","&amp;SUBSTITUTE('1L Screening Matrix'!$I$2:$I$77,", ",",")&amp;","))*('1L Screening Matrix'!$C$2:$C$77=$A56))+SUMPRODUCT(ISNUMBER(SEARCH(",LAG-3,",","&amp;SUBSTITUTE('2L Screening Matrix'!$I$2:$I$46,", ",",")&amp;","))*('2L Screening Matrix'!$C$2:$C$46=$A56))</f>
        <v>0</v>
      </c>
      <c r="AM56" s="14">
        <f t="shared" si="1"/>
        <v>0</v>
      </c>
    </row>
    <row r="57" spans="1:39" ht="15" customHeight="1" x14ac:dyDescent="0.2">
      <c r="A57" s="15" t="s">
        <v>606</v>
      </c>
      <c r="B57" s="11">
        <f>SUMPRODUCT(ISNUMBER(SEARCH(",PD-1,",","&amp;SUBSTITUTE('1L Screening Matrix'!$I$2:$I$77,", ",",")&amp;","))*('1L Screening Matrix'!$C$2:$C$77=$A57))+SUMPRODUCT(ISNUMBER(SEARCH(",PD-1,",","&amp;SUBSTITUTE('2L Screening Matrix'!$I$2:$I$46,", ",",")&amp;","))*('2L Screening Matrix'!$C$2:$C$46=$A57))</f>
        <v>1</v>
      </c>
      <c r="C57" s="11">
        <f>SUMPRODUCT(ISNUMBER(SEARCH(",CD279,",","&amp;SUBSTITUTE('1L Screening Matrix'!$I$2:$I$77,", ",",")&amp;","))*('1L Screening Matrix'!$C$2:$C$77=$A57))+SUMPRODUCT(ISNUMBER(SEARCH(",CD279,",","&amp;SUBSTITUTE('2L Screening Matrix'!$I$2:$I$46,", ",",")&amp;","))*('2L Screening Matrix'!$C$2:$C$46=$A57))</f>
        <v>1</v>
      </c>
      <c r="D57" s="11">
        <f>SUMPRODUCT(ISNUMBER(SEARCH(",TS,",","&amp;SUBSTITUTE('1L Screening Matrix'!$I$2:$I$77,", ",",")&amp;","))*('1L Screening Matrix'!$C$2:$C$77=$A57))+SUMPRODUCT(ISNUMBER(SEARCH(",TS,",","&amp;SUBSTITUTE('2L Screening Matrix'!$I$2:$I$46,", ",",")&amp;","))*('2L Screening Matrix'!$C$2:$C$46=$A57))</f>
        <v>1</v>
      </c>
      <c r="E57" s="11">
        <f>SUMPRODUCT(ISNUMBER(SEARCH(",TYMS,",","&amp;SUBSTITUTE('1L Screening Matrix'!$I$2:$I$77,", ",",")&amp;","))*('1L Screening Matrix'!$C$2:$C$77=$A57))+SUMPRODUCT(ISNUMBER(SEARCH(",TYMS,",","&amp;SUBSTITUTE('2L Screening Matrix'!$I$2:$I$46,", ",",")&amp;","))*('2L Screening Matrix'!$C$2:$C$46=$A57))</f>
        <v>1</v>
      </c>
      <c r="F57" s="11">
        <f>SUMPRODUCT(ISNUMBER(SEARCH(",PD-L1,",","&amp;SUBSTITUTE('1L Screening Matrix'!$I$2:$I$77,", ",",")&amp;","))*('1L Screening Matrix'!$C$2:$C$77=$A57))+SUMPRODUCT(ISNUMBER(SEARCH(",PD-L1,",","&amp;SUBSTITUTE('2L Screening Matrix'!$I$2:$I$46,", ",",")&amp;","))*('2L Screening Matrix'!$C$2:$C$46=$A57))</f>
        <v>0</v>
      </c>
      <c r="G57" s="11">
        <f>SUMPRODUCT(ISNUMBER(SEARCH(",B7-H1,",","&amp;SUBSTITUTE('1L Screening Matrix'!$I$2:$I$77,", ",",")&amp;","))*('1L Screening Matrix'!$C$2:$C$77=$A57))+SUMPRODUCT(ISNUMBER(SEARCH(",B7-H1,",","&amp;SUBSTITUTE('2L Screening Matrix'!$I$2:$I$46,", ",",")&amp;","))*('2L Screening Matrix'!$C$2:$C$46=$A57))</f>
        <v>0</v>
      </c>
      <c r="H57" s="11">
        <f>SUMPRODUCT(ISNUMBER(SEARCH(",CD274,",","&amp;SUBSTITUTE('1L Screening Matrix'!$I$2:$I$77,", ",",")&amp;","))*('1L Screening Matrix'!$C$2:$C$77=$A57))+SUMPRODUCT(ISNUMBER(SEARCH(",CD274,",","&amp;SUBSTITUTE('2L Screening Matrix'!$I$2:$I$46,", ",",")&amp;","))*('2L Screening Matrix'!$C$2:$C$46=$A57))</f>
        <v>0</v>
      </c>
      <c r="I57" s="11">
        <f>SUMPRODUCT(ISNUMBER(SEARCH(",EGFR,",","&amp;SUBSTITUTE('1L Screening Matrix'!$I$2:$I$77,", ",",")&amp;","))*('1L Screening Matrix'!$C$2:$C$77=$A57))+SUMPRODUCT(ISNUMBER(SEARCH(",EGFR,",","&amp;SUBSTITUTE('2L Screening Matrix'!$I$2:$I$46,", ",",")&amp;","))*('2L Screening Matrix'!$C$2:$C$46=$A57))</f>
        <v>0</v>
      </c>
      <c r="J57" s="11">
        <f>SUMPRODUCT(ISNUMBER(SEARCH(",VEGF,",","&amp;SUBSTITUTE('1L Screening Matrix'!$I$2:$I$77,", ",",")&amp;","))*('1L Screening Matrix'!$C$2:$C$77=$A57))+SUMPRODUCT(ISNUMBER(SEARCH(",VEGF,",","&amp;SUBSTITUTE('2L Screening Matrix'!$I$2:$I$46,", ",",")&amp;","))*('2L Screening Matrix'!$C$2:$C$46=$A57))</f>
        <v>0</v>
      </c>
      <c r="K57" s="11">
        <f>SUMPRODUCT(ISNUMBER(SEARCH(",ERBB,",","&amp;SUBSTITUTE('1L Screening Matrix'!$I$2:$I$77,", ",",")&amp;","))*('1L Screening Matrix'!$C$2:$C$77=$A57))+SUMPRODUCT(ISNUMBER(SEARCH(",ERBB,",","&amp;SUBSTITUTE('2L Screening Matrix'!$I$2:$I$46,", ",",")&amp;","))*('2L Screening Matrix'!$C$2:$C$46=$A57))</f>
        <v>0</v>
      </c>
      <c r="L57" s="11">
        <f>SUMPRODUCT(ISNUMBER(SEARCH(",HER1,",","&amp;SUBSTITUTE('1L Screening Matrix'!$I$2:$I$77,", ",",")&amp;","))*('1L Screening Matrix'!$C$2:$C$77=$A57))+SUMPRODUCT(ISNUMBER(SEARCH(",HER1,",","&amp;SUBSTITUTE('2L Screening Matrix'!$I$2:$I$46,", ",",")&amp;","))*('2L Screening Matrix'!$C$2:$C$46=$A57))</f>
        <v>0</v>
      </c>
      <c r="M57" s="11">
        <f>SUMPRODUCT(ISNUMBER(SEARCH(",Microtubule,",","&amp;SUBSTITUTE('1L Screening Matrix'!$I$2:$I$77,", ",",")&amp;","))*('1L Screening Matrix'!$C$2:$C$77=$A57))+SUMPRODUCT(ISNUMBER(SEARCH(",Microtubule,",","&amp;SUBSTITUTE('2L Screening Matrix'!$I$2:$I$46,", ",",")&amp;","))*('2L Screening Matrix'!$C$2:$C$46=$A57))</f>
        <v>0</v>
      </c>
      <c r="N57" s="11">
        <f>SUMPRODUCT(ISNUMBER(SEARCH(",KRAS G12C,",","&amp;SUBSTITUTE('1L Screening Matrix'!$I$2:$I$77,", ",",")&amp;","))*('1L Screening Matrix'!$C$2:$C$77=$A57))+SUMPRODUCT(ISNUMBER(SEARCH(",KRAS G12C,",","&amp;SUBSTITUTE('2L Screening Matrix'!$I$2:$I$46,", ",",")&amp;","))*('2L Screening Matrix'!$C$2:$C$46=$A57))</f>
        <v>0</v>
      </c>
      <c r="O57" s="11">
        <f>SUMPRODUCT(ISNUMBER(SEARCH(",EGFR T790M,",","&amp;SUBSTITUTE('1L Screening Matrix'!$I$2:$I$77,", ",",")&amp;","))*('1L Screening Matrix'!$C$2:$C$77=$A57))+SUMPRODUCT(ISNUMBER(SEARCH(",EGFR T790M,",","&amp;SUBSTITUTE('2L Screening Matrix'!$I$2:$I$46,", ",",")&amp;","))*('2L Screening Matrix'!$C$2:$C$46=$A57))</f>
        <v>0</v>
      </c>
      <c r="P57" s="11">
        <f>SUMPRODUCT(ISNUMBER(SEARCH(",ALK,",","&amp;SUBSTITUTE('1L Screening Matrix'!$I$2:$I$77,", ",",")&amp;","))*('1L Screening Matrix'!$C$2:$C$77=$A57))+SUMPRODUCT(ISNUMBER(SEARCH(",ALK,",","&amp;SUBSTITUTE('2L Screening Matrix'!$I$2:$I$46,", ",",")&amp;","))*('2L Screening Matrix'!$C$2:$C$46=$A57))</f>
        <v>0</v>
      </c>
      <c r="Q57" s="11">
        <f>SUMPRODUCT(ISNUMBER(SEARCH(",TROP2,",","&amp;SUBSTITUTE('1L Screening Matrix'!$I$2:$I$77,", ",",")&amp;","))*('1L Screening Matrix'!$C$2:$C$77=$A57))+SUMPRODUCT(ISNUMBER(SEARCH(",TROP2,",","&amp;SUBSTITUTE('2L Screening Matrix'!$I$2:$I$46,", ",",")&amp;","))*('2L Screening Matrix'!$C$2:$C$46=$A57))</f>
        <v>0</v>
      </c>
      <c r="R57" s="11">
        <f>SUMPRODUCT(ISNUMBER(SEARCH(",c-MET/MET,",","&amp;SUBSTITUTE('1L Screening Matrix'!$I$2:$I$77,", ",",")&amp;","))*('1L Screening Matrix'!$C$2:$C$77=$A57))+SUMPRODUCT(ISNUMBER(SEARCH(",c-MET/MET,",","&amp;SUBSTITUTE('2L Screening Matrix'!$I$2:$I$46,", ",",")&amp;","))*('2L Screening Matrix'!$C$2:$C$46=$A57))</f>
        <v>0</v>
      </c>
      <c r="S57" s="11">
        <f>SUMPRODUCT(ISNUMBER(SEARCH(",HER2,",","&amp;SUBSTITUTE('1L Screening Matrix'!$I$2:$I$77,", ",",")&amp;","))*('1L Screening Matrix'!$C$2:$C$77=$A57))+SUMPRODUCT(ISNUMBER(SEARCH(",HER2,",","&amp;SUBSTITUTE('2L Screening Matrix'!$I$2:$I$46,", ",",")&amp;","))*('2L Screening Matrix'!$C$2:$C$46=$A57))</f>
        <v>0</v>
      </c>
      <c r="T57" s="11">
        <f>SUMPRODUCT(ISNUMBER(SEARCH(",ROS1,",","&amp;SUBSTITUTE('1L Screening Matrix'!$I$2:$I$77,", ",",")&amp;","))*('1L Screening Matrix'!$C$2:$C$77=$A57))+SUMPRODUCT(ISNUMBER(SEARCH(",ROS1,",","&amp;SUBSTITUTE('2L Screening Matrix'!$I$2:$I$46,", ",",")&amp;","))*('2L Screening Matrix'!$C$2:$C$46=$A57))</f>
        <v>0</v>
      </c>
      <c r="U57" s="11">
        <f>SUMPRODUCT(ISNUMBER(SEARCH(",TIGIT,",","&amp;SUBSTITUTE('1L Screening Matrix'!$I$2:$I$77,", ",",")&amp;","))*('1L Screening Matrix'!$C$2:$C$77=$A57))+SUMPRODUCT(ISNUMBER(SEARCH(",TIGIT,",","&amp;SUBSTITUTE('2L Screening Matrix'!$I$2:$I$46,", ",",")&amp;","))*('2L Screening Matrix'!$C$2:$C$46=$A57))</f>
        <v>0</v>
      </c>
      <c r="V57" s="11">
        <f>SUMPRODUCT(ISNUMBER(SEARCH(",EGFR L858R,",","&amp;SUBSTITUTE('1L Screening Matrix'!$I$2:$I$77,", ",",")&amp;","))*('1L Screening Matrix'!$C$2:$C$77=$A57))+SUMPRODUCT(ISNUMBER(SEARCH(",EGFR L858R,",","&amp;SUBSTITUTE('2L Screening Matrix'!$I$2:$I$46,", ",",")&amp;","))*('2L Screening Matrix'!$C$2:$C$46=$A57))</f>
        <v>0</v>
      </c>
      <c r="W57" s="11">
        <f>SUMPRODUCT(ISNUMBER(SEARCH(",ROS,",","&amp;SUBSTITUTE('1L Screening Matrix'!$I$2:$I$77,", ",",")&amp;","))*('1L Screening Matrix'!$C$2:$C$77=$A57))+SUMPRODUCT(ISNUMBER(SEARCH(",ROS,",","&amp;SUBSTITUTE('2L Screening Matrix'!$I$2:$I$46,", ",",")&amp;","))*('2L Screening Matrix'!$C$2:$C$46=$A57))</f>
        <v>0</v>
      </c>
      <c r="X57" s="11">
        <f>SUMPRODUCT(ISNUMBER(SEARCH(",IL-2,",","&amp;SUBSTITUTE('1L Screening Matrix'!$I$2:$I$77,", ",",")&amp;","))*('1L Screening Matrix'!$C$2:$C$77=$A57))+SUMPRODUCT(ISNUMBER(SEARCH(",IL-2,",","&amp;SUBSTITUTE('2L Screening Matrix'!$I$2:$I$46,", ",",")&amp;","))*('2L Screening Matrix'!$C$2:$C$46=$A57))</f>
        <v>0</v>
      </c>
      <c r="Y57" s="11">
        <f>SUMPRODUCT(ISNUMBER(SEARCH(",TCGF,",","&amp;SUBSTITUTE('1L Screening Matrix'!$I$2:$I$77,", ",",")&amp;","))*('1L Screening Matrix'!$C$2:$C$77=$A57))+SUMPRODUCT(ISNUMBER(SEARCH(",TCGF,",","&amp;SUBSTITUTE('2L Screening Matrix'!$I$2:$I$46,", ",",")&amp;","))*('2L Screening Matrix'!$C$2:$C$46=$A57))</f>
        <v>0</v>
      </c>
      <c r="Z57" s="11">
        <f>SUMPRODUCT(ISNUMBER(SEARCH(",CTLA-4,",","&amp;SUBSTITUTE('1L Screening Matrix'!$I$2:$I$77,", ",",")&amp;","))*('1L Screening Matrix'!$C$2:$C$77=$A57))+SUMPRODUCT(ISNUMBER(SEARCH(",CTLA-4,",","&amp;SUBSTITUTE('2L Screening Matrix'!$I$2:$I$46,", ",",")&amp;","))*('2L Screening Matrix'!$C$2:$C$46=$A57))</f>
        <v>0</v>
      </c>
      <c r="AA57" s="11">
        <f>SUMPRODUCT(ISNUMBER(SEARCH(",EGFR Exon 20,",","&amp;SUBSTITUTE('1L Screening Matrix'!$I$2:$I$77,", ",",")&amp;","))*('1L Screening Matrix'!$C$2:$C$77=$A57))+SUMPRODUCT(ISNUMBER(SEARCH(",EGFR Exon 20,",","&amp;SUBSTITUTE('2L Screening Matrix'!$I$2:$I$46,", ",",")&amp;","))*('2L Screening Matrix'!$C$2:$C$46=$A57))</f>
        <v>0</v>
      </c>
      <c r="AB57" s="11">
        <f>SUMPRODUCT(ISNUMBER(SEARCH(",HER2 Exon 20,",","&amp;SUBSTITUTE('1L Screening Matrix'!$I$2:$I$77,", ",",")&amp;","))*('1L Screening Matrix'!$C$2:$C$77=$A57))+SUMPRODUCT(ISNUMBER(SEARCH(",HER2 Exon 20,",","&amp;SUBSTITUTE('2L Screening Matrix'!$I$2:$I$46,", ",",")&amp;","))*('2L Screening Matrix'!$C$2:$C$46=$A57))</f>
        <v>0</v>
      </c>
      <c r="AC57" s="11">
        <f>SUMPRODUCT(ISNUMBER(SEARCH(",IL-15,",","&amp;SUBSTITUTE('1L Screening Matrix'!$I$2:$I$77,", ",",")&amp;","))*('1L Screening Matrix'!$C$2:$C$77=$A57))+SUMPRODUCT(ISNUMBER(SEARCH(",IL-15,",","&amp;SUBSTITUTE('2L Screening Matrix'!$I$2:$I$46,", ",",")&amp;","))*('2L Screening Matrix'!$C$2:$C$46=$A57))</f>
        <v>0</v>
      </c>
      <c r="AD57" s="11">
        <f>SUMPRODUCT(ISNUMBER(SEARCH(",IL-15R,",","&amp;SUBSTITUTE('1L Screening Matrix'!$I$2:$I$77,", ",",")&amp;","))*('1L Screening Matrix'!$C$2:$C$77=$A57))+SUMPRODUCT(ISNUMBER(SEARCH(",IL-15R,",","&amp;SUBSTITUTE('2L Screening Matrix'!$I$2:$I$46,", ",",")&amp;","))*('2L Screening Matrix'!$C$2:$C$46=$A57))</f>
        <v>0</v>
      </c>
      <c r="AE57" s="11">
        <f>SUMPRODUCT(ISNUMBER(SEARCH(",KRAS G12D,",","&amp;SUBSTITUTE('1L Screening Matrix'!$I$2:$I$77,", ",",")&amp;","))*('1L Screening Matrix'!$C$2:$C$77=$A57))+SUMPRODUCT(ISNUMBER(SEARCH(",KRAS G12D,",","&amp;SUBSTITUTE('2L Screening Matrix'!$I$2:$I$46,", ",",")&amp;","))*('2L Screening Matrix'!$C$2:$C$46=$A57))</f>
        <v>0</v>
      </c>
      <c r="AF57" s="11">
        <f>SUMPRODUCT(ISNUMBER(SEARCH(",HER4,",","&amp;SUBSTITUTE('1L Screening Matrix'!$I$2:$I$77,", ",",")&amp;","))*('1L Screening Matrix'!$C$2:$C$77=$A57))+SUMPRODUCT(ISNUMBER(SEARCH(",HER4,",","&amp;SUBSTITUTE('2L Screening Matrix'!$I$2:$I$46,", ",",")&amp;","))*('2L Screening Matrix'!$C$2:$C$46=$A57))</f>
        <v>0</v>
      </c>
      <c r="AG57" s="11">
        <f>SUMPRODUCT(ISNUMBER(SEARCH(",ALK L1196M,",","&amp;SUBSTITUTE('1L Screening Matrix'!$I$2:$I$77,", ",",")&amp;","))*('1L Screening Matrix'!$C$2:$C$77=$A57))+SUMPRODUCT(ISNUMBER(SEARCH(",ALK L1196M,",","&amp;SUBSTITUTE('2L Screening Matrix'!$I$2:$I$46,", ",",")&amp;","))*('2L Screening Matrix'!$C$2:$C$46=$A57))</f>
        <v>0</v>
      </c>
      <c r="AH57" s="11">
        <f>SUMPRODUCT(ISNUMBER(SEARCH(",CD152,",","&amp;SUBSTITUTE('1L Screening Matrix'!$I$2:$I$77,", ",",")&amp;","))*('1L Screening Matrix'!$C$2:$C$77=$A57))+SUMPRODUCT(ISNUMBER(SEARCH(",CD152,",","&amp;SUBSTITUTE('2L Screening Matrix'!$I$2:$I$46,", ",",")&amp;","))*('2L Screening Matrix'!$C$2:$C$46=$A57))</f>
        <v>0</v>
      </c>
      <c r="AI57" s="11">
        <f>SUMPRODUCT(ISNUMBER(SEARCH(",MLN19,",","&amp;SUBSTITUTE('1L Screening Matrix'!$I$2:$I$77,", ",",")&amp;","))*('1L Screening Matrix'!$C$2:$C$77=$A57))+SUMPRODUCT(ISNUMBER(SEARCH(",MLN19,",","&amp;SUBSTITUTE('2L Screening Matrix'!$I$2:$I$46,", ",",")&amp;","))*('2L Screening Matrix'!$C$2:$C$46=$A57))</f>
        <v>0</v>
      </c>
      <c r="AJ57" s="11">
        <f>SUMPRODUCT(ISNUMBER(SEARCH(",NTRK,",","&amp;SUBSTITUTE('1L Screening Matrix'!$I$2:$I$77,", ",",")&amp;","))*('1L Screening Matrix'!$C$2:$C$77=$A57))+SUMPRODUCT(ISNUMBER(SEARCH(",NTRK,",","&amp;SUBSTITUTE('2L Screening Matrix'!$I$2:$I$46,", ",",")&amp;","))*('2L Screening Matrix'!$C$2:$C$46=$A57))</f>
        <v>0</v>
      </c>
      <c r="AK57" s="11">
        <f>SUMPRODUCT(ISNUMBER(SEARCH(",Integrin β6,",","&amp;SUBSTITUTE('1L Screening Matrix'!$I$2:$I$77,", ",",")&amp;","))*('1L Screening Matrix'!$C$2:$C$77=$A57))+SUMPRODUCT(ISNUMBER(SEARCH(",Integrin β6,",","&amp;SUBSTITUTE('2L Screening Matrix'!$I$2:$I$46,", ",",")&amp;","))*('2L Screening Matrix'!$C$2:$C$46=$A57))</f>
        <v>0</v>
      </c>
      <c r="AL57" s="11">
        <f>SUMPRODUCT(ISNUMBER(SEARCH(",LAG-3,",","&amp;SUBSTITUTE('1L Screening Matrix'!$I$2:$I$77,", ",",")&amp;","))*('1L Screening Matrix'!$C$2:$C$77=$A57))+SUMPRODUCT(ISNUMBER(SEARCH(",LAG-3,",","&amp;SUBSTITUTE('2L Screening Matrix'!$I$2:$I$46,", ",",")&amp;","))*('2L Screening Matrix'!$C$2:$C$46=$A57))</f>
        <v>0</v>
      </c>
      <c r="AM57" s="14">
        <f t="shared" si="1"/>
        <v>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
  <sheetViews>
    <sheetView zoomScaleNormal="100" workbookViewId="0">
      <selection sqref="A1:E1"/>
    </sheetView>
  </sheetViews>
  <sheetFormatPr baseColWidth="10" defaultColWidth="8.6640625" defaultRowHeight="15" customHeight="1" x14ac:dyDescent="0.2"/>
  <cols>
    <col min="1" max="1" width="20" customWidth="1"/>
    <col min="2" max="5" width="16" customWidth="1"/>
  </cols>
  <sheetData>
    <row r="1" spans="1:5" ht="15" customHeight="1" x14ac:dyDescent="0.2">
      <c r="A1" s="1" t="s">
        <v>2115</v>
      </c>
      <c r="B1" s="1"/>
      <c r="C1" s="1"/>
      <c r="D1" s="1"/>
      <c r="E1" s="1"/>
    </row>
    <row r="2" spans="1:5" ht="15" customHeight="1" x14ac:dyDescent="0.2">
      <c r="A2" s="17"/>
      <c r="B2" s="17" t="s">
        <v>2116</v>
      </c>
      <c r="C2" s="17" t="s">
        <v>2117</v>
      </c>
      <c r="D2" s="17" t="s">
        <v>2118</v>
      </c>
      <c r="E2" s="17" t="s">
        <v>2114</v>
      </c>
    </row>
    <row r="3" spans="1:5" ht="15" customHeight="1" x14ac:dyDescent="0.2">
      <c r="A3" s="18" t="s">
        <v>2119</v>
      </c>
      <c r="B3" s="11">
        <f>SUMPRODUCT(('1L Screening Matrix'!$R$2:$R$77="Non-squamous")*('1L Screening Matrix'!$S$2:$S$77="TPS ≥ 50%"))</f>
        <v>2</v>
      </c>
      <c r="C3" s="11">
        <f>SUMPRODUCT(('1L Screening Matrix'!$R$2:$R$77="Non-squamous")*('1L Screening Matrix'!$S$2:$S$77="TPS 1-49%"))</f>
        <v>4</v>
      </c>
      <c r="D3" s="11">
        <f>SUMPRODUCT(('1L Screening Matrix'!$R$2:$R$77="Non-squamous")*('1L Screening Matrix'!$S$2:$S$77="All-comers"))</f>
        <v>22</v>
      </c>
      <c r="E3" s="14">
        <f>SUM(B3:D3)</f>
        <v>28</v>
      </c>
    </row>
    <row r="4" spans="1:5" ht="15" customHeight="1" x14ac:dyDescent="0.2">
      <c r="A4" s="18" t="s">
        <v>2120</v>
      </c>
      <c r="B4" s="11">
        <f>SUMPRODUCT(('1L Screening Matrix'!$R$2:$R$77="Squamous")*('1L Screening Matrix'!$S$2:$S$77="TPS ≥ 50%"))</f>
        <v>0</v>
      </c>
      <c r="C4" s="11">
        <f>SUMPRODUCT(('1L Screening Matrix'!$R$2:$R$77="Squamous")*('1L Screening Matrix'!$S$2:$S$77="TPS 1-49%"))</f>
        <v>1</v>
      </c>
      <c r="D4" s="11">
        <f>SUMPRODUCT(('1L Screening Matrix'!$R$2:$R$77="Squamous")*('1L Screening Matrix'!$S$2:$S$77="All-comers"))</f>
        <v>1</v>
      </c>
      <c r="E4" s="14">
        <f>SUM(B4:D4)</f>
        <v>2</v>
      </c>
    </row>
    <row r="5" spans="1:5" ht="15" customHeight="1" x14ac:dyDescent="0.2">
      <c r="A5" s="18" t="s">
        <v>2121</v>
      </c>
      <c r="B5" s="11">
        <f>SUMPRODUCT(('1L Screening Matrix'!$R$2:$R$77="Both")*('1L Screening Matrix'!$S$2:$S$77="TPS ≥ 50%"))</f>
        <v>5</v>
      </c>
      <c r="C5" s="11">
        <f>SUMPRODUCT(('1L Screening Matrix'!$R$2:$R$77="Both")*('1L Screening Matrix'!$S$2:$S$77="TPS 1-49%"))</f>
        <v>1</v>
      </c>
      <c r="D5" s="11">
        <f>SUMPRODUCT(('1L Screening Matrix'!$R$2:$R$77="Both")*('1L Screening Matrix'!$S$2:$S$77="All-comers"))</f>
        <v>9</v>
      </c>
      <c r="E5" s="14">
        <f>SUM(B5:D5)</f>
        <v>15</v>
      </c>
    </row>
    <row r="6" spans="1:5" ht="15" customHeight="1" x14ac:dyDescent="0.2">
      <c r="A6" s="18" t="s">
        <v>2122</v>
      </c>
      <c r="B6" s="11">
        <f>SUMPRODUCT(('1L Screening Matrix'!$R$2:$R$77="Unspecified")*('1L Screening Matrix'!$S$2:$S$77="TPS ≥ 50%"))</f>
        <v>4</v>
      </c>
      <c r="C6" s="11">
        <f>SUMPRODUCT(('1L Screening Matrix'!$R$2:$R$77="Unspecified")*('1L Screening Matrix'!$S$2:$S$77="TPS 1-49%"))</f>
        <v>3</v>
      </c>
      <c r="D6" s="11">
        <f>SUMPRODUCT(('1L Screening Matrix'!$R$2:$R$77="Unspecified")*('1L Screening Matrix'!$S$2:$S$77="All-comers"))</f>
        <v>24</v>
      </c>
      <c r="E6" s="14">
        <f>SUM(B6:D6)</f>
        <v>31</v>
      </c>
    </row>
    <row r="7" spans="1:5" ht="15" customHeight="1" x14ac:dyDescent="0.2">
      <c r="A7" s="19" t="s">
        <v>2035</v>
      </c>
      <c r="B7" s="14">
        <f>SUM(B3:B6)</f>
        <v>11</v>
      </c>
      <c r="C7" s="14">
        <f>SUM(C3:C6)</f>
        <v>9</v>
      </c>
      <c r="D7" s="14">
        <f>SUM(D3:D6)</f>
        <v>56</v>
      </c>
      <c r="E7" s="14">
        <f>SUM(E3:E6)</f>
        <v>76</v>
      </c>
    </row>
    <row r="9" spans="1:5" ht="15" customHeight="1" x14ac:dyDescent="0.2">
      <c r="A9" s="1" t="s">
        <v>2123</v>
      </c>
      <c r="B9" s="1"/>
      <c r="C9" s="1"/>
      <c r="D9" s="1"/>
      <c r="E9" s="1"/>
    </row>
    <row r="10" spans="1:5" ht="15" customHeight="1" x14ac:dyDescent="0.2">
      <c r="A10" s="17"/>
      <c r="B10" s="17" t="s">
        <v>2116</v>
      </c>
      <c r="C10" s="17" t="s">
        <v>2117</v>
      </c>
      <c r="D10" s="17" t="s">
        <v>2118</v>
      </c>
      <c r="E10" s="17" t="s">
        <v>2114</v>
      </c>
    </row>
    <row r="11" spans="1:5" ht="15" customHeight="1" x14ac:dyDescent="0.2">
      <c r="A11" s="18" t="s">
        <v>2119</v>
      </c>
      <c r="B11" s="11">
        <f>SUMPRODUCT(('2L Screening Matrix'!$R$2:$R$46="Non-squamous")*('2L Screening Matrix'!$S$2:$S$46="TPS ≥ 50%"))</f>
        <v>0</v>
      </c>
      <c r="C11" s="11">
        <f>SUMPRODUCT(('2L Screening Matrix'!$R$2:$R$46="Non-squamous")*('2L Screening Matrix'!$S$2:$S$46="TPS 1-49%"))</f>
        <v>0</v>
      </c>
      <c r="D11" s="11">
        <f>SUMPRODUCT(('2L Screening Matrix'!$R$2:$R$46="Non-squamous")*('2L Screening Matrix'!$S$2:$S$46="All-comers"))</f>
        <v>17</v>
      </c>
      <c r="E11" s="14">
        <f>SUM(B11:D11)</f>
        <v>17</v>
      </c>
    </row>
    <row r="12" spans="1:5" ht="15" customHeight="1" x14ac:dyDescent="0.2">
      <c r="A12" s="18" t="s">
        <v>2120</v>
      </c>
      <c r="B12" s="11">
        <f>SUMPRODUCT(('2L Screening Matrix'!$R$2:$R$46="Squamous")*('2L Screening Matrix'!$S$2:$S$46="TPS ≥ 50%"))</f>
        <v>0</v>
      </c>
      <c r="C12" s="11">
        <f>SUMPRODUCT(('2L Screening Matrix'!$R$2:$R$46="Squamous")*('2L Screening Matrix'!$S$2:$S$46="TPS 1-49%"))</f>
        <v>0</v>
      </c>
      <c r="D12" s="11">
        <f>SUMPRODUCT(('2L Screening Matrix'!$R$2:$R$46="Squamous")*('2L Screening Matrix'!$S$2:$S$46="All-comers"))</f>
        <v>3</v>
      </c>
      <c r="E12" s="14">
        <f>SUM(B12:D12)</f>
        <v>3</v>
      </c>
    </row>
    <row r="13" spans="1:5" ht="15" customHeight="1" x14ac:dyDescent="0.2">
      <c r="A13" s="18" t="s">
        <v>2121</v>
      </c>
      <c r="B13" s="11">
        <f>SUMPRODUCT(('2L Screening Matrix'!$R$2:$R$46="Both")*('2L Screening Matrix'!$S$2:$S$46="TPS ≥ 50%"))</f>
        <v>0</v>
      </c>
      <c r="C13" s="11">
        <f>SUMPRODUCT(('2L Screening Matrix'!$R$2:$R$46="Both")*('2L Screening Matrix'!$S$2:$S$46="TPS 1-49%"))</f>
        <v>1</v>
      </c>
      <c r="D13" s="11">
        <f>SUMPRODUCT(('2L Screening Matrix'!$R$2:$R$46="Both")*('2L Screening Matrix'!$S$2:$S$46="All-comers"))</f>
        <v>8</v>
      </c>
      <c r="E13" s="14">
        <f>SUM(B13:D13)</f>
        <v>9</v>
      </c>
    </row>
    <row r="14" spans="1:5" ht="15" customHeight="1" x14ac:dyDescent="0.2">
      <c r="A14" s="18" t="s">
        <v>2122</v>
      </c>
      <c r="B14" s="11">
        <f>SUMPRODUCT(('2L Screening Matrix'!$R$2:$R$46="Unspecified")*('2L Screening Matrix'!$S$2:$S$46="TPS ≥ 50%"))</f>
        <v>0</v>
      </c>
      <c r="C14" s="11">
        <f>SUMPRODUCT(('2L Screening Matrix'!$R$2:$R$46="Unspecified")*('2L Screening Matrix'!$S$2:$S$46="TPS 1-49%"))</f>
        <v>1</v>
      </c>
      <c r="D14" s="11">
        <f>SUMPRODUCT(('2L Screening Matrix'!$R$2:$R$46="Unspecified")*('2L Screening Matrix'!$S$2:$S$46="All-comers"))</f>
        <v>15</v>
      </c>
      <c r="E14" s="14">
        <f>SUM(B14:D14)</f>
        <v>16</v>
      </c>
    </row>
    <row r="15" spans="1:5" ht="15" customHeight="1" x14ac:dyDescent="0.2">
      <c r="A15" s="19" t="s">
        <v>2039</v>
      </c>
      <c r="B15" s="14">
        <f>SUM(B11:B14)</f>
        <v>0</v>
      </c>
      <c r="C15" s="14">
        <f>SUM(C11:C14)</f>
        <v>2</v>
      </c>
      <c r="D15" s="14">
        <f>SUM(D11:D14)</f>
        <v>43</v>
      </c>
      <c r="E15" s="14">
        <f>SUM(E11:E14)</f>
        <v>45</v>
      </c>
    </row>
  </sheetData>
  <mergeCells count="2">
    <mergeCell ref="A1:E1"/>
    <mergeCell ref="A9:E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58"/>
  <sheetViews>
    <sheetView zoomScaleNormal="100" workbookViewId="0">
      <pane ySplit="1" topLeftCell="A3" activePane="bottomLeft" state="frozen"/>
      <selection pane="bottomLeft" activeCell="B13" sqref="B13:B14"/>
    </sheetView>
  </sheetViews>
  <sheetFormatPr baseColWidth="10" defaultColWidth="8.6640625" defaultRowHeight="15" customHeight="1" x14ac:dyDescent="0.2"/>
  <cols>
    <col min="1" max="1" width="6" customWidth="1"/>
    <col min="2" max="2" width="22" customWidth="1"/>
    <col min="3" max="3" width="20" customWidth="1"/>
    <col min="4" max="4" width="18" customWidth="1"/>
    <col min="5" max="5" width="16" customWidth="1"/>
    <col min="6" max="6" width="14" customWidth="1"/>
    <col min="7" max="7" width="35" customWidth="1"/>
    <col min="8" max="8" width="30" customWidth="1"/>
    <col min="9" max="9" width="14" customWidth="1"/>
    <col min="10" max="10" width="10" customWidth="1"/>
  </cols>
  <sheetData>
    <row r="1" spans="1:10" ht="23.25" customHeight="1" x14ac:dyDescent="0.2">
      <c r="A1" s="2" t="s">
        <v>2124</v>
      </c>
      <c r="B1" s="2" t="s">
        <v>2125</v>
      </c>
      <c r="C1" s="2" t="s">
        <v>2113</v>
      </c>
      <c r="D1" s="2" t="s">
        <v>1913</v>
      </c>
      <c r="E1" s="2" t="s">
        <v>1914</v>
      </c>
      <c r="F1" s="2" t="s">
        <v>2126</v>
      </c>
      <c r="G1" s="2" t="s">
        <v>2127</v>
      </c>
      <c r="H1" s="2" t="s">
        <v>2128</v>
      </c>
      <c r="I1" s="2" t="s">
        <v>2129</v>
      </c>
      <c r="J1" s="2" t="s">
        <v>21</v>
      </c>
    </row>
    <row r="2" spans="1:10" ht="15" customHeight="1" x14ac:dyDescent="0.2">
      <c r="A2" s="20" t="s">
        <v>2130</v>
      </c>
      <c r="B2" s="21" t="e">
        <f>'1L Screening Matrix'!#REF!</f>
        <v>#REF!</v>
      </c>
      <c r="C2" s="21" t="e">
        <f>'1L Screening Matrix'!#REF!</f>
        <v>#REF!</v>
      </c>
      <c r="D2" s="21" t="e">
        <f>'1L Screening Matrix'!#REF!</f>
        <v>#REF!</v>
      </c>
      <c r="E2" s="21" t="e">
        <f>'1L Screening Matrix'!#REF!</f>
        <v>#REF!</v>
      </c>
      <c r="F2" s="21" t="e">
        <f>'1L Screening Matrix'!#REF!</f>
        <v>#REF!</v>
      </c>
      <c r="G2" s="21" t="e">
        <f>'1L Screening Matrix'!#REF!</f>
        <v>#REF!</v>
      </c>
      <c r="H2" s="21" t="e">
        <f>'1L Screening Matrix'!#REF!</f>
        <v>#REF!</v>
      </c>
      <c r="I2" s="21" t="e">
        <f>'1L Screening Matrix'!#REF!</f>
        <v>#REF!</v>
      </c>
      <c r="J2" s="21" t="e">
        <f>'1L Screening Matrix'!#REF!</f>
        <v>#REF!</v>
      </c>
    </row>
    <row r="3" spans="1:10" ht="15" customHeight="1" x14ac:dyDescent="0.2">
      <c r="A3" s="22" t="s">
        <v>2130</v>
      </c>
      <c r="B3" s="10" t="e">
        <f>'1L Screening Matrix'!#REF!</f>
        <v>#REF!</v>
      </c>
      <c r="C3" s="10" t="e">
        <f>'1L Screening Matrix'!#REF!</f>
        <v>#REF!</v>
      </c>
      <c r="D3" s="10" t="e">
        <f>'1L Screening Matrix'!#REF!</f>
        <v>#REF!</v>
      </c>
      <c r="E3" s="10" t="e">
        <f>'1L Screening Matrix'!#REF!</f>
        <v>#REF!</v>
      </c>
      <c r="F3" s="10" t="e">
        <f>'1L Screening Matrix'!#REF!</f>
        <v>#REF!</v>
      </c>
      <c r="G3" s="10" t="e">
        <f>'1L Screening Matrix'!#REF!</f>
        <v>#REF!</v>
      </c>
      <c r="H3" s="10" t="e">
        <f>'1L Screening Matrix'!#REF!</f>
        <v>#REF!</v>
      </c>
      <c r="I3" s="10" t="e">
        <f>'1L Screening Matrix'!#REF!</f>
        <v>#REF!</v>
      </c>
      <c r="J3" s="10" t="e">
        <f>'1L Screening Matrix'!#REF!</f>
        <v>#REF!</v>
      </c>
    </row>
    <row r="4" spans="1:10" ht="15" customHeight="1" x14ac:dyDescent="0.2">
      <c r="A4" s="20" t="s">
        <v>2130</v>
      </c>
      <c r="B4" s="21" t="e">
        <f>'1L Screening Matrix'!#REF!</f>
        <v>#REF!</v>
      </c>
      <c r="C4" s="21" t="e">
        <f>'1L Screening Matrix'!#REF!</f>
        <v>#REF!</v>
      </c>
      <c r="D4" s="21" t="e">
        <f>'1L Screening Matrix'!#REF!</f>
        <v>#REF!</v>
      </c>
      <c r="E4" s="21" t="e">
        <f>'1L Screening Matrix'!#REF!</f>
        <v>#REF!</v>
      </c>
      <c r="F4" s="21" t="e">
        <f>'1L Screening Matrix'!#REF!</f>
        <v>#REF!</v>
      </c>
      <c r="G4" s="21" t="e">
        <f>'1L Screening Matrix'!#REF!</f>
        <v>#REF!</v>
      </c>
      <c r="H4" s="21" t="e">
        <f>'1L Screening Matrix'!#REF!</f>
        <v>#REF!</v>
      </c>
      <c r="I4" s="21" t="e">
        <f>'1L Screening Matrix'!#REF!</f>
        <v>#REF!</v>
      </c>
      <c r="J4" s="21" t="e">
        <f>'1L Screening Matrix'!#REF!</f>
        <v>#REF!</v>
      </c>
    </row>
    <row r="5" spans="1:10" ht="15" customHeight="1" x14ac:dyDescent="0.2">
      <c r="A5" s="22" t="s">
        <v>2130</v>
      </c>
      <c r="B5" s="10" t="e">
        <f>'1L Screening Matrix'!#REF!</f>
        <v>#REF!</v>
      </c>
      <c r="C5" s="10" t="e">
        <f>'1L Screening Matrix'!#REF!</f>
        <v>#REF!</v>
      </c>
      <c r="D5" s="10" t="e">
        <f>'1L Screening Matrix'!#REF!</f>
        <v>#REF!</v>
      </c>
      <c r="E5" s="10" t="e">
        <f>'1L Screening Matrix'!#REF!</f>
        <v>#REF!</v>
      </c>
      <c r="F5" s="10" t="e">
        <f>'1L Screening Matrix'!#REF!</f>
        <v>#REF!</v>
      </c>
      <c r="G5" s="10" t="e">
        <f>'1L Screening Matrix'!#REF!</f>
        <v>#REF!</v>
      </c>
      <c r="H5" s="10" t="e">
        <f>'1L Screening Matrix'!#REF!</f>
        <v>#REF!</v>
      </c>
      <c r="I5" s="10" t="e">
        <f>'1L Screening Matrix'!#REF!</f>
        <v>#REF!</v>
      </c>
      <c r="J5" s="10" t="e">
        <f>'1L Screening Matrix'!#REF!</f>
        <v>#REF!</v>
      </c>
    </row>
    <row r="6" spans="1:10" ht="15" customHeight="1" x14ac:dyDescent="0.2">
      <c r="A6" s="20" t="s">
        <v>2130</v>
      </c>
      <c r="B6" s="21" t="e">
        <f>'1L Screening Matrix'!#REF!</f>
        <v>#REF!</v>
      </c>
      <c r="C6" s="21" t="e">
        <f>'1L Screening Matrix'!#REF!</f>
        <v>#REF!</v>
      </c>
      <c r="D6" s="21" t="e">
        <f>'1L Screening Matrix'!#REF!</f>
        <v>#REF!</v>
      </c>
      <c r="E6" s="21" t="e">
        <f>'1L Screening Matrix'!#REF!</f>
        <v>#REF!</v>
      </c>
      <c r="F6" s="21" t="e">
        <f>'1L Screening Matrix'!#REF!</f>
        <v>#REF!</v>
      </c>
      <c r="G6" s="21" t="e">
        <f>'1L Screening Matrix'!#REF!</f>
        <v>#REF!</v>
      </c>
      <c r="H6" s="21" t="e">
        <f>'1L Screening Matrix'!#REF!</f>
        <v>#REF!</v>
      </c>
      <c r="I6" s="21" t="e">
        <f>'1L Screening Matrix'!#REF!</f>
        <v>#REF!</v>
      </c>
      <c r="J6" s="21" t="e">
        <f>'1L Screening Matrix'!#REF!</f>
        <v>#REF!</v>
      </c>
    </row>
    <row r="7" spans="1:10" ht="15" customHeight="1" x14ac:dyDescent="0.2">
      <c r="A7" s="22" t="s">
        <v>2130</v>
      </c>
      <c r="B7" s="10" t="e">
        <f>'1L Screening Matrix'!#REF!</f>
        <v>#REF!</v>
      </c>
      <c r="C7" s="10" t="e">
        <f>'1L Screening Matrix'!#REF!</f>
        <v>#REF!</v>
      </c>
      <c r="D7" s="10" t="e">
        <f>'1L Screening Matrix'!#REF!</f>
        <v>#REF!</v>
      </c>
      <c r="E7" s="10" t="e">
        <f>'1L Screening Matrix'!#REF!</f>
        <v>#REF!</v>
      </c>
      <c r="F7" s="10" t="e">
        <f>'1L Screening Matrix'!#REF!</f>
        <v>#REF!</v>
      </c>
      <c r="G7" s="10" t="e">
        <f>'1L Screening Matrix'!#REF!</f>
        <v>#REF!</v>
      </c>
      <c r="H7" s="10" t="e">
        <f>'1L Screening Matrix'!#REF!</f>
        <v>#REF!</v>
      </c>
      <c r="I7" s="10" t="e">
        <f>'1L Screening Matrix'!#REF!</f>
        <v>#REF!</v>
      </c>
      <c r="J7" s="10" t="e">
        <f>'1L Screening Matrix'!#REF!</f>
        <v>#REF!</v>
      </c>
    </row>
    <row r="8" spans="1:10" ht="15" customHeight="1" x14ac:dyDescent="0.2">
      <c r="A8" s="20" t="s">
        <v>2130</v>
      </c>
      <c r="B8" s="21" t="e">
        <f>'1L Screening Matrix'!#REF!</f>
        <v>#REF!</v>
      </c>
      <c r="C8" s="21" t="e">
        <f>'1L Screening Matrix'!#REF!</f>
        <v>#REF!</v>
      </c>
      <c r="D8" s="21" t="e">
        <f>'1L Screening Matrix'!#REF!</f>
        <v>#REF!</v>
      </c>
      <c r="E8" s="21" t="e">
        <f>'1L Screening Matrix'!#REF!</f>
        <v>#REF!</v>
      </c>
      <c r="F8" s="21" t="e">
        <f>'1L Screening Matrix'!#REF!</f>
        <v>#REF!</v>
      </c>
      <c r="G8" s="21" t="e">
        <f>'1L Screening Matrix'!#REF!</f>
        <v>#REF!</v>
      </c>
      <c r="H8" s="21" t="e">
        <f>'1L Screening Matrix'!#REF!</f>
        <v>#REF!</v>
      </c>
      <c r="I8" s="21" t="e">
        <f>'1L Screening Matrix'!#REF!</f>
        <v>#REF!</v>
      </c>
      <c r="J8" s="21" t="e">
        <f>'1L Screening Matrix'!#REF!</f>
        <v>#REF!</v>
      </c>
    </row>
    <row r="9" spans="1:10" ht="15" customHeight="1" x14ac:dyDescent="0.2">
      <c r="A9" s="22" t="s">
        <v>2130</v>
      </c>
      <c r="B9" s="10" t="e">
        <f>'1L Screening Matrix'!#REF!</f>
        <v>#REF!</v>
      </c>
      <c r="C9" s="10" t="e">
        <f>'1L Screening Matrix'!#REF!</f>
        <v>#REF!</v>
      </c>
      <c r="D9" s="10" t="e">
        <f>'1L Screening Matrix'!#REF!</f>
        <v>#REF!</v>
      </c>
      <c r="E9" s="10" t="e">
        <f>'1L Screening Matrix'!#REF!</f>
        <v>#REF!</v>
      </c>
      <c r="F9" s="10" t="e">
        <f>'1L Screening Matrix'!#REF!</f>
        <v>#REF!</v>
      </c>
      <c r="G9" s="10" t="e">
        <f>'1L Screening Matrix'!#REF!</f>
        <v>#REF!</v>
      </c>
      <c r="H9" s="10" t="e">
        <f>'1L Screening Matrix'!#REF!</f>
        <v>#REF!</v>
      </c>
      <c r="I9" s="10" t="e">
        <f>'1L Screening Matrix'!#REF!</f>
        <v>#REF!</v>
      </c>
      <c r="J9" s="10" t="e">
        <f>'1L Screening Matrix'!#REF!</f>
        <v>#REF!</v>
      </c>
    </row>
    <row r="10" spans="1:10" ht="15" customHeight="1" x14ac:dyDescent="0.2">
      <c r="A10" s="20" t="s">
        <v>2130</v>
      </c>
      <c r="B10" s="21" t="e">
        <f>'1L Screening Matrix'!#REF!</f>
        <v>#REF!</v>
      </c>
      <c r="C10" s="21" t="e">
        <f>'1L Screening Matrix'!#REF!</f>
        <v>#REF!</v>
      </c>
      <c r="D10" s="21" t="e">
        <f>'1L Screening Matrix'!#REF!</f>
        <v>#REF!</v>
      </c>
      <c r="E10" s="21" t="e">
        <f>'1L Screening Matrix'!#REF!</f>
        <v>#REF!</v>
      </c>
      <c r="F10" s="21" t="e">
        <f>'1L Screening Matrix'!#REF!</f>
        <v>#REF!</v>
      </c>
      <c r="G10" s="21" t="e">
        <f>'1L Screening Matrix'!#REF!</f>
        <v>#REF!</v>
      </c>
      <c r="H10" s="21" t="e">
        <f>'1L Screening Matrix'!#REF!</f>
        <v>#REF!</v>
      </c>
      <c r="I10" s="21" t="e">
        <f>'1L Screening Matrix'!#REF!</f>
        <v>#REF!</v>
      </c>
      <c r="J10" s="21" t="e">
        <f>'1L Screening Matrix'!#REF!</f>
        <v>#REF!</v>
      </c>
    </row>
    <row r="11" spans="1:10" ht="15" customHeight="1" x14ac:dyDescent="0.2">
      <c r="A11" s="22" t="s">
        <v>2130</v>
      </c>
      <c r="B11" s="10" t="e">
        <f>'1L Screening Matrix'!#REF!</f>
        <v>#REF!</v>
      </c>
      <c r="C11" s="10" t="e">
        <f>'1L Screening Matrix'!#REF!</f>
        <v>#REF!</v>
      </c>
      <c r="D11" s="10" t="e">
        <f>'1L Screening Matrix'!#REF!</f>
        <v>#REF!</v>
      </c>
      <c r="E11" s="10" t="e">
        <f>'1L Screening Matrix'!#REF!</f>
        <v>#REF!</v>
      </c>
      <c r="F11" s="10" t="e">
        <f>'1L Screening Matrix'!#REF!</f>
        <v>#REF!</v>
      </c>
      <c r="G11" s="10" t="e">
        <f>'1L Screening Matrix'!#REF!</f>
        <v>#REF!</v>
      </c>
      <c r="H11" s="10" t="e">
        <f>'1L Screening Matrix'!#REF!</f>
        <v>#REF!</v>
      </c>
      <c r="I11" s="10" t="e">
        <f>'1L Screening Matrix'!#REF!</f>
        <v>#REF!</v>
      </c>
      <c r="J11" s="10" t="e">
        <f>'1L Screening Matrix'!#REF!</f>
        <v>#REF!</v>
      </c>
    </row>
    <row r="12" spans="1:10" ht="15" customHeight="1" x14ac:dyDescent="0.2">
      <c r="A12" s="20" t="s">
        <v>2130</v>
      </c>
      <c r="B12" s="21" t="e">
        <f>'1L Screening Matrix'!#REF!</f>
        <v>#REF!</v>
      </c>
      <c r="C12" s="21" t="e">
        <f>'1L Screening Matrix'!#REF!</f>
        <v>#REF!</v>
      </c>
      <c r="D12" s="21" t="e">
        <f>'1L Screening Matrix'!#REF!</f>
        <v>#REF!</v>
      </c>
      <c r="E12" s="21" t="e">
        <f>'1L Screening Matrix'!#REF!</f>
        <v>#REF!</v>
      </c>
      <c r="F12" s="21" t="e">
        <f>'1L Screening Matrix'!#REF!</f>
        <v>#REF!</v>
      </c>
      <c r="G12" s="21" t="e">
        <f>'1L Screening Matrix'!#REF!</f>
        <v>#REF!</v>
      </c>
      <c r="H12" s="21" t="e">
        <f>'1L Screening Matrix'!#REF!</f>
        <v>#REF!</v>
      </c>
      <c r="I12" s="21" t="e">
        <f>'1L Screening Matrix'!#REF!</f>
        <v>#REF!</v>
      </c>
      <c r="J12" s="21" t="e">
        <f>'1L Screening Matrix'!#REF!</f>
        <v>#REF!</v>
      </c>
    </row>
    <row r="13" spans="1:10" ht="15" customHeight="1" x14ac:dyDescent="0.2">
      <c r="A13" s="22" t="s">
        <v>2130</v>
      </c>
      <c r="B13" s="10" t="e">
        <f>'1L Screening Matrix'!#REF!</f>
        <v>#REF!</v>
      </c>
      <c r="C13" s="10" t="e">
        <f>'1L Screening Matrix'!#REF!</f>
        <v>#REF!</v>
      </c>
      <c r="D13" s="10" t="e">
        <f>'1L Screening Matrix'!#REF!</f>
        <v>#REF!</v>
      </c>
      <c r="E13" s="10" t="e">
        <f>'1L Screening Matrix'!#REF!</f>
        <v>#REF!</v>
      </c>
      <c r="F13" s="10" t="e">
        <f>'1L Screening Matrix'!#REF!</f>
        <v>#REF!</v>
      </c>
      <c r="G13" s="10" t="e">
        <f>'1L Screening Matrix'!#REF!</f>
        <v>#REF!</v>
      </c>
      <c r="H13" s="10" t="e">
        <f>'1L Screening Matrix'!#REF!</f>
        <v>#REF!</v>
      </c>
      <c r="I13" s="10" t="e">
        <f>'1L Screening Matrix'!#REF!</f>
        <v>#REF!</v>
      </c>
      <c r="J13" s="10" t="e">
        <f>'1L Screening Matrix'!#REF!</f>
        <v>#REF!</v>
      </c>
    </row>
    <row r="14" spans="1:10" ht="15" customHeight="1" x14ac:dyDescent="0.2">
      <c r="A14" s="20" t="s">
        <v>2130</v>
      </c>
      <c r="B14" s="21" t="e">
        <f>'1L Screening Matrix'!#REF!</f>
        <v>#REF!</v>
      </c>
      <c r="C14" s="21" t="e">
        <f>'1L Screening Matrix'!#REF!</f>
        <v>#REF!</v>
      </c>
      <c r="D14" s="21" t="e">
        <f>'1L Screening Matrix'!#REF!</f>
        <v>#REF!</v>
      </c>
      <c r="E14" s="21" t="e">
        <f>'1L Screening Matrix'!#REF!</f>
        <v>#REF!</v>
      </c>
      <c r="F14" s="21" t="e">
        <f>'1L Screening Matrix'!#REF!</f>
        <v>#REF!</v>
      </c>
      <c r="G14" s="21" t="e">
        <f>'1L Screening Matrix'!#REF!</f>
        <v>#REF!</v>
      </c>
      <c r="H14" s="21" t="e">
        <f>'1L Screening Matrix'!#REF!</f>
        <v>#REF!</v>
      </c>
      <c r="I14" s="21" t="e">
        <f>'1L Screening Matrix'!#REF!</f>
        <v>#REF!</v>
      </c>
      <c r="J14" s="21" t="e">
        <f>'1L Screening Matrix'!#REF!</f>
        <v>#REF!</v>
      </c>
    </row>
    <row r="15" spans="1:10" ht="15" customHeight="1" x14ac:dyDescent="0.2">
      <c r="A15" s="22" t="s">
        <v>2130</v>
      </c>
      <c r="B15" s="10" t="e">
        <f>'1L Screening Matrix'!#REF!</f>
        <v>#REF!</v>
      </c>
      <c r="C15" s="10" t="e">
        <f>'1L Screening Matrix'!#REF!</f>
        <v>#REF!</v>
      </c>
      <c r="D15" s="10" t="e">
        <f>'1L Screening Matrix'!#REF!</f>
        <v>#REF!</v>
      </c>
      <c r="E15" s="10" t="e">
        <f>'1L Screening Matrix'!#REF!</f>
        <v>#REF!</v>
      </c>
      <c r="F15" s="10" t="e">
        <f>'1L Screening Matrix'!#REF!</f>
        <v>#REF!</v>
      </c>
      <c r="G15" s="10" t="e">
        <f>'1L Screening Matrix'!#REF!</f>
        <v>#REF!</v>
      </c>
      <c r="H15" s="10" t="e">
        <f>'1L Screening Matrix'!#REF!</f>
        <v>#REF!</v>
      </c>
      <c r="I15" s="10" t="e">
        <f>'1L Screening Matrix'!#REF!</f>
        <v>#REF!</v>
      </c>
      <c r="J15" s="10" t="e">
        <f>'1L Screening Matrix'!#REF!</f>
        <v>#REF!</v>
      </c>
    </row>
    <row r="16" spans="1:10" ht="15" customHeight="1" x14ac:dyDescent="0.2">
      <c r="A16" s="20" t="s">
        <v>2130</v>
      </c>
      <c r="B16" s="21" t="e">
        <f>'1L Screening Matrix'!#REF!</f>
        <v>#REF!</v>
      </c>
      <c r="C16" s="21" t="e">
        <f>'1L Screening Matrix'!#REF!</f>
        <v>#REF!</v>
      </c>
      <c r="D16" s="21" t="e">
        <f>'1L Screening Matrix'!#REF!</f>
        <v>#REF!</v>
      </c>
      <c r="E16" s="21" t="e">
        <f>'1L Screening Matrix'!#REF!</f>
        <v>#REF!</v>
      </c>
      <c r="F16" s="21" t="e">
        <f>'1L Screening Matrix'!#REF!</f>
        <v>#REF!</v>
      </c>
      <c r="G16" s="21" t="e">
        <f>'1L Screening Matrix'!#REF!</f>
        <v>#REF!</v>
      </c>
      <c r="H16" s="21" t="e">
        <f>'1L Screening Matrix'!#REF!</f>
        <v>#REF!</v>
      </c>
      <c r="I16" s="21" t="e">
        <f>'1L Screening Matrix'!#REF!</f>
        <v>#REF!</v>
      </c>
      <c r="J16" s="21" t="e">
        <f>'1L Screening Matrix'!#REF!</f>
        <v>#REF!</v>
      </c>
    </row>
    <row r="17" spans="1:10" ht="15" customHeight="1" x14ac:dyDescent="0.2">
      <c r="A17" s="22" t="s">
        <v>2130</v>
      </c>
      <c r="B17" s="10" t="e">
        <f>'1L Screening Matrix'!#REF!</f>
        <v>#REF!</v>
      </c>
      <c r="C17" s="10" t="e">
        <f>'1L Screening Matrix'!#REF!</f>
        <v>#REF!</v>
      </c>
      <c r="D17" s="10" t="e">
        <f>'1L Screening Matrix'!#REF!</f>
        <v>#REF!</v>
      </c>
      <c r="E17" s="10" t="e">
        <f>'1L Screening Matrix'!#REF!</f>
        <v>#REF!</v>
      </c>
      <c r="F17" s="10" t="e">
        <f>'1L Screening Matrix'!#REF!</f>
        <v>#REF!</v>
      </c>
      <c r="G17" s="10" t="e">
        <f>'1L Screening Matrix'!#REF!</f>
        <v>#REF!</v>
      </c>
      <c r="H17" s="10" t="e">
        <f>'1L Screening Matrix'!#REF!</f>
        <v>#REF!</v>
      </c>
      <c r="I17" s="10" t="e">
        <f>'1L Screening Matrix'!#REF!</f>
        <v>#REF!</v>
      </c>
      <c r="J17" s="10" t="e">
        <f>'1L Screening Matrix'!#REF!</f>
        <v>#REF!</v>
      </c>
    </row>
    <row r="18" spans="1:10" ht="15" customHeight="1" x14ac:dyDescent="0.2">
      <c r="A18" s="20" t="s">
        <v>2130</v>
      </c>
      <c r="B18" s="21" t="e">
        <f>'1L Screening Matrix'!#REF!</f>
        <v>#REF!</v>
      </c>
      <c r="C18" s="21" t="e">
        <f>'1L Screening Matrix'!#REF!</f>
        <v>#REF!</v>
      </c>
      <c r="D18" s="21" t="e">
        <f>'1L Screening Matrix'!#REF!</f>
        <v>#REF!</v>
      </c>
      <c r="E18" s="21" t="e">
        <f>'1L Screening Matrix'!#REF!</f>
        <v>#REF!</v>
      </c>
      <c r="F18" s="21" t="e">
        <f>'1L Screening Matrix'!#REF!</f>
        <v>#REF!</v>
      </c>
      <c r="G18" s="21" t="e">
        <f>'1L Screening Matrix'!#REF!</f>
        <v>#REF!</v>
      </c>
      <c r="H18" s="21" t="e">
        <f>'1L Screening Matrix'!#REF!</f>
        <v>#REF!</v>
      </c>
      <c r="I18" s="21" t="e">
        <f>'1L Screening Matrix'!#REF!</f>
        <v>#REF!</v>
      </c>
      <c r="J18" s="21" t="e">
        <f>'1L Screening Matrix'!#REF!</f>
        <v>#REF!</v>
      </c>
    </row>
    <row r="19" spans="1:10" ht="15" customHeight="1" x14ac:dyDescent="0.2">
      <c r="A19" s="22" t="s">
        <v>2130</v>
      </c>
      <c r="B19" s="10" t="e">
        <f>'1L Screening Matrix'!#REF!</f>
        <v>#REF!</v>
      </c>
      <c r="C19" s="10" t="e">
        <f>'1L Screening Matrix'!#REF!</f>
        <v>#REF!</v>
      </c>
      <c r="D19" s="10" t="e">
        <f>'1L Screening Matrix'!#REF!</f>
        <v>#REF!</v>
      </c>
      <c r="E19" s="10" t="e">
        <f>'1L Screening Matrix'!#REF!</f>
        <v>#REF!</v>
      </c>
      <c r="F19" s="10" t="e">
        <f>'1L Screening Matrix'!#REF!</f>
        <v>#REF!</v>
      </c>
      <c r="G19" s="10" t="e">
        <f>'1L Screening Matrix'!#REF!</f>
        <v>#REF!</v>
      </c>
      <c r="H19" s="10" t="e">
        <f>'1L Screening Matrix'!#REF!</f>
        <v>#REF!</v>
      </c>
      <c r="I19" s="10" t="e">
        <f>'1L Screening Matrix'!#REF!</f>
        <v>#REF!</v>
      </c>
      <c r="J19" s="10" t="e">
        <f>'1L Screening Matrix'!#REF!</f>
        <v>#REF!</v>
      </c>
    </row>
    <row r="20" spans="1:10" ht="15" customHeight="1" x14ac:dyDescent="0.2">
      <c r="A20" s="20" t="s">
        <v>2130</v>
      </c>
      <c r="B20" s="21" t="e">
        <f>'1L Screening Matrix'!#REF!</f>
        <v>#REF!</v>
      </c>
      <c r="C20" s="21" t="e">
        <f>'1L Screening Matrix'!#REF!</f>
        <v>#REF!</v>
      </c>
      <c r="D20" s="21" t="e">
        <f>'1L Screening Matrix'!#REF!</f>
        <v>#REF!</v>
      </c>
      <c r="E20" s="21" t="e">
        <f>'1L Screening Matrix'!#REF!</f>
        <v>#REF!</v>
      </c>
      <c r="F20" s="21" t="e">
        <f>'1L Screening Matrix'!#REF!</f>
        <v>#REF!</v>
      </c>
      <c r="G20" s="21" t="e">
        <f>'1L Screening Matrix'!#REF!</f>
        <v>#REF!</v>
      </c>
      <c r="H20" s="21" t="e">
        <f>'1L Screening Matrix'!#REF!</f>
        <v>#REF!</v>
      </c>
      <c r="I20" s="21" t="e">
        <f>'1L Screening Matrix'!#REF!</f>
        <v>#REF!</v>
      </c>
      <c r="J20" s="21" t="e">
        <f>'1L Screening Matrix'!#REF!</f>
        <v>#REF!</v>
      </c>
    </row>
    <row r="21" spans="1:10" ht="15" customHeight="1" x14ac:dyDescent="0.2">
      <c r="A21" s="22" t="s">
        <v>2130</v>
      </c>
      <c r="B21" s="10" t="e">
        <f>'1L Screening Matrix'!#REF!</f>
        <v>#REF!</v>
      </c>
      <c r="C21" s="10" t="e">
        <f>'1L Screening Matrix'!#REF!</f>
        <v>#REF!</v>
      </c>
      <c r="D21" s="10" t="e">
        <f>'1L Screening Matrix'!#REF!</f>
        <v>#REF!</v>
      </c>
      <c r="E21" s="10" t="e">
        <f>'1L Screening Matrix'!#REF!</f>
        <v>#REF!</v>
      </c>
      <c r="F21" s="10" t="e">
        <f>'1L Screening Matrix'!#REF!</f>
        <v>#REF!</v>
      </c>
      <c r="G21" s="10" t="e">
        <f>'1L Screening Matrix'!#REF!</f>
        <v>#REF!</v>
      </c>
      <c r="H21" s="10" t="e">
        <f>'1L Screening Matrix'!#REF!</f>
        <v>#REF!</v>
      </c>
      <c r="I21" s="10" t="e">
        <f>'1L Screening Matrix'!#REF!</f>
        <v>#REF!</v>
      </c>
      <c r="J21" s="10" t="e">
        <f>'1L Screening Matrix'!#REF!</f>
        <v>#REF!</v>
      </c>
    </row>
    <row r="22" spans="1:10" ht="15" customHeight="1" x14ac:dyDescent="0.2">
      <c r="A22" s="20" t="s">
        <v>2130</v>
      </c>
      <c r="B22" s="21" t="str">
        <f>'1L Screening Matrix'!A2</f>
        <v>Adagrasib</v>
      </c>
      <c r="C22" s="21" t="str">
        <f>'1L Screening Matrix'!C2</f>
        <v>BMS</v>
      </c>
      <c r="D22" s="21" t="str">
        <f>'1L Screening Matrix'!Q2</f>
        <v>Stage IV Only</v>
      </c>
      <c r="E22" s="21" t="str">
        <f>'1L Screening Matrix'!R2</f>
        <v>Both</v>
      </c>
      <c r="F22" s="21" t="str">
        <f>'1L Screening Matrix'!S2</f>
        <v>TPS ≥ 50%</v>
      </c>
      <c r="G22" s="21" t="str">
        <f>'1L Screening Matrix'!I2</f>
        <v>CD279, KRAS G12C, PD-1</v>
      </c>
      <c r="H22" s="21" t="str">
        <f>'1L Screening Matrix'!J2</f>
        <v>KRAS G12C inhibitor</v>
      </c>
      <c r="I22" s="21" t="str">
        <f>'1L Screening Matrix'!H2</f>
        <v>Phase III</v>
      </c>
      <c r="J22" s="21" t="str">
        <f>'1L Screening Matrix'!L2</f>
        <v>No</v>
      </c>
    </row>
    <row r="23" spans="1:10" ht="15" customHeight="1" x14ac:dyDescent="0.2">
      <c r="A23" s="22" t="s">
        <v>2130</v>
      </c>
      <c r="B23" s="10" t="e">
        <f>'1L Screening Matrix'!#REF!</f>
        <v>#REF!</v>
      </c>
      <c r="C23" s="10" t="e">
        <f>'1L Screening Matrix'!#REF!</f>
        <v>#REF!</v>
      </c>
      <c r="D23" s="10" t="e">
        <f>'1L Screening Matrix'!#REF!</f>
        <v>#REF!</v>
      </c>
      <c r="E23" s="10" t="e">
        <f>'1L Screening Matrix'!#REF!</f>
        <v>#REF!</v>
      </c>
      <c r="F23" s="10" t="e">
        <f>'1L Screening Matrix'!#REF!</f>
        <v>#REF!</v>
      </c>
      <c r="G23" s="10" t="e">
        <f>'1L Screening Matrix'!#REF!</f>
        <v>#REF!</v>
      </c>
      <c r="H23" s="10" t="e">
        <f>'1L Screening Matrix'!#REF!</f>
        <v>#REF!</v>
      </c>
      <c r="I23" s="10" t="e">
        <f>'1L Screening Matrix'!#REF!</f>
        <v>#REF!</v>
      </c>
      <c r="J23" s="10" t="e">
        <f>'1L Screening Matrix'!#REF!</f>
        <v>#REF!</v>
      </c>
    </row>
    <row r="24" spans="1:10" ht="15" customHeight="1" x14ac:dyDescent="0.2">
      <c r="A24" s="20" t="s">
        <v>2130</v>
      </c>
      <c r="B24" s="21" t="e">
        <f>'1L Screening Matrix'!#REF!</f>
        <v>#REF!</v>
      </c>
      <c r="C24" s="21" t="e">
        <f>'1L Screening Matrix'!#REF!</f>
        <v>#REF!</v>
      </c>
      <c r="D24" s="21" t="e">
        <f>'1L Screening Matrix'!#REF!</f>
        <v>#REF!</v>
      </c>
      <c r="E24" s="21" t="e">
        <f>'1L Screening Matrix'!#REF!</f>
        <v>#REF!</v>
      </c>
      <c r="F24" s="21" t="e">
        <f>'1L Screening Matrix'!#REF!</f>
        <v>#REF!</v>
      </c>
      <c r="G24" s="21" t="e">
        <f>'1L Screening Matrix'!#REF!</f>
        <v>#REF!</v>
      </c>
      <c r="H24" s="21" t="e">
        <f>'1L Screening Matrix'!#REF!</f>
        <v>#REF!</v>
      </c>
      <c r="I24" s="21" t="e">
        <f>'1L Screening Matrix'!#REF!</f>
        <v>#REF!</v>
      </c>
      <c r="J24" s="21" t="e">
        <f>'1L Screening Matrix'!#REF!</f>
        <v>#REF!</v>
      </c>
    </row>
    <row r="25" spans="1:10" ht="15" customHeight="1" x14ac:dyDescent="0.2">
      <c r="A25" s="22" t="s">
        <v>2130</v>
      </c>
      <c r="B25" s="10" t="e">
        <f>'1L Screening Matrix'!#REF!</f>
        <v>#REF!</v>
      </c>
      <c r="C25" s="10" t="e">
        <f>'1L Screening Matrix'!#REF!</f>
        <v>#REF!</v>
      </c>
      <c r="D25" s="10" t="e">
        <f>'1L Screening Matrix'!#REF!</f>
        <v>#REF!</v>
      </c>
      <c r="E25" s="10" t="e">
        <f>'1L Screening Matrix'!#REF!</f>
        <v>#REF!</v>
      </c>
      <c r="F25" s="10" t="e">
        <f>'1L Screening Matrix'!#REF!</f>
        <v>#REF!</v>
      </c>
      <c r="G25" s="10" t="e">
        <f>'1L Screening Matrix'!#REF!</f>
        <v>#REF!</v>
      </c>
      <c r="H25" s="10" t="e">
        <f>'1L Screening Matrix'!#REF!</f>
        <v>#REF!</v>
      </c>
      <c r="I25" s="10" t="e">
        <f>'1L Screening Matrix'!#REF!</f>
        <v>#REF!</v>
      </c>
      <c r="J25" s="10" t="e">
        <f>'1L Screening Matrix'!#REF!</f>
        <v>#REF!</v>
      </c>
    </row>
    <row r="26" spans="1:10" ht="15" customHeight="1" x14ac:dyDescent="0.2">
      <c r="A26" s="20" t="s">
        <v>2130</v>
      </c>
      <c r="B26" s="21" t="e">
        <f>'1L Screening Matrix'!#REF!</f>
        <v>#REF!</v>
      </c>
      <c r="C26" s="21" t="e">
        <f>'1L Screening Matrix'!#REF!</f>
        <v>#REF!</v>
      </c>
      <c r="D26" s="21" t="e">
        <f>'1L Screening Matrix'!#REF!</f>
        <v>#REF!</v>
      </c>
      <c r="E26" s="21" t="e">
        <f>'1L Screening Matrix'!#REF!</f>
        <v>#REF!</v>
      </c>
      <c r="F26" s="21" t="e">
        <f>'1L Screening Matrix'!#REF!</f>
        <v>#REF!</v>
      </c>
      <c r="G26" s="21" t="e">
        <f>'1L Screening Matrix'!#REF!</f>
        <v>#REF!</v>
      </c>
      <c r="H26" s="21" t="e">
        <f>'1L Screening Matrix'!#REF!</f>
        <v>#REF!</v>
      </c>
      <c r="I26" s="21" t="e">
        <f>'1L Screening Matrix'!#REF!</f>
        <v>#REF!</v>
      </c>
      <c r="J26" s="21" t="e">
        <f>'1L Screening Matrix'!#REF!</f>
        <v>#REF!</v>
      </c>
    </row>
    <row r="27" spans="1:10" ht="15" customHeight="1" x14ac:dyDescent="0.2">
      <c r="A27" s="22" t="s">
        <v>2130</v>
      </c>
      <c r="B27" s="10" t="e">
        <f>'1L Screening Matrix'!#REF!</f>
        <v>#REF!</v>
      </c>
      <c r="C27" s="10" t="e">
        <f>'1L Screening Matrix'!#REF!</f>
        <v>#REF!</v>
      </c>
      <c r="D27" s="10" t="e">
        <f>'1L Screening Matrix'!#REF!</f>
        <v>#REF!</v>
      </c>
      <c r="E27" s="10" t="e">
        <f>'1L Screening Matrix'!#REF!</f>
        <v>#REF!</v>
      </c>
      <c r="F27" s="10" t="e">
        <f>'1L Screening Matrix'!#REF!</f>
        <v>#REF!</v>
      </c>
      <c r="G27" s="10" t="e">
        <f>'1L Screening Matrix'!#REF!</f>
        <v>#REF!</v>
      </c>
      <c r="H27" s="10" t="e">
        <f>'1L Screening Matrix'!#REF!</f>
        <v>#REF!</v>
      </c>
      <c r="I27" s="10" t="e">
        <f>'1L Screening Matrix'!#REF!</f>
        <v>#REF!</v>
      </c>
      <c r="J27" s="10" t="e">
        <f>'1L Screening Matrix'!#REF!</f>
        <v>#REF!</v>
      </c>
    </row>
    <row r="28" spans="1:10" ht="15" customHeight="1" x14ac:dyDescent="0.2">
      <c r="A28" s="20" t="s">
        <v>2130</v>
      </c>
      <c r="B28" s="21" t="e">
        <f>'1L Screening Matrix'!#REF!</f>
        <v>#REF!</v>
      </c>
      <c r="C28" s="21" t="e">
        <f>'1L Screening Matrix'!#REF!</f>
        <v>#REF!</v>
      </c>
      <c r="D28" s="21" t="e">
        <f>'1L Screening Matrix'!#REF!</f>
        <v>#REF!</v>
      </c>
      <c r="E28" s="21" t="e">
        <f>'1L Screening Matrix'!#REF!</f>
        <v>#REF!</v>
      </c>
      <c r="F28" s="21" t="e">
        <f>'1L Screening Matrix'!#REF!</f>
        <v>#REF!</v>
      </c>
      <c r="G28" s="21" t="e">
        <f>'1L Screening Matrix'!#REF!</f>
        <v>#REF!</v>
      </c>
      <c r="H28" s="21" t="e">
        <f>'1L Screening Matrix'!#REF!</f>
        <v>#REF!</v>
      </c>
      <c r="I28" s="21" t="e">
        <f>'1L Screening Matrix'!#REF!</f>
        <v>#REF!</v>
      </c>
      <c r="J28" s="21" t="e">
        <f>'1L Screening Matrix'!#REF!</f>
        <v>#REF!</v>
      </c>
    </row>
    <row r="29" spans="1:10" ht="15" customHeight="1" x14ac:dyDescent="0.2">
      <c r="A29" s="22" t="s">
        <v>2130</v>
      </c>
      <c r="B29" s="10" t="e">
        <f>'1L Screening Matrix'!#REF!</f>
        <v>#REF!</v>
      </c>
      <c r="C29" s="10" t="e">
        <f>'1L Screening Matrix'!#REF!</f>
        <v>#REF!</v>
      </c>
      <c r="D29" s="10" t="e">
        <f>'1L Screening Matrix'!#REF!</f>
        <v>#REF!</v>
      </c>
      <c r="E29" s="10" t="e">
        <f>'1L Screening Matrix'!#REF!</f>
        <v>#REF!</v>
      </c>
      <c r="F29" s="10" t="e">
        <f>'1L Screening Matrix'!#REF!</f>
        <v>#REF!</v>
      </c>
      <c r="G29" s="10" t="e">
        <f>'1L Screening Matrix'!#REF!</f>
        <v>#REF!</v>
      </c>
      <c r="H29" s="10" t="e">
        <f>'1L Screening Matrix'!#REF!</f>
        <v>#REF!</v>
      </c>
      <c r="I29" s="10" t="e">
        <f>'1L Screening Matrix'!#REF!</f>
        <v>#REF!</v>
      </c>
      <c r="J29" s="10" t="e">
        <f>'1L Screening Matrix'!#REF!</f>
        <v>#REF!</v>
      </c>
    </row>
    <row r="30" spans="1:10" ht="15" customHeight="1" x14ac:dyDescent="0.2">
      <c r="A30" s="20" t="s">
        <v>2130</v>
      </c>
      <c r="B30" s="21" t="str">
        <f>'1L Screening Matrix'!A3</f>
        <v>Adagrasib</v>
      </c>
      <c r="C30" s="21" t="str">
        <f>'1L Screening Matrix'!C3</f>
        <v>BMS</v>
      </c>
      <c r="D30" s="21" t="str">
        <f>'1L Screening Matrix'!Q3</f>
        <v>Stage IV Only</v>
      </c>
      <c r="E30" s="21" t="str">
        <f>'1L Screening Matrix'!R3</f>
        <v>Unspecified</v>
      </c>
      <c r="F30" s="21" t="str">
        <f>'1L Screening Matrix'!S3</f>
        <v>TPS 1-49%</v>
      </c>
      <c r="G30" s="21" t="str">
        <f>'1L Screening Matrix'!I3</f>
        <v>CD279, KRAS G12C, PD-1</v>
      </c>
      <c r="H30" s="21" t="str">
        <f>'1L Screening Matrix'!J3</f>
        <v>KRAS G12C inhibitor</v>
      </c>
      <c r="I30" s="21" t="str">
        <f>'1L Screening Matrix'!H3</f>
        <v>Phase III</v>
      </c>
      <c r="J30" s="21" t="str">
        <f>'1L Screening Matrix'!L3</f>
        <v>No</v>
      </c>
    </row>
    <row r="31" spans="1:10" ht="15" customHeight="1" x14ac:dyDescent="0.2">
      <c r="A31" s="22" t="s">
        <v>2130</v>
      </c>
      <c r="B31" s="10" t="str">
        <f>'1L Screening Matrix'!A4</f>
        <v>Adagrasib</v>
      </c>
      <c r="C31" s="10" t="str">
        <f>'1L Screening Matrix'!C4</f>
        <v>BMS</v>
      </c>
      <c r="D31" s="10" t="str">
        <f>'1L Screening Matrix'!Q4</f>
        <v>Stage IV Only</v>
      </c>
      <c r="E31" s="10" t="str">
        <f>'1L Screening Matrix'!R4</f>
        <v>Unspecified</v>
      </c>
      <c r="F31" s="10" t="str">
        <f>'1L Screening Matrix'!S4</f>
        <v>All-comers</v>
      </c>
      <c r="G31" s="10" t="str">
        <f>'1L Screening Matrix'!I4</f>
        <v>CD279, KRAS G12C, PD-1</v>
      </c>
      <c r="H31" s="10" t="str">
        <f>'1L Screening Matrix'!J4</f>
        <v>KRAS G12C inhibitor</v>
      </c>
      <c r="I31" s="10" t="str">
        <f>'1L Screening Matrix'!H4</f>
        <v>Phase III</v>
      </c>
      <c r="J31" s="10" t="str">
        <f>'1L Screening Matrix'!L4</f>
        <v>No</v>
      </c>
    </row>
    <row r="32" spans="1:10" ht="15" customHeight="1" x14ac:dyDescent="0.2">
      <c r="A32" s="20" t="s">
        <v>2130</v>
      </c>
      <c r="B32" s="21" t="str">
        <f>'1L Screening Matrix'!A5</f>
        <v>Alectinib</v>
      </c>
      <c r="C32" s="21" t="str">
        <f>'1L Screening Matrix'!C5</f>
        <v>Genentech</v>
      </c>
      <c r="D32" s="21" t="str">
        <f>'1L Screening Matrix'!Q5</f>
        <v>Stage III Only</v>
      </c>
      <c r="E32" s="21" t="str">
        <f>'1L Screening Matrix'!R5</f>
        <v>Both</v>
      </c>
      <c r="F32" s="21" t="str">
        <f>'1L Screening Matrix'!S5</f>
        <v>All-comers</v>
      </c>
      <c r="G32" s="21" t="str">
        <f>'1L Screening Matrix'!I5</f>
        <v>ALK, ALK L1196M, NTRK, RET, ROS, ROS1, TRK</v>
      </c>
      <c r="H32" s="21" t="str">
        <f>'1L Screening Matrix'!J5</f>
        <v>ALK inhibitor</v>
      </c>
      <c r="I32" s="21" t="str">
        <f>'1L Screening Matrix'!H5</f>
        <v>Phase III</v>
      </c>
      <c r="J32" s="21" t="str">
        <f>'1L Screening Matrix'!L5</f>
        <v>No</v>
      </c>
    </row>
    <row r="33" spans="1:10" ht="15" customHeight="1" x14ac:dyDescent="0.2">
      <c r="A33" s="22" t="s">
        <v>2130</v>
      </c>
      <c r="B33" s="10" t="e">
        <f>'1L Screening Matrix'!#REF!</f>
        <v>#REF!</v>
      </c>
      <c r="C33" s="10" t="e">
        <f>'1L Screening Matrix'!#REF!</f>
        <v>#REF!</v>
      </c>
      <c r="D33" s="10" t="e">
        <f>'1L Screening Matrix'!#REF!</f>
        <v>#REF!</v>
      </c>
      <c r="E33" s="10" t="e">
        <f>'1L Screening Matrix'!#REF!</f>
        <v>#REF!</v>
      </c>
      <c r="F33" s="10" t="e">
        <f>'1L Screening Matrix'!#REF!</f>
        <v>#REF!</v>
      </c>
      <c r="G33" s="10" t="e">
        <f>'1L Screening Matrix'!#REF!</f>
        <v>#REF!</v>
      </c>
      <c r="H33" s="10" t="e">
        <f>'1L Screening Matrix'!#REF!</f>
        <v>#REF!</v>
      </c>
      <c r="I33" s="10" t="e">
        <f>'1L Screening Matrix'!#REF!</f>
        <v>#REF!</v>
      </c>
      <c r="J33" s="10" t="e">
        <f>'1L Screening Matrix'!#REF!</f>
        <v>#REF!</v>
      </c>
    </row>
    <row r="34" spans="1:10" ht="15" customHeight="1" x14ac:dyDescent="0.2">
      <c r="A34" s="20" t="s">
        <v>2130</v>
      </c>
      <c r="B34" s="21" t="str">
        <f>'1L Screening Matrix'!A6</f>
        <v>Bevacizumab</v>
      </c>
      <c r="C34" s="21" t="str">
        <f>'1L Screening Matrix'!C6</f>
        <v>Pfizer</v>
      </c>
      <c r="D34" s="21" t="str">
        <f>'1L Screening Matrix'!Q6</f>
        <v>Stage IV + Other</v>
      </c>
      <c r="E34" s="21" t="str">
        <f>'1L Screening Matrix'!R6</f>
        <v>Non-squamous</v>
      </c>
      <c r="F34" s="21" t="str">
        <f>'1L Screening Matrix'!S6</f>
        <v>All-comers</v>
      </c>
      <c r="G34" s="21" t="str">
        <f>'1L Screening Matrix'!I6</f>
        <v>VEGF</v>
      </c>
      <c r="H34" s="21" t="str">
        <f>'1L Screening Matrix'!J6</f>
        <v>Anti-VEGF monoclonal antibody</v>
      </c>
      <c r="I34" s="21" t="str">
        <f>'1L Screening Matrix'!H6</f>
        <v>Approved</v>
      </c>
      <c r="J34" s="21" t="str">
        <f>'1L Screening Matrix'!L6</f>
        <v>Yes</v>
      </c>
    </row>
    <row r="35" spans="1:10" ht="15" customHeight="1" x14ac:dyDescent="0.2">
      <c r="A35" s="22" t="s">
        <v>2130</v>
      </c>
      <c r="B35" s="10" t="e">
        <f>'1L Screening Matrix'!#REF!</f>
        <v>#REF!</v>
      </c>
      <c r="C35" s="10" t="e">
        <f>'1L Screening Matrix'!#REF!</f>
        <v>#REF!</v>
      </c>
      <c r="D35" s="10" t="e">
        <f>'1L Screening Matrix'!#REF!</f>
        <v>#REF!</v>
      </c>
      <c r="E35" s="10" t="e">
        <f>'1L Screening Matrix'!#REF!</f>
        <v>#REF!</v>
      </c>
      <c r="F35" s="10" t="e">
        <f>'1L Screening Matrix'!#REF!</f>
        <v>#REF!</v>
      </c>
      <c r="G35" s="10" t="e">
        <f>'1L Screening Matrix'!#REF!</f>
        <v>#REF!</v>
      </c>
      <c r="H35" s="10" t="e">
        <f>'1L Screening Matrix'!#REF!</f>
        <v>#REF!</v>
      </c>
      <c r="I35" s="10" t="e">
        <f>'1L Screening Matrix'!#REF!</f>
        <v>#REF!</v>
      </c>
      <c r="J35" s="10" t="e">
        <f>'1L Screening Matrix'!#REF!</f>
        <v>#REF!</v>
      </c>
    </row>
    <row r="36" spans="1:10" ht="15" customHeight="1" x14ac:dyDescent="0.2">
      <c r="A36" s="20" t="s">
        <v>2130</v>
      </c>
      <c r="B36" s="21" t="e">
        <f>'1L Screening Matrix'!#REF!</f>
        <v>#REF!</v>
      </c>
      <c r="C36" s="21" t="e">
        <f>'1L Screening Matrix'!#REF!</f>
        <v>#REF!</v>
      </c>
      <c r="D36" s="21" t="e">
        <f>'1L Screening Matrix'!#REF!</f>
        <v>#REF!</v>
      </c>
      <c r="E36" s="21" t="e">
        <f>'1L Screening Matrix'!#REF!</f>
        <v>#REF!</v>
      </c>
      <c r="F36" s="21" t="e">
        <f>'1L Screening Matrix'!#REF!</f>
        <v>#REF!</v>
      </c>
      <c r="G36" s="21" t="e">
        <f>'1L Screening Matrix'!#REF!</f>
        <v>#REF!</v>
      </c>
      <c r="H36" s="21" t="e">
        <f>'1L Screening Matrix'!#REF!</f>
        <v>#REF!</v>
      </c>
      <c r="I36" s="21" t="e">
        <f>'1L Screening Matrix'!#REF!</f>
        <v>#REF!</v>
      </c>
      <c r="J36" s="21" t="e">
        <f>'1L Screening Matrix'!#REF!</f>
        <v>#REF!</v>
      </c>
    </row>
    <row r="37" spans="1:10" ht="15" customHeight="1" x14ac:dyDescent="0.2">
      <c r="A37" s="22" t="s">
        <v>2130</v>
      </c>
      <c r="B37" s="10" t="e">
        <f>'1L Screening Matrix'!#REF!</f>
        <v>#REF!</v>
      </c>
      <c r="C37" s="10" t="e">
        <f>'1L Screening Matrix'!#REF!</f>
        <v>#REF!</v>
      </c>
      <c r="D37" s="10" t="e">
        <f>'1L Screening Matrix'!#REF!</f>
        <v>#REF!</v>
      </c>
      <c r="E37" s="10" t="e">
        <f>'1L Screening Matrix'!#REF!</f>
        <v>#REF!</v>
      </c>
      <c r="F37" s="10" t="e">
        <f>'1L Screening Matrix'!#REF!</f>
        <v>#REF!</v>
      </c>
      <c r="G37" s="10" t="e">
        <f>'1L Screening Matrix'!#REF!</f>
        <v>#REF!</v>
      </c>
      <c r="H37" s="10" t="e">
        <f>'1L Screening Matrix'!#REF!</f>
        <v>#REF!</v>
      </c>
      <c r="I37" s="10" t="e">
        <f>'1L Screening Matrix'!#REF!</f>
        <v>#REF!</v>
      </c>
      <c r="J37" s="10" t="e">
        <f>'1L Screening Matrix'!#REF!</f>
        <v>#REF!</v>
      </c>
    </row>
    <row r="38" spans="1:10" ht="15" customHeight="1" x14ac:dyDescent="0.2">
      <c r="A38" s="20" t="s">
        <v>2130</v>
      </c>
      <c r="B38" s="21" t="e">
        <f>'1L Screening Matrix'!#REF!</f>
        <v>#REF!</v>
      </c>
      <c r="C38" s="21" t="e">
        <f>'1L Screening Matrix'!#REF!</f>
        <v>#REF!</v>
      </c>
      <c r="D38" s="21" t="e">
        <f>'1L Screening Matrix'!#REF!</f>
        <v>#REF!</v>
      </c>
      <c r="E38" s="21" t="e">
        <f>'1L Screening Matrix'!#REF!</f>
        <v>#REF!</v>
      </c>
      <c r="F38" s="21" t="e">
        <f>'1L Screening Matrix'!#REF!</f>
        <v>#REF!</v>
      </c>
      <c r="G38" s="21" t="e">
        <f>'1L Screening Matrix'!#REF!</f>
        <v>#REF!</v>
      </c>
      <c r="H38" s="21" t="e">
        <f>'1L Screening Matrix'!#REF!</f>
        <v>#REF!</v>
      </c>
      <c r="I38" s="21" t="e">
        <f>'1L Screening Matrix'!#REF!</f>
        <v>#REF!</v>
      </c>
      <c r="J38" s="21" t="e">
        <f>'1L Screening Matrix'!#REF!</f>
        <v>#REF!</v>
      </c>
    </row>
    <row r="39" spans="1:10" ht="15" customHeight="1" x14ac:dyDescent="0.2">
      <c r="A39" s="22" t="s">
        <v>2130</v>
      </c>
      <c r="B39" s="10" t="e">
        <f>'1L Screening Matrix'!#REF!</f>
        <v>#REF!</v>
      </c>
      <c r="C39" s="10" t="e">
        <f>'1L Screening Matrix'!#REF!</f>
        <v>#REF!</v>
      </c>
      <c r="D39" s="10" t="e">
        <f>'1L Screening Matrix'!#REF!</f>
        <v>#REF!</v>
      </c>
      <c r="E39" s="10" t="e">
        <f>'1L Screening Matrix'!#REF!</f>
        <v>#REF!</v>
      </c>
      <c r="F39" s="10" t="e">
        <f>'1L Screening Matrix'!#REF!</f>
        <v>#REF!</v>
      </c>
      <c r="G39" s="10" t="e">
        <f>'1L Screening Matrix'!#REF!</f>
        <v>#REF!</v>
      </c>
      <c r="H39" s="10" t="e">
        <f>'1L Screening Matrix'!#REF!</f>
        <v>#REF!</v>
      </c>
      <c r="I39" s="10" t="e">
        <f>'1L Screening Matrix'!#REF!</f>
        <v>#REF!</v>
      </c>
      <c r="J39" s="10" t="e">
        <f>'1L Screening Matrix'!#REF!</f>
        <v>#REF!</v>
      </c>
    </row>
    <row r="40" spans="1:10" ht="15" customHeight="1" x14ac:dyDescent="0.2">
      <c r="A40" s="20" t="s">
        <v>2130</v>
      </c>
      <c r="B40" s="21" t="e">
        <f>'1L Screening Matrix'!#REF!</f>
        <v>#REF!</v>
      </c>
      <c r="C40" s="21" t="e">
        <f>'1L Screening Matrix'!#REF!</f>
        <v>#REF!</v>
      </c>
      <c r="D40" s="21" t="e">
        <f>'1L Screening Matrix'!#REF!</f>
        <v>#REF!</v>
      </c>
      <c r="E40" s="21" t="e">
        <f>'1L Screening Matrix'!#REF!</f>
        <v>#REF!</v>
      </c>
      <c r="F40" s="21" t="e">
        <f>'1L Screening Matrix'!#REF!</f>
        <v>#REF!</v>
      </c>
      <c r="G40" s="21" t="e">
        <f>'1L Screening Matrix'!#REF!</f>
        <v>#REF!</v>
      </c>
      <c r="H40" s="21" t="e">
        <f>'1L Screening Matrix'!#REF!</f>
        <v>#REF!</v>
      </c>
      <c r="I40" s="21" t="e">
        <f>'1L Screening Matrix'!#REF!</f>
        <v>#REF!</v>
      </c>
      <c r="J40" s="21" t="e">
        <f>'1L Screening Matrix'!#REF!</f>
        <v>#REF!</v>
      </c>
    </row>
    <row r="41" spans="1:10" ht="15" customHeight="1" x14ac:dyDescent="0.2">
      <c r="A41" s="22" t="s">
        <v>2130</v>
      </c>
      <c r="B41" s="10" t="e">
        <f>'1L Screening Matrix'!#REF!</f>
        <v>#REF!</v>
      </c>
      <c r="C41" s="10" t="e">
        <f>'1L Screening Matrix'!#REF!</f>
        <v>#REF!</v>
      </c>
      <c r="D41" s="10" t="e">
        <f>'1L Screening Matrix'!#REF!</f>
        <v>#REF!</v>
      </c>
      <c r="E41" s="10" t="e">
        <f>'1L Screening Matrix'!#REF!</f>
        <v>#REF!</v>
      </c>
      <c r="F41" s="10" t="e">
        <f>'1L Screening Matrix'!#REF!</f>
        <v>#REF!</v>
      </c>
      <c r="G41" s="10" t="e">
        <f>'1L Screening Matrix'!#REF!</f>
        <v>#REF!</v>
      </c>
      <c r="H41" s="10" t="e">
        <f>'1L Screening Matrix'!#REF!</f>
        <v>#REF!</v>
      </c>
      <c r="I41" s="10" t="e">
        <f>'1L Screening Matrix'!#REF!</f>
        <v>#REF!</v>
      </c>
      <c r="J41" s="10" t="e">
        <f>'1L Screening Matrix'!#REF!</f>
        <v>#REF!</v>
      </c>
    </row>
    <row r="42" spans="1:10" ht="15" customHeight="1" x14ac:dyDescent="0.2">
      <c r="A42" s="20" t="s">
        <v>2130</v>
      </c>
      <c r="B42" s="21" t="str">
        <f>'1L Screening Matrix'!A7</f>
        <v>Bevacizumab</v>
      </c>
      <c r="C42" s="21" t="str">
        <f>'1L Screening Matrix'!C7</f>
        <v>Amneal Pharmaceuticals</v>
      </c>
      <c r="D42" s="21" t="str">
        <f>'1L Screening Matrix'!Q7</f>
        <v>Stage IV + Other</v>
      </c>
      <c r="E42" s="21" t="str">
        <f>'1L Screening Matrix'!R7</f>
        <v>Non-squamous</v>
      </c>
      <c r="F42" s="21" t="str">
        <f>'1L Screening Matrix'!S7</f>
        <v>All-comers</v>
      </c>
      <c r="G42" s="21" t="str">
        <f>'1L Screening Matrix'!I7</f>
        <v>VEGF</v>
      </c>
      <c r="H42" s="21" t="str">
        <f>'1L Screening Matrix'!J7</f>
        <v>Anti-VEGF monoclonal antibody</v>
      </c>
      <c r="I42" s="21" t="str">
        <f>'1L Screening Matrix'!H7</f>
        <v>Approved</v>
      </c>
      <c r="J42" s="21" t="str">
        <f>'1L Screening Matrix'!L7</f>
        <v>Yes</v>
      </c>
    </row>
    <row r="43" spans="1:10" ht="15" customHeight="1" x14ac:dyDescent="0.2">
      <c r="A43" s="22" t="s">
        <v>2130</v>
      </c>
      <c r="B43" s="10" t="str">
        <f>'1L Screening Matrix'!A8</f>
        <v>Bevacizumab</v>
      </c>
      <c r="C43" s="10" t="str">
        <f>'1L Screening Matrix'!C8</f>
        <v>Biocon Biologics</v>
      </c>
      <c r="D43" s="10" t="str">
        <f>'1L Screening Matrix'!Q8</f>
        <v>Stage IV Only</v>
      </c>
      <c r="E43" s="10" t="str">
        <f>'1L Screening Matrix'!R8</f>
        <v>Non-squamous</v>
      </c>
      <c r="F43" s="10" t="str">
        <f>'1L Screening Matrix'!S8</f>
        <v>All-comers</v>
      </c>
      <c r="G43" s="10" t="str">
        <f>'1L Screening Matrix'!I8</f>
        <v>Microtubule, NA, VEGF</v>
      </c>
      <c r="H43" s="10" t="str">
        <f>'1L Screening Matrix'!J8</f>
        <v>Anti-VEGF monoclonal antibody</v>
      </c>
      <c r="I43" s="10" t="str">
        <f>'1L Screening Matrix'!H8</f>
        <v>Approved</v>
      </c>
      <c r="J43" s="10" t="str">
        <f>'1L Screening Matrix'!L8</f>
        <v>Yes</v>
      </c>
    </row>
    <row r="44" spans="1:10" ht="15" customHeight="1" x14ac:dyDescent="0.2">
      <c r="A44" s="20" t="s">
        <v>2130</v>
      </c>
      <c r="B44" s="21" t="str">
        <f>'1L Screening Matrix'!A9</f>
        <v>Bevacizumab</v>
      </c>
      <c r="C44" s="21" t="str">
        <f>'1L Screening Matrix'!C9</f>
        <v>Sandoz</v>
      </c>
      <c r="D44" s="21" t="str">
        <f>'1L Screening Matrix'!Q9</f>
        <v>Stage IV Only</v>
      </c>
      <c r="E44" s="21" t="str">
        <f>'1L Screening Matrix'!R9</f>
        <v>Non-squamous</v>
      </c>
      <c r="F44" s="21" t="str">
        <f>'1L Screening Matrix'!S9</f>
        <v>All-comers</v>
      </c>
      <c r="G44" s="21" t="str">
        <f>'1L Screening Matrix'!I9</f>
        <v>VEGF</v>
      </c>
      <c r="H44" s="21" t="str">
        <f>'1L Screening Matrix'!J9</f>
        <v>Anti-VEGF monoclonal antibody</v>
      </c>
      <c r="I44" s="21" t="str">
        <f>'1L Screening Matrix'!H9</f>
        <v>Approved</v>
      </c>
      <c r="J44" s="21" t="str">
        <f>'1L Screening Matrix'!L9</f>
        <v>Yes</v>
      </c>
    </row>
    <row r="45" spans="1:10" ht="15" customHeight="1" x14ac:dyDescent="0.2">
      <c r="A45" s="22" t="s">
        <v>2130</v>
      </c>
      <c r="B45" s="10" t="str">
        <f>'1L Screening Matrix'!A10</f>
        <v>Bevacizumab</v>
      </c>
      <c r="C45" s="10" t="str">
        <f>'1L Screening Matrix'!C10</f>
        <v>Celltrion</v>
      </c>
      <c r="D45" s="10" t="str">
        <f>'1L Screening Matrix'!Q10</f>
        <v>Stage IV Only</v>
      </c>
      <c r="E45" s="10" t="str">
        <f>'1L Screening Matrix'!R10</f>
        <v>Non-squamous</v>
      </c>
      <c r="F45" s="10" t="str">
        <f>'1L Screening Matrix'!S10</f>
        <v>All-comers</v>
      </c>
      <c r="G45" s="10" t="str">
        <f>'1L Screening Matrix'!I10</f>
        <v>VEGF</v>
      </c>
      <c r="H45" s="10" t="str">
        <f>'1L Screening Matrix'!J10</f>
        <v>Anti-VEGF monoclonal antibody</v>
      </c>
      <c r="I45" s="10" t="str">
        <f>'1L Screening Matrix'!H10</f>
        <v>Approved</v>
      </c>
      <c r="J45" s="10" t="str">
        <f>'1L Screening Matrix'!L10</f>
        <v>Yes</v>
      </c>
    </row>
    <row r="46" spans="1:10" ht="15" customHeight="1" x14ac:dyDescent="0.2">
      <c r="A46" s="20" t="s">
        <v>2130</v>
      </c>
      <c r="B46" s="21" t="str">
        <f>'1L Screening Matrix'!A11</f>
        <v>Bevacizumab</v>
      </c>
      <c r="C46" s="21" t="str">
        <f>'1L Screening Matrix'!C11</f>
        <v>Prestige Biopharma</v>
      </c>
      <c r="D46" s="21" t="str">
        <f>'1L Screening Matrix'!Q11</f>
        <v>Stage IV Only</v>
      </c>
      <c r="E46" s="21" t="str">
        <f>'1L Screening Matrix'!R11</f>
        <v>Non-squamous</v>
      </c>
      <c r="F46" s="21" t="str">
        <f>'1L Screening Matrix'!S11</f>
        <v>All-comers</v>
      </c>
      <c r="G46" s="21" t="str">
        <f>'1L Screening Matrix'!I11</f>
        <v>VEGF</v>
      </c>
      <c r="H46" s="21" t="str">
        <f>'1L Screening Matrix'!J11</f>
        <v>Anti-VEGF monoclonal antibody</v>
      </c>
      <c r="I46" s="21" t="str">
        <f>'1L Screening Matrix'!H11</f>
        <v>Phase III</v>
      </c>
      <c r="J46" s="21" t="str">
        <f>'1L Screening Matrix'!L11</f>
        <v>Yes</v>
      </c>
    </row>
    <row r="47" spans="1:10" ht="15" customHeight="1" x14ac:dyDescent="0.2">
      <c r="A47" s="22" t="s">
        <v>2130</v>
      </c>
      <c r="B47" s="10" t="str">
        <f>'1L Screening Matrix'!A12</f>
        <v>Calderasib</v>
      </c>
      <c r="C47" s="10" t="str">
        <f>'1L Screening Matrix'!C12</f>
        <v>Merck</v>
      </c>
      <c r="D47" s="10" t="str">
        <f>'1L Screening Matrix'!Q12</f>
        <v>Stage IV Only</v>
      </c>
      <c r="E47" s="10" t="str">
        <f>'1L Screening Matrix'!R12</f>
        <v>Unspecified</v>
      </c>
      <c r="F47" s="10" t="str">
        <f>'1L Screening Matrix'!S12</f>
        <v>TPS ≥ 50%</v>
      </c>
      <c r="G47" s="10" t="str">
        <f>'1L Screening Matrix'!I12</f>
        <v>CD279, KRAS G12C, PD-1</v>
      </c>
      <c r="H47" s="10" t="str">
        <f>'1L Screening Matrix'!J12</f>
        <v>KRAS G12C inhibitor</v>
      </c>
      <c r="I47" s="10" t="str">
        <f>'1L Screening Matrix'!H12</f>
        <v>Phase III</v>
      </c>
      <c r="J47" s="10" t="str">
        <f>'1L Screening Matrix'!L12</f>
        <v>No</v>
      </c>
    </row>
    <row r="48" spans="1:10" ht="15" customHeight="1" x14ac:dyDescent="0.2">
      <c r="A48" s="20" t="s">
        <v>2130</v>
      </c>
      <c r="B48" s="21" t="str">
        <f>'1L Screening Matrix'!A13</f>
        <v>Calderasib</v>
      </c>
      <c r="C48" s="21" t="str">
        <f>'1L Screening Matrix'!C13</f>
        <v>Merck</v>
      </c>
      <c r="D48" s="21" t="str">
        <f>'1L Screening Matrix'!Q13</f>
        <v>Stage IV + Other</v>
      </c>
      <c r="E48" s="21" t="str">
        <f>'1L Screening Matrix'!R13</f>
        <v>Non-squamous</v>
      </c>
      <c r="F48" s="21" t="str">
        <f>'1L Screening Matrix'!S13</f>
        <v>All-comers</v>
      </c>
      <c r="G48" s="21" t="str">
        <f>'1L Screening Matrix'!I13</f>
        <v>CD279, KRAS G12C, PD-1</v>
      </c>
      <c r="H48" s="21" t="str">
        <f>'1L Screening Matrix'!J13</f>
        <v>KRAS G12C inhibitor</v>
      </c>
      <c r="I48" s="21" t="str">
        <f>'1L Screening Matrix'!H13</f>
        <v>Phase III</v>
      </c>
      <c r="J48" s="21" t="str">
        <f>'1L Screening Matrix'!L13</f>
        <v>No</v>
      </c>
    </row>
    <row r="49" spans="1:10" ht="15" customHeight="1" x14ac:dyDescent="0.2">
      <c r="A49" s="22" t="s">
        <v>2130</v>
      </c>
      <c r="B49" s="10" t="str">
        <f>'1L Screening Matrix'!A14</f>
        <v>CS2009</v>
      </c>
      <c r="C49" s="10" t="str">
        <f>'1L Screening Matrix'!C14</f>
        <v>CStone Pharmaceuticals</v>
      </c>
      <c r="D49" s="10" t="str">
        <f>'1L Screening Matrix'!Q14</f>
        <v>Other</v>
      </c>
      <c r="E49" s="10" t="str">
        <f>'1L Screening Matrix'!R14</f>
        <v>Unspecified</v>
      </c>
      <c r="F49" s="10" t="str">
        <f>'1L Screening Matrix'!S14</f>
        <v>All-comers</v>
      </c>
      <c r="G49" s="10" t="str">
        <f>'1L Screening Matrix'!I14</f>
        <v>CTLA-4, PD-1, VEGFA</v>
      </c>
      <c r="H49" s="10" t="str">
        <f>'1L Screening Matrix'!J14</f>
        <v>Anti-PD-1/CTLA-4/VEGFa trispecific antibody</v>
      </c>
      <c r="I49" s="10" t="str">
        <f>'1L Screening Matrix'!H14</f>
        <v>Phase III</v>
      </c>
      <c r="J49" s="10" t="str">
        <f>'1L Screening Matrix'!L14</f>
        <v>No</v>
      </c>
    </row>
    <row r="50" spans="1:10" ht="15" customHeight="1" x14ac:dyDescent="0.2">
      <c r="A50" s="20" t="s">
        <v>2130</v>
      </c>
      <c r="B50" s="21" t="str">
        <f>'1L Screening Matrix'!A15</f>
        <v>Daraxonrasib</v>
      </c>
      <c r="C50" s="21" t="str">
        <f>'1L Screening Matrix'!C15</f>
        <v>Revolution Medicines</v>
      </c>
      <c r="D50" s="21" t="str">
        <f>'1L Screening Matrix'!Q15</f>
        <v>Other</v>
      </c>
      <c r="E50" s="21" t="str">
        <f>'1L Screening Matrix'!R15</f>
        <v>Unspecified</v>
      </c>
      <c r="F50" s="21" t="str">
        <f>'1L Screening Matrix'!S15</f>
        <v>All-comers</v>
      </c>
      <c r="G50" s="21" t="str">
        <f>'1L Screening Matrix'!I15</f>
        <v>CD279, HRAS, KRAS, KRAS G12, KRAS G12C, KRAS G12D, NA, NRAS, pan-KRAS, PD-1, RAS, TS, TYMS</v>
      </c>
      <c r="H50" s="21" t="str">
        <f>'1L Screening Matrix'!J15</f>
        <v>RAS inhibitor</v>
      </c>
      <c r="I50" s="21" t="str">
        <f>'1L Screening Matrix'!H15</f>
        <v>Phase III</v>
      </c>
      <c r="J50" s="21" t="str">
        <f>'1L Screening Matrix'!L15</f>
        <v>No</v>
      </c>
    </row>
    <row r="51" spans="1:10" ht="15" customHeight="1" x14ac:dyDescent="0.2">
      <c r="A51" s="22" t="s">
        <v>2130</v>
      </c>
      <c r="B51" s="10" t="str">
        <f>'1L Screening Matrix'!A16</f>
        <v>Datopotamab deruxtecan</v>
      </c>
      <c r="C51" s="10" t="str">
        <f>'1L Screening Matrix'!C16</f>
        <v>Daiichi Sankyo</v>
      </c>
      <c r="D51" s="10" t="str">
        <f>'1L Screening Matrix'!Q16</f>
        <v>Stage IV + Other</v>
      </c>
      <c r="E51" s="10" t="str">
        <f>'1L Screening Matrix'!R16</f>
        <v>Non-squamous</v>
      </c>
      <c r="F51" s="10" t="str">
        <f>'1L Screening Matrix'!S16</f>
        <v>All-comers</v>
      </c>
      <c r="G51" s="10" t="str">
        <f>'1L Screening Matrix'!I16</f>
        <v>B7-H1, CD274, NA, PD-L1, TROP2</v>
      </c>
      <c r="H51" s="10" t="str">
        <f>'1L Screening Matrix'!J16</f>
        <v>Anti-TROP2 ADC monoclonal antibody</v>
      </c>
      <c r="I51" s="10" t="str">
        <f>'1L Screening Matrix'!H16</f>
        <v>Phase III</v>
      </c>
      <c r="J51" s="10" t="str">
        <f>'1L Screening Matrix'!L16</f>
        <v>No</v>
      </c>
    </row>
    <row r="52" spans="1:10" ht="15" customHeight="1" x14ac:dyDescent="0.2">
      <c r="A52" s="20" t="s">
        <v>2130</v>
      </c>
      <c r="B52" s="21" t="str">
        <f>'1L Screening Matrix'!A17</f>
        <v>Datopotamab deruxtecan</v>
      </c>
      <c r="C52" s="21" t="str">
        <f>'1L Screening Matrix'!C17</f>
        <v>Daiichi Sankyo</v>
      </c>
      <c r="D52" s="21" t="str">
        <f>'1L Screening Matrix'!Q17</f>
        <v>Stage IV + Other</v>
      </c>
      <c r="E52" s="21" t="str">
        <f>'1L Screening Matrix'!R17</f>
        <v>Non-squamous</v>
      </c>
      <c r="F52" s="21" t="str">
        <f>'1L Screening Matrix'!S17</f>
        <v>TPS ≥ 50%</v>
      </c>
      <c r="G52" s="21" t="str">
        <f>'1L Screening Matrix'!I17</f>
        <v>CD279, PD-1, TROP2</v>
      </c>
      <c r="H52" s="21" t="str">
        <f>'1L Screening Matrix'!J17</f>
        <v>Anti-TROP2 ADC monoclonal antibody</v>
      </c>
      <c r="I52" s="21" t="str">
        <f>'1L Screening Matrix'!H17</f>
        <v>Phase III</v>
      </c>
      <c r="J52" s="21" t="str">
        <f>'1L Screening Matrix'!L17</f>
        <v>No</v>
      </c>
    </row>
    <row r="53" spans="1:10" ht="15" customHeight="1" x14ac:dyDescent="0.2">
      <c r="A53" s="22" t="s">
        <v>2130</v>
      </c>
      <c r="B53" s="10" t="str">
        <f>'1L Screening Matrix'!A18</f>
        <v>Datopotamab deruxtecan</v>
      </c>
      <c r="C53" s="10" t="str">
        <f>'1L Screening Matrix'!C18</f>
        <v>Daiichi Sankyo</v>
      </c>
      <c r="D53" s="10" t="str">
        <f>'1L Screening Matrix'!Q18</f>
        <v>Stage IV + Other</v>
      </c>
      <c r="E53" s="10" t="str">
        <f>'1L Screening Matrix'!R18</f>
        <v>Non-squamous</v>
      </c>
      <c r="F53" s="10" t="str">
        <f>'1L Screening Matrix'!S18</f>
        <v>TPS 1-49%</v>
      </c>
      <c r="G53" s="10" t="str">
        <f>'1L Screening Matrix'!I18</f>
        <v>CD279, PD-1, TROP2</v>
      </c>
      <c r="H53" s="10" t="str">
        <f>'1L Screening Matrix'!J18</f>
        <v>Anti-TROP2 ADC monoclonal antibody</v>
      </c>
      <c r="I53" s="10" t="str">
        <f>'1L Screening Matrix'!H18</f>
        <v>Phase III</v>
      </c>
      <c r="J53" s="10" t="str">
        <f>'1L Screening Matrix'!L18</f>
        <v>No</v>
      </c>
    </row>
    <row r="54" spans="1:10" ht="15" customHeight="1" x14ac:dyDescent="0.2">
      <c r="A54" s="20" t="s">
        <v>2130</v>
      </c>
      <c r="B54" s="21" t="str">
        <f>'1L Screening Matrix'!A19</f>
        <v>Datopotamab deruxtecan</v>
      </c>
      <c r="C54" s="21" t="str">
        <f>'1L Screening Matrix'!C19</f>
        <v>Daiichi Sankyo</v>
      </c>
      <c r="D54" s="21" t="str">
        <f>'1L Screening Matrix'!Q19</f>
        <v>Stage IV + Other</v>
      </c>
      <c r="E54" s="21" t="str">
        <f>'1L Screening Matrix'!R19</f>
        <v>Non-squamous</v>
      </c>
      <c r="F54" s="21" t="str">
        <f>'1L Screening Matrix'!S19</f>
        <v>All-comers</v>
      </c>
      <c r="G54" s="21" t="str">
        <f>'1L Screening Matrix'!I19</f>
        <v>EGFR T790M, TROP2</v>
      </c>
      <c r="H54" s="21" t="str">
        <f>'1L Screening Matrix'!J19</f>
        <v>Anti-TROP2 ADC monoclonal antibody</v>
      </c>
      <c r="I54" s="21" t="str">
        <f>'1L Screening Matrix'!H19</f>
        <v>Phase III</v>
      </c>
      <c r="J54" s="21" t="str">
        <f>'1L Screening Matrix'!L19</f>
        <v>No</v>
      </c>
    </row>
    <row r="55" spans="1:10" ht="15" customHeight="1" x14ac:dyDescent="0.2">
      <c r="A55" s="22" t="s">
        <v>2130</v>
      </c>
      <c r="B55" s="10" t="str">
        <f>'1L Screening Matrix'!A20</f>
        <v>Divarasib</v>
      </c>
      <c r="C55" s="10" t="str">
        <f>'1L Screening Matrix'!C20</f>
        <v>Genentech</v>
      </c>
      <c r="D55" s="10" t="str">
        <f>'1L Screening Matrix'!Q20</f>
        <v>Stage IV Only</v>
      </c>
      <c r="E55" s="10" t="str">
        <f>'1L Screening Matrix'!R20</f>
        <v>Non-squamous</v>
      </c>
      <c r="F55" s="10" t="str">
        <f>'1L Screening Matrix'!S20</f>
        <v>All-comers</v>
      </c>
      <c r="G55" s="10" t="str">
        <f>'1L Screening Matrix'!I20</f>
        <v>CD279, KRAS G12C, PD-1</v>
      </c>
      <c r="H55" s="10" t="str">
        <f>'1L Screening Matrix'!J20</f>
        <v>KRAS G12C inhibitor</v>
      </c>
      <c r="I55" s="10" t="str">
        <f>'1L Screening Matrix'!H20</f>
        <v>Phase III</v>
      </c>
      <c r="J55" s="10" t="str">
        <f>'1L Screening Matrix'!L20</f>
        <v>No</v>
      </c>
    </row>
    <row r="56" spans="1:10" ht="15" customHeight="1" x14ac:dyDescent="0.2">
      <c r="A56" s="20" t="s">
        <v>2130</v>
      </c>
      <c r="B56" s="21" t="str">
        <f>'1L Screening Matrix'!A21</f>
        <v>Domvanalimab</v>
      </c>
      <c r="C56" s="21" t="str">
        <f>'1L Screening Matrix'!C21</f>
        <v>Arcus Biosciences</v>
      </c>
      <c r="D56" s="21" t="str">
        <f>'1L Screening Matrix'!Q21</f>
        <v>Stage IV Only</v>
      </c>
      <c r="E56" s="21" t="str">
        <f>'1L Screening Matrix'!R21</f>
        <v>Both</v>
      </c>
      <c r="F56" s="21" t="str">
        <f>'1L Screening Matrix'!S21</f>
        <v>All-comers</v>
      </c>
      <c r="G56" s="21" t="str">
        <f>'1L Screening Matrix'!I21</f>
        <v>CD279, Microtubule, NA, PD-1, TIGIT, TS, TYMS</v>
      </c>
      <c r="H56" s="21" t="str">
        <f>'1L Screening Matrix'!J21</f>
        <v>Anti-TIGIT monoclonal antibody</v>
      </c>
      <c r="I56" s="21" t="str">
        <f>'1L Screening Matrix'!H21</f>
        <v>Phase III</v>
      </c>
      <c r="J56" s="21" t="str">
        <f>'1L Screening Matrix'!L21</f>
        <v>No</v>
      </c>
    </row>
    <row r="57" spans="1:10" ht="15" customHeight="1" x14ac:dyDescent="0.2">
      <c r="A57" s="22" t="s">
        <v>2130</v>
      </c>
      <c r="B57" s="10" t="str">
        <f>'1L Screening Matrix'!A22</f>
        <v>Domvanalimab</v>
      </c>
      <c r="C57" s="10" t="str">
        <f>'1L Screening Matrix'!C22</f>
        <v>Arcus Biosciences</v>
      </c>
      <c r="D57" s="10" t="str">
        <f>'1L Screening Matrix'!Q22</f>
        <v>Stage III Only</v>
      </c>
      <c r="E57" s="10" t="str">
        <f>'1L Screening Matrix'!R22</f>
        <v>Unspecified</v>
      </c>
      <c r="F57" s="10" t="str">
        <f>'1L Screening Matrix'!S22</f>
        <v>TPS 1-49%</v>
      </c>
      <c r="G57" s="10" t="str">
        <f>'1L Screening Matrix'!I22</f>
        <v>B7-H1, CD274, PD-L1, TIGIT</v>
      </c>
      <c r="H57" s="10" t="str">
        <f>'1L Screening Matrix'!J22</f>
        <v>Anti-TIGIT monoclonal antibody</v>
      </c>
      <c r="I57" s="10" t="str">
        <f>'1L Screening Matrix'!H22</f>
        <v>Phase III</v>
      </c>
      <c r="J57" s="10" t="str">
        <f>'1L Screening Matrix'!L22</f>
        <v>No</v>
      </c>
    </row>
    <row r="58" spans="1:10" ht="15" customHeight="1" x14ac:dyDescent="0.2">
      <c r="A58" s="20" t="s">
        <v>2130</v>
      </c>
      <c r="B58" s="21" t="str">
        <f>'1L Screening Matrix'!A23</f>
        <v>Durvalumab</v>
      </c>
      <c r="C58" s="21" t="str">
        <f>'1L Screening Matrix'!C23</f>
        <v>AstraZeneca</v>
      </c>
      <c r="D58" s="21" t="str">
        <f>'1L Screening Matrix'!Q23</f>
        <v>Other</v>
      </c>
      <c r="E58" s="21" t="str">
        <f>'1L Screening Matrix'!R23</f>
        <v>Unspecified</v>
      </c>
      <c r="F58" s="21" t="str">
        <f>'1L Screening Matrix'!S23</f>
        <v>All-comers</v>
      </c>
      <c r="G58" s="21" t="str">
        <f>'1L Screening Matrix'!I23</f>
        <v>B7-H1, CD274, PD-L1</v>
      </c>
      <c r="H58" s="21" t="str">
        <f>'1L Screening Matrix'!J23</f>
        <v>Anti-PD-L1 monoclonal antibody</v>
      </c>
      <c r="I58" s="21" t="str">
        <f>'1L Screening Matrix'!H23</f>
        <v>Phase III</v>
      </c>
      <c r="J58" s="21" t="str">
        <f>'1L Screening Matrix'!L23</f>
        <v>No</v>
      </c>
    </row>
    <row r="59" spans="1:10" ht="15" customHeight="1" x14ac:dyDescent="0.2">
      <c r="A59" s="22" t="s">
        <v>2130</v>
      </c>
      <c r="B59" s="10" t="str">
        <f>'1L Screening Matrix'!A24</f>
        <v>Elironrasib</v>
      </c>
      <c r="C59" s="10" t="str">
        <f>'1L Screening Matrix'!C24</f>
        <v>Revolution Medicines</v>
      </c>
      <c r="D59" s="10" t="str">
        <f>'1L Screening Matrix'!Q24</f>
        <v>Other</v>
      </c>
      <c r="E59" s="10" t="str">
        <f>'1L Screening Matrix'!R24</f>
        <v>Unspecified</v>
      </c>
      <c r="F59" s="10" t="str">
        <f>'1L Screening Matrix'!S24</f>
        <v>All-comers</v>
      </c>
      <c r="G59" s="10" t="str">
        <f>'1L Screening Matrix'!I24</f>
        <v>KRAS G12C</v>
      </c>
      <c r="H59" s="10" t="str">
        <f>'1L Screening Matrix'!J24</f>
        <v>KRAS G12C inhibitor</v>
      </c>
      <c r="I59" s="10" t="str">
        <f>'1L Screening Matrix'!H24</f>
        <v>Phase III</v>
      </c>
      <c r="J59" s="10" t="str">
        <f>'1L Screening Matrix'!L24</f>
        <v>No</v>
      </c>
    </row>
    <row r="60" spans="1:10" ht="15" customHeight="1" x14ac:dyDescent="0.2">
      <c r="A60" s="20" t="s">
        <v>2130</v>
      </c>
      <c r="B60" s="21" t="str">
        <f>'1L Screening Matrix'!A25</f>
        <v>Enozertinib</v>
      </c>
      <c r="C60" s="21" t="str">
        <f>'1L Screening Matrix'!C25</f>
        <v>Oric Pharmaceuticals</v>
      </c>
      <c r="D60" s="21" t="str">
        <f>'1L Screening Matrix'!Q25</f>
        <v>Other</v>
      </c>
      <c r="E60" s="21" t="str">
        <f>'1L Screening Matrix'!R25</f>
        <v>Unspecified</v>
      </c>
      <c r="F60" s="21" t="str">
        <f>'1L Screening Matrix'!S25</f>
        <v>All-comers</v>
      </c>
      <c r="G60" s="21" t="str">
        <f>'1L Screening Matrix'!I25</f>
        <v>c-MET/MET, EGFR, EGFR Exon 20, ERBB, HER1, HER2, HER2 Exon 20</v>
      </c>
      <c r="H60" s="21" t="str">
        <f>'1L Screening Matrix'!J25</f>
        <v>EGFR/HER-2 inhibitor</v>
      </c>
      <c r="I60" s="21" t="str">
        <f>'1L Screening Matrix'!H25</f>
        <v>Phase III</v>
      </c>
      <c r="J60" s="21" t="str">
        <f>'1L Screening Matrix'!L25</f>
        <v>No</v>
      </c>
    </row>
    <row r="61" spans="1:10" ht="15" customHeight="1" x14ac:dyDescent="0.2">
      <c r="A61" s="22" t="s">
        <v>2130</v>
      </c>
      <c r="B61" s="10" t="str">
        <f>'1L Screening Matrix'!A26</f>
        <v>Entrectinib</v>
      </c>
      <c r="C61" s="10" t="str">
        <f>'1L Screening Matrix'!C26</f>
        <v>Genentech</v>
      </c>
      <c r="D61" s="10" t="str">
        <f>'1L Screening Matrix'!Q26</f>
        <v>Stage IV + Other</v>
      </c>
      <c r="E61" s="10" t="str">
        <f>'1L Screening Matrix'!R26</f>
        <v>Unspecified</v>
      </c>
      <c r="F61" s="10" t="str">
        <f>'1L Screening Matrix'!S26</f>
        <v>All-comers</v>
      </c>
      <c r="G61" s="10" t="str">
        <f>'1L Screening Matrix'!I26</f>
        <v>ALK, NTRK, ROS, ROS1</v>
      </c>
      <c r="H61" s="10" t="str">
        <f>'1L Screening Matrix'!J26</f>
        <v>NTRK, ROS1, ALK inhibitor</v>
      </c>
      <c r="I61" s="10" t="str">
        <f>'1L Screening Matrix'!H26</f>
        <v>Phase III</v>
      </c>
      <c r="J61" s="10" t="str">
        <f>'1L Screening Matrix'!L26</f>
        <v>No</v>
      </c>
    </row>
    <row r="62" spans="1:10" ht="15" customHeight="1" x14ac:dyDescent="0.2">
      <c r="A62" s="20" t="s">
        <v>2130</v>
      </c>
      <c r="B62" s="21" t="str">
        <f>'1L Screening Matrix'!A27</f>
        <v>Fianlimab</v>
      </c>
      <c r="C62" s="21" t="str">
        <f>'1L Screening Matrix'!C27</f>
        <v>Regeneron</v>
      </c>
      <c r="D62" s="21" t="str">
        <f>'1L Screening Matrix'!Q27</f>
        <v>Stage IV + Other</v>
      </c>
      <c r="E62" s="21" t="str">
        <f>'1L Screening Matrix'!R27</f>
        <v>Unspecified</v>
      </c>
      <c r="F62" s="21" t="str">
        <f>'1L Screening Matrix'!S27</f>
        <v>All-comers</v>
      </c>
      <c r="G62" s="21" t="str">
        <f>'1L Screening Matrix'!I27</f>
        <v>CD279, LAG-3, Microtubule, NA, PD-1, TS, TYMS</v>
      </c>
      <c r="H62" s="21" t="str">
        <f>'1L Screening Matrix'!J27</f>
        <v>Anti-LAG-3 monoclonal antibody</v>
      </c>
      <c r="I62" s="21" t="str">
        <f>'1L Screening Matrix'!H27</f>
        <v>Phase III</v>
      </c>
      <c r="J62" s="21" t="str">
        <f>'1L Screening Matrix'!L27</f>
        <v>No</v>
      </c>
    </row>
    <row r="63" spans="1:10" ht="15" customHeight="1" x14ac:dyDescent="0.2">
      <c r="A63" s="22" t="s">
        <v>2130</v>
      </c>
      <c r="B63" s="10" t="str">
        <f>'1L Screening Matrix'!A28</f>
        <v>Fianlimab</v>
      </c>
      <c r="C63" s="10" t="str">
        <f>'1L Screening Matrix'!C28</f>
        <v>Regeneron</v>
      </c>
      <c r="D63" s="10" t="str">
        <f>'1L Screening Matrix'!Q28</f>
        <v>Stage IV + Other</v>
      </c>
      <c r="E63" s="10" t="str">
        <f>'1L Screening Matrix'!R28</f>
        <v>Both</v>
      </c>
      <c r="F63" s="10" t="str">
        <f>'1L Screening Matrix'!S28</f>
        <v>TPS ≥ 50%</v>
      </c>
      <c r="G63" s="10" t="str">
        <f>'1L Screening Matrix'!I28</f>
        <v>CD279, LAG-3, PD-1</v>
      </c>
      <c r="H63" s="10" t="str">
        <f>'1L Screening Matrix'!J28</f>
        <v>Anti-LAG-3 monoclonal antibody</v>
      </c>
      <c r="I63" s="10" t="str">
        <f>'1L Screening Matrix'!H28</f>
        <v>Phase III</v>
      </c>
      <c r="J63" s="10" t="str">
        <f>'1L Screening Matrix'!L28</f>
        <v>No</v>
      </c>
    </row>
    <row r="64" spans="1:10" ht="15" customHeight="1" x14ac:dyDescent="0.2">
      <c r="A64" s="20" t="s">
        <v>2130</v>
      </c>
      <c r="B64" s="21" t="str">
        <f>'1L Screening Matrix'!A29</f>
        <v>Firmonertinib</v>
      </c>
      <c r="C64" s="21" t="str">
        <f>'1L Screening Matrix'!C29</f>
        <v>ArriVent Biopharma</v>
      </c>
      <c r="D64" s="21" t="str">
        <f>'1L Screening Matrix'!Q29</f>
        <v>Stage IV Only</v>
      </c>
      <c r="E64" s="21" t="str">
        <f>'1L Screening Matrix'!R29</f>
        <v>Non-squamous</v>
      </c>
      <c r="F64" s="21" t="str">
        <f>'1L Screening Matrix'!S29</f>
        <v>All-comers</v>
      </c>
      <c r="G64" s="21" t="str">
        <f>'1L Screening Matrix'!I29</f>
        <v>EGFR T790M</v>
      </c>
      <c r="H64" s="21" t="str">
        <f>'1L Screening Matrix'!J29</f>
        <v>EGFR T790M inhibitor</v>
      </c>
      <c r="I64" s="21" t="str">
        <f>'1L Screening Matrix'!H29</f>
        <v>Phase III</v>
      </c>
      <c r="J64" s="21" t="str">
        <f>'1L Screening Matrix'!L29</f>
        <v>No</v>
      </c>
    </row>
    <row r="65" spans="1:10" ht="15" customHeight="1" x14ac:dyDescent="0.2">
      <c r="A65" s="22" t="s">
        <v>2130</v>
      </c>
      <c r="B65" s="10" t="str">
        <f>'1L Screening Matrix'!A30</f>
        <v>Firmonertinib</v>
      </c>
      <c r="C65" s="10" t="str">
        <f>'1L Screening Matrix'!C30</f>
        <v>ArriVent Biopharma</v>
      </c>
      <c r="D65" s="10" t="str">
        <f>'1L Screening Matrix'!Q30</f>
        <v>Stage IV Only</v>
      </c>
      <c r="E65" s="10" t="str">
        <f>'1L Screening Matrix'!R30</f>
        <v>Both</v>
      </c>
      <c r="F65" s="10" t="str">
        <f>'1L Screening Matrix'!S30</f>
        <v>All-comers</v>
      </c>
      <c r="G65" s="10" t="str">
        <f>'1L Screening Matrix'!I30</f>
        <v>EGFR T790M</v>
      </c>
      <c r="H65" s="10" t="str">
        <f>'1L Screening Matrix'!J30</f>
        <v>EGFR T790M inhibitor</v>
      </c>
      <c r="I65" s="10" t="str">
        <f>'1L Screening Matrix'!H30</f>
        <v>Phase III</v>
      </c>
      <c r="J65" s="10" t="str">
        <f>'1L Screening Matrix'!L30</f>
        <v>No</v>
      </c>
    </row>
    <row r="66" spans="1:10" ht="15" customHeight="1" x14ac:dyDescent="0.2">
      <c r="A66" s="20" t="s">
        <v>2130</v>
      </c>
      <c r="B66" s="21" t="str">
        <f>'1L Screening Matrix'!A31</f>
        <v>HLX43</v>
      </c>
      <c r="C66" s="21" t="str">
        <f>'1L Screening Matrix'!C31</f>
        <v>Shanghai Henlius Biotech</v>
      </c>
      <c r="D66" s="21" t="str">
        <f>'1L Screening Matrix'!Q31</f>
        <v>Other</v>
      </c>
      <c r="E66" s="21" t="str">
        <f>'1L Screening Matrix'!R31</f>
        <v>Unspecified</v>
      </c>
      <c r="F66" s="21" t="str">
        <f>'1L Screening Matrix'!S31</f>
        <v>All-comers</v>
      </c>
      <c r="G66" s="21" t="str">
        <f>'1L Screening Matrix'!I31</f>
        <v>B7-H1, CD274, PD-L1</v>
      </c>
      <c r="H66" s="21" t="str">
        <f>'1L Screening Matrix'!J31</f>
        <v>Anti-PD-L1 ADC monoclonal antibody</v>
      </c>
      <c r="I66" s="21" t="str">
        <f>'1L Screening Matrix'!H31</f>
        <v>Phase III</v>
      </c>
      <c r="J66" s="21" t="str">
        <f>'1L Screening Matrix'!L31</f>
        <v>No</v>
      </c>
    </row>
    <row r="67" spans="1:10" ht="15" customHeight="1" x14ac:dyDescent="0.2">
      <c r="A67" s="22" t="s">
        <v>2130</v>
      </c>
      <c r="B67" s="10" t="str">
        <f>'1L Screening Matrix'!A32</f>
        <v>IBI363</v>
      </c>
      <c r="C67" s="10" t="str">
        <f>'1L Screening Matrix'!C32</f>
        <v>Innovent Biologics</v>
      </c>
      <c r="D67" s="10" t="str">
        <f>'1L Screening Matrix'!Q32</f>
        <v>Other</v>
      </c>
      <c r="E67" s="10" t="str">
        <f>'1L Screening Matrix'!R32</f>
        <v>Unspecified</v>
      </c>
      <c r="F67" s="10" t="str">
        <f>'1L Screening Matrix'!S32</f>
        <v>All-comers</v>
      </c>
      <c r="G67" s="10" t="str">
        <f>'1L Screening Matrix'!I32</f>
        <v>CD279, IL-2, PD-1, TCGF</v>
      </c>
      <c r="H67" s="10" t="str">
        <f>'1L Screening Matrix'!J32</f>
        <v>Anti-PD-1/IL-2 fusion protein</v>
      </c>
      <c r="I67" s="10" t="str">
        <f>'1L Screening Matrix'!H32</f>
        <v>Phase III</v>
      </c>
      <c r="J67" s="10" t="str">
        <f>'1L Screening Matrix'!L32</f>
        <v>No</v>
      </c>
    </row>
    <row r="68" spans="1:10" ht="15" customHeight="1" x14ac:dyDescent="0.2">
      <c r="A68" s="20" t="s">
        <v>2130</v>
      </c>
      <c r="B68" s="21" t="str">
        <f>'1L Screening Matrix'!A33</f>
        <v>IBI363</v>
      </c>
      <c r="C68" s="21" t="str">
        <f>'1L Screening Matrix'!C33</f>
        <v>Innovent Biologics</v>
      </c>
      <c r="D68" s="21" t="str">
        <f>'1L Screening Matrix'!Q33</f>
        <v>Other</v>
      </c>
      <c r="E68" s="21" t="str">
        <f>'1L Screening Matrix'!R33</f>
        <v>Unspecified</v>
      </c>
      <c r="F68" s="21" t="str">
        <f>'1L Screening Matrix'!S33</f>
        <v>All-comers</v>
      </c>
      <c r="G68" s="21" t="str">
        <f>'1L Screening Matrix'!I33</f>
        <v>CD279, IL-2, PD-1, TCGF</v>
      </c>
      <c r="H68" s="21" t="str">
        <f>'1L Screening Matrix'!J33</f>
        <v>Anti-PD-1/IL-2 fusion protein</v>
      </c>
      <c r="I68" s="21" t="str">
        <f>'1L Screening Matrix'!H33</f>
        <v>Phase III</v>
      </c>
      <c r="J68" s="21" t="str">
        <f>'1L Screening Matrix'!L33</f>
        <v>No</v>
      </c>
    </row>
    <row r="69" spans="1:10" ht="15" customHeight="1" x14ac:dyDescent="0.2">
      <c r="A69" s="22" t="s">
        <v>2130</v>
      </c>
      <c r="B69" s="10" t="str">
        <f>'1L Screening Matrix'!A34</f>
        <v>Ivonescimab</v>
      </c>
      <c r="C69" s="10" t="str">
        <f>'1L Screening Matrix'!C34</f>
        <v>Summit Therapeutics</v>
      </c>
      <c r="D69" s="10" t="str">
        <f>'1L Screening Matrix'!Q34</f>
        <v>Stage IV Only</v>
      </c>
      <c r="E69" s="10" t="str">
        <f>'1L Screening Matrix'!R34</f>
        <v>Both</v>
      </c>
      <c r="F69" s="10" t="str">
        <f>'1L Screening Matrix'!S34</f>
        <v>All-comers</v>
      </c>
      <c r="G69" s="10" t="str">
        <f>'1L Screening Matrix'!I34</f>
        <v>CD279, PD-1, VEGF</v>
      </c>
      <c r="H69" s="10" t="str">
        <f>'1L Screening Matrix'!J34</f>
        <v>Anti-PD-1/VEGF bispecific monoclonal antibody</v>
      </c>
      <c r="I69" s="10" t="str">
        <f>'1L Screening Matrix'!H34</f>
        <v>Phase III</v>
      </c>
      <c r="J69" s="10" t="str">
        <f>'1L Screening Matrix'!L34</f>
        <v>No</v>
      </c>
    </row>
    <row r="70" spans="1:10" ht="15" customHeight="1" x14ac:dyDescent="0.2">
      <c r="A70" s="20" t="s">
        <v>2130</v>
      </c>
      <c r="B70" s="21" t="str">
        <f>'1L Screening Matrix'!A35</f>
        <v>Ivonescimab</v>
      </c>
      <c r="C70" s="21" t="str">
        <f>'1L Screening Matrix'!C35</f>
        <v>Summit Therapeutics</v>
      </c>
      <c r="D70" s="21" t="str">
        <f>'1L Screening Matrix'!Q35</f>
        <v>Stage IV Only</v>
      </c>
      <c r="E70" s="21" t="str">
        <f>'1L Screening Matrix'!R35</f>
        <v>Both</v>
      </c>
      <c r="F70" s="21" t="str">
        <f>'1L Screening Matrix'!S35</f>
        <v>TPS ≥ 50%</v>
      </c>
      <c r="G70" s="21" t="str">
        <f>'1L Screening Matrix'!I35</f>
        <v>CD279, PD-1, VEGF</v>
      </c>
      <c r="H70" s="21" t="str">
        <f>'1L Screening Matrix'!J35</f>
        <v>Anti-PD-1/VEGF bispecific monoclonal antibody</v>
      </c>
      <c r="I70" s="21" t="str">
        <f>'1L Screening Matrix'!H35</f>
        <v>Phase III</v>
      </c>
      <c r="J70" s="21" t="str">
        <f>'1L Screening Matrix'!L35</f>
        <v>No</v>
      </c>
    </row>
    <row r="71" spans="1:10" ht="15" customHeight="1" x14ac:dyDescent="0.2">
      <c r="A71" s="22" t="s">
        <v>2130</v>
      </c>
      <c r="B71" s="10" t="str">
        <f>'1L Screening Matrix'!A36</f>
        <v>Lifileucel</v>
      </c>
      <c r="C71" s="10" t="str">
        <f>'1L Screening Matrix'!C36</f>
        <v>Iovance Biotherapeutics</v>
      </c>
      <c r="D71" s="10" t="str">
        <f>'1L Screening Matrix'!Q36</f>
        <v>Other</v>
      </c>
      <c r="E71" s="10" t="str">
        <f>'1L Screening Matrix'!R36</f>
        <v>Unspecified</v>
      </c>
      <c r="F71" s="10" t="str">
        <f>'1L Screening Matrix'!S36</f>
        <v>All-comers</v>
      </c>
      <c r="G71" s="10" t="str">
        <f>'1L Screening Matrix'!I36</f>
        <v>CD279, NA, PD-1</v>
      </c>
      <c r="H71" s="10" t="str">
        <f>'1L Screening Matrix'!J36</f>
        <v>Tumor infiltrating lymphocytes</v>
      </c>
      <c r="I71" s="10" t="str">
        <f>'1L Screening Matrix'!H36</f>
        <v>Phase III</v>
      </c>
      <c r="J71" s="10" t="str">
        <f>'1L Screening Matrix'!L36</f>
        <v>No</v>
      </c>
    </row>
    <row r="72" spans="1:10" ht="15" customHeight="1" x14ac:dyDescent="0.2">
      <c r="A72" s="20" t="s">
        <v>2130</v>
      </c>
      <c r="B72" s="21" t="str">
        <f>'1L Screening Matrix'!A37</f>
        <v>Livmoniplimab</v>
      </c>
      <c r="C72" s="21" t="str">
        <f>'1L Screening Matrix'!C37</f>
        <v>AbbVie</v>
      </c>
      <c r="D72" s="21" t="str">
        <f>'1L Screening Matrix'!Q37</f>
        <v>Stage IV Only</v>
      </c>
      <c r="E72" s="21" t="str">
        <f>'1L Screening Matrix'!R37</f>
        <v>Non-squamous</v>
      </c>
      <c r="F72" s="21" t="str">
        <f>'1L Screening Matrix'!S37</f>
        <v>All-comers</v>
      </c>
      <c r="G72" s="21" t="str">
        <f>'1L Screening Matrix'!I37</f>
        <v>CD279, GARP, NA, PD-1, TGF-β, TGF-β1, TS, TYMS</v>
      </c>
      <c r="H72" s="21" t="str">
        <f>'1L Screening Matrix'!J37</f>
        <v>Anti-GARP monoclonal antibody</v>
      </c>
      <c r="I72" s="21" t="str">
        <f>'1L Screening Matrix'!H37</f>
        <v>Phase III</v>
      </c>
      <c r="J72" s="21" t="str">
        <f>'1L Screening Matrix'!L37</f>
        <v>No</v>
      </c>
    </row>
    <row r="73" spans="1:10" ht="15" customHeight="1" x14ac:dyDescent="0.2">
      <c r="A73" s="22" t="s">
        <v>2130</v>
      </c>
      <c r="B73" s="10" t="str">
        <f>'1L Screening Matrix'!A38</f>
        <v>Monalizumab</v>
      </c>
      <c r="C73" s="10" t="str">
        <f>'1L Screening Matrix'!C38</f>
        <v>AstraZeneca</v>
      </c>
      <c r="D73" s="10" t="str">
        <f>'1L Screening Matrix'!Q38</f>
        <v>Stage III Only</v>
      </c>
      <c r="E73" s="10" t="str">
        <f>'1L Screening Matrix'!R38</f>
        <v>Unspecified</v>
      </c>
      <c r="F73" s="10" t="str">
        <f>'1L Screening Matrix'!S38</f>
        <v>All-comers</v>
      </c>
      <c r="G73" s="10" t="str">
        <f>'1L Screening Matrix'!I38</f>
        <v>B7-H1, CD274, KLRC1, NKG2A, PD-L1</v>
      </c>
      <c r="H73" s="10" t="str">
        <f>'1L Screening Matrix'!J38</f>
        <v>Anti-NKG2A monoclonal antibody</v>
      </c>
      <c r="I73" s="10" t="str">
        <f>'1L Screening Matrix'!H38</f>
        <v>Phase III</v>
      </c>
      <c r="J73" s="10" t="str">
        <f>'1L Screening Matrix'!L38</f>
        <v>No</v>
      </c>
    </row>
    <row r="74" spans="1:10" ht="15" customHeight="1" x14ac:dyDescent="0.2">
      <c r="A74" s="20" t="s">
        <v>2130</v>
      </c>
      <c r="B74" s="21" t="str">
        <f>'1L Screening Matrix'!A39</f>
        <v>Navlimetostat</v>
      </c>
      <c r="C74" s="21" t="str">
        <f>'1L Screening Matrix'!C39</f>
        <v>BMS</v>
      </c>
      <c r="D74" s="21" t="str">
        <f>'1L Screening Matrix'!Q39</f>
        <v>Stage IV Only</v>
      </c>
      <c r="E74" s="21" t="str">
        <f>'1L Screening Matrix'!R39</f>
        <v>Both</v>
      </c>
      <c r="F74" s="21" t="str">
        <f>'1L Screening Matrix'!S39</f>
        <v>All-comers</v>
      </c>
      <c r="G74" s="21" t="str">
        <f>'1L Screening Matrix'!I39</f>
        <v>CD279, Microtubule, NA, PD-1, PRMT5, TS, TYMS</v>
      </c>
      <c r="H74" s="21" t="str">
        <f>'1L Screening Matrix'!J39</f>
        <v>PRMT5 inhibitor</v>
      </c>
      <c r="I74" s="21" t="str">
        <f>'1L Screening Matrix'!H39</f>
        <v>Phase III</v>
      </c>
      <c r="J74" s="21" t="str">
        <f>'1L Screening Matrix'!L39</f>
        <v>No</v>
      </c>
    </row>
    <row r="75" spans="1:10" ht="15" customHeight="1" x14ac:dyDescent="0.2">
      <c r="A75" s="22" t="s">
        <v>2130</v>
      </c>
      <c r="B75" s="10" t="str">
        <f>'1L Screening Matrix'!A40</f>
        <v>Neladalkib</v>
      </c>
      <c r="C75" s="10" t="str">
        <f>'1L Screening Matrix'!C40</f>
        <v>Nuvalent</v>
      </c>
      <c r="D75" s="10" t="str">
        <f>'1L Screening Matrix'!Q40</f>
        <v>Stage IV Only</v>
      </c>
      <c r="E75" s="10" t="str">
        <f>'1L Screening Matrix'!R40</f>
        <v>Unspecified</v>
      </c>
      <c r="F75" s="10" t="str">
        <f>'1L Screening Matrix'!S40</f>
        <v>All-comers</v>
      </c>
      <c r="G75" s="10" t="str">
        <f>'1L Screening Matrix'!I40</f>
        <v>ALK</v>
      </c>
      <c r="H75" s="10" t="str">
        <f>'1L Screening Matrix'!J40</f>
        <v>ALK inhibitor</v>
      </c>
      <c r="I75" s="10" t="str">
        <f>'1L Screening Matrix'!H40</f>
        <v>Phase III</v>
      </c>
      <c r="J75" s="10" t="str">
        <f>'1L Screening Matrix'!L40</f>
        <v>No</v>
      </c>
    </row>
    <row r="76" spans="1:10" ht="15" customHeight="1" x14ac:dyDescent="0.2">
      <c r="A76" s="20" t="s">
        <v>2130</v>
      </c>
      <c r="B76" s="21" t="str">
        <f>'1L Screening Matrix'!A41</f>
        <v>Nogapendekin alfa</v>
      </c>
      <c r="C76" s="21" t="str">
        <f>'1L Screening Matrix'!C41</f>
        <v>ImmunityBio</v>
      </c>
      <c r="D76" s="21" t="str">
        <f>'1L Screening Matrix'!Q41</f>
        <v>Stage IV + Other</v>
      </c>
      <c r="E76" s="21" t="str">
        <f>'1L Screening Matrix'!R41</f>
        <v>Unspecified</v>
      </c>
      <c r="F76" s="21" t="str">
        <f>'1L Screening Matrix'!S41</f>
        <v>TPS 1-49%</v>
      </c>
      <c r="G76" s="21" t="str">
        <f>'1L Screening Matrix'!I41</f>
        <v>CD279, IL-15, IL-15R, PD-1</v>
      </c>
      <c r="H76" s="21" t="str">
        <f>'1L Screening Matrix'!J41</f>
        <v>IL-15/IL-15Ra fusion protein</v>
      </c>
      <c r="I76" s="21" t="str">
        <f>'1L Screening Matrix'!H41</f>
        <v>Phase III</v>
      </c>
      <c r="J76" s="21" t="str">
        <f>'1L Screening Matrix'!L41</f>
        <v>No</v>
      </c>
    </row>
    <row r="77" spans="1:10" ht="15" customHeight="1" x14ac:dyDescent="0.2">
      <c r="A77" s="22" t="s">
        <v>2130</v>
      </c>
      <c r="B77" s="10" t="str">
        <f>'1L Screening Matrix'!A42</f>
        <v>Nogapendekin alfa</v>
      </c>
      <c r="C77" s="10" t="str">
        <f>'1L Screening Matrix'!C42</f>
        <v>ImmunityBio</v>
      </c>
      <c r="D77" s="10" t="str">
        <f>'1L Screening Matrix'!Q42</f>
        <v>Other</v>
      </c>
      <c r="E77" s="10" t="str">
        <f>'1L Screening Matrix'!R42</f>
        <v>Unspecified</v>
      </c>
      <c r="F77" s="10" t="str">
        <f>'1L Screening Matrix'!S42</f>
        <v>All-comers</v>
      </c>
      <c r="G77" s="10" t="str">
        <f>'1L Screening Matrix'!I42</f>
        <v>CD279, IL-15, IL-15R, PD-1</v>
      </c>
      <c r="H77" s="10" t="str">
        <f>'1L Screening Matrix'!J42</f>
        <v>IL-15/IL-15Ra fusion protein</v>
      </c>
      <c r="I77" s="10" t="str">
        <f>'1L Screening Matrix'!H42</f>
        <v>Phase III</v>
      </c>
      <c r="J77" s="10" t="str">
        <f>'1L Screening Matrix'!L42</f>
        <v>No</v>
      </c>
    </row>
    <row r="78" spans="1:10" ht="15" customHeight="1" x14ac:dyDescent="0.2">
      <c r="A78" s="20" t="s">
        <v>2130</v>
      </c>
      <c r="B78" s="21" t="str">
        <f>'1L Screening Matrix'!A43</f>
        <v>Olaparib</v>
      </c>
      <c r="C78" s="21" t="str">
        <f>'1L Screening Matrix'!C43</f>
        <v>AstraZeneca</v>
      </c>
      <c r="D78" s="21" t="str">
        <f>'1L Screening Matrix'!Q43</f>
        <v>Stage III Only</v>
      </c>
      <c r="E78" s="21" t="str">
        <f>'1L Screening Matrix'!R43</f>
        <v>Unspecified</v>
      </c>
      <c r="F78" s="21" t="str">
        <f>'1L Screening Matrix'!S43</f>
        <v>All-comers</v>
      </c>
      <c r="G78" s="21" t="str">
        <f>'1L Screening Matrix'!I43</f>
        <v>CD279, PARP, PD-1</v>
      </c>
      <c r="H78" s="21" t="str">
        <f>'1L Screening Matrix'!J43</f>
        <v>PARP inhibitor</v>
      </c>
      <c r="I78" s="21" t="str">
        <f>'1L Screening Matrix'!H43</f>
        <v>Phase III</v>
      </c>
      <c r="J78" s="21" t="str">
        <f>'1L Screening Matrix'!L43</f>
        <v>No</v>
      </c>
    </row>
    <row r="79" spans="1:10" ht="15" customHeight="1" x14ac:dyDescent="0.2">
      <c r="A79" s="22" t="s">
        <v>2130</v>
      </c>
      <c r="B79" s="10" t="str">
        <f>'1L Screening Matrix'!A44</f>
        <v>Oleclumab</v>
      </c>
      <c r="C79" s="10" t="str">
        <f>'1L Screening Matrix'!C44</f>
        <v>AstraZeneca</v>
      </c>
      <c r="D79" s="10" t="str">
        <f>'1L Screening Matrix'!Q44</f>
        <v>Stage III Only</v>
      </c>
      <c r="E79" s="10" t="str">
        <f>'1L Screening Matrix'!R44</f>
        <v>Unspecified</v>
      </c>
      <c r="F79" s="10" t="str">
        <f>'1L Screening Matrix'!S44</f>
        <v>All-comers</v>
      </c>
      <c r="G79" s="10" t="str">
        <f>'1L Screening Matrix'!I44</f>
        <v>B7-H1, CD274, CD73, PD-L1</v>
      </c>
      <c r="H79" s="10" t="str">
        <f>'1L Screening Matrix'!J44</f>
        <v>Anti-CD73 monoclonal antibody</v>
      </c>
      <c r="I79" s="10" t="str">
        <f>'1L Screening Matrix'!H44</f>
        <v>Phase III</v>
      </c>
      <c r="J79" s="10" t="str">
        <f>'1L Screening Matrix'!L44</f>
        <v>No</v>
      </c>
    </row>
    <row r="80" spans="1:10" ht="15" customHeight="1" x14ac:dyDescent="0.2">
      <c r="A80" s="20" t="s">
        <v>2130</v>
      </c>
      <c r="B80" s="21" t="str">
        <f>'1L Screening Matrix'!A45</f>
        <v>Olomorasib</v>
      </c>
      <c r="C80" s="21" t="str">
        <f>'1L Screening Matrix'!C45</f>
        <v>Eli Lilly</v>
      </c>
      <c r="D80" s="21" t="str">
        <f>'1L Screening Matrix'!Q45</f>
        <v>Stage IV + Other</v>
      </c>
      <c r="E80" s="21" t="str">
        <f>'1L Screening Matrix'!R45</f>
        <v>Unspecified</v>
      </c>
      <c r="F80" s="21" t="str">
        <f>'1L Screening Matrix'!S45</f>
        <v>TPS ≥ 50%</v>
      </c>
      <c r="G80" s="21" t="str">
        <f>'1L Screening Matrix'!I45</f>
        <v>CD279, KRAS G12C, NA, PD-1, TS, TYMS</v>
      </c>
      <c r="H80" s="21" t="str">
        <f>'1L Screening Matrix'!J45</f>
        <v>KRAS G12C inhibitor</v>
      </c>
      <c r="I80" s="21" t="str">
        <f>'1L Screening Matrix'!H45</f>
        <v>Phase III</v>
      </c>
      <c r="J80" s="21" t="str">
        <f>'1L Screening Matrix'!L45</f>
        <v>No</v>
      </c>
    </row>
    <row r="81" spans="1:10" ht="15" customHeight="1" x14ac:dyDescent="0.2">
      <c r="A81" s="22" t="s">
        <v>2130</v>
      </c>
      <c r="B81" s="10" t="str">
        <f>'1L Screening Matrix'!A46</f>
        <v>Olomorasib</v>
      </c>
      <c r="C81" s="10" t="str">
        <f>'1L Screening Matrix'!C46</f>
        <v>Eli Lilly</v>
      </c>
      <c r="D81" s="10" t="str">
        <f>'1L Screening Matrix'!Q46</f>
        <v>Stage III Only</v>
      </c>
      <c r="E81" s="10" t="str">
        <f>'1L Screening Matrix'!R46</f>
        <v>Both</v>
      </c>
      <c r="F81" s="10" t="str">
        <f>'1L Screening Matrix'!S46</f>
        <v>All-comers</v>
      </c>
      <c r="G81" s="10" t="str">
        <f>'1L Screening Matrix'!I46</f>
        <v>B7-H1, CD274, KRAS G12C, PD-L1</v>
      </c>
      <c r="H81" s="10" t="str">
        <f>'1L Screening Matrix'!J46</f>
        <v>KRAS G12C inhibitor</v>
      </c>
      <c r="I81" s="10" t="str">
        <f>'1L Screening Matrix'!H46</f>
        <v>Phase III</v>
      </c>
      <c r="J81" s="10" t="str">
        <f>'1L Screening Matrix'!L46</f>
        <v>No</v>
      </c>
    </row>
    <row r="82" spans="1:10" ht="15" customHeight="1" x14ac:dyDescent="0.2">
      <c r="A82" s="20" t="s">
        <v>2130</v>
      </c>
      <c r="B82" s="21" t="str">
        <f>'1L Screening Matrix'!A47</f>
        <v>Pembrolizumab</v>
      </c>
      <c r="C82" s="21" t="str">
        <f>'1L Screening Matrix'!C47</f>
        <v>Samsung Bioepis</v>
      </c>
      <c r="D82" s="21" t="str">
        <f>'1L Screening Matrix'!Q47</f>
        <v>Stage IV Only</v>
      </c>
      <c r="E82" s="21" t="str">
        <f>'1L Screening Matrix'!R47</f>
        <v>Non-squamous</v>
      </c>
      <c r="F82" s="21" t="str">
        <f>'1L Screening Matrix'!S47</f>
        <v>All-comers</v>
      </c>
      <c r="G82" s="21" t="str">
        <f>'1L Screening Matrix'!I47</f>
        <v>CD279, NA, PD-1, TS, TYMS</v>
      </c>
      <c r="H82" s="21" t="str">
        <f>'1L Screening Matrix'!J47</f>
        <v>Anti-PD-1 monoclonal antibody</v>
      </c>
      <c r="I82" s="21" t="str">
        <f>'1L Screening Matrix'!H47</f>
        <v>Phase III</v>
      </c>
      <c r="J82" s="21" t="str">
        <f>'1L Screening Matrix'!L47</f>
        <v>Yes</v>
      </c>
    </row>
    <row r="83" spans="1:10" ht="15" customHeight="1" x14ac:dyDescent="0.2">
      <c r="A83" s="22" t="s">
        <v>2130</v>
      </c>
      <c r="B83" s="10" t="str">
        <f>'1L Screening Matrix'!A48</f>
        <v>Pembrolizumab</v>
      </c>
      <c r="C83" s="10" t="str">
        <f>'1L Screening Matrix'!C48</f>
        <v>mAbxience</v>
      </c>
      <c r="D83" s="10" t="str">
        <f>'1L Screening Matrix'!Q48</f>
        <v>Stage IV Only</v>
      </c>
      <c r="E83" s="10" t="str">
        <f>'1L Screening Matrix'!R48</f>
        <v>Non-squamous</v>
      </c>
      <c r="F83" s="10" t="str">
        <f>'1L Screening Matrix'!S48</f>
        <v>All-comers</v>
      </c>
      <c r="G83" s="10" t="str">
        <f>'1L Screening Matrix'!I48</f>
        <v>CD279, NA, PD-1, TS, TYMS</v>
      </c>
      <c r="H83" s="10" t="str">
        <f>'1L Screening Matrix'!J48</f>
        <v>Anti-PD-1 monoclonal antibody</v>
      </c>
      <c r="I83" s="10" t="str">
        <f>'1L Screening Matrix'!H48</f>
        <v>Phase III</v>
      </c>
      <c r="J83" s="10" t="str">
        <f>'1L Screening Matrix'!L48</f>
        <v>Yes</v>
      </c>
    </row>
    <row r="84" spans="1:10" ht="15" customHeight="1" x14ac:dyDescent="0.2">
      <c r="A84" s="20" t="s">
        <v>2130</v>
      </c>
      <c r="B84" s="21" t="str">
        <f>'1L Screening Matrix'!A49</f>
        <v>Pembrolizumab</v>
      </c>
      <c r="C84" s="21" t="str">
        <f>'1L Screening Matrix'!C49</f>
        <v>Celltrion</v>
      </c>
      <c r="D84" s="21" t="str">
        <f>'1L Screening Matrix'!Q49</f>
        <v>Stage IV Only</v>
      </c>
      <c r="E84" s="21" t="str">
        <f>'1L Screening Matrix'!R49</f>
        <v>Non-squamous</v>
      </c>
      <c r="F84" s="21" t="str">
        <f>'1L Screening Matrix'!S49</f>
        <v>All-comers</v>
      </c>
      <c r="G84" s="21" t="str">
        <f>'1L Screening Matrix'!I49</f>
        <v>CD279, NA, PD-1, TS, TYMS</v>
      </c>
      <c r="H84" s="21" t="str">
        <f>'1L Screening Matrix'!J49</f>
        <v>Anti-PD-1 monoclonal antibody</v>
      </c>
      <c r="I84" s="21" t="str">
        <f>'1L Screening Matrix'!H49</f>
        <v>Phase III</v>
      </c>
      <c r="J84" s="21" t="str">
        <f>'1L Screening Matrix'!L49</f>
        <v>Yes</v>
      </c>
    </row>
    <row r="85" spans="1:10" ht="15" customHeight="1" x14ac:dyDescent="0.2">
      <c r="A85" s="22" t="s">
        <v>2130</v>
      </c>
      <c r="B85" s="10" t="str">
        <f>'1L Screening Matrix'!A50</f>
        <v>Pembrolizumab</v>
      </c>
      <c r="C85" s="10" t="str">
        <f>'1L Screening Matrix'!C50</f>
        <v>Amgen</v>
      </c>
      <c r="D85" s="10" t="str">
        <f>'1L Screening Matrix'!Q50</f>
        <v>Stage IV Only</v>
      </c>
      <c r="E85" s="10" t="str">
        <f>'1L Screening Matrix'!R50</f>
        <v>Non-squamous</v>
      </c>
      <c r="F85" s="10" t="str">
        <f>'1L Screening Matrix'!S50</f>
        <v>All-comers</v>
      </c>
      <c r="G85" s="10" t="str">
        <f>'1L Screening Matrix'!I50</f>
        <v>CD279, NA, PD-1, TS, TYMS</v>
      </c>
      <c r="H85" s="10" t="str">
        <f>'1L Screening Matrix'!J50</f>
        <v>Anti-PD-1 monoclonal antibody</v>
      </c>
      <c r="I85" s="10" t="str">
        <f>'1L Screening Matrix'!H50</f>
        <v>Phase III</v>
      </c>
      <c r="J85" s="10" t="str">
        <f>'1L Screening Matrix'!L50</f>
        <v>Yes</v>
      </c>
    </row>
    <row r="86" spans="1:10" ht="15" customHeight="1" x14ac:dyDescent="0.2">
      <c r="A86" s="20" t="s">
        <v>2130</v>
      </c>
      <c r="B86" s="21" t="str">
        <f>'1L Screening Matrix'!A51</f>
        <v>PF-08634404</v>
      </c>
      <c r="C86" s="21" t="str">
        <f>'1L Screening Matrix'!C51</f>
        <v>Pfizer</v>
      </c>
      <c r="D86" s="21" t="str">
        <f>'1L Screening Matrix'!Q51</f>
        <v>Stage IV + Other</v>
      </c>
      <c r="E86" s="21" t="str">
        <f>'1L Screening Matrix'!R51</f>
        <v>Both</v>
      </c>
      <c r="F86" s="21" t="str">
        <f>'1L Screening Matrix'!S51</f>
        <v>All-comers</v>
      </c>
      <c r="G86" s="21" t="str">
        <f>'1L Screening Matrix'!I51</f>
        <v>CD279, PD-1, VEGF</v>
      </c>
      <c r="H86" s="21" t="str">
        <f>'1L Screening Matrix'!J51</f>
        <v>Anti-PD-1/VEGF bispecific monoclonal antibody</v>
      </c>
      <c r="I86" s="21" t="str">
        <f>'1L Screening Matrix'!H51</f>
        <v>Phase III</v>
      </c>
      <c r="J86" s="21" t="str">
        <f>'1L Screening Matrix'!L51</f>
        <v>No</v>
      </c>
    </row>
    <row r="87" spans="1:10" ht="15" customHeight="1" x14ac:dyDescent="0.2">
      <c r="A87" s="22" t="s">
        <v>2130</v>
      </c>
      <c r="B87" s="10" t="str">
        <f>'1L Screening Matrix'!A52</f>
        <v>Pumitamig</v>
      </c>
      <c r="C87" s="10" t="str">
        <f>'1L Screening Matrix'!C52</f>
        <v>BioNTech</v>
      </c>
      <c r="D87" s="10" t="str">
        <f>'1L Screening Matrix'!Q52</f>
        <v>Stage IV + Other</v>
      </c>
      <c r="E87" s="10" t="str">
        <f>'1L Screening Matrix'!R52</f>
        <v>Unspecified</v>
      </c>
      <c r="F87" s="10" t="str">
        <f>'1L Screening Matrix'!S52</f>
        <v>All-comers</v>
      </c>
      <c r="G87" s="10" t="str">
        <f>'1L Screening Matrix'!I52</f>
        <v>B7-H1, CD274, Microtubule, NA, PD-L1, TS, TYMS, VEGF</v>
      </c>
      <c r="H87" s="10" t="str">
        <f>'1L Screening Matrix'!J52</f>
        <v>Anti-PD-L1/VEGF bispecific monoclonal antibody</v>
      </c>
      <c r="I87" s="10" t="str">
        <f>'1L Screening Matrix'!H52</f>
        <v>Phase III</v>
      </c>
      <c r="J87" s="10" t="str">
        <f>'1L Screening Matrix'!L52</f>
        <v>No</v>
      </c>
    </row>
    <row r="88" spans="1:10" ht="15" customHeight="1" x14ac:dyDescent="0.2">
      <c r="A88" s="20" t="s">
        <v>2130</v>
      </c>
      <c r="B88" s="21" t="str">
        <f>'1L Screening Matrix'!A53</f>
        <v>Pumitamig</v>
      </c>
      <c r="C88" s="21" t="str">
        <f>'1L Screening Matrix'!C53</f>
        <v>BioNTech</v>
      </c>
      <c r="D88" s="21" t="str">
        <f>'1L Screening Matrix'!Q53</f>
        <v>Stage III Only</v>
      </c>
      <c r="E88" s="21" t="str">
        <f>'1L Screening Matrix'!R53</f>
        <v>Unspecified</v>
      </c>
      <c r="F88" s="21" t="str">
        <f>'1L Screening Matrix'!S53</f>
        <v>All-comers</v>
      </c>
      <c r="G88" s="21" t="str">
        <f>'1L Screening Matrix'!I53</f>
        <v>PD-L1, VEGF</v>
      </c>
      <c r="H88" s="21" t="str">
        <f>'1L Screening Matrix'!J53</f>
        <v>Anti-PD-L1/VEGF bispecific monoclonal antibody</v>
      </c>
      <c r="I88" s="21" t="str">
        <f>'1L Screening Matrix'!H53</f>
        <v>Phase III</v>
      </c>
      <c r="J88" s="21" t="str">
        <f>'1L Screening Matrix'!L53</f>
        <v>No</v>
      </c>
    </row>
    <row r="89" spans="1:10" ht="15" customHeight="1" x14ac:dyDescent="0.2">
      <c r="A89" s="22" t="s">
        <v>2130</v>
      </c>
      <c r="B89" s="10" t="str">
        <f>'1L Screening Matrix'!A54</f>
        <v>Pumitamig</v>
      </c>
      <c r="C89" s="10" t="str">
        <f>'1L Screening Matrix'!C54</f>
        <v>BioNTech</v>
      </c>
      <c r="D89" s="10" t="str">
        <f>'1L Screening Matrix'!Q54</f>
        <v>Stage IV + Other</v>
      </c>
      <c r="E89" s="10" t="str">
        <f>'1L Screening Matrix'!R54</f>
        <v>Unspecified</v>
      </c>
      <c r="F89" s="10" t="str">
        <f>'1L Screening Matrix'!S54</f>
        <v>All-comers</v>
      </c>
      <c r="G89" s="10" t="str">
        <f>'1L Screening Matrix'!I54</f>
        <v>B7-H1, CD274, PD-L1, VEGF</v>
      </c>
      <c r="H89" s="10" t="str">
        <f>'1L Screening Matrix'!J54</f>
        <v>Anti-PD-L1/VEGF bispecific monoclonal antibody</v>
      </c>
      <c r="I89" s="10" t="str">
        <f>'1L Screening Matrix'!H54</f>
        <v>Phase III</v>
      </c>
      <c r="J89" s="10" t="str">
        <f>'1L Screening Matrix'!L54</f>
        <v>No</v>
      </c>
    </row>
    <row r="90" spans="1:10" ht="15" customHeight="1" x14ac:dyDescent="0.2">
      <c r="A90" s="20" t="s">
        <v>2130</v>
      </c>
      <c r="B90" s="21" t="str">
        <f>'1L Screening Matrix'!A55</f>
        <v>Relatlimab/Nivolumab FDC</v>
      </c>
      <c r="C90" s="21" t="str">
        <f>'1L Screening Matrix'!C55</f>
        <v>BMS</v>
      </c>
      <c r="D90" s="21" t="str">
        <f>'1L Screening Matrix'!Q55</f>
        <v>Stage IV Only</v>
      </c>
      <c r="E90" s="21" t="str">
        <f>'1L Screening Matrix'!R55</f>
        <v>Non-squamous</v>
      </c>
      <c r="F90" s="21" t="str">
        <f>'1L Screening Matrix'!S55</f>
        <v>TPS 1-49%</v>
      </c>
      <c r="G90" s="21" t="str">
        <f>'1L Screening Matrix'!I55</f>
        <v>CD279, LAG-3, NA, PD-1, TS, TYMS</v>
      </c>
      <c r="H90" s="21" t="str">
        <f>'1L Screening Matrix'!J55</f>
        <v>Anti-LAG-3/PD-1 monoclonal antibody FDC</v>
      </c>
      <c r="I90" s="21" t="str">
        <f>'1L Screening Matrix'!H55</f>
        <v>Phase III</v>
      </c>
      <c r="J90" s="21" t="str">
        <f>'1L Screening Matrix'!L55</f>
        <v>No</v>
      </c>
    </row>
    <row r="91" spans="1:10" ht="15" customHeight="1" x14ac:dyDescent="0.2">
      <c r="A91" s="22" t="s">
        <v>2130</v>
      </c>
      <c r="B91" s="10" t="str">
        <f>'1L Screening Matrix'!A56</f>
        <v>Repotrectinib</v>
      </c>
      <c r="C91" s="10" t="str">
        <f>'1L Screening Matrix'!C56</f>
        <v>BMS</v>
      </c>
      <c r="D91" s="10" t="str">
        <f>'1L Screening Matrix'!Q56</f>
        <v>Stage IV + Other</v>
      </c>
      <c r="E91" s="10" t="str">
        <f>'1L Screening Matrix'!R56</f>
        <v>Unspecified</v>
      </c>
      <c r="F91" s="10" t="str">
        <f>'1L Screening Matrix'!S56</f>
        <v>All-comers</v>
      </c>
      <c r="G91" s="10" t="str">
        <f>'1L Screening Matrix'!I56</f>
        <v>ALK, FAK, NTRK, ROS1, Src</v>
      </c>
      <c r="H91" s="10" t="str">
        <f>'1L Screening Matrix'!J56</f>
        <v>Multi-kinase inhibitor</v>
      </c>
      <c r="I91" s="10" t="str">
        <f>'1L Screening Matrix'!H56</f>
        <v>Phase III</v>
      </c>
      <c r="J91" s="10" t="str">
        <f>'1L Screening Matrix'!L56</f>
        <v>No</v>
      </c>
    </row>
    <row r="92" spans="1:10" ht="15" customHeight="1" x14ac:dyDescent="0.2">
      <c r="A92" s="20" t="s">
        <v>2130</v>
      </c>
      <c r="B92" s="21" t="str">
        <f>'1L Screening Matrix'!A57</f>
        <v>Retifanlimab</v>
      </c>
      <c r="C92" s="21" t="str">
        <f>'1L Screening Matrix'!C57</f>
        <v>Incyte</v>
      </c>
      <c r="D92" s="21" t="str">
        <f>'1L Screening Matrix'!Q57</f>
        <v>Stage IV Only</v>
      </c>
      <c r="E92" s="21" t="str">
        <f>'1L Screening Matrix'!R57</f>
        <v>Both</v>
      </c>
      <c r="F92" s="21" t="str">
        <f>'1L Screening Matrix'!S57</f>
        <v>All-comers</v>
      </c>
      <c r="G92" s="21" t="str">
        <f>'1L Screening Matrix'!I57</f>
        <v>CD279, Microtubule, NA, PD-1, TS, TYMS</v>
      </c>
      <c r="H92" s="21" t="str">
        <f>'1L Screening Matrix'!J57</f>
        <v>Anti-PD-1 monoclonal antibody</v>
      </c>
      <c r="I92" s="21" t="str">
        <f>'1L Screening Matrix'!H57</f>
        <v>Phase III</v>
      </c>
      <c r="J92" s="21" t="str">
        <f>'1L Screening Matrix'!L57</f>
        <v>No</v>
      </c>
    </row>
    <row r="93" spans="1:10" ht="15" customHeight="1" x14ac:dyDescent="0.2">
      <c r="A93" s="22" t="s">
        <v>2130</v>
      </c>
      <c r="B93" s="10" t="str">
        <f>'1L Screening Matrix'!A58</f>
        <v>Rilvegostomig</v>
      </c>
      <c r="C93" s="10" t="str">
        <f>'1L Screening Matrix'!C58</f>
        <v>AstraZeneca</v>
      </c>
      <c r="D93" s="10" t="str">
        <f>'1L Screening Matrix'!Q58</f>
        <v>Stage IV + Other</v>
      </c>
      <c r="E93" s="10" t="str">
        <f>'1L Screening Matrix'!R58</f>
        <v>Non-squamous</v>
      </c>
      <c r="F93" s="10" t="str">
        <f>'1L Screening Matrix'!S58</f>
        <v>TPS ≥ 50%</v>
      </c>
      <c r="G93" s="10" t="str">
        <f>'1L Screening Matrix'!I58</f>
        <v>CD279, PD-1, TIGIT, TROP2</v>
      </c>
      <c r="H93" s="10" t="str">
        <f>'1L Screening Matrix'!J58</f>
        <v>Anti-TIGIT/PD-1 bispecific monoclonal antibody</v>
      </c>
      <c r="I93" s="10" t="str">
        <f>'1L Screening Matrix'!H58</f>
        <v>Phase III</v>
      </c>
      <c r="J93" s="10" t="str">
        <f>'1L Screening Matrix'!L58</f>
        <v>No</v>
      </c>
    </row>
    <row r="94" spans="1:10" ht="15" customHeight="1" x14ac:dyDescent="0.2">
      <c r="A94" s="20" t="s">
        <v>2130</v>
      </c>
      <c r="B94" s="21" t="str">
        <f>'1L Screening Matrix'!A59</f>
        <v>Rilvegostomig</v>
      </c>
      <c r="C94" s="21" t="str">
        <f>'1L Screening Matrix'!C59</f>
        <v>AstraZeneca</v>
      </c>
      <c r="D94" s="21" t="str">
        <f>'1L Screening Matrix'!Q59</f>
        <v>Stage IV Only</v>
      </c>
      <c r="E94" s="21" t="str">
        <f>'1L Screening Matrix'!R59</f>
        <v>Squamous</v>
      </c>
      <c r="F94" s="21" t="str">
        <f>'1L Screening Matrix'!S59</f>
        <v>TPS 1-49%</v>
      </c>
      <c r="G94" s="21" t="str">
        <f>'1L Screening Matrix'!I59</f>
        <v>CD279, Microtubule, NA, PD-1, TIGIT</v>
      </c>
      <c r="H94" s="21" t="str">
        <f>'1L Screening Matrix'!J59</f>
        <v>Anti-TIGIT/PD-1 bispecific monoclonal antibody</v>
      </c>
      <c r="I94" s="21" t="str">
        <f>'1L Screening Matrix'!H59</f>
        <v>Phase III</v>
      </c>
      <c r="J94" s="21" t="str">
        <f>'1L Screening Matrix'!L59</f>
        <v>No</v>
      </c>
    </row>
    <row r="95" spans="1:10" ht="15" customHeight="1" x14ac:dyDescent="0.2">
      <c r="A95" s="22" t="s">
        <v>2130</v>
      </c>
      <c r="B95" s="10" t="str">
        <f>'1L Screening Matrix'!A60</f>
        <v>Rilvegostomig</v>
      </c>
      <c r="C95" s="10" t="str">
        <f>'1L Screening Matrix'!C60</f>
        <v>AstraZeneca</v>
      </c>
      <c r="D95" s="10" t="str">
        <f>'1L Screening Matrix'!Q60</f>
        <v>Stage IV Only</v>
      </c>
      <c r="E95" s="10" t="str">
        <f>'1L Screening Matrix'!R60</f>
        <v>Non-squamous</v>
      </c>
      <c r="F95" s="10" t="str">
        <f>'1L Screening Matrix'!S60</f>
        <v>TPS 1-49%</v>
      </c>
      <c r="G95" s="10" t="str">
        <f>'1L Screening Matrix'!I60</f>
        <v>CD279, NA, PD-1, TIGIT, TS, TYMS</v>
      </c>
      <c r="H95" s="10" t="str">
        <f>'1L Screening Matrix'!J60</f>
        <v>Anti-TIGIT/PD-1 bispecific monoclonal antibody</v>
      </c>
      <c r="I95" s="10" t="str">
        <f>'1L Screening Matrix'!H60</f>
        <v>Phase III</v>
      </c>
      <c r="J95" s="10" t="str">
        <f>'1L Screening Matrix'!L60</f>
        <v>No</v>
      </c>
    </row>
    <row r="96" spans="1:10" ht="15" customHeight="1" x14ac:dyDescent="0.2">
      <c r="A96" s="20" t="s">
        <v>2130</v>
      </c>
      <c r="B96" s="21" t="str">
        <f>'1L Screening Matrix'!A61</f>
        <v>Rilvegostomig</v>
      </c>
      <c r="C96" s="21" t="str">
        <f>'1L Screening Matrix'!C61</f>
        <v>AstraZeneca</v>
      </c>
      <c r="D96" s="21" t="str">
        <f>'1L Screening Matrix'!Q61</f>
        <v>Stage IV Only</v>
      </c>
      <c r="E96" s="21" t="str">
        <f>'1L Screening Matrix'!R61</f>
        <v>Both</v>
      </c>
      <c r="F96" s="21" t="str">
        <f>'1L Screening Matrix'!S61</f>
        <v>TPS ≥ 50%</v>
      </c>
      <c r="G96" s="21" t="str">
        <f>'1L Screening Matrix'!I61</f>
        <v>CD279, PD-1, TIGIT</v>
      </c>
      <c r="H96" s="21" t="str">
        <f>'1L Screening Matrix'!J61</f>
        <v>Anti-TIGIT/PD-1 bispecific monoclonal antibody</v>
      </c>
      <c r="I96" s="21" t="str">
        <f>'1L Screening Matrix'!H61</f>
        <v>Phase III</v>
      </c>
      <c r="J96" s="21" t="str">
        <f>'1L Screening Matrix'!L61</f>
        <v>No</v>
      </c>
    </row>
    <row r="97" spans="1:10" ht="15" customHeight="1" x14ac:dyDescent="0.2">
      <c r="A97" s="22" t="s">
        <v>2130</v>
      </c>
      <c r="B97" s="10" t="str">
        <f>'1L Screening Matrix'!A62</f>
        <v>Sacituzumab govitecan</v>
      </c>
      <c r="C97" s="10" t="str">
        <f>'1L Screening Matrix'!C62</f>
        <v>Gilead</v>
      </c>
      <c r="D97" s="10" t="str">
        <f>'1L Screening Matrix'!Q62</f>
        <v>Stage IV Only</v>
      </c>
      <c r="E97" s="10" t="str">
        <f>'1L Screening Matrix'!R62</f>
        <v>Unspecified</v>
      </c>
      <c r="F97" s="10" t="str">
        <f>'1L Screening Matrix'!S62</f>
        <v>TPS ≥ 50%</v>
      </c>
      <c r="G97" s="10" t="str">
        <f>'1L Screening Matrix'!I62</f>
        <v>CD279, PD-1, TROP2</v>
      </c>
      <c r="H97" s="10" t="str">
        <f>'1L Screening Matrix'!J62</f>
        <v>Anti-TROP2 ADC monoclonal antibody</v>
      </c>
      <c r="I97" s="10" t="str">
        <f>'1L Screening Matrix'!H62</f>
        <v>Phase III</v>
      </c>
      <c r="J97" s="10" t="str">
        <f>'1L Screening Matrix'!L62</f>
        <v>No</v>
      </c>
    </row>
    <row r="98" spans="1:10" ht="15" customHeight="1" x14ac:dyDescent="0.2">
      <c r="A98" s="20" t="s">
        <v>2130</v>
      </c>
      <c r="B98" s="21" t="str">
        <f>'1L Screening Matrix'!A63</f>
        <v>Sacituzumab tirumotecan</v>
      </c>
      <c r="C98" s="21" t="str">
        <f>'1L Screening Matrix'!C63</f>
        <v>Merck</v>
      </c>
      <c r="D98" s="21" t="str">
        <f>'1L Screening Matrix'!Q63</f>
        <v>Stage IV Only</v>
      </c>
      <c r="E98" s="21" t="str">
        <f>'1L Screening Matrix'!R63</f>
        <v>Both</v>
      </c>
      <c r="F98" s="21" t="str">
        <f>'1L Screening Matrix'!S63</f>
        <v>TPS ≥ 50%</v>
      </c>
      <c r="G98" s="21" t="str">
        <f>'1L Screening Matrix'!I63</f>
        <v>CD279, PD-1, TROP2</v>
      </c>
      <c r="H98" s="21" t="str">
        <f>'1L Screening Matrix'!J63</f>
        <v>Anti-TROP2 ADC monoclonal antibody</v>
      </c>
      <c r="I98" s="21" t="str">
        <f>'1L Screening Matrix'!H63</f>
        <v>Phase III</v>
      </c>
      <c r="J98" s="21" t="str">
        <f>'1L Screening Matrix'!L63</f>
        <v>No</v>
      </c>
    </row>
    <row r="99" spans="1:10" ht="15" customHeight="1" x14ac:dyDescent="0.2">
      <c r="A99" s="22" t="s">
        <v>2130</v>
      </c>
      <c r="B99" s="10" t="str">
        <f>'1L Screening Matrix'!A64</f>
        <v>Sacituzumab tirumotecan</v>
      </c>
      <c r="C99" s="10" t="str">
        <f>'1L Screening Matrix'!C64</f>
        <v>Merck</v>
      </c>
      <c r="D99" s="10" t="str">
        <f>'1L Screening Matrix'!Q64</f>
        <v>Stage IV Only</v>
      </c>
      <c r="E99" s="10" t="str">
        <f>'1L Screening Matrix'!R64</f>
        <v>Squamous</v>
      </c>
      <c r="F99" s="10" t="str">
        <f>'1L Screening Matrix'!S64</f>
        <v>All-comers</v>
      </c>
      <c r="G99" s="10" t="str">
        <f>'1L Screening Matrix'!I64</f>
        <v>CD279, PD-1, TROP2</v>
      </c>
      <c r="H99" s="10" t="str">
        <f>'1L Screening Matrix'!J64</f>
        <v>Anti-TROP2 ADC monoclonal antibody</v>
      </c>
      <c r="I99" s="10" t="str">
        <f>'1L Screening Matrix'!H64</f>
        <v>Phase III</v>
      </c>
      <c r="J99" s="10" t="str">
        <f>'1L Screening Matrix'!L64</f>
        <v>No</v>
      </c>
    </row>
    <row r="100" spans="1:10" ht="15" customHeight="1" x14ac:dyDescent="0.2">
      <c r="A100" s="20" t="s">
        <v>2130</v>
      </c>
      <c r="B100" s="21" t="str">
        <f>'1L Screening Matrix'!A65</f>
        <v>Sevabertinib</v>
      </c>
      <c r="C100" s="21" t="str">
        <f>'1L Screening Matrix'!C65</f>
        <v>Bayer</v>
      </c>
      <c r="D100" s="21" t="str">
        <f>'1L Screening Matrix'!Q65</f>
        <v>Stage IV + Other</v>
      </c>
      <c r="E100" s="21" t="str">
        <f>'1L Screening Matrix'!R65</f>
        <v>Non-squamous</v>
      </c>
      <c r="F100" s="21" t="str">
        <f>'1L Screening Matrix'!S65</f>
        <v>All-comers</v>
      </c>
      <c r="G100" s="21" t="str">
        <f>'1L Screening Matrix'!I65</f>
        <v>EGFR C797G, EGFR C797S, EGFR Exon 20, HER2, HER2 Exon 20</v>
      </c>
      <c r="H100" s="21" t="str">
        <f>'1L Screening Matrix'!J65</f>
        <v>EGFR/HER2 mutant-selective inhibitor</v>
      </c>
      <c r="I100" s="21" t="str">
        <f>'1L Screening Matrix'!H65</f>
        <v>Phase III</v>
      </c>
      <c r="J100" s="21" t="str">
        <f>'1L Screening Matrix'!L65</f>
        <v>No</v>
      </c>
    </row>
    <row r="101" spans="1:10" ht="15" customHeight="1" x14ac:dyDescent="0.2">
      <c r="A101" s="22" t="s">
        <v>2130</v>
      </c>
      <c r="B101" s="10" t="str">
        <f>'1L Screening Matrix'!A66</f>
        <v>Sigvotatug vedotin</v>
      </c>
      <c r="C101" s="10" t="str">
        <f>'1L Screening Matrix'!C66</f>
        <v>Pfizer</v>
      </c>
      <c r="D101" s="10" t="str">
        <f>'1L Screening Matrix'!Q66</f>
        <v>Stage IV + Other</v>
      </c>
      <c r="E101" s="10" t="str">
        <f>'1L Screening Matrix'!R66</f>
        <v>Unspecified</v>
      </c>
      <c r="F101" s="10" t="str">
        <f>'1L Screening Matrix'!S66</f>
        <v>TPS ≥ 50%</v>
      </c>
      <c r="G101" s="10" t="str">
        <f>'1L Screening Matrix'!I66</f>
        <v>CD279, Integrin β6, PD-1</v>
      </c>
      <c r="H101" s="10" t="str">
        <f>'1L Screening Matrix'!J66</f>
        <v>Anti-Integrin β6 ADC monoclonal antibody</v>
      </c>
      <c r="I101" s="10" t="str">
        <f>'1L Screening Matrix'!H66</f>
        <v>Phase III</v>
      </c>
      <c r="J101" s="10" t="str">
        <f>'1L Screening Matrix'!L66</f>
        <v>No</v>
      </c>
    </row>
    <row r="102" spans="1:10" ht="15" customHeight="1" x14ac:dyDescent="0.2">
      <c r="A102" s="20" t="s">
        <v>2130</v>
      </c>
      <c r="B102" s="21" t="str">
        <f>'1L Screening Matrix'!A67</f>
        <v>Sigvotatug vedotin</v>
      </c>
      <c r="C102" s="21" t="str">
        <f>'1L Screening Matrix'!C67</f>
        <v>Pfizer</v>
      </c>
      <c r="D102" s="21" t="str">
        <f>'1L Screening Matrix'!Q67</f>
        <v>Stage IV Only</v>
      </c>
      <c r="E102" s="21" t="str">
        <f>'1L Screening Matrix'!R67</f>
        <v>Unspecified</v>
      </c>
      <c r="F102" s="21" t="str">
        <f>'1L Screening Matrix'!S67</f>
        <v>All-comers</v>
      </c>
      <c r="G102" s="21" t="str">
        <f>'1L Screening Matrix'!I67</f>
        <v>Integrin β6</v>
      </c>
      <c r="H102" s="21" t="str">
        <f>'1L Screening Matrix'!J67</f>
        <v>Anti-Integrin β6 ADC monoclonal antibody</v>
      </c>
      <c r="I102" s="21" t="str">
        <f>'1L Screening Matrix'!H67</f>
        <v>Phase III</v>
      </c>
      <c r="J102" s="21" t="str">
        <f>'1L Screening Matrix'!L67</f>
        <v>No</v>
      </c>
    </row>
    <row r="103" spans="1:10" ht="15" customHeight="1" x14ac:dyDescent="0.2">
      <c r="A103" s="22" t="s">
        <v>2130</v>
      </c>
      <c r="B103" s="10" t="str">
        <f>'1L Screening Matrix'!A68</f>
        <v>Silevertinib</v>
      </c>
      <c r="C103" s="10" t="str">
        <f>'1L Screening Matrix'!C68</f>
        <v>Black Diamond Therapeutics</v>
      </c>
      <c r="D103" s="10" t="str">
        <f>'1L Screening Matrix'!Q68</f>
        <v>Other</v>
      </c>
      <c r="E103" s="10" t="str">
        <f>'1L Screening Matrix'!R68</f>
        <v>Unspecified</v>
      </c>
      <c r="F103" s="10" t="str">
        <f>'1L Screening Matrix'!S68</f>
        <v>All-comers</v>
      </c>
      <c r="G103" s="10" t="str">
        <f>'1L Screening Matrix'!I68</f>
        <v>EGFR, ERBB, HER1</v>
      </c>
      <c r="H103" s="10" t="str">
        <f>'1L Screening Matrix'!J68</f>
        <v>EGFR inhibitor</v>
      </c>
      <c r="I103" s="10" t="str">
        <f>'1L Screening Matrix'!H68</f>
        <v>Phase III</v>
      </c>
      <c r="J103" s="10" t="str">
        <f>'1L Screening Matrix'!L68</f>
        <v>No</v>
      </c>
    </row>
    <row r="104" spans="1:10" ht="15" customHeight="1" x14ac:dyDescent="0.2">
      <c r="A104" s="20" t="s">
        <v>2130</v>
      </c>
      <c r="B104" s="21" t="str">
        <f>'1L Screening Matrix'!A69</f>
        <v>Sotorasib</v>
      </c>
      <c r="C104" s="21" t="str">
        <f>'1L Screening Matrix'!C69</f>
        <v>Amgen</v>
      </c>
      <c r="D104" s="21" t="str">
        <f>'1L Screening Matrix'!Q69</f>
        <v>Stage IV + Other</v>
      </c>
      <c r="E104" s="21" t="str">
        <f>'1L Screening Matrix'!R69</f>
        <v>Non-squamous</v>
      </c>
      <c r="F104" s="21" t="str">
        <f>'1L Screening Matrix'!S69</f>
        <v>All-comers</v>
      </c>
      <c r="G104" s="21" t="str">
        <f>'1L Screening Matrix'!I69</f>
        <v>KRAS G12C, NA, TS, TYMS</v>
      </c>
      <c r="H104" s="21" t="str">
        <f>'1L Screening Matrix'!J69</f>
        <v>KRAS G12C inhibitor</v>
      </c>
      <c r="I104" s="21" t="str">
        <f>'1L Screening Matrix'!H69</f>
        <v>Phase III</v>
      </c>
      <c r="J104" s="21" t="str">
        <f>'1L Screening Matrix'!L69</f>
        <v>No</v>
      </c>
    </row>
    <row r="105" spans="1:10" ht="15" customHeight="1" x14ac:dyDescent="0.2">
      <c r="A105" s="22" t="s">
        <v>2130</v>
      </c>
      <c r="B105" s="10" t="str">
        <f>'1L Screening Matrix'!A70</f>
        <v>Sunvozertinib</v>
      </c>
      <c r="C105" s="10" t="str">
        <f>'1L Screening Matrix'!C70</f>
        <v>Dizal Pharmaceuticals</v>
      </c>
      <c r="D105" s="10" t="str">
        <f>'1L Screening Matrix'!Q70</f>
        <v>Stage IV + Other</v>
      </c>
      <c r="E105" s="10" t="str">
        <f>'1L Screening Matrix'!R70</f>
        <v>Non-squamous</v>
      </c>
      <c r="F105" s="10" t="str">
        <f>'1L Screening Matrix'!S70</f>
        <v>All-comers</v>
      </c>
      <c r="G105" s="10" t="str">
        <f>'1L Screening Matrix'!I70</f>
        <v>EGFR, EGFR Exon 20, ERBB, HER2, HER2 Exon 20</v>
      </c>
      <c r="H105" s="10" t="str">
        <f>'1L Screening Matrix'!J70</f>
        <v>EGFR/HER2 inhibitor</v>
      </c>
      <c r="I105" s="10" t="str">
        <f>'1L Screening Matrix'!H70</f>
        <v>Phase III</v>
      </c>
      <c r="J105" s="10" t="str">
        <f>'1L Screening Matrix'!L70</f>
        <v>No</v>
      </c>
    </row>
    <row r="106" spans="1:10" ht="15" customHeight="1" x14ac:dyDescent="0.2">
      <c r="A106" s="20" t="s">
        <v>2130</v>
      </c>
      <c r="B106" s="21" t="str">
        <f>'1L Screening Matrix'!A71</f>
        <v>Trastuzumab deruxtecan</v>
      </c>
      <c r="C106" s="21" t="str">
        <f>'1L Screening Matrix'!C71</f>
        <v>Daiichi Sankyo</v>
      </c>
      <c r="D106" s="21" t="str">
        <f>'1L Screening Matrix'!Q71</f>
        <v>Stage IV Only</v>
      </c>
      <c r="E106" s="21" t="str">
        <f>'1L Screening Matrix'!R71</f>
        <v>Non-squamous</v>
      </c>
      <c r="F106" s="21" t="str">
        <f>'1L Screening Matrix'!S71</f>
        <v>All-comers</v>
      </c>
      <c r="G106" s="21" t="str">
        <f>'1L Screening Matrix'!I71</f>
        <v>HER2, MLN19</v>
      </c>
      <c r="H106" s="21" t="str">
        <f>'1L Screening Matrix'!J71</f>
        <v>Anti-HER-2 ADC monoclonal antibody</v>
      </c>
      <c r="I106" s="21" t="str">
        <f>'1L Screening Matrix'!H71</f>
        <v>Phase III</v>
      </c>
      <c r="J106" s="21" t="str">
        <f>'1L Screening Matrix'!L71</f>
        <v>No</v>
      </c>
    </row>
    <row r="107" spans="1:10" ht="15" customHeight="1" x14ac:dyDescent="0.2">
      <c r="A107" s="22" t="s">
        <v>2130</v>
      </c>
      <c r="B107" s="10" t="str">
        <f>'1L Screening Matrix'!A72</f>
        <v>Trastuzumab deruxtecan</v>
      </c>
      <c r="C107" s="10" t="str">
        <f>'1L Screening Matrix'!C72</f>
        <v>Daiichi Sankyo</v>
      </c>
      <c r="D107" s="10" t="str">
        <f>'1L Screening Matrix'!Q72</f>
        <v>Stage IV + Other</v>
      </c>
      <c r="E107" s="10" t="str">
        <f>'1L Screening Matrix'!R72</f>
        <v>Non-squamous</v>
      </c>
      <c r="F107" s="10" t="str">
        <f>'1L Screening Matrix'!S72</f>
        <v>TPS 1-49%</v>
      </c>
      <c r="G107" s="10" t="str">
        <f>'1L Screening Matrix'!I72</f>
        <v>CD279, HER2, MLN19, PD-1</v>
      </c>
      <c r="H107" s="10" t="str">
        <f>'1L Screening Matrix'!J72</f>
        <v>Anti-HER-2 ADC monoclonal antibody</v>
      </c>
      <c r="I107" s="10" t="str">
        <f>'1L Screening Matrix'!H72</f>
        <v>Phase III</v>
      </c>
      <c r="J107" s="10" t="str">
        <f>'1L Screening Matrix'!L72</f>
        <v>No</v>
      </c>
    </row>
    <row r="108" spans="1:10" ht="15" customHeight="1" x14ac:dyDescent="0.2">
      <c r="A108" s="20" t="s">
        <v>2130</v>
      </c>
      <c r="B108" s="21" t="str">
        <f>'1L Screening Matrix'!A73</f>
        <v>TTFields</v>
      </c>
      <c r="C108" s="21" t="str">
        <f>'1L Screening Matrix'!C73</f>
        <v>Novocure</v>
      </c>
      <c r="D108" s="21" t="str">
        <f>'1L Screening Matrix'!Q73</f>
        <v>Stage IV Only</v>
      </c>
      <c r="E108" s="21" t="str">
        <f>'1L Screening Matrix'!R73</f>
        <v>Both</v>
      </c>
      <c r="F108" s="21" t="str">
        <f>'1L Screening Matrix'!S73</f>
        <v>All-comers</v>
      </c>
      <c r="G108" s="21" t="str">
        <f>'1L Screening Matrix'!I73</f>
        <v>CD279, NA, PD-1</v>
      </c>
      <c r="H108" s="21" t="str">
        <f>'1L Screening Matrix'!J73</f>
        <v>TTFields 150 kHz</v>
      </c>
      <c r="I108" s="21" t="str">
        <f>'1L Screening Matrix'!H73</f>
        <v>Phase III</v>
      </c>
      <c r="J108" s="21" t="str">
        <f>'1L Screening Matrix'!L73</f>
        <v>No</v>
      </c>
    </row>
    <row r="109" spans="1:10" ht="15" customHeight="1" x14ac:dyDescent="0.2">
      <c r="A109" s="22" t="s">
        <v>2130</v>
      </c>
      <c r="B109" s="10" t="str">
        <f>'1L Screening Matrix'!A74</f>
        <v>Volrustomig</v>
      </c>
      <c r="C109" s="10" t="str">
        <f>'1L Screening Matrix'!C74</f>
        <v>AstraZeneca</v>
      </c>
      <c r="D109" s="10" t="str">
        <f>'1L Screening Matrix'!Q74</f>
        <v>Stage IV Only</v>
      </c>
      <c r="E109" s="10" t="str">
        <f>'1L Screening Matrix'!R74</f>
        <v>Both</v>
      </c>
      <c r="F109" s="10" t="str">
        <f>'1L Screening Matrix'!S74</f>
        <v>TPS 1-49%</v>
      </c>
      <c r="G109" s="10" t="str">
        <f>'1L Screening Matrix'!I74</f>
        <v>CD152, CD279, CTLA-4, Microtubule, NA, PD-1, TS, TYMS</v>
      </c>
      <c r="H109" s="10" t="str">
        <f>'1L Screening Matrix'!J74</f>
        <v>Anti-PD-1/CTLA-4 bispecific monoclonal antibody</v>
      </c>
      <c r="I109" s="10" t="str">
        <f>'1L Screening Matrix'!H74</f>
        <v>Phase III</v>
      </c>
      <c r="J109" s="10" t="str">
        <f>'1L Screening Matrix'!L74</f>
        <v>No</v>
      </c>
    </row>
    <row r="110" spans="1:10" ht="15" customHeight="1" x14ac:dyDescent="0.2">
      <c r="A110" s="20" t="s">
        <v>2130</v>
      </c>
      <c r="B110" s="21" t="e">
        <f>'1L Screening Matrix'!#REF!</f>
        <v>#REF!</v>
      </c>
      <c r="C110" s="21" t="e">
        <f>'1L Screening Matrix'!#REF!</f>
        <v>#REF!</v>
      </c>
      <c r="D110" s="21" t="e">
        <f>'1L Screening Matrix'!#REF!</f>
        <v>#REF!</v>
      </c>
      <c r="E110" s="21" t="e">
        <f>'1L Screening Matrix'!#REF!</f>
        <v>#REF!</v>
      </c>
      <c r="F110" s="21" t="e">
        <f>'1L Screening Matrix'!#REF!</f>
        <v>#REF!</v>
      </c>
      <c r="G110" s="21" t="e">
        <f>'1L Screening Matrix'!#REF!</f>
        <v>#REF!</v>
      </c>
      <c r="H110" s="21" t="e">
        <f>'1L Screening Matrix'!#REF!</f>
        <v>#REF!</v>
      </c>
      <c r="I110" s="21" t="e">
        <f>'1L Screening Matrix'!#REF!</f>
        <v>#REF!</v>
      </c>
      <c r="J110" s="21" t="e">
        <f>'1L Screening Matrix'!#REF!</f>
        <v>#REF!</v>
      </c>
    </row>
    <row r="111" spans="1:10" ht="15" customHeight="1" x14ac:dyDescent="0.2">
      <c r="A111" s="22" t="s">
        <v>2130</v>
      </c>
      <c r="B111" s="10" t="str">
        <f>'1L Screening Matrix'!A75</f>
        <v>Zipalertinib</v>
      </c>
      <c r="C111" s="10" t="str">
        <f>'1L Screening Matrix'!C75</f>
        <v>Cullinan Therapeutics</v>
      </c>
      <c r="D111" s="10" t="str">
        <f>'1L Screening Matrix'!Q75</f>
        <v>Stage IV Only</v>
      </c>
      <c r="E111" s="10" t="str">
        <f>'1L Screening Matrix'!R75</f>
        <v>Non-squamous</v>
      </c>
      <c r="F111" s="10" t="str">
        <f>'1L Screening Matrix'!S75</f>
        <v>All-comers</v>
      </c>
      <c r="G111" s="10" t="str">
        <f>'1L Screening Matrix'!I75</f>
        <v>EGFR, EGFR Exon 20, ERBB, HER1, NA, TS, TYMS</v>
      </c>
      <c r="H111" s="10" t="str">
        <f>'1L Screening Matrix'!J75</f>
        <v>EGFR inhibitor</v>
      </c>
      <c r="I111" s="10" t="str">
        <f>'1L Screening Matrix'!H75</f>
        <v>Phase III</v>
      </c>
      <c r="J111" s="10" t="str">
        <f>'1L Screening Matrix'!L75</f>
        <v>No</v>
      </c>
    </row>
    <row r="112" spans="1:10" ht="15" customHeight="1" x14ac:dyDescent="0.2">
      <c r="A112" s="20" t="s">
        <v>2130</v>
      </c>
      <c r="B112" s="21" t="str">
        <f>'1L Screening Matrix'!A76</f>
        <v>Zoldonrasib</v>
      </c>
      <c r="C112" s="21" t="str">
        <f>'1L Screening Matrix'!C76</f>
        <v>Revolution Medicines</v>
      </c>
      <c r="D112" s="21" t="str">
        <f>'1L Screening Matrix'!Q76</f>
        <v>Stage IV Only</v>
      </c>
      <c r="E112" s="21" t="str">
        <f>'1L Screening Matrix'!R76</f>
        <v>Unspecified</v>
      </c>
      <c r="F112" s="21" t="str">
        <f>'1L Screening Matrix'!S76</f>
        <v>All-comers</v>
      </c>
      <c r="G112" s="21" t="str">
        <f>'1L Screening Matrix'!I76</f>
        <v>KRAS G12D</v>
      </c>
      <c r="H112" s="21" t="str">
        <f>'1L Screening Matrix'!J76</f>
        <v>KRAS G12D inhibitor</v>
      </c>
      <c r="I112" s="21" t="str">
        <f>'1L Screening Matrix'!H76</f>
        <v>Phase III</v>
      </c>
      <c r="J112" s="21" t="str">
        <f>'1L Screening Matrix'!L76</f>
        <v>No</v>
      </c>
    </row>
    <row r="113" spans="1:10" ht="15" customHeight="1" x14ac:dyDescent="0.2">
      <c r="A113" s="22" t="s">
        <v>2130</v>
      </c>
      <c r="B113" s="10" t="str">
        <f>'1L Screening Matrix'!A77</f>
        <v>Zongertinib</v>
      </c>
      <c r="C113" s="10" t="str">
        <f>'1L Screening Matrix'!C77</f>
        <v>Boehringer Ingelheim</v>
      </c>
      <c r="D113" s="10" t="str">
        <f>'1L Screening Matrix'!Q77</f>
        <v>Stage IV Only</v>
      </c>
      <c r="E113" s="10" t="str">
        <f>'1L Screening Matrix'!R77</f>
        <v>Non-squamous</v>
      </c>
      <c r="F113" s="10" t="str">
        <f>'1L Screening Matrix'!S77</f>
        <v>All-comers</v>
      </c>
      <c r="G113" s="10" t="str">
        <f>'1L Screening Matrix'!I77</f>
        <v>HER2 Exon 20</v>
      </c>
      <c r="H113" s="10" t="str">
        <f>'1L Screening Matrix'!J77</f>
        <v>HER-2 exon20 inhibitor</v>
      </c>
      <c r="I113" s="10" t="str">
        <f>'1L Screening Matrix'!H77</f>
        <v>Phase III</v>
      </c>
      <c r="J113" s="10" t="str">
        <f>'1L Screening Matrix'!L77</f>
        <v>No</v>
      </c>
    </row>
    <row r="114" spans="1:10" ht="15" customHeight="1" x14ac:dyDescent="0.2">
      <c r="A114" s="23" t="s">
        <v>2131</v>
      </c>
      <c r="B114" s="21" t="str">
        <f>'2L Screening Matrix'!A2</f>
        <v>Erlotinib</v>
      </c>
      <c r="C114" s="21" t="str">
        <f>'2L Screening Matrix'!C2</f>
        <v>Genentech</v>
      </c>
      <c r="D114" s="21" t="str">
        <f>'2L Screening Matrix'!Q2</f>
        <v>Stage IV Only</v>
      </c>
      <c r="E114" s="21" t="str">
        <f>'2L Screening Matrix'!R2</f>
        <v>Unspecified</v>
      </c>
      <c r="F114" s="21" t="str">
        <f>'2L Screening Matrix'!S2</f>
        <v>All-comers</v>
      </c>
      <c r="G114" s="21" t="str">
        <f>'2L Screening Matrix'!I2</f>
        <v>EGFR, ERBB, HER1</v>
      </c>
      <c r="H114" s="21" t="str">
        <f>'2L Screening Matrix'!J2</f>
        <v>EGFR inhibitor</v>
      </c>
      <c r="I114" s="21" t="str">
        <f>'2L Screening Matrix'!H2</f>
        <v>Approved</v>
      </c>
      <c r="J114" s="21" t="str">
        <f>'2L Screening Matrix'!L2</f>
        <v>No</v>
      </c>
    </row>
    <row r="115" spans="1:10" ht="15" customHeight="1" x14ac:dyDescent="0.2">
      <c r="A115" s="24" t="s">
        <v>2131</v>
      </c>
      <c r="B115" s="10" t="str">
        <f>'2L Screening Matrix'!A3</f>
        <v>Crizotinib</v>
      </c>
      <c r="C115" s="10" t="str">
        <f>'2L Screening Matrix'!C3</f>
        <v>Pfizer</v>
      </c>
      <c r="D115" s="10" t="str">
        <f>'2L Screening Matrix'!Q3</f>
        <v>Stage IV + Other</v>
      </c>
      <c r="E115" s="10" t="str">
        <f>'2L Screening Matrix'!R3</f>
        <v>Unspecified</v>
      </c>
      <c r="F115" s="10" t="str">
        <f>'2L Screening Matrix'!S3</f>
        <v>All-comers</v>
      </c>
      <c r="G115" s="10" t="str">
        <f>'2L Screening Matrix'!I3</f>
        <v>ALK, c-MET/MET, ROS, ROS1</v>
      </c>
      <c r="H115" s="10" t="str">
        <f>'2L Screening Matrix'!J3</f>
        <v>c-MET, ALK, ROS1 inhibitor</v>
      </c>
      <c r="I115" s="10" t="str">
        <f>'2L Screening Matrix'!H3</f>
        <v>Approved</v>
      </c>
      <c r="J115" s="10" t="str">
        <f>'2L Screening Matrix'!L3</f>
        <v>No</v>
      </c>
    </row>
    <row r="116" spans="1:10" ht="15" customHeight="1" x14ac:dyDescent="0.2">
      <c r="A116" s="23" t="s">
        <v>2131</v>
      </c>
      <c r="B116" s="21" t="str">
        <f>'2L Screening Matrix'!A4</f>
        <v>Ramucirumab</v>
      </c>
      <c r="C116" s="21" t="str">
        <f>'2L Screening Matrix'!C4</f>
        <v>Eli Lilly</v>
      </c>
      <c r="D116" s="21" t="str">
        <f>'2L Screening Matrix'!Q4</f>
        <v>Stage IV Only</v>
      </c>
      <c r="E116" s="21" t="str">
        <f>'2L Screening Matrix'!R4</f>
        <v>Both</v>
      </c>
      <c r="F116" s="21" t="str">
        <f>'2L Screening Matrix'!S4</f>
        <v>All-comers</v>
      </c>
      <c r="G116" s="21" t="str">
        <f>'2L Screening Matrix'!I4</f>
        <v>KDR, VEGFR2</v>
      </c>
      <c r="H116" s="21" t="str">
        <f>'2L Screening Matrix'!J4</f>
        <v>Anti-VEGFR-2 monoclonal antibody</v>
      </c>
      <c r="I116" s="21" t="str">
        <f>'2L Screening Matrix'!H4</f>
        <v>Approved</v>
      </c>
      <c r="J116" s="21" t="str">
        <f>'2L Screening Matrix'!L4</f>
        <v>No</v>
      </c>
    </row>
    <row r="117" spans="1:10" ht="15" customHeight="1" x14ac:dyDescent="0.2">
      <c r="A117" s="24" t="s">
        <v>2131</v>
      </c>
      <c r="B117" s="10" t="str">
        <f>'2L Screening Matrix'!A5</f>
        <v>Afatinib</v>
      </c>
      <c r="C117" s="10" t="str">
        <f>'2L Screening Matrix'!C5</f>
        <v>Boehringer Ingelheim</v>
      </c>
      <c r="D117" s="10" t="str">
        <f>'2L Screening Matrix'!Q5</f>
        <v>Stage IV + Other</v>
      </c>
      <c r="E117" s="10" t="str">
        <f>'2L Screening Matrix'!R5</f>
        <v>Squamous</v>
      </c>
      <c r="F117" s="10" t="str">
        <f>'2L Screening Matrix'!S5</f>
        <v>All-comers</v>
      </c>
      <c r="G117" s="10" t="str">
        <f>'2L Screening Matrix'!I5</f>
        <v>EGFR, EGFR Exon 19-del, EGFR L858R, HER2, HER4</v>
      </c>
      <c r="H117" s="10" t="str">
        <f>'2L Screening Matrix'!J5</f>
        <v>EGFR inhibitor</v>
      </c>
      <c r="I117" s="10" t="str">
        <f>'2L Screening Matrix'!H5</f>
        <v>Approved</v>
      </c>
      <c r="J117" s="10" t="str">
        <f>'2L Screening Matrix'!L5</f>
        <v>No</v>
      </c>
    </row>
    <row r="118" spans="1:10" ht="15" customHeight="1" x14ac:dyDescent="0.2">
      <c r="A118" s="23" t="s">
        <v>2131</v>
      </c>
      <c r="B118" s="21" t="str">
        <f>'2L Screening Matrix'!A6</f>
        <v>Pembrolizumab</v>
      </c>
      <c r="C118" s="21" t="str">
        <f>'2L Screening Matrix'!C6</f>
        <v>Merck</v>
      </c>
      <c r="D118" s="21" t="str">
        <f>'2L Screening Matrix'!Q6</f>
        <v>Stage IV + Other</v>
      </c>
      <c r="E118" s="21" t="str">
        <f>'2L Screening Matrix'!R6</f>
        <v>Unspecified</v>
      </c>
      <c r="F118" s="21" t="str">
        <f>'2L Screening Matrix'!S6</f>
        <v>TPS 1-49%</v>
      </c>
      <c r="G118" s="21" t="str">
        <f>'2L Screening Matrix'!I6</f>
        <v>CD279, PD-1</v>
      </c>
      <c r="H118" s="21" t="str">
        <f>'2L Screening Matrix'!J6</f>
        <v>Anti-PD-1 monoclonal antibody</v>
      </c>
      <c r="I118" s="21" t="str">
        <f>'2L Screening Matrix'!H6</f>
        <v>Approved</v>
      </c>
      <c r="J118" s="21" t="str">
        <f>'2L Screening Matrix'!L6</f>
        <v>No</v>
      </c>
    </row>
    <row r="119" spans="1:10" ht="15" customHeight="1" x14ac:dyDescent="0.2">
      <c r="A119" s="24" t="s">
        <v>2131</v>
      </c>
      <c r="B119" s="10" t="str">
        <f>'2L Screening Matrix'!A7</f>
        <v>Atezolizumab</v>
      </c>
      <c r="C119" s="10" t="str">
        <f>'2L Screening Matrix'!C7</f>
        <v>Genentech</v>
      </c>
      <c r="D119" s="10" t="str">
        <f>'2L Screening Matrix'!Q7</f>
        <v>Stage IV + Other</v>
      </c>
      <c r="E119" s="10" t="str">
        <f>'2L Screening Matrix'!R7</f>
        <v>Non-squamous</v>
      </c>
      <c r="F119" s="10" t="str">
        <f>'2L Screening Matrix'!S7</f>
        <v>All-comers</v>
      </c>
      <c r="G119" s="10" t="str">
        <f>'2L Screening Matrix'!I7</f>
        <v>B7-H1, CD274, PD-L1</v>
      </c>
      <c r="H119" s="10" t="str">
        <f>'2L Screening Matrix'!J7</f>
        <v>Anti-PD-L1 monoclonal antibody</v>
      </c>
      <c r="I119" s="10" t="str">
        <f>'2L Screening Matrix'!H7</f>
        <v>Approved</v>
      </c>
      <c r="J119" s="10" t="str">
        <f>'2L Screening Matrix'!L7</f>
        <v>No</v>
      </c>
    </row>
    <row r="120" spans="1:10" ht="15" customHeight="1" x14ac:dyDescent="0.2">
      <c r="A120" s="23" t="s">
        <v>2131</v>
      </c>
      <c r="B120" s="21" t="str">
        <f>'2L Screening Matrix'!A8</f>
        <v>Osimertinib</v>
      </c>
      <c r="C120" s="21" t="str">
        <f>'2L Screening Matrix'!C8</f>
        <v>AstraZeneca</v>
      </c>
      <c r="D120" s="21" t="str">
        <f>'2L Screening Matrix'!Q8</f>
        <v>Stage IV Only</v>
      </c>
      <c r="E120" s="21" t="str">
        <f>'2L Screening Matrix'!R8</f>
        <v>Non-squamous</v>
      </c>
      <c r="F120" s="21" t="str">
        <f>'2L Screening Matrix'!S8</f>
        <v>All-comers</v>
      </c>
      <c r="G120" s="21" t="str">
        <f>'2L Screening Matrix'!I8</f>
        <v>EGFR T790M</v>
      </c>
      <c r="H120" s="21" t="str">
        <f>'2L Screening Matrix'!J8</f>
        <v>EGFR T790M inhibitor</v>
      </c>
      <c r="I120" s="21" t="str">
        <f>'2L Screening Matrix'!H8</f>
        <v>Approved</v>
      </c>
      <c r="J120" s="21" t="str">
        <f>'2L Screening Matrix'!L8</f>
        <v>No</v>
      </c>
    </row>
    <row r="121" spans="1:10" ht="15" customHeight="1" x14ac:dyDescent="0.2">
      <c r="A121" s="24" t="s">
        <v>2131</v>
      </c>
      <c r="B121" s="10" t="str">
        <f>'2L Screening Matrix'!A9</f>
        <v>Atezolizumab</v>
      </c>
      <c r="C121" s="10" t="str">
        <f>'2L Screening Matrix'!C9</f>
        <v>Genentech</v>
      </c>
      <c r="D121" s="10" t="str">
        <f>'2L Screening Matrix'!Q9</f>
        <v>Stage IV + Other</v>
      </c>
      <c r="E121" s="10" t="str">
        <f>'2L Screening Matrix'!R9</f>
        <v>Both</v>
      </c>
      <c r="F121" s="10" t="str">
        <f>'2L Screening Matrix'!S9</f>
        <v>All-comers</v>
      </c>
      <c r="G121" s="10" t="str">
        <f>'2L Screening Matrix'!I9</f>
        <v>B7-H1, CD274, PD-L1</v>
      </c>
      <c r="H121" s="10" t="str">
        <f>'2L Screening Matrix'!J9</f>
        <v>Anti-PD-L1 monoclonal antibody</v>
      </c>
      <c r="I121" s="10" t="str">
        <f>'2L Screening Matrix'!H9</f>
        <v>Approved</v>
      </c>
      <c r="J121" s="10" t="str">
        <f>'2L Screening Matrix'!L9</f>
        <v>No</v>
      </c>
    </row>
    <row r="122" spans="1:10" ht="15" customHeight="1" x14ac:dyDescent="0.2">
      <c r="A122" s="23" t="s">
        <v>2131</v>
      </c>
      <c r="B122" s="21" t="str">
        <f>'2L Screening Matrix'!A10</f>
        <v>Amivantamab</v>
      </c>
      <c r="C122" s="21" t="str">
        <f>'2L Screening Matrix'!C10</f>
        <v>Janssen</v>
      </c>
      <c r="D122" s="21" t="str">
        <f>'2L Screening Matrix'!Q10</f>
        <v>Stage IV Only</v>
      </c>
      <c r="E122" s="21" t="str">
        <f>'2L Screening Matrix'!R10</f>
        <v>Non-squamous</v>
      </c>
      <c r="F122" s="21" t="str">
        <f>'2L Screening Matrix'!S10</f>
        <v>All-comers</v>
      </c>
      <c r="G122" s="21" t="str">
        <f>'2L Screening Matrix'!I10</f>
        <v>c-MET/MET, EGFR, EGFR L858R, EGFR T790M, ERBB, HER1</v>
      </c>
      <c r="H122" s="21" t="str">
        <f>'2L Screening Matrix'!J10</f>
        <v>Anti-EGFR/c-MET bispecific monoclonal antibody</v>
      </c>
      <c r="I122" s="21" t="str">
        <f>'2L Screening Matrix'!H10</f>
        <v>Approved</v>
      </c>
      <c r="J122" s="21" t="str">
        <f>'2L Screening Matrix'!L10</f>
        <v>No</v>
      </c>
    </row>
    <row r="123" spans="1:10" ht="15" customHeight="1" x14ac:dyDescent="0.2">
      <c r="A123" s="24" t="s">
        <v>2131</v>
      </c>
      <c r="B123" s="10" t="str">
        <f>'2L Screening Matrix'!A11</f>
        <v>TTFields</v>
      </c>
      <c r="C123" s="10" t="str">
        <f>'2L Screening Matrix'!C11</f>
        <v>Novocure</v>
      </c>
      <c r="D123" s="10" t="str">
        <f>'2L Screening Matrix'!Q11</f>
        <v>Stage IV Only</v>
      </c>
      <c r="E123" s="10" t="str">
        <f>'2L Screening Matrix'!R11</f>
        <v>Both</v>
      </c>
      <c r="F123" s="10" t="str">
        <f>'2L Screening Matrix'!S11</f>
        <v>All-comers</v>
      </c>
      <c r="G123" s="10" t="str">
        <f>'2L Screening Matrix'!I11</f>
        <v>B7-H1, CD274, CD279, Microtubule, NA, PD-1, PD-L1</v>
      </c>
      <c r="H123" s="10" t="str">
        <f>'2L Screening Matrix'!J11</f>
        <v>TTFields 150 kHz</v>
      </c>
      <c r="I123" s="10" t="str">
        <f>'2L Screening Matrix'!H11</f>
        <v>Approved</v>
      </c>
      <c r="J123" s="10" t="str">
        <f>'2L Screening Matrix'!L11</f>
        <v>No</v>
      </c>
    </row>
    <row r="124" spans="1:10" ht="15" customHeight="1" x14ac:dyDescent="0.2">
      <c r="A124" s="23" t="s">
        <v>2131</v>
      </c>
      <c r="B124" s="21" t="str">
        <f>'2L Screening Matrix'!A12</f>
        <v>Amivantamab</v>
      </c>
      <c r="C124" s="21" t="str">
        <f>'2L Screening Matrix'!C12</f>
        <v>Janssen</v>
      </c>
      <c r="D124" s="21" t="str">
        <f>'2L Screening Matrix'!Q12</f>
        <v>Stage IV Only</v>
      </c>
      <c r="E124" s="21" t="str">
        <f>'2L Screening Matrix'!R12</f>
        <v>Unspecified</v>
      </c>
      <c r="F124" s="21" t="str">
        <f>'2L Screening Matrix'!S12</f>
        <v>All-comers</v>
      </c>
      <c r="G124" s="21" t="str">
        <f>'2L Screening Matrix'!I12</f>
        <v>c-MET/MET, EGFR, EGFR L858R, EGFR T790M, ERBB, HER1</v>
      </c>
      <c r="H124" s="21" t="str">
        <f>'2L Screening Matrix'!J12</f>
        <v>Anti-EGFR/c-MET bispecific monoclonal antibody</v>
      </c>
      <c r="I124" s="21" t="str">
        <f>'2L Screening Matrix'!H12</f>
        <v>Approved</v>
      </c>
      <c r="J124" s="21" t="str">
        <f>'2L Screening Matrix'!L12</f>
        <v>No</v>
      </c>
    </row>
    <row r="125" spans="1:10" ht="15" customHeight="1" x14ac:dyDescent="0.2">
      <c r="A125" s="24" t="s">
        <v>2131</v>
      </c>
      <c r="B125" s="10" t="str">
        <f>'2L Screening Matrix'!A13</f>
        <v>TTFields</v>
      </c>
      <c r="C125" s="10" t="str">
        <f>'2L Screening Matrix'!C13</f>
        <v>Novocure</v>
      </c>
      <c r="D125" s="10" t="str">
        <f>'2L Screening Matrix'!Q13</f>
        <v>Stage IV Only</v>
      </c>
      <c r="E125" s="10" t="str">
        <f>'2L Screening Matrix'!R13</f>
        <v>Unspecified</v>
      </c>
      <c r="F125" s="10" t="str">
        <f>'2L Screening Matrix'!S13</f>
        <v>All-comers</v>
      </c>
      <c r="G125" s="10">
        <f>'2L Screening Matrix'!I13</f>
        <v>0</v>
      </c>
      <c r="H125" s="10" t="str">
        <f>'2L Screening Matrix'!J13</f>
        <v>TTFields 150 kHz</v>
      </c>
      <c r="I125" s="10" t="str">
        <f>'2L Screening Matrix'!H13</f>
        <v>FDA</v>
      </c>
      <c r="J125" s="10" t="str">
        <f>'2L Screening Matrix'!L13</f>
        <v>No</v>
      </c>
    </row>
    <row r="126" spans="1:10" ht="15" customHeight="1" x14ac:dyDescent="0.2">
      <c r="A126" s="23" t="s">
        <v>2131</v>
      </c>
      <c r="B126" s="21" t="str">
        <f>'2L Screening Matrix'!A14</f>
        <v>Ivonescimab</v>
      </c>
      <c r="C126" s="21" t="str">
        <f>'2L Screening Matrix'!C14</f>
        <v>Summit Therapeutics</v>
      </c>
      <c r="D126" s="21" t="str">
        <f>'2L Screening Matrix'!Q14</f>
        <v>Stage IV + Other</v>
      </c>
      <c r="E126" s="21" t="str">
        <f>'2L Screening Matrix'!R14</f>
        <v>Non-squamous</v>
      </c>
      <c r="F126" s="21" t="str">
        <f>'2L Screening Matrix'!S14</f>
        <v>All-comers</v>
      </c>
      <c r="G126" s="21" t="str">
        <f>'2L Screening Matrix'!I14</f>
        <v>CD279, NA, PD-1, TS, TYMS, VEGF</v>
      </c>
      <c r="H126" s="21" t="str">
        <f>'2L Screening Matrix'!J14</f>
        <v>Anti-PD-1/VEGF bispecific monoclonal antibody</v>
      </c>
      <c r="I126" s="21" t="str">
        <f>'2L Screening Matrix'!H14</f>
        <v>FDA</v>
      </c>
      <c r="J126" s="21" t="str">
        <f>'2L Screening Matrix'!L14</f>
        <v>No</v>
      </c>
    </row>
    <row r="127" spans="1:10" ht="15" customHeight="1" x14ac:dyDescent="0.2">
      <c r="A127" s="24" t="s">
        <v>2131</v>
      </c>
      <c r="B127" s="10" t="str">
        <f>'2L Screening Matrix'!A15</f>
        <v>Pyrotinib</v>
      </c>
      <c r="C127" s="10" t="str">
        <f>'2L Screening Matrix'!C15</f>
        <v>Jiangsu HengRui Medicine</v>
      </c>
      <c r="D127" s="10" t="str">
        <f>'2L Screening Matrix'!Q15</f>
        <v>Stage IV + Other</v>
      </c>
      <c r="E127" s="10" t="str">
        <f>'2L Screening Matrix'!R15</f>
        <v>Non-squamous</v>
      </c>
      <c r="F127" s="10" t="str">
        <f>'2L Screening Matrix'!S15</f>
        <v>All-comers</v>
      </c>
      <c r="G127" s="10" t="str">
        <f>'2L Screening Matrix'!I15</f>
        <v>EGFR, HER1, HER2, HER4, MLN19</v>
      </c>
      <c r="H127" s="10" t="str">
        <f>'2L Screening Matrix'!J15</f>
        <v>EGFR/HER-2 inhibitor</v>
      </c>
      <c r="I127" s="10" t="str">
        <f>'2L Screening Matrix'!H15</f>
        <v>Phase III</v>
      </c>
      <c r="J127" s="10" t="str">
        <f>'2L Screening Matrix'!L15</f>
        <v>No</v>
      </c>
    </row>
    <row r="128" spans="1:10" ht="15" customHeight="1" x14ac:dyDescent="0.2">
      <c r="A128" s="23" t="s">
        <v>2131</v>
      </c>
      <c r="B128" s="21" t="str">
        <f>'2L Screening Matrix'!A16</f>
        <v>Sigvotatug vedotin</v>
      </c>
      <c r="C128" s="21" t="str">
        <f>'2L Screening Matrix'!C16</f>
        <v>Pfizer</v>
      </c>
      <c r="D128" s="21" t="str">
        <f>'2L Screening Matrix'!Q16</f>
        <v>Stage IV + Other</v>
      </c>
      <c r="E128" s="21" t="str">
        <f>'2L Screening Matrix'!R16</f>
        <v>Unspecified</v>
      </c>
      <c r="F128" s="21" t="str">
        <f>'2L Screening Matrix'!S16</f>
        <v>All-comers</v>
      </c>
      <c r="G128" s="21" t="str">
        <f>'2L Screening Matrix'!I16</f>
        <v>Integrin β6</v>
      </c>
      <c r="H128" s="21" t="str">
        <f>'2L Screening Matrix'!J16</f>
        <v>Anti-Integrin β6 ADC monoclonal antibody</v>
      </c>
      <c r="I128" s="21" t="str">
        <f>'2L Screening Matrix'!H16</f>
        <v>Phase III</v>
      </c>
      <c r="J128" s="21" t="str">
        <f>'2L Screening Matrix'!L16</f>
        <v>No</v>
      </c>
    </row>
    <row r="129" spans="1:10" ht="15" customHeight="1" x14ac:dyDescent="0.2">
      <c r="A129" s="24" t="s">
        <v>2131</v>
      </c>
      <c r="B129" s="10" t="str">
        <f>'2L Screening Matrix'!A17</f>
        <v>Gotistobart</v>
      </c>
      <c r="C129" s="10" t="str">
        <f>'2L Screening Matrix'!C17</f>
        <v>BioNTech</v>
      </c>
      <c r="D129" s="10" t="str">
        <f>'2L Screening Matrix'!Q17</f>
        <v>Stage IV Only</v>
      </c>
      <c r="E129" s="10" t="str">
        <f>'2L Screening Matrix'!R17</f>
        <v>Both</v>
      </c>
      <c r="F129" s="10" t="str">
        <f>'2L Screening Matrix'!S17</f>
        <v>All-comers</v>
      </c>
      <c r="G129" s="10" t="str">
        <f>'2L Screening Matrix'!I17</f>
        <v>CD152, CTLA-4</v>
      </c>
      <c r="H129" s="10" t="str">
        <f>'2L Screening Matrix'!J17</f>
        <v>Anti-CTLA-4 monoclonal antibody</v>
      </c>
      <c r="I129" s="10" t="str">
        <f>'2L Screening Matrix'!H17</f>
        <v>Phase III</v>
      </c>
      <c r="J129" s="10" t="str">
        <f>'2L Screening Matrix'!L17</f>
        <v>No</v>
      </c>
    </row>
    <row r="130" spans="1:10" ht="15" customHeight="1" x14ac:dyDescent="0.2">
      <c r="A130" s="23" t="s">
        <v>2131</v>
      </c>
      <c r="B130" s="21" t="str">
        <f>'2L Screening Matrix'!A18</f>
        <v>Savolitinib</v>
      </c>
      <c r="C130" s="21" t="str">
        <f>'2L Screening Matrix'!C18</f>
        <v>AstraZeneca</v>
      </c>
      <c r="D130" s="21" t="str">
        <f>'2L Screening Matrix'!Q18</f>
        <v>Stage IV Only</v>
      </c>
      <c r="E130" s="21" t="str">
        <f>'2L Screening Matrix'!R18</f>
        <v>Unspecified</v>
      </c>
      <c r="F130" s="21" t="str">
        <f>'2L Screening Matrix'!S18</f>
        <v>All-comers</v>
      </c>
      <c r="G130" s="21" t="str">
        <f>'2L Screening Matrix'!I18</f>
        <v>c-MET/MET, EGFR T790M</v>
      </c>
      <c r="H130" s="21" t="str">
        <f>'2L Screening Matrix'!J18</f>
        <v>c-MET inhibitor</v>
      </c>
      <c r="I130" s="21" t="str">
        <f>'2L Screening Matrix'!H18</f>
        <v>Phase III</v>
      </c>
      <c r="J130" s="21" t="str">
        <f>'2L Screening Matrix'!L18</f>
        <v>No</v>
      </c>
    </row>
    <row r="131" spans="1:10" ht="15" customHeight="1" x14ac:dyDescent="0.2">
      <c r="A131" s="24" t="s">
        <v>2131</v>
      </c>
      <c r="B131" s="10" t="str">
        <f>'2L Screening Matrix'!A19</f>
        <v>Divarasib</v>
      </c>
      <c r="C131" s="10" t="str">
        <f>'2L Screening Matrix'!C19</f>
        <v>Genentech</v>
      </c>
      <c r="D131" s="10" t="str">
        <f>'2L Screening Matrix'!Q19</f>
        <v>Stage IV + Other</v>
      </c>
      <c r="E131" s="10" t="str">
        <f>'2L Screening Matrix'!R19</f>
        <v>Unspecified</v>
      </c>
      <c r="F131" s="10" t="str">
        <f>'2L Screening Matrix'!S19</f>
        <v>All-comers</v>
      </c>
      <c r="G131" s="10" t="str">
        <f>'2L Screening Matrix'!I19</f>
        <v>KRAS G12C</v>
      </c>
      <c r="H131" s="10" t="str">
        <f>'2L Screening Matrix'!J19</f>
        <v>KRAS G12C inhibitor</v>
      </c>
      <c r="I131" s="10" t="str">
        <f>'2L Screening Matrix'!H19</f>
        <v>Phase III</v>
      </c>
      <c r="J131" s="10" t="str">
        <f>'2L Screening Matrix'!L19</f>
        <v>No</v>
      </c>
    </row>
    <row r="132" spans="1:10" ht="15" customHeight="1" x14ac:dyDescent="0.2">
      <c r="A132" s="23" t="s">
        <v>2131</v>
      </c>
      <c r="B132" s="21" t="str">
        <f>'2L Screening Matrix'!A20</f>
        <v>Datopotamab deruxtecan</v>
      </c>
      <c r="C132" s="21" t="str">
        <f>'2L Screening Matrix'!C20</f>
        <v>Daiichi Sankyo</v>
      </c>
      <c r="D132" s="21" t="str">
        <f>'2L Screening Matrix'!Q20</f>
        <v>Stage IV + Other</v>
      </c>
      <c r="E132" s="21" t="str">
        <f>'2L Screening Matrix'!R20</f>
        <v>Non-squamous</v>
      </c>
      <c r="F132" s="21" t="str">
        <f>'2L Screening Matrix'!S20</f>
        <v>All-comers</v>
      </c>
      <c r="G132" s="21" t="str">
        <f>'2L Screening Matrix'!I20</f>
        <v>EGFR T790M, TROP2</v>
      </c>
      <c r="H132" s="21" t="str">
        <f>'2L Screening Matrix'!J20</f>
        <v>Anti-TROP2 ADC monoclonal antibody</v>
      </c>
      <c r="I132" s="21" t="str">
        <f>'2L Screening Matrix'!H20</f>
        <v>Phase III</v>
      </c>
      <c r="J132" s="21" t="str">
        <f>'2L Screening Matrix'!L20</f>
        <v>No</v>
      </c>
    </row>
    <row r="133" spans="1:10" ht="15" customHeight="1" x14ac:dyDescent="0.2">
      <c r="A133" s="24" t="s">
        <v>2131</v>
      </c>
      <c r="B133" s="10" t="str">
        <f>'2L Screening Matrix'!A21</f>
        <v>Sacituzumab tirumotecan</v>
      </c>
      <c r="C133" s="10" t="str">
        <f>'2L Screening Matrix'!C21</f>
        <v>Merck</v>
      </c>
      <c r="D133" s="10" t="str">
        <f>'2L Screening Matrix'!Q21</f>
        <v>Stage IV + Other</v>
      </c>
      <c r="E133" s="10" t="str">
        <f>'2L Screening Matrix'!R21</f>
        <v>Non-squamous</v>
      </c>
      <c r="F133" s="10" t="str">
        <f>'2L Screening Matrix'!S21</f>
        <v>All-comers</v>
      </c>
      <c r="G133" s="10" t="str">
        <f>'2L Screening Matrix'!I21</f>
        <v>TROP2</v>
      </c>
      <c r="H133" s="10" t="str">
        <f>'2L Screening Matrix'!J21</f>
        <v>Anti-TROP2 ADC monoclonal antibody</v>
      </c>
      <c r="I133" s="10" t="str">
        <f>'2L Screening Matrix'!H21</f>
        <v>Phase III</v>
      </c>
      <c r="J133" s="10" t="str">
        <f>'2L Screening Matrix'!L21</f>
        <v>No</v>
      </c>
    </row>
    <row r="134" spans="1:10" ht="15" customHeight="1" x14ac:dyDescent="0.2">
      <c r="A134" s="23" t="s">
        <v>2131</v>
      </c>
      <c r="B134" s="21" t="str">
        <f>'2L Screening Matrix'!A22</f>
        <v>Sotorasib</v>
      </c>
      <c r="C134" s="21" t="str">
        <f>'2L Screening Matrix'!C22</f>
        <v>Amgen</v>
      </c>
      <c r="D134" s="21" t="str">
        <f>'2L Screening Matrix'!Q22</f>
        <v>Stage IV Only</v>
      </c>
      <c r="E134" s="21" t="str">
        <f>'2L Screening Matrix'!R22</f>
        <v>Unspecified</v>
      </c>
      <c r="F134" s="21" t="str">
        <f>'2L Screening Matrix'!S22</f>
        <v>All-comers</v>
      </c>
      <c r="G134" s="21" t="str">
        <f>'2L Screening Matrix'!I22</f>
        <v>KRAS G12C</v>
      </c>
      <c r="H134" s="21" t="str">
        <f>'2L Screening Matrix'!J22</f>
        <v>KRAS G12C inhibitor</v>
      </c>
      <c r="I134" s="21" t="str">
        <f>'2L Screening Matrix'!H22</f>
        <v>Phase III</v>
      </c>
      <c r="J134" s="21" t="str">
        <f>'2L Screening Matrix'!L22</f>
        <v>No</v>
      </c>
    </row>
    <row r="135" spans="1:10" ht="15" customHeight="1" x14ac:dyDescent="0.2">
      <c r="A135" s="24" t="s">
        <v>2131</v>
      </c>
      <c r="B135" s="10" t="str">
        <f>'2L Screening Matrix'!A23</f>
        <v>Daraxonrasib</v>
      </c>
      <c r="C135" s="10" t="str">
        <f>'2L Screening Matrix'!C23</f>
        <v>Revolution Medicines</v>
      </c>
      <c r="D135" s="10" t="str">
        <f>'2L Screening Matrix'!Q23</f>
        <v>Stage IV Only</v>
      </c>
      <c r="E135" s="10" t="str">
        <f>'2L Screening Matrix'!R23</f>
        <v>Both</v>
      </c>
      <c r="F135" s="10" t="str">
        <f>'2L Screening Matrix'!S23</f>
        <v>All-comers</v>
      </c>
      <c r="G135" s="10" t="str">
        <f>'2L Screening Matrix'!I23</f>
        <v>HRAS, KRAS, KRAS G12, KRAS G12C, KRAS G12D, NRAS, pan-KRAS, RAS</v>
      </c>
      <c r="H135" s="10" t="str">
        <f>'2L Screening Matrix'!J23</f>
        <v>RAS inhibitor</v>
      </c>
      <c r="I135" s="10" t="str">
        <f>'2L Screening Matrix'!H23</f>
        <v>Phase III</v>
      </c>
      <c r="J135" s="10" t="str">
        <f>'2L Screening Matrix'!L23</f>
        <v>No</v>
      </c>
    </row>
    <row r="136" spans="1:10" ht="15" customHeight="1" x14ac:dyDescent="0.2">
      <c r="A136" s="23" t="s">
        <v>2131</v>
      </c>
      <c r="B136" s="21" t="str">
        <f>'2L Screening Matrix'!A24</f>
        <v>OSE 2101</v>
      </c>
      <c r="C136" s="21" t="str">
        <f>'2L Screening Matrix'!C24</f>
        <v>OSE Immunotherapeutics</v>
      </c>
      <c r="D136" s="21" t="str">
        <f>'2L Screening Matrix'!Q24</f>
        <v>Stage IV Only</v>
      </c>
      <c r="E136" s="21" t="str">
        <f>'2L Screening Matrix'!R24</f>
        <v>Both</v>
      </c>
      <c r="F136" s="21" t="str">
        <f>'2L Screening Matrix'!S24</f>
        <v>All-comers</v>
      </c>
      <c r="G136" s="21" t="str">
        <f>'2L Screening Matrix'!I24</f>
        <v>CEA, HER2, MAGE-A2, MAGE-A3, p53</v>
      </c>
      <c r="H136" s="21" t="str">
        <f>'2L Screening Matrix'!J24</f>
        <v>Cancer vaccine</v>
      </c>
      <c r="I136" s="21" t="str">
        <f>'2L Screening Matrix'!H24</f>
        <v>Phase III</v>
      </c>
      <c r="J136" s="21" t="str">
        <f>'2L Screening Matrix'!L24</f>
        <v>No</v>
      </c>
    </row>
    <row r="137" spans="1:10" ht="15" customHeight="1" x14ac:dyDescent="0.2">
      <c r="A137" s="24" t="s">
        <v>2131</v>
      </c>
      <c r="B137" s="10" t="str">
        <f>'2L Screening Matrix'!A25</f>
        <v>KB707 (inhaled)</v>
      </c>
      <c r="C137" s="10" t="str">
        <f>'2L Screening Matrix'!C25</f>
        <v>Krystal Biotech</v>
      </c>
      <c r="D137" s="10" t="str">
        <f>'2L Screening Matrix'!Q25</f>
        <v>Other</v>
      </c>
      <c r="E137" s="10" t="str">
        <f>'2L Screening Matrix'!R25</f>
        <v>Unspecified</v>
      </c>
      <c r="F137" s="10" t="str">
        <f>'2L Screening Matrix'!S25</f>
        <v>All-comers</v>
      </c>
      <c r="G137" s="10" t="str">
        <f>'2L Screening Matrix'!I25</f>
        <v>IL-12, IL-2, TCGF</v>
      </c>
      <c r="H137" s="10" t="str">
        <f>'2L Screening Matrix'!J25</f>
        <v>HSV-1 vector based IL-2/IL-12</v>
      </c>
      <c r="I137" s="10" t="str">
        <f>'2L Screening Matrix'!H25</f>
        <v>Phase III</v>
      </c>
      <c r="J137" s="10" t="str">
        <f>'2L Screening Matrix'!L25</f>
        <v>No</v>
      </c>
    </row>
    <row r="138" spans="1:10" ht="15" customHeight="1" x14ac:dyDescent="0.2">
      <c r="A138" s="23" t="s">
        <v>2131</v>
      </c>
      <c r="B138" s="21" t="str">
        <f>'2L Screening Matrix'!A26</f>
        <v>Fetrastobart vedotin</v>
      </c>
      <c r="C138" s="21" t="str">
        <f>'2L Screening Matrix'!C26</f>
        <v>Pfizer</v>
      </c>
      <c r="D138" s="21" t="str">
        <f>'2L Screening Matrix'!Q26</f>
        <v>Stage IV + Other</v>
      </c>
      <c r="E138" s="21" t="str">
        <f>'2L Screening Matrix'!R26</f>
        <v>Both</v>
      </c>
      <c r="F138" s="21" t="str">
        <f>'2L Screening Matrix'!S26</f>
        <v>TPS 1-49%</v>
      </c>
      <c r="G138" s="21" t="str">
        <f>'2L Screening Matrix'!I26</f>
        <v>B7-H1, CD274, PD-L1</v>
      </c>
      <c r="H138" s="21" t="str">
        <f>'2L Screening Matrix'!J26</f>
        <v>Anti-PD-L1 ADC monoclonal antibody</v>
      </c>
      <c r="I138" s="21" t="str">
        <f>'2L Screening Matrix'!H26</f>
        <v>Phase III</v>
      </c>
      <c r="J138" s="21" t="str">
        <f>'2L Screening Matrix'!L26</f>
        <v>No</v>
      </c>
    </row>
    <row r="139" spans="1:10" ht="15" customHeight="1" x14ac:dyDescent="0.2">
      <c r="A139" s="24" t="s">
        <v>2131</v>
      </c>
      <c r="B139" s="10" t="str">
        <f>'2L Screening Matrix'!A27</f>
        <v>Telisotuzumab Vedotin</v>
      </c>
      <c r="C139" s="10" t="str">
        <f>'2L Screening Matrix'!C27</f>
        <v>AbbVie</v>
      </c>
      <c r="D139" s="10" t="str">
        <f>'2L Screening Matrix'!Q27</f>
        <v>Stage IV Only</v>
      </c>
      <c r="E139" s="10" t="str">
        <f>'2L Screening Matrix'!R27</f>
        <v>Non-squamous</v>
      </c>
      <c r="F139" s="10" t="str">
        <f>'2L Screening Matrix'!S27</f>
        <v>All-comers</v>
      </c>
      <c r="G139" s="10" t="str">
        <f>'2L Screening Matrix'!I27</f>
        <v>c-MET/MET</v>
      </c>
      <c r="H139" s="10" t="str">
        <f>'2L Screening Matrix'!J27</f>
        <v>Anti-c-MET ADC monoclonal antibody</v>
      </c>
      <c r="I139" s="10" t="str">
        <f>'2L Screening Matrix'!H27</f>
        <v>Phase III</v>
      </c>
      <c r="J139" s="10" t="str">
        <f>'2L Screening Matrix'!L27</f>
        <v>No</v>
      </c>
    </row>
    <row r="140" spans="1:10" ht="15" customHeight="1" x14ac:dyDescent="0.2">
      <c r="A140" s="23" t="s">
        <v>2131</v>
      </c>
      <c r="B140" s="21" t="str">
        <f>'2L Screening Matrix'!A28</f>
        <v>Mecbotamab vedotin</v>
      </c>
      <c r="C140" s="21" t="str">
        <f>'2L Screening Matrix'!C28</f>
        <v>BioAtla</v>
      </c>
      <c r="D140" s="21" t="str">
        <f>'2L Screening Matrix'!Q28</f>
        <v>Stage IV Only</v>
      </c>
      <c r="E140" s="21" t="str">
        <f>'2L Screening Matrix'!R28</f>
        <v>Unspecified</v>
      </c>
      <c r="F140" s="21" t="str">
        <f>'2L Screening Matrix'!S28</f>
        <v>All-comers</v>
      </c>
      <c r="G140" s="21" t="str">
        <f>'2L Screening Matrix'!I28</f>
        <v>AXL, CD279, PD-1</v>
      </c>
      <c r="H140" s="21" t="str">
        <f>'2L Screening Matrix'!J28</f>
        <v>Anti-AXL ADC monoclonal antibody</v>
      </c>
      <c r="I140" s="21" t="str">
        <f>'2L Screening Matrix'!H28</f>
        <v>Phase III</v>
      </c>
      <c r="J140" s="21" t="str">
        <f>'2L Screening Matrix'!L28</f>
        <v>No</v>
      </c>
    </row>
    <row r="141" spans="1:10" ht="15" customHeight="1" x14ac:dyDescent="0.2">
      <c r="A141" s="24" t="s">
        <v>2131</v>
      </c>
      <c r="B141" s="10" t="str">
        <f>'2L Screening Matrix'!A29</f>
        <v>Izalontamab brengitecan</v>
      </c>
      <c r="C141" s="10" t="str">
        <f>'2L Screening Matrix'!C29</f>
        <v>SystImmune</v>
      </c>
      <c r="D141" s="10" t="str">
        <f>'2L Screening Matrix'!Q29</f>
        <v>Stage IV Only</v>
      </c>
      <c r="E141" s="10" t="str">
        <f>'2L Screening Matrix'!R29</f>
        <v>Non-squamous</v>
      </c>
      <c r="F141" s="10" t="str">
        <f>'2L Screening Matrix'!S29</f>
        <v>All-comers</v>
      </c>
      <c r="G141" s="10" t="str">
        <f>'2L Screening Matrix'!I29</f>
        <v>EGFR, ERBB, ERBB3, HER1, HER3</v>
      </c>
      <c r="H141" s="10" t="str">
        <f>'2L Screening Matrix'!J29</f>
        <v>Anti-EGFR/HER3 bispecific ADC monoclonal antibody</v>
      </c>
      <c r="I141" s="10" t="str">
        <f>'2L Screening Matrix'!H29</f>
        <v>Phase III</v>
      </c>
      <c r="J141" s="10" t="str">
        <f>'2L Screening Matrix'!L29</f>
        <v>No</v>
      </c>
    </row>
    <row r="142" spans="1:10" ht="15" customHeight="1" x14ac:dyDescent="0.2">
      <c r="A142" s="23" t="s">
        <v>2131</v>
      </c>
      <c r="B142" s="21" t="str">
        <f>'2L Screening Matrix'!A30</f>
        <v>Nogapendekin alfa</v>
      </c>
      <c r="C142" s="21" t="str">
        <f>'2L Screening Matrix'!C30</f>
        <v>ImmunityBio</v>
      </c>
      <c r="D142" s="21" t="str">
        <f>'2L Screening Matrix'!Q30</f>
        <v>Stage IV Only</v>
      </c>
      <c r="E142" s="21" t="str">
        <f>'2L Screening Matrix'!R30</f>
        <v>Both</v>
      </c>
      <c r="F142" s="21" t="str">
        <f>'2L Screening Matrix'!S30</f>
        <v>All-comers</v>
      </c>
      <c r="G142" s="21" t="str">
        <f>'2L Screening Matrix'!I30</f>
        <v>CD279, IL-15, IL-15R, Microtubule, PD-1</v>
      </c>
      <c r="H142" s="21" t="str">
        <f>'2L Screening Matrix'!J30</f>
        <v>IL-15/IL-15Ra fusion protein</v>
      </c>
      <c r="I142" s="21" t="str">
        <f>'2L Screening Matrix'!H30</f>
        <v>Phase III</v>
      </c>
      <c r="J142" s="21" t="str">
        <f>'2L Screening Matrix'!L30</f>
        <v>No</v>
      </c>
    </row>
    <row r="143" spans="1:10" ht="15" customHeight="1" x14ac:dyDescent="0.2">
      <c r="A143" s="24" t="s">
        <v>2131</v>
      </c>
      <c r="B143" s="10" t="str">
        <f>'2L Screening Matrix'!A31</f>
        <v>Sacituzumab tirumotecan</v>
      </c>
      <c r="C143" s="10" t="str">
        <f>'2L Screening Matrix'!C31</f>
        <v>Merck</v>
      </c>
      <c r="D143" s="10" t="str">
        <f>'2L Screening Matrix'!Q31</f>
        <v>Stage IV Only</v>
      </c>
      <c r="E143" s="10" t="str">
        <f>'2L Screening Matrix'!R31</f>
        <v>Non-squamous</v>
      </c>
      <c r="F143" s="10" t="str">
        <f>'2L Screening Matrix'!S31</f>
        <v>All-comers</v>
      </c>
      <c r="G143" s="10" t="str">
        <f>'2L Screening Matrix'!I31</f>
        <v>TROP2</v>
      </c>
      <c r="H143" s="10" t="str">
        <f>'2L Screening Matrix'!J31</f>
        <v>Anti-TROP2 ADC monoclonal antibody</v>
      </c>
      <c r="I143" s="10" t="str">
        <f>'2L Screening Matrix'!H31</f>
        <v>Phase III</v>
      </c>
      <c r="J143" s="10" t="str">
        <f>'2L Screening Matrix'!L31</f>
        <v>No</v>
      </c>
    </row>
    <row r="144" spans="1:10" ht="15" customHeight="1" x14ac:dyDescent="0.2">
      <c r="A144" s="23" t="s">
        <v>2131</v>
      </c>
      <c r="B144" s="21" t="str">
        <f>'2L Screening Matrix'!A32</f>
        <v>IBI363</v>
      </c>
      <c r="C144" s="21" t="str">
        <f>'2L Screening Matrix'!C32</f>
        <v>Innovent Biologics</v>
      </c>
      <c r="D144" s="21" t="str">
        <f>'2L Screening Matrix'!Q32</f>
        <v>Stage IV Only</v>
      </c>
      <c r="E144" s="21" t="str">
        <f>'2L Screening Matrix'!R32</f>
        <v>Squamous</v>
      </c>
      <c r="F144" s="21" t="str">
        <f>'2L Screening Matrix'!S32</f>
        <v>All-comers</v>
      </c>
      <c r="G144" s="21" t="str">
        <f>'2L Screening Matrix'!I32</f>
        <v>CD279, IL-2, PD-1, TCGF</v>
      </c>
      <c r="H144" s="21" t="str">
        <f>'2L Screening Matrix'!J32</f>
        <v>Anti-PD-1/IL-2 fusion protein</v>
      </c>
      <c r="I144" s="21" t="str">
        <f>'2L Screening Matrix'!H32</f>
        <v>Phase III</v>
      </c>
      <c r="J144" s="21" t="str">
        <f>'2L Screening Matrix'!L32</f>
        <v>No</v>
      </c>
    </row>
    <row r="145" spans="1:10" ht="15" customHeight="1" x14ac:dyDescent="0.2">
      <c r="A145" s="24" t="s">
        <v>2131</v>
      </c>
      <c r="B145" s="10" t="str">
        <f>'2L Screening Matrix'!A33</f>
        <v>Nogapendekin alfa</v>
      </c>
      <c r="C145" s="10" t="str">
        <f>'2L Screening Matrix'!C33</f>
        <v>ImmunityBio</v>
      </c>
      <c r="D145" s="10" t="str">
        <f>'2L Screening Matrix'!Q33</f>
        <v>Other</v>
      </c>
      <c r="E145" s="10" t="str">
        <f>'2L Screening Matrix'!R33</f>
        <v>Unspecified</v>
      </c>
      <c r="F145" s="10" t="str">
        <f>'2L Screening Matrix'!S33</f>
        <v>All-comers</v>
      </c>
      <c r="G145" s="10" t="str">
        <f>'2L Screening Matrix'!I33</f>
        <v>CD279, IL-15, IL-15R, PD-1</v>
      </c>
      <c r="H145" s="10" t="str">
        <f>'2L Screening Matrix'!J33</f>
        <v>IL-15/IL-15Ra fusion protein</v>
      </c>
      <c r="I145" s="10" t="str">
        <f>'2L Screening Matrix'!H33</f>
        <v>Phase III</v>
      </c>
      <c r="J145" s="10" t="str">
        <f>'2L Screening Matrix'!L33</f>
        <v>No</v>
      </c>
    </row>
    <row r="146" spans="1:10" ht="15" customHeight="1" x14ac:dyDescent="0.2">
      <c r="A146" s="23" t="s">
        <v>2131</v>
      </c>
      <c r="B146" s="21" t="str">
        <f>'2L Screening Matrix'!A34</f>
        <v>RC148</v>
      </c>
      <c r="C146" s="21" t="str">
        <f>'2L Screening Matrix'!C34</f>
        <v>AbbVie</v>
      </c>
      <c r="D146" s="21" t="str">
        <f>'2L Screening Matrix'!Q34</f>
        <v>Other</v>
      </c>
      <c r="E146" s="21" t="str">
        <f>'2L Screening Matrix'!R34</f>
        <v>Unspecified</v>
      </c>
      <c r="F146" s="21" t="str">
        <f>'2L Screening Matrix'!S34</f>
        <v>All-comers</v>
      </c>
      <c r="G146" s="21" t="str">
        <f>'2L Screening Matrix'!I34</f>
        <v>CD279, Microtubule, PD-1, VEGF</v>
      </c>
      <c r="H146" s="21" t="str">
        <f>'2L Screening Matrix'!J34</f>
        <v>Anti-PD-1/VEGF bispecific monoclonal antibody</v>
      </c>
      <c r="I146" s="21" t="str">
        <f>'2L Screening Matrix'!H34</f>
        <v>Phase III</v>
      </c>
      <c r="J146" s="21" t="str">
        <f>'2L Screening Matrix'!L34</f>
        <v>No</v>
      </c>
    </row>
    <row r="147" spans="1:10" ht="15" customHeight="1" x14ac:dyDescent="0.2">
      <c r="A147" s="24" t="s">
        <v>2131</v>
      </c>
      <c r="B147" s="10" t="str">
        <f>'2L Screening Matrix'!A35</f>
        <v>Datopotamab deruxtecan</v>
      </c>
      <c r="C147" s="10" t="str">
        <f>'2L Screening Matrix'!C35</f>
        <v>Daiichi Sankyo</v>
      </c>
      <c r="D147" s="10" t="str">
        <f>'2L Screening Matrix'!Q35</f>
        <v>Stage IV + Other</v>
      </c>
      <c r="E147" s="10" t="str">
        <f>'2L Screening Matrix'!R35</f>
        <v>Non-squamous</v>
      </c>
      <c r="F147" s="10" t="str">
        <f>'2L Screening Matrix'!S35</f>
        <v>All-comers</v>
      </c>
      <c r="G147" s="10" t="str">
        <f>'2L Screening Matrix'!I35</f>
        <v>TROP2</v>
      </c>
      <c r="H147" s="10" t="str">
        <f>'2L Screening Matrix'!J35</f>
        <v>Anti-TROP2 ADC monoclonal antibody</v>
      </c>
      <c r="I147" s="10" t="str">
        <f>'2L Screening Matrix'!H35</f>
        <v>Phase III</v>
      </c>
      <c r="J147" s="10" t="str">
        <f>'2L Screening Matrix'!L35</f>
        <v>No</v>
      </c>
    </row>
    <row r="148" spans="1:10" ht="15" customHeight="1" x14ac:dyDescent="0.2">
      <c r="A148" s="23" t="s">
        <v>2131</v>
      </c>
      <c r="B148" s="21" t="str">
        <f>'2L Screening Matrix'!A36</f>
        <v>IBI363</v>
      </c>
      <c r="C148" s="21" t="str">
        <f>'2L Screening Matrix'!C36</f>
        <v>Innovent Biologics</v>
      </c>
      <c r="D148" s="21" t="str">
        <f>'2L Screening Matrix'!Q36</f>
        <v>Other</v>
      </c>
      <c r="E148" s="21" t="str">
        <f>'2L Screening Matrix'!R36</f>
        <v>Non-squamous</v>
      </c>
      <c r="F148" s="21" t="str">
        <f>'2L Screening Matrix'!S36</f>
        <v>All-comers</v>
      </c>
      <c r="G148" s="21" t="str">
        <f>'2L Screening Matrix'!I36</f>
        <v>CD279, IL-2, PD-1, TCGF</v>
      </c>
      <c r="H148" s="21" t="str">
        <f>'2L Screening Matrix'!J36</f>
        <v>Anti-PD-1/IL-2 fusion protein</v>
      </c>
      <c r="I148" s="21" t="str">
        <f>'2L Screening Matrix'!H36</f>
        <v>Phase III</v>
      </c>
      <c r="J148" s="21" t="str">
        <f>'2L Screening Matrix'!L36</f>
        <v>No</v>
      </c>
    </row>
    <row r="149" spans="1:10" ht="15" customHeight="1" x14ac:dyDescent="0.2">
      <c r="A149" s="24" t="s">
        <v>2131</v>
      </c>
      <c r="B149" s="10" t="str">
        <f>'2L Screening Matrix'!A37</f>
        <v>Aglatimagene besadenovec</v>
      </c>
      <c r="C149" s="10" t="str">
        <f>'2L Screening Matrix'!C37</f>
        <v>Candel Therapeutics</v>
      </c>
      <c r="D149" s="10" t="str">
        <f>'2L Screening Matrix'!Q37</f>
        <v>Other</v>
      </c>
      <c r="E149" s="10" t="str">
        <f>'2L Screening Matrix'!R37</f>
        <v>Non-squamous</v>
      </c>
      <c r="F149" s="10" t="str">
        <f>'2L Screening Matrix'!S37</f>
        <v>All-comers</v>
      </c>
      <c r="G149" s="10" t="str">
        <f>'2L Screening Matrix'!I37</f>
        <v>CD279, HSV-TK, PD-1</v>
      </c>
      <c r="H149" s="10" t="str">
        <f>'2L Screening Matrix'!J37</f>
        <v>Adenoviral vector</v>
      </c>
      <c r="I149" s="10" t="str">
        <f>'2L Screening Matrix'!H37</f>
        <v>Phase III</v>
      </c>
      <c r="J149" s="10" t="str">
        <f>'2L Screening Matrix'!L37</f>
        <v>No</v>
      </c>
    </row>
    <row r="150" spans="1:10" ht="15" customHeight="1" x14ac:dyDescent="0.2">
      <c r="A150" s="23" t="s">
        <v>2131</v>
      </c>
      <c r="B150" s="21" t="str">
        <f>'2L Screening Matrix'!A38</f>
        <v>Vopimetostat</v>
      </c>
      <c r="C150" s="21" t="str">
        <f>'2L Screening Matrix'!C38</f>
        <v>Tango Therapeutics</v>
      </c>
      <c r="D150" s="21" t="str">
        <f>'2L Screening Matrix'!Q38</f>
        <v>Other</v>
      </c>
      <c r="E150" s="21" t="str">
        <f>'2L Screening Matrix'!R38</f>
        <v>Unspecified</v>
      </c>
      <c r="F150" s="21" t="str">
        <f>'2L Screening Matrix'!S38</f>
        <v>All-comers</v>
      </c>
      <c r="G150" s="21" t="str">
        <f>'2L Screening Matrix'!I38</f>
        <v>PRMT5</v>
      </c>
      <c r="H150" s="21" t="str">
        <f>'2L Screening Matrix'!J38</f>
        <v>PRMT5 inhibitor</v>
      </c>
      <c r="I150" s="21" t="str">
        <f>'2L Screening Matrix'!H38</f>
        <v>Phase III</v>
      </c>
      <c r="J150" s="21" t="str">
        <f>'2L Screening Matrix'!L38</f>
        <v>No</v>
      </c>
    </row>
    <row r="151" spans="1:10" ht="15" customHeight="1" x14ac:dyDescent="0.2">
      <c r="A151" s="24" t="s">
        <v>2131</v>
      </c>
      <c r="B151" s="10" t="str">
        <f>'2L Screening Matrix'!A39</f>
        <v>Plinabulin</v>
      </c>
      <c r="C151" s="10" t="str">
        <f>'2L Screening Matrix'!C39</f>
        <v>BeyondSpring Pharmaceuticals</v>
      </c>
      <c r="D151" s="10" t="str">
        <f>'2L Screening Matrix'!Q39</f>
        <v>Stage IV Only</v>
      </c>
      <c r="E151" s="10" t="str">
        <f>'2L Screening Matrix'!R39</f>
        <v>Non-squamous</v>
      </c>
      <c r="F151" s="10" t="str">
        <f>'2L Screening Matrix'!S39</f>
        <v>All-comers</v>
      </c>
      <c r="G151" s="10" t="str">
        <f>'2L Screening Matrix'!I39</f>
        <v>Microtubule, NA</v>
      </c>
      <c r="H151" s="10" t="str">
        <f>'2L Screening Matrix'!J39</f>
        <v>Vascular Disruptive Agent (VDA)</v>
      </c>
      <c r="I151" s="10" t="str">
        <f>'2L Screening Matrix'!H39</f>
        <v>Phase III</v>
      </c>
      <c r="J151" s="10" t="str">
        <f>'2L Screening Matrix'!L39</f>
        <v>No</v>
      </c>
    </row>
    <row r="152" spans="1:10" ht="15" customHeight="1" x14ac:dyDescent="0.2">
      <c r="A152" s="23" t="s">
        <v>2131</v>
      </c>
      <c r="B152" s="21" t="str">
        <f>'2L Screening Matrix'!A40</f>
        <v>Plinabulin</v>
      </c>
      <c r="C152" s="21" t="str">
        <f>'2L Screening Matrix'!C40</f>
        <v>BeyondSpring Pharmaceuticals</v>
      </c>
      <c r="D152" s="21" t="str">
        <f>'2L Screening Matrix'!Q40</f>
        <v>Stage IV + Other</v>
      </c>
      <c r="E152" s="21" t="str">
        <f>'2L Screening Matrix'!R40</f>
        <v>Both</v>
      </c>
      <c r="F152" s="21" t="str">
        <f>'2L Screening Matrix'!S40</f>
        <v>All-comers</v>
      </c>
      <c r="G152" s="21">
        <f>'2L Screening Matrix'!I40</f>
        <v>0</v>
      </c>
      <c r="H152" s="21" t="str">
        <f>'2L Screening Matrix'!J40</f>
        <v>Vascular Disruptive Agent (VDA)</v>
      </c>
      <c r="I152" s="21" t="str">
        <f>'2L Screening Matrix'!H40</f>
        <v>Phase III</v>
      </c>
      <c r="J152" s="21" t="str">
        <f>'2L Screening Matrix'!L40</f>
        <v>No</v>
      </c>
    </row>
    <row r="153" spans="1:10" ht="15" customHeight="1" x14ac:dyDescent="0.2">
      <c r="A153" s="24" t="s">
        <v>2131</v>
      </c>
      <c r="B153" s="10" t="str">
        <f>'2L Screening Matrix'!A41</f>
        <v>Setidegrasib</v>
      </c>
      <c r="C153" s="10" t="str">
        <f>'2L Screening Matrix'!C41</f>
        <v>Astellas</v>
      </c>
      <c r="D153" s="10" t="str">
        <f>'2L Screening Matrix'!Q41</f>
        <v>Other</v>
      </c>
      <c r="E153" s="10" t="str">
        <f>'2L Screening Matrix'!R41</f>
        <v>Unspecified</v>
      </c>
      <c r="F153" s="10" t="str">
        <f>'2L Screening Matrix'!S41</f>
        <v>All-comers</v>
      </c>
      <c r="G153" s="10" t="str">
        <f>'2L Screening Matrix'!I41</f>
        <v>KRAS G12D</v>
      </c>
      <c r="H153" s="10" t="str">
        <f>'2L Screening Matrix'!J41</f>
        <v>KRAS G12D degrader</v>
      </c>
      <c r="I153" s="10" t="str">
        <f>'2L Screening Matrix'!H41</f>
        <v>Phase III</v>
      </c>
      <c r="J153" s="10" t="str">
        <f>'2L Screening Matrix'!L41</f>
        <v>No</v>
      </c>
    </row>
    <row r="154" spans="1:10" ht="15" customHeight="1" x14ac:dyDescent="0.2">
      <c r="A154" s="23" t="s">
        <v>2131</v>
      </c>
      <c r="B154" s="21" t="str">
        <f>'2L Screening Matrix'!A42</f>
        <v>Silevertinib</v>
      </c>
      <c r="C154" s="21" t="str">
        <f>'2L Screening Matrix'!C42</f>
        <v>Black Diamond Therapeutics</v>
      </c>
      <c r="D154" s="21" t="str">
        <f>'2L Screening Matrix'!Q42</f>
        <v>Other</v>
      </c>
      <c r="E154" s="21" t="str">
        <f>'2L Screening Matrix'!R42</f>
        <v>Unspecified</v>
      </c>
      <c r="F154" s="21" t="str">
        <f>'2L Screening Matrix'!S42</f>
        <v>All-comers</v>
      </c>
      <c r="G154" s="21" t="str">
        <f>'2L Screening Matrix'!I42</f>
        <v>EGFR, ERBB, HER1</v>
      </c>
      <c r="H154" s="21" t="str">
        <f>'2L Screening Matrix'!J42</f>
        <v>EGFR inhibitor</v>
      </c>
      <c r="I154" s="21" t="str">
        <f>'2L Screening Matrix'!H42</f>
        <v>Phase III</v>
      </c>
      <c r="J154" s="21" t="str">
        <f>'2L Screening Matrix'!L42</f>
        <v>No</v>
      </c>
    </row>
    <row r="155" spans="1:10" ht="15" customHeight="1" x14ac:dyDescent="0.2">
      <c r="A155" s="24" t="s">
        <v>2131</v>
      </c>
      <c r="B155" s="10" t="str">
        <f>'2L Screening Matrix'!A43</f>
        <v>HLX43</v>
      </c>
      <c r="C155" s="10" t="str">
        <f>'2L Screening Matrix'!C43</f>
        <v>Shanghai Henlius Biotech</v>
      </c>
      <c r="D155" s="10" t="str">
        <f>'2L Screening Matrix'!Q43</f>
        <v>Other</v>
      </c>
      <c r="E155" s="10" t="str">
        <f>'2L Screening Matrix'!R43</f>
        <v>Non-squamous</v>
      </c>
      <c r="F155" s="10" t="str">
        <f>'2L Screening Matrix'!S43</f>
        <v>All-comers</v>
      </c>
      <c r="G155" s="10" t="str">
        <f>'2L Screening Matrix'!I43</f>
        <v>B7-H1, CD274, PD-L1</v>
      </c>
      <c r="H155" s="10" t="str">
        <f>'2L Screening Matrix'!J43</f>
        <v>Anti-PD-L1 ADC monoclonal antibody</v>
      </c>
      <c r="I155" s="10" t="str">
        <f>'2L Screening Matrix'!H43</f>
        <v>Phase III</v>
      </c>
      <c r="J155" s="10" t="str">
        <f>'2L Screening Matrix'!L43</f>
        <v>No</v>
      </c>
    </row>
    <row r="156" spans="1:10" ht="15" customHeight="1" x14ac:dyDescent="0.2">
      <c r="A156" s="23" t="s">
        <v>2131</v>
      </c>
      <c r="B156" s="21" t="str">
        <f>'2L Screening Matrix'!A44</f>
        <v>HLX43</v>
      </c>
      <c r="C156" s="21" t="str">
        <f>'2L Screening Matrix'!C44</f>
        <v>Shanghai Henlius Biotech</v>
      </c>
      <c r="D156" s="21" t="str">
        <f>'2L Screening Matrix'!Q44</f>
        <v>Stage IV + Other</v>
      </c>
      <c r="E156" s="21" t="str">
        <f>'2L Screening Matrix'!R44</f>
        <v>Squamous</v>
      </c>
      <c r="F156" s="21" t="str">
        <f>'2L Screening Matrix'!S44</f>
        <v>All-comers</v>
      </c>
      <c r="G156" s="21" t="str">
        <f>'2L Screening Matrix'!I44</f>
        <v>B7-H1, CD274, PD-L1</v>
      </c>
      <c r="H156" s="21" t="str">
        <f>'2L Screening Matrix'!J44</f>
        <v>Anti-PD-L1 ADC monoclonal antibody</v>
      </c>
      <c r="I156" s="21" t="str">
        <f>'2L Screening Matrix'!H44</f>
        <v>Phase III</v>
      </c>
      <c r="J156" s="21" t="str">
        <f>'2L Screening Matrix'!L44</f>
        <v>No</v>
      </c>
    </row>
    <row r="157" spans="1:10" ht="15" customHeight="1" x14ac:dyDescent="0.2">
      <c r="A157" s="24" t="s">
        <v>2131</v>
      </c>
      <c r="B157" s="10" t="str">
        <f>'2L Screening Matrix'!A45</f>
        <v>Telisotuzumab adizutecan</v>
      </c>
      <c r="C157" s="10" t="str">
        <f>'2L Screening Matrix'!C45</f>
        <v>AbbVie</v>
      </c>
      <c r="D157" s="10" t="str">
        <f>'2L Screening Matrix'!Q45</f>
        <v>Stage IV Only</v>
      </c>
      <c r="E157" s="10" t="str">
        <f>'2L Screening Matrix'!R45</f>
        <v>Non-squamous</v>
      </c>
      <c r="F157" s="10" t="str">
        <f>'2L Screening Matrix'!S45</f>
        <v>All-comers</v>
      </c>
      <c r="G157" s="10" t="str">
        <f>'2L Screening Matrix'!I45</f>
        <v>c-MET/MET</v>
      </c>
      <c r="H157" s="10" t="str">
        <f>'2L Screening Matrix'!J45</f>
        <v>Anti-c-MET ADC monoclonal antibody</v>
      </c>
      <c r="I157" s="10" t="str">
        <f>'2L Screening Matrix'!H45</f>
        <v>Phase III</v>
      </c>
      <c r="J157" s="10" t="str">
        <f>'2L Screening Matrix'!L45</f>
        <v>No</v>
      </c>
    </row>
    <row r="158" spans="1:10" ht="15" customHeight="1" x14ac:dyDescent="0.2">
      <c r="A158" s="23" t="s">
        <v>2131</v>
      </c>
      <c r="B158" s="21" t="str">
        <f>'2L Screening Matrix'!A46</f>
        <v>EIK1001</v>
      </c>
      <c r="C158" s="21" t="str">
        <f>'2L Screening Matrix'!C46</f>
        <v>Eikon Therapeutics</v>
      </c>
      <c r="D158" s="21" t="str">
        <f>'2L Screening Matrix'!Q46</f>
        <v>Stage IV Only</v>
      </c>
      <c r="E158" s="21" t="str">
        <f>'2L Screening Matrix'!R46</f>
        <v>Non-squamous</v>
      </c>
      <c r="F158" s="21" t="str">
        <f>'2L Screening Matrix'!S46</f>
        <v>All-comers</v>
      </c>
      <c r="G158" s="21" t="str">
        <f>'2L Screening Matrix'!I46</f>
        <v>CD279, Microtubule, NA, PD-1, TLR, TLR7/8, TS, TYMS</v>
      </c>
      <c r="H158" s="21" t="str">
        <f>'2L Screening Matrix'!J46</f>
        <v>TLR7/8 agonist</v>
      </c>
      <c r="I158" s="21" t="str">
        <f>'2L Screening Matrix'!H46</f>
        <v>Phase III</v>
      </c>
      <c r="J158" s="21" t="str">
        <f>'2L Screening Matrix'!L46</f>
        <v>No</v>
      </c>
    </row>
  </sheetData>
  <autoFilter ref="A1:J158" xr:uid="{00000000-0009-0000-0000-000008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1L Raw Data</vt:lpstr>
      <vt:lpstr>2L Raw Data</vt:lpstr>
      <vt:lpstr>1L Screening Matrix</vt:lpstr>
      <vt:lpstr>2L Screening Matrix</vt:lpstr>
      <vt:lpstr>Target Landscape</vt:lpstr>
      <vt:lpstr>Biomarker Landscape</vt:lpstr>
      <vt:lpstr>Company View</vt:lpstr>
      <vt:lpstr>Histology x TPS</vt:lpstr>
      <vt:lpstr>Drug x Histology-Stage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Louisa Qiu</cp:lastModifiedBy>
  <cp:revision>0</cp:revision>
  <dcterms:created xsi:type="dcterms:W3CDTF">2026-03-31T02:07:34Z</dcterms:created>
  <dcterms:modified xsi:type="dcterms:W3CDTF">2026-03-31T11:04:10Z</dcterms:modified>
  <dc:language>en-US</dc:language>
</cp:coreProperties>
</file>