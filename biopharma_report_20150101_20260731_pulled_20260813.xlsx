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── Charts ──" sheetId="2" r:id="rId2"/>
    <sheet name="_MTS_ChartData" sheetId="3" state="hidden" r:id="rId3"/>
    <sheet name="MTS Charts" sheetId="4" r:id="rId4"/>
    <sheet name="── Summary ──" sheetId="5" r:id="rId5"/>
    <sheet name="MTS Summary Statistics" sheetId="6" r:id="rId6"/>
    <sheet name="── Database ──" sheetId="7" r:id="rId7"/>
    <sheet name="MTS Database" sheetId="8" r:id="rId8"/>
  </sheets>
  <definedNames>
    <definedName name="_xlnm._FilterDatabase" localSheetId="7" hidden="1">'MTS Database'!$A$1:$I$138</definedName>
  </definedNames>
  <calcPr calcId="124519" fullCalcOnLoad="1"/>
</workbook>
</file>

<file path=xl/sharedStrings.xml><?xml version="1.0" encoding="utf-8"?>
<sst xmlns="http://schemas.openxmlformats.org/spreadsheetml/2006/main" count="520" uniqueCount="227">
  <si>
    <t>Charts</t>
  </si>
  <si>
    <t>Summary</t>
  </si>
  <si>
    <t>Database</t>
  </si>
  <si>
    <t>Record Date</t>
  </si>
  <si>
    <t>Agency</t>
  </si>
  <si>
    <t>Parent Agency</t>
  </si>
  <si>
    <t>Monthly Net Outlays ($)</t>
  </si>
  <si>
    <t>FYTD Net Outlays ($)</t>
  </si>
  <si>
    <t>Prior FYTD Outlays ($)</t>
  </si>
  <si>
    <t>Fiscal Year</t>
  </si>
  <si>
    <t>Calendar Year</t>
  </si>
  <si>
    <t>Calendar Month</t>
  </si>
  <si>
    <t>National Institutes of Health</t>
  </si>
  <si>
    <t>Department of Health and Human Services:</t>
  </si>
  <si>
    <t>NIH Monthly Treasury Outlays — Annual Summary</t>
  </si>
  <si>
    <t>Year</t>
  </si>
  <si>
    <t>NIH Outlays ($)</t>
  </si>
  <si>
    <t>Months Reported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</si>
  <si>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</si>
  <si>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</si>
  <si>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</si>
  <si>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</si>
  <si>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</si>
  <si>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</si>
  <si>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</si>
  <si>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</si>
  <si>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</si>
  <si>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</si>
  <si>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</si>
  <si>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</si>
  <si>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2026 Ann.</t>
  </si>
  <si>
    <t>Annualized</t>
  </si>
  <si>
    <t>NIH Outlays — Rolling Metrics</t>
  </si>
  <si>
    <t>Metric</t>
  </si>
  <si>
    <t>Value</t>
  </si>
  <si>
    <t>Anchor: Jul 2026</t>
  </si>
  <si>
    <t>T12M Outlays ($)</t>
  </si>
  <si>
    <t>T12M Prior ($)</t>
  </si>
  <si>
    <t>T12M vs Prior %</t>
  </si>
  <si>
    <t>YoY % (per-day)</t>
  </si>
  <si>
    <t>MoM % (per-day)</t>
  </si>
  <si>
    <t>NIH Outlays — Monthly Detail</t>
  </si>
  <si>
    <t>Month</t>
  </si>
  <si>
    <t>Days</t>
  </si>
  <si>
    <t>Outlays/Day ($)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</si>
  <si>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</si>
  <si>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</si>
  <si>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</si>
  <si>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</si>
  <si>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</si>
  <si>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</si>
  <si>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</si>
  <si>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</si>
  <si>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</si>
  <si>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</si>
  <si>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</si>
  <si>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</si>
  <si>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</si>
  <si>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</si>
  <si>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</si>
  <si>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</si>
  <si>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</si>
  <si>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</si>
  <si>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</si>
  <si>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</si>
  <si>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</si>
  <si>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</si>
  <si>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</si>
  <si>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</si>
  <si>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</si>
  <si>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</si>
  <si>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</si>
  <si>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</si>
  <si>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</si>
  <si>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</si>
  <si>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</si>
  <si>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</si>
  <si>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</si>
  <si>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</si>
  <si>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</si>
  <si>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</si>
  <si>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</si>
  <si>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</si>
  <si>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</si>
  <si>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</si>
  <si>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</si>
  <si>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</si>
  <si>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</si>
  <si>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</si>
  <si>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</si>
  <si>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</si>
  <si>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</si>
  <si>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</si>
  <si>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</si>
  <si>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</si>
  <si>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</si>
  <si>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</si>
  <si>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</si>
  <si>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</si>
  <si>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</si>
  <si>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</si>
  <si>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</si>
  <si>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</si>
  <si>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</si>
  <si>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</si>
  <si>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</si>
  <si>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</si>
  <si>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</si>
  <si>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</si>
  <si>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</si>
  <si>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</si>
  <si>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</si>
  <si>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</si>
  <si>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</si>
  <si>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</si>
  <si>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</si>
  <si>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</si>
  <si>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</si>
  <si>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</si>
  <si>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</si>
  <si>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</si>
  <si>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</si>
  <si>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</si>
  <si>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</si>
  <si>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</si>
  <si>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</si>
  <si>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</si>
  <si>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</si>
  <si>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</si>
  <si>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</si>
  <si>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</si>
  <si>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</si>
  <si>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</si>
  <si>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</si>
  <si>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</si>
  <si>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</si>
  <si>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</si>
  <si>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</si>
  <si>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</si>
  <si>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</si>
  <si>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</si>
  <si>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</si>
  <si>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</si>
  <si>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</si>
  <si>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</si>
  <si>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</si>
  <si>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</si>
  <si>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</si>
  <si>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</si>
  <si>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</si>
  <si>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</si>
  <si>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</si>
  <si>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</si>
  <si>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</si>
  <si>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</si>
  <si>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</si>
  <si>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</si>
  <si>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</si>
  <si>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</si>
  <si>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</si>
  <si>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</si>
  <si>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</si>
  <si>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</si>
  <si>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</si>
  <si>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</si>
  <si>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</si>
  <si>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</si>
  <si>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</si>
  <si>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</si>
  <si>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</si>
  <si>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</si>
  <si>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</si>
  <si>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</si>
  <si>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</si>
  <si>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</si>
  <si>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</si>
  <si>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</si>
  <si>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</si>
  <si>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</si>
  <si>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</si>
  <si>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</si>
  <si>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</si>
  <si>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</si>
  <si>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</si>
  <si>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Total</t>
  </si>
  <si>
    <t>Aug 24</t>
  </si>
  <si>
    <t>Sep 24</t>
  </si>
  <si>
    <t>Oct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</si>
  <si>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</si>
  <si>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</si>
  <si>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</si>
  <si>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</si>
  <si>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</si>
  <si>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</si>
  <si>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</si>
  <si>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</si>
  <si>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</si>
  <si>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</si>
  <si>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</si>
  <si>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</si>
  <si>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</si>
  <si>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</si>
  <si>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</si>
  <si>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</si>
  <si>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</si>
  <si>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</si>
  <si>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</si>
  <si>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</si>
  <si>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</si>
  <si>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Life Science Tools Monthly Tracker</t>
  </si>
  <si>
    <t>Date Range: Jan 01, 2015  to  Jul 31, 2026   |   Generated: August 13, 2026</t>
  </si>
  <si>
    <t>Module Status</t>
  </si>
  <si>
    <t>Module</t>
  </si>
  <si>
    <t>Details</t>
  </si>
  <si>
    <t>Status</t>
  </si>
  <si>
    <t>Clinical Trials</t>
  </si>
  <si>
    <t>Not selected</t>
  </si>
  <si>
    <t>SKIPPED</t>
  </si>
  <si>
    <t>FDA Novel Approvals</t>
  </si>
  <si>
    <t>FDA Biosimilars</t>
  </si>
  <si>
    <t>NIH Outlays</t>
  </si>
  <si>
    <t>137 NIH monthly records</t>
  </si>
  <si>
    <t>OK</t>
  </si>
  <si>
    <t>Report Contents</t>
  </si>
  <si>
    <t>MTS Charts</t>
  </si>
  <si>
    <t>MTS Summary Statistics</t>
  </si>
  <si>
    <t>MTS Database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</si>
</sst>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#,##0"/>
    <numFmt numFmtId="166" formatCode="0.0%"/>
    <numFmt numFmtId="167" formatCode="yyyy-mm-dd"/>
  </numFmts>
  <fonts count="16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sz val="11"/>
      <color rgb="FFFFFFFF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i/>
      <sz val="10"/>
      <color rgb="FF666666"/>
      <name val="Arial"/>
      <family val="2"/>
    </font>
    <font>
      <b/>
      <sz val="10"/>
      <color rgb="FF006100"/>
      <name val="Arial"/>
      <family val="2"/>
    </font>
    <font>
      <b/>
      <sz val="10"/>
      <color rgb="FF1F3864"/>
      <name val="Arial"/>
      <family val="2"/>
    </font>
    <font>
      <u/>
      <sz val="10"/>
      <color rgb="FF0563C1"/>
      <name val="Arial"/>
      <family val="2"/>
    </font>
    <font>
      <b/>
      <sz val="14"/>
      <color rgb="FFFFFFFF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b/>
      <i/>
      <sz val="9"/>
      <color theme="1"/>
      <name val="Arial"/>
      <family val="2"/>
    </font>
    <font>
      <sz val="9"/>
      <color rgb="FFC00000"/>
      <name val="Arial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2F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1" xfId="0" applyFont="1" applyBorder="1"/>
    <xf numFmtId="0" fontId="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6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 vertical="center"/>
    </xf>
    <xf numFmtId="0" fontId="11" fillId="0" borderId="3" xfId="0" applyFont="1" applyBorder="1"/>
    <xf numFmtId="0" fontId="12" fillId="2" borderId="2" xfId="0" applyFont="1" applyFill="1" applyBorder="1" applyAlignment="1">
      <alignment vertical="center" wrapText="1"/>
    </xf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13" fillId="5" borderId="2" xfId="0" applyFont="1" applyFill="1" applyBorder="1"/>
    <xf numFmtId="164" fontId="13" fillId="5" borderId="2" xfId="0" applyNumberFormat="1" applyFont="1" applyFill="1" applyBorder="1"/>
    <xf numFmtId="166" fontId="14" fillId="0" borderId="2" xfId="0" applyNumberFormat="1" applyFont="1" applyBorder="1"/>
    <xf numFmtId="0" fontId="15" fillId="6" borderId="2" xfId="0" applyFont="1" applyFill="1" applyBorder="1"/>
    <xf numFmtId="164" fontId="15" fillId="6" borderId="2" xfId="0" applyNumberFormat="1" applyFont="1" applyFill="1" applyBorder="1"/>
    <xf numFmtId="165" fontId="15" fillId="6" borderId="2" xfId="0" applyNumberFormat="1" applyFont="1" applyFill="1" applyBorder="1"/>
    <xf numFmtId="167" fontId="5" fillId="0" borderId="2" xfId="0" applyNumberFormat="1" applyFont="1" applyBorder="1"/>
    <xf numFmtId="167" fontId="5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Arial"/>
              </a:defRPr>
            </a:pPr>
            <a:r>
              <a:rPr lang="en-US" sz="1200" b="1" baseline="0">
                <a:solidFill>
                  <a:srgbClr val="1F3864"/>
                </a:solidFill>
                <a:latin typeface="Arial"/>
              </a:rPr>
              <a:t>NIH Treasury Outlays ($B): Yearly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NIH Outlays</c:v>
          </c:tx>
          <c:spPr>
            <a:solidFill>
              <a:srgbClr val="8C8C8C"/>
            </a:solidFill>
          </c:spPr>
          <c:dPt>
            <c:idx val="0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2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3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4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5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6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7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8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9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0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1"/>
            <c:spPr>
              <a:solidFill>
                <a:srgbClr val="1E9BD7"/>
              </a:solidFill>
              <a:ln>
                <a:solidFill>
                  <a:srgbClr val="1E9BD7"/>
                </a:solidFill>
              </a:ln>
            </c:spPr>
          </c:dPt>
          <c:dPt>
            <c:idx val="12"/>
            <c:spPr>
              <a:solidFill>
                <a:srgbClr val="1E9BD7"/>
              </a:solidFill>
              <a:ln>
                <a:solidFill>
                  <a:srgbClr val="1E9BD7"/>
                </a:solidFill>
              </a:ln>
            </c:spPr>
          </c:dPt>
          <c:dLbls>
            <c:numFmt formatCode="$#,##0.0" sourceLinked="0"/>
            <c:txPr>
              <a:bodyPr/>
              <a:lstStyle/>
              <a:p>
                <a:pPr>
                  <a:defRPr sz="800" b="1" baseline="0">
                    <a:solidFill>
                      <a:srgbClr val="1F3864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_MTS_ChartData!$A$1:$A$13</c:f>
              <c:strCache>
                <c:ptCount val="1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2026 Ann.</c:v>
                </c:pt>
              </c:strCache>
            </c:strRef>
          </c:cat>
          <c:val>
            <c:numRef>
              <c:f>_MTS_ChartData!$B$1:$B$13</c:f>
              <c:numCache>
                <c:formatCode>General</c:formatCode>
                <c:ptCount val="13"/>
                <c:pt idx="0">
                  <c:v>24.44172581547</c:v>
                </c:pt>
                <c:pt idx="1">
                  <c:v>29.87828308261</c:v>
                </c:pt>
                <c:pt idx="2">
                  <c:v>32.24654158155</c:v>
                </c:pt>
                <c:pt idx="3">
                  <c:v>33.83632199561</c:v>
                </c:pt>
                <c:pt idx="4">
                  <c:v>35.88210293823001</c:v>
                </c:pt>
                <c:pt idx="5">
                  <c:v>36.69282807797</c:v>
                </c:pt>
                <c:pt idx="6">
                  <c:v>39.35021462208</c:v>
                </c:pt>
                <c:pt idx="7">
                  <c:v>41.94218192016</c:v>
                </c:pt>
                <c:pt idx="8">
                  <c:v>46.47934122246</c:v>
                </c:pt>
                <c:pt idx="9">
                  <c:v>48.98022183427</c:v>
                </c:pt>
                <c:pt idx="10">
                  <c:v>46.74845785006</c:v>
                </c:pt>
                <c:pt idx="11">
                  <c:v>26.00536566598</c:v>
                </c:pt>
                <c:pt idx="12">
                  <c:v>44.6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$#,##0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3864"/>
                </a:solidFill>
                <a:latin typeface="Arial"/>
              </a:defRPr>
            </a:pPr>
            <a:r>
              <a:rPr lang="en-US" sz="1200" b="1" baseline="0">
                <a:solidFill>
                  <a:srgbClr val="1F3864"/>
                </a:solidFill>
                <a:latin typeface="Arial"/>
              </a:rPr>
              <a:t>NIH Treasury Outlays ($B): Monthly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NIH Outlays</c:v>
          </c:tx>
          <c:spPr>
            <a:solidFill>
              <a:srgbClr val="8C8C8C"/>
            </a:solidFill>
          </c:spPr>
          <c:dPt>
            <c:idx val="0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2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3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4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5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6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7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8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9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0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1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2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3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4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5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6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7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8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19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20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21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22"/>
            <c:spPr>
              <a:solidFill>
                <a:srgbClr val="8C8C8C"/>
              </a:solidFill>
              <a:ln>
                <a:solidFill>
                  <a:srgbClr val="8C8C8C"/>
                </a:solidFill>
              </a:ln>
            </c:spPr>
          </c:dPt>
          <c:dPt>
            <c:idx val="23"/>
            <c:spPr>
              <a:solidFill>
                <a:srgbClr val="1E9BD7"/>
              </a:solidFill>
              <a:ln>
                <a:solidFill>
                  <a:srgbClr val="1E9BD7"/>
                </a:solidFill>
              </a:ln>
            </c:spPr>
          </c:dPt>
          <c:dLbls>
            <c:numFmt formatCode="$#,##0.0" sourceLinked="0"/>
            <c:txPr>
              <a:bodyPr/>
              <a:lstStyle/>
              <a:p>
                <a:pPr>
                  <a:defRPr sz="700" b="1" baseline="0">
                    <a:solidFill>
                      <a:srgbClr val="1F3864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_MTS_ChartData!$D$1:$D$24</c:f>
              <c:strCache>
                <c:ptCount val="24"/>
                <c:pt idx="0">
                  <c:v>Aug 24</c:v>
                </c:pt>
                <c:pt idx="1">
                  <c:v>Sep 24</c:v>
                </c:pt>
                <c:pt idx="2">
                  <c:v>Oct 24</c:v>
                </c:pt>
                <c:pt idx="3">
                  <c:v>Nov 24</c:v>
                </c:pt>
                <c:pt idx="4">
                  <c:v>Dec 24</c:v>
                </c:pt>
                <c:pt idx="5">
                  <c:v>Jan 25</c:v>
                </c:pt>
                <c:pt idx="6">
                  <c:v>Feb 25</c:v>
                </c:pt>
                <c:pt idx="7">
                  <c:v>Mar 25</c:v>
                </c:pt>
                <c:pt idx="8">
                  <c:v>Apr 25</c:v>
                </c:pt>
                <c:pt idx="9">
                  <c:v>May 25</c:v>
                </c:pt>
                <c:pt idx="10">
                  <c:v>Jun 25</c:v>
                </c:pt>
                <c:pt idx="11">
                  <c:v>Jul 25</c:v>
                </c:pt>
                <c:pt idx="12">
                  <c:v>Aug 25</c:v>
                </c:pt>
                <c:pt idx="13">
                  <c:v>Sep 25</c:v>
                </c:pt>
                <c:pt idx="14">
                  <c:v>Oct 25</c:v>
                </c:pt>
                <c:pt idx="15">
                  <c:v>Nov 25</c:v>
                </c:pt>
                <c:pt idx="16">
                  <c:v>Dec 25</c:v>
                </c:pt>
                <c:pt idx="17">
                  <c:v>Jan 26</c:v>
                </c:pt>
                <c:pt idx="18">
                  <c:v>Feb 26</c:v>
                </c:pt>
                <c:pt idx="19">
                  <c:v>Mar 26</c:v>
                </c:pt>
                <c:pt idx="20">
                  <c:v>Apr 26</c:v>
                </c:pt>
                <c:pt idx="21">
                  <c:v>May 26</c:v>
                </c:pt>
                <c:pt idx="22">
                  <c:v>Jun 26</c:v>
                </c:pt>
                <c:pt idx="23">
                  <c:v>Jul 26</c:v>
                </c:pt>
              </c:strCache>
            </c:strRef>
          </c:cat>
          <c:val>
            <c:numRef>
              <c:f>_MTS_ChartData!$E$1:$E$24</c:f>
              <c:numCache>
                <c:formatCode>General</c:formatCode>
                <c:ptCount val="24"/>
                <c:pt idx="0">
                  <c:v>4.52371467728</c:v>
                </c:pt>
                <c:pt idx="1">
                  <c:v>4.257770542659999</c:v>
                </c:pt>
                <c:pt idx="2">
                  <c:v>4.28270961963</c:v>
                </c:pt>
                <c:pt idx="3">
                  <c:v>3.90626127227</c:v>
                </c:pt>
                <c:pt idx="4">
                  <c:v>3.95325129459</c:v>
                </c:pt>
                <c:pt idx="5">
                  <c:v>3.55434993453</c:v>
                </c:pt>
                <c:pt idx="6">
                  <c:v>3.73915716802</c:v>
                </c:pt>
                <c:pt idx="7">
                  <c:v>3.549549495</c:v>
                </c:pt>
                <c:pt idx="8">
                  <c:v>3.84953105117</c:v>
                </c:pt>
                <c:pt idx="9">
                  <c:v>2.76809880994</c:v>
                </c:pt>
                <c:pt idx="10">
                  <c:v>4.25180988972</c:v>
                </c:pt>
                <c:pt idx="11">
                  <c:v>4.51971666051</c:v>
                </c:pt>
                <c:pt idx="12">
                  <c:v>4.37151231463</c:v>
                </c:pt>
                <c:pt idx="13">
                  <c:v>4.595041398359999</c:v>
                </c:pt>
                <c:pt idx="14">
                  <c:v>3.31396838479</c:v>
                </c:pt>
                <c:pt idx="15">
                  <c:v>3.59814460805</c:v>
                </c:pt>
                <c:pt idx="16">
                  <c:v>4.63757813534</c:v>
                </c:pt>
                <c:pt idx="17">
                  <c:v>3.55940502602</c:v>
                </c:pt>
                <c:pt idx="18">
                  <c:v>3.41146742061</c:v>
                </c:pt>
                <c:pt idx="19">
                  <c:v>4.03913558725</c:v>
                </c:pt>
                <c:pt idx="20">
                  <c:v>3.68174121838</c:v>
                </c:pt>
                <c:pt idx="21">
                  <c:v>3.60443549497</c:v>
                </c:pt>
                <c:pt idx="22">
                  <c:v>4.095626669280001</c:v>
                </c:pt>
                <c:pt idx="23">
                  <c:v>3.61355424947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inMax"/>
        </c:scaling>
        <c:axPos val="b"/>
        <c:tickLblPos val="low"/>
        <c:txPr>
          <a:bodyPr/>
          <a:lstStyle/>
          <a:p>
            <a:pPr>
              <a:defRPr sz="7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numFmt formatCode="$#,##0.0" sourceLinked="0"/>
        <c:tickLblPos val="nextTo"/>
        <c:crossAx val="50020001"/>
        <c:crosses val="autoZero"/>
        <c:crossBetween val="between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11</xdr:col>
      <xdr:colOff>152400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D21"/>
  <sheetViews>
    <sheetView showGridLines="0" tabSelected="1" workbookViewId="0"/>
  </sheetViews>
  <sheetFormatPr defaultRowHeight="15"/>
  <cols>
    <col min="1" max="1" width="5.7109375" customWidth="1"/>
    <col min="2" max="2" width="35.7109375" customWidth="1"/>
    <col min="3" max="3" width="55.7109375" customWidth="1"/>
    <col min="4" max="4" width="25.7109375" customWidth="1"/>
  </cols>
  <sheetData>
    <row r="1" spans="1:4">
      <c r="A1" s="1" t="s">
        <v>209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spans="1:4">
      <c r="A4" s="2" t="s">
        <v>210</v>
      </c>
      <c r="B4" s="2"/>
      <c r="C4" s="2"/>
      <c r="D4" s="2"/>
    </row>
    <row r="5" spans="1:4">
      <c r="A5" s="3"/>
      <c r="B5" s="3"/>
      <c r="C5" s="3"/>
      <c r="D5" s="3"/>
    </row>
    <row r="7" spans="1:4">
      <c r="B7" s="4" t="s">
        <v>211</v>
      </c>
      <c r="C7" s="4"/>
      <c r="D7" s="4"/>
    </row>
    <row r="8" spans="1:4">
      <c r="B8" s="5" t="s">
        <v>212</v>
      </c>
      <c r="C8" s="5" t="s">
        <v>213</v>
      </c>
      <c r="D8" s="5" t="s">
        <v>214</v>
      </c>
    </row>
    <row r="9" spans="1:4">
      <c r="B9" s="6" t="s">
        <v>215</v>
      </c>
      <c r="C9" s="6" t="s">
        <v>216</v>
      </c>
      <c r="D9" s="7" t="s">
        <v>217</v>
      </c>
    </row>
    <row r="10" spans="1:4">
      <c r="B10" s="6" t="s">
        <v>218</v>
      </c>
      <c r="C10" s="6" t="s">
        <v>216</v>
      </c>
      <c r="D10" s="7" t="s">
        <v>217</v>
      </c>
    </row>
    <row r="11" spans="1:4">
      <c r="B11" s="6" t="s">
        <v>219</v>
      </c>
      <c r="C11" s="6" t="s">
        <v>216</v>
      </c>
      <c r="D11" s="7" t="s">
        <v>217</v>
      </c>
    </row>
    <row r="12" spans="1:4">
      <c r="B12" s="6" t="s">
        <v>220</v>
      </c>
      <c r="C12" s="6" t="s">
        <v>221</v>
      </c>
      <c r="D12" s="8" t="s">
        <v>222</v>
      </c>
    </row>
    <row r="15" spans="1:4">
      <c r="B15" s="4" t="s">
        <v>223</v>
      </c>
      <c r="C15" s="4"/>
      <c r="D15" s="4"/>
    </row>
    <row r="16" spans="1:4">
      <c r="B16" s="9" t="s">
        <v>0</v>
      </c>
    </row>
    <row r="17" spans="2:3">
      <c r="C17" s="10" t="s">
        <v>224</v>
      </c>
    </row>
    <row r="18" spans="2:3">
      <c r="B18" s="9" t="s">
        <v>1</v>
      </c>
    </row>
    <row r="19" spans="2:3">
      <c r="C19" s="10" t="s">
        <v>225</v>
      </c>
    </row>
    <row r="20" spans="2:3">
      <c r="B20" s="9" t="s">
        <v>2</v>
      </c>
    </row>
    <row r="21" spans="2:3">
      <c r="C21" s="10" t="s">
        <v>226</v>
      </c>
    </row>
  </sheetData>
  <mergeCells count="5">
    <mergeCell ref="A1:D3"/>
    <mergeCell ref="A4:D4"/>
    <mergeCell ref="A5:D5"/>
    <mergeCell ref="B7:D7"/>
    <mergeCell ref="B15:D15"/>
  </mergeCells>
  <hyperlinks>
    <hyperlink ref="C17" location="'MTS Charts'!A1" display="MTS Charts"/>
    <hyperlink ref="C19" location="'MTS Summary Statistics'!A1" display="MTS Summary Statistics"/>
    <hyperlink ref="C21" location="'MTS Database'!A1" display="MTS Databas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3864"/>
  </sheetPr>
  <dimension ref="A1:E3"/>
  <sheetViews>
    <sheetView showGridLines="0" workbookViewId="0"/>
  </sheetViews>
  <sheetFormatPr defaultRowHeight="15"/>
  <cols>
    <col min="1" max="5" width="20.7109375" customWidth="1"/>
  </cols>
  <sheetData>
    <row r="1" spans="1:5">
      <c r="A1" s="11" t="s">
        <v>0</v>
      </c>
      <c r="B1" s="11"/>
      <c r="C1" s="11"/>
      <c r="D1" s="11"/>
      <c r="E1" s="11"/>
    </row>
    <row r="2" spans="1:5">
      <c r="A2" s="11"/>
      <c r="B2" s="11"/>
      <c r="C2" s="11"/>
      <c r="D2" s="11"/>
      <c r="E2" s="11"/>
    </row>
    <row r="3" spans="1:5">
      <c r="A3" s="11"/>
      <c r="B3" s="11"/>
      <c r="C3" s="11"/>
      <c r="D3" s="11"/>
      <c r="E3" s="11"/>
    </row>
  </sheetData>
  <mergeCells count="1">
    <mergeCell ref="A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t="s">
        <v>18</v>
      </c>
      <c r="B1">
        <v>24.44172581547</v>
      </c>
      <c r="D1" t="s">
        <v>185</v>
      </c>
      <c r="E1">
        <v>4.52371467728</v>
      </c>
    </row>
    <row r="2" spans="1:5">
      <c r="A2" t="s">
        <v>19</v>
      </c>
      <c r="B2">
        <v>29.87828308261</v>
      </c>
      <c r="D2" t="s">
        <v>186</v>
      </c>
      <c r="E2">
        <v>4.257770542659999</v>
      </c>
    </row>
    <row r="3" spans="1:5">
      <c r="A3" t="s">
        <v>20</v>
      </c>
      <c r="B3">
        <v>32.24654158155</v>
      </c>
      <c r="D3" t="s">
        <v>187</v>
      </c>
      <c r="E3">
        <v>4.28270961963</v>
      </c>
    </row>
    <row r="4" spans="1:5">
      <c r="A4" t="s">
        <v>21</v>
      </c>
      <c r="B4">
        <v>33.83632199561</v>
      </c>
      <c r="D4" t="s">
        <v>188</v>
      </c>
      <c r="E4">
        <v>3.90626127227</v>
      </c>
    </row>
    <row r="5" spans="1:5">
      <c r="A5" t="s">
        <v>22</v>
      </c>
      <c r="B5">
        <v>35.88210293823001</v>
      </c>
      <c r="D5" t="s">
        <v>189</v>
      </c>
      <c r="E5">
        <v>3.95325129459</v>
      </c>
    </row>
    <row r="6" spans="1:5">
      <c r="A6" t="s">
        <v>23</v>
      </c>
      <c r="B6">
        <v>36.69282807797</v>
      </c>
      <c r="D6" t="s">
        <v>190</v>
      </c>
      <c r="E6">
        <v>3.55434993453</v>
      </c>
    </row>
    <row r="7" spans="1:5">
      <c r="A7" t="s">
        <v>24</v>
      </c>
      <c r="B7">
        <v>39.35021462208</v>
      </c>
      <c r="D7" t="s">
        <v>191</v>
      </c>
      <c r="E7">
        <v>3.73915716802</v>
      </c>
    </row>
    <row r="8" spans="1:5">
      <c r="A8" t="s">
        <v>25</v>
      </c>
      <c r="B8">
        <v>41.94218192016</v>
      </c>
      <c r="D8" t="s">
        <v>192</v>
      </c>
      <c r="E8">
        <v>3.549549495</v>
      </c>
    </row>
    <row r="9" spans="1:5">
      <c r="A9" t="s">
        <v>26</v>
      </c>
      <c r="B9">
        <v>46.47934122246</v>
      </c>
      <c r="D9" t="s">
        <v>193</v>
      </c>
      <c r="E9">
        <v>3.84953105117</v>
      </c>
    </row>
    <row r="10" spans="1:5">
      <c r="A10" t="s">
        <v>27</v>
      </c>
      <c r="B10">
        <v>48.98022183427</v>
      </c>
      <c r="D10" t="s">
        <v>194</v>
      </c>
      <c r="E10">
        <v>2.76809880994</v>
      </c>
    </row>
    <row r="11" spans="1:5">
      <c r="A11" t="s">
        <v>28</v>
      </c>
      <c r="B11">
        <v>46.74845785006</v>
      </c>
      <c r="D11" t="s">
        <v>195</v>
      </c>
      <c r="E11">
        <v>4.25180988972</v>
      </c>
    </row>
    <row r="12" spans="1:5">
      <c r="A12" t="s">
        <v>29</v>
      </c>
      <c r="B12">
        <v>26.00536566598</v>
      </c>
      <c r="D12" t="s">
        <v>196</v>
      </c>
      <c r="E12">
        <v>4.51971666051</v>
      </c>
    </row>
    <row r="13" spans="1:5">
      <c r="A13" t="s">
        <v>30</v>
      </c>
      <c r="B13">
        <v>44.6</v>
      </c>
      <c r="D13" t="s">
        <v>197</v>
      </c>
      <c r="E13">
        <v>4.37151231463</v>
      </c>
    </row>
    <row r="14" spans="1:5">
      <c r="D14" t="s">
        <v>198</v>
      </c>
      <c r="E14">
        <v>4.595041398359999</v>
      </c>
    </row>
    <row r="15" spans="1:5">
      <c r="D15" t="s">
        <v>199</v>
      </c>
      <c r="E15">
        <v>3.31396838479</v>
      </c>
    </row>
    <row r="16" spans="1:5">
      <c r="D16" t="s">
        <v>200</v>
      </c>
      <c r="E16">
        <v>3.59814460805</v>
      </c>
    </row>
    <row r="17" spans="4:5">
      <c r="D17" t="s">
        <v>201</v>
      </c>
      <c r="E17">
        <v>4.63757813534</v>
      </c>
    </row>
    <row r="18" spans="4:5">
      <c r="D18" t="s">
        <v>202</v>
      </c>
      <c r="E18">
        <v>3.55940502602</v>
      </c>
    </row>
    <row r="19" spans="4:5">
      <c r="D19" t="s">
        <v>203</v>
      </c>
      <c r="E19">
        <v>3.41146742061</v>
      </c>
    </row>
    <row r="20" spans="4:5">
      <c r="D20" t="s">
        <v>204</v>
      </c>
      <c r="E20">
        <v>4.03913558725</v>
      </c>
    </row>
    <row r="21" spans="4:5">
      <c r="D21" t="s">
        <v>205</v>
      </c>
      <c r="E21">
        <v>3.68174121838</v>
      </c>
    </row>
    <row r="22" spans="4:5">
      <c r="D22" t="s">
        <v>206</v>
      </c>
      <c r="E22">
        <v>3.60443549497</v>
      </c>
    </row>
    <row r="23" spans="4:5">
      <c r="D23" t="s">
        <v>207</v>
      </c>
      <c r="E23">
        <v>4.095626669280001</v>
      </c>
    </row>
    <row r="24" spans="4:5">
      <c r="D24" t="s">
        <v>208</v>
      </c>
      <c r="E24">
        <v>3.61355424947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DD7EE"/>
  </sheetPr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3864"/>
  </sheetPr>
  <dimension ref="A1:E3"/>
  <sheetViews>
    <sheetView showGridLines="0" workbookViewId="0"/>
  </sheetViews>
  <sheetFormatPr defaultRowHeight="15"/>
  <cols>
    <col min="1" max="5" width="20.7109375" customWidth="1"/>
  </cols>
  <sheetData>
    <row r="1" spans="1:5">
      <c r="A1" s="11" t="s">
        <v>1</v>
      </c>
      <c r="B1" s="11"/>
      <c r="C1" s="11"/>
      <c r="D1" s="11"/>
      <c r="E1" s="11"/>
    </row>
    <row r="2" spans="1:5">
      <c r="A2" s="11"/>
      <c r="B2" s="11"/>
      <c r="C2" s="11"/>
      <c r="D2" s="11"/>
      <c r="E2" s="11"/>
    </row>
    <row r="3" spans="1:5">
      <c r="A3" s="11"/>
      <c r="B3" s="11"/>
      <c r="C3" s="11"/>
      <c r="D3" s="11"/>
      <c r="E3" s="11"/>
    </row>
  </sheetData>
  <mergeCells count="1">
    <mergeCell ref="A1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DD7EE"/>
  </sheetPr>
  <dimension ref="A1:E168"/>
  <sheetViews>
    <sheetView workbookViewId="0"/>
  </sheetViews>
  <sheetFormatPr defaultRowHeight="15"/>
  <cols>
    <col min="1" max="1" width="20.7109375" customWidth="1"/>
    <col min="2" max="5" width="22.7109375" customWidth="1"/>
  </cols>
  <sheetData>
    <row r="1" spans="1:5">
      <c r="A1" s="12" t="s">
        <v>14</v>
      </c>
      <c r="B1" s="12"/>
      <c r="C1" s="12"/>
      <c r="D1" s="12"/>
      <c r="E1" s="12"/>
    </row>
    <row r="2" spans="1:5">
      <c r="A2" s="13" t="s">
        <v>15</v>
      </c>
      <c r="B2" s="13" t="s">
        <v>16</v>
      </c>
      <c r="C2" s="13" t="s">
        <v>17</v>
      </c>
    </row>
    <row r="3" spans="1:5">
      <c r="A3" s="14" t="s">
        <v>18</v>
      </c>
      <c r="B3" s="15">
        <f>SUMPRODUCT(('MTS Database'!$H$2:$H$138=2015)*('MTS Database'!$D$2:$D$138))</f>
        <v>0</v>
      </c>
      <c r="C3" s="16">
        <f>COUNTIF('MTS Database'!$H$2:$H$138,2015)</f>
        <v>0</v>
      </c>
    </row>
    <row r="4" spans="1:5">
      <c r="A4" s="17" t="s">
        <v>19</v>
      </c>
      <c r="B4" s="18">
        <f>SUMPRODUCT(('MTS Database'!$H$2:$H$138=2016)*('MTS Database'!$D$2:$D$138))</f>
        <v>0</v>
      </c>
      <c r="C4" s="19">
        <f>COUNTIF('MTS Database'!$H$2:$H$138,2016)</f>
        <v>0</v>
      </c>
    </row>
    <row r="5" spans="1:5">
      <c r="A5" s="14" t="s">
        <v>20</v>
      </c>
      <c r="B5" s="15">
        <f>SUMPRODUCT(('MTS Database'!$H$2:$H$138=2017)*('MTS Database'!$D$2:$D$138))</f>
        <v>0</v>
      </c>
      <c r="C5" s="16">
        <f>COUNTIF('MTS Database'!$H$2:$H$138,2017)</f>
        <v>0</v>
      </c>
    </row>
    <row r="6" spans="1:5">
      <c r="A6" s="17" t="s">
        <v>21</v>
      </c>
      <c r="B6" s="18">
        <f>SUMPRODUCT(('MTS Database'!$H$2:$H$138=2018)*('MTS Database'!$D$2:$D$138))</f>
        <v>0</v>
      </c>
      <c r="C6" s="19">
        <f>COUNTIF('MTS Database'!$H$2:$H$138,2018)</f>
        <v>0</v>
      </c>
    </row>
    <row r="7" spans="1:5">
      <c r="A7" s="14" t="s">
        <v>22</v>
      </c>
      <c r="B7" s="15">
        <f>SUMPRODUCT(('MTS Database'!$H$2:$H$138=2019)*('MTS Database'!$D$2:$D$138))</f>
        <v>0</v>
      </c>
      <c r="C7" s="16">
        <f>COUNTIF('MTS Database'!$H$2:$H$138,2019)</f>
        <v>0</v>
      </c>
    </row>
    <row r="8" spans="1:5">
      <c r="A8" s="17" t="s">
        <v>23</v>
      </c>
      <c r="B8" s="18">
        <f>SUMPRODUCT(('MTS Database'!$H$2:$H$138=2020)*('MTS Database'!$D$2:$D$138))</f>
        <v>0</v>
      </c>
      <c r="C8" s="19">
        <f>COUNTIF('MTS Database'!$H$2:$H$138,2020)</f>
        <v>0</v>
      </c>
    </row>
    <row r="9" spans="1:5">
      <c r="A9" s="14" t="s">
        <v>24</v>
      </c>
      <c r="B9" s="15">
        <f>SUMPRODUCT(('MTS Database'!$H$2:$H$138=2021)*('MTS Database'!$D$2:$D$138))</f>
        <v>0</v>
      </c>
      <c r="C9" s="16">
        <f>COUNTIF('MTS Database'!$H$2:$H$138,2021)</f>
        <v>0</v>
      </c>
    </row>
    <row r="10" spans="1:5">
      <c r="A10" s="17" t="s">
        <v>25</v>
      </c>
      <c r="B10" s="18">
        <f>SUMPRODUCT(('MTS Database'!$H$2:$H$138=2022)*('MTS Database'!$D$2:$D$138))</f>
        <v>0</v>
      </c>
      <c r="C10" s="19">
        <f>COUNTIF('MTS Database'!$H$2:$H$138,2022)</f>
        <v>0</v>
      </c>
    </row>
    <row r="11" spans="1:5">
      <c r="A11" s="14" t="s">
        <v>26</v>
      </c>
      <c r="B11" s="15">
        <f>SUMPRODUCT(('MTS Database'!$H$2:$H$138=2023)*('MTS Database'!$D$2:$D$138))</f>
        <v>0</v>
      </c>
      <c r="C11" s="16">
        <f>COUNTIF('MTS Database'!$H$2:$H$138,2023)</f>
        <v>0</v>
      </c>
    </row>
    <row r="12" spans="1:5">
      <c r="A12" s="17" t="s">
        <v>27</v>
      </c>
      <c r="B12" s="18">
        <f>SUMPRODUCT(('MTS Database'!$H$2:$H$138=2024)*('MTS Database'!$D$2:$D$138))</f>
        <v>0</v>
      </c>
      <c r="C12" s="19">
        <f>COUNTIF('MTS Database'!$H$2:$H$138,2024)</f>
        <v>0</v>
      </c>
    </row>
    <row r="13" spans="1:5">
      <c r="A13" s="14" t="s">
        <v>28</v>
      </c>
      <c r="B13" s="15">
        <f>SUMPRODUCT(('MTS Database'!$H$2:$H$138=2025)*('MTS Database'!$D$2:$D$138))</f>
        <v>0</v>
      </c>
      <c r="C13" s="16">
        <f>COUNTIF('MTS Database'!$H$2:$H$138,2025)</f>
        <v>0</v>
      </c>
    </row>
    <row r="14" spans="1:5">
      <c r="A14" s="17" t="s">
        <v>29</v>
      </c>
      <c r="B14" s="18">
        <f>SUMPRODUCT(('MTS Database'!$H$2:$H$138=2026)*('MTS Database'!$D$2:$D$138))</f>
        <v>0</v>
      </c>
      <c r="C14" s="19">
        <f>COUNTIF('MTS Database'!$H$2:$H$138,2026)</f>
        <v>0</v>
      </c>
    </row>
    <row r="15" spans="1:5">
      <c r="A15" s="20" t="s">
        <v>30</v>
      </c>
      <c r="B15" s="21">
        <f>ROUND(B14*12/MONTH(EOMONTH(TODAY(),-1)),0)</f>
        <v>0</v>
      </c>
      <c r="C15" s="20" t="s">
        <v>31</v>
      </c>
    </row>
    <row r="18" spans="1:5">
      <c r="A18" s="12" t="s">
        <v>32</v>
      </c>
      <c r="B18" s="12"/>
      <c r="C18" s="12"/>
      <c r="D18" s="12"/>
      <c r="E18" s="12"/>
    </row>
    <row r="19" spans="1:5">
      <c r="A19" s="13" t="s">
        <v>33</v>
      </c>
      <c r="B19" s="13" t="s">
        <v>34</v>
      </c>
      <c r="C19" s="13" t="s">
        <v>35</v>
      </c>
    </row>
    <row r="20" spans="1:5">
      <c r="A20" s="14" t="s">
        <v>36</v>
      </c>
      <c r="B20" s="15">
        <v>46521610507.15</v>
      </c>
      <c r="C20" s="14"/>
    </row>
    <row r="21" spans="1:5">
      <c r="A21" s="14" t="s">
        <v>37</v>
      </c>
      <c r="B21" s="15">
        <v>47155920415.32001</v>
      </c>
      <c r="C21" s="14"/>
    </row>
    <row r="22" spans="1:5">
      <c r="A22" s="14" t="s">
        <v>38</v>
      </c>
      <c r="B22" s="22">
        <v>-0.01345133129803</v>
      </c>
      <c r="C22" s="14"/>
    </row>
    <row r="23" spans="1:5">
      <c r="A23" s="14" t="s">
        <v>39</v>
      </c>
      <c r="B23" s="22">
        <v>-0.01345133129803</v>
      </c>
      <c r="C23" s="14"/>
    </row>
    <row r="24" spans="1:5">
      <c r="A24" s="14" t="s">
        <v>40</v>
      </c>
      <c r="B24" s="22">
        <v>-0.1461653451990962</v>
      </c>
      <c r="C24" s="14"/>
    </row>
    <row r="27" spans="1:5">
      <c r="A27" s="12" t="s">
        <v>41</v>
      </c>
      <c r="B27" s="12"/>
      <c r="C27" s="12"/>
      <c r="D27" s="12"/>
      <c r="E27" s="12"/>
    </row>
    <row r="28" spans="1:5">
      <c r="A28" s="13" t="s">
        <v>42</v>
      </c>
      <c r="B28" s="13" t="s">
        <v>16</v>
      </c>
      <c r="C28" s="13" t="s">
        <v>43</v>
      </c>
      <c r="D28" s="13" t="s">
        <v>44</v>
      </c>
    </row>
    <row r="29" spans="1:5">
      <c r="A29" s="14" t="s">
        <v>45</v>
      </c>
      <c r="B29" s="15">
        <f>SUMPRODUCT(('MTS Database'!$H$2:$H$138=2015)*('MTS Database'!$I$2:$I$138=1)*('MTS Database'!$D$2:$D$138))</f>
        <v>0</v>
      </c>
      <c r="C29" s="16">
        <v>31</v>
      </c>
      <c r="D29" s="15">
        <f>IF(C29=0,0,B29/C29)</f>
        <v>0</v>
      </c>
    </row>
    <row r="30" spans="1:5">
      <c r="A30" s="17" t="s">
        <v>46</v>
      </c>
      <c r="B30" s="18">
        <f>SUMPRODUCT(('MTS Database'!$H$2:$H$138=2015)*('MTS Database'!$I$2:$I$138=2)*('MTS Database'!$D$2:$D$138))</f>
        <v>0</v>
      </c>
      <c r="C30" s="19">
        <v>28</v>
      </c>
      <c r="D30" s="18">
        <f>IF(C30=0,0,B30/C30)</f>
        <v>0</v>
      </c>
    </row>
    <row r="31" spans="1:5">
      <c r="A31" s="14" t="s">
        <v>47</v>
      </c>
      <c r="B31" s="15">
        <f>SUMPRODUCT(('MTS Database'!$H$2:$H$138=2015)*('MTS Database'!$I$2:$I$138=3)*('MTS Database'!$D$2:$D$138))</f>
        <v>0</v>
      </c>
      <c r="C31" s="16">
        <v>31</v>
      </c>
      <c r="D31" s="15">
        <f>IF(C31=0,0,B31/C31)</f>
        <v>0</v>
      </c>
    </row>
    <row r="32" spans="1:5">
      <c r="A32" s="17" t="s">
        <v>48</v>
      </c>
      <c r="B32" s="18">
        <f>SUMPRODUCT(('MTS Database'!$H$2:$H$138=2015)*('MTS Database'!$I$2:$I$138=4)*('MTS Database'!$D$2:$D$138))</f>
        <v>0</v>
      </c>
      <c r="C32" s="19">
        <v>30</v>
      </c>
      <c r="D32" s="18">
        <f>IF(C32=0,0,B32/C32)</f>
        <v>0</v>
      </c>
    </row>
    <row r="33" spans="1:4">
      <c r="A33" s="14" t="s">
        <v>49</v>
      </c>
      <c r="B33" s="15">
        <f>SUMPRODUCT(('MTS Database'!$H$2:$H$138=2015)*('MTS Database'!$I$2:$I$138=5)*('MTS Database'!$D$2:$D$138))</f>
        <v>0</v>
      </c>
      <c r="C33" s="16">
        <v>31</v>
      </c>
      <c r="D33" s="15">
        <f>IF(C33=0,0,B33/C33)</f>
        <v>0</v>
      </c>
    </row>
    <row r="34" spans="1:4">
      <c r="A34" s="17" t="s">
        <v>50</v>
      </c>
      <c r="B34" s="18">
        <f>SUMPRODUCT(('MTS Database'!$H$2:$H$138=2015)*('MTS Database'!$I$2:$I$138=6)*('MTS Database'!$D$2:$D$138))</f>
        <v>0</v>
      </c>
      <c r="C34" s="19">
        <v>30</v>
      </c>
      <c r="D34" s="18">
        <f>IF(C34=0,0,B34/C34)</f>
        <v>0</v>
      </c>
    </row>
    <row r="35" spans="1:4">
      <c r="A35" s="14" t="s">
        <v>51</v>
      </c>
      <c r="B35" s="15">
        <f>SUMPRODUCT(('MTS Database'!$H$2:$H$138=2015)*('MTS Database'!$I$2:$I$138=7)*('MTS Database'!$D$2:$D$138))</f>
        <v>0</v>
      </c>
      <c r="C35" s="16">
        <v>31</v>
      </c>
      <c r="D35" s="15">
        <f>IF(C35=0,0,B35/C35)</f>
        <v>0</v>
      </c>
    </row>
    <row r="36" spans="1:4">
      <c r="A36" s="17" t="s">
        <v>52</v>
      </c>
      <c r="B36" s="18">
        <f>SUMPRODUCT(('MTS Database'!$H$2:$H$138=2015)*('MTS Database'!$I$2:$I$138=8)*('MTS Database'!$D$2:$D$138))</f>
        <v>0</v>
      </c>
      <c r="C36" s="19">
        <v>31</v>
      </c>
      <c r="D36" s="18">
        <f>IF(C36=0,0,B36/C36)</f>
        <v>0</v>
      </c>
    </row>
    <row r="37" spans="1:4">
      <c r="A37" s="14" t="s">
        <v>53</v>
      </c>
      <c r="B37" s="15">
        <f>SUMPRODUCT(('MTS Database'!$H$2:$H$138=2015)*('MTS Database'!$I$2:$I$138=9)*('MTS Database'!$D$2:$D$138))</f>
        <v>0</v>
      </c>
      <c r="C37" s="16">
        <v>30</v>
      </c>
      <c r="D37" s="15">
        <f>IF(C37=0,0,B37/C37)</f>
        <v>0</v>
      </c>
    </row>
    <row r="38" spans="1:4">
      <c r="A38" s="17" t="s">
        <v>54</v>
      </c>
      <c r="B38" s="18">
        <f>SUMPRODUCT(('MTS Database'!$H$2:$H$138=2015)*('MTS Database'!$I$2:$I$138=10)*('MTS Database'!$D$2:$D$138))</f>
        <v>0</v>
      </c>
      <c r="C38" s="19">
        <v>31</v>
      </c>
      <c r="D38" s="18">
        <f>IF(C38=0,0,B38/C38)</f>
        <v>0</v>
      </c>
    </row>
    <row r="39" spans="1:4">
      <c r="A39" s="14" t="s">
        <v>55</v>
      </c>
      <c r="B39" s="15">
        <f>SUMPRODUCT(('MTS Database'!$H$2:$H$138=2015)*('MTS Database'!$I$2:$I$138=11)*('MTS Database'!$D$2:$D$138))</f>
        <v>0</v>
      </c>
      <c r="C39" s="16">
        <v>30</v>
      </c>
      <c r="D39" s="15">
        <f>IF(C39=0,0,B39/C39)</f>
        <v>0</v>
      </c>
    </row>
    <row r="40" spans="1:4">
      <c r="A40" s="17" t="s">
        <v>56</v>
      </c>
      <c r="B40" s="18">
        <f>SUMPRODUCT(('MTS Database'!$H$2:$H$138=2015)*('MTS Database'!$I$2:$I$138=12)*('MTS Database'!$D$2:$D$138))</f>
        <v>0</v>
      </c>
      <c r="C40" s="19">
        <v>31</v>
      </c>
      <c r="D40" s="18">
        <f>IF(C40=0,0,B40/C40)</f>
        <v>0</v>
      </c>
    </row>
    <row r="41" spans="1:4">
      <c r="A41" s="14" t="s">
        <v>57</v>
      </c>
      <c r="B41" s="15">
        <f>SUMPRODUCT(('MTS Database'!$H$2:$H$138=2016)*('MTS Database'!$I$2:$I$138=1)*('MTS Database'!$D$2:$D$138))</f>
        <v>0</v>
      </c>
      <c r="C41" s="16">
        <v>31</v>
      </c>
      <c r="D41" s="15">
        <f>IF(C41=0,0,B41/C41)</f>
        <v>0</v>
      </c>
    </row>
    <row r="42" spans="1:4">
      <c r="A42" s="17" t="s">
        <v>58</v>
      </c>
      <c r="B42" s="18">
        <f>SUMPRODUCT(('MTS Database'!$H$2:$H$138=2016)*('MTS Database'!$I$2:$I$138=2)*('MTS Database'!$D$2:$D$138))</f>
        <v>0</v>
      </c>
      <c r="C42" s="19">
        <v>29</v>
      </c>
      <c r="D42" s="18">
        <f>IF(C42=0,0,B42/C42)</f>
        <v>0</v>
      </c>
    </row>
    <row r="43" spans="1:4">
      <c r="A43" s="14" t="s">
        <v>59</v>
      </c>
      <c r="B43" s="15">
        <f>SUMPRODUCT(('MTS Database'!$H$2:$H$138=2016)*('MTS Database'!$I$2:$I$138=3)*('MTS Database'!$D$2:$D$138))</f>
        <v>0</v>
      </c>
      <c r="C43" s="16">
        <v>31</v>
      </c>
      <c r="D43" s="15">
        <f>IF(C43=0,0,B43/C43)</f>
        <v>0</v>
      </c>
    </row>
    <row r="44" spans="1:4">
      <c r="A44" s="17" t="s">
        <v>60</v>
      </c>
      <c r="B44" s="18">
        <f>SUMPRODUCT(('MTS Database'!$H$2:$H$138=2016)*('MTS Database'!$I$2:$I$138=4)*('MTS Database'!$D$2:$D$138))</f>
        <v>0</v>
      </c>
      <c r="C44" s="19">
        <v>30</v>
      </c>
      <c r="D44" s="18">
        <f>IF(C44=0,0,B44/C44)</f>
        <v>0</v>
      </c>
    </row>
    <row r="45" spans="1:4">
      <c r="A45" s="14" t="s">
        <v>61</v>
      </c>
      <c r="B45" s="15">
        <f>SUMPRODUCT(('MTS Database'!$H$2:$H$138=2016)*('MTS Database'!$I$2:$I$138=5)*('MTS Database'!$D$2:$D$138))</f>
        <v>0</v>
      </c>
      <c r="C45" s="16">
        <v>31</v>
      </c>
      <c r="D45" s="15">
        <f>IF(C45=0,0,B45/C45)</f>
        <v>0</v>
      </c>
    </row>
    <row r="46" spans="1:4">
      <c r="A46" s="17" t="s">
        <v>62</v>
      </c>
      <c r="B46" s="18">
        <f>SUMPRODUCT(('MTS Database'!$H$2:$H$138=2016)*('MTS Database'!$I$2:$I$138=6)*('MTS Database'!$D$2:$D$138))</f>
        <v>0</v>
      </c>
      <c r="C46" s="19">
        <v>30</v>
      </c>
      <c r="D46" s="18">
        <f>IF(C46=0,0,B46/C46)</f>
        <v>0</v>
      </c>
    </row>
    <row r="47" spans="1:4">
      <c r="A47" s="14" t="s">
        <v>63</v>
      </c>
      <c r="B47" s="15">
        <f>SUMPRODUCT(('MTS Database'!$H$2:$H$138=2016)*('MTS Database'!$I$2:$I$138=7)*('MTS Database'!$D$2:$D$138))</f>
        <v>0</v>
      </c>
      <c r="C47" s="16">
        <v>31</v>
      </c>
      <c r="D47" s="15">
        <f>IF(C47=0,0,B47/C47)</f>
        <v>0</v>
      </c>
    </row>
    <row r="48" spans="1:4">
      <c r="A48" s="17" t="s">
        <v>64</v>
      </c>
      <c r="B48" s="18">
        <f>SUMPRODUCT(('MTS Database'!$H$2:$H$138=2016)*('MTS Database'!$I$2:$I$138=8)*('MTS Database'!$D$2:$D$138))</f>
        <v>0</v>
      </c>
      <c r="C48" s="19">
        <v>31</v>
      </c>
      <c r="D48" s="18">
        <f>IF(C48=0,0,B48/C48)</f>
        <v>0</v>
      </c>
    </row>
    <row r="49" spans="1:4">
      <c r="A49" s="14" t="s">
        <v>65</v>
      </c>
      <c r="B49" s="15">
        <f>SUMPRODUCT(('MTS Database'!$H$2:$H$138=2016)*('MTS Database'!$I$2:$I$138=9)*('MTS Database'!$D$2:$D$138))</f>
        <v>0</v>
      </c>
      <c r="C49" s="16">
        <v>30</v>
      </c>
      <c r="D49" s="15">
        <f>IF(C49=0,0,B49/C49)</f>
        <v>0</v>
      </c>
    </row>
    <row r="50" spans="1:4">
      <c r="A50" s="17" t="s">
        <v>66</v>
      </c>
      <c r="B50" s="18">
        <f>SUMPRODUCT(('MTS Database'!$H$2:$H$138=2016)*('MTS Database'!$I$2:$I$138=10)*('MTS Database'!$D$2:$D$138))</f>
        <v>0</v>
      </c>
      <c r="C50" s="19">
        <v>31</v>
      </c>
      <c r="D50" s="18">
        <f>IF(C50=0,0,B50/C50)</f>
        <v>0</v>
      </c>
    </row>
    <row r="51" spans="1:4">
      <c r="A51" s="14" t="s">
        <v>67</v>
      </c>
      <c r="B51" s="15">
        <f>SUMPRODUCT(('MTS Database'!$H$2:$H$138=2016)*('MTS Database'!$I$2:$I$138=11)*('MTS Database'!$D$2:$D$138))</f>
        <v>0</v>
      </c>
      <c r="C51" s="16">
        <v>30</v>
      </c>
      <c r="D51" s="15">
        <f>IF(C51=0,0,B51/C51)</f>
        <v>0</v>
      </c>
    </row>
    <row r="52" spans="1:4">
      <c r="A52" s="17" t="s">
        <v>68</v>
      </c>
      <c r="B52" s="18">
        <f>SUMPRODUCT(('MTS Database'!$H$2:$H$138=2016)*('MTS Database'!$I$2:$I$138=12)*('MTS Database'!$D$2:$D$138))</f>
        <v>0</v>
      </c>
      <c r="C52" s="19">
        <v>31</v>
      </c>
      <c r="D52" s="18">
        <f>IF(C52=0,0,B52/C52)</f>
        <v>0</v>
      </c>
    </row>
    <row r="53" spans="1:4">
      <c r="A53" s="14" t="s">
        <v>69</v>
      </c>
      <c r="B53" s="15">
        <f>SUMPRODUCT(('MTS Database'!$H$2:$H$138=2017)*('MTS Database'!$I$2:$I$138=1)*('MTS Database'!$D$2:$D$138))</f>
        <v>0</v>
      </c>
      <c r="C53" s="16">
        <v>31</v>
      </c>
      <c r="D53" s="15">
        <f>IF(C53=0,0,B53/C53)</f>
        <v>0</v>
      </c>
    </row>
    <row r="54" spans="1:4">
      <c r="A54" s="17" t="s">
        <v>70</v>
      </c>
      <c r="B54" s="18">
        <f>SUMPRODUCT(('MTS Database'!$H$2:$H$138=2017)*('MTS Database'!$I$2:$I$138=2)*('MTS Database'!$D$2:$D$138))</f>
        <v>0</v>
      </c>
      <c r="C54" s="19">
        <v>28</v>
      </c>
      <c r="D54" s="18">
        <f>IF(C54=0,0,B54/C54)</f>
        <v>0</v>
      </c>
    </row>
    <row r="55" spans="1:4">
      <c r="A55" s="14" t="s">
        <v>71</v>
      </c>
      <c r="B55" s="15">
        <f>SUMPRODUCT(('MTS Database'!$H$2:$H$138=2017)*('MTS Database'!$I$2:$I$138=3)*('MTS Database'!$D$2:$D$138))</f>
        <v>0</v>
      </c>
      <c r="C55" s="16">
        <v>31</v>
      </c>
      <c r="D55" s="15">
        <f>IF(C55=0,0,B55/C55)</f>
        <v>0</v>
      </c>
    </row>
    <row r="56" spans="1:4">
      <c r="A56" s="17" t="s">
        <v>72</v>
      </c>
      <c r="B56" s="18">
        <f>SUMPRODUCT(('MTS Database'!$H$2:$H$138=2017)*('MTS Database'!$I$2:$I$138=4)*('MTS Database'!$D$2:$D$138))</f>
        <v>0</v>
      </c>
      <c r="C56" s="19">
        <v>30</v>
      </c>
      <c r="D56" s="18">
        <f>IF(C56=0,0,B56/C56)</f>
        <v>0</v>
      </c>
    </row>
    <row r="57" spans="1:4">
      <c r="A57" s="14" t="s">
        <v>73</v>
      </c>
      <c r="B57" s="15">
        <f>SUMPRODUCT(('MTS Database'!$H$2:$H$138=2017)*('MTS Database'!$I$2:$I$138=5)*('MTS Database'!$D$2:$D$138))</f>
        <v>0</v>
      </c>
      <c r="C57" s="16">
        <v>31</v>
      </c>
      <c r="D57" s="15">
        <f>IF(C57=0,0,B57/C57)</f>
        <v>0</v>
      </c>
    </row>
    <row r="58" spans="1:4">
      <c r="A58" s="17" t="s">
        <v>74</v>
      </c>
      <c r="B58" s="18">
        <f>SUMPRODUCT(('MTS Database'!$H$2:$H$138=2017)*('MTS Database'!$I$2:$I$138=6)*('MTS Database'!$D$2:$D$138))</f>
        <v>0</v>
      </c>
      <c r="C58" s="19">
        <v>30</v>
      </c>
      <c r="D58" s="18">
        <f>IF(C58=0,0,B58/C58)</f>
        <v>0</v>
      </c>
    </row>
    <row r="59" spans="1:4">
      <c r="A59" s="14" t="s">
        <v>75</v>
      </c>
      <c r="B59" s="15">
        <f>SUMPRODUCT(('MTS Database'!$H$2:$H$138=2017)*('MTS Database'!$I$2:$I$138=7)*('MTS Database'!$D$2:$D$138))</f>
        <v>0</v>
      </c>
      <c r="C59" s="16">
        <v>31</v>
      </c>
      <c r="D59" s="15">
        <f>IF(C59=0,0,B59/C59)</f>
        <v>0</v>
      </c>
    </row>
    <row r="60" spans="1:4">
      <c r="A60" s="17" t="s">
        <v>76</v>
      </c>
      <c r="B60" s="18">
        <f>SUMPRODUCT(('MTS Database'!$H$2:$H$138=2017)*('MTS Database'!$I$2:$I$138=8)*('MTS Database'!$D$2:$D$138))</f>
        <v>0</v>
      </c>
      <c r="C60" s="19">
        <v>31</v>
      </c>
      <c r="D60" s="18">
        <f>IF(C60=0,0,B60/C60)</f>
        <v>0</v>
      </c>
    </row>
    <row r="61" spans="1:4">
      <c r="A61" s="14" t="s">
        <v>77</v>
      </c>
      <c r="B61" s="15">
        <f>SUMPRODUCT(('MTS Database'!$H$2:$H$138=2017)*('MTS Database'!$I$2:$I$138=9)*('MTS Database'!$D$2:$D$138))</f>
        <v>0</v>
      </c>
      <c r="C61" s="16">
        <v>30</v>
      </c>
      <c r="D61" s="15">
        <f>IF(C61=0,0,B61/C61)</f>
        <v>0</v>
      </c>
    </row>
    <row r="62" spans="1:4">
      <c r="A62" s="17" t="s">
        <v>78</v>
      </c>
      <c r="B62" s="18">
        <f>SUMPRODUCT(('MTS Database'!$H$2:$H$138=2017)*('MTS Database'!$I$2:$I$138=10)*('MTS Database'!$D$2:$D$138))</f>
        <v>0</v>
      </c>
      <c r="C62" s="19">
        <v>31</v>
      </c>
      <c r="D62" s="18">
        <f>IF(C62=0,0,B62/C62)</f>
        <v>0</v>
      </c>
    </row>
    <row r="63" spans="1:4">
      <c r="A63" s="14" t="s">
        <v>79</v>
      </c>
      <c r="B63" s="15">
        <f>SUMPRODUCT(('MTS Database'!$H$2:$H$138=2017)*('MTS Database'!$I$2:$I$138=11)*('MTS Database'!$D$2:$D$138))</f>
        <v>0</v>
      </c>
      <c r="C63" s="16">
        <v>30</v>
      </c>
      <c r="D63" s="15">
        <f>IF(C63=0,0,B63/C63)</f>
        <v>0</v>
      </c>
    </row>
    <row r="64" spans="1:4">
      <c r="A64" s="17" t="s">
        <v>80</v>
      </c>
      <c r="B64" s="18">
        <f>SUMPRODUCT(('MTS Database'!$H$2:$H$138=2017)*('MTS Database'!$I$2:$I$138=12)*('MTS Database'!$D$2:$D$138))</f>
        <v>0</v>
      </c>
      <c r="C64" s="19">
        <v>31</v>
      </c>
      <c r="D64" s="18">
        <f>IF(C64=0,0,B64/C64)</f>
        <v>0</v>
      </c>
    </row>
    <row r="65" spans="1:4">
      <c r="A65" s="14" t="s">
        <v>81</v>
      </c>
      <c r="B65" s="15">
        <f>SUMPRODUCT(('MTS Database'!$H$2:$H$138=2018)*('MTS Database'!$I$2:$I$138=1)*('MTS Database'!$D$2:$D$138))</f>
        <v>0</v>
      </c>
      <c r="C65" s="16">
        <v>31</v>
      </c>
      <c r="D65" s="15">
        <f>IF(C65=0,0,B65/C65)</f>
        <v>0</v>
      </c>
    </row>
    <row r="66" spans="1:4">
      <c r="A66" s="17" t="s">
        <v>82</v>
      </c>
      <c r="B66" s="18">
        <f>SUMPRODUCT(('MTS Database'!$H$2:$H$138=2018)*('MTS Database'!$I$2:$I$138=2)*('MTS Database'!$D$2:$D$138))</f>
        <v>0</v>
      </c>
      <c r="C66" s="19">
        <v>28</v>
      </c>
      <c r="D66" s="18">
        <f>IF(C66=0,0,B66/C66)</f>
        <v>0</v>
      </c>
    </row>
    <row r="67" spans="1:4">
      <c r="A67" s="14" t="s">
        <v>83</v>
      </c>
      <c r="B67" s="15">
        <f>SUMPRODUCT(('MTS Database'!$H$2:$H$138=2018)*('MTS Database'!$I$2:$I$138=3)*('MTS Database'!$D$2:$D$138))</f>
        <v>0</v>
      </c>
      <c r="C67" s="16">
        <v>31</v>
      </c>
      <c r="D67" s="15">
        <f>IF(C67=0,0,B67/C67)</f>
        <v>0</v>
      </c>
    </row>
    <row r="68" spans="1:4">
      <c r="A68" s="17" t="s">
        <v>84</v>
      </c>
      <c r="B68" s="18">
        <f>SUMPRODUCT(('MTS Database'!$H$2:$H$138=2018)*('MTS Database'!$I$2:$I$138=4)*('MTS Database'!$D$2:$D$138))</f>
        <v>0</v>
      </c>
      <c r="C68" s="19">
        <v>30</v>
      </c>
      <c r="D68" s="18">
        <f>IF(C68=0,0,B68/C68)</f>
        <v>0</v>
      </c>
    </row>
    <row r="69" spans="1:4">
      <c r="A69" s="14" t="s">
        <v>85</v>
      </c>
      <c r="B69" s="15">
        <f>SUMPRODUCT(('MTS Database'!$H$2:$H$138=2018)*('MTS Database'!$I$2:$I$138=5)*('MTS Database'!$D$2:$D$138))</f>
        <v>0</v>
      </c>
      <c r="C69" s="16">
        <v>31</v>
      </c>
      <c r="D69" s="15">
        <f>IF(C69=0,0,B69/C69)</f>
        <v>0</v>
      </c>
    </row>
    <row r="70" spans="1:4">
      <c r="A70" s="17" t="s">
        <v>86</v>
      </c>
      <c r="B70" s="18">
        <f>SUMPRODUCT(('MTS Database'!$H$2:$H$138=2018)*('MTS Database'!$I$2:$I$138=6)*('MTS Database'!$D$2:$D$138))</f>
        <v>0</v>
      </c>
      <c r="C70" s="19">
        <v>30</v>
      </c>
      <c r="D70" s="18">
        <f>IF(C70=0,0,B70/C70)</f>
        <v>0</v>
      </c>
    </row>
    <row r="71" spans="1:4">
      <c r="A71" s="14" t="s">
        <v>87</v>
      </c>
      <c r="B71" s="15">
        <f>SUMPRODUCT(('MTS Database'!$H$2:$H$138=2018)*('MTS Database'!$I$2:$I$138=7)*('MTS Database'!$D$2:$D$138))</f>
        <v>0</v>
      </c>
      <c r="C71" s="16">
        <v>31</v>
      </c>
      <c r="D71" s="15">
        <f>IF(C71=0,0,B71/C71)</f>
        <v>0</v>
      </c>
    </row>
    <row r="72" spans="1:4">
      <c r="A72" s="17" t="s">
        <v>88</v>
      </c>
      <c r="B72" s="18">
        <f>SUMPRODUCT(('MTS Database'!$H$2:$H$138=2018)*('MTS Database'!$I$2:$I$138=8)*('MTS Database'!$D$2:$D$138))</f>
        <v>0</v>
      </c>
      <c r="C72" s="19">
        <v>31</v>
      </c>
      <c r="D72" s="18">
        <f>IF(C72=0,0,B72/C72)</f>
        <v>0</v>
      </c>
    </row>
    <row r="73" spans="1:4">
      <c r="A73" s="14" t="s">
        <v>89</v>
      </c>
      <c r="B73" s="15">
        <f>SUMPRODUCT(('MTS Database'!$H$2:$H$138=2018)*('MTS Database'!$I$2:$I$138=9)*('MTS Database'!$D$2:$D$138))</f>
        <v>0</v>
      </c>
      <c r="C73" s="16">
        <v>30</v>
      </c>
      <c r="D73" s="15">
        <f>IF(C73=0,0,B73/C73)</f>
        <v>0</v>
      </c>
    </row>
    <row r="74" spans="1:4">
      <c r="A74" s="17" t="s">
        <v>90</v>
      </c>
      <c r="B74" s="18">
        <f>SUMPRODUCT(('MTS Database'!$H$2:$H$138=2018)*('MTS Database'!$I$2:$I$138=10)*('MTS Database'!$D$2:$D$138))</f>
        <v>0</v>
      </c>
      <c r="C74" s="19">
        <v>31</v>
      </c>
      <c r="D74" s="18">
        <f>IF(C74=0,0,B74/C74)</f>
        <v>0</v>
      </c>
    </row>
    <row r="75" spans="1:4">
      <c r="A75" s="14" t="s">
        <v>91</v>
      </c>
      <c r="B75" s="15">
        <f>SUMPRODUCT(('MTS Database'!$H$2:$H$138=2018)*('MTS Database'!$I$2:$I$138=11)*('MTS Database'!$D$2:$D$138))</f>
        <v>0</v>
      </c>
      <c r="C75" s="16">
        <v>30</v>
      </c>
      <c r="D75" s="15">
        <f>IF(C75=0,0,B75/C75)</f>
        <v>0</v>
      </c>
    </row>
    <row r="76" spans="1:4">
      <c r="A76" s="17" t="s">
        <v>92</v>
      </c>
      <c r="B76" s="18">
        <f>SUMPRODUCT(('MTS Database'!$H$2:$H$138=2018)*('MTS Database'!$I$2:$I$138=12)*('MTS Database'!$D$2:$D$138))</f>
        <v>0</v>
      </c>
      <c r="C76" s="19">
        <v>31</v>
      </c>
      <c r="D76" s="18">
        <f>IF(C76=0,0,B76/C76)</f>
        <v>0</v>
      </c>
    </row>
    <row r="77" spans="1:4">
      <c r="A77" s="14" t="s">
        <v>93</v>
      </c>
      <c r="B77" s="15">
        <f>SUMPRODUCT(('MTS Database'!$H$2:$H$138=2019)*('MTS Database'!$I$2:$I$138=1)*('MTS Database'!$D$2:$D$138))</f>
        <v>0</v>
      </c>
      <c r="C77" s="16">
        <v>31</v>
      </c>
      <c r="D77" s="15">
        <f>IF(C77=0,0,B77/C77)</f>
        <v>0</v>
      </c>
    </row>
    <row r="78" spans="1:4">
      <c r="A78" s="17" t="s">
        <v>94</v>
      </c>
      <c r="B78" s="18">
        <f>SUMPRODUCT(('MTS Database'!$H$2:$H$138=2019)*('MTS Database'!$I$2:$I$138=2)*('MTS Database'!$D$2:$D$138))</f>
        <v>0</v>
      </c>
      <c r="C78" s="19">
        <v>28</v>
      </c>
      <c r="D78" s="18">
        <f>IF(C78=0,0,B78/C78)</f>
        <v>0</v>
      </c>
    </row>
    <row r="79" spans="1:4">
      <c r="A79" s="14" t="s">
        <v>95</v>
      </c>
      <c r="B79" s="15">
        <f>SUMPRODUCT(('MTS Database'!$H$2:$H$138=2019)*('MTS Database'!$I$2:$I$138=3)*('MTS Database'!$D$2:$D$138))</f>
        <v>0</v>
      </c>
      <c r="C79" s="16">
        <v>31</v>
      </c>
      <c r="D79" s="15">
        <f>IF(C79=0,0,B79/C79)</f>
        <v>0</v>
      </c>
    </row>
    <row r="80" spans="1:4">
      <c r="A80" s="17" t="s">
        <v>96</v>
      </c>
      <c r="B80" s="18">
        <f>SUMPRODUCT(('MTS Database'!$H$2:$H$138=2019)*('MTS Database'!$I$2:$I$138=4)*('MTS Database'!$D$2:$D$138))</f>
        <v>0</v>
      </c>
      <c r="C80" s="19">
        <v>30</v>
      </c>
      <c r="D80" s="18">
        <f>IF(C80=0,0,B80/C80)</f>
        <v>0</v>
      </c>
    </row>
    <row r="81" spans="1:4">
      <c r="A81" s="14" t="s">
        <v>97</v>
      </c>
      <c r="B81" s="15">
        <f>SUMPRODUCT(('MTS Database'!$H$2:$H$138=2019)*('MTS Database'!$I$2:$I$138=5)*('MTS Database'!$D$2:$D$138))</f>
        <v>0</v>
      </c>
      <c r="C81" s="16">
        <v>31</v>
      </c>
      <c r="D81" s="15">
        <f>IF(C81=0,0,B81/C81)</f>
        <v>0</v>
      </c>
    </row>
    <row r="82" spans="1:4">
      <c r="A82" s="17" t="s">
        <v>98</v>
      </c>
      <c r="B82" s="18">
        <f>SUMPRODUCT(('MTS Database'!$H$2:$H$138=2019)*('MTS Database'!$I$2:$I$138=6)*('MTS Database'!$D$2:$D$138))</f>
        <v>0</v>
      </c>
      <c r="C82" s="19">
        <v>30</v>
      </c>
      <c r="D82" s="18">
        <f>IF(C82=0,0,B82/C82)</f>
        <v>0</v>
      </c>
    </row>
    <row r="83" spans="1:4">
      <c r="A83" s="14" t="s">
        <v>99</v>
      </c>
      <c r="B83" s="15">
        <f>SUMPRODUCT(('MTS Database'!$H$2:$H$138=2019)*('MTS Database'!$I$2:$I$138=7)*('MTS Database'!$D$2:$D$138))</f>
        <v>0</v>
      </c>
      <c r="C83" s="16">
        <v>31</v>
      </c>
      <c r="D83" s="15">
        <f>IF(C83=0,0,B83/C83)</f>
        <v>0</v>
      </c>
    </row>
    <row r="84" spans="1:4">
      <c r="A84" s="17" t="s">
        <v>100</v>
      </c>
      <c r="B84" s="18">
        <f>SUMPRODUCT(('MTS Database'!$H$2:$H$138=2019)*('MTS Database'!$I$2:$I$138=8)*('MTS Database'!$D$2:$D$138))</f>
        <v>0</v>
      </c>
      <c r="C84" s="19">
        <v>31</v>
      </c>
      <c r="D84" s="18">
        <f>IF(C84=0,0,B84/C84)</f>
        <v>0</v>
      </c>
    </row>
    <row r="85" spans="1:4">
      <c r="A85" s="14" t="s">
        <v>101</v>
      </c>
      <c r="B85" s="15">
        <f>SUMPRODUCT(('MTS Database'!$H$2:$H$138=2019)*('MTS Database'!$I$2:$I$138=9)*('MTS Database'!$D$2:$D$138))</f>
        <v>0</v>
      </c>
      <c r="C85" s="16">
        <v>30</v>
      </c>
      <c r="D85" s="15">
        <f>IF(C85=0,0,B85/C85)</f>
        <v>0</v>
      </c>
    </row>
    <row r="86" spans="1:4">
      <c r="A86" s="17" t="s">
        <v>102</v>
      </c>
      <c r="B86" s="18">
        <f>SUMPRODUCT(('MTS Database'!$H$2:$H$138=2019)*('MTS Database'!$I$2:$I$138=10)*('MTS Database'!$D$2:$D$138))</f>
        <v>0</v>
      </c>
      <c r="C86" s="19">
        <v>31</v>
      </c>
      <c r="D86" s="18">
        <f>IF(C86=0,0,B86/C86)</f>
        <v>0</v>
      </c>
    </row>
    <row r="87" spans="1:4">
      <c r="A87" s="14" t="s">
        <v>103</v>
      </c>
      <c r="B87" s="15">
        <f>SUMPRODUCT(('MTS Database'!$H$2:$H$138=2019)*('MTS Database'!$I$2:$I$138=11)*('MTS Database'!$D$2:$D$138))</f>
        <v>0</v>
      </c>
      <c r="C87" s="16">
        <v>30</v>
      </c>
      <c r="D87" s="15">
        <f>IF(C87=0,0,B87/C87)</f>
        <v>0</v>
      </c>
    </row>
    <row r="88" spans="1:4">
      <c r="A88" s="17" t="s">
        <v>104</v>
      </c>
      <c r="B88" s="18">
        <f>SUMPRODUCT(('MTS Database'!$H$2:$H$138=2019)*('MTS Database'!$I$2:$I$138=12)*('MTS Database'!$D$2:$D$138))</f>
        <v>0</v>
      </c>
      <c r="C88" s="19">
        <v>31</v>
      </c>
      <c r="D88" s="18">
        <f>IF(C88=0,0,B88/C88)</f>
        <v>0</v>
      </c>
    </row>
    <row r="89" spans="1:4">
      <c r="A89" s="14" t="s">
        <v>105</v>
      </c>
      <c r="B89" s="15">
        <f>SUMPRODUCT(('MTS Database'!$H$2:$H$138=2020)*('MTS Database'!$I$2:$I$138=1)*('MTS Database'!$D$2:$D$138))</f>
        <v>0</v>
      </c>
      <c r="C89" s="16">
        <v>31</v>
      </c>
      <c r="D89" s="15">
        <f>IF(C89=0,0,B89/C89)</f>
        <v>0</v>
      </c>
    </row>
    <row r="90" spans="1:4">
      <c r="A90" s="17" t="s">
        <v>106</v>
      </c>
      <c r="B90" s="18">
        <f>SUMPRODUCT(('MTS Database'!$H$2:$H$138=2020)*('MTS Database'!$I$2:$I$138=2)*('MTS Database'!$D$2:$D$138))</f>
        <v>0</v>
      </c>
      <c r="C90" s="19">
        <v>29</v>
      </c>
      <c r="D90" s="18">
        <f>IF(C90=0,0,B90/C90)</f>
        <v>0</v>
      </c>
    </row>
    <row r="91" spans="1:4">
      <c r="A91" s="14" t="s">
        <v>107</v>
      </c>
      <c r="B91" s="15">
        <f>SUMPRODUCT(('MTS Database'!$H$2:$H$138=2020)*('MTS Database'!$I$2:$I$138=3)*('MTS Database'!$D$2:$D$138))</f>
        <v>0</v>
      </c>
      <c r="C91" s="16">
        <v>31</v>
      </c>
      <c r="D91" s="15">
        <f>IF(C91=0,0,B91/C91)</f>
        <v>0</v>
      </c>
    </row>
    <row r="92" spans="1:4">
      <c r="A92" s="17" t="s">
        <v>108</v>
      </c>
      <c r="B92" s="18">
        <f>SUMPRODUCT(('MTS Database'!$H$2:$H$138=2020)*('MTS Database'!$I$2:$I$138=4)*('MTS Database'!$D$2:$D$138))</f>
        <v>0</v>
      </c>
      <c r="C92" s="19">
        <v>30</v>
      </c>
      <c r="D92" s="18">
        <f>IF(C92=0,0,B92/C92)</f>
        <v>0</v>
      </c>
    </row>
    <row r="93" spans="1:4">
      <c r="A93" s="14" t="s">
        <v>109</v>
      </c>
      <c r="B93" s="15">
        <f>SUMPRODUCT(('MTS Database'!$H$2:$H$138=2020)*('MTS Database'!$I$2:$I$138=5)*('MTS Database'!$D$2:$D$138))</f>
        <v>0</v>
      </c>
      <c r="C93" s="16">
        <v>31</v>
      </c>
      <c r="D93" s="15">
        <f>IF(C93=0,0,B93/C93)</f>
        <v>0</v>
      </c>
    </row>
    <row r="94" spans="1:4">
      <c r="A94" s="17" t="s">
        <v>110</v>
      </c>
      <c r="B94" s="18">
        <f>SUMPRODUCT(('MTS Database'!$H$2:$H$138=2020)*('MTS Database'!$I$2:$I$138=6)*('MTS Database'!$D$2:$D$138))</f>
        <v>0</v>
      </c>
      <c r="C94" s="19">
        <v>30</v>
      </c>
      <c r="D94" s="18">
        <f>IF(C94=0,0,B94/C94)</f>
        <v>0</v>
      </c>
    </row>
    <row r="95" spans="1:4">
      <c r="A95" s="14" t="s">
        <v>111</v>
      </c>
      <c r="B95" s="15">
        <f>SUMPRODUCT(('MTS Database'!$H$2:$H$138=2020)*('MTS Database'!$I$2:$I$138=7)*('MTS Database'!$D$2:$D$138))</f>
        <v>0</v>
      </c>
      <c r="C95" s="16">
        <v>31</v>
      </c>
      <c r="D95" s="15">
        <f>IF(C95=0,0,B95/C95)</f>
        <v>0</v>
      </c>
    </row>
    <row r="96" spans="1:4">
      <c r="A96" s="17" t="s">
        <v>112</v>
      </c>
      <c r="B96" s="18">
        <f>SUMPRODUCT(('MTS Database'!$H$2:$H$138=2020)*('MTS Database'!$I$2:$I$138=8)*('MTS Database'!$D$2:$D$138))</f>
        <v>0</v>
      </c>
      <c r="C96" s="19">
        <v>31</v>
      </c>
      <c r="D96" s="18">
        <f>IF(C96=0,0,B96/C96)</f>
        <v>0</v>
      </c>
    </row>
    <row r="97" spans="1:4">
      <c r="A97" s="14" t="s">
        <v>113</v>
      </c>
      <c r="B97" s="15">
        <f>SUMPRODUCT(('MTS Database'!$H$2:$H$138=2020)*('MTS Database'!$I$2:$I$138=9)*('MTS Database'!$D$2:$D$138))</f>
        <v>0</v>
      </c>
      <c r="C97" s="16">
        <v>30</v>
      </c>
      <c r="D97" s="15">
        <f>IF(C97=0,0,B97/C97)</f>
        <v>0</v>
      </c>
    </row>
    <row r="98" spans="1:4">
      <c r="A98" s="17" t="s">
        <v>114</v>
      </c>
      <c r="B98" s="18">
        <f>SUMPRODUCT(('MTS Database'!$H$2:$H$138=2020)*('MTS Database'!$I$2:$I$138=10)*('MTS Database'!$D$2:$D$138))</f>
        <v>0</v>
      </c>
      <c r="C98" s="19">
        <v>31</v>
      </c>
      <c r="D98" s="18">
        <f>IF(C98=0,0,B98/C98)</f>
        <v>0</v>
      </c>
    </row>
    <row r="99" spans="1:4">
      <c r="A99" s="14" t="s">
        <v>115</v>
      </c>
      <c r="B99" s="15">
        <f>SUMPRODUCT(('MTS Database'!$H$2:$H$138=2020)*('MTS Database'!$I$2:$I$138=11)*('MTS Database'!$D$2:$D$138))</f>
        <v>0</v>
      </c>
      <c r="C99" s="16">
        <v>30</v>
      </c>
      <c r="D99" s="15">
        <f>IF(C99=0,0,B99/C99)</f>
        <v>0</v>
      </c>
    </row>
    <row r="100" spans="1:4">
      <c r="A100" s="17" t="s">
        <v>116</v>
      </c>
      <c r="B100" s="18">
        <f>SUMPRODUCT(('MTS Database'!$H$2:$H$138=2020)*('MTS Database'!$I$2:$I$138=12)*('MTS Database'!$D$2:$D$138))</f>
        <v>0</v>
      </c>
      <c r="C100" s="19">
        <v>31</v>
      </c>
      <c r="D100" s="18">
        <f>IF(C100=0,0,B100/C100)</f>
        <v>0</v>
      </c>
    </row>
    <row r="101" spans="1:4">
      <c r="A101" s="14" t="s">
        <v>117</v>
      </c>
      <c r="B101" s="15">
        <f>SUMPRODUCT(('MTS Database'!$H$2:$H$138=2021)*('MTS Database'!$I$2:$I$138=1)*('MTS Database'!$D$2:$D$138))</f>
        <v>0</v>
      </c>
      <c r="C101" s="16">
        <v>31</v>
      </c>
      <c r="D101" s="15">
        <f>IF(C101=0,0,B101/C101)</f>
        <v>0</v>
      </c>
    </row>
    <row r="102" spans="1:4">
      <c r="A102" s="17" t="s">
        <v>118</v>
      </c>
      <c r="B102" s="18">
        <f>SUMPRODUCT(('MTS Database'!$H$2:$H$138=2021)*('MTS Database'!$I$2:$I$138=2)*('MTS Database'!$D$2:$D$138))</f>
        <v>0</v>
      </c>
      <c r="C102" s="19">
        <v>28</v>
      </c>
      <c r="D102" s="18">
        <f>IF(C102=0,0,B102/C102)</f>
        <v>0</v>
      </c>
    </row>
    <row r="103" spans="1:4">
      <c r="A103" s="14" t="s">
        <v>119</v>
      </c>
      <c r="B103" s="15">
        <f>SUMPRODUCT(('MTS Database'!$H$2:$H$138=2021)*('MTS Database'!$I$2:$I$138=3)*('MTS Database'!$D$2:$D$138))</f>
        <v>0</v>
      </c>
      <c r="C103" s="16">
        <v>31</v>
      </c>
      <c r="D103" s="15">
        <f>IF(C103=0,0,B103/C103)</f>
        <v>0</v>
      </c>
    </row>
    <row r="104" spans="1:4">
      <c r="A104" s="17" t="s">
        <v>120</v>
      </c>
      <c r="B104" s="18">
        <f>SUMPRODUCT(('MTS Database'!$H$2:$H$138=2021)*('MTS Database'!$I$2:$I$138=4)*('MTS Database'!$D$2:$D$138))</f>
        <v>0</v>
      </c>
      <c r="C104" s="19">
        <v>30</v>
      </c>
      <c r="D104" s="18">
        <f>IF(C104=0,0,B104/C104)</f>
        <v>0</v>
      </c>
    </row>
    <row r="105" spans="1:4">
      <c r="A105" s="14" t="s">
        <v>121</v>
      </c>
      <c r="B105" s="15">
        <f>SUMPRODUCT(('MTS Database'!$H$2:$H$138=2021)*('MTS Database'!$I$2:$I$138=5)*('MTS Database'!$D$2:$D$138))</f>
        <v>0</v>
      </c>
      <c r="C105" s="16">
        <v>31</v>
      </c>
      <c r="D105" s="15">
        <f>IF(C105=0,0,B105/C105)</f>
        <v>0</v>
      </c>
    </row>
    <row r="106" spans="1:4">
      <c r="A106" s="17" t="s">
        <v>122</v>
      </c>
      <c r="B106" s="18">
        <f>SUMPRODUCT(('MTS Database'!$H$2:$H$138=2021)*('MTS Database'!$I$2:$I$138=6)*('MTS Database'!$D$2:$D$138))</f>
        <v>0</v>
      </c>
      <c r="C106" s="19">
        <v>30</v>
      </c>
      <c r="D106" s="18">
        <f>IF(C106=0,0,B106/C106)</f>
        <v>0</v>
      </c>
    </row>
    <row r="107" spans="1:4">
      <c r="A107" s="14" t="s">
        <v>123</v>
      </c>
      <c r="B107" s="15">
        <f>SUMPRODUCT(('MTS Database'!$H$2:$H$138=2021)*('MTS Database'!$I$2:$I$138=7)*('MTS Database'!$D$2:$D$138))</f>
        <v>0</v>
      </c>
      <c r="C107" s="16">
        <v>31</v>
      </c>
      <c r="D107" s="15">
        <f>IF(C107=0,0,B107/C107)</f>
        <v>0</v>
      </c>
    </row>
    <row r="108" spans="1:4">
      <c r="A108" s="17" t="s">
        <v>124</v>
      </c>
      <c r="B108" s="18">
        <f>SUMPRODUCT(('MTS Database'!$H$2:$H$138=2021)*('MTS Database'!$I$2:$I$138=8)*('MTS Database'!$D$2:$D$138))</f>
        <v>0</v>
      </c>
      <c r="C108" s="19">
        <v>31</v>
      </c>
      <c r="D108" s="18">
        <f>IF(C108=0,0,B108/C108)</f>
        <v>0</v>
      </c>
    </row>
    <row r="109" spans="1:4">
      <c r="A109" s="14" t="s">
        <v>125</v>
      </c>
      <c r="B109" s="15">
        <f>SUMPRODUCT(('MTS Database'!$H$2:$H$138=2021)*('MTS Database'!$I$2:$I$138=9)*('MTS Database'!$D$2:$D$138))</f>
        <v>0</v>
      </c>
      <c r="C109" s="16">
        <v>30</v>
      </c>
      <c r="D109" s="15">
        <f>IF(C109=0,0,B109/C109)</f>
        <v>0</v>
      </c>
    </row>
    <row r="110" spans="1:4">
      <c r="A110" s="17" t="s">
        <v>126</v>
      </c>
      <c r="B110" s="18">
        <f>SUMPRODUCT(('MTS Database'!$H$2:$H$138=2021)*('MTS Database'!$I$2:$I$138=10)*('MTS Database'!$D$2:$D$138))</f>
        <v>0</v>
      </c>
      <c r="C110" s="19">
        <v>31</v>
      </c>
      <c r="D110" s="18">
        <f>IF(C110=0,0,B110/C110)</f>
        <v>0</v>
      </c>
    </row>
    <row r="111" spans="1:4">
      <c r="A111" s="14" t="s">
        <v>127</v>
      </c>
      <c r="B111" s="15">
        <f>SUMPRODUCT(('MTS Database'!$H$2:$H$138=2021)*('MTS Database'!$I$2:$I$138=11)*('MTS Database'!$D$2:$D$138))</f>
        <v>0</v>
      </c>
      <c r="C111" s="16">
        <v>30</v>
      </c>
      <c r="D111" s="15">
        <f>IF(C111=0,0,B111/C111)</f>
        <v>0</v>
      </c>
    </row>
    <row r="112" spans="1:4">
      <c r="A112" s="17" t="s">
        <v>128</v>
      </c>
      <c r="B112" s="18">
        <f>SUMPRODUCT(('MTS Database'!$H$2:$H$138=2021)*('MTS Database'!$I$2:$I$138=12)*('MTS Database'!$D$2:$D$138))</f>
        <v>0</v>
      </c>
      <c r="C112" s="19">
        <v>31</v>
      </c>
      <c r="D112" s="18">
        <f>IF(C112=0,0,B112/C112)</f>
        <v>0</v>
      </c>
    </row>
    <row r="113" spans="1:4">
      <c r="A113" s="14" t="s">
        <v>129</v>
      </c>
      <c r="B113" s="15">
        <f>SUMPRODUCT(('MTS Database'!$H$2:$H$138=2022)*('MTS Database'!$I$2:$I$138=1)*('MTS Database'!$D$2:$D$138))</f>
        <v>0</v>
      </c>
      <c r="C113" s="16">
        <v>31</v>
      </c>
      <c r="D113" s="15">
        <f>IF(C113=0,0,B113/C113)</f>
        <v>0</v>
      </c>
    </row>
    <row r="114" spans="1:4">
      <c r="A114" s="17" t="s">
        <v>130</v>
      </c>
      <c r="B114" s="18">
        <f>SUMPRODUCT(('MTS Database'!$H$2:$H$138=2022)*('MTS Database'!$I$2:$I$138=2)*('MTS Database'!$D$2:$D$138))</f>
        <v>0</v>
      </c>
      <c r="C114" s="19">
        <v>28</v>
      </c>
      <c r="D114" s="18">
        <f>IF(C114=0,0,B114/C114)</f>
        <v>0</v>
      </c>
    </row>
    <row r="115" spans="1:4">
      <c r="A115" s="14" t="s">
        <v>131</v>
      </c>
      <c r="B115" s="15">
        <f>SUMPRODUCT(('MTS Database'!$H$2:$H$138=2022)*('MTS Database'!$I$2:$I$138=3)*('MTS Database'!$D$2:$D$138))</f>
        <v>0</v>
      </c>
      <c r="C115" s="16">
        <v>31</v>
      </c>
      <c r="D115" s="15">
        <f>IF(C115=0,0,B115/C115)</f>
        <v>0</v>
      </c>
    </row>
    <row r="116" spans="1:4">
      <c r="A116" s="17" t="s">
        <v>132</v>
      </c>
      <c r="B116" s="18">
        <f>SUMPRODUCT(('MTS Database'!$H$2:$H$138=2022)*('MTS Database'!$I$2:$I$138=4)*('MTS Database'!$D$2:$D$138))</f>
        <v>0</v>
      </c>
      <c r="C116" s="19">
        <v>30</v>
      </c>
      <c r="D116" s="18">
        <f>IF(C116=0,0,B116/C116)</f>
        <v>0</v>
      </c>
    </row>
    <row r="117" spans="1:4">
      <c r="A117" s="14" t="s">
        <v>133</v>
      </c>
      <c r="B117" s="15">
        <f>SUMPRODUCT(('MTS Database'!$H$2:$H$138=2022)*('MTS Database'!$I$2:$I$138=5)*('MTS Database'!$D$2:$D$138))</f>
        <v>0</v>
      </c>
      <c r="C117" s="16">
        <v>31</v>
      </c>
      <c r="D117" s="15">
        <f>IF(C117=0,0,B117/C117)</f>
        <v>0</v>
      </c>
    </row>
    <row r="118" spans="1:4">
      <c r="A118" s="17" t="s">
        <v>134</v>
      </c>
      <c r="B118" s="18">
        <f>SUMPRODUCT(('MTS Database'!$H$2:$H$138=2022)*('MTS Database'!$I$2:$I$138=6)*('MTS Database'!$D$2:$D$138))</f>
        <v>0</v>
      </c>
      <c r="C118" s="19">
        <v>30</v>
      </c>
      <c r="D118" s="18">
        <f>IF(C118=0,0,B118/C118)</f>
        <v>0</v>
      </c>
    </row>
    <row r="119" spans="1:4">
      <c r="A119" s="14" t="s">
        <v>135</v>
      </c>
      <c r="B119" s="15">
        <f>SUMPRODUCT(('MTS Database'!$H$2:$H$138=2022)*('MTS Database'!$I$2:$I$138=7)*('MTS Database'!$D$2:$D$138))</f>
        <v>0</v>
      </c>
      <c r="C119" s="16">
        <v>31</v>
      </c>
      <c r="D119" s="15">
        <f>IF(C119=0,0,B119/C119)</f>
        <v>0</v>
      </c>
    </row>
    <row r="120" spans="1:4">
      <c r="A120" s="17" t="s">
        <v>136</v>
      </c>
      <c r="B120" s="18">
        <f>SUMPRODUCT(('MTS Database'!$H$2:$H$138=2022)*('MTS Database'!$I$2:$I$138=8)*('MTS Database'!$D$2:$D$138))</f>
        <v>0</v>
      </c>
      <c r="C120" s="19">
        <v>31</v>
      </c>
      <c r="D120" s="18">
        <f>IF(C120=0,0,B120/C120)</f>
        <v>0</v>
      </c>
    </row>
    <row r="121" spans="1:4">
      <c r="A121" s="14" t="s">
        <v>137</v>
      </c>
      <c r="B121" s="15">
        <f>SUMPRODUCT(('MTS Database'!$H$2:$H$138=2022)*('MTS Database'!$I$2:$I$138=9)*('MTS Database'!$D$2:$D$138))</f>
        <v>0</v>
      </c>
      <c r="C121" s="16">
        <v>30</v>
      </c>
      <c r="D121" s="15">
        <f>IF(C121=0,0,B121/C121)</f>
        <v>0</v>
      </c>
    </row>
    <row r="122" spans="1:4">
      <c r="A122" s="17" t="s">
        <v>138</v>
      </c>
      <c r="B122" s="18">
        <f>SUMPRODUCT(('MTS Database'!$H$2:$H$138=2022)*('MTS Database'!$I$2:$I$138=10)*('MTS Database'!$D$2:$D$138))</f>
        <v>0</v>
      </c>
      <c r="C122" s="19">
        <v>31</v>
      </c>
      <c r="D122" s="18">
        <f>IF(C122=0,0,B122/C122)</f>
        <v>0</v>
      </c>
    </row>
    <row r="123" spans="1:4">
      <c r="A123" s="14" t="s">
        <v>139</v>
      </c>
      <c r="B123" s="15">
        <f>SUMPRODUCT(('MTS Database'!$H$2:$H$138=2022)*('MTS Database'!$I$2:$I$138=11)*('MTS Database'!$D$2:$D$138))</f>
        <v>0</v>
      </c>
      <c r="C123" s="16">
        <v>30</v>
      </c>
      <c r="D123" s="15">
        <f>IF(C123=0,0,B123/C123)</f>
        <v>0</v>
      </c>
    </row>
    <row r="124" spans="1:4">
      <c r="A124" s="17" t="s">
        <v>140</v>
      </c>
      <c r="B124" s="18">
        <f>SUMPRODUCT(('MTS Database'!$H$2:$H$138=2022)*('MTS Database'!$I$2:$I$138=12)*('MTS Database'!$D$2:$D$138))</f>
        <v>0</v>
      </c>
      <c r="C124" s="19">
        <v>31</v>
      </c>
      <c r="D124" s="18">
        <f>IF(C124=0,0,B124/C124)</f>
        <v>0</v>
      </c>
    </row>
    <row r="125" spans="1:4">
      <c r="A125" s="14" t="s">
        <v>141</v>
      </c>
      <c r="B125" s="15">
        <f>SUMPRODUCT(('MTS Database'!$H$2:$H$138=2023)*('MTS Database'!$I$2:$I$138=1)*('MTS Database'!$D$2:$D$138))</f>
        <v>0</v>
      </c>
      <c r="C125" s="16">
        <v>31</v>
      </c>
      <c r="D125" s="15">
        <f>IF(C125=0,0,B125/C125)</f>
        <v>0</v>
      </c>
    </row>
    <row r="126" spans="1:4">
      <c r="A126" s="17" t="s">
        <v>142</v>
      </c>
      <c r="B126" s="18">
        <f>SUMPRODUCT(('MTS Database'!$H$2:$H$138=2023)*('MTS Database'!$I$2:$I$138=2)*('MTS Database'!$D$2:$D$138))</f>
        <v>0</v>
      </c>
      <c r="C126" s="19">
        <v>28</v>
      </c>
      <c r="D126" s="18">
        <f>IF(C126=0,0,B126/C126)</f>
        <v>0</v>
      </c>
    </row>
    <row r="127" spans="1:4">
      <c r="A127" s="14" t="s">
        <v>143</v>
      </c>
      <c r="B127" s="15">
        <f>SUMPRODUCT(('MTS Database'!$H$2:$H$138=2023)*('MTS Database'!$I$2:$I$138=3)*('MTS Database'!$D$2:$D$138))</f>
        <v>0</v>
      </c>
      <c r="C127" s="16">
        <v>31</v>
      </c>
      <c r="D127" s="15">
        <f>IF(C127=0,0,B127/C127)</f>
        <v>0</v>
      </c>
    </row>
    <row r="128" spans="1:4">
      <c r="A128" s="17" t="s">
        <v>144</v>
      </c>
      <c r="B128" s="18">
        <f>SUMPRODUCT(('MTS Database'!$H$2:$H$138=2023)*('MTS Database'!$I$2:$I$138=4)*('MTS Database'!$D$2:$D$138))</f>
        <v>0</v>
      </c>
      <c r="C128" s="19">
        <v>30</v>
      </c>
      <c r="D128" s="18">
        <f>IF(C128=0,0,B128/C128)</f>
        <v>0</v>
      </c>
    </row>
    <row r="129" spans="1:4">
      <c r="A129" s="14" t="s">
        <v>145</v>
      </c>
      <c r="B129" s="15">
        <f>SUMPRODUCT(('MTS Database'!$H$2:$H$138=2023)*('MTS Database'!$I$2:$I$138=5)*('MTS Database'!$D$2:$D$138))</f>
        <v>0</v>
      </c>
      <c r="C129" s="16">
        <v>31</v>
      </c>
      <c r="D129" s="15">
        <f>IF(C129=0,0,B129/C129)</f>
        <v>0</v>
      </c>
    </row>
    <row r="130" spans="1:4">
      <c r="A130" s="17" t="s">
        <v>146</v>
      </c>
      <c r="B130" s="18">
        <f>SUMPRODUCT(('MTS Database'!$H$2:$H$138=2023)*('MTS Database'!$I$2:$I$138=6)*('MTS Database'!$D$2:$D$138))</f>
        <v>0</v>
      </c>
      <c r="C130" s="19">
        <v>30</v>
      </c>
      <c r="D130" s="18">
        <f>IF(C130=0,0,B130/C130)</f>
        <v>0</v>
      </c>
    </row>
    <row r="131" spans="1:4">
      <c r="A131" s="14" t="s">
        <v>147</v>
      </c>
      <c r="B131" s="15">
        <f>SUMPRODUCT(('MTS Database'!$H$2:$H$138=2023)*('MTS Database'!$I$2:$I$138=7)*('MTS Database'!$D$2:$D$138))</f>
        <v>0</v>
      </c>
      <c r="C131" s="16">
        <v>31</v>
      </c>
      <c r="D131" s="15">
        <f>IF(C131=0,0,B131/C131)</f>
        <v>0</v>
      </c>
    </row>
    <row r="132" spans="1:4">
      <c r="A132" s="17" t="s">
        <v>148</v>
      </c>
      <c r="B132" s="18">
        <f>SUMPRODUCT(('MTS Database'!$H$2:$H$138=2023)*('MTS Database'!$I$2:$I$138=8)*('MTS Database'!$D$2:$D$138))</f>
        <v>0</v>
      </c>
      <c r="C132" s="19">
        <v>31</v>
      </c>
      <c r="D132" s="18">
        <f>IF(C132=0,0,B132/C132)</f>
        <v>0</v>
      </c>
    </row>
    <row r="133" spans="1:4">
      <c r="A133" s="14" t="s">
        <v>149</v>
      </c>
      <c r="B133" s="15">
        <f>SUMPRODUCT(('MTS Database'!$H$2:$H$138=2023)*('MTS Database'!$I$2:$I$138=9)*('MTS Database'!$D$2:$D$138))</f>
        <v>0</v>
      </c>
      <c r="C133" s="16">
        <v>30</v>
      </c>
      <c r="D133" s="15">
        <f>IF(C133=0,0,B133/C133)</f>
        <v>0</v>
      </c>
    </row>
    <row r="134" spans="1:4">
      <c r="A134" s="17" t="s">
        <v>150</v>
      </c>
      <c r="B134" s="18">
        <f>SUMPRODUCT(('MTS Database'!$H$2:$H$138=2023)*('MTS Database'!$I$2:$I$138=10)*('MTS Database'!$D$2:$D$138))</f>
        <v>0</v>
      </c>
      <c r="C134" s="19">
        <v>31</v>
      </c>
      <c r="D134" s="18">
        <f>IF(C134=0,0,B134/C134)</f>
        <v>0</v>
      </c>
    </row>
    <row r="135" spans="1:4">
      <c r="A135" s="14" t="s">
        <v>151</v>
      </c>
      <c r="B135" s="15">
        <f>SUMPRODUCT(('MTS Database'!$H$2:$H$138=2023)*('MTS Database'!$I$2:$I$138=11)*('MTS Database'!$D$2:$D$138))</f>
        <v>0</v>
      </c>
      <c r="C135" s="16">
        <v>30</v>
      </c>
      <c r="D135" s="15">
        <f>IF(C135=0,0,B135/C135)</f>
        <v>0</v>
      </c>
    </row>
    <row r="136" spans="1:4">
      <c r="A136" s="17" t="s">
        <v>152</v>
      </c>
      <c r="B136" s="18">
        <f>SUMPRODUCT(('MTS Database'!$H$2:$H$138=2023)*('MTS Database'!$I$2:$I$138=12)*('MTS Database'!$D$2:$D$138))</f>
        <v>0</v>
      </c>
      <c r="C136" s="19">
        <v>31</v>
      </c>
      <c r="D136" s="18">
        <f>IF(C136=0,0,B136/C136)</f>
        <v>0</v>
      </c>
    </row>
    <row r="137" spans="1:4">
      <c r="A137" s="14" t="s">
        <v>153</v>
      </c>
      <c r="B137" s="15">
        <f>SUMPRODUCT(('MTS Database'!$H$2:$H$138=2024)*('MTS Database'!$I$2:$I$138=1)*('MTS Database'!$D$2:$D$138))</f>
        <v>0</v>
      </c>
      <c r="C137" s="16">
        <v>31</v>
      </c>
      <c r="D137" s="15">
        <f>IF(C137=0,0,B137/C137)</f>
        <v>0</v>
      </c>
    </row>
    <row r="138" spans="1:4">
      <c r="A138" s="17" t="s">
        <v>154</v>
      </c>
      <c r="B138" s="18">
        <f>SUMPRODUCT(('MTS Database'!$H$2:$H$138=2024)*('MTS Database'!$I$2:$I$138=2)*('MTS Database'!$D$2:$D$138))</f>
        <v>0</v>
      </c>
      <c r="C138" s="19">
        <v>29</v>
      </c>
      <c r="D138" s="18">
        <f>IF(C138=0,0,B138/C138)</f>
        <v>0</v>
      </c>
    </row>
    <row r="139" spans="1:4">
      <c r="A139" s="14" t="s">
        <v>155</v>
      </c>
      <c r="B139" s="15">
        <f>SUMPRODUCT(('MTS Database'!$H$2:$H$138=2024)*('MTS Database'!$I$2:$I$138=3)*('MTS Database'!$D$2:$D$138))</f>
        <v>0</v>
      </c>
      <c r="C139" s="16">
        <v>31</v>
      </c>
      <c r="D139" s="15">
        <f>IF(C139=0,0,B139/C139)</f>
        <v>0</v>
      </c>
    </row>
    <row r="140" spans="1:4">
      <c r="A140" s="17" t="s">
        <v>156</v>
      </c>
      <c r="B140" s="18">
        <f>SUMPRODUCT(('MTS Database'!$H$2:$H$138=2024)*('MTS Database'!$I$2:$I$138=4)*('MTS Database'!$D$2:$D$138))</f>
        <v>0</v>
      </c>
      <c r="C140" s="19">
        <v>30</v>
      </c>
      <c r="D140" s="18">
        <f>IF(C140=0,0,B140/C140)</f>
        <v>0</v>
      </c>
    </row>
    <row r="141" spans="1:4">
      <c r="A141" s="14" t="s">
        <v>157</v>
      </c>
      <c r="B141" s="15">
        <f>SUMPRODUCT(('MTS Database'!$H$2:$H$138=2024)*('MTS Database'!$I$2:$I$138=5)*('MTS Database'!$D$2:$D$138))</f>
        <v>0</v>
      </c>
      <c r="C141" s="16">
        <v>31</v>
      </c>
      <c r="D141" s="15">
        <f>IF(C141=0,0,B141/C141)</f>
        <v>0</v>
      </c>
    </row>
    <row r="142" spans="1:4">
      <c r="A142" s="17" t="s">
        <v>158</v>
      </c>
      <c r="B142" s="18">
        <f>SUMPRODUCT(('MTS Database'!$H$2:$H$138=2024)*('MTS Database'!$I$2:$I$138=6)*('MTS Database'!$D$2:$D$138))</f>
        <v>0</v>
      </c>
      <c r="C142" s="19">
        <v>30</v>
      </c>
      <c r="D142" s="18">
        <f>IF(C142=0,0,B142/C142)</f>
        <v>0</v>
      </c>
    </row>
    <row r="143" spans="1:4">
      <c r="A143" s="14" t="s">
        <v>159</v>
      </c>
      <c r="B143" s="15">
        <f>SUMPRODUCT(('MTS Database'!$H$2:$H$138=2024)*('MTS Database'!$I$2:$I$138=7)*('MTS Database'!$D$2:$D$138))</f>
        <v>0</v>
      </c>
      <c r="C143" s="16">
        <v>31</v>
      </c>
      <c r="D143" s="15">
        <f>IF(C143=0,0,B143/C143)</f>
        <v>0</v>
      </c>
    </row>
    <row r="144" spans="1:4">
      <c r="A144" s="17" t="s">
        <v>160</v>
      </c>
      <c r="B144" s="18">
        <f>SUMPRODUCT(('MTS Database'!$H$2:$H$138=2024)*('MTS Database'!$I$2:$I$138=8)*('MTS Database'!$D$2:$D$138))</f>
        <v>0</v>
      </c>
      <c r="C144" s="19">
        <v>31</v>
      </c>
      <c r="D144" s="18">
        <f>IF(C144=0,0,B144/C144)</f>
        <v>0</v>
      </c>
    </row>
    <row r="145" spans="1:4">
      <c r="A145" s="14" t="s">
        <v>161</v>
      </c>
      <c r="B145" s="15">
        <f>SUMPRODUCT(('MTS Database'!$H$2:$H$138=2024)*('MTS Database'!$I$2:$I$138=9)*('MTS Database'!$D$2:$D$138))</f>
        <v>0</v>
      </c>
      <c r="C145" s="16">
        <v>30</v>
      </c>
      <c r="D145" s="15">
        <f>IF(C145=0,0,B145/C145)</f>
        <v>0</v>
      </c>
    </row>
    <row r="146" spans="1:4">
      <c r="A146" s="17" t="s">
        <v>162</v>
      </c>
      <c r="B146" s="18">
        <f>SUMPRODUCT(('MTS Database'!$H$2:$H$138=2024)*('MTS Database'!$I$2:$I$138=10)*('MTS Database'!$D$2:$D$138))</f>
        <v>0</v>
      </c>
      <c r="C146" s="19">
        <v>31</v>
      </c>
      <c r="D146" s="18">
        <f>IF(C146=0,0,B146/C146)</f>
        <v>0</v>
      </c>
    </row>
    <row r="147" spans="1:4">
      <c r="A147" s="14" t="s">
        <v>163</v>
      </c>
      <c r="B147" s="15">
        <f>SUMPRODUCT(('MTS Database'!$H$2:$H$138=2024)*('MTS Database'!$I$2:$I$138=11)*('MTS Database'!$D$2:$D$138))</f>
        <v>0</v>
      </c>
      <c r="C147" s="16">
        <v>30</v>
      </c>
      <c r="D147" s="15">
        <f>IF(C147=0,0,B147/C147)</f>
        <v>0</v>
      </c>
    </row>
    <row r="148" spans="1:4">
      <c r="A148" s="17" t="s">
        <v>164</v>
      </c>
      <c r="B148" s="18">
        <f>SUMPRODUCT(('MTS Database'!$H$2:$H$138=2024)*('MTS Database'!$I$2:$I$138=12)*('MTS Database'!$D$2:$D$138))</f>
        <v>0</v>
      </c>
      <c r="C148" s="19">
        <v>31</v>
      </c>
      <c r="D148" s="18">
        <f>IF(C148=0,0,B148/C148)</f>
        <v>0</v>
      </c>
    </row>
    <row r="149" spans="1:4">
      <c r="A149" s="14" t="s">
        <v>165</v>
      </c>
      <c r="B149" s="15">
        <f>SUMPRODUCT(('MTS Database'!$H$2:$H$138=2025)*('MTS Database'!$I$2:$I$138=1)*('MTS Database'!$D$2:$D$138))</f>
        <v>0</v>
      </c>
      <c r="C149" s="16">
        <v>31</v>
      </c>
      <c r="D149" s="15">
        <f>IF(C149=0,0,B149/C149)</f>
        <v>0</v>
      </c>
    </row>
    <row r="150" spans="1:4">
      <c r="A150" s="17" t="s">
        <v>166</v>
      </c>
      <c r="B150" s="18">
        <f>SUMPRODUCT(('MTS Database'!$H$2:$H$138=2025)*('MTS Database'!$I$2:$I$138=2)*('MTS Database'!$D$2:$D$138))</f>
        <v>0</v>
      </c>
      <c r="C150" s="19">
        <v>28</v>
      </c>
      <c r="D150" s="18">
        <f>IF(C150=0,0,B150/C150)</f>
        <v>0</v>
      </c>
    </row>
    <row r="151" spans="1:4">
      <c r="A151" s="14" t="s">
        <v>167</v>
      </c>
      <c r="B151" s="15">
        <f>SUMPRODUCT(('MTS Database'!$H$2:$H$138=2025)*('MTS Database'!$I$2:$I$138=3)*('MTS Database'!$D$2:$D$138))</f>
        <v>0</v>
      </c>
      <c r="C151" s="16">
        <v>31</v>
      </c>
      <c r="D151" s="15">
        <f>IF(C151=0,0,B151/C151)</f>
        <v>0</v>
      </c>
    </row>
    <row r="152" spans="1:4">
      <c r="A152" s="17" t="s">
        <v>168</v>
      </c>
      <c r="B152" s="18">
        <f>SUMPRODUCT(('MTS Database'!$H$2:$H$138=2025)*('MTS Database'!$I$2:$I$138=4)*('MTS Database'!$D$2:$D$138))</f>
        <v>0</v>
      </c>
      <c r="C152" s="19">
        <v>30</v>
      </c>
      <c r="D152" s="18">
        <f>IF(C152=0,0,B152/C152)</f>
        <v>0</v>
      </c>
    </row>
    <row r="153" spans="1:4">
      <c r="A153" s="14" t="s">
        <v>169</v>
      </c>
      <c r="B153" s="15">
        <f>SUMPRODUCT(('MTS Database'!$H$2:$H$138=2025)*('MTS Database'!$I$2:$I$138=5)*('MTS Database'!$D$2:$D$138))</f>
        <v>0</v>
      </c>
      <c r="C153" s="16">
        <v>31</v>
      </c>
      <c r="D153" s="15">
        <f>IF(C153=0,0,B153/C153)</f>
        <v>0</v>
      </c>
    </row>
    <row r="154" spans="1:4">
      <c r="A154" s="17" t="s">
        <v>170</v>
      </c>
      <c r="B154" s="18">
        <f>SUMPRODUCT(('MTS Database'!$H$2:$H$138=2025)*('MTS Database'!$I$2:$I$138=6)*('MTS Database'!$D$2:$D$138))</f>
        <v>0</v>
      </c>
      <c r="C154" s="19">
        <v>30</v>
      </c>
      <c r="D154" s="18">
        <f>IF(C154=0,0,B154/C154)</f>
        <v>0</v>
      </c>
    </row>
    <row r="155" spans="1:4">
      <c r="A155" s="14" t="s">
        <v>171</v>
      </c>
      <c r="B155" s="15">
        <f>SUMPRODUCT(('MTS Database'!$H$2:$H$138=2025)*('MTS Database'!$I$2:$I$138=7)*('MTS Database'!$D$2:$D$138))</f>
        <v>0</v>
      </c>
      <c r="C155" s="16">
        <v>31</v>
      </c>
      <c r="D155" s="15">
        <f>IF(C155=0,0,B155/C155)</f>
        <v>0</v>
      </c>
    </row>
    <row r="156" spans="1:4">
      <c r="A156" s="17" t="s">
        <v>172</v>
      </c>
      <c r="B156" s="18">
        <f>SUMPRODUCT(('MTS Database'!$H$2:$H$138=2025)*('MTS Database'!$I$2:$I$138=8)*('MTS Database'!$D$2:$D$138))</f>
        <v>0</v>
      </c>
      <c r="C156" s="19">
        <v>31</v>
      </c>
      <c r="D156" s="18">
        <f>IF(C156=0,0,B156/C156)</f>
        <v>0</v>
      </c>
    </row>
    <row r="157" spans="1:4">
      <c r="A157" s="14" t="s">
        <v>173</v>
      </c>
      <c r="B157" s="15">
        <f>SUMPRODUCT(('MTS Database'!$H$2:$H$138=2025)*('MTS Database'!$I$2:$I$138=9)*('MTS Database'!$D$2:$D$138))</f>
        <v>0</v>
      </c>
      <c r="C157" s="16">
        <v>30</v>
      </c>
      <c r="D157" s="15">
        <f>IF(C157=0,0,B157/C157)</f>
        <v>0</v>
      </c>
    </row>
    <row r="158" spans="1:4">
      <c r="A158" s="17" t="s">
        <v>174</v>
      </c>
      <c r="B158" s="18">
        <f>SUMPRODUCT(('MTS Database'!$H$2:$H$138=2025)*('MTS Database'!$I$2:$I$138=10)*('MTS Database'!$D$2:$D$138))</f>
        <v>0</v>
      </c>
      <c r="C158" s="19">
        <v>31</v>
      </c>
      <c r="D158" s="18">
        <f>IF(C158=0,0,B158/C158)</f>
        <v>0</v>
      </c>
    </row>
    <row r="159" spans="1:4">
      <c r="A159" s="14" t="s">
        <v>175</v>
      </c>
      <c r="B159" s="15">
        <f>SUMPRODUCT(('MTS Database'!$H$2:$H$138=2025)*('MTS Database'!$I$2:$I$138=11)*('MTS Database'!$D$2:$D$138))</f>
        <v>0</v>
      </c>
      <c r="C159" s="16">
        <v>30</v>
      </c>
      <c r="D159" s="15">
        <f>IF(C159=0,0,B159/C159)</f>
        <v>0</v>
      </c>
    </row>
    <row r="160" spans="1:4">
      <c r="A160" s="17" t="s">
        <v>176</v>
      </c>
      <c r="B160" s="18">
        <f>SUMPRODUCT(('MTS Database'!$H$2:$H$138=2025)*('MTS Database'!$I$2:$I$138=12)*('MTS Database'!$D$2:$D$138))</f>
        <v>0</v>
      </c>
      <c r="C160" s="19">
        <v>31</v>
      </c>
      <c r="D160" s="18">
        <f>IF(C160=0,0,B160/C160)</f>
        <v>0</v>
      </c>
    </row>
    <row r="161" spans="1:4">
      <c r="A161" s="14" t="s">
        <v>177</v>
      </c>
      <c r="B161" s="15">
        <f>SUMPRODUCT(('MTS Database'!$H$2:$H$138=2026)*('MTS Database'!$I$2:$I$138=1)*('MTS Database'!$D$2:$D$138))</f>
        <v>0</v>
      </c>
      <c r="C161" s="16">
        <v>31</v>
      </c>
      <c r="D161" s="15">
        <f>IF(C161=0,0,B161/C161)</f>
        <v>0</v>
      </c>
    </row>
    <row r="162" spans="1:4">
      <c r="A162" s="17" t="s">
        <v>178</v>
      </c>
      <c r="B162" s="18">
        <f>SUMPRODUCT(('MTS Database'!$H$2:$H$138=2026)*('MTS Database'!$I$2:$I$138=2)*('MTS Database'!$D$2:$D$138))</f>
        <v>0</v>
      </c>
      <c r="C162" s="19">
        <v>28</v>
      </c>
      <c r="D162" s="18">
        <f>IF(C162=0,0,B162/C162)</f>
        <v>0</v>
      </c>
    </row>
    <row r="163" spans="1:4">
      <c r="A163" s="14" t="s">
        <v>179</v>
      </c>
      <c r="B163" s="15">
        <f>SUMPRODUCT(('MTS Database'!$H$2:$H$138=2026)*('MTS Database'!$I$2:$I$138=3)*('MTS Database'!$D$2:$D$138))</f>
        <v>0</v>
      </c>
      <c r="C163" s="16">
        <v>31</v>
      </c>
      <c r="D163" s="15">
        <f>IF(C163=0,0,B163/C163)</f>
        <v>0</v>
      </c>
    </row>
    <row r="164" spans="1:4">
      <c r="A164" s="17" t="s">
        <v>180</v>
      </c>
      <c r="B164" s="18">
        <f>SUMPRODUCT(('MTS Database'!$H$2:$H$138=2026)*('MTS Database'!$I$2:$I$138=4)*('MTS Database'!$D$2:$D$138))</f>
        <v>0</v>
      </c>
      <c r="C164" s="19">
        <v>30</v>
      </c>
      <c r="D164" s="18">
        <f>IF(C164=0,0,B164/C164)</f>
        <v>0</v>
      </c>
    </row>
    <row r="165" spans="1:4">
      <c r="A165" s="14" t="s">
        <v>181</v>
      </c>
      <c r="B165" s="15">
        <f>SUMPRODUCT(('MTS Database'!$H$2:$H$138=2026)*('MTS Database'!$I$2:$I$138=5)*('MTS Database'!$D$2:$D$138))</f>
        <v>0</v>
      </c>
      <c r="C165" s="16">
        <v>31</v>
      </c>
      <c r="D165" s="15">
        <f>IF(C165=0,0,B165/C165)</f>
        <v>0</v>
      </c>
    </row>
    <row r="166" spans="1:4">
      <c r="A166" s="17" t="s">
        <v>182</v>
      </c>
      <c r="B166" s="18">
        <f>SUMPRODUCT(('MTS Database'!$H$2:$H$138=2026)*('MTS Database'!$I$2:$I$138=6)*('MTS Database'!$D$2:$D$138))</f>
        <v>0</v>
      </c>
      <c r="C166" s="19">
        <v>30</v>
      </c>
      <c r="D166" s="18">
        <f>IF(C166=0,0,B166/C166)</f>
        <v>0</v>
      </c>
    </row>
    <row r="167" spans="1:4">
      <c r="A167" s="14" t="s">
        <v>183</v>
      </c>
      <c r="B167" s="15">
        <f>SUMPRODUCT(('MTS Database'!$H$2:$H$138=2026)*('MTS Database'!$I$2:$I$138=7)*('MTS Database'!$D$2:$D$138))</f>
        <v>0</v>
      </c>
      <c r="C167" s="16">
        <v>31</v>
      </c>
      <c r="D167" s="15">
        <f>IF(C167=0,0,B167/C167)</f>
        <v>0</v>
      </c>
    </row>
    <row r="168" spans="1:4">
      <c r="A168" s="23" t="s">
        <v>184</v>
      </c>
      <c r="B168" s="24">
        <f>SUM(B29:B167)</f>
        <v>0</v>
      </c>
      <c r="C168" s="25">
        <f>SUM(C29:C167)</f>
        <v>0</v>
      </c>
      <c r="D168" s="24">
        <f>IF(C168=0,0,B168/C168)</f>
        <v>0</v>
      </c>
    </row>
  </sheetData>
  <mergeCells count="3">
    <mergeCell ref="A1:E1"/>
    <mergeCell ref="A18:E18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3864"/>
  </sheetPr>
  <dimension ref="A1:E3"/>
  <sheetViews>
    <sheetView showGridLines="0" workbookViewId="0"/>
  </sheetViews>
  <sheetFormatPr defaultRowHeight="15"/>
  <cols>
    <col min="1" max="5" width="20.7109375" customWidth="1"/>
  </cols>
  <sheetData>
    <row r="1" spans="1:5">
      <c r="A1" s="11" t="s">
        <v>2</v>
      </c>
      <c r="B1" s="11"/>
      <c r="C1" s="11"/>
      <c r="D1" s="11"/>
      <c r="E1" s="11"/>
    </row>
    <row r="2" spans="1:5">
      <c r="A2" s="11"/>
      <c r="B2" s="11"/>
      <c r="C2" s="11"/>
      <c r="D2" s="11"/>
      <c r="E2" s="11"/>
    </row>
    <row r="3" spans="1:5">
      <c r="A3" s="11"/>
      <c r="B3" s="11"/>
      <c r="C3" s="11"/>
      <c r="D3" s="11"/>
      <c r="E3" s="11"/>
    </row>
  </sheetData>
  <mergeCells count="1">
    <mergeCell ref="A1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DD7EE"/>
  </sheetPr>
  <dimension ref="A1:I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40.7109375" customWidth="1"/>
    <col min="4" max="6" width="22.7109375" customWidth="1"/>
    <col min="7" max="7" width="12.7109375" customWidth="1"/>
    <col min="8" max="9" width="14.7109375" customWidth="1"/>
  </cols>
  <sheetData>
    <row r="1" spans="1:9">
      <c r="A1" s="13" t="s">
        <v>3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</row>
    <row r="2" spans="1:9">
      <c r="A2" s="26">
        <v>42094</v>
      </c>
      <c r="B2" s="14" t="s">
        <v>12</v>
      </c>
      <c r="C2" s="14" t="s">
        <v>13</v>
      </c>
      <c r="D2" s="15">
        <v>2394824580.28</v>
      </c>
      <c r="E2" s="15">
        <v>14181538443.69</v>
      </c>
      <c r="F2" s="15">
        <v>14483651094.33</v>
      </c>
      <c r="G2" s="16">
        <v>2015</v>
      </c>
      <c r="H2" s="16">
        <v>2015</v>
      </c>
      <c r="I2" s="16">
        <v>3</v>
      </c>
    </row>
    <row r="3" spans="1:9">
      <c r="A3" s="27">
        <v>42124</v>
      </c>
      <c r="B3" s="17" t="s">
        <v>12</v>
      </c>
      <c r="C3" s="17" t="s">
        <v>13</v>
      </c>
      <c r="D3" s="18">
        <v>2472152371.13</v>
      </c>
      <c r="E3" s="18">
        <v>16653690814.82</v>
      </c>
      <c r="F3" s="18">
        <v>17412951859.76</v>
      </c>
      <c r="G3" s="19">
        <v>2015</v>
      </c>
      <c r="H3" s="19">
        <v>2015</v>
      </c>
      <c r="I3" s="19">
        <v>4</v>
      </c>
    </row>
    <row r="4" spans="1:9">
      <c r="A4" s="26">
        <v>42155</v>
      </c>
      <c r="B4" s="14" t="s">
        <v>12</v>
      </c>
      <c r="C4" s="14" t="s">
        <v>13</v>
      </c>
      <c r="D4" s="15">
        <v>2250341616.57</v>
      </c>
      <c r="E4" s="15">
        <v>18904032431.39</v>
      </c>
      <c r="F4" s="15">
        <v>19883966194.22</v>
      </c>
      <c r="G4" s="16">
        <v>2015</v>
      </c>
      <c r="H4" s="16">
        <v>2015</v>
      </c>
      <c r="I4" s="16">
        <v>5</v>
      </c>
    </row>
    <row r="5" spans="1:9">
      <c r="A5" s="27">
        <v>42185</v>
      </c>
      <c r="B5" s="17" t="s">
        <v>12</v>
      </c>
      <c r="C5" s="17" t="s">
        <v>13</v>
      </c>
      <c r="D5" s="18">
        <v>2494015796.79</v>
      </c>
      <c r="E5" s="18">
        <v>21398048228.18</v>
      </c>
      <c r="F5" s="18">
        <v>22425039280.95</v>
      </c>
      <c r="G5" s="19">
        <v>2015</v>
      </c>
      <c r="H5" s="19">
        <v>2015</v>
      </c>
      <c r="I5" s="19">
        <v>6</v>
      </c>
    </row>
    <row r="6" spans="1:9">
      <c r="A6" s="26">
        <v>42216</v>
      </c>
      <c r="B6" s="14" t="s">
        <v>12</v>
      </c>
      <c r="C6" s="14" t="s">
        <v>13</v>
      </c>
      <c r="D6" s="15">
        <v>2652276690.87</v>
      </c>
      <c r="E6" s="15">
        <v>24050324919.05</v>
      </c>
      <c r="F6" s="15">
        <v>24869408044.23</v>
      </c>
      <c r="G6" s="16">
        <v>2015</v>
      </c>
      <c r="H6" s="16">
        <v>2015</v>
      </c>
      <c r="I6" s="16">
        <v>7</v>
      </c>
    </row>
    <row r="7" spans="1:9">
      <c r="A7" s="27">
        <v>42247</v>
      </c>
      <c r="B7" s="17" t="s">
        <v>12</v>
      </c>
      <c r="C7" s="17" t="s">
        <v>13</v>
      </c>
      <c r="D7" s="18">
        <v>2434455592.62</v>
      </c>
      <c r="E7" s="18">
        <v>26484780511.67</v>
      </c>
      <c r="F7" s="18">
        <v>27427199577.39</v>
      </c>
      <c r="G7" s="19">
        <v>2015</v>
      </c>
      <c r="H7" s="19">
        <v>2015</v>
      </c>
      <c r="I7" s="19">
        <v>8</v>
      </c>
    </row>
    <row r="8" spans="1:9">
      <c r="A8" s="26">
        <v>42277</v>
      </c>
      <c r="B8" s="14" t="s">
        <v>12</v>
      </c>
      <c r="C8" s="14" t="s">
        <v>13</v>
      </c>
      <c r="D8" s="15">
        <v>2808906834.98</v>
      </c>
      <c r="E8" s="15">
        <v>29293687346.65</v>
      </c>
      <c r="F8" s="15">
        <v>29348360020.92</v>
      </c>
      <c r="G8" s="16">
        <v>2015</v>
      </c>
      <c r="H8" s="16">
        <v>2015</v>
      </c>
      <c r="I8" s="16">
        <v>9</v>
      </c>
    </row>
    <row r="9" spans="1:9">
      <c r="A9" s="27">
        <v>42308</v>
      </c>
      <c r="B9" s="17" t="s">
        <v>12</v>
      </c>
      <c r="C9" s="17" t="s">
        <v>13</v>
      </c>
      <c r="D9" s="18">
        <v>2217944508.46</v>
      </c>
      <c r="E9" s="18">
        <v>2217944508.46</v>
      </c>
      <c r="F9" s="18">
        <v>2371690026.15</v>
      </c>
      <c r="G9" s="19">
        <v>2016</v>
      </c>
      <c r="H9" s="19">
        <v>2015</v>
      </c>
      <c r="I9" s="19">
        <v>10</v>
      </c>
    </row>
    <row r="10" spans="1:9">
      <c r="A10" s="26">
        <v>42338</v>
      </c>
      <c r="B10" s="14" t="s">
        <v>12</v>
      </c>
      <c r="C10" s="14" t="s">
        <v>13</v>
      </c>
      <c r="D10" s="15">
        <v>2336483691.92</v>
      </c>
      <c r="E10" s="15">
        <v>4554428200.38</v>
      </c>
      <c r="F10" s="15">
        <v>4646475799.55</v>
      </c>
      <c r="G10" s="16">
        <v>2016</v>
      </c>
      <c r="H10" s="16">
        <v>2015</v>
      </c>
      <c r="I10" s="16">
        <v>11</v>
      </c>
    </row>
    <row r="11" spans="1:9">
      <c r="A11" s="27">
        <v>42369</v>
      </c>
      <c r="B11" s="17" t="s">
        <v>12</v>
      </c>
      <c r="C11" s="17" t="s">
        <v>13</v>
      </c>
      <c r="D11" s="18">
        <v>2380324131.85</v>
      </c>
      <c r="E11" s="18">
        <v>6934752332.23</v>
      </c>
      <c r="F11" s="18">
        <v>7144090661.78</v>
      </c>
      <c r="G11" s="19">
        <v>2016</v>
      </c>
      <c r="H11" s="19">
        <v>2015</v>
      </c>
      <c r="I11" s="19">
        <v>12</v>
      </c>
    </row>
    <row r="12" spans="1:9">
      <c r="A12" s="26">
        <v>42400</v>
      </c>
      <c r="B12" s="14" t="s">
        <v>12</v>
      </c>
      <c r="C12" s="14" t="s">
        <v>13</v>
      </c>
      <c r="D12" s="15">
        <v>2255134827.7</v>
      </c>
      <c r="E12" s="15">
        <v>9189887159.93</v>
      </c>
      <c r="F12" s="15">
        <v>9430045186.93</v>
      </c>
      <c r="G12" s="16">
        <v>2016</v>
      </c>
      <c r="H12" s="16">
        <v>2016</v>
      </c>
      <c r="I12" s="16">
        <v>1</v>
      </c>
    </row>
    <row r="13" spans="1:9">
      <c r="A13" s="27">
        <v>42429</v>
      </c>
      <c r="B13" s="17" t="s">
        <v>12</v>
      </c>
      <c r="C13" s="17" t="s">
        <v>13</v>
      </c>
      <c r="D13" s="18">
        <v>2358129952.98</v>
      </c>
      <c r="E13" s="18">
        <v>11548017112.91</v>
      </c>
      <c r="F13" s="18">
        <v>11786713863.41</v>
      </c>
      <c r="G13" s="19">
        <v>2016</v>
      </c>
      <c r="H13" s="19">
        <v>2016</v>
      </c>
      <c r="I13" s="19">
        <v>2</v>
      </c>
    </row>
    <row r="14" spans="1:9">
      <c r="A14" s="26">
        <v>42460</v>
      </c>
      <c r="B14" s="14" t="s">
        <v>12</v>
      </c>
      <c r="C14" s="14" t="s">
        <v>13</v>
      </c>
      <c r="D14" s="15">
        <v>2607626154.6</v>
      </c>
      <c r="E14" s="15">
        <v>14155643267.51</v>
      </c>
      <c r="F14" s="15">
        <v>14181538443.69</v>
      </c>
      <c r="G14" s="16">
        <v>2016</v>
      </c>
      <c r="H14" s="16">
        <v>2016</v>
      </c>
      <c r="I14" s="16">
        <v>3</v>
      </c>
    </row>
    <row r="15" spans="1:9">
      <c r="A15" s="27">
        <v>42490</v>
      </c>
      <c r="B15" s="17" t="s">
        <v>12</v>
      </c>
      <c r="C15" s="17" t="s">
        <v>13</v>
      </c>
      <c r="D15" s="18">
        <v>2412725980.22</v>
      </c>
      <c r="E15" s="18">
        <v>16568369247.73</v>
      </c>
      <c r="F15" s="18">
        <v>16653690814.82</v>
      </c>
      <c r="G15" s="19">
        <v>2016</v>
      </c>
      <c r="H15" s="19">
        <v>2016</v>
      </c>
      <c r="I15" s="19">
        <v>4</v>
      </c>
    </row>
    <row r="16" spans="1:9">
      <c r="A16" s="26">
        <v>42521</v>
      </c>
      <c r="B16" s="14" t="s">
        <v>12</v>
      </c>
      <c r="C16" s="14" t="s">
        <v>13</v>
      </c>
      <c r="D16" s="15">
        <v>2493898294.91</v>
      </c>
      <c r="E16" s="15">
        <v>19062267542.64</v>
      </c>
      <c r="F16" s="15">
        <v>18904032431.39</v>
      </c>
      <c r="G16" s="16">
        <v>2016</v>
      </c>
      <c r="H16" s="16">
        <v>2016</v>
      </c>
      <c r="I16" s="16">
        <v>5</v>
      </c>
    </row>
    <row r="17" spans="1:9">
      <c r="A17" s="27">
        <v>42551</v>
      </c>
      <c r="B17" s="17" t="s">
        <v>12</v>
      </c>
      <c r="C17" s="17" t="s">
        <v>13</v>
      </c>
      <c r="D17" s="18">
        <v>2650674492.49</v>
      </c>
      <c r="E17" s="18">
        <v>21712942035.13</v>
      </c>
      <c r="F17" s="18">
        <v>21398048228.18</v>
      </c>
      <c r="G17" s="19">
        <v>2016</v>
      </c>
      <c r="H17" s="19">
        <v>2016</v>
      </c>
      <c r="I17" s="19">
        <v>6</v>
      </c>
    </row>
    <row r="18" spans="1:9">
      <c r="A18" s="26">
        <v>42582</v>
      </c>
      <c r="B18" s="14" t="s">
        <v>12</v>
      </c>
      <c r="C18" s="14" t="s">
        <v>13</v>
      </c>
      <c r="D18" s="15">
        <v>2391357026.8</v>
      </c>
      <c r="E18" s="15">
        <v>24104299061.93</v>
      </c>
      <c r="F18" s="15">
        <v>24050324919.05</v>
      </c>
      <c r="G18" s="16">
        <v>2016</v>
      </c>
      <c r="H18" s="16">
        <v>2016</v>
      </c>
      <c r="I18" s="16">
        <v>7</v>
      </c>
    </row>
    <row r="19" spans="1:9">
      <c r="A19" s="27">
        <v>42613</v>
      </c>
      <c r="B19" s="17" t="s">
        <v>12</v>
      </c>
      <c r="C19" s="17" t="s">
        <v>13</v>
      </c>
      <c r="D19" s="18">
        <v>2694721699.02</v>
      </c>
      <c r="E19" s="18">
        <v>26799020760.95</v>
      </c>
      <c r="F19" s="18">
        <v>26484780511.67</v>
      </c>
      <c r="G19" s="19">
        <v>2016</v>
      </c>
      <c r="H19" s="19">
        <v>2016</v>
      </c>
      <c r="I19" s="19">
        <v>8</v>
      </c>
    </row>
    <row r="20" spans="1:9">
      <c r="A20" s="26">
        <v>42643</v>
      </c>
      <c r="B20" s="14" t="s">
        <v>12</v>
      </c>
      <c r="C20" s="14" t="s">
        <v>13</v>
      </c>
      <c r="D20" s="15">
        <v>2456079104.98</v>
      </c>
      <c r="E20" s="15">
        <v>29255099865.93</v>
      </c>
      <c r="F20" s="15">
        <v>29294402815.69</v>
      </c>
      <c r="G20" s="16">
        <v>2016</v>
      </c>
      <c r="H20" s="16">
        <v>2016</v>
      </c>
      <c r="I20" s="16">
        <v>9</v>
      </c>
    </row>
    <row r="21" spans="1:9">
      <c r="A21" s="27">
        <v>42674</v>
      </c>
      <c r="B21" s="17" t="s">
        <v>12</v>
      </c>
      <c r="C21" s="17" t="s">
        <v>13</v>
      </c>
      <c r="D21" s="18">
        <v>2219473130.74</v>
      </c>
      <c r="E21" s="18">
        <v>2219473130.74</v>
      </c>
      <c r="F21" s="18">
        <v>2217944508.46</v>
      </c>
      <c r="G21" s="19">
        <v>2017</v>
      </c>
      <c r="H21" s="19">
        <v>2016</v>
      </c>
      <c r="I21" s="19">
        <v>10</v>
      </c>
    </row>
    <row r="22" spans="1:9">
      <c r="A22" s="26">
        <v>42704</v>
      </c>
      <c r="B22" s="14" t="s">
        <v>12</v>
      </c>
      <c r="C22" s="14" t="s">
        <v>13</v>
      </c>
      <c r="D22" s="15">
        <v>2552652290.96</v>
      </c>
      <c r="E22" s="15">
        <v>4772125421.7</v>
      </c>
      <c r="F22" s="15">
        <v>4554428200.38</v>
      </c>
      <c r="G22" s="16">
        <v>2017</v>
      </c>
      <c r="H22" s="16">
        <v>2016</v>
      </c>
      <c r="I22" s="16">
        <v>11</v>
      </c>
    </row>
    <row r="23" spans="1:9">
      <c r="A23" s="27">
        <v>42735</v>
      </c>
      <c r="B23" s="17" t="s">
        <v>12</v>
      </c>
      <c r="C23" s="17" t="s">
        <v>13</v>
      </c>
      <c r="D23" s="18">
        <v>2785810127.21</v>
      </c>
      <c r="E23" s="18">
        <v>7557935548.91</v>
      </c>
      <c r="F23" s="18">
        <v>6934752332.23</v>
      </c>
      <c r="G23" s="19">
        <v>2017</v>
      </c>
      <c r="H23" s="19">
        <v>2016</v>
      </c>
      <c r="I23" s="19">
        <v>12</v>
      </c>
    </row>
    <row r="24" spans="1:9">
      <c r="A24" s="26">
        <v>42766</v>
      </c>
      <c r="B24" s="14" t="s">
        <v>12</v>
      </c>
      <c r="C24" s="14" t="s">
        <v>13</v>
      </c>
      <c r="D24" s="15">
        <v>2431399913.81</v>
      </c>
      <c r="E24" s="15">
        <v>9989335462.719999</v>
      </c>
      <c r="F24" s="15">
        <v>9189887159.93</v>
      </c>
      <c r="G24" s="16">
        <v>2017</v>
      </c>
      <c r="H24" s="16">
        <v>2017</v>
      </c>
      <c r="I24" s="16">
        <v>1</v>
      </c>
    </row>
    <row r="25" spans="1:9">
      <c r="A25" s="27">
        <v>42794</v>
      </c>
      <c r="B25" s="17" t="s">
        <v>12</v>
      </c>
      <c r="C25" s="17" t="s">
        <v>13</v>
      </c>
      <c r="D25" s="18">
        <v>2469739634.5</v>
      </c>
      <c r="E25" s="18">
        <v>12459075097.22</v>
      </c>
      <c r="F25" s="18">
        <v>11548017112.91</v>
      </c>
      <c r="G25" s="19">
        <v>2017</v>
      </c>
      <c r="H25" s="19">
        <v>2017</v>
      </c>
      <c r="I25" s="19">
        <v>2</v>
      </c>
    </row>
    <row r="26" spans="1:9">
      <c r="A26" s="26">
        <v>42825</v>
      </c>
      <c r="B26" s="14" t="s">
        <v>12</v>
      </c>
      <c r="C26" s="14" t="s">
        <v>13</v>
      </c>
      <c r="D26" s="15">
        <v>2724573389.99</v>
      </c>
      <c r="E26" s="15">
        <v>15183648487.21</v>
      </c>
      <c r="F26" s="15">
        <v>14155643267.51</v>
      </c>
      <c r="G26" s="16">
        <v>2017</v>
      </c>
      <c r="H26" s="16">
        <v>2017</v>
      </c>
      <c r="I26" s="16">
        <v>3</v>
      </c>
    </row>
    <row r="27" spans="1:9">
      <c r="A27" s="27">
        <v>42855</v>
      </c>
      <c r="B27" s="17" t="s">
        <v>12</v>
      </c>
      <c r="C27" s="17" t="s">
        <v>13</v>
      </c>
      <c r="D27" s="18">
        <v>2852650828.9</v>
      </c>
      <c r="E27" s="18">
        <v>18036299316.11</v>
      </c>
      <c r="F27" s="18">
        <v>16568369247.73</v>
      </c>
      <c r="G27" s="19">
        <v>2017</v>
      </c>
      <c r="H27" s="19">
        <v>2017</v>
      </c>
      <c r="I27" s="19">
        <v>4</v>
      </c>
    </row>
    <row r="28" spans="1:9">
      <c r="A28" s="26">
        <v>42886</v>
      </c>
      <c r="B28" s="14" t="s">
        <v>12</v>
      </c>
      <c r="C28" s="14" t="s">
        <v>13</v>
      </c>
      <c r="D28" s="15">
        <v>2555982991.97</v>
      </c>
      <c r="E28" s="15">
        <v>20592282308.08</v>
      </c>
      <c r="F28" s="15">
        <v>19062267542.64</v>
      </c>
      <c r="G28" s="16">
        <v>2017</v>
      </c>
      <c r="H28" s="16">
        <v>2017</v>
      </c>
      <c r="I28" s="16">
        <v>5</v>
      </c>
    </row>
    <row r="29" spans="1:9">
      <c r="A29" s="27">
        <v>42916</v>
      </c>
      <c r="B29" s="17" t="s">
        <v>12</v>
      </c>
      <c r="C29" s="17" t="s">
        <v>13</v>
      </c>
      <c r="D29" s="18">
        <v>2845935677.63</v>
      </c>
      <c r="E29" s="18">
        <v>23438217985.71</v>
      </c>
      <c r="F29" s="18">
        <v>21712942035.13</v>
      </c>
      <c r="G29" s="19">
        <v>2017</v>
      </c>
      <c r="H29" s="19">
        <v>2017</v>
      </c>
      <c r="I29" s="19">
        <v>6</v>
      </c>
    </row>
    <row r="30" spans="1:9">
      <c r="A30" s="26">
        <v>42947</v>
      </c>
      <c r="B30" s="14" t="s">
        <v>12</v>
      </c>
      <c r="C30" s="14" t="s">
        <v>13</v>
      </c>
      <c r="D30" s="15">
        <v>2546372673.97</v>
      </c>
      <c r="E30" s="15">
        <v>25984590659.68</v>
      </c>
      <c r="F30" s="15">
        <v>24104299061.93</v>
      </c>
      <c r="G30" s="16">
        <v>2017</v>
      </c>
      <c r="H30" s="16">
        <v>2017</v>
      </c>
      <c r="I30" s="16">
        <v>7</v>
      </c>
    </row>
    <row r="31" spans="1:9">
      <c r="A31" s="27">
        <v>42978</v>
      </c>
      <c r="B31" s="17" t="s">
        <v>12</v>
      </c>
      <c r="C31" s="17" t="s">
        <v>13</v>
      </c>
      <c r="D31" s="18">
        <v>2635621641.54</v>
      </c>
      <c r="E31" s="18">
        <v>28620212301.22</v>
      </c>
      <c r="F31" s="18">
        <v>26799020760.95</v>
      </c>
      <c r="G31" s="19">
        <v>2017</v>
      </c>
      <c r="H31" s="19">
        <v>2017</v>
      </c>
      <c r="I31" s="19">
        <v>8</v>
      </c>
    </row>
    <row r="32" spans="1:9">
      <c r="A32" s="26">
        <v>43008</v>
      </c>
      <c r="B32" s="14" t="s">
        <v>12</v>
      </c>
      <c r="C32" s="14" t="s">
        <v>13</v>
      </c>
      <c r="D32" s="15">
        <v>2773308320.86</v>
      </c>
      <c r="E32" s="15">
        <v>31393520622.08</v>
      </c>
      <c r="F32" s="15">
        <v>29280199746.16</v>
      </c>
      <c r="G32" s="16">
        <v>2017</v>
      </c>
      <c r="H32" s="16">
        <v>2017</v>
      </c>
      <c r="I32" s="16">
        <v>9</v>
      </c>
    </row>
    <row r="33" spans="1:9">
      <c r="A33" s="27">
        <v>43039</v>
      </c>
      <c r="B33" s="17" t="s">
        <v>12</v>
      </c>
      <c r="C33" s="17" t="s">
        <v>13</v>
      </c>
      <c r="D33" s="18">
        <v>2516951116.76</v>
      </c>
      <c r="E33" s="18">
        <v>2516951116.76</v>
      </c>
      <c r="F33" s="18">
        <v>2219473130.74</v>
      </c>
      <c r="G33" s="19">
        <v>2018</v>
      </c>
      <c r="H33" s="19">
        <v>2017</v>
      </c>
      <c r="I33" s="19">
        <v>10</v>
      </c>
    </row>
    <row r="34" spans="1:9">
      <c r="A34" s="26">
        <v>43069</v>
      </c>
      <c r="B34" s="14" t="s">
        <v>12</v>
      </c>
      <c r="C34" s="14" t="s">
        <v>13</v>
      </c>
      <c r="D34" s="15">
        <v>2773473517.26</v>
      </c>
      <c r="E34" s="15">
        <v>5290424634.02</v>
      </c>
      <c r="F34" s="15">
        <v>4772125421.7</v>
      </c>
      <c r="G34" s="16">
        <v>2018</v>
      </c>
      <c r="H34" s="16">
        <v>2017</v>
      </c>
      <c r="I34" s="16">
        <v>11</v>
      </c>
    </row>
    <row r="35" spans="1:9">
      <c r="A35" s="27">
        <v>43100</v>
      </c>
      <c r="B35" s="17" t="s">
        <v>12</v>
      </c>
      <c r="C35" s="17" t="s">
        <v>13</v>
      </c>
      <c r="D35" s="18">
        <v>3120531874.36</v>
      </c>
      <c r="E35" s="18">
        <v>8410956508.38</v>
      </c>
      <c r="F35" s="18">
        <v>7557935548.91</v>
      </c>
      <c r="G35" s="19">
        <v>2018</v>
      </c>
      <c r="H35" s="19">
        <v>2017</v>
      </c>
      <c r="I35" s="19">
        <v>12</v>
      </c>
    </row>
    <row r="36" spans="1:9">
      <c r="A36" s="26">
        <v>43131</v>
      </c>
      <c r="B36" s="14" t="s">
        <v>12</v>
      </c>
      <c r="C36" s="14" t="s">
        <v>13</v>
      </c>
      <c r="D36" s="15">
        <v>2620140017.01</v>
      </c>
      <c r="E36" s="15">
        <v>11031096525.39</v>
      </c>
      <c r="F36" s="15">
        <v>9989335462.719999</v>
      </c>
      <c r="G36" s="16">
        <v>2018</v>
      </c>
      <c r="H36" s="16">
        <v>2018</v>
      </c>
      <c r="I36" s="16">
        <v>1</v>
      </c>
    </row>
    <row r="37" spans="1:9">
      <c r="A37" s="27">
        <v>43159</v>
      </c>
      <c r="B37" s="17" t="s">
        <v>12</v>
      </c>
      <c r="C37" s="17" t="s">
        <v>13</v>
      </c>
      <c r="D37" s="18">
        <v>2572797327.83</v>
      </c>
      <c r="E37" s="18">
        <v>13603893853.22</v>
      </c>
      <c r="F37" s="18">
        <v>12459075097.22</v>
      </c>
      <c r="G37" s="19">
        <v>2018</v>
      </c>
      <c r="H37" s="19">
        <v>2018</v>
      </c>
      <c r="I37" s="19">
        <v>2</v>
      </c>
    </row>
    <row r="38" spans="1:9">
      <c r="A38" s="26">
        <v>43190</v>
      </c>
      <c r="B38" s="14" t="s">
        <v>12</v>
      </c>
      <c r="C38" s="14" t="s">
        <v>13</v>
      </c>
      <c r="D38" s="15">
        <v>2789785090.9</v>
      </c>
      <c r="E38" s="15">
        <v>16393678944.12</v>
      </c>
      <c r="F38" s="15">
        <v>15183648487.21</v>
      </c>
      <c r="G38" s="16">
        <v>2018</v>
      </c>
      <c r="H38" s="16">
        <v>2018</v>
      </c>
      <c r="I38" s="16">
        <v>3</v>
      </c>
    </row>
    <row r="39" spans="1:9">
      <c r="A39" s="27">
        <v>43220</v>
      </c>
      <c r="B39" s="17" t="s">
        <v>12</v>
      </c>
      <c r="C39" s="17" t="s">
        <v>13</v>
      </c>
      <c r="D39" s="18">
        <v>2594734636.51</v>
      </c>
      <c r="E39" s="18">
        <v>18988413580.63</v>
      </c>
      <c r="F39" s="18">
        <v>18036299316.11</v>
      </c>
      <c r="G39" s="19">
        <v>2018</v>
      </c>
      <c r="H39" s="19">
        <v>2018</v>
      </c>
      <c r="I39" s="19">
        <v>4</v>
      </c>
    </row>
    <row r="40" spans="1:9">
      <c r="A40" s="26">
        <v>43251</v>
      </c>
      <c r="B40" s="14" t="s">
        <v>12</v>
      </c>
      <c r="C40" s="14" t="s">
        <v>13</v>
      </c>
      <c r="D40" s="15">
        <v>2802372818.87</v>
      </c>
      <c r="E40" s="15">
        <v>21790786399.5</v>
      </c>
      <c r="F40" s="15">
        <v>20592282308.08</v>
      </c>
      <c r="G40" s="16">
        <v>2018</v>
      </c>
      <c r="H40" s="16">
        <v>2018</v>
      </c>
      <c r="I40" s="16">
        <v>5</v>
      </c>
    </row>
    <row r="41" spans="1:9">
      <c r="A41" s="27">
        <v>43281</v>
      </c>
      <c r="B41" s="17" t="s">
        <v>12</v>
      </c>
      <c r="C41" s="17" t="s">
        <v>13</v>
      </c>
      <c r="D41" s="18">
        <v>3005392881.85</v>
      </c>
      <c r="E41" s="18">
        <v>24796179281.35</v>
      </c>
      <c r="F41" s="18">
        <v>23438217985.71</v>
      </c>
      <c r="G41" s="19">
        <v>2018</v>
      </c>
      <c r="H41" s="19">
        <v>2018</v>
      </c>
      <c r="I41" s="19">
        <v>6</v>
      </c>
    </row>
    <row r="42" spans="1:9">
      <c r="A42" s="26">
        <v>43312</v>
      </c>
      <c r="B42" s="14" t="s">
        <v>12</v>
      </c>
      <c r="C42" s="14" t="s">
        <v>13</v>
      </c>
      <c r="D42" s="15">
        <v>2694798444.29</v>
      </c>
      <c r="E42" s="15">
        <v>27490977725.64</v>
      </c>
      <c r="F42" s="15">
        <v>25984590659.68</v>
      </c>
      <c r="G42" s="16">
        <v>2018</v>
      </c>
      <c r="H42" s="16">
        <v>2018</v>
      </c>
      <c r="I42" s="16">
        <v>7</v>
      </c>
    </row>
    <row r="43" spans="1:9">
      <c r="A43" s="27">
        <v>43343</v>
      </c>
      <c r="B43" s="17" t="s">
        <v>12</v>
      </c>
      <c r="C43" s="17" t="s">
        <v>13</v>
      </c>
      <c r="D43" s="18">
        <v>2867050323.54</v>
      </c>
      <c r="E43" s="18">
        <v>30358028049.18</v>
      </c>
      <c r="F43" s="18">
        <v>28620212301.22</v>
      </c>
      <c r="G43" s="19">
        <v>2018</v>
      </c>
      <c r="H43" s="19">
        <v>2018</v>
      </c>
      <c r="I43" s="19">
        <v>8</v>
      </c>
    </row>
    <row r="44" spans="1:9">
      <c r="A44" s="26">
        <v>43373</v>
      </c>
      <c r="B44" s="14" t="s">
        <v>12</v>
      </c>
      <c r="C44" s="14" t="s">
        <v>13</v>
      </c>
      <c r="D44" s="15">
        <v>2854242797.12</v>
      </c>
      <c r="E44" s="15">
        <v>33212270846.3</v>
      </c>
      <c r="F44" s="15">
        <v>31413835384.21</v>
      </c>
      <c r="G44" s="16">
        <v>2018</v>
      </c>
      <c r="H44" s="16">
        <v>2018</v>
      </c>
      <c r="I44" s="16">
        <v>9</v>
      </c>
    </row>
    <row r="45" spans="1:9">
      <c r="A45" s="27">
        <v>43404</v>
      </c>
      <c r="B45" s="17" t="s">
        <v>12</v>
      </c>
      <c r="C45" s="17" t="s">
        <v>13</v>
      </c>
      <c r="D45" s="18">
        <v>2629329231.47</v>
      </c>
      <c r="E45" s="18">
        <v>2629329231.47</v>
      </c>
      <c r="F45" s="18">
        <v>2516951116.76</v>
      </c>
      <c r="G45" s="19">
        <v>2019</v>
      </c>
      <c r="H45" s="19">
        <v>2018</v>
      </c>
      <c r="I45" s="19">
        <v>10</v>
      </c>
    </row>
    <row r="46" spans="1:9">
      <c r="A46" s="26">
        <v>43434</v>
      </c>
      <c r="B46" s="14" t="s">
        <v>12</v>
      </c>
      <c r="C46" s="14" t="s">
        <v>13</v>
      </c>
      <c r="D46" s="15">
        <v>3659911399.07</v>
      </c>
      <c r="E46" s="15">
        <v>6289240630.54</v>
      </c>
      <c r="F46" s="15">
        <v>5290424634.02</v>
      </c>
      <c r="G46" s="16">
        <v>2019</v>
      </c>
      <c r="H46" s="16">
        <v>2018</v>
      </c>
      <c r="I46" s="16">
        <v>11</v>
      </c>
    </row>
    <row r="47" spans="1:9">
      <c r="A47" s="27">
        <v>43465</v>
      </c>
      <c r="B47" s="17" t="s">
        <v>12</v>
      </c>
      <c r="C47" s="17" t="s">
        <v>13</v>
      </c>
      <c r="D47" s="18">
        <v>2745767027.15</v>
      </c>
      <c r="E47" s="18">
        <v>9035007657.690001</v>
      </c>
      <c r="F47" s="18">
        <v>8410956508.38</v>
      </c>
      <c r="G47" s="19">
        <v>2019</v>
      </c>
      <c r="H47" s="19">
        <v>2018</v>
      </c>
      <c r="I47" s="19">
        <v>12</v>
      </c>
    </row>
    <row r="48" spans="1:9">
      <c r="A48" s="26">
        <v>43496</v>
      </c>
      <c r="B48" s="14" t="s">
        <v>12</v>
      </c>
      <c r="C48" s="14" t="s">
        <v>13</v>
      </c>
      <c r="D48" s="15">
        <v>2854217162.62</v>
      </c>
      <c r="E48" s="15">
        <v>11889224820.31</v>
      </c>
      <c r="F48" s="15">
        <v>11031096525.39</v>
      </c>
      <c r="G48" s="16">
        <v>2019</v>
      </c>
      <c r="H48" s="16">
        <v>2019</v>
      </c>
      <c r="I48" s="16">
        <v>1</v>
      </c>
    </row>
    <row r="49" spans="1:9">
      <c r="A49" s="27">
        <v>43524</v>
      </c>
      <c r="B49" s="17" t="s">
        <v>12</v>
      </c>
      <c r="C49" s="17" t="s">
        <v>13</v>
      </c>
      <c r="D49" s="18">
        <v>2699513591.84</v>
      </c>
      <c r="E49" s="18">
        <v>14588738412.15</v>
      </c>
      <c r="F49" s="18">
        <v>13603893853.22</v>
      </c>
      <c r="G49" s="19">
        <v>2019</v>
      </c>
      <c r="H49" s="19">
        <v>2019</v>
      </c>
      <c r="I49" s="19">
        <v>2</v>
      </c>
    </row>
    <row r="50" spans="1:9">
      <c r="A50" s="26">
        <v>43555</v>
      </c>
      <c r="B50" s="14" t="s">
        <v>12</v>
      </c>
      <c r="C50" s="14" t="s">
        <v>13</v>
      </c>
      <c r="D50" s="15">
        <v>2835237200.96</v>
      </c>
      <c r="E50" s="15">
        <v>17423975613.11</v>
      </c>
      <c r="F50" s="15">
        <v>16393678944.12</v>
      </c>
      <c r="G50" s="16">
        <v>2019</v>
      </c>
      <c r="H50" s="16">
        <v>2019</v>
      </c>
      <c r="I50" s="16">
        <v>3</v>
      </c>
    </row>
    <row r="51" spans="1:9">
      <c r="A51" s="27">
        <v>43585</v>
      </c>
      <c r="B51" s="17" t="s">
        <v>12</v>
      </c>
      <c r="C51" s="17" t="s">
        <v>13</v>
      </c>
      <c r="D51" s="18">
        <v>3041447399.92</v>
      </c>
      <c r="E51" s="18">
        <v>20465423013.03</v>
      </c>
      <c r="F51" s="18">
        <v>18988413580.63</v>
      </c>
      <c r="G51" s="19">
        <v>2019</v>
      </c>
      <c r="H51" s="19">
        <v>2019</v>
      </c>
      <c r="I51" s="19">
        <v>4</v>
      </c>
    </row>
    <row r="52" spans="1:9">
      <c r="A52" s="26">
        <v>43616</v>
      </c>
      <c r="B52" s="14" t="s">
        <v>12</v>
      </c>
      <c r="C52" s="14" t="s">
        <v>13</v>
      </c>
      <c r="D52" s="15">
        <v>3020399330.81</v>
      </c>
      <c r="E52" s="15">
        <v>23485822343.84</v>
      </c>
      <c r="F52" s="15">
        <v>21790786399.5</v>
      </c>
      <c r="G52" s="16">
        <v>2019</v>
      </c>
      <c r="H52" s="16">
        <v>2019</v>
      </c>
      <c r="I52" s="16">
        <v>5</v>
      </c>
    </row>
    <row r="53" spans="1:9">
      <c r="A53" s="27">
        <v>43646</v>
      </c>
      <c r="B53" s="17" t="s">
        <v>12</v>
      </c>
      <c r="C53" s="17" t="s">
        <v>13</v>
      </c>
      <c r="D53" s="18">
        <v>2979770679.49</v>
      </c>
      <c r="E53" s="18">
        <v>26465593023.33</v>
      </c>
      <c r="F53" s="18">
        <v>24796179281.35</v>
      </c>
      <c r="G53" s="19">
        <v>2019</v>
      </c>
      <c r="H53" s="19">
        <v>2019</v>
      </c>
      <c r="I53" s="19">
        <v>6</v>
      </c>
    </row>
    <row r="54" spans="1:9">
      <c r="A54" s="26">
        <v>43677</v>
      </c>
      <c r="B54" s="14" t="s">
        <v>12</v>
      </c>
      <c r="C54" s="14" t="s">
        <v>13</v>
      </c>
      <c r="D54" s="15">
        <v>3042520897.86</v>
      </c>
      <c r="E54" s="15">
        <v>29508113921.19</v>
      </c>
      <c r="F54" s="15">
        <v>27490977725.64</v>
      </c>
      <c r="G54" s="16">
        <v>2019</v>
      </c>
      <c r="H54" s="16">
        <v>2019</v>
      </c>
      <c r="I54" s="16">
        <v>7</v>
      </c>
    </row>
    <row r="55" spans="1:9">
      <c r="A55" s="27">
        <v>43708</v>
      </c>
      <c r="B55" s="17" t="s">
        <v>12</v>
      </c>
      <c r="C55" s="17" t="s">
        <v>13</v>
      </c>
      <c r="D55" s="18">
        <v>2921053892.72</v>
      </c>
      <c r="E55" s="18">
        <v>32429167813.91</v>
      </c>
      <c r="F55" s="18">
        <v>30358028049.18</v>
      </c>
      <c r="G55" s="19">
        <v>2019</v>
      </c>
      <c r="H55" s="19">
        <v>2019</v>
      </c>
      <c r="I55" s="19">
        <v>8</v>
      </c>
    </row>
    <row r="56" spans="1:9">
      <c r="A56" s="26">
        <v>43738</v>
      </c>
      <c r="B56" s="14" t="s">
        <v>12</v>
      </c>
      <c r="C56" s="14" t="s">
        <v>13</v>
      </c>
      <c r="D56" s="15">
        <v>3196802912.15</v>
      </c>
      <c r="E56" s="15">
        <v>35625970726.06</v>
      </c>
      <c r="F56" s="15">
        <v>33212270846.3</v>
      </c>
      <c r="G56" s="16">
        <v>2019</v>
      </c>
      <c r="H56" s="16">
        <v>2019</v>
      </c>
      <c r="I56" s="16">
        <v>9</v>
      </c>
    </row>
    <row r="57" spans="1:9">
      <c r="A57" s="27">
        <v>43769</v>
      </c>
      <c r="B57" s="17" t="s">
        <v>12</v>
      </c>
      <c r="C57" s="17" t="s">
        <v>13</v>
      </c>
      <c r="D57" s="18">
        <v>3179478960.76</v>
      </c>
      <c r="E57" s="18">
        <v>3179478960.76</v>
      </c>
      <c r="F57" s="18">
        <v>2629329231.47</v>
      </c>
      <c r="G57" s="19">
        <v>2020</v>
      </c>
      <c r="H57" s="19">
        <v>2019</v>
      </c>
      <c r="I57" s="19">
        <v>10</v>
      </c>
    </row>
    <row r="58" spans="1:9">
      <c r="A58" s="26">
        <v>43799</v>
      </c>
      <c r="B58" s="14" t="s">
        <v>12</v>
      </c>
      <c r="C58" s="14" t="s">
        <v>13</v>
      </c>
      <c r="D58" s="15">
        <v>3109864846.86</v>
      </c>
      <c r="E58" s="15">
        <v>6289343807.62</v>
      </c>
      <c r="F58" s="15">
        <v>6289240630.54</v>
      </c>
      <c r="G58" s="16">
        <v>2020</v>
      </c>
      <c r="H58" s="16">
        <v>2019</v>
      </c>
      <c r="I58" s="16">
        <v>11</v>
      </c>
    </row>
    <row r="59" spans="1:9">
      <c r="A59" s="27">
        <v>43830</v>
      </c>
      <c r="B59" s="17" t="s">
        <v>12</v>
      </c>
      <c r="C59" s="17" t="s">
        <v>13</v>
      </c>
      <c r="D59" s="18">
        <v>3001796062.24</v>
      </c>
      <c r="E59" s="18">
        <v>9291139869.860001</v>
      </c>
      <c r="F59" s="18">
        <v>9035007657.690001</v>
      </c>
      <c r="G59" s="19">
        <v>2020</v>
      </c>
      <c r="H59" s="19">
        <v>2019</v>
      </c>
      <c r="I59" s="19">
        <v>12</v>
      </c>
    </row>
    <row r="60" spans="1:9">
      <c r="A60" s="26">
        <v>43861</v>
      </c>
      <c r="B60" s="14" t="s">
        <v>12</v>
      </c>
      <c r="C60" s="14" t="s">
        <v>13</v>
      </c>
      <c r="D60" s="15">
        <v>2932349157.88</v>
      </c>
      <c r="E60" s="15">
        <v>12223489027.74</v>
      </c>
      <c r="F60" s="15">
        <v>11889224820.31</v>
      </c>
      <c r="G60" s="16">
        <v>2020</v>
      </c>
      <c r="H60" s="16">
        <v>2020</v>
      </c>
      <c r="I60" s="16">
        <v>1</v>
      </c>
    </row>
    <row r="61" spans="1:9">
      <c r="A61" s="27">
        <v>43890</v>
      </c>
      <c r="B61" s="17" t="s">
        <v>12</v>
      </c>
      <c r="C61" s="17" t="s">
        <v>13</v>
      </c>
      <c r="D61" s="18">
        <v>3059031829.04</v>
      </c>
      <c r="E61" s="18">
        <v>15282520856.78</v>
      </c>
      <c r="F61" s="18">
        <v>14588738412.15</v>
      </c>
      <c r="G61" s="19">
        <v>2020</v>
      </c>
      <c r="H61" s="19">
        <v>2020</v>
      </c>
      <c r="I61" s="19">
        <v>2</v>
      </c>
    </row>
    <row r="62" spans="1:9">
      <c r="A62" s="26">
        <v>43921</v>
      </c>
      <c r="B62" s="14" t="s">
        <v>12</v>
      </c>
      <c r="C62" s="14" t="s">
        <v>13</v>
      </c>
      <c r="D62" s="15">
        <v>3239892243.95</v>
      </c>
      <c r="E62" s="15">
        <v>18522413100.73</v>
      </c>
      <c r="F62" s="15">
        <v>17423975613.11</v>
      </c>
      <c r="G62" s="16">
        <v>2020</v>
      </c>
      <c r="H62" s="16">
        <v>2020</v>
      </c>
      <c r="I62" s="16">
        <v>3</v>
      </c>
    </row>
    <row r="63" spans="1:9">
      <c r="A63" s="27">
        <v>43951</v>
      </c>
      <c r="B63" s="17" t="s">
        <v>12</v>
      </c>
      <c r="C63" s="17" t="s">
        <v>13</v>
      </c>
      <c r="D63" s="18">
        <v>2886228244.12</v>
      </c>
      <c r="E63" s="18">
        <v>21408641344.85</v>
      </c>
      <c r="F63" s="18">
        <v>20465423013.03</v>
      </c>
      <c r="G63" s="19">
        <v>2020</v>
      </c>
      <c r="H63" s="19">
        <v>2020</v>
      </c>
      <c r="I63" s="19">
        <v>4</v>
      </c>
    </row>
    <row r="64" spans="1:9">
      <c r="A64" s="26">
        <v>43982</v>
      </c>
      <c r="B64" s="14" t="s">
        <v>12</v>
      </c>
      <c r="C64" s="14" t="s">
        <v>13</v>
      </c>
      <c r="D64" s="15">
        <v>2845440628.52</v>
      </c>
      <c r="E64" s="15">
        <v>24254081973.37</v>
      </c>
      <c r="F64" s="15">
        <v>23485822343.84</v>
      </c>
      <c r="G64" s="16">
        <v>2020</v>
      </c>
      <c r="H64" s="16">
        <v>2020</v>
      </c>
      <c r="I64" s="16">
        <v>5</v>
      </c>
    </row>
    <row r="65" spans="1:9">
      <c r="A65" s="27">
        <v>44012</v>
      </c>
      <c r="B65" s="17" t="s">
        <v>12</v>
      </c>
      <c r="C65" s="17" t="s">
        <v>13</v>
      </c>
      <c r="D65" s="18">
        <v>3207906393.6</v>
      </c>
      <c r="E65" s="18">
        <v>27461988366.97</v>
      </c>
      <c r="F65" s="18">
        <v>26465593023.33</v>
      </c>
      <c r="G65" s="19">
        <v>2020</v>
      </c>
      <c r="H65" s="19">
        <v>2020</v>
      </c>
      <c r="I65" s="19">
        <v>6</v>
      </c>
    </row>
    <row r="66" spans="1:9">
      <c r="A66" s="26">
        <v>44043</v>
      </c>
      <c r="B66" s="14" t="s">
        <v>12</v>
      </c>
      <c r="C66" s="14" t="s">
        <v>13</v>
      </c>
      <c r="D66" s="15">
        <v>2918501865.06</v>
      </c>
      <c r="E66" s="15">
        <v>30380490232.03</v>
      </c>
      <c r="F66" s="15">
        <v>29508113921.19</v>
      </c>
      <c r="G66" s="16">
        <v>2020</v>
      </c>
      <c r="H66" s="16">
        <v>2020</v>
      </c>
      <c r="I66" s="16">
        <v>7</v>
      </c>
    </row>
    <row r="67" spans="1:9">
      <c r="A67" s="27">
        <v>44074</v>
      </c>
      <c r="B67" s="17" t="s">
        <v>12</v>
      </c>
      <c r="C67" s="17" t="s">
        <v>13</v>
      </c>
      <c r="D67" s="18">
        <v>2495010177.75</v>
      </c>
      <c r="E67" s="18">
        <v>32875500409.78</v>
      </c>
      <c r="F67" s="18">
        <v>32429167813.91</v>
      </c>
      <c r="G67" s="19">
        <v>2020</v>
      </c>
      <c r="H67" s="19">
        <v>2020</v>
      </c>
      <c r="I67" s="19">
        <v>8</v>
      </c>
    </row>
    <row r="68" spans="1:9">
      <c r="A68" s="26">
        <v>44104</v>
      </c>
      <c r="B68" s="14" t="s">
        <v>12</v>
      </c>
      <c r="C68" s="14" t="s">
        <v>13</v>
      </c>
      <c r="D68" s="15">
        <v>3511836008.86</v>
      </c>
      <c r="E68" s="15">
        <v>36387336418.64</v>
      </c>
      <c r="F68" s="15">
        <v>35625970726.06</v>
      </c>
      <c r="G68" s="16">
        <v>2020</v>
      </c>
      <c r="H68" s="16">
        <v>2020</v>
      </c>
      <c r="I68" s="16">
        <v>9</v>
      </c>
    </row>
    <row r="69" spans="1:9">
      <c r="A69" s="27">
        <v>44135</v>
      </c>
      <c r="B69" s="17" t="s">
        <v>12</v>
      </c>
      <c r="C69" s="17" t="s">
        <v>13</v>
      </c>
      <c r="D69" s="18">
        <v>3014967501.54</v>
      </c>
      <c r="E69" s="18">
        <v>3014967501.54</v>
      </c>
      <c r="F69" s="18">
        <v>3179478960.76</v>
      </c>
      <c r="G69" s="19">
        <v>2021</v>
      </c>
      <c r="H69" s="19">
        <v>2020</v>
      </c>
      <c r="I69" s="19">
        <v>10</v>
      </c>
    </row>
    <row r="70" spans="1:9">
      <c r="A70" s="26">
        <v>44165</v>
      </c>
      <c r="B70" s="14" t="s">
        <v>12</v>
      </c>
      <c r="C70" s="14" t="s">
        <v>13</v>
      </c>
      <c r="D70" s="15">
        <v>3370898440.35</v>
      </c>
      <c r="E70" s="15">
        <v>6385865941.89</v>
      </c>
      <c r="F70" s="15">
        <v>6289343807.62</v>
      </c>
      <c r="G70" s="16">
        <v>2021</v>
      </c>
      <c r="H70" s="16">
        <v>2020</v>
      </c>
      <c r="I70" s="16">
        <v>11</v>
      </c>
    </row>
    <row r="71" spans="1:9">
      <c r="A71" s="27">
        <v>44196</v>
      </c>
      <c r="B71" s="17" t="s">
        <v>12</v>
      </c>
      <c r="C71" s="17" t="s">
        <v>13</v>
      </c>
      <c r="D71" s="18">
        <v>3210765587.3</v>
      </c>
      <c r="E71" s="18">
        <v>9596631529.190001</v>
      </c>
      <c r="F71" s="18">
        <v>9291139869.860001</v>
      </c>
      <c r="G71" s="19">
        <v>2021</v>
      </c>
      <c r="H71" s="19">
        <v>2020</v>
      </c>
      <c r="I71" s="19">
        <v>12</v>
      </c>
    </row>
    <row r="72" spans="1:9">
      <c r="A72" s="26">
        <v>44227</v>
      </c>
      <c r="B72" s="14" t="s">
        <v>12</v>
      </c>
      <c r="C72" s="14" t="s">
        <v>13</v>
      </c>
      <c r="D72" s="15">
        <v>3000830705.78</v>
      </c>
      <c r="E72" s="15">
        <v>12597462234.97</v>
      </c>
      <c r="F72" s="15">
        <v>12223489027.74</v>
      </c>
      <c r="G72" s="16">
        <v>2021</v>
      </c>
      <c r="H72" s="16">
        <v>2021</v>
      </c>
      <c r="I72" s="16">
        <v>1</v>
      </c>
    </row>
    <row r="73" spans="1:9">
      <c r="A73" s="27">
        <v>44255</v>
      </c>
      <c r="B73" s="17" t="s">
        <v>12</v>
      </c>
      <c r="C73" s="17" t="s">
        <v>13</v>
      </c>
      <c r="D73" s="18">
        <v>3139815267.09</v>
      </c>
      <c r="E73" s="18">
        <v>15737277502.06</v>
      </c>
      <c r="F73" s="18">
        <v>15282520856.78</v>
      </c>
      <c r="G73" s="19">
        <v>2021</v>
      </c>
      <c r="H73" s="19">
        <v>2021</v>
      </c>
      <c r="I73" s="19">
        <v>2</v>
      </c>
    </row>
    <row r="74" spans="1:9">
      <c r="A74" s="26">
        <v>44286</v>
      </c>
      <c r="B74" s="14" t="s">
        <v>12</v>
      </c>
      <c r="C74" s="14" t="s">
        <v>13</v>
      </c>
      <c r="D74" s="15">
        <v>3302017237.26</v>
      </c>
      <c r="E74" s="15">
        <v>19039294739.32</v>
      </c>
      <c r="F74" s="15">
        <v>18522413100.73</v>
      </c>
      <c r="G74" s="16">
        <v>2021</v>
      </c>
      <c r="H74" s="16">
        <v>2021</v>
      </c>
      <c r="I74" s="16">
        <v>3</v>
      </c>
    </row>
    <row r="75" spans="1:9">
      <c r="A75" s="27">
        <v>44316</v>
      </c>
      <c r="B75" s="17" t="s">
        <v>12</v>
      </c>
      <c r="C75" s="17" t="s">
        <v>13</v>
      </c>
      <c r="D75" s="18">
        <v>3494576337.89</v>
      </c>
      <c r="E75" s="18">
        <v>22533871077.21</v>
      </c>
      <c r="F75" s="18">
        <v>21408641344.85</v>
      </c>
      <c r="G75" s="19">
        <v>2021</v>
      </c>
      <c r="H75" s="19">
        <v>2021</v>
      </c>
      <c r="I75" s="19">
        <v>4</v>
      </c>
    </row>
    <row r="76" spans="1:9">
      <c r="A76" s="26">
        <v>44347</v>
      </c>
      <c r="B76" s="14" t="s">
        <v>12</v>
      </c>
      <c r="C76" s="14" t="s">
        <v>13</v>
      </c>
      <c r="D76" s="15">
        <v>3089451303.61</v>
      </c>
      <c r="E76" s="15">
        <v>25623322380.82</v>
      </c>
      <c r="F76" s="15">
        <v>24254081973.37</v>
      </c>
      <c r="G76" s="16">
        <v>2021</v>
      </c>
      <c r="H76" s="16">
        <v>2021</v>
      </c>
      <c r="I76" s="16">
        <v>5</v>
      </c>
    </row>
    <row r="77" spans="1:9">
      <c r="A77" s="27">
        <v>44377</v>
      </c>
      <c r="B77" s="17" t="s">
        <v>12</v>
      </c>
      <c r="C77" s="17" t="s">
        <v>13</v>
      </c>
      <c r="D77" s="18">
        <v>3408502503.65</v>
      </c>
      <c r="E77" s="18">
        <v>29031824884.47</v>
      </c>
      <c r="F77" s="18">
        <v>27461988366.97</v>
      </c>
      <c r="G77" s="19">
        <v>2021</v>
      </c>
      <c r="H77" s="19">
        <v>2021</v>
      </c>
      <c r="I77" s="19">
        <v>6</v>
      </c>
    </row>
    <row r="78" spans="1:9">
      <c r="A78" s="26">
        <v>44408</v>
      </c>
      <c r="B78" s="14" t="s">
        <v>12</v>
      </c>
      <c r="C78" s="14" t="s">
        <v>13</v>
      </c>
      <c r="D78" s="15">
        <v>3095949352.16</v>
      </c>
      <c r="E78" s="15">
        <v>32127774236.63</v>
      </c>
      <c r="F78" s="15">
        <v>30380490232.03</v>
      </c>
      <c r="G78" s="16">
        <v>2021</v>
      </c>
      <c r="H78" s="16">
        <v>2021</v>
      </c>
      <c r="I78" s="16">
        <v>7</v>
      </c>
    </row>
    <row r="79" spans="1:9">
      <c r="A79" s="27">
        <v>44439</v>
      </c>
      <c r="B79" s="17" t="s">
        <v>12</v>
      </c>
      <c r="C79" s="17" t="s">
        <v>13</v>
      </c>
      <c r="D79" s="18">
        <v>3347962222.37</v>
      </c>
      <c r="E79" s="18">
        <v>35475736459</v>
      </c>
      <c r="F79" s="18">
        <v>32875500409.78</v>
      </c>
      <c r="G79" s="19">
        <v>2021</v>
      </c>
      <c r="H79" s="19">
        <v>2021</v>
      </c>
      <c r="I79" s="19">
        <v>8</v>
      </c>
    </row>
    <row r="80" spans="1:9">
      <c r="A80" s="26">
        <v>44469</v>
      </c>
      <c r="B80" s="14" t="s">
        <v>12</v>
      </c>
      <c r="C80" s="14" t="s">
        <v>13</v>
      </c>
      <c r="D80" s="15">
        <v>3391916906.88</v>
      </c>
      <c r="E80" s="15">
        <v>38867653365.88</v>
      </c>
      <c r="F80" s="15">
        <v>36387336418.64</v>
      </c>
      <c r="G80" s="16">
        <v>2021</v>
      </c>
      <c r="H80" s="16">
        <v>2021</v>
      </c>
      <c r="I80" s="16">
        <v>9</v>
      </c>
    </row>
    <row r="81" spans="1:9">
      <c r="A81" s="27">
        <v>44500</v>
      </c>
      <c r="B81" s="17" t="s">
        <v>12</v>
      </c>
      <c r="C81" s="17" t="s">
        <v>13</v>
      </c>
      <c r="D81" s="18">
        <v>3308619487.25</v>
      </c>
      <c r="E81" s="18">
        <v>3308619487.25</v>
      </c>
      <c r="F81" s="18">
        <v>3014967501.54</v>
      </c>
      <c r="G81" s="19">
        <v>2022</v>
      </c>
      <c r="H81" s="19">
        <v>2021</v>
      </c>
      <c r="I81" s="19">
        <v>10</v>
      </c>
    </row>
    <row r="82" spans="1:9">
      <c r="A82" s="26">
        <v>44530</v>
      </c>
      <c r="B82" s="14" t="s">
        <v>12</v>
      </c>
      <c r="C82" s="14" t="s">
        <v>13</v>
      </c>
      <c r="D82" s="15">
        <v>3557450240.33</v>
      </c>
      <c r="E82" s="15">
        <v>6866069727.58</v>
      </c>
      <c r="F82" s="15">
        <v>6385865941.89</v>
      </c>
      <c r="G82" s="16">
        <v>2022</v>
      </c>
      <c r="H82" s="16">
        <v>2021</v>
      </c>
      <c r="I82" s="16">
        <v>11</v>
      </c>
    </row>
    <row r="83" spans="1:9">
      <c r="A83" s="27">
        <v>44561</v>
      </c>
      <c r="B83" s="17" t="s">
        <v>12</v>
      </c>
      <c r="C83" s="17" t="s">
        <v>13</v>
      </c>
      <c r="D83" s="18">
        <v>3213123057.81</v>
      </c>
      <c r="E83" s="18">
        <v>10079192785.39</v>
      </c>
      <c r="F83" s="18">
        <v>9596631529.190001</v>
      </c>
      <c r="G83" s="19">
        <v>2022</v>
      </c>
      <c r="H83" s="19">
        <v>2021</v>
      </c>
      <c r="I83" s="19">
        <v>12</v>
      </c>
    </row>
    <row r="84" spans="1:9">
      <c r="A84" s="26">
        <v>44592</v>
      </c>
      <c r="B84" s="14" t="s">
        <v>12</v>
      </c>
      <c r="C84" s="14" t="s">
        <v>13</v>
      </c>
      <c r="D84" s="15">
        <v>3184758510.75</v>
      </c>
      <c r="E84" s="15">
        <v>13263951296.14</v>
      </c>
      <c r="F84" s="15">
        <v>12597462234.97</v>
      </c>
      <c r="G84" s="16">
        <v>2022</v>
      </c>
      <c r="H84" s="16">
        <v>2022</v>
      </c>
      <c r="I84" s="16">
        <v>1</v>
      </c>
    </row>
    <row r="85" spans="1:9">
      <c r="A85" s="27">
        <v>44620</v>
      </c>
      <c r="B85" s="17" t="s">
        <v>12</v>
      </c>
      <c r="C85" s="17" t="s">
        <v>13</v>
      </c>
      <c r="D85" s="18">
        <v>3230188200.96</v>
      </c>
      <c r="E85" s="18">
        <v>16494139497.1</v>
      </c>
      <c r="F85" s="18">
        <v>15737277502.06</v>
      </c>
      <c r="G85" s="19">
        <v>2022</v>
      </c>
      <c r="H85" s="19">
        <v>2022</v>
      </c>
      <c r="I85" s="19">
        <v>2</v>
      </c>
    </row>
    <row r="86" spans="1:9">
      <c r="A86" s="26">
        <v>44651</v>
      </c>
      <c r="B86" s="14" t="s">
        <v>12</v>
      </c>
      <c r="C86" s="14" t="s">
        <v>13</v>
      </c>
      <c r="D86" s="15">
        <v>3809245808.35</v>
      </c>
      <c r="E86" s="15">
        <v>20303385305.45</v>
      </c>
      <c r="F86" s="15">
        <v>19039294739.32</v>
      </c>
      <c r="G86" s="16">
        <v>2022</v>
      </c>
      <c r="H86" s="16">
        <v>2022</v>
      </c>
      <c r="I86" s="16">
        <v>3</v>
      </c>
    </row>
    <row r="87" spans="1:9">
      <c r="A87" s="27">
        <v>44681</v>
      </c>
      <c r="B87" s="17" t="s">
        <v>12</v>
      </c>
      <c r="C87" s="17" t="s">
        <v>13</v>
      </c>
      <c r="D87" s="18">
        <v>3006677165.73</v>
      </c>
      <c r="E87" s="18">
        <v>23310062471.18</v>
      </c>
      <c r="F87" s="18">
        <v>22533871077.21</v>
      </c>
      <c r="G87" s="19">
        <v>2022</v>
      </c>
      <c r="H87" s="19">
        <v>2022</v>
      </c>
      <c r="I87" s="19">
        <v>4</v>
      </c>
    </row>
    <row r="88" spans="1:9">
      <c r="A88" s="26">
        <v>44712</v>
      </c>
      <c r="B88" s="14" t="s">
        <v>12</v>
      </c>
      <c r="C88" s="14" t="s">
        <v>13</v>
      </c>
      <c r="D88" s="15">
        <v>3488718322.46</v>
      </c>
      <c r="E88" s="15">
        <v>26798780793.64</v>
      </c>
      <c r="F88" s="15">
        <v>25623322380.82</v>
      </c>
      <c r="G88" s="16">
        <v>2022</v>
      </c>
      <c r="H88" s="16">
        <v>2022</v>
      </c>
      <c r="I88" s="16">
        <v>5</v>
      </c>
    </row>
    <row r="89" spans="1:9">
      <c r="A89" s="27">
        <v>44742</v>
      </c>
      <c r="B89" s="17" t="s">
        <v>12</v>
      </c>
      <c r="C89" s="17" t="s">
        <v>13</v>
      </c>
      <c r="D89" s="18">
        <v>3692856491.04</v>
      </c>
      <c r="E89" s="18">
        <v>30491637284.68</v>
      </c>
      <c r="F89" s="18">
        <v>29031824884.47</v>
      </c>
      <c r="G89" s="19">
        <v>2022</v>
      </c>
      <c r="H89" s="19">
        <v>2022</v>
      </c>
      <c r="I89" s="19">
        <v>6</v>
      </c>
    </row>
    <row r="90" spans="1:9">
      <c r="A90" s="26">
        <v>44773</v>
      </c>
      <c r="B90" s="14" t="s">
        <v>12</v>
      </c>
      <c r="C90" s="14" t="s">
        <v>13</v>
      </c>
      <c r="D90" s="15">
        <v>3242312645.22</v>
      </c>
      <c r="E90" s="15">
        <v>33733949929.9</v>
      </c>
      <c r="F90" s="15">
        <v>32127774236.63</v>
      </c>
      <c r="G90" s="16">
        <v>2022</v>
      </c>
      <c r="H90" s="16">
        <v>2022</v>
      </c>
      <c r="I90" s="16">
        <v>7</v>
      </c>
    </row>
    <row r="91" spans="1:9">
      <c r="A91" s="27">
        <v>44804</v>
      </c>
      <c r="B91" s="17" t="s">
        <v>12</v>
      </c>
      <c r="C91" s="17" t="s">
        <v>13</v>
      </c>
      <c r="D91" s="18">
        <v>3466611711.58</v>
      </c>
      <c r="E91" s="18">
        <v>37200561641.48</v>
      </c>
      <c r="F91" s="18">
        <v>35475736459</v>
      </c>
      <c r="G91" s="19">
        <v>2022</v>
      </c>
      <c r="H91" s="19">
        <v>2022</v>
      </c>
      <c r="I91" s="19">
        <v>8</v>
      </c>
    </row>
    <row r="92" spans="1:9">
      <c r="A92" s="26">
        <v>44834</v>
      </c>
      <c r="B92" s="14" t="s">
        <v>12</v>
      </c>
      <c r="C92" s="14" t="s">
        <v>13</v>
      </c>
      <c r="D92" s="15">
        <v>3422308482.67</v>
      </c>
      <c r="E92" s="15">
        <v>40622870124.15</v>
      </c>
      <c r="F92" s="15">
        <v>38867653365.88</v>
      </c>
      <c r="G92" s="16">
        <v>2022</v>
      </c>
      <c r="H92" s="16">
        <v>2022</v>
      </c>
      <c r="I92" s="16">
        <v>9</v>
      </c>
    </row>
    <row r="93" spans="1:9">
      <c r="A93" s="27">
        <v>44865</v>
      </c>
      <c r="B93" s="17" t="s">
        <v>12</v>
      </c>
      <c r="C93" s="17" t="s">
        <v>13</v>
      </c>
      <c r="D93" s="18">
        <v>3511330522.91</v>
      </c>
      <c r="E93" s="18">
        <v>3511330522.91</v>
      </c>
      <c r="F93" s="18">
        <v>3308619487.25</v>
      </c>
      <c r="G93" s="19">
        <v>2023</v>
      </c>
      <c r="H93" s="19">
        <v>2022</v>
      </c>
      <c r="I93" s="19">
        <v>10</v>
      </c>
    </row>
    <row r="94" spans="1:9">
      <c r="A94" s="26">
        <v>44895</v>
      </c>
      <c r="B94" s="14" t="s">
        <v>12</v>
      </c>
      <c r="C94" s="14" t="s">
        <v>13</v>
      </c>
      <c r="D94" s="15">
        <v>4791868473.77</v>
      </c>
      <c r="E94" s="15">
        <v>8303198996.68</v>
      </c>
      <c r="F94" s="15">
        <v>6866069727.58</v>
      </c>
      <c r="G94" s="16">
        <v>2023</v>
      </c>
      <c r="H94" s="16">
        <v>2022</v>
      </c>
      <c r="I94" s="16">
        <v>11</v>
      </c>
    </row>
    <row r="95" spans="1:9">
      <c r="A95" s="27">
        <v>44926</v>
      </c>
      <c r="B95" s="17" t="s">
        <v>12</v>
      </c>
      <c r="C95" s="17" t="s">
        <v>13</v>
      </c>
      <c r="D95" s="18">
        <v>3095305584.72</v>
      </c>
      <c r="E95" s="18">
        <v>11398504581.4</v>
      </c>
      <c r="F95" s="18">
        <v>10079192785.39</v>
      </c>
      <c r="G95" s="19">
        <v>2023</v>
      </c>
      <c r="H95" s="19">
        <v>2022</v>
      </c>
      <c r="I95" s="19">
        <v>12</v>
      </c>
    </row>
    <row r="96" spans="1:9">
      <c r="A96" s="26">
        <v>44957</v>
      </c>
      <c r="B96" s="14" t="s">
        <v>12</v>
      </c>
      <c r="C96" s="14" t="s">
        <v>13</v>
      </c>
      <c r="D96" s="15">
        <v>3529010534.39</v>
      </c>
      <c r="E96" s="15">
        <v>14927515115.79</v>
      </c>
      <c r="F96" s="15">
        <v>13263951296.14</v>
      </c>
      <c r="G96" s="16">
        <v>2023</v>
      </c>
      <c r="H96" s="16">
        <v>2023</v>
      </c>
      <c r="I96" s="16">
        <v>1</v>
      </c>
    </row>
    <row r="97" spans="1:9">
      <c r="A97" s="27">
        <v>44985</v>
      </c>
      <c r="B97" s="17" t="s">
        <v>12</v>
      </c>
      <c r="C97" s="17" t="s">
        <v>13</v>
      </c>
      <c r="D97" s="18">
        <v>3589857236.24</v>
      </c>
      <c r="E97" s="18">
        <v>18517372352.03</v>
      </c>
      <c r="F97" s="18">
        <v>16494139497.1</v>
      </c>
      <c r="G97" s="19">
        <v>2023</v>
      </c>
      <c r="H97" s="19">
        <v>2023</v>
      </c>
      <c r="I97" s="19">
        <v>2</v>
      </c>
    </row>
    <row r="98" spans="1:9">
      <c r="A98" s="26">
        <v>45016</v>
      </c>
      <c r="B98" s="14" t="s">
        <v>12</v>
      </c>
      <c r="C98" s="14" t="s">
        <v>13</v>
      </c>
      <c r="D98" s="15">
        <v>4009433102.19</v>
      </c>
      <c r="E98" s="15">
        <v>22526805454.22</v>
      </c>
      <c r="F98" s="15">
        <v>20303385305.45</v>
      </c>
      <c r="G98" s="16">
        <v>2023</v>
      </c>
      <c r="H98" s="16">
        <v>2023</v>
      </c>
      <c r="I98" s="16">
        <v>3</v>
      </c>
    </row>
    <row r="99" spans="1:9">
      <c r="A99" s="27">
        <v>45046</v>
      </c>
      <c r="B99" s="17" t="s">
        <v>12</v>
      </c>
      <c r="C99" s="17" t="s">
        <v>13</v>
      </c>
      <c r="D99" s="18">
        <v>3501574914.32</v>
      </c>
      <c r="E99" s="18">
        <v>26028380368.54</v>
      </c>
      <c r="F99" s="18">
        <v>23310062471.18</v>
      </c>
      <c r="G99" s="19">
        <v>2023</v>
      </c>
      <c r="H99" s="19">
        <v>2023</v>
      </c>
      <c r="I99" s="19">
        <v>4</v>
      </c>
    </row>
    <row r="100" spans="1:9">
      <c r="A100" s="26">
        <v>45077</v>
      </c>
      <c r="B100" s="14" t="s">
        <v>12</v>
      </c>
      <c r="C100" s="14" t="s">
        <v>13</v>
      </c>
      <c r="D100" s="15">
        <v>3912434217.82</v>
      </c>
      <c r="E100" s="15">
        <v>29940814586.36</v>
      </c>
      <c r="F100" s="15">
        <v>26798780793.64</v>
      </c>
      <c r="G100" s="16">
        <v>2023</v>
      </c>
      <c r="H100" s="16">
        <v>2023</v>
      </c>
      <c r="I100" s="16">
        <v>5</v>
      </c>
    </row>
    <row r="101" spans="1:9">
      <c r="A101" s="27">
        <v>45107</v>
      </c>
      <c r="B101" s="17" t="s">
        <v>12</v>
      </c>
      <c r="C101" s="17" t="s">
        <v>13</v>
      </c>
      <c r="D101" s="18">
        <v>4026315301.45</v>
      </c>
      <c r="E101" s="18">
        <v>33967129887.81</v>
      </c>
      <c r="F101" s="18">
        <v>30491637284.68</v>
      </c>
      <c r="G101" s="19">
        <v>2023</v>
      </c>
      <c r="H101" s="19">
        <v>2023</v>
      </c>
      <c r="I101" s="19">
        <v>6</v>
      </c>
    </row>
    <row r="102" spans="1:9">
      <c r="A102" s="26">
        <v>45138</v>
      </c>
      <c r="B102" s="14" t="s">
        <v>12</v>
      </c>
      <c r="C102" s="14" t="s">
        <v>13</v>
      </c>
      <c r="D102" s="15">
        <v>3817746851.99</v>
      </c>
      <c r="E102" s="15">
        <v>37784876739.8</v>
      </c>
      <c r="F102" s="15">
        <v>33733949929.9</v>
      </c>
      <c r="G102" s="16">
        <v>2023</v>
      </c>
      <c r="H102" s="16">
        <v>2023</v>
      </c>
      <c r="I102" s="16">
        <v>7</v>
      </c>
    </row>
    <row r="103" spans="1:9">
      <c r="A103" s="27">
        <v>45169</v>
      </c>
      <c r="B103" s="17" t="s">
        <v>12</v>
      </c>
      <c r="C103" s="17" t="s">
        <v>13</v>
      </c>
      <c r="D103" s="18">
        <v>4243975167.04</v>
      </c>
      <c r="E103" s="18">
        <v>42028851906.84</v>
      </c>
      <c r="F103" s="18">
        <v>37200561641.48</v>
      </c>
      <c r="G103" s="19">
        <v>2023</v>
      </c>
      <c r="H103" s="19">
        <v>2023</v>
      </c>
      <c r="I103" s="19">
        <v>8</v>
      </c>
    </row>
    <row r="104" spans="1:9">
      <c r="A104" s="26">
        <v>45199</v>
      </c>
      <c r="B104" s="14" t="s">
        <v>12</v>
      </c>
      <c r="C104" s="14" t="s">
        <v>13</v>
      </c>
      <c r="D104" s="15">
        <v>4476872546.48</v>
      </c>
      <c r="E104" s="15">
        <v>46505724453.32</v>
      </c>
      <c r="F104" s="15">
        <v>40622870124.15</v>
      </c>
      <c r="G104" s="16">
        <v>2023</v>
      </c>
      <c r="H104" s="16">
        <v>2023</v>
      </c>
      <c r="I104" s="16">
        <v>9</v>
      </c>
    </row>
    <row r="105" spans="1:9">
      <c r="A105" s="27">
        <v>45230</v>
      </c>
      <c r="B105" s="17" t="s">
        <v>12</v>
      </c>
      <c r="C105" s="17" t="s">
        <v>13</v>
      </c>
      <c r="D105" s="18">
        <v>3547587404.34</v>
      </c>
      <c r="E105" s="18">
        <v>3547587404.34</v>
      </c>
      <c r="F105" s="18">
        <v>3511330522.91</v>
      </c>
      <c r="G105" s="19">
        <v>2024</v>
      </c>
      <c r="H105" s="19">
        <v>2023</v>
      </c>
      <c r="I105" s="19">
        <v>10</v>
      </c>
    </row>
    <row r="106" spans="1:9">
      <c r="A106" s="26">
        <v>45260</v>
      </c>
      <c r="B106" s="14" t="s">
        <v>12</v>
      </c>
      <c r="C106" s="14" t="s">
        <v>13</v>
      </c>
      <c r="D106" s="15">
        <v>4215217644.8</v>
      </c>
      <c r="E106" s="15">
        <v>7762805049.14</v>
      </c>
      <c r="F106" s="15">
        <v>8303198996.68</v>
      </c>
      <c r="G106" s="16">
        <v>2024</v>
      </c>
      <c r="H106" s="16">
        <v>2023</v>
      </c>
      <c r="I106" s="16">
        <v>11</v>
      </c>
    </row>
    <row r="107" spans="1:9">
      <c r="A107" s="27">
        <v>45291</v>
      </c>
      <c r="B107" s="17" t="s">
        <v>12</v>
      </c>
      <c r="C107" s="17" t="s">
        <v>13</v>
      </c>
      <c r="D107" s="18">
        <v>3609316301.4</v>
      </c>
      <c r="E107" s="18">
        <v>11372121350.54</v>
      </c>
      <c r="F107" s="18">
        <v>11398504581.4</v>
      </c>
      <c r="G107" s="19">
        <v>2024</v>
      </c>
      <c r="H107" s="19">
        <v>2023</v>
      </c>
      <c r="I107" s="19">
        <v>12</v>
      </c>
    </row>
    <row r="108" spans="1:9">
      <c r="A108" s="26">
        <v>45322</v>
      </c>
      <c r="B108" s="14" t="s">
        <v>12</v>
      </c>
      <c r="C108" s="14" t="s">
        <v>13</v>
      </c>
      <c r="D108" s="15">
        <v>3730021310.42</v>
      </c>
      <c r="E108" s="15">
        <v>15102142660.96</v>
      </c>
      <c r="F108" s="15">
        <v>14927515115.79</v>
      </c>
      <c r="G108" s="16">
        <v>2024</v>
      </c>
      <c r="H108" s="16">
        <v>2024</v>
      </c>
      <c r="I108" s="16">
        <v>1</v>
      </c>
    </row>
    <row r="109" spans="1:9">
      <c r="A109" s="27">
        <v>45351</v>
      </c>
      <c r="B109" s="17" t="s">
        <v>12</v>
      </c>
      <c r="C109" s="17" t="s">
        <v>13</v>
      </c>
      <c r="D109" s="18">
        <v>3675755746.87</v>
      </c>
      <c r="E109" s="18">
        <v>18777898407.83</v>
      </c>
      <c r="F109" s="18">
        <v>18517372352.03</v>
      </c>
      <c r="G109" s="19">
        <v>2024</v>
      </c>
      <c r="H109" s="19">
        <v>2024</v>
      </c>
      <c r="I109" s="19">
        <v>2</v>
      </c>
    </row>
    <row r="110" spans="1:9">
      <c r="A110" s="26">
        <v>45382</v>
      </c>
      <c r="B110" s="14" t="s">
        <v>12</v>
      </c>
      <c r="C110" s="14" t="s">
        <v>13</v>
      </c>
      <c r="D110" s="15">
        <v>4065326521.69</v>
      </c>
      <c r="E110" s="15">
        <v>22843224929.52</v>
      </c>
      <c r="F110" s="15">
        <v>22526805454.22</v>
      </c>
      <c r="G110" s="16">
        <v>2024</v>
      </c>
      <c r="H110" s="16">
        <v>2024</v>
      </c>
      <c r="I110" s="16">
        <v>3</v>
      </c>
    </row>
    <row r="111" spans="1:9">
      <c r="A111" s="27">
        <v>45412</v>
      </c>
      <c r="B111" s="17" t="s">
        <v>12</v>
      </c>
      <c r="C111" s="17" t="s">
        <v>13</v>
      </c>
      <c r="D111" s="18">
        <v>4204474668.76</v>
      </c>
      <c r="E111" s="18">
        <v>27047699598.28</v>
      </c>
      <c r="F111" s="18">
        <v>26028380368.54</v>
      </c>
      <c r="G111" s="19">
        <v>2024</v>
      </c>
      <c r="H111" s="19">
        <v>2024</v>
      </c>
      <c r="I111" s="19">
        <v>4</v>
      </c>
    </row>
    <row r="112" spans="1:9">
      <c r="A112" s="26">
        <v>45443</v>
      </c>
      <c r="B112" s="14" t="s">
        <v>12</v>
      </c>
      <c r="C112" s="14" t="s">
        <v>13</v>
      </c>
      <c r="D112" s="15">
        <v>4051258348.85</v>
      </c>
      <c r="E112" s="15">
        <v>31098957947.13</v>
      </c>
      <c r="F112" s="15">
        <v>29940814586.36</v>
      </c>
      <c r="G112" s="16">
        <v>2024</v>
      </c>
      <c r="H112" s="16">
        <v>2024</v>
      </c>
      <c r="I112" s="16">
        <v>5</v>
      </c>
    </row>
    <row r="113" spans="1:9">
      <c r="A113" s="27">
        <v>45473</v>
      </c>
      <c r="B113" s="17" t="s">
        <v>12</v>
      </c>
      <c r="C113" s="17" t="s">
        <v>13</v>
      </c>
      <c r="D113" s="18">
        <v>4217593665.33</v>
      </c>
      <c r="E113" s="18">
        <v>35316551612.46</v>
      </c>
      <c r="F113" s="18">
        <v>33967129887.81</v>
      </c>
      <c r="G113" s="19">
        <v>2024</v>
      </c>
      <c r="H113" s="19">
        <v>2024</v>
      </c>
      <c r="I113" s="19">
        <v>6</v>
      </c>
    </row>
    <row r="114" spans="1:9">
      <c r="A114" s="26">
        <v>45504</v>
      </c>
      <c r="B114" s="14" t="s">
        <v>12</v>
      </c>
      <c r="C114" s="14" t="s">
        <v>13</v>
      </c>
      <c r="D114" s="15">
        <v>4112084165.92</v>
      </c>
      <c r="E114" s="15">
        <v>39428635778.38</v>
      </c>
      <c r="F114" s="15">
        <v>37784876739.8</v>
      </c>
      <c r="G114" s="16">
        <v>2024</v>
      </c>
      <c r="H114" s="16">
        <v>2024</v>
      </c>
      <c r="I114" s="16">
        <v>7</v>
      </c>
    </row>
    <row r="115" spans="1:9">
      <c r="A115" s="27">
        <v>45535</v>
      </c>
      <c r="B115" s="17" t="s">
        <v>12</v>
      </c>
      <c r="C115" s="17" t="s">
        <v>13</v>
      </c>
      <c r="D115" s="18">
        <v>4523714677.28</v>
      </c>
      <c r="E115" s="18">
        <v>43952350455.66</v>
      </c>
      <c r="F115" s="18">
        <v>42028851906.84</v>
      </c>
      <c r="G115" s="19">
        <v>2024</v>
      </c>
      <c r="H115" s="19">
        <v>2024</v>
      </c>
      <c r="I115" s="19">
        <v>8</v>
      </c>
    </row>
    <row r="116" spans="1:9">
      <c r="A116" s="26">
        <v>45565</v>
      </c>
      <c r="B116" s="14" t="s">
        <v>12</v>
      </c>
      <c r="C116" s="14" t="s">
        <v>13</v>
      </c>
      <c r="D116" s="15">
        <v>4257770542.66</v>
      </c>
      <c r="E116" s="15">
        <v>48210120998.32</v>
      </c>
      <c r="F116" s="15">
        <v>46505724453.32</v>
      </c>
      <c r="G116" s="16">
        <v>2024</v>
      </c>
      <c r="H116" s="16">
        <v>2024</v>
      </c>
      <c r="I116" s="16">
        <v>9</v>
      </c>
    </row>
    <row r="117" spans="1:9">
      <c r="A117" s="27">
        <v>45596</v>
      </c>
      <c r="B117" s="17" t="s">
        <v>12</v>
      </c>
      <c r="C117" s="17" t="s">
        <v>13</v>
      </c>
      <c r="D117" s="18">
        <v>4282709619.63</v>
      </c>
      <c r="E117" s="18">
        <v>4282709619.63</v>
      </c>
      <c r="F117" s="18">
        <v>3547587404.34</v>
      </c>
      <c r="G117" s="19">
        <v>2025</v>
      </c>
      <c r="H117" s="19">
        <v>2024</v>
      </c>
      <c r="I117" s="19">
        <v>10</v>
      </c>
    </row>
    <row r="118" spans="1:9">
      <c r="A118" s="26">
        <v>45626</v>
      </c>
      <c r="B118" s="14" t="s">
        <v>12</v>
      </c>
      <c r="C118" s="14" t="s">
        <v>13</v>
      </c>
      <c r="D118" s="15">
        <v>3906261272.27</v>
      </c>
      <c r="E118" s="15">
        <v>8188970891.9</v>
      </c>
      <c r="F118" s="15">
        <v>7762805049.14</v>
      </c>
      <c r="G118" s="16">
        <v>2025</v>
      </c>
      <c r="H118" s="16">
        <v>2024</v>
      </c>
      <c r="I118" s="16">
        <v>11</v>
      </c>
    </row>
    <row r="119" spans="1:9">
      <c r="A119" s="27">
        <v>45657</v>
      </c>
      <c r="B119" s="17" t="s">
        <v>12</v>
      </c>
      <c r="C119" s="17" t="s">
        <v>13</v>
      </c>
      <c r="D119" s="18">
        <v>3953251294.59</v>
      </c>
      <c r="E119" s="18">
        <v>12142222186.49</v>
      </c>
      <c r="F119" s="18">
        <v>11372121350.54</v>
      </c>
      <c r="G119" s="19">
        <v>2025</v>
      </c>
      <c r="H119" s="19">
        <v>2024</v>
      </c>
      <c r="I119" s="19">
        <v>12</v>
      </c>
    </row>
    <row r="120" spans="1:9">
      <c r="A120" s="26">
        <v>45688</v>
      </c>
      <c r="B120" s="14" t="s">
        <v>12</v>
      </c>
      <c r="C120" s="14" t="s">
        <v>13</v>
      </c>
      <c r="D120" s="15">
        <v>3554349934.53</v>
      </c>
      <c r="E120" s="15">
        <v>15696572121.02</v>
      </c>
      <c r="F120" s="15">
        <v>15102142660.96</v>
      </c>
      <c r="G120" s="16">
        <v>2025</v>
      </c>
      <c r="H120" s="16">
        <v>2025</v>
      </c>
      <c r="I120" s="16">
        <v>1</v>
      </c>
    </row>
    <row r="121" spans="1:9">
      <c r="A121" s="27">
        <v>45716</v>
      </c>
      <c r="B121" s="17" t="s">
        <v>12</v>
      </c>
      <c r="C121" s="17" t="s">
        <v>13</v>
      </c>
      <c r="D121" s="18">
        <v>3739157168.02</v>
      </c>
      <c r="E121" s="18">
        <v>19435729289.04</v>
      </c>
      <c r="F121" s="18">
        <v>18777898407.83</v>
      </c>
      <c r="G121" s="19">
        <v>2025</v>
      </c>
      <c r="H121" s="19">
        <v>2025</v>
      </c>
      <c r="I121" s="19">
        <v>2</v>
      </c>
    </row>
    <row r="122" spans="1:9">
      <c r="A122" s="26">
        <v>45747</v>
      </c>
      <c r="B122" s="14" t="s">
        <v>12</v>
      </c>
      <c r="C122" s="14" t="s">
        <v>13</v>
      </c>
      <c r="D122" s="15">
        <v>3549549495</v>
      </c>
      <c r="E122" s="15">
        <v>22985278784.04</v>
      </c>
      <c r="F122" s="15">
        <v>22843224929.52</v>
      </c>
      <c r="G122" s="16">
        <v>2025</v>
      </c>
      <c r="H122" s="16">
        <v>2025</v>
      </c>
      <c r="I122" s="16">
        <v>3</v>
      </c>
    </row>
    <row r="123" spans="1:9">
      <c r="A123" s="27">
        <v>45777</v>
      </c>
      <c r="B123" s="17" t="s">
        <v>12</v>
      </c>
      <c r="C123" s="17" t="s">
        <v>13</v>
      </c>
      <c r="D123" s="18">
        <v>3849531051.17</v>
      </c>
      <c r="E123" s="18">
        <v>26834809835.21</v>
      </c>
      <c r="F123" s="18">
        <v>27047699598.28</v>
      </c>
      <c r="G123" s="19">
        <v>2025</v>
      </c>
      <c r="H123" s="19">
        <v>2025</v>
      </c>
      <c r="I123" s="19">
        <v>4</v>
      </c>
    </row>
    <row r="124" spans="1:9">
      <c r="A124" s="26">
        <v>45808</v>
      </c>
      <c r="B124" s="14" t="s">
        <v>12</v>
      </c>
      <c r="C124" s="14" t="s">
        <v>13</v>
      </c>
      <c r="D124" s="15">
        <v>2768098809.94</v>
      </c>
      <c r="E124" s="15">
        <v>29602908645.15</v>
      </c>
      <c r="F124" s="15">
        <v>31098957947.13</v>
      </c>
      <c r="G124" s="16">
        <v>2025</v>
      </c>
      <c r="H124" s="16">
        <v>2025</v>
      </c>
      <c r="I124" s="16">
        <v>5</v>
      </c>
    </row>
    <row r="125" spans="1:9">
      <c r="A125" s="27">
        <v>45838</v>
      </c>
      <c r="B125" s="17" t="s">
        <v>12</v>
      </c>
      <c r="C125" s="17" t="s">
        <v>13</v>
      </c>
      <c r="D125" s="18">
        <v>4251809889.72</v>
      </c>
      <c r="E125" s="18">
        <v>33854718534.87</v>
      </c>
      <c r="F125" s="18">
        <v>35316551612.46</v>
      </c>
      <c r="G125" s="19">
        <v>2025</v>
      </c>
      <c r="H125" s="19">
        <v>2025</v>
      </c>
      <c r="I125" s="19">
        <v>6</v>
      </c>
    </row>
    <row r="126" spans="1:9">
      <c r="A126" s="26">
        <v>45869</v>
      </c>
      <c r="B126" s="14" t="s">
        <v>12</v>
      </c>
      <c r="C126" s="14" t="s">
        <v>13</v>
      </c>
      <c r="D126" s="15">
        <v>4519716660.51</v>
      </c>
      <c r="E126" s="15">
        <v>38374435195.38</v>
      </c>
      <c r="F126" s="15">
        <v>39428635778.38</v>
      </c>
      <c r="G126" s="16">
        <v>2025</v>
      </c>
      <c r="H126" s="16">
        <v>2025</v>
      </c>
      <c r="I126" s="16">
        <v>7</v>
      </c>
    </row>
    <row r="127" spans="1:9">
      <c r="A127" s="27">
        <v>45900</v>
      </c>
      <c r="B127" s="17" t="s">
        <v>12</v>
      </c>
      <c r="C127" s="17" t="s">
        <v>13</v>
      </c>
      <c r="D127" s="18">
        <v>4371512314.63</v>
      </c>
      <c r="E127" s="18">
        <v>42745947510.01</v>
      </c>
      <c r="F127" s="18">
        <v>43952350455.66</v>
      </c>
      <c r="G127" s="19">
        <v>2025</v>
      </c>
      <c r="H127" s="19">
        <v>2025</v>
      </c>
      <c r="I127" s="19">
        <v>8</v>
      </c>
    </row>
    <row r="128" spans="1:9">
      <c r="A128" s="26">
        <v>45930</v>
      </c>
      <c r="B128" s="14" t="s">
        <v>12</v>
      </c>
      <c r="C128" s="14" t="s">
        <v>13</v>
      </c>
      <c r="D128" s="15">
        <v>4595041398.36</v>
      </c>
      <c r="E128" s="15">
        <v>47340988908.37</v>
      </c>
      <c r="F128" s="15">
        <v>48210120998.32</v>
      </c>
      <c r="G128" s="16">
        <v>2025</v>
      </c>
      <c r="H128" s="16">
        <v>2025</v>
      </c>
      <c r="I128" s="16">
        <v>9</v>
      </c>
    </row>
    <row r="129" spans="1:9">
      <c r="A129" s="27">
        <v>45961</v>
      </c>
      <c r="B129" s="17" t="s">
        <v>12</v>
      </c>
      <c r="C129" s="17" t="s">
        <v>13</v>
      </c>
      <c r="D129" s="18">
        <v>3313968384.79</v>
      </c>
      <c r="E129" s="18">
        <v>3313968384.79</v>
      </c>
      <c r="F129" s="18">
        <v>4282709619.63</v>
      </c>
      <c r="G129" s="19">
        <v>2026</v>
      </c>
      <c r="H129" s="19">
        <v>2025</v>
      </c>
      <c r="I129" s="19">
        <v>10</v>
      </c>
    </row>
    <row r="130" spans="1:9">
      <c r="A130" s="26">
        <v>45991</v>
      </c>
      <c r="B130" s="14" t="s">
        <v>12</v>
      </c>
      <c r="C130" s="14" t="s">
        <v>13</v>
      </c>
      <c r="D130" s="15">
        <v>3598144608.05</v>
      </c>
      <c r="E130" s="15">
        <v>6912112992.84</v>
      </c>
      <c r="F130" s="15">
        <v>8188970891.9</v>
      </c>
      <c r="G130" s="16">
        <v>2026</v>
      </c>
      <c r="H130" s="16">
        <v>2025</v>
      </c>
      <c r="I130" s="16">
        <v>11</v>
      </c>
    </row>
    <row r="131" spans="1:9">
      <c r="A131" s="27">
        <v>46022</v>
      </c>
      <c r="B131" s="17" t="s">
        <v>12</v>
      </c>
      <c r="C131" s="17" t="s">
        <v>13</v>
      </c>
      <c r="D131" s="18">
        <v>4637578135.34</v>
      </c>
      <c r="E131" s="18">
        <v>11549691128.18</v>
      </c>
      <c r="F131" s="18">
        <v>12142222186.49</v>
      </c>
      <c r="G131" s="19">
        <v>2026</v>
      </c>
      <c r="H131" s="19">
        <v>2025</v>
      </c>
      <c r="I131" s="19">
        <v>12</v>
      </c>
    </row>
    <row r="132" spans="1:9">
      <c r="A132" s="26">
        <v>46053</v>
      </c>
      <c r="B132" s="14" t="s">
        <v>12</v>
      </c>
      <c r="C132" s="14" t="s">
        <v>13</v>
      </c>
      <c r="D132" s="15">
        <v>3559405026.02</v>
      </c>
      <c r="E132" s="15">
        <v>15109096154.2</v>
      </c>
      <c r="F132" s="15">
        <v>15696572121.02</v>
      </c>
      <c r="G132" s="16">
        <v>2026</v>
      </c>
      <c r="H132" s="16">
        <v>2026</v>
      </c>
      <c r="I132" s="16">
        <v>1</v>
      </c>
    </row>
    <row r="133" spans="1:9">
      <c r="A133" s="27">
        <v>46081</v>
      </c>
      <c r="B133" s="17" t="s">
        <v>12</v>
      </c>
      <c r="C133" s="17" t="s">
        <v>13</v>
      </c>
      <c r="D133" s="18">
        <v>3411467420.61</v>
      </c>
      <c r="E133" s="18">
        <v>18520563574.81</v>
      </c>
      <c r="F133" s="18">
        <v>19435729289.04</v>
      </c>
      <c r="G133" s="19">
        <v>2026</v>
      </c>
      <c r="H133" s="19">
        <v>2026</v>
      </c>
      <c r="I133" s="19">
        <v>2</v>
      </c>
    </row>
    <row r="134" spans="1:9">
      <c r="A134" s="26">
        <v>46112</v>
      </c>
      <c r="B134" s="14" t="s">
        <v>12</v>
      </c>
      <c r="C134" s="14" t="s">
        <v>13</v>
      </c>
      <c r="D134" s="15">
        <v>4039135587.25</v>
      </c>
      <c r="E134" s="15">
        <v>22559699162.06</v>
      </c>
      <c r="F134" s="15">
        <v>22985278784.04</v>
      </c>
      <c r="G134" s="16">
        <v>2026</v>
      </c>
      <c r="H134" s="16">
        <v>2026</v>
      </c>
      <c r="I134" s="16">
        <v>3</v>
      </c>
    </row>
    <row r="135" spans="1:9">
      <c r="A135" s="27">
        <v>46142</v>
      </c>
      <c r="B135" s="17" t="s">
        <v>12</v>
      </c>
      <c r="C135" s="17" t="s">
        <v>13</v>
      </c>
      <c r="D135" s="18">
        <v>3681741218.38</v>
      </c>
      <c r="E135" s="18">
        <v>26241440380.44</v>
      </c>
      <c r="F135" s="18">
        <v>26834809835.21</v>
      </c>
      <c r="G135" s="19">
        <v>2026</v>
      </c>
      <c r="H135" s="19">
        <v>2026</v>
      </c>
      <c r="I135" s="19">
        <v>4</v>
      </c>
    </row>
    <row r="136" spans="1:9">
      <c r="A136" s="26">
        <v>46173</v>
      </c>
      <c r="B136" s="14" t="s">
        <v>12</v>
      </c>
      <c r="C136" s="14" t="s">
        <v>13</v>
      </c>
      <c r="D136" s="15">
        <v>3604435494.97</v>
      </c>
      <c r="E136" s="15">
        <v>29845875875.41</v>
      </c>
      <c r="F136" s="15">
        <v>29602908645.15</v>
      </c>
      <c r="G136" s="16">
        <v>2026</v>
      </c>
      <c r="H136" s="16">
        <v>2026</v>
      </c>
      <c r="I136" s="16">
        <v>5</v>
      </c>
    </row>
    <row r="137" spans="1:9">
      <c r="A137" s="27">
        <v>46203</v>
      </c>
      <c r="B137" s="17" t="s">
        <v>12</v>
      </c>
      <c r="C137" s="17" t="s">
        <v>13</v>
      </c>
      <c r="D137" s="18">
        <v>4095626669.28</v>
      </c>
      <c r="E137" s="18">
        <v>33941502544.69</v>
      </c>
      <c r="F137" s="18">
        <v>33854718534.87</v>
      </c>
      <c r="G137" s="19">
        <v>2026</v>
      </c>
      <c r="H137" s="19">
        <v>2026</v>
      </c>
      <c r="I137" s="19">
        <v>6</v>
      </c>
    </row>
    <row r="138" spans="1:9">
      <c r="A138" s="26">
        <v>46234</v>
      </c>
      <c r="B138" s="14" t="s">
        <v>12</v>
      </c>
      <c r="C138" s="14" t="s">
        <v>13</v>
      </c>
      <c r="D138" s="15">
        <v>3613554249.47</v>
      </c>
      <c r="E138" s="15">
        <v>37555056794.16</v>
      </c>
      <c r="F138" s="15">
        <v>38374435195.38</v>
      </c>
      <c r="G138" s="16">
        <v>2026</v>
      </c>
      <c r="H138" s="16">
        <v>2026</v>
      </c>
      <c r="I138" s="16">
        <v>7</v>
      </c>
    </row>
  </sheetData>
  <autoFilter ref="A1:I1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── Charts ──</vt:lpstr>
      <vt:lpstr>_MTS_ChartData</vt:lpstr>
      <vt:lpstr>MTS Charts</vt:lpstr>
      <vt:lpstr>── Summary ──</vt:lpstr>
      <vt:lpstr>MTS Summary Statistics</vt:lpstr>
      <vt:lpstr>── Database ──</vt:lpstr>
      <vt:lpstr>MTS 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2026-08-13T17:41:24Z</dcterms:created>
  <dcterms:modified xsi:type="dcterms:W3CDTF">2026-08-13T17:41:24Z</dcterms:modified>
</cp:coreProperties>
</file>