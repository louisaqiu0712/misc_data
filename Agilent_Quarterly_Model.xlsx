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Model" sheetId="3" state="visible" r:id="rId5"/>
    <sheet name="Ups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<sst xmlns="http://schemas.openxmlformats.org/spreadsheetml/2006/main" count="285" uniqueCount="107">
  <si>
    <t xml:space="preserve">Agilent Technologies (A) — Quarterly Model by End Market</t>
  </si>
  <si>
    <t xml:space="preserve">Purpose</t>
  </si>
  <si>
    <t xml:space="preserve">Quarterly revenue build by end market (Pharma, Chemical &amp; Applied, Diagnostics &amp; Clinical, Food, Academia &amp; Gov, Environmental &amp; Forensics) with organic / FX / M&amp;A bridge. Secondary segment view (LDG, ACG, AMG). FY23-FY28. Agilent fiscal year ends Oct 31.</t>
  </si>
  <si>
    <t xml:space="preserve">Tab guide</t>
  </si>
  <si>
    <t xml:space="preserve">COVER — this page.</t>
  </si>
  <si>
    <t xml:space="preserve">Summary — consolidated headline, per-end-market table, per-segment table, LRP overlay.</t>
  </si>
  <si>
    <t xml:space="preserve">Model — end-market revenue build with organic / FX / M&amp;A bridge, segment-level revenue build, segment income.</t>
  </si>
  <si>
    <t xml:space="preserve">Upside — FY26-FY28 model vs guidance.</t>
  </si>
  <si>
    <t xml:space="preserve">Color convention</t>
  </si>
  <si>
    <t xml:space="preserve">Black formulas | Blue hardcoded actuals | Red forward assumptions | Green cross-sheet links</t>
  </si>
  <si>
    <t xml:space="preserve">Notable M&amp;A</t>
  </si>
  <si>
    <t xml:space="preserve">BIOVECTRA acquisition — closed May 2024. Canadian CDMO. ~$130M FY24 revenue, $149.5M FY25. Flows into LDG / Pharma end market. FY25 total Agilent M&amp;A bridge was +1.8% — Biovectra is the main contributor; bolt-ons make up the rest.</t>
  </si>
  <si>
    <t xml:space="preserve">Bridge note</t>
  </si>
  <si>
    <t xml:space="preserve">Agilent discloses organic / FX / M&amp;A growth at TOTAL company level only (no end-market or segment bridge). Historical bridge in model is at the total Agilent level; end-market organic uses derived approximation (reported growth minus uniform FX). Forward inputs are at end-market level for granular scenario control.</t>
  </si>
  <si>
    <t xml:space="preserve">Sources</t>
  </si>
  <si>
    <t xml:space="preserve">Bernstein A Model (Revenue tab end-market history); Agilent 10-K / 10-Q disclosures for bridge percentages; company press releases for Biovectra.</t>
  </si>
  <si>
    <t xml:space="preserve">Agilent — Consolidated Summary</t>
  </si>
  <si>
    <t xml:space="preserve">Period</t>
  </si>
  <si>
    <t xml:space="preserve">1Q</t>
  </si>
  <si>
    <t xml:space="preserve">2Q</t>
  </si>
  <si>
    <t xml:space="preserve">3Q</t>
  </si>
  <si>
    <t xml:space="preserve">4Q</t>
  </si>
  <si>
    <t xml:space="preserve">FY</t>
  </si>
  <si>
    <t xml:space="preserve">Fiscal Year (Oct YE)</t>
  </si>
  <si>
    <t xml:space="preserve">Status</t>
  </si>
  <si>
    <t xml:space="preserve">REPORTED</t>
  </si>
  <si>
    <t xml:space="preserve">Reported (blank) or Estimate ("E")</t>
  </si>
  <si>
    <t xml:space="preserve">E</t>
  </si>
  <si>
    <t xml:space="preserve">Fiscal Period</t>
  </si>
  <si>
    <t xml:space="preserve">Period end date</t>
  </si>
  <si>
    <t xml:space="preserve">REVENUE</t>
  </si>
  <si>
    <t xml:space="preserve">Total Agilent revenue ($M)</t>
  </si>
  <si>
    <t xml:space="preserve">  Reported Y/Y</t>
  </si>
  <si>
    <t xml:space="preserve">  Organic</t>
  </si>
  <si>
    <t xml:space="preserve">  M&amp;A</t>
  </si>
  <si>
    <t xml:space="preserve">  FX</t>
  </si>
  <si>
    <t xml:space="preserve">ADJ OPERATING INCOME</t>
  </si>
  <si>
    <t xml:space="preserve">Total adj op income ($M)</t>
  </si>
  <si>
    <t xml:space="preserve">  Adj op margin %</t>
  </si>
  <si>
    <t xml:space="preserve">  Margin Y/Y (bps)</t>
  </si>
  <si>
    <t xml:space="preserve">BY END MARKET</t>
  </si>
  <si>
    <t xml:space="preserve">Pharma</t>
  </si>
  <si>
    <t xml:space="preserve">  Revenue ($M)</t>
  </si>
  <si>
    <t xml:space="preserve">Chemical &amp; Applied</t>
  </si>
  <si>
    <t xml:space="preserve">Diagnostics &amp; Clinical</t>
  </si>
  <si>
    <t xml:space="preserve">Food</t>
  </si>
  <si>
    <t xml:space="preserve">Academia &amp; Government</t>
  </si>
  <si>
    <t xml:space="preserve">Environmental &amp; Forensics</t>
  </si>
  <si>
    <t xml:space="preserve">BY SEGMENT</t>
  </si>
  <si>
    <t xml:space="preserve">Life Sciences &amp; Diagnostics Group (LDG)</t>
  </si>
  <si>
    <t xml:space="preserve">  Adj op income ($M)</t>
  </si>
  <si>
    <t xml:space="preserve">Agilent CrossLab Group (ACG)</t>
  </si>
  <si>
    <t xml:space="preserve">Applied Markets Group (AMG)</t>
  </si>
  <si>
    <t xml:space="preserve">NOTABLE M&amp;A SCHEDULE</t>
  </si>
  <si>
    <t xml:space="preserve">Event</t>
  </si>
  <si>
    <t xml:space="preserve">Target end market / segment</t>
  </si>
  <si>
    <t xml:space="preserve">Close date</t>
  </si>
  <si>
    <t xml:space="preserve">FY rev ($M)</t>
  </si>
  <si>
    <t xml:space="preserve">Source</t>
  </si>
  <si>
    <t xml:space="preserve">BIOVECTRA</t>
  </si>
  <si>
    <t xml:space="preserve">Pharma / LDG</t>
  </si>
  <si>
    <t xml:space="preserve">May 2024</t>
  </si>
  <si>
    <t xml:space="preserve">Closed</t>
  </si>
  <si>
    <t xml:space="preserve">Bernstein A model BIOVECTRA tab</t>
  </si>
  <si>
    <t xml:space="preserve">AGILENT LONG-RANGE PLAN OVERLAY</t>
  </si>
  <si>
    <t xml:space="preserve">LRP metric</t>
  </si>
  <si>
    <t xml:space="preserve">Guide</t>
  </si>
  <si>
    <t xml:space="preserve">Model FY27E</t>
  </si>
  <si>
    <t xml:space="preserve">Model FY28E</t>
  </si>
  <si>
    <t xml:space="preserve">Organic revenue growth</t>
  </si>
  <si>
    <t xml:space="preserve">5-7%</t>
  </si>
  <si>
    <t xml:space="preserve">Agilent Analyst Day LRP</t>
  </si>
  <si>
    <t xml:space="preserve">Adj operating margin</t>
  </si>
  <si>
    <t xml:space="preserve">~26-28%</t>
  </si>
  <si>
    <t xml:space="preserve">Agilent LRP framework</t>
  </si>
  <si>
    <t xml:space="preserve">Adj EPS growth</t>
  </si>
  <si>
    <t xml:space="preserve">Double-digit</t>
  </si>
  <si>
    <t xml:space="preserve">Agilent Quarterly Model — Revenue by End Market &amp; Segment Income ($M)</t>
  </si>
  <si>
    <t xml:space="preserve">TOP-LINE SUMMARY (from bottom of tab)</t>
  </si>
  <si>
    <t xml:space="preserve">Total adj operating income ($M)</t>
  </si>
  <si>
    <t xml:space="preserve">  Total adj op margin %</t>
  </si>
  <si>
    <t xml:space="preserve">END MARKET REVENUE BUILD</t>
  </si>
  <si>
    <t xml:space="preserve">Bernstein / 10-Q</t>
  </si>
  <si>
    <t xml:space="preserve">TOTAL AGILENT REVENUE</t>
  </si>
  <si>
    <t xml:space="preserve">SEGMENT REVENUE (secondary view)</t>
  </si>
  <si>
    <t xml:space="preserve">  Check: Segment sum vs Total ($M, should be 0)</t>
  </si>
  <si>
    <t xml:space="preserve">SEGMENT INCOME BUILD</t>
  </si>
  <si>
    <t xml:space="preserve">  Segment revenue ($M)</t>
  </si>
  <si>
    <t xml:space="preserve">  Segment adj op margin %</t>
  </si>
  <si>
    <t xml:space="preserve">  Segment adj op income ($M)</t>
  </si>
  <si>
    <t xml:space="preserve">TOTAL ADJ OPERATING INCOME</t>
  </si>
  <si>
    <t xml:space="preserve">Agilent Model vs Guidance</t>
  </si>
  <si>
    <t xml:space="preserve">Metric</t>
  </si>
  <si>
    <t xml:space="preserve">FY26 Guide</t>
  </si>
  <si>
    <t xml:space="preserve">FY26 Model</t>
  </si>
  <si>
    <t xml:space="preserve">FY26 Δ</t>
  </si>
  <si>
    <t xml:space="preserve">FY27 Model</t>
  </si>
  <si>
    <t xml:space="preserve">FY28 Model</t>
  </si>
  <si>
    <t xml:space="preserve">Revenue ($M)</t>
  </si>
  <si>
    <t xml:space="preserve">Organic growth %</t>
  </si>
  <si>
    <t xml:space="preserve">Adj op income ($M)</t>
  </si>
  <si>
    <t xml:space="preserve">Adj op margin %</t>
  </si>
  <si>
    <t xml:space="preserve">How to use</t>
  </si>
  <si>
    <t xml:space="preserve">1. Update column C (BLUE) with the latest guidance.</t>
  </si>
  <si>
    <t xml:space="preserve">2. Adjust forward end-market organic / FX / M&amp;A on the Model tab (RED cells).</t>
  </si>
  <si>
    <t xml:space="preserve">3. Adjust segment margin assumptions on the Model tab to test op-leverage scenarios.</t>
  </si>
  <si>
    <t xml:space="preserve">4. Watch columns D and E to size upside / downside vs. guidance.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</si>
</sst>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mmm\-yyyy"/>
    <numFmt numFmtId="167" formatCode="#,##0;\(#,##0\);\-"/>
    <numFmt numFmtId="168" formatCode="\+0.0%;\-0.0%;\-"/>
    <numFmt numFmtId="169" formatCode="0.0%;\(0.0%\);\-"/>
    <numFmt numFmtId="170" formatCode="\+0;\-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FF"/>
      <name val="Arial"/>
      <family val="0"/>
      <charset val="1"/>
    </font>
    <font>
      <b val="true"/>
      <i val="true"/>
      <sz val="8"/>
      <color rgb="FF1F4E78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8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8"/>
      <color rgb="FFC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1F4E78"/>
      </left>
      <right/>
      <top style="thin">
        <color rgb="FF1F4E78"/>
      </top>
      <bottom style="thin">
        <color rgb="FF1F4E78"/>
      </bottom>
      <diagonal/>
    </border>
    <border diagonalUp="false" diagonalDown="false">
      <left/>
      <right/>
      <top style="thin">
        <color rgb="FF1F4E78"/>
      </top>
      <bottom style="thin">
        <color rgb="FF1F4E78"/>
      </bottom>
      <diagonal/>
    </border>
    <border diagonalUp="false" diagonalDown="false">
      <left/>
      <right style="thin">
        <color rgb="FF1F4E78"/>
      </right>
      <top style="thin">
        <color rgb="FF1F4E78"/>
      </top>
      <bottom style="thin">
        <color rgb="FF1F4E78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0"/>
  </cols>
  <sheetData>
    <row r="2" customFormat="false" ht="1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30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4" t="s">
        <v>9</v>
      </c>
    </row>
    <row r="16" customFormat="false" ht="15" hidden="false" customHeight="false" outlineLevel="0" collapsed="false">
      <c r="B16" s="2" t="s">
        <v>10</v>
      </c>
    </row>
    <row r="17" customFormat="false" ht="30" hidden="false" customHeight="true" outlineLevel="0" collapsed="false">
      <c r="B17" s="3" t="s">
        <v>11</v>
      </c>
    </row>
    <row r="19" customFormat="false" ht="15" hidden="false" customHeight="false" outlineLevel="0" collapsed="false">
      <c r="B19" s="2" t="s">
        <v>12</v>
      </c>
    </row>
    <row r="20" customFormat="false" ht="39.75" hidden="false" customHeight="true" outlineLevel="0" collapsed="false">
      <c r="B20" s="3" t="s">
        <v>13</v>
      </c>
    </row>
    <row r="22" customFormat="false" ht="15" hidden="false" customHeight="false" outlineLevel="0" collapsed="false">
      <c r="B22" s="2" t="s">
        <v>14</v>
      </c>
    </row>
    <row r="23" customFormat="false" ht="15" hidden="false" customHeight="false" outlineLevel="0" collapsed="false">
      <c r="B23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"/>
    <col collapsed="false" customWidth="true" hidden="false" outlineLevel="0" max="3" min="3" style="0" width="38"/>
    <col collapsed="false" customWidth="true" hidden="false" outlineLevel="0" max="7" min="4" style="0" width="10"/>
    <col collapsed="false" customWidth="true" hidden="false" outlineLevel="0" max="8" min="8" style="0" width="11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7" min="14" style="0" width="10"/>
    <col collapsed="false" customWidth="true" hidden="false" outlineLevel="0" max="18" min="18" style="0" width="11"/>
    <col collapsed="false" customWidth="true" hidden="false" outlineLevel="0" max="22" min="19" style="0" width="10"/>
    <col collapsed="false" customWidth="true" hidden="false" outlineLevel="0" max="23" min="23" style="0" width="11"/>
    <col collapsed="false" customWidth="true" hidden="false" outlineLevel="0" max="27" min="24" style="0" width="10"/>
    <col collapsed="false" customWidth="true" hidden="false" outlineLevel="0" max="28" min="28" style="0" width="11"/>
    <col collapsed="false" customWidth="true" hidden="false" outlineLevel="0" max="32" min="29" style="0" width="10"/>
    <col collapsed="false" customWidth="true" hidden="false" outlineLevel="0" max="33" min="33" style="0" width="11"/>
  </cols>
  <sheetData>
    <row r="2" customFormat="false" ht="15" hidden="false" customHeight="false" outlineLevel="0" collapsed="false">
      <c r="B2" s="1" t="s">
        <v>16</v>
      </c>
    </row>
    <row r="4" customFormat="false" ht="15" hidden="false" customHeight="false" outlineLevel="0" collapsed="false">
      <c r="C4" s="2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18</v>
      </c>
      <c r="J4" s="5" t="s">
        <v>19</v>
      </c>
      <c r="K4" s="5" t="s">
        <v>20</v>
      </c>
      <c r="L4" s="5" t="s">
        <v>21</v>
      </c>
      <c r="M4" s="5" t="s">
        <v>22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18</v>
      </c>
      <c r="Y4" s="5" t="s">
        <v>19</v>
      </c>
      <c r="Z4" s="5" t="s">
        <v>20</v>
      </c>
      <c r="AA4" s="5" t="s">
        <v>21</v>
      </c>
      <c r="AB4" s="5" t="s">
        <v>22</v>
      </c>
      <c r="AC4" s="5" t="s">
        <v>18</v>
      </c>
      <c r="AD4" s="5" t="s">
        <v>19</v>
      </c>
      <c r="AE4" s="5" t="s">
        <v>20</v>
      </c>
      <c r="AF4" s="5" t="s">
        <v>21</v>
      </c>
      <c r="AG4" s="5" t="s">
        <v>22</v>
      </c>
    </row>
    <row r="5" customFormat="false" ht="15" hidden="false" customHeight="false" outlineLevel="0" collapsed="false">
      <c r="C5" s="2" t="s">
        <v>23</v>
      </c>
      <c r="D5" s="6" t="n">
        <v>23</v>
      </c>
      <c r="E5" s="7" t="n">
        <f aca="false">D5</f>
        <v>23</v>
      </c>
      <c r="F5" s="7" t="n">
        <f aca="false">E5</f>
        <v>23</v>
      </c>
      <c r="G5" s="7" t="n">
        <f aca="false">F5</f>
        <v>23</v>
      </c>
      <c r="H5" s="7" t="n">
        <f aca="false">G5</f>
        <v>23</v>
      </c>
      <c r="I5" s="8" t="n">
        <f aca="false">H5+1</f>
        <v>24</v>
      </c>
      <c r="J5" s="7" t="n">
        <f aca="false">I5</f>
        <v>24</v>
      </c>
      <c r="K5" s="7" t="n">
        <f aca="false">J5</f>
        <v>24</v>
      </c>
      <c r="L5" s="7" t="n">
        <f aca="false">K5</f>
        <v>24</v>
      </c>
      <c r="M5" s="7" t="n">
        <f aca="false">L5</f>
        <v>24</v>
      </c>
      <c r="N5" s="8" t="n">
        <f aca="false">M5+1</f>
        <v>25</v>
      </c>
      <c r="O5" s="7" t="n">
        <f aca="false">N5</f>
        <v>25</v>
      </c>
      <c r="P5" s="7" t="n">
        <f aca="false">O5</f>
        <v>25</v>
      </c>
      <c r="Q5" s="7" t="n">
        <f aca="false">P5</f>
        <v>25</v>
      </c>
      <c r="R5" s="7" t="n">
        <f aca="false">Q5</f>
        <v>25</v>
      </c>
      <c r="S5" s="8" t="n">
        <f aca="false">R5+1</f>
        <v>26</v>
      </c>
      <c r="T5" s="7" t="n">
        <f aca="false">S5</f>
        <v>26</v>
      </c>
      <c r="U5" s="7" t="n">
        <f aca="false">T5</f>
        <v>26</v>
      </c>
      <c r="V5" s="7" t="n">
        <f aca="false">U5</f>
        <v>26</v>
      </c>
      <c r="W5" s="7" t="n">
        <f aca="false">V5</f>
        <v>26</v>
      </c>
      <c r="X5" s="8" t="n">
        <f aca="false">W5+1</f>
        <v>27</v>
      </c>
      <c r="Y5" s="7" t="n">
        <f aca="false">X5</f>
        <v>27</v>
      </c>
      <c r="Z5" s="7" t="n">
        <f aca="false">Y5</f>
        <v>27</v>
      </c>
      <c r="AA5" s="7" t="n">
        <f aca="false">Z5</f>
        <v>27</v>
      </c>
      <c r="AB5" s="7" t="n">
        <f aca="false">AA5</f>
        <v>27</v>
      </c>
      <c r="AC5" s="8" t="n">
        <f aca="false">AB5+1</f>
        <v>28</v>
      </c>
      <c r="AD5" s="7" t="n">
        <f aca="false">AC5</f>
        <v>28</v>
      </c>
      <c r="AE5" s="7" t="n">
        <f aca="false">AD5</f>
        <v>28</v>
      </c>
      <c r="AF5" s="7" t="n">
        <f aca="false">AE5</f>
        <v>28</v>
      </c>
      <c r="AG5" s="7" t="n">
        <f aca="false">AF5</f>
        <v>28</v>
      </c>
    </row>
    <row r="7" customFormat="false" ht="15" hidden="false" customHeight="false" outlineLevel="0" collapsed="false">
      <c r="C7" s="2" t="s">
        <v>24</v>
      </c>
      <c r="D7" s="9" t="s">
        <v>25</v>
      </c>
      <c r="E7" s="10"/>
      <c r="F7" s="10"/>
      <c r="G7" s="10"/>
      <c r="H7" s="11"/>
      <c r="I7" s="9" t="s">
        <v>25</v>
      </c>
      <c r="J7" s="10"/>
      <c r="K7" s="10"/>
      <c r="L7" s="10"/>
      <c r="M7" s="11"/>
      <c r="N7" s="9" t="s">
        <v>25</v>
      </c>
      <c r="O7" s="10"/>
      <c r="P7" s="10"/>
      <c r="Q7" s="10"/>
      <c r="R7" s="11"/>
    </row>
    <row r="8" customFormat="false" ht="15" hidden="false" customHeight="false" outlineLevel="0" collapsed="false">
      <c r="C8" s="2" t="s">
        <v>26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 t="s">
        <v>27</v>
      </c>
      <c r="V8" s="12" t="s">
        <v>27</v>
      </c>
      <c r="W8" s="12" t="s">
        <v>27</v>
      </c>
      <c r="X8" s="12" t="s">
        <v>27</v>
      </c>
      <c r="Y8" s="12" t="s">
        <v>27</v>
      </c>
      <c r="Z8" s="12" t="s">
        <v>27</v>
      </c>
      <c r="AA8" s="12" t="s">
        <v>27</v>
      </c>
      <c r="AB8" s="12" t="s">
        <v>27</v>
      </c>
      <c r="AC8" s="12" t="s">
        <v>27</v>
      </c>
      <c r="AD8" s="12" t="s">
        <v>27</v>
      </c>
      <c r="AE8" s="12" t="s">
        <v>27</v>
      </c>
      <c r="AF8" s="12" t="s">
        <v>27</v>
      </c>
      <c r="AG8" s="12" t="s">
        <v>27</v>
      </c>
    </row>
    <row r="9" customFormat="false" ht="15" hidden="false" customHeight="false" outlineLevel="0" collapsed="false">
      <c r="C9" s="2" t="s">
        <v>28</v>
      </c>
      <c r="D9" s="13" t="str">
        <f aca="false">D$4&amp;D5&amp;D8</f>
        <v>1Q23</v>
      </c>
      <c r="E9" s="13" t="str">
        <f aca="false">E$4&amp;E5&amp;E8</f>
        <v>2Q23</v>
      </c>
      <c r="F9" s="13" t="str">
        <f aca="false">F$4&amp;F5&amp;F8</f>
        <v>3Q23</v>
      </c>
      <c r="G9" s="13" t="str">
        <f aca="false">G$4&amp;G5&amp;G8</f>
        <v>4Q23</v>
      </c>
      <c r="H9" s="14" t="str">
        <f aca="false">H$4&amp;H5&amp;H8</f>
        <v>FY23</v>
      </c>
      <c r="I9" s="13" t="str">
        <f aca="false">I$4&amp;I5&amp;I8</f>
        <v>1Q24</v>
      </c>
      <c r="J9" s="13" t="str">
        <f aca="false">J$4&amp;J5&amp;J8</f>
        <v>2Q24</v>
      </c>
      <c r="K9" s="13" t="str">
        <f aca="false">K$4&amp;K5&amp;K8</f>
        <v>3Q24</v>
      </c>
      <c r="L9" s="13" t="str">
        <f aca="false">L$4&amp;L5&amp;L8</f>
        <v>4Q24</v>
      </c>
      <c r="M9" s="14" t="str">
        <f aca="false">M$4&amp;M5&amp;M8</f>
        <v>FY24</v>
      </c>
      <c r="N9" s="13" t="str">
        <f aca="false">N$4&amp;N5&amp;N8</f>
        <v>1Q25</v>
      </c>
      <c r="O9" s="13" t="str">
        <f aca="false">O$4&amp;O5&amp;O8</f>
        <v>2Q25</v>
      </c>
      <c r="P9" s="13" t="str">
        <f aca="false">P$4&amp;P5&amp;P8</f>
        <v>3Q25</v>
      </c>
      <c r="Q9" s="13" t="str">
        <f aca="false">Q$4&amp;Q5&amp;Q8</f>
        <v>4Q25</v>
      </c>
      <c r="R9" s="14" t="str">
        <f aca="false">R$4&amp;R5&amp;R8</f>
        <v>FY25</v>
      </c>
      <c r="S9" s="13" t="str">
        <f aca="false">S$4&amp;S5&amp;S8</f>
        <v>1Q26</v>
      </c>
      <c r="T9" s="13" t="str">
        <f aca="false">T$4&amp;T5&amp;T8</f>
        <v>2Q26</v>
      </c>
      <c r="U9" s="13" t="str">
        <f aca="false">U$4&amp;U5&amp;U8</f>
        <v>3Q26E</v>
      </c>
      <c r="V9" s="13" t="str">
        <f aca="false">V$4&amp;V5&amp;V8</f>
        <v>4Q26E</v>
      </c>
      <c r="W9" s="14" t="str">
        <f aca="false">W$4&amp;W5&amp;W8</f>
        <v>FY26E</v>
      </c>
      <c r="X9" s="13" t="str">
        <f aca="false">X$4&amp;X5&amp;X8</f>
        <v>1Q27E</v>
      </c>
      <c r="Y9" s="13" t="str">
        <f aca="false">Y$4&amp;Y5&amp;Y8</f>
        <v>2Q27E</v>
      </c>
      <c r="Z9" s="13" t="str">
        <f aca="false">Z$4&amp;Z5&amp;Z8</f>
        <v>3Q27E</v>
      </c>
      <c r="AA9" s="13" t="str">
        <f aca="false">AA$4&amp;AA5&amp;AA8</f>
        <v>4Q27E</v>
      </c>
      <c r="AB9" s="14" t="str">
        <f aca="false">AB$4&amp;AB5&amp;AB8</f>
        <v>FY27E</v>
      </c>
      <c r="AC9" s="13" t="str">
        <f aca="false">AC$4&amp;AC5&amp;AC8</f>
        <v>1Q28E</v>
      </c>
      <c r="AD9" s="13" t="str">
        <f aca="false">AD$4&amp;AD5&amp;AD8</f>
        <v>2Q28E</v>
      </c>
      <c r="AE9" s="13" t="str">
        <f aca="false">AE$4&amp;AE5&amp;AE8</f>
        <v>3Q28E</v>
      </c>
      <c r="AF9" s="13" t="str">
        <f aca="false">AF$4&amp;AF5&amp;AF8</f>
        <v>4Q28E</v>
      </c>
      <c r="AG9" s="14" t="str">
        <f aca="false">AG$4&amp;AG5&amp;AG8</f>
        <v>FY28E</v>
      </c>
    </row>
    <row r="10" customFormat="false" ht="15" hidden="false" customHeight="false" outlineLevel="0" collapsed="false">
      <c r="C10" s="2" t="s">
        <v>29</v>
      </c>
      <c r="D10" s="15" t="n">
        <v>44957</v>
      </c>
      <c r="E10" s="15" t="n">
        <v>45046</v>
      </c>
      <c r="F10" s="15" t="n">
        <v>45138</v>
      </c>
      <c r="G10" s="15" t="n">
        <v>45230</v>
      </c>
      <c r="H10" s="16" t="n">
        <v>45230</v>
      </c>
      <c r="I10" s="15" t="n">
        <v>45322</v>
      </c>
      <c r="J10" s="15" t="n">
        <v>45412</v>
      </c>
      <c r="K10" s="15" t="n">
        <v>45504</v>
      </c>
      <c r="L10" s="15" t="n">
        <v>45596</v>
      </c>
      <c r="M10" s="16" t="n">
        <v>45596</v>
      </c>
      <c r="N10" s="15" t="n">
        <v>45688</v>
      </c>
      <c r="O10" s="15" t="n">
        <v>45777</v>
      </c>
      <c r="P10" s="15" t="n">
        <v>45869</v>
      </c>
      <c r="Q10" s="15" t="n">
        <v>45961</v>
      </c>
      <c r="R10" s="16" t="n">
        <v>45961</v>
      </c>
      <c r="S10" s="15" t="n">
        <v>46053</v>
      </c>
      <c r="T10" s="15" t="n">
        <v>46142</v>
      </c>
      <c r="U10" s="15" t="n">
        <v>46234</v>
      </c>
      <c r="V10" s="15" t="n">
        <v>46326</v>
      </c>
      <c r="W10" s="16" t="n">
        <v>46326</v>
      </c>
      <c r="X10" s="15" t="n">
        <v>46418</v>
      </c>
      <c r="Y10" s="15" t="n">
        <v>46507</v>
      </c>
      <c r="Z10" s="15" t="n">
        <v>46599</v>
      </c>
      <c r="AA10" s="15" t="n">
        <v>46691</v>
      </c>
      <c r="AB10" s="16" t="n">
        <v>46691</v>
      </c>
      <c r="AC10" s="15" t="n">
        <v>46783</v>
      </c>
      <c r="AD10" s="15" t="n">
        <v>46873</v>
      </c>
      <c r="AE10" s="15" t="n">
        <v>46965</v>
      </c>
      <c r="AF10" s="15" t="n">
        <v>47057</v>
      </c>
      <c r="AG10" s="16" t="n">
        <v>47057</v>
      </c>
    </row>
    <row r="11" customFormat="false" ht="15" hidden="false" customHeight="false" outlineLevel="0" collapsed="false">
      <c r="B11" s="17" t="s">
        <v>30</v>
      </c>
      <c r="C11" s="18"/>
      <c r="D11" s="18"/>
      <c r="E11" s="18"/>
      <c r="F11" s="18"/>
      <c r="G11" s="18"/>
      <c r="H11" s="19"/>
      <c r="I11" s="18"/>
      <c r="J11" s="18"/>
      <c r="K11" s="18"/>
      <c r="L11" s="18"/>
      <c r="M11" s="19"/>
      <c r="N11" s="18"/>
      <c r="O11" s="18"/>
      <c r="P11" s="18"/>
      <c r="Q11" s="18"/>
      <c r="R11" s="19"/>
      <c r="S11" s="18"/>
      <c r="T11" s="18"/>
      <c r="U11" s="18"/>
      <c r="V11" s="18"/>
      <c r="W11" s="19"/>
      <c r="X11" s="18"/>
      <c r="Y11" s="18"/>
      <c r="Z11" s="18"/>
      <c r="AA11" s="18"/>
      <c r="AB11" s="19"/>
      <c r="AC11" s="18"/>
      <c r="AD11" s="18"/>
      <c r="AE11" s="18"/>
      <c r="AF11" s="18"/>
      <c r="AG11" s="19"/>
    </row>
    <row r="12" customFormat="false" ht="15" hidden="false" customHeight="false" outlineLevel="0" collapsed="false">
      <c r="C12" s="2" t="s">
        <v>31</v>
      </c>
      <c r="D12" s="20" t="n">
        <f aca="false">Model!D54</f>
        <v>1756</v>
      </c>
      <c r="E12" s="20" t="n">
        <f aca="false">Model!E54</f>
        <v>1717</v>
      </c>
      <c r="F12" s="20" t="n">
        <f aca="false">Model!F54</f>
        <v>1672</v>
      </c>
      <c r="G12" s="20" t="n">
        <f aca="false">Model!G54</f>
        <v>1688</v>
      </c>
      <c r="H12" s="21" t="n">
        <f aca="false">Model!H54</f>
        <v>6833</v>
      </c>
      <c r="I12" s="20" t="n">
        <f aca="false">Model!I54</f>
        <v>1658</v>
      </c>
      <c r="J12" s="20" t="n">
        <f aca="false">Model!J54</f>
        <v>1573</v>
      </c>
      <c r="K12" s="20" t="n">
        <f aca="false">Model!K54</f>
        <v>1578</v>
      </c>
      <c r="L12" s="20" t="n">
        <f aca="false">Model!L54</f>
        <v>1701</v>
      </c>
      <c r="M12" s="21" t="n">
        <f aca="false">Model!M54</f>
        <v>6510</v>
      </c>
      <c r="N12" s="20" t="n">
        <f aca="false">Model!N54</f>
        <v>1681</v>
      </c>
      <c r="O12" s="20" t="n">
        <f aca="false">Model!O54</f>
        <v>1668</v>
      </c>
      <c r="P12" s="20" t="n">
        <f aca="false">Model!P54</f>
        <v>1738</v>
      </c>
      <c r="Q12" s="20" t="n">
        <f aca="false">Model!Q54</f>
        <v>1861</v>
      </c>
      <c r="R12" s="21" t="n">
        <f aca="false">Model!R54</f>
        <v>6948</v>
      </c>
      <c r="S12" s="20" t="n">
        <f aca="false">Model!S54</f>
        <v>1798</v>
      </c>
      <c r="T12" s="20" t="n">
        <f aca="false">Model!T54</f>
        <v>1835</v>
      </c>
      <c r="U12" s="20" t="n">
        <f aca="false">Model!U54</f>
        <v>1807.52</v>
      </c>
      <c r="V12" s="20" t="n">
        <f aca="false">Model!V54</f>
        <v>1935.44</v>
      </c>
      <c r="W12" s="21" t="n">
        <f aca="false">Model!W54</f>
        <v>7375.96</v>
      </c>
      <c r="X12" s="20" t="n">
        <f aca="false">Model!X54</f>
        <v>1869.92</v>
      </c>
      <c r="Y12" s="20" t="n">
        <f aca="false">Model!Y54</f>
        <v>1908.4</v>
      </c>
      <c r="Z12" s="20" t="n">
        <f aca="false">Model!Z54</f>
        <v>1879.8208</v>
      </c>
      <c r="AA12" s="20" t="n">
        <f aca="false">Model!AA54</f>
        <v>2012.8576</v>
      </c>
      <c r="AB12" s="21" t="n">
        <f aca="false">Model!AB54</f>
        <v>7670.9984</v>
      </c>
      <c r="AC12" s="20" t="n">
        <f aca="false">Model!AC54</f>
        <v>1944.7168</v>
      </c>
      <c r="AD12" s="20" t="n">
        <f aca="false">Model!AD54</f>
        <v>1984.736</v>
      </c>
      <c r="AE12" s="20" t="n">
        <f aca="false">Model!AE54</f>
        <v>1955.013632</v>
      </c>
      <c r="AF12" s="20" t="n">
        <f aca="false">Model!AF54</f>
        <v>2093.371904</v>
      </c>
      <c r="AG12" s="21" t="n">
        <f aca="false">Model!AG54</f>
        <v>7977.838336</v>
      </c>
    </row>
    <row r="13" customFormat="false" ht="15" hidden="false" customHeight="false" outlineLevel="0" collapsed="false">
      <c r="C13" s="22" t="s">
        <v>32</v>
      </c>
      <c r="D13" s="23" t="n">
        <f aca="false">Model!D55</f>
        <v>0</v>
      </c>
      <c r="E13" s="23" t="n">
        <f aca="false">Model!E55</f>
        <v>0</v>
      </c>
      <c r="F13" s="23" t="n">
        <f aca="false">Model!F55</f>
        <v>0</v>
      </c>
      <c r="G13" s="23" t="n">
        <f aca="false">Model!G55</f>
        <v>0</v>
      </c>
      <c r="H13" s="24" t="n">
        <f aca="false">Model!H55</f>
        <v>0</v>
      </c>
      <c r="I13" s="23" t="n">
        <f aca="false">Model!I55</f>
        <v>-0.0558086560364465</v>
      </c>
      <c r="J13" s="23" t="n">
        <f aca="false">Model!J55</f>
        <v>-0.0838672102504369</v>
      </c>
      <c r="K13" s="23" t="n">
        <f aca="false">Model!K55</f>
        <v>-0.05622009569378</v>
      </c>
      <c r="L13" s="23" t="n">
        <f aca="false">Model!L55</f>
        <v>0.00770142180094791</v>
      </c>
      <c r="M13" s="24" t="n">
        <f aca="false">Model!M55</f>
        <v>-0.0472705985657838</v>
      </c>
      <c r="N13" s="23" t="n">
        <f aca="false">Model!N55</f>
        <v>0.0138721351025333</v>
      </c>
      <c r="O13" s="23" t="n">
        <f aca="false">Model!O55</f>
        <v>0.0603941513032422</v>
      </c>
      <c r="P13" s="23" t="n">
        <f aca="false">Model!P55</f>
        <v>0.101394169835235</v>
      </c>
      <c r="Q13" s="23" t="n">
        <f aca="false">Model!Q55</f>
        <v>0.0940623162845384</v>
      </c>
      <c r="R13" s="24" t="n">
        <f aca="false">Model!R55</f>
        <v>0.0672811059907834</v>
      </c>
      <c r="S13" s="23" t="n">
        <f aca="false">Model!S55</f>
        <v>0.0696014277215944</v>
      </c>
      <c r="T13" s="23" t="n">
        <f aca="false">Model!T55</f>
        <v>0.100119904076739</v>
      </c>
      <c r="U13" s="23" t="n">
        <f aca="false">Model!U55</f>
        <v>0.0399999999999998</v>
      </c>
      <c r="V13" s="23" t="n">
        <f aca="false">Model!V55</f>
        <v>0.04</v>
      </c>
      <c r="W13" s="24" t="n">
        <f aca="false">Model!W55</f>
        <v>0.0615947035118021</v>
      </c>
      <c r="X13" s="23" t="n">
        <f aca="false">Model!X55</f>
        <v>0.04</v>
      </c>
      <c r="Y13" s="23" t="n">
        <f aca="false">Model!Y55</f>
        <v>0.04</v>
      </c>
      <c r="Z13" s="23" t="n">
        <f aca="false">Model!Z55</f>
        <v>0.04</v>
      </c>
      <c r="AA13" s="23" t="n">
        <f aca="false">Model!AA55</f>
        <v>0.04</v>
      </c>
      <c r="AB13" s="24" t="n">
        <f aca="false">Model!AB55</f>
        <v>0.0399999999999998</v>
      </c>
      <c r="AC13" s="23" t="n">
        <f aca="false">Model!AC55</f>
        <v>0.0399999999999998</v>
      </c>
      <c r="AD13" s="23" t="n">
        <f aca="false">Model!AD55</f>
        <v>0.04</v>
      </c>
      <c r="AE13" s="23" t="n">
        <f aca="false">Model!AE55</f>
        <v>0.04</v>
      </c>
      <c r="AF13" s="23" t="n">
        <f aca="false">Model!AF55</f>
        <v>0.0399999999999998</v>
      </c>
      <c r="AG13" s="24" t="n">
        <f aca="false">Model!AG55</f>
        <v>0.0400000000000005</v>
      </c>
    </row>
    <row r="14" customFormat="false" ht="15" hidden="false" customHeight="false" outlineLevel="0" collapsed="false">
      <c r="C14" s="22" t="s">
        <v>33</v>
      </c>
      <c r="D14" s="23" t="n">
        <f aca="false">Model!D56</f>
        <v>0</v>
      </c>
      <c r="E14" s="23" t="n">
        <f aca="false">Model!E56</f>
        <v>0</v>
      </c>
      <c r="F14" s="23" t="n">
        <f aca="false">Model!F56</f>
        <v>0</v>
      </c>
      <c r="G14" s="23" t="n">
        <f aca="false">Model!G56</f>
        <v>0</v>
      </c>
      <c r="H14" s="24" t="n">
        <f aca="false">Model!H56</f>
        <v>0</v>
      </c>
      <c r="I14" s="23" t="n">
        <f aca="false">Model!I56</f>
        <v>-0.0638086560364465</v>
      </c>
      <c r="J14" s="23" t="n">
        <f aca="false">Model!J56</f>
        <v>-0.0698672102504368</v>
      </c>
      <c r="K14" s="23" t="n">
        <f aca="false">Model!K56</f>
        <v>-0.0402200956937799</v>
      </c>
      <c r="L14" s="23" t="n">
        <f aca="false">Model!L56</f>
        <v>-0.000298578199052125</v>
      </c>
      <c r="M14" s="24" t="n">
        <f aca="false">Model!M56</f>
        <v>-0.04386974974389</v>
      </c>
      <c r="N14" s="23" t="n">
        <f aca="false">Model!N56</f>
        <v>0.0118721351025332</v>
      </c>
      <c r="O14" s="23" t="n">
        <f aca="false">Model!O56</f>
        <v>0.0523941513032422</v>
      </c>
      <c r="P14" s="23" t="n">
        <f aca="false">Model!P56</f>
        <v>0.0603941698352345</v>
      </c>
      <c r="Q14" s="23" t="n">
        <f aca="false">Model!Q56</f>
        <v>0.0700623162845385</v>
      </c>
      <c r="R14" s="24" t="n">
        <f aca="false">Model!R56</f>
        <v>0.0486294930875576</v>
      </c>
      <c r="S14" s="23" t="n">
        <f aca="false">Model!S56</f>
        <v>0.0406014277215943</v>
      </c>
      <c r="T14" s="23" t="n">
        <f aca="false">Model!T56</f>
        <v>0.0601199040767386</v>
      </c>
      <c r="U14" s="23" t="n">
        <f aca="false">Model!U56</f>
        <v>0.04</v>
      </c>
      <c r="V14" s="23" t="n">
        <f aca="false">Model!V56</f>
        <v>0.04</v>
      </c>
      <c r="W14" s="24" t="n">
        <f aca="false">Model!W56</f>
        <v>0.0449756764536557</v>
      </c>
      <c r="X14" s="23" t="n">
        <f aca="false">Model!X56</f>
        <v>0.04</v>
      </c>
      <c r="Y14" s="23" t="n">
        <f aca="false">Model!Y56</f>
        <v>0.04</v>
      </c>
      <c r="Z14" s="23" t="n">
        <f aca="false">Model!Z56</f>
        <v>0.04</v>
      </c>
      <c r="AA14" s="23" t="n">
        <f aca="false">Model!AA56</f>
        <v>0.04</v>
      </c>
      <c r="AB14" s="24" t="n">
        <f aca="false">Model!AB56</f>
        <v>0.04</v>
      </c>
      <c r="AC14" s="23" t="n">
        <f aca="false">Model!AC56</f>
        <v>0.04</v>
      </c>
      <c r="AD14" s="23" t="n">
        <f aca="false">Model!AD56</f>
        <v>0.04</v>
      </c>
      <c r="AE14" s="23" t="n">
        <f aca="false">Model!AE56</f>
        <v>0.04</v>
      </c>
      <c r="AF14" s="23" t="n">
        <f aca="false">Model!AF56</f>
        <v>0.04</v>
      </c>
      <c r="AG14" s="24" t="n">
        <f aca="false">Model!AG56</f>
        <v>0.04</v>
      </c>
    </row>
    <row r="15" customFormat="false" ht="15" hidden="false" customHeight="false" outlineLevel="0" collapsed="false">
      <c r="C15" s="22" t="s">
        <v>34</v>
      </c>
      <c r="D15" s="23" t="n">
        <f aca="false">Model!D57</f>
        <v>0</v>
      </c>
      <c r="E15" s="23" t="n">
        <f aca="false">Model!E57</f>
        <v>0</v>
      </c>
      <c r="F15" s="23" t="n">
        <f aca="false">Model!F57</f>
        <v>0</v>
      </c>
      <c r="G15" s="23" t="n">
        <f aca="false">Model!G57</f>
        <v>0</v>
      </c>
      <c r="H15" s="24" t="n">
        <f aca="false">Model!H57</f>
        <v>0</v>
      </c>
      <c r="I15" s="23" t="n">
        <f aca="false">Model!I57</f>
        <v>-0.001</v>
      </c>
      <c r="J15" s="23" t="n">
        <f aca="false">Model!J57</f>
        <v>0</v>
      </c>
      <c r="K15" s="23" t="n">
        <f aca="false">Model!K57</f>
        <v>0</v>
      </c>
      <c r="L15" s="23" t="n">
        <f aca="false">Model!L57</f>
        <v>0.006</v>
      </c>
      <c r="M15" s="24" t="n">
        <f aca="false">Model!M57</f>
        <v>0.00122523049904873</v>
      </c>
      <c r="N15" s="23" t="n">
        <f aca="false">Model!N57</f>
        <v>0</v>
      </c>
      <c r="O15" s="23" t="n">
        <f aca="false">Model!O57</f>
        <v>0.024</v>
      </c>
      <c r="P15" s="23" t="n">
        <f aca="false">Model!P57</f>
        <v>0.018</v>
      </c>
      <c r="Q15" s="23" t="n">
        <f aca="false">Model!Q57</f>
        <v>0.013</v>
      </c>
      <c r="R15" s="24" t="n">
        <f aca="false">Model!R57</f>
        <v>0.0135589861751152</v>
      </c>
      <c r="S15" s="23" t="n">
        <f aca="false">Model!S57</f>
        <v>-0.017</v>
      </c>
      <c r="T15" s="23" t="n">
        <f aca="false">Model!T57</f>
        <v>0</v>
      </c>
      <c r="U15" s="23" t="n">
        <f aca="false">Model!U57</f>
        <v>0</v>
      </c>
      <c r="V15" s="23" t="n">
        <f aca="false">Model!V57</f>
        <v>0</v>
      </c>
      <c r="W15" s="24" t="n">
        <f aca="false">Model!W57</f>
        <v>-0.00411298215313759</v>
      </c>
      <c r="X15" s="23" t="n">
        <f aca="false">Model!X57</f>
        <v>0</v>
      </c>
      <c r="Y15" s="23" t="n">
        <f aca="false">Model!Y57</f>
        <v>0</v>
      </c>
      <c r="Z15" s="23" t="n">
        <f aca="false">Model!Z57</f>
        <v>0</v>
      </c>
      <c r="AA15" s="23" t="n">
        <f aca="false">Model!AA57</f>
        <v>0</v>
      </c>
      <c r="AB15" s="24" t="n">
        <f aca="false">Model!AB57</f>
        <v>0</v>
      </c>
      <c r="AC15" s="23" t="n">
        <f aca="false">Model!AC57</f>
        <v>0</v>
      </c>
      <c r="AD15" s="23" t="n">
        <f aca="false">Model!AD57</f>
        <v>0</v>
      </c>
      <c r="AE15" s="23" t="n">
        <f aca="false">Model!AE57</f>
        <v>0</v>
      </c>
      <c r="AF15" s="23" t="n">
        <f aca="false">Model!AF57</f>
        <v>0</v>
      </c>
      <c r="AG15" s="24" t="n">
        <f aca="false">Model!AG57</f>
        <v>0</v>
      </c>
    </row>
    <row r="16" customFormat="false" ht="15" hidden="false" customHeight="false" outlineLevel="0" collapsed="false">
      <c r="C16" s="22" t="s">
        <v>35</v>
      </c>
      <c r="D16" s="23" t="n">
        <f aca="false">Model!D58</f>
        <v>0</v>
      </c>
      <c r="E16" s="23" t="n">
        <f aca="false">Model!E58</f>
        <v>0</v>
      </c>
      <c r="F16" s="23" t="n">
        <f aca="false">Model!F58</f>
        <v>0</v>
      </c>
      <c r="G16" s="23" t="n">
        <f aca="false">Model!G58</f>
        <v>0</v>
      </c>
      <c r="H16" s="24" t="n">
        <f aca="false">Model!H58</f>
        <v>0</v>
      </c>
      <c r="I16" s="23" t="n">
        <f aca="false">Model!I58</f>
        <v>0.009</v>
      </c>
      <c r="J16" s="23" t="n">
        <f aca="false">Model!J58</f>
        <v>-0.014</v>
      </c>
      <c r="K16" s="23" t="n">
        <f aca="false">Model!K58</f>
        <v>-0.016</v>
      </c>
      <c r="L16" s="23" t="n">
        <f aca="false">Model!L58</f>
        <v>0.002</v>
      </c>
      <c r="M16" s="24" t="n">
        <f aca="false">Model!M58</f>
        <v>-0.00462607932094248</v>
      </c>
      <c r="N16" s="23" t="n">
        <f aca="false">Model!N58</f>
        <v>0.002</v>
      </c>
      <c r="O16" s="23" t="n">
        <f aca="false">Model!O58</f>
        <v>-0.016</v>
      </c>
      <c r="P16" s="23" t="n">
        <f aca="false">Model!P58</f>
        <v>0.023</v>
      </c>
      <c r="Q16" s="23" t="n">
        <f aca="false">Model!Q58</f>
        <v>0.011</v>
      </c>
      <c r="R16" s="24" t="n">
        <f aca="false">Model!R58</f>
        <v>0.0050926267281106</v>
      </c>
      <c r="S16" s="23" t="n">
        <f aca="false">Model!S58</f>
        <v>0.046</v>
      </c>
      <c r="T16" s="23" t="n">
        <f aca="false">Model!T58</f>
        <v>0.04</v>
      </c>
      <c r="U16" s="23" t="n">
        <f aca="false">Model!U58</f>
        <v>0</v>
      </c>
      <c r="V16" s="23" t="n">
        <f aca="false">Model!V58</f>
        <v>0</v>
      </c>
      <c r="W16" s="24" t="n">
        <f aca="false">Model!W58</f>
        <v>0.0207320092112838</v>
      </c>
      <c r="X16" s="23" t="n">
        <f aca="false">Model!X58</f>
        <v>0</v>
      </c>
      <c r="Y16" s="23" t="n">
        <f aca="false">Model!Y58</f>
        <v>0</v>
      </c>
      <c r="Z16" s="23" t="n">
        <f aca="false">Model!Z58</f>
        <v>0</v>
      </c>
      <c r="AA16" s="23" t="n">
        <f aca="false">Model!AA58</f>
        <v>0</v>
      </c>
      <c r="AB16" s="24" t="n">
        <f aca="false">Model!AB58</f>
        <v>0</v>
      </c>
      <c r="AC16" s="23" t="n">
        <f aca="false">Model!AC58</f>
        <v>0</v>
      </c>
      <c r="AD16" s="23" t="n">
        <f aca="false">Model!AD58</f>
        <v>0</v>
      </c>
      <c r="AE16" s="23" t="n">
        <f aca="false">Model!AE58</f>
        <v>0</v>
      </c>
      <c r="AF16" s="23" t="n">
        <f aca="false">Model!AF58</f>
        <v>0</v>
      </c>
      <c r="AG16" s="24" t="n">
        <f aca="false">Model!AG58</f>
        <v>0</v>
      </c>
    </row>
    <row r="17" customFormat="false" ht="15" hidden="false" customHeight="false" outlineLevel="0" collapsed="false">
      <c r="H17" s="25"/>
      <c r="M17" s="25"/>
      <c r="R17" s="25"/>
      <c r="W17" s="25"/>
      <c r="AB17" s="25"/>
      <c r="AG17" s="25"/>
    </row>
    <row r="18" customFormat="false" ht="15" hidden="false" customHeight="false" outlineLevel="0" collapsed="false">
      <c r="B18" s="17" t="s">
        <v>36</v>
      </c>
      <c r="C18" s="18"/>
      <c r="D18" s="18"/>
      <c r="E18" s="18"/>
      <c r="F18" s="18"/>
      <c r="G18" s="18"/>
      <c r="H18" s="19"/>
      <c r="I18" s="18"/>
      <c r="J18" s="18"/>
      <c r="K18" s="18"/>
      <c r="L18" s="18"/>
      <c r="M18" s="19"/>
      <c r="N18" s="18"/>
      <c r="O18" s="18"/>
      <c r="P18" s="18"/>
      <c r="Q18" s="18"/>
      <c r="R18" s="19"/>
      <c r="S18" s="18"/>
      <c r="T18" s="18"/>
      <c r="U18" s="18"/>
      <c r="V18" s="18"/>
      <c r="W18" s="19"/>
      <c r="X18" s="18"/>
      <c r="Y18" s="18"/>
      <c r="Z18" s="18"/>
      <c r="AA18" s="18"/>
      <c r="AB18" s="19"/>
      <c r="AC18" s="18"/>
      <c r="AD18" s="18"/>
      <c r="AE18" s="18"/>
      <c r="AF18" s="18"/>
      <c r="AG18" s="19"/>
    </row>
    <row r="19" customFormat="false" ht="15" hidden="false" customHeight="false" outlineLevel="0" collapsed="false">
      <c r="C19" s="2" t="s">
        <v>37</v>
      </c>
      <c r="D19" s="20" t="n">
        <f aca="false">Model!D93</f>
        <v>483.645</v>
      </c>
      <c r="E19" s="20" t="n">
        <f aca="false">Model!E93</f>
        <v>473.81</v>
      </c>
      <c r="F19" s="20" t="n">
        <f aca="false">Model!F93</f>
        <v>461.435</v>
      </c>
      <c r="G19" s="20" t="n">
        <f aca="false">Model!G93</f>
        <v>465.79</v>
      </c>
      <c r="H19" s="21" t="n">
        <f aca="false">Model!H93</f>
        <v>1884.68</v>
      </c>
      <c r="I19" s="20" t="n">
        <f aca="false">Model!I93</f>
        <v>457.53</v>
      </c>
      <c r="J19" s="20" t="n">
        <f aca="false">Model!J93</f>
        <v>434.64</v>
      </c>
      <c r="K19" s="20" t="n">
        <f aca="false">Model!K93</f>
        <v>436.33</v>
      </c>
      <c r="L19" s="20" t="n">
        <f aca="false">Model!L93</f>
        <v>469.765</v>
      </c>
      <c r="M19" s="21" t="n">
        <f aca="false">Model!M93</f>
        <v>1798.265</v>
      </c>
      <c r="N19" s="20" t="n">
        <f aca="false">Model!N93</f>
        <v>464.165</v>
      </c>
      <c r="O19" s="20" t="n">
        <f aca="false">Model!O93</f>
        <v>461.315</v>
      </c>
      <c r="P19" s="20" t="n">
        <f aca="false">Model!P93</f>
        <v>480.53</v>
      </c>
      <c r="Q19" s="20" t="n">
        <f aca="false">Model!Q93</f>
        <v>514.06</v>
      </c>
      <c r="R19" s="21" t="n">
        <f aca="false">Model!R93</f>
        <v>1920.07</v>
      </c>
      <c r="S19" s="20" t="n">
        <f aca="false">Model!S93</f>
        <v>496.615</v>
      </c>
      <c r="T19" s="20" t="n">
        <f aca="false">Model!T93</f>
        <v>507.055</v>
      </c>
      <c r="U19" s="20" t="n">
        <f aca="false">Model!U93</f>
        <v>499.7512</v>
      </c>
      <c r="V19" s="20" t="n">
        <f aca="false">Model!V93</f>
        <v>534.6224</v>
      </c>
      <c r="W19" s="21" t="n">
        <f aca="false">Model!W93</f>
        <v>2038.0436</v>
      </c>
      <c r="X19" s="20" t="n">
        <f aca="false">Model!X93</f>
        <v>516.4796</v>
      </c>
      <c r="Y19" s="20" t="n">
        <f aca="false">Model!Y93</f>
        <v>527.3372</v>
      </c>
      <c r="Z19" s="20" t="n">
        <f aca="false">Model!Z93</f>
        <v>519.741248</v>
      </c>
      <c r="AA19" s="20" t="n">
        <f aca="false">Model!AA93</f>
        <v>556.007296</v>
      </c>
      <c r="AB19" s="21" t="n">
        <f aca="false">Model!AB93</f>
        <v>2119.565344</v>
      </c>
      <c r="AC19" s="20" t="n">
        <f aca="false">Model!AC93</f>
        <v>537.138784</v>
      </c>
      <c r="AD19" s="20" t="n">
        <f aca="false">Model!AD93</f>
        <v>548.430688</v>
      </c>
      <c r="AE19" s="20" t="n">
        <f aca="false">Model!AE93</f>
        <v>540.53089792</v>
      </c>
      <c r="AF19" s="20" t="n">
        <f aca="false">Model!AF93</f>
        <v>578.24758784</v>
      </c>
      <c r="AG19" s="21" t="n">
        <f aca="false">Model!AG93</f>
        <v>2204.34795776</v>
      </c>
    </row>
    <row r="20" customFormat="false" ht="15" hidden="false" customHeight="false" outlineLevel="0" collapsed="false">
      <c r="C20" s="22" t="s">
        <v>38</v>
      </c>
      <c r="D20" s="26" t="n">
        <f aca="false">Model!D94</f>
        <v>0.275424259681093</v>
      </c>
      <c r="E20" s="26" t="n">
        <f aca="false">Model!E94</f>
        <v>0.275952242283052</v>
      </c>
      <c r="F20" s="26" t="n">
        <f aca="false">Model!F94</f>
        <v>0.275977870813397</v>
      </c>
      <c r="G20" s="26" t="n">
        <f aca="false">Model!G94</f>
        <v>0.275941943127962</v>
      </c>
      <c r="H20" s="27" t="n">
        <f aca="false">Model!H94</f>
        <v>0.275820283916289</v>
      </c>
      <c r="I20" s="26" t="n">
        <f aca="false">Model!I94</f>
        <v>0.275952955367913</v>
      </c>
      <c r="J20" s="26" t="n">
        <f aca="false">Model!J94</f>
        <v>0.27631277813096</v>
      </c>
      <c r="K20" s="26" t="n">
        <f aca="false">Model!K94</f>
        <v>0.276508238276299</v>
      </c>
      <c r="L20" s="26" t="n">
        <f aca="false">Model!L94</f>
        <v>0.276169900058789</v>
      </c>
      <c r="M20" s="27" t="n">
        <f aca="false">Model!M94</f>
        <v>0.276231182795699</v>
      </c>
      <c r="N20" s="26" t="n">
        <f aca="false">Model!N94</f>
        <v>0.276124330755503</v>
      </c>
      <c r="O20" s="26" t="n">
        <f aca="false">Model!O94</f>
        <v>0.276567745803357</v>
      </c>
      <c r="P20" s="26" t="n">
        <f aca="false">Model!P94</f>
        <v>0.276484464902186</v>
      </c>
      <c r="Q20" s="26" t="n">
        <f aca="false">Model!Q94</f>
        <v>0.276227834497582</v>
      </c>
      <c r="R20" s="27" t="n">
        <f aca="false">Model!R94</f>
        <v>0.276348589522165</v>
      </c>
      <c r="S20" s="26" t="n">
        <f aca="false">Model!S94</f>
        <v>0.276204115684093</v>
      </c>
      <c r="T20" s="26" t="n">
        <f aca="false">Model!T94</f>
        <v>0.276324250681199</v>
      </c>
      <c r="U20" s="26" t="n">
        <f aca="false">Model!U94</f>
        <v>0.276484464902186</v>
      </c>
      <c r="V20" s="26" t="n">
        <f aca="false">Model!V94</f>
        <v>0.276227834497582</v>
      </c>
      <c r="W20" s="27" t="n">
        <f aca="false">Model!W94</f>
        <v>0.276308927922603</v>
      </c>
      <c r="X20" s="26" t="n">
        <f aca="false">Model!X94</f>
        <v>0.276204115684093</v>
      </c>
      <c r="Y20" s="26" t="n">
        <f aca="false">Model!Y94</f>
        <v>0.276324250681199</v>
      </c>
      <c r="Z20" s="26" t="n">
        <f aca="false">Model!Z94</f>
        <v>0.276484464902186</v>
      </c>
      <c r="AA20" s="26" t="n">
        <f aca="false">Model!AA94</f>
        <v>0.276227834497582</v>
      </c>
      <c r="AB20" s="27" t="n">
        <f aca="false">Model!AB94</f>
        <v>0.276308927922603</v>
      </c>
      <c r="AC20" s="26" t="n">
        <f aca="false">Model!AC94</f>
        <v>0.276204115684093</v>
      </c>
      <c r="AD20" s="26" t="n">
        <f aca="false">Model!AD94</f>
        <v>0.276324250681199</v>
      </c>
      <c r="AE20" s="26" t="n">
        <f aca="false">Model!AE94</f>
        <v>0.276484464902186</v>
      </c>
      <c r="AF20" s="26" t="n">
        <f aca="false">Model!AF94</f>
        <v>0.276227834497582</v>
      </c>
      <c r="AG20" s="27" t="n">
        <f aca="false">Model!AG94</f>
        <v>0.276308927922603</v>
      </c>
    </row>
    <row r="21" customFormat="false" ht="15" hidden="false" customHeight="false" outlineLevel="0" collapsed="false">
      <c r="C21" s="22" t="s">
        <v>39</v>
      </c>
      <c r="D21" s="28" t="n">
        <f aca="false">Model!D95</f>
        <v>0</v>
      </c>
      <c r="E21" s="28" t="n">
        <f aca="false">Model!E95</f>
        <v>0</v>
      </c>
      <c r="F21" s="28" t="n">
        <f aca="false">Model!F95</f>
        <v>0</v>
      </c>
      <c r="G21" s="28" t="n">
        <f aca="false">Model!G95</f>
        <v>0</v>
      </c>
      <c r="H21" s="29" t="n">
        <f aca="false">Model!H95</f>
        <v>0</v>
      </c>
      <c r="I21" s="28" t="n">
        <f aca="false">Model!I95</f>
        <v>5.28695686819736</v>
      </c>
      <c r="J21" s="28" t="n">
        <f aca="false">Model!J95</f>
        <v>3.60535847908183</v>
      </c>
      <c r="K21" s="28" t="n">
        <f aca="false">Model!K95</f>
        <v>5.30367462901971</v>
      </c>
      <c r="L21" s="28" t="n">
        <f aca="false">Model!L95</f>
        <v>2.27956930826834</v>
      </c>
      <c r="M21" s="29" t="n">
        <f aca="false">Model!M95</f>
        <v>4.10898879410315</v>
      </c>
      <c r="N21" s="28" t="n">
        <f aca="false">Model!N95</f>
        <v>1.7137538758949</v>
      </c>
      <c r="O21" s="28" t="n">
        <f aca="false">Model!O95</f>
        <v>2.54967672397299</v>
      </c>
      <c r="P21" s="28" t="n">
        <f aca="false">Model!P95</f>
        <v>-0.237733741126345</v>
      </c>
      <c r="Q21" s="28" t="n">
        <f aca="false">Model!Q95</f>
        <v>0.579344387930392</v>
      </c>
      <c r="R21" s="29" t="n">
        <f aca="false">Model!R95</f>
        <v>1.17406726465708</v>
      </c>
      <c r="S21" s="28" t="n">
        <f aca="false">Model!S95</f>
        <v>0.79784928590787</v>
      </c>
      <c r="T21" s="28" t="n">
        <f aca="false">Model!T95</f>
        <v>-2.43495122158377</v>
      </c>
      <c r="U21" s="28" t="n">
        <f aca="false">Model!U95</f>
        <v>0</v>
      </c>
      <c r="V21" s="28" t="n">
        <f aca="false">Model!V95</f>
        <v>0</v>
      </c>
      <c r="W21" s="29" t="n">
        <f aca="false">Model!W95</f>
        <v>-0.396615995620353</v>
      </c>
      <c r="X21" s="28" t="n">
        <f aca="false">Model!X95</f>
        <v>0</v>
      </c>
      <c r="Y21" s="28" t="n">
        <f aca="false">Model!Y95</f>
        <v>0</v>
      </c>
      <c r="Z21" s="28" t="n">
        <f aca="false">Model!Z95</f>
        <v>0</v>
      </c>
      <c r="AA21" s="28" t="n">
        <f aca="false">Model!AA95</f>
        <v>0</v>
      </c>
      <c r="AB21" s="29" t="n">
        <f aca="false">Model!AB95</f>
        <v>0</v>
      </c>
      <c r="AC21" s="28" t="n">
        <f aca="false">Model!AC95</f>
        <v>0</v>
      </c>
      <c r="AD21" s="28" t="n">
        <f aca="false">Model!AD95</f>
        <v>0</v>
      </c>
      <c r="AE21" s="28" t="n">
        <f aca="false">Model!AE95</f>
        <v>0</v>
      </c>
      <c r="AF21" s="28" t="n">
        <f aca="false">Model!AF95</f>
        <v>0</v>
      </c>
      <c r="AG21" s="29" t="n">
        <f aca="false">Model!AG95</f>
        <v>0</v>
      </c>
    </row>
    <row r="22" customFormat="false" ht="15" hidden="false" customHeight="false" outlineLevel="0" collapsed="false">
      <c r="H22" s="25"/>
      <c r="M22" s="25"/>
      <c r="R22" s="25"/>
      <c r="W22" s="25"/>
      <c r="AB22" s="25"/>
      <c r="AG22" s="25"/>
    </row>
    <row r="23" customFormat="false" ht="15" hidden="false" customHeight="false" outlineLevel="0" collapsed="false">
      <c r="B23" s="17" t="s">
        <v>40</v>
      </c>
      <c r="C23" s="18"/>
      <c r="D23" s="18"/>
      <c r="E23" s="18"/>
      <c r="F23" s="18"/>
      <c r="G23" s="18"/>
      <c r="H23" s="19"/>
      <c r="I23" s="18"/>
      <c r="J23" s="18"/>
      <c r="K23" s="18"/>
      <c r="L23" s="18"/>
      <c r="M23" s="19"/>
      <c r="N23" s="18"/>
      <c r="O23" s="18"/>
      <c r="P23" s="18"/>
      <c r="Q23" s="18"/>
      <c r="R23" s="19"/>
      <c r="S23" s="18"/>
      <c r="T23" s="18"/>
      <c r="U23" s="18"/>
      <c r="V23" s="18"/>
      <c r="W23" s="19"/>
      <c r="X23" s="18"/>
      <c r="Y23" s="18"/>
      <c r="Z23" s="18"/>
      <c r="AA23" s="18"/>
      <c r="AB23" s="19"/>
      <c r="AC23" s="18"/>
      <c r="AD23" s="18"/>
      <c r="AE23" s="18"/>
      <c r="AF23" s="18"/>
      <c r="AG23" s="19"/>
    </row>
    <row r="24" customFormat="false" ht="15" hidden="false" customHeight="false" outlineLevel="0" collapsed="false">
      <c r="C24" s="30" t="s">
        <v>41</v>
      </c>
      <c r="D24" s="31"/>
      <c r="E24" s="31"/>
      <c r="F24" s="31"/>
      <c r="G24" s="31"/>
      <c r="H24" s="32"/>
      <c r="I24" s="31"/>
      <c r="J24" s="31"/>
      <c r="K24" s="31"/>
      <c r="L24" s="31"/>
      <c r="M24" s="32"/>
      <c r="N24" s="31"/>
      <c r="O24" s="31"/>
      <c r="P24" s="31"/>
      <c r="Q24" s="31"/>
      <c r="R24" s="32"/>
      <c r="S24" s="31"/>
      <c r="T24" s="31"/>
      <c r="U24" s="31"/>
      <c r="V24" s="31"/>
      <c r="W24" s="32"/>
      <c r="X24" s="31"/>
      <c r="Y24" s="31"/>
      <c r="Z24" s="31"/>
      <c r="AA24" s="31"/>
      <c r="AB24" s="32"/>
      <c r="AC24" s="31"/>
      <c r="AD24" s="31"/>
      <c r="AE24" s="31"/>
      <c r="AF24" s="31"/>
      <c r="AG24" s="32"/>
    </row>
    <row r="25" customFormat="false" ht="15" hidden="false" customHeight="false" outlineLevel="0" collapsed="false">
      <c r="C25" s="4" t="s">
        <v>42</v>
      </c>
      <c r="D25" s="20" t="n">
        <f aca="false">Model!D24</f>
        <v>639</v>
      </c>
      <c r="E25" s="20" t="n">
        <f aca="false">Model!E24</f>
        <v>612</v>
      </c>
      <c r="F25" s="20" t="n">
        <f aca="false">Model!F24</f>
        <v>592</v>
      </c>
      <c r="G25" s="20" t="n">
        <f aca="false">Model!G24</f>
        <v>590</v>
      </c>
      <c r="H25" s="21" t="n">
        <f aca="false">Model!H24</f>
        <v>2433</v>
      </c>
      <c r="I25" s="20" t="n">
        <f aca="false">Model!I24</f>
        <v>565</v>
      </c>
      <c r="J25" s="20" t="n">
        <f aca="false">Model!J24</f>
        <v>542</v>
      </c>
      <c r="K25" s="20" t="n">
        <f aca="false">Model!K24</f>
        <v>540</v>
      </c>
      <c r="L25" s="20" t="n">
        <f aca="false">Model!L24</f>
        <v>595</v>
      </c>
      <c r="M25" s="21" t="n">
        <f aca="false">Model!M24</f>
        <v>2242</v>
      </c>
      <c r="N25" s="20" t="n">
        <f aca="false">Model!N24</f>
        <v>585</v>
      </c>
      <c r="O25" s="20" t="n">
        <f aca="false">Model!O24</f>
        <v>603</v>
      </c>
      <c r="P25" s="20" t="n">
        <f aca="false">Model!P24</f>
        <v>629</v>
      </c>
      <c r="Q25" s="20" t="n">
        <f aca="false">Model!Q24</f>
        <v>690</v>
      </c>
      <c r="R25" s="21" t="n">
        <f aca="false">Model!R24</f>
        <v>2507</v>
      </c>
      <c r="S25" s="20" t="n">
        <f aca="false">Model!S24</f>
        <v>640</v>
      </c>
      <c r="T25" s="20" t="n">
        <f aca="false">Model!T24</f>
        <v>663</v>
      </c>
      <c r="U25" s="20" t="n">
        <f aca="false">Model!U24</f>
        <v>654.16</v>
      </c>
      <c r="V25" s="20" t="n">
        <f aca="false">Model!V24</f>
        <v>717.6</v>
      </c>
      <c r="W25" s="21" t="n">
        <f aca="false">Model!W24</f>
        <v>2674.76</v>
      </c>
      <c r="X25" s="20" t="n">
        <f aca="false">Model!X24</f>
        <v>665.6</v>
      </c>
      <c r="Y25" s="20" t="n">
        <f aca="false">Model!Y24</f>
        <v>689.52</v>
      </c>
      <c r="Z25" s="20" t="n">
        <f aca="false">Model!Z24</f>
        <v>680.3264</v>
      </c>
      <c r="AA25" s="20" t="n">
        <f aca="false">Model!AA24</f>
        <v>746.304</v>
      </c>
      <c r="AB25" s="21" t="n">
        <f aca="false">Model!AB24</f>
        <v>2781.7504</v>
      </c>
      <c r="AC25" s="20" t="n">
        <f aca="false">Model!AC24</f>
        <v>692.224</v>
      </c>
      <c r="AD25" s="20" t="n">
        <f aca="false">Model!AD24</f>
        <v>717.1008</v>
      </c>
      <c r="AE25" s="20" t="n">
        <f aca="false">Model!AE24</f>
        <v>707.539456</v>
      </c>
      <c r="AF25" s="20" t="n">
        <f aca="false">Model!AF24</f>
        <v>776.15616</v>
      </c>
      <c r="AG25" s="21" t="n">
        <f aca="false">Model!AG24</f>
        <v>2893.020416</v>
      </c>
    </row>
    <row r="26" customFormat="false" ht="15" hidden="false" customHeight="false" outlineLevel="0" collapsed="false">
      <c r="C26" s="22" t="s">
        <v>32</v>
      </c>
      <c r="D26" s="23" t="n">
        <f aca="false">Model!D25</f>
        <v>0</v>
      </c>
      <c r="E26" s="23" t="n">
        <f aca="false">Model!E25</f>
        <v>0</v>
      </c>
      <c r="F26" s="23" t="n">
        <f aca="false">Model!F25</f>
        <v>0</v>
      </c>
      <c r="G26" s="23" t="n">
        <f aca="false">Model!G25</f>
        <v>0</v>
      </c>
      <c r="H26" s="24" t="n">
        <f aca="false">Model!H25</f>
        <v>0</v>
      </c>
      <c r="I26" s="23" t="n">
        <f aca="false">Model!I25</f>
        <v>-0.115805946791862</v>
      </c>
      <c r="J26" s="23" t="n">
        <f aca="false">Model!J25</f>
        <v>-0.11437908496732</v>
      </c>
      <c r="K26" s="23" t="n">
        <f aca="false">Model!K25</f>
        <v>-0.0878378378378378</v>
      </c>
      <c r="L26" s="23" t="n">
        <f aca="false">Model!L25</f>
        <v>0.00847457627118642</v>
      </c>
      <c r="M26" s="24" t="n">
        <f aca="false">Model!M25</f>
        <v>-0.0785039046444719</v>
      </c>
      <c r="N26" s="23" t="n">
        <f aca="false">Model!N25</f>
        <v>0.0353982300884956</v>
      </c>
      <c r="O26" s="23" t="n">
        <f aca="false">Model!O25</f>
        <v>0.112546125461255</v>
      </c>
      <c r="P26" s="23" t="n">
        <f aca="false">Model!P25</f>
        <v>0.164814814814815</v>
      </c>
      <c r="Q26" s="23" t="n">
        <f aca="false">Model!Q25</f>
        <v>0.159663865546219</v>
      </c>
      <c r="R26" s="24" t="n">
        <f aca="false">Model!R25</f>
        <v>0.118198037466548</v>
      </c>
      <c r="S26" s="23" t="n">
        <f aca="false">Model!S25</f>
        <v>0.0940170940170941</v>
      </c>
      <c r="T26" s="23" t="n">
        <f aca="false">Model!T25</f>
        <v>0.0995024875621891</v>
      </c>
      <c r="U26" s="23" t="n">
        <f aca="false">Model!U25</f>
        <v>0.04</v>
      </c>
      <c r="V26" s="23" t="n">
        <f aca="false">Model!V25</f>
        <v>0.04</v>
      </c>
      <c r="W26" s="24" t="n">
        <f aca="false">Model!W25</f>
        <v>0.066916633426406</v>
      </c>
      <c r="X26" s="23" t="n">
        <f aca="false">Model!X25</f>
        <v>0.04</v>
      </c>
      <c r="Y26" s="23" t="n">
        <f aca="false">Model!Y25</f>
        <v>0.04</v>
      </c>
      <c r="Z26" s="23" t="n">
        <f aca="false">Model!Z25</f>
        <v>0.04</v>
      </c>
      <c r="AA26" s="23" t="n">
        <f aca="false">Model!AA25</f>
        <v>0.04</v>
      </c>
      <c r="AB26" s="24" t="n">
        <f aca="false">Model!AB25</f>
        <v>0.04</v>
      </c>
      <c r="AC26" s="23" t="n">
        <f aca="false">Model!AC25</f>
        <v>0.04</v>
      </c>
      <c r="AD26" s="23" t="n">
        <f aca="false">Model!AD25</f>
        <v>0.04</v>
      </c>
      <c r="AE26" s="23" t="n">
        <f aca="false">Model!AE25</f>
        <v>0.04</v>
      </c>
      <c r="AF26" s="23" t="n">
        <f aca="false">Model!AF25</f>
        <v>0.04</v>
      </c>
      <c r="AG26" s="24" t="n">
        <f aca="false">Model!AG25</f>
        <v>0.04</v>
      </c>
    </row>
    <row r="27" customFormat="false" ht="15" hidden="false" customHeight="false" outlineLevel="0" collapsed="false">
      <c r="H27" s="25"/>
      <c r="M27" s="25"/>
      <c r="R27" s="25"/>
      <c r="W27" s="25"/>
      <c r="AB27" s="25"/>
      <c r="AG27" s="25"/>
    </row>
    <row r="28" customFormat="false" ht="15" hidden="false" customHeight="false" outlineLevel="0" collapsed="false">
      <c r="C28" s="30" t="s">
        <v>43</v>
      </c>
      <c r="D28" s="31"/>
      <c r="E28" s="31"/>
      <c r="F28" s="31"/>
      <c r="G28" s="31"/>
      <c r="H28" s="32"/>
      <c r="I28" s="31"/>
      <c r="J28" s="31"/>
      <c r="K28" s="31"/>
      <c r="L28" s="31"/>
      <c r="M28" s="32"/>
      <c r="N28" s="31"/>
      <c r="O28" s="31"/>
      <c r="P28" s="31"/>
      <c r="Q28" s="31"/>
      <c r="R28" s="32"/>
      <c r="S28" s="31"/>
      <c r="T28" s="31"/>
      <c r="U28" s="31"/>
      <c r="V28" s="31"/>
      <c r="W28" s="32"/>
      <c r="X28" s="31"/>
      <c r="Y28" s="31"/>
      <c r="Z28" s="31"/>
      <c r="AA28" s="31"/>
      <c r="AB28" s="32"/>
      <c r="AC28" s="31"/>
      <c r="AD28" s="31"/>
      <c r="AE28" s="31"/>
      <c r="AF28" s="31"/>
      <c r="AG28" s="32"/>
    </row>
    <row r="29" customFormat="false" ht="15" hidden="false" customHeight="false" outlineLevel="0" collapsed="false">
      <c r="C29" s="4" t="s">
        <v>42</v>
      </c>
      <c r="D29" s="20" t="n">
        <f aca="false">Model!D29</f>
        <v>406</v>
      </c>
      <c r="E29" s="20" t="n">
        <f aca="false">Model!E29</f>
        <v>378</v>
      </c>
      <c r="F29" s="20" t="n">
        <f aca="false">Model!F29</f>
        <v>378</v>
      </c>
      <c r="G29" s="20" t="n">
        <f aca="false">Model!G29</f>
        <v>381</v>
      </c>
      <c r="H29" s="21" t="n">
        <f aca="false">Model!H29</f>
        <v>1543</v>
      </c>
      <c r="I29" s="20" t="n">
        <f aca="false">Model!I29</f>
        <v>392</v>
      </c>
      <c r="J29" s="20" t="n">
        <f aca="false">Model!J29</f>
        <v>362</v>
      </c>
      <c r="K29" s="20" t="n">
        <f aca="false">Model!K29</f>
        <v>356</v>
      </c>
      <c r="L29" s="20" t="n">
        <f aca="false">Model!L29</f>
        <v>385</v>
      </c>
      <c r="M29" s="21" t="n">
        <f aca="false">Model!M29</f>
        <v>1495</v>
      </c>
      <c r="N29" s="20" t="n">
        <f aca="false">Model!N29</f>
        <v>379</v>
      </c>
      <c r="O29" s="20" t="n">
        <f aca="false">Model!O29</f>
        <v>369</v>
      </c>
      <c r="P29" s="20" t="n">
        <f aca="false">Model!P29</f>
        <v>399</v>
      </c>
      <c r="Q29" s="20" t="n">
        <f aca="false">Model!Q29</f>
        <v>414</v>
      </c>
      <c r="R29" s="21" t="n">
        <f aca="false">Model!R29</f>
        <v>1561</v>
      </c>
      <c r="S29" s="20" t="n">
        <f aca="false">Model!S29</f>
        <v>422</v>
      </c>
      <c r="T29" s="20" t="n">
        <f aca="false">Model!T29</f>
        <v>412</v>
      </c>
      <c r="U29" s="20" t="n">
        <f aca="false">Model!U29</f>
        <v>414.96</v>
      </c>
      <c r="V29" s="20" t="n">
        <f aca="false">Model!V29</f>
        <v>430.56</v>
      </c>
      <c r="W29" s="21" t="n">
        <f aca="false">Model!W29</f>
        <v>1679.52</v>
      </c>
      <c r="X29" s="20" t="n">
        <f aca="false">Model!X29</f>
        <v>438.88</v>
      </c>
      <c r="Y29" s="20" t="n">
        <f aca="false">Model!Y29</f>
        <v>428.48</v>
      </c>
      <c r="Z29" s="20" t="n">
        <f aca="false">Model!Z29</f>
        <v>431.5584</v>
      </c>
      <c r="AA29" s="20" t="n">
        <f aca="false">Model!AA29</f>
        <v>447.7824</v>
      </c>
      <c r="AB29" s="21" t="n">
        <f aca="false">Model!AB29</f>
        <v>1746.7008</v>
      </c>
      <c r="AC29" s="20" t="n">
        <f aca="false">Model!AC29</f>
        <v>456.4352</v>
      </c>
      <c r="AD29" s="20" t="n">
        <f aca="false">Model!AD29</f>
        <v>445.6192</v>
      </c>
      <c r="AE29" s="20" t="n">
        <f aca="false">Model!AE29</f>
        <v>448.820736</v>
      </c>
      <c r="AF29" s="20" t="n">
        <f aca="false">Model!AF29</f>
        <v>465.693696</v>
      </c>
      <c r="AG29" s="21" t="n">
        <f aca="false">Model!AG29</f>
        <v>1816.568832</v>
      </c>
    </row>
    <row r="30" customFormat="false" ht="15" hidden="false" customHeight="false" outlineLevel="0" collapsed="false">
      <c r="C30" s="22" t="s">
        <v>32</v>
      </c>
      <c r="D30" s="23" t="n">
        <f aca="false">Model!D30</f>
        <v>0</v>
      </c>
      <c r="E30" s="23" t="n">
        <f aca="false">Model!E30</f>
        <v>0</v>
      </c>
      <c r="F30" s="23" t="n">
        <f aca="false">Model!F30</f>
        <v>0</v>
      </c>
      <c r="G30" s="23" t="n">
        <f aca="false">Model!G30</f>
        <v>0</v>
      </c>
      <c r="H30" s="24" t="n">
        <f aca="false">Model!H30</f>
        <v>0</v>
      </c>
      <c r="I30" s="23" t="n">
        <f aca="false">Model!I30</f>
        <v>-0.0344827586206896</v>
      </c>
      <c r="J30" s="23" t="n">
        <f aca="false">Model!J30</f>
        <v>-0.0423280423280423</v>
      </c>
      <c r="K30" s="23" t="n">
        <f aca="false">Model!K30</f>
        <v>-0.0582010582010583</v>
      </c>
      <c r="L30" s="23" t="n">
        <f aca="false">Model!L30</f>
        <v>0.0104986876640421</v>
      </c>
      <c r="M30" s="24" t="n">
        <f aca="false">Model!M30</f>
        <v>-0.0311082307193779</v>
      </c>
      <c r="N30" s="23" t="n">
        <f aca="false">Model!N30</f>
        <v>-0.0331632653061225</v>
      </c>
      <c r="O30" s="23" t="n">
        <f aca="false">Model!O30</f>
        <v>0.0193370165745856</v>
      </c>
      <c r="P30" s="23" t="n">
        <f aca="false">Model!P30</f>
        <v>0.120786516853933</v>
      </c>
      <c r="Q30" s="23" t="n">
        <f aca="false">Model!Q30</f>
        <v>0.0753246753246752</v>
      </c>
      <c r="R30" s="24" t="n">
        <f aca="false">Model!R30</f>
        <v>0.0441471571906356</v>
      </c>
      <c r="S30" s="23" t="n">
        <f aca="false">Model!S30</f>
        <v>0.113456464379947</v>
      </c>
      <c r="T30" s="23" t="n">
        <f aca="false">Model!T30</f>
        <v>0.116531165311653</v>
      </c>
      <c r="U30" s="23" t="n">
        <f aca="false">Model!U30</f>
        <v>0.04</v>
      </c>
      <c r="V30" s="23" t="n">
        <f aca="false">Model!V30</f>
        <v>0.04</v>
      </c>
      <c r="W30" s="24" t="n">
        <f aca="false">Model!W30</f>
        <v>0.0759256886611146</v>
      </c>
      <c r="X30" s="23" t="n">
        <f aca="false">Model!X30</f>
        <v>0.04</v>
      </c>
      <c r="Y30" s="23" t="n">
        <f aca="false">Model!Y30</f>
        <v>0.04</v>
      </c>
      <c r="Z30" s="23" t="n">
        <f aca="false">Model!Z30</f>
        <v>0.04</v>
      </c>
      <c r="AA30" s="23" t="n">
        <f aca="false">Model!AA30</f>
        <v>0.04</v>
      </c>
      <c r="AB30" s="24" t="n">
        <f aca="false">Model!AB30</f>
        <v>0.04</v>
      </c>
      <c r="AC30" s="23" t="n">
        <f aca="false">Model!AC30</f>
        <v>0.04</v>
      </c>
      <c r="AD30" s="23" t="n">
        <f aca="false">Model!AD30</f>
        <v>0.04</v>
      </c>
      <c r="AE30" s="23" t="n">
        <f aca="false">Model!AE30</f>
        <v>0.04</v>
      </c>
      <c r="AF30" s="23" t="n">
        <f aca="false">Model!AF30</f>
        <v>0.04</v>
      </c>
      <c r="AG30" s="24" t="n">
        <f aca="false">Model!AG30</f>
        <v>0.04</v>
      </c>
    </row>
    <row r="31" customFormat="false" ht="15" hidden="false" customHeight="false" outlineLevel="0" collapsed="false">
      <c r="H31" s="25"/>
      <c r="M31" s="25"/>
      <c r="R31" s="25"/>
      <c r="W31" s="25"/>
      <c r="AB31" s="25"/>
      <c r="AG31" s="25"/>
    </row>
    <row r="32" customFormat="false" ht="15" hidden="false" customHeight="false" outlineLevel="0" collapsed="false">
      <c r="C32" s="30" t="s">
        <v>44</v>
      </c>
      <c r="D32" s="31"/>
      <c r="E32" s="31"/>
      <c r="F32" s="31"/>
      <c r="G32" s="31"/>
      <c r="H32" s="32"/>
      <c r="I32" s="31"/>
      <c r="J32" s="31"/>
      <c r="K32" s="31"/>
      <c r="L32" s="31"/>
      <c r="M32" s="32"/>
      <c r="N32" s="31"/>
      <c r="O32" s="31"/>
      <c r="P32" s="31"/>
      <c r="Q32" s="31"/>
      <c r="R32" s="32"/>
      <c r="S32" s="31"/>
      <c r="T32" s="31"/>
      <c r="U32" s="31"/>
      <c r="V32" s="31"/>
      <c r="W32" s="32"/>
      <c r="X32" s="31"/>
      <c r="Y32" s="31"/>
      <c r="Z32" s="31"/>
      <c r="AA32" s="31"/>
      <c r="AB32" s="32"/>
      <c r="AC32" s="31"/>
      <c r="AD32" s="31"/>
      <c r="AE32" s="31"/>
      <c r="AF32" s="31"/>
      <c r="AG32" s="32"/>
    </row>
    <row r="33" customFormat="false" ht="15" hidden="false" customHeight="false" outlineLevel="0" collapsed="false">
      <c r="C33" s="4" t="s">
        <v>42</v>
      </c>
      <c r="D33" s="20" t="n">
        <f aca="false">Model!D34</f>
        <v>239</v>
      </c>
      <c r="E33" s="20" t="n">
        <f aca="false">Model!E34</f>
        <v>250</v>
      </c>
      <c r="F33" s="20" t="n">
        <f aca="false">Model!F34</f>
        <v>241</v>
      </c>
      <c r="G33" s="20" t="n">
        <f aca="false">Model!G34</f>
        <v>236</v>
      </c>
      <c r="H33" s="21" t="n">
        <f aca="false">Model!H34</f>
        <v>966</v>
      </c>
      <c r="I33" s="20" t="n">
        <f aca="false">Model!I34</f>
        <v>228</v>
      </c>
      <c r="J33" s="20" t="n">
        <f aca="false">Model!J34</f>
        <v>239</v>
      </c>
      <c r="K33" s="20" t="n">
        <f aca="false">Model!K34</f>
        <v>242</v>
      </c>
      <c r="L33" s="20" t="n">
        <f aca="false">Model!L34</f>
        <v>255</v>
      </c>
      <c r="M33" s="21" t="n">
        <f aca="false">Model!M34</f>
        <v>964</v>
      </c>
      <c r="N33" s="20" t="n">
        <f aca="false">Model!N34</f>
        <v>240</v>
      </c>
      <c r="O33" s="20" t="n">
        <f aca="false">Model!O34</f>
        <v>255</v>
      </c>
      <c r="P33" s="20" t="n">
        <f aca="false">Model!P34</f>
        <v>258</v>
      </c>
      <c r="Q33" s="20" t="n">
        <f aca="false">Model!Q34</f>
        <v>276</v>
      </c>
      <c r="R33" s="21" t="n">
        <f aca="false">Model!R34</f>
        <v>1029</v>
      </c>
      <c r="S33" s="20" t="n">
        <f aca="false">Model!S34</f>
        <v>263</v>
      </c>
      <c r="T33" s="20" t="n">
        <f aca="false">Model!T34</f>
        <v>295</v>
      </c>
      <c r="U33" s="20" t="n">
        <f aca="false">Model!U34</f>
        <v>268.32</v>
      </c>
      <c r="V33" s="20" t="n">
        <f aca="false">Model!V34</f>
        <v>287.04</v>
      </c>
      <c r="W33" s="21" t="n">
        <f aca="false">Model!W34</f>
        <v>1113.36</v>
      </c>
      <c r="X33" s="20" t="n">
        <f aca="false">Model!X34</f>
        <v>273.52</v>
      </c>
      <c r="Y33" s="20" t="n">
        <f aca="false">Model!Y34</f>
        <v>306.8</v>
      </c>
      <c r="Z33" s="20" t="n">
        <f aca="false">Model!Z34</f>
        <v>279.0528</v>
      </c>
      <c r="AA33" s="20" t="n">
        <f aca="false">Model!AA34</f>
        <v>298.5216</v>
      </c>
      <c r="AB33" s="21" t="n">
        <f aca="false">Model!AB34</f>
        <v>1157.8944</v>
      </c>
      <c r="AC33" s="20" t="n">
        <f aca="false">Model!AC34</f>
        <v>284.4608</v>
      </c>
      <c r="AD33" s="20" t="n">
        <f aca="false">Model!AD34</f>
        <v>319.072</v>
      </c>
      <c r="AE33" s="20" t="n">
        <f aca="false">Model!AE34</f>
        <v>290.214912</v>
      </c>
      <c r="AF33" s="20" t="n">
        <f aca="false">Model!AF34</f>
        <v>310.462464</v>
      </c>
      <c r="AG33" s="21" t="n">
        <f aca="false">Model!AG34</f>
        <v>1204.210176</v>
      </c>
    </row>
    <row r="34" customFormat="false" ht="15" hidden="false" customHeight="false" outlineLevel="0" collapsed="false">
      <c r="C34" s="22" t="s">
        <v>32</v>
      </c>
      <c r="D34" s="23" t="n">
        <f aca="false">Model!D35</f>
        <v>0</v>
      </c>
      <c r="E34" s="23" t="n">
        <f aca="false">Model!E35</f>
        <v>0</v>
      </c>
      <c r="F34" s="23" t="n">
        <f aca="false">Model!F35</f>
        <v>0</v>
      </c>
      <c r="G34" s="23" t="n">
        <f aca="false">Model!G35</f>
        <v>0</v>
      </c>
      <c r="H34" s="24" t="n">
        <f aca="false">Model!H35</f>
        <v>0</v>
      </c>
      <c r="I34" s="23" t="n">
        <f aca="false">Model!I35</f>
        <v>-0.0460251046025104</v>
      </c>
      <c r="J34" s="23" t="n">
        <f aca="false">Model!J35</f>
        <v>-0.044</v>
      </c>
      <c r="K34" s="23" t="n">
        <f aca="false">Model!K35</f>
        <v>0.00414937759336098</v>
      </c>
      <c r="L34" s="23" t="n">
        <f aca="false">Model!L35</f>
        <v>0.0805084745762712</v>
      </c>
      <c r="M34" s="24" t="n">
        <f aca="false">Model!M35</f>
        <v>-0.00207039337474124</v>
      </c>
      <c r="N34" s="23" t="n">
        <f aca="false">Model!N35</f>
        <v>0.0526315789473684</v>
      </c>
      <c r="O34" s="23" t="n">
        <f aca="false">Model!O35</f>
        <v>0.0669456066945606</v>
      </c>
      <c r="P34" s="23" t="n">
        <f aca="false">Model!P35</f>
        <v>0.0661157024793388</v>
      </c>
      <c r="Q34" s="23" t="n">
        <f aca="false">Model!Q35</f>
        <v>0.0823529411764705</v>
      </c>
      <c r="R34" s="24" t="n">
        <f aca="false">Model!R35</f>
        <v>0.0674273858921162</v>
      </c>
      <c r="S34" s="23" t="n">
        <f aca="false">Model!S35</f>
        <v>0.0958333333333334</v>
      </c>
      <c r="T34" s="23" t="n">
        <f aca="false">Model!T35</f>
        <v>0.156862745098039</v>
      </c>
      <c r="U34" s="23" t="n">
        <f aca="false">Model!U35</f>
        <v>0.04</v>
      </c>
      <c r="V34" s="23" t="n">
        <f aca="false">Model!V35</f>
        <v>0.04</v>
      </c>
      <c r="W34" s="24" t="n">
        <f aca="false">Model!W35</f>
        <v>0.0819825072886296</v>
      </c>
      <c r="X34" s="23" t="n">
        <f aca="false">Model!X35</f>
        <v>0.04</v>
      </c>
      <c r="Y34" s="23" t="n">
        <f aca="false">Model!Y35</f>
        <v>0.04</v>
      </c>
      <c r="Z34" s="23" t="n">
        <f aca="false">Model!Z35</f>
        <v>0.04</v>
      </c>
      <c r="AA34" s="23" t="n">
        <f aca="false">Model!AA35</f>
        <v>0.04</v>
      </c>
      <c r="AB34" s="24" t="n">
        <f aca="false">Model!AB35</f>
        <v>0.04</v>
      </c>
      <c r="AC34" s="23" t="n">
        <f aca="false">Model!AC35</f>
        <v>0.04</v>
      </c>
      <c r="AD34" s="23" t="n">
        <f aca="false">Model!AD35</f>
        <v>0.04</v>
      </c>
      <c r="AE34" s="23" t="n">
        <f aca="false">Model!AE35</f>
        <v>0.04</v>
      </c>
      <c r="AF34" s="23" t="n">
        <f aca="false">Model!AF35</f>
        <v>0.04</v>
      </c>
      <c r="AG34" s="24" t="n">
        <f aca="false">Model!AG35</f>
        <v>0.04</v>
      </c>
    </row>
    <row r="35" customFormat="false" ht="15" hidden="false" customHeight="false" outlineLevel="0" collapsed="false">
      <c r="H35" s="25"/>
      <c r="M35" s="25"/>
      <c r="R35" s="25"/>
      <c r="W35" s="25"/>
      <c r="AB35" s="25"/>
      <c r="AG35" s="25"/>
    </row>
    <row r="36" customFormat="false" ht="15" hidden="false" customHeight="false" outlineLevel="0" collapsed="false">
      <c r="C36" s="30" t="s">
        <v>45</v>
      </c>
      <c r="D36" s="31"/>
      <c r="E36" s="31"/>
      <c r="F36" s="31"/>
      <c r="G36" s="31"/>
      <c r="H36" s="32"/>
      <c r="I36" s="31"/>
      <c r="J36" s="31"/>
      <c r="K36" s="31"/>
      <c r="L36" s="31"/>
      <c r="M36" s="32"/>
      <c r="N36" s="31"/>
      <c r="O36" s="31"/>
      <c r="P36" s="31"/>
      <c r="Q36" s="31"/>
      <c r="R36" s="32"/>
      <c r="S36" s="31"/>
      <c r="T36" s="31"/>
      <c r="U36" s="31"/>
      <c r="V36" s="31"/>
      <c r="W36" s="32"/>
      <c r="X36" s="31"/>
      <c r="Y36" s="31"/>
      <c r="Z36" s="31"/>
      <c r="AA36" s="31"/>
      <c r="AB36" s="32"/>
      <c r="AC36" s="31"/>
      <c r="AD36" s="31"/>
      <c r="AE36" s="31"/>
      <c r="AF36" s="31"/>
      <c r="AG36" s="32"/>
    </row>
    <row r="37" customFormat="false" ht="15" hidden="false" customHeight="false" outlineLevel="0" collapsed="false">
      <c r="C37" s="4" t="s">
        <v>42</v>
      </c>
      <c r="D37" s="20" t="n">
        <f aca="false">Model!D39</f>
        <v>160</v>
      </c>
      <c r="E37" s="20" t="n">
        <f aca="false">Model!E39</f>
        <v>161</v>
      </c>
      <c r="F37" s="20" t="n">
        <f aca="false">Model!F39</f>
        <v>151</v>
      </c>
      <c r="G37" s="20" t="n">
        <f aca="false">Model!G39</f>
        <v>156</v>
      </c>
      <c r="H37" s="21" t="n">
        <f aca="false">Model!H39</f>
        <v>628</v>
      </c>
      <c r="I37" s="20" t="n">
        <f aca="false">Model!I39</f>
        <v>157</v>
      </c>
      <c r="J37" s="20" t="n">
        <f aca="false">Model!J39</f>
        <v>139</v>
      </c>
      <c r="K37" s="20" t="n">
        <f aca="false">Model!K39</f>
        <v>144</v>
      </c>
      <c r="L37" s="20" t="n">
        <f aca="false">Model!L39</f>
        <v>152</v>
      </c>
      <c r="M37" s="21" t="n">
        <f aca="false">Model!M39</f>
        <v>592</v>
      </c>
      <c r="N37" s="20" t="n">
        <f aca="false">Model!N39</f>
        <v>168</v>
      </c>
      <c r="O37" s="20" t="n">
        <f aca="false">Model!O39</f>
        <v>147</v>
      </c>
      <c r="P37" s="20" t="n">
        <f aca="false">Model!P39</f>
        <v>157</v>
      </c>
      <c r="Q37" s="20" t="n">
        <f aca="false">Model!Q39</f>
        <v>165</v>
      </c>
      <c r="R37" s="21" t="n">
        <f aca="false">Model!R39</f>
        <v>637</v>
      </c>
      <c r="S37" s="20" t="n">
        <f aca="false">Model!S39</f>
        <v>166</v>
      </c>
      <c r="T37" s="20" t="n">
        <f aca="false">Model!T39</f>
        <v>147</v>
      </c>
      <c r="U37" s="20" t="n">
        <f aca="false">Model!U39</f>
        <v>163.28</v>
      </c>
      <c r="V37" s="20" t="n">
        <f aca="false">Model!V39</f>
        <v>171.6</v>
      </c>
      <c r="W37" s="21" t="n">
        <f aca="false">Model!W39</f>
        <v>647.88</v>
      </c>
      <c r="X37" s="20" t="n">
        <f aca="false">Model!X39</f>
        <v>172.64</v>
      </c>
      <c r="Y37" s="20" t="n">
        <f aca="false">Model!Y39</f>
        <v>152.88</v>
      </c>
      <c r="Z37" s="20" t="n">
        <f aca="false">Model!Z39</f>
        <v>169.8112</v>
      </c>
      <c r="AA37" s="20" t="n">
        <f aca="false">Model!AA39</f>
        <v>178.464</v>
      </c>
      <c r="AB37" s="21" t="n">
        <f aca="false">Model!AB39</f>
        <v>673.7952</v>
      </c>
      <c r="AC37" s="20" t="n">
        <f aca="false">Model!AC39</f>
        <v>179.5456</v>
      </c>
      <c r="AD37" s="20" t="n">
        <f aca="false">Model!AD39</f>
        <v>158.9952</v>
      </c>
      <c r="AE37" s="20" t="n">
        <f aca="false">Model!AE39</f>
        <v>176.603648</v>
      </c>
      <c r="AF37" s="20" t="n">
        <f aca="false">Model!AF39</f>
        <v>185.60256</v>
      </c>
      <c r="AG37" s="21" t="n">
        <f aca="false">Model!AG39</f>
        <v>700.747008</v>
      </c>
    </row>
    <row r="38" customFormat="false" ht="15" hidden="false" customHeight="false" outlineLevel="0" collapsed="false">
      <c r="C38" s="22" t="s">
        <v>32</v>
      </c>
      <c r="D38" s="23" t="n">
        <f aca="false">Model!D40</f>
        <v>0</v>
      </c>
      <c r="E38" s="23" t="n">
        <f aca="false">Model!E40</f>
        <v>0</v>
      </c>
      <c r="F38" s="23" t="n">
        <f aca="false">Model!F40</f>
        <v>0</v>
      </c>
      <c r="G38" s="23" t="n">
        <f aca="false">Model!G40</f>
        <v>0</v>
      </c>
      <c r="H38" s="24" t="n">
        <f aca="false">Model!H40</f>
        <v>0</v>
      </c>
      <c r="I38" s="23" t="n">
        <f aca="false">Model!I40</f>
        <v>-0.01875</v>
      </c>
      <c r="J38" s="23" t="n">
        <f aca="false">Model!J40</f>
        <v>-0.136645962732919</v>
      </c>
      <c r="K38" s="23" t="n">
        <f aca="false">Model!K40</f>
        <v>-0.0463576158940398</v>
      </c>
      <c r="L38" s="23" t="n">
        <f aca="false">Model!L40</f>
        <v>-0.0256410256410257</v>
      </c>
      <c r="M38" s="24" t="n">
        <f aca="false">Model!M40</f>
        <v>-0.0573248407643312</v>
      </c>
      <c r="N38" s="23" t="n">
        <f aca="false">Model!N40</f>
        <v>0.0700636942675159</v>
      </c>
      <c r="O38" s="23" t="n">
        <f aca="false">Model!O40</f>
        <v>0.0575539568345325</v>
      </c>
      <c r="P38" s="23" t="n">
        <f aca="false">Model!P40</f>
        <v>0.0902777777777777</v>
      </c>
      <c r="Q38" s="23" t="n">
        <f aca="false">Model!Q40</f>
        <v>0.0855263157894737</v>
      </c>
      <c r="R38" s="24" t="n">
        <f aca="false">Model!R40</f>
        <v>0.0760135135135136</v>
      </c>
      <c r="S38" s="23" t="n">
        <f aca="false">Model!S40</f>
        <v>-0.0119047619047619</v>
      </c>
      <c r="T38" s="23" t="n">
        <f aca="false">Model!T40</f>
        <v>0</v>
      </c>
      <c r="U38" s="23" t="n">
        <f aca="false">Model!U40</f>
        <v>0.04</v>
      </c>
      <c r="V38" s="23" t="n">
        <f aca="false">Model!V40</f>
        <v>0.04</v>
      </c>
      <c r="W38" s="24" t="n">
        <f aca="false">Model!W40</f>
        <v>0.0170800627943486</v>
      </c>
      <c r="X38" s="23" t="n">
        <f aca="false">Model!X40</f>
        <v>0.04</v>
      </c>
      <c r="Y38" s="23" t="n">
        <f aca="false">Model!Y40</f>
        <v>0.04</v>
      </c>
      <c r="Z38" s="23" t="n">
        <f aca="false">Model!Z40</f>
        <v>0.04</v>
      </c>
      <c r="AA38" s="23" t="n">
        <f aca="false">Model!AA40</f>
        <v>0.04</v>
      </c>
      <c r="AB38" s="24" t="n">
        <f aca="false">Model!AB40</f>
        <v>0.04</v>
      </c>
      <c r="AC38" s="23" t="n">
        <f aca="false">Model!AC40</f>
        <v>0.04</v>
      </c>
      <c r="AD38" s="23" t="n">
        <f aca="false">Model!AD40</f>
        <v>0.04</v>
      </c>
      <c r="AE38" s="23" t="n">
        <f aca="false">Model!AE40</f>
        <v>0.04</v>
      </c>
      <c r="AF38" s="23" t="n">
        <f aca="false">Model!AF40</f>
        <v>0.04</v>
      </c>
      <c r="AG38" s="24" t="n">
        <f aca="false">Model!AG40</f>
        <v>0.04</v>
      </c>
    </row>
    <row r="39" customFormat="false" ht="15" hidden="false" customHeight="false" outlineLevel="0" collapsed="false">
      <c r="H39" s="25"/>
      <c r="M39" s="25"/>
      <c r="R39" s="25"/>
      <c r="W39" s="25"/>
      <c r="AB39" s="25"/>
      <c r="AG39" s="25"/>
    </row>
    <row r="40" customFormat="false" ht="15" hidden="false" customHeight="false" outlineLevel="0" collapsed="false">
      <c r="C40" s="30" t="s">
        <v>46</v>
      </c>
      <c r="D40" s="31"/>
      <c r="E40" s="31"/>
      <c r="F40" s="31"/>
      <c r="G40" s="31"/>
      <c r="H40" s="32"/>
      <c r="I40" s="31"/>
      <c r="J40" s="31"/>
      <c r="K40" s="31"/>
      <c r="L40" s="31"/>
      <c r="M40" s="32"/>
      <c r="N40" s="31"/>
      <c r="O40" s="31"/>
      <c r="P40" s="31"/>
      <c r="Q40" s="31"/>
      <c r="R40" s="32"/>
      <c r="S40" s="31"/>
      <c r="T40" s="31"/>
      <c r="U40" s="31"/>
      <c r="V40" s="31"/>
      <c r="W40" s="32"/>
      <c r="X40" s="31"/>
      <c r="Y40" s="31"/>
      <c r="Z40" s="31"/>
      <c r="AA40" s="31"/>
      <c r="AB40" s="32"/>
      <c r="AC40" s="31"/>
      <c r="AD40" s="31"/>
      <c r="AE40" s="31"/>
      <c r="AF40" s="31"/>
      <c r="AG40" s="32"/>
    </row>
    <row r="41" customFormat="false" ht="15" hidden="false" customHeight="false" outlineLevel="0" collapsed="false">
      <c r="C41" s="4" t="s">
        <v>42</v>
      </c>
      <c r="D41" s="20" t="n">
        <f aca="false">Model!D44</f>
        <v>146</v>
      </c>
      <c r="E41" s="20" t="n">
        <f aca="false">Model!E44</f>
        <v>159</v>
      </c>
      <c r="F41" s="20" t="n">
        <f aca="false">Model!F44</f>
        <v>146</v>
      </c>
      <c r="G41" s="20" t="n">
        <f aca="false">Model!G44</f>
        <v>150</v>
      </c>
      <c r="H41" s="21" t="n">
        <f aca="false">Model!H44</f>
        <v>601</v>
      </c>
      <c r="I41" s="20" t="n">
        <f aca="false">Model!I44</f>
        <v>150</v>
      </c>
      <c r="J41" s="20" t="n">
        <f aca="false">Model!J44</f>
        <v>139</v>
      </c>
      <c r="K41" s="20" t="n">
        <f aca="false">Model!K44</f>
        <v>128</v>
      </c>
      <c r="L41" s="20" t="n">
        <f aca="false">Model!L44</f>
        <v>150</v>
      </c>
      <c r="M41" s="21" t="n">
        <f aca="false">Model!M44</f>
        <v>567</v>
      </c>
      <c r="N41" s="20" t="n">
        <f aca="false">Model!N44</f>
        <v>137</v>
      </c>
      <c r="O41" s="20" t="n">
        <f aca="false">Model!O44</f>
        <v>135</v>
      </c>
      <c r="P41" s="20" t="n">
        <f aca="false">Model!P44</f>
        <v>132</v>
      </c>
      <c r="Q41" s="20" t="n">
        <f aca="false">Model!Q44</f>
        <v>136</v>
      </c>
      <c r="R41" s="21" t="n">
        <f aca="false">Model!R44</f>
        <v>540</v>
      </c>
      <c r="S41" s="20" t="n">
        <f aca="false">Model!S44</f>
        <v>130</v>
      </c>
      <c r="T41" s="20" t="n">
        <f aca="false">Model!T44</f>
        <v>132</v>
      </c>
      <c r="U41" s="20" t="n">
        <f aca="false">Model!U44</f>
        <v>137.28</v>
      </c>
      <c r="V41" s="20" t="n">
        <f aca="false">Model!V44</f>
        <v>141.44</v>
      </c>
      <c r="W41" s="21" t="n">
        <f aca="false">Model!W44</f>
        <v>540.72</v>
      </c>
      <c r="X41" s="20" t="n">
        <f aca="false">Model!X44</f>
        <v>135.2</v>
      </c>
      <c r="Y41" s="20" t="n">
        <f aca="false">Model!Y44</f>
        <v>137.28</v>
      </c>
      <c r="Z41" s="20" t="n">
        <f aca="false">Model!Z44</f>
        <v>142.7712</v>
      </c>
      <c r="AA41" s="20" t="n">
        <f aca="false">Model!AA44</f>
        <v>147.0976</v>
      </c>
      <c r="AB41" s="21" t="n">
        <f aca="false">Model!AB44</f>
        <v>562.3488</v>
      </c>
      <c r="AC41" s="20" t="n">
        <f aca="false">Model!AC44</f>
        <v>140.608</v>
      </c>
      <c r="AD41" s="20" t="n">
        <f aca="false">Model!AD44</f>
        <v>142.7712</v>
      </c>
      <c r="AE41" s="20" t="n">
        <f aca="false">Model!AE44</f>
        <v>148.482048</v>
      </c>
      <c r="AF41" s="20" t="n">
        <f aca="false">Model!AF44</f>
        <v>152.981504</v>
      </c>
      <c r="AG41" s="21" t="n">
        <f aca="false">Model!AG44</f>
        <v>584.842752</v>
      </c>
    </row>
    <row r="42" customFormat="false" ht="15" hidden="false" customHeight="false" outlineLevel="0" collapsed="false">
      <c r="C42" s="22" t="s">
        <v>32</v>
      </c>
      <c r="D42" s="23" t="n">
        <f aca="false">Model!D45</f>
        <v>0</v>
      </c>
      <c r="E42" s="23" t="n">
        <f aca="false">Model!E45</f>
        <v>0</v>
      </c>
      <c r="F42" s="23" t="n">
        <f aca="false">Model!F45</f>
        <v>0</v>
      </c>
      <c r="G42" s="23" t="n">
        <f aca="false">Model!G45</f>
        <v>0</v>
      </c>
      <c r="H42" s="24" t="n">
        <f aca="false">Model!H45</f>
        <v>0</v>
      </c>
      <c r="I42" s="23" t="n">
        <f aca="false">Model!I45</f>
        <v>0.0273972602739727</v>
      </c>
      <c r="J42" s="23" t="n">
        <f aca="false">Model!J45</f>
        <v>-0.125786163522013</v>
      </c>
      <c r="K42" s="23" t="n">
        <f aca="false">Model!K45</f>
        <v>-0.123287671232877</v>
      </c>
      <c r="L42" s="23" t="n">
        <f aca="false">Model!L45</f>
        <v>0</v>
      </c>
      <c r="M42" s="24" t="n">
        <f aca="false">Model!M45</f>
        <v>-0.0565723793677204</v>
      </c>
      <c r="N42" s="23" t="n">
        <f aca="false">Model!N45</f>
        <v>-0.0866666666666667</v>
      </c>
      <c r="O42" s="23" t="n">
        <f aca="false">Model!O45</f>
        <v>-0.0287769784172662</v>
      </c>
      <c r="P42" s="23" t="n">
        <f aca="false">Model!P45</f>
        <v>0.03125</v>
      </c>
      <c r="Q42" s="23" t="n">
        <f aca="false">Model!Q45</f>
        <v>-0.0933333333333334</v>
      </c>
      <c r="R42" s="24" t="n">
        <f aca="false">Model!R45</f>
        <v>-0.0476190476190477</v>
      </c>
      <c r="S42" s="23" t="n">
        <f aca="false">Model!S45</f>
        <v>-0.051094890510949</v>
      </c>
      <c r="T42" s="23" t="n">
        <f aca="false">Model!T45</f>
        <v>-0.0222222222222223</v>
      </c>
      <c r="U42" s="23" t="n">
        <f aca="false">Model!U45</f>
        <v>0.04</v>
      </c>
      <c r="V42" s="23" t="n">
        <f aca="false">Model!V45</f>
        <v>0.04</v>
      </c>
      <c r="W42" s="24" t="n">
        <f aca="false">Model!W45</f>
        <v>0.00133333333333341</v>
      </c>
      <c r="X42" s="23" t="n">
        <f aca="false">Model!X45</f>
        <v>0.04</v>
      </c>
      <c r="Y42" s="23" t="n">
        <f aca="false">Model!Y45</f>
        <v>0.04</v>
      </c>
      <c r="Z42" s="23" t="n">
        <f aca="false">Model!Z45</f>
        <v>0.04</v>
      </c>
      <c r="AA42" s="23" t="n">
        <f aca="false">Model!AA45</f>
        <v>0.04</v>
      </c>
      <c r="AB42" s="24" t="n">
        <f aca="false">Model!AB45</f>
        <v>0.0399999999999998</v>
      </c>
      <c r="AC42" s="23" t="n">
        <f aca="false">Model!AC45</f>
        <v>0.04</v>
      </c>
      <c r="AD42" s="23" t="n">
        <f aca="false">Model!AD45</f>
        <v>0.04</v>
      </c>
      <c r="AE42" s="23" t="n">
        <f aca="false">Model!AE45</f>
        <v>0.04</v>
      </c>
      <c r="AF42" s="23" t="n">
        <f aca="false">Model!AF45</f>
        <v>0.04</v>
      </c>
      <c r="AG42" s="24" t="n">
        <f aca="false">Model!AG45</f>
        <v>0.04</v>
      </c>
    </row>
    <row r="43" customFormat="false" ht="15" hidden="false" customHeight="false" outlineLevel="0" collapsed="false">
      <c r="H43" s="25"/>
      <c r="M43" s="25"/>
      <c r="R43" s="25"/>
      <c r="W43" s="25"/>
      <c r="AB43" s="25"/>
      <c r="AG43" s="25"/>
    </row>
    <row r="44" customFormat="false" ht="15" hidden="false" customHeight="false" outlineLevel="0" collapsed="false">
      <c r="C44" s="30" t="s">
        <v>47</v>
      </c>
      <c r="D44" s="31"/>
      <c r="E44" s="31"/>
      <c r="F44" s="31"/>
      <c r="G44" s="31"/>
      <c r="H44" s="32"/>
      <c r="I44" s="31"/>
      <c r="J44" s="31"/>
      <c r="K44" s="31"/>
      <c r="L44" s="31"/>
      <c r="M44" s="32"/>
      <c r="N44" s="31"/>
      <c r="O44" s="31"/>
      <c r="P44" s="31"/>
      <c r="Q44" s="31"/>
      <c r="R44" s="32"/>
      <c r="S44" s="31"/>
      <c r="T44" s="31"/>
      <c r="U44" s="31"/>
      <c r="V44" s="31"/>
      <c r="W44" s="32"/>
      <c r="X44" s="31"/>
      <c r="Y44" s="31"/>
      <c r="Z44" s="31"/>
      <c r="AA44" s="31"/>
      <c r="AB44" s="32"/>
      <c r="AC44" s="31"/>
      <c r="AD44" s="31"/>
      <c r="AE44" s="31"/>
      <c r="AF44" s="31"/>
      <c r="AG44" s="32"/>
    </row>
    <row r="45" customFormat="false" ht="15" hidden="false" customHeight="false" outlineLevel="0" collapsed="false">
      <c r="C45" s="4" t="s">
        <v>42</v>
      </c>
      <c r="D45" s="20" t="n">
        <f aca="false">Model!D49</f>
        <v>166</v>
      </c>
      <c r="E45" s="20" t="n">
        <f aca="false">Model!E49</f>
        <v>157</v>
      </c>
      <c r="F45" s="20" t="n">
        <f aca="false">Model!F49</f>
        <v>164</v>
      </c>
      <c r="G45" s="20" t="n">
        <f aca="false">Model!G49</f>
        <v>175</v>
      </c>
      <c r="H45" s="21" t="n">
        <f aca="false">Model!H49</f>
        <v>662</v>
      </c>
      <c r="I45" s="20" t="n">
        <f aca="false">Model!I49</f>
        <v>166</v>
      </c>
      <c r="J45" s="20" t="n">
        <f aca="false">Model!J49</f>
        <v>152</v>
      </c>
      <c r="K45" s="20" t="n">
        <f aca="false">Model!K49</f>
        <v>168</v>
      </c>
      <c r="L45" s="20" t="n">
        <f aca="false">Model!L49</f>
        <v>164</v>
      </c>
      <c r="M45" s="21" t="n">
        <f aca="false">Model!M49</f>
        <v>650</v>
      </c>
      <c r="N45" s="20" t="n">
        <f aca="false">Model!N49</f>
        <v>172</v>
      </c>
      <c r="O45" s="20" t="n">
        <f aca="false">Model!O49</f>
        <v>159</v>
      </c>
      <c r="P45" s="20" t="n">
        <f aca="false">Model!P49</f>
        <v>163</v>
      </c>
      <c r="Q45" s="20" t="n">
        <f aca="false">Model!Q49</f>
        <v>180</v>
      </c>
      <c r="R45" s="21" t="n">
        <f aca="false">Model!R49</f>
        <v>674</v>
      </c>
      <c r="S45" s="20" t="n">
        <f aca="false">Model!S49</f>
        <v>177</v>
      </c>
      <c r="T45" s="20" t="n">
        <f aca="false">Model!T49</f>
        <v>186</v>
      </c>
      <c r="U45" s="20" t="n">
        <f aca="false">Model!U49</f>
        <v>169.52</v>
      </c>
      <c r="V45" s="20" t="n">
        <f aca="false">Model!V49</f>
        <v>187.2</v>
      </c>
      <c r="W45" s="21" t="n">
        <f aca="false">Model!W49</f>
        <v>719.72</v>
      </c>
      <c r="X45" s="20" t="n">
        <f aca="false">Model!X49</f>
        <v>184.08</v>
      </c>
      <c r="Y45" s="20" t="n">
        <f aca="false">Model!Y49</f>
        <v>193.44</v>
      </c>
      <c r="Z45" s="20" t="n">
        <f aca="false">Model!Z49</f>
        <v>176.3008</v>
      </c>
      <c r="AA45" s="20" t="n">
        <f aca="false">Model!AA49</f>
        <v>194.688</v>
      </c>
      <c r="AB45" s="21" t="n">
        <f aca="false">Model!AB49</f>
        <v>748.5088</v>
      </c>
      <c r="AC45" s="20" t="n">
        <f aca="false">Model!AC49</f>
        <v>191.4432</v>
      </c>
      <c r="AD45" s="20" t="n">
        <f aca="false">Model!AD49</f>
        <v>201.1776</v>
      </c>
      <c r="AE45" s="20" t="n">
        <f aca="false">Model!AE49</f>
        <v>183.352832</v>
      </c>
      <c r="AF45" s="20" t="n">
        <f aca="false">Model!AF49</f>
        <v>202.47552</v>
      </c>
      <c r="AG45" s="21" t="n">
        <f aca="false">Model!AG49</f>
        <v>778.449152</v>
      </c>
    </row>
    <row r="46" customFormat="false" ht="15" hidden="false" customHeight="false" outlineLevel="0" collapsed="false">
      <c r="C46" s="22" t="s">
        <v>32</v>
      </c>
      <c r="D46" s="23" t="n">
        <f aca="false">Model!D50</f>
        <v>0</v>
      </c>
      <c r="E46" s="23" t="n">
        <f aca="false">Model!E50</f>
        <v>0</v>
      </c>
      <c r="F46" s="23" t="n">
        <f aca="false">Model!F50</f>
        <v>0</v>
      </c>
      <c r="G46" s="23" t="n">
        <f aca="false">Model!G50</f>
        <v>0</v>
      </c>
      <c r="H46" s="24" t="n">
        <f aca="false">Model!H50</f>
        <v>0</v>
      </c>
      <c r="I46" s="23" t="n">
        <f aca="false">Model!I50</f>
        <v>0</v>
      </c>
      <c r="J46" s="23" t="n">
        <f aca="false">Model!J50</f>
        <v>-0.0318471337579618</v>
      </c>
      <c r="K46" s="23" t="n">
        <f aca="false">Model!K50</f>
        <v>0.024390243902439</v>
      </c>
      <c r="L46" s="23" t="n">
        <f aca="false">Model!L50</f>
        <v>-0.0628571428571428</v>
      </c>
      <c r="M46" s="24" t="n">
        <f aca="false">Model!M50</f>
        <v>-0.0181268882175226</v>
      </c>
      <c r="N46" s="23" t="n">
        <f aca="false">Model!N50</f>
        <v>0.036144578313253</v>
      </c>
      <c r="O46" s="23" t="n">
        <f aca="false">Model!O50</f>
        <v>0.0460526315789473</v>
      </c>
      <c r="P46" s="23" t="n">
        <f aca="false">Model!P50</f>
        <v>-0.0297619047619048</v>
      </c>
      <c r="Q46" s="23" t="n">
        <f aca="false">Model!Q50</f>
        <v>0.0975609756097562</v>
      </c>
      <c r="R46" s="24" t="n">
        <f aca="false">Model!R50</f>
        <v>0.0369230769230768</v>
      </c>
      <c r="S46" s="23" t="n">
        <f aca="false">Model!S50</f>
        <v>0.0290697674418605</v>
      </c>
      <c r="T46" s="23" t="n">
        <f aca="false">Model!T50</f>
        <v>0.169811320754717</v>
      </c>
      <c r="U46" s="23" t="n">
        <f aca="false">Model!U50</f>
        <v>0.04</v>
      </c>
      <c r="V46" s="23" t="n">
        <f aca="false">Model!V50</f>
        <v>0.04</v>
      </c>
      <c r="W46" s="24" t="n">
        <f aca="false">Model!W50</f>
        <v>0.0678338278931752</v>
      </c>
      <c r="X46" s="23" t="n">
        <f aca="false">Model!X50</f>
        <v>0.04</v>
      </c>
      <c r="Y46" s="23" t="n">
        <f aca="false">Model!Y50</f>
        <v>0.04</v>
      </c>
      <c r="Z46" s="23" t="n">
        <f aca="false">Model!Z50</f>
        <v>0.04</v>
      </c>
      <c r="AA46" s="23" t="n">
        <f aca="false">Model!AA50</f>
        <v>0.04</v>
      </c>
      <c r="AB46" s="24" t="n">
        <f aca="false">Model!AB50</f>
        <v>0.0399999999999998</v>
      </c>
      <c r="AC46" s="23" t="n">
        <f aca="false">Model!AC50</f>
        <v>0.04</v>
      </c>
      <c r="AD46" s="23" t="n">
        <f aca="false">Model!AD50</f>
        <v>0.04</v>
      </c>
      <c r="AE46" s="23" t="n">
        <f aca="false">Model!AE50</f>
        <v>0.04</v>
      </c>
      <c r="AF46" s="23" t="n">
        <f aca="false">Model!AF50</f>
        <v>0.04</v>
      </c>
      <c r="AG46" s="24" t="n">
        <f aca="false">Model!AG50</f>
        <v>0.0400000000000003</v>
      </c>
    </row>
    <row r="47" customFormat="false" ht="15" hidden="false" customHeight="false" outlineLevel="0" collapsed="false">
      <c r="H47" s="25"/>
      <c r="M47" s="25"/>
      <c r="R47" s="25"/>
      <c r="W47" s="25"/>
      <c r="AB47" s="25"/>
      <c r="AG47" s="25"/>
    </row>
    <row r="48" customFormat="false" ht="15" hidden="false" customHeight="false" outlineLevel="0" collapsed="false">
      <c r="H48" s="25"/>
      <c r="M48" s="25"/>
      <c r="R48" s="25"/>
      <c r="W48" s="25"/>
      <c r="AB48" s="25"/>
      <c r="AG48" s="25"/>
    </row>
    <row r="49" customFormat="false" ht="15" hidden="false" customHeight="false" outlineLevel="0" collapsed="false">
      <c r="B49" s="17" t="s">
        <v>48</v>
      </c>
      <c r="C49" s="18"/>
      <c r="D49" s="18"/>
      <c r="E49" s="18"/>
      <c r="F49" s="18"/>
      <c r="G49" s="18"/>
      <c r="H49" s="19"/>
      <c r="I49" s="18"/>
      <c r="J49" s="18"/>
      <c r="K49" s="18"/>
      <c r="L49" s="18"/>
      <c r="M49" s="19"/>
      <c r="N49" s="18"/>
      <c r="O49" s="18"/>
      <c r="P49" s="18"/>
      <c r="Q49" s="18"/>
      <c r="R49" s="19"/>
      <c r="S49" s="18"/>
      <c r="T49" s="18"/>
      <c r="U49" s="18"/>
      <c r="V49" s="18"/>
      <c r="W49" s="19"/>
      <c r="X49" s="18"/>
      <c r="Y49" s="18"/>
      <c r="Z49" s="18"/>
      <c r="AA49" s="18"/>
      <c r="AB49" s="19"/>
      <c r="AC49" s="18"/>
      <c r="AD49" s="18"/>
      <c r="AE49" s="18"/>
      <c r="AF49" s="18"/>
      <c r="AG49" s="19"/>
    </row>
    <row r="50" customFormat="false" ht="15" hidden="false" customHeight="false" outlineLevel="0" collapsed="false">
      <c r="C50" s="30" t="s">
        <v>49</v>
      </c>
      <c r="D50" s="31"/>
      <c r="E50" s="31"/>
      <c r="F50" s="31"/>
      <c r="G50" s="31"/>
      <c r="H50" s="32"/>
      <c r="I50" s="31"/>
      <c r="J50" s="31"/>
      <c r="K50" s="31"/>
      <c r="L50" s="31"/>
      <c r="M50" s="32"/>
      <c r="N50" s="31"/>
      <c r="O50" s="31"/>
      <c r="P50" s="31"/>
      <c r="Q50" s="31"/>
      <c r="R50" s="32"/>
      <c r="S50" s="31"/>
      <c r="T50" s="31"/>
      <c r="U50" s="31"/>
      <c r="V50" s="31"/>
      <c r="W50" s="32"/>
      <c r="X50" s="31"/>
      <c r="Y50" s="31"/>
      <c r="Z50" s="31"/>
      <c r="AA50" s="31"/>
      <c r="AB50" s="32"/>
      <c r="AC50" s="31"/>
      <c r="AD50" s="31"/>
      <c r="AE50" s="31"/>
      <c r="AF50" s="31"/>
      <c r="AG50" s="32"/>
    </row>
    <row r="51" customFormat="false" ht="15" hidden="false" customHeight="false" outlineLevel="0" collapsed="false">
      <c r="C51" s="4" t="s">
        <v>42</v>
      </c>
      <c r="D51" s="20" t="n">
        <f aca="false">Model!D62</f>
        <v>719</v>
      </c>
      <c r="E51" s="20" t="n">
        <f aca="false">Model!E62</f>
        <v>726</v>
      </c>
      <c r="F51" s="20" t="n">
        <f aca="false">Model!F62</f>
        <v>661</v>
      </c>
      <c r="G51" s="20" t="n">
        <f aca="false">Model!G62</f>
        <v>674</v>
      </c>
      <c r="H51" s="21" t="n">
        <f aca="false">Model!H62</f>
        <v>2780</v>
      </c>
      <c r="I51" s="20" t="n">
        <f aca="false">Model!I62</f>
        <v>620</v>
      </c>
      <c r="J51" s="20" t="n">
        <f aca="false">Model!J62</f>
        <v>604</v>
      </c>
      <c r="K51" s="20" t="n">
        <f aca="false">Model!K62</f>
        <v>585</v>
      </c>
      <c r="L51" s="20" t="n">
        <f aca="false">Model!L62</f>
        <v>657</v>
      </c>
      <c r="M51" s="21" t="n">
        <f aca="false">Model!M62</f>
        <v>2466</v>
      </c>
      <c r="N51" s="20" t="n">
        <f aca="false">Model!N62</f>
        <v>647</v>
      </c>
      <c r="O51" s="20" t="n">
        <f aca="false">Model!O62</f>
        <v>654</v>
      </c>
      <c r="P51" s="20" t="n">
        <f aca="false">Model!P62</f>
        <v>670</v>
      </c>
      <c r="Q51" s="20" t="n">
        <f aca="false">Model!Q62</f>
        <v>755</v>
      </c>
      <c r="R51" s="21" t="n">
        <f aca="false">Model!R62</f>
        <v>2726</v>
      </c>
      <c r="S51" s="20" t="n">
        <f aca="false">Model!S62</f>
        <v>679</v>
      </c>
      <c r="T51" s="20" t="n">
        <f aca="false">Model!T62</f>
        <v>732</v>
      </c>
      <c r="U51" s="20" t="n">
        <f aca="false">Model!U62</f>
        <v>696.8</v>
      </c>
      <c r="V51" s="20" t="n">
        <f aca="false">Model!V62</f>
        <v>785.2</v>
      </c>
      <c r="W51" s="21" t="n">
        <f aca="false">Model!W62</f>
        <v>2893</v>
      </c>
      <c r="X51" s="20" t="n">
        <f aca="false">Model!X62</f>
        <v>706.16</v>
      </c>
      <c r="Y51" s="20" t="n">
        <f aca="false">Model!Y62</f>
        <v>761.28</v>
      </c>
      <c r="Z51" s="20" t="n">
        <f aca="false">Model!Z62</f>
        <v>724.672</v>
      </c>
      <c r="AA51" s="20" t="n">
        <f aca="false">Model!AA62</f>
        <v>816.608</v>
      </c>
      <c r="AB51" s="21" t="n">
        <f aca="false">Model!AB62</f>
        <v>3008.72</v>
      </c>
      <c r="AC51" s="20" t="n">
        <f aca="false">Model!AC62</f>
        <v>734.4064</v>
      </c>
      <c r="AD51" s="20" t="n">
        <f aca="false">Model!AD62</f>
        <v>791.7312</v>
      </c>
      <c r="AE51" s="20" t="n">
        <f aca="false">Model!AE62</f>
        <v>753.65888</v>
      </c>
      <c r="AF51" s="20" t="n">
        <f aca="false">Model!AF62</f>
        <v>849.27232</v>
      </c>
      <c r="AG51" s="21" t="n">
        <f aca="false">Model!AG62</f>
        <v>3129.0688</v>
      </c>
    </row>
    <row r="52" customFormat="false" ht="15" hidden="false" customHeight="false" outlineLevel="0" collapsed="false">
      <c r="C52" s="4" t="s">
        <v>50</v>
      </c>
      <c r="D52" s="20" t="n">
        <f aca="false">Model!D78</f>
        <v>197.725</v>
      </c>
      <c r="E52" s="20" t="n">
        <f aca="false">Model!E78</f>
        <v>199.65</v>
      </c>
      <c r="F52" s="20" t="n">
        <f aca="false">Model!F78</f>
        <v>181.775</v>
      </c>
      <c r="G52" s="20" t="n">
        <f aca="false">Model!G78</f>
        <v>185.35</v>
      </c>
      <c r="H52" s="21" t="n">
        <f aca="false">Model!H78</f>
        <v>764.5</v>
      </c>
      <c r="I52" s="20" t="n">
        <f aca="false">Model!I78</f>
        <v>170.5</v>
      </c>
      <c r="J52" s="20" t="n">
        <f aca="false">Model!J78</f>
        <v>166.1</v>
      </c>
      <c r="K52" s="20" t="n">
        <f aca="false">Model!K78</f>
        <v>160.875</v>
      </c>
      <c r="L52" s="20" t="n">
        <f aca="false">Model!L78</f>
        <v>180.675</v>
      </c>
      <c r="M52" s="21" t="n">
        <f aca="false">Model!M78</f>
        <v>678.15</v>
      </c>
      <c r="N52" s="20" t="n">
        <f aca="false">Model!N78</f>
        <v>177.925</v>
      </c>
      <c r="O52" s="20" t="n">
        <f aca="false">Model!O78</f>
        <v>179.85</v>
      </c>
      <c r="P52" s="20" t="n">
        <f aca="false">Model!P78</f>
        <v>184.25</v>
      </c>
      <c r="Q52" s="20" t="n">
        <f aca="false">Model!Q78</f>
        <v>207.625</v>
      </c>
      <c r="R52" s="21" t="n">
        <f aca="false">Model!R78</f>
        <v>749.65</v>
      </c>
      <c r="S52" s="20" t="n">
        <f aca="false">Model!S78</f>
        <v>186.725</v>
      </c>
      <c r="T52" s="20" t="n">
        <f aca="false">Model!T78</f>
        <v>201.3</v>
      </c>
      <c r="U52" s="20" t="n">
        <f aca="false">Model!U78</f>
        <v>191.62</v>
      </c>
      <c r="V52" s="20" t="n">
        <f aca="false">Model!V78</f>
        <v>215.93</v>
      </c>
      <c r="W52" s="21" t="n">
        <f aca="false">Model!W78</f>
        <v>795.575</v>
      </c>
      <c r="X52" s="20" t="n">
        <f aca="false">Model!X78</f>
        <v>194.194</v>
      </c>
      <c r="Y52" s="20" t="n">
        <f aca="false">Model!Y78</f>
        <v>209.352</v>
      </c>
      <c r="Z52" s="20" t="n">
        <f aca="false">Model!Z78</f>
        <v>199.2848</v>
      </c>
      <c r="AA52" s="20" t="n">
        <f aca="false">Model!AA78</f>
        <v>224.5672</v>
      </c>
      <c r="AB52" s="21" t="n">
        <f aca="false">Model!AB78</f>
        <v>827.398</v>
      </c>
      <c r="AC52" s="20" t="n">
        <f aca="false">Model!AC78</f>
        <v>201.96176</v>
      </c>
      <c r="AD52" s="20" t="n">
        <f aca="false">Model!AD78</f>
        <v>217.72608</v>
      </c>
      <c r="AE52" s="20" t="n">
        <f aca="false">Model!AE78</f>
        <v>207.256192</v>
      </c>
      <c r="AF52" s="20" t="n">
        <f aca="false">Model!AF78</f>
        <v>233.549888</v>
      </c>
      <c r="AG52" s="21" t="n">
        <f aca="false">Model!AG78</f>
        <v>860.49392</v>
      </c>
    </row>
    <row r="53" customFormat="false" ht="15" hidden="false" customHeight="false" outlineLevel="0" collapsed="false">
      <c r="C53" s="22" t="s">
        <v>38</v>
      </c>
      <c r="D53" s="26" t="n">
        <f aca="false">Model!D77</f>
        <v>0.275</v>
      </c>
      <c r="E53" s="26" t="n">
        <f aca="false">Model!E77</f>
        <v>0.275</v>
      </c>
      <c r="F53" s="26" t="n">
        <f aca="false">Model!F77</f>
        <v>0.275</v>
      </c>
      <c r="G53" s="26" t="n">
        <f aca="false">Model!G77</f>
        <v>0.275</v>
      </c>
      <c r="H53" s="27" t="n">
        <f aca="false">Model!H77</f>
        <v>0.275</v>
      </c>
      <c r="I53" s="26" t="n">
        <f aca="false">Model!I77</f>
        <v>0.275</v>
      </c>
      <c r="J53" s="26" t="n">
        <f aca="false">Model!J77</f>
        <v>0.275</v>
      </c>
      <c r="K53" s="26" t="n">
        <f aca="false">Model!K77</f>
        <v>0.275</v>
      </c>
      <c r="L53" s="26" t="n">
        <f aca="false">Model!L77</f>
        <v>0.275</v>
      </c>
      <c r="M53" s="27" t="n">
        <f aca="false">Model!M77</f>
        <v>0.275</v>
      </c>
      <c r="N53" s="26" t="n">
        <f aca="false">Model!N77</f>
        <v>0.275</v>
      </c>
      <c r="O53" s="26" t="n">
        <f aca="false">Model!O77</f>
        <v>0.275</v>
      </c>
      <c r="P53" s="26" t="n">
        <f aca="false">Model!P77</f>
        <v>0.275</v>
      </c>
      <c r="Q53" s="26" t="n">
        <f aca="false">Model!Q77</f>
        <v>0.275</v>
      </c>
      <c r="R53" s="27" t="n">
        <f aca="false">Model!R77</f>
        <v>0.275</v>
      </c>
      <c r="S53" s="26" t="n">
        <f aca="false">Model!S77</f>
        <v>0.275</v>
      </c>
      <c r="T53" s="26" t="n">
        <f aca="false">Model!T77</f>
        <v>0.275</v>
      </c>
      <c r="U53" s="26" t="n">
        <f aca="false">Model!U77</f>
        <v>0.275</v>
      </c>
      <c r="V53" s="26" t="n">
        <f aca="false">Model!V77</f>
        <v>0.275</v>
      </c>
      <c r="W53" s="27" t="n">
        <f aca="false">Model!W77</f>
        <v>0.275</v>
      </c>
      <c r="X53" s="26" t="n">
        <f aca="false">Model!X77</f>
        <v>0.275</v>
      </c>
      <c r="Y53" s="26" t="n">
        <f aca="false">Model!Y77</f>
        <v>0.275</v>
      </c>
      <c r="Z53" s="26" t="n">
        <f aca="false">Model!Z77</f>
        <v>0.275</v>
      </c>
      <c r="AA53" s="26" t="n">
        <f aca="false">Model!AA77</f>
        <v>0.275</v>
      </c>
      <c r="AB53" s="27" t="n">
        <f aca="false">Model!AB77</f>
        <v>0.275</v>
      </c>
      <c r="AC53" s="26" t="n">
        <f aca="false">Model!AC77</f>
        <v>0.275</v>
      </c>
      <c r="AD53" s="26" t="n">
        <f aca="false">Model!AD77</f>
        <v>0.275</v>
      </c>
      <c r="AE53" s="26" t="n">
        <f aca="false">Model!AE77</f>
        <v>0.275</v>
      </c>
      <c r="AF53" s="26" t="n">
        <f aca="false">Model!AF77</f>
        <v>0.275</v>
      </c>
      <c r="AG53" s="27" t="n">
        <f aca="false">Model!AG77</f>
        <v>0.275</v>
      </c>
    </row>
    <row r="54" customFormat="false" ht="15" hidden="false" customHeight="false" outlineLevel="0" collapsed="false">
      <c r="H54" s="25"/>
      <c r="M54" s="25"/>
      <c r="R54" s="25"/>
      <c r="W54" s="25"/>
      <c r="AB54" s="25"/>
      <c r="AG54" s="25"/>
    </row>
    <row r="55" customFormat="false" ht="15" hidden="false" customHeight="false" outlineLevel="0" collapsed="false">
      <c r="C55" s="30" t="s">
        <v>51</v>
      </c>
      <c r="D55" s="31"/>
      <c r="E55" s="31"/>
      <c r="F55" s="31"/>
      <c r="G55" s="31"/>
      <c r="H55" s="32"/>
      <c r="I55" s="31"/>
      <c r="J55" s="31"/>
      <c r="K55" s="31"/>
      <c r="L55" s="31"/>
      <c r="M55" s="32"/>
      <c r="N55" s="31"/>
      <c r="O55" s="31"/>
      <c r="P55" s="31"/>
      <c r="Q55" s="31"/>
      <c r="R55" s="32"/>
      <c r="S55" s="31"/>
      <c r="T55" s="31"/>
      <c r="U55" s="31"/>
      <c r="V55" s="31"/>
      <c r="W55" s="32"/>
      <c r="X55" s="31"/>
      <c r="Y55" s="31"/>
      <c r="Z55" s="31"/>
      <c r="AA55" s="31"/>
      <c r="AB55" s="32"/>
      <c r="AC55" s="31"/>
      <c r="AD55" s="31"/>
      <c r="AE55" s="31"/>
      <c r="AF55" s="31"/>
      <c r="AG55" s="32"/>
    </row>
    <row r="56" customFormat="false" ht="15" hidden="false" customHeight="false" outlineLevel="0" collapsed="false">
      <c r="C56" s="4" t="s">
        <v>42</v>
      </c>
      <c r="D56" s="20" t="n">
        <f aca="false">Model!D65</f>
        <v>652</v>
      </c>
      <c r="E56" s="20" t="n">
        <f aca="false">Model!E65</f>
        <v>660</v>
      </c>
      <c r="F56" s="20" t="n">
        <f aca="false">Model!F65</f>
        <v>672</v>
      </c>
      <c r="G56" s="20" t="n">
        <f aca="false">Model!G65</f>
        <v>672</v>
      </c>
      <c r="H56" s="21" t="n">
        <f aca="false">Model!H65</f>
        <v>2656</v>
      </c>
      <c r="I56" s="20" t="n">
        <f aca="false">Model!I65</f>
        <v>686</v>
      </c>
      <c r="J56" s="20" t="n">
        <f aca="false">Model!J65</f>
        <v>664</v>
      </c>
      <c r="K56" s="20" t="n">
        <f aca="false">Model!K65</f>
        <v>691</v>
      </c>
      <c r="L56" s="20" t="n">
        <f aca="false">Model!L65</f>
        <v>706</v>
      </c>
      <c r="M56" s="21" t="n">
        <f aca="false">Model!M65</f>
        <v>2747</v>
      </c>
      <c r="N56" s="20" t="n">
        <f aca="false">Model!N65</f>
        <v>696</v>
      </c>
      <c r="O56" s="20" t="n">
        <f aca="false">Model!O65</f>
        <v>713</v>
      </c>
      <c r="P56" s="20" t="n">
        <f aca="false">Model!P65</f>
        <v>744</v>
      </c>
      <c r="Q56" s="20" t="n">
        <f aca="false">Model!Q65</f>
        <v>755</v>
      </c>
      <c r="R56" s="21" t="n">
        <f aca="false">Model!R65</f>
        <v>2908</v>
      </c>
      <c r="S56" s="20" t="n">
        <f aca="false">Model!S65</f>
        <v>758</v>
      </c>
      <c r="T56" s="20" t="n">
        <f aca="false">Model!T65</f>
        <v>759</v>
      </c>
      <c r="U56" s="20" t="n">
        <f aca="false">Model!U65</f>
        <v>773.76</v>
      </c>
      <c r="V56" s="20" t="n">
        <f aca="false">Model!V65</f>
        <v>785.2</v>
      </c>
      <c r="W56" s="21" t="n">
        <f aca="false">Model!W65</f>
        <v>3075.96</v>
      </c>
      <c r="X56" s="20" t="n">
        <f aca="false">Model!X65</f>
        <v>788.32</v>
      </c>
      <c r="Y56" s="20" t="n">
        <f aca="false">Model!Y65</f>
        <v>789.36</v>
      </c>
      <c r="Z56" s="20" t="n">
        <f aca="false">Model!Z65</f>
        <v>804.7104</v>
      </c>
      <c r="AA56" s="20" t="n">
        <f aca="false">Model!AA65</f>
        <v>816.608</v>
      </c>
      <c r="AB56" s="21" t="n">
        <f aca="false">Model!AB65</f>
        <v>3198.9984</v>
      </c>
      <c r="AC56" s="20" t="n">
        <f aca="false">Model!AC65</f>
        <v>819.8528</v>
      </c>
      <c r="AD56" s="20" t="n">
        <f aca="false">Model!AD65</f>
        <v>820.9344</v>
      </c>
      <c r="AE56" s="20" t="n">
        <f aca="false">Model!AE65</f>
        <v>836.898816</v>
      </c>
      <c r="AF56" s="20" t="n">
        <f aca="false">Model!AF65</f>
        <v>849.27232</v>
      </c>
      <c r="AG56" s="21" t="n">
        <f aca="false">Model!AG65</f>
        <v>3326.958336</v>
      </c>
    </row>
    <row r="57" customFormat="false" ht="15" hidden="false" customHeight="false" outlineLevel="0" collapsed="false">
      <c r="C57" s="4" t="s">
        <v>50</v>
      </c>
      <c r="D57" s="20" t="n">
        <f aca="false">Model!D84</f>
        <v>185.82</v>
      </c>
      <c r="E57" s="20" t="n">
        <f aca="false">Model!E84</f>
        <v>188.1</v>
      </c>
      <c r="F57" s="20" t="n">
        <f aca="false">Model!F84</f>
        <v>191.52</v>
      </c>
      <c r="G57" s="20" t="n">
        <f aca="false">Model!G84</f>
        <v>191.52</v>
      </c>
      <c r="H57" s="21" t="n">
        <f aca="false">Model!H84</f>
        <v>756.96</v>
      </c>
      <c r="I57" s="20" t="n">
        <f aca="false">Model!I84</f>
        <v>195.51</v>
      </c>
      <c r="J57" s="20" t="n">
        <f aca="false">Model!J84</f>
        <v>189.24</v>
      </c>
      <c r="K57" s="20" t="n">
        <f aca="false">Model!K84</f>
        <v>196.935</v>
      </c>
      <c r="L57" s="20" t="n">
        <f aca="false">Model!L84</f>
        <v>201.21</v>
      </c>
      <c r="M57" s="21" t="n">
        <f aca="false">Model!M84</f>
        <v>782.895</v>
      </c>
      <c r="N57" s="20" t="n">
        <f aca="false">Model!N84</f>
        <v>198.36</v>
      </c>
      <c r="O57" s="20" t="n">
        <f aca="false">Model!O84</f>
        <v>203.205</v>
      </c>
      <c r="P57" s="20" t="n">
        <f aca="false">Model!P84</f>
        <v>212.04</v>
      </c>
      <c r="Q57" s="20" t="n">
        <f aca="false">Model!Q84</f>
        <v>215.175</v>
      </c>
      <c r="R57" s="21" t="n">
        <f aca="false">Model!R84</f>
        <v>828.78</v>
      </c>
      <c r="S57" s="20" t="n">
        <f aca="false">Model!S84</f>
        <v>216.03</v>
      </c>
      <c r="T57" s="20" t="n">
        <f aca="false">Model!T84</f>
        <v>216.315</v>
      </c>
      <c r="U57" s="20" t="n">
        <f aca="false">Model!U84</f>
        <v>220.5216</v>
      </c>
      <c r="V57" s="20" t="n">
        <f aca="false">Model!V84</f>
        <v>223.782</v>
      </c>
      <c r="W57" s="21" t="n">
        <f aca="false">Model!W84</f>
        <v>876.6486</v>
      </c>
      <c r="X57" s="20" t="n">
        <f aca="false">Model!X84</f>
        <v>224.6712</v>
      </c>
      <c r="Y57" s="20" t="n">
        <f aca="false">Model!Y84</f>
        <v>224.9676</v>
      </c>
      <c r="Z57" s="20" t="n">
        <f aca="false">Model!Z84</f>
        <v>229.342464</v>
      </c>
      <c r="AA57" s="20" t="n">
        <f aca="false">Model!AA84</f>
        <v>232.73328</v>
      </c>
      <c r="AB57" s="21" t="n">
        <f aca="false">Model!AB84</f>
        <v>911.714544</v>
      </c>
      <c r="AC57" s="20" t="n">
        <f aca="false">Model!AC84</f>
        <v>233.658048</v>
      </c>
      <c r="AD57" s="20" t="n">
        <f aca="false">Model!AD84</f>
        <v>233.966304</v>
      </c>
      <c r="AE57" s="20" t="n">
        <f aca="false">Model!AE84</f>
        <v>238.51616256</v>
      </c>
      <c r="AF57" s="20" t="n">
        <f aca="false">Model!AF84</f>
        <v>242.0426112</v>
      </c>
      <c r="AG57" s="21" t="n">
        <f aca="false">Model!AG84</f>
        <v>948.18312576</v>
      </c>
    </row>
    <row r="58" customFormat="false" ht="15" hidden="false" customHeight="false" outlineLevel="0" collapsed="false">
      <c r="C58" s="22" t="s">
        <v>38</v>
      </c>
      <c r="D58" s="26" t="n">
        <f aca="false">Model!D83</f>
        <v>0.285</v>
      </c>
      <c r="E58" s="26" t="n">
        <f aca="false">Model!E83</f>
        <v>0.285</v>
      </c>
      <c r="F58" s="26" t="n">
        <f aca="false">Model!F83</f>
        <v>0.285</v>
      </c>
      <c r="G58" s="26" t="n">
        <f aca="false">Model!G83</f>
        <v>0.285</v>
      </c>
      <c r="H58" s="27" t="n">
        <f aca="false">Model!H83</f>
        <v>0.285</v>
      </c>
      <c r="I58" s="26" t="n">
        <f aca="false">Model!I83</f>
        <v>0.285</v>
      </c>
      <c r="J58" s="26" t="n">
        <f aca="false">Model!J83</f>
        <v>0.285</v>
      </c>
      <c r="K58" s="26" t="n">
        <f aca="false">Model!K83</f>
        <v>0.285</v>
      </c>
      <c r="L58" s="26" t="n">
        <f aca="false">Model!L83</f>
        <v>0.285</v>
      </c>
      <c r="M58" s="27" t="n">
        <f aca="false">Model!M83</f>
        <v>0.285</v>
      </c>
      <c r="N58" s="26" t="n">
        <f aca="false">Model!N83</f>
        <v>0.285</v>
      </c>
      <c r="O58" s="26" t="n">
        <f aca="false">Model!O83</f>
        <v>0.285</v>
      </c>
      <c r="P58" s="26" t="n">
        <f aca="false">Model!P83</f>
        <v>0.285</v>
      </c>
      <c r="Q58" s="26" t="n">
        <f aca="false">Model!Q83</f>
        <v>0.285</v>
      </c>
      <c r="R58" s="27" t="n">
        <f aca="false">Model!R83</f>
        <v>0.285</v>
      </c>
      <c r="S58" s="26" t="n">
        <f aca="false">Model!S83</f>
        <v>0.285</v>
      </c>
      <c r="T58" s="26" t="n">
        <f aca="false">Model!T83</f>
        <v>0.285</v>
      </c>
      <c r="U58" s="26" t="n">
        <f aca="false">Model!U83</f>
        <v>0.285</v>
      </c>
      <c r="V58" s="26" t="n">
        <f aca="false">Model!V83</f>
        <v>0.285</v>
      </c>
      <c r="W58" s="27" t="n">
        <f aca="false">Model!W83</f>
        <v>0.285</v>
      </c>
      <c r="X58" s="26" t="n">
        <f aca="false">Model!X83</f>
        <v>0.285</v>
      </c>
      <c r="Y58" s="26" t="n">
        <f aca="false">Model!Y83</f>
        <v>0.285</v>
      </c>
      <c r="Z58" s="26" t="n">
        <f aca="false">Model!Z83</f>
        <v>0.285</v>
      </c>
      <c r="AA58" s="26" t="n">
        <f aca="false">Model!AA83</f>
        <v>0.285</v>
      </c>
      <c r="AB58" s="27" t="n">
        <f aca="false">Model!AB83</f>
        <v>0.285</v>
      </c>
      <c r="AC58" s="26" t="n">
        <f aca="false">Model!AC83</f>
        <v>0.285</v>
      </c>
      <c r="AD58" s="26" t="n">
        <f aca="false">Model!AD83</f>
        <v>0.285</v>
      </c>
      <c r="AE58" s="26" t="n">
        <f aca="false">Model!AE83</f>
        <v>0.285</v>
      </c>
      <c r="AF58" s="26" t="n">
        <f aca="false">Model!AF83</f>
        <v>0.285</v>
      </c>
      <c r="AG58" s="27" t="n">
        <f aca="false">Model!AG83</f>
        <v>0.285</v>
      </c>
    </row>
    <row r="59" customFormat="false" ht="15" hidden="false" customHeight="false" outlineLevel="0" collapsed="false">
      <c r="H59" s="25"/>
      <c r="M59" s="25"/>
      <c r="R59" s="25"/>
      <c r="W59" s="25"/>
      <c r="AB59" s="25"/>
      <c r="AG59" s="25"/>
    </row>
    <row r="60" customFormat="false" ht="15" hidden="false" customHeight="false" outlineLevel="0" collapsed="false">
      <c r="C60" s="30" t="s">
        <v>52</v>
      </c>
      <c r="D60" s="31"/>
      <c r="E60" s="31"/>
      <c r="F60" s="31"/>
      <c r="G60" s="31"/>
      <c r="H60" s="32"/>
      <c r="I60" s="31"/>
      <c r="J60" s="31"/>
      <c r="K60" s="31"/>
      <c r="L60" s="31"/>
      <c r="M60" s="32"/>
      <c r="N60" s="31"/>
      <c r="O60" s="31"/>
      <c r="P60" s="31"/>
      <c r="Q60" s="31"/>
      <c r="R60" s="32"/>
      <c r="S60" s="31"/>
      <c r="T60" s="31"/>
      <c r="U60" s="31"/>
      <c r="V60" s="31"/>
      <c r="W60" s="32"/>
      <c r="X60" s="31"/>
      <c r="Y60" s="31"/>
      <c r="Z60" s="31"/>
      <c r="AA60" s="31"/>
      <c r="AB60" s="32"/>
      <c r="AC60" s="31"/>
      <c r="AD60" s="31"/>
      <c r="AE60" s="31"/>
      <c r="AF60" s="31"/>
      <c r="AG60" s="32"/>
    </row>
    <row r="61" customFormat="false" ht="15" hidden="false" customHeight="false" outlineLevel="0" collapsed="false">
      <c r="C61" s="4" t="s">
        <v>42</v>
      </c>
      <c r="D61" s="20" t="n">
        <f aca="false">Model!D68</f>
        <v>385</v>
      </c>
      <c r="E61" s="20" t="n">
        <f aca="false">Model!E68</f>
        <v>331</v>
      </c>
      <c r="F61" s="20" t="n">
        <f aca="false">Model!F68</f>
        <v>339</v>
      </c>
      <c r="G61" s="20" t="n">
        <f aca="false">Model!G68</f>
        <v>342</v>
      </c>
      <c r="H61" s="21" t="n">
        <f aca="false">Model!H68</f>
        <v>1397</v>
      </c>
      <c r="I61" s="20" t="n">
        <f aca="false">Model!I68</f>
        <v>352</v>
      </c>
      <c r="J61" s="20" t="n">
        <f aca="false">Model!J68</f>
        <v>305</v>
      </c>
      <c r="K61" s="20" t="n">
        <f aca="false">Model!K68</f>
        <v>302</v>
      </c>
      <c r="L61" s="20" t="n">
        <f aca="false">Model!L68</f>
        <v>338</v>
      </c>
      <c r="M61" s="21" t="n">
        <f aca="false">Model!M68</f>
        <v>1297</v>
      </c>
      <c r="N61" s="20" t="n">
        <f aca="false">Model!N68</f>
        <v>338</v>
      </c>
      <c r="O61" s="20" t="n">
        <f aca="false">Model!O68</f>
        <v>301</v>
      </c>
      <c r="P61" s="20" t="n">
        <f aca="false">Model!P68</f>
        <v>324</v>
      </c>
      <c r="Q61" s="20" t="n">
        <f aca="false">Model!Q68</f>
        <v>351</v>
      </c>
      <c r="R61" s="21" t="n">
        <f aca="false">Model!R68</f>
        <v>1314</v>
      </c>
      <c r="S61" s="20" t="n">
        <f aca="false">Model!S68</f>
        <v>361</v>
      </c>
      <c r="T61" s="20" t="n">
        <f aca="false">Model!T68</f>
        <v>344</v>
      </c>
      <c r="U61" s="20" t="n">
        <f aca="false">Model!U68</f>
        <v>336.96</v>
      </c>
      <c r="V61" s="20" t="n">
        <f aca="false">Model!V68</f>
        <v>365.04</v>
      </c>
      <c r="W61" s="21" t="n">
        <f aca="false">Model!W68</f>
        <v>1407</v>
      </c>
      <c r="X61" s="20" t="n">
        <f aca="false">Model!X68</f>
        <v>375.44</v>
      </c>
      <c r="Y61" s="20" t="n">
        <f aca="false">Model!Y68</f>
        <v>357.76</v>
      </c>
      <c r="Z61" s="20" t="n">
        <f aca="false">Model!Z68</f>
        <v>350.4384</v>
      </c>
      <c r="AA61" s="20" t="n">
        <f aca="false">Model!AA68</f>
        <v>379.6416</v>
      </c>
      <c r="AB61" s="21" t="n">
        <f aca="false">Model!AB68</f>
        <v>1463.28</v>
      </c>
      <c r="AC61" s="20" t="n">
        <f aca="false">Model!AC68</f>
        <v>390.4576</v>
      </c>
      <c r="AD61" s="20" t="n">
        <f aca="false">Model!AD68</f>
        <v>372.0704</v>
      </c>
      <c r="AE61" s="20" t="n">
        <f aca="false">Model!AE68</f>
        <v>364.455936</v>
      </c>
      <c r="AF61" s="20" t="n">
        <f aca="false">Model!AF68</f>
        <v>394.827264</v>
      </c>
      <c r="AG61" s="21" t="n">
        <f aca="false">Model!AG68</f>
        <v>1521.8112</v>
      </c>
    </row>
    <row r="62" customFormat="false" ht="15" hidden="false" customHeight="false" outlineLevel="0" collapsed="false">
      <c r="C62" s="4" t="s">
        <v>50</v>
      </c>
      <c r="D62" s="20" t="n">
        <f aca="false">Model!D90</f>
        <v>100.1</v>
      </c>
      <c r="E62" s="20" t="n">
        <f aca="false">Model!E90</f>
        <v>86.06</v>
      </c>
      <c r="F62" s="20" t="n">
        <f aca="false">Model!F90</f>
        <v>88.14</v>
      </c>
      <c r="G62" s="20" t="n">
        <f aca="false">Model!G90</f>
        <v>88.92</v>
      </c>
      <c r="H62" s="21" t="n">
        <f aca="false">Model!H90</f>
        <v>363.22</v>
      </c>
      <c r="I62" s="20" t="n">
        <f aca="false">Model!I90</f>
        <v>91.52</v>
      </c>
      <c r="J62" s="20" t="n">
        <f aca="false">Model!J90</f>
        <v>79.3</v>
      </c>
      <c r="K62" s="20" t="n">
        <f aca="false">Model!K90</f>
        <v>78.52</v>
      </c>
      <c r="L62" s="20" t="n">
        <f aca="false">Model!L90</f>
        <v>87.88</v>
      </c>
      <c r="M62" s="21" t="n">
        <f aca="false">Model!M90</f>
        <v>337.22</v>
      </c>
      <c r="N62" s="20" t="n">
        <f aca="false">Model!N90</f>
        <v>87.88</v>
      </c>
      <c r="O62" s="20" t="n">
        <f aca="false">Model!O90</f>
        <v>78.26</v>
      </c>
      <c r="P62" s="20" t="n">
        <f aca="false">Model!P90</f>
        <v>84.24</v>
      </c>
      <c r="Q62" s="20" t="n">
        <f aca="false">Model!Q90</f>
        <v>91.26</v>
      </c>
      <c r="R62" s="21" t="n">
        <f aca="false">Model!R90</f>
        <v>341.64</v>
      </c>
      <c r="S62" s="20" t="n">
        <f aca="false">Model!S90</f>
        <v>93.86</v>
      </c>
      <c r="T62" s="20" t="n">
        <f aca="false">Model!T90</f>
        <v>89.44</v>
      </c>
      <c r="U62" s="20" t="n">
        <f aca="false">Model!U90</f>
        <v>87.6096</v>
      </c>
      <c r="V62" s="20" t="n">
        <f aca="false">Model!V90</f>
        <v>94.9104</v>
      </c>
      <c r="W62" s="21" t="n">
        <f aca="false">Model!W90</f>
        <v>365.82</v>
      </c>
      <c r="X62" s="20" t="n">
        <f aca="false">Model!X90</f>
        <v>97.6144</v>
      </c>
      <c r="Y62" s="20" t="n">
        <f aca="false">Model!Y90</f>
        <v>93.0176</v>
      </c>
      <c r="Z62" s="20" t="n">
        <f aca="false">Model!Z90</f>
        <v>91.113984</v>
      </c>
      <c r="AA62" s="20" t="n">
        <f aca="false">Model!AA90</f>
        <v>98.706816</v>
      </c>
      <c r="AB62" s="21" t="n">
        <f aca="false">Model!AB90</f>
        <v>380.4528</v>
      </c>
      <c r="AC62" s="20" t="n">
        <f aca="false">Model!AC90</f>
        <v>101.518976</v>
      </c>
      <c r="AD62" s="20" t="n">
        <f aca="false">Model!AD90</f>
        <v>96.738304</v>
      </c>
      <c r="AE62" s="20" t="n">
        <f aca="false">Model!AE90</f>
        <v>94.75854336</v>
      </c>
      <c r="AF62" s="20" t="n">
        <f aca="false">Model!AF90</f>
        <v>102.65508864</v>
      </c>
      <c r="AG62" s="21" t="n">
        <f aca="false">Model!AG90</f>
        <v>395.670912</v>
      </c>
    </row>
    <row r="63" customFormat="false" ht="15" hidden="false" customHeight="false" outlineLevel="0" collapsed="false">
      <c r="C63" s="22" t="s">
        <v>38</v>
      </c>
      <c r="D63" s="26" t="n">
        <f aca="false">Model!D89</f>
        <v>0.26</v>
      </c>
      <c r="E63" s="26" t="n">
        <f aca="false">Model!E89</f>
        <v>0.26</v>
      </c>
      <c r="F63" s="26" t="n">
        <f aca="false">Model!F89</f>
        <v>0.26</v>
      </c>
      <c r="G63" s="26" t="n">
        <f aca="false">Model!G89</f>
        <v>0.26</v>
      </c>
      <c r="H63" s="27" t="n">
        <f aca="false">Model!H89</f>
        <v>0.26</v>
      </c>
      <c r="I63" s="26" t="n">
        <f aca="false">Model!I89</f>
        <v>0.26</v>
      </c>
      <c r="J63" s="26" t="n">
        <f aca="false">Model!J89</f>
        <v>0.26</v>
      </c>
      <c r="K63" s="26" t="n">
        <f aca="false">Model!K89</f>
        <v>0.26</v>
      </c>
      <c r="L63" s="26" t="n">
        <f aca="false">Model!L89</f>
        <v>0.26</v>
      </c>
      <c r="M63" s="27" t="n">
        <f aca="false">Model!M89</f>
        <v>0.26</v>
      </c>
      <c r="N63" s="26" t="n">
        <f aca="false">Model!N89</f>
        <v>0.26</v>
      </c>
      <c r="O63" s="26" t="n">
        <f aca="false">Model!O89</f>
        <v>0.26</v>
      </c>
      <c r="P63" s="26" t="n">
        <f aca="false">Model!P89</f>
        <v>0.26</v>
      </c>
      <c r="Q63" s="26" t="n">
        <f aca="false">Model!Q89</f>
        <v>0.26</v>
      </c>
      <c r="R63" s="27" t="n">
        <f aca="false">Model!R89</f>
        <v>0.26</v>
      </c>
      <c r="S63" s="26" t="n">
        <f aca="false">Model!S89</f>
        <v>0.26</v>
      </c>
      <c r="T63" s="26" t="n">
        <f aca="false">Model!T89</f>
        <v>0.26</v>
      </c>
      <c r="U63" s="26" t="n">
        <f aca="false">Model!U89</f>
        <v>0.26</v>
      </c>
      <c r="V63" s="26" t="n">
        <f aca="false">Model!V89</f>
        <v>0.26</v>
      </c>
      <c r="W63" s="27" t="n">
        <f aca="false">Model!W89</f>
        <v>0.26</v>
      </c>
      <c r="X63" s="26" t="n">
        <f aca="false">Model!X89</f>
        <v>0.26</v>
      </c>
      <c r="Y63" s="26" t="n">
        <f aca="false">Model!Y89</f>
        <v>0.26</v>
      </c>
      <c r="Z63" s="26" t="n">
        <f aca="false">Model!Z89</f>
        <v>0.26</v>
      </c>
      <c r="AA63" s="26" t="n">
        <f aca="false">Model!AA89</f>
        <v>0.26</v>
      </c>
      <c r="AB63" s="27" t="n">
        <f aca="false">Model!AB89</f>
        <v>0.26</v>
      </c>
      <c r="AC63" s="26" t="n">
        <f aca="false">Model!AC89</f>
        <v>0.26</v>
      </c>
      <c r="AD63" s="26" t="n">
        <f aca="false">Model!AD89</f>
        <v>0.26</v>
      </c>
      <c r="AE63" s="26" t="n">
        <f aca="false">Model!AE89</f>
        <v>0.26</v>
      </c>
      <c r="AF63" s="26" t="n">
        <f aca="false">Model!AF89</f>
        <v>0.26</v>
      </c>
      <c r="AG63" s="27" t="n">
        <f aca="false">Model!AG89</f>
        <v>0.26</v>
      </c>
    </row>
    <row r="64" customFormat="false" ht="15" hidden="false" customHeight="false" outlineLevel="0" collapsed="false">
      <c r="H64" s="25"/>
      <c r="M64" s="25"/>
      <c r="R64" s="25"/>
      <c r="W64" s="25"/>
      <c r="AB64" s="25"/>
      <c r="AG64" s="25"/>
    </row>
    <row r="65" customFormat="false" ht="15" hidden="false" customHeight="false" outlineLevel="0" collapsed="false">
      <c r="H65" s="25"/>
      <c r="M65" s="25"/>
      <c r="R65" s="25"/>
      <c r="W65" s="25"/>
      <c r="AB65" s="25"/>
      <c r="AG65" s="25"/>
    </row>
    <row r="66" customFormat="false" ht="15" hidden="false" customHeight="false" outlineLevel="0" collapsed="false">
      <c r="B66" s="17" t="s">
        <v>53</v>
      </c>
      <c r="C66" s="18"/>
      <c r="D66" s="18"/>
      <c r="E66" s="18"/>
      <c r="F66" s="18"/>
      <c r="G66" s="18"/>
      <c r="H66" s="25"/>
      <c r="M66" s="25"/>
      <c r="R66" s="25"/>
      <c r="W66" s="25"/>
      <c r="AB66" s="25"/>
      <c r="AG66" s="25"/>
    </row>
    <row r="67" customFormat="false" ht="15" hidden="false" customHeight="false" outlineLevel="0" collapsed="false">
      <c r="B67" s="33" t="s">
        <v>54</v>
      </c>
      <c r="C67" s="33" t="s">
        <v>55</v>
      </c>
      <c r="D67" s="33" t="s">
        <v>56</v>
      </c>
      <c r="E67" s="33" t="s">
        <v>57</v>
      </c>
      <c r="F67" s="33" t="s">
        <v>24</v>
      </c>
      <c r="G67" s="33" t="s">
        <v>58</v>
      </c>
      <c r="H67" s="25"/>
      <c r="M67" s="25"/>
      <c r="R67" s="25"/>
      <c r="W67" s="25"/>
      <c r="AB67" s="25"/>
      <c r="AG67" s="25"/>
    </row>
    <row r="68" customFormat="false" ht="15" hidden="false" customHeight="false" outlineLevel="0" collapsed="false">
      <c r="B68" s="4" t="s">
        <v>59</v>
      </c>
      <c r="C68" s="4" t="s">
        <v>60</v>
      </c>
      <c r="D68" s="34" t="s">
        <v>61</v>
      </c>
      <c r="E68" s="35" t="n">
        <v>130</v>
      </c>
      <c r="F68" s="4" t="s">
        <v>62</v>
      </c>
      <c r="G68" s="22" t="s">
        <v>63</v>
      </c>
      <c r="H68" s="25"/>
      <c r="M68" s="25"/>
      <c r="R68" s="25"/>
      <c r="W68" s="25"/>
      <c r="AB68" s="25"/>
      <c r="AG68" s="25"/>
    </row>
    <row r="69" customFormat="false" ht="15" hidden="false" customHeight="false" outlineLevel="0" collapsed="false">
      <c r="H69" s="25"/>
      <c r="M69" s="25"/>
      <c r="R69" s="25"/>
      <c r="W69" s="25"/>
      <c r="AB69" s="25"/>
      <c r="AG69" s="25"/>
    </row>
    <row r="70" customFormat="false" ht="15" hidden="false" customHeight="false" outlineLevel="0" collapsed="false">
      <c r="B70" s="17" t="s">
        <v>64</v>
      </c>
      <c r="C70" s="18"/>
      <c r="D70" s="18"/>
      <c r="E70" s="18"/>
      <c r="F70" s="18"/>
      <c r="G70" s="18"/>
      <c r="H70" s="19"/>
      <c r="I70" s="18"/>
      <c r="M70" s="25"/>
      <c r="R70" s="25"/>
      <c r="W70" s="25"/>
      <c r="AB70" s="25"/>
      <c r="AG70" s="25"/>
    </row>
    <row r="71" customFormat="false" ht="15" hidden="false" customHeight="false" outlineLevel="0" collapsed="false">
      <c r="C71" s="33" t="s">
        <v>65</v>
      </c>
      <c r="D71" s="33" t="s">
        <v>66</v>
      </c>
      <c r="E71" s="33" t="s">
        <v>58</v>
      </c>
      <c r="F71" s="33" t="s">
        <v>67</v>
      </c>
      <c r="G71" s="33" t="s">
        <v>68</v>
      </c>
      <c r="H71" s="25"/>
      <c r="M71" s="25"/>
      <c r="R71" s="25"/>
      <c r="W71" s="25"/>
      <c r="AB71" s="25"/>
      <c r="AG71" s="25"/>
    </row>
    <row r="72" customFormat="false" ht="15" hidden="false" customHeight="false" outlineLevel="0" collapsed="false">
      <c r="C72" s="4" t="s">
        <v>69</v>
      </c>
      <c r="D72" s="34" t="s">
        <v>70</v>
      </c>
      <c r="E72" s="22" t="s">
        <v>71</v>
      </c>
      <c r="F72" s="23" t="n">
        <f aca="false">Model!AB56</f>
        <v>0.04</v>
      </c>
      <c r="G72" s="23" t="n">
        <f aca="false">Model!AG56</f>
        <v>0.04</v>
      </c>
      <c r="H72" s="25"/>
      <c r="M72" s="25"/>
      <c r="R72" s="25"/>
      <c r="W72" s="25"/>
      <c r="AB72" s="25"/>
      <c r="AG72" s="25"/>
    </row>
    <row r="73" customFormat="false" ht="15" hidden="false" customHeight="false" outlineLevel="0" collapsed="false">
      <c r="C73" s="4" t="s">
        <v>72</v>
      </c>
      <c r="D73" s="34" t="s">
        <v>73</v>
      </c>
      <c r="E73" s="22" t="s">
        <v>74</v>
      </c>
      <c r="H73" s="25"/>
      <c r="M73" s="25"/>
      <c r="R73" s="25"/>
      <c r="W73" s="25"/>
      <c r="AB73" s="25"/>
      <c r="AG73" s="25"/>
    </row>
    <row r="74" customFormat="false" ht="15" hidden="false" customHeight="false" outlineLevel="0" collapsed="false">
      <c r="C74" s="4" t="s">
        <v>75</v>
      </c>
      <c r="D74" s="34" t="s">
        <v>76</v>
      </c>
      <c r="E74" s="22" t="s">
        <v>74</v>
      </c>
      <c r="H74" s="25"/>
      <c r="M74" s="25"/>
      <c r="R74" s="25"/>
      <c r="W74" s="25"/>
      <c r="AB74" s="25"/>
      <c r="AG74" s="25"/>
    </row>
    <row r="75" customFormat="false" ht="15" hidden="false" customHeight="false" outlineLevel="0" collapsed="false">
      <c r="H75" s="25"/>
      <c r="M75" s="25"/>
      <c r="R75" s="25"/>
      <c r="W75" s="25"/>
      <c r="AB75" s="25"/>
      <c r="AG75" s="25"/>
    </row>
    <row r="76" customFormat="false" ht="15" hidden="false" customHeight="false" outlineLevel="0" collapsed="false">
      <c r="H76" s="25"/>
      <c r="M76" s="25"/>
      <c r="R76" s="25"/>
      <c r="W76" s="25"/>
      <c r="AB76" s="25"/>
      <c r="AG76" s="25"/>
    </row>
    <row r="77" customFormat="false" ht="15" hidden="false" customHeight="false" outlineLevel="0" collapsed="false">
      <c r="H77" s="25"/>
      <c r="M77" s="25"/>
      <c r="R77" s="25"/>
      <c r="W77" s="25"/>
      <c r="AB77" s="25"/>
      <c r="AG77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G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"/>
    <col collapsed="false" customWidth="true" hidden="false" outlineLevel="0" max="3" min="3" style="0" width="38"/>
    <col collapsed="false" customWidth="true" hidden="false" outlineLevel="0" max="7" min="4" style="0" width="10"/>
    <col collapsed="false" customWidth="true" hidden="false" outlineLevel="0" max="8" min="8" style="0" width="11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7" min="14" style="0" width="10"/>
    <col collapsed="false" customWidth="true" hidden="false" outlineLevel="0" max="18" min="18" style="0" width="11"/>
    <col collapsed="false" customWidth="true" hidden="false" outlineLevel="0" max="22" min="19" style="0" width="10"/>
    <col collapsed="false" customWidth="true" hidden="false" outlineLevel="0" max="23" min="23" style="0" width="11"/>
    <col collapsed="false" customWidth="true" hidden="false" outlineLevel="0" max="27" min="24" style="0" width="10"/>
    <col collapsed="false" customWidth="true" hidden="false" outlineLevel="0" max="28" min="28" style="0" width="11"/>
    <col collapsed="false" customWidth="true" hidden="false" outlineLevel="0" max="32" min="29" style="0" width="10"/>
    <col collapsed="false" customWidth="true" hidden="false" outlineLevel="0" max="33" min="33" style="0" width="11"/>
  </cols>
  <sheetData>
    <row r="2" customFormat="false" ht="15" hidden="false" customHeight="false" outlineLevel="0" collapsed="false">
      <c r="B2" s="1" t="s">
        <v>77</v>
      </c>
    </row>
    <row r="4" customFormat="false" ht="15" hidden="false" customHeight="false" outlineLevel="0" collapsed="false">
      <c r="C4" s="2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18</v>
      </c>
      <c r="J4" s="5" t="s">
        <v>19</v>
      </c>
      <c r="K4" s="5" t="s">
        <v>20</v>
      </c>
      <c r="L4" s="5" t="s">
        <v>21</v>
      </c>
      <c r="M4" s="5" t="s">
        <v>22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18</v>
      </c>
      <c r="Y4" s="5" t="s">
        <v>19</v>
      </c>
      <c r="Z4" s="5" t="s">
        <v>20</v>
      </c>
      <c r="AA4" s="5" t="s">
        <v>21</v>
      </c>
      <c r="AB4" s="5" t="s">
        <v>22</v>
      </c>
      <c r="AC4" s="5" t="s">
        <v>18</v>
      </c>
      <c r="AD4" s="5" t="s">
        <v>19</v>
      </c>
      <c r="AE4" s="5" t="s">
        <v>20</v>
      </c>
      <c r="AF4" s="5" t="s">
        <v>21</v>
      </c>
      <c r="AG4" s="5" t="s">
        <v>22</v>
      </c>
    </row>
    <row r="5" customFormat="false" ht="15" hidden="false" customHeight="false" outlineLevel="0" collapsed="false">
      <c r="C5" s="2" t="s">
        <v>23</v>
      </c>
      <c r="D5" s="6" t="n">
        <v>23</v>
      </c>
      <c r="E5" s="7" t="n">
        <f aca="false">D5</f>
        <v>23</v>
      </c>
      <c r="F5" s="7" t="n">
        <f aca="false">E5</f>
        <v>23</v>
      </c>
      <c r="G5" s="7" t="n">
        <f aca="false">F5</f>
        <v>23</v>
      </c>
      <c r="H5" s="7" t="n">
        <f aca="false">G5</f>
        <v>23</v>
      </c>
      <c r="I5" s="8" t="n">
        <f aca="false">H5+1</f>
        <v>24</v>
      </c>
      <c r="J5" s="7" t="n">
        <f aca="false">I5</f>
        <v>24</v>
      </c>
      <c r="K5" s="7" t="n">
        <f aca="false">J5</f>
        <v>24</v>
      </c>
      <c r="L5" s="7" t="n">
        <f aca="false">K5</f>
        <v>24</v>
      </c>
      <c r="M5" s="7" t="n">
        <f aca="false">L5</f>
        <v>24</v>
      </c>
      <c r="N5" s="8" t="n">
        <f aca="false">M5+1</f>
        <v>25</v>
      </c>
      <c r="O5" s="7" t="n">
        <f aca="false">N5</f>
        <v>25</v>
      </c>
      <c r="P5" s="7" t="n">
        <f aca="false">O5</f>
        <v>25</v>
      </c>
      <c r="Q5" s="7" t="n">
        <f aca="false">P5</f>
        <v>25</v>
      </c>
      <c r="R5" s="7" t="n">
        <f aca="false">Q5</f>
        <v>25</v>
      </c>
      <c r="S5" s="8" t="n">
        <f aca="false">R5+1</f>
        <v>26</v>
      </c>
      <c r="T5" s="7" t="n">
        <f aca="false">S5</f>
        <v>26</v>
      </c>
      <c r="U5" s="7" t="n">
        <f aca="false">T5</f>
        <v>26</v>
      </c>
      <c r="V5" s="7" t="n">
        <f aca="false">U5</f>
        <v>26</v>
      </c>
      <c r="W5" s="7" t="n">
        <f aca="false">V5</f>
        <v>26</v>
      </c>
      <c r="X5" s="8" t="n">
        <f aca="false">W5+1</f>
        <v>27</v>
      </c>
      <c r="Y5" s="7" t="n">
        <f aca="false">X5</f>
        <v>27</v>
      </c>
      <c r="Z5" s="7" t="n">
        <f aca="false">Y5</f>
        <v>27</v>
      </c>
      <c r="AA5" s="7" t="n">
        <f aca="false">Z5</f>
        <v>27</v>
      </c>
      <c r="AB5" s="7" t="n">
        <f aca="false">AA5</f>
        <v>27</v>
      </c>
      <c r="AC5" s="8" t="n">
        <f aca="false">AB5+1</f>
        <v>28</v>
      </c>
      <c r="AD5" s="7" t="n">
        <f aca="false">AC5</f>
        <v>28</v>
      </c>
      <c r="AE5" s="7" t="n">
        <f aca="false">AD5</f>
        <v>28</v>
      </c>
      <c r="AF5" s="7" t="n">
        <f aca="false">AE5</f>
        <v>28</v>
      </c>
      <c r="AG5" s="7" t="n">
        <f aca="false">AF5</f>
        <v>28</v>
      </c>
    </row>
    <row r="7" customFormat="false" ht="15" hidden="false" customHeight="false" outlineLevel="0" collapsed="false">
      <c r="C7" s="2" t="s">
        <v>24</v>
      </c>
      <c r="D7" s="9" t="s">
        <v>25</v>
      </c>
      <c r="E7" s="10"/>
      <c r="F7" s="10"/>
      <c r="G7" s="10"/>
      <c r="H7" s="11"/>
      <c r="I7" s="9" t="s">
        <v>25</v>
      </c>
      <c r="J7" s="10"/>
      <c r="K7" s="10"/>
      <c r="L7" s="10"/>
      <c r="M7" s="11"/>
      <c r="N7" s="9" t="s">
        <v>25</v>
      </c>
      <c r="O7" s="10"/>
      <c r="P7" s="10"/>
      <c r="Q7" s="10"/>
      <c r="R7" s="11"/>
    </row>
    <row r="8" customFormat="false" ht="15" hidden="false" customHeight="false" outlineLevel="0" collapsed="false">
      <c r="C8" s="2" t="s">
        <v>26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 t="s">
        <v>27</v>
      </c>
      <c r="V8" s="12" t="s">
        <v>27</v>
      </c>
      <c r="W8" s="12" t="s">
        <v>27</v>
      </c>
      <c r="X8" s="12" t="s">
        <v>27</v>
      </c>
      <c r="Y8" s="12" t="s">
        <v>27</v>
      </c>
      <c r="Z8" s="12" t="s">
        <v>27</v>
      </c>
      <c r="AA8" s="12" t="s">
        <v>27</v>
      </c>
      <c r="AB8" s="12" t="s">
        <v>27</v>
      </c>
      <c r="AC8" s="12" t="s">
        <v>27</v>
      </c>
      <c r="AD8" s="12" t="s">
        <v>27</v>
      </c>
      <c r="AE8" s="12" t="s">
        <v>27</v>
      </c>
      <c r="AF8" s="12" t="s">
        <v>27</v>
      </c>
      <c r="AG8" s="12" t="s">
        <v>27</v>
      </c>
    </row>
    <row r="9" customFormat="false" ht="15" hidden="false" customHeight="false" outlineLevel="0" collapsed="false">
      <c r="C9" s="2" t="s">
        <v>28</v>
      </c>
      <c r="D9" s="13" t="str">
        <f aca="false">D$4&amp;D5&amp;D8</f>
        <v>1Q23</v>
      </c>
      <c r="E9" s="13" t="str">
        <f aca="false">E$4&amp;E5&amp;E8</f>
        <v>2Q23</v>
      </c>
      <c r="F9" s="13" t="str">
        <f aca="false">F$4&amp;F5&amp;F8</f>
        <v>3Q23</v>
      </c>
      <c r="G9" s="13" t="str">
        <f aca="false">G$4&amp;G5&amp;G8</f>
        <v>4Q23</v>
      </c>
      <c r="H9" s="14" t="str">
        <f aca="false">H$4&amp;H5&amp;H8</f>
        <v>FY23</v>
      </c>
      <c r="I9" s="13" t="str">
        <f aca="false">I$4&amp;I5&amp;I8</f>
        <v>1Q24</v>
      </c>
      <c r="J9" s="13" t="str">
        <f aca="false">J$4&amp;J5&amp;J8</f>
        <v>2Q24</v>
      </c>
      <c r="K9" s="13" t="str">
        <f aca="false">K$4&amp;K5&amp;K8</f>
        <v>3Q24</v>
      </c>
      <c r="L9" s="13" t="str">
        <f aca="false">L$4&amp;L5&amp;L8</f>
        <v>4Q24</v>
      </c>
      <c r="M9" s="14" t="str">
        <f aca="false">M$4&amp;M5&amp;M8</f>
        <v>FY24</v>
      </c>
      <c r="N9" s="13" t="str">
        <f aca="false">N$4&amp;N5&amp;N8</f>
        <v>1Q25</v>
      </c>
      <c r="O9" s="13" t="str">
        <f aca="false">O$4&amp;O5&amp;O8</f>
        <v>2Q25</v>
      </c>
      <c r="P9" s="13" t="str">
        <f aca="false">P$4&amp;P5&amp;P8</f>
        <v>3Q25</v>
      </c>
      <c r="Q9" s="13" t="str">
        <f aca="false">Q$4&amp;Q5&amp;Q8</f>
        <v>4Q25</v>
      </c>
      <c r="R9" s="14" t="str">
        <f aca="false">R$4&amp;R5&amp;R8</f>
        <v>FY25</v>
      </c>
      <c r="S9" s="13" t="str">
        <f aca="false">S$4&amp;S5&amp;S8</f>
        <v>1Q26</v>
      </c>
      <c r="T9" s="13" t="str">
        <f aca="false">T$4&amp;T5&amp;T8</f>
        <v>2Q26</v>
      </c>
      <c r="U9" s="13" t="str">
        <f aca="false">U$4&amp;U5&amp;U8</f>
        <v>3Q26E</v>
      </c>
      <c r="V9" s="13" t="str">
        <f aca="false">V$4&amp;V5&amp;V8</f>
        <v>4Q26E</v>
      </c>
      <c r="W9" s="14" t="str">
        <f aca="false">W$4&amp;W5&amp;W8</f>
        <v>FY26E</v>
      </c>
      <c r="X9" s="13" t="str">
        <f aca="false">X$4&amp;X5&amp;X8</f>
        <v>1Q27E</v>
      </c>
      <c r="Y9" s="13" t="str">
        <f aca="false">Y$4&amp;Y5&amp;Y8</f>
        <v>2Q27E</v>
      </c>
      <c r="Z9" s="13" t="str">
        <f aca="false">Z$4&amp;Z5&amp;Z8</f>
        <v>3Q27E</v>
      </c>
      <c r="AA9" s="13" t="str">
        <f aca="false">AA$4&amp;AA5&amp;AA8</f>
        <v>4Q27E</v>
      </c>
      <c r="AB9" s="14" t="str">
        <f aca="false">AB$4&amp;AB5&amp;AB8</f>
        <v>FY27E</v>
      </c>
      <c r="AC9" s="13" t="str">
        <f aca="false">AC$4&amp;AC5&amp;AC8</f>
        <v>1Q28E</v>
      </c>
      <c r="AD9" s="13" t="str">
        <f aca="false">AD$4&amp;AD5&amp;AD8</f>
        <v>2Q28E</v>
      </c>
      <c r="AE9" s="13" t="str">
        <f aca="false">AE$4&amp;AE5&amp;AE8</f>
        <v>3Q28E</v>
      </c>
      <c r="AF9" s="13" t="str">
        <f aca="false">AF$4&amp;AF5&amp;AF8</f>
        <v>4Q28E</v>
      </c>
      <c r="AG9" s="14" t="str">
        <f aca="false">AG$4&amp;AG5&amp;AG8</f>
        <v>FY28E</v>
      </c>
    </row>
    <row r="10" customFormat="false" ht="15" hidden="false" customHeight="false" outlineLevel="0" collapsed="false">
      <c r="C10" s="2" t="s">
        <v>29</v>
      </c>
      <c r="D10" s="15" t="n">
        <v>44957</v>
      </c>
      <c r="E10" s="15" t="n">
        <v>45046</v>
      </c>
      <c r="F10" s="15" t="n">
        <v>45138</v>
      </c>
      <c r="G10" s="15" t="n">
        <v>45230</v>
      </c>
      <c r="H10" s="16" t="n">
        <v>45230</v>
      </c>
      <c r="I10" s="15" t="n">
        <v>45322</v>
      </c>
      <c r="J10" s="15" t="n">
        <v>45412</v>
      </c>
      <c r="K10" s="15" t="n">
        <v>45504</v>
      </c>
      <c r="L10" s="15" t="n">
        <v>45596</v>
      </c>
      <c r="M10" s="16" t="n">
        <v>45596</v>
      </c>
      <c r="N10" s="15" t="n">
        <v>45688</v>
      </c>
      <c r="O10" s="15" t="n">
        <v>45777</v>
      </c>
      <c r="P10" s="15" t="n">
        <v>45869</v>
      </c>
      <c r="Q10" s="15" t="n">
        <v>45961</v>
      </c>
      <c r="R10" s="16" t="n">
        <v>45961</v>
      </c>
      <c r="S10" s="15" t="n">
        <v>46053</v>
      </c>
      <c r="T10" s="15" t="n">
        <v>46142</v>
      </c>
      <c r="U10" s="15" t="n">
        <v>46234</v>
      </c>
      <c r="V10" s="15" t="n">
        <v>46326</v>
      </c>
      <c r="W10" s="16" t="n">
        <v>46326</v>
      </c>
      <c r="X10" s="15" t="n">
        <v>46418</v>
      </c>
      <c r="Y10" s="15" t="n">
        <v>46507</v>
      </c>
      <c r="Z10" s="15" t="n">
        <v>46599</v>
      </c>
      <c r="AA10" s="15" t="n">
        <v>46691</v>
      </c>
      <c r="AB10" s="16" t="n">
        <v>46691</v>
      </c>
      <c r="AC10" s="15" t="n">
        <v>46783</v>
      </c>
      <c r="AD10" s="15" t="n">
        <v>46873</v>
      </c>
      <c r="AE10" s="15" t="n">
        <v>46965</v>
      </c>
      <c r="AF10" s="15" t="n">
        <v>47057</v>
      </c>
      <c r="AG10" s="16" t="n">
        <v>47057</v>
      </c>
    </row>
    <row r="11" customFormat="false" ht="15" hidden="false" customHeight="false" outlineLevel="0" collapsed="false">
      <c r="B11" s="17" t="s">
        <v>78</v>
      </c>
      <c r="C11" s="18"/>
      <c r="D11" s="18"/>
      <c r="E11" s="18"/>
      <c r="F11" s="18"/>
      <c r="G11" s="18"/>
      <c r="H11" s="19"/>
      <c r="I11" s="18"/>
      <c r="J11" s="18"/>
      <c r="K11" s="18"/>
      <c r="L11" s="18"/>
      <c r="M11" s="19"/>
      <c r="N11" s="18"/>
      <c r="O11" s="18"/>
      <c r="P11" s="18"/>
      <c r="Q11" s="18"/>
      <c r="R11" s="19"/>
      <c r="S11" s="18"/>
      <c r="T11" s="18"/>
      <c r="U11" s="18"/>
      <c r="V11" s="18"/>
      <c r="W11" s="19"/>
      <c r="X11" s="18"/>
      <c r="Y11" s="18"/>
      <c r="Z11" s="18"/>
      <c r="AA11" s="18"/>
      <c r="AB11" s="19"/>
      <c r="AC11" s="18"/>
      <c r="AD11" s="18"/>
      <c r="AE11" s="18"/>
      <c r="AF11" s="18"/>
      <c r="AG11" s="19"/>
    </row>
    <row r="12" customFormat="false" ht="15" hidden="false" customHeight="false" outlineLevel="0" collapsed="false">
      <c r="C12" s="2" t="s">
        <v>31</v>
      </c>
      <c r="D12" s="36" t="n">
        <f aca="false">D54</f>
        <v>1756</v>
      </c>
      <c r="E12" s="36" t="n">
        <f aca="false">E54</f>
        <v>1717</v>
      </c>
      <c r="F12" s="36" t="n">
        <f aca="false">F54</f>
        <v>1672</v>
      </c>
      <c r="G12" s="36" t="n">
        <f aca="false">G54</f>
        <v>1688</v>
      </c>
      <c r="H12" s="37" t="n">
        <f aca="false">H54</f>
        <v>6833</v>
      </c>
      <c r="I12" s="36" t="n">
        <f aca="false">I54</f>
        <v>1658</v>
      </c>
      <c r="J12" s="36" t="n">
        <f aca="false">J54</f>
        <v>1573</v>
      </c>
      <c r="K12" s="36" t="n">
        <f aca="false">K54</f>
        <v>1578</v>
      </c>
      <c r="L12" s="36" t="n">
        <f aca="false">L54</f>
        <v>1701</v>
      </c>
      <c r="M12" s="37" t="n">
        <f aca="false">M54</f>
        <v>6510</v>
      </c>
      <c r="N12" s="36" t="n">
        <f aca="false">N54</f>
        <v>1681</v>
      </c>
      <c r="O12" s="36" t="n">
        <f aca="false">O54</f>
        <v>1668</v>
      </c>
      <c r="P12" s="36" t="n">
        <f aca="false">P54</f>
        <v>1738</v>
      </c>
      <c r="Q12" s="36" t="n">
        <f aca="false">Q54</f>
        <v>1861</v>
      </c>
      <c r="R12" s="37" t="n">
        <f aca="false">R54</f>
        <v>6948</v>
      </c>
      <c r="S12" s="36" t="n">
        <f aca="false">S54</f>
        <v>1798</v>
      </c>
      <c r="T12" s="36" t="n">
        <f aca="false">T54</f>
        <v>1835</v>
      </c>
      <c r="U12" s="36" t="n">
        <f aca="false">U54</f>
        <v>1807.52</v>
      </c>
      <c r="V12" s="36" t="n">
        <f aca="false">V54</f>
        <v>1935.44</v>
      </c>
      <c r="W12" s="37" t="n">
        <f aca="false">W54</f>
        <v>7375.96</v>
      </c>
      <c r="X12" s="36" t="n">
        <f aca="false">X54</f>
        <v>1869.92</v>
      </c>
      <c r="Y12" s="36" t="n">
        <f aca="false">Y54</f>
        <v>1908.4</v>
      </c>
      <c r="Z12" s="36" t="n">
        <f aca="false">Z54</f>
        <v>1879.8208</v>
      </c>
      <c r="AA12" s="36" t="n">
        <f aca="false">AA54</f>
        <v>2012.8576</v>
      </c>
      <c r="AB12" s="37" t="n">
        <f aca="false">AB54</f>
        <v>7670.9984</v>
      </c>
      <c r="AC12" s="36" t="n">
        <f aca="false">AC54</f>
        <v>1944.7168</v>
      </c>
      <c r="AD12" s="36" t="n">
        <f aca="false">AD54</f>
        <v>1984.736</v>
      </c>
      <c r="AE12" s="36" t="n">
        <f aca="false">AE54</f>
        <v>1955.013632</v>
      </c>
      <c r="AF12" s="36" t="n">
        <f aca="false">AF54</f>
        <v>2093.371904</v>
      </c>
      <c r="AG12" s="37" t="n">
        <f aca="false">AG54</f>
        <v>7977.838336</v>
      </c>
    </row>
    <row r="13" customFormat="false" ht="15" hidden="false" customHeight="false" outlineLevel="0" collapsed="false">
      <c r="C13" s="22" t="s">
        <v>32</v>
      </c>
      <c r="D13" s="38" t="n">
        <f aca="false">D55</f>
        <v>0</v>
      </c>
      <c r="E13" s="38" t="n">
        <f aca="false">E55</f>
        <v>0</v>
      </c>
      <c r="F13" s="38" t="n">
        <f aca="false">F55</f>
        <v>0</v>
      </c>
      <c r="G13" s="38" t="n">
        <f aca="false">G55</f>
        <v>0</v>
      </c>
      <c r="H13" s="39" t="n">
        <f aca="false">H55</f>
        <v>0</v>
      </c>
      <c r="I13" s="38" t="n">
        <f aca="false">I55</f>
        <v>-0.0558086560364465</v>
      </c>
      <c r="J13" s="38" t="n">
        <f aca="false">J55</f>
        <v>-0.0838672102504369</v>
      </c>
      <c r="K13" s="38" t="n">
        <f aca="false">K55</f>
        <v>-0.05622009569378</v>
      </c>
      <c r="L13" s="38" t="n">
        <f aca="false">L55</f>
        <v>0.00770142180094791</v>
      </c>
      <c r="M13" s="39" t="n">
        <f aca="false">M55</f>
        <v>-0.0472705985657838</v>
      </c>
      <c r="N13" s="38" t="n">
        <f aca="false">N55</f>
        <v>0.0138721351025333</v>
      </c>
      <c r="O13" s="38" t="n">
        <f aca="false">O55</f>
        <v>0.0603941513032422</v>
      </c>
      <c r="P13" s="38" t="n">
        <f aca="false">P55</f>
        <v>0.101394169835235</v>
      </c>
      <c r="Q13" s="38" t="n">
        <f aca="false">Q55</f>
        <v>0.0940623162845384</v>
      </c>
      <c r="R13" s="39" t="n">
        <f aca="false">R55</f>
        <v>0.0672811059907834</v>
      </c>
      <c r="S13" s="38" t="n">
        <f aca="false">S55</f>
        <v>0.0696014277215944</v>
      </c>
      <c r="T13" s="38" t="n">
        <f aca="false">T55</f>
        <v>0.100119904076739</v>
      </c>
      <c r="U13" s="38" t="n">
        <f aca="false">U55</f>
        <v>0.0399999999999998</v>
      </c>
      <c r="V13" s="38" t="n">
        <f aca="false">V55</f>
        <v>0.04</v>
      </c>
      <c r="W13" s="39" t="n">
        <f aca="false">W55</f>
        <v>0.0615947035118021</v>
      </c>
      <c r="X13" s="38" t="n">
        <f aca="false">X55</f>
        <v>0.04</v>
      </c>
      <c r="Y13" s="38" t="n">
        <f aca="false">Y55</f>
        <v>0.04</v>
      </c>
      <c r="Z13" s="38" t="n">
        <f aca="false">Z55</f>
        <v>0.04</v>
      </c>
      <c r="AA13" s="38" t="n">
        <f aca="false">AA55</f>
        <v>0.04</v>
      </c>
      <c r="AB13" s="39" t="n">
        <f aca="false">AB55</f>
        <v>0.0399999999999998</v>
      </c>
      <c r="AC13" s="38" t="n">
        <f aca="false">AC55</f>
        <v>0.0399999999999998</v>
      </c>
      <c r="AD13" s="38" t="n">
        <f aca="false">AD55</f>
        <v>0.04</v>
      </c>
      <c r="AE13" s="38" t="n">
        <f aca="false">AE55</f>
        <v>0.04</v>
      </c>
      <c r="AF13" s="38" t="n">
        <f aca="false">AF55</f>
        <v>0.0399999999999998</v>
      </c>
      <c r="AG13" s="39" t="n">
        <f aca="false">AG55</f>
        <v>0.0400000000000005</v>
      </c>
    </row>
    <row r="14" customFormat="false" ht="15" hidden="false" customHeight="false" outlineLevel="0" collapsed="false">
      <c r="C14" s="22" t="s">
        <v>33</v>
      </c>
      <c r="D14" s="38" t="n">
        <f aca="false">D56</f>
        <v>0</v>
      </c>
      <c r="E14" s="38" t="n">
        <f aca="false">E56</f>
        <v>0</v>
      </c>
      <c r="F14" s="38" t="n">
        <f aca="false">F56</f>
        <v>0</v>
      </c>
      <c r="G14" s="38" t="n">
        <f aca="false">G56</f>
        <v>0</v>
      </c>
      <c r="H14" s="39" t="n">
        <f aca="false">H56</f>
        <v>0</v>
      </c>
      <c r="I14" s="38" t="n">
        <f aca="false">I56</f>
        <v>-0.0638086560364465</v>
      </c>
      <c r="J14" s="38" t="n">
        <f aca="false">J56</f>
        <v>-0.0698672102504368</v>
      </c>
      <c r="K14" s="38" t="n">
        <f aca="false">K56</f>
        <v>-0.0402200956937799</v>
      </c>
      <c r="L14" s="38" t="n">
        <f aca="false">L56</f>
        <v>-0.000298578199052125</v>
      </c>
      <c r="M14" s="39" t="n">
        <f aca="false">M56</f>
        <v>-0.04386974974389</v>
      </c>
      <c r="N14" s="38" t="n">
        <f aca="false">N56</f>
        <v>0.0118721351025332</v>
      </c>
      <c r="O14" s="38" t="n">
        <f aca="false">O56</f>
        <v>0.0523941513032422</v>
      </c>
      <c r="P14" s="38" t="n">
        <f aca="false">P56</f>
        <v>0.0603941698352345</v>
      </c>
      <c r="Q14" s="38" t="n">
        <f aca="false">Q56</f>
        <v>0.0700623162845385</v>
      </c>
      <c r="R14" s="39" t="n">
        <f aca="false">R56</f>
        <v>0.0486294930875576</v>
      </c>
      <c r="S14" s="38" t="n">
        <f aca="false">S56</f>
        <v>0.0406014277215943</v>
      </c>
      <c r="T14" s="38" t="n">
        <f aca="false">T56</f>
        <v>0.0601199040767386</v>
      </c>
      <c r="U14" s="38" t="n">
        <f aca="false">U56</f>
        <v>0.04</v>
      </c>
      <c r="V14" s="38" t="n">
        <f aca="false">V56</f>
        <v>0.04</v>
      </c>
      <c r="W14" s="39" t="n">
        <f aca="false">W56</f>
        <v>0.0449756764536557</v>
      </c>
      <c r="X14" s="38" t="n">
        <f aca="false">X56</f>
        <v>0.04</v>
      </c>
      <c r="Y14" s="38" t="n">
        <f aca="false">Y56</f>
        <v>0.04</v>
      </c>
      <c r="Z14" s="38" t="n">
        <f aca="false">Z56</f>
        <v>0.04</v>
      </c>
      <c r="AA14" s="38" t="n">
        <f aca="false">AA56</f>
        <v>0.04</v>
      </c>
      <c r="AB14" s="39" t="n">
        <f aca="false">AB56</f>
        <v>0.04</v>
      </c>
      <c r="AC14" s="38" t="n">
        <f aca="false">AC56</f>
        <v>0.04</v>
      </c>
      <c r="AD14" s="38" t="n">
        <f aca="false">AD56</f>
        <v>0.04</v>
      </c>
      <c r="AE14" s="38" t="n">
        <f aca="false">AE56</f>
        <v>0.04</v>
      </c>
      <c r="AF14" s="38" t="n">
        <f aca="false">AF56</f>
        <v>0.04</v>
      </c>
      <c r="AG14" s="39" t="n">
        <f aca="false">AG56</f>
        <v>0.04</v>
      </c>
    </row>
    <row r="15" customFormat="false" ht="15" hidden="false" customHeight="false" outlineLevel="0" collapsed="false">
      <c r="C15" s="22" t="s">
        <v>34</v>
      </c>
      <c r="D15" s="38" t="n">
        <f aca="false">D57</f>
        <v>0</v>
      </c>
      <c r="E15" s="38" t="n">
        <f aca="false">E57</f>
        <v>0</v>
      </c>
      <c r="F15" s="38" t="n">
        <f aca="false">F57</f>
        <v>0</v>
      </c>
      <c r="G15" s="38" t="n">
        <f aca="false">G57</f>
        <v>0</v>
      </c>
      <c r="H15" s="39" t="n">
        <f aca="false">H57</f>
        <v>0</v>
      </c>
      <c r="I15" s="38" t="n">
        <f aca="false">I57</f>
        <v>-0.001</v>
      </c>
      <c r="J15" s="38" t="n">
        <f aca="false">J57</f>
        <v>0</v>
      </c>
      <c r="K15" s="38" t="n">
        <f aca="false">K57</f>
        <v>0</v>
      </c>
      <c r="L15" s="38" t="n">
        <f aca="false">L57</f>
        <v>0.006</v>
      </c>
      <c r="M15" s="39" t="n">
        <f aca="false">M57</f>
        <v>0.00122523049904873</v>
      </c>
      <c r="N15" s="38" t="n">
        <f aca="false">N57</f>
        <v>0</v>
      </c>
      <c r="O15" s="38" t="n">
        <f aca="false">O57</f>
        <v>0.024</v>
      </c>
      <c r="P15" s="38" t="n">
        <f aca="false">P57</f>
        <v>0.018</v>
      </c>
      <c r="Q15" s="38" t="n">
        <f aca="false">Q57</f>
        <v>0.013</v>
      </c>
      <c r="R15" s="39" t="n">
        <f aca="false">R57</f>
        <v>0.0135589861751152</v>
      </c>
      <c r="S15" s="38" t="n">
        <f aca="false">S57</f>
        <v>-0.017</v>
      </c>
      <c r="T15" s="38" t="n">
        <f aca="false">T57</f>
        <v>0</v>
      </c>
      <c r="U15" s="38" t="n">
        <f aca="false">U57</f>
        <v>0</v>
      </c>
      <c r="V15" s="38" t="n">
        <f aca="false">V57</f>
        <v>0</v>
      </c>
      <c r="W15" s="39" t="n">
        <f aca="false">W57</f>
        <v>-0.00411298215313759</v>
      </c>
      <c r="X15" s="38" t="n">
        <f aca="false">X57</f>
        <v>0</v>
      </c>
      <c r="Y15" s="38" t="n">
        <f aca="false">Y57</f>
        <v>0</v>
      </c>
      <c r="Z15" s="38" t="n">
        <f aca="false">Z57</f>
        <v>0</v>
      </c>
      <c r="AA15" s="38" t="n">
        <f aca="false">AA57</f>
        <v>0</v>
      </c>
      <c r="AB15" s="39" t="n">
        <f aca="false">AB57</f>
        <v>0</v>
      </c>
      <c r="AC15" s="38" t="n">
        <f aca="false">AC57</f>
        <v>0</v>
      </c>
      <c r="AD15" s="38" t="n">
        <f aca="false">AD57</f>
        <v>0</v>
      </c>
      <c r="AE15" s="38" t="n">
        <f aca="false">AE57</f>
        <v>0</v>
      </c>
      <c r="AF15" s="38" t="n">
        <f aca="false">AF57</f>
        <v>0</v>
      </c>
      <c r="AG15" s="39" t="n">
        <f aca="false">AG57</f>
        <v>0</v>
      </c>
    </row>
    <row r="16" customFormat="false" ht="15" hidden="false" customHeight="false" outlineLevel="0" collapsed="false">
      <c r="C16" s="22" t="s">
        <v>35</v>
      </c>
      <c r="D16" s="38" t="n">
        <f aca="false">D58</f>
        <v>0</v>
      </c>
      <c r="E16" s="38" t="n">
        <f aca="false">E58</f>
        <v>0</v>
      </c>
      <c r="F16" s="38" t="n">
        <f aca="false">F58</f>
        <v>0</v>
      </c>
      <c r="G16" s="38" t="n">
        <f aca="false">G58</f>
        <v>0</v>
      </c>
      <c r="H16" s="39" t="n">
        <f aca="false">H58</f>
        <v>0</v>
      </c>
      <c r="I16" s="38" t="n">
        <f aca="false">I58</f>
        <v>0.009</v>
      </c>
      <c r="J16" s="38" t="n">
        <f aca="false">J58</f>
        <v>-0.014</v>
      </c>
      <c r="K16" s="38" t="n">
        <f aca="false">K58</f>
        <v>-0.016</v>
      </c>
      <c r="L16" s="38" t="n">
        <f aca="false">L58</f>
        <v>0.002</v>
      </c>
      <c r="M16" s="39" t="n">
        <f aca="false">M58</f>
        <v>-0.00462607932094248</v>
      </c>
      <c r="N16" s="38" t="n">
        <f aca="false">N58</f>
        <v>0.002</v>
      </c>
      <c r="O16" s="38" t="n">
        <f aca="false">O58</f>
        <v>-0.016</v>
      </c>
      <c r="P16" s="38" t="n">
        <f aca="false">P58</f>
        <v>0.023</v>
      </c>
      <c r="Q16" s="38" t="n">
        <f aca="false">Q58</f>
        <v>0.011</v>
      </c>
      <c r="R16" s="39" t="n">
        <f aca="false">R58</f>
        <v>0.0050926267281106</v>
      </c>
      <c r="S16" s="38" t="n">
        <f aca="false">S58</f>
        <v>0.046</v>
      </c>
      <c r="T16" s="38" t="n">
        <f aca="false">T58</f>
        <v>0.04</v>
      </c>
      <c r="U16" s="38" t="n">
        <f aca="false">U58</f>
        <v>0</v>
      </c>
      <c r="V16" s="38" t="n">
        <f aca="false">V58</f>
        <v>0</v>
      </c>
      <c r="W16" s="39" t="n">
        <f aca="false">W58</f>
        <v>0.0207320092112838</v>
      </c>
      <c r="X16" s="38" t="n">
        <f aca="false">X58</f>
        <v>0</v>
      </c>
      <c r="Y16" s="38" t="n">
        <f aca="false">Y58</f>
        <v>0</v>
      </c>
      <c r="Z16" s="38" t="n">
        <f aca="false">Z58</f>
        <v>0</v>
      </c>
      <c r="AA16" s="38" t="n">
        <f aca="false">AA58</f>
        <v>0</v>
      </c>
      <c r="AB16" s="39" t="n">
        <f aca="false">AB58</f>
        <v>0</v>
      </c>
      <c r="AC16" s="38" t="n">
        <f aca="false">AC58</f>
        <v>0</v>
      </c>
      <c r="AD16" s="38" t="n">
        <f aca="false">AD58</f>
        <v>0</v>
      </c>
      <c r="AE16" s="38" t="n">
        <f aca="false">AE58</f>
        <v>0</v>
      </c>
      <c r="AF16" s="38" t="n">
        <f aca="false">AF58</f>
        <v>0</v>
      </c>
      <c r="AG16" s="39" t="n">
        <f aca="false">AG58</f>
        <v>0</v>
      </c>
    </row>
    <row r="17" customFormat="false" ht="15" hidden="false" customHeight="false" outlineLevel="0" collapsed="false">
      <c r="H17" s="25"/>
      <c r="M17" s="25"/>
      <c r="R17" s="25"/>
      <c r="W17" s="25"/>
      <c r="AB17" s="25"/>
      <c r="AG17" s="25"/>
    </row>
    <row r="18" customFormat="false" ht="15" hidden="false" customHeight="false" outlineLevel="0" collapsed="false">
      <c r="C18" s="2" t="s">
        <v>79</v>
      </c>
      <c r="D18" s="36" t="n">
        <f aca="false">D93</f>
        <v>483.645</v>
      </c>
      <c r="E18" s="36" t="n">
        <f aca="false">E93</f>
        <v>473.81</v>
      </c>
      <c r="F18" s="36" t="n">
        <f aca="false">F93</f>
        <v>461.435</v>
      </c>
      <c r="G18" s="36" t="n">
        <f aca="false">G93</f>
        <v>465.79</v>
      </c>
      <c r="H18" s="37" t="n">
        <f aca="false">H93</f>
        <v>1884.68</v>
      </c>
      <c r="I18" s="36" t="n">
        <f aca="false">I93</f>
        <v>457.53</v>
      </c>
      <c r="J18" s="36" t="n">
        <f aca="false">J93</f>
        <v>434.64</v>
      </c>
      <c r="K18" s="36" t="n">
        <f aca="false">K93</f>
        <v>436.33</v>
      </c>
      <c r="L18" s="36" t="n">
        <f aca="false">L93</f>
        <v>469.765</v>
      </c>
      <c r="M18" s="37" t="n">
        <f aca="false">M93</f>
        <v>1798.265</v>
      </c>
      <c r="N18" s="36" t="n">
        <f aca="false">N93</f>
        <v>464.165</v>
      </c>
      <c r="O18" s="36" t="n">
        <f aca="false">O93</f>
        <v>461.315</v>
      </c>
      <c r="P18" s="36" t="n">
        <f aca="false">P93</f>
        <v>480.53</v>
      </c>
      <c r="Q18" s="36" t="n">
        <f aca="false">Q93</f>
        <v>514.06</v>
      </c>
      <c r="R18" s="37" t="n">
        <f aca="false">R93</f>
        <v>1920.07</v>
      </c>
      <c r="S18" s="36" t="n">
        <f aca="false">S93</f>
        <v>496.615</v>
      </c>
      <c r="T18" s="36" t="n">
        <f aca="false">T93</f>
        <v>507.055</v>
      </c>
      <c r="U18" s="36" t="n">
        <f aca="false">U93</f>
        <v>499.7512</v>
      </c>
      <c r="V18" s="36" t="n">
        <f aca="false">V93</f>
        <v>534.6224</v>
      </c>
      <c r="W18" s="37" t="n">
        <f aca="false">W93</f>
        <v>2038.0436</v>
      </c>
      <c r="X18" s="36" t="n">
        <f aca="false">X93</f>
        <v>516.4796</v>
      </c>
      <c r="Y18" s="36" t="n">
        <f aca="false">Y93</f>
        <v>527.3372</v>
      </c>
      <c r="Z18" s="36" t="n">
        <f aca="false">Z93</f>
        <v>519.741248</v>
      </c>
      <c r="AA18" s="36" t="n">
        <f aca="false">AA93</f>
        <v>556.007296</v>
      </c>
      <c r="AB18" s="37" t="n">
        <f aca="false">AB93</f>
        <v>2119.565344</v>
      </c>
      <c r="AC18" s="36" t="n">
        <f aca="false">AC93</f>
        <v>537.138784</v>
      </c>
      <c r="AD18" s="36" t="n">
        <f aca="false">AD93</f>
        <v>548.430688</v>
      </c>
      <c r="AE18" s="36" t="n">
        <f aca="false">AE93</f>
        <v>540.53089792</v>
      </c>
      <c r="AF18" s="36" t="n">
        <f aca="false">AF93</f>
        <v>578.24758784</v>
      </c>
      <c r="AG18" s="37" t="n">
        <f aca="false">AG93</f>
        <v>2204.34795776</v>
      </c>
    </row>
    <row r="19" customFormat="false" ht="15" hidden="false" customHeight="false" outlineLevel="0" collapsed="false">
      <c r="C19" s="22" t="s">
        <v>80</v>
      </c>
      <c r="D19" s="40" t="n">
        <f aca="false">D94</f>
        <v>0.275424259681093</v>
      </c>
      <c r="E19" s="40" t="n">
        <f aca="false">E94</f>
        <v>0.275952242283052</v>
      </c>
      <c r="F19" s="40" t="n">
        <f aca="false">F94</f>
        <v>0.275977870813397</v>
      </c>
      <c r="G19" s="40" t="n">
        <f aca="false">G94</f>
        <v>0.275941943127962</v>
      </c>
      <c r="H19" s="41" t="n">
        <f aca="false">H94</f>
        <v>0.275820283916289</v>
      </c>
      <c r="I19" s="40" t="n">
        <f aca="false">I94</f>
        <v>0.275952955367913</v>
      </c>
      <c r="J19" s="40" t="n">
        <f aca="false">J94</f>
        <v>0.27631277813096</v>
      </c>
      <c r="K19" s="40" t="n">
        <f aca="false">K94</f>
        <v>0.276508238276299</v>
      </c>
      <c r="L19" s="40" t="n">
        <f aca="false">L94</f>
        <v>0.276169900058789</v>
      </c>
      <c r="M19" s="41" t="n">
        <f aca="false">M94</f>
        <v>0.276231182795699</v>
      </c>
      <c r="N19" s="40" t="n">
        <f aca="false">N94</f>
        <v>0.276124330755503</v>
      </c>
      <c r="O19" s="40" t="n">
        <f aca="false">O94</f>
        <v>0.276567745803357</v>
      </c>
      <c r="P19" s="40" t="n">
        <f aca="false">P94</f>
        <v>0.276484464902186</v>
      </c>
      <c r="Q19" s="40" t="n">
        <f aca="false">Q94</f>
        <v>0.276227834497582</v>
      </c>
      <c r="R19" s="41" t="n">
        <f aca="false">R94</f>
        <v>0.276348589522165</v>
      </c>
      <c r="S19" s="40" t="n">
        <f aca="false">S94</f>
        <v>0.276204115684093</v>
      </c>
      <c r="T19" s="40" t="n">
        <f aca="false">T94</f>
        <v>0.276324250681199</v>
      </c>
      <c r="U19" s="40" t="n">
        <f aca="false">U94</f>
        <v>0.276484464902186</v>
      </c>
      <c r="V19" s="40" t="n">
        <f aca="false">V94</f>
        <v>0.276227834497582</v>
      </c>
      <c r="W19" s="41" t="n">
        <f aca="false">W94</f>
        <v>0.276308927922603</v>
      </c>
      <c r="X19" s="40" t="n">
        <f aca="false">X94</f>
        <v>0.276204115684093</v>
      </c>
      <c r="Y19" s="40" t="n">
        <f aca="false">Y94</f>
        <v>0.276324250681199</v>
      </c>
      <c r="Z19" s="40" t="n">
        <f aca="false">Z94</f>
        <v>0.276484464902186</v>
      </c>
      <c r="AA19" s="40" t="n">
        <f aca="false">AA94</f>
        <v>0.276227834497582</v>
      </c>
      <c r="AB19" s="41" t="n">
        <f aca="false">AB94</f>
        <v>0.276308927922603</v>
      </c>
      <c r="AC19" s="40" t="n">
        <f aca="false">AC94</f>
        <v>0.276204115684093</v>
      </c>
      <c r="AD19" s="40" t="n">
        <f aca="false">AD94</f>
        <v>0.276324250681199</v>
      </c>
      <c r="AE19" s="40" t="n">
        <f aca="false">AE94</f>
        <v>0.276484464902186</v>
      </c>
      <c r="AF19" s="40" t="n">
        <f aca="false">AF94</f>
        <v>0.276227834497582</v>
      </c>
      <c r="AG19" s="41" t="n">
        <f aca="false">AG94</f>
        <v>0.276308927922603</v>
      </c>
    </row>
    <row r="20" customFormat="false" ht="15" hidden="false" customHeight="false" outlineLevel="0" collapsed="false">
      <c r="C20" s="22" t="s">
        <v>39</v>
      </c>
      <c r="D20" s="42" t="n">
        <f aca="false">D95</f>
        <v>0</v>
      </c>
      <c r="E20" s="42" t="n">
        <f aca="false">E95</f>
        <v>0</v>
      </c>
      <c r="F20" s="42" t="n">
        <f aca="false">F95</f>
        <v>0</v>
      </c>
      <c r="G20" s="42" t="n">
        <f aca="false">G95</f>
        <v>0</v>
      </c>
      <c r="H20" s="43" t="n">
        <f aca="false">H95</f>
        <v>0</v>
      </c>
      <c r="I20" s="42" t="n">
        <f aca="false">I95</f>
        <v>5.28695686819736</v>
      </c>
      <c r="J20" s="42" t="n">
        <f aca="false">J95</f>
        <v>3.60535847908183</v>
      </c>
      <c r="K20" s="42" t="n">
        <f aca="false">K95</f>
        <v>5.30367462901971</v>
      </c>
      <c r="L20" s="42" t="n">
        <f aca="false">L95</f>
        <v>2.27956930826834</v>
      </c>
      <c r="M20" s="43" t="n">
        <f aca="false">M95</f>
        <v>4.10898879410315</v>
      </c>
      <c r="N20" s="42" t="n">
        <f aca="false">N95</f>
        <v>1.7137538758949</v>
      </c>
      <c r="O20" s="42" t="n">
        <f aca="false">O95</f>
        <v>2.54967672397299</v>
      </c>
      <c r="P20" s="42" t="n">
        <f aca="false">P95</f>
        <v>-0.237733741126345</v>
      </c>
      <c r="Q20" s="42" t="n">
        <f aca="false">Q95</f>
        <v>0.579344387930392</v>
      </c>
      <c r="R20" s="43" t="n">
        <f aca="false">R95</f>
        <v>1.17406726465708</v>
      </c>
      <c r="S20" s="42" t="n">
        <f aca="false">S95</f>
        <v>0.79784928590787</v>
      </c>
      <c r="T20" s="42" t="n">
        <f aca="false">T95</f>
        <v>-2.43495122158377</v>
      </c>
      <c r="U20" s="42" t="n">
        <f aca="false">U95</f>
        <v>0</v>
      </c>
      <c r="V20" s="42" t="n">
        <f aca="false">V95</f>
        <v>0</v>
      </c>
      <c r="W20" s="43" t="n">
        <f aca="false">W95</f>
        <v>-0.396615995620353</v>
      </c>
      <c r="X20" s="42" t="n">
        <f aca="false">X95</f>
        <v>0</v>
      </c>
      <c r="Y20" s="42" t="n">
        <f aca="false">Y95</f>
        <v>0</v>
      </c>
      <c r="Z20" s="42" t="n">
        <f aca="false">Z95</f>
        <v>0</v>
      </c>
      <c r="AA20" s="42" t="n">
        <f aca="false">AA95</f>
        <v>0</v>
      </c>
      <c r="AB20" s="43" t="n">
        <f aca="false">AB95</f>
        <v>0</v>
      </c>
      <c r="AC20" s="42" t="n">
        <f aca="false">AC95</f>
        <v>0</v>
      </c>
      <c r="AD20" s="42" t="n">
        <f aca="false">AD95</f>
        <v>0</v>
      </c>
      <c r="AE20" s="42" t="n">
        <f aca="false">AE95</f>
        <v>0</v>
      </c>
      <c r="AF20" s="42" t="n">
        <f aca="false">AF95</f>
        <v>0</v>
      </c>
      <c r="AG20" s="43" t="n">
        <f aca="false">AG95</f>
        <v>0</v>
      </c>
    </row>
    <row r="21" customFormat="false" ht="15" hidden="false" customHeight="false" outlineLevel="0" collapsed="false">
      <c r="H21" s="25"/>
      <c r="M21" s="25"/>
      <c r="R21" s="25"/>
      <c r="W21" s="25"/>
      <c r="AB21" s="25"/>
      <c r="AG21" s="25"/>
    </row>
    <row r="22" customFormat="false" ht="15" hidden="false" customHeight="false" outlineLevel="0" collapsed="false">
      <c r="B22" s="17" t="s">
        <v>81</v>
      </c>
      <c r="C22" s="18"/>
      <c r="D22" s="18"/>
      <c r="E22" s="18"/>
      <c r="F22" s="18"/>
      <c r="G22" s="18"/>
      <c r="H22" s="19"/>
      <c r="I22" s="18"/>
      <c r="J22" s="18"/>
      <c r="K22" s="18"/>
      <c r="L22" s="18"/>
      <c r="M22" s="19"/>
      <c r="N22" s="18"/>
      <c r="O22" s="18"/>
      <c r="P22" s="18"/>
      <c r="Q22" s="18"/>
      <c r="R22" s="19"/>
      <c r="S22" s="18"/>
      <c r="T22" s="18"/>
      <c r="U22" s="18"/>
      <c r="V22" s="18"/>
      <c r="W22" s="19"/>
      <c r="X22" s="18"/>
      <c r="Y22" s="18"/>
      <c r="Z22" s="18"/>
      <c r="AA22" s="18"/>
      <c r="AB22" s="19"/>
      <c r="AC22" s="18"/>
      <c r="AD22" s="18"/>
      <c r="AE22" s="18"/>
      <c r="AF22" s="18"/>
      <c r="AG22" s="19"/>
    </row>
    <row r="23" customFormat="false" ht="15" hidden="false" customHeight="false" outlineLevel="0" collapsed="false">
      <c r="H23" s="25"/>
      <c r="M23" s="25"/>
      <c r="R23" s="25"/>
      <c r="W23" s="25"/>
      <c r="AB23" s="25"/>
      <c r="AG23" s="25"/>
    </row>
    <row r="24" customFormat="false" ht="15" hidden="false" customHeight="false" outlineLevel="0" collapsed="false">
      <c r="A24" s="22" t="s">
        <v>82</v>
      </c>
      <c r="C24" s="4" t="s">
        <v>41</v>
      </c>
      <c r="D24" s="35" t="n">
        <v>639</v>
      </c>
      <c r="E24" s="35" t="n">
        <v>612</v>
      </c>
      <c r="F24" s="35" t="n">
        <v>592</v>
      </c>
      <c r="G24" s="35" t="n">
        <v>590</v>
      </c>
      <c r="H24" s="44" t="n">
        <f aca="false">D24+E24+F24+G24</f>
        <v>2433</v>
      </c>
      <c r="I24" s="35" t="n">
        <v>565</v>
      </c>
      <c r="J24" s="35" t="n">
        <v>542</v>
      </c>
      <c r="K24" s="35" t="n">
        <v>540</v>
      </c>
      <c r="L24" s="35" t="n">
        <v>595</v>
      </c>
      <c r="M24" s="44" t="n">
        <f aca="false">I24+J24+K24+L24</f>
        <v>2242</v>
      </c>
      <c r="N24" s="35" t="n">
        <v>585</v>
      </c>
      <c r="O24" s="35" t="n">
        <v>603</v>
      </c>
      <c r="P24" s="35" t="n">
        <v>629</v>
      </c>
      <c r="Q24" s="35" t="n">
        <v>690</v>
      </c>
      <c r="R24" s="44" t="n">
        <f aca="false">N24+O24+P24+Q24</f>
        <v>2507</v>
      </c>
      <c r="S24" s="35" t="n">
        <v>640</v>
      </c>
      <c r="T24" s="35" t="n">
        <v>663</v>
      </c>
      <c r="U24" s="45" t="n">
        <f aca="false">P24*(1+U26+U27+U28)</f>
        <v>654.16</v>
      </c>
      <c r="V24" s="45" t="n">
        <f aca="false">Q24*(1+V26+V27+V28)</f>
        <v>717.6</v>
      </c>
      <c r="W24" s="44" t="n">
        <f aca="false">S24+T24+U24+V24</f>
        <v>2674.76</v>
      </c>
      <c r="X24" s="45" t="n">
        <f aca="false">S24*(1+X26+X27+X28)</f>
        <v>665.6</v>
      </c>
      <c r="Y24" s="45" t="n">
        <f aca="false">T24*(1+Y26+Y27+Y28)</f>
        <v>689.52</v>
      </c>
      <c r="Z24" s="45" t="n">
        <f aca="false">U24*(1+Z26+Z27+Z28)</f>
        <v>680.3264</v>
      </c>
      <c r="AA24" s="45" t="n">
        <f aca="false">V24*(1+AA26+AA27+AA28)</f>
        <v>746.304</v>
      </c>
      <c r="AB24" s="44" t="n">
        <f aca="false">X24+Y24+Z24+AA24</f>
        <v>2781.7504</v>
      </c>
      <c r="AC24" s="45" t="n">
        <f aca="false">X24*(1+AC26+AC27+AC28)</f>
        <v>692.224</v>
      </c>
      <c r="AD24" s="45" t="n">
        <f aca="false">Y24*(1+AD26+AD27+AD28)</f>
        <v>717.1008</v>
      </c>
      <c r="AE24" s="45" t="n">
        <f aca="false">Z24*(1+AE26+AE27+AE28)</f>
        <v>707.539456</v>
      </c>
      <c r="AF24" s="45" t="n">
        <f aca="false">AA24*(1+AF26+AF27+AF28)</f>
        <v>776.15616</v>
      </c>
      <c r="AG24" s="44" t="n">
        <f aca="false">AC24+AD24+AE24+AF24</f>
        <v>2893.020416</v>
      </c>
    </row>
    <row r="25" customFormat="false" ht="15" hidden="false" customHeight="false" outlineLevel="0" collapsed="false">
      <c r="C25" s="22" t="s">
        <v>32</v>
      </c>
      <c r="H25" s="25"/>
      <c r="I25" s="46" t="n">
        <f aca="false">IFERROR(I24/D24-1,0)</f>
        <v>-0.115805946791862</v>
      </c>
      <c r="J25" s="46" t="n">
        <f aca="false">IFERROR(J24/E24-1,0)</f>
        <v>-0.11437908496732</v>
      </c>
      <c r="K25" s="46" t="n">
        <f aca="false">IFERROR(K24/F24-1,0)</f>
        <v>-0.0878378378378378</v>
      </c>
      <c r="L25" s="46" t="n">
        <f aca="false">IFERROR(L24/G24-1,0)</f>
        <v>0.00847457627118642</v>
      </c>
      <c r="M25" s="47" t="n">
        <f aca="false">IFERROR(M24/H24-1,0)</f>
        <v>-0.0785039046444719</v>
      </c>
      <c r="N25" s="46" t="n">
        <f aca="false">IFERROR(N24/I24-1,0)</f>
        <v>0.0353982300884956</v>
      </c>
      <c r="O25" s="46" t="n">
        <f aca="false">IFERROR(O24/J24-1,0)</f>
        <v>0.112546125461255</v>
      </c>
      <c r="P25" s="46" t="n">
        <f aca="false">IFERROR(P24/K24-1,0)</f>
        <v>0.164814814814815</v>
      </c>
      <c r="Q25" s="46" t="n">
        <f aca="false">IFERROR(Q24/L24-1,0)</f>
        <v>0.159663865546219</v>
      </c>
      <c r="R25" s="47" t="n">
        <f aca="false">IFERROR(R24/M24-1,0)</f>
        <v>0.118198037466548</v>
      </c>
      <c r="S25" s="46" t="n">
        <f aca="false">IFERROR(S24/N24-1,0)</f>
        <v>0.0940170940170941</v>
      </c>
      <c r="T25" s="46" t="n">
        <f aca="false">IFERROR(T24/O24-1,0)</f>
        <v>0.0995024875621891</v>
      </c>
      <c r="U25" s="46" t="n">
        <f aca="false">U26+U27+U28</f>
        <v>0.04</v>
      </c>
      <c r="V25" s="46" t="n">
        <f aca="false">V26+V27+V28</f>
        <v>0.04</v>
      </c>
      <c r="W25" s="47" t="n">
        <f aca="false">IFERROR(W24/R24-1,0)</f>
        <v>0.066916633426406</v>
      </c>
      <c r="X25" s="46" t="n">
        <f aca="false">X26+X27+X28</f>
        <v>0.04</v>
      </c>
      <c r="Y25" s="46" t="n">
        <f aca="false">Y26+Y27+Y28</f>
        <v>0.04</v>
      </c>
      <c r="Z25" s="46" t="n">
        <f aca="false">Z26+Z27+Z28</f>
        <v>0.04</v>
      </c>
      <c r="AA25" s="46" t="n">
        <f aca="false">AA26+AA27+AA28</f>
        <v>0.04</v>
      </c>
      <c r="AB25" s="47" t="n">
        <f aca="false">IFERROR(AB24/W24-1,0)</f>
        <v>0.04</v>
      </c>
      <c r="AC25" s="46" t="n">
        <f aca="false">AC26+AC27+AC28</f>
        <v>0.04</v>
      </c>
      <c r="AD25" s="46" t="n">
        <f aca="false">AD26+AD27+AD28</f>
        <v>0.04</v>
      </c>
      <c r="AE25" s="46" t="n">
        <f aca="false">AE26+AE27+AE28</f>
        <v>0.04</v>
      </c>
      <c r="AF25" s="46" t="n">
        <f aca="false">AF26+AF27+AF28</f>
        <v>0.04</v>
      </c>
      <c r="AG25" s="47" t="n">
        <f aca="false">IFERROR(AG24/AB24-1,0)</f>
        <v>0.04</v>
      </c>
    </row>
    <row r="26" customFormat="false" ht="15" hidden="false" customHeight="false" outlineLevel="0" collapsed="false">
      <c r="C26" s="22" t="s">
        <v>33</v>
      </c>
      <c r="D26" s="46" t="n">
        <f aca="false">IFERROR(D25-D27-D28,0)</f>
        <v>0</v>
      </c>
      <c r="E26" s="46" t="n">
        <f aca="false">IFERROR(E25-E27-E28,0)</f>
        <v>0</v>
      </c>
      <c r="F26" s="46" t="n">
        <f aca="false">IFERROR(F25-F27-F28,0)</f>
        <v>0</v>
      </c>
      <c r="G26" s="46" t="n">
        <f aca="false">IFERROR(G25-G27-G28,0)</f>
        <v>0</v>
      </c>
      <c r="H26" s="25"/>
      <c r="I26" s="46" t="n">
        <f aca="false">IFERROR(I25-I27-I28,0)</f>
        <v>-0.122057902973396</v>
      </c>
      <c r="J26" s="46" t="n">
        <f aca="false">IFERROR(J25-J27-J28,0)</f>
        <v>-0.10037908496732</v>
      </c>
      <c r="K26" s="46" t="n">
        <f aca="false">IFERROR(K25-K27-K28,0)</f>
        <v>-0.0718378378378378</v>
      </c>
      <c r="L26" s="46" t="n">
        <f aca="false">IFERROR(L25-L27-L28,0)</f>
        <v>-0.0106915254237288</v>
      </c>
      <c r="M26" s="47" t="n">
        <f aca="false">IFERROR(((I26*D24)+(J26*E24)+(K26*F24)+(L26*G24))/(D24+E24+F24+G24),0)</f>
        <v>-0.0773789560213728</v>
      </c>
      <c r="N26" s="46" t="n">
        <f aca="false">IFERROR(N25-N27-N28,0)</f>
        <v>0.0333982300884956</v>
      </c>
      <c r="O26" s="46" t="n">
        <f aca="false">IFERROR(O25-O27-O28,0)</f>
        <v>0.0588929889298892</v>
      </c>
      <c r="P26" s="46" t="n">
        <f aca="false">IFERROR(P25-P27-P28,0)</f>
        <v>0.0892148148148148</v>
      </c>
      <c r="Q26" s="46" t="n">
        <f aca="false">IFERROR(Q25-Q27-Q28,0)</f>
        <v>0.111499159663866</v>
      </c>
      <c r="R26" s="47" t="n">
        <f aca="false">IFERROR(((N26*I24)+(O26*J24)+(P26*K24)+(Q26*L24))/(I24+J24+K24+L24),0)</f>
        <v>0.0737323818019626</v>
      </c>
      <c r="S26" s="46" t="n">
        <f aca="false">IFERROR(S25-S27-S28,0)</f>
        <v>0.0968666666666668</v>
      </c>
      <c r="T26" s="46" t="n">
        <f aca="false">IFERROR(T25-T27-T28,0)</f>
        <v>0.059502487562189</v>
      </c>
      <c r="U26" s="48" t="n">
        <v>0.04</v>
      </c>
      <c r="V26" s="48" t="n">
        <v>0.04</v>
      </c>
      <c r="W26" s="47" t="n">
        <f aca="false">IFERROR(((S26*N24)+(T26*O24)+(U26*P24)+(V26*Q24))/(N24+O24+P24+Q24),0)</f>
        <v>0.0579605105704029</v>
      </c>
      <c r="X26" s="48" t="n">
        <v>0.04</v>
      </c>
      <c r="Y26" s="48" t="n">
        <v>0.04</v>
      </c>
      <c r="Z26" s="48" t="n">
        <v>0.04</v>
      </c>
      <c r="AA26" s="48" t="n">
        <v>0.04</v>
      </c>
      <c r="AB26" s="47" t="n">
        <f aca="false">IFERROR(((X26*S24)+(Y26*T24)+(Z26*U24)+(AA26*V24))/(S24+T24+U24+V24),0)</f>
        <v>0.04</v>
      </c>
      <c r="AC26" s="48" t="n">
        <v>0.04</v>
      </c>
      <c r="AD26" s="48" t="n">
        <v>0.04</v>
      </c>
      <c r="AE26" s="48" t="n">
        <v>0.04</v>
      </c>
      <c r="AF26" s="48" t="n">
        <v>0.04</v>
      </c>
      <c r="AG26" s="47" t="n">
        <f aca="false">IFERROR(((AC26*X24)+(AD26*Y24)+(AE26*Z24)+(AF26*AA24))/(X24+Y24+Z24+AA24),0)</f>
        <v>0.04</v>
      </c>
    </row>
    <row r="27" customFormat="false" ht="15" hidden="false" customHeight="false" outlineLevel="0" collapsed="false">
      <c r="C27" s="22" t="s">
        <v>34</v>
      </c>
      <c r="D27" s="49" t="n">
        <v>0</v>
      </c>
      <c r="E27" s="49" t="n">
        <v>0</v>
      </c>
      <c r="F27" s="49" t="n">
        <v>0</v>
      </c>
      <c r="G27" s="49" t="n">
        <v>0</v>
      </c>
      <c r="H27" s="25"/>
      <c r="I27" s="49" t="n">
        <v>-0.00274804381846635</v>
      </c>
      <c r="J27" s="49" t="n">
        <v>0</v>
      </c>
      <c r="K27" s="49" t="n">
        <v>0</v>
      </c>
      <c r="L27" s="49" t="n">
        <v>0.0171661016949153</v>
      </c>
      <c r="M27" s="47" t="n">
        <f aca="false">IFERROR(((I27*D24)+(J27*E24)+(K27*F24)+(L27*G24))/(D24+E24+F24+G24),0)</f>
        <v>0.00344101931771475</v>
      </c>
      <c r="N27" s="49" t="n">
        <v>0</v>
      </c>
      <c r="O27" s="49" t="n">
        <v>0.0696531365313653</v>
      </c>
      <c r="P27" s="49" t="n">
        <v>0.0526</v>
      </c>
      <c r="Q27" s="49" t="n">
        <v>0.0371647058823529</v>
      </c>
      <c r="R27" s="47" t="n">
        <f aca="false">IFERROR(((N27*I24)+(O27*J24)+(P27*K24)+(Q27*L24))/(I24+J24+K24+L24),0)</f>
        <v>0.0393706512042819</v>
      </c>
      <c r="S27" s="49" t="n">
        <v>-0.0488495726495727</v>
      </c>
      <c r="T27" s="49" t="n">
        <v>0</v>
      </c>
      <c r="U27" s="48" t="n">
        <v>0</v>
      </c>
      <c r="V27" s="48" t="n">
        <v>0</v>
      </c>
      <c r="W27" s="47" t="n">
        <f aca="false">IFERROR(((S27*N24)+(T27*O24)+(U27*P24)+(V27*Q24))/(N24+O24+P24+Q24),0)</f>
        <v>-0.0113988831272437</v>
      </c>
      <c r="X27" s="48" t="n">
        <v>0</v>
      </c>
      <c r="Y27" s="48" t="n">
        <v>0</v>
      </c>
      <c r="Z27" s="48" t="n">
        <v>0</v>
      </c>
      <c r="AA27" s="48" t="n">
        <v>0</v>
      </c>
      <c r="AB27" s="47" t="n">
        <f aca="false">IFERROR(((X27*S24)+(Y27*T24)+(Z27*U24)+(AA27*V24))/(S24+T24+U24+V24),0)</f>
        <v>0</v>
      </c>
      <c r="AC27" s="48" t="n">
        <v>0</v>
      </c>
      <c r="AD27" s="48" t="n">
        <v>0</v>
      </c>
      <c r="AE27" s="48" t="n">
        <v>0</v>
      </c>
      <c r="AF27" s="48" t="n">
        <v>0</v>
      </c>
      <c r="AG27" s="47" t="n">
        <f aca="false">IFERROR(((AC27*X24)+(AD27*Y24)+(AE27*Z24)+(AF27*AA24))/(X24+Y24+Z24+AA24),0)</f>
        <v>0</v>
      </c>
    </row>
    <row r="28" customFormat="false" ht="15" hidden="false" customHeight="false" outlineLevel="0" collapsed="false">
      <c r="C28" s="22" t="s">
        <v>35</v>
      </c>
      <c r="H28" s="25"/>
      <c r="I28" s="49" t="n">
        <v>0.009</v>
      </c>
      <c r="J28" s="49" t="n">
        <v>-0.014</v>
      </c>
      <c r="K28" s="49" t="n">
        <v>-0.016</v>
      </c>
      <c r="L28" s="49" t="n">
        <v>0.002</v>
      </c>
      <c r="M28" s="47" t="n">
        <f aca="false">IFERROR(((I28*D24)+(J28*E24)+(K28*F24)+(L28*G24))/(D24+E24+F24+G24),0)</f>
        <v>-0.00456596794081381</v>
      </c>
      <c r="N28" s="49" t="n">
        <v>0.002</v>
      </c>
      <c r="O28" s="49" t="n">
        <v>-0.016</v>
      </c>
      <c r="P28" s="49" t="n">
        <v>0.023</v>
      </c>
      <c r="Q28" s="49" t="n">
        <v>0.011</v>
      </c>
      <c r="R28" s="47" t="n">
        <f aca="false">IFERROR(((N28*I24)+(O28*J24)+(P28*K24)+(Q28*L24))/(I24+J24+K24+L24),0)</f>
        <v>0.0050950044603033</v>
      </c>
      <c r="S28" s="49" t="n">
        <v>0.046</v>
      </c>
      <c r="T28" s="49" t="n">
        <v>0.04</v>
      </c>
      <c r="U28" s="48" t="n">
        <v>0</v>
      </c>
      <c r="V28" s="48" t="n">
        <v>0</v>
      </c>
      <c r="W28" s="47" t="n">
        <f aca="false">IFERROR(((S28*N24)+(T28*O24)+(U28*P24)+(V28*Q24))/(N24+O24+P24+Q24),0)</f>
        <v>0.0203550059832469</v>
      </c>
      <c r="X28" s="48" t="n">
        <v>0</v>
      </c>
      <c r="Y28" s="48" t="n">
        <v>0</v>
      </c>
      <c r="Z28" s="48" t="n">
        <v>0</v>
      </c>
      <c r="AA28" s="48" t="n">
        <v>0</v>
      </c>
      <c r="AB28" s="47" t="n">
        <f aca="false">IFERROR(((X28*S24)+(Y28*T24)+(Z28*U24)+(AA28*V24))/(S24+T24+U24+V24),0)</f>
        <v>0</v>
      </c>
      <c r="AC28" s="48" t="n">
        <v>0</v>
      </c>
      <c r="AD28" s="48" t="n">
        <v>0</v>
      </c>
      <c r="AE28" s="48" t="n">
        <v>0</v>
      </c>
      <c r="AF28" s="48" t="n">
        <v>0</v>
      </c>
      <c r="AG28" s="47" t="n">
        <f aca="false">IFERROR(((AC28*X24)+(AD28*Y24)+(AE28*Z24)+(AF28*AA24))/(X24+Y24+Z24+AA24),0)</f>
        <v>0</v>
      </c>
    </row>
    <row r="29" customFormat="false" ht="15" hidden="false" customHeight="false" outlineLevel="0" collapsed="false">
      <c r="A29" s="22" t="s">
        <v>82</v>
      </c>
      <c r="C29" s="4" t="s">
        <v>43</v>
      </c>
      <c r="D29" s="35" t="n">
        <v>406</v>
      </c>
      <c r="E29" s="35" t="n">
        <v>378</v>
      </c>
      <c r="F29" s="35" t="n">
        <v>378</v>
      </c>
      <c r="G29" s="35" t="n">
        <v>381</v>
      </c>
      <c r="H29" s="44" t="n">
        <f aca="false">D29+E29+F29+G29</f>
        <v>1543</v>
      </c>
      <c r="I29" s="35" t="n">
        <v>392</v>
      </c>
      <c r="J29" s="35" t="n">
        <v>362</v>
      </c>
      <c r="K29" s="35" t="n">
        <v>356</v>
      </c>
      <c r="L29" s="35" t="n">
        <v>385</v>
      </c>
      <c r="M29" s="44" t="n">
        <f aca="false">I29+J29+K29+L29</f>
        <v>1495</v>
      </c>
      <c r="N29" s="35" t="n">
        <v>379</v>
      </c>
      <c r="O29" s="35" t="n">
        <v>369</v>
      </c>
      <c r="P29" s="35" t="n">
        <v>399</v>
      </c>
      <c r="Q29" s="35" t="n">
        <v>414</v>
      </c>
      <c r="R29" s="44" t="n">
        <f aca="false">N29+O29+P29+Q29</f>
        <v>1561</v>
      </c>
      <c r="S29" s="35" t="n">
        <v>422</v>
      </c>
      <c r="T29" s="35" t="n">
        <v>412</v>
      </c>
      <c r="U29" s="45" t="n">
        <f aca="false">P29*(1+U31+U32+U33)</f>
        <v>414.96</v>
      </c>
      <c r="V29" s="45" t="n">
        <f aca="false">Q29*(1+V31+V32+V33)</f>
        <v>430.56</v>
      </c>
      <c r="W29" s="44" t="n">
        <f aca="false">S29+T29+U29+V29</f>
        <v>1679.52</v>
      </c>
      <c r="X29" s="45" t="n">
        <f aca="false">S29*(1+X31+X32+X33)</f>
        <v>438.88</v>
      </c>
      <c r="Y29" s="45" t="n">
        <f aca="false">T29*(1+Y31+Y32+Y33)</f>
        <v>428.48</v>
      </c>
      <c r="Z29" s="45" t="n">
        <f aca="false">U29*(1+Z31+Z32+Z33)</f>
        <v>431.5584</v>
      </c>
      <c r="AA29" s="45" t="n">
        <f aca="false">V29*(1+AA31+AA32+AA33)</f>
        <v>447.7824</v>
      </c>
      <c r="AB29" s="44" t="n">
        <f aca="false">X29+Y29+Z29+AA29</f>
        <v>1746.7008</v>
      </c>
      <c r="AC29" s="45" t="n">
        <f aca="false">X29*(1+AC31+AC32+AC33)</f>
        <v>456.4352</v>
      </c>
      <c r="AD29" s="45" t="n">
        <f aca="false">Y29*(1+AD31+AD32+AD33)</f>
        <v>445.6192</v>
      </c>
      <c r="AE29" s="45" t="n">
        <f aca="false">Z29*(1+AE31+AE32+AE33)</f>
        <v>448.820736</v>
      </c>
      <c r="AF29" s="45" t="n">
        <f aca="false">AA29*(1+AF31+AF32+AF33)</f>
        <v>465.693696</v>
      </c>
      <c r="AG29" s="44" t="n">
        <f aca="false">AC29+AD29+AE29+AF29</f>
        <v>1816.568832</v>
      </c>
    </row>
    <row r="30" customFormat="false" ht="15" hidden="false" customHeight="false" outlineLevel="0" collapsed="false">
      <c r="C30" s="22" t="s">
        <v>32</v>
      </c>
      <c r="H30" s="25"/>
      <c r="I30" s="46" t="n">
        <f aca="false">IFERROR(I29/D29-1,0)</f>
        <v>-0.0344827586206896</v>
      </c>
      <c r="J30" s="46" t="n">
        <f aca="false">IFERROR(J29/E29-1,0)</f>
        <v>-0.0423280423280423</v>
      </c>
      <c r="K30" s="46" t="n">
        <f aca="false">IFERROR(K29/F29-1,0)</f>
        <v>-0.0582010582010583</v>
      </c>
      <c r="L30" s="46" t="n">
        <f aca="false">IFERROR(L29/G29-1,0)</f>
        <v>0.0104986876640421</v>
      </c>
      <c r="M30" s="47" t="n">
        <f aca="false">IFERROR(M29/H29-1,0)</f>
        <v>-0.0311082307193779</v>
      </c>
      <c r="N30" s="46" t="n">
        <f aca="false">IFERROR(N29/I29-1,0)</f>
        <v>-0.0331632653061225</v>
      </c>
      <c r="O30" s="46" t="n">
        <f aca="false">IFERROR(O29/J29-1,0)</f>
        <v>0.0193370165745856</v>
      </c>
      <c r="P30" s="46" t="n">
        <f aca="false">IFERROR(P29/K29-1,0)</f>
        <v>0.120786516853933</v>
      </c>
      <c r="Q30" s="46" t="n">
        <f aca="false">IFERROR(Q29/L29-1,0)</f>
        <v>0.0753246753246752</v>
      </c>
      <c r="R30" s="47" t="n">
        <f aca="false">IFERROR(R29/M29-1,0)</f>
        <v>0.0441471571906356</v>
      </c>
      <c r="S30" s="46" t="n">
        <f aca="false">IFERROR(S29/N29-1,0)</f>
        <v>0.113456464379947</v>
      </c>
      <c r="T30" s="46" t="n">
        <f aca="false">IFERROR(T29/O29-1,0)</f>
        <v>0.116531165311653</v>
      </c>
      <c r="U30" s="46" t="n">
        <f aca="false">U31+U32+U33</f>
        <v>0.04</v>
      </c>
      <c r="V30" s="46" t="n">
        <f aca="false">V31+V32+V33</f>
        <v>0.04</v>
      </c>
      <c r="W30" s="47" t="n">
        <f aca="false">IFERROR(W29/R29-1,0)</f>
        <v>0.0759256886611146</v>
      </c>
      <c r="X30" s="46" t="n">
        <f aca="false">X31+X32+X33</f>
        <v>0.04</v>
      </c>
      <c r="Y30" s="46" t="n">
        <f aca="false">Y31+Y32+Y33</f>
        <v>0.04</v>
      </c>
      <c r="Z30" s="46" t="n">
        <f aca="false">Z31+Z32+Z33</f>
        <v>0.04</v>
      </c>
      <c r="AA30" s="46" t="n">
        <f aca="false">AA31+AA32+AA33</f>
        <v>0.04</v>
      </c>
      <c r="AB30" s="47" t="n">
        <f aca="false">IFERROR(AB29/W29-1,0)</f>
        <v>0.04</v>
      </c>
      <c r="AC30" s="46" t="n">
        <f aca="false">AC31+AC32+AC33</f>
        <v>0.04</v>
      </c>
      <c r="AD30" s="46" t="n">
        <f aca="false">AD31+AD32+AD33</f>
        <v>0.04</v>
      </c>
      <c r="AE30" s="46" t="n">
        <f aca="false">AE31+AE32+AE33</f>
        <v>0.04</v>
      </c>
      <c r="AF30" s="46" t="n">
        <f aca="false">AF31+AF32+AF33</f>
        <v>0.04</v>
      </c>
      <c r="AG30" s="47" t="n">
        <f aca="false">IFERROR(AG29/AB29-1,0)</f>
        <v>0.04</v>
      </c>
    </row>
    <row r="31" customFormat="false" ht="15" hidden="false" customHeight="false" outlineLevel="0" collapsed="false">
      <c r="C31" s="22" t="s">
        <v>33</v>
      </c>
      <c r="D31" s="46" t="n">
        <f aca="false">IFERROR(D30-D32-D33,0)</f>
        <v>0</v>
      </c>
      <c r="E31" s="46" t="n">
        <f aca="false">IFERROR(E30-E32-E33,0)</f>
        <v>0</v>
      </c>
      <c r="F31" s="46" t="n">
        <f aca="false">IFERROR(F30-F32-F33,0)</f>
        <v>0</v>
      </c>
      <c r="G31" s="46" t="n">
        <f aca="false">IFERROR(G30-G32-G33,0)</f>
        <v>0</v>
      </c>
      <c r="H31" s="25"/>
      <c r="I31" s="46" t="n">
        <f aca="false">IFERROR(I30-I32-I33,0)</f>
        <v>-0.0434827586206896</v>
      </c>
      <c r="J31" s="46" t="n">
        <f aca="false">IFERROR(J30-J32-J33,0)</f>
        <v>-0.0283280423280423</v>
      </c>
      <c r="K31" s="46" t="n">
        <f aca="false">IFERROR(K30-K32-K33,0)</f>
        <v>-0.0422010582010583</v>
      </c>
      <c r="L31" s="46" t="n">
        <f aca="false">IFERROR(L30-L32-L33,0)</f>
        <v>0.00849868766404205</v>
      </c>
      <c r="M31" s="47" t="n">
        <f aca="false">IFERROR(((I31*D29)+(J31*E29)+(K31*F29)+(L31*G29))/(D29+E29+F29+G29),0)</f>
        <v>-0.0266208684381076</v>
      </c>
      <c r="N31" s="46" t="n">
        <f aca="false">IFERROR(N30-N32-N33,0)</f>
        <v>-0.0351632653061225</v>
      </c>
      <c r="O31" s="46" t="n">
        <f aca="false">IFERROR(O30-O32-O33,0)</f>
        <v>0.0353370165745856</v>
      </c>
      <c r="P31" s="46" t="n">
        <f aca="false">IFERROR(P30-P32-P33,0)</f>
        <v>0.0977865168539326</v>
      </c>
      <c r="Q31" s="46" t="n">
        <f aca="false">IFERROR(Q30-Q32-Q33,0)</f>
        <v>0.0643246753246752</v>
      </c>
      <c r="R31" s="47" t="n">
        <f aca="false">IFERROR(((N31*I29)+(O31*J29)+(P31*K29)+(Q31*L29))/(I29+J29+K29+L29),0)</f>
        <v>0.0391872909698997</v>
      </c>
      <c r="S31" s="46" t="n">
        <f aca="false">IFERROR(S30-S32-S33,0)</f>
        <v>0.0674564643799472</v>
      </c>
      <c r="T31" s="46" t="n">
        <f aca="false">IFERROR(T30-T32-T33,0)</f>
        <v>0.0765311653116532</v>
      </c>
      <c r="U31" s="48" t="n">
        <v>0.04</v>
      </c>
      <c r="V31" s="48" t="n">
        <v>0.04</v>
      </c>
      <c r="W31" s="47" t="n">
        <f aca="false">IFERROR(((S31*N29)+(T31*O29)+(U31*P29)+(V31*Q29))/(N29+O29+P29+Q29),0)</f>
        <v>0.0553017296604741</v>
      </c>
      <c r="X31" s="48" t="n">
        <v>0.04</v>
      </c>
      <c r="Y31" s="48" t="n">
        <v>0.04</v>
      </c>
      <c r="Z31" s="48" t="n">
        <v>0.04</v>
      </c>
      <c r="AA31" s="48" t="n">
        <v>0.04</v>
      </c>
      <c r="AB31" s="47" t="n">
        <f aca="false">IFERROR(((X31*S29)+(Y31*T29)+(Z31*U29)+(AA31*V29))/(S29+T29+U29+V29),0)</f>
        <v>0.04</v>
      </c>
      <c r="AC31" s="48" t="n">
        <v>0.04</v>
      </c>
      <c r="AD31" s="48" t="n">
        <v>0.04</v>
      </c>
      <c r="AE31" s="48" t="n">
        <v>0.04</v>
      </c>
      <c r="AF31" s="48" t="n">
        <v>0.04</v>
      </c>
      <c r="AG31" s="47" t="n">
        <f aca="false">IFERROR(((AC31*X29)+(AD31*Y29)+(AE31*Z29)+(AF31*AA29))/(X29+Y29+Z29+AA29),0)</f>
        <v>0.04</v>
      </c>
    </row>
    <row r="32" customFormat="false" ht="15" hidden="false" customHeight="false" outlineLevel="0" collapsed="false">
      <c r="C32" s="22" t="s">
        <v>34</v>
      </c>
      <c r="D32" s="49" t="n">
        <v>0</v>
      </c>
      <c r="E32" s="49" t="n">
        <v>0</v>
      </c>
      <c r="F32" s="49" t="n">
        <v>0</v>
      </c>
      <c r="G32" s="49" t="n">
        <v>0</v>
      </c>
      <c r="H32" s="25"/>
      <c r="I32" s="49" t="n">
        <v>0</v>
      </c>
      <c r="J32" s="49" t="n">
        <v>0</v>
      </c>
      <c r="K32" s="49" t="n">
        <v>0</v>
      </c>
      <c r="L32" s="49" t="n">
        <v>0</v>
      </c>
      <c r="M32" s="47" t="n">
        <f aca="false">IFERROR(((I32*D29)+(J32*E29)+(K32*F29)+(L32*G29))/(D29+E29+F29+G29),0)</f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7" t="n">
        <f aca="false">IFERROR(((N32*I29)+(O32*J29)+(P32*K29)+(Q32*L29))/(I29+J29+K29+L29),0)</f>
        <v>0</v>
      </c>
      <c r="S32" s="49" t="n">
        <v>0</v>
      </c>
      <c r="T32" s="49" t="n">
        <v>0</v>
      </c>
      <c r="U32" s="48" t="n">
        <v>0</v>
      </c>
      <c r="V32" s="48" t="n">
        <v>0</v>
      </c>
      <c r="W32" s="47" t="n">
        <f aca="false">IFERROR(((S32*N29)+(T32*O29)+(U32*P29)+(V32*Q29))/(N29+O29+P29+Q29),0)</f>
        <v>0</v>
      </c>
      <c r="X32" s="48" t="n">
        <v>0</v>
      </c>
      <c r="Y32" s="48" t="n">
        <v>0</v>
      </c>
      <c r="Z32" s="48" t="n">
        <v>0</v>
      </c>
      <c r="AA32" s="48" t="n">
        <v>0</v>
      </c>
      <c r="AB32" s="47" t="n">
        <f aca="false">IFERROR(((X32*S29)+(Y32*T29)+(Z32*U29)+(AA32*V29))/(S29+T29+U29+V29),0)</f>
        <v>0</v>
      </c>
      <c r="AC32" s="48" t="n">
        <v>0</v>
      </c>
      <c r="AD32" s="48" t="n">
        <v>0</v>
      </c>
      <c r="AE32" s="48" t="n">
        <v>0</v>
      </c>
      <c r="AF32" s="48" t="n">
        <v>0</v>
      </c>
      <c r="AG32" s="47" t="n">
        <f aca="false">IFERROR(((AC32*X29)+(AD32*Y29)+(AE32*Z29)+(AF32*AA29))/(X29+Y29+Z29+AA29),0)</f>
        <v>0</v>
      </c>
    </row>
    <row r="33" customFormat="false" ht="15" hidden="false" customHeight="false" outlineLevel="0" collapsed="false">
      <c r="C33" s="22" t="s">
        <v>35</v>
      </c>
      <c r="H33" s="25"/>
      <c r="I33" s="49" t="n">
        <v>0.009</v>
      </c>
      <c r="J33" s="49" t="n">
        <v>-0.014</v>
      </c>
      <c r="K33" s="49" t="n">
        <v>-0.016</v>
      </c>
      <c r="L33" s="49" t="n">
        <v>0.002</v>
      </c>
      <c r="M33" s="47" t="n">
        <f aca="false">IFERROR(((I33*D29)+(J33*E29)+(K33*F29)+(L33*G29))/(D29+E29+F29+G29),0)</f>
        <v>-0.00448736228127025</v>
      </c>
      <c r="N33" s="49" t="n">
        <v>0.002</v>
      </c>
      <c r="O33" s="49" t="n">
        <v>-0.016</v>
      </c>
      <c r="P33" s="49" t="n">
        <v>0.023</v>
      </c>
      <c r="Q33" s="49" t="n">
        <v>0.011</v>
      </c>
      <c r="R33" s="47" t="n">
        <f aca="false">IFERROR(((N33*I29)+(O33*J29)+(P33*K29)+(Q33*L29))/(I29+J29+K29+L29),0)</f>
        <v>0.00495986622073579</v>
      </c>
      <c r="S33" s="49" t="n">
        <v>0.046</v>
      </c>
      <c r="T33" s="49" t="n">
        <v>0.04</v>
      </c>
      <c r="U33" s="48" t="n">
        <v>0</v>
      </c>
      <c r="V33" s="48" t="n">
        <v>0</v>
      </c>
      <c r="W33" s="47" t="n">
        <f aca="false">IFERROR(((S33*N29)+(T33*O29)+(U33*P29)+(V33*Q29))/(N29+O29+P29+Q29),0)</f>
        <v>0.0206239590006406</v>
      </c>
      <c r="X33" s="48" t="n">
        <v>0</v>
      </c>
      <c r="Y33" s="48" t="n">
        <v>0</v>
      </c>
      <c r="Z33" s="48" t="n">
        <v>0</v>
      </c>
      <c r="AA33" s="48" t="n">
        <v>0</v>
      </c>
      <c r="AB33" s="47" t="n">
        <f aca="false">IFERROR(((X33*S29)+(Y33*T29)+(Z33*U29)+(AA33*V29))/(S29+T29+U29+V29),0)</f>
        <v>0</v>
      </c>
      <c r="AC33" s="48" t="n">
        <v>0</v>
      </c>
      <c r="AD33" s="48" t="n">
        <v>0</v>
      </c>
      <c r="AE33" s="48" t="n">
        <v>0</v>
      </c>
      <c r="AF33" s="48" t="n">
        <v>0</v>
      </c>
      <c r="AG33" s="47" t="n">
        <f aca="false">IFERROR(((AC33*X29)+(AD33*Y29)+(AE33*Z29)+(AF33*AA29))/(X29+Y29+Z29+AA29),0)</f>
        <v>0</v>
      </c>
    </row>
    <row r="34" customFormat="false" ht="15" hidden="false" customHeight="false" outlineLevel="0" collapsed="false">
      <c r="A34" s="22" t="s">
        <v>82</v>
      </c>
      <c r="C34" s="4" t="s">
        <v>44</v>
      </c>
      <c r="D34" s="35" t="n">
        <v>239</v>
      </c>
      <c r="E34" s="35" t="n">
        <v>250</v>
      </c>
      <c r="F34" s="35" t="n">
        <v>241</v>
      </c>
      <c r="G34" s="35" t="n">
        <v>236</v>
      </c>
      <c r="H34" s="44" t="n">
        <f aca="false">D34+E34+F34+G34</f>
        <v>966</v>
      </c>
      <c r="I34" s="35" t="n">
        <v>228</v>
      </c>
      <c r="J34" s="35" t="n">
        <v>239</v>
      </c>
      <c r="K34" s="35" t="n">
        <v>242</v>
      </c>
      <c r="L34" s="35" t="n">
        <v>255</v>
      </c>
      <c r="M34" s="44" t="n">
        <f aca="false">I34+J34+K34+L34</f>
        <v>964</v>
      </c>
      <c r="N34" s="35" t="n">
        <v>240</v>
      </c>
      <c r="O34" s="35" t="n">
        <v>255</v>
      </c>
      <c r="P34" s="35" t="n">
        <v>258</v>
      </c>
      <c r="Q34" s="35" t="n">
        <v>276</v>
      </c>
      <c r="R34" s="44" t="n">
        <f aca="false">N34+O34+P34+Q34</f>
        <v>1029</v>
      </c>
      <c r="S34" s="35" t="n">
        <v>263</v>
      </c>
      <c r="T34" s="35" t="n">
        <v>295</v>
      </c>
      <c r="U34" s="45" t="n">
        <f aca="false">P34*(1+U36+U37+U38)</f>
        <v>268.32</v>
      </c>
      <c r="V34" s="45" t="n">
        <f aca="false">Q34*(1+V36+V37+V38)</f>
        <v>287.04</v>
      </c>
      <c r="W34" s="44" t="n">
        <f aca="false">S34+T34+U34+V34</f>
        <v>1113.36</v>
      </c>
      <c r="X34" s="45" t="n">
        <f aca="false">S34*(1+X36+X37+X38)</f>
        <v>273.52</v>
      </c>
      <c r="Y34" s="45" t="n">
        <f aca="false">T34*(1+Y36+Y37+Y38)</f>
        <v>306.8</v>
      </c>
      <c r="Z34" s="45" t="n">
        <f aca="false">U34*(1+Z36+Z37+Z38)</f>
        <v>279.0528</v>
      </c>
      <c r="AA34" s="45" t="n">
        <f aca="false">V34*(1+AA36+AA37+AA38)</f>
        <v>298.5216</v>
      </c>
      <c r="AB34" s="44" t="n">
        <f aca="false">X34+Y34+Z34+AA34</f>
        <v>1157.8944</v>
      </c>
      <c r="AC34" s="45" t="n">
        <f aca="false">X34*(1+AC36+AC37+AC38)</f>
        <v>284.4608</v>
      </c>
      <c r="AD34" s="45" t="n">
        <f aca="false">Y34*(1+AD36+AD37+AD38)</f>
        <v>319.072</v>
      </c>
      <c r="AE34" s="45" t="n">
        <f aca="false">Z34*(1+AE36+AE37+AE38)</f>
        <v>290.214912</v>
      </c>
      <c r="AF34" s="45" t="n">
        <f aca="false">AA34*(1+AF36+AF37+AF38)</f>
        <v>310.462464</v>
      </c>
      <c r="AG34" s="44" t="n">
        <f aca="false">AC34+AD34+AE34+AF34</f>
        <v>1204.210176</v>
      </c>
    </row>
    <row r="35" customFormat="false" ht="15" hidden="false" customHeight="false" outlineLevel="0" collapsed="false">
      <c r="C35" s="22" t="s">
        <v>32</v>
      </c>
      <c r="H35" s="25"/>
      <c r="I35" s="46" t="n">
        <f aca="false">IFERROR(I34/D34-1,0)</f>
        <v>-0.0460251046025104</v>
      </c>
      <c r="J35" s="46" t="n">
        <f aca="false">IFERROR(J34/E34-1,0)</f>
        <v>-0.044</v>
      </c>
      <c r="K35" s="46" t="n">
        <f aca="false">IFERROR(K34/F34-1,0)</f>
        <v>0.00414937759336098</v>
      </c>
      <c r="L35" s="46" t="n">
        <f aca="false">IFERROR(L34/G34-1,0)</f>
        <v>0.0805084745762712</v>
      </c>
      <c r="M35" s="47" t="n">
        <f aca="false">IFERROR(M34/H34-1,0)</f>
        <v>-0.00207039337474124</v>
      </c>
      <c r="N35" s="46" t="n">
        <f aca="false">IFERROR(N34/I34-1,0)</f>
        <v>0.0526315789473684</v>
      </c>
      <c r="O35" s="46" t="n">
        <f aca="false">IFERROR(O34/J34-1,0)</f>
        <v>0.0669456066945606</v>
      </c>
      <c r="P35" s="46" t="n">
        <f aca="false">IFERROR(P34/K34-1,0)</f>
        <v>0.0661157024793388</v>
      </c>
      <c r="Q35" s="46" t="n">
        <f aca="false">IFERROR(Q34/L34-1,0)</f>
        <v>0.0823529411764705</v>
      </c>
      <c r="R35" s="47" t="n">
        <f aca="false">IFERROR(R34/M34-1,0)</f>
        <v>0.0674273858921162</v>
      </c>
      <c r="S35" s="46" t="n">
        <f aca="false">IFERROR(S34/N34-1,0)</f>
        <v>0.0958333333333334</v>
      </c>
      <c r="T35" s="46" t="n">
        <f aca="false">IFERROR(T34/O34-1,0)</f>
        <v>0.156862745098039</v>
      </c>
      <c r="U35" s="46" t="n">
        <f aca="false">U36+U37+U38</f>
        <v>0.04</v>
      </c>
      <c r="V35" s="46" t="n">
        <f aca="false">V36+V37+V38</f>
        <v>0.04</v>
      </c>
      <c r="W35" s="47" t="n">
        <f aca="false">IFERROR(W34/R34-1,0)</f>
        <v>0.0819825072886296</v>
      </c>
      <c r="X35" s="46" t="n">
        <f aca="false">X36+X37+X38</f>
        <v>0.04</v>
      </c>
      <c r="Y35" s="46" t="n">
        <f aca="false">Y36+Y37+Y38</f>
        <v>0.04</v>
      </c>
      <c r="Z35" s="46" t="n">
        <f aca="false">Z36+Z37+Z38</f>
        <v>0.04</v>
      </c>
      <c r="AA35" s="46" t="n">
        <f aca="false">AA36+AA37+AA38</f>
        <v>0.04</v>
      </c>
      <c r="AB35" s="47" t="n">
        <f aca="false">IFERROR(AB34/W34-1,0)</f>
        <v>0.04</v>
      </c>
      <c r="AC35" s="46" t="n">
        <f aca="false">AC36+AC37+AC38</f>
        <v>0.04</v>
      </c>
      <c r="AD35" s="46" t="n">
        <f aca="false">AD36+AD37+AD38</f>
        <v>0.04</v>
      </c>
      <c r="AE35" s="46" t="n">
        <f aca="false">AE36+AE37+AE38</f>
        <v>0.04</v>
      </c>
      <c r="AF35" s="46" t="n">
        <f aca="false">AF36+AF37+AF38</f>
        <v>0.04</v>
      </c>
      <c r="AG35" s="47" t="n">
        <f aca="false">IFERROR(AG34/AB34-1,0)</f>
        <v>0.04</v>
      </c>
    </row>
    <row r="36" customFormat="false" ht="15" hidden="false" customHeight="false" outlineLevel="0" collapsed="false">
      <c r="C36" s="22" t="s">
        <v>33</v>
      </c>
      <c r="D36" s="46" t="n">
        <f aca="false">IFERROR(D35-D37-D38,0)</f>
        <v>0</v>
      </c>
      <c r="E36" s="46" t="n">
        <f aca="false">IFERROR(E35-E37-E38,0)</f>
        <v>0</v>
      </c>
      <c r="F36" s="46" t="n">
        <f aca="false">IFERROR(F35-F37-F38,0)</f>
        <v>0</v>
      </c>
      <c r="G36" s="46" t="n">
        <f aca="false">IFERROR(G35-G37-G38,0)</f>
        <v>0</v>
      </c>
      <c r="H36" s="25"/>
      <c r="I36" s="46" t="n">
        <f aca="false">IFERROR(I35-I37-I38,0)</f>
        <v>-0.0550251046025104</v>
      </c>
      <c r="J36" s="46" t="n">
        <f aca="false">IFERROR(J35-J37-J38,0)</f>
        <v>-0.03</v>
      </c>
      <c r="K36" s="46" t="n">
        <f aca="false">IFERROR(K35-K37-K38,0)</f>
        <v>0.020149377593361</v>
      </c>
      <c r="L36" s="46" t="n">
        <f aca="false">IFERROR(L35-L37-L38,0)</f>
        <v>0.0785084745762712</v>
      </c>
      <c r="M36" s="47" t="n">
        <f aca="false">IFERROR(((I36*D34)+(J36*E34)+(K36*F34)+(L36*G34))/(D34+E34+F34+G34),0)</f>
        <v>0.00282919254658385</v>
      </c>
      <c r="N36" s="46" t="n">
        <f aca="false">IFERROR(N35-N37-N38,0)</f>
        <v>0.0506315789473684</v>
      </c>
      <c r="O36" s="46" t="n">
        <f aca="false">IFERROR(O35-O37-O38,0)</f>
        <v>0.0829456066945606</v>
      </c>
      <c r="P36" s="46" t="n">
        <f aca="false">IFERROR(P35-P37-P38,0)</f>
        <v>0.0431157024793388</v>
      </c>
      <c r="Q36" s="46" t="n">
        <f aca="false">IFERROR(Q35-Q37-Q38,0)</f>
        <v>0.0713529411764705</v>
      </c>
      <c r="R36" s="47" t="n">
        <f aca="false">IFERROR(((N36*I34)+(O36*J34)+(P36*K34)+(Q36*L34))/(I34+J34+K34+L34),0)</f>
        <v>0.0622375518672199</v>
      </c>
      <c r="S36" s="46" t="n">
        <f aca="false">IFERROR(S35-S37-S38,0)</f>
        <v>0.0498333333333334</v>
      </c>
      <c r="T36" s="46" t="n">
        <f aca="false">IFERROR(T35-T37-T38,0)</f>
        <v>0.116862745098039</v>
      </c>
      <c r="U36" s="48" t="n">
        <v>0.04</v>
      </c>
      <c r="V36" s="48" t="n">
        <v>0.04</v>
      </c>
      <c r="W36" s="47" t="n">
        <f aca="false">IFERROR(((S36*N34)+(T36*O34)+(U36*P34)+(V36*Q34))/(N34+O34+P34+Q34),0)</f>
        <v>0.0613411078717202</v>
      </c>
      <c r="X36" s="48" t="n">
        <v>0.04</v>
      </c>
      <c r="Y36" s="48" t="n">
        <v>0.04</v>
      </c>
      <c r="Z36" s="48" t="n">
        <v>0.04</v>
      </c>
      <c r="AA36" s="48" t="n">
        <v>0.04</v>
      </c>
      <c r="AB36" s="47" t="n">
        <f aca="false">IFERROR(((X36*S34)+(Y36*T34)+(Z36*U34)+(AA36*V34))/(S34+T34+U34+V34),0)</f>
        <v>0.04</v>
      </c>
      <c r="AC36" s="48" t="n">
        <v>0.04</v>
      </c>
      <c r="AD36" s="48" t="n">
        <v>0.04</v>
      </c>
      <c r="AE36" s="48" t="n">
        <v>0.04</v>
      </c>
      <c r="AF36" s="48" t="n">
        <v>0.04</v>
      </c>
      <c r="AG36" s="47" t="n">
        <f aca="false">IFERROR(((AC36*X34)+(AD36*Y34)+(AE36*Z34)+(AF36*AA34))/(X34+Y34+Z34+AA34),0)</f>
        <v>0.04</v>
      </c>
    </row>
    <row r="37" customFormat="false" ht="15" hidden="false" customHeight="false" outlineLevel="0" collapsed="false">
      <c r="C37" s="22" t="s">
        <v>34</v>
      </c>
      <c r="D37" s="49" t="n">
        <v>0</v>
      </c>
      <c r="E37" s="49" t="n">
        <v>0</v>
      </c>
      <c r="F37" s="49" t="n">
        <v>0</v>
      </c>
      <c r="G37" s="49" t="n">
        <v>0</v>
      </c>
      <c r="H37" s="25"/>
      <c r="I37" s="49" t="n">
        <v>0</v>
      </c>
      <c r="J37" s="49" t="n">
        <v>0</v>
      </c>
      <c r="K37" s="49" t="n">
        <v>0</v>
      </c>
      <c r="L37" s="49" t="n">
        <v>0</v>
      </c>
      <c r="M37" s="47" t="n">
        <f aca="false">IFERROR(((I37*D34)+(J37*E34)+(K37*F34)+(L37*G34))/(D34+E34+F34+G34),0)</f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7" t="n">
        <f aca="false">IFERROR(((N37*I34)+(O37*J34)+(P37*K34)+(Q37*L34))/(I34+J34+K34+L34),0)</f>
        <v>0</v>
      </c>
      <c r="S37" s="49" t="n">
        <v>0</v>
      </c>
      <c r="T37" s="49" t="n">
        <v>0</v>
      </c>
      <c r="U37" s="48" t="n">
        <v>0</v>
      </c>
      <c r="V37" s="48" t="n">
        <v>0</v>
      </c>
      <c r="W37" s="47" t="n">
        <f aca="false">IFERROR(((S37*N34)+(T37*O34)+(U37*P34)+(V37*Q34))/(N34+O34+P34+Q34),0)</f>
        <v>0</v>
      </c>
      <c r="X37" s="48" t="n">
        <v>0</v>
      </c>
      <c r="Y37" s="48" t="n">
        <v>0</v>
      </c>
      <c r="Z37" s="48" t="n">
        <v>0</v>
      </c>
      <c r="AA37" s="48" t="n">
        <v>0</v>
      </c>
      <c r="AB37" s="47" t="n">
        <f aca="false">IFERROR(((X37*S34)+(Y37*T34)+(Z37*U34)+(AA37*V34))/(S34+T34+U34+V34),0)</f>
        <v>0</v>
      </c>
      <c r="AC37" s="48" t="n">
        <v>0</v>
      </c>
      <c r="AD37" s="48" t="n">
        <v>0</v>
      </c>
      <c r="AE37" s="48" t="n">
        <v>0</v>
      </c>
      <c r="AF37" s="48" t="n">
        <v>0</v>
      </c>
      <c r="AG37" s="47" t="n">
        <f aca="false">IFERROR(((AC37*X34)+(AD37*Y34)+(AE37*Z34)+(AF37*AA34))/(X34+Y34+Z34+AA34),0)</f>
        <v>0</v>
      </c>
    </row>
    <row r="38" customFormat="false" ht="15" hidden="false" customHeight="false" outlineLevel="0" collapsed="false">
      <c r="C38" s="22" t="s">
        <v>35</v>
      </c>
      <c r="H38" s="25"/>
      <c r="I38" s="49" t="n">
        <v>0.009</v>
      </c>
      <c r="J38" s="49" t="n">
        <v>-0.014</v>
      </c>
      <c r="K38" s="49" t="n">
        <v>-0.016</v>
      </c>
      <c r="L38" s="49" t="n">
        <v>0.002</v>
      </c>
      <c r="M38" s="47" t="n">
        <f aca="false">IFERROR(((I38*D34)+(J38*E34)+(K38*F34)+(L38*G34))/(D34+E34+F34+G34),0)</f>
        <v>-0.00489958592132505</v>
      </c>
      <c r="N38" s="49" t="n">
        <v>0.002</v>
      </c>
      <c r="O38" s="49" t="n">
        <v>-0.016</v>
      </c>
      <c r="P38" s="49" t="n">
        <v>0.023</v>
      </c>
      <c r="Q38" s="49" t="n">
        <v>0.011</v>
      </c>
      <c r="R38" s="47" t="n">
        <f aca="false">IFERROR(((N38*I34)+(O38*J34)+(P38*K34)+(Q38*L34))/(I34+J34+K34+L34),0)</f>
        <v>0.00518983402489627</v>
      </c>
      <c r="S38" s="49" t="n">
        <v>0.046</v>
      </c>
      <c r="T38" s="49" t="n">
        <v>0.04</v>
      </c>
      <c r="U38" s="48" t="n">
        <v>0</v>
      </c>
      <c r="V38" s="48" t="n">
        <v>0</v>
      </c>
      <c r="W38" s="47" t="n">
        <f aca="false">IFERROR(((S38*N34)+(T38*O34)+(U38*P34)+(V38*Q34))/(N34+O34+P34+Q34),0)</f>
        <v>0.0206413994169096</v>
      </c>
      <c r="X38" s="48" t="n">
        <v>0</v>
      </c>
      <c r="Y38" s="48" t="n">
        <v>0</v>
      </c>
      <c r="Z38" s="48" t="n">
        <v>0</v>
      </c>
      <c r="AA38" s="48" t="n">
        <v>0</v>
      </c>
      <c r="AB38" s="47" t="n">
        <f aca="false">IFERROR(((X38*S34)+(Y38*T34)+(Z38*U34)+(AA38*V34))/(S34+T34+U34+V34),0)</f>
        <v>0</v>
      </c>
      <c r="AC38" s="48" t="n">
        <v>0</v>
      </c>
      <c r="AD38" s="48" t="n">
        <v>0</v>
      </c>
      <c r="AE38" s="48" t="n">
        <v>0</v>
      </c>
      <c r="AF38" s="48" t="n">
        <v>0</v>
      </c>
      <c r="AG38" s="47" t="n">
        <f aca="false">IFERROR(((AC38*X34)+(AD38*Y34)+(AE38*Z34)+(AF38*AA34))/(X34+Y34+Z34+AA34),0)</f>
        <v>0</v>
      </c>
    </row>
    <row r="39" customFormat="false" ht="15" hidden="false" customHeight="false" outlineLevel="0" collapsed="false">
      <c r="A39" s="22" t="s">
        <v>82</v>
      </c>
      <c r="C39" s="4" t="s">
        <v>45</v>
      </c>
      <c r="D39" s="35" t="n">
        <v>160</v>
      </c>
      <c r="E39" s="35" t="n">
        <v>161</v>
      </c>
      <c r="F39" s="35" t="n">
        <v>151</v>
      </c>
      <c r="G39" s="35" t="n">
        <v>156</v>
      </c>
      <c r="H39" s="44" t="n">
        <f aca="false">D39+E39+F39+G39</f>
        <v>628</v>
      </c>
      <c r="I39" s="35" t="n">
        <v>157</v>
      </c>
      <c r="J39" s="35" t="n">
        <v>139</v>
      </c>
      <c r="K39" s="35" t="n">
        <v>144</v>
      </c>
      <c r="L39" s="35" t="n">
        <v>152</v>
      </c>
      <c r="M39" s="44" t="n">
        <f aca="false">I39+J39+K39+L39</f>
        <v>592</v>
      </c>
      <c r="N39" s="35" t="n">
        <v>168</v>
      </c>
      <c r="O39" s="35" t="n">
        <v>147</v>
      </c>
      <c r="P39" s="35" t="n">
        <v>157</v>
      </c>
      <c r="Q39" s="35" t="n">
        <v>165</v>
      </c>
      <c r="R39" s="44" t="n">
        <f aca="false">N39+O39+P39+Q39</f>
        <v>637</v>
      </c>
      <c r="S39" s="35" t="n">
        <v>166</v>
      </c>
      <c r="T39" s="35" t="n">
        <v>147</v>
      </c>
      <c r="U39" s="45" t="n">
        <f aca="false">P39*(1+U41+U42+U43)</f>
        <v>163.28</v>
      </c>
      <c r="V39" s="45" t="n">
        <f aca="false">Q39*(1+V41+V42+V43)</f>
        <v>171.6</v>
      </c>
      <c r="W39" s="44" t="n">
        <f aca="false">S39+T39+U39+V39</f>
        <v>647.88</v>
      </c>
      <c r="X39" s="45" t="n">
        <f aca="false">S39*(1+X41+X42+X43)</f>
        <v>172.64</v>
      </c>
      <c r="Y39" s="45" t="n">
        <f aca="false">T39*(1+Y41+Y42+Y43)</f>
        <v>152.88</v>
      </c>
      <c r="Z39" s="45" t="n">
        <f aca="false">U39*(1+Z41+Z42+Z43)</f>
        <v>169.8112</v>
      </c>
      <c r="AA39" s="45" t="n">
        <f aca="false">V39*(1+AA41+AA42+AA43)</f>
        <v>178.464</v>
      </c>
      <c r="AB39" s="44" t="n">
        <f aca="false">X39+Y39+Z39+AA39</f>
        <v>673.7952</v>
      </c>
      <c r="AC39" s="45" t="n">
        <f aca="false">X39*(1+AC41+AC42+AC43)</f>
        <v>179.5456</v>
      </c>
      <c r="AD39" s="45" t="n">
        <f aca="false">Y39*(1+AD41+AD42+AD43)</f>
        <v>158.9952</v>
      </c>
      <c r="AE39" s="45" t="n">
        <f aca="false">Z39*(1+AE41+AE42+AE43)</f>
        <v>176.603648</v>
      </c>
      <c r="AF39" s="45" t="n">
        <f aca="false">AA39*(1+AF41+AF42+AF43)</f>
        <v>185.60256</v>
      </c>
      <c r="AG39" s="44" t="n">
        <f aca="false">AC39+AD39+AE39+AF39</f>
        <v>700.747008</v>
      </c>
    </row>
    <row r="40" customFormat="false" ht="15" hidden="false" customHeight="false" outlineLevel="0" collapsed="false">
      <c r="C40" s="22" t="s">
        <v>32</v>
      </c>
      <c r="H40" s="25"/>
      <c r="I40" s="46" t="n">
        <f aca="false">IFERROR(I39/D39-1,0)</f>
        <v>-0.01875</v>
      </c>
      <c r="J40" s="46" t="n">
        <f aca="false">IFERROR(J39/E39-1,0)</f>
        <v>-0.136645962732919</v>
      </c>
      <c r="K40" s="46" t="n">
        <f aca="false">IFERROR(K39/F39-1,0)</f>
        <v>-0.0463576158940398</v>
      </c>
      <c r="L40" s="46" t="n">
        <f aca="false">IFERROR(L39/G39-1,0)</f>
        <v>-0.0256410256410257</v>
      </c>
      <c r="M40" s="47" t="n">
        <f aca="false">IFERROR(M39/H39-1,0)</f>
        <v>-0.0573248407643312</v>
      </c>
      <c r="N40" s="46" t="n">
        <f aca="false">IFERROR(N39/I39-1,0)</f>
        <v>0.0700636942675159</v>
      </c>
      <c r="O40" s="46" t="n">
        <f aca="false">IFERROR(O39/J39-1,0)</f>
        <v>0.0575539568345325</v>
      </c>
      <c r="P40" s="46" t="n">
        <f aca="false">IFERROR(P39/K39-1,0)</f>
        <v>0.0902777777777777</v>
      </c>
      <c r="Q40" s="46" t="n">
        <f aca="false">IFERROR(Q39/L39-1,0)</f>
        <v>0.0855263157894737</v>
      </c>
      <c r="R40" s="47" t="n">
        <f aca="false">IFERROR(R39/M39-1,0)</f>
        <v>0.0760135135135136</v>
      </c>
      <c r="S40" s="46" t="n">
        <f aca="false">IFERROR(S39/N39-1,0)</f>
        <v>-0.0119047619047619</v>
      </c>
      <c r="T40" s="46" t="n">
        <f aca="false">IFERROR(T39/O39-1,0)</f>
        <v>0</v>
      </c>
      <c r="U40" s="46" t="n">
        <f aca="false">U41+U42+U43</f>
        <v>0.04</v>
      </c>
      <c r="V40" s="46" t="n">
        <f aca="false">V41+V42+V43</f>
        <v>0.04</v>
      </c>
      <c r="W40" s="47" t="n">
        <f aca="false">IFERROR(W39/R39-1,0)</f>
        <v>0.0170800627943486</v>
      </c>
      <c r="X40" s="46" t="n">
        <f aca="false">X41+X42+X43</f>
        <v>0.04</v>
      </c>
      <c r="Y40" s="46" t="n">
        <f aca="false">Y41+Y42+Y43</f>
        <v>0.04</v>
      </c>
      <c r="Z40" s="46" t="n">
        <f aca="false">Z41+Z42+Z43</f>
        <v>0.04</v>
      </c>
      <c r="AA40" s="46" t="n">
        <f aca="false">AA41+AA42+AA43</f>
        <v>0.04</v>
      </c>
      <c r="AB40" s="47" t="n">
        <f aca="false">IFERROR(AB39/W39-1,0)</f>
        <v>0.04</v>
      </c>
      <c r="AC40" s="46" t="n">
        <f aca="false">AC41+AC42+AC43</f>
        <v>0.04</v>
      </c>
      <c r="AD40" s="46" t="n">
        <f aca="false">AD41+AD42+AD43</f>
        <v>0.04</v>
      </c>
      <c r="AE40" s="46" t="n">
        <f aca="false">AE41+AE42+AE43</f>
        <v>0.04</v>
      </c>
      <c r="AF40" s="46" t="n">
        <f aca="false">AF41+AF42+AF43</f>
        <v>0.04</v>
      </c>
      <c r="AG40" s="47" t="n">
        <f aca="false">IFERROR(AG39/AB39-1,0)</f>
        <v>0.04</v>
      </c>
    </row>
    <row r="41" customFormat="false" ht="15" hidden="false" customHeight="false" outlineLevel="0" collapsed="false">
      <c r="C41" s="22" t="s">
        <v>33</v>
      </c>
      <c r="D41" s="46" t="n">
        <f aca="false">IFERROR(D40-D42-D43,0)</f>
        <v>0</v>
      </c>
      <c r="E41" s="46" t="n">
        <f aca="false">IFERROR(E40-E42-E43,0)</f>
        <v>0</v>
      </c>
      <c r="F41" s="46" t="n">
        <f aca="false">IFERROR(F40-F42-F43,0)</f>
        <v>0</v>
      </c>
      <c r="G41" s="46" t="n">
        <f aca="false">IFERROR(G40-G42-G43,0)</f>
        <v>0</v>
      </c>
      <c r="H41" s="25"/>
      <c r="I41" s="46" t="n">
        <f aca="false">IFERROR(I40-I42-I43,0)</f>
        <v>-0.02775</v>
      </c>
      <c r="J41" s="46" t="n">
        <f aca="false">IFERROR(J40-J42-J43,0)</f>
        <v>-0.122645962732919</v>
      </c>
      <c r="K41" s="46" t="n">
        <f aca="false">IFERROR(K40-K42-K43,0)</f>
        <v>-0.0303576158940398</v>
      </c>
      <c r="L41" s="46" t="n">
        <f aca="false">IFERROR(L40-L42-L43,0)</f>
        <v>-0.0276410256410257</v>
      </c>
      <c r="M41" s="47" t="n">
        <f aca="false">IFERROR(((I41*D39)+(J41*E39)+(K41*F39)+(L41*G39))/(D39+E39+F39+G39),0)</f>
        <v>-0.0526783439490446</v>
      </c>
      <c r="N41" s="46" t="n">
        <f aca="false">IFERROR(N40-N42-N43,0)</f>
        <v>0.0680636942675159</v>
      </c>
      <c r="O41" s="46" t="n">
        <f aca="false">IFERROR(O40-O42-O43,0)</f>
        <v>0.0735539568345325</v>
      </c>
      <c r="P41" s="46" t="n">
        <f aca="false">IFERROR(P40-P42-P43,0)</f>
        <v>0.0672777777777777</v>
      </c>
      <c r="Q41" s="46" t="n">
        <f aca="false">IFERROR(Q40-Q42-Q43,0)</f>
        <v>0.0745263157894737</v>
      </c>
      <c r="R41" s="47" t="n">
        <f aca="false">IFERROR(((N41*I39)+(O41*J39)+(P41*K39)+(Q41*L39))/(I39+J39+K39+L39),0)</f>
        <v>0.0708209459459459</v>
      </c>
      <c r="S41" s="46" t="n">
        <f aca="false">IFERROR(S40-S42-S43,0)</f>
        <v>-0.0579047619047619</v>
      </c>
      <c r="T41" s="46" t="n">
        <f aca="false">IFERROR(T40-T42-T43,0)</f>
        <v>-0.04</v>
      </c>
      <c r="U41" s="48" t="n">
        <v>0.04</v>
      </c>
      <c r="V41" s="48" t="n">
        <v>0.04</v>
      </c>
      <c r="W41" s="47" t="n">
        <f aca="false">IFERROR(((S41*N39)+(T41*O39)+(U41*P39)+(V41*Q39))/(N39+O39+P39+Q39),0)</f>
        <v>-0.00428257456828884</v>
      </c>
      <c r="X41" s="48" t="n">
        <v>0.04</v>
      </c>
      <c r="Y41" s="48" t="n">
        <v>0.04</v>
      </c>
      <c r="Z41" s="48" t="n">
        <v>0.04</v>
      </c>
      <c r="AA41" s="48" t="n">
        <v>0.04</v>
      </c>
      <c r="AB41" s="47" t="n">
        <f aca="false">IFERROR(((X41*S39)+(Y41*T39)+(Z41*U39)+(AA41*V39))/(S39+T39+U39+V39),0)</f>
        <v>0.04</v>
      </c>
      <c r="AC41" s="48" t="n">
        <v>0.04</v>
      </c>
      <c r="AD41" s="48" t="n">
        <v>0.04</v>
      </c>
      <c r="AE41" s="48" t="n">
        <v>0.04</v>
      </c>
      <c r="AF41" s="48" t="n">
        <v>0.04</v>
      </c>
      <c r="AG41" s="47" t="n">
        <f aca="false">IFERROR(((AC41*X39)+(AD41*Y39)+(AE41*Z39)+(AF41*AA39))/(X39+Y39+Z39+AA39),0)</f>
        <v>0.04</v>
      </c>
    </row>
    <row r="42" customFormat="false" ht="15" hidden="false" customHeight="false" outlineLevel="0" collapsed="false">
      <c r="C42" s="22" t="s">
        <v>34</v>
      </c>
      <c r="D42" s="49" t="n">
        <v>0</v>
      </c>
      <c r="E42" s="49" t="n">
        <v>0</v>
      </c>
      <c r="F42" s="49" t="n">
        <v>0</v>
      </c>
      <c r="G42" s="49" t="n">
        <v>0</v>
      </c>
      <c r="H42" s="25"/>
      <c r="I42" s="49" t="n">
        <v>0</v>
      </c>
      <c r="J42" s="49" t="n">
        <v>0</v>
      </c>
      <c r="K42" s="49" t="n">
        <v>0</v>
      </c>
      <c r="L42" s="49" t="n">
        <v>0</v>
      </c>
      <c r="M42" s="47" t="n">
        <f aca="false">IFERROR(((I42*D39)+(J42*E39)+(K42*F39)+(L42*G39))/(D39+E39+F39+G39),0)</f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7" t="n">
        <f aca="false">IFERROR(((N42*I39)+(O42*J39)+(P42*K39)+(Q42*L39))/(I39+J39+K39+L39),0)</f>
        <v>0</v>
      </c>
      <c r="S42" s="49" t="n">
        <v>0</v>
      </c>
      <c r="T42" s="49" t="n">
        <v>0</v>
      </c>
      <c r="U42" s="48" t="n">
        <v>0</v>
      </c>
      <c r="V42" s="48" t="n">
        <v>0</v>
      </c>
      <c r="W42" s="47" t="n">
        <f aca="false">IFERROR(((S42*N39)+(T42*O39)+(U42*P39)+(V42*Q39))/(N39+O39+P39+Q39),0)</f>
        <v>0</v>
      </c>
      <c r="X42" s="48" t="n">
        <v>0</v>
      </c>
      <c r="Y42" s="48" t="n">
        <v>0</v>
      </c>
      <c r="Z42" s="48" t="n">
        <v>0</v>
      </c>
      <c r="AA42" s="48" t="n">
        <v>0</v>
      </c>
      <c r="AB42" s="47" t="n">
        <f aca="false">IFERROR(((X42*S39)+(Y42*T39)+(Z42*U39)+(AA42*V39))/(S39+T39+U39+V39),0)</f>
        <v>0</v>
      </c>
      <c r="AC42" s="48" t="n">
        <v>0</v>
      </c>
      <c r="AD42" s="48" t="n">
        <v>0</v>
      </c>
      <c r="AE42" s="48" t="n">
        <v>0</v>
      </c>
      <c r="AF42" s="48" t="n">
        <v>0</v>
      </c>
      <c r="AG42" s="47" t="n">
        <f aca="false">IFERROR(((AC42*X39)+(AD42*Y39)+(AE42*Z39)+(AF42*AA39))/(X39+Y39+Z39+AA39),0)</f>
        <v>0</v>
      </c>
    </row>
    <row r="43" customFormat="false" ht="15" hidden="false" customHeight="false" outlineLevel="0" collapsed="false">
      <c r="C43" s="22" t="s">
        <v>35</v>
      </c>
      <c r="H43" s="25"/>
      <c r="I43" s="49" t="n">
        <v>0.009</v>
      </c>
      <c r="J43" s="49" t="n">
        <v>-0.014</v>
      </c>
      <c r="K43" s="49" t="n">
        <v>-0.016</v>
      </c>
      <c r="L43" s="49" t="n">
        <v>0.002</v>
      </c>
      <c r="M43" s="47" t="n">
        <f aca="false">IFERROR(((I43*D39)+(J43*E39)+(K43*F39)+(L43*G39))/(D39+E39+F39+G39),0)</f>
        <v>-0.00464649681528663</v>
      </c>
      <c r="N43" s="49" t="n">
        <v>0.002</v>
      </c>
      <c r="O43" s="49" t="n">
        <v>-0.016</v>
      </c>
      <c r="P43" s="49" t="n">
        <v>0.023</v>
      </c>
      <c r="Q43" s="49" t="n">
        <v>0.011</v>
      </c>
      <c r="R43" s="47" t="n">
        <f aca="false">IFERROR(((N43*I39)+(O43*J39)+(P43*K39)+(Q43*L39))/(I39+J39+K39+L39),0)</f>
        <v>0.00519256756756757</v>
      </c>
      <c r="S43" s="49" t="n">
        <v>0.046</v>
      </c>
      <c r="T43" s="49" t="n">
        <v>0.04</v>
      </c>
      <c r="U43" s="48" t="n">
        <v>0</v>
      </c>
      <c r="V43" s="48" t="n">
        <v>0</v>
      </c>
      <c r="W43" s="47" t="n">
        <f aca="false">IFERROR(((S43*N39)+(T43*O39)+(U43*P39)+(V43*Q39))/(N39+O39+P39+Q39),0)</f>
        <v>0.0213626373626374</v>
      </c>
      <c r="X43" s="48" t="n">
        <v>0</v>
      </c>
      <c r="Y43" s="48" t="n">
        <v>0</v>
      </c>
      <c r="Z43" s="48" t="n">
        <v>0</v>
      </c>
      <c r="AA43" s="48" t="n">
        <v>0</v>
      </c>
      <c r="AB43" s="47" t="n">
        <f aca="false">IFERROR(((X43*S39)+(Y43*T39)+(Z43*U39)+(AA43*V39))/(S39+T39+U39+V39),0)</f>
        <v>0</v>
      </c>
      <c r="AC43" s="48" t="n">
        <v>0</v>
      </c>
      <c r="AD43" s="48" t="n">
        <v>0</v>
      </c>
      <c r="AE43" s="48" t="n">
        <v>0</v>
      </c>
      <c r="AF43" s="48" t="n">
        <v>0</v>
      </c>
      <c r="AG43" s="47" t="n">
        <f aca="false">IFERROR(((AC43*X39)+(AD43*Y39)+(AE43*Z39)+(AF43*AA39))/(X39+Y39+Z39+AA39),0)</f>
        <v>0</v>
      </c>
    </row>
    <row r="44" customFormat="false" ht="15" hidden="false" customHeight="false" outlineLevel="0" collapsed="false">
      <c r="A44" s="22" t="s">
        <v>82</v>
      </c>
      <c r="C44" s="4" t="s">
        <v>46</v>
      </c>
      <c r="D44" s="35" t="n">
        <v>146</v>
      </c>
      <c r="E44" s="35" t="n">
        <v>159</v>
      </c>
      <c r="F44" s="35" t="n">
        <v>146</v>
      </c>
      <c r="G44" s="35" t="n">
        <v>150</v>
      </c>
      <c r="H44" s="44" t="n">
        <f aca="false">D44+E44+F44+G44</f>
        <v>601</v>
      </c>
      <c r="I44" s="35" t="n">
        <v>150</v>
      </c>
      <c r="J44" s="35" t="n">
        <v>139</v>
      </c>
      <c r="K44" s="35" t="n">
        <v>128</v>
      </c>
      <c r="L44" s="35" t="n">
        <v>150</v>
      </c>
      <c r="M44" s="44" t="n">
        <f aca="false">I44+J44+K44+L44</f>
        <v>567</v>
      </c>
      <c r="N44" s="35" t="n">
        <v>137</v>
      </c>
      <c r="O44" s="35" t="n">
        <v>135</v>
      </c>
      <c r="P44" s="35" t="n">
        <v>132</v>
      </c>
      <c r="Q44" s="35" t="n">
        <v>136</v>
      </c>
      <c r="R44" s="44" t="n">
        <f aca="false">N44+O44+P44+Q44</f>
        <v>540</v>
      </c>
      <c r="S44" s="35" t="n">
        <v>130</v>
      </c>
      <c r="T44" s="35" t="n">
        <v>132</v>
      </c>
      <c r="U44" s="45" t="n">
        <f aca="false">P44*(1+U46+U47+U48)</f>
        <v>137.28</v>
      </c>
      <c r="V44" s="45" t="n">
        <f aca="false">Q44*(1+V46+V47+V48)</f>
        <v>141.44</v>
      </c>
      <c r="W44" s="44" t="n">
        <f aca="false">S44+T44+U44+V44</f>
        <v>540.72</v>
      </c>
      <c r="X44" s="45" t="n">
        <f aca="false">S44*(1+X46+X47+X48)</f>
        <v>135.2</v>
      </c>
      <c r="Y44" s="45" t="n">
        <f aca="false">T44*(1+Y46+Y47+Y48)</f>
        <v>137.28</v>
      </c>
      <c r="Z44" s="45" t="n">
        <f aca="false">U44*(1+Z46+Z47+Z48)</f>
        <v>142.7712</v>
      </c>
      <c r="AA44" s="45" t="n">
        <f aca="false">V44*(1+AA46+AA47+AA48)</f>
        <v>147.0976</v>
      </c>
      <c r="AB44" s="44" t="n">
        <f aca="false">X44+Y44+Z44+AA44</f>
        <v>562.3488</v>
      </c>
      <c r="AC44" s="45" t="n">
        <f aca="false">X44*(1+AC46+AC47+AC48)</f>
        <v>140.608</v>
      </c>
      <c r="AD44" s="45" t="n">
        <f aca="false">Y44*(1+AD46+AD47+AD48)</f>
        <v>142.7712</v>
      </c>
      <c r="AE44" s="45" t="n">
        <f aca="false">Z44*(1+AE46+AE47+AE48)</f>
        <v>148.482048</v>
      </c>
      <c r="AF44" s="45" t="n">
        <f aca="false">AA44*(1+AF46+AF47+AF48)</f>
        <v>152.981504</v>
      </c>
      <c r="AG44" s="44" t="n">
        <f aca="false">AC44+AD44+AE44+AF44</f>
        <v>584.842752</v>
      </c>
    </row>
    <row r="45" customFormat="false" ht="15" hidden="false" customHeight="false" outlineLevel="0" collapsed="false">
      <c r="C45" s="22" t="s">
        <v>32</v>
      </c>
      <c r="H45" s="25"/>
      <c r="I45" s="46" t="n">
        <f aca="false">IFERROR(I44/D44-1,0)</f>
        <v>0.0273972602739727</v>
      </c>
      <c r="J45" s="46" t="n">
        <f aca="false">IFERROR(J44/E44-1,0)</f>
        <v>-0.125786163522013</v>
      </c>
      <c r="K45" s="46" t="n">
        <f aca="false">IFERROR(K44/F44-1,0)</f>
        <v>-0.123287671232877</v>
      </c>
      <c r="L45" s="46" t="n">
        <f aca="false">IFERROR(L44/G44-1,0)</f>
        <v>0</v>
      </c>
      <c r="M45" s="47" t="n">
        <f aca="false">IFERROR(M44/H44-1,0)</f>
        <v>-0.0565723793677204</v>
      </c>
      <c r="N45" s="46" t="n">
        <f aca="false">IFERROR(N44/I44-1,0)</f>
        <v>-0.0866666666666667</v>
      </c>
      <c r="O45" s="46" t="n">
        <f aca="false">IFERROR(O44/J44-1,0)</f>
        <v>-0.0287769784172662</v>
      </c>
      <c r="P45" s="46" t="n">
        <f aca="false">IFERROR(P44/K44-1,0)</f>
        <v>0.03125</v>
      </c>
      <c r="Q45" s="46" t="n">
        <f aca="false">IFERROR(Q44/L44-1,0)</f>
        <v>-0.0933333333333334</v>
      </c>
      <c r="R45" s="47" t="n">
        <f aca="false">IFERROR(R44/M44-1,0)</f>
        <v>-0.0476190476190477</v>
      </c>
      <c r="S45" s="46" t="n">
        <f aca="false">IFERROR(S44/N44-1,0)</f>
        <v>-0.051094890510949</v>
      </c>
      <c r="T45" s="46" t="n">
        <f aca="false">IFERROR(T44/O44-1,0)</f>
        <v>-0.0222222222222223</v>
      </c>
      <c r="U45" s="46" t="n">
        <f aca="false">U46+U47+U48</f>
        <v>0.04</v>
      </c>
      <c r="V45" s="46" t="n">
        <f aca="false">V46+V47+V48</f>
        <v>0.04</v>
      </c>
      <c r="W45" s="47" t="n">
        <f aca="false">IFERROR(W44/R44-1,0)</f>
        <v>0.00133333333333341</v>
      </c>
      <c r="X45" s="46" t="n">
        <f aca="false">X46+X47+X48</f>
        <v>0.04</v>
      </c>
      <c r="Y45" s="46" t="n">
        <f aca="false">Y46+Y47+Y48</f>
        <v>0.04</v>
      </c>
      <c r="Z45" s="46" t="n">
        <f aca="false">Z46+Z47+Z48</f>
        <v>0.04</v>
      </c>
      <c r="AA45" s="46" t="n">
        <f aca="false">AA46+AA47+AA48</f>
        <v>0.04</v>
      </c>
      <c r="AB45" s="47" t="n">
        <f aca="false">IFERROR(AB44/W44-1,0)</f>
        <v>0.0399999999999998</v>
      </c>
      <c r="AC45" s="46" t="n">
        <f aca="false">AC46+AC47+AC48</f>
        <v>0.04</v>
      </c>
      <c r="AD45" s="46" t="n">
        <f aca="false">AD46+AD47+AD48</f>
        <v>0.04</v>
      </c>
      <c r="AE45" s="46" t="n">
        <f aca="false">AE46+AE47+AE48</f>
        <v>0.04</v>
      </c>
      <c r="AF45" s="46" t="n">
        <f aca="false">AF46+AF47+AF48</f>
        <v>0.04</v>
      </c>
      <c r="AG45" s="47" t="n">
        <f aca="false">IFERROR(AG44/AB44-1,0)</f>
        <v>0.04</v>
      </c>
    </row>
    <row r="46" customFormat="false" ht="15" hidden="false" customHeight="false" outlineLevel="0" collapsed="false">
      <c r="C46" s="22" t="s">
        <v>33</v>
      </c>
      <c r="D46" s="46" t="n">
        <f aca="false">IFERROR(D45-D47-D48,0)</f>
        <v>0</v>
      </c>
      <c r="E46" s="46" t="n">
        <f aca="false">IFERROR(E45-E47-E48,0)</f>
        <v>0</v>
      </c>
      <c r="F46" s="46" t="n">
        <f aca="false">IFERROR(F45-F47-F48,0)</f>
        <v>0</v>
      </c>
      <c r="G46" s="46" t="n">
        <f aca="false">IFERROR(G45-G47-G48,0)</f>
        <v>0</v>
      </c>
      <c r="H46" s="25"/>
      <c r="I46" s="46" t="n">
        <f aca="false">IFERROR(I45-I47-I48,0)</f>
        <v>0.0183972602739727</v>
      </c>
      <c r="J46" s="46" t="n">
        <f aca="false">IFERROR(J45-J47-J48,0)</f>
        <v>-0.111786163522013</v>
      </c>
      <c r="K46" s="46" t="n">
        <f aca="false">IFERROR(K45-K47-K48,0)</f>
        <v>-0.107287671232877</v>
      </c>
      <c r="L46" s="46" t="n">
        <f aca="false">IFERROR(L45-L47-L48,0)</f>
        <v>-0.002</v>
      </c>
      <c r="M46" s="47" t="n">
        <f aca="false">IFERROR(((I46*D44)+(J46*E44)+(K46*F44)+(L46*G44))/(D44+E44+F44+G44),0)</f>
        <v>-0.0516672212978369</v>
      </c>
      <c r="N46" s="46" t="n">
        <f aca="false">IFERROR(N45-N47-N48,0)</f>
        <v>-0.0886666666666667</v>
      </c>
      <c r="O46" s="46" t="n">
        <f aca="false">IFERROR(O45-O47-O48,0)</f>
        <v>-0.0127769784172662</v>
      </c>
      <c r="P46" s="46" t="n">
        <f aca="false">IFERROR(P45-P47-P48,0)</f>
        <v>0.00825</v>
      </c>
      <c r="Q46" s="46" t="n">
        <f aca="false">IFERROR(Q45-Q47-Q48,0)</f>
        <v>-0.104333333333333</v>
      </c>
      <c r="R46" s="47" t="n">
        <f aca="false">IFERROR(((N46*I44)+(O46*J44)+(P46*K44)+(Q46*L44))/(I44+J44+K44+L44),0)</f>
        <v>-0.0523280423280424</v>
      </c>
      <c r="S46" s="46" t="n">
        <f aca="false">IFERROR(S45-S47-S48,0)</f>
        <v>-0.097094890510949</v>
      </c>
      <c r="T46" s="46" t="n">
        <f aca="false">IFERROR(T45-T47-T48,0)</f>
        <v>-0.0622222222222223</v>
      </c>
      <c r="U46" s="48" t="n">
        <v>0.04</v>
      </c>
      <c r="V46" s="48" t="n">
        <v>0.04</v>
      </c>
      <c r="W46" s="47" t="n">
        <f aca="false">IFERROR(((S46*N44)+(T46*O44)+(U46*P44)+(V46*Q44))/(N44+O44+P44+Q44),0)</f>
        <v>-0.0203370370370371</v>
      </c>
      <c r="X46" s="48" t="n">
        <v>0.04</v>
      </c>
      <c r="Y46" s="48" t="n">
        <v>0.04</v>
      </c>
      <c r="Z46" s="48" t="n">
        <v>0.04</v>
      </c>
      <c r="AA46" s="48" t="n">
        <v>0.04</v>
      </c>
      <c r="AB46" s="47" t="n">
        <f aca="false">IFERROR(((X46*S44)+(Y46*T44)+(Z46*U44)+(AA46*V44))/(S44+T44+U44+V44),0)</f>
        <v>0.04</v>
      </c>
      <c r="AC46" s="48" t="n">
        <v>0.04</v>
      </c>
      <c r="AD46" s="48" t="n">
        <v>0.04</v>
      </c>
      <c r="AE46" s="48" t="n">
        <v>0.04</v>
      </c>
      <c r="AF46" s="48" t="n">
        <v>0.04</v>
      </c>
      <c r="AG46" s="47" t="n">
        <f aca="false">IFERROR(((AC46*X44)+(AD46*Y44)+(AE46*Z44)+(AF46*AA44))/(X44+Y44+Z44+AA44),0)</f>
        <v>0.04</v>
      </c>
    </row>
    <row r="47" customFormat="false" ht="15" hidden="false" customHeight="false" outlineLevel="0" collapsed="false">
      <c r="C47" s="22" t="s">
        <v>34</v>
      </c>
      <c r="D47" s="49" t="n">
        <v>0</v>
      </c>
      <c r="E47" s="49" t="n">
        <v>0</v>
      </c>
      <c r="F47" s="49" t="n">
        <v>0</v>
      </c>
      <c r="G47" s="49" t="n">
        <v>0</v>
      </c>
      <c r="H47" s="25"/>
      <c r="I47" s="49" t="n">
        <v>0</v>
      </c>
      <c r="J47" s="49" t="n">
        <v>0</v>
      </c>
      <c r="K47" s="49" t="n">
        <v>0</v>
      </c>
      <c r="L47" s="49" t="n">
        <v>0</v>
      </c>
      <c r="M47" s="47" t="n">
        <f aca="false">IFERROR(((I47*D44)+(J47*E44)+(K47*F44)+(L47*G44))/(D44+E44+F44+G44),0)</f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7" t="n">
        <f aca="false">IFERROR(((N47*I44)+(O47*J44)+(P47*K44)+(Q47*L44))/(I44+J44+K44+L44),0)</f>
        <v>0</v>
      </c>
      <c r="S47" s="49" t="n">
        <v>0</v>
      </c>
      <c r="T47" s="49" t="n">
        <v>0</v>
      </c>
      <c r="U47" s="48" t="n">
        <v>0</v>
      </c>
      <c r="V47" s="48" t="n">
        <v>0</v>
      </c>
      <c r="W47" s="47" t="n">
        <f aca="false">IFERROR(((S47*N44)+(T47*O44)+(U47*P44)+(V47*Q44))/(N44+O44+P44+Q44),0)</f>
        <v>0</v>
      </c>
      <c r="X47" s="48" t="n">
        <v>0</v>
      </c>
      <c r="Y47" s="48" t="n">
        <v>0</v>
      </c>
      <c r="Z47" s="48" t="n">
        <v>0</v>
      </c>
      <c r="AA47" s="48" t="n">
        <v>0</v>
      </c>
      <c r="AB47" s="47" t="n">
        <f aca="false">IFERROR(((X47*S44)+(Y47*T44)+(Z47*U44)+(AA47*V44))/(S44+T44+U44+V44),0)</f>
        <v>0</v>
      </c>
      <c r="AC47" s="48" t="n">
        <v>0</v>
      </c>
      <c r="AD47" s="48" t="n">
        <v>0</v>
      </c>
      <c r="AE47" s="48" t="n">
        <v>0</v>
      </c>
      <c r="AF47" s="48" t="n">
        <v>0</v>
      </c>
      <c r="AG47" s="47" t="n">
        <f aca="false">IFERROR(((AC47*X44)+(AD47*Y44)+(AE47*Z44)+(AF47*AA44))/(X44+Y44+Z44+AA44),0)</f>
        <v>0</v>
      </c>
    </row>
    <row r="48" customFormat="false" ht="15" hidden="false" customHeight="false" outlineLevel="0" collapsed="false">
      <c r="C48" s="22" t="s">
        <v>35</v>
      </c>
      <c r="H48" s="25"/>
      <c r="I48" s="49" t="n">
        <v>0.009</v>
      </c>
      <c r="J48" s="49" t="n">
        <v>-0.014</v>
      </c>
      <c r="K48" s="49" t="n">
        <v>-0.016</v>
      </c>
      <c r="L48" s="49" t="n">
        <v>0.002</v>
      </c>
      <c r="M48" s="47" t="n">
        <f aca="false">IFERROR(((I48*D44)+(J48*E44)+(K48*F44)+(L48*G44))/(D44+E44+F44+G44),0)</f>
        <v>-0.00490515806988353</v>
      </c>
      <c r="N48" s="49" t="n">
        <v>0.002</v>
      </c>
      <c r="O48" s="49" t="n">
        <v>-0.016</v>
      </c>
      <c r="P48" s="49" t="n">
        <v>0.023</v>
      </c>
      <c r="Q48" s="49" t="n">
        <v>0.011</v>
      </c>
      <c r="R48" s="47" t="n">
        <f aca="false">IFERROR(((N48*I44)+(O48*J44)+(P48*K44)+(Q48*L44))/(I44+J44+K44+L44),0)</f>
        <v>0.00470899470899471</v>
      </c>
      <c r="S48" s="49" t="n">
        <v>0.046</v>
      </c>
      <c r="T48" s="49" t="n">
        <v>0.04</v>
      </c>
      <c r="U48" s="48" t="n">
        <v>0</v>
      </c>
      <c r="V48" s="48" t="n">
        <v>0</v>
      </c>
      <c r="W48" s="47" t="n">
        <f aca="false">IFERROR(((S48*N44)+(T48*O44)+(U48*P44)+(V48*Q44))/(N44+O44+P44+Q44),0)</f>
        <v>0.0216703703703704</v>
      </c>
      <c r="X48" s="48" t="n">
        <v>0</v>
      </c>
      <c r="Y48" s="48" t="n">
        <v>0</v>
      </c>
      <c r="Z48" s="48" t="n">
        <v>0</v>
      </c>
      <c r="AA48" s="48" t="n">
        <v>0</v>
      </c>
      <c r="AB48" s="47" t="n">
        <f aca="false">IFERROR(((X48*S44)+(Y48*T44)+(Z48*U44)+(AA48*V44))/(S44+T44+U44+V44),0)</f>
        <v>0</v>
      </c>
      <c r="AC48" s="48" t="n">
        <v>0</v>
      </c>
      <c r="AD48" s="48" t="n">
        <v>0</v>
      </c>
      <c r="AE48" s="48" t="n">
        <v>0</v>
      </c>
      <c r="AF48" s="48" t="n">
        <v>0</v>
      </c>
      <c r="AG48" s="47" t="n">
        <f aca="false">IFERROR(((AC48*X44)+(AD48*Y44)+(AE48*Z44)+(AF48*AA44))/(X44+Y44+Z44+AA44),0)</f>
        <v>0</v>
      </c>
    </row>
    <row r="49" customFormat="false" ht="15" hidden="false" customHeight="false" outlineLevel="0" collapsed="false">
      <c r="A49" s="22" t="s">
        <v>82</v>
      </c>
      <c r="C49" s="4" t="s">
        <v>47</v>
      </c>
      <c r="D49" s="35" t="n">
        <v>166</v>
      </c>
      <c r="E49" s="35" t="n">
        <v>157</v>
      </c>
      <c r="F49" s="35" t="n">
        <v>164</v>
      </c>
      <c r="G49" s="35" t="n">
        <v>175</v>
      </c>
      <c r="H49" s="44" t="n">
        <f aca="false">D49+E49+F49+G49</f>
        <v>662</v>
      </c>
      <c r="I49" s="35" t="n">
        <v>166</v>
      </c>
      <c r="J49" s="35" t="n">
        <v>152</v>
      </c>
      <c r="K49" s="35" t="n">
        <v>168</v>
      </c>
      <c r="L49" s="35" t="n">
        <v>164</v>
      </c>
      <c r="M49" s="44" t="n">
        <f aca="false">I49+J49+K49+L49</f>
        <v>650</v>
      </c>
      <c r="N49" s="35" t="n">
        <v>172</v>
      </c>
      <c r="O49" s="35" t="n">
        <v>159</v>
      </c>
      <c r="P49" s="35" t="n">
        <v>163</v>
      </c>
      <c r="Q49" s="35" t="n">
        <v>180</v>
      </c>
      <c r="R49" s="44" t="n">
        <f aca="false">N49+O49+P49+Q49</f>
        <v>674</v>
      </c>
      <c r="S49" s="35" t="n">
        <v>177</v>
      </c>
      <c r="T49" s="35" t="n">
        <v>186</v>
      </c>
      <c r="U49" s="45" t="n">
        <f aca="false">P49*(1+U51+U52+U53)</f>
        <v>169.52</v>
      </c>
      <c r="V49" s="45" t="n">
        <f aca="false">Q49*(1+V51+V52+V53)</f>
        <v>187.2</v>
      </c>
      <c r="W49" s="44" t="n">
        <f aca="false">S49+T49+U49+V49</f>
        <v>719.72</v>
      </c>
      <c r="X49" s="45" t="n">
        <f aca="false">S49*(1+X51+X52+X53)</f>
        <v>184.08</v>
      </c>
      <c r="Y49" s="45" t="n">
        <f aca="false">T49*(1+Y51+Y52+Y53)</f>
        <v>193.44</v>
      </c>
      <c r="Z49" s="45" t="n">
        <f aca="false">U49*(1+Z51+Z52+Z53)</f>
        <v>176.3008</v>
      </c>
      <c r="AA49" s="45" t="n">
        <f aca="false">V49*(1+AA51+AA52+AA53)</f>
        <v>194.688</v>
      </c>
      <c r="AB49" s="44" t="n">
        <f aca="false">X49+Y49+Z49+AA49</f>
        <v>748.5088</v>
      </c>
      <c r="AC49" s="45" t="n">
        <f aca="false">X49*(1+AC51+AC52+AC53)</f>
        <v>191.4432</v>
      </c>
      <c r="AD49" s="45" t="n">
        <f aca="false">Y49*(1+AD51+AD52+AD53)</f>
        <v>201.1776</v>
      </c>
      <c r="AE49" s="45" t="n">
        <f aca="false">Z49*(1+AE51+AE52+AE53)</f>
        <v>183.352832</v>
      </c>
      <c r="AF49" s="45" t="n">
        <f aca="false">AA49*(1+AF51+AF52+AF53)</f>
        <v>202.47552</v>
      </c>
      <c r="AG49" s="44" t="n">
        <f aca="false">AC49+AD49+AE49+AF49</f>
        <v>778.449152</v>
      </c>
    </row>
    <row r="50" customFormat="false" ht="15" hidden="false" customHeight="false" outlineLevel="0" collapsed="false">
      <c r="C50" s="22" t="s">
        <v>32</v>
      </c>
      <c r="H50" s="25"/>
      <c r="I50" s="46" t="n">
        <f aca="false">IFERROR(I49/D49-1,0)</f>
        <v>0</v>
      </c>
      <c r="J50" s="46" t="n">
        <f aca="false">IFERROR(J49/E49-1,0)</f>
        <v>-0.0318471337579618</v>
      </c>
      <c r="K50" s="46" t="n">
        <f aca="false">IFERROR(K49/F49-1,0)</f>
        <v>0.024390243902439</v>
      </c>
      <c r="L50" s="46" t="n">
        <f aca="false">IFERROR(L49/G49-1,0)</f>
        <v>-0.0628571428571428</v>
      </c>
      <c r="M50" s="47" t="n">
        <f aca="false">IFERROR(M49/H49-1,0)</f>
        <v>-0.0181268882175226</v>
      </c>
      <c r="N50" s="46" t="n">
        <f aca="false">IFERROR(N49/I49-1,0)</f>
        <v>0.036144578313253</v>
      </c>
      <c r="O50" s="46" t="n">
        <f aca="false">IFERROR(O49/J49-1,0)</f>
        <v>0.0460526315789473</v>
      </c>
      <c r="P50" s="46" t="n">
        <f aca="false">IFERROR(P49/K49-1,0)</f>
        <v>-0.0297619047619048</v>
      </c>
      <c r="Q50" s="46" t="n">
        <f aca="false">IFERROR(Q49/L49-1,0)</f>
        <v>0.0975609756097562</v>
      </c>
      <c r="R50" s="47" t="n">
        <f aca="false">IFERROR(R49/M49-1,0)</f>
        <v>0.0369230769230768</v>
      </c>
      <c r="S50" s="46" t="n">
        <f aca="false">IFERROR(S49/N49-1,0)</f>
        <v>0.0290697674418605</v>
      </c>
      <c r="T50" s="46" t="n">
        <f aca="false">IFERROR(T49/O49-1,0)</f>
        <v>0.169811320754717</v>
      </c>
      <c r="U50" s="46" t="n">
        <f aca="false">U51+U52+U53</f>
        <v>0.04</v>
      </c>
      <c r="V50" s="46" t="n">
        <f aca="false">V51+V52+V53</f>
        <v>0.04</v>
      </c>
      <c r="W50" s="47" t="n">
        <f aca="false">IFERROR(W49/R49-1,0)</f>
        <v>0.0678338278931752</v>
      </c>
      <c r="X50" s="46" t="n">
        <f aca="false">X51+X52+X53</f>
        <v>0.04</v>
      </c>
      <c r="Y50" s="46" t="n">
        <f aca="false">Y51+Y52+Y53</f>
        <v>0.04</v>
      </c>
      <c r="Z50" s="46" t="n">
        <f aca="false">Z51+Z52+Z53</f>
        <v>0.04</v>
      </c>
      <c r="AA50" s="46" t="n">
        <f aca="false">AA51+AA52+AA53</f>
        <v>0.04</v>
      </c>
      <c r="AB50" s="47" t="n">
        <f aca="false">IFERROR(AB49/W49-1,0)</f>
        <v>0.0399999999999998</v>
      </c>
      <c r="AC50" s="46" t="n">
        <f aca="false">AC51+AC52+AC53</f>
        <v>0.04</v>
      </c>
      <c r="AD50" s="46" t="n">
        <f aca="false">AD51+AD52+AD53</f>
        <v>0.04</v>
      </c>
      <c r="AE50" s="46" t="n">
        <f aca="false">AE51+AE52+AE53</f>
        <v>0.04</v>
      </c>
      <c r="AF50" s="46" t="n">
        <f aca="false">AF51+AF52+AF53</f>
        <v>0.04</v>
      </c>
      <c r="AG50" s="47" t="n">
        <f aca="false">IFERROR(AG49/AB49-1,0)</f>
        <v>0.0400000000000003</v>
      </c>
    </row>
    <row r="51" customFormat="false" ht="15" hidden="false" customHeight="false" outlineLevel="0" collapsed="false">
      <c r="C51" s="22" t="s">
        <v>33</v>
      </c>
      <c r="D51" s="46" t="n">
        <f aca="false">IFERROR(D50-D52-D53,0)</f>
        <v>0</v>
      </c>
      <c r="E51" s="46" t="n">
        <f aca="false">IFERROR(E50-E52-E53,0)</f>
        <v>0</v>
      </c>
      <c r="F51" s="46" t="n">
        <f aca="false">IFERROR(F50-F52-F53,0)</f>
        <v>0</v>
      </c>
      <c r="G51" s="46" t="n">
        <f aca="false">IFERROR(G50-G52-G53,0)</f>
        <v>0</v>
      </c>
      <c r="H51" s="25"/>
      <c r="I51" s="46" t="n">
        <f aca="false">IFERROR(I50-I52-I53,0)</f>
        <v>-0.009</v>
      </c>
      <c r="J51" s="46" t="n">
        <f aca="false">IFERROR(J50-J52-J53,0)</f>
        <v>-0.0178471337579618</v>
      </c>
      <c r="K51" s="46" t="n">
        <f aca="false">IFERROR(K50-K52-K53,0)</f>
        <v>0.040390243902439</v>
      </c>
      <c r="L51" s="46" t="n">
        <f aca="false">IFERROR(L50-L52-L53,0)</f>
        <v>-0.0648571428571428</v>
      </c>
      <c r="M51" s="47" t="n">
        <f aca="false">IFERROR(((I51*D49)+(J51*E49)+(K51*F49)+(L51*G49))/(D49+E49+F49+G49),0)</f>
        <v>-0.0136283987915408</v>
      </c>
      <c r="N51" s="46" t="n">
        <f aca="false">IFERROR(N50-N52-N53,0)</f>
        <v>0.034144578313253</v>
      </c>
      <c r="O51" s="46" t="n">
        <f aca="false">IFERROR(O50-O52-O53,0)</f>
        <v>0.0620526315789473</v>
      </c>
      <c r="P51" s="46" t="n">
        <f aca="false">IFERROR(P50-P52-P53,0)</f>
        <v>-0.0527619047619048</v>
      </c>
      <c r="Q51" s="46" t="n">
        <f aca="false">IFERROR(Q50-Q52-Q53,0)</f>
        <v>0.0865609756097562</v>
      </c>
      <c r="R51" s="47" t="n">
        <f aca="false">IFERROR(((N51*I49)+(O51*J49)+(P51*K49)+(Q51*L49))/(I49+J49+K49+L49),0)</f>
        <v>0.0314338461538462</v>
      </c>
      <c r="S51" s="46" t="n">
        <f aca="false">IFERROR(S50-S52-S53,0)</f>
        <v>-0.0169302325581395</v>
      </c>
      <c r="T51" s="46" t="n">
        <f aca="false">IFERROR(T50-T52-T53,0)</f>
        <v>0.129811320754717</v>
      </c>
      <c r="U51" s="48" t="n">
        <v>0.04</v>
      </c>
      <c r="V51" s="48" t="n">
        <v>0.04</v>
      </c>
      <c r="W51" s="47" t="n">
        <f aca="false">IFERROR(((S51*N49)+(T51*O49)+(U51*P49)+(V51*Q49))/(N49+O49+P49+Q49),0)</f>
        <v>0.0466587537091988</v>
      </c>
      <c r="X51" s="48" t="n">
        <v>0.04</v>
      </c>
      <c r="Y51" s="48" t="n">
        <v>0.04</v>
      </c>
      <c r="Z51" s="48" t="n">
        <v>0.04</v>
      </c>
      <c r="AA51" s="48" t="n">
        <v>0.04</v>
      </c>
      <c r="AB51" s="47" t="n">
        <f aca="false">IFERROR(((X51*S49)+(Y51*T49)+(Z51*U49)+(AA51*V49))/(S49+T49+U49+V49),0)</f>
        <v>0.04</v>
      </c>
      <c r="AC51" s="48" t="n">
        <v>0.04</v>
      </c>
      <c r="AD51" s="48" t="n">
        <v>0.04</v>
      </c>
      <c r="AE51" s="48" t="n">
        <v>0.04</v>
      </c>
      <c r="AF51" s="48" t="n">
        <v>0.04</v>
      </c>
      <c r="AG51" s="47" t="n">
        <f aca="false">IFERROR(((AC51*X49)+(AD51*Y49)+(AE51*Z49)+(AF51*AA49))/(X49+Y49+Z49+AA49),0)</f>
        <v>0.04</v>
      </c>
    </row>
    <row r="52" customFormat="false" ht="15" hidden="false" customHeight="false" outlineLevel="0" collapsed="false">
      <c r="C52" s="22" t="s">
        <v>34</v>
      </c>
      <c r="D52" s="49" t="n">
        <v>0</v>
      </c>
      <c r="E52" s="49" t="n">
        <v>0</v>
      </c>
      <c r="F52" s="49" t="n">
        <v>0</v>
      </c>
      <c r="G52" s="49" t="n">
        <v>0</v>
      </c>
      <c r="H52" s="25"/>
      <c r="I52" s="49" t="n">
        <v>0</v>
      </c>
      <c r="J52" s="49" t="n">
        <v>0</v>
      </c>
      <c r="K52" s="49" t="n">
        <v>0</v>
      </c>
      <c r="L52" s="49" t="n">
        <v>0</v>
      </c>
      <c r="M52" s="47" t="n">
        <f aca="false">IFERROR(((I52*D49)+(J52*E49)+(K52*F49)+(L52*G49))/(D49+E49+F49+G49),0)</f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7" t="n">
        <f aca="false">IFERROR(((N52*I49)+(O52*J49)+(P52*K49)+(Q52*L49))/(I49+J49+K49+L49),0)</f>
        <v>0</v>
      </c>
      <c r="S52" s="49" t="n">
        <v>0</v>
      </c>
      <c r="T52" s="49" t="n">
        <v>0</v>
      </c>
      <c r="U52" s="48" t="n">
        <v>0</v>
      </c>
      <c r="V52" s="48" t="n">
        <v>0</v>
      </c>
      <c r="W52" s="47" t="n">
        <f aca="false">IFERROR(((S52*N49)+(T52*O49)+(U52*P49)+(V52*Q49))/(N49+O49+P49+Q49),0)</f>
        <v>0</v>
      </c>
      <c r="X52" s="48" t="n">
        <v>0</v>
      </c>
      <c r="Y52" s="48" t="n">
        <v>0</v>
      </c>
      <c r="Z52" s="48" t="n">
        <v>0</v>
      </c>
      <c r="AA52" s="48" t="n">
        <v>0</v>
      </c>
      <c r="AB52" s="47" t="n">
        <f aca="false">IFERROR(((X52*S49)+(Y52*T49)+(Z52*U49)+(AA52*V49))/(S49+T49+U49+V49),0)</f>
        <v>0</v>
      </c>
      <c r="AC52" s="48" t="n">
        <v>0</v>
      </c>
      <c r="AD52" s="48" t="n">
        <v>0</v>
      </c>
      <c r="AE52" s="48" t="n">
        <v>0</v>
      </c>
      <c r="AF52" s="48" t="n">
        <v>0</v>
      </c>
      <c r="AG52" s="47" t="n">
        <f aca="false">IFERROR(((AC52*X49)+(AD52*Y49)+(AE52*Z49)+(AF52*AA49))/(X49+Y49+Z49+AA49),0)</f>
        <v>0</v>
      </c>
    </row>
    <row r="53" customFormat="false" ht="15" hidden="false" customHeight="false" outlineLevel="0" collapsed="false">
      <c r="C53" s="22" t="s">
        <v>35</v>
      </c>
      <c r="H53" s="25"/>
      <c r="I53" s="49" t="n">
        <v>0.009</v>
      </c>
      <c r="J53" s="49" t="n">
        <v>-0.014</v>
      </c>
      <c r="K53" s="49" t="n">
        <v>-0.016</v>
      </c>
      <c r="L53" s="49" t="n">
        <v>0.002</v>
      </c>
      <c r="M53" s="47" t="n">
        <f aca="false">IFERROR(((I53*D49)+(J53*E49)+(K53*F49)+(L53*G49))/(D49+E49+F49+G49),0)</f>
        <v>-0.00449848942598187</v>
      </c>
      <c r="N53" s="49" t="n">
        <v>0.002</v>
      </c>
      <c r="O53" s="49" t="n">
        <v>-0.016</v>
      </c>
      <c r="P53" s="49" t="n">
        <v>0.023</v>
      </c>
      <c r="Q53" s="49" t="n">
        <v>0.011</v>
      </c>
      <c r="R53" s="47" t="n">
        <f aca="false">IFERROR(((N53*I49)+(O53*J49)+(P53*K49)+(Q53*L49))/(I49+J49+K49+L49),0)</f>
        <v>0.00548923076923077</v>
      </c>
      <c r="S53" s="49" t="n">
        <v>0.046</v>
      </c>
      <c r="T53" s="49" t="n">
        <v>0.04</v>
      </c>
      <c r="U53" s="48" t="n">
        <v>0</v>
      </c>
      <c r="V53" s="48" t="n">
        <v>0</v>
      </c>
      <c r="W53" s="47" t="n">
        <f aca="false">IFERROR(((S53*N49)+(T53*O49)+(U53*P49)+(V53*Q49))/(N49+O49+P49+Q49),0)</f>
        <v>0.0211750741839763</v>
      </c>
      <c r="X53" s="48" t="n">
        <v>0</v>
      </c>
      <c r="Y53" s="48" t="n">
        <v>0</v>
      </c>
      <c r="Z53" s="48" t="n">
        <v>0</v>
      </c>
      <c r="AA53" s="48" t="n">
        <v>0</v>
      </c>
      <c r="AB53" s="47" t="n">
        <f aca="false">IFERROR(((X53*S49)+(Y53*T49)+(Z53*U49)+(AA53*V49))/(S49+T49+U49+V49),0)</f>
        <v>0</v>
      </c>
      <c r="AC53" s="48" t="n">
        <v>0</v>
      </c>
      <c r="AD53" s="48" t="n">
        <v>0</v>
      </c>
      <c r="AE53" s="48" t="n">
        <v>0</v>
      </c>
      <c r="AF53" s="48" t="n">
        <v>0</v>
      </c>
      <c r="AG53" s="47" t="n">
        <f aca="false">IFERROR(((AC53*X49)+(AD53*Y49)+(AE53*Z49)+(AF53*AA49))/(X49+Y49+Z49+AA49),0)</f>
        <v>0</v>
      </c>
    </row>
    <row r="54" customFormat="false" ht="15" hidden="false" customHeight="false" outlineLevel="0" collapsed="false">
      <c r="C54" s="50" t="s">
        <v>83</v>
      </c>
      <c r="D54" s="51" t="n">
        <f aca="false">D24+D29+D34+D39+D44+D49</f>
        <v>1756</v>
      </c>
      <c r="E54" s="51" t="n">
        <f aca="false">E24+E29+E34+E39+E44+E49</f>
        <v>1717</v>
      </c>
      <c r="F54" s="51" t="n">
        <f aca="false">F24+F29+F34+F39+F44+F49</f>
        <v>1672</v>
      </c>
      <c r="G54" s="51" t="n">
        <f aca="false">G24+G29+G34+G39+G44+G49</f>
        <v>1688</v>
      </c>
      <c r="H54" s="52" t="n">
        <f aca="false">H24+H29+H34+H39+H44+H49</f>
        <v>6833</v>
      </c>
      <c r="I54" s="51" t="n">
        <f aca="false">I24+I29+I34+I39+I44+I49</f>
        <v>1658</v>
      </c>
      <c r="J54" s="51" t="n">
        <f aca="false">J24+J29+J34+J39+J44+J49</f>
        <v>1573</v>
      </c>
      <c r="K54" s="51" t="n">
        <f aca="false">K24+K29+K34+K39+K44+K49</f>
        <v>1578</v>
      </c>
      <c r="L54" s="51" t="n">
        <f aca="false">L24+L29+L34+L39+L44+L49</f>
        <v>1701</v>
      </c>
      <c r="M54" s="52" t="n">
        <f aca="false">M24+M29+M34+M39+M44+M49</f>
        <v>6510</v>
      </c>
      <c r="N54" s="51" t="n">
        <f aca="false">N24+N29+N34+N39+N44+N49</f>
        <v>1681</v>
      </c>
      <c r="O54" s="51" t="n">
        <f aca="false">O24+O29+O34+O39+O44+O49</f>
        <v>1668</v>
      </c>
      <c r="P54" s="51" t="n">
        <f aca="false">P24+P29+P34+P39+P44+P49</f>
        <v>1738</v>
      </c>
      <c r="Q54" s="51" t="n">
        <f aca="false">Q24+Q29+Q34+Q39+Q44+Q49</f>
        <v>1861</v>
      </c>
      <c r="R54" s="52" t="n">
        <f aca="false">R24+R29+R34+R39+R44+R49</f>
        <v>6948</v>
      </c>
      <c r="S54" s="51" t="n">
        <f aca="false">S24+S29+S34+S39+S44+S49</f>
        <v>1798</v>
      </c>
      <c r="T54" s="51" t="n">
        <f aca="false">T24+T29+T34+T39+T44+T49</f>
        <v>1835</v>
      </c>
      <c r="U54" s="51" t="n">
        <f aca="false">U24+U29+U34+U39+U44+U49</f>
        <v>1807.52</v>
      </c>
      <c r="V54" s="51" t="n">
        <f aca="false">V24+V29+V34+V39+V44+V49</f>
        <v>1935.44</v>
      </c>
      <c r="W54" s="52" t="n">
        <f aca="false">W24+W29+W34+W39+W44+W49</f>
        <v>7375.96</v>
      </c>
      <c r="X54" s="51" t="n">
        <f aca="false">X24+X29+X34+X39+X44+X49</f>
        <v>1869.92</v>
      </c>
      <c r="Y54" s="51" t="n">
        <f aca="false">Y24+Y29+Y34+Y39+Y44+Y49</f>
        <v>1908.4</v>
      </c>
      <c r="Z54" s="51" t="n">
        <f aca="false">Z24+Z29+Z34+Z39+Z44+Z49</f>
        <v>1879.8208</v>
      </c>
      <c r="AA54" s="51" t="n">
        <f aca="false">AA24+AA29+AA34+AA39+AA44+AA49</f>
        <v>2012.8576</v>
      </c>
      <c r="AB54" s="52" t="n">
        <f aca="false">AB24+AB29+AB34+AB39+AB44+AB49</f>
        <v>7670.9984</v>
      </c>
      <c r="AC54" s="51" t="n">
        <f aca="false">AC24+AC29+AC34+AC39+AC44+AC49</f>
        <v>1944.7168</v>
      </c>
      <c r="AD54" s="51" t="n">
        <f aca="false">AD24+AD29+AD34+AD39+AD44+AD49</f>
        <v>1984.736</v>
      </c>
      <c r="AE54" s="51" t="n">
        <f aca="false">AE24+AE29+AE34+AE39+AE44+AE49</f>
        <v>1955.013632</v>
      </c>
      <c r="AF54" s="51" t="n">
        <f aca="false">AF24+AF29+AF34+AF39+AF44+AF49</f>
        <v>2093.371904</v>
      </c>
      <c r="AG54" s="52" t="n">
        <f aca="false">AG24+AG29+AG34+AG39+AG44+AG49</f>
        <v>7977.838336</v>
      </c>
    </row>
    <row r="55" customFormat="false" ht="15" hidden="false" customHeight="false" outlineLevel="0" collapsed="false">
      <c r="C55" s="22" t="s">
        <v>32</v>
      </c>
      <c r="H55" s="25"/>
      <c r="I55" s="38" t="n">
        <f aca="false">IFERROR(I54/D54-1,0)</f>
        <v>-0.0558086560364465</v>
      </c>
      <c r="J55" s="38" t="n">
        <f aca="false">IFERROR(J54/E54-1,0)</f>
        <v>-0.0838672102504369</v>
      </c>
      <c r="K55" s="38" t="n">
        <f aca="false">IFERROR(K54/F54-1,0)</f>
        <v>-0.05622009569378</v>
      </c>
      <c r="L55" s="38" t="n">
        <f aca="false">IFERROR(L54/G54-1,0)</f>
        <v>0.00770142180094791</v>
      </c>
      <c r="M55" s="39" t="n">
        <f aca="false">IFERROR(M54/H54-1,0)</f>
        <v>-0.0472705985657838</v>
      </c>
      <c r="N55" s="38" t="n">
        <f aca="false">IFERROR(N54/I54-1,0)</f>
        <v>0.0138721351025333</v>
      </c>
      <c r="O55" s="38" t="n">
        <f aca="false">IFERROR(O54/J54-1,0)</f>
        <v>0.0603941513032422</v>
      </c>
      <c r="P55" s="38" t="n">
        <f aca="false">IFERROR(P54/K54-1,0)</f>
        <v>0.101394169835235</v>
      </c>
      <c r="Q55" s="38" t="n">
        <f aca="false">IFERROR(Q54/L54-1,0)</f>
        <v>0.0940623162845384</v>
      </c>
      <c r="R55" s="39" t="n">
        <f aca="false">IFERROR(R54/M54-1,0)</f>
        <v>0.0672811059907834</v>
      </c>
      <c r="S55" s="38" t="n">
        <f aca="false">IFERROR(S54/N54-1,0)</f>
        <v>0.0696014277215944</v>
      </c>
      <c r="T55" s="38" t="n">
        <f aca="false">IFERROR(T54/O54-1,0)</f>
        <v>0.100119904076739</v>
      </c>
      <c r="U55" s="38" t="n">
        <f aca="false">IFERROR(U54/P54-1,0)</f>
        <v>0.0399999999999998</v>
      </c>
      <c r="V55" s="38" t="n">
        <f aca="false">IFERROR(V54/Q54-1,0)</f>
        <v>0.04</v>
      </c>
      <c r="W55" s="39" t="n">
        <f aca="false">IFERROR(W54/R54-1,0)</f>
        <v>0.0615947035118021</v>
      </c>
      <c r="X55" s="38" t="n">
        <f aca="false">IFERROR(X54/S54-1,0)</f>
        <v>0.04</v>
      </c>
      <c r="Y55" s="38" t="n">
        <f aca="false">IFERROR(Y54/T54-1,0)</f>
        <v>0.04</v>
      </c>
      <c r="Z55" s="38" t="n">
        <f aca="false">IFERROR(Z54/U54-1,0)</f>
        <v>0.04</v>
      </c>
      <c r="AA55" s="38" t="n">
        <f aca="false">IFERROR(AA54/V54-1,0)</f>
        <v>0.04</v>
      </c>
      <c r="AB55" s="39" t="n">
        <f aca="false">IFERROR(AB54/W54-1,0)</f>
        <v>0.0399999999999998</v>
      </c>
      <c r="AC55" s="38" t="n">
        <f aca="false">IFERROR(AC54/X54-1,0)</f>
        <v>0.0399999999999998</v>
      </c>
      <c r="AD55" s="38" t="n">
        <f aca="false">IFERROR(AD54/Y54-1,0)</f>
        <v>0.04</v>
      </c>
      <c r="AE55" s="38" t="n">
        <f aca="false">IFERROR(AE54/Z54-1,0)</f>
        <v>0.04</v>
      </c>
      <c r="AF55" s="38" t="n">
        <f aca="false">IFERROR(AF54/AA54-1,0)</f>
        <v>0.0399999999999998</v>
      </c>
      <c r="AG55" s="39" t="n">
        <f aca="false">IFERROR(AG54/AB54-1,0)</f>
        <v>0.0400000000000005</v>
      </c>
    </row>
    <row r="56" customFormat="false" ht="15" hidden="false" customHeight="false" outlineLevel="0" collapsed="false">
      <c r="C56" s="22" t="s">
        <v>33</v>
      </c>
      <c r="H56" s="25"/>
      <c r="I56" s="38" t="n">
        <f aca="false">IFERROR(((I26*D24)+(I31*D29)+(I36*D34)+(I41*D39)+(I46*D44)+(I51*D49))/(D24+D29+D34+D39+D44+D49),0)</f>
        <v>-0.0638086560364465</v>
      </c>
      <c r="J56" s="38" t="n">
        <f aca="false">IFERROR(((J26*E24)+(J31*E29)+(J36*E34)+(J41*E39)+(J46*E44)+(J51*E49))/(E24+E29+E34+E39+E44+E49),0)</f>
        <v>-0.0698672102504368</v>
      </c>
      <c r="K56" s="38" t="n">
        <f aca="false">IFERROR(((K26*F24)+(K31*F29)+(K36*F34)+(K41*F39)+(K46*F44)+(K51*F49))/(F24+F29+F34+F39+F44+F49),0)</f>
        <v>-0.0402200956937799</v>
      </c>
      <c r="L56" s="38" t="n">
        <f aca="false">IFERROR(((L26*G24)+(L31*G29)+(L36*G34)+(L41*G39)+(L46*G44)+(L51*G49))/(G24+G29+G34+G39+G44+G49),0)</f>
        <v>-0.000298578199052125</v>
      </c>
      <c r="M56" s="39" t="n">
        <f aca="false">IFERROR(((I56*D54)+(J56*E54)+(K56*F54)+(L56*G54))/(D54+E54+F54+G54),0)</f>
        <v>-0.04386974974389</v>
      </c>
      <c r="N56" s="38" t="n">
        <f aca="false">IFERROR(((N26*I24)+(N31*I29)+(N36*I34)+(N41*I39)+(N46*I44)+(N51*I49))/(I24+I29+I34+I39+I44+I49),0)</f>
        <v>0.0118721351025332</v>
      </c>
      <c r="O56" s="38" t="n">
        <f aca="false">IFERROR(((O26*J24)+(O31*J29)+(O36*J34)+(O41*J39)+(O46*J44)+(O51*J49))/(J24+J29+J34+J39+J44+J49),0)</f>
        <v>0.0523941513032422</v>
      </c>
      <c r="P56" s="38" t="n">
        <f aca="false">IFERROR(((P26*K24)+(P31*K29)+(P36*K34)+(P41*K39)+(P46*K44)+(P51*K49))/(K24+K29+K34+K39+K44+K49),0)</f>
        <v>0.0603941698352345</v>
      </c>
      <c r="Q56" s="38" t="n">
        <f aca="false">IFERROR(((Q26*L24)+(Q31*L29)+(Q36*L34)+(Q41*L39)+(Q46*L44)+(Q51*L49))/(L24+L29+L34+L39+L44+L49),0)</f>
        <v>0.0700623162845385</v>
      </c>
      <c r="R56" s="39" t="n">
        <f aca="false">IFERROR(((N56*I54)+(O56*J54)+(P56*K54)+(Q56*L54))/(I54+J54+K54+L54),0)</f>
        <v>0.0486294930875576</v>
      </c>
      <c r="S56" s="38" t="n">
        <f aca="false">IFERROR(((S26*N24)+(S31*N29)+(S36*N34)+(S41*N39)+(S46*N44)+(S51*N49))/(N24+N29+N34+N39+N44+N49),0)</f>
        <v>0.0406014277215943</v>
      </c>
      <c r="T56" s="38" t="n">
        <f aca="false">IFERROR(((T26*O24)+(T31*O29)+(T36*O34)+(T41*O39)+(T46*O44)+(T51*O49))/(O24+O29+O34+O39+O44+O49),0)</f>
        <v>0.0601199040767386</v>
      </c>
      <c r="U56" s="38" t="n">
        <f aca="false">IFERROR(((U26*P24)+(U31*P29)+(U36*P34)+(U41*P39)+(U46*P44)+(U51*P49))/(P24+P29+P34+P39+P44+P49),0)</f>
        <v>0.04</v>
      </c>
      <c r="V56" s="38" t="n">
        <f aca="false">IFERROR(((V26*Q24)+(V31*Q29)+(V36*Q34)+(V41*Q39)+(V46*Q44)+(V51*Q49))/(Q24+Q29+Q34+Q39+Q44+Q49),0)</f>
        <v>0.04</v>
      </c>
      <c r="W56" s="39" t="n">
        <f aca="false">IFERROR(((S56*N54)+(T56*O54)+(U56*P54)+(V56*Q54))/(N54+O54+P54+Q54),0)</f>
        <v>0.0449756764536557</v>
      </c>
      <c r="X56" s="38" t="n">
        <f aca="false">IFERROR(((X26*S24)+(X31*S29)+(X36*S34)+(X41*S39)+(X46*S44)+(X51*S49))/(S24+S29+S34+S39+S44+S49),0)</f>
        <v>0.04</v>
      </c>
      <c r="Y56" s="38" t="n">
        <f aca="false">IFERROR(((Y26*T24)+(Y31*T29)+(Y36*T34)+(Y41*T39)+(Y46*T44)+(Y51*T49))/(T24+T29+T34+T39+T44+T49),0)</f>
        <v>0.04</v>
      </c>
      <c r="Z56" s="38" t="n">
        <f aca="false">IFERROR(((Z26*U24)+(Z31*U29)+(Z36*U34)+(Z41*U39)+(Z46*U44)+(Z51*U49))/(U24+U29+U34+U39+U44+U49),0)</f>
        <v>0.04</v>
      </c>
      <c r="AA56" s="38" t="n">
        <f aca="false">IFERROR(((AA26*V24)+(AA31*V29)+(AA36*V34)+(AA41*V39)+(AA46*V44)+(AA51*V49))/(V24+V29+V34+V39+V44+V49),0)</f>
        <v>0.04</v>
      </c>
      <c r="AB56" s="39" t="n">
        <f aca="false">IFERROR(((X56*S54)+(Y56*T54)+(Z56*U54)+(AA56*V54))/(S54+T54+U54+V54),0)</f>
        <v>0.04</v>
      </c>
      <c r="AC56" s="38" t="n">
        <f aca="false">IFERROR(((AC26*X24)+(AC31*X29)+(AC36*X34)+(AC41*X39)+(AC46*X44)+(AC51*X49))/(X24+X29+X34+X39+X44+X49),0)</f>
        <v>0.04</v>
      </c>
      <c r="AD56" s="38" t="n">
        <f aca="false">IFERROR(((AD26*Y24)+(AD31*Y29)+(AD36*Y34)+(AD41*Y39)+(AD46*Y44)+(AD51*Y49))/(Y24+Y29+Y34+Y39+Y44+Y49),0)</f>
        <v>0.04</v>
      </c>
      <c r="AE56" s="38" t="n">
        <f aca="false">IFERROR(((AE26*Z24)+(AE31*Z29)+(AE36*Z34)+(AE41*Z39)+(AE46*Z44)+(AE51*Z49))/(Z24+Z29+Z34+Z39+Z44+Z49),0)</f>
        <v>0.04</v>
      </c>
      <c r="AF56" s="38" t="n">
        <f aca="false">IFERROR(((AF26*AA24)+(AF31*AA29)+(AF36*AA34)+(AF41*AA39)+(AF46*AA44)+(AF51*AA49))/(AA24+AA29+AA34+AA39+AA44+AA49),0)</f>
        <v>0.04</v>
      </c>
      <c r="AG56" s="39" t="n">
        <f aca="false">IFERROR(((AC56*X54)+(AD56*Y54)+(AE56*Z54)+(AF56*AA54))/(X54+Y54+Z54+AA54),0)</f>
        <v>0.04</v>
      </c>
    </row>
    <row r="57" customFormat="false" ht="15" hidden="false" customHeight="false" outlineLevel="0" collapsed="false">
      <c r="C57" s="22" t="s">
        <v>34</v>
      </c>
      <c r="H57" s="25"/>
      <c r="I57" s="38" t="n">
        <f aca="false">IFERROR(((I27*D24)+(I32*D29)+(I37*D34)+(I42*D39)+(I47*D44)+(I52*D49))/(D24+D29+D34+D39+D44+D49),0)</f>
        <v>-0.001</v>
      </c>
      <c r="J57" s="38" t="n">
        <f aca="false">IFERROR(((J27*E24)+(J32*E29)+(J37*E34)+(J42*E39)+(J47*E44)+(J52*E49))/(E24+E29+E34+E39+E44+E49),0)</f>
        <v>0</v>
      </c>
      <c r="K57" s="38" t="n">
        <f aca="false">IFERROR(((K27*F24)+(K32*F29)+(K37*F34)+(K42*F39)+(K47*F44)+(K52*F49))/(F24+F29+F34+F39+F44+F49),0)</f>
        <v>0</v>
      </c>
      <c r="L57" s="38" t="n">
        <f aca="false">IFERROR(((L27*G24)+(L32*G29)+(L37*G34)+(L42*G39)+(L47*G44)+(L52*G49))/(G24+G29+G34+G39+G44+G49),0)</f>
        <v>0.006</v>
      </c>
      <c r="M57" s="39" t="n">
        <f aca="false">IFERROR(((I57*D54)+(J57*E54)+(K57*F54)+(L57*G54))/(D54+E54+F54+G54),0)</f>
        <v>0.00122523049904873</v>
      </c>
      <c r="N57" s="38" t="n">
        <f aca="false">IFERROR(((N27*I24)+(N32*I29)+(N37*I34)+(N42*I39)+(N47*I44)+(N52*I49))/(I24+I29+I34+I39+I44+I49),0)</f>
        <v>0</v>
      </c>
      <c r="O57" s="38" t="n">
        <f aca="false">IFERROR(((O27*J24)+(O32*J29)+(O37*J34)+(O42*J39)+(O47*J44)+(O52*J49))/(J24+J29+J34+J39+J44+J49),0)</f>
        <v>0.024</v>
      </c>
      <c r="P57" s="38" t="n">
        <f aca="false">IFERROR(((P27*K24)+(P32*K29)+(P37*K34)+(P42*K39)+(P47*K44)+(P52*K49))/(K24+K29+K34+K39+K44+K49),0)</f>
        <v>0.018</v>
      </c>
      <c r="Q57" s="38" t="n">
        <f aca="false">IFERROR(((Q27*L24)+(Q32*L29)+(Q37*L34)+(Q42*L39)+(Q47*L44)+(Q52*L49))/(L24+L29+L34+L39+L44+L49),0)</f>
        <v>0.013</v>
      </c>
      <c r="R57" s="39" t="n">
        <f aca="false">IFERROR(((N57*I54)+(O57*J54)+(P57*K54)+(Q57*L54))/(I54+J54+K54+L54),0)</f>
        <v>0.0135589861751152</v>
      </c>
      <c r="S57" s="38" t="n">
        <f aca="false">IFERROR(((S27*N24)+(S32*N29)+(S37*N34)+(S42*N39)+(S47*N44)+(S52*N49))/(N24+N29+N34+N39+N44+N49),0)</f>
        <v>-0.017</v>
      </c>
      <c r="T57" s="38" t="n">
        <f aca="false">IFERROR(((T27*O24)+(T32*O29)+(T37*O34)+(T42*O39)+(T47*O44)+(T52*O49))/(O24+O29+O34+O39+O44+O49),0)</f>
        <v>0</v>
      </c>
      <c r="U57" s="38" t="n">
        <f aca="false">IFERROR(((U27*P24)+(U32*P29)+(U37*P34)+(U42*P39)+(U47*P44)+(U52*P49))/(P24+P29+P34+P39+P44+P49),0)</f>
        <v>0</v>
      </c>
      <c r="V57" s="38" t="n">
        <f aca="false">IFERROR(((V27*Q24)+(V32*Q29)+(V37*Q34)+(V42*Q39)+(V47*Q44)+(V52*Q49))/(Q24+Q29+Q34+Q39+Q44+Q49),0)</f>
        <v>0</v>
      </c>
      <c r="W57" s="39" t="n">
        <f aca="false">IFERROR(((S57*N54)+(T57*O54)+(U57*P54)+(V57*Q54))/(N54+O54+P54+Q54),0)</f>
        <v>-0.00411298215313759</v>
      </c>
      <c r="X57" s="38" t="n">
        <f aca="false">IFERROR(((X27*S24)+(X32*S29)+(X37*S34)+(X42*S39)+(X47*S44)+(X52*S49))/(S24+S29+S34+S39+S44+S49),0)</f>
        <v>0</v>
      </c>
      <c r="Y57" s="38" t="n">
        <f aca="false">IFERROR(((Y27*T24)+(Y32*T29)+(Y37*T34)+(Y42*T39)+(Y47*T44)+(Y52*T49))/(T24+T29+T34+T39+T44+T49),0)</f>
        <v>0</v>
      </c>
      <c r="Z57" s="38" t="n">
        <f aca="false">IFERROR(((Z27*U24)+(Z32*U29)+(Z37*U34)+(Z42*U39)+(Z47*U44)+(Z52*U49))/(U24+U29+U34+U39+U44+U49),0)</f>
        <v>0</v>
      </c>
      <c r="AA57" s="38" t="n">
        <f aca="false">IFERROR(((AA27*V24)+(AA32*V29)+(AA37*V34)+(AA42*V39)+(AA47*V44)+(AA52*V49))/(V24+V29+V34+V39+V44+V49),0)</f>
        <v>0</v>
      </c>
      <c r="AB57" s="39" t="n">
        <f aca="false">IFERROR(((X57*S54)+(Y57*T54)+(Z57*U54)+(AA57*V54))/(S54+T54+U54+V54),0)</f>
        <v>0</v>
      </c>
      <c r="AC57" s="38" t="n">
        <f aca="false">IFERROR(((AC27*X24)+(AC32*X29)+(AC37*X34)+(AC42*X39)+(AC47*X44)+(AC52*X49))/(X24+X29+X34+X39+X44+X49),0)</f>
        <v>0</v>
      </c>
      <c r="AD57" s="38" t="n">
        <f aca="false">IFERROR(((AD27*Y24)+(AD32*Y29)+(AD37*Y34)+(AD42*Y39)+(AD47*Y44)+(AD52*Y49))/(Y24+Y29+Y34+Y39+Y44+Y49),0)</f>
        <v>0</v>
      </c>
      <c r="AE57" s="38" t="n">
        <f aca="false">IFERROR(((AE27*Z24)+(AE32*Z29)+(AE37*Z34)+(AE42*Z39)+(AE47*Z44)+(AE52*Z49))/(Z24+Z29+Z34+Z39+Z44+Z49),0)</f>
        <v>0</v>
      </c>
      <c r="AF57" s="38" t="n">
        <f aca="false">IFERROR(((AF27*AA24)+(AF32*AA29)+(AF37*AA34)+(AF42*AA39)+(AF47*AA44)+(AF52*AA49))/(AA24+AA29+AA34+AA39+AA44+AA49),0)</f>
        <v>0</v>
      </c>
      <c r="AG57" s="39" t="n">
        <f aca="false">IFERROR(((AC57*X54)+(AD57*Y54)+(AE57*Z54)+(AF57*AA54))/(X54+Y54+Z54+AA54),0)</f>
        <v>0</v>
      </c>
    </row>
    <row r="58" customFormat="false" ht="15" hidden="false" customHeight="false" outlineLevel="0" collapsed="false">
      <c r="C58" s="22" t="s">
        <v>35</v>
      </c>
      <c r="H58" s="25"/>
      <c r="I58" s="38" t="n">
        <f aca="false">IFERROR(((I28*D24)+(I33*D29)+(I38*D34)+(I43*D39)+(I48*D44)+(I53*D49))/(D24+D29+D34+D39+D44+D49),0)</f>
        <v>0.009</v>
      </c>
      <c r="J58" s="38" t="n">
        <f aca="false">IFERROR(((J28*E24)+(J33*E29)+(J38*E34)+(J43*E39)+(J48*E44)+(J53*E49))/(E24+E29+E34+E39+E44+E49),0)</f>
        <v>-0.014</v>
      </c>
      <c r="K58" s="38" t="n">
        <f aca="false">IFERROR(((K28*F24)+(K33*F29)+(K38*F34)+(K43*F39)+(K48*F44)+(K53*F49))/(F24+F29+F34+F39+F44+F49),0)</f>
        <v>-0.016</v>
      </c>
      <c r="L58" s="38" t="n">
        <f aca="false">IFERROR(((L28*G24)+(L33*G29)+(L38*G34)+(L43*G39)+(L48*G44)+(L53*G49))/(G24+G29+G34+G39+G44+G49),0)</f>
        <v>0.002</v>
      </c>
      <c r="M58" s="39" t="n">
        <f aca="false">IFERROR(((I58*D54)+(J58*E54)+(K58*F54)+(L58*G54))/(D54+E54+F54+G54),0)</f>
        <v>-0.00462607932094248</v>
      </c>
      <c r="N58" s="38" t="n">
        <f aca="false">IFERROR(((N28*I24)+(N33*I29)+(N38*I34)+(N43*I39)+(N48*I44)+(N53*I49))/(I24+I29+I34+I39+I44+I49),0)</f>
        <v>0.002</v>
      </c>
      <c r="O58" s="38" t="n">
        <f aca="false">IFERROR(((O28*J24)+(O33*J29)+(O38*J34)+(O43*J39)+(O48*J44)+(O53*J49))/(J24+J29+J34+J39+J44+J49),0)</f>
        <v>-0.016</v>
      </c>
      <c r="P58" s="38" t="n">
        <f aca="false">IFERROR(((P28*K24)+(P33*K29)+(P38*K34)+(P43*K39)+(P48*K44)+(P53*K49))/(K24+K29+K34+K39+K44+K49),0)</f>
        <v>0.023</v>
      </c>
      <c r="Q58" s="38" t="n">
        <f aca="false">IFERROR(((Q28*L24)+(Q33*L29)+(Q38*L34)+(Q43*L39)+(Q48*L44)+(Q53*L49))/(L24+L29+L34+L39+L44+L49),0)</f>
        <v>0.011</v>
      </c>
      <c r="R58" s="39" t="n">
        <f aca="false">IFERROR(((N58*I54)+(O58*J54)+(P58*K54)+(Q58*L54))/(I54+J54+K54+L54),0)</f>
        <v>0.0050926267281106</v>
      </c>
      <c r="S58" s="38" t="n">
        <f aca="false">IFERROR(((S28*N24)+(S33*N29)+(S38*N34)+(S43*N39)+(S48*N44)+(S53*N49))/(N24+N29+N34+N39+N44+N49),0)</f>
        <v>0.046</v>
      </c>
      <c r="T58" s="38" t="n">
        <f aca="false">IFERROR(((T28*O24)+(T33*O29)+(T38*O34)+(T43*O39)+(T48*O44)+(T53*O49))/(O24+O29+O34+O39+O44+O49),0)</f>
        <v>0.04</v>
      </c>
      <c r="U58" s="38" t="n">
        <f aca="false">IFERROR(((U28*P24)+(U33*P29)+(U38*P34)+(U43*P39)+(U48*P44)+(U53*P49))/(P24+P29+P34+P39+P44+P49),0)</f>
        <v>0</v>
      </c>
      <c r="V58" s="38" t="n">
        <f aca="false">IFERROR(((V28*Q24)+(V33*Q29)+(V38*Q34)+(V43*Q39)+(V48*Q44)+(V53*Q49))/(Q24+Q29+Q34+Q39+Q44+Q49),0)</f>
        <v>0</v>
      </c>
      <c r="W58" s="39" t="n">
        <f aca="false">IFERROR(((S58*N54)+(T58*O54)+(U58*P54)+(V58*Q54))/(N54+O54+P54+Q54),0)</f>
        <v>0.0207320092112838</v>
      </c>
      <c r="X58" s="38" t="n">
        <f aca="false">IFERROR(((X28*S24)+(X33*S29)+(X38*S34)+(X43*S39)+(X48*S44)+(X53*S49))/(S24+S29+S34+S39+S44+S49),0)</f>
        <v>0</v>
      </c>
      <c r="Y58" s="38" t="n">
        <f aca="false">IFERROR(((Y28*T24)+(Y33*T29)+(Y38*T34)+(Y43*T39)+(Y48*T44)+(Y53*T49))/(T24+T29+T34+T39+T44+T49),0)</f>
        <v>0</v>
      </c>
      <c r="Z58" s="38" t="n">
        <f aca="false">IFERROR(((Z28*U24)+(Z33*U29)+(Z38*U34)+(Z43*U39)+(Z48*U44)+(Z53*U49))/(U24+U29+U34+U39+U44+U49),0)</f>
        <v>0</v>
      </c>
      <c r="AA58" s="38" t="n">
        <f aca="false">IFERROR(((AA28*V24)+(AA33*V29)+(AA38*V34)+(AA43*V39)+(AA48*V44)+(AA53*V49))/(V24+V29+V34+V39+V44+V49),0)</f>
        <v>0</v>
      </c>
      <c r="AB58" s="39" t="n">
        <f aca="false">IFERROR(((X58*S54)+(Y58*T54)+(Z58*U54)+(AA58*V54))/(S54+T54+U54+V54),0)</f>
        <v>0</v>
      </c>
      <c r="AC58" s="38" t="n">
        <f aca="false">IFERROR(((AC28*X24)+(AC33*X29)+(AC38*X34)+(AC43*X39)+(AC48*X44)+(AC53*X49))/(X24+X29+X34+X39+X44+X49),0)</f>
        <v>0</v>
      </c>
      <c r="AD58" s="38" t="n">
        <f aca="false">IFERROR(((AD28*Y24)+(AD33*Y29)+(AD38*Y34)+(AD43*Y39)+(AD48*Y44)+(AD53*Y49))/(Y24+Y29+Y34+Y39+Y44+Y49),0)</f>
        <v>0</v>
      </c>
      <c r="AE58" s="38" t="n">
        <f aca="false">IFERROR(((AE28*Z24)+(AE33*Z29)+(AE38*Z34)+(AE43*Z39)+(AE48*Z44)+(AE53*Z49))/(Z24+Z29+Z34+Z39+Z44+Z49),0)</f>
        <v>0</v>
      </c>
      <c r="AF58" s="38" t="n">
        <f aca="false">IFERROR(((AF28*AA24)+(AF33*AA29)+(AF38*AA34)+(AF43*AA39)+(AF48*AA44)+(AF53*AA49))/(AA24+AA29+AA34+AA39+AA44+AA49),0)</f>
        <v>0</v>
      </c>
      <c r="AG58" s="39" t="n">
        <f aca="false">IFERROR(((AC58*X54)+(AD58*Y54)+(AE58*Z54)+(AF58*AA54))/(X54+Y54+Z54+AA54),0)</f>
        <v>0</v>
      </c>
    </row>
    <row r="59" customFormat="false" ht="15" hidden="false" customHeight="false" outlineLevel="0" collapsed="false">
      <c r="H59" s="25"/>
      <c r="M59" s="25"/>
      <c r="R59" s="25"/>
      <c r="W59" s="25"/>
      <c r="AB59" s="25"/>
      <c r="AG59" s="25"/>
    </row>
    <row r="60" customFormat="false" ht="15" hidden="false" customHeight="false" outlineLevel="0" collapsed="false">
      <c r="B60" s="17" t="s">
        <v>84</v>
      </c>
      <c r="C60" s="18"/>
      <c r="D60" s="18"/>
      <c r="E60" s="18"/>
      <c r="F60" s="18"/>
      <c r="G60" s="18"/>
      <c r="H60" s="19"/>
      <c r="I60" s="18"/>
      <c r="J60" s="18"/>
      <c r="K60" s="18"/>
      <c r="L60" s="18"/>
      <c r="M60" s="19"/>
      <c r="N60" s="18"/>
      <c r="O60" s="18"/>
      <c r="P60" s="18"/>
      <c r="Q60" s="18"/>
      <c r="R60" s="19"/>
      <c r="S60" s="18"/>
      <c r="T60" s="18"/>
      <c r="U60" s="18"/>
      <c r="V60" s="18"/>
      <c r="W60" s="19"/>
      <c r="X60" s="18"/>
      <c r="Y60" s="18"/>
      <c r="Z60" s="18"/>
      <c r="AA60" s="18"/>
      <c r="AB60" s="19"/>
      <c r="AC60" s="18"/>
      <c r="AD60" s="18"/>
      <c r="AE60" s="18"/>
      <c r="AF60" s="18"/>
      <c r="AG60" s="19"/>
    </row>
    <row r="61" customFormat="false" ht="15" hidden="false" customHeight="false" outlineLevel="0" collapsed="false">
      <c r="H61" s="25"/>
      <c r="M61" s="25"/>
      <c r="R61" s="25"/>
      <c r="W61" s="25"/>
      <c r="AB61" s="25"/>
      <c r="AG61" s="25"/>
    </row>
    <row r="62" customFormat="false" ht="15" hidden="false" customHeight="false" outlineLevel="0" collapsed="false">
      <c r="C62" s="4" t="s">
        <v>49</v>
      </c>
      <c r="D62" s="35" t="n">
        <v>719</v>
      </c>
      <c r="E62" s="35" t="n">
        <v>726</v>
      </c>
      <c r="F62" s="35" t="n">
        <v>661</v>
      </c>
      <c r="G62" s="35" t="n">
        <v>674</v>
      </c>
      <c r="H62" s="44" t="n">
        <f aca="false">D62+E62+F62+G62</f>
        <v>2780</v>
      </c>
      <c r="I62" s="35" t="n">
        <v>620</v>
      </c>
      <c r="J62" s="35" t="n">
        <v>604</v>
      </c>
      <c r="K62" s="35" t="n">
        <v>585</v>
      </c>
      <c r="L62" s="35" t="n">
        <v>657</v>
      </c>
      <c r="M62" s="44" t="n">
        <f aca="false">I62+J62+K62+L62</f>
        <v>2466</v>
      </c>
      <c r="N62" s="35" t="n">
        <v>647</v>
      </c>
      <c r="O62" s="35" t="n">
        <v>654</v>
      </c>
      <c r="P62" s="35" t="n">
        <v>670</v>
      </c>
      <c r="Q62" s="35" t="n">
        <v>755</v>
      </c>
      <c r="R62" s="44" t="n">
        <f aca="false">N62+O62+P62+Q62</f>
        <v>2726</v>
      </c>
      <c r="S62" s="35" t="n">
        <v>679</v>
      </c>
      <c r="T62" s="35" t="n">
        <v>732</v>
      </c>
      <c r="U62" s="45" t="n">
        <f aca="false">P62*(1+U55)</f>
        <v>696.8</v>
      </c>
      <c r="V62" s="45" t="n">
        <f aca="false">Q62*(1+V55)</f>
        <v>785.2</v>
      </c>
      <c r="W62" s="44" t="n">
        <f aca="false">S62+T62+U62+V62</f>
        <v>2893</v>
      </c>
      <c r="X62" s="45" t="n">
        <f aca="false">S62*(1+X55)</f>
        <v>706.16</v>
      </c>
      <c r="Y62" s="45" t="n">
        <f aca="false">T62*(1+Y55)</f>
        <v>761.28</v>
      </c>
      <c r="Z62" s="45" t="n">
        <f aca="false">U62*(1+Z55)</f>
        <v>724.672</v>
      </c>
      <c r="AA62" s="45" t="n">
        <f aca="false">V62*(1+AA55)</f>
        <v>816.608</v>
      </c>
      <c r="AB62" s="44" t="n">
        <f aca="false">X62+Y62+Z62+AA62</f>
        <v>3008.72</v>
      </c>
      <c r="AC62" s="45" t="n">
        <f aca="false">X62*(1+AC55)</f>
        <v>734.4064</v>
      </c>
      <c r="AD62" s="45" t="n">
        <f aca="false">Y62*(1+AD55)</f>
        <v>791.7312</v>
      </c>
      <c r="AE62" s="45" t="n">
        <f aca="false">Z62*(1+AE55)</f>
        <v>753.65888</v>
      </c>
      <c r="AF62" s="45" t="n">
        <f aca="false">AA62*(1+AF55)</f>
        <v>849.27232</v>
      </c>
      <c r="AG62" s="44" t="n">
        <f aca="false">AC62+AD62+AE62+AF62</f>
        <v>3129.0688</v>
      </c>
    </row>
    <row r="63" customFormat="false" ht="15" hidden="false" customHeight="false" outlineLevel="0" collapsed="false">
      <c r="C63" s="22" t="s">
        <v>32</v>
      </c>
      <c r="H63" s="25"/>
      <c r="I63" s="46" t="n">
        <f aca="false">IFERROR(I62/D62-1,0)</f>
        <v>-0.13769123783032</v>
      </c>
      <c r="J63" s="46" t="n">
        <f aca="false">IFERROR(J62/E62-1,0)</f>
        <v>-0.168044077134986</v>
      </c>
      <c r="K63" s="46" t="n">
        <f aca="false">IFERROR(K62/F62-1,0)</f>
        <v>-0.114977307110439</v>
      </c>
      <c r="L63" s="46" t="n">
        <f aca="false">IFERROR(L62/G62-1,0)</f>
        <v>-0.0252225519287834</v>
      </c>
      <c r="M63" s="47" t="n">
        <f aca="false">IFERROR(M62/H62-1,0)</f>
        <v>-0.11294964028777</v>
      </c>
      <c r="N63" s="46" t="n">
        <f aca="false">IFERROR(N62/I62-1,0)</f>
        <v>0.0435483870967741</v>
      </c>
      <c r="O63" s="46" t="n">
        <f aca="false">IFERROR(O62/J62-1,0)</f>
        <v>0.0827814569536425</v>
      </c>
      <c r="P63" s="46" t="n">
        <f aca="false">IFERROR(P62/K62-1,0)</f>
        <v>0.145299145299145</v>
      </c>
      <c r="Q63" s="46" t="n">
        <f aca="false">IFERROR(Q62/L62-1,0)</f>
        <v>0.149162861491629</v>
      </c>
      <c r="R63" s="47" t="n">
        <f aca="false">IFERROR(R62/M62-1,0)</f>
        <v>0.105433901054339</v>
      </c>
      <c r="S63" s="46" t="n">
        <f aca="false">IFERROR(S62/N62-1,0)</f>
        <v>0.0494590417310665</v>
      </c>
      <c r="T63" s="46" t="n">
        <f aca="false">IFERROR(T62/O62-1,0)</f>
        <v>0.119266055045872</v>
      </c>
      <c r="U63" s="46" t="n">
        <f aca="false">IFERROR(U62/P62-1,0)</f>
        <v>0.0399999999999998</v>
      </c>
      <c r="V63" s="46" t="n">
        <f aca="false">IFERROR(V62/Q62-1,0)</f>
        <v>0.04</v>
      </c>
      <c r="W63" s="47" t="n">
        <f aca="false">IFERROR(W62/R62-1,0)</f>
        <v>0.0612619222303741</v>
      </c>
      <c r="X63" s="46" t="n">
        <f aca="false">IFERROR(X62/S62-1,0)</f>
        <v>0.04</v>
      </c>
      <c r="Y63" s="46" t="n">
        <f aca="false">IFERROR(Y62/T62-1,0)</f>
        <v>0.04</v>
      </c>
      <c r="Z63" s="46" t="n">
        <f aca="false">IFERROR(Z62/U62-1,0)</f>
        <v>0.04</v>
      </c>
      <c r="AA63" s="46" t="n">
        <f aca="false">IFERROR(AA62/V62-1,0)</f>
        <v>0.04</v>
      </c>
      <c r="AB63" s="47" t="n">
        <f aca="false">IFERROR(AB62/W62-1,0)</f>
        <v>0.04</v>
      </c>
      <c r="AC63" s="46" t="n">
        <f aca="false">IFERROR(AC62/X62-1,0)</f>
        <v>0.0399999999999998</v>
      </c>
      <c r="AD63" s="46" t="n">
        <f aca="false">IFERROR(AD62/Y62-1,0)</f>
        <v>0.04</v>
      </c>
      <c r="AE63" s="46" t="n">
        <f aca="false">IFERROR(AE62/Z62-1,0)</f>
        <v>0.04</v>
      </c>
      <c r="AF63" s="46" t="n">
        <f aca="false">IFERROR(AF62/AA62-1,0)</f>
        <v>0.0399999999999998</v>
      </c>
      <c r="AG63" s="47" t="n">
        <f aca="false">IFERROR(AG62/AB62-1,0)</f>
        <v>0.0399999999999998</v>
      </c>
    </row>
    <row r="64" customFormat="false" ht="15" hidden="false" customHeight="false" outlineLevel="0" collapsed="false">
      <c r="H64" s="25"/>
      <c r="M64" s="25"/>
      <c r="R64" s="25"/>
      <c r="W64" s="25"/>
      <c r="AB64" s="25"/>
      <c r="AG64" s="25"/>
    </row>
    <row r="65" customFormat="false" ht="15" hidden="false" customHeight="false" outlineLevel="0" collapsed="false">
      <c r="C65" s="4" t="s">
        <v>51</v>
      </c>
      <c r="D65" s="35" t="n">
        <v>652</v>
      </c>
      <c r="E65" s="35" t="n">
        <v>660</v>
      </c>
      <c r="F65" s="35" t="n">
        <v>672</v>
      </c>
      <c r="G65" s="35" t="n">
        <v>672</v>
      </c>
      <c r="H65" s="44" t="n">
        <f aca="false">D65+E65+F65+G65</f>
        <v>2656</v>
      </c>
      <c r="I65" s="35" t="n">
        <v>686</v>
      </c>
      <c r="J65" s="35" t="n">
        <v>664</v>
      </c>
      <c r="K65" s="35" t="n">
        <v>691</v>
      </c>
      <c r="L65" s="35" t="n">
        <v>706</v>
      </c>
      <c r="M65" s="44" t="n">
        <f aca="false">I65+J65+K65+L65</f>
        <v>2747</v>
      </c>
      <c r="N65" s="35" t="n">
        <v>696</v>
      </c>
      <c r="O65" s="35" t="n">
        <v>713</v>
      </c>
      <c r="P65" s="35" t="n">
        <v>744</v>
      </c>
      <c r="Q65" s="35" t="n">
        <v>755</v>
      </c>
      <c r="R65" s="44" t="n">
        <f aca="false">N65+O65+P65+Q65</f>
        <v>2908</v>
      </c>
      <c r="S65" s="35" t="n">
        <v>758</v>
      </c>
      <c r="T65" s="35" t="n">
        <v>759</v>
      </c>
      <c r="U65" s="45" t="n">
        <f aca="false">P65*(1+U55)</f>
        <v>773.76</v>
      </c>
      <c r="V65" s="45" t="n">
        <f aca="false">Q65*(1+V55)</f>
        <v>785.2</v>
      </c>
      <c r="W65" s="44" t="n">
        <f aca="false">S65+T65+U65+V65</f>
        <v>3075.96</v>
      </c>
      <c r="X65" s="45" t="n">
        <f aca="false">S65*(1+X55)</f>
        <v>788.32</v>
      </c>
      <c r="Y65" s="45" t="n">
        <f aca="false">T65*(1+Y55)</f>
        <v>789.36</v>
      </c>
      <c r="Z65" s="45" t="n">
        <f aca="false">U65*(1+Z55)</f>
        <v>804.7104</v>
      </c>
      <c r="AA65" s="45" t="n">
        <f aca="false">V65*(1+AA55)</f>
        <v>816.608</v>
      </c>
      <c r="AB65" s="44" t="n">
        <f aca="false">X65+Y65+Z65+AA65</f>
        <v>3198.9984</v>
      </c>
      <c r="AC65" s="45" t="n">
        <f aca="false">X65*(1+AC55)</f>
        <v>819.8528</v>
      </c>
      <c r="AD65" s="45" t="n">
        <f aca="false">Y65*(1+AD55)</f>
        <v>820.9344</v>
      </c>
      <c r="AE65" s="45" t="n">
        <f aca="false">Z65*(1+AE55)</f>
        <v>836.898816</v>
      </c>
      <c r="AF65" s="45" t="n">
        <f aca="false">AA65*(1+AF55)</f>
        <v>849.27232</v>
      </c>
      <c r="AG65" s="44" t="n">
        <f aca="false">AC65+AD65+AE65+AF65</f>
        <v>3326.958336</v>
      </c>
    </row>
    <row r="66" customFormat="false" ht="15" hidden="false" customHeight="false" outlineLevel="0" collapsed="false">
      <c r="C66" s="22" t="s">
        <v>32</v>
      </c>
      <c r="H66" s="25"/>
      <c r="I66" s="46" t="n">
        <f aca="false">IFERROR(I65/D65-1,0)</f>
        <v>0.0521472392638036</v>
      </c>
      <c r="J66" s="46" t="n">
        <f aca="false">IFERROR(J65/E65-1,0)</f>
        <v>0.0060606060606061</v>
      </c>
      <c r="K66" s="46" t="n">
        <f aca="false">IFERROR(K65/F65-1,0)</f>
        <v>0.0282738095238095</v>
      </c>
      <c r="L66" s="46" t="n">
        <f aca="false">IFERROR(L65/G65-1,0)</f>
        <v>0.0505952380952381</v>
      </c>
      <c r="M66" s="47" t="n">
        <f aca="false">IFERROR(M65/H65-1,0)</f>
        <v>0.0342620481927711</v>
      </c>
      <c r="N66" s="46" t="n">
        <f aca="false">IFERROR(N65/I65-1,0)</f>
        <v>0.0145772594752187</v>
      </c>
      <c r="O66" s="46" t="n">
        <f aca="false">IFERROR(O65/J65-1,0)</f>
        <v>0.0737951807228916</v>
      </c>
      <c r="P66" s="46" t="n">
        <f aca="false">IFERROR(P65/K65-1,0)</f>
        <v>0.0767004341534008</v>
      </c>
      <c r="Q66" s="46" t="n">
        <f aca="false">IFERROR(Q65/L65-1,0)</f>
        <v>0.0694050991501416</v>
      </c>
      <c r="R66" s="47" t="n">
        <f aca="false">IFERROR(R65/M65-1,0)</f>
        <v>0.0586093920640698</v>
      </c>
      <c r="S66" s="46" t="n">
        <f aca="false">IFERROR(S65/N65-1,0)</f>
        <v>0.0890804597701149</v>
      </c>
      <c r="T66" s="46" t="n">
        <f aca="false">IFERROR(T65/O65-1,0)</f>
        <v>0.064516129032258</v>
      </c>
      <c r="U66" s="46" t="n">
        <f aca="false">IFERROR(U65/P65-1,0)</f>
        <v>0.0399999999999998</v>
      </c>
      <c r="V66" s="46" t="n">
        <f aca="false">IFERROR(V65/Q65-1,0)</f>
        <v>0.04</v>
      </c>
      <c r="W66" s="47" t="n">
        <f aca="false">IFERROR(W65/R65-1,0)</f>
        <v>0.0577579092159559</v>
      </c>
      <c r="X66" s="46" t="n">
        <f aca="false">IFERROR(X65/S65-1,0)</f>
        <v>0.04</v>
      </c>
      <c r="Y66" s="46" t="n">
        <f aca="false">IFERROR(Y65/T65-1,0)</f>
        <v>0.04</v>
      </c>
      <c r="Z66" s="46" t="n">
        <f aca="false">IFERROR(Z65/U65-1,0)</f>
        <v>0.04</v>
      </c>
      <c r="AA66" s="46" t="n">
        <f aca="false">IFERROR(AA65/V65-1,0)</f>
        <v>0.04</v>
      </c>
      <c r="AB66" s="47" t="n">
        <f aca="false">IFERROR(AB65/W65-1,0)</f>
        <v>0.04</v>
      </c>
      <c r="AC66" s="46" t="n">
        <f aca="false">IFERROR(AC65/X65-1,0)</f>
        <v>0.0399999999999998</v>
      </c>
      <c r="AD66" s="46" t="n">
        <f aca="false">IFERROR(AD65/Y65-1,0)</f>
        <v>0.04</v>
      </c>
      <c r="AE66" s="46" t="n">
        <f aca="false">IFERROR(AE65/Z65-1,0)</f>
        <v>0.04</v>
      </c>
      <c r="AF66" s="46" t="n">
        <f aca="false">IFERROR(AF65/AA65-1,0)</f>
        <v>0.0399999999999998</v>
      </c>
      <c r="AG66" s="47" t="n">
        <f aca="false">IFERROR(AG65/AB65-1,0)</f>
        <v>0.0399999999999998</v>
      </c>
    </row>
    <row r="67" customFormat="false" ht="15" hidden="false" customHeight="false" outlineLevel="0" collapsed="false">
      <c r="H67" s="25"/>
      <c r="M67" s="25"/>
      <c r="R67" s="25"/>
      <c r="W67" s="25"/>
      <c r="AB67" s="25"/>
      <c r="AG67" s="25"/>
    </row>
    <row r="68" customFormat="false" ht="15" hidden="false" customHeight="false" outlineLevel="0" collapsed="false">
      <c r="C68" s="4" t="s">
        <v>52</v>
      </c>
      <c r="D68" s="35" t="n">
        <v>385</v>
      </c>
      <c r="E68" s="35" t="n">
        <v>331</v>
      </c>
      <c r="F68" s="35" t="n">
        <v>339</v>
      </c>
      <c r="G68" s="35" t="n">
        <v>342</v>
      </c>
      <c r="H68" s="44" t="n">
        <f aca="false">D68+E68+F68+G68</f>
        <v>1397</v>
      </c>
      <c r="I68" s="35" t="n">
        <v>352</v>
      </c>
      <c r="J68" s="35" t="n">
        <v>305</v>
      </c>
      <c r="K68" s="35" t="n">
        <v>302</v>
      </c>
      <c r="L68" s="35" t="n">
        <v>338</v>
      </c>
      <c r="M68" s="44" t="n">
        <f aca="false">I68+J68+K68+L68</f>
        <v>1297</v>
      </c>
      <c r="N68" s="35" t="n">
        <v>338</v>
      </c>
      <c r="O68" s="35" t="n">
        <v>301</v>
      </c>
      <c r="P68" s="35" t="n">
        <v>324</v>
      </c>
      <c r="Q68" s="35" t="n">
        <v>351</v>
      </c>
      <c r="R68" s="44" t="n">
        <f aca="false">N68+O68+P68+Q68</f>
        <v>1314</v>
      </c>
      <c r="S68" s="35" t="n">
        <v>361</v>
      </c>
      <c r="T68" s="35" t="n">
        <v>344</v>
      </c>
      <c r="U68" s="45" t="n">
        <f aca="false">P68*(1+U55)</f>
        <v>336.96</v>
      </c>
      <c r="V68" s="45" t="n">
        <f aca="false">Q68*(1+V55)</f>
        <v>365.04</v>
      </c>
      <c r="W68" s="44" t="n">
        <f aca="false">S68+T68+U68+V68</f>
        <v>1407</v>
      </c>
      <c r="X68" s="45" t="n">
        <f aca="false">S68*(1+X55)</f>
        <v>375.44</v>
      </c>
      <c r="Y68" s="45" t="n">
        <f aca="false">T68*(1+Y55)</f>
        <v>357.76</v>
      </c>
      <c r="Z68" s="45" t="n">
        <f aca="false">U68*(1+Z55)</f>
        <v>350.4384</v>
      </c>
      <c r="AA68" s="45" t="n">
        <f aca="false">V68*(1+AA55)</f>
        <v>379.6416</v>
      </c>
      <c r="AB68" s="44" t="n">
        <f aca="false">X68+Y68+Z68+AA68</f>
        <v>1463.28</v>
      </c>
      <c r="AC68" s="45" t="n">
        <f aca="false">X68*(1+AC55)</f>
        <v>390.4576</v>
      </c>
      <c r="AD68" s="45" t="n">
        <f aca="false">Y68*(1+AD55)</f>
        <v>372.0704</v>
      </c>
      <c r="AE68" s="45" t="n">
        <f aca="false">Z68*(1+AE55)</f>
        <v>364.455936</v>
      </c>
      <c r="AF68" s="45" t="n">
        <f aca="false">AA68*(1+AF55)</f>
        <v>394.827264</v>
      </c>
      <c r="AG68" s="44" t="n">
        <f aca="false">AC68+AD68+AE68+AF68</f>
        <v>1521.8112</v>
      </c>
    </row>
    <row r="69" customFormat="false" ht="15" hidden="false" customHeight="false" outlineLevel="0" collapsed="false">
      <c r="C69" s="22" t="s">
        <v>32</v>
      </c>
      <c r="H69" s="25"/>
      <c r="I69" s="46" t="n">
        <f aca="false">IFERROR(I68/D68-1,0)</f>
        <v>-0.0857142857142857</v>
      </c>
      <c r="J69" s="46" t="n">
        <f aca="false">IFERROR(J68/E68-1,0)</f>
        <v>-0.0785498489425982</v>
      </c>
      <c r="K69" s="46" t="n">
        <f aca="false">IFERROR(K68/F68-1,0)</f>
        <v>-0.109144542772861</v>
      </c>
      <c r="L69" s="46" t="n">
        <f aca="false">IFERROR(L68/G68-1,0)</f>
        <v>-0.0116959064327485</v>
      </c>
      <c r="M69" s="47" t="n">
        <f aca="false">IFERROR(M68/H68-1,0)</f>
        <v>-0.0715819613457409</v>
      </c>
      <c r="N69" s="46" t="n">
        <f aca="false">IFERROR(N68/I68-1,0)</f>
        <v>-0.0397727272727273</v>
      </c>
      <c r="O69" s="46" t="n">
        <f aca="false">IFERROR(O68/J68-1,0)</f>
        <v>-0.0131147540983606</v>
      </c>
      <c r="P69" s="46" t="n">
        <f aca="false">IFERROR(P68/K68-1,0)</f>
        <v>0.0728476821192052</v>
      </c>
      <c r="Q69" s="46" t="n">
        <f aca="false">IFERROR(Q68/L68-1,0)</f>
        <v>0.0384615384615386</v>
      </c>
      <c r="R69" s="47" t="n">
        <f aca="false">IFERROR(R68/M68-1,0)</f>
        <v>0.0131071703932151</v>
      </c>
      <c r="S69" s="46" t="n">
        <f aca="false">IFERROR(S68/N68-1,0)</f>
        <v>0.0680473372781065</v>
      </c>
      <c r="T69" s="46" t="n">
        <f aca="false">IFERROR(T68/O68-1,0)</f>
        <v>0.142857142857143</v>
      </c>
      <c r="U69" s="46" t="n">
        <f aca="false">IFERROR(U68/P68-1,0)</f>
        <v>0.0399999999999998</v>
      </c>
      <c r="V69" s="46" t="n">
        <f aca="false">IFERROR(V68/Q68-1,0)</f>
        <v>0.04</v>
      </c>
      <c r="W69" s="47" t="n">
        <f aca="false">IFERROR(W68/R68-1,0)</f>
        <v>0.0707762557077625</v>
      </c>
      <c r="X69" s="46" t="n">
        <f aca="false">IFERROR(X68/S68-1,0)</f>
        <v>0.04</v>
      </c>
      <c r="Y69" s="46" t="n">
        <f aca="false">IFERROR(Y68/T68-1,0)</f>
        <v>0.04</v>
      </c>
      <c r="Z69" s="46" t="n">
        <f aca="false">IFERROR(Z68/U68-1,0)</f>
        <v>0.04</v>
      </c>
      <c r="AA69" s="46" t="n">
        <f aca="false">IFERROR(AA68/V68-1,0)</f>
        <v>0.04</v>
      </c>
      <c r="AB69" s="47" t="n">
        <f aca="false">IFERROR(AB68/W68-1,0)</f>
        <v>0.04</v>
      </c>
      <c r="AC69" s="46" t="n">
        <f aca="false">IFERROR(AC68/X68-1,0)</f>
        <v>0.0399999999999998</v>
      </c>
      <c r="AD69" s="46" t="n">
        <f aca="false">IFERROR(AD68/Y68-1,0)</f>
        <v>0.04</v>
      </c>
      <c r="AE69" s="46" t="n">
        <f aca="false">IFERROR(AE68/Z68-1,0)</f>
        <v>0.04</v>
      </c>
      <c r="AF69" s="46" t="n">
        <f aca="false">IFERROR(AF68/AA68-1,0)</f>
        <v>0.0399999999999998</v>
      </c>
      <c r="AG69" s="47" t="n">
        <f aca="false">IFERROR(AG68/AB68-1,0)</f>
        <v>0.0399999999999998</v>
      </c>
    </row>
    <row r="70" customFormat="false" ht="15" hidden="false" customHeight="false" outlineLevel="0" collapsed="false">
      <c r="H70" s="25"/>
      <c r="M70" s="25"/>
      <c r="R70" s="25"/>
      <c r="W70" s="25"/>
      <c r="AB70" s="25"/>
      <c r="AG70" s="25"/>
    </row>
    <row r="71" customFormat="false" ht="15" hidden="false" customHeight="false" outlineLevel="0" collapsed="false">
      <c r="C71" s="22" t="s">
        <v>85</v>
      </c>
      <c r="D71" s="45" t="n">
        <f aca="false">(D62+D65+D68)-D54</f>
        <v>0</v>
      </c>
      <c r="E71" s="45" t="n">
        <f aca="false">(E62+E65+E68)-E54</f>
        <v>0</v>
      </c>
      <c r="F71" s="45" t="n">
        <f aca="false">(F62+F65+F68)-F54</f>
        <v>0</v>
      </c>
      <c r="G71" s="45" t="n">
        <f aca="false">(G62+G65+G68)-G54</f>
        <v>0</v>
      </c>
      <c r="H71" s="44" t="n">
        <f aca="false">(H62+H65+H68)-H54</f>
        <v>0</v>
      </c>
      <c r="I71" s="45" t="n">
        <f aca="false">(I62+I65+I68)-I54</f>
        <v>0</v>
      </c>
      <c r="J71" s="45" t="n">
        <f aca="false">(J62+J65+J68)-J54</f>
        <v>0</v>
      </c>
      <c r="K71" s="45" t="n">
        <f aca="false">(K62+K65+K68)-K54</f>
        <v>0</v>
      </c>
      <c r="L71" s="45" t="n">
        <f aca="false">(L62+L65+L68)-L54</f>
        <v>0</v>
      </c>
      <c r="M71" s="44" t="n">
        <f aca="false">(M62+M65+M68)-M54</f>
        <v>0</v>
      </c>
      <c r="N71" s="45" t="n">
        <f aca="false">(N62+N65+N68)-N54</f>
        <v>0</v>
      </c>
      <c r="O71" s="45" t="n">
        <f aca="false">(O62+O65+O68)-O54</f>
        <v>0</v>
      </c>
      <c r="P71" s="45" t="n">
        <f aca="false">(P62+P65+P68)-P54</f>
        <v>0</v>
      </c>
      <c r="Q71" s="45" t="n">
        <f aca="false">(Q62+Q65+Q68)-Q54</f>
        <v>0</v>
      </c>
      <c r="R71" s="44" t="n">
        <f aca="false">(R62+R65+R68)-R54</f>
        <v>0</v>
      </c>
      <c r="S71" s="45" t="n">
        <f aca="false">(S62+S65+S68)-S54</f>
        <v>0</v>
      </c>
      <c r="T71" s="45" t="n">
        <f aca="false">(T62+T65+T68)-T54</f>
        <v>0</v>
      </c>
      <c r="U71" s="45" t="n">
        <f aca="false">(U62+U65+U68)-U54</f>
        <v>0</v>
      </c>
      <c r="V71" s="45" t="n">
        <f aca="false">(V62+V65+V68)-V54</f>
        <v>0</v>
      </c>
      <c r="W71" s="44" t="n">
        <f aca="false">(W62+W65+W68)-W54</f>
        <v>0</v>
      </c>
      <c r="X71" s="45" t="n">
        <f aca="false">(X62+X65+X68)-X54</f>
        <v>0</v>
      </c>
      <c r="Y71" s="45" t="n">
        <f aca="false">(Y62+Y65+Y68)-Y54</f>
        <v>0</v>
      </c>
      <c r="Z71" s="45" t="n">
        <f aca="false">(Z62+Z65+Z68)-Z54</f>
        <v>0</v>
      </c>
      <c r="AA71" s="45" t="n">
        <f aca="false">(AA62+AA65+AA68)-AA54</f>
        <v>0</v>
      </c>
      <c r="AB71" s="44" t="n">
        <f aca="false">(AB62+AB65+AB68)-AB54</f>
        <v>0</v>
      </c>
      <c r="AC71" s="45" t="n">
        <f aca="false">(AC62+AC65+AC68)-AC54</f>
        <v>0</v>
      </c>
      <c r="AD71" s="45" t="n">
        <f aca="false">(AD62+AD65+AD68)-AD54</f>
        <v>0</v>
      </c>
      <c r="AE71" s="45" t="n">
        <f aca="false">(AE62+AE65+AE68)-AE54</f>
        <v>0</v>
      </c>
      <c r="AF71" s="45" t="n">
        <f aca="false">(AF62+AF65+AF68)-AF54</f>
        <v>0</v>
      </c>
      <c r="AG71" s="44" t="n">
        <f aca="false">(AG62+AG65+AG68)-AG54</f>
        <v>0</v>
      </c>
    </row>
    <row r="72" customFormat="false" ht="15" hidden="false" customHeight="false" outlineLevel="0" collapsed="false">
      <c r="H72" s="25"/>
      <c r="M72" s="25"/>
      <c r="R72" s="25"/>
      <c r="W72" s="25"/>
      <c r="AB72" s="25"/>
      <c r="AG72" s="25"/>
    </row>
    <row r="73" customFormat="false" ht="15" hidden="false" customHeight="false" outlineLevel="0" collapsed="false">
      <c r="B73" s="17" t="s">
        <v>86</v>
      </c>
      <c r="C73" s="18"/>
      <c r="D73" s="18"/>
      <c r="E73" s="18"/>
      <c r="F73" s="18"/>
      <c r="G73" s="18"/>
      <c r="H73" s="19"/>
      <c r="I73" s="18"/>
      <c r="J73" s="18"/>
      <c r="K73" s="18"/>
      <c r="L73" s="18"/>
      <c r="M73" s="19"/>
      <c r="N73" s="18"/>
      <c r="O73" s="18"/>
      <c r="P73" s="18"/>
      <c r="Q73" s="18"/>
      <c r="R73" s="19"/>
      <c r="S73" s="18"/>
      <c r="T73" s="18"/>
      <c r="U73" s="18"/>
      <c r="V73" s="18"/>
      <c r="W73" s="19"/>
      <c r="X73" s="18"/>
      <c r="Y73" s="18"/>
      <c r="Z73" s="18"/>
      <c r="AA73" s="18"/>
      <c r="AB73" s="19"/>
      <c r="AC73" s="18"/>
      <c r="AD73" s="18"/>
      <c r="AE73" s="18"/>
      <c r="AF73" s="18"/>
      <c r="AG73" s="19"/>
    </row>
    <row r="74" customFormat="false" ht="15" hidden="false" customHeight="false" outlineLevel="0" collapsed="false">
      <c r="H74" s="25"/>
      <c r="M74" s="25"/>
      <c r="R74" s="25"/>
      <c r="W74" s="25"/>
      <c r="AB74" s="25"/>
      <c r="AG74" s="25"/>
    </row>
    <row r="75" customFormat="false" ht="15" hidden="false" customHeight="false" outlineLevel="0" collapsed="false">
      <c r="C75" s="30" t="s">
        <v>49</v>
      </c>
      <c r="D75" s="31"/>
      <c r="E75" s="31"/>
      <c r="F75" s="31"/>
      <c r="G75" s="31"/>
      <c r="H75" s="32"/>
      <c r="I75" s="31"/>
      <c r="J75" s="31"/>
      <c r="K75" s="31"/>
      <c r="L75" s="31"/>
      <c r="M75" s="32"/>
      <c r="N75" s="31"/>
      <c r="O75" s="31"/>
      <c r="P75" s="31"/>
      <c r="Q75" s="31"/>
      <c r="R75" s="32"/>
      <c r="S75" s="31"/>
      <c r="T75" s="31"/>
      <c r="U75" s="31"/>
      <c r="V75" s="31"/>
      <c r="W75" s="32"/>
      <c r="X75" s="31"/>
      <c r="Y75" s="31"/>
      <c r="Z75" s="31"/>
      <c r="AA75" s="31"/>
      <c r="AB75" s="32"/>
      <c r="AC75" s="31"/>
      <c r="AD75" s="31"/>
      <c r="AE75" s="31"/>
      <c r="AF75" s="31"/>
      <c r="AG75" s="32"/>
    </row>
    <row r="76" customFormat="false" ht="15" hidden="false" customHeight="false" outlineLevel="0" collapsed="false">
      <c r="C76" s="4" t="s">
        <v>87</v>
      </c>
      <c r="D76" s="45" t="n">
        <f aca="false">D62</f>
        <v>719</v>
      </c>
      <c r="E76" s="45" t="n">
        <f aca="false">E62</f>
        <v>726</v>
      </c>
      <c r="F76" s="45" t="n">
        <f aca="false">F62</f>
        <v>661</v>
      </c>
      <c r="G76" s="45" t="n">
        <f aca="false">G62</f>
        <v>674</v>
      </c>
      <c r="H76" s="44" t="n">
        <f aca="false">H62</f>
        <v>2780</v>
      </c>
      <c r="I76" s="45" t="n">
        <f aca="false">I62</f>
        <v>620</v>
      </c>
      <c r="J76" s="45" t="n">
        <f aca="false">J62</f>
        <v>604</v>
      </c>
      <c r="K76" s="45" t="n">
        <f aca="false">K62</f>
        <v>585</v>
      </c>
      <c r="L76" s="45" t="n">
        <f aca="false">L62</f>
        <v>657</v>
      </c>
      <c r="M76" s="44" t="n">
        <f aca="false">M62</f>
        <v>2466</v>
      </c>
      <c r="N76" s="45" t="n">
        <f aca="false">N62</f>
        <v>647</v>
      </c>
      <c r="O76" s="45" t="n">
        <f aca="false">O62</f>
        <v>654</v>
      </c>
      <c r="P76" s="45" t="n">
        <f aca="false">P62</f>
        <v>670</v>
      </c>
      <c r="Q76" s="45" t="n">
        <f aca="false">Q62</f>
        <v>755</v>
      </c>
      <c r="R76" s="44" t="n">
        <f aca="false">R62</f>
        <v>2726</v>
      </c>
      <c r="S76" s="45" t="n">
        <f aca="false">S62</f>
        <v>679</v>
      </c>
      <c r="T76" s="45" t="n">
        <f aca="false">T62</f>
        <v>732</v>
      </c>
      <c r="U76" s="45" t="n">
        <f aca="false">U62</f>
        <v>696.8</v>
      </c>
      <c r="V76" s="45" t="n">
        <f aca="false">V62</f>
        <v>785.2</v>
      </c>
      <c r="W76" s="44" t="n">
        <f aca="false">W62</f>
        <v>2893</v>
      </c>
      <c r="X76" s="45" t="n">
        <f aca="false">X62</f>
        <v>706.16</v>
      </c>
      <c r="Y76" s="45" t="n">
        <f aca="false">Y62</f>
        <v>761.28</v>
      </c>
      <c r="Z76" s="45" t="n">
        <f aca="false">Z62</f>
        <v>724.672</v>
      </c>
      <c r="AA76" s="45" t="n">
        <f aca="false">AA62</f>
        <v>816.608</v>
      </c>
      <c r="AB76" s="44" t="n">
        <f aca="false">AB62</f>
        <v>3008.72</v>
      </c>
      <c r="AC76" s="45" t="n">
        <f aca="false">AC62</f>
        <v>734.4064</v>
      </c>
      <c r="AD76" s="45" t="n">
        <f aca="false">AD62</f>
        <v>791.7312</v>
      </c>
      <c r="AE76" s="45" t="n">
        <f aca="false">AE62</f>
        <v>753.65888</v>
      </c>
      <c r="AF76" s="45" t="n">
        <f aca="false">AF62</f>
        <v>849.27232</v>
      </c>
      <c r="AG76" s="44" t="n">
        <f aca="false">AG62</f>
        <v>3129.0688</v>
      </c>
    </row>
    <row r="77" customFormat="false" ht="15" hidden="false" customHeight="false" outlineLevel="0" collapsed="false">
      <c r="C77" s="4" t="s">
        <v>88</v>
      </c>
      <c r="D77" s="53" t="n">
        <v>0.275</v>
      </c>
      <c r="E77" s="53" t="n">
        <v>0.275</v>
      </c>
      <c r="F77" s="53" t="n">
        <v>0.275</v>
      </c>
      <c r="G77" s="53" t="n">
        <v>0.275</v>
      </c>
      <c r="H77" s="54" t="n">
        <v>0.275</v>
      </c>
      <c r="I77" s="53" t="n">
        <v>0.275</v>
      </c>
      <c r="J77" s="53" t="n">
        <v>0.275</v>
      </c>
      <c r="K77" s="53" t="n">
        <v>0.275</v>
      </c>
      <c r="L77" s="53" t="n">
        <v>0.275</v>
      </c>
      <c r="M77" s="54" t="n">
        <v>0.275</v>
      </c>
      <c r="N77" s="53" t="n">
        <v>0.275</v>
      </c>
      <c r="O77" s="53" t="n">
        <v>0.275</v>
      </c>
      <c r="P77" s="53" t="n">
        <v>0.275</v>
      </c>
      <c r="Q77" s="53" t="n">
        <v>0.275</v>
      </c>
      <c r="R77" s="54" t="n">
        <v>0.275</v>
      </c>
      <c r="S77" s="53" t="n">
        <v>0.275</v>
      </c>
      <c r="T77" s="53" t="n">
        <v>0.275</v>
      </c>
      <c r="U77" s="53" t="n">
        <v>0.275</v>
      </c>
      <c r="V77" s="53" t="n">
        <v>0.275</v>
      </c>
      <c r="W77" s="54" t="n">
        <v>0.275</v>
      </c>
      <c r="X77" s="53" t="n">
        <v>0.275</v>
      </c>
      <c r="Y77" s="53" t="n">
        <v>0.275</v>
      </c>
      <c r="Z77" s="53" t="n">
        <v>0.275</v>
      </c>
      <c r="AA77" s="53" t="n">
        <v>0.275</v>
      </c>
      <c r="AB77" s="54" t="n">
        <v>0.275</v>
      </c>
      <c r="AC77" s="53" t="n">
        <v>0.275</v>
      </c>
      <c r="AD77" s="53" t="n">
        <v>0.275</v>
      </c>
      <c r="AE77" s="53" t="n">
        <v>0.275</v>
      </c>
      <c r="AF77" s="53" t="n">
        <v>0.275</v>
      </c>
      <c r="AG77" s="54" t="n">
        <v>0.275</v>
      </c>
    </row>
    <row r="78" customFormat="false" ht="15" hidden="false" customHeight="false" outlineLevel="0" collapsed="false">
      <c r="C78" s="2" t="s">
        <v>89</v>
      </c>
      <c r="D78" s="36" t="n">
        <f aca="false">D77*D76</f>
        <v>197.725</v>
      </c>
      <c r="E78" s="36" t="n">
        <f aca="false">E77*E76</f>
        <v>199.65</v>
      </c>
      <c r="F78" s="36" t="n">
        <f aca="false">F77*F76</f>
        <v>181.775</v>
      </c>
      <c r="G78" s="36" t="n">
        <f aca="false">G77*G76</f>
        <v>185.35</v>
      </c>
      <c r="H78" s="37" t="n">
        <f aca="false">D78+E78+F78+G78</f>
        <v>764.5</v>
      </c>
      <c r="I78" s="36" t="n">
        <f aca="false">I77*I76</f>
        <v>170.5</v>
      </c>
      <c r="J78" s="36" t="n">
        <f aca="false">J77*J76</f>
        <v>166.1</v>
      </c>
      <c r="K78" s="36" t="n">
        <f aca="false">K77*K76</f>
        <v>160.875</v>
      </c>
      <c r="L78" s="36" t="n">
        <f aca="false">L77*L76</f>
        <v>180.675</v>
      </c>
      <c r="M78" s="37" t="n">
        <f aca="false">I78+J78+K78+L78</f>
        <v>678.15</v>
      </c>
      <c r="N78" s="36" t="n">
        <f aca="false">N77*N76</f>
        <v>177.925</v>
      </c>
      <c r="O78" s="36" t="n">
        <f aca="false">O77*O76</f>
        <v>179.85</v>
      </c>
      <c r="P78" s="36" t="n">
        <f aca="false">P77*P76</f>
        <v>184.25</v>
      </c>
      <c r="Q78" s="36" t="n">
        <f aca="false">Q77*Q76</f>
        <v>207.625</v>
      </c>
      <c r="R78" s="37" t="n">
        <f aca="false">N78+O78+P78+Q78</f>
        <v>749.65</v>
      </c>
      <c r="S78" s="36" t="n">
        <f aca="false">S77*S76</f>
        <v>186.725</v>
      </c>
      <c r="T78" s="36" t="n">
        <f aca="false">T77*T76</f>
        <v>201.3</v>
      </c>
      <c r="U78" s="36" t="n">
        <f aca="false">U77*U76</f>
        <v>191.62</v>
      </c>
      <c r="V78" s="36" t="n">
        <f aca="false">V77*V76</f>
        <v>215.93</v>
      </c>
      <c r="W78" s="37" t="n">
        <f aca="false">S78+T78+U78+V78</f>
        <v>795.575</v>
      </c>
      <c r="X78" s="36" t="n">
        <f aca="false">X77*X76</f>
        <v>194.194</v>
      </c>
      <c r="Y78" s="36" t="n">
        <f aca="false">Y77*Y76</f>
        <v>209.352</v>
      </c>
      <c r="Z78" s="36" t="n">
        <f aca="false">Z77*Z76</f>
        <v>199.2848</v>
      </c>
      <c r="AA78" s="36" t="n">
        <f aca="false">AA77*AA76</f>
        <v>224.5672</v>
      </c>
      <c r="AB78" s="37" t="n">
        <f aca="false">X78+Y78+Z78+AA78</f>
        <v>827.398</v>
      </c>
      <c r="AC78" s="36" t="n">
        <f aca="false">AC77*AC76</f>
        <v>201.96176</v>
      </c>
      <c r="AD78" s="36" t="n">
        <f aca="false">AD77*AD76</f>
        <v>217.72608</v>
      </c>
      <c r="AE78" s="36" t="n">
        <f aca="false">AE77*AE76</f>
        <v>207.256192</v>
      </c>
      <c r="AF78" s="36" t="n">
        <f aca="false">AF77*AF76</f>
        <v>233.549888</v>
      </c>
      <c r="AG78" s="37" t="n">
        <f aca="false">AC78+AD78+AE78+AF78</f>
        <v>860.49392</v>
      </c>
    </row>
    <row r="79" customFormat="false" ht="15" hidden="false" customHeight="false" outlineLevel="0" collapsed="false">
      <c r="C79" s="22" t="s">
        <v>39</v>
      </c>
      <c r="H79" s="25"/>
      <c r="I79" s="55" t="n">
        <f aca="false">IFERROR((I77-D77)*10000,0)</f>
        <v>0</v>
      </c>
      <c r="J79" s="55" t="n">
        <f aca="false">IFERROR((J77-E77)*10000,0)</f>
        <v>0</v>
      </c>
      <c r="K79" s="55" t="n">
        <f aca="false">IFERROR((K77-F77)*10000,0)</f>
        <v>0</v>
      </c>
      <c r="L79" s="55" t="n">
        <f aca="false">IFERROR((L77-G77)*10000,0)</f>
        <v>0</v>
      </c>
      <c r="M79" s="56" t="n">
        <f aca="false">IFERROR((M77-H77)*10000,0)</f>
        <v>0</v>
      </c>
      <c r="N79" s="55" t="n">
        <f aca="false">IFERROR((N77-I77)*10000,0)</f>
        <v>0</v>
      </c>
      <c r="O79" s="55" t="n">
        <f aca="false">IFERROR((O77-J77)*10000,0)</f>
        <v>0</v>
      </c>
      <c r="P79" s="55" t="n">
        <f aca="false">IFERROR((P77-K77)*10000,0)</f>
        <v>0</v>
      </c>
      <c r="Q79" s="55" t="n">
        <f aca="false">IFERROR((Q77-L77)*10000,0)</f>
        <v>0</v>
      </c>
      <c r="R79" s="56" t="n">
        <f aca="false">IFERROR((R77-M77)*10000,0)</f>
        <v>0</v>
      </c>
      <c r="S79" s="55" t="n">
        <f aca="false">IFERROR((S77-N77)*10000,0)</f>
        <v>0</v>
      </c>
      <c r="T79" s="55" t="n">
        <f aca="false">IFERROR((T77-O77)*10000,0)</f>
        <v>0</v>
      </c>
      <c r="U79" s="55" t="n">
        <f aca="false">IFERROR((U77-P77)*10000,0)</f>
        <v>0</v>
      </c>
      <c r="V79" s="55" t="n">
        <f aca="false">IFERROR((V77-Q77)*10000,0)</f>
        <v>0</v>
      </c>
      <c r="W79" s="56" t="n">
        <f aca="false">IFERROR((W77-R77)*10000,0)</f>
        <v>0</v>
      </c>
      <c r="X79" s="55" t="n">
        <f aca="false">IFERROR((X77-S77)*10000,0)</f>
        <v>0</v>
      </c>
      <c r="Y79" s="55" t="n">
        <f aca="false">IFERROR((Y77-T77)*10000,0)</f>
        <v>0</v>
      </c>
      <c r="Z79" s="55" t="n">
        <f aca="false">IFERROR((Z77-U77)*10000,0)</f>
        <v>0</v>
      </c>
      <c r="AA79" s="55" t="n">
        <f aca="false">IFERROR((AA77-V77)*10000,0)</f>
        <v>0</v>
      </c>
      <c r="AB79" s="56" t="n">
        <f aca="false">IFERROR((AB77-W77)*10000,0)</f>
        <v>0</v>
      </c>
      <c r="AC79" s="55" t="n">
        <f aca="false">IFERROR((AC77-X77)*10000,0)</f>
        <v>0</v>
      </c>
      <c r="AD79" s="55" t="n">
        <f aca="false">IFERROR((AD77-Y77)*10000,0)</f>
        <v>0</v>
      </c>
      <c r="AE79" s="55" t="n">
        <f aca="false">IFERROR((AE77-Z77)*10000,0)</f>
        <v>0</v>
      </c>
      <c r="AF79" s="55" t="n">
        <f aca="false">IFERROR((AF77-AA77)*10000,0)</f>
        <v>0</v>
      </c>
      <c r="AG79" s="56" t="n">
        <f aca="false">IFERROR((AG77-AB77)*10000,0)</f>
        <v>0</v>
      </c>
    </row>
    <row r="80" customFormat="false" ht="15" hidden="false" customHeight="false" outlineLevel="0" collapsed="false">
      <c r="H80" s="25"/>
      <c r="M80" s="25"/>
      <c r="R80" s="25"/>
      <c r="W80" s="25"/>
      <c r="AB80" s="25"/>
      <c r="AG80" s="25"/>
    </row>
    <row r="81" customFormat="false" ht="15" hidden="false" customHeight="false" outlineLevel="0" collapsed="false">
      <c r="C81" s="30" t="s">
        <v>51</v>
      </c>
      <c r="D81" s="31"/>
      <c r="E81" s="31"/>
      <c r="F81" s="31"/>
      <c r="G81" s="31"/>
      <c r="H81" s="32"/>
      <c r="I81" s="31"/>
      <c r="J81" s="31"/>
      <c r="K81" s="31"/>
      <c r="L81" s="31"/>
      <c r="M81" s="32"/>
      <c r="N81" s="31"/>
      <c r="O81" s="31"/>
      <c r="P81" s="31"/>
      <c r="Q81" s="31"/>
      <c r="R81" s="32"/>
      <c r="S81" s="31"/>
      <c r="T81" s="31"/>
      <c r="U81" s="31"/>
      <c r="V81" s="31"/>
      <c r="W81" s="32"/>
      <c r="X81" s="31"/>
      <c r="Y81" s="31"/>
      <c r="Z81" s="31"/>
      <c r="AA81" s="31"/>
      <c r="AB81" s="32"/>
      <c r="AC81" s="31"/>
      <c r="AD81" s="31"/>
      <c r="AE81" s="31"/>
      <c r="AF81" s="31"/>
      <c r="AG81" s="32"/>
    </row>
    <row r="82" customFormat="false" ht="15" hidden="false" customHeight="false" outlineLevel="0" collapsed="false">
      <c r="C82" s="4" t="s">
        <v>87</v>
      </c>
      <c r="D82" s="45" t="n">
        <f aca="false">D65</f>
        <v>652</v>
      </c>
      <c r="E82" s="45" t="n">
        <f aca="false">E65</f>
        <v>660</v>
      </c>
      <c r="F82" s="45" t="n">
        <f aca="false">F65</f>
        <v>672</v>
      </c>
      <c r="G82" s="45" t="n">
        <f aca="false">G65</f>
        <v>672</v>
      </c>
      <c r="H82" s="44" t="n">
        <f aca="false">H65</f>
        <v>2656</v>
      </c>
      <c r="I82" s="45" t="n">
        <f aca="false">I65</f>
        <v>686</v>
      </c>
      <c r="J82" s="45" t="n">
        <f aca="false">J65</f>
        <v>664</v>
      </c>
      <c r="K82" s="45" t="n">
        <f aca="false">K65</f>
        <v>691</v>
      </c>
      <c r="L82" s="45" t="n">
        <f aca="false">L65</f>
        <v>706</v>
      </c>
      <c r="M82" s="44" t="n">
        <f aca="false">M65</f>
        <v>2747</v>
      </c>
      <c r="N82" s="45" t="n">
        <f aca="false">N65</f>
        <v>696</v>
      </c>
      <c r="O82" s="45" t="n">
        <f aca="false">O65</f>
        <v>713</v>
      </c>
      <c r="P82" s="45" t="n">
        <f aca="false">P65</f>
        <v>744</v>
      </c>
      <c r="Q82" s="45" t="n">
        <f aca="false">Q65</f>
        <v>755</v>
      </c>
      <c r="R82" s="44" t="n">
        <f aca="false">R65</f>
        <v>2908</v>
      </c>
      <c r="S82" s="45" t="n">
        <f aca="false">S65</f>
        <v>758</v>
      </c>
      <c r="T82" s="45" t="n">
        <f aca="false">T65</f>
        <v>759</v>
      </c>
      <c r="U82" s="45" t="n">
        <f aca="false">U65</f>
        <v>773.76</v>
      </c>
      <c r="V82" s="45" t="n">
        <f aca="false">V65</f>
        <v>785.2</v>
      </c>
      <c r="W82" s="44" t="n">
        <f aca="false">W65</f>
        <v>3075.96</v>
      </c>
      <c r="X82" s="45" t="n">
        <f aca="false">X65</f>
        <v>788.32</v>
      </c>
      <c r="Y82" s="45" t="n">
        <f aca="false">Y65</f>
        <v>789.36</v>
      </c>
      <c r="Z82" s="45" t="n">
        <f aca="false">Z65</f>
        <v>804.7104</v>
      </c>
      <c r="AA82" s="45" t="n">
        <f aca="false">AA65</f>
        <v>816.608</v>
      </c>
      <c r="AB82" s="44" t="n">
        <f aca="false">AB65</f>
        <v>3198.9984</v>
      </c>
      <c r="AC82" s="45" t="n">
        <f aca="false">AC65</f>
        <v>819.8528</v>
      </c>
      <c r="AD82" s="45" t="n">
        <f aca="false">AD65</f>
        <v>820.9344</v>
      </c>
      <c r="AE82" s="45" t="n">
        <f aca="false">AE65</f>
        <v>836.898816</v>
      </c>
      <c r="AF82" s="45" t="n">
        <f aca="false">AF65</f>
        <v>849.27232</v>
      </c>
      <c r="AG82" s="44" t="n">
        <f aca="false">AG65</f>
        <v>3326.958336</v>
      </c>
    </row>
    <row r="83" customFormat="false" ht="15" hidden="false" customHeight="false" outlineLevel="0" collapsed="false">
      <c r="C83" s="4" t="s">
        <v>88</v>
      </c>
      <c r="D83" s="53" t="n">
        <v>0.285</v>
      </c>
      <c r="E83" s="53" t="n">
        <v>0.285</v>
      </c>
      <c r="F83" s="53" t="n">
        <v>0.285</v>
      </c>
      <c r="G83" s="53" t="n">
        <v>0.285</v>
      </c>
      <c r="H83" s="54" t="n">
        <v>0.285</v>
      </c>
      <c r="I83" s="53" t="n">
        <v>0.285</v>
      </c>
      <c r="J83" s="53" t="n">
        <v>0.285</v>
      </c>
      <c r="K83" s="53" t="n">
        <v>0.285</v>
      </c>
      <c r="L83" s="53" t="n">
        <v>0.285</v>
      </c>
      <c r="M83" s="54" t="n">
        <v>0.285</v>
      </c>
      <c r="N83" s="53" t="n">
        <v>0.285</v>
      </c>
      <c r="O83" s="53" t="n">
        <v>0.285</v>
      </c>
      <c r="P83" s="53" t="n">
        <v>0.285</v>
      </c>
      <c r="Q83" s="53" t="n">
        <v>0.285</v>
      </c>
      <c r="R83" s="54" t="n">
        <v>0.285</v>
      </c>
      <c r="S83" s="53" t="n">
        <v>0.285</v>
      </c>
      <c r="T83" s="53" t="n">
        <v>0.285</v>
      </c>
      <c r="U83" s="53" t="n">
        <v>0.285</v>
      </c>
      <c r="V83" s="53" t="n">
        <v>0.285</v>
      </c>
      <c r="W83" s="54" t="n">
        <v>0.285</v>
      </c>
      <c r="X83" s="53" t="n">
        <v>0.285</v>
      </c>
      <c r="Y83" s="53" t="n">
        <v>0.285</v>
      </c>
      <c r="Z83" s="53" t="n">
        <v>0.285</v>
      </c>
      <c r="AA83" s="53" t="n">
        <v>0.285</v>
      </c>
      <c r="AB83" s="54" t="n">
        <v>0.285</v>
      </c>
      <c r="AC83" s="53" t="n">
        <v>0.285</v>
      </c>
      <c r="AD83" s="53" t="n">
        <v>0.285</v>
      </c>
      <c r="AE83" s="53" t="n">
        <v>0.285</v>
      </c>
      <c r="AF83" s="53" t="n">
        <v>0.285</v>
      </c>
      <c r="AG83" s="54" t="n">
        <v>0.285</v>
      </c>
    </row>
    <row r="84" customFormat="false" ht="15" hidden="false" customHeight="false" outlineLevel="0" collapsed="false">
      <c r="C84" s="2" t="s">
        <v>89</v>
      </c>
      <c r="D84" s="36" t="n">
        <f aca="false">D83*D82</f>
        <v>185.82</v>
      </c>
      <c r="E84" s="36" t="n">
        <f aca="false">E83*E82</f>
        <v>188.1</v>
      </c>
      <c r="F84" s="36" t="n">
        <f aca="false">F83*F82</f>
        <v>191.52</v>
      </c>
      <c r="G84" s="36" t="n">
        <f aca="false">G83*G82</f>
        <v>191.52</v>
      </c>
      <c r="H84" s="37" t="n">
        <f aca="false">D84+E84+F84+G84</f>
        <v>756.96</v>
      </c>
      <c r="I84" s="36" t="n">
        <f aca="false">I83*I82</f>
        <v>195.51</v>
      </c>
      <c r="J84" s="36" t="n">
        <f aca="false">J83*J82</f>
        <v>189.24</v>
      </c>
      <c r="K84" s="36" t="n">
        <f aca="false">K83*K82</f>
        <v>196.935</v>
      </c>
      <c r="L84" s="36" t="n">
        <f aca="false">L83*L82</f>
        <v>201.21</v>
      </c>
      <c r="M84" s="37" t="n">
        <f aca="false">I84+J84+K84+L84</f>
        <v>782.895</v>
      </c>
      <c r="N84" s="36" t="n">
        <f aca="false">N83*N82</f>
        <v>198.36</v>
      </c>
      <c r="O84" s="36" t="n">
        <f aca="false">O83*O82</f>
        <v>203.205</v>
      </c>
      <c r="P84" s="36" t="n">
        <f aca="false">P83*P82</f>
        <v>212.04</v>
      </c>
      <c r="Q84" s="36" t="n">
        <f aca="false">Q83*Q82</f>
        <v>215.175</v>
      </c>
      <c r="R84" s="37" t="n">
        <f aca="false">N84+O84+P84+Q84</f>
        <v>828.78</v>
      </c>
      <c r="S84" s="36" t="n">
        <f aca="false">S83*S82</f>
        <v>216.03</v>
      </c>
      <c r="T84" s="36" t="n">
        <f aca="false">T83*T82</f>
        <v>216.315</v>
      </c>
      <c r="U84" s="36" t="n">
        <f aca="false">U83*U82</f>
        <v>220.5216</v>
      </c>
      <c r="V84" s="36" t="n">
        <f aca="false">V83*V82</f>
        <v>223.782</v>
      </c>
      <c r="W84" s="37" t="n">
        <f aca="false">S84+T84+U84+V84</f>
        <v>876.6486</v>
      </c>
      <c r="X84" s="36" t="n">
        <f aca="false">X83*X82</f>
        <v>224.6712</v>
      </c>
      <c r="Y84" s="36" t="n">
        <f aca="false">Y83*Y82</f>
        <v>224.9676</v>
      </c>
      <c r="Z84" s="36" t="n">
        <f aca="false">Z83*Z82</f>
        <v>229.342464</v>
      </c>
      <c r="AA84" s="36" t="n">
        <f aca="false">AA83*AA82</f>
        <v>232.73328</v>
      </c>
      <c r="AB84" s="37" t="n">
        <f aca="false">X84+Y84+Z84+AA84</f>
        <v>911.714544</v>
      </c>
      <c r="AC84" s="36" t="n">
        <f aca="false">AC83*AC82</f>
        <v>233.658048</v>
      </c>
      <c r="AD84" s="36" t="n">
        <f aca="false">AD83*AD82</f>
        <v>233.966304</v>
      </c>
      <c r="AE84" s="36" t="n">
        <f aca="false">AE83*AE82</f>
        <v>238.51616256</v>
      </c>
      <c r="AF84" s="36" t="n">
        <f aca="false">AF83*AF82</f>
        <v>242.0426112</v>
      </c>
      <c r="AG84" s="37" t="n">
        <f aca="false">AC84+AD84+AE84+AF84</f>
        <v>948.18312576</v>
      </c>
    </row>
    <row r="85" customFormat="false" ht="15" hidden="false" customHeight="false" outlineLevel="0" collapsed="false">
      <c r="C85" s="22" t="s">
        <v>39</v>
      </c>
      <c r="H85" s="25"/>
      <c r="I85" s="55" t="n">
        <f aca="false">IFERROR((I83-D83)*10000,0)</f>
        <v>0</v>
      </c>
      <c r="J85" s="55" t="n">
        <f aca="false">IFERROR((J83-E83)*10000,0)</f>
        <v>0</v>
      </c>
      <c r="K85" s="55" t="n">
        <f aca="false">IFERROR((K83-F83)*10000,0)</f>
        <v>0</v>
      </c>
      <c r="L85" s="55" t="n">
        <f aca="false">IFERROR((L83-G83)*10000,0)</f>
        <v>0</v>
      </c>
      <c r="M85" s="56" t="n">
        <f aca="false">IFERROR((M83-H83)*10000,0)</f>
        <v>0</v>
      </c>
      <c r="N85" s="55" t="n">
        <f aca="false">IFERROR((N83-I83)*10000,0)</f>
        <v>0</v>
      </c>
      <c r="O85" s="55" t="n">
        <f aca="false">IFERROR((O83-J83)*10000,0)</f>
        <v>0</v>
      </c>
      <c r="P85" s="55" t="n">
        <f aca="false">IFERROR((P83-K83)*10000,0)</f>
        <v>0</v>
      </c>
      <c r="Q85" s="55" t="n">
        <f aca="false">IFERROR((Q83-L83)*10000,0)</f>
        <v>0</v>
      </c>
      <c r="R85" s="56" t="n">
        <f aca="false">IFERROR((R83-M83)*10000,0)</f>
        <v>0</v>
      </c>
      <c r="S85" s="55" t="n">
        <f aca="false">IFERROR((S83-N83)*10000,0)</f>
        <v>0</v>
      </c>
      <c r="T85" s="55" t="n">
        <f aca="false">IFERROR((T83-O83)*10000,0)</f>
        <v>0</v>
      </c>
      <c r="U85" s="55" t="n">
        <f aca="false">IFERROR((U83-P83)*10000,0)</f>
        <v>0</v>
      </c>
      <c r="V85" s="55" t="n">
        <f aca="false">IFERROR((V83-Q83)*10000,0)</f>
        <v>0</v>
      </c>
      <c r="W85" s="56" t="n">
        <f aca="false">IFERROR((W83-R83)*10000,0)</f>
        <v>0</v>
      </c>
      <c r="X85" s="55" t="n">
        <f aca="false">IFERROR((X83-S83)*10000,0)</f>
        <v>0</v>
      </c>
      <c r="Y85" s="55" t="n">
        <f aca="false">IFERROR((Y83-T83)*10000,0)</f>
        <v>0</v>
      </c>
      <c r="Z85" s="55" t="n">
        <f aca="false">IFERROR((Z83-U83)*10000,0)</f>
        <v>0</v>
      </c>
      <c r="AA85" s="55" t="n">
        <f aca="false">IFERROR((AA83-V83)*10000,0)</f>
        <v>0</v>
      </c>
      <c r="AB85" s="56" t="n">
        <f aca="false">IFERROR((AB83-W83)*10000,0)</f>
        <v>0</v>
      </c>
      <c r="AC85" s="55" t="n">
        <f aca="false">IFERROR((AC83-X83)*10000,0)</f>
        <v>0</v>
      </c>
      <c r="AD85" s="55" t="n">
        <f aca="false">IFERROR((AD83-Y83)*10000,0)</f>
        <v>0</v>
      </c>
      <c r="AE85" s="55" t="n">
        <f aca="false">IFERROR((AE83-Z83)*10000,0)</f>
        <v>0</v>
      </c>
      <c r="AF85" s="55" t="n">
        <f aca="false">IFERROR((AF83-AA83)*10000,0)</f>
        <v>0</v>
      </c>
      <c r="AG85" s="56" t="n">
        <f aca="false">IFERROR((AG83-AB83)*10000,0)</f>
        <v>0</v>
      </c>
    </row>
    <row r="86" customFormat="false" ht="15" hidden="false" customHeight="false" outlineLevel="0" collapsed="false">
      <c r="H86" s="25"/>
      <c r="M86" s="25"/>
      <c r="R86" s="25"/>
      <c r="W86" s="25"/>
      <c r="AB86" s="25"/>
      <c r="AG86" s="25"/>
    </row>
    <row r="87" customFormat="false" ht="15" hidden="false" customHeight="false" outlineLevel="0" collapsed="false">
      <c r="C87" s="30" t="s">
        <v>52</v>
      </c>
      <c r="D87" s="31"/>
      <c r="E87" s="31"/>
      <c r="F87" s="31"/>
      <c r="G87" s="31"/>
      <c r="H87" s="32"/>
      <c r="I87" s="31"/>
      <c r="J87" s="31"/>
      <c r="K87" s="31"/>
      <c r="L87" s="31"/>
      <c r="M87" s="32"/>
      <c r="N87" s="31"/>
      <c r="O87" s="31"/>
      <c r="P87" s="31"/>
      <c r="Q87" s="31"/>
      <c r="R87" s="32"/>
      <c r="S87" s="31"/>
      <c r="T87" s="31"/>
      <c r="U87" s="31"/>
      <c r="V87" s="31"/>
      <c r="W87" s="32"/>
      <c r="X87" s="31"/>
      <c r="Y87" s="31"/>
      <c r="Z87" s="31"/>
      <c r="AA87" s="31"/>
      <c r="AB87" s="32"/>
      <c r="AC87" s="31"/>
      <c r="AD87" s="31"/>
      <c r="AE87" s="31"/>
      <c r="AF87" s="31"/>
      <c r="AG87" s="32"/>
    </row>
    <row r="88" customFormat="false" ht="15" hidden="false" customHeight="false" outlineLevel="0" collapsed="false">
      <c r="C88" s="4" t="s">
        <v>87</v>
      </c>
      <c r="D88" s="45" t="n">
        <f aca="false">D68</f>
        <v>385</v>
      </c>
      <c r="E88" s="45" t="n">
        <f aca="false">E68</f>
        <v>331</v>
      </c>
      <c r="F88" s="45" t="n">
        <f aca="false">F68</f>
        <v>339</v>
      </c>
      <c r="G88" s="45" t="n">
        <f aca="false">G68</f>
        <v>342</v>
      </c>
      <c r="H88" s="44" t="n">
        <f aca="false">H68</f>
        <v>1397</v>
      </c>
      <c r="I88" s="45" t="n">
        <f aca="false">I68</f>
        <v>352</v>
      </c>
      <c r="J88" s="45" t="n">
        <f aca="false">J68</f>
        <v>305</v>
      </c>
      <c r="K88" s="45" t="n">
        <f aca="false">K68</f>
        <v>302</v>
      </c>
      <c r="L88" s="45" t="n">
        <f aca="false">L68</f>
        <v>338</v>
      </c>
      <c r="M88" s="44" t="n">
        <f aca="false">M68</f>
        <v>1297</v>
      </c>
      <c r="N88" s="45" t="n">
        <f aca="false">N68</f>
        <v>338</v>
      </c>
      <c r="O88" s="45" t="n">
        <f aca="false">O68</f>
        <v>301</v>
      </c>
      <c r="P88" s="45" t="n">
        <f aca="false">P68</f>
        <v>324</v>
      </c>
      <c r="Q88" s="45" t="n">
        <f aca="false">Q68</f>
        <v>351</v>
      </c>
      <c r="R88" s="44" t="n">
        <f aca="false">R68</f>
        <v>1314</v>
      </c>
      <c r="S88" s="45" t="n">
        <f aca="false">S68</f>
        <v>361</v>
      </c>
      <c r="T88" s="45" t="n">
        <f aca="false">T68</f>
        <v>344</v>
      </c>
      <c r="U88" s="45" t="n">
        <f aca="false">U68</f>
        <v>336.96</v>
      </c>
      <c r="V88" s="45" t="n">
        <f aca="false">V68</f>
        <v>365.04</v>
      </c>
      <c r="W88" s="44" t="n">
        <f aca="false">W68</f>
        <v>1407</v>
      </c>
      <c r="X88" s="45" t="n">
        <f aca="false">X68</f>
        <v>375.44</v>
      </c>
      <c r="Y88" s="45" t="n">
        <f aca="false">Y68</f>
        <v>357.76</v>
      </c>
      <c r="Z88" s="45" t="n">
        <f aca="false">Z68</f>
        <v>350.4384</v>
      </c>
      <c r="AA88" s="45" t="n">
        <f aca="false">AA68</f>
        <v>379.6416</v>
      </c>
      <c r="AB88" s="44" t="n">
        <f aca="false">AB68</f>
        <v>1463.28</v>
      </c>
      <c r="AC88" s="45" t="n">
        <f aca="false">AC68</f>
        <v>390.4576</v>
      </c>
      <c r="AD88" s="45" t="n">
        <f aca="false">AD68</f>
        <v>372.0704</v>
      </c>
      <c r="AE88" s="45" t="n">
        <f aca="false">AE68</f>
        <v>364.455936</v>
      </c>
      <c r="AF88" s="45" t="n">
        <f aca="false">AF68</f>
        <v>394.827264</v>
      </c>
      <c r="AG88" s="44" t="n">
        <f aca="false">AG68</f>
        <v>1521.8112</v>
      </c>
    </row>
    <row r="89" customFormat="false" ht="15" hidden="false" customHeight="false" outlineLevel="0" collapsed="false">
      <c r="C89" s="4" t="s">
        <v>88</v>
      </c>
      <c r="D89" s="53" t="n">
        <v>0.26</v>
      </c>
      <c r="E89" s="53" t="n">
        <v>0.26</v>
      </c>
      <c r="F89" s="53" t="n">
        <v>0.26</v>
      </c>
      <c r="G89" s="53" t="n">
        <v>0.26</v>
      </c>
      <c r="H89" s="54" t="n">
        <v>0.26</v>
      </c>
      <c r="I89" s="53" t="n">
        <v>0.26</v>
      </c>
      <c r="J89" s="53" t="n">
        <v>0.26</v>
      </c>
      <c r="K89" s="53" t="n">
        <v>0.26</v>
      </c>
      <c r="L89" s="53" t="n">
        <v>0.26</v>
      </c>
      <c r="M89" s="54" t="n">
        <v>0.26</v>
      </c>
      <c r="N89" s="53" t="n">
        <v>0.26</v>
      </c>
      <c r="O89" s="53" t="n">
        <v>0.26</v>
      </c>
      <c r="P89" s="53" t="n">
        <v>0.26</v>
      </c>
      <c r="Q89" s="53" t="n">
        <v>0.26</v>
      </c>
      <c r="R89" s="54" t="n">
        <v>0.26</v>
      </c>
      <c r="S89" s="53" t="n">
        <v>0.26</v>
      </c>
      <c r="T89" s="53" t="n">
        <v>0.26</v>
      </c>
      <c r="U89" s="53" t="n">
        <v>0.26</v>
      </c>
      <c r="V89" s="53" t="n">
        <v>0.26</v>
      </c>
      <c r="W89" s="54" t="n">
        <v>0.26</v>
      </c>
      <c r="X89" s="53" t="n">
        <v>0.26</v>
      </c>
      <c r="Y89" s="53" t="n">
        <v>0.26</v>
      </c>
      <c r="Z89" s="53" t="n">
        <v>0.26</v>
      </c>
      <c r="AA89" s="53" t="n">
        <v>0.26</v>
      </c>
      <c r="AB89" s="54" t="n">
        <v>0.26</v>
      </c>
      <c r="AC89" s="53" t="n">
        <v>0.26</v>
      </c>
      <c r="AD89" s="53" t="n">
        <v>0.26</v>
      </c>
      <c r="AE89" s="53" t="n">
        <v>0.26</v>
      </c>
      <c r="AF89" s="53" t="n">
        <v>0.26</v>
      </c>
      <c r="AG89" s="54" t="n">
        <v>0.26</v>
      </c>
    </row>
    <row r="90" customFormat="false" ht="15" hidden="false" customHeight="false" outlineLevel="0" collapsed="false">
      <c r="C90" s="2" t="s">
        <v>89</v>
      </c>
      <c r="D90" s="36" t="n">
        <f aca="false">D89*D88</f>
        <v>100.1</v>
      </c>
      <c r="E90" s="36" t="n">
        <f aca="false">E89*E88</f>
        <v>86.06</v>
      </c>
      <c r="F90" s="36" t="n">
        <f aca="false">F89*F88</f>
        <v>88.14</v>
      </c>
      <c r="G90" s="36" t="n">
        <f aca="false">G89*G88</f>
        <v>88.92</v>
      </c>
      <c r="H90" s="37" t="n">
        <f aca="false">D90+E90+F90+G90</f>
        <v>363.22</v>
      </c>
      <c r="I90" s="36" t="n">
        <f aca="false">I89*I88</f>
        <v>91.52</v>
      </c>
      <c r="J90" s="36" t="n">
        <f aca="false">J89*J88</f>
        <v>79.3</v>
      </c>
      <c r="K90" s="36" t="n">
        <f aca="false">K89*K88</f>
        <v>78.52</v>
      </c>
      <c r="L90" s="36" t="n">
        <f aca="false">L89*L88</f>
        <v>87.88</v>
      </c>
      <c r="M90" s="37" t="n">
        <f aca="false">I90+J90+K90+L90</f>
        <v>337.22</v>
      </c>
      <c r="N90" s="36" t="n">
        <f aca="false">N89*N88</f>
        <v>87.88</v>
      </c>
      <c r="O90" s="36" t="n">
        <f aca="false">O89*O88</f>
        <v>78.26</v>
      </c>
      <c r="P90" s="36" t="n">
        <f aca="false">P89*P88</f>
        <v>84.24</v>
      </c>
      <c r="Q90" s="36" t="n">
        <f aca="false">Q89*Q88</f>
        <v>91.26</v>
      </c>
      <c r="R90" s="37" t="n">
        <f aca="false">N90+O90+P90+Q90</f>
        <v>341.64</v>
      </c>
      <c r="S90" s="36" t="n">
        <f aca="false">S89*S88</f>
        <v>93.86</v>
      </c>
      <c r="T90" s="36" t="n">
        <f aca="false">T89*T88</f>
        <v>89.44</v>
      </c>
      <c r="U90" s="36" t="n">
        <f aca="false">U89*U88</f>
        <v>87.6096</v>
      </c>
      <c r="V90" s="36" t="n">
        <f aca="false">V89*V88</f>
        <v>94.9104</v>
      </c>
      <c r="W90" s="37" t="n">
        <f aca="false">S90+T90+U90+V90</f>
        <v>365.82</v>
      </c>
      <c r="X90" s="36" t="n">
        <f aca="false">X89*X88</f>
        <v>97.6144</v>
      </c>
      <c r="Y90" s="36" t="n">
        <f aca="false">Y89*Y88</f>
        <v>93.0176</v>
      </c>
      <c r="Z90" s="36" t="n">
        <f aca="false">Z89*Z88</f>
        <v>91.113984</v>
      </c>
      <c r="AA90" s="36" t="n">
        <f aca="false">AA89*AA88</f>
        <v>98.706816</v>
      </c>
      <c r="AB90" s="37" t="n">
        <f aca="false">X90+Y90+Z90+AA90</f>
        <v>380.4528</v>
      </c>
      <c r="AC90" s="36" t="n">
        <f aca="false">AC89*AC88</f>
        <v>101.518976</v>
      </c>
      <c r="AD90" s="36" t="n">
        <f aca="false">AD89*AD88</f>
        <v>96.738304</v>
      </c>
      <c r="AE90" s="36" t="n">
        <f aca="false">AE89*AE88</f>
        <v>94.75854336</v>
      </c>
      <c r="AF90" s="36" t="n">
        <f aca="false">AF89*AF88</f>
        <v>102.65508864</v>
      </c>
      <c r="AG90" s="37" t="n">
        <f aca="false">AC90+AD90+AE90+AF90</f>
        <v>395.670912</v>
      </c>
    </row>
    <row r="91" customFormat="false" ht="15" hidden="false" customHeight="false" outlineLevel="0" collapsed="false">
      <c r="C91" s="22" t="s">
        <v>39</v>
      </c>
      <c r="H91" s="25"/>
      <c r="I91" s="55" t="n">
        <f aca="false">IFERROR((I89-D89)*10000,0)</f>
        <v>0</v>
      </c>
      <c r="J91" s="55" t="n">
        <f aca="false">IFERROR((J89-E89)*10000,0)</f>
        <v>0</v>
      </c>
      <c r="K91" s="55" t="n">
        <f aca="false">IFERROR((K89-F89)*10000,0)</f>
        <v>0</v>
      </c>
      <c r="L91" s="55" t="n">
        <f aca="false">IFERROR((L89-G89)*10000,0)</f>
        <v>0</v>
      </c>
      <c r="M91" s="56" t="n">
        <f aca="false">IFERROR((M89-H89)*10000,0)</f>
        <v>0</v>
      </c>
      <c r="N91" s="55" t="n">
        <f aca="false">IFERROR((N89-I89)*10000,0)</f>
        <v>0</v>
      </c>
      <c r="O91" s="55" t="n">
        <f aca="false">IFERROR((O89-J89)*10000,0)</f>
        <v>0</v>
      </c>
      <c r="P91" s="55" t="n">
        <f aca="false">IFERROR((P89-K89)*10000,0)</f>
        <v>0</v>
      </c>
      <c r="Q91" s="55" t="n">
        <f aca="false">IFERROR((Q89-L89)*10000,0)</f>
        <v>0</v>
      </c>
      <c r="R91" s="56" t="n">
        <f aca="false">IFERROR((R89-M89)*10000,0)</f>
        <v>0</v>
      </c>
      <c r="S91" s="55" t="n">
        <f aca="false">IFERROR((S89-N89)*10000,0)</f>
        <v>0</v>
      </c>
      <c r="T91" s="55" t="n">
        <f aca="false">IFERROR((T89-O89)*10000,0)</f>
        <v>0</v>
      </c>
      <c r="U91" s="55" t="n">
        <f aca="false">IFERROR((U89-P89)*10000,0)</f>
        <v>0</v>
      </c>
      <c r="V91" s="55" t="n">
        <f aca="false">IFERROR((V89-Q89)*10000,0)</f>
        <v>0</v>
      </c>
      <c r="W91" s="56" t="n">
        <f aca="false">IFERROR((W89-R89)*10000,0)</f>
        <v>0</v>
      </c>
      <c r="X91" s="55" t="n">
        <f aca="false">IFERROR((X89-S89)*10000,0)</f>
        <v>0</v>
      </c>
      <c r="Y91" s="55" t="n">
        <f aca="false">IFERROR((Y89-T89)*10000,0)</f>
        <v>0</v>
      </c>
      <c r="Z91" s="55" t="n">
        <f aca="false">IFERROR((Z89-U89)*10000,0)</f>
        <v>0</v>
      </c>
      <c r="AA91" s="55" t="n">
        <f aca="false">IFERROR((AA89-V89)*10000,0)</f>
        <v>0</v>
      </c>
      <c r="AB91" s="56" t="n">
        <f aca="false">IFERROR((AB89-W89)*10000,0)</f>
        <v>0</v>
      </c>
      <c r="AC91" s="55" t="n">
        <f aca="false">IFERROR((AC89-X89)*10000,0)</f>
        <v>0</v>
      </c>
      <c r="AD91" s="55" t="n">
        <f aca="false">IFERROR((AD89-Y89)*10000,0)</f>
        <v>0</v>
      </c>
      <c r="AE91" s="55" t="n">
        <f aca="false">IFERROR((AE89-Z89)*10000,0)</f>
        <v>0</v>
      </c>
      <c r="AF91" s="55" t="n">
        <f aca="false">IFERROR((AF89-AA89)*10000,0)</f>
        <v>0</v>
      </c>
      <c r="AG91" s="56" t="n">
        <f aca="false">IFERROR((AG89-AB89)*10000,0)</f>
        <v>0</v>
      </c>
    </row>
    <row r="92" customFormat="false" ht="15" hidden="false" customHeight="false" outlineLevel="0" collapsed="false">
      <c r="H92" s="25"/>
      <c r="M92" s="25"/>
      <c r="R92" s="25"/>
      <c r="W92" s="25"/>
      <c r="AB92" s="25"/>
      <c r="AG92" s="25"/>
    </row>
    <row r="93" customFormat="false" ht="15" hidden="false" customHeight="false" outlineLevel="0" collapsed="false">
      <c r="C93" s="50" t="s">
        <v>90</v>
      </c>
      <c r="D93" s="51" t="n">
        <f aca="false">D78+D84+D90</f>
        <v>483.645</v>
      </c>
      <c r="E93" s="51" t="n">
        <f aca="false">E78+E84+E90</f>
        <v>473.81</v>
      </c>
      <c r="F93" s="51" t="n">
        <f aca="false">F78+F84+F90</f>
        <v>461.435</v>
      </c>
      <c r="G93" s="51" t="n">
        <f aca="false">G78+G84+G90</f>
        <v>465.79</v>
      </c>
      <c r="H93" s="52" t="n">
        <f aca="false">H78+H84+H90</f>
        <v>1884.68</v>
      </c>
      <c r="I93" s="51" t="n">
        <f aca="false">I78+I84+I90</f>
        <v>457.53</v>
      </c>
      <c r="J93" s="51" t="n">
        <f aca="false">J78+J84+J90</f>
        <v>434.64</v>
      </c>
      <c r="K93" s="51" t="n">
        <f aca="false">K78+K84+K90</f>
        <v>436.33</v>
      </c>
      <c r="L93" s="51" t="n">
        <f aca="false">L78+L84+L90</f>
        <v>469.765</v>
      </c>
      <c r="M93" s="52" t="n">
        <f aca="false">M78+M84+M90</f>
        <v>1798.265</v>
      </c>
      <c r="N93" s="51" t="n">
        <f aca="false">N78+N84+N90</f>
        <v>464.165</v>
      </c>
      <c r="O93" s="51" t="n">
        <f aca="false">O78+O84+O90</f>
        <v>461.315</v>
      </c>
      <c r="P93" s="51" t="n">
        <f aca="false">P78+P84+P90</f>
        <v>480.53</v>
      </c>
      <c r="Q93" s="51" t="n">
        <f aca="false">Q78+Q84+Q90</f>
        <v>514.06</v>
      </c>
      <c r="R93" s="52" t="n">
        <f aca="false">R78+R84+R90</f>
        <v>1920.07</v>
      </c>
      <c r="S93" s="51" t="n">
        <f aca="false">S78+S84+S90</f>
        <v>496.615</v>
      </c>
      <c r="T93" s="51" t="n">
        <f aca="false">T78+T84+T90</f>
        <v>507.055</v>
      </c>
      <c r="U93" s="51" t="n">
        <f aca="false">U78+U84+U90</f>
        <v>499.7512</v>
      </c>
      <c r="V93" s="51" t="n">
        <f aca="false">V78+V84+V90</f>
        <v>534.6224</v>
      </c>
      <c r="W93" s="52" t="n">
        <f aca="false">W78+W84+W90</f>
        <v>2038.0436</v>
      </c>
      <c r="X93" s="51" t="n">
        <f aca="false">X78+X84+X90</f>
        <v>516.4796</v>
      </c>
      <c r="Y93" s="51" t="n">
        <f aca="false">Y78+Y84+Y90</f>
        <v>527.3372</v>
      </c>
      <c r="Z93" s="51" t="n">
        <f aca="false">Z78+Z84+Z90</f>
        <v>519.741248</v>
      </c>
      <c r="AA93" s="51" t="n">
        <f aca="false">AA78+AA84+AA90</f>
        <v>556.007296</v>
      </c>
      <c r="AB93" s="52" t="n">
        <f aca="false">AB78+AB84+AB90</f>
        <v>2119.565344</v>
      </c>
      <c r="AC93" s="51" t="n">
        <f aca="false">AC78+AC84+AC90</f>
        <v>537.138784</v>
      </c>
      <c r="AD93" s="51" t="n">
        <f aca="false">AD78+AD84+AD90</f>
        <v>548.430688</v>
      </c>
      <c r="AE93" s="51" t="n">
        <f aca="false">AE78+AE84+AE90</f>
        <v>540.53089792</v>
      </c>
      <c r="AF93" s="51" t="n">
        <f aca="false">AF78+AF84+AF90</f>
        <v>578.24758784</v>
      </c>
      <c r="AG93" s="52" t="n">
        <f aca="false">AG78+AG84+AG90</f>
        <v>2204.34795776</v>
      </c>
    </row>
    <row r="94" customFormat="false" ht="15" hidden="false" customHeight="false" outlineLevel="0" collapsed="false">
      <c r="C94" s="4" t="s">
        <v>80</v>
      </c>
      <c r="D94" s="57" t="n">
        <f aca="false">IFERROR(D93/D54,0)</f>
        <v>0.275424259681093</v>
      </c>
      <c r="E94" s="57" t="n">
        <f aca="false">IFERROR(E93/E54,0)</f>
        <v>0.275952242283052</v>
      </c>
      <c r="F94" s="57" t="n">
        <f aca="false">IFERROR(F93/F54,0)</f>
        <v>0.275977870813397</v>
      </c>
      <c r="G94" s="57" t="n">
        <f aca="false">IFERROR(G93/G54,0)</f>
        <v>0.275941943127962</v>
      </c>
      <c r="H94" s="58" t="n">
        <f aca="false">IFERROR(H93/H54,0)</f>
        <v>0.275820283916289</v>
      </c>
      <c r="I94" s="57" t="n">
        <f aca="false">IFERROR(I93/I54,0)</f>
        <v>0.275952955367913</v>
      </c>
      <c r="J94" s="57" t="n">
        <f aca="false">IFERROR(J93/J54,0)</f>
        <v>0.27631277813096</v>
      </c>
      <c r="K94" s="57" t="n">
        <f aca="false">IFERROR(K93/K54,0)</f>
        <v>0.276508238276299</v>
      </c>
      <c r="L94" s="57" t="n">
        <f aca="false">IFERROR(L93/L54,0)</f>
        <v>0.276169900058789</v>
      </c>
      <c r="M94" s="58" t="n">
        <f aca="false">IFERROR(M93/M54,0)</f>
        <v>0.276231182795699</v>
      </c>
      <c r="N94" s="57" t="n">
        <f aca="false">IFERROR(N93/N54,0)</f>
        <v>0.276124330755503</v>
      </c>
      <c r="O94" s="57" t="n">
        <f aca="false">IFERROR(O93/O54,0)</f>
        <v>0.276567745803357</v>
      </c>
      <c r="P94" s="57" t="n">
        <f aca="false">IFERROR(P93/P54,0)</f>
        <v>0.276484464902186</v>
      </c>
      <c r="Q94" s="57" t="n">
        <f aca="false">IFERROR(Q93/Q54,0)</f>
        <v>0.276227834497582</v>
      </c>
      <c r="R94" s="58" t="n">
        <f aca="false">IFERROR(R93/R54,0)</f>
        <v>0.276348589522165</v>
      </c>
      <c r="S94" s="57" t="n">
        <f aca="false">IFERROR(S93/S54,0)</f>
        <v>0.276204115684093</v>
      </c>
      <c r="T94" s="57" t="n">
        <f aca="false">IFERROR(T93/T54,0)</f>
        <v>0.276324250681199</v>
      </c>
      <c r="U94" s="57" t="n">
        <f aca="false">IFERROR(U93/U54,0)</f>
        <v>0.276484464902186</v>
      </c>
      <c r="V94" s="57" t="n">
        <f aca="false">IFERROR(V93/V54,0)</f>
        <v>0.276227834497582</v>
      </c>
      <c r="W94" s="58" t="n">
        <f aca="false">IFERROR(W93/W54,0)</f>
        <v>0.276308927922603</v>
      </c>
      <c r="X94" s="57" t="n">
        <f aca="false">IFERROR(X93/X54,0)</f>
        <v>0.276204115684093</v>
      </c>
      <c r="Y94" s="57" t="n">
        <f aca="false">IFERROR(Y93/Y54,0)</f>
        <v>0.276324250681199</v>
      </c>
      <c r="Z94" s="57" t="n">
        <f aca="false">IFERROR(Z93/Z54,0)</f>
        <v>0.276484464902186</v>
      </c>
      <c r="AA94" s="57" t="n">
        <f aca="false">IFERROR(AA93/AA54,0)</f>
        <v>0.276227834497582</v>
      </c>
      <c r="AB94" s="58" t="n">
        <f aca="false">IFERROR(AB93/AB54,0)</f>
        <v>0.276308927922603</v>
      </c>
      <c r="AC94" s="57" t="n">
        <f aca="false">IFERROR(AC93/AC54,0)</f>
        <v>0.276204115684093</v>
      </c>
      <c r="AD94" s="57" t="n">
        <f aca="false">IFERROR(AD93/AD54,0)</f>
        <v>0.276324250681199</v>
      </c>
      <c r="AE94" s="57" t="n">
        <f aca="false">IFERROR(AE93/AE54,0)</f>
        <v>0.276484464902186</v>
      </c>
      <c r="AF94" s="57" t="n">
        <f aca="false">IFERROR(AF93/AF54,0)</f>
        <v>0.276227834497582</v>
      </c>
      <c r="AG94" s="58" t="n">
        <f aca="false">IFERROR(AG93/AG54,0)</f>
        <v>0.276308927922603</v>
      </c>
    </row>
    <row r="95" customFormat="false" ht="15" hidden="false" customHeight="false" outlineLevel="0" collapsed="false">
      <c r="C95" s="22" t="s">
        <v>39</v>
      </c>
      <c r="H95" s="25"/>
      <c r="I95" s="55" t="n">
        <f aca="false">IFERROR((I94-D94)*10000,0)</f>
        <v>5.28695686819736</v>
      </c>
      <c r="J95" s="55" t="n">
        <f aca="false">IFERROR((J94-E94)*10000,0)</f>
        <v>3.60535847908183</v>
      </c>
      <c r="K95" s="55" t="n">
        <f aca="false">IFERROR((K94-F94)*10000,0)</f>
        <v>5.30367462901971</v>
      </c>
      <c r="L95" s="55" t="n">
        <f aca="false">IFERROR((L94-G94)*10000,0)</f>
        <v>2.27956930826834</v>
      </c>
      <c r="M95" s="56" t="n">
        <f aca="false">IFERROR((M94-H94)*10000,0)</f>
        <v>4.10898879410315</v>
      </c>
      <c r="N95" s="55" t="n">
        <f aca="false">IFERROR((N94-I94)*10000,0)</f>
        <v>1.7137538758949</v>
      </c>
      <c r="O95" s="55" t="n">
        <f aca="false">IFERROR((O94-J94)*10000,0)</f>
        <v>2.54967672397299</v>
      </c>
      <c r="P95" s="55" t="n">
        <f aca="false">IFERROR((P94-K94)*10000,0)</f>
        <v>-0.237733741126345</v>
      </c>
      <c r="Q95" s="55" t="n">
        <f aca="false">IFERROR((Q94-L94)*10000,0)</f>
        <v>0.579344387930392</v>
      </c>
      <c r="R95" s="56" t="n">
        <f aca="false">IFERROR((R94-M94)*10000,0)</f>
        <v>1.17406726465708</v>
      </c>
      <c r="S95" s="55" t="n">
        <f aca="false">IFERROR((S94-N94)*10000,0)</f>
        <v>0.79784928590787</v>
      </c>
      <c r="T95" s="55" t="n">
        <f aca="false">IFERROR((T94-O94)*10000,0)</f>
        <v>-2.43495122158377</v>
      </c>
      <c r="U95" s="55" t="n">
        <f aca="false">IFERROR((U94-P94)*10000,0)</f>
        <v>0</v>
      </c>
      <c r="V95" s="55" t="n">
        <f aca="false">IFERROR((V94-Q94)*10000,0)</f>
        <v>0</v>
      </c>
      <c r="W95" s="56" t="n">
        <f aca="false">IFERROR((W94-R94)*10000,0)</f>
        <v>-0.396615995620353</v>
      </c>
      <c r="X95" s="55" t="n">
        <f aca="false">IFERROR((X94-S94)*10000,0)</f>
        <v>0</v>
      </c>
      <c r="Y95" s="55" t="n">
        <f aca="false">IFERROR((Y94-T94)*10000,0)</f>
        <v>0</v>
      </c>
      <c r="Z95" s="55" t="n">
        <f aca="false">IFERROR((Z94-U94)*10000,0)</f>
        <v>0</v>
      </c>
      <c r="AA95" s="55" t="n">
        <f aca="false">IFERROR((AA94-V94)*10000,0)</f>
        <v>0</v>
      </c>
      <c r="AB95" s="56" t="n">
        <f aca="false">IFERROR((AB94-W94)*10000,0)</f>
        <v>0</v>
      </c>
      <c r="AC95" s="55" t="n">
        <f aca="false">IFERROR((AC94-X94)*10000,0)</f>
        <v>0</v>
      </c>
      <c r="AD95" s="55" t="n">
        <f aca="false">IFERROR((AD94-Y94)*10000,0)</f>
        <v>0</v>
      </c>
      <c r="AE95" s="55" t="n">
        <f aca="false">IFERROR((AE94-Z94)*10000,0)</f>
        <v>0</v>
      </c>
      <c r="AF95" s="55" t="n">
        <f aca="false">IFERROR((AF94-AA94)*10000,0)</f>
        <v>0</v>
      </c>
      <c r="AG95" s="56" t="n">
        <f aca="false">IFERROR((AG94-AB94)*10000,0)</f>
        <v>0</v>
      </c>
    </row>
    <row r="96" customFormat="false" ht="15" hidden="false" customHeight="false" outlineLevel="0" collapsed="false">
      <c r="H96" s="25"/>
      <c r="M96" s="25"/>
      <c r="R96" s="25"/>
      <c r="W96" s="25"/>
      <c r="AB96" s="25"/>
      <c r="AG96" s="25"/>
    </row>
    <row r="97" customFormat="false" ht="15" hidden="false" customHeight="false" outlineLevel="0" collapsed="false">
      <c r="H97" s="25"/>
      <c r="M97" s="25"/>
      <c r="R97" s="25"/>
      <c r="W97" s="25"/>
      <c r="AB97" s="25"/>
      <c r="AG97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7" min="6" style="0" width="13"/>
  </cols>
  <sheetData>
    <row r="2" customFormat="false" ht="15" hidden="false" customHeight="false" outlineLevel="0" collapsed="false">
      <c r="B2" s="1" t="s">
        <v>91</v>
      </c>
    </row>
    <row r="4" customFormat="false" ht="15" hidden="false" customHeight="false" outlineLevel="0" collapsed="false">
      <c r="B4" s="59" t="s">
        <v>92</v>
      </c>
      <c r="C4" s="59" t="s">
        <v>93</v>
      </c>
      <c r="D4" s="59" t="s">
        <v>94</v>
      </c>
      <c r="E4" s="59" t="s">
        <v>95</v>
      </c>
      <c r="F4" s="59" t="s">
        <v>96</v>
      </c>
      <c r="G4" s="59" t="s">
        <v>97</v>
      </c>
    </row>
    <row r="5" customFormat="false" ht="15" hidden="false" customHeight="false" outlineLevel="0" collapsed="false">
      <c r="B5" s="4" t="s">
        <v>98</v>
      </c>
      <c r="C5" s="35" t="n">
        <v>7360</v>
      </c>
      <c r="D5" s="20" t="n">
        <f aca="false">Model!W54</f>
        <v>7375.96</v>
      </c>
      <c r="E5" s="46" t="n">
        <f aca="false">IFERROR((D5-C5)/C5,0)</f>
        <v>0.00216847826086957</v>
      </c>
      <c r="F5" s="20" t="n">
        <f aca="false">Model!AB54</f>
        <v>7670.9984</v>
      </c>
      <c r="G5" s="20" t="n">
        <f aca="false">Model!AG54</f>
        <v>7977.838336</v>
      </c>
    </row>
    <row r="6" customFormat="false" ht="15" hidden="false" customHeight="false" outlineLevel="0" collapsed="false">
      <c r="B6" s="4" t="s">
        <v>99</v>
      </c>
      <c r="C6" s="60" t="n">
        <v>0.04</v>
      </c>
      <c r="D6" s="26" t="n">
        <f aca="false">Model!W56</f>
        <v>0.0449756764536557</v>
      </c>
      <c r="E6" s="46" t="n">
        <f aca="false">D6-C6</f>
        <v>0.00497567645365574</v>
      </c>
      <c r="F6" s="26" t="n">
        <f aca="false">Model!AB56</f>
        <v>0.04</v>
      </c>
      <c r="G6" s="26" t="n">
        <f aca="false">Model!AG56</f>
        <v>0.04</v>
      </c>
    </row>
    <row r="7" customFormat="false" ht="15" hidden="false" customHeight="false" outlineLevel="0" collapsed="false">
      <c r="B7" s="4" t="s">
        <v>100</v>
      </c>
      <c r="C7" s="35" t="n">
        <v>1950</v>
      </c>
      <c r="D7" s="20" t="n">
        <f aca="false">Model!W93</f>
        <v>2038.0436</v>
      </c>
      <c r="E7" s="46" t="n">
        <f aca="false">IFERROR((D7-C7)/C7,0)</f>
        <v>0.0451505641025641</v>
      </c>
      <c r="F7" s="20" t="n">
        <f aca="false">Model!AB93</f>
        <v>2119.565344</v>
      </c>
      <c r="G7" s="20" t="n">
        <f aca="false">Model!AG93</f>
        <v>2204.34795776</v>
      </c>
    </row>
    <row r="8" customFormat="false" ht="15" hidden="false" customHeight="false" outlineLevel="0" collapsed="false">
      <c r="B8" s="4" t="s">
        <v>101</v>
      </c>
      <c r="C8" s="57" t="n">
        <f aca="false">C7/C5</f>
        <v>0.264945652173913</v>
      </c>
      <c r="D8" s="57" t="n">
        <f aca="false">D7/D5</f>
        <v>0.276308927922603</v>
      </c>
      <c r="E8" s="46" t="n">
        <f aca="false">D8-C8</f>
        <v>0.0113632757486896</v>
      </c>
      <c r="F8" s="57" t="n">
        <f aca="false">F7/F5</f>
        <v>0.276308927922603</v>
      </c>
      <c r="G8" s="57" t="n">
        <f aca="false">G7/G5</f>
        <v>0.276308927922603</v>
      </c>
    </row>
    <row r="10" customFormat="false" ht="15" hidden="false" customHeight="false" outlineLevel="0" collapsed="false">
      <c r="B10" s="2" t="s">
        <v>102</v>
      </c>
    </row>
    <row r="11" customFormat="false" ht="15" hidden="false" customHeight="false" outlineLevel="0" collapsed="false">
      <c r="B11" s="4" t="s">
        <v>103</v>
      </c>
    </row>
    <row r="12" customFormat="false" ht="15" hidden="false" customHeight="false" outlineLevel="0" collapsed="false">
      <c r="B12" s="4" t="s">
        <v>104</v>
      </c>
    </row>
    <row r="13" customFormat="false" ht="15" hidden="false" customHeight="false" outlineLevel="0" collapsed="false">
      <c r="B13" s="4" t="s">
        <v>105</v>
      </c>
    </row>
    <row r="14" customFormat="false" ht="15" hidden="false" customHeight="false" outlineLevel="0" collapsed="false">
      <c r="B14" s="4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2026-06-01T18:43:53Z</dcterms:created>
  <dc:creator>openpyxl</dc:creator>
  <dc:description/>
  <dc:language>en-US</dc:language>
  <cp:lastModifiedBy/>
  <dcterms:modified xsi:type="dcterms:W3CDTF">2026-06-01T18:43:53Z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