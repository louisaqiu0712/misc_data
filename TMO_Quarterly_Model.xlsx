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Model" sheetId="3" state="visible" r:id="rId5"/>
    <sheet name="Ups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<sst xmlns="http://schemas.openxmlformats.org/spreadsheetml/2006/main" count="361" uniqueCount="126">
  <si>
    <t xml:space="preserve">Thermo Fisher Scientific (TMO) — Quarterly Bottom-Up Model</t>
  </si>
  <si>
    <t xml:space="preserve">Purpose</t>
  </si>
  <si>
    <t xml:space="preserve">Quarterly revenue and segment income build by subsegment, with organic / M&amp;A / FX bridge and Clario acquisition + Microbiology divestiture defaults seeded.</t>
  </si>
  <si>
    <t xml:space="preserve">Tab guide</t>
  </si>
  <si>
    <t xml:space="preserve">COVER — this page.</t>
  </si>
  <si>
    <t xml:space="preserve">Summary — consolidated headline, per-segment table, Notable M&amp;A schedule, long-range guide overlay.</t>
  </si>
  <si>
    <t xml:space="preserve">Model — revenue build (subseg + bridge) and segment income build (rev × margin), single combined tab.</t>
  </si>
  <si>
    <t xml:space="preserve">Upside — FY26/27/28 model output vs. management guidance.</t>
  </si>
  <si>
    <t xml:space="preserve">Color convention</t>
  </si>
  <si>
    <t xml:space="preserve">Black formulas | Blue hardcoded actuals | Red forward assumptions | Green cross-sheet links</t>
  </si>
  <si>
    <t xml:space="preserve">Period header band (rows 4–10) — GH-style</t>
  </si>
  <si>
    <t xml:space="preserve">Row 4: 1Q / 2Q / 3Q / 4Q / FY  |  Row 5: fiscal year (auto)  |  Row 7: REPORTED banner (boxed)  |  Row 8: "E" estimate marker  |  Row 9: combined label (e.g., 1Q24, FY26E)  |  Row 10: period end date</t>
  </si>
  <si>
    <t xml:space="preserve">Notable M&amp;A / Divestitures</t>
  </si>
  <si>
    <t xml:space="preserve">Clario Holdings — acquired Mar 24, 2026 for endpoint data solutions in clinical trials. ~$1.225B prior-year revenue. Flows into LPBS / Clinical Research subsegment.</t>
  </si>
  <si>
    <t xml:space="preserve">Microbiology divestiture — announced Apr 27, 2026. Sale to Astorg for ~$1.075B (cash + $50M seller note). Expected close 2H 2026. Default: mid-3Q26.</t>
  </si>
  <si>
    <t xml:space="preserve">Sources</t>
  </si>
  <si>
    <t xml:space="preserve">TMO 10-Q Q1/Q2/Q3 2025, Q1 2026 (Note 4, 6, 11); 2025 10-K; Q1-2026 Reconciliation of Financial Information PDF.</t>
  </si>
  <si>
    <t xml:space="preserve">TMO — Consolidated Summary</t>
  </si>
  <si>
    <t xml:space="preserve">Period</t>
  </si>
  <si>
    <t xml:space="preserve">1Q</t>
  </si>
  <si>
    <t xml:space="preserve">2Q</t>
  </si>
  <si>
    <t xml:space="preserve">3Q</t>
  </si>
  <si>
    <t xml:space="preserve">4Q</t>
  </si>
  <si>
    <t xml:space="preserve">FY</t>
  </si>
  <si>
    <t xml:space="preserve">Company Fiscal Year</t>
  </si>
  <si>
    <t xml:space="preserve">Status</t>
  </si>
  <si>
    <t xml:space="preserve">REPORTED</t>
  </si>
  <si>
    <t xml:space="preserve">Reported (blank) or Estimate ("E")</t>
  </si>
  <si>
    <t xml:space="preserve">E</t>
  </si>
  <si>
    <t xml:space="preserve">Company Fiscal Period</t>
  </si>
  <si>
    <t xml:space="preserve">Period end date</t>
  </si>
  <si>
    <t xml:space="preserve">REVENUE</t>
  </si>
  <si>
    <t xml:space="preserve">Consolidated revenue ($M)</t>
  </si>
  <si>
    <t xml:space="preserve">  Reported Y/Y</t>
  </si>
  <si>
    <t xml:space="preserve">  Organic</t>
  </si>
  <si>
    <t xml:space="preserve">  M&amp;A</t>
  </si>
  <si>
    <t xml:space="preserve">  FX</t>
  </si>
  <si>
    <t xml:space="preserve">SEGMENT INCOME</t>
  </si>
  <si>
    <t xml:space="preserve">Total segment income ($M)</t>
  </si>
  <si>
    <t xml:space="preserve">  Total segment margin %</t>
  </si>
  <si>
    <t xml:space="preserve">  Margin Y/Y (bps)</t>
  </si>
  <si>
    <t xml:space="preserve">BY SEGMENT</t>
  </si>
  <si>
    <t xml:space="preserve">Life Sciences Solutions</t>
  </si>
  <si>
    <t xml:space="preserve">  Revenue ($M)</t>
  </si>
  <si>
    <t xml:space="preserve">  Segment income ($M)</t>
  </si>
  <si>
    <t xml:space="preserve">  Margin %</t>
  </si>
  <si>
    <t xml:space="preserve">Analytical Instruments</t>
  </si>
  <si>
    <t xml:space="preserve">Specialty Diagnostics</t>
  </si>
  <si>
    <t xml:space="preserve">Laboratory Products &amp; Biopharma Services</t>
  </si>
  <si>
    <t xml:space="preserve">NOTABLE M&amp;A / DIVESTITURE SCHEDULE</t>
  </si>
  <si>
    <t xml:space="preserve">Event</t>
  </si>
  <si>
    <t xml:space="preserve">Target subsegment</t>
  </si>
  <si>
    <t xml:space="preserve">Close date</t>
  </si>
  <si>
    <t xml:space="preserve">Annual rev ($M)</t>
  </si>
  <si>
    <t xml:space="preserve">Source</t>
  </si>
  <si>
    <t xml:space="preserve">Clario Holdings</t>
  </si>
  <si>
    <t xml:space="preserve">Clinical Research (LPBS)</t>
  </si>
  <si>
    <t xml:space="preserve">Mar 24, 2026</t>
  </si>
  <si>
    <t xml:space="preserve">Closed</t>
  </si>
  <si>
    <t xml:space="preserve">Recon PDF p.15</t>
  </si>
  <si>
    <t xml:space="preserve">Microbiology divestiture</t>
  </si>
  <si>
    <t xml:space="preserve">Microbiology (SDS)</t>
  </si>
  <si>
    <t xml:space="preserve">2H 2026 (assumed mid-3Q26)</t>
  </si>
  <si>
    <t xml:space="preserve">Announced, pending close</t>
  </si>
  <si>
    <t xml:space="preserve">26Q1 10Q Note 4 p.23</t>
  </si>
  <si>
    <t xml:space="preserve">Quarterly M&amp;A $-impact embedded in model (computed):</t>
  </si>
  <si>
    <t xml:space="preserve">Clinical Research M&amp;A $ vs PY</t>
  </si>
  <si>
    <t xml:space="preserve">Microbiology M&amp;A $ vs PY</t>
  </si>
  <si>
    <t xml:space="preserve">MANAGEMENT LONG-RANGE GUIDE OVERLAY</t>
  </si>
  <si>
    <t xml:space="preserve">LRP metric</t>
  </si>
  <si>
    <t xml:space="preserve">Guide</t>
  </si>
  <si>
    <t xml:space="preserve">Model FY27E</t>
  </si>
  <si>
    <t xml:space="preserve">Model FY28E</t>
  </si>
  <si>
    <t xml:space="preserve">Organic revenue growth</t>
  </si>
  <si>
    <t xml:space="preserve">7-9%</t>
  </si>
  <si>
    <t xml:space="preserve">TMO LRP framework</t>
  </si>
  <si>
    <t xml:space="preserve">Adjusted operating margin</t>
  </si>
  <si>
    <t xml:space="preserve">22-23%</t>
  </si>
  <si>
    <t xml:space="preserve">Adjusted EPS growth</t>
  </si>
  <si>
    <t xml:space="preserve">Mid-teens</t>
  </si>
  <si>
    <t xml:space="preserve">TMO Quarterly Model — Revenue &amp; Segment Income ($M)</t>
  </si>
  <si>
    <t xml:space="preserve">TOP-LINE SUMMARY (from bottom of tab)</t>
  </si>
  <si>
    <t xml:space="preserve">REVENUE BUILD</t>
  </si>
  <si>
    <t xml:space="preserve">10-Q / 10-K</t>
  </si>
  <si>
    <t xml:space="preserve">Biosciences</t>
  </si>
  <si>
    <t xml:space="preserve">Genetic Sciences</t>
  </si>
  <si>
    <t xml:space="preserve">BioProduction</t>
  </si>
  <si>
    <t xml:space="preserve">Other (LSS)</t>
  </si>
  <si>
    <t xml:space="preserve">Life Sciences Solutions — Total</t>
  </si>
  <si>
    <t xml:space="preserve">Chromatography &amp; MS</t>
  </si>
  <si>
    <t xml:space="preserve">Chemical Analysis</t>
  </si>
  <si>
    <t xml:space="preserve">Electron Microscopy</t>
  </si>
  <si>
    <t xml:space="preserve">Analytical Instruments — Total</t>
  </si>
  <si>
    <t xml:space="preserve">Clinical Diagnostics</t>
  </si>
  <si>
    <t xml:space="preserve">ImmunoDiagnostics</t>
  </si>
  <si>
    <t xml:space="preserve">Microbiology</t>
  </si>
  <si>
    <t xml:space="preserve">Transplant Diagnostics</t>
  </si>
  <si>
    <t xml:space="preserve">Healthcare Mkt Channel</t>
  </si>
  <si>
    <t xml:space="preserve">Intra-segment elim (SDS)</t>
  </si>
  <si>
    <t xml:space="preserve">Specialty Diagnostics — Total</t>
  </si>
  <si>
    <t xml:space="preserve">Laboratory Products</t>
  </si>
  <si>
    <t xml:space="preserve">Research &amp; Safety Channel</t>
  </si>
  <si>
    <t xml:space="preserve">Pharma Services</t>
  </si>
  <si>
    <t xml:space="preserve">Clinical Research</t>
  </si>
  <si>
    <t xml:space="preserve">Intra-segment elim (LPBS)</t>
  </si>
  <si>
    <t xml:space="preserve">Laboratory Products &amp; Biopharma Services — Total</t>
  </si>
  <si>
    <t xml:space="preserve">Inter-segment elimination</t>
  </si>
  <si>
    <t xml:space="preserve">  Elim as % of consolidated rev</t>
  </si>
  <si>
    <t xml:space="preserve">CONSOLIDATED REVENUE</t>
  </si>
  <si>
    <t xml:space="preserve">SEGMENT INCOME BUILD</t>
  </si>
  <si>
    <t xml:space="preserve">  Segment revenue ($M)</t>
  </si>
  <si>
    <t xml:space="preserve">  Segment margin %</t>
  </si>
  <si>
    <t xml:space="preserve">TOTAL SEGMENT INCOME</t>
  </si>
  <si>
    <t xml:space="preserve">  Total margin %</t>
  </si>
  <si>
    <t xml:space="preserve">Model vs Management Guidance</t>
  </si>
  <si>
    <t xml:space="preserve">Metric</t>
  </si>
  <si>
    <t xml:space="preserve">FY26 Guide</t>
  </si>
  <si>
    <t xml:space="preserve">FY26 Model</t>
  </si>
  <si>
    <t xml:space="preserve">FY26 Δ</t>
  </si>
  <si>
    <t xml:space="preserve">FY27 Model</t>
  </si>
  <si>
    <t xml:space="preserve">FY28 Model</t>
  </si>
  <si>
    <t xml:space="preserve">Revenue ($M)</t>
  </si>
  <si>
    <t xml:space="preserve">Organic growth %</t>
  </si>
  <si>
    <t xml:space="preserve">Total segment margin %</t>
  </si>
  <si>
    <t xml:space="preserve">Long-range guide check (FY27E / FY28E)</t>
  </si>
  <si>
    <t xml:space="preserve">TMO LRP framework: ~7-9% organic revenue, ~22-23% adj op margin, mid-teens adj EPS growth. Update column C with current guide; D/F/G auto-pull.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</si>
</sst>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mmm\-yyyy"/>
    <numFmt numFmtId="167" formatCode="#,##0;\(#,##0\);\-"/>
    <numFmt numFmtId="168" formatCode="\+0.0%;\-0.0%;\-"/>
    <numFmt numFmtId="169" formatCode="0.0%;\(0.0%\);\-"/>
    <numFmt numFmtId="170" formatCode="\+0;\-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i val="true"/>
      <sz val="8"/>
      <color rgb="FF1F4E78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8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C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3" t="s">
        <v>9</v>
      </c>
    </row>
    <row r="16" customFormat="false" ht="15" hidden="false" customHeight="false" outlineLevel="0" collapsed="false">
      <c r="B16" s="2" t="s">
        <v>10</v>
      </c>
    </row>
    <row r="17" customFormat="false" ht="25.5" hidden="false" customHeight="true" outlineLevel="0" collapsed="false">
      <c r="B17" s="4" t="s">
        <v>11</v>
      </c>
    </row>
    <row r="19" customFormat="false" ht="15" hidden="false" customHeight="false" outlineLevel="0" collapsed="false">
      <c r="B19" s="2" t="s">
        <v>12</v>
      </c>
    </row>
    <row r="20" customFormat="false" ht="15" hidden="false" customHeight="false" outlineLevel="0" collapsed="false">
      <c r="B20" s="3" t="s">
        <v>13</v>
      </c>
    </row>
    <row r="21" customFormat="false" ht="15" hidden="false" customHeight="false" outlineLevel="0" collapsed="false">
      <c r="B21" s="3" t="s">
        <v>14</v>
      </c>
    </row>
    <row r="23" customFormat="false" ht="15" hidden="false" customHeight="false" outlineLevel="0" collapsed="false">
      <c r="B23" s="2" t="s">
        <v>15</v>
      </c>
    </row>
    <row r="24" customFormat="false" ht="15" hidden="false" customHeight="false" outlineLevel="0" collapsed="false">
      <c r="B24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  <col collapsed="false" customWidth="true" hidden="false" outlineLevel="0" max="27" min="24" style="0" width="10"/>
    <col collapsed="false" customWidth="true" hidden="false" outlineLevel="0" max="28" min="28" style="0" width="11"/>
  </cols>
  <sheetData>
    <row r="2" customFormat="false" ht="15" hidden="false" customHeight="false" outlineLevel="0" collapsed="false">
      <c r="B2" s="1" t="s">
        <v>17</v>
      </c>
    </row>
    <row r="4" customFormat="false" ht="15" hidden="false" customHeight="false" outlineLevel="0" collapsed="false">
      <c r="C4" s="2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19</v>
      </c>
      <c r="Y4" s="5" t="s">
        <v>20</v>
      </c>
      <c r="Z4" s="5" t="s">
        <v>21</v>
      </c>
      <c r="AA4" s="5" t="s">
        <v>22</v>
      </c>
      <c r="AB4" s="5" t="s">
        <v>23</v>
      </c>
    </row>
    <row r="5" customFormat="false" ht="15" hidden="false" customHeight="false" outlineLevel="0" collapsed="false">
      <c r="C5" s="2" t="s">
        <v>24</v>
      </c>
      <c r="D5" s="6" t="n">
        <v>24</v>
      </c>
      <c r="E5" s="7" t="n">
        <f aca="false">D5</f>
        <v>24</v>
      </c>
      <c r="F5" s="7" t="n">
        <f aca="false">E5</f>
        <v>24</v>
      </c>
      <c r="G5" s="7" t="n">
        <f aca="false">F5</f>
        <v>24</v>
      </c>
      <c r="H5" s="7" t="n">
        <f aca="false">G5</f>
        <v>24</v>
      </c>
      <c r="I5" s="8" t="n">
        <f aca="false">H5+1</f>
        <v>25</v>
      </c>
      <c r="J5" s="7" t="n">
        <f aca="false">I5</f>
        <v>25</v>
      </c>
      <c r="K5" s="7" t="n">
        <f aca="false">J5</f>
        <v>25</v>
      </c>
      <c r="L5" s="7" t="n">
        <f aca="false">K5</f>
        <v>25</v>
      </c>
      <c r="M5" s="7" t="n">
        <f aca="false">L5</f>
        <v>25</v>
      </c>
      <c r="N5" s="8" t="n">
        <f aca="false">M5+1</f>
        <v>26</v>
      </c>
      <c r="O5" s="7" t="n">
        <f aca="false">N5</f>
        <v>26</v>
      </c>
      <c r="P5" s="7" t="n">
        <f aca="false">O5</f>
        <v>26</v>
      </c>
      <c r="Q5" s="7" t="n">
        <f aca="false">P5</f>
        <v>26</v>
      </c>
      <c r="R5" s="7" t="n">
        <f aca="false">Q5</f>
        <v>26</v>
      </c>
      <c r="S5" s="8" t="n">
        <f aca="false">R5+1</f>
        <v>27</v>
      </c>
      <c r="T5" s="7" t="n">
        <f aca="false">S5</f>
        <v>27</v>
      </c>
      <c r="U5" s="7" t="n">
        <f aca="false">T5</f>
        <v>27</v>
      </c>
      <c r="V5" s="7" t="n">
        <f aca="false">U5</f>
        <v>27</v>
      </c>
      <c r="W5" s="7" t="n">
        <f aca="false">V5</f>
        <v>27</v>
      </c>
      <c r="X5" s="8" t="n">
        <f aca="false">W5+1</f>
        <v>28</v>
      </c>
      <c r="Y5" s="7" t="n">
        <f aca="false">X5</f>
        <v>28</v>
      </c>
      <c r="Z5" s="7" t="n">
        <f aca="false">Y5</f>
        <v>28</v>
      </c>
      <c r="AA5" s="7" t="n">
        <f aca="false">Z5</f>
        <v>28</v>
      </c>
      <c r="AB5" s="7" t="n">
        <f aca="false">AA5</f>
        <v>28</v>
      </c>
    </row>
    <row r="7" customFormat="false" ht="15" hidden="false" customHeight="false" outlineLevel="0" collapsed="false">
      <c r="C7" s="2" t="s">
        <v>25</v>
      </c>
      <c r="D7" s="9" t="s">
        <v>26</v>
      </c>
      <c r="E7" s="10"/>
      <c r="F7" s="10"/>
      <c r="G7" s="10"/>
      <c r="H7" s="11"/>
      <c r="I7" s="9" t="s">
        <v>26</v>
      </c>
      <c r="J7" s="10"/>
      <c r="K7" s="10"/>
      <c r="L7" s="10"/>
      <c r="M7" s="11"/>
    </row>
    <row r="8" customFormat="false" ht="15" hidden="false" customHeight="false" outlineLevel="0" collapsed="false">
      <c r="C8" s="2" t="s">
        <v>27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 t="s">
        <v>28</v>
      </c>
      <c r="P8" s="12" t="s">
        <v>28</v>
      </c>
      <c r="Q8" s="12" t="s">
        <v>28</v>
      </c>
      <c r="R8" s="12" t="s">
        <v>28</v>
      </c>
      <c r="S8" s="12" t="s">
        <v>28</v>
      </c>
      <c r="T8" s="12" t="s">
        <v>28</v>
      </c>
      <c r="U8" s="12" t="s">
        <v>28</v>
      </c>
      <c r="V8" s="12" t="s">
        <v>28</v>
      </c>
      <c r="W8" s="12" t="s">
        <v>28</v>
      </c>
      <c r="X8" s="12" t="s">
        <v>28</v>
      </c>
      <c r="Y8" s="12" t="s">
        <v>28</v>
      </c>
      <c r="Z8" s="12" t="s">
        <v>28</v>
      </c>
      <c r="AA8" s="12" t="s">
        <v>28</v>
      </c>
      <c r="AB8" s="12" t="s">
        <v>28</v>
      </c>
    </row>
    <row r="9" customFormat="false" ht="15" hidden="false" customHeight="false" outlineLevel="0" collapsed="false">
      <c r="C9" s="2" t="s">
        <v>29</v>
      </c>
      <c r="D9" s="13" t="str">
        <f aca="false">D$4&amp;D5&amp;D8</f>
        <v>1Q24</v>
      </c>
      <c r="E9" s="13" t="str">
        <f aca="false">E$4&amp;E5&amp;E8</f>
        <v>2Q24</v>
      </c>
      <c r="F9" s="13" t="str">
        <f aca="false">F$4&amp;F5&amp;F8</f>
        <v>3Q24</v>
      </c>
      <c r="G9" s="13" t="str">
        <f aca="false">G$4&amp;G5&amp;G8</f>
        <v>4Q24</v>
      </c>
      <c r="H9" s="14" t="str">
        <f aca="false">H$4&amp;H5&amp;H8</f>
        <v>FY24</v>
      </c>
      <c r="I9" s="13" t="str">
        <f aca="false">I$4&amp;I5&amp;I8</f>
        <v>1Q25</v>
      </c>
      <c r="J9" s="13" t="str">
        <f aca="false">J$4&amp;J5&amp;J8</f>
        <v>2Q25</v>
      </c>
      <c r="K9" s="13" t="str">
        <f aca="false">K$4&amp;K5&amp;K8</f>
        <v>3Q25</v>
      </c>
      <c r="L9" s="13" t="str">
        <f aca="false">L$4&amp;L5&amp;L8</f>
        <v>4Q25</v>
      </c>
      <c r="M9" s="14" t="str">
        <f aca="false">M$4&amp;M5&amp;M8</f>
        <v>FY25</v>
      </c>
      <c r="N9" s="13" t="str">
        <f aca="false">N$4&amp;N5&amp;N8</f>
        <v>1Q26</v>
      </c>
      <c r="O9" s="13" t="str">
        <f aca="false">O$4&amp;O5&amp;O8</f>
        <v>2Q26E</v>
      </c>
      <c r="P9" s="13" t="str">
        <f aca="false">P$4&amp;P5&amp;P8</f>
        <v>3Q26E</v>
      </c>
      <c r="Q9" s="13" t="str">
        <f aca="false">Q$4&amp;Q5&amp;Q8</f>
        <v>4Q26E</v>
      </c>
      <c r="R9" s="14" t="str">
        <f aca="false">R$4&amp;R5&amp;R8</f>
        <v>FY26E</v>
      </c>
      <c r="S9" s="13" t="str">
        <f aca="false">S$4&amp;S5&amp;S8</f>
        <v>1Q27E</v>
      </c>
      <c r="T9" s="13" t="str">
        <f aca="false">T$4&amp;T5&amp;T8</f>
        <v>2Q27E</v>
      </c>
      <c r="U9" s="13" t="str">
        <f aca="false">U$4&amp;U5&amp;U8</f>
        <v>3Q27E</v>
      </c>
      <c r="V9" s="13" t="str">
        <f aca="false">V$4&amp;V5&amp;V8</f>
        <v>4Q27E</v>
      </c>
      <c r="W9" s="14" t="str">
        <f aca="false">W$4&amp;W5&amp;W8</f>
        <v>FY27E</v>
      </c>
      <c r="X9" s="13" t="str">
        <f aca="false">X$4&amp;X5&amp;X8</f>
        <v>1Q28E</v>
      </c>
      <c r="Y9" s="13" t="str">
        <f aca="false">Y$4&amp;Y5&amp;Y8</f>
        <v>2Q28E</v>
      </c>
      <c r="Z9" s="13" t="str">
        <f aca="false">Z$4&amp;Z5&amp;Z8</f>
        <v>3Q28E</v>
      </c>
      <c r="AA9" s="13" t="str">
        <f aca="false">AA$4&amp;AA5&amp;AA8</f>
        <v>4Q28E</v>
      </c>
      <c r="AB9" s="14" t="str">
        <f aca="false">AB$4&amp;AB5&amp;AB8</f>
        <v>FY28E</v>
      </c>
    </row>
    <row r="10" customFormat="false" ht="15" hidden="false" customHeight="false" outlineLevel="0" collapsed="false">
      <c r="C10" s="2" t="s">
        <v>30</v>
      </c>
      <c r="D10" s="15" t="n">
        <v>45381</v>
      </c>
      <c r="E10" s="15" t="n">
        <v>45472</v>
      </c>
      <c r="F10" s="15" t="n">
        <v>45563</v>
      </c>
      <c r="G10" s="15" t="n">
        <v>45657</v>
      </c>
      <c r="H10" s="16" t="n">
        <v>45657</v>
      </c>
      <c r="I10" s="15" t="n">
        <v>45745</v>
      </c>
      <c r="J10" s="15" t="n">
        <v>45836</v>
      </c>
      <c r="K10" s="15" t="n">
        <v>45927</v>
      </c>
      <c r="L10" s="15" t="n">
        <v>46022</v>
      </c>
      <c r="M10" s="16" t="n">
        <v>46022</v>
      </c>
      <c r="N10" s="15" t="n">
        <v>46109</v>
      </c>
      <c r="O10" s="15" t="n">
        <v>46200</v>
      </c>
      <c r="P10" s="15" t="n">
        <v>46291</v>
      </c>
      <c r="Q10" s="15" t="n">
        <v>46387</v>
      </c>
      <c r="R10" s="16" t="n">
        <v>46387</v>
      </c>
      <c r="S10" s="15" t="n">
        <v>46480</v>
      </c>
      <c r="T10" s="15" t="n">
        <v>46571</v>
      </c>
      <c r="U10" s="15" t="n">
        <v>46662</v>
      </c>
      <c r="V10" s="15" t="n">
        <v>46752</v>
      </c>
      <c r="W10" s="16" t="n">
        <v>46752</v>
      </c>
      <c r="X10" s="15" t="n">
        <v>46844</v>
      </c>
      <c r="Y10" s="15" t="n">
        <v>46935</v>
      </c>
      <c r="Z10" s="15" t="n">
        <v>47026</v>
      </c>
      <c r="AA10" s="15" t="n">
        <v>47117</v>
      </c>
      <c r="AB10" s="16" t="n">
        <v>47117</v>
      </c>
    </row>
    <row r="11" customFormat="false" ht="15" hidden="false" customHeight="false" outlineLevel="0" collapsed="false">
      <c r="B11" s="17" t="s">
        <v>31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  <c r="X11" s="18"/>
      <c r="Y11" s="18"/>
      <c r="Z11" s="18"/>
      <c r="AA11" s="18"/>
      <c r="AB11" s="19"/>
    </row>
    <row r="12" customFormat="false" ht="15" hidden="false" customHeight="false" outlineLevel="0" collapsed="false">
      <c r="C12" s="2" t="s">
        <v>32</v>
      </c>
      <c r="D12" s="20" t="n">
        <f aca="false">Model!D144</f>
        <v>10345</v>
      </c>
      <c r="E12" s="20" t="n">
        <f aca="false">Model!E144</f>
        <v>10540</v>
      </c>
      <c r="F12" s="20" t="n">
        <f aca="false">Model!F144</f>
        <v>10597</v>
      </c>
      <c r="G12" s="20" t="n">
        <f aca="false">Model!G144</f>
        <v>11395</v>
      </c>
      <c r="H12" s="21" t="n">
        <f aca="false">Model!H144</f>
        <v>42877</v>
      </c>
      <c r="I12" s="20" t="n">
        <f aca="false">Model!I144</f>
        <v>10365</v>
      </c>
      <c r="J12" s="20" t="n">
        <f aca="false">Model!J144</f>
        <v>10856</v>
      </c>
      <c r="K12" s="20" t="n">
        <f aca="false">Model!K144</f>
        <v>11122</v>
      </c>
      <c r="L12" s="20" t="n">
        <f aca="false">Model!L144</f>
        <v>12216</v>
      </c>
      <c r="M12" s="21" t="n">
        <f aca="false">Model!M144</f>
        <v>44559</v>
      </c>
      <c r="N12" s="20" t="n">
        <f aca="false">Model!N144</f>
        <v>11006</v>
      </c>
      <c r="O12" s="20" t="n">
        <f aca="false">Model!O144</f>
        <v>11374.1052631579</v>
      </c>
      <c r="P12" s="20" t="n">
        <f aca="false">Model!P144</f>
        <v>11559.9502392345</v>
      </c>
      <c r="Q12" s="20" t="n">
        <f aca="false">Model!Q144</f>
        <v>12581.9196172249</v>
      </c>
      <c r="R12" s="21" t="n">
        <f aca="false">Model!R144</f>
        <v>46521.9751196172</v>
      </c>
      <c r="S12" s="20" t="n">
        <f aca="false">Model!S144</f>
        <v>11391.2267942584</v>
      </c>
      <c r="T12" s="20" t="n">
        <f aca="false">Model!T144</f>
        <v>11446.3911961723</v>
      </c>
      <c r="U12" s="20" t="n">
        <f aca="false">Model!U144</f>
        <v>11750.8430239234</v>
      </c>
      <c r="V12" s="20" t="n">
        <f aca="false">Model!V144</f>
        <v>12833.5580095694</v>
      </c>
      <c r="W12" s="21" t="n">
        <f aca="false">Model!W144</f>
        <v>47422.0190239234</v>
      </c>
      <c r="X12" s="20" t="n">
        <f aca="false">Model!X144</f>
        <v>11619.0513301435</v>
      </c>
      <c r="Y12" s="20" t="n">
        <f aca="false">Model!Y144</f>
        <v>11675.3190200957</v>
      </c>
      <c r="Z12" s="20" t="n">
        <f aca="false">Model!Z144</f>
        <v>11985.0847647847</v>
      </c>
      <c r="AA12" s="20" t="n">
        <f aca="false">Model!AA144</f>
        <v>13090.2291697608</v>
      </c>
      <c r="AB12" s="21" t="n">
        <f aca="false">Model!AB144</f>
        <v>48369.6842847847</v>
      </c>
    </row>
    <row r="13" customFormat="false" ht="15" hidden="false" customHeight="false" outlineLevel="0" collapsed="false">
      <c r="C13" s="22" t="s">
        <v>33</v>
      </c>
      <c r="D13" s="23" t="n">
        <f aca="false">Model!D145</f>
        <v>0</v>
      </c>
      <c r="E13" s="23" t="n">
        <f aca="false">Model!E145</f>
        <v>0</v>
      </c>
      <c r="F13" s="23" t="n">
        <f aca="false">Model!F145</f>
        <v>0</v>
      </c>
      <c r="G13" s="23" t="n">
        <f aca="false">Model!G145</f>
        <v>0</v>
      </c>
      <c r="H13" s="24" t="n">
        <f aca="false">Model!H145</f>
        <v>0</v>
      </c>
      <c r="I13" s="23" t="n">
        <f aca="false">Model!I145</f>
        <v>0.00193330111164824</v>
      </c>
      <c r="J13" s="23" t="n">
        <f aca="false">Model!J145</f>
        <v>0.0299810246679317</v>
      </c>
      <c r="K13" s="23" t="n">
        <f aca="false">Model!K145</f>
        <v>0.0495423232990468</v>
      </c>
      <c r="L13" s="23" t="n">
        <f aca="false">Model!L145</f>
        <v>0.0720491443615621</v>
      </c>
      <c r="M13" s="24" t="n">
        <f aca="false">Model!M145</f>
        <v>0.0392284907992631</v>
      </c>
      <c r="N13" s="23" t="n">
        <f aca="false">Model!N145</f>
        <v>0.0618427399903521</v>
      </c>
      <c r="O13" s="23" t="n">
        <f aca="false">Model!O145</f>
        <v>0.0477252453166817</v>
      </c>
      <c r="P13" s="23" t="n">
        <f aca="false">Model!P145</f>
        <v>0.0393769321376059</v>
      </c>
      <c r="Q13" s="23" t="n">
        <f aca="false">Model!Q145</f>
        <v>0.0299541271467649</v>
      </c>
      <c r="R13" s="24" t="n">
        <f aca="false">Model!R145</f>
        <v>0.0440533925720332</v>
      </c>
      <c r="S13" s="23" t="n">
        <f aca="false">Model!S145</f>
        <v>0.035001525918442</v>
      </c>
      <c r="T13" s="23" t="n">
        <f aca="false">Model!T145</f>
        <v>0.00635530719488742</v>
      </c>
      <c r="U13" s="23" t="n">
        <f aca="false">Model!U145</f>
        <v>0.0165132877511101</v>
      </c>
      <c r="V13" s="23" t="n">
        <f aca="false">Model!V145</f>
        <v>0.0200000000000002</v>
      </c>
      <c r="W13" s="24" t="n">
        <f aca="false">Model!W145</f>
        <v>0.0193466399909295</v>
      </c>
      <c r="X13" s="23" t="n">
        <f aca="false">Model!X145</f>
        <v>0.0200000000000002</v>
      </c>
      <c r="Y13" s="23" t="n">
        <f aca="false">Model!Y145</f>
        <v>0.02</v>
      </c>
      <c r="Z13" s="23" t="n">
        <f aca="false">Model!Z145</f>
        <v>0.0199340371056234</v>
      </c>
      <c r="AA13" s="23" t="n">
        <f aca="false">Model!AA145</f>
        <v>0.0199999999999998</v>
      </c>
      <c r="AB13" s="24" t="n">
        <f aca="false">Model!AB145</f>
        <v>0.0199836548583723</v>
      </c>
    </row>
    <row r="14" customFormat="false" ht="15" hidden="false" customHeight="false" outlineLevel="0" collapsed="false">
      <c r="C14" s="22" t="s">
        <v>34</v>
      </c>
      <c r="D14" s="23" t="n">
        <f aca="false">Model!D146</f>
        <v>0</v>
      </c>
      <c r="E14" s="23" t="n">
        <f aca="false">Model!E146</f>
        <v>0</v>
      </c>
      <c r="F14" s="23" t="n">
        <f aca="false">Model!F146</f>
        <v>0</v>
      </c>
      <c r="G14" s="23" t="n">
        <f aca="false">Model!G146</f>
        <v>0</v>
      </c>
      <c r="H14" s="24" t="n">
        <f aca="false">Model!H146</f>
        <v>0</v>
      </c>
      <c r="I14" s="23" t="n">
        <f aca="false">Model!I146</f>
        <v>0.00965571494678388</v>
      </c>
      <c r="J14" s="23" t="n">
        <f aca="false">Model!J146</f>
        <v>0.0193778383287919</v>
      </c>
      <c r="K14" s="23" t="n">
        <f aca="false">Model!K146</f>
        <v>0.0332149313087491</v>
      </c>
      <c r="L14" s="23" t="n">
        <f aca="false">Model!L146</f>
        <v>0.0364402928553396</v>
      </c>
      <c r="M14" s="24" t="n">
        <f aca="false">Model!M146</f>
        <v>0.0249865091138689</v>
      </c>
      <c r="N14" s="23" t="n">
        <f aca="false">Model!N146</f>
        <v>0.0151267631603208</v>
      </c>
      <c r="O14" s="23" t="n">
        <f aca="false">Model!O146</f>
        <v>0.0197199964779431</v>
      </c>
      <c r="P14" s="23" t="n">
        <f aca="false">Model!P146</f>
        <v>0.0197212903225806</v>
      </c>
      <c r="Q14" s="23" t="n">
        <f aca="false">Model!Q146</f>
        <v>0.0197304497727629</v>
      </c>
      <c r="R14" s="24" t="n">
        <f aca="false">Model!R146</f>
        <v>0.0186547397229087</v>
      </c>
      <c r="S14" s="23" t="n">
        <f aca="false">Model!S146</f>
        <v>0.0197224631396357</v>
      </c>
      <c r="T14" s="23" t="n">
        <f aca="false">Model!T146</f>
        <v>0.0197324570038213</v>
      </c>
      <c r="U14" s="23" t="n">
        <f aca="false">Model!U146</f>
        <v>0.019865895682735</v>
      </c>
      <c r="V14" s="23" t="n">
        <f aca="false">Model!V146</f>
        <v>0.02</v>
      </c>
      <c r="W14" s="24" t="n">
        <f aca="false">Model!W146</f>
        <v>0.0198356073210367</v>
      </c>
      <c r="X14" s="23" t="n">
        <f aca="false">Model!X146</f>
        <v>0.02</v>
      </c>
      <c r="Y14" s="23" t="n">
        <f aca="false">Model!Y146</f>
        <v>0.02</v>
      </c>
      <c r="Z14" s="23" t="n">
        <f aca="false">Model!Z146</f>
        <v>0.0199340371056232</v>
      </c>
      <c r="AA14" s="23" t="n">
        <f aca="false">Model!AA146</f>
        <v>0.02</v>
      </c>
      <c r="AB14" s="24" t="n">
        <f aca="false">Model!AB146</f>
        <v>0.0199836548583721</v>
      </c>
    </row>
    <row r="15" customFormat="false" ht="15" hidden="false" customHeight="false" outlineLevel="0" collapsed="false">
      <c r="C15" s="22" t="s">
        <v>35</v>
      </c>
      <c r="D15" s="23" t="n">
        <f aca="false">Model!D147</f>
        <v>0</v>
      </c>
      <c r="E15" s="23" t="n">
        <f aca="false">Model!E147</f>
        <v>0</v>
      </c>
      <c r="F15" s="23" t="n">
        <f aca="false">Model!F147</f>
        <v>0</v>
      </c>
      <c r="G15" s="23" t="n">
        <f aca="false">Model!G147</f>
        <v>0</v>
      </c>
      <c r="H15" s="24" t="n">
        <f aca="false">Model!H147</f>
        <v>0</v>
      </c>
      <c r="I15" s="23" t="n">
        <f aca="false">Model!I147</f>
        <v>0.0042313743637205</v>
      </c>
      <c r="J15" s="23" t="n">
        <f aca="false">Model!J147</f>
        <v>0.00213896457765668</v>
      </c>
      <c r="K15" s="23" t="n">
        <f aca="false">Model!K147</f>
        <v>0.00646963123644252</v>
      </c>
      <c r="L15" s="23" t="n">
        <f aca="false">Model!L147</f>
        <v>0.0175309265337036</v>
      </c>
      <c r="M15" s="24" t="n">
        <f aca="false">Model!M147</f>
        <v>0.00780469353045511</v>
      </c>
      <c r="N15" s="23" t="n">
        <f aca="false">Model!N147</f>
        <v>0.0246243200885037</v>
      </c>
      <c r="O15" s="23" t="n">
        <f aca="false">Model!O147</f>
        <v>0.0268539226908515</v>
      </c>
      <c r="P15" s="23" t="n">
        <f aca="false">Model!P147</f>
        <v>0.0194312258064516</v>
      </c>
      <c r="Q15" s="23" t="n">
        <f aca="false">Model!Q147</f>
        <v>0.01052389907538</v>
      </c>
      <c r="R15" s="24" t="n">
        <f aca="false">Model!R147</f>
        <v>0.0200056398701367</v>
      </c>
      <c r="S15" s="23" t="n">
        <f aca="false">Model!S147</f>
        <v>0.0127000867302689</v>
      </c>
      <c r="T15" s="23" t="n">
        <f aca="false">Model!T147</f>
        <v>-0.0133771498089339</v>
      </c>
      <c r="U15" s="23" t="n">
        <f aca="false">Model!U147</f>
        <v>-0.00335260793162468</v>
      </c>
      <c r="V15" s="23" t="n">
        <f aca="false">Model!V147</f>
        <v>0</v>
      </c>
      <c r="W15" s="24" t="n">
        <f aca="false">Model!W147</f>
        <v>-0.00109909212204085</v>
      </c>
      <c r="X15" s="23" t="n">
        <f aca="false">Model!X147</f>
        <v>0</v>
      </c>
      <c r="Y15" s="23" t="n">
        <f aca="false">Model!Y147</f>
        <v>0</v>
      </c>
      <c r="Z15" s="23" t="n">
        <f aca="false">Model!Z147</f>
        <v>0</v>
      </c>
      <c r="AA15" s="23" t="n">
        <f aca="false">Model!AA147</f>
        <v>0</v>
      </c>
      <c r="AB15" s="24" t="n">
        <f aca="false">Model!AB147</f>
        <v>0</v>
      </c>
    </row>
    <row r="16" customFormat="false" ht="15" hidden="false" customHeight="false" outlineLevel="0" collapsed="false">
      <c r="C16" s="22" t="s">
        <v>36</v>
      </c>
      <c r="D16" s="23" t="n">
        <f aca="false">Model!D148</f>
        <v>0</v>
      </c>
      <c r="E16" s="23" t="n">
        <f aca="false">Model!E148</f>
        <v>0</v>
      </c>
      <c r="F16" s="23" t="n">
        <f aca="false">Model!F148</f>
        <v>0</v>
      </c>
      <c r="G16" s="23" t="n">
        <f aca="false">Model!G148</f>
        <v>0</v>
      </c>
      <c r="H16" s="24" t="n">
        <f aca="false">Model!H148</f>
        <v>0</v>
      </c>
      <c r="I16" s="23" t="n">
        <f aca="false">Model!I148</f>
        <v>-0.01</v>
      </c>
      <c r="J16" s="23" t="n">
        <f aca="false">Model!J148</f>
        <v>0.01</v>
      </c>
      <c r="K16" s="23" t="n">
        <f aca="false">Model!K148</f>
        <v>0.0110204266088214</v>
      </c>
      <c r="L16" s="23" t="n">
        <f aca="false">Model!L148</f>
        <v>0.02</v>
      </c>
      <c r="M16" s="24" t="n">
        <f aca="false">Model!M148</f>
        <v>0.00808436832739418</v>
      </c>
      <c r="N16" s="23" t="n">
        <f aca="false">Model!N148</f>
        <v>0.0232156356596294</v>
      </c>
      <c r="O16" s="23" t="n">
        <f aca="false">Model!O148</f>
        <v>0</v>
      </c>
      <c r="P16" s="23" t="n">
        <f aca="false">Model!P148</f>
        <v>0</v>
      </c>
      <c r="Q16" s="23" t="n">
        <f aca="false">Model!Q148</f>
        <v>0</v>
      </c>
      <c r="R16" s="24" t="n">
        <f aca="false">Model!R148</f>
        <v>0.00540025726816263</v>
      </c>
      <c r="S16" s="23" t="n">
        <f aca="false">Model!S148</f>
        <v>0</v>
      </c>
      <c r="T16" s="23" t="n">
        <f aca="false">Model!T148</f>
        <v>0</v>
      </c>
      <c r="U16" s="23" t="n">
        <f aca="false">Model!U148</f>
        <v>0</v>
      </c>
      <c r="V16" s="23" t="n">
        <f aca="false">Model!V148</f>
        <v>0</v>
      </c>
      <c r="W16" s="24" t="n">
        <f aca="false">Model!W148</f>
        <v>0</v>
      </c>
      <c r="X16" s="23" t="n">
        <f aca="false">Model!X148</f>
        <v>0</v>
      </c>
      <c r="Y16" s="23" t="n">
        <f aca="false">Model!Y148</f>
        <v>0</v>
      </c>
      <c r="Z16" s="23" t="n">
        <f aca="false">Model!Z148</f>
        <v>0</v>
      </c>
      <c r="AA16" s="23" t="n">
        <f aca="false">Model!AA148</f>
        <v>0</v>
      </c>
      <c r="AB16" s="24" t="n">
        <f aca="false">Model!AB148</f>
        <v>0</v>
      </c>
    </row>
    <row r="17" customFormat="false" ht="15" hidden="false" customHeight="false" outlineLevel="0" collapsed="false">
      <c r="H17" s="25"/>
      <c r="M17" s="25"/>
      <c r="R17" s="25"/>
      <c r="W17" s="25"/>
      <c r="AB17" s="25"/>
    </row>
    <row r="18" customFormat="false" ht="15" hidden="false" customHeight="false" outlineLevel="0" collapsed="false">
      <c r="B18" s="17" t="s">
        <v>37</v>
      </c>
      <c r="C18" s="18"/>
      <c r="D18" s="18"/>
      <c r="E18" s="18"/>
      <c r="F18" s="18"/>
      <c r="G18" s="18"/>
      <c r="H18" s="19"/>
      <c r="I18" s="18"/>
      <c r="J18" s="18"/>
      <c r="K18" s="18"/>
      <c r="L18" s="18"/>
      <c r="M18" s="19"/>
      <c r="N18" s="18"/>
      <c r="O18" s="18"/>
      <c r="P18" s="18"/>
      <c r="Q18" s="18"/>
      <c r="R18" s="19"/>
      <c r="S18" s="18"/>
      <c r="T18" s="18"/>
      <c r="U18" s="18"/>
      <c r="V18" s="18"/>
      <c r="W18" s="19"/>
      <c r="X18" s="18"/>
      <c r="Y18" s="18"/>
      <c r="Z18" s="18"/>
      <c r="AA18" s="18"/>
      <c r="AB18" s="19"/>
    </row>
    <row r="19" customFormat="false" ht="15" hidden="false" customHeight="false" outlineLevel="0" collapsed="false">
      <c r="C19" s="2" t="s">
        <v>38</v>
      </c>
      <c r="D19" s="20" t="n">
        <f aca="false">Model!D176</f>
        <v>2278</v>
      </c>
      <c r="E19" s="20" t="n">
        <f aca="false">Model!E176</f>
        <v>2348</v>
      </c>
      <c r="F19" s="20" t="n">
        <f aca="false">Model!F176</f>
        <v>2362</v>
      </c>
      <c r="G19" s="20" t="n">
        <f aca="false">Model!G176</f>
        <v>2719</v>
      </c>
      <c r="H19" s="21" t="n">
        <f aca="false">Model!H176</f>
        <v>9707</v>
      </c>
      <c r="I19" s="20" t="n">
        <f aca="false">Model!I176</f>
        <v>2268</v>
      </c>
      <c r="J19" s="20" t="n">
        <f aca="false">Model!J176</f>
        <v>2375</v>
      </c>
      <c r="K19" s="20" t="n">
        <f aca="false">Model!K176</f>
        <v>2586</v>
      </c>
      <c r="L19" s="20" t="n">
        <f aca="false">Model!L176</f>
        <v>2878</v>
      </c>
      <c r="M19" s="21" t="n">
        <f aca="false">Model!M176</f>
        <v>10107</v>
      </c>
      <c r="N19" s="20" t="n">
        <f aca="false">Model!N176</f>
        <v>2400</v>
      </c>
      <c r="O19" s="20" t="n">
        <f aca="false">Model!O176</f>
        <v>2463.61238556359</v>
      </c>
      <c r="P19" s="20" t="n">
        <f aca="false">Model!P176</f>
        <v>2659.306307976</v>
      </c>
      <c r="Q19" s="20" t="n">
        <f aca="false">Model!Q176</f>
        <v>2933.4224276101</v>
      </c>
      <c r="R19" s="21" t="n">
        <f aca="false">Model!R176</f>
        <v>10456.3411211497</v>
      </c>
      <c r="S19" s="20" t="n">
        <f aca="false">Model!S176</f>
        <v>2442.72134143509</v>
      </c>
      <c r="T19" s="20" t="n">
        <f aca="false">Model!T176</f>
        <v>2469.16033371539</v>
      </c>
      <c r="U19" s="20" t="n">
        <f aca="false">Model!U176</f>
        <v>2700.97580721899</v>
      </c>
      <c r="V19" s="20" t="n">
        <f aca="false">Model!V176</f>
        <v>2992.0908761623</v>
      </c>
      <c r="W19" s="21" t="n">
        <f aca="false">Model!W176</f>
        <v>10604.9483585318</v>
      </c>
      <c r="X19" s="20" t="n">
        <f aca="false">Model!X176</f>
        <v>2491.57576826379</v>
      </c>
      <c r="Y19" s="20" t="n">
        <f aca="false">Model!Y176</f>
        <v>2518.5435403897</v>
      </c>
      <c r="Z19" s="20" t="n">
        <f aca="false">Model!Z176</f>
        <v>2754.77384976882</v>
      </c>
      <c r="AA19" s="20" t="n">
        <f aca="false">Model!AA176</f>
        <v>3051.93269368555</v>
      </c>
      <c r="AB19" s="21" t="n">
        <f aca="false">Model!AB176</f>
        <v>10816.8258521079</v>
      </c>
    </row>
    <row r="20" customFormat="false" ht="15" hidden="false" customHeight="false" outlineLevel="0" collapsed="false">
      <c r="C20" s="22" t="s">
        <v>39</v>
      </c>
      <c r="D20" s="26" t="n">
        <f aca="false">Model!D177</f>
        <v>0.220202996616723</v>
      </c>
      <c r="E20" s="26" t="n">
        <f aca="false">Model!E177</f>
        <v>0.222770398481973</v>
      </c>
      <c r="F20" s="26" t="n">
        <f aca="false">Model!F177</f>
        <v>0.222893271680664</v>
      </c>
      <c r="G20" s="26" t="n">
        <f aca="false">Model!G177</f>
        <v>0.238613426941641</v>
      </c>
      <c r="H20" s="27" t="n">
        <f aca="false">Model!H177</f>
        <v>0.226391771812394</v>
      </c>
      <c r="I20" s="26" t="n">
        <f aca="false">Model!I177</f>
        <v>0.218813314037627</v>
      </c>
      <c r="J20" s="26" t="n">
        <f aca="false">Model!J177</f>
        <v>0.218773028739867</v>
      </c>
      <c r="K20" s="26" t="n">
        <f aca="false">Model!K177</f>
        <v>0.232512138104657</v>
      </c>
      <c r="L20" s="26" t="n">
        <f aca="false">Model!L177</f>
        <v>0.235592665356909</v>
      </c>
      <c r="M20" s="27" t="n">
        <f aca="false">Model!M177</f>
        <v>0.226822864067865</v>
      </c>
      <c r="N20" s="26" t="n">
        <f aca="false">Model!N177</f>
        <v>0.218062874795566</v>
      </c>
      <c r="O20" s="26" t="n">
        <f aca="false">Model!O177</f>
        <v>0.216598345853501</v>
      </c>
      <c r="P20" s="26" t="n">
        <f aca="false">Model!P177</f>
        <v>0.230044788510448</v>
      </c>
      <c r="Q20" s="26" t="n">
        <f aca="false">Model!Q177</f>
        <v>0.233145856661983</v>
      </c>
      <c r="R20" s="27" t="n">
        <f aca="false">Model!R177</f>
        <v>0.224761332558739</v>
      </c>
      <c r="S20" s="26" t="n">
        <f aca="false">Model!S177</f>
        <v>0.21443882959703</v>
      </c>
      <c r="T20" s="26" t="n">
        <f aca="false">Model!T177</f>
        <v>0.215715179692714</v>
      </c>
      <c r="U20" s="26" t="n">
        <f aca="false">Model!U177</f>
        <v>0.229853790210634</v>
      </c>
      <c r="V20" s="26" t="n">
        <f aca="false">Model!V177</f>
        <v>0.233145856661982</v>
      </c>
      <c r="W20" s="27" t="n">
        <f aca="false">Model!W177</f>
        <v>0.223629203834231</v>
      </c>
      <c r="X20" s="26" t="n">
        <f aca="false">Model!X177</f>
        <v>0.21443882959703</v>
      </c>
      <c r="Y20" s="26" t="n">
        <f aca="false">Model!Y177</f>
        <v>0.215715179692714</v>
      </c>
      <c r="Z20" s="26" t="n">
        <f aca="false">Model!Z177</f>
        <v>0.229850176601426</v>
      </c>
      <c r="AA20" s="26" t="n">
        <f aca="false">Model!AA177</f>
        <v>0.233145856661983</v>
      </c>
      <c r="AB20" s="27" t="n">
        <f aca="false">Model!AB177</f>
        <v>0.223628208702417</v>
      </c>
    </row>
    <row r="21" customFormat="false" ht="15" hidden="false" customHeight="false" outlineLevel="0" collapsed="false">
      <c r="C21" s="22" t="s">
        <v>40</v>
      </c>
      <c r="D21" s="28" t="n">
        <f aca="false">Model!D178</f>
        <v>0</v>
      </c>
      <c r="E21" s="28" t="n">
        <f aca="false">Model!E178</f>
        <v>0</v>
      </c>
      <c r="F21" s="28" t="n">
        <f aca="false">Model!F178</f>
        <v>0</v>
      </c>
      <c r="G21" s="28" t="n">
        <f aca="false">Model!G178</f>
        <v>0</v>
      </c>
      <c r="H21" s="29" t="n">
        <f aca="false">Model!H178</f>
        <v>0</v>
      </c>
      <c r="I21" s="28" t="n">
        <f aca="false">Model!I178</f>
        <v>-13.8968257909641</v>
      </c>
      <c r="J21" s="28" t="n">
        <f aca="false">Model!J178</f>
        <v>-39.973697421061</v>
      </c>
      <c r="K21" s="28" t="n">
        <f aca="false">Model!K178</f>
        <v>96.1886642399309</v>
      </c>
      <c r="L21" s="28" t="n">
        <f aca="false">Model!L178</f>
        <v>-30.2076158473208</v>
      </c>
      <c r="M21" s="29" t="n">
        <f aca="false">Model!M178</f>
        <v>4.31092255471499</v>
      </c>
      <c r="N21" s="28" t="n">
        <f aca="false">Model!N178</f>
        <v>-7.50439242060585</v>
      </c>
      <c r="O21" s="28" t="n">
        <f aca="false">Model!O178</f>
        <v>-21.7468288636682</v>
      </c>
      <c r="P21" s="28" t="n">
        <f aca="false">Model!P178</f>
        <v>-24.6734959420911</v>
      </c>
      <c r="Q21" s="28" t="n">
        <f aca="false">Model!Q178</f>
        <v>-24.4680869492639</v>
      </c>
      <c r="R21" s="29" t="n">
        <f aca="false">Model!R178</f>
        <v>-20.6153150912569</v>
      </c>
      <c r="S21" s="28" t="n">
        <f aca="false">Model!S178</f>
        <v>-36.2404519853618</v>
      </c>
      <c r="T21" s="28" t="n">
        <f aca="false">Model!T178</f>
        <v>-8.83166160786653</v>
      </c>
      <c r="U21" s="28" t="n">
        <f aca="false">Model!U178</f>
        <v>-1.90998299814393</v>
      </c>
      <c r="V21" s="28" t="n">
        <f aca="false">Model!V178</f>
        <v>0</v>
      </c>
      <c r="W21" s="29" t="n">
        <f aca="false">Model!W178</f>
        <v>-11.3212872450794</v>
      </c>
      <c r="X21" s="28" t="n">
        <f aca="false">Model!X178</f>
        <v>0</v>
      </c>
      <c r="Y21" s="28" t="n">
        <f aca="false">Model!Y178</f>
        <v>0</v>
      </c>
      <c r="Z21" s="28" t="n">
        <f aca="false">Model!Z178</f>
        <v>-0.0361360920780873</v>
      </c>
      <c r="AA21" s="28" t="n">
        <f aca="false">Model!AA178</f>
        <v>0</v>
      </c>
      <c r="AB21" s="29" t="n">
        <f aca="false">Model!AB178</f>
        <v>-0.00995131814202077</v>
      </c>
    </row>
    <row r="22" customFormat="false" ht="15" hidden="false" customHeight="false" outlineLevel="0" collapsed="false">
      <c r="H22" s="25"/>
      <c r="M22" s="25"/>
      <c r="R22" s="25"/>
      <c r="W22" s="25"/>
      <c r="AB22" s="25"/>
    </row>
    <row r="23" customFormat="false" ht="15" hidden="false" customHeight="false" outlineLevel="0" collapsed="false">
      <c r="B23" s="17" t="s">
        <v>41</v>
      </c>
      <c r="C23" s="18"/>
      <c r="D23" s="18"/>
      <c r="E23" s="18"/>
      <c r="F23" s="18"/>
      <c r="G23" s="18"/>
      <c r="H23" s="19"/>
      <c r="I23" s="18"/>
      <c r="J23" s="18"/>
      <c r="K23" s="18"/>
      <c r="L23" s="18"/>
      <c r="M23" s="19"/>
      <c r="N23" s="18"/>
      <c r="O23" s="18"/>
      <c r="P23" s="18"/>
      <c r="Q23" s="18"/>
      <c r="R23" s="19"/>
      <c r="S23" s="18"/>
      <c r="T23" s="18"/>
      <c r="U23" s="18"/>
      <c r="V23" s="18"/>
      <c r="W23" s="19"/>
      <c r="X23" s="18"/>
      <c r="Y23" s="18"/>
      <c r="Z23" s="18"/>
      <c r="AA23" s="18"/>
      <c r="AB23" s="19"/>
    </row>
    <row r="24" customFormat="false" ht="15" hidden="false" customHeight="false" outlineLevel="0" collapsed="false">
      <c r="C24" s="30" t="s">
        <v>42</v>
      </c>
      <c r="D24" s="31"/>
      <c r="E24" s="31"/>
      <c r="F24" s="31"/>
      <c r="G24" s="31"/>
      <c r="H24" s="32"/>
      <c r="I24" s="31"/>
      <c r="J24" s="31"/>
      <c r="K24" s="31"/>
      <c r="L24" s="31"/>
      <c r="M24" s="32"/>
      <c r="N24" s="31"/>
      <c r="O24" s="31"/>
      <c r="P24" s="31"/>
      <c r="Q24" s="31"/>
      <c r="R24" s="32"/>
      <c r="S24" s="31"/>
      <c r="T24" s="31"/>
      <c r="U24" s="31"/>
      <c r="V24" s="31"/>
      <c r="W24" s="32"/>
      <c r="X24" s="31"/>
      <c r="Y24" s="31"/>
      <c r="Z24" s="31"/>
      <c r="AA24" s="31"/>
      <c r="AB24" s="32"/>
    </row>
    <row r="25" customFormat="false" ht="15" hidden="false" customHeight="false" outlineLevel="0" collapsed="false">
      <c r="C25" s="3" t="s">
        <v>43</v>
      </c>
      <c r="D25" s="20" t="n">
        <f aca="false">Model!D45</f>
        <v>2286</v>
      </c>
      <c r="E25" s="20" t="n">
        <f aca="false">Model!E45</f>
        <v>2355</v>
      </c>
      <c r="F25" s="20" t="n">
        <f aca="false">Model!F45</f>
        <v>2386</v>
      </c>
      <c r="G25" s="20" t="n">
        <f aca="false">Model!G45</f>
        <v>2604</v>
      </c>
      <c r="H25" s="21" t="n">
        <f aca="false">Model!H45</f>
        <v>9631</v>
      </c>
      <c r="I25" s="20" t="n">
        <f aca="false">Model!I45</f>
        <v>2341</v>
      </c>
      <c r="J25" s="20" t="n">
        <f aca="false">Model!J45</f>
        <v>2499</v>
      </c>
      <c r="K25" s="20" t="n">
        <f aca="false">Model!K45</f>
        <v>2588</v>
      </c>
      <c r="L25" s="20" t="n">
        <f aca="false">Model!L45</f>
        <v>2947</v>
      </c>
      <c r="M25" s="21" t="n">
        <f aca="false">Model!M45</f>
        <v>10375</v>
      </c>
      <c r="N25" s="20" t="n">
        <f aca="false">Model!N45</f>
        <v>2636</v>
      </c>
      <c r="O25" s="20" t="n">
        <f aca="false">Model!O45</f>
        <v>2548.98</v>
      </c>
      <c r="P25" s="20" t="n">
        <f aca="false">Model!P45</f>
        <v>2639.76</v>
      </c>
      <c r="Q25" s="20" t="n">
        <f aca="false">Model!Q45</f>
        <v>3005.94</v>
      </c>
      <c r="R25" s="21" t="n">
        <f aca="false">Model!R45</f>
        <v>10830.68</v>
      </c>
      <c r="S25" s="20" t="n">
        <f aca="false">Model!S45</f>
        <v>2688.72</v>
      </c>
      <c r="T25" s="20" t="n">
        <f aca="false">Model!T45</f>
        <v>2599.9596</v>
      </c>
      <c r="U25" s="20" t="n">
        <f aca="false">Model!U45</f>
        <v>2692.5552</v>
      </c>
      <c r="V25" s="20" t="n">
        <f aca="false">Model!V45</f>
        <v>3066.0588</v>
      </c>
      <c r="W25" s="21" t="n">
        <f aca="false">Model!W45</f>
        <v>11047.2936</v>
      </c>
      <c r="X25" s="20" t="n">
        <f aca="false">Model!X45</f>
        <v>2742.4944</v>
      </c>
      <c r="Y25" s="20" t="n">
        <f aca="false">Model!Y45</f>
        <v>2651.958792</v>
      </c>
      <c r="Z25" s="20" t="n">
        <f aca="false">Model!Z45</f>
        <v>2746.406304</v>
      </c>
      <c r="AA25" s="20" t="n">
        <f aca="false">Model!AA45</f>
        <v>3127.379976</v>
      </c>
      <c r="AB25" s="21" t="n">
        <f aca="false">Model!AB45</f>
        <v>11268.239472</v>
      </c>
    </row>
    <row r="26" customFormat="false" ht="15" hidden="false" customHeight="false" outlineLevel="0" collapsed="false">
      <c r="C26" s="3" t="s">
        <v>44</v>
      </c>
      <c r="D26" s="20" t="n">
        <f aca="false">Model!D155</f>
        <v>840</v>
      </c>
      <c r="E26" s="20" t="n">
        <f aca="false">Model!E155</f>
        <v>865</v>
      </c>
      <c r="F26" s="20" t="n">
        <f aca="false">Model!F155</f>
        <v>845</v>
      </c>
      <c r="G26" s="20" t="n">
        <f aca="false">Model!G155</f>
        <v>953</v>
      </c>
      <c r="H26" s="21" t="n">
        <f aca="false">Model!H155</f>
        <v>3503</v>
      </c>
      <c r="I26" s="20" t="n">
        <f aca="false">Model!I155</f>
        <v>834</v>
      </c>
      <c r="J26" s="20" t="n">
        <f aca="false">Model!J155</f>
        <v>919</v>
      </c>
      <c r="K26" s="20" t="n">
        <f aca="false">Model!K155</f>
        <v>968</v>
      </c>
      <c r="L26" s="20" t="n">
        <f aca="false">Model!L155</f>
        <v>1046</v>
      </c>
      <c r="M26" s="21" t="n">
        <f aca="false">Model!M155</f>
        <v>3767</v>
      </c>
      <c r="N26" s="20" t="n">
        <f aca="false">Model!N155</f>
        <v>954</v>
      </c>
      <c r="O26" s="20" t="n">
        <f aca="false">Model!O155</f>
        <v>937.38</v>
      </c>
      <c r="P26" s="20" t="n">
        <f aca="false">Model!P155</f>
        <v>987.36</v>
      </c>
      <c r="Q26" s="20" t="n">
        <f aca="false">Model!Q155</f>
        <v>1066.92</v>
      </c>
      <c r="R26" s="21" t="n">
        <f aca="false">Model!R155</f>
        <v>3945.66</v>
      </c>
      <c r="S26" s="20" t="n">
        <f aca="false">Model!S155</f>
        <v>973.08</v>
      </c>
      <c r="T26" s="20" t="n">
        <f aca="false">Model!T155</f>
        <v>956.1276</v>
      </c>
      <c r="U26" s="20" t="n">
        <f aca="false">Model!U155</f>
        <v>1007.1072</v>
      </c>
      <c r="V26" s="20" t="n">
        <f aca="false">Model!V155</f>
        <v>1088.2584</v>
      </c>
      <c r="W26" s="21" t="n">
        <f aca="false">Model!W155</f>
        <v>4024.5732</v>
      </c>
      <c r="X26" s="20" t="n">
        <f aca="false">Model!X155</f>
        <v>992.5416</v>
      </c>
      <c r="Y26" s="20" t="n">
        <f aca="false">Model!Y155</f>
        <v>975.250152</v>
      </c>
      <c r="Z26" s="20" t="n">
        <f aca="false">Model!Z155</f>
        <v>1027.249344</v>
      </c>
      <c r="AA26" s="20" t="n">
        <f aca="false">Model!AA155</f>
        <v>1110.023568</v>
      </c>
      <c r="AB26" s="21" t="n">
        <f aca="false">Model!AB155</f>
        <v>4105.064664</v>
      </c>
    </row>
    <row r="27" customFormat="false" ht="15" hidden="false" customHeight="false" outlineLevel="0" collapsed="false">
      <c r="C27" s="22" t="s">
        <v>45</v>
      </c>
      <c r="D27" s="26" t="n">
        <f aca="false">Model!D154</f>
        <v>0.36745406824147</v>
      </c>
      <c r="E27" s="26" t="n">
        <f aca="false">Model!E154</f>
        <v>0.367303609341826</v>
      </c>
      <c r="F27" s="26" t="n">
        <f aca="false">Model!F154</f>
        <v>0.354149203688181</v>
      </c>
      <c r="G27" s="26" t="n">
        <f aca="false">Model!G154</f>
        <v>0.365975422427035</v>
      </c>
      <c r="H27" s="27" t="n">
        <f aca="false">Model!H154</f>
        <v>0.363721316581871</v>
      </c>
      <c r="I27" s="26" t="n">
        <f aca="false">Model!I154</f>
        <v>0.356258009397693</v>
      </c>
      <c r="J27" s="26" t="n">
        <f aca="false">Model!J154</f>
        <v>0.367747098839536</v>
      </c>
      <c r="K27" s="26" t="n">
        <f aca="false">Model!K154</f>
        <v>0.37403400309119</v>
      </c>
      <c r="L27" s="26" t="n">
        <f aca="false">Model!L154</f>
        <v>0.354937224295894</v>
      </c>
      <c r="M27" s="27" t="n">
        <f aca="false">Model!M154</f>
        <v>0.363084337349398</v>
      </c>
      <c r="N27" s="26" t="n">
        <f aca="false">Model!N154</f>
        <v>0.361911987860395</v>
      </c>
      <c r="O27" s="26" t="n">
        <f aca="false">Model!O154</f>
        <v>0.367747098839536</v>
      </c>
      <c r="P27" s="26" t="n">
        <f aca="false">Model!P154</f>
        <v>0.37403400309119</v>
      </c>
      <c r="Q27" s="26" t="n">
        <f aca="false">Model!Q154</f>
        <v>0.354937224295894</v>
      </c>
      <c r="R27" s="27" t="n">
        <f aca="false">Model!R154</f>
        <v>0.364303995686328</v>
      </c>
      <c r="S27" s="26" t="n">
        <f aca="false">Model!S154</f>
        <v>0.361911987860395</v>
      </c>
      <c r="T27" s="26" t="n">
        <f aca="false">Model!T154</f>
        <v>0.367747098839536</v>
      </c>
      <c r="U27" s="26" t="n">
        <f aca="false">Model!U154</f>
        <v>0.37403400309119</v>
      </c>
      <c r="V27" s="26" t="n">
        <f aca="false">Model!V154</f>
        <v>0.354937224295894</v>
      </c>
      <c r="W27" s="27" t="n">
        <f aca="false">Model!W154</f>
        <v>0.364303995686328</v>
      </c>
      <c r="X27" s="26" t="n">
        <f aca="false">Model!X154</f>
        <v>0.361911987860395</v>
      </c>
      <c r="Y27" s="26" t="n">
        <f aca="false">Model!Y154</f>
        <v>0.367747098839536</v>
      </c>
      <c r="Z27" s="26" t="n">
        <f aca="false">Model!Z154</f>
        <v>0.37403400309119</v>
      </c>
      <c r="AA27" s="26" t="n">
        <f aca="false">Model!AA154</f>
        <v>0.354937224295894</v>
      </c>
      <c r="AB27" s="27" t="n">
        <f aca="false">Model!AB154</f>
        <v>0.364303995686328</v>
      </c>
    </row>
    <row r="28" customFormat="false" ht="15" hidden="false" customHeight="false" outlineLevel="0" collapsed="false">
      <c r="H28" s="25"/>
      <c r="M28" s="25"/>
      <c r="R28" s="25"/>
      <c r="W28" s="25"/>
      <c r="AB28" s="25"/>
    </row>
    <row r="29" customFormat="false" ht="15" hidden="false" customHeight="false" outlineLevel="0" collapsed="false">
      <c r="C29" s="30" t="s">
        <v>46</v>
      </c>
      <c r="D29" s="31"/>
      <c r="E29" s="31"/>
      <c r="F29" s="31"/>
      <c r="G29" s="31"/>
      <c r="H29" s="32"/>
      <c r="I29" s="31"/>
      <c r="J29" s="31"/>
      <c r="K29" s="31"/>
      <c r="L29" s="31"/>
      <c r="M29" s="32"/>
      <c r="N29" s="31"/>
      <c r="O29" s="31"/>
      <c r="P29" s="31"/>
      <c r="Q29" s="31"/>
      <c r="R29" s="32"/>
      <c r="S29" s="31"/>
      <c r="T29" s="31"/>
      <c r="U29" s="31"/>
      <c r="V29" s="31"/>
      <c r="W29" s="32"/>
      <c r="X29" s="31"/>
      <c r="Y29" s="31"/>
      <c r="Z29" s="31"/>
      <c r="AA29" s="31"/>
      <c r="AB29" s="32"/>
    </row>
    <row r="30" customFormat="false" ht="15" hidden="false" customHeight="false" outlineLevel="0" collapsed="false">
      <c r="C30" s="3" t="s">
        <v>43</v>
      </c>
      <c r="D30" s="20" t="n">
        <f aca="false">Model!D67</f>
        <v>1688</v>
      </c>
      <c r="E30" s="20" t="n">
        <f aca="false">Model!E67</f>
        <v>1781</v>
      </c>
      <c r="F30" s="20" t="n">
        <f aca="false">Model!F67</f>
        <v>1809</v>
      </c>
      <c r="G30" s="20" t="n">
        <f aca="false">Model!G67</f>
        <v>2185</v>
      </c>
      <c r="H30" s="21" t="n">
        <f aca="false">Model!H67</f>
        <v>7463</v>
      </c>
      <c r="I30" s="20" t="n">
        <f aca="false">Model!I67</f>
        <v>1718</v>
      </c>
      <c r="J30" s="20" t="n">
        <f aca="false">Model!J67</f>
        <v>1728</v>
      </c>
      <c r="K30" s="20" t="n">
        <f aca="false">Model!K67</f>
        <v>1893</v>
      </c>
      <c r="L30" s="20" t="n">
        <f aca="false">Model!L67</f>
        <v>2215</v>
      </c>
      <c r="M30" s="21" t="n">
        <f aca="false">Model!M67</f>
        <v>7554</v>
      </c>
      <c r="N30" s="20" t="n">
        <f aca="false">Model!N67</f>
        <v>1716</v>
      </c>
      <c r="O30" s="20" t="n">
        <f aca="false">Model!O67</f>
        <v>1762.56</v>
      </c>
      <c r="P30" s="20" t="n">
        <f aca="false">Model!P67</f>
        <v>1930.86</v>
      </c>
      <c r="Q30" s="20" t="n">
        <f aca="false">Model!Q67</f>
        <v>2259.3</v>
      </c>
      <c r="R30" s="21" t="n">
        <f aca="false">Model!R67</f>
        <v>7668.72</v>
      </c>
      <c r="S30" s="20" t="n">
        <f aca="false">Model!S67</f>
        <v>1750.32</v>
      </c>
      <c r="T30" s="20" t="n">
        <f aca="false">Model!T67</f>
        <v>1797.8112</v>
      </c>
      <c r="U30" s="20" t="n">
        <f aca="false">Model!U67</f>
        <v>1969.4772</v>
      </c>
      <c r="V30" s="20" t="n">
        <f aca="false">Model!V67</f>
        <v>2304.486</v>
      </c>
      <c r="W30" s="21" t="n">
        <f aca="false">Model!W67</f>
        <v>7822.0944</v>
      </c>
      <c r="X30" s="20" t="n">
        <f aca="false">Model!X67</f>
        <v>1785.3264</v>
      </c>
      <c r="Y30" s="20" t="n">
        <f aca="false">Model!Y67</f>
        <v>1833.767424</v>
      </c>
      <c r="Z30" s="20" t="n">
        <f aca="false">Model!Z67</f>
        <v>2008.866744</v>
      </c>
      <c r="AA30" s="20" t="n">
        <f aca="false">Model!AA67</f>
        <v>2350.57572</v>
      </c>
      <c r="AB30" s="21" t="n">
        <f aca="false">Model!AB67</f>
        <v>7978.536288</v>
      </c>
    </row>
    <row r="31" customFormat="false" ht="15" hidden="false" customHeight="false" outlineLevel="0" collapsed="false">
      <c r="C31" s="3" t="s">
        <v>44</v>
      </c>
      <c r="D31" s="20" t="n">
        <f aca="false">Model!D161</f>
        <v>400</v>
      </c>
      <c r="E31" s="20" t="n">
        <f aca="false">Model!E161</f>
        <v>439</v>
      </c>
      <c r="F31" s="20" t="n">
        <f aca="false">Model!F161</f>
        <v>451</v>
      </c>
      <c r="G31" s="20" t="n">
        <f aca="false">Model!G161</f>
        <v>665</v>
      </c>
      <c r="H31" s="21" t="n">
        <f aca="false">Model!H161</f>
        <v>1955</v>
      </c>
      <c r="I31" s="20" t="n">
        <f aca="false">Model!I161</f>
        <v>399</v>
      </c>
      <c r="J31" s="20" t="n">
        <f aca="false">Model!J161</f>
        <v>325</v>
      </c>
      <c r="K31" s="20" t="n">
        <f aca="false">Model!K161</f>
        <v>429</v>
      </c>
      <c r="L31" s="20" t="n">
        <f aca="false">Model!L161</f>
        <v>583</v>
      </c>
      <c r="M31" s="21" t="n">
        <f aca="false">Model!M161</f>
        <v>1736</v>
      </c>
      <c r="N31" s="20" t="n">
        <f aca="false">Model!N161</f>
        <v>355</v>
      </c>
      <c r="O31" s="20" t="n">
        <f aca="false">Model!O161</f>
        <v>331.5</v>
      </c>
      <c r="P31" s="20" t="n">
        <f aca="false">Model!P161</f>
        <v>437.58</v>
      </c>
      <c r="Q31" s="20" t="n">
        <f aca="false">Model!Q161</f>
        <v>594.66</v>
      </c>
      <c r="R31" s="21" t="n">
        <f aca="false">Model!R161</f>
        <v>1718.74</v>
      </c>
      <c r="S31" s="20" t="n">
        <f aca="false">Model!S161</f>
        <v>362.1</v>
      </c>
      <c r="T31" s="20" t="n">
        <f aca="false">Model!T161</f>
        <v>338.13</v>
      </c>
      <c r="U31" s="20" t="n">
        <f aca="false">Model!U161</f>
        <v>446.3316</v>
      </c>
      <c r="V31" s="20" t="n">
        <f aca="false">Model!V161</f>
        <v>606.5532</v>
      </c>
      <c r="W31" s="21" t="n">
        <f aca="false">Model!W161</f>
        <v>1753.1148</v>
      </c>
      <c r="X31" s="20" t="n">
        <f aca="false">Model!X161</f>
        <v>369.342</v>
      </c>
      <c r="Y31" s="20" t="n">
        <f aca="false">Model!Y161</f>
        <v>344.8926</v>
      </c>
      <c r="Z31" s="20" t="n">
        <f aca="false">Model!Z161</f>
        <v>455.258232</v>
      </c>
      <c r="AA31" s="20" t="n">
        <f aca="false">Model!AA161</f>
        <v>618.684264</v>
      </c>
      <c r="AB31" s="21" t="n">
        <f aca="false">Model!AB161</f>
        <v>1788.177096</v>
      </c>
    </row>
    <row r="32" customFormat="false" ht="15" hidden="false" customHeight="false" outlineLevel="0" collapsed="false">
      <c r="C32" s="22" t="s">
        <v>45</v>
      </c>
      <c r="D32" s="26" t="n">
        <f aca="false">Model!D160</f>
        <v>0.23696682464455</v>
      </c>
      <c r="E32" s="26" t="n">
        <f aca="false">Model!E160</f>
        <v>0.24649073554183</v>
      </c>
      <c r="F32" s="26" t="n">
        <f aca="false">Model!F160</f>
        <v>0.24930901050304</v>
      </c>
      <c r="G32" s="26" t="n">
        <f aca="false">Model!G160</f>
        <v>0.304347826086957</v>
      </c>
      <c r="H32" s="27" t="n">
        <f aca="false">Model!H160</f>
        <v>0.261958997722096</v>
      </c>
      <c r="I32" s="26" t="n">
        <f aca="false">Model!I160</f>
        <v>0.232246798603027</v>
      </c>
      <c r="J32" s="26" t="n">
        <f aca="false">Model!J160</f>
        <v>0.188078703703704</v>
      </c>
      <c r="K32" s="26" t="n">
        <f aca="false">Model!K160</f>
        <v>0.22662440570523</v>
      </c>
      <c r="L32" s="26" t="n">
        <f aca="false">Model!L160</f>
        <v>0.263205417607224</v>
      </c>
      <c r="M32" s="27" t="n">
        <f aca="false">Model!M160</f>
        <v>0.22981202012179</v>
      </c>
      <c r="N32" s="26" t="n">
        <f aca="false">Model!N160</f>
        <v>0.206876456876457</v>
      </c>
      <c r="O32" s="26" t="n">
        <f aca="false">Model!O160</f>
        <v>0.188078703703704</v>
      </c>
      <c r="P32" s="26" t="n">
        <f aca="false">Model!P160</f>
        <v>0.22662440570523</v>
      </c>
      <c r="Q32" s="26" t="n">
        <f aca="false">Model!Q160</f>
        <v>0.263205417607224</v>
      </c>
      <c r="R32" s="27" t="n">
        <f aca="false">Model!R160</f>
        <v>0.224123452153684</v>
      </c>
      <c r="S32" s="26" t="n">
        <f aca="false">Model!S160</f>
        <v>0.206876456876457</v>
      </c>
      <c r="T32" s="26" t="n">
        <f aca="false">Model!T160</f>
        <v>0.188078703703704</v>
      </c>
      <c r="U32" s="26" t="n">
        <f aca="false">Model!U160</f>
        <v>0.22662440570523</v>
      </c>
      <c r="V32" s="26" t="n">
        <f aca="false">Model!V160</f>
        <v>0.263205417607224</v>
      </c>
      <c r="W32" s="27" t="n">
        <f aca="false">Model!W160</f>
        <v>0.224123452153684</v>
      </c>
      <c r="X32" s="26" t="n">
        <f aca="false">Model!X160</f>
        <v>0.206876456876457</v>
      </c>
      <c r="Y32" s="26" t="n">
        <f aca="false">Model!Y160</f>
        <v>0.188078703703704</v>
      </c>
      <c r="Z32" s="26" t="n">
        <f aca="false">Model!Z160</f>
        <v>0.22662440570523</v>
      </c>
      <c r="AA32" s="26" t="n">
        <f aca="false">Model!AA160</f>
        <v>0.263205417607224</v>
      </c>
      <c r="AB32" s="27" t="n">
        <f aca="false">Model!AB160</f>
        <v>0.224123452153684</v>
      </c>
    </row>
    <row r="33" customFormat="false" ht="15" hidden="false" customHeight="false" outlineLevel="0" collapsed="false">
      <c r="H33" s="25"/>
      <c r="M33" s="25"/>
      <c r="R33" s="25"/>
      <c r="W33" s="25"/>
      <c r="AB33" s="25"/>
    </row>
    <row r="34" customFormat="false" ht="15" hidden="false" customHeight="false" outlineLevel="0" collapsed="false">
      <c r="C34" s="30" t="s">
        <v>47</v>
      </c>
      <c r="D34" s="31"/>
      <c r="E34" s="31"/>
      <c r="F34" s="31"/>
      <c r="G34" s="31"/>
      <c r="H34" s="32"/>
      <c r="I34" s="31"/>
      <c r="J34" s="31"/>
      <c r="K34" s="31"/>
      <c r="L34" s="31"/>
      <c r="M34" s="32"/>
      <c r="N34" s="31"/>
      <c r="O34" s="31"/>
      <c r="P34" s="31"/>
      <c r="Q34" s="31"/>
      <c r="R34" s="32"/>
      <c r="S34" s="31"/>
      <c r="T34" s="31"/>
      <c r="U34" s="31"/>
      <c r="V34" s="31"/>
      <c r="W34" s="32"/>
      <c r="X34" s="31"/>
      <c r="Y34" s="31"/>
      <c r="Z34" s="31"/>
      <c r="AA34" s="31"/>
      <c r="AB34" s="32"/>
    </row>
    <row r="35" customFormat="false" ht="15" hidden="false" customHeight="false" outlineLevel="0" collapsed="false">
      <c r="C35" s="3" t="s">
        <v>43</v>
      </c>
      <c r="D35" s="20" t="n">
        <f aca="false">Model!D104</f>
        <v>1109</v>
      </c>
      <c r="E35" s="20" t="n">
        <f aca="false">Model!E104</f>
        <v>1117</v>
      </c>
      <c r="F35" s="20" t="n">
        <f aca="false">Model!F104</f>
        <v>1129</v>
      </c>
      <c r="G35" s="20" t="n">
        <f aca="false">Model!G104</f>
        <v>1156</v>
      </c>
      <c r="H35" s="21" t="n">
        <f aca="false">Model!H104</f>
        <v>4511</v>
      </c>
      <c r="I35" s="20" t="n">
        <f aca="false">Model!I104</f>
        <v>1147</v>
      </c>
      <c r="J35" s="20" t="n">
        <f aca="false">Model!J104</f>
        <v>1135</v>
      </c>
      <c r="K35" s="20" t="n">
        <f aca="false">Model!K104</f>
        <v>1174</v>
      </c>
      <c r="L35" s="20" t="n">
        <f aca="false">Model!L104</f>
        <v>1221</v>
      </c>
      <c r="M35" s="21" t="n">
        <f aca="false">Model!M104</f>
        <v>4677</v>
      </c>
      <c r="N35" s="20" t="n">
        <f aca="false">Model!N104</f>
        <v>1141</v>
      </c>
      <c r="O35" s="20" t="n">
        <f aca="false">Model!O104</f>
        <v>1154.52</v>
      </c>
      <c r="P35" s="20" t="n">
        <f aca="false">Model!P104</f>
        <v>1113.24</v>
      </c>
      <c r="Q35" s="20" t="n">
        <f aca="false">Model!Q104</f>
        <v>1069.98</v>
      </c>
      <c r="R35" s="21" t="n">
        <f aca="false">Model!R104</f>
        <v>4478.74</v>
      </c>
      <c r="S35" s="20" t="n">
        <f aca="false">Model!S104</f>
        <v>1000.62</v>
      </c>
      <c r="T35" s="20" t="n">
        <f aca="false">Model!T104</f>
        <v>1015.4304</v>
      </c>
      <c r="U35" s="20" t="n">
        <f aca="false">Model!U104</f>
        <v>1093.3848</v>
      </c>
      <c r="V35" s="20" t="n">
        <f aca="false">Model!V104</f>
        <v>1091.3796</v>
      </c>
      <c r="W35" s="21" t="n">
        <f aca="false">Model!W104</f>
        <v>4200.8148</v>
      </c>
      <c r="X35" s="20" t="n">
        <f aca="false">Model!X104</f>
        <v>1020.6324</v>
      </c>
      <c r="Y35" s="20" t="n">
        <f aca="false">Model!Y104</f>
        <v>1035.739008</v>
      </c>
      <c r="Z35" s="20" t="n">
        <f aca="false">Model!Z104</f>
        <v>1114.442496</v>
      </c>
      <c r="AA35" s="20" t="n">
        <f aca="false">Model!AA104</f>
        <v>1113.207192</v>
      </c>
      <c r="AB35" s="21" t="n">
        <f aca="false">Model!AB104</f>
        <v>4284.021096</v>
      </c>
    </row>
    <row r="36" customFormat="false" ht="15" hidden="false" customHeight="false" outlineLevel="0" collapsed="false">
      <c r="C36" s="3" t="s">
        <v>44</v>
      </c>
      <c r="D36" s="20" t="n">
        <f aca="false">Model!D167</f>
        <v>294</v>
      </c>
      <c r="E36" s="20" t="n">
        <f aca="false">Model!E167</f>
        <v>299</v>
      </c>
      <c r="F36" s="20" t="n">
        <f aca="false">Model!F167</f>
        <v>293</v>
      </c>
      <c r="G36" s="20" t="n">
        <f aca="false">Model!G167</f>
        <v>273</v>
      </c>
      <c r="H36" s="21" t="n">
        <f aca="false">Model!H167</f>
        <v>1159</v>
      </c>
      <c r="I36" s="20" t="n">
        <f aca="false">Model!I167</f>
        <v>304</v>
      </c>
      <c r="J36" s="20" t="n">
        <f aca="false">Model!J167</f>
        <v>306</v>
      </c>
      <c r="K36" s="20" t="n">
        <f aca="false">Model!K167</f>
        <v>321</v>
      </c>
      <c r="L36" s="20" t="n">
        <f aca="false">Model!L167</f>
        <v>324</v>
      </c>
      <c r="M36" s="21" t="n">
        <f aca="false">Model!M167</f>
        <v>1255</v>
      </c>
      <c r="N36" s="20" t="n">
        <f aca="false">Model!N167</f>
        <v>313</v>
      </c>
      <c r="O36" s="20" t="n">
        <f aca="false">Model!O167</f>
        <v>311.262660792952</v>
      </c>
      <c r="P36" s="20" t="n">
        <f aca="false">Model!P167</f>
        <v>304.386746166951</v>
      </c>
      <c r="Q36" s="20" t="n">
        <f aca="false">Model!Q167</f>
        <v>283.925896805897</v>
      </c>
      <c r="R36" s="21" t="n">
        <f aca="false">Model!R167</f>
        <v>1212.5753037658</v>
      </c>
      <c r="S36" s="20" t="n">
        <f aca="false">Model!S167</f>
        <v>274.490850131464</v>
      </c>
      <c r="T36" s="20" t="n">
        <f aca="false">Model!T167</f>
        <v>273.763614449339</v>
      </c>
      <c r="U36" s="20" t="n">
        <f aca="false">Model!U167</f>
        <v>298.957854173765</v>
      </c>
      <c r="V36" s="20" t="n">
        <f aca="false">Model!V167</f>
        <v>289.604414742015</v>
      </c>
      <c r="W36" s="21" t="n">
        <f aca="false">Model!W167</f>
        <v>1136.81673349658</v>
      </c>
      <c r="X36" s="20" t="n">
        <f aca="false">Model!X167</f>
        <v>279.980667134093</v>
      </c>
      <c r="Y36" s="20" t="n">
        <f aca="false">Model!Y167</f>
        <v>279.238886738326</v>
      </c>
      <c r="Z36" s="20" t="n">
        <f aca="false">Model!Z167</f>
        <v>304.715537662692</v>
      </c>
      <c r="AA36" s="20" t="n">
        <f aca="false">Model!AA167</f>
        <v>295.396503036855</v>
      </c>
      <c r="AB36" s="21" t="n">
        <f aca="false">Model!AB167</f>
        <v>1159.33159457197</v>
      </c>
    </row>
    <row r="37" customFormat="false" ht="15" hidden="false" customHeight="false" outlineLevel="0" collapsed="false">
      <c r="C37" s="22" t="s">
        <v>45</v>
      </c>
      <c r="D37" s="26" t="n">
        <f aca="false">Model!D166</f>
        <v>0.265103697024346</v>
      </c>
      <c r="E37" s="26" t="n">
        <f aca="false">Model!E166</f>
        <v>0.267681289167413</v>
      </c>
      <c r="F37" s="26" t="n">
        <f aca="false">Model!F166</f>
        <v>0.259521700620018</v>
      </c>
      <c r="G37" s="26" t="n">
        <f aca="false">Model!G166</f>
        <v>0.236159169550173</v>
      </c>
      <c r="H37" s="27" t="n">
        <f aca="false">Model!H166</f>
        <v>0.256927510529816</v>
      </c>
      <c r="I37" s="26" t="n">
        <f aca="false">Model!I166</f>
        <v>0.265039232781168</v>
      </c>
      <c r="J37" s="26" t="n">
        <f aca="false">Model!J166</f>
        <v>0.269603524229075</v>
      </c>
      <c r="K37" s="26" t="n">
        <f aca="false">Model!K166</f>
        <v>0.273424190800681</v>
      </c>
      <c r="L37" s="26" t="n">
        <f aca="false">Model!L166</f>
        <v>0.265356265356265</v>
      </c>
      <c r="M37" s="27" t="n">
        <f aca="false">Model!M166</f>
        <v>0.268334402394697</v>
      </c>
      <c r="N37" s="26" t="n">
        <f aca="false">Model!N166</f>
        <v>0.274320771253287</v>
      </c>
      <c r="O37" s="26" t="n">
        <f aca="false">Model!O166</f>
        <v>0.269603524229075</v>
      </c>
      <c r="P37" s="26" t="n">
        <f aca="false">Model!P166</f>
        <v>0.273424190800681</v>
      </c>
      <c r="Q37" s="26" t="n">
        <f aca="false">Model!Q166</f>
        <v>0.265356265356265</v>
      </c>
      <c r="R37" s="27" t="n">
        <f aca="false">Model!R166</f>
        <v>0.270740276007493</v>
      </c>
      <c r="S37" s="26" t="n">
        <f aca="false">Model!S166</f>
        <v>0.274320771253287</v>
      </c>
      <c r="T37" s="26" t="n">
        <f aca="false">Model!T166</f>
        <v>0.269603524229075</v>
      </c>
      <c r="U37" s="26" t="n">
        <f aca="false">Model!U166</f>
        <v>0.273424190800681</v>
      </c>
      <c r="V37" s="26" t="n">
        <f aca="false">Model!V166</f>
        <v>0.265356265356265</v>
      </c>
      <c r="W37" s="27" t="n">
        <f aca="false">Model!W166</f>
        <v>0.270618150911243</v>
      </c>
      <c r="X37" s="26" t="n">
        <f aca="false">Model!X166</f>
        <v>0.274320771253287</v>
      </c>
      <c r="Y37" s="26" t="n">
        <f aca="false">Model!Y166</f>
        <v>0.269603524229075</v>
      </c>
      <c r="Z37" s="26" t="n">
        <f aca="false">Model!Z166</f>
        <v>0.273424190800681</v>
      </c>
      <c r="AA37" s="26" t="n">
        <f aca="false">Model!AA166</f>
        <v>0.265356265356265</v>
      </c>
      <c r="AB37" s="27" t="n">
        <f aca="false">Model!AB166</f>
        <v>0.270617620360095</v>
      </c>
    </row>
    <row r="38" customFormat="false" ht="15" hidden="false" customHeight="false" outlineLevel="0" collapsed="false">
      <c r="H38" s="25"/>
      <c r="M38" s="25"/>
      <c r="R38" s="25"/>
      <c r="W38" s="25"/>
      <c r="AB38" s="25"/>
    </row>
    <row r="39" customFormat="false" ht="15" hidden="false" customHeight="false" outlineLevel="0" collapsed="false">
      <c r="C39" s="30" t="s">
        <v>48</v>
      </c>
      <c r="D39" s="31"/>
      <c r="E39" s="31"/>
      <c r="F39" s="31"/>
      <c r="G39" s="31"/>
      <c r="H39" s="32"/>
      <c r="I39" s="31"/>
      <c r="J39" s="31"/>
      <c r="K39" s="31"/>
      <c r="L39" s="31"/>
      <c r="M39" s="32"/>
      <c r="N39" s="31"/>
      <c r="O39" s="31"/>
      <c r="P39" s="31"/>
      <c r="Q39" s="31"/>
      <c r="R39" s="32"/>
      <c r="S39" s="31"/>
      <c r="T39" s="31"/>
      <c r="U39" s="31"/>
      <c r="V39" s="31"/>
      <c r="W39" s="32"/>
      <c r="X39" s="31"/>
      <c r="Y39" s="31"/>
      <c r="Z39" s="31"/>
      <c r="AA39" s="31"/>
      <c r="AB39" s="32"/>
    </row>
    <row r="40" customFormat="false" ht="15" hidden="false" customHeight="false" outlineLevel="0" collapsed="false">
      <c r="C40" s="3" t="s">
        <v>43</v>
      </c>
      <c r="D40" s="20" t="n">
        <f aca="false">Model!D136</f>
        <v>5722</v>
      </c>
      <c r="E40" s="20" t="n">
        <f aca="false">Model!E136</f>
        <v>5757</v>
      </c>
      <c r="F40" s="20" t="n">
        <f aca="false">Model!F136</f>
        <v>5740</v>
      </c>
      <c r="G40" s="20" t="n">
        <f aca="false">Model!G136</f>
        <v>5938</v>
      </c>
      <c r="H40" s="21" t="n">
        <f aca="false">Model!H136</f>
        <v>23157</v>
      </c>
      <c r="I40" s="20" t="n">
        <f aca="false">Model!I136</f>
        <v>5641</v>
      </c>
      <c r="J40" s="20" t="n">
        <f aca="false">Model!J136</f>
        <v>5995</v>
      </c>
      <c r="K40" s="20" t="n">
        <f aca="false">Model!K136</f>
        <v>5970</v>
      </c>
      <c r="L40" s="20" t="n">
        <f aca="false">Model!L136</f>
        <v>6379</v>
      </c>
      <c r="M40" s="21" t="n">
        <f aca="false">Model!M136</f>
        <v>23985</v>
      </c>
      <c r="N40" s="20" t="n">
        <f aca="false">Model!N136</f>
        <v>6037</v>
      </c>
      <c r="O40" s="20" t="n">
        <f aca="false">Model!O136</f>
        <v>6419.88</v>
      </c>
      <c r="P40" s="20" t="n">
        <f aca="false">Model!P136</f>
        <v>6396.288</v>
      </c>
      <c r="Q40" s="20" t="n">
        <f aca="false">Model!Q136</f>
        <v>6812.886</v>
      </c>
      <c r="R40" s="21" t="n">
        <f aca="false">Model!R136</f>
        <v>25666.054</v>
      </c>
      <c r="S40" s="20" t="n">
        <f aca="false">Model!S136</f>
        <v>6464.172</v>
      </c>
      <c r="T40" s="20" t="n">
        <f aca="false">Model!T136</f>
        <v>6548.2776</v>
      </c>
      <c r="U40" s="20" t="n">
        <f aca="false">Model!U136</f>
        <v>6524.21376</v>
      </c>
      <c r="V40" s="20" t="n">
        <f aca="false">Model!V136</f>
        <v>6949.14372</v>
      </c>
      <c r="W40" s="21" t="n">
        <f aca="false">Model!W136</f>
        <v>26485.80708</v>
      </c>
      <c r="X40" s="20" t="n">
        <f aca="false">Model!X136</f>
        <v>6593.45544</v>
      </c>
      <c r="Y40" s="20" t="n">
        <f aca="false">Model!Y136</f>
        <v>6679.243152</v>
      </c>
      <c r="Z40" s="20" t="n">
        <f aca="false">Model!Z136</f>
        <v>6654.6980352</v>
      </c>
      <c r="AA40" s="20" t="n">
        <f aca="false">Model!AA136</f>
        <v>7088.1265944</v>
      </c>
      <c r="AB40" s="21" t="n">
        <f aca="false">Model!AB136</f>
        <v>27015.5232216</v>
      </c>
    </row>
    <row r="41" customFormat="false" ht="15" hidden="false" customHeight="false" outlineLevel="0" collapsed="false">
      <c r="C41" s="3" t="s">
        <v>44</v>
      </c>
      <c r="D41" s="20" t="n">
        <f aca="false">Model!D173</f>
        <v>744</v>
      </c>
      <c r="E41" s="20" t="n">
        <f aca="false">Model!E173</f>
        <v>745</v>
      </c>
      <c r="F41" s="20" t="n">
        <f aca="false">Model!F173</f>
        <v>773</v>
      </c>
      <c r="G41" s="20" t="n">
        <f aca="false">Model!G173</f>
        <v>828</v>
      </c>
      <c r="H41" s="21" t="n">
        <f aca="false">Model!H173</f>
        <v>3090</v>
      </c>
      <c r="I41" s="20" t="n">
        <f aca="false">Model!I173</f>
        <v>731</v>
      </c>
      <c r="J41" s="20" t="n">
        <f aca="false">Model!J173</f>
        <v>825</v>
      </c>
      <c r="K41" s="20" t="n">
        <f aca="false">Model!K173</f>
        <v>868</v>
      </c>
      <c r="L41" s="20" t="n">
        <f aca="false">Model!L173</f>
        <v>925</v>
      </c>
      <c r="M41" s="21" t="n">
        <f aca="false">Model!M173</f>
        <v>3349</v>
      </c>
      <c r="N41" s="20" t="n">
        <f aca="false">Model!N173</f>
        <v>778</v>
      </c>
      <c r="O41" s="20" t="n">
        <f aca="false">Model!O173</f>
        <v>883.469724770642</v>
      </c>
      <c r="P41" s="20" t="n">
        <f aca="false">Model!P173</f>
        <v>929.979561809045</v>
      </c>
      <c r="Q41" s="20" t="n">
        <f aca="false">Model!Q173</f>
        <v>987.916530804202</v>
      </c>
      <c r="R41" s="21" t="n">
        <f aca="false">Model!R173</f>
        <v>3579.36581738389</v>
      </c>
      <c r="S41" s="20" t="n">
        <f aca="false">Model!S173</f>
        <v>833.050491303628</v>
      </c>
      <c r="T41" s="20" t="n">
        <f aca="false">Model!T173</f>
        <v>901.139119266055</v>
      </c>
      <c r="U41" s="20" t="n">
        <f aca="false">Model!U173</f>
        <v>948.579153045226</v>
      </c>
      <c r="V41" s="20" t="n">
        <f aca="false">Model!V173</f>
        <v>1007.67486142029</v>
      </c>
      <c r="W41" s="21" t="n">
        <f aca="false">Model!W173</f>
        <v>3690.4436250352</v>
      </c>
      <c r="X41" s="20" t="n">
        <f aca="false">Model!X173</f>
        <v>849.7115011297</v>
      </c>
      <c r="Y41" s="20" t="n">
        <f aca="false">Model!Y173</f>
        <v>919.161901651377</v>
      </c>
      <c r="Z41" s="20" t="n">
        <f aca="false">Model!Z173</f>
        <v>967.550736106131</v>
      </c>
      <c r="AA41" s="20" t="n">
        <f aca="false">Model!AA173</f>
        <v>1027.82835864869</v>
      </c>
      <c r="AB41" s="21" t="n">
        <f aca="false">Model!AB173</f>
        <v>3764.2524975359</v>
      </c>
    </row>
    <row r="42" customFormat="false" ht="15" hidden="false" customHeight="false" outlineLevel="0" collapsed="false">
      <c r="C42" s="22" t="s">
        <v>45</v>
      </c>
      <c r="D42" s="26" t="n">
        <f aca="false">Model!D172</f>
        <v>0.130024466969591</v>
      </c>
      <c r="E42" s="26" t="n">
        <f aca="false">Model!E172</f>
        <v>0.129407677609866</v>
      </c>
      <c r="F42" s="26" t="n">
        <f aca="false">Model!F172</f>
        <v>0.134668989547038</v>
      </c>
      <c r="G42" s="26" t="n">
        <f aca="false">Model!G172</f>
        <v>0.139440889188279</v>
      </c>
      <c r="H42" s="27" t="n">
        <f aca="false">Model!H172</f>
        <v>0.133436973701257</v>
      </c>
      <c r="I42" s="26" t="n">
        <f aca="false">Model!I172</f>
        <v>0.129586952667967</v>
      </c>
      <c r="J42" s="26" t="n">
        <f aca="false">Model!J172</f>
        <v>0.137614678899083</v>
      </c>
      <c r="K42" s="26" t="n">
        <f aca="false">Model!K172</f>
        <v>0.145393634840871</v>
      </c>
      <c r="L42" s="26" t="n">
        <f aca="false">Model!L172</f>
        <v>0.145007054397241</v>
      </c>
      <c r="M42" s="27" t="n">
        <f aca="false">Model!M172</f>
        <v>0.139628934750886</v>
      </c>
      <c r="N42" s="26" t="n">
        <f aca="false">Model!N172</f>
        <v>0.12887195626967</v>
      </c>
      <c r="O42" s="26" t="n">
        <f aca="false">Model!O172</f>
        <v>0.137614678899083</v>
      </c>
      <c r="P42" s="26" t="n">
        <f aca="false">Model!P172</f>
        <v>0.145393634840871</v>
      </c>
      <c r="Q42" s="26" t="n">
        <f aca="false">Model!Q172</f>
        <v>0.145007054397241</v>
      </c>
      <c r="R42" s="27" t="n">
        <f aca="false">Model!R172</f>
        <v>0.139459139974688</v>
      </c>
      <c r="S42" s="26" t="n">
        <f aca="false">Model!S172</f>
        <v>0.12887195626967</v>
      </c>
      <c r="T42" s="26" t="n">
        <f aca="false">Model!T172</f>
        <v>0.137614678899083</v>
      </c>
      <c r="U42" s="26" t="n">
        <f aca="false">Model!U172</f>
        <v>0.145393634840871</v>
      </c>
      <c r="V42" s="26" t="n">
        <f aca="false">Model!V172</f>
        <v>0.145007054397241</v>
      </c>
      <c r="W42" s="27" t="n">
        <f aca="false">Model!W172</f>
        <v>0.139336649772018</v>
      </c>
      <c r="X42" s="26" t="n">
        <f aca="false">Model!X172</f>
        <v>0.12887195626967</v>
      </c>
      <c r="Y42" s="26" t="n">
        <f aca="false">Model!Y172</f>
        <v>0.137614678899083</v>
      </c>
      <c r="Z42" s="26" t="n">
        <f aca="false">Model!Z172</f>
        <v>0.145393634840871</v>
      </c>
      <c r="AA42" s="26" t="n">
        <f aca="false">Model!AA172</f>
        <v>0.145007054397241</v>
      </c>
      <c r="AB42" s="27" t="n">
        <f aca="false">Model!AB172</f>
        <v>0.139336649772018</v>
      </c>
    </row>
    <row r="43" customFormat="false" ht="15" hidden="false" customHeight="false" outlineLevel="0" collapsed="false">
      <c r="H43" s="25"/>
      <c r="M43" s="25"/>
      <c r="R43" s="25"/>
      <c r="W43" s="25"/>
      <c r="AB43" s="25"/>
    </row>
    <row r="44" customFormat="false" ht="15" hidden="false" customHeight="false" outlineLevel="0" collapsed="false">
      <c r="H44" s="25"/>
      <c r="M44" s="25"/>
      <c r="R44" s="25"/>
      <c r="W44" s="25"/>
      <c r="AB44" s="25"/>
    </row>
    <row r="45" customFormat="false" ht="15" hidden="false" customHeight="false" outlineLevel="0" collapsed="false">
      <c r="B45" s="17" t="s">
        <v>49</v>
      </c>
      <c r="C45" s="18"/>
      <c r="D45" s="18"/>
      <c r="E45" s="18"/>
      <c r="F45" s="18"/>
      <c r="G45" s="18"/>
      <c r="H45" s="25"/>
      <c r="M45" s="25"/>
      <c r="R45" s="25"/>
      <c r="W45" s="25"/>
      <c r="AB45" s="25"/>
    </row>
    <row r="46" customFormat="false" ht="15" hidden="false" customHeight="false" outlineLevel="0" collapsed="false">
      <c r="B46" s="33" t="s">
        <v>50</v>
      </c>
      <c r="C46" s="33" t="s">
        <v>51</v>
      </c>
      <c r="D46" s="33" t="s">
        <v>52</v>
      </c>
      <c r="E46" s="33" t="s">
        <v>53</v>
      </c>
      <c r="F46" s="33" t="s">
        <v>25</v>
      </c>
      <c r="G46" s="33" t="s">
        <v>54</v>
      </c>
      <c r="H46" s="25"/>
      <c r="M46" s="25"/>
      <c r="R46" s="25"/>
      <c r="W46" s="25"/>
      <c r="AB46" s="25"/>
    </row>
    <row r="47" customFormat="false" ht="15" hidden="false" customHeight="false" outlineLevel="0" collapsed="false">
      <c r="B47" s="3" t="s">
        <v>55</v>
      </c>
      <c r="C47" s="3" t="s">
        <v>56</v>
      </c>
      <c r="D47" s="34" t="s">
        <v>57</v>
      </c>
      <c r="E47" s="35" t="n">
        <v>1225</v>
      </c>
      <c r="F47" s="3" t="s">
        <v>58</v>
      </c>
      <c r="G47" s="22" t="s">
        <v>59</v>
      </c>
      <c r="H47" s="25"/>
      <c r="M47" s="25"/>
      <c r="R47" s="25"/>
      <c r="W47" s="25"/>
      <c r="AB47" s="25"/>
    </row>
    <row r="48" customFormat="false" ht="15" hidden="false" customHeight="false" outlineLevel="0" collapsed="false">
      <c r="B48" s="3" t="s">
        <v>60</v>
      </c>
      <c r="C48" s="3" t="s">
        <v>61</v>
      </c>
      <c r="D48" s="36" t="s">
        <v>62</v>
      </c>
      <c r="E48" s="35" t="n">
        <v>-645</v>
      </c>
      <c r="F48" s="3" t="s">
        <v>63</v>
      </c>
      <c r="G48" s="22" t="s">
        <v>64</v>
      </c>
      <c r="H48" s="25"/>
      <c r="M48" s="25"/>
      <c r="R48" s="25"/>
      <c r="W48" s="25"/>
      <c r="AB48" s="25"/>
    </row>
    <row r="49" customFormat="false" ht="15" hidden="false" customHeight="false" outlineLevel="0" collapsed="false">
      <c r="H49" s="25"/>
      <c r="M49" s="25"/>
      <c r="R49" s="25"/>
      <c r="W49" s="25"/>
      <c r="AB49" s="25"/>
    </row>
    <row r="50" customFormat="false" ht="15" hidden="false" customHeight="false" outlineLevel="0" collapsed="false">
      <c r="B50" s="22" t="s">
        <v>65</v>
      </c>
      <c r="H50" s="25"/>
      <c r="M50" s="25"/>
      <c r="R50" s="25"/>
      <c r="W50" s="25"/>
      <c r="AB50" s="25"/>
    </row>
    <row r="51" customFormat="false" ht="15" hidden="false" customHeight="false" outlineLevel="0" collapsed="false">
      <c r="C51" s="3" t="s">
        <v>66</v>
      </c>
      <c r="H51" s="25"/>
      <c r="M51" s="25"/>
      <c r="O51" s="37" t="n">
        <f aca="false">Model!O129*Model!J126</f>
        <v>304.98</v>
      </c>
      <c r="P51" s="37" t="n">
        <f aca="false">Model!P129*Model!K126</f>
        <v>306.888</v>
      </c>
      <c r="Q51" s="37" t="n">
        <f aca="false">Model!Q129*Model!L126</f>
        <v>306.306</v>
      </c>
      <c r="R51" s="25"/>
      <c r="S51" s="37" t="n">
        <f aca="false">Model!S129*Model!N126</f>
        <v>306.432</v>
      </c>
      <c r="T51" s="37" t="n">
        <f aca="false">Model!T129*Model!O126</f>
        <v>0</v>
      </c>
      <c r="U51" s="37" t="n">
        <f aca="false">Model!U129*Model!P126</f>
        <v>0</v>
      </c>
      <c r="V51" s="37" t="n">
        <f aca="false">Model!V129*Model!Q126</f>
        <v>0</v>
      </c>
      <c r="W51" s="25"/>
      <c r="X51" s="37" t="n">
        <f aca="false">Model!X129*Model!S126</f>
        <v>0</v>
      </c>
      <c r="Y51" s="37" t="n">
        <f aca="false">Model!Y129*Model!T126</f>
        <v>0</v>
      </c>
      <c r="Z51" s="37" t="n">
        <f aca="false">Model!Z129*Model!U126</f>
        <v>0</v>
      </c>
      <c r="AA51" s="37" t="n">
        <f aca="false">Model!AA129*Model!V126</f>
        <v>0</v>
      </c>
      <c r="AB51" s="25"/>
    </row>
    <row r="52" customFormat="false" ht="15" hidden="false" customHeight="false" outlineLevel="0" collapsed="false">
      <c r="C52" s="3" t="s">
        <v>67</v>
      </c>
      <c r="H52" s="25"/>
      <c r="M52" s="25"/>
      <c r="O52" s="37" t="n">
        <f aca="false">Model!O87*Model!J84</f>
        <v>0</v>
      </c>
      <c r="P52" s="37" t="n">
        <f aca="false">Model!P87*Model!K84</f>
        <v>-81</v>
      </c>
      <c r="Q52" s="37" t="n">
        <f aca="false">Model!Q87*Model!L84</f>
        <v>-172</v>
      </c>
      <c r="R52" s="25"/>
      <c r="S52" s="37" t="n">
        <f aca="false">Model!S87*Model!N84</f>
        <v>-160</v>
      </c>
      <c r="T52" s="37" t="n">
        <f aca="false">Model!T87*Model!O84</f>
        <v>-159</v>
      </c>
      <c r="U52" s="37" t="n">
        <f aca="false">Model!U87*Model!P84</f>
        <v>-40.5</v>
      </c>
      <c r="V52" s="37" t="n">
        <f aca="false">Model!V87*Model!Q84</f>
        <v>0</v>
      </c>
      <c r="W52" s="25"/>
      <c r="X52" s="37" t="n">
        <f aca="false">Model!X87*Model!S84</f>
        <v>0</v>
      </c>
      <c r="Y52" s="37" t="n">
        <f aca="false">Model!Y87*Model!T84</f>
        <v>0</v>
      </c>
      <c r="Z52" s="37" t="n">
        <f aca="false">Model!Z87*Model!U84</f>
        <v>0</v>
      </c>
      <c r="AA52" s="37" t="n">
        <f aca="false">Model!AA87*Model!V84</f>
        <v>0</v>
      </c>
      <c r="AB52" s="25"/>
    </row>
    <row r="53" customFormat="false" ht="15" hidden="false" customHeight="false" outlineLevel="0" collapsed="false">
      <c r="H53" s="25"/>
      <c r="M53" s="25"/>
      <c r="R53" s="25"/>
      <c r="W53" s="25"/>
      <c r="AB53" s="25"/>
    </row>
    <row r="54" customFormat="false" ht="15" hidden="false" customHeight="false" outlineLevel="0" collapsed="false">
      <c r="B54" s="17" t="s">
        <v>68</v>
      </c>
      <c r="C54" s="18"/>
      <c r="D54" s="18"/>
      <c r="E54" s="18"/>
      <c r="F54" s="18"/>
      <c r="G54" s="18"/>
      <c r="H54" s="19"/>
      <c r="I54" s="18"/>
      <c r="M54" s="25"/>
      <c r="R54" s="25"/>
      <c r="W54" s="25"/>
      <c r="AB54" s="25"/>
    </row>
    <row r="55" customFormat="false" ht="15" hidden="false" customHeight="false" outlineLevel="0" collapsed="false">
      <c r="C55" s="33" t="s">
        <v>69</v>
      </c>
      <c r="D55" s="33" t="s">
        <v>70</v>
      </c>
      <c r="E55" s="33" t="s">
        <v>54</v>
      </c>
      <c r="F55" s="33" t="s">
        <v>71</v>
      </c>
      <c r="G55" s="33" t="s">
        <v>72</v>
      </c>
      <c r="H55" s="25"/>
      <c r="M55" s="25"/>
      <c r="R55" s="25"/>
      <c r="W55" s="25"/>
      <c r="AB55" s="25"/>
    </row>
    <row r="56" customFormat="false" ht="15" hidden="false" customHeight="false" outlineLevel="0" collapsed="false">
      <c r="C56" s="3" t="s">
        <v>73</v>
      </c>
      <c r="D56" s="34" t="s">
        <v>74</v>
      </c>
      <c r="E56" s="22" t="s">
        <v>75</v>
      </c>
      <c r="F56" s="23" t="n">
        <f aca="false">Model!W146</f>
        <v>0.0198356073210367</v>
      </c>
      <c r="G56" s="23" t="n">
        <f aca="false">Model!AB146</f>
        <v>0.0199836548583721</v>
      </c>
      <c r="H56" s="25"/>
      <c r="M56" s="25"/>
      <c r="R56" s="25"/>
      <c r="W56" s="25"/>
      <c r="AB56" s="25"/>
    </row>
    <row r="57" customFormat="false" ht="15" hidden="false" customHeight="false" outlineLevel="0" collapsed="false">
      <c r="C57" s="3" t="s">
        <v>76</v>
      </c>
      <c r="D57" s="34" t="s">
        <v>77</v>
      </c>
      <c r="E57" s="22" t="s">
        <v>75</v>
      </c>
      <c r="F57" s="26" t="n">
        <f aca="false">Model!W177</f>
        <v>0.223629203834231</v>
      </c>
      <c r="G57" s="26" t="n">
        <f aca="false">Model!AB177</f>
        <v>0.223628208702417</v>
      </c>
      <c r="H57" s="25"/>
      <c r="M57" s="25"/>
      <c r="R57" s="25"/>
      <c r="W57" s="25"/>
      <c r="AB57" s="25"/>
    </row>
    <row r="58" customFormat="false" ht="15" hidden="false" customHeight="false" outlineLevel="0" collapsed="false">
      <c r="C58" s="3" t="s">
        <v>78</v>
      </c>
      <c r="D58" s="34" t="s">
        <v>79</v>
      </c>
      <c r="E58" s="22" t="s">
        <v>75</v>
      </c>
      <c r="H58" s="25"/>
      <c r="M58" s="25"/>
      <c r="R58" s="25"/>
      <c r="W58" s="25"/>
      <c r="AB58" s="25"/>
    </row>
    <row r="59" customFormat="false" ht="15" hidden="false" customHeight="false" outlineLevel="0" collapsed="false">
      <c r="H59" s="25"/>
      <c r="M59" s="25"/>
      <c r="R59" s="25"/>
      <c r="W59" s="25"/>
      <c r="AB59" s="25"/>
    </row>
    <row r="60" customFormat="false" ht="15" hidden="false" customHeight="false" outlineLevel="0" collapsed="false">
      <c r="H60" s="25"/>
      <c r="M60" s="25"/>
      <c r="R60" s="25"/>
      <c r="W60" s="25"/>
      <c r="AB60" s="25"/>
    </row>
    <row r="61" customFormat="false" ht="15" hidden="false" customHeight="false" outlineLevel="0" collapsed="false">
      <c r="H61" s="25"/>
      <c r="M61" s="25"/>
      <c r="R61" s="25"/>
      <c r="W61" s="25"/>
      <c r="AB61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1"/>
    <col collapsed="false" customWidth="true" hidden="false" outlineLevel="0" max="22" min="19" style="0" width="10"/>
    <col collapsed="false" customWidth="true" hidden="false" outlineLevel="0" max="23" min="23" style="0" width="11"/>
    <col collapsed="false" customWidth="true" hidden="false" outlineLevel="0" max="27" min="24" style="0" width="10"/>
    <col collapsed="false" customWidth="true" hidden="false" outlineLevel="0" max="28" min="28" style="0" width="11"/>
  </cols>
  <sheetData>
    <row r="2" customFormat="false" ht="15" hidden="false" customHeight="false" outlineLevel="0" collapsed="false">
      <c r="B2" s="1" t="s">
        <v>80</v>
      </c>
    </row>
    <row r="4" customFormat="false" ht="15" hidden="false" customHeight="false" outlineLevel="0" collapsed="false">
      <c r="C4" s="2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19</v>
      </c>
      <c r="J4" s="5" t="s">
        <v>20</v>
      </c>
      <c r="K4" s="5" t="s">
        <v>21</v>
      </c>
      <c r="L4" s="5" t="s">
        <v>22</v>
      </c>
      <c r="M4" s="5" t="s">
        <v>23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19</v>
      </c>
      <c r="Y4" s="5" t="s">
        <v>20</v>
      </c>
      <c r="Z4" s="5" t="s">
        <v>21</v>
      </c>
      <c r="AA4" s="5" t="s">
        <v>22</v>
      </c>
      <c r="AB4" s="5" t="s">
        <v>23</v>
      </c>
    </row>
    <row r="5" customFormat="false" ht="15" hidden="false" customHeight="false" outlineLevel="0" collapsed="false">
      <c r="C5" s="2" t="s">
        <v>24</v>
      </c>
      <c r="D5" s="6" t="n">
        <v>24</v>
      </c>
      <c r="E5" s="7" t="n">
        <f aca="false">D5</f>
        <v>24</v>
      </c>
      <c r="F5" s="7" t="n">
        <f aca="false">E5</f>
        <v>24</v>
      </c>
      <c r="G5" s="7" t="n">
        <f aca="false">F5</f>
        <v>24</v>
      </c>
      <c r="H5" s="7" t="n">
        <f aca="false">G5</f>
        <v>24</v>
      </c>
      <c r="I5" s="8" t="n">
        <f aca="false">H5+1</f>
        <v>25</v>
      </c>
      <c r="J5" s="7" t="n">
        <f aca="false">I5</f>
        <v>25</v>
      </c>
      <c r="K5" s="7" t="n">
        <f aca="false">J5</f>
        <v>25</v>
      </c>
      <c r="L5" s="7" t="n">
        <f aca="false">K5</f>
        <v>25</v>
      </c>
      <c r="M5" s="7" t="n">
        <f aca="false">L5</f>
        <v>25</v>
      </c>
      <c r="N5" s="8" t="n">
        <f aca="false">M5+1</f>
        <v>26</v>
      </c>
      <c r="O5" s="7" t="n">
        <f aca="false">N5</f>
        <v>26</v>
      </c>
      <c r="P5" s="7" t="n">
        <f aca="false">O5</f>
        <v>26</v>
      </c>
      <c r="Q5" s="7" t="n">
        <f aca="false">P5</f>
        <v>26</v>
      </c>
      <c r="R5" s="7" t="n">
        <f aca="false">Q5</f>
        <v>26</v>
      </c>
      <c r="S5" s="8" t="n">
        <f aca="false">R5+1</f>
        <v>27</v>
      </c>
      <c r="T5" s="7" t="n">
        <f aca="false">S5</f>
        <v>27</v>
      </c>
      <c r="U5" s="7" t="n">
        <f aca="false">T5</f>
        <v>27</v>
      </c>
      <c r="V5" s="7" t="n">
        <f aca="false">U5</f>
        <v>27</v>
      </c>
      <c r="W5" s="7" t="n">
        <f aca="false">V5</f>
        <v>27</v>
      </c>
      <c r="X5" s="8" t="n">
        <f aca="false">W5+1</f>
        <v>28</v>
      </c>
      <c r="Y5" s="7" t="n">
        <f aca="false">X5</f>
        <v>28</v>
      </c>
      <c r="Z5" s="7" t="n">
        <f aca="false">Y5</f>
        <v>28</v>
      </c>
      <c r="AA5" s="7" t="n">
        <f aca="false">Z5</f>
        <v>28</v>
      </c>
      <c r="AB5" s="7" t="n">
        <f aca="false">AA5</f>
        <v>28</v>
      </c>
    </row>
    <row r="7" customFormat="false" ht="15" hidden="false" customHeight="false" outlineLevel="0" collapsed="false">
      <c r="C7" s="2" t="s">
        <v>25</v>
      </c>
      <c r="D7" s="9" t="s">
        <v>26</v>
      </c>
      <c r="E7" s="10"/>
      <c r="F7" s="10"/>
      <c r="G7" s="10"/>
      <c r="H7" s="11"/>
      <c r="I7" s="9" t="s">
        <v>26</v>
      </c>
      <c r="J7" s="10"/>
      <c r="K7" s="10"/>
      <c r="L7" s="10"/>
      <c r="M7" s="11"/>
    </row>
    <row r="8" customFormat="false" ht="15" hidden="false" customHeight="false" outlineLevel="0" collapsed="false">
      <c r="C8" s="2" t="s">
        <v>27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 t="s">
        <v>28</v>
      </c>
      <c r="P8" s="12" t="s">
        <v>28</v>
      </c>
      <c r="Q8" s="12" t="s">
        <v>28</v>
      </c>
      <c r="R8" s="12" t="s">
        <v>28</v>
      </c>
      <c r="S8" s="12" t="s">
        <v>28</v>
      </c>
      <c r="T8" s="12" t="s">
        <v>28</v>
      </c>
      <c r="U8" s="12" t="s">
        <v>28</v>
      </c>
      <c r="V8" s="12" t="s">
        <v>28</v>
      </c>
      <c r="W8" s="12" t="s">
        <v>28</v>
      </c>
      <c r="X8" s="12" t="s">
        <v>28</v>
      </c>
      <c r="Y8" s="12" t="s">
        <v>28</v>
      </c>
      <c r="Z8" s="12" t="s">
        <v>28</v>
      </c>
      <c r="AA8" s="12" t="s">
        <v>28</v>
      </c>
      <c r="AB8" s="12" t="s">
        <v>28</v>
      </c>
    </row>
    <row r="9" customFormat="false" ht="15" hidden="false" customHeight="false" outlineLevel="0" collapsed="false">
      <c r="C9" s="2" t="s">
        <v>29</v>
      </c>
      <c r="D9" s="13" t="str">
        <f aca="false">D$4&amp;D5&amp;D8</f>
        <v>1Q24</v>
      </c>
      <c r="E9" s="13" t="str">
        <f aca="false">E$4&amp;E5&amp;E8</f>
        <v>2Q24</v>
      </c>
      <c r="F9" s="13" t="str">
        <f aca="false">F$4&amp;F5&amp;F8</f>
        <v>3Q24</v>
      </c>
      <c r="G9" s="13" t="str">
        <f aca="false">G$4&amp;G5&amp;G8</f>
        <v>4Q24</v>
      </c>
      <c r="H9" s="14" t="str">
        <f aca="false">H$4&amp;H5&amp;H8</f>
        <v>FY24</v>
      </c>
      <c r="I9" s="13" t="str">
        <f aca="false">I$4&amp;I5&amp;I8</f>
        <v>1Q25</v>
      </c>
      <c r="J9" s="13" t="str">
        <f aca="false">J$4&amp;J5&amp;J8</f>
        <v>2Q25</v>
      </c>
      <c r="K9" s="13" t="str">
        <f aca="false">K$4&amp;K5&amp;K8</f>
        <v>3Q25</v>
      </c>
      <c r="L9" s="13" t="str">
        <f aca="false">L$4&amp;L5&amp;L8</f>
        <v>4Q25</v>
      </c>
      <c r="M9" s="14" t="str">
        <f aca="false">M$4&amp;M5&amp;M8</f>
        <v>FY25</v>
      </c>
      <c r="N9" s="13" t="str">
        <f aca="false">N$4&amp;N5&amp;N8</f>
        <v>1Q26</v>
      </c>
      <c r="O9" s="13" t="str">
        <f aca="false">O$4&amp;O5&amp;O8</f>
        <v>2Q26E</v>
      </c>
      <c r="P9" s="13" t="str">
        <f aca="false">P$4&amp;P5&amp;P8</f>
        <v>3Q26E</v>
      </c>
      <c r="Q9" s="13" t="str">
        <f aca="false">Q$4&amp;Q5&amp;Q8</f>
        <v>4Q26E</v>
      </c>
      <c r="R9" s="14" t="str">
        <f aca="false">R$4&amp;R5&amp;R8</f>
        <v>FY26E</v>
      </c>
      <c r="S9" s="13" t="str">
        <f aca="false">S$4&amp;S5&amp;S8</f>
        <v>1Q27E</v>
      </c>
      <c r="T9" s="13" t="str">
        <f aca="false">T$4&amp;T5&amp;T8</f>
        <v>2Q27E</v>
      </c>
      <c r="U9" s="13" t="str">
        <f aca="false">U$4&amp;U5&amp;U8</f>
        <v>3Q27E</v>
      </c>
      <c r="V9" s="13" t="str">
        <f aca="false">V$4&amp;V5&amp;V8</f>
        <v>4Q27E</v>
      </c>
      <c r="W9" s="14" t="str">
        <f aca="false">W$4&amp;W5&amp;W8</f>
        <v>FY27E</v>
      </c>
      <c r="X9" s="13" t="str">
        <f aca="false">X$4&amp;X5&amp;X8</f>
        <v>1Q28E</v>
      </c>
      <c r="Y9" s="13" t="str">
        <f aca="false">Y$4&amp;Y5&amp;Y8</f>
        <v>2Q28E</v>
      </c>
      <c r="Z9" s="13" t="str">
        <f aca="false">Z$4&amp;Z5&amp;Z8</f>
        <v>3Q28E</v>
      </c>
      <c r="AA9" s="13" t="str">
        <f aca="false">AA$4&amp;AA5&amp;AA8</f>
        <v>4Q28E</v>
      </c>
      <c r="AB9" s="14" t="str">
        <f aca="false">AB$4&amp;AB5&amp;AB8</f>
        <v>FY28E</v>
      </c>
    </row>
    <row r="10" customFormat="false" ht="15" hidden="false" customHeight="false" outlineLevel="0" collapsed="false">
      <c r="C10" s="2" t="s">
        <v>30</v>
      </c>
      <c r="D10" s="15" t="n">
        <v>45381</v>
      </c>
      <c r="E10" s="15" t="n">
        <v>45472</v>
      </c>
      <c r="F10" s="15" t="n">
        <v>45563</v>
      </c>
      <c r="G10" s="15" t="n">
        <v>45657</v>
      </c>
      <c r="H10" s="16" t="n">
        <v>45657</v>
      </c>
      <c r="I10" s="15" t="n">
        <v>45745</v>
      </c>
      <c r="J10" s="15" t="n">
        <v>45836</v>
      </c>
      <c r="K10" s="15" t="n">
        <v>45927</v>
      </c>
      <c r="L10" s="15" t="n">
        <v>46022</v>
      </c>
      <c r="M10" s="16" t="n">
        <v>46022</v>
      </c>
      <c r="N10" s="15" t="n">
        <v>46109</v>
      </c>
      <c r="O10" s="15" t="n">
        <v>46200</v>
      </c>
      <c r="P10" s="15" t="n">
        <v>46291</v>
      </c>
      <c r="Q10" s="15" t="n">
        <v>46387</v>
      </c>
      <c r="R10" s="16" t="n">
        <v>46387</v>
      </c>
      <c r="S10" s="15" t="n">
        <v>46480</v>
      </c>
      <c r="T10" s="15" t="n">
        <v>46571</v>
      </c>
      <c r="U10" s="15" t="n">
        <v>46662</v>
      </c>
      <c r="V10" s="15" t="n">
        <v>46752</v>
      </c>
      <c r="W10" s="16" t="n">
        <v>46752</v>
      </c>
      <c r="X10" s="15" t="n">
        <v>46844</v>
      </c>
      <c r="Y10" s="15" t="n">
        <v>46935</v>
      </c>
      <c r="Z10" s="15" t="n">
        <v>47026</v>
      </c>
      <c r="AA10" s="15" t="n">
        <v>47117</v>
      </c>
      <c r="AB10" s="16" t="n">
        <v>47117</v>
      </c>
    </row>
    <row r="11" customFormat="false" ht="15" hidden="false" customHeight="false" outlineLevel="0" collapsed="false">
      <c r="B11" s="17" t="s">
        <v>81</v>
      </c>
      <c r="C11" s="18"/>
      <c r="D11" s="18"/>
      <c r="E11" s="18"/>
      <c r="F11" s="18"/>
      <c r="G11" s="18"/>
      <c r="H11" s="19"/>
      <c r="I11" s="18"/>
      <c r="J11" s="18"/>
      <c r="K11" s="18"/>
      <c r="L11" s="18"/>
      <c r="M11" s="19"/>
      <c r="N11" s="18"/>
      <c r="O11" s="18"/>
      <c r="P11" s="18"/>
      <c r="Q11" s="18"/>
      <c r="R11" s="19"/>
      <c r="S11" s="18"/>
      <c r="T11" s="18"/>
      <c r="U11" s="18"/>
      <c r="V11" s="18"/>
      <c r="W11" s="19"/>
      <c r="X11" s="18"/>
      <c r="Y11" s="18"/>
      <c r="Z11" s="18"/>
      <c r="AA11" s="18"/>
      <c r="AB11" s="19"/>
    </row>
    <row r="12" customFormat="false" ht="15" hidden="false" customHeight="false" outlineLevel="0" collapsed="false">
      <c r="C12" s="2" t="s">
        <v>32</v>
      </c>
      <c r="D12" s="38" t="n">
        <f aca="false">D144</f>
        <v>10345</v>
      </c>
      <c r="E12" s="38" t="n">
        <f aca="false">E144</f>
        <v>10540</v>
      </c>
      <c r="F12" s="38" t="n">
        <f aca="false">F144</f>
        <v>10597</v>
      </c>
      <c r="G12" s="38" t="n">
        <f aca="false">G144</f>
        <v>11395</v>
      </c>
      <c r="H12" s="39" t="n">
        <f aca="false">H144</f>
        <v>42877</v>
      </c>
      <c r="I12" s="38" t="n">
        <f aca="false">I144</f>
        <v>10365</v>
      </c>
      <c r="J12" s="38" t="n">
        <f aca="false">J144</f>
        <v>10856</v>
      </c>
      <c r="K12" s="38" t="n">
        <f aca="false">K144</f>
        <v>11122</v>
      </c>
      <c r="L12" s="38" t="n">
        <f aca="false">L144</f>
        <v>12216</v>
      </c>
      <c r="M12" s="39" t="n">
        <f aca="false">M144</f>
        <v>44559</v>
      </c>
      <c r="N12" s="38" t="n">
        <f aca="false">N144</f>
        <v>11006</v>
      </c>
      <c r="O12" s="38" t="n">
        <f aca="false">O144</f>
        <v>11374.1052631579</v>
      </c>
      <c r="P12" s="38" t="n">
        <f aca="false">P144</f>
        <v>11559.9502392345</v>
      </c>
      <c r="Q12" s="38" t="n">
        <f aca="false">Q144</f>
        <v>12581.9196172249</v>
      </c>
      <c r="R12" s="39" t="n">
        <f aca="false">R144</f>
        <v>46521.9751196172</v>
      </c>
      <c r="S12" s="38" t="n">
        <f aca="false">S144</f>
        <v>11391.2267942584</v>
      </c>
      <c r="T12" s="38" t="n">
        <f aca="false">T144</f>
        <v>11446.3911961723</v>
      </c>
      <c r="U12" s="38" t="n">
        <f aca="false">U144</f>
        <v>11750.8430239234</v>
      </c>
      <c r="V12" s="38" t="n">
        <f aca="false">V144</f>
        <v>12833.5580095694</v>
      </c>
      <c r="W12" s="39" t="n">
        <f aca="false">W144</f>
        <v>47422.0190239234</v>
      </c>
      <c r="X12" s="38" t="n">
        <f aca="false">X144</f>
        <v>11619.0513301435</v>
      </c>
      <c r="Y12" s="38" t="n">
        <f aca="false">Y144</f>
        <v>11675.3190200957</v>
      </c>
      <c r="Z12" s="38" t="n">
        <f aca="false">Z144</f>
        <v>11985.0847647847</v>
      </c>
      <c r="AA12" s="38" t="n">
        <f aca="false">AA144</f>
        <v>13090.2291697608</v>
      </c>
      <c r="AB12" s="39" t="n">
        <f aca="false">AB144</f>
        <v>48369.6842847847</v>
      </c>
    </row>
    <row r="13" customFormat="false" ht="15" hidden="false" customHeight="false" outlineLevel="0" collapsed="false">
      <c r="C13" s="22" t="s">
        <v>33</v>
      </c>
      <c r="D13" s="40" t="n">
        <f aca="false">D145</f>
        <v>0</v>
      </c>
      <c r="E13" s="40" t="n">
        <f aca="false">E145</f>
        <v>0</v>
      </c>
      <c r="F13" s="40" t="n">
        <f aca="false">F145</f>
        <v>0</v>
      </c>
      <c r="G13" s="40" t="n">
        <f aca="false">G145</f>
        <v>0</v>
      </c>
      <c r="H13" s="41" t="n">
        <f aca="false">H145</f>
        <v>0</v>
      </c>
      <c r="I13" s="40" t="n">
        <f aca="false">I145</f>
        <v>0.00193330111164824</v>
      </c>
      <c r="J13" s="40" t="n">
        <f aca="false">J145</f>
        <v>0.0299810246679317</v>
      </c>
      <c r="K13" s="40" t="n">
        <f aca="false">K145</f>
        <v>0.0495423232990468</v>
      </c>
      <c r="L13" s="40" t="n">
        <f aca="false">L145</f>
        <v>0.0720491443615621</v>
      </c>
      <c r="M13" s="41" t="n">
        <f aca="false">M145</f>
        <v>0.0392284907992631</v>
      </c>
      <c r="N13" s="40" t="n">
        <f aca="false">N145</f>
        <v>0.0618427399903521</v>
      </c>
      <c r="O13" s="40" t="n">
        <f aca="false">O145</f>
        <v>0.0477252453166817</v>
      </c>
      <c r="P13" s="40" t="n">
        <f aca="false">P145</f>
        <v>0.0393769321376059</v>
      </c>
      <c r="Q13" s="40" t="n">
        <f aca="false">Q145</f>
        <v>0.0299541271467649</v>
      </c>
      <c r="R13" s="41" t="n">
        <f aca="false">R145</f>
        <v>0.0440533925720332</v>
      </c>
      <c r="S13" s="40" t="n">
        <f aca="false">S145</f>
        <v>0.035001525918442</v>
      </c>
      <c r="T13" s="40" t="n">
        <f aca="false">T145</f>
        <v>0.00635530719488742</v>
      </c>
      <c r="U13" s="40" t="n">
        <f aca="false">U145</f>
        <v>0.0165132877511101</v>
      </c>
      <c r="V13" s="40" t="n">
        <f aca="false">V145</f>
        <v>0.0200000000000002</v>
      </c>
      <c r="W13" s="41" t="n">
        <f aca="false">W145</f>
        <v>0.0193466399909295</v>
      </c>
      <c r="X13" s="40" t="n">
        <f aca="false">X145</f>
        <v>0.0200000000000002</v>
      </c>
      <c r="Y13" s="40" t="n">
        <f aca="false">Y145</f>
        <v>0.02</v>
      </c>
      <c r="Z13" s="40" t="n">
        <f aca="false">Z145</f>
        <v>0.0199340371056234</v>
      </c>
      <c r="AA13" s="40" t="n">
        <f aca="false">AA145</f>
        <v>0.0199999999999998</v>
      </c>
      <c r="AB13" s="41" t="n">
        <f aca="false">AB145</f>
        <v>0.0199836548583723</v>
      </c>
    </row>
    <row r="14" customFormat="false" ht="15" hidden="false" customHeight="false" outlineLevel="0" collapsed="false">
      <c r="C14" s="22" t="s">
        <v>34</v>
      </c>
      <c r="D14" s="40" t="n">
        <f aca="false">D146</f>
        <v>0</v>
      </c>
      <c r="E14" s="40" t="n">
        <f aca="false">E146</f>
        <v>0</v>
      </c>
      <c r="F14" s="40" t="n">
        <f aca="false">F146</f>
        <v>0</v>
      </c>
      <c r="G14" s="40" t="n">
        <f aca="false">G146</f>
        <v>0</v>
      </c>
      <c r="H14" s="41" t="n">
        <f aca="false">H146</f>
        <v>0</v>
      </c>
      <c r="I14" s="40" t="n">
        <f aca="false">I146</f>
        <v>0.00965571494678388</v>
      </c>
      <c r="J14" s="40" t="n">
        <f aca="false">J146</f>
        <v>0.0193778383287919</v>
      </c>
      <c r="K14" s="40" t="n">
        <f aca="false">K146</f>
        <v>0.0332149313087491</v>
      </c>
      <c r="L14" s="40" t="n">
        <f aca="false">L146</f>
        <v>0.0364402928553396</v>
      </c>
      <c r="M14" s="41" t="n">
        <f aca="false">M146</f>
        <v>0.0249865091138689</v>
      </c>
      <c r="N14" s="40" t="n">
        <f aca="false">N146</f>
        <v>0.0151267631603208</v>
      </c>
      <c r="O14" s="40" t="n">
        <f aca="false">O146</f>
        <v>0.0197199964779431</v>
      </c>
      <c r="P14" s="40" t="n">
        <f aca="false">P146</f>
        <v>0.0197212903225806</v>
      </c>
      <c r="Q14" s="40" t="n">
        <f aca="false">Q146</f>
        <v>0.0197304497727629</v>
      </c>
      <c r="R14" s="41" t="n">
        <f aca="false">R146</f>
        <v>0.0186547397229087</v>
      </c>
      <c r="S14" s="40" t="n">
        <f aca="false">S146</f>
        <v>0.0197224631396357</v>
      </c>
      <c r="T14" s="40" t="n">
        <f aca="false">T146</f>
        <v>0.0197324570038213</v>
      </c>
      <c r="U14" s="40" t="n">
        <f aca="false">U146</f>
        <v>0.019865895682735</v>
      </c>
      <c r="V14" s="40" t="n">
        <f aca="false">V146</f>
        <v>0.02</v>
      </c>
      <c r="W14" s="41" t="n">
        <f aca="false">W146</f>
        <v>0.0198356073210367</v>
      </c>
      <c r="X14" s="40" t="n">
        <f aca="false">X146</f>
        <v>0.02</v>
      </c>
      <c r="Y14" s="40" t="n">
        <f aca="false">Y146</f>
        <v>0.02</v>
      </c>
      <c r="Z14" s="40" t="n">
        <f aca="false">Z146</f>
        <v>0.0199340371056232</v>
      </c>
      <c r="AA14" s="40" t="n">
        <f aca="false">AA146</f>
        <v>0.02</v>
      </c>
      <c r="AB14" s="41" t="n">
        <f aca="false">AB146</f>
        <v>0.0199836548583721</v>
      </c>
    </row>
    <row r="15" customFormat="false" ht="15" hidden="false" customHeight="false" outlineLevel="0" collapsed="false">
      <c r="C15" s="22" t="s">
        <v>35</v>
      </c>
      <c r="D15" s="40" t="n">
        <f aca="false">D147</f>
        <v>0</v>
      </c>
      <c r="E15" s="40" t="n">
        <f aca="false">E147</f>
        <v>0</v>
      </c>
      <c r="F15" s="40" t="n">
        <f aca="false">F147</f>
        <v>0</v>
      </c>
      <c r="G15" s="40" t="n">
        <f aca="false">G147</f>
        <v>0</v>
      </c>
      <c r="H15" s="41" t="n">
        <f aca="false">H147</f>
        <v>0</v>
      </c>
      <c r="I15" s="40" t="n">
        <f aca="false">I147</f>
        <v>0.0042313743637205</v>
      </c>
      <c r="J15" s="40" t="n">
        <f aca="false">J147</f>
        <v>0.00213896457765668</v>
      </c>
      <c r="K15" s="40" t="n">
        <f aca="false">K147</f>
        <v>0.00646963123644252</v>
      </c>
      <c r="L15" s="40" t="n">
        <f aca="false">L147</f>
        <v>0.0175309265337036</v>
      </c>
      <c r="M15" s="41" t="n">
        <f aca="false">M147</f>
        <v>0.00780469353045511</v>
      </c>
      <c r="N15" s="40" t="n">
        <f aca="false">N147</f>
        <v>0.0246243200885037</v>
      </c>
      <c r="O15" s="40" t="n">
        <f aca="false">O147</f>
        <v>0.0268539226908515</v>
      </c>
      <c r="P15" s="40" t="n">
        <f aca="false">P147</f>
        <v>0.0194312258064516</v>
      </c>
      <c r="Q15" s="40" t="n">
        <f aca="false">Q147</f>
        <v>0.01052389907538</v>
      </c>
      <c r="R15" s="41" t="n">
        <f aca="false">R147</f>
        <v>0.0200056398701367</v>
      </c>
      <c r="S15" s="40" t="n">
        <f aca="false">S147</f>
        <v>0.0127000867302689</v>
      </c>
      <c r="T15" s="40" t="n">
        <f aca="false">T147</f>
        <v>-0.0133771498089339</v>
      </c>
      <c r="U15" s="40" t="n">
        <f aca="false">U147</f>
        <v>-0.00335260793162468</v>
      </c>
      <c r="V15" s="40" t="n">
        <f aca="false">V147</f>
        <v>0</v>
      </c>
      <c r="W15" s="41" t="n">
        <f aca="false">W147</f>
        <v>-0.00109909212204085</v>
      </c>
      <c r="X15" s="40" t="n">
        <f aca="false">X147</f>
        <v>0</v>
      </c>
      <c r="Y15" s="40" t="n">
        <f aca="false">Y147</f>
        <v>0</v>
      </c>
      <c r="Z15" s="40" t="n">
        <f aca="false">Z147</f>
        <v>0</v>
      </c>
      <c r="AA15" s="40" t="n">
        <f aca="false">AA147</f>
        <v>0</v>
      </c>
      <c r="AB15" s="41" t="n">
        <f aca="false">AB147</f>
        <v>0</v>
      </c>
    </row>
    <row r="16" customFormat="false" ht="15" hidden="false" customHeight="false" outlineLevel="0" collapsed="false">
      <c r="C16" s="22" t="s">
        <v>36</v>
      </c>
      <c r="D16" s="40" t="n">
        <f aca="false">D148</f>
        <v>0</v>
      </c>
      <c r="E16" s="40" t="n">
        <f aca="false">E148</f>
        <v>0</v>
      </c>
      <c r="F16" s="40" t="n">
        <f aca="false">F148</f>
        <v>0</v>
      </c>
      <c r="G16" s="40" t="n">
        <f aca="false">G148</f>
        <v>0</v>
      </c>
      <c r="H16" s="41" t="n">
        <f aca="false">H148</f>
        <v>0</v>
      </c>
      <c r="I16" s="40" t="n">
        <f aca="false">I148</f>
        <v>-0.01</v>
      </c>
      <c r="J16" s="40" t="n">
        <f aca="false">J148</f>
        <v>0.01</v>
      </c>
      <c r="K16" s="40" t="n">
        <f aca="false">K148</f>
        <v>0.0110204266088214</v>
      </c>
      <c r="L16" s="40" t="n">
        <f aca="false">L148</f>
        <v>0.02</v>
      </c>
      <c r="M16" s="41" t="n">
        <f aca="false">M148</f>
        <v>0.00808436832739418</v>
      </c>
      <c r="N16" s="40" t="n">
        <f aca="false">N148</f>
        <v>0.0232156356596294</v>
      </c>
      <c r="O16" s="40" t="n">
        <f aca="false">O148</f>
        <v>0</v>
      </c>
      <c r="P16" s="40" t="n">
        <f aca="false">P148</f>
        <v>0</v>
      </c>
      <c r="Q16" s="40" t="n">
        <f aca="false">Q148</f>
        <v>0</v>
      </c>
      <c r="R16" s="41" t="n">
        <f aca="false">R148</f>
        <v>0.00540025726816263</v>
      </c>
      <c r="S16" s="40" t="n">
        <f aca="false">S148</f>
        <v>0</v>
      </c>
      <c r="T16" s="40" t="n">
        <f aca="false">T148</f>
        <v>0</v>
      </c>
      <c r="U16" s="40" t="n">
        <f aca="false">U148</f>
        <v>0</v>
      </c>
      <c r="V16" s="40" t="n">
        <f aca="false">V148</f>
        <v>0</v>
      </c>
      <c r="W16" s="41" t="n">
        <f aca="false">W148</f>
        <v>0</v>
      </c>
      <c r="X16" s="40" t="n">
        <f aca="false">X148</f>
        <v>0</v>
      </c>
      <c r="Y16" s="40" t="n">
        <f aca="false">Y148</f>
        <v>0</v>
      </c>
      <c r="Z16" s="40" t="n">
        <f aca="false">Z148</f>
        <v>0</v>
      </c>
      <c r="AA16" s="40" t="n">
        <f aca="false">AA148</f>
        <v>0</v>
      </c>
      <c r="AB16" s="41" t="n">
        <f aca="false">AB148</f>
        <v>0</v>
      </c>
    </row>
    <row r="17" customFormat="false" ht="15" hidden="false" customHeight="false" outlineLevel="0" collapsed="false">
      <c r="H17" s="25"/>
      <c r="M17" s="25"/>
      <c r="R17" s="25"/>
      <c r="W17" s="25"/>
      <c r="AB17" s="25"/>
    </row>
    <row r="18" customFormat="false" ht="15" hidden="false" customHeight="false" outlineLevel="0" collapsed="false">
      <c r="C18" s="2" t="s">
        <v>38</v>
      </c>
      <c r="D18" s="38" t="n">
        <f aca="false">D176</f>
        <v>2278</v>
      </c>
      <c r="E18" s="38" t="n">
        <f aca="false">E176</f>
        <v>2348</v>
      </c>
      <c r="F18" s="38" t="n">
        <f aca="false">F176</f>
        <v>2362</v>
      </c>
      <c r="G18" s="38" t="n">
        <f aca="false">G176</f>
        <v>2719</v>
      </c>
      <c r="H18" s="39" t="n">
        <f aca="false">H176</f>
        <v>9707</v>
      </c>
      <c r="I18" s="38" t="n">
        <f aca="false">I176</f>
        <v>2268</v>
      </c>
      <c r="J18" s="38" t="n">
        <f aca="false">J176</f>
        <v>2375</v>
      </c>
      <c r="K18" s="38" t="n">
        <f aca="false">K176</f>
        <v>2586</v>
      </c>
      <c r="L18" s="38" t="n">
        <f aca="false">L176</f>
        <v>2878</v>
      </c>
      <c r="M18" s="39" t="n">
        <f aca="false">M176</f>
        <v>10107</v>
      </c>
      <c r="N18" s="38" t="n">
        <f aca="false">N176</f>
        <v>2400</v>
      </c>
      <c r="O18" s="38" t="n">
        <f aca="false">O176</f>
        <v>2463.61238556359</v>
      </c>
      <c r="P18" s="38" t="n">
        <f aca="false">P176</f>
        <v>2659.306307976</v>
      </c>
      <c r="Q18" s="38" t="n">
        <f aca="false">Q176</f>
        <v>2933.4224276101</v>
      </c>
      <c r="R18" s="39" t="n">
        <f aca="false">R176</f>
        <v>10456.3411211497</v>
      </c>
      <c r="S18" s="38" t="n">
        <f aca="false">S176</f>
        <v>2442.72134143509</v>
      </c>
      <c r="T18" s="38" t="n">
        <f aca="false">T176</f>
        <v>2469.16033371539</v>
      </c>
      <c r="U18" s="38" t="n">
        <f aca="false">U176</f>
        <v>2700.97580721899</v>
      </c>
      <c r="V18" s="38" t="n">
        <f aca="false">V176</f>
        <v>2992.0908761623</v>
      </c>
      <c r="W18" s="39" t="n">
        <f aca="false">W176</f>
        <v>10604.9483585318</v>
      </c>
      <c r="X18" s="38" t="n">
        <f aca="false">X176</f>
        <v>2491.57576826379</v>
      </c>
      <c r="Y18" s="38" t="n">
        <f aca="false">Y176</f>
        <v>2518.5435403897</v>
      </c>
      <c r="Z18" s="38" t="n">
        <f aca="false">Z176</f>
        <v>2754.77384976882</v>
      </c>
      <c r="AA18" s="38" t="n">
        <f aca="false">AA176</f>
        <v>3051.93269368555</v>
      </c>
      <c r="AB18" s="39" t="n">
        <f aca="false">AB176</f>
        <v>10816.8258521079</v>
      </c>
    </row>
    <row r="19" customFormat="false" ht="15" hidden="false" customHeight="false" outlineLevel="0" collapsed="false">
      <c r="C19" s="22" t="s">
        <v>39</v>
      </c>
      <c r="D19" s="42" t="n">
        <f aca="false">D177</f>
        <v>0.220202996616723</v>
      </c>
      <c r="E19" s="42" t="n">
        <f aca="false">E177</f>
        <v>0.222770398481973</v>
      </c>
      <c r="F19" s="42" t="n">
        <f aca="false">F177</f>
        <v>0.222893271680664</v>
      </c>
      <c r="G19" s="42" t="n">
        <f aca="false">G177</f>
        <v>0.238613426941641</v>
      </c>
      <c r="H19" s="43" t="n">
        <f aca="false">H177</f>
        <v>0.226391771812394</v>
      </c>
      <c r="I19" s="42" t="n">
        <f aca="false">I177</f>
        <v>0.218813314037627</v>
      </c>
      <c r="J19" s="42" t="n">
        <f aca="false">J177</f>
        <v>0.218773028739867</v>
      </c>
      <c r="K19" s="42" t="n">
        <f aca="false">K177</f>
        <v>0.232512138104657</v>
      </c>
      <c r="L19" s="42" t="n">
        <f aca="false">L177</f>
        <v>0.235592665356909</v>
      </c>
      <c r="M19" s="43" t="n">
        <f aca="false">M177</f>
        <v>0.226822864067865</v>
      </c>
      <c r="N19" s="42" t="n">
        <f aca="false">N177</f>
        <v>0.218062874795566</v>
      </c>
      <c r="O19" s="42" t="n">
        <f aca="false">O177</f>
        <v>0.216598345853501</v>
      </c>
      <c r="P19" s="42" t="n">
        <f aca="false">P177</f>
        <v>0.230044788510448</v>
      </c>
      <c r="Q19" s="42" t="n">
        <f aca="false">Q177</f>
        <v>0.233145856661983</v>
      </c>
      <c r="R19" s="43" t="n">
        <f aca="false">R177</f>
        <v>0.224761332558739</v>
      </c>
      <c r="S19" s="42" t="n">
        <f aca="false">S177</f>
        <v>0.21443882959703</v>
      </c>
      <c r="T19" s="42" t="n">
        <f aca="false">T177</f>
        <v>0.215715179692714</v>
      </c>
      <c r="U19" s="42" t="n">
        <f aca="false">U177</f>
        <v>0.229853790210634</v>
      </c>
      <c r="V19" s="42" t="n">
        <f aca="false">V177</f>
        <v>0.233145856661982</v>
      </c>
      <c r="W19" s="43" t="n">
        <f aca="false">W177</f>
        <v>0.223629203834231</v>
      </c>
      <c r="X19" s="42" t="n">
        <f aca="false">X177</f>
        <v>0.21443882959703</v>
      </c>
      <c r="Y19" s="42" t="n">
        <f aca="false">Y177</f>
        <v>0.215715179692714</v>
      </c>
      <c r="Z19" s="42" t="n">
        <f aca="false">Z177</f>
        <v>0.229850176601426</v>
      </c>
      <c r="AA19" s="42" t="n">
        <f aca="false">AA177</f>
        <v>0.233145856661983</v>
      </c>
      <c r="AB19" s="43" t="n">
        <f aca="false">AB177</f>
        <v>0.223628208702417</v>
      </c>
    </row>
    <row r="20" customFormat="false" ht="15" hidden="false" customHeight="false" outlineLevel="0" collapsed="false">
      <c r="C20" s="22" t="s">
        <v>40</v>
      </c>
      <c r="D20" s="44" t="n">
        <f aca="false">D178</f>
        <v>0</v>
      </c>
      <c r="E20" s="44" t="n">
        <f aca="false">E178</f>
        <v>0</v>
      </c>
      <c r="F20" s="44" t="n">
        <f aca="false">F178</f>
        <v>0</v>
      </c>
      <c r="G20" s="44" t="n">
        <f aca="false">G178</f>
        <v>0</v>
      </c>
      <c r="H20" s="45" t="n">
        <f aca="false">H178</f>
        <v>0</v>
      </c>
      <c r="I20" s="44" t="n">
        <f aca="false">I178</f>
        <v>-13.8968257909641</v>
      </c>
      <c r="J20" s="44" t="n">
        <f aca="false">J178</f>
        <v>-39.973697421061</v>
      </c>
      <c r="K20" s="44" t="n">
        <f aca="false">K178</f>
        <v>96.1886642399309</v>
      </c>
      <c r="L20" s="44" t="n">
        <f aca="false">L178</f>
        <v>-30.2076158473208</v>
      </c>
      <c r="M20" s="45" t="n">
        <f aca="false">M178</f>
        <v>4.31092255471499</v>
      </c>
      <c r="N20" s="44" t="n">
        <f aca="false">N178</f>
        <v>-7.50439242060585</v>
      </c>
      <c r="O20" s="44" t="n">
        <f aca="false">O178</f>
        <v>-21.7468288636682</v>
      </c>
      <c r="P20" s="44" t="n">
        <f aca="false">P178</f>
        <v>-24.6734959420911</v>
      </c>
      <c r="Q20" s="44" t="n">
        <f aca="false">Q178</f>
        <v>-24.4680869492639</v>
      </c>
      <c r="R20" s="45" t="n">
        <f aca="false">R178</f>
        <v>-20.6153150912569</v>
      </c>
      <c r="S20" s="44" t="n">
        <f aca="false">S178</f>
        <v>-36.2404519853618</v>
      </c>
      <c r="T20" s="44" t="n">
        <f aca="false">T178</f>
        <v>-8.83166160786653</v>
      </c>
      <c r="U20" s="44" t="n">
        <f aca="false">U178</f>
        <v>-1.90998299814393</v>
      </c>
      <c r="V20" s="44" t="n">
        <f aca="false">V178</f>
        <v>0</v>
      </c>
      <c r="W20" s="45" t="n">
        <f aca="false">W178</f>
        <v>-11.3212872450794</v>
      </c>
      <c r="X20" s="44" t="n">
        <f aca="false">X178</f>
        <v>0</v>
      </c>
      <c r="Y20" s="44" t="n">
        <f aca="false">Y178</f>
        <v>0</v>
      </c>
      <c r="Z20" s="44" t="n">
        <f aca="false">Z178</f>
        <v>-0.0361360920780873</v>
      </c>
      <c r="AA20" s="44" t="n">
        <f aca="false">AA178</f>
        <v>0</v>
      </c>
      <c r="AB20" s="45" t="n">
        <f aca="false">AB178</f>
        <v>-0.00995131814202077</v>
      </c>
    </row>
    <row r="21" customFormat="false" ht="15" hidden="false" customHeight="false" outlineLevel="0" collapsed="false">
      <c r="H21" s="25"/>
      <c r="M21" s="25"/>
      <c r="R21" s="25"/>
      <c r="W21" s="25"/>
      <c r="AB21" s="25"/>
    </row>
    <row r="22" customFormat="false" ht="15" hidden="false" customHeight="false" outlineLevel="0" collapsed="false">
      <c r="B22" s="17" t="s">
        <v>82</v>
      </c>
      <c r="C22" s="18"/>
      <c r="D22" s="18"/>
      <c r="E22" s="18"/>
      <c r="F22" s="18"/>
      <c r="G22" s="18"/>
      <c r="H22" s="19"/>
      <c r="I22" s="18"/>
      <c r="J22" s="18"/>
      <c r="K22" s="18"/>
      <c r="L22" s="18"/>
      <c r="M22" s="19"/>
      <c r="N22" s="18"/>
      <c r="O22" s="18"/>
      <c r="P22" s="18"/>
      <c r="Q22" s="18"/>
      <c r="R22" s="19"/>
      <c r="S22" s="18"/>
      <c r="T22" s="18"/>
      <c r="U22" s="18"/>
      <c r="V22" s="18"/>
      <c r="W22" s="19"/>
      <c r="X22" s="18"/>
      <c r="Y22" s="18"/>
      <c r="Z22" s="18"/>
      <c r="AA22" s="18"/>
      <c r="AB22" s="19"/>
    </row>
    <row r="23" customFormat="false" ht="15" hidden="false" customHeight="false" outlineLevel="0" collapsed="false">
      <c r="H23" s="25"/>
      <c r="M23" s="25"/>
      <c r="R23" s="25"/>
      <c r="W23" s="25"/>
      <c r="AB23" s="25"/>
    </row>
    <row r="24" customFormat="false" ht="15" hidden="false" customHeight="false" outlineLevel="0" collapsed="false">
      <c r="C24" s="30" t="s">
        <v>42</v>
      </c>
      <c r="D24" s="31"/>
      <c r="E24" s="31"/>
      <c r="F24" s="31"/>
      <c r="G24" s="31"/>
      <c r="H24" s="32"/>
      <c r="I24" s="31"/>
      <c r="J24" s="31"/>
      <c r="K24" s="31"/>
      <c r="L24" s="31"/>
      <c r="M24" s="32"/>
      <c r="N24" s="31"/>
      <c r="O24" s="31"/>
      <c r="P24" s="31"/>
      <c r="Q24" s="31"/>
      <c r="R24" s="32"/>
      <c r="S24" s="31"/>
      <c r="T24" s="31"/>
      <c r="U24" s="31"/>
      <c r="V24" s="31"/>
      <c r="W24" s="32"/>
      <c r="X24" s="31"/>
      <c r="Y24" s="31"/>
      <c r="Z24" s="31"/>
      <c r="AA24" s="31"/>
      <c r="AB24" s="32"/>
    </row>
    <row r="25" customFormat="false" ht="15" hidden="false" customHeight="false" outlineLevel="0" collapsed="false">
      <c r="A25" s="22" t="s">
        <v>83</v>
      </c>
      <c r="C25" s="3" t="s">
        <v>84</v>
      </c>
      <c r="D25" s="35" t="n">
        <v>1059</v>
      </c>
      <c r="E25" s="35" t="n">
        <v>1059</v>
      </c>
      <c r="F25" s="35" t="n">
        <v>1006</v>
      </c>
      <c r="G25" s="35" t="n">
        <v>1068</v>
      </c>
      <c r="H25" s="46" t="n">
        <f aca="false">D25+E25+F25+G25</f>
        <v>4192</v>
      </c>
      <c r="I25" s="35" t="n">
        <v>993</v>
      </c>
      <c r="J25" s="35" t="n">
        <v>1075</v>
      </c>
      <c r="K25" s="35" t="n">
        <v>1023</v>
      </c>
      <c r="L25" s="35" t="n">
        <v>1078</v>
      </c>
      <c r="M25" s="46" t="n">
        <f aca="false">I25+J25+K25+L25</f>
        <v>4169</v>
      </c>
      <c r="N25" s="35" t="n">
        <v>981</v>
      </c>
      <c r="O25" s="37" t="n">
        <f aca="false">J25*(1+O27+O28+O29)</f>
        <v>1096.5</v>
      </c>
      <c r="P25" s="37" t="n">
        <f aca="false">K25*(1+P27+P28+P29)</f>
        <v>1043.46</v>
      </c>
      <c r="Q25" s="37" t="n">
        <f aca="false">L25*(1+Q27+Q28+Q29)</f>
        <v>1099.56</v>
      </c>
      <c r="R25" s="46" t="n">
        <f aca="false">N25+O25+P25+Q25</f>
        <v>4220.52</v>
      </c>
      <c r="S25" s="37" t="n">
        <f aca="false">N25*(1+S27+S28+S29)</f>
        <v>1000.62</v>
      </c>
      <c r="T25" s="37" t="n">
        <f aca="false">O25*(1+T27+T28+T29)</f>
        <v>1118.43</v>
      </c>
      <c r="U25" s="37" t="n">
        <f aca="false">P25*(1+U27+U28+U29)</f>
        <v>1064.3292</v>
      </c>
      <c r="V25" s="37" t="n">
        <f aca="false">Q25*(1+V27+V28+V29)</f>
        <v>1121.5512</v>
      </c>
      <c r="W25" s="46" t="n">
        <f aca="false">S25+T25+U25+V25</f>
        <v>4304.9304</v>
      </c>
      <c r="X25" s="37" t="n">
        <f aca="false">S25*(1+X27+X28+X29)</f>
        <v>1020.6324</v>
      </c>
      <c r="Y25" s="37" t="n">
        <f aca="false">T25*(1+Y27+Y28+Y29)</f>
        <v>1140.7986</v>
      </c>
      <c r="Z25" s="37" t="n">
        <f aca="false">U25*(1+Z27+Z28+Z29)</f>
        <v>1085.615784</v>
      </c>
      <c r="AA25" s="37" t="n">
        <f aca="false">V25*(1+AA27+AA28+AA29)</f>
        <v>1143.982224</v>
      </c>
      <c r="AB25" s="46" t="n">
        <f aca="false">X25+Y25+Z25+AA25</f>
        <v>4391.029008</v>
      </c>
    </row>
    <row r="26" customFormat="false" ht="15" hidden="false" customHeight="false" outlineLevel="0" collapsed="false">
      <c r="C26" s="22" t="s">
        <v>33</v>
      </c>
      <c r="H26" s="25"/>
      <c r="I26" s="47" t="n">
        <f aca="false">IFERROR(I25/D25-1,0)</f>
        <v>-0.0623229461756374</v>
      </c>
      <c r="J26" s="47" t="n">
        <f aca="false">IFERROR(J25/E25-1,0)</f>
        <v>0.0151085930122756</v>
      </c>
      <c r="K26" s="47" t="n">
        <f aca="false">IFERROR(K25/F25-1,0)</f>
        <v>0.0168986083499005</v>
      </c>
      <c r="L26" s="47" t="n">
        <f aca="false">IFERROR(L25/G25-1,0)</f>
        <v>0.00936329588014973</v>
      </c>
      <c r="M26" s="48" t="n">
        <f aca="false">IFERROR(M25/H25-1,0)</f>
        <v>-0.0054866412213741</v>
      </c>
      <c r="N26" s="47" t="n">
        <f aca="false">IFERROR(N25/I25-1,0)</f>
        <v>-0.0120845921450151</v>
      </c>
      <c r="O26" s="47" t="n">
        <f aca="false">O27+O28+O29</f>
        <v>0.02</v>
      </c>
      <c r="P26" s="47" t="n">
        <f aca="false">P27+P28+P29</f>
        <v>0.02</v>
      </c>
      <c r="Q26" s="47" t="n">
        <f aca="false">Q27+Q28+Q29</f>
        <v>0.02</v>
      </c>
      <c r="R26" s="48" t="n">
        <f aca="false">IFERROR(R25/M25-1,0)</f>
        <v>0.0123578795874311</v>
      </c>
      <c r="S26" s="47" t="n">
        <f aca="false">S27+S28+S29</f>
        <v>0.02</v>
      </c>
      <c r="T26" s="47" t="n">
        <f aca="false">T27+T28+T29</f>
        <v>0.02</v>
      </c>
      <c r="U26" s="47" t="n">
        <f aca="false">U27+U28+U29</f>
        <v>0.02</v>
      </c>
      <c r="V26" s="47" t="n">
        <f aca="false">V27+V28+V29</f>
        <v>0.02</v>
      </c>
      <c r="W26" s="48" t="n">
        <f aca="false">IFERROR(W25/R25-1,0)</f>
        <v>0.02</v>
      </c>
      <c r="X26" s="47" t="n">
        <f aca="false">X27+X28+X29</f>
        <v>0.02</v>
      </c>
      <c r="Y26" s="47" t="n">
        <f aca="false">Y27+Y28+Y29</f>
        <v>0.02</v>
      </c>
      <c r="Z26" s="47" t="n">
        <f aca="false">Z27+Z28+Z29</f>
        <v>0.02</v>
      </c>
      <c r="AA26" s="47" t="n">
        <f aca="false">AA27+AA28+AA29</f>
        <v>0.02</v>
      </c>
      <c r="AB26" s="48" t="n">
        <f aca="false">IFERROR(AB25/W25-1,0)</f>
        <v>0.0199999999999998</v>
      </c>
    </row>
    <row r="27" customFormat="false" ht="15" hidden="false" customHeight="false" outlineLevel="0" collapsed="false">
      <c r="C27" s="22" t="s">
        <v>34</v>
      </c>
      <c r="H27" s="25"/>
      <c r="I27" s="47" t="n">
        <f aca="false">IFERROR(I26-I28-I29,0)</f>
        <v>-0.0723229461756374</v>
      </c>
      <c r="J27" s="47" t="n">
        <f aca="false">IFERROR(J26-J28-J29,0)</f>
        <v>-0.00489140698772437</v>
      </c>
      <c r="K27" s="47" t="n">
        <f aca="false">IFERROR(K26-K28-K29,0)</f>
        <v>-0.0231013916500995</v>
      </c>
      <c r="L27" s="47" t="n">
        <f aca="false">IFERROR(L26-L28-L29,0)</f>
        <v>-0.0906367041198503</v>
      </c>
      <c r="M27" s="48" t="n">
        <f aca="false">IFERROR(((I27*D25)+(J27*E25)+(K27*F25)+(L27*G25))/(D25+E25+F25+G25),0)</f>
        <v>-0.0481416984732825</v>
      </c>
      <c r="N27" s="47" t="n">
        <f aca="false">IFERROR(N26-N28-N29,0)</f>
        <v>-0.132084592145015</v>
      </c>
      <c r="O27" s="49" t="n">
        <v>0.02</v>
      </c>
      <c r="P27" s="49" t="n">
        <v>0.02</v>
      </c>
      <c r="Q27" s="49" t="n">
        <v>0.02</v>
      </c>
      <c r="R27" s="48" t="n">
        <f aca="false">IFERROR(((N27*I25)+(O27*J25)+(P27*K25)+(Q27*L25))/(I25+J25+K25+L25),0)</f>
        <v>-0.0162245142720077</v>
      </c>
      <c r="S27" s="49" t="n">
        <v>0.02</v>
      </c>
      <c r="T27" s="49" t="n">
        <v>0.02</v>
      </c>
      <c r="U27" s="49" t="n">
        <v>0.02</v>
      </c>
      <c r="V27" s="49" t="n">
        <v>0.02</v>
      </c>
      <c r="W27" s="48" t="n">
        <f aca="false">IFERROR(((S27*N25)+(T27*O25)+(U27*P25)+(V27*Q25))/(N25+O25+P25+Q25),0)</f>
        <v>0.02</v>
      </c>
      <c r="X27" s="49" t="n">
        <v>0.02</v>
      </c>
      <c r="Y27" s="49" t="n">
        <v>0.02</v>
      </c>
      <c r="Z27" s="49" t="n">
        <v>0.02</v>
      </c>
      <c r="AA27" s="49" t="n">
        <v>0.02</v>
      </c>
      <c r="AB27" s="48" t="n">
        <f aca="false">IFERROR(((X27*S25)+(Y27*T25)+(Z27*U25)+(AA27*V25))/(S25+T25+U25+V25),0)</f>
        <v>0.02</v>
      </c>
    </row>
    <row r="28" customFormat="false" ht="15" hidden="false" customHeight="false" outlineLevel="0" collapsed="false">
      <c r="C28" s="22" t="s">
        <v>35</v>
      </c>
      <c r="H28" s="25"/>
      <c r="I28" s="50" t="n">
        <v>0.02</v>
      </c>
      <c r="J28" s="50" t="n">
        <v>0.01</v>
      </c>
      <c r="K28" s="50" t="n">
        <v>0.03</v>
      </c>
      <c r="L28" s="50" t="n">
        <v>0.08</v>
      </c>
      <c r="M28" s="48" t="n">
        <f aca="false">IFERROR(((I28*D25)+(J28*E25)+(K28*F25)+(L28*G25))/(D25+E25+F25+G25),0)</f>
        <v>0.0351598282442748</v>
      </c>
      <c r="N28" s="50" t="n">
        <v>0.09</v>
      </c>
      <c r="O28" s="49" t="n">
        <v>0</v>
      </c>
      <c r="P28" s="49" t="n">
        <v>0</v>
      </c>
      <c r="Q28" s="49" t="n">
        <v>0</v>
      </c>
      <c r="R28" s="48" t="n">
        <f aca="false">IFERROR(((N28*I25)+(O28*J25)+(P28*K25)+(Q28*L25))/(I25+J25+K25+L25),0)</f>
        <v>0.021436795394579</v>
      </c>
      <c r="S28" s="49" t="n">
        <v>0</v>
      </c>
      <c r="T28" s="49" t="n">
        <v>0</v>
      </c>
      <c r="U28" s="49" t="n">
        <v>0</v>
      </c>
      <c r="V28" s="49" t="n">
        <v>0</v>
      </c>
      <c r="W28" s="48" t="n">
        <f aca="false">IFERROR(((S28*N25)+(T28*O25)+(U28*P25)+(V28*Q25))/(N25+O25+P25+Q25),0)</f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8" t="n">
        <f aca="false">IFERROR(((X28*S25)+(Y28*T25)+(Z28*U25)+(AA28*V25))/(S25+T25+U25+V25),0)</f>
        <v>0</v>
      </c>
    </row>
    <row r="29" customFormat="false" ht="15" hidden="false" customHeight="false" outlineLevel="0" collapsed="false">
      <c r="C29" s="22" t="s">
        <v>36</v>
      </c>
      <c r="H29" s="25"/>
      <c r="I29" s="50" t="n">
        <v>-0.01</v>
      </c>
      <c r="J29" s="50" t="n">
        <v>0.01</v>
      </c>
      <c r="K29" s="50" t="n">
        <v>0.01</v>
      </c>
      <c r="L29" s="50" t="n">
        <v>0.02</v>
      </c>
      <c r="M29" s="48" t="n">
        <f aca="false">IFERROR(((I29*D25)+(J29*E25)+(K29*F25)+(L29*G25))/(D25+E25+F25+G25),0)</f>
        <v>0.00749522900763359</v>
      </c>
      <c r="N29" s="50" t="n">
        <v>0.03</v>
      </c>
      <c r="O29" s="49" t="n">
        <v>0</v>
      </c>
      <c r="P29" s="49" t="n">
        <v>0</v>
      </c>
      <c r="Q29" s="49" t="n">
        <v>0</v>
      </c>
      <c r="R29" s="48" t="n">
        <f aca="false">IFERROR(((N29*I25)+(O29*J25)+(P29*K25)+(Q29*L25))/(I25+J25+K25+L25),0)</f>
        <v>0.00714559846485968</v>
      </c>
      <c r="S29" s="49" t="n">
        <v>0</v>
      </c>
      <c r="T29" s="49" t="n">
        <v>0</v>
      </c>
      <c r="U29" s="49" t="n">
        <v>0</v>
      </c>
      <c r="V29" s="49" t="n">
        <v>0</v>
      </c>
      <c r="W29" s="48" t="n">
        <f aca="false">IFERROR(((S29*N25)+(T29*O25)+(U29*P25)+(V29*Q25))/(N25+O25+P25+Q25),0)</f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8" t="n">
        <f aca="false">IFERROR(((X29*S25)+(Y29*T25)+(Z29*U25)+(AA29*V25))/(S25+T25+U25+V25),0)</f>
        <v>0</v>
      </c>
    </row>
    <row r="30" customFormat="false" ht="15" hidden="false" customHeight="false" outlineLevel="0" collapsed="false">
      <c r="A30" s="22" t="s">
        <v>83</v>
      </c>
      <c r="C30" s="3" t="s">
        <v>85</v>
      </c>
      <c r="D30" s="35" t="n">
        <v>637</v>
      </c>
      <c r="E30" s="35" t="n">
        <v>663</v>
      </c>
      <c r="F30" s="35" t="n">
        <v>701</v>
      </c>
      <c r="G30" s="35" t="n">
        <v>786</v>
      </c>
      <c r="H30" s="46" t="n">
        <f aca="false">D30+E30+F30+G30</f>
        <v>2787</v>
      </c>
      <c r="I30" s="35" t="n">
        <v>677</v>
      </c>
      <c r="J30" s="35" t="n">
        <v>679</v>
      </c>
      <c r="K30" s="35" t="n">
        <v>720</v>
      </c>
      <c r="L30" s="35" t="n">
        <v>794</v>
      </c>
      <c r="M30" s="46" t="n">
        <f aca="false">I30+J30+K30+L30</f>
        <v>2870</v>
      </c>
      <c r="N30" s="35" t="n">
        <v>655</v>
      </c>
      <c r="O30" s="37" t="n">
        <f aca="false">J30*(1+O32+O33+O34)</f>
        <v>692.58</v>
      </c>
      <c r="P30" s="37" t="n">
        <f aca="false">K30*(1+P32+P33+P34)</f>
        <v>734.4</v>
      </c>
      <c r="Q30" s="37" t="n">
        <f aca="false">L30*(1+Q32+Q33+Q34)</f>
        <v>809.88</v>
      </c>
      <c r="R30" s="46" t="n">
        <f aca="false">N30+O30+P30+Q30</f>
        <v>2891.86</v>
      </c>
      <c r="S30" s="37" t="n">
        <f aca="false">N30*(1+S32+S33+S34)</f>
        <v>668.1</v>
      </c>
      <c r="T30" s="37" t="n">
        <f aca="false">O30*(1+T32+T33+T34)</f>
        <v>706.4316</v>
      </c>
      <c r="U30" s="37" t="n">
        <f aca="false">P30*(1+U32+U33+U34)</f>
        <v>749.088</v>
      </c>
      <c r="V30" s="37" t="n">
        <f aca="false">Q30*(1+V32+V33+V34)</f>
        <v>826.0776</v>
      </c>
      <c r="W30" s="46" t="n">
        <f aca="false">S30+T30+U30+V30</f>
        <v>2949.6972</v>
      </c>
      <c r="X30" s="37" t="n">
        <f aca="false">S30*(1+X32+X33+X34)</f>
        <v>681.462</v>
      </c>
      <c r="Y30" s="37" t="n">
        <f aca="false">T30*(1+Y32+Y33+Y34)</f>
        <v>720.560232</v>
      </c>
      <c r="Z30" s="37" t="n">
        <f aca="false">U30*(1+Z32+Z33+Z34)</f>
        <v>764.06976</v>
      </c>
      <c r="AA30" s="37" t="n">
        <f aca="false">V30*(1+AA32+AA33+AA34)</f>
        <v>842.599152</v>
      </c>
      <c r="AB30" s="46" t="n">
        <f aca="false">X30+Y30+Z30+AA30</f>
        <v>3008.691144</v>
      </c>
    </row>
    <row r="31" customFormat="false" ht="15" hidden="false" customHeight="false" outlineLevel="0" collapsed="false">
      <c r="C31" s="22" t="s">
        <v>33</v>
      </c>
      <c r="H31" s="25"/>
      <c r="I31" s="47" t="n">
        <f aca="false">IFERROR(I30/D30-1,0)</f>
        <v>0.0627943485086342</v>
      </c>
      <c r="J31" s="47" t="n">
        <f aca="false">IFERROR(J30/E30-1,0)</f>
        <v>0.0241327300150829</v>
      </c>
      <c r="K31" s="47" t="n">
        <f aca="false">IFERROR(K30/F30-1,0)</f>
        <v>0.0271041369472183</v>
      </c>
      <c r="L31" s="47" t="n">
        <f aca="false">IFERROR(L30/G30-1,0)</f>
        <v>0.0101781170483461</v>
      </c>
      <c r="M31" s="48" t="n">
        <f aca="false">IFERROR(M30/H30-1,0)</f>
        <v>0.0297811266594905</v>
      </c>
      <c r="N31" s="47" t="n">
        <f aca="false">IFERROR(N30/I30-1,0)</f>
        <v>-0.0324963072378139</v>
      </c>
      <c r="O31" s="47" t="n">
        <f aca="false">O32+O33+O34</f>
        <v>0.02</v>
      </c>
      <c r="P31" s="47" t="n">
        <f aca="false">P32+P33+P34</f>
        <v>0.02</v>
      </c>
      <c r="Q31" s="47" t="n">
        <f aca="false">Q32+Q33+Q34</f>
        <v>0.02</v>
      </c>
      <c r="R31" s="48" t="n">
        <f aca="false">IFERROR(R30/M30-1,0)</f>
        <v>0.00761672473867603</v>
      </c>
      <c r="S31" s="47" t="n">
        <f aca="false">S32+S33+S34</f>
        <v>0.02</v>
      </c>
      <c r="T31" s="47" t="n">
        <f aca="false">T32+T33+T34</f>
        <v>0.02</v>
      </c>
      <c r="U31" s="47" t="n">
        <f aca="false">U32+U33+U34</f>
        <v>0.02</v>
      </c>
      <c r="V31" s="47" t="n">
        <f aca="false">V32+V33+V34</f>
        <v>0.02</v>
      </c>
      <c r="W31" s="48" t="n">
        <f aca="false">IFERROR(W30/R30-1,0)</f>
        <v>0.02</v>
      </c>
      <c r="X31" s="47" t="n">
        <f aca="false">X32+X33+X34</f>
        <v>0.02</v>
      </c>
      <c r="Y31" s="47" t="n">
        <f aca="false">Y32+Y33+Y34</f>
        <v>0.02</v>
      </c>
      <c r="Z31" s="47" t="n">
        <f aca="false">Z32+Z33+Z34</f>
        <v>0.02</v>
      </c>
      <c r="AA31" s="47" t="n">
        <f aca="false">AA32+AA33+AA34</f>
        <v>0.02</v>
      </c>
      <c r="AB31" s="48" t="n">
        <f aca="false">IFERROR(AB30/W30-1,0)</f>
        <v>0.02</v>
      </c>
    </row>
    <row r="32" customFormat="false" ht="15" hidden="false" customHeight="false" outlineLevel="0" collapsed="false">
      <c r="C32" s="22" t="s">
        <v>34</v>
      </c>
      <c r="H32" s="25"/>
      <c r="I32" s="47" t="n">
        <f aca="false">IFERROR(I31-I33-I34,0)</f>
        <v>0.0527943485086342</v>
      </c>
      <c r="J32" s="47" t="n">
        <f aca="false">IFERROR(J31-J33-J34,0)</f>
        <v>0.00413273001508287</v>
      </c>
      <c r="K32" s="47" t="n">
        <f aca="false">IFERROR(K31-K33-K34,0)</f>
        <v>-0.0128958630527818</v>
      </c>
      <c r="L32" s="47" t="n">
        <f aca="false">IFERROR(L31-L33-L34,0)</f>
        <v>-0.0898218829516539</v>
      </c>
      <c r="M32" s="48" t="n">
        <f aca="false">IFERROR(((I32*D30)+(J32*E30)+(K32*F30)+(L32*G30))/(D30+E30+F30+G30),0)</f>
        <v>-0.0155256548259778</v>
      </c>
      <c r="N32" s="47" t="n">
        <f aca="false">IFERROR(N31-N33-N34,0)</f>
        <v>-0.152496307237814</v>
      </c>
      <c r="O32" s="49" t="n">
        <v>0.02</v>
      </c>
      <c r="P32" s="49" t="n">
        <v>0.02</v>
      </c>
      <c r="Q32" s="49" t="n">
        <v>0.02</v>
      </c>
      <c r="R32" s="48" t="n">
        <f aca="false">IFERROR(((N32*I30)+(O32*J30)+(P32*K30)+(Q32*L30))/(I30+J30+K30+L30),0)</f>
        <v>-0.0206898954703833</v>
      </c>
      <c r="S32" s="49" t="n">
        <v>0.02</v>
      </c>
      <c r="T32" s="49" t="n">
        <v>0.02</v>
      </c>
      <c r="U32" s="49" t="n">
        <v>0.02</v>
      </c>
      <c r="V32" s="49" t="n">
        <v>0.02</v>
      </c>
      <c r="W32" s="48" t="n">
        <f aca="false">IFERROR(((S32*N30)+(T32*O30)+(U32*P30)+(V32*Q30))/(N30+O30+P30+Q30),0)</f>
        <v>0.02</v>
      </c>
      <c r="X32" s="49" t="n">
        <v>0.02</v>
      </c>
      <c r="Y32" s="49" t="n">
        <v>0.02</v>
      </c>
      <c r="Z32" s="49" t="n">
        <v>0.02</v>
      </c>
      <c r="AA32" s="49" t="n">
        <v>0.02</v>
      </c>
      <c r="AB32" s="48" t="n">
        <f aca="false">IFERROR(((X32*S30)+(Y32*T30)+(Z32*U30)+(AA32*V30))/(S30+T30+U30+V30),0)</f>
        <v>0.02</v>
      </c>
    </row>
    <row r="33" customFormat="false" ht="15" hidden="false" customHeight="false" outlineLevel="0" collapsed="false">
      <c r="C33" s="22" t="s">
        <v>35</v>
      </c>
      <c r="H33" s="25"/>
      <c r="I33" s="50" t="n">
        <v>0.02</v>
      </c>
      <c r="J33" s="50" t="n">
        <v>0.01</v>
      </c>
      <c r="K33" s="50" t="n">
        <v>0.03</v>
      </c>
      <c r="L33" s="50" t="n">
        <v>0.08</v>
      </c>
      <c r="M33" s="48" t="n">
        <f aca="false">IFERROR(((I33*D30)+(J33*E30)+(K33*F30)+(L33*G30))/(D30+E30+F30+G30),0)</f>
        <v>0.0370577682095443</v>
      </c>
      <c r="N33" s="50" t="n">
        <v>0.09</v>
      </c>
      <c r="O33" s="49" t="n">
        <v>0</v>
      </c>
      <c r="P33" s="49" t="n">
        <v>0</v>
      </c>
      <c r="Q33" s="49" t="n">
        <v>0</v>
      </c>
      <c r="R33" s="48" t="n">
        <f aca="false">IFERROR(((N33*I30)+(O33*J30)+(P33*K30)+(Q33*L30))/(I30+J30+K30+L30),0)</f>
        <v>0.0212299651567944</v>
      </c>
      <c r="S33" s="49" t="n">
        <v>0</v>
      </c>
      <c r="T33" s="49" t="n">
        <v>0</v>
      </c>
      <c r="U33" s="49" t="n">
        <v>0</v>
      </c>
      <c r="V33" s="49" t="n">
        <v>0</v>
      </c>
      <c r="W33" s="48" t="n">
        <f aca="false">IFERROR(((S33*N30)+(T33*O30)+(U33*P30)+(V33*Q30))/(N30+O30+P30+Q30),0)</f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8" t="n">
        <f aca="false">IFERROR(((X33*S30)+(Y33*T30)+(Z33*U30)+(AA33*V30))/(S30+T30+U30+V30),0)</f>
        <v>0</v>
      </c>
    </row>
    <row r="34" customFormat="false" ht="15" hidden="false" customHeight="false" outlineLevel="0" collapsed="false">
      <c r="C34" s="22" t="s">
        <v>36</v>
      </c>
      <c r="H34" s="25"/>
      <c r="I34" s="50" t="n">
        <v>-0.01</v>
      </c>
      <c r="J34" s="50" t="n">
        <v>0.01</v>
      </c>
      <c r="K34" s="50" t="n">
        <v>0.01</v>
      </c>
      <c r="L34" s="50" t="n">
        <v>0.02</v>
      </c>
      <c r="M34" s="48" t="n">
        <f aca="false">IFERROR(((I34*D30)+(J34*E30)+(K34*F30)+(L34*G30))/(D30+E30+F30+G30),0)</f>
        <v>0.00824901327592393</v>
      </c>
      <c r="N34" s="50" t="n">
        <v>0.03</v>
      </c>
      <c r="O34" s="49" t="n">
        <v>0</v>
      </c>
      <c r="P34" s="49" t="n">
        <v>0</v>
      </c>
      <c r="Q34" s="49" t="n">
        <v>0</v>
      </c>
      <c r="R34" s="48" t="n">
        <f aca="false">IFERROR(((N34*I30)+(O34*J30)+(P34*K30)+(Q34*L30))/(I30+J30+K30+L30),0)</f>
        <v>0.00707665505226481</v>
      </c>
      <c r="S34" s="49" t="n">
        <v>0</v>
      </c>
      <c r="T34" s="49" t="n">
        <v>0</v>
      </c>
      <c r="U34" s="49" t="n">
        <v>0</v>
      </c>
      <c r="V34" s="49" t="n">
        <v>0</v>
      </c>
      <c r="W34" s="48" t="n">
        <f aca="false">IFERROR(((S34*N30)+(T34*O30)+(U34*P30)+(V34*Q30))/(N30+O30+P30+Q30),0)</f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8" t="n">
        <f aca="false">IFERROR(((X34*S30)+(Y34*T30)+(Z34*U30)+(AA34*V30))/(S30+T30+U30+V30),0)</f>
        <v>0</v>
      </c>
    </row>
    <row r="35" customFormat="false" ht="15" hidden="false" customHeight="false" outlineLevel="0" collapsed="false">
      <c r="A35" s="22" t="s">
        <v>83</v>
      </c>
      <c r="C35" s="3" t="s">
        <v>86</v>
      </c>
      <c r="D35" s="35" t="n">
        <v>590</v>
      </c>
      <c r="E35" s="35" t="n">
        <v>633</v>
      </c>
      <c r="F35" s="35" t="n">
        <v>680</v>
      </c>
      <c r="G35" s="35" t="n">
        <v>749</v>
      </c>
      <c r="H35" s="46" t="n">
        <f aca="false">D35+E35+F35+G35</f>
        <v>2652</v>
      </c>
      <c r="I35" s="35" t="n">
        <v>671</v>
      </c>
      <c r="J35" s="35" t="n">
        <v>745</v>
      </c>
      <c r="K35" s="35" t="n">
        <v>817</v>
      </c>
      <c r="L35" s="35" t="n">
        <v>967</v>
      </c>
      <c r="M35" s="46" t="n">
        <f aca="false">I35+J35+K35+L35</f>
        <v>3200</v>
      </c>
      <c r="N35" s="35" t="n">
        <v>893</v>
      </c>
      <c r="O35" s="37" t="n">
        <f aca="false">J35*(1+O37+O38+O39)</f>
        <v>759.9</v>
      </c>
      <c r="P35" s="37" t="n">
        <f aca="false">K35*(1+P37+P38+P39)</f>
        <v>833.34</v>
      </c>
      <c r="Q35" s="37" t="n">
        <f aca="false">L35*(1+Q37+Q38+Q39)</f>
        <v>986.34</v>
      </c>
      <c r="R35" s="46" t="n">
        <f aca="false">N35+O35+P35+Q35</f>
        <v>3472.58</v>
      </c>
      <c r="S35" s="37" t="n">
        <f aca="false">N35*(1+S37+S38+S39)</f>
        <v>910.86</v>
      </c>
      <c r="T35" s="37" t="n">
        <f aca="false">O35*(1+T37+T38+T39)</f>
        <v>775.098</v>
      </c>
      <c r="U35" s="37" t="n">
        <f aca="false">P35*(1+U37+U38+U39)</f>
        <v>850.0068</v>
      </c>
      <c r="V35" s="37" t="n">
        <f aca="false">Q35*(1+V37+V38+V39)</f>
        <v>1006.0668</v>
      </c>
      <c r="W35" s="46" t="n">
        <f aca="false">S35+T35+U35+V35</f>
        <v>3542.0316</v>
      </c>
      <c r="X35" s="37" t="n">
        <f aca="false">S35*(1+X37+X38+X39)</f>
        <v>929.0772</v>
      </c>
      <c r="Y35" s="37" t="n">
        <f aca="false">T35*(1+Y37+Y38+Y39)</f>
        <v>790.59996</v>
      </c>
      <c r="Z35" s="37" t="n">
        <f aca="false">U35*(1+Z37+Z38+Z39)</f>
        <v>867.006936</v>
      </c>
      <c r="AA35" s="37" t="n">
        <f aca="false">V35*(1+AA37+AA38+AA39)</f>
        <v>1026.188136</v>
      </c>
      <c r="AB35" s="46" t="n">
        <f aca="false">X35+Y35+Z35+AA35</f>
        <v>3612.872232</v>
      </c>
    </row>
    <row r="36" customFormat="false" ht="15" hidden="false" customHeight="false" outlineLevel="0" collapsed="false">
      <c r="C36" s="22" t="s">
        <v>33</v>
      </c>
      <c r="H36" s="25"/>
      <c r="I36" s="47" t="n">
        <f aca="false">IFERROR(I35/D35-1,0)</f>
        <v>0.13728813559322</v>
      </c>
      <c r="J36" s="47" t="n">
        <f aca="false">IFERROR(J35/E35-1,0)</f>
        <v>0.17693522906793</v>
      </c>
      <c r="K36" s="47" t="n">
        <f aca="false">IFERROR(K35/F35-1,0)</f>
        <v>0.201470588235294</v>
      </c>
      <c r="L36" s="47" t="n">
        <f aca="false">IFERROR(L35/G35-1,0)</f>
        <v>0.29105473965287</v>
      </c>
      <c r="M36" s="48" t="n">
        <f aca="false">IFERROR(M35/H35-1,0)</f>
        <v>0.206636500754148</v>
      </c>
      <c r="N36" s="47" t="n">
        <f aca="false">IFERROR(N35/I35-1,0)</f>
        <v>0.330849478390462</v>
      </c>
      <c r="O36" s="47" t="n">
        <f aca="false">O37+O38+O39</f>
        <v>0.02</v>
      </c>
      <c r="P36" s="47" t="n">
        <f aca="false">P37+P38+P39</f>
        <v>0.02</v>
      </c>
      <c r="Q36" s="47" t="n">
        <f aca="false">Q37+Q38+Q39</f>
        <v>0.02</v>
      </c>
      <c r="R36" s="48" t="n">
        <f aca="false">IFERROR(R35/M35-1,0)</f>
        <v>0.0851812500000002</v>
      </c>
      <c r="S36" s="47" t="n">
        <f aca="false">S37+S38+S39</f>
        <v>0.02</v>
      </c>
      <c r="T36" s="47" t="n">
        <f aca="false">T37+T38+T39</f>
        <v>0.02</v>
      </c>
      <c r="U36" s="47" t="n">
        <f aca="false">U37+U38+U39</f>
        <v>0.02</v>
      </c>
      <c r="V36" s="47" t="n">
        <f aca="false">V37+V38+V39</f>
        <v>0.02</v>
      </c>
      <c r="W36" s="48" t="n">
        <f aca="false">IFERROR(W35/R35-1,0)</f>
        <v>0.02</v>
      </c>
      <c r="X36" s="47" t="n">
        <f aca="false">X37+X38+X39</f>
        <v>0.02</v>
      </c>
      <c r="Y36" s="47" t="n">
        <f aca="false">Y37+Y38+Y39</f>
        <v>0.02</v>
      </c>
      <c r="Z36" s="47" t="n">
        <f aca="false">Z37+Z38+Z39</f>
        <v>0.02</v>
      </c>
      <c r="AA36" s="47" t="n">
        <f aca="false">AA37+AA38+AA39</f>
        <v>0.02</v>
      </c>
      <c r="AB36" s="48" t="n">
        <f aca="false">IFERROR(AB35/W35-1,0)</f>
        <v>0.0199999999999998</v>
      </c>
    </row>
    <row r="37" customFormat="false" ht="15" hidden="false" customHeight="false" outlineLevel="0" collapsed="false">
      <c r="C37" s="22" t="s">
        <v>34</v>
      </c>
      <c r="H37" s="25"/>
      <c r="I37" s="47" t="n">
        <f aca="false">IFERROR(I36-I38-I39,0)</f>
        <v>0.12728813559322</v>
      </c>
      <c r="J37" s="47" t="n">
        <f aca="false">IFERROR(J36-J38-J39,0)</f>
        <v>0.15693522906793</v>
      </c>
      <c r="K37" s="47" t="n">
        <f aca="false">IFERROR(K36-K38-K39,0)</f>
        <v>0.161470588235294</v>
      </c>
      <c r="L37" s="47" t="n">
        <f aca="false">IFERROR(L36-L38-L39,0)</f>
        <v>0.19105473965287</v>
      </c>
      <c r="M37" s="48" t="n">
        <f aca="false">IFERROR(((I37*D35)+(J37*E35)+(K37*F35)+(L37*G35))/(D35+E35+F35+G35),0)</f>
        <v>0.161138763197587</v>
      </c>
      <c r="N37" s="47" t="n">
        <f aca="false">IFERROR(N36-N38-N39,0)</f>
        <v>0.210849478390462</v>
      </c>
      <c r="O37" s="49" t="n">
        <v>0.02</v>
      </c>
      <c r="P37" s="49" t="n">
        <v>0.02</v>
      </c>
      <c r="Q37" s="49" t="n">
        <v>0.02</v>
      </c>
      <c r="R37" s="48" t="n">
        <f aca="false">IFERROR(((N37*I35)+(O37*J35)+(P37*K35)+(Q37*L35))/(I35+J35+K35+L35),0)</f>
        <v>0.06001875</v>
      </c>
      <c r="S37" s="49" t="n">
        <v>0.02</v>
      </c>
      <c r="T37" s="49" t="n">
        <v>0.02</v>
      </c>
      <c r="U37" s="49" t="n">
        <v>0.02</v>
      </c>
      <c r="V37" s="49" t="n">
        <v>0.02</v>
      </c>
      <c r="W37" s="48" t="n">
        <f aca="false">IFERROR(((S37*N35)+(T37*O35)+(U37*P35)+(V37*Q35))/(N35+O35+P35+Q35),0)</f>
        <v>0.02</v>
      </c>
      <c r="X37" s="49" t="n">
        <v>0.02</v>
      </c>
      <c r="Y37" s="49" t="n">
        <v>0.02</v>
      </c>
      <c r="Z37" s="49" t="n">
        <v>0.02</v>
      </c>
      <c r="AA37" s="49" t="n">
        <v>0.02</v>
      </c>
      <c r="AB37" s="48" t="n">
        <f aca="false">IFERROR(((X37*S35)+(Y37*T35)+(Z37*U35)+(AA37*V35))/(S35+T35+U35+V35),0)</f>
        <v>0.02</v>
      </c>
    </row>
    <row r="38" customFormat="false" ht="15" hidden="false" customHeight="false" outlineLevel="0" collapsed="false">
      <c r="C38" s="22" t="s">
        <v>35</v>
      </c>
      <c r="H38" s="25"/>
      <c r="I38" s="50" t="n">
        <v>0.02</v>
      </c>
      <c r="J38" s="50" t="n">
        <v>0.01</v>
      </c>
      <c r="K38" s="50" t="n">
        <v>0.03</v>
      </c>
      <c r="L38" s="50" t="n">
        <v>0.08</v>
      </c>
      <c r="M38" s="48" t="n">
        <f aca="false">IFERROR(((I38*D35)+(J38*E35)+(K38*F35)+(L38*G35))/(D35+E35+F35+G35),0)</f>
        <v>0.0371229260935143</v>
      </c>
      <c r="N38" s="50" t="n">
        <v>0.09</v>
      </c>
      <c r="O38" s="49" t="n">
        <v>0</v>
      </c>
      <c r="P38" s="49" t="n">
        <v>0</v>
      </c>
      <c r="Q38" s="49" t="n">
        <v>0</v>
      </c>
      <c r="R38" s="48" t="n">
        <f aca="false">IFERROR(((N38*I35)+(O38*J35)+(P38*K35)+(Q38*L35))/(I35+J35+K35+L35),0)</f>
        <v>0.018871875</v>
      </c>
      <c r="S38" s="49" t="n">
        <v>0</v>
      </c>
      <c r="T38" s="49" t="n">
        <v>0</v>
      </c>
      <c r="U38" s="49" t="n">
        <v>0</v>
      </c>
      <c r="V38" s="49" t="n">
        <v>0</v>
      </c>
      <c r="W38" s="48" t="n">
        <f aca="false">IFERROR(((S38*N35)+(T38*O35)+(U38*P35)+(V38*Q35))/(N35+O35+P35+Q35),0)</f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8" t="n">
        <f aca="false">IFERROR(((X38*S35)+(Y38*T35)+(Z38*U35)+(AA38*V35))/(S35+T35+U35+V35),0)</f>
        <v>0</v>
      </c>
    </row>
    <row r="39" customFormat="false" ht="15" hidden="false" customHeight="false" outlineLevel="0" collapsed="false">
      <c r="C39" s="22" t="s">
        <v>36</v>
      </c>
      <c r="H39" s="25"/>
      <c r="I39" s="50" t="n">
        <v>-0.01</v>
      </c>
      <c r="J39" s="50" t="n">
        <v>0.01</v>
      </c>
      <c r="K39" s="50" t="n">
        <v>0.01</v>
      </c>
      <c r="L39" s="50" t="n">
        <v>0.02</v>
      </c>
      <c r="M39" s="48" t="n">
        <f aca="false">IFERROR(((I39*D35)+(J39*E35)+(K39*F35)+(L39*G35))/(D35+E35+F35+G35),0)</f>
        <v>0.00837481146304676</v>
      </c>
      <c r="N39" s="50" t="n">
        <v>0.03</v>
      </c>
      <c r="O39" s="49" t="n">
        <v>0</v>
      </c>
      <c r="P39" s="49" t="n">
        <v>0</v>
      </c>
      <c r="Q39" s="49" t="n">
        <v>0</v>
      </c>
      <c r="R39" s="48" t="n">
        <f aca="false">IFERROR(((N39*I35)+(O39*J35)+(P39*K35)+(Q39*L35))/(I35+J35+K35+L35),0)</f>
        <v>0.006290625</v>
      </c>
      <c r="S39" s="49" t="n">
        <v>0</v>
      </c>
      <c r="T39" s="49" t="n">
        <v>0</v>
      </c>
      <c r="U39" s="49" t="n">
        <v>0</v>
      </c>
      <c r="V39" s="49" t="n">
        <v>0</v>
      </c>
      <c r="W39" s="48" t="n">
        <f aca="false">IFERROR(((S39*N35)+(T39*O35)+(U39*P35)+(V39*Q35))/(N35+O35+P35+Q35),0)</f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8" t="n">
        <f aca="false">IFERROR(((X39*S35)+(Y39*T35)+(Z39*U35)+(AA39*V35))/(S35+T35+U35+V35),0)</f>
        <v>0</v>
      </c>
    </row>
    <row r="40" customFormat="false" ht="15" hidden="false" customHeight="false" outlineLevel="0" collapsed="false">
      <c r="A40" s="22" t="s">
        <v>83</v>
      </c>
      <c r="C40" s="3" t="s">
        <v>87</v>
      </c>
      <c r="D40" s="35" t="n">
        <v>0</v>
      </c>
      <c r="E40" s="35" t="n">
        <v>0</v>
      </c>
      <c r="F40" s="35" t="n">
        <v>-1</v>
      </c>
      <c r="G40" s="35" t="n">
        <v>1</v>
      </c>
      <c r="H40" s="46" t="n">
        <f aca="false">D40+E40+F40+G40</f>
        <v>0</v>
      </c>
      <c r="I40" s="35" t="n">
        <v>0</v>
      </c>
      <c r="J40" s="35" t="n">
        <v>0</v>
      </c>
      <c r="K40" s="35" t="n">
        <v>28</v>
      </c>
      <c r="L40" s="35" t="n">
        <v>108</v>
      </c>
      <c r="M40" s="46" t="n">
        <f aca="false">I40+J40+K40+L40</f>
        <v>136</v>
      </c>
      <c r="N40" s="35" t="n">
        <v>107</v>
      </c>
      <c r="O40" s="37" t="n">
        <f aca="false">J40*(1+O42+O43+O44)</f>
        <v>0</v>
      </c>
      <c r="P40" s="37" t="n">
        <f aca="false">K40*(1+P42+P43+P44)</f>
        <v>28.56</v>
      </c>
      <c r="Q40" s="37" t="n">
        <f aca="false">L40*(1+Q42+Q43+Q44)</f>
        <v>110.16</v>
      </c>
      <c r="R40" s="46" t="n">
        <f aca="false">N40+O40+P40+Q40</f>
        <v>245.72</v>
      </c>
      <c r="S40" s="37" t="n">
        <f aca="false">N40*(1+S42+S43+S44)</f>
        <v>109.14</v>
      </c>
      <c r="T40" s="37" t="n">
        <f aca="false">O40*(1+T42+T43+T44)</f>
        <v>0</v>
      </c>
      <c r="U40" s="37" t="n">
        <f aca="false">P40*(1+U42+U43+U44)</f>
        <v>29.1312</v>
      </c>
      <c r="V40" s="37" t="n">
        <f aca="false">Q40*(1+V42+V43+V44)</f>
        <v>112.3632</v>
      </c>
      <c r="W40" s="46" t="n">
        <f aca="false">S40+T40+U40+V40</f>
        <v>250.6344</v>
      </c>
      <c r="X40" s="37" t="n">
        <f aca="false">S40*(1+X42+X43+X44)</f>
        <v>111.3228</v>
      </c>
      <c r="Y40" s="37" t="n">
        <f aca="false">T40*(1+Y42+Y43+Y44)</f>
        <v>0</v>
      </c>
      <c r="Z40" s="37" t="n">
        <f aca="false">U40*(1+Z42+Z43+Z44)</f>
        <v>29.713824</v>
      </c>
      <c r="AA40" s="37" t="n">
        <f aca="false">V40*(1+AA42+AA43+AA44)</f>
        <v>114.610464</v>
      </c>
      <c r="AB40" s="46" t="n">
        <f aca="false">X40+Y40+Z40+AA40</f>
        <v>255.647088</v>
      </c>
    </row>
    <row r="41" customFormat="false" ht="15" hidden="false" customHeight="false" outlineLevel="0" collapsed="false">
      <c r="C41" s="22" t="s">
        <v>33</v>
      </c>
      <c r="H41" s="25"/>
      <c r="I41" s="47" t="n">
        <f aca="false">IFERROR(I40/D40-1,0)</f>
        <v>0</v>
      </c>
      <c r="J41" s="47" t="n">
        <f aca="false">IFERROR(J40/E40-1,0)</f>
        <v>0</v>
      </c>
      <c r="K41" s="47" t="n">
        <f aca="false">IFERROR(K40/F40-1,0)</f>
        <v>-29</v>
      </c>
      <c r="L41" s="47" t="n">
        <f aca="false">IFERROR(L40/G40-1,0)</f>
        <v>107</v>
      </c>
      <c r="M41" s="48" t="n">
        <f aca="false">IFERROR(M40/H40-1,0)</f>
        <v>0</v>
      </c>
      <c r="N41" s="47" t="n">
        <f aca="false">IFERROR(N40/I40-1,0)</f>
        <v>0</v>
      </c>
      <c r="O41" s="47" t="n">
        <f aca="false">O42+O43+O44</f>
        <v>0.02</v>
      </c>
      <c r="P41" s="47" t="n">
        <f aca="false">P42+P43+P44</f>
        <v>0.02</v>
      </c>
      <c r="Q41" s="47" t="n">
        <f aca="false">Q42+Q43+Q44</f>
        <v>0.02</v>
      </c>
      <c r="R41" s="48" t="n">
        <f aca="false">IFERROR(R40/M40-1,0)</f>
        <v>0.806764705882353</v>
      </c>
      <c r="S41" s="47" t="n">
        <f aca="false">S42+S43+S44</f>
        <v>0.02</v>
      </c>
      <c r="T41" s="47" t="n">
        <f aca="false">T42+T43+T44</f>
        <v>0.02</v>
      </c>
      <c r="U41" s="47" t="n">
        <f aca="false">U42+U43+U44</f>
        <v>0.02</v>
      </c>
      <c r="V41" s="47" t="n">
        <f aca="false">V42+V43+V44</f>
        <v>0.02</v>
      </c>
      <c r="W41" s="48" t="n">
        <f aca="false">IFERROR(W40/R40-1,0)</f>
        <v>0.0199999999999998</v>
      </c>
      <c r="X41" s="47" t="n">
        <f aca="false">X42+X43+X44</f>
        <v>0.02</v>
      </c>
      <c r="Y41" s="47" t="n">
        <f aca="false">Y42+Y43+Y44</f>
        <v>0.02</v>
      </c>
      <c r="Z41" s="47" t="n">
        <f aca="false">Z42+Z43+Z44</f>
        <v>0.02</v>
      </c>
      <c r="AA41" s="47" t="n">
        <f aca="false">AA42+AA43+AA44</f>
        <v>0.02</v>
      </c>
      <c r="AB41" s="48" t="n">
        <f aca="false">IFERROR(AB40/W40-1,0)</f>
        <v>0.02</v>
      </c>
    </row>
    <row r="42" customFormat="false" ht="15" hidden="false" customHeight="false" outlineLevel="0" collapsed="false">
      <c r="C42" s="22" t="s">
        <v>34</v>
      </c>
      <c r="H42" s="25"/>
      <c r="I42" s="47" t="n">
        <f aca="false">IFERROR(I41-I43-I44,0)</f>
        <v>-0.01</v>
      </c>
      <c r="J42" s="47" t="n">
        <f aca="false">IFERROR(J41-J43-J44,0)</f>
        <v>-0.02</v>
      </c>
      <c r="K42" s="47" t="n">
        <f aca="false">IFERROR(K41-K43-K44,0)</f>
        <v>-29.04</v>
      </c>
      <c r="L42" s="47" t="n">
        <f aca="false">IFERROR(L41-L43-L44,0)</f>
        <v>106.9</v>
      </c>
      <c r="M42" s="48" t="n">
        <f aca="false">IFERROR(((I42*D40)+(J42*E40)+(K42*F40)+(L42*G40))/(D40+E40+F40+G40),0)</f>
        <v>0</v>
      </c>
      <c r="N42" s="47" t="n">
        <f aca="false">IFERROR(N41-N43-N44,0)</f>
        <v>-0.12</v>
      </c>
      <c r="O42" s="49" t="n">
        <v>0.02</v>
      </c>
      <c r="P42" s="49" t="n">
        <v>0.02</v>
      </c>
      <c r="Q42" s="49" t="n">
        <v>0.02</v>
      </c>
      <c r="R42" s="48" t="n">
        <f aca="false">IFERROR(((N42*I40)+(O42*J40)+(P42*K40)+(Q42*L40))/(I40+J40+K40+L40),0)</f>
        <v>0.02</v>
      </c>
      <c r="S42" s="49" t="n">
        <v>0.02</v>
      </c>
      <c r="T42" s="49" t="n">
        <v>0.02</v>
      </c>
      <c r="U42" s="49" t="n">
        <v>0.02</v>
      </c>
      <c r="V42" s="49" t="n">
        <v>0.02</v>
      </c>
      <c r="W42" s="48" t="n">
        <f aca="false">IFERROR(((S42*N40)+(T42*O40)+(U42*P40)+(V42*Q40))/(N40+O40+P40+Q40),0)</f>
        <v>0.02</v>
      </c>
      <c r="X42" s="49" t="n">
        <v>0.02</v>
      </c>
      <c r="Y42" s="49" t="n">
        <v>0.02</v>
      </c>
      <c r="Z42" s="49" t="n">
        <v>0.02</v>
      </c>
      <c r="AA42" s="49" t="n">
        <v>0.02</v>
      </c>
      <c r="AB42" s="48" t="n">
        <f aca="false">IFERROR(((X42*S40)+(Y42*T40)+(Z42*U40)+(AA42*V40))/(S40+T40+U40+V40),0)</f>
        <v>0.02</v>
      </c>
    </row>
    <row r="43" customFormat="false" ht="15" hidden="false" customHeight="false" outlineLevel="0" collapsed="false">
      <c r="C43" s="22" t="s">
        <v>35</v>
      </c>
      <c r="H43" s="25"/>
      <c r="I43" s="50" t="n">
        <v>0.02</v>
      </c>
      <c r="J43" s="50" t="n">
        <v>0.01</v>
      </c>
      <c r="K43" s="50" t="n">
        <v>0.03</v>
      </c>
      <c r="L43" s="50" t="n">
        <v>0.08</v>
      </c>
      <c r="M43" s="48" t="n">
        <f aca="false">IFERROR(((I43*D40)+(J43*E40)+(K43*F40)+(L43*G40))/(D40+E40+F40+G40),0)</f>
        <v>0</v>
      </c>
      <c r="N43" s="50" t="n">
        <v>0.09</v>
      </c>
      <c r="O43" s="49" t="n">
        <v>0</v>
      </c>
      <c r="P43" s="49" t="n">
        <v>0</v>
      </c>
      <c r="Q43" s="49" t="n">
        <v>0</v>
      </c>
      <c r="R43" s="48" t="n">
        <f aca="false">IFERROR(((N43*I40)+(O43*J40)+(P43*K40)+(Q43*L40))/(I40+J40+K40+L40),0)</f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8" t="n">
        <f aca="false">IFERROR(((S43*N40)+(T43*O40)+(U43*P40)+(V43*Q40))/(N40+O40+P40+Q40),0)</f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8" t="n">
        <f aca="false">IFERROR(((X43*S40)+(Y43*T40)+(Z43*U40)+(AA43*V40))/(S40+T40+U40+V40),0)</f>
        <v>0</v>
      </c>
    </row>
    <row r="44" customFormat="false" ht="15" hidden="false" customHeight="false" outlineLevel="0" collapsed="false">
      <c r="C44" s="22" t="s">
        <v>36</v>
      </c>
      <c r="H44" s="25"/>
      <c r="I44" s="50" t="n">
        <v>-0.01</v>
      </c>
      <c r="J44" s="50" t="n">
        <v>0.01</v>
      </c>
      <c r="K44" s="50" t="n">
        <v>0.01</v>
      </c>
      <c r="L44" s="50" t="n">
        <v>0.02</v>
      </c>
      <c r="M44" s="48" t="n">
        <f aca="false">IFERROR(((I44*D40)+(J44*E40)+(K44*F40)+(L44*G40))/(D40+E40+F40+G40),0)</f>
        <v>0</v>
      </c>
      <c r="N44" s="50" t="n">
        <v>0.03</v>
      </c>
      <c r="O44" s="49" t="n">
        <v>0</v>
      </c>
      <c r="P44" s="49" t="n">
        <v>0</v>
      </c>
      <c r="Q44" s="49" t="n">
        <v>0</v>
      </c>
      <c r="R44" s="48" t="n">
        <f aca="false">IFERROR(((N44*I40)+(O44*J40)+(P44*K40)+(Q44*L40))/(I40+J40+K40+L40),0)</f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8" t="n">
        <f aca="false">IFERROR(((S44*N40)+(T44*O40)+(U44*P40)+(V44*Q40))/(N40+O40+P40+Q40),0)</f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8" t="n">
        <f aca="false">IFERROR(((X44*S40)+(Y44*T40)+(Z44*U40)+(AA44*V40))/(S40+T40+U40+V40),0)</f>
        <v>0</v>
      </c>
    </row>
    <row r="45" customFormat="false" ht="15" hidden="false" customHeight="false" outlineLevel="0" collapsed="false">
      <c r="C45" s="30" t="s">
        <v>88</v>
      </c>
      <c r="D45" s="51" t="n">
        <f aca="false">D25+D30+D35+D40</f>
        <v>2286</v>
      </c>
      <c r="E45" s="51" t="n">
        <f aca="false">E25+E30+E35+E40</f>
        <v>2355</v>
      </c>
      <c r="F45" s="51" t="n">
        <f aca="false">F25+F30+F35+F40</f>
        <v>2386</v>
      </c>
      <c r="G45" s="51" t="n">
        <f aca="false">G25+G30+G35+G40</f>
        <v>2604</v>
      </c>
      <c r="H45" s="52" t="n">
        <f aca="false">H25+H30+H35+H40</f>
        <v>9631</v>
      </c>
      <c r="I45" s="51" t="n">
        <f aca="false">I25+I30+I35+I40</f>
        <v>2341</v>
      </c>
      <c r="J45" s="51" t="n">
        <f aca="false">J25+J30+J35+J40</f>
        <v>2499</v>
      </c>
      <c r="K45" s="51" t="n">
        <f aca="false">K25+K30+K35+K40</f>
        <v>2588</v>
      </c>
      <c r="L45" s="51" t="n">
        <f aca="false">L25+L30+L35+L40</f>
        <v>2947</v>
      </c>
      <c r="M45" s="52" t="n">
        <f aca="false">M25+M30+M35+M40</f>
        <v>10375</v>
      </c>
      <c r="N45" s="51" t="n">
        <f aca="false">N25+N30+N35+N40</f>
        <v>2636</v>
      </c>
      <c r="O45" s="51" t="n">
        <f aca="false">O25+O30+O35+O40</f>
        <v>2548.98</v>
      </c>
      <c r="P45" s="51" t="n">
        <f aca="false">P25+P30+P35+P40</f>
        <v>2639.76</v>
      </c>
      <c r="Q45" s="51" t="n">
        <f aca="false">Q25+Q30+Q35+Q40</f>
        <v>3005.94</v>
      </c>
      <c r="R45" s="52" t="n">
        <f aca="false">R25+R30+R35+R40</f>
        <v>10830.68</v>
      </c>
      <c r="S45" s="51" t="n">
        <f aca="false">S25+S30+S35+S40</f>
        <v>2688.72</v>
      </c>
      <c r="T45" s="51" t="n">
        <f aca="false">T25+T30+T35+T40</f>
        <v>2599.9596</v>
      </c>
      <c r="U45" s="51" t="n">
        <f aca="false">U25+U30+U35+U40</f>
        <v>2692.5552</v>
      </c>
      <c r="V45" s="51" t="n">
        <f aca="false">V25+V30+V35+V40</f>
        <v>3066.0588</v>
      </c>
      <c r="W45" s="52" t="n">
        <f aca="false">W25+W30+W35+W40</f>
        <v>11047.2936</v>
      </c>
      <c r="X45" s="51" t="n">
        <f aca="false">X25+X30+X35+X40</f>
        <v>2742.4944</v>
      </c>
      <c r="Y45" s="51" t="n">
        <f aca="false">Y25+Y30+Y35+Y40</f>
        <v>2651.958792</v>
      </c>
      <c r="Z45" s="51" t="n">
        <f aca="false">Z25+Z30+Z35+Z40</f>
        <v>2746.406304</v>
      </c>
      <c r="AA45" s="51" t="n">
        <f aca="false">AA25+AA30+AA35+AA40</f>
        <v>3127.379976</v>
      </c>
      <c r="AB45" s="52" t="n">
        <f aca="false">AB25+AB30+AB35+AB40</f>
        <v>11268.239472</v>
      </c>
    </row>
    <row r="46" customFormat="false" ht="15" hidden="false" customHeight="false" outlineLevel="0" collapsed="false">
      <c r="C46" s="22" t="s">
        <v>33</v>
      </c>
      <c r="H46" s="25"/>
      <c r="I46" s="40" t="n">
        <f aca="false">IFERROR(I45/D45-1,0)</f>
        <v>0.0240594925634297</v>
      </c>
      <c r="J46" s="40" t="n">
        <f aca="false">IFERROR(J45/E45-1,0)</f>
        <v>0.0611464968152866</v>
      </c>
      <c r="K46" s="40" t="n">
        <f aca="false">IFERROR(K45/F45-1,0)</f>
        <v>0.0846605196982397</v>
      </c>
      <c r="L46" s="40" t="n">
        <f aca="false">IFERROR(L45/G45-1,0)</f>
        <v>0.131720430107527</v>
      </c>
      <c r="M46" s="41" t="n">
        <f aca="false">IFERROR(M45/H45-1,0)</f>
        <v>0.0772505451147336</v>
      </c>
      <c r="N46" s="40" t="n">
        <f aca="false">IFERROR(N45/I45-1,0)</f>
        <v>0.126014523707817</v>
      </c>
      <c r="O46" s="40" t="n">
        <f aca="false">IFERROR(O45/J45-1,0)</f>
        <v>0.02</v>
      </c>
      <c r="P46" s="40" t="n">
        <f aca="false">IFERROR(P45/K45-1,0)</f>
        <v>0.02</v>
      </c>
      <c r="Q46" s="40" t="n">
        <f aca="false">IFERROR(Q45/L45-1,0)</f>
        <v>0.02</v>
      </c>
      <c r="R46" s="41" t="n">
        <f aca="false">IFERROR(R45/M45-1,0)</f>
        <v>0.0439209638554217</v>
      </c>
      <c r="S46" s="40" t="n">
        <f aca="false">IFERROR(S45/N45-1,0)</f>
        <v>0.02</v>
      </c>
      <c r="T46" s="40" t="n">
        <f aca="false">IFERROR(T45/O45-1,0)</f>
        <v>0.02</v>
      </c>
      <c r="U46" s="40" t="n">
        <f aca="false">IFERROR(U45/P45-1,0)</f>
        <v>0.0199999999999998</v>
      </c>
      <c r="V46" s="40" t="n">
        <f aca="false">IFERROR(V45/Q45-1,0)</f>
        <v>0.02</v>
      </c>
      <c r="W46" s="41" t="n">
        <f aca="false">IFERROR(W45/R45-1,0)</f>
        <v>0.02</v>
      </c>
      <c r="X46" s="40" t="n">
        <f aca="false">IFERROR(X45/S45-1,0)</f>
        <v>0.02</v>
      </c>
      <c r="Y46" s="40" t="n">
        <f aca="false">IFERROR(Y45/T45-1,0)</f>
        <v>0.02</v>
      </c>
      <c r="Z46" s="40" t="n">
        <f aca="false">IFERROR(Z45/U45-1,0)</f>
        <v>0.02</v>
      </c>
      <c r="AA46" s="40" t="n">
        <f aca="false">IFERROR(AA45/V45-1,0)</f>
        <v>0.02</v>
      </c>
      <c r="AB46" s="41" t="n">
        <f aca="false">IFERROR(AB45/W45-1,0)</f>
        <v>0.0199999999999998</v>
      </c>
    </row>
    <row r="47" customFormat="false" ht="15" hidden="false" customHeight="false" outlineLevel="0" collapsed="false">
      <c r="C47" s="22" t="s">
        <v>34</v>
      </c>
      <c r="H47" s="25"/>
      <c r="I47" s="40" t="n">
        <f aca="false">IFERROR(I46-I48-I49,0)</f>
        <v>0.0140594925634297</v>
      </c>
      <c r="J47" s="40" t="n">
        <f aca="false">IFERROR(J46-J48-J49,0)</f>
        <v>0.0411464968152866</v>
      </c>
      <c r="K47" s="40" t="n">
        <f aca="false">IFERROR(K46-K48-K49,0)</f>
        <v>0.0446605196982397</v>
      </c>
      <c r="L47" s="40" t="n">
        <f aca="false">IFERROR(L46-L48-L49,0)</f>
        <v>0.031720430107527</v>
      </c>
      <c r="M47" s="41" t="n">
        <f aca="false">IFERROR(((I47*D45)+(J47*E45)+(K47*F45)+(L47*G45))/(D45+E45+F45+G45),0)</f>
        <v>0.0330391444294466</v>
      </c>
      <c r="N47" s="40" t="n">
        <f aca="false">IFERROR(N46-N48-N49,0)</f>
        <v>0.00601452370781719</v>
      </c>
      <c r="O47" s="40" t="n">
        <f aca="false">IFERROR(((O27*J25)+(O32*J30)+(O37*J35)+(O42*J40))/(J25+J30+J35+J40),0)</f>
        <v>0.02</v>
      </c>
      <c r="P47" s="40" t="n">
        <f aca="false">IFERROR(((P27*K25)+(P32*K30)+(P37*K35)+(P42*K40))/(K25+K30+K35+K40),0)</f>
        <v>0.02</v>
      </c>
      <c r="Q47" s="40" t="n">
        <f aca="false">IFERROR(((Q27*L25)+(Q32*L30)+(Q37*L35)+(Q42*L40))/(L25+L30+L35+L40),0)</f>
        <v>0.02</v>
      </c>
      <c r="R47" s="41" t="n">
        <f aca="false">IFERROR(((R27*M25)+(R32*M30)+(R37*M35)+(R42*M40))/(M25+M30+M35+M40),0)</f>
        <v>0.0065310843373494</v>
      </c>
      <c r="S47" s="40" t="n">
        <f aca="false">IFERROR(((S27*N25)+(S32*N30)+(S37*N35)+(S42*N40))/(N25+N30+N35+N40),0)</f>
        <v>0.02</v>
      </c>
      <c r="T47" s="40" t="n">
        <f aca="false">IFERROR(((T27*O25)+(T32*O30)+(T37*O35)+(T42*O40))/(O25+O30+O35+O40),0)</f>
        <v>0.02</v>
      </c>
      <c r="U47" s="40" t="n">
        <f aca="false">IFERROR(((U27*P25)+(U32*P30)+(U37*P35)+(U42*P40))/(P25+P30+P35+P40),0)</f>
        <v>0.02</v>
      </c>
      <c r="V47" s="40" t="n">
        <f aca="false">IFERROR(((V27*Q25)+(V32*Q30)+(V37*Q35)+(V42*Q40))/(Q25+Q30+Q35+Q40),0)</f>
        <v>0.02</v>
      </c>
      <c r="W47" s="41" t="n">
        <f aca="false">IFERROR(((W27*R25)+(W32*R30)+(W37*R35)+(W42*R40))/(R25+R30+R35+R40),0)</f>
        <v>0.02</v>
      </c>
      <c r="X47" s="40" t="n">
        <f aca="false">IFERROR(((X27*S25)+(X32*S30)+(X37*S35)+(X42*S40))/(S25+S30+S35+S40),0)</f>
        <v>0.02</v>
      </c>
      <c r="Y47" s="40" t="n">
        <f aca="false">IFERROR(((Y27*T25)+(Y32*T30)+(Y37*T35)+(Y42*T40))/(T25+T30+T35+T40),0)</f>
        <v>0.02</v>
      </c>
      <c r="Z47" s="40" t="n">
        <f aca="false">IFERROR(((Z27*U25)+(Z32*U30)+(Z37*U35)+(Z42*U40))/(U25+U30+U35+U40),0)</f>
        <v>0.02</v>
      </c>
      <c r="AA47" s="40" t="n">
        <f aca="false">IFERROR(((AA27*V25)+(AA32*V30)+(AA37*V35)+(AA42*V40))/(V25+V30+V35+V40),0)</f>
        <v>0.02</v>
      </c>
      <c r="AB47" s="41" t="n">
        <f aca="false">IFERROR(((AB27*W25)+(AB32*W30)+(AB37*W35)+(AB42*W40))/(W25+W30+W35+W40),0)</f>
        <v>0.02</v>
      </c>
    </row>
    <row r="48" customFormat="false" ht="15" hidden="false" customHeight="false" outlineLevel="0" collapsed="false">
      <c r="C48" s="22" t="s">
        <v>35</v>
      </c>
      <c r="H48" s="25"/>
      <c r="I48" s="53" t="n">
        <v>0.02</v>
      </c>
      <c r="J48" s="53" t="n">
        <v>0.01</v>
      </c>
      <c r="K48" s="53" t="n">
        <v>0.03</v>
      </c>
      <c r="L48" s="53" t="n">
        <v>0.08</v>
      </c>
      <c r="M48" s="41" t="n">
        <f aca="false">IFERROR(((I48*D45)+(J48*E45)+(K48*F45)+(L48*G45))/(D45+E45+F45+G45),0)</f>
        <v>0.0362548022012252</v>
      </c>
      <c r="N48" s="53" t="n">
        <v>0.09</v>
      </c>
      <c r="O48" s="40" t="n">
        <f aca="false">IFERROR(((O28*J25)+(O33*J30)+(O38*J35)+(O43*J40))/(J25+J30+J35+J40),0)</f>
        <v>0</v>
      </c>
      <c r="P48" s="40" t="n">
        <f aca="false">IFERROR(((P28*K25)+(P33*K30)+(P38*K35)+(P43*K40))/(K25+K30+K35+K40),0)</f>
        <v>0</v>
      </c>
      <c r="Q48" s="40" t="n">
        <f aca="false">IFERROR(((Q28*L25)+(Q33*L30)+(Q38*L35)+(Q43*L40))/(L25+L30+L35+L40),0)</f>
        <v>0</v>
      </c>
      <c r="R48" s="41" t="n">
        <f aca="false">IFERROR(((R28*M25)+(R33*M30)+(R38*M35)+(R43*M40))/(M25+M30+M35+M40),0)</f>
        <v>0.0203074698795181</v>
      </c>
      <c r="S48" s="40" t="n">
        <f aca="false">IFERROR(((S28*N25)+(S33*N30)+(S38*N35)+(S43*N40))/(N25+N30+N35+N40),0)</f>
        <v>0</v>
      </c>
      <c r="T48" s="40" t="n">
        <f aca="false">IFERROR(((T28*O25)+(T33*O30)+(T38*O35)+(T43*O40))/(O25+O30+O35+O40),0)</f>
        <v>0</v>
      </c>
      <c r="U48" s="40" t="n">
        <f aca="false">IFERROR(((U28*P25)+(U33*P30)+(U38*P35)+(U43*P40))/(P25+P30+P35+P40),0)</f>
        <v>0</v>
      </c>
      <c r="V48" s="40" t="n">
        <f aca="false">IFERROR(((V28*Q25)+(V33*Q30)+(V38*Q35)+(V43*Q40))/(Q25+Q30+Q35+Q40),0)</f>
        <v>0</v>
      </c>
      <c r="W48" s="41" t="n">
        <f aca="false">IFERROR(((W28*R25)+(W33*R30)+(W38*R35)+(W43*R40))/(R25+R30+R35+R40),0)</f>
        <v>0</v>
      </c>
      <c r="X48" s="40" t="n">
        <f aca="false">IFERROR(((X28*S25)+(X33*S30)+(X38*S35)+(X43*S40))/(S25+S30+S35+S40),0)</f>
        <v>0</v>
      </c>
      <c r="Y48" s="40" t="n">
        <f aca="false">IFERROR(((Y28*T25)+(Y33*T30)+(Y38*T35)+(Y43*T40))/(T25+T30+T35+T40),0)</f>
        <v>0</v>
      </c>
      <c r="Z48" s="40" t="n">
        <f aca="false">IFERROR(((Z28*U25)+(Z33*U30)+(Z38*U35)+(Z43*U40))/(U25+U30+U35+U40),0)</f>
        <v>0</v>
      </c>
      <c r="AA48" s="40" t="n">
        <f aca="false">IFERROR(((AA28*V25)+(AA33*V30)+(AA38*V35)+(AA43*V40))/(V25+V30+V35+V40),0)</f>
        <v>0</v>
      </c>
      <c r="AB48" s="41" t="n">
        <f aca="false">IFERROR(((AB28*W25)+(AB33*W30)+(AB38*W35)+(AB43*W40))/(W25+W30+W35+W40),0)</f>
        <v>0</v>
      </c>
    </row>
    <row r="49" customFormat="false" ht="15" hidden="false" customHeight="false" outlineLevel="0" collapsed="false">
      <c r="C49" s="22" t="s">
        <v>36</v>
      </c>
      <c r="H49" s="25"/>
      <c r="I49" s="53" t="n">
        <v>-0.01</v>
      </c>
      <c r="J49" s="53" t="n">
        <v>0.01</v>
      </c>
      <c r="K49" s="53" t="n">
        <v>0.01</v>
      </c>
      <c r="L49" s="53" t="n">
        <v>0.02</v>
      </c>
      <c r="M49" s="41" t="n">
        <f aca="false">IFERROR(((I49*D45)+(J49*E45)+(K49*F45)+(L49*G45))/(D45+E45+F45+G45),0)</f>
        <v>0.00795659848406188</v>
      </c>
      <c r="N49" s="53" t="n">
        <v>0.03</v>
      </c>
      <c r="O49" s="40" t="n">
        <f aca="false">IFERROR(((O29*J25)+(O34*J30)+(O39*J35)+(O44*J40))/(J25+J30+J35+J40),0)</f>
        <v>0</v>
      </c>
      <c r="P49" s="40" t="n">
        <f aca="false">IFERROR(((P29*K25)+(P34*K30)+(P39*K35)+(P44*K40))/(K25+K30+K35+K40),0)</f>
        <v>0</v>
      </c>
      <c r="Q49" s="40" t="n">
        <f aca="false">IFERROR(((Q29*L25)+(Q34*L30)+(Q39*L35)+(Q44*L40))/(L25+L30+L35+L40),0)</f>
        <v>0</v>
      </c>
      <c r="R49" s="41" t="n">
        <f aca="false">IFERROR(((R29*M25)+(R34*M30)+(R39*M35)+(R44*M40))/(M25+M30+M35+M40),0)</f>
        <v>0.00676915662650602</v>
      </c>
      <c r="S49" s="40" t="n">
        <f aca="false">IFERROR(((S29*N25)+(S34*N30)+(S39*N35)+(S44*N40))/(N25+N30+N35+N40),0)</f>
        <v>0</v>
      </c>
      <c r="T49" s="40" t="n">
        <f aca="false">IFERROR(((T29*O25)+(T34*O30)+(T39*O35)+(T44*O40))/(O25+O30+O35+O40),0)</f>
        <v>0</v>
      </c>
      <c r="U49" s="40" t="n">
        <f aca="false">IFERROR(((U29*P25)+(U34*P30)+(U39*P35)+(U44*P40))/(P25+P30+P35+P40),0)</f>
        <v>0</v>
      </c>
      <c r="V49" s="40" t="n">
        <f aca="false">IFERROR(((V29*Q25)+(V34*Q30)+(V39*Q35)+(V44*Q40))/(Q25+Q30+Q35+Q40),0)</f>
        <v>0</v>
      </c>
      <c r="W49" s="41" t="n">
        <f aca="false">IFERROR(((W29*R25)+(W34*R30)+(W39*R35)+(W44*R40))/(R25+R30+R35+R40),0)</f>
        <v>0</v>
      </c>
      <c r="X49" s="40" t="n">
        <f aca="false">IFERROR(((X29*S25)+(X34*S30)+(X39*S35)+(X44*S40))/(S25+S30+S35+S40),0)</f>
        <v>0</v>
      </c>
      <c r="Y49" s="40" t="n">
        <f aca="false">IFERROR(((Y29*T25)+(Y34*T30)+(Y39*T35)+(Y44*T40))/(T25+T30+T35+T40),0)</f>
        <v>0</v>
      </c>
      <c r="Z49" s="40" t="n">
        <f aca="false">IFERROR(((Z29*U25)+(Z34*U30)+(Z39*U35)+(Z44*U40))/(U25+U30+U35+U40),0)</f>
        <v>0</v>
      </c>
      <c r="AA49" s="40" t="n">
        <f aca="false">IFERROR(((AA29*V25)+(AA34*V30)+(AA39*V35)+(AA44*V40))/(V25+V30+V35+V40),0)</f>
        <v>0</v>
      </c>
      <c r="AB49" s="41" t="n">
        <f aca="false">IFERROR(((AB29*W25)+(AB34*W30)+(AB39*W35)+(AB44*W40))/(W25+W30+W35+W40),0)</f>
        <v>0</v>
      </c>
    </row>
    <row r="50" customFormat="false" ht="15" hidden="false" customHeight="false" outlineLevel="0" collapsed="false">
      <c r="H50" s="25"/>
      <c r="M50" s="25"/>
      <c r="R50" s="25"/>
      <c r="W50" s="25"/>
      <c r="AB50" s="25"/>
    </row>
    <row r="51" customFormat="false" ht="15" hidden="false" customHeight="false" outlineLevel="0" collapsed="false">
      <c r="C51" s="30" t="s">
        <v>46</v>
      </c>
      <c r="D51" s="31"/>
      <c r="E51" s="31"/>
      <c r="F51" s="31"/>
      <c r="G51" s="31"/>
      <c r="H51" s="32"/>
      <c r="I51" s="31"/>
      <c r="J51" s="31"/>
      <c r="K51" s="31"/>
      <c r="L51" s="31"/>
      <c r="M51" s="32"/>
      <c r="N51" s="31"/>
      <c r="O51" s="31"/>
      <c r="P51" s="31"/>
      <c r="Q51" s="31"/>
      <c r="R51" s="32"/>
      <c r="S51" s="31"/>
      <c r="T51" s="31"/>
      <c r="U51" s="31"/>
      <c r="V51" s="31"/>
      <c r="W51" s="32"/>
      <c r="X51" s="31"/>
      <c r="Y51" s="31"/>
      <c r="Z51" s="31"/>
      <c r="AA51" s="31"/>
      <c r="AB51" s="32"/>
    </row>
    <row r="52" customFormat="false" ht="15" hidden="false" customHeight="false" outlineLevel="0" collapsed="false">
      <c r="A52" s="22" t="s">
        <v>83</v>
      </c>
      <c r="C52" s="3" t="s">
        <v>89</v>
      </c>
      <c r="D52" s="35" t="n">
        <v>789</v>
      </c>
      <c r="E52" s="35" t="n">
        <v>773</v>
      </c>
      <c r="F52" s="35" t="n">
        <v>802</v>
      </c>
      <c r="G52" s="35" t="n">
        <v>914</v>
      </c>
      <c r="H52" s="46" t="n">
        <f aca="false">D52+E52+F52+G52</f>
        <v>3278</v>
      </c>
      <c r="I52" s="35" t="n">
        <v>773</v>
      </c>
      <c r="J52" s="35" t="n">
        <v>784</v>
      </c>
      <c r="K52" s="35" t="n">
        <v>841</v>
      </c>
      <c r="L52" s="35" t="n">
        <v>962</v>
      </c>
      <c r="M52" s="46" t="n">
        <f aca="false">I52+J52+K52+L52</f>
        <v>3360</v>
      </c>
      <c r="N52" s="35" t="n">
        <v>798</v>
      </c>
      <c r="O52" s="37" t="n">
        <f aca="false">J52*(1+O54+O55+O56)</f>
        <v>799.68</v>
      </c>
      <c r="P52" s="37" t="n">
        <f aca="false">K52*(1+P54+P55+P56)</f>
        <v>857.82</v>
      </c>
      <c r="Q52" s="37" t="n">
        <f aca="false">L52*(1+Q54+Q55+Q56)</f>
        <v>981.24</v>
      </c>
      <c r="R52" s="46" t="n">
        <f aca="false">N52+O52+P52+Q52</f>
        <v>3436.74</v>
      </c>
      <c r="S52" s="37" t="n">
        <f aca="false">N52*(1+S54+S55+S56)</f>
        <v>813.96</v>
      </c>
      <c r="T52" s="37" t="n">
        <f aca="false">O52*(1+T54+T55+T56)</f>
        <v>815.6736</v>
      </c>
      <c r="U52" s="37" t="n">
        <f aca="false">P52*(1+U54+U55+U56)</f>
        <v>874.9764</v>
      </c>
      <c r="V52" s="37" t="n">
        <f aca="false">Q52*(1+V54+V55+V56)</f>
        <v>1000.8648</v>
      </c>
      <c r="W52" s="46" t="n">
        <f aca="false">S52+T52+U52+V52</f>
        <v>3505.4748</v>
      </c>
      <c r="X52" s="37" t="n">
        <f aca="false">S52*(1+X54+X55+X56)</f>
        <v>830.2392</v>
      </c>
      <c r="Y52" s="37" t="n">
        <f aca="false">T52*(1+Y54+Y55+Y56)</f>
        <v>831.987072</v>
      </c>
      <c r="Z52" s="37" t="n">
        <f aca="false">U52*(1+Z54+Z55+Z56)</f>
        <v>892.475928</v>
      </c>
      <c r="AA52" s="37" t="n">
        <f aca="false">V52*(1+AA54+AA55+AA56)</f>
        <v>1020.882096</v>
      </c>
      <c r="AB52" s="46" t="n">
        <f aca="false">X52+Y52+Z52+AA52</f>
        <v>3575.584296</v>
      </c>
    </row>
    <row r="53" customFormat="false" ht="15" hidden="false" customHeight="false" outlineLevel="0" collapsed="false">
      <c r="C53" s="22" t="s">
        <v>33</v>
      </c>
      <c r="H53" s="25"/>
      <c r="I53" s="47" t="n">
        <f aca="false">IFERROR(I52/D52-1,0)</f>
        <v>-0.0202788339670469</v>
      </c>
      <c r="J53" s="47" t="n">
        <f aca="false">IFERROR(J52/E52-1,0)</f>
        <v>0.0142302716688227</v>
      </c>
      <c r="K53" s="47" t="n">
        <f aca="false">IFERROR(K52/F52-1,0)</f>
        <v>0.0486284289276808</v>
      </c>
      <c r="L53" s="47" t="n">
        <f aca="false">IFERROR(L52/G52-1,0)</f>
        <v>0.0525164113785559</v>
      </c>
      <c r="M53" s="48" t="n">
        <f aca="false">IFERROR(M52/H52-1,0)</f>
        <v>0.0250152532031727</v>
      </c>
      <c r="N53" s="47" t="n">
        <f aca="false">IFERROR(N52/I52-1,0)</f>
        <v>0.0323415265200517</v>
      </c>
      <c r="O53" s="47" t="n">
        <f aca="false">O54+O55+O56</f>
        <v>0.02</v>
      </c>
      <c r="P53" s="47" t="n">
        <f aca="false">P54+P55+P56</f>
        <v>0.02</v>
      </c>
      <c r="Q53" s="47" t="n">
        <f aca="false">Q54+Q55+Q56</f>
        <v>0.02</v>
      </c>
      <c r="R53" s="48" t="n">
        <f aca="false">IFERROR(R52/M52-1,0)</f>
        <v>0.0228392857142856</v>
      </c>
      <c r="S53" s="47" t="n">
        <f aca="false">S54+S55+S56</f>
        <v>0.02</v>
      </c>
      <c r="T53" s="47" t="n">
        <f aca="false">T54+T55+T56</f>
        <v>0.02</v>
      </c>
      <c r="U53" s="47" t="n">
        <f aca="false">U54+U55+U56</f>
        <v>0.02</v>
      </c>
      <c r="V53" s="47" t="n">
        <f aca="false">V54+V55+V56</f>
        <v>0.02</v>
      </c>
      <c r="W53" s="48" t="n">
        <f aca="false">IFERROR(W52/R52-1,0)</f>
        <v>0.02</v>
      </c>
      <c r="X53" s="47" t="n">
        <f aca="false">X54+X55+X56</f>
        <v>0.02</v>
      </c>
      <c r="Y53" s="47" t="n">
        <f aca="false">Y54+Y55+Y56</f>
        <v>0.02</v>
      </c>
      <c r="Z53" s="47" t="n">
        <f aca="false">Z54+Z55+Z56</f>
        <v>0.02</v>
      </c>
      <c r="AA53" s="47" t="n">
        <f aca="false">AA54+AA55+AA56</f>
        <v>0.02</v>
      </c>
      <c r="AB53" s="48" t="n">
        <f aca="false">IFERROR(AB52/W52-1,0)</f>
        <v>0.0200000000000002</v>
      </c>
    </row>
    <row r="54" customFormat="false" ht="15" hidden="false" customHeight="false" outlineLevel="0" collapsed="false">
      <c r="C54" s="22" t="s">
        <v>34</v>
      </c>
      <c r="H54" s="25"/>
      <c r="I54" s="47" t="n">
        <f aca="false">IFERROR(I53-I55-I56,0)</f>
        <v>-0.0102788339670469</v>
      </c>
      <c r="J54" s="47" t="n">
        <f aca="false">IFERROR(J53-J55-J56,0)</f>
        <v>0.00423027166882274</v>
      </c>
      <c r="K54" s="47" t="n">
        <f aca="false">IFERROR(K53-K55-K56,0)</f>
        <v>0.0386284289276808</v>
      </c>
      <c r="L54" s="47" t="n">
        <f aca="false">IFERROR(L53-L55-L56,0)</f>
        <v>0.0325164113785559</v>
      </c>
      <c r="M54" s="48" t="n">
        <f aca="false">IFERROR(((I54*D52)+(J54*E52)+(K54*F52)+(L54*G52))/(D52+E52+F52+G52),0)</f>
        <v>0.0170408785845028</v>
      </c>
      <c r="N54" s="47" t="n">
        <f aca="false">IFERROR(N53-N55-N56,0)</f>
        <v>0.0123415265200517</v>
      </c>
      <c r="O54" s="49" t="n">
        <v>0.02</v>
      </c>
      <c r="P54" s="49" t="n">
        <v>0.02</v>
      </c>
      <c r="Q54" s="49" t="n">
        <v>0.02</v>
      </c>
      <c r="R54" s="48" t="n">
        <f aca="false">IFERROR(((N54*I52)+(O54*J52)+(P54*K52)+(Q54*L52))/(I52+J52+K52+L52),0)</f>
        <v>0.0182380952380952</v>
      </c>
      <c r="S54" s="49" t="n">
        <v>0.02</v>
      </c>
      <c r="T54" s="49" t="n">
        <v>0.02</v>
      </c>
      <c r="U54" s="49" t="n">
        <v>0.02</v>
      </c>
      <c r="V54" s="49" t="n">
        <v>0.02</v>
      </c>
      <c r="W54" s="48" t="n">
        <f aca="false">IFERROR(((S54*N52)+(T54*O52)+(U54*P52)+(V54*Q52))/(N52+O52+P52+Q52),0)</f>
        <v>0.02</v>
      </c>
      <c r="X54" s="49" t="n">
        <v>0.02</v>
      </c>
      <c r="Y54" s="49" t="n">
        <v>0.02</v>
      </c>
      <c r="Z54" s="49" t="n">
        <v>0.02</v>
      </c>
      <c r="AA54" s="49" t="n">
        <v>0.02</v>
      </c>
      <c r="AB54" s="48" t="n">
        <f aca="false">IFERROR(((X54*S52)+(Y54*T52)+(Z54*U52)+(AA54*V52))/(S52+T52+U52+V52),0)</f>
        <v>0.02</v>
      </c>
    </row>
    <row r="55" customFormat="false" ht="15" hidden="false" customHeight="false" outlineLevel="0" collapsed="false">
      <c r="C55" s="22" t="s">
        <v>35</v>
      </c>
      <c r="H55" s="25"/>
      <c r="I55" s="50" t="n">
        <v>0</v>
      </c>
      <c r="J55" s="50" t="n">
        <v>0</v>
      </c>
      <c r="K55" s="50" t="n">
        <v>0</v>
      </c>
      <c r="L55" s="50" t="n">
        <v>0</v>
      </c>
      <c r="M55" s="48" t="n">
        <f aca="false">IFERROR(((I55*D52)+(J55*E52)+(K55*F52)+(L55*G52))/(D52+E52+F52+G52),0)</f>
        <v>0</v>
      </c>
      <c r="N55" s="50" t="n">
        <v>0</v>
      </c>
      <c r="O55" s="49" t="n">
        <v>0</v>
      </c>
      <c r="P55" s="49" t="n">
        <v>0</v>
      </c>
      <c r="Q55" s="49" t="n">
        <v>0</v>
      </c>
      <c r="R55" s="48" t="n">
        <f aca="false">IFERROR(((N55*I52)+(O55*J52)+(P55*K52)+(Q55*L52))/(I52+J52+K52+L52),0)</f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8" t="n">
        <f aca="false">IFERROR(((S55*N52)+(T55*O52)+(U55*P52)+(V55*Q52))/(N52+O52+P52+Q52),0)</f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8" t="n">
        <f aca="false">IFERROR(((X55*S52)+(Y55*T52)+(Z55*U52)+(AA55*V52))/(S52+T52+U52+V52),0)</f>
        <v>0</v>
      </c>
    </row>
    <row r="56" customFormat="false" ht="15" hidden="false" customHeight="false" outlineLevel="0" collapsed="false">
      <c r="C56" s="22" t="s">
        <v>36</v>
      </c>
      <c r="H56" s="25"/>
      <c r="I56" s="50" t="n">
        <v>-0.01</v>
      </c>
      <c r="J56" s="50" t="n">
        <v>0.01</v>
      </c>
      <c r="K56" s="50" t="n">
        <v>0.01</v>
      </c>
      <c r="L56" s="50" t="n">
        <v>0.02</v>
      </c>
      <c r="M56" s="48" t="n">
        <f aca="false">IFERROR(((I56*D52)+(J56*E52)+(K56*F52)+(L56*G52))/(D52+E52+F52+G52),0)</f>
        <v>0.00797437461866992</v>
      </c>
      <c r="N56" s="50" t="n">
        <v>0.02</v>
      </c>
      <c r="O56" s="49" t="n">
        <v>0</v>
      </c>
      <c r="P56" s="49" t="n">
        <v>0</v>
      </c>
      <c r="Q56" s="49" t="n">
        <v>0</v>
      </c>
      <c r="R56" s="48" t="n">
        <f aca="false">IFERROR(((N56*I52)+(O56*J52)+(P56*K52)+(Q56*L52))/(I52+J52+K52+L52),0)</f>
        <v>0.00460119047619048</v>
      </c>
      <c r="S56" s="49" t="n">
        <v>0</v>
      </c>
      <c r="T56" s="49" t="n">
        <v>0</v>
      </c>
      <c r="U56" s="49" t="n">
        <v>0</v>
      </c>
      <c r="V56" s="49" t="n">
        <v>0</v>
      </c>
      <c r="W56" s="48" t="n">
        <f aca="false">IFERROR(((S56*N52)+(T56*O52)+(U56*P52)+(V56*Q52))/(N52+O52+P52+Q52),0)</f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8" t="n">
        <f aca="false">IFERROR(((X56*S52)+(Y56*T52)+(Z56*U52)+(AA56*V52))/(S52+T52+U52+V52),0)</f>
        <v>0</v>
      </c>
    </row>
    <row r="57" customFormat="false" ht="15" hidden="false" customHeight="false" outlineLevel="0" collapsed="false">
      <c r="A57" s="22" t="s">
        <v>83</v>
      </c>
      <c r="C57" s="3" t="s">
        <v>90</v>
      </c>
      <c r="D57" s="35" t="n">
        <v>320</v>
      </c>
      <c r="E57" s="35" t="n">
        <v>324</v>
      </c>
      <c r="F57" s="35" t="n">
        <v>332</v>
      </c>
      <c r="G57" s="35" t="n">
        <v>339</v>
      </c>
      <c r="H57" s="46" t="n">
        <f aca="false">D57+E57+F57+G57</f>
        <v>1315</v>
      </c>
      <c r="I57" s="35" t="n">
        <v>286</v>
      </c>
      <c r="J57" s="35" t="n">
        <v>292</v>
      </c>
      <c r="K57" s="35" t="n">
        <v>320</v>
      </c>
      <c r="L57" s="35" t="n">
        <v>339</v>
      </c>
      <c r="M57" s="46" t="n">
        <f aca="false">I57+J57+K57+L57</f>
        <v>1237</v>
      </c>
      <c r="N57" s="35" t="n">
        <v>285</v>
      </c>
      <c r="O57" s="37" t="n">
        <f aca="false">J57*(1+O59+O60+O61)</f>
        <v>297.84</v>
      </c>
      <c r="P57" s="37" t="n">
        <f aca="false">K57*(1+P59+P60+P61)</f>
        <v>326.4</v>
      </c>
      <c r="Q57" s="37" t="n">
        <f aca="false">L57*(1+Q59+Q60+Q61)</f>
        <v>345.78</v>
      </c>
      <c r="R57" s="46" t="n">
        <f aca="false">N57+O57+P57+Q57</f>
        <v>1255.02</v>
      </c>
      <c r="S57" s="37" t="n">
        <f aca="false">N57*(1+S59+S60+S61)</f>
        <v>290.7</v>
      </c>
      <c r="T57" s="37" t="n">
        <f aca="false">O57*(1+T59+T60+T61)</f>
        <v>303.7968</v>
      </c>
      <c r="U57" s="37" t="n">
        <f aca="false">P57*(1+U59+U60+U61)</f>
        <v>332.928</v>
      </c>
      <c r="V57" s="37" t="n">
        <f aca="false">Q57*(1+V59+V60+V61)</f>
        <v>352.6956</v>
      </c>
      <c r="W57" s="46" t="n">
        <f aca="false">S57+T57+U57+V57</f>
        <v>1280.1204</v>
      </c>
      <c r="X57" s="37" t="n">
        <f aca="false">S57*(1+X59+X60+X61)</f>
        <v>296.514</v>
      </c>
      <c r="Y57" s="37" t="n">
        <f aca="false">T57*(1+Y59+Y60+Y61)</f>
        <v>309.872736</v>
      </c>
      <c r="Z57" s="37" t="n">
        <f aca="false">U57*(1+Z59+Z60+Z61)</f>
        <v>339.58656</v>
      </c>
      <c r="AA57" s="37" t="n">
        <f aca="false">V57*(1+AA59+AA60+AA61)</f>
        <v>359.749512</v>
      </c>
      <c r="AB57" s="46" t="n">
        <f aca="false">X57+Y57+Z57+AA57</f>
        <v>1305.722808</v>
      </c>
    </row>
    <row r="58" customFormat="false" ht="15" hidden="false" customHeight="false" outlineLevel="0" collapsed="false">
      <c r="C58" s="22" t="s">
        <v>33</v>
      </c>
      <c r="H58" s="25"/>
      <c r="I58" s="47" t="n">
        <f aca="false">IFERROR(I57/D57-1,0)</f>
        <v>-0.10625</v>
      </c>
      <c r="J58" s="47" t="n">
        <f aca="false">IFERROR(J57/E57-1,0)</f>
        <v>-0.0987654320987654</v>
      </c>
      <c r="K58" s="47" t="n">
        <f aca="false">IFERROR(K57/F57-1,0)</f>
        <v>-0.036144578313253</v>
      </c>
      <c r="L58" s="47" t="n">
        <f aca="false">IFERROR(L57/G57-1,0)</f>
        <v>0</v>
      </c>
      <c r="M58" s="48" t="n">
        <f aca="false">IFERROR(M57/H57-1,0)</f>
        <v>-0.0593155893536121</v>
      </c>
      <c r="N58" s="47" t="n">
        <f aca="false">IFERROR(N57/I57-1,0)</f>
        <v>-0.00349650349650354</v>
      </c>
      <c r="O58" s="47" t="n">
        <f aca="false">O59+O60+O61</f>
        <v>0.02</v>
      </c>
      <c r="P58" s="47" t="n">
        <f aca="false">P59+P60+P61</f>
        <v>0.02</v>
      </c>
      <c r="Q58" s="47" t="n">
        <f aca="false">Q59+Q60+Q61</f>
        <v>0.02</v>
      </c>
      <c r="R58" s="48" t="n">
        <f aca="false">IFERROR(R57/M57-1,0)</f>
        <v>0.0145675020210185</v>
      </c>
      <c r="S58" s="47" t="n">
        <f aca="false">S59+S60+S61</f>
        <v>0.02</v>
      </c>
      <c r="T58" s="47" t="n">
        <f aca="false">T59+T60+T61</f>
        <v>0.02</v>
      </c>
      <c r="U58" s="47" t="n">
        <f aca="false">U59+U60+U61</f>
        <v>0.02</v>
      </c>
      <c r="V58" s="47" t="n">
        <f aca="false">V59+V60+V61</f>
        <v>0.02</v>
      </c>
      <c r="W58" s="48" t="n">
        <f aca="false">IFERROR(W57/R57-1,0)</f>
        <v>0.02</v>
      </c>
      <c r="X58" s="47" t="n">
        <f aca="false">X59+X60+X61</f>
        <v>0.02</v>
      </c>
      <c r="Y58" s="47" t="n">
        <f aca="false">Y59+Y60+Y61</f>
        <v>0.02</v>
      </c>
      <c r="Z58" s="47" t="n">
        <f aca="false">Z59+Z60+Z61</f>
        <v>0.02</v>
      </c>
      <c r="AA58" s="47" t="n">
        <f aca="false">AA59+AA60+AA61</f>
        <v>0.02</v>
      </c>
      <c r="AB58" s="48" t="n">
        <f aca="false">IFERROR(AB57/W57-1,0)</f>
        <v>0.0200000000000002</v>
      </c>
    </row>
    <row r="59" customFormat="false" ht="15" hidden="false" customHeight="false" outlineLevel="0" collapsed="false">
      <c r="C59" s="22" t="s">
        <v>34</v>
      </c>
      <c r="H59" s="25"/>
      <c r="I59" s="47" t="n">
        <f aca="false">IFERROR(I58-I60-I61,0)</f>
        <v>-0.09625</v>
      </c>
      <c r="J59" s="47" t="n">
        <f aca="false">IFERROR(J58-J60-J61,0)</f>
        <v>-0.108765432098765</v>
      </c>
      <c r="K59" s="47" t="n">
        <f aca="false">IFERROR(K58-K60-K61,0)</f>
        <v>-0.046144578313253</v>
      </c>
      <c r="L59" s="47" t="n">
        <f aca="false">IFERROR(L58-L60-L61,0)</f>
        <v>-0.02</v>
      </c>
      <c r="M59" s="48" t="n">
        <f aca="false">IFERROR(((I59*D57)+(J59*E57)+(K59*F57)+(L59*G57))/(D57+E57+F57+G57),0)</f>
        <v>-0.0670266159695817</v>
      </c>
      <c r="N59" s="47" t="n">
        <f aca="false">IFERROR(N58-N60-N61,0)</f>
        <v>-0.0234965034965035</v>
      </c>
      <c r="O59" s="49" t="n">
        <v>0.02</v>
      </c>
      <c r="P59" s="49" t="n">
        <v>0.02</v>
      </c>
      <c r="Q59" s="49" t="n">
        <v>0.02</v>
      </c>
      <c r="R59" s="48" t="n">
        <f aca="false">IFERROR(((N59*I57)+(O59*J57)+(P59*K57)+(Q59*L57))/(I57+J57+K57+L57),0)</f>
        <v>0.0099434114793856</v>
      </c>
      <c r="S59" s="49" t="n">
        <v>0.02</v>
      </c>
      <c r="T59" s="49" t="n">
        <v>0.02</v>
      </c>
      <c r="U59" s="49" t="n">
        <v>0.02</v>
      </c>
      <c r="V59" s="49" t="n">
        <v>0.02</v>
      </c>
      <c r="W59" s="48" t="n">
        <f aca="false">IFERROR(((S59*N57)+(T59*O57)+(U59*P57)+(V59*Q57))/(N57+O57+P57+Q57),0)</f>
        <v>0.02</v>
      </c>
      <c r="X59" s="49" t="n">
        <v>0.02</v>
      </c>
      <c r="Y59" s="49" t="n">
        <v>0.02</v>
      </c>
      <c r="Z59" s="49" t="n">
        <v>0.02</v>
      </c>
      <c r="AA59" s="49" t="n">
        <v>0.02</v>
      </c>
      <c r="AB59" s="48" t="n">
        <f aca="false">IFERROR(((X59*S57)+(Y59*T57)+(Z59*U57)+(AA59*V57))/(S57+T57+U57+V57),0)</f>
        <v>0.02</v>
      </c>
    </row>
    <row r="60" customFormat="false" ht="15" hidden="false" customHeight="false" outlineLevel="0" collapsed="false">
      <c r="C60" s="22" t="s">
        <v>35</v>
      </c>
      <c r="H60" s="25"/>
      <c r="I60" s="50" t="n">
        <v>0</v>
      </c>
      <c r="J60" s="50" t="n">
        <v>0</v>
      </c>
      <c r="K60" s="50" t="n">
        <v>0</v>
      </c>
      <c r="L60" s="50" t="n">
        <v>0</v>
      </c>
      <c r="M60" s="48" t="n">
        <f aca="false">IFERROR(((I60*D57)+(J60*E57)+(K60*F57)+(L60*G57))/(D57+E57+F57+G57),0)</f>
        <v>0</v>
      </c>
      <c r="N60" s="50" t="n">
        <v>0</v>
      </c>
      <c r="O60" s="49" t="n">
        <v>0</v>
      </c>
      <c r="P60" s="49" t="n">
        <v>0</v>
      </c>
      <c r="Q60" s="49" t="n">
        <v>0</v>
      </c>
      <c r="R60" s="48" t="n">
        <f aca="false">IFERROR(((N60*I57)+(O60*J57)+(P60*K57)+(Q60*L57))/(I57+J57+K57+L57),0)</f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8" t="n">
        <f aca="false">IFERROR(((S60*N57)+(T60*O57)+(U60*P57)+(V60*Q57))/(N57+O57+P57+Q57),0)</f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8" t="n">
        <f aca="false">IFERROR(((X60*S57)+(Y60*T57)+(Z60*U57)+(AA60*V57))/(S57+T57+U57+V57),0)</f>
        <v>0</v>
      </c>
    </row>
    <row r="61" customFormat="false" ht="15" hidden="false" customHeight="false" outlineLevel="0" collapsed="false">
      <c r="C61" s="22" t="s">
        <v>36</v>
      </c>
      <c r="H61" s="25"/>
      <c r="I61" s="50" t="n">
        <v>-0.01</v>
      </c>
      <c r="J61" s="50" t="n">
        <v>0.01</v>
      </c>
      <c r="K61" s="50" t="n">
        <v>0.01</v>
      </c>
      <c r="L61" s="50" t="n">
        <v>0.02</v>
      </c>
      <c r="M61" s="48" t="n">
        <f aca="false">IFERROR(((I61*D57)+(J61*E57)+(K61*F57)+(L61*G57))/(D57+E57+F57+G57),0)</f>
        <v>0.00771102661596958</v>
      </c>
      <c r="N61" s="50" t="n">
        <v>0.02</v>
      </c>
      <c r="O61" s="49" t="n">
        <v>0</v>
      </c>
      <c r="P61" s="49" t="n">
        <v>0</v>
      </c>
      <c r="Q61" s="49" t="n">
        <v>0</v>
      </c>
      <c r="R61" s="48" t="n">
        <f aca="false">IFERROR(((N61*I57)+(O61*J57)+(P61*K57)+(Q61*L57))/(I57+J57+K57+L57),0)</f>
        <v>0.00462409054163298</v>
      </c>
      <c r="S61" s="49" t="n">
        <v>0</v>
      </c>
      <c r="T61" s="49" t="n">
        <v>0</v>
      </c>
      <c r="U61" s="49" t="n">
        <v>0</v>
      </c>
      <c r="V61" s="49" t="n">
        <v>0</v>
      </c>
      <c r="W61" s="48" t="n">
        <f aca="false">IFERROR(((S61*N57)+(T61*O57)+(U61*P57)+(V61*Q57))/(N57+O57+P57+Q57),0)</f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8" t="n">
        <f aca="false">IFERROR(((X61*S57)+(Y61*T57)+(Z61*U57)+(AA61*V57))/(S57+T57+U57+V57),0)</f>
        <v>0</v>
      </c>
    </row>
    <row r="62" customFormat="false" ht="15" hidden="false" customHeight="false" outlineLevel="0" collapsed="false">
      <c r="A62" s="22" t="s">
        <v>83</v>
      </c>
      <c r="C62" s="3" t="s">
        <v>91</v>
      </c>
      <c r="D62" s="35" t="n">
        <v>579</v>
      </c>
      <c r="E62" s="35" t="n">
        <v>684</v>
      </c>
      <c r="F62" s="35" t="n">
        <v>675</v>
      </c>
      <c r="G62" s="35" t="n">
        <v>932</v>
      </c>
      <c r="H62" s="46" t="n">
        <f aca="false">D62+E62+F62+G62</f>
        <v>2870</v>
      </c>
      <c r="I62" s="35" t="n">
        <v>659</v>
      </c>
      <c r="J62" s="35" t="n">
        <v>652</v>
      </c>
      <c r="K62" s="35" t="n">
        <v>732</v>
      </c>
      <c r="L62" s="35" t="n">
        <v>914</v>
      </c>
      <c r="M62" s="46" t="n">
        <f aca="false">I62+J62+K62+L62</f>
        <v>2957</v>
      </c>
      <c r="N62" s="35" t="n">
        <v>633</v>
      </c>
      <c r="O62" s="37" t="n">
        <f aca="false">J62*(1+O64+O65+O66)</f>
        <v>665.04</v>
      </c>
      <c r="P62" s="37" t="n">
        <f aca="false">K62*(1+P64+P65+P66)</f>
        <v>746.64</v>
      </c>
      <c r="Q62" s="37" t="n">
        <f aca="false">L62*(1+Q64+Q65+Q66)</f>
        <v>932.28</v>
      </c>
      <c r="R62" s="46" t="n">
        <f aca="false">N62+O62+P62+Q62</f>
        <v>2976.96</v>
      </c>
      <c r="S62" s="37" t="n">
        <f aca="false">N62*(1+S64+S65+S66)</f>
        <v>645.66</v>
      </c>
      <c r="T62" s="37" t="n">
        <f aca="false">O62*(1+T64+T65+T66)</f>
        <v>678.3408</v>
      </c>
      <c r="U62" s="37" t="n">
        <f aca="false">P62*(1+U64+U65+U66)</f>
        <v>761.5728</v>
      </c>
      <c r="V62" s="37" t="n">
        <f aca="false">Q62*(1+V64+V65+V66)</f>
        <v>950.9256</v>
      </c>
      <c r="W62" s="46" t="n">
        <f aca="false">S62+T62+U62+V62</f>
        <v>3036.4992</v>
      </c>
      <c r="X62" s="37" t="n">
        <f aca="false">S62*(1+X64+X65+X66)</f>
        <v>658.5732</v>
      </c>
      <c r="Y62" s="37" t="n">
        <f aca="false">T62*(1+Y64+Y65+Y66)</f>
        <v>691.907616</v>
      </c>
      <c r="Z62" s="37" t="n">
        <f aca="false">U62*(1+Z64+Z65+Z66)</f>
        <v>776.804256</v>
      </c>
      <c r="AA62" s="37" t="n">
        <f aca="false">V62*(1+AA64+AA65+AA66)</f>
        <v>969.944112</v>
      </c>
      <c r="AB62" s="46" t="n">
        <f aca="false">X62+Y62+Z62+AA62</f>
        <v>3097.229184</v>
      </c>
    </row>
    <row r="63" customFormat="false" ht="15" hidden="false" customHeight="false" outlineLevel="0" collapsed="false">
      <c r="C63" s="22" t="s">
        <v>33</v>
      </c>
      <c r="H63" s="25"/>
      <c r="I63" s="47" t="n">
        <f aca="false">IFERROR(I62/D62-1,0)</f>
        <v>0.138169257340242</v>
      </c>
      <c r="J63" s="47" t="n">
        <f aca="false">IFERROR(J62/E62-1,0)</f>
        <v>-0.0467836257309942</v>
      </c>
      <c r="K63" s="47" t="n">
        <f aca="false">IFERROR(K62/F62-1,0)</f>
        <v>0.0844444444444445</v>
      </c>
      <c r="L63" s="47" t="n">
        <f aca="false">IFERROR(L62/G62-1,0)</f>
        <v>-0.01931330472103</v>
      </c>
      <c r="M63" s="48" t="n">
        <f aca="false">IFERROR(M62/H62-1,0)</f>
        <v>0.0303135888501742</v>
      </c>
      <c r="N63" s="47" t="n">
        <f aca="false">IFERROR(N62/I62-1,0)</f>
        <v>-0.0394537177541729</v>
      </c>
      <c r="O63" s="47" t="n">
        <f aca="false">O64+O65+O66</f>
        <v>0.02</v>
      </c>
      <c r="P63" s="47" t="n">
        <f aca="false">P64+P65+P66</f>
        <v>0.02</v>
      </c>
      <c r="Q63" s="47" t="n">
        <f aca="false">Q64+Q65+Q66</f>
        <v>0.02</v>
      </c>
      <c r="R63" s="48" t="n">
        <f aca="false">IFERROR(R62/M62-1,0)</f>
        <v>0.00675008454514714</v>
      </c>
      <c r="S63" s="47" t="n">
        <f aca="false">S64+S65+S66</f>
        <v>0.02</v>
      </c>
      <c r="T63" s="47" t="n">
        <f aca="false">T64+T65+T66</f>
        <v>0.02</v>
      </c>
      <c r="U63" s="47" t="n">
        <f aca="false">U64+U65+U66</f>
        <v>0.02</v>
      </c>
      <c r="V63" s="47" t="n">
        <f aca="false">V64+V65+V66</f>
        <v>0.02</v>
      </c>
      <c r="W63" s="48" t="n">
        <f aca="false">IFERROR(W62/R62-1,0)</f>
        <v>0.0199999999999998</v>
      </c>
      <c r="X63" s="47" t="n">
        <f aca="false">X64+X65+X66</f>
        <v>0.02</v>
      </c>
      <c r="Y63" s="47" t="n">
        <f aca="false">Y64+Y65+Y66</f>
        <v>0.02</v>
      </c>
      <c r="Z63" s="47" t="n">
        <f aca="false">Z64+Z65+Z66</f>
        <v>0.02</v>
      </c>
      <c r="AA63" s="47" t="n">
        <f aca="false">AA64+AA65+AA66</f>
        <v>0.02</v>
      </c>
      <c r="AB63" s="48" t="n">
        <f aca="false">IFERROR(AB62/W62-1,0)</f>
        <v>0.02</v>
      </c>
    </row>
    <row r="64" customFormat="false" ht="15" hidden="false" customHeight="false" outlineLevel="0" collapsed="false">
      <c r="C64" s="22" t="s">
        <v>34</v>
      </c>
      <c r="H64" s="25"/>
      <c r="I64" s="47" t="n">
        <f aca="false">IFERROR(I63-I65-I66,0)</f>
        <v>0.148169257340242</v>
      </c>
      <c r="J64" s="47" t="n">
        <f aca="false">IFERROR(J63-J65-J66,0)</f>
        <v>-0.0567836257309942</v>
      </c>
      <c r="K64" s="47" t="n">
        <f aca="false">IFERROR(K63-K65-K66,0)</f>
        <v>0.0744444444444446</v>
      </c>
      <c r="L64" s="47" t="n">
        <f aca="false">IFERROR(L63-L65-L66,0)</f>
        <v>-0.03931330472103</v>
      </c>
      <c r="M64" s="48" t="n">
        <f aca="false">IFERROR(((I64*D62)+(J64*E62)+(K64*F62)+(L64*G62))/(D62+E62+F62+G62),0)</f>
        <v>0.0211010452961673</v>
      </c>
      <c r="N64" s="47" t="n">
        <f aca="false">IFERROR(N63-N65-N66,0)</f>
        <v>-0.059453717754173</v>
      </c>
      <c r="O64" s="49" t="n">
        <v>0.02</v>
      </c>
      <c r="P64" s="49" t="n">
        <v>0.02</v>
      </c>
      <c r="Q64" s="49" t="n">
        <v>0.02</v>
      </c>
      <c r="R64" s="48" t="n">
        <f aca="false">IFERROR(((N64*I62)+(O64*J62)+(P64*K62)+(Q64*L62))/(I62+J62+K62+L62),0)</f>
        <v>0.00229286438958405</v>
      </c>
      <c r="S64" s="49" t="n">
        <v>0.02</v>
      </c>
      <c r="T64" s="49" t="n">
        <v>0.02</v>
      </c>
      <c r="U64" s="49" t="n">
        <v>0.02</v>
      </c>
      <c r="V64" s="49" t="n">
        <v>0.02</v>
      </c>
      <c r="W64" s="48" t="n">
        <f aca="false">IFERROR(((S64*N62)+(T64*O62)+(U64*P62)+(V64*Q62))/(N62+O62+P62+Q62),0)</f>
        <v>0.02</v>
      </c>
      <c r="X64" s="49" t="n">
        <v>0.02</v>
      </c>
      <c r="Y64" s="49" t="n">
        <v>0.02</v>
      </c>
      <c r="Z64" s="49" t="n">
        <v>0.02</v>
      </c>
      <c r="AA64" s="49" t="n">
        <v>0.02</v>
      </c>
      <c r="AB64" s="48" t="n">
        <f aca="false">IFERROR(((X64*S62)+(Y64*T62)+(Z64*U62)+(AA64*V62))/(S62+T62+U62+V62),0)</f>
        <v>0.02</v>
      </c>
    </row>
    <row r="65" customFormat="false" ht="15" hidden="false" customHeight="false" outlineLevel="0" collapsed="false">
      <c r="C65" s="22" t="s">
        <v>35</v>
      </c>
      <c r="H65" s="25"/>
      <c r="I65" s="50" t="n">
        <v>0</v>
      </c>
      <c r="J65" s="50" t="n">
        <v>0</v>
      </c>
      <c r="K65" s="50" t="n">
        <v>0</v>
      </c>
      <c r="L65" s="50" t="n">
        <v>0</v>
      </c>
      <c r="M65" s="48" t="n">
        <f aca="false">IFERROR(((I65*D62)+(J65*E62)+(K65*F62)+(L65*G62))/(D62+E62+F62+G62),0)</f>
        <v>0</v>
      </c>
      <c r="N65" s="50" t="n">
        <v>0</v>
      </c>
      <c r="O65" s="49" t="n">
        <v>0</v>
      </c>
      <c r="P65" s="49" t="n">
        <v>0</v>
      </c>
      <c r="Q65" s="49" t="n">
        <v>0</v>
      </c>
      <c r="R65" s="48" t="n">
        <f aca="false">IFERROR(((N65*I62)+(O65*J62)+(P65*K62)+(Q65*L62))/(I62+J62+K62+L62),0)</f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8" t="n">
        <f aca="false">IFERROR(((S65*N62)+(T65*O62)+(U65*P62)+(V65*Q62))/(N62+O62+P62+Q62),0)</f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8" t="n">
        <f aca="false">IFERROR(((X65*S62)+(Y65*T62)+(Z65*U62)+(AA65*V62))/(S62+T62+U62+V62),0)</f>
        <v>0</v>
      </c>
    </row>
    <row r="66" customFormat="false" ht="15" hidden="false" customHeight="false" outlineLevel="0" collapsed="false">
      <c r="C66" s="22" t="s">
        <v>36</v>
      </c>
      <c r="H66" s="25"/>
      <c r="I66" s="50" t="n">
        <v>-0.01</v>
      </c>
      <c r="J66" s="50" t="n">
        <v>0.01</v>
      </c>
      <c r="K66" s="50" t="n">
        <v>0.01</v>
      </c>
      <c r="L66" s="50" t="n">
        <v>0.02</v>
      </c>
      <c r="M66" s="48" t="n">
        <f aca="false">IFERROR(((I66*D62)+(J66*E62)+(K66*F62)+(L66*G62))/(D62+E62+F62+G62),0)</f>
        <v>0.00921254355400697</v>
      </c>
      <c r="N66" s="50" t="n">
        <v>0.02</v>
      </c>
      <c r="O66" s="49" t="n">
        <v>0</v>
      </c>
      <c r="P66" s="49" t="n">
        <v>0</v>
      </c>
      <c r="Q66" s="49" t="n">
        <v>0</v>
      </c>
      <c r="R66" s="48" t="n">
        <f aca="false">IFERROR(((N66*I62)+(O66*J62)+(P66*K62)+(Q66*L62))/(I62+J62+K62+L62),0)</f>
        <v>0.00445722015556307</v>
      </c>
      <c r="S66" s="49" t="n">
        <v>0</v>
      </c>
      <c r="T66" s="49" t="n">
        <v>0</v>
      </c>
      <c r="U66" s="49" t="n">
        <v>0</v>
      </c>
      <c r="V66" s="49" t="n">
        <v>0</v>
      </c>
      <c r="W66" s="48" t="n">
        <f aca="false">IFERROR(((S66*N62)+(T66*O62)+(U66*P62)+(V66*Q62))/(N62+O62+P62+Q62),0)</f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8" t="n">
        <f aca="false">IFERROR(((X66*S62)+(Y66*T62)+(Z66*U62)+(AA66*V62))/(S62+T62+U62+V62),0)</f>
        <v>0</v>
      </c>
    </row>
    <row r="67" customFormat="false" ht="15" hidden="false" customHeight="false" outlineLevel="0" collapsed="false">
      <c r="C67" s="30" t="s">
        <v>92</v>
      </c>
      <c r="D67" s="51" t="n">
        <f aca="false">D52+D57+D62</f>
        <v>1688</v>
      </c>
      <c r="E67" s="51" t="n">
        <f aca="false">E52+E57+E62</f>
        <v>1781</v>
      </c>
      <c r="F67" s="51" t="n">
        <f aca="false">F52+F57+F62</f>
        <v>1809</v>
      </c>
      <c r="G67" s="51" t="n">
        <f aca="false">G52+G57+G62</f>
        <v>2185</v>
      </c>
      <c r="H67" s="52" t="n">
        <f aca="false">H52+H57+H62</f>
        <v>7463</v>
      </c>
      <c r="I67" s="51" t="n">
        <f aca="false">I52+I57+I62</f>
        <v>1718</v>
      </c>
      <c r="J67" s="51" t="n">
        <f aca="false">J52+J57+J62</f>
        <v>1728</v>
      </c>
      <c r="K67" s="51" t="n">
        <f aca="false">K52+K57+K62</f>
        <v>1893</v>
      </c>
      <c r="L67" s="51" t="n">
        <f aca="false">L52+L57+L62</f>
        <v>2215</v>
      </c>
      <c r="M67" s="52" t="n">
        <f aca="false">M52+M57+M62</f>
        <v>7554</v>
      </c>
      <c r="N67" s="51" t="n">
        <f aca="false">N52+N57+N62</f>
        <v>1716</v>
      </c>
      <c r="O67" s="51" t="n">
        <f aca="false">O52+O57+O62</f>
        <v>1762.56</v>
      </c>
      <c r="P67" s="51" t="n">
        <f aca="false">P52+P57+P62</f>
        <v>1930.86</v>
      </c>
      <c r="Q67" s="51" t="n">
        <f aca="false">Q52+Q57+Q62</f>
        <v>2259.3</v>
      </c>
      <c r="R67" s="52" t="n">
        <f aca="false">R52+R57+R62</f>
        <v>7668.72</v>
      </c>
      <c r="S67" s="51" t="n">
        <f aca="false">S52+S57+S62</f>
        <v>1750.32</v>
      </c>
      <c r="T67" s="51" t="n">
        <f aca="false">T52+T57+T62</f>
        <v>1797.8112</v>
      </c>
      <c r="U67" s="51" t="n">
        <f aca="false">U52+U57+U62</f>
        <v>1969.4772</v>
      </c>
      <c r="V67" s="51" t="n">
        <f aca="false">V52+V57+V62</f>
        <v>2304.486</v>
      </c>
      <c r="W67" s="52" t="n">
        <f aca="false">W52+W57+W62</f>
        <v>7822.0944</v>
      </c>
      <c r="X67" s="51" t="n">
        <f aca="false">X52+X57+X62</f>
        <v>1785.3264</v>
      </c>
      <c r="Y67" s="51" t="n">
        <f aca="false">Y52+Y57+Y62</f>
        <v>1833.767424</v>
      </c>
      <c r="Z67" s="51" t="n">
        <f aca="false">Z52+Z57+Z62</f>
        <v>2008.866744</v>
      </c>
      <c r="AA67" s="51" t="n">
        <f aca="false">AA52+AA57+AA62</f>
        <v>2350.57572</v>
      </c>
      <c r="AB67" s="52" t="n">
        <f aca="false">AB52+AB57+AB62</f>
        <v>7978.536288</v>
      </c>
    </row>
    <row r="68" customFormat="false" ht="15" hidden="false" customHeight="false" outlineLevel="0" collapsed="false">
      <c r="C68" s="22" t="s">
        <v>33</v>
      </c>
      <c r="H68" s="25"/>
      <c r="I68" s="40" t="n">
        <f aca="false">IFERROR(I67/D67-1,0)</f>
        <v>0.0177725118483412</v>
      </c>
      <c r="J68" s="40" t="n">
        <f aca="false">IFERROR(J67/E67-1,0)</f>
        <v>-0.029758562605278</v>
      </c>
      <c r="K68" s="40" t="n">
        <f aca="false">IFERROR(K67/F67-1,0)</f>
        <v>0.0464344941956882</v>
      </c>
      <c r="L68" s="40" t="n">
        <f aca="false">IFERROR(L67/G67-1,0)</f>
        <v>0.0137299771167048</v>
      </c>
      <c r="M68" s="41" t="n">
        <f aca="false">IFERROR(M67/H67-1,0)</f>
        <v>0.0121934878735093</v>
      </c>
      <c r="N68" s="40" t="n">
        <f aca="false">IFERROR(N67/I67-1,0)</f>
        <v>-0.00116414435389989</v>
      </c>
      <c r="O68" s="40" t="n">
        <f aca="false">IFERROR(O67/J67-1,0)</f>
        <v>0.02</v>
      </c>
      <c r="P68" s="40" t="n">
        <f aca="false">IFERROR(P67/K67-1,0)</f>
        <v>0.02</v>
      </c>
      <c r="Q68" s="40" t="n">
        <f aca="false">IFERROR(Q67/L67-1,0)</f>
        <v>0.02</v>
      </c>
      <c r="R68" s="41" t="n">
        <f aca="false">IFERROR(R67/M67-1,0)</f>
        <v>0.015186656076251</v>
      </c>
      <c r="S68" s="40" t="n">
        <f aca="false">IFERROR(S67/N67-1,0)</f>
        <v>0.02</v>
      </c>
      <c r="T68" s="40" t="n">
        <f aca="false">IFERROR(T67/O67-1,0)</f>
        <v>0.02</v>
      </c>
      <c r="U68" s="40" t="n">
        <f aca="false">IFERROR(U67/P67-1,0)</f>
        <v>0.0199999999999998</v>
      </c>
      <c r="V68" s="40" t="n">
        <f aca="false">IFERROR(V67/Q67-1,0)</f>
        <v>0.0199999999999998</v>
      </c>
      <c r="W68" s="41" t="n">
        <f aca="false">IFERROR(W67/R67-1,0)</f>
        <v>0.02</v>
      </c>
      <c r="X68" s="40" t="n">
        <f aca="false">IFERROR(X67/S67-1,0)</f>
        <v>0.0199999999999998</v>
      </c>
      <c r="Y68" s="40" t="n">
        <f aca="false">IFERROR(Y67/T67-1,0)</f>
        <v>0.02</v>
      </c>
      <c r="Z68" s="40" t="n">
        <f aca="false">IFERROR(Z67/U67-1,0)</f>
        <v>0.02</v>
      </c>
      <c r="AA68" s="40" t="n">
        <f aca="false">IFERROR(AA67/V67-1,0)</f>
        <v>0.0200000000000002</v>
      </c>
      <c r="AB68" s="41" t="n">
        <f aca="false">IFERROR(AB67/W67-1,0)</f>
        <v>0.0200000000000002</v>
      </c>
    </row>
    <row r="69" customFormat="false" ht="15" hidden="false" customHeight="false" outlineLevel="0" collapsed="false">
      <c r="C69" s="22" t="s">
        <v>34</v>
      </c>
      <c r="H69" s="25"/>
      <c r="I69" s="40" t="n">
        <f aca="false">IFERROR(I68-I70-I71,0)</f>
        <v>0.0277725118483412</v>
      </c>
      <c r="J69" s="40" t="n">
        <f aca="false">IFERROR(J68-J70-J71,0)</f>
        <v>-0.039758562605278</v>
      </c>
      <c r="K69" s="40" t="n">
        <f aca="false">IFERROR(K68-K70-K71,0)</f>
        <v>0.0364344941956882</v>
      </c>
      <c r="L69" s="40" t="n">
        <f aca="false">IFERROR(L68-L70-L71,0)</f>
        <v>-0.00627002288329524</v>
      </c>
      <c r="M69" s="41" t="n">
        <f aca="false">IFERROR(((I69*D67)+(J69*E67)+(K69*F67)+(L69*G67))/(D67+E67+F67+G67),0)</f>
        <v>0.0037893608468444</v>
      </c>
      <c r="N69" s="40" t="n">
        <f aca="false">IFERROR(N68-N70-N71,0)</f>
        <v>-0.0211641443538999</v>
      </c>
      <c r="O69" s="40" t="n">
        <f aca="false">IFERROR(((O54*J52)+(O59*J57)+(O64*J62))/(J52+J57+J62),0)</f>
        <v>0.02</v>
      </c>
      <c r="P69" s="40" t="n">
        <f aca="false">IFERROR(((P54*K52)+(P59*K57)+(P64*K62))/(K52+K57+K62),0)</f>
        <v>0.02</v>
      </c>
      <c r="Q69" s="40" t="n">
        <f aca="false">IFERROR(((Q54*L52)+(Q59*L57)+(Q64*L62))/(L52+L57+L62),0)</f>
        <v>0.02</v>
      </c>
      <c r="R69" s="41" t="n">
        <f aca="false">IFERROR(((R54*M52)+(R59*M57)+(R64*M62))/(M52+M57+M62),0)</f>
        <v>0.0106380725443474</v>
      </c>
      <c r="S69" s="40" t="n">
        <f aca="false">IFERROR(((S54*N52)+(S59*N57)+(S64*N62))/(N52+N57+N62),0)</f>
        <v>0.02</v>
      </c>
      <c r="T69" s="40" t="n">
        <f aca="false">IFERROR(((T54*O52)+(T59*O57)+(T64*O62))/(O52+O57+O62),0)</f>
        <v>0.02</v>
      </c>
      <c r="U69" s="40" t="n">
        <f aca="false">IFERROR(((U54*P52)+(U59*P57)+(U64*P62))/(P52+P57+P62),0)</f>
        <v>0.02</v>
      </c>
      <c r="V69" s="40" t="n">
        <f aca="false">IFERROR(((V54*Q52)+(V59*Q57)+(V64*Q62))/(Q52+Q57+Q62),0)</f>
        <v>0.02</v>
      </c>
      <c r="W69" s="41" t="n">
        <f aca="false">IFERROR(((W54*R52)+(W59*R57)+(W64*R62))/(R52+R57+R62),0)</f>
        <v>0.02</v>
      </c>
      <c r="X69" s="40" t="n">
        <f aca="false">IFERROR(((X54*S52)+(X59*S57)+(X64*S62))/(S52+S57+S62),0)</f>
        <v>0.02</v>
      </c>
      <c r="Y69" s="40" t="n">
        <f aca="false">IFERROR(((Y54*T52)+(Y59*T57)+(Y64*T62))/(T52+T57+T62),0)</f>
        <v>0.02</v>
      </c>
      <c r="Z69" s="40" t="n">
        <f aca="false">IFERROR(((Z54*U52)+(Z59*U57)+(Z64*U62))/(U52+U57+U62),0)</f>
        <v>0.02</v>
      </c>
      <c r="AA69" s="40" t="n">
        <f aca="false">IFERROR(((AA54*V52)+(AA59*V57)+(AA64*V62))/(V52+V57+V62),0)</f>
        <v>0.02</v>
      </c>
      <c r="AB69" s="41" t="n">
        <f aca="false">IFERROR(((AB54*W52)+(AB59*W57)+(AB64*W62))/(W52+W57+W62),0)</f>
        <v>0.02</v>
      </c>
    </row>
    <row r="70" customFormat="false" ht="15" hidden="false" customHeight="false" outlineLevel="0" collapsed="false">
      <c r="C70" s="22" t="s">
        <v>35</v>
      </c>
      <c r="H70" s="25"/>
      <c r="I70" s="53" t="n">
        <v>0</v>
      </c>
      <c r="J70" s="53" t="n">
        <v>0</v>
      </c>
      <c r="K70" s="53" t="n">
        <v>0</v>
      </c>
      <c r="L70" s="53" t="n">
        <v>0</v>
      </c>
      <c r="M70" s="41" t="n">
        <f aca="false">IFERROR(((I70*D67)+(J70*E67)+(K70*F67)+(L70*G67))/(D67+E67+F67+G67),0)</f>
        <v>0</v>
      </c>
      <c r="N70" s="53" t="n">
        <v>0</v>
      </c>
      <c r="O70" s="40" t="n">
        <f aca="false">IFERROR(((O55*J52)+(O60*J57)+(O65*J62))/(J52+J57+J62),0)</f>
        <v>0</v>
      </c>
      <c r="P70" s="40" t="n">
        <f aca="false">IFERROR(((P55*K52)+(P60*K57)+(P65*K62))/(K52+K57+K62),0)</f>
        <v>0</v>
      </c>
      <c r="Q70" s="40" t="n">
        <f aca="false">IFERROR(((Q55*L52)+(Q60*L57)+(Q65*L62))/(L52+L57+L62),0)</f>
        <v>0</v>
      </c>
      <c r="R70" s="41" t="n">
        <f aca="false">IFERROR(((R55*M52)+(R60*M57)+(R65*M62))/(M52+M57+M62),0)</f>
        <v>0</v>
      </c>
      <c r="S70" s="40" t="n">
        <f aca="false">IFERROR(((S55*N52)+(S60*N57)+(S65*N62))/(N52+N57+N62),0)</f>
        <v>0</v>
      </c>
      <c r="T70" s="40" t="n">
        <f aca="false">IFERROR(((T55*O52)+(T60*O57)+(T65*O62))/(O52+O57+O62),0)</f>
        <v>0</v>
      </c>
      <c r="U70" s="40" t="n">
        <f aca="false">IFERROR(((U55*P52)+(U60*P57)+(U65*P62))/(P52+P57+P62),0)</f>
        <v>0</v>
      </c>
      <c r="V70" s="40" t="n">
        <f aca="false">IFERROR(((V55*Q52)+(V60*Q57)+(V65*Q62))/(Q52+Q57+Q62),0)</f>
        <v>0</v>
      </c>
      <c r="W70" s="41" t="n">
        <f aca="false">IFERROR(((W55*R52)+(W60*R57)+(W65*R62))/(R52+R57+R62),0)</f>
        <v>0</v>
      </c>
      <c r="X70" s="40" t="n">
        <f aca="false">IFERROR(((X55*S52)+(X60*S57)+(X65*S62))/(S52+S57+S62),0)</f>
        <v>0</v>
      </c>
      <c r="Y70" s="40" t="n">
        <f aca="false">IFERROR(((Y55*T52)+(Y60*T57)+(Y65*T62))/(T52+T57+T62),0)</f>
        <v>0</v>
      </c>
      <c r="Z70" s="40" t="n">
        <f aca="false">IFERROR(((Z55*U52)+(Z60*U57)+(Z65*U62))/(U52+U57+U62),0)</f>
        <v>0</v>
      </c>
      <c r="AA70" s="40" t="n">
        <f aca="false">IFERROR(((AA55*V52)+(AA60*V57)+(AA65*V62))/(V52+V57+V62),0)</f>
        <v>0</v>
      </c>
      <c r="AB70" s="41" t="n">
        <f aca="false">IFERROR(((AB55*W52)+(AB60*W57)+(AB65*W62))/(W52+W57+W62),0)</f>
        <v>0</v>
      </c>
    </row>
    <row r="71" customFormat="false" ht="15" hidden="false" customHeight="false" outlineLevel="0" collapsed="false">
      <c r="C71" s="22" t="s">
        <v>36</v>
      </c>
      <c r="H71" s="25"/>
      <c r="I71" s="53" t="n">
        <v>-0.01</v>
      </c>
      <c r="J71" s="53" t="n">
        <v>0.01</v>
      </c>
      <c r="K71" s="53" t="n">
        <v>0.01</v>
      </c>
      <c r="L71" s="53" t="n">
        <v>0.02</v>
      </c>
      <c r="M71" s="41" t="n">
        <f aca="false">IFERROR(((I71*D67)+(J71*E67)+(K71*F67)+(L71*G67))/(D67+E67+F67+G67),0)</f>
        <v>0.00840412702666488</v>
      </c>
      <c r="N71" s="53" t="n">
        <v>0.02</v>
      </c>
      <c r="O71" s="40" t="n">
        <f aca="false">IFERROR(((O56*J52)+(O61*J57)+(O66*J62))/(J52+J57+J62),0)</f>
        <v>0</v>
      </c>
      <c r="P71" s="40" t="n">
        <f aca="false">IFERROR(((P56*K52)+(P61*K57)+(P66*K62))/(K52+K57+K62),0)</f>
        <v>0</v>
      </c>
      <c r="Q71" s="40" t="n">
        <f aca="false">IFERROR(((Q56*L52)+(Q61*L57)+(Q66*L62))/(L52+L57+L62),0)</f>
        <v>0</v>
      </c>
      <c r="R71" s="41" t="n">
        <f aca="false">IFERROR(((R56*M52)+(R61*M57)+(R66*M62))/(M52+M57+M62),0)</f>
        <v>0.00454858353190363</v>
      </c>
      <c r="S71" s="40" t="n">
        <f aca="false">IFERROR(((S56*N52)+(S61*N57)+(S66*N62))/(N52+N57+N62),0)</f>
        <v>0</v>
      </c>
      <c r="T71" s="40" t="n">
        <f aca="false">IFERROR(((T56*O52)+(T61*O57)+(T66*O62))/(O52+O57+O62),0)</f>
        <v>0</v>
      </c>
      <c r="U71" s="40" t="n">
        <f aca="false">IFERROR(((U56*P52)+(U61*P57)+(U66*P62))/(P52+P57+P62),0)</f>
        <v>0</v>
      </c>
      <c r="V71" s="40" t="n">
        <f aca="false">IFERROR(((V56*Q52)+(V61*Q57)+(V66*Q62))/(Q52+Q57+Q62),0)</f>
        <v>0</v>
      </c>
      <c r="W71" s="41" t="n">
        <f aca="false">IFERROR(((W56*R52)+(W61*R57)+(W66*R62))/(R52+R57+R62),0)</f>
        <v>0</v>
      </c>
      <c r="X71" s="40" t="n">
        <f aca="false">IFERROR(((X56*S52)+(X61*S57)+(X66*S62))/(S52+S57+S62),0)</f>
        <v>0</v>
      </c>
      <c r="Y71" s="40" t="n">
        <f aca="false">IFERROR(((Y56*T52)+(Y61*T57)+(Y66*T62))/(T52+T57+T62),0)</f>
        <v>0</v>
      </c>
      <c r="Z71" s="40" t="n">
        <f aca="false">IFERROR(((Z56*U52)+(Z61*U57)+(Z66*U62))/(U52+U57+U62),0)</f>
        <v>0</v>
      </c>
      <c r="AA71" s="40" t="n">
        <f aca="false">IFERROR(((AA56*V52)+(AA61*V57)+(AA66*V62))/(V52+V57+V62),0)</f>
        <v>0</v>
      </c>
      <c r="AB71" s="41" t="n">
        <f aca="false">IFERROR(((AB56*W52)+(AB61*W57)+(AB66*W62))/(W52+W57+W62),0)</f>
        <v>0</v>
      </c>
    </row>
    <row r="72" customFormat="false" ht="15" hidden="false" customHeight="false" outlineLevel="0" collapsed="false">
      <c r="H72" s="25"/>
      <c r="M72" s="25"/>
      <c r="R72" s="25"/>
      <c r="W72" s="25"/>
      <c r="AB72" s="25"/>
    </row>
    <row r="73" customFormat="false" ht="15" hidden="false" customHeight="false" outlineLevel="0" collapsed="false">
      <c r="C73" s="30" t="s">
        <v>47</v>
      </c>
      <c r="D73" s="31"/>
      <c r="E73" s="31"/>
      <c r="F73" s="31"/>
      <c r="G73" s="31"/>
      <c r="H73" s="32"/>
      <c r="I73" s="31"/>
      <c r="J73" s="31"/>
      <c r="K73" s="31"/>
      <c r="L73" s="31"/>
      <c r="M73" s="32"/>
      <c r="N73" s="31"/>
      <c r="O73" s="31"/>
      <c r="P73" s="31"/>
      <c r="Q73" s="31"/>
      <c r="R73" s="32"/>
      <c r="S73" s="31"/>
      <c r="T73" s="31"/>
      <c r="U73" s="31"/>
      <c r="V73" s="31"/>
      <c r="W73" s="32"/>
      <c r="X73" s="31"/>
      <c r="Y73" s="31"/>
      <c r="Z73" s="31"/>
      <c r="AA73" s="31"/>
      <c r="AB73" s="32"/>
    </row>
    <row r="74" customFormat="false" ht="15" hidden="false" customHeight="false" outlineLevel="0" collapsed="false">
      <c r="A74" s="22" t="s">
        <v>83</v>
      </c>
      <c r="C74" s="3" t="s">
        <v>93</v>
      </c>
      <c r="D74" s="35" t="n">
        <v>263</v>
      </c>
      <c r="E74" s="35" t="n">
        <v>273</v>
      </c>
      <c r="F74" s="35" t="n">
        <v>266</v>
      </c>
      <c r="G74" s="35" t="n">
        <v>261</v>
      </c>
      <c r="H74" s="46" t="n">
        <f aca="false">D74+E74+F74+G74</f>
        <v>1063</v>
      </c>
      <c r="I74" s="35" t="n">
        <v>263</v>
      </c>
      <c r="J74" s="35" t="n">
        <v>276</v>
      </c>
      <c r="K74" s="35" t="n">
        <v>283</v>
      </c>
      <c r="L74" s="35" t="n">
        <v>293</v>
      </c>
      <c r="M74" s="46" t="n">
        <f aca="false">I74+J74+K74+L74</f>
        <v>1115</v>
      </c>
      <c r="N74" s="35" t="n">
        <v>271</v>
      </c>
      <c r="O74" s="37" t="n">
        <f aca="false">J74*(1+O76+O77+O78)</f>
        <v>281.52</v>
      </c>
      <c r="P74" s="37" t="n">
        <f aca="false">K74*(1+P76+P77+P78)</f>
        <v>288.66</v>
      </c>
      <c r="Q74" s="37" t="n">
        <f aca="false">L74*(1+Q76+Q77+Q78)</f>
        <v>298.86</v>
      </c>
      <c r="R74" s="46" t="n">
        <f aca="false">N74+O74+P74+Q74</f>
        <v>1140.04</v>
      </c>
      <c r="S74" s="37" t="n">
        <f aca="false">N74*(1+S76+S77+S78)</f>
        <v>276.42</v>
      </c>
      <c r="T74" s="37" t="n">
        <f aca="false">O74*(1+T76+T77+T78)</f>
        <v>287.1504</v>
      </c>
      <c r="U74" s="37" t="n">
        <f aca="false">P74*(1+U76+U77+U78)</f>
        <v>294.4332</v>
      </c>
      <c r="V74" s="37" t="n">
        <f aca="false">Q74*(1+V76+V77+V78)</f>
        <v>304.8372</v>
      </c>
      <c r="W74" s="46" t="n">
        <f aca="false">S74+T74+U74+V74</f>
        <v>1162.8408</v>
      </c>
      <c r="X74" s="37" t="n">
        <f aca="false">S74*(1+X76+X77+X78)</f>
        <v>281.9484</v>
      </c>
      <c r="Y74" s="37" t="n">
        <f aca="false">T74*(1+Y76+Y77+Y78)</f>
        <v>292.893408</v>
      </c>
      <c r="Z74" s="37" t="n">
        <f aca="false">U74*(1+Z76+Z77+Z78)</f>
        <v>300.321864</v>
      </c>
      <c r="AA74" s="37" t="n">
        <f aca="false">V74*(1+AA76+AA77+AA78)</f>
        <v>310.933944</v>
      </c>
      <c r="AB74" s="46" t="n">
        <f aca="false">X74+Y74+Z74+AA74</f>
        <v>1186.097616</v>
      </c>
    </row>
    <row r="75" customFormat="false" ht="15" hidden="false" customHeight="false" outlineLevel="0" collapsed="false">
      <c r="C75" s="22" t="s">
        <v>33</v>
      </c>
      <c r="H75" s="25"/>
      <c r="I75" s="47" t="n">
        <f aca="false">IFERROR(I74/D74-1,0)</f>
        <v>0</v>
      </c>
      <c r="J75" s="47" t="n">
        <f aca="false">IFERROR(J74/E74-1,0)</f>
        <v>0.010989010989011</v>
      </c>
      <c r="K75" s="47" t="n">
        <f aca="false">IFERROR(K74/F74-1,0)</f>
        <v>0.0639097744360901</v>
      </c>
      <c r="L75" s="47" t="n">
        <f aca="false">IFERROR(L74/G74-1,0)</f>
        <v>0.122605363984674</v>
      </c>
      <c r="M75" s="48" t="n">
        <f aca="false">IFERROR(M74/H74-1,0)</f>
        <v>0.0489181561618062</v>
      </c>
      <c r="N75" s="47" t="n">
        <f aca="false">IFERROR(N74/I74-1,0)</f>
        <v>0.0304182509505704</v>
      </c>
      <c r="O75" s="47" t="n">
        <f aca="false">O76+O77+O78</f>
        <v>0.02</v>
      </c>
      <c r="P75" s="47" t="n">
        <f aca="false">P76+P77+P78</f>
        <v>0.02</v>
      </c>
      <c r="Q75" s="47" t="n">
        <f aca="false">Q76+Q77+Q78</f>
        <v>0.02</v>
      </c>
      <c r="R75" s="48" t="n">
        <f aca="false">IFERROR(R74/M74-1,0)</f>
        <v>0.0224573991031389</v>
      </c>
      <c r="S75" s="47" t="n">
        <f aca="false">S76+S77+S78</f>
        <v>0.02</v>
      </c>
      <c r="T75" s="47" t="n">
        <f aca="false">T76+T77+T78</f>
        <v>0.02</v>
      </c>
      <c r="U75" s="47" t="n">
        <f aca="false">U76+U77+U78</f>
        <v>0.02</v>
      </c>
      <c r="V75" s="47" t="n">
        <f aca="false">V76+V77+V78</f>
        <v>0.02</v>
      </c>
      <c r="W75" s="48" t="n">
        <f aca="false">IFERROR(W74/R74-1,0)</f>
        <v>0.0200000000000002</v>
      </c>
      <c r="X75" s="47" t="n">
        <f aca="false">X76+X77+X78</f>
        <v>0.02</v>
      </c>
      <c r="Y75" s="47" t="n">
        <f aca="false">Y76+Y77+Y78</f>
        <v>0.02</v>
      </c>
      <c r="Z75" s="47" t="n">
        <f aca="false">Z76+Z77+Z78</f>
        <v>0.02</v>
      </c>
      <c r="AA75" s="47" t="n">
        <f aca="false">AA76+AA77+AA78</f>
        <v>0.02</v>
      </c>
      <c r="AB75" s="48" t="n">
        <f aca="false">IFERROR(AB74/W74-1,0)</f>
        <v>0.0199999999999998</v>
      </c>
    </row>
    <row r="76" customFormat="false" ht="15" hidden="false" customHeight="false" outlineLevel="0" collapsed="false">
      <c r="C76" s="22" t="s">
        <v>34</v>
      </c>
      <c r="H76" s="25"/>
      <c r="I76" s="47" t="n">
        <f aca="false">IFERROR(I75-I77-I78,0)</f>
        <v>0.01</v>
      </c>
      <c r="J76" s="47" t="n">
        <f aca="false">IFERROR(J75-J77-J78,0)</f>
        <v>0.00098901098901095</v>
      </c>
      <c r="K76" s="47" t="n">
        <f aca="false">IFERROR(K75-K77-K78,0)</f>
        <v>0.0439097744360901</v>
      </c>
      <c r="L76" s="47" t="n">
        <f aca="false">IFERROR(L75-L77-L78,0)</f>
        <v>0.102605363984674</v>
      </c>
      <c r="M76" s="48" t="n">
        <f aca="false">IFERROR(((I76*D74)+(J76*E74)+(K76*F74)+(L76*G74))/(D74+E74+F74+G74),0)</f>
        <v>0.0389087488240827</v>
      </c>
      <c r="N76" s="47" t="n">
        <f aca="false">IFERROR(N75-N77-N78,0)</f>
        <v>0.000418250950570381</v>
      </c>
      <c r="O76" s="49" t="n">
        <v>0.02</v>
      </c>
      <c r="P76" s="49" t="n">
        <v>0.02</v>
      </c>
      <c r="Q76" s="49" t="n">
        <v>0.02</v>
      </c>
      <c r="R76" s="48" t="n">
        <f aca="false">IFERROR(((N76*I74)+(O76*J74)+(P76*K74)+(Q76*L74))/(I74+J74+K74+L74),0)</f>
        <v>0.0153811659192825</v>
      </c>
      <c r="S76" s="49" t="n">
        <v>0.02</v>
      </c>
      <c r="T76" s="49" t="n">
        <v>0.02</v>
      </c>
      <c r="U76" s="49" t="n">
        <v>0.02</v>
      </c>
      <c r="V76" s="49" t="n">
        <v>0.02</v>
      </c>
      <c r="W76" s="48" t="n">
        <f aca="false">IFERROR(((S76*N74)+(T76*O74)+(U76*P74)+(V76*Q74))/(N74+O74+P74+Q74),0)</f>
        <v>0.02</v>
      </c>
      <c r="X76" s="49" t="n">
        <v>0.02</v>
      </c>
      <c r="Y76" s="49" t="n">
        <v>0.02</v>
      </c>
      <c r="Z76" s="49" t="n">
        <v>0.02</v>
      </c>
      <c r="AA76" s="49" t="n">
        <v>0.02</v>
      </c>
      <c r="AB76" s="48" t="n">
        <f aca="false">IFERROR(((X76*S74)+(Y76*T74)+(Z76*U74)+(AA76*V74))/(S74+T74+U74+V74),0)</f>
        <v>0.02</v>
      </c>
    </row>
    <row r="77" customFormat="false" ht="15" hidden="false" customHeight="false" outlineLevel="0" collapsed="false">
      <c r="C77" s="22" t="s">
        <v>35</v>
      </c>
      <c r="H77" s="25"/>
      <c r="I77" s="50" t="n">
        <v>0</v>
      </c>
      <c r="J77" s="50" t="n">
        <v>0</v>
      </c>
      <c r="K77" s="50" t="n">
        <v>0</v>
      </c>
      <c r="L77" s="50" t="n">
        <v>0</v>
      </c>
      <c r="M77" s="48" t="n">
        <f aca="false">IFERROR(((I77*D74)+(J77*E74)+(K77*F74)+(L77*G74))/(D74+E74+F74+G74),0)</f>
        <v>0</v>
      </c>
      <c r="N77" s="50" t="n">
        <v>0</v>
      </c>
      <c r="O77" s="49" t="n">
        <v>0</v>
      </c>
      <c r="P77" s="49" t="n">
        <v>0</v>
      </c>
      <c r="Q77" s="49" t="n">
        <v>0</v>
      </c>
      <c r="R77" s="48" t="n">
        <f aca="false">IFERROR(((N77*I74)+(O77*J74)+(P77*K74)+(Q77*L74))/(I74+J74+K74+L74),0)</f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8" t="n">
        <f aca="false">IFERROR(((S77*N74)+(T77*O74)+(U77*P74)+(V77*Q74))/(N74+O74+P74+Q74),0)</f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8" t="n">
        <f aca="false">IFERROR(((X77*S74)+(Y77*T74)+(Z77*U74)+(AA77*V74))/(S74+T74+U74+V74),0)</f>
        <v>0</v>
      </c>
    </row>
    <row r="78" customFormat="false" ht="15" hidden="false" customHeight="false" outlineLevel="0" collapsed="false">
      <c r="C78" s="22" t="s">
        <v>36</v>
      </c>
      <c r="H78" s="25"/>
      <c r="I78" s="50" t="n">
        <v>-0.01</v>
      </c>
      <c r="J78" s="50" t="n">
        <v>0.01</v>
      </c>
      <c r="K78" s="50" t="n">
        <v>0.02</v>
      </c>
      <c r="L78" s="50" t="n">
        <v>0.02</v>
      </c>
      <c r="M78" s="48" t="n">
        <f aca="false">IFERROR(((I78*D74)+(J78*E74)+(K78*F74)+(L78*G74))/(D74+E74+F74+G74),0)</f>
        <v>0.0100094073377234</v>
      </c>
      <c r="N78" s="50" t="n">
        <v>0.03</v>
      </c>
      <c r="O78" s="49" t="n">
        <v>0</v>
      </c>
      <c r="P78" s="49" t="n">
        <v>0</v>
      </c>
      <c r="Q78" s="49" t="n">
        <v>0</v>
      </c>
      <c r="R78" s="48" t="n">
        <f aca="false">IFERROR(((N78*I74)+(O78*J74)+(P78*K74)+(Q78*L74))/(I74+J74+K74+L74),0)</f>
        <v>0.0070762331838565</v>
      </c>
      <c r="S78" s="49" t="n">
        <v>0</v>
      </c>
      <c r="T78" s="49" t="n">
        <v>0</v>
      </c>
      <c r="U78" s="49" t="n">
        <v>0</v>
      </c>
      <c r="V78" s="49" t="n">
        <v>0</v>
      </c>
      <c r="W78" s="48" t="n">
        <f aca="false">IFERROR(((S78*N74)+(T78*O74)+(U78*P74)+(V78*Q74))/(N74+O74+P74+Q74),0)</f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8" t="n">
        <f aca="false">IFERROR(((X78*S74)+(Y78*T74)+(Z78*U74)+(AA78*V74))/(S74+T74+U74+V74),0)</f>
        <v>0</v>
      </c>
    </row>
    <row r="79" customFormat="false" ht="15" hidden="false" customHeight="false" outlineLevel="0" collapsed="false">
      <c r="A79" s="22" t="s">
        <v>83</v>
      </c>
      <c r="C79" s="3" t="s">
        <v>94</v>
      </c>
      <c r="D79" s="35" t="n">
        <v>212</v>
      </c>
      <c r="E79" s="35" t="n">
        <v>226</v>
      </c>
      <c r="F79" s="35" t="n">
        <v>212</v>
      </c>
      <c r="G79" s="35" t="n">
        <v>215</v>
      </c>
      <c r="H79" s="46" t="n">
        <f aca="false">D79+E79+F79+G79</f>
        <v>865</v>
      </c>
      <c r="I79" s="35" t="n">
        <v>217</v>
      </c>
      <c r="J79" s="35" t="n">
        <v>234</v>
      </c>
      <c r="K79" s="35" t="n">
        <v>230</v>
      </c>
      <c r="L79" s="35" t="n">
        <v>231</v>
      </c>
      <c r="M79" s="46" t="n">
        <f aca="false">I79+J79+K79+L79</f>
        <v>912</v>
      </c>
      <c r="N79" s="35" t="n">
        <v>230</v>
      </c>
      <c r="O79" s="37" t="n">
        <f aca="false">J79*(1+O81+O82+O83)</f>
        <v>238.68</v>
      </c>
      <c r="P79" s="37" t="n">
        <f aca="false">K79*(1+P81+P82+P83)</f>
        <v>234.6</v>
      </c>
      <c r="Q79" s="37" t="n">
        <f aca="false">L79*(1+Q81+Q82+Q83)</f>
        <v>235.62</v>
      </c>
      <c r="R79" s="46" t="n">
        <f aca="false">N79+O79+P79+Q79</f>
        <v>938.9</v>
      </c>
      <c r="S79" s="37" t="n">
        <f aca="false">N79*(1+S81+S82+S83)</f>
        <v>234.6</v>
      </c>
      <c r="T79" s="37" t="n">
        <f aca="false">O79*(1+T81+T82+T83)</f>
        <v>243.4536</v>
      </c>
      <c r="U79" s="37" t="n">
        <f aca="false">P79*(1+U81+U82+U83)</f>
        <v>239.292</v>
      </c>
      <c r="V79" s="37" t="n">
        <f aca="false">Q79*(1+V81+V82+V83)</f>
        <v>240.3324</v>
      </c>
      <c r="W79" s="46" t="n">
        <f aca="false">S79+T79+U79+V79</f>
        <v>957.678</v>
      </c>
      <c r="X79" s="37" t="n">
        <f aca="false">S79*(1+X81+X82+X83)</f>
        <v>239.292</v>
      </c>
      <c r="Y79" s="37" t="n">
        <f aca="false">T79*(1+Y81+Y82+Y83)</f>
        <v>248.322672</v>
      </c>
      <c r="Z79" s="37" t="n">
        <f aca="false">U79*(1+Z81+Z82+Z83)</f>
        <v>244.07784</v>
      </c>
      <c r="AA79" s="37" t="n">
        <f aca="false">V79*(1+AA81+AA82+AA83)</f>
        <v>245.139048</v>
      </c>
      <c r="AB79" s="46" t="n">
        <f aca="false">X79+Y79+Z79+AA79</f>
        <v>976.83156</v>
      </c>
    </row>
    <row r="80" customFormat="false" ht="15" hidden="false" customHeight="false" outlineLevel="0" collapsed="false">
      <c r="C80" s="22" t="s">
        <v>33</v>
      </c>
      <c r="H80" s="25"/>
      <c r="I80" s="47" t="n">
        <f aca="false">IFERROR(I79/D79-1,0)</f>
        <v>0.0235849056603774</v>
      </c>
      <c r="J80" s="47" t="n">
        <f aca="false">IFERROR(J79/E79-1,0)</f>
        <v>0.0353982300884956</v>
      </c>
      <c r="K80" s="47" t="n">
        <f aca="false">IFERROR(K79/F79-1,0)</f>
        <v>0.0849056603773586</v>
      </c>
      <c r="L80" s="47" t="n">
        <f aca="false">IFERROR(L79/G79-1,0)</f>
        <v>0.0744186046511628</v>
      </c>
      <c r="M80" s="48" t="n">
        <f aca="false">IFERROR(M79/H79-1,0)</f>
        <v>0.0543352601156069</v>
      </c>
      <c r="N80" s="47" t="n">
        <f aca="false">IFERROR(N79/I79-1,0)</f>
        <v>0.0599078341013826</v>
      </c>
      <c r="O80" s="47" t="n">
        <f aca="false">O81+O82+O83</f>
        <v>0.02</v>
      </c>
      <c r="P80" s="47" t="n">
        <f aca="false">P81+P82+P83</f>
        <v>0.02</v>
      </c>
      <c r="Q80" s="47" t="n">
        <f aca="false">Q81+Q82+Q83</f>
        <v>0.02</v>
      </c>
      <c r="R80" s="48" t="n">
        <f aca="false">IFERROR(R79/M79-1,0)</f>
        <v>0.0294956140350877</v>
      </c>
      <c r="S80" s="47" t="n">
        <f aca="false">S81+S82+S83</f>
        <v>0.02</v>
      </c>
      <c r="T80" s="47" t="n">
        <f aca="false">T81+T82+T83</f>
        <v>0.02</v>
      </c>
      <c r="U80" s="47" t="n">
        <f aca="false">U81+U82+U83</f>
        <v>0.02</v>
      </c>
      <c r="V80" s="47" t="n">
        <f aca="false">V81+V82+V83</f>
        <v>0.02</v>
      </c>
      <c r="W80" s="48" t="n">
        <f aca="false">IFERROR(W79/R79-1,0)</f>
        <v>0.02</v>
      </c>
      <c r="X80" s="47" t="n">
        <f aca="false">X81+X82+X83</f>
        <v>0.02</v>
      </c>
      <c r="Y80" s="47" t="n">
        <f aca="false">Y81+Y82+Y83</f>
        <v>0.02</v>
      </c>
      <c r="Z80" s="47" t="n">
        <f aca="false">Z81+Z82+Z83</f>
        <v>0.02</v>
      </c>
      <c r="AA80" s="47" t="n">
        <f aca="false">AA81+AA82+AA83</f>
        <v>0.02</v>
      </c>
      <c r="AB80" s="48" t="n">
        <f aca="false">IFERROR(AB79/W79-1,0)</f>
        <v>0.02</v>
      </c>
    </row>
    <row r="81" customFormat="false" ht="15" hidden="false" customHeight="false" outlineLevel="0" collapsed="false">
      <c r="C81" s="22" t="s">
        <v>34</v>
      </c>
      <c r="H81" s="25"/>
      <c r="I81" s="47" t="n">
        <f aca="false">IFERROR(I80-I82-I83,0)</f>
        <v>0.0335849056603774</v>
      </c>
      <c r="J81" s="47" t="n">
        <f aca="false">IFERROR(J80-J82-J83,0)</f>
        <v>0.0253982300884956</v>
      </c>
      <c r="K81" s="47" t="n">
        <f aca="false">IFERROR(K80-K82-K83,0)</f>
        <v>0.0649056603773586</v>
      </c>
      <c r="L81" s="47" t="n">
        <f aca="false">IFERROR(L80-L82-L83,0)</f>
        <v>0.0544186046511628</v>
      </c>
      <c r="M81" s="48" t="n">
        <f aca="false">IFERROR(((I81*D79)+(J81*E79)+(K81*F79)+(L81*G79))/(D79+E79+F79+G79),0)</f>
        <v>0.0443005780346821</v>
      </c>
      <c r="N81" s="47" t="n">
        <f aca="false">IFERROR(N80-N82-N83,0)</f>
        <v>0.0299078341013826</v>
      </c>
      <c r="O81" s="49" t="n">
        <v>0.02</v>
      </c>
      <c r="P81" s="49" t="n">
        <v>0.02</v>
      </c>
      <c r="Q81" s="49" t="n">
        <v>0.02</v>
      </c>
      <c r="R81" s="48" t="n">
        <f aca="false">IFERROR(((N81*I79)+(O81*J79)+(P81*K79)+(Q81*L79))/(I79+J79+K79+L79),0)</f>
        <v>0.0223574561403509</v>
      </c>
      <c r="S81" s="49" t="n">
        <v>0.02</v>
      </c>
      <c r="T81" s="49" t="n">
        <v>0.02</v>
      </c>
      <c r="U81" s="49" t="n">
        <v>0.02</v>
      </c>
      <c r="V81" s="49" t="n">
        <v>0.02</v>
      </c>
      <c r="W81" s="48" t="n">
        <f aca="false">IFERROR(((S81*N79)+(T81*O79)+(U81*P79)+(V81*Q79))/(N79+O79+P79+Q79),0)</f>
        <v>0.02</v>
      </c>
      <c r="X81" s="49" t="n">
        <v>0.02</v>
      </c>
      <c r="Y81" s="49" t="n">
        <v>0.02</v>
      </c>
      <c r="Z81" s="49" t="n">
        <v>0.02</v>
      </c>
      <c r="AA81" s="49" t="n">
        <v>0.02</v>
      </c>
      <c r="AB81" s="48" t="n">
        <f aca="false">IFERROR(((X81*S79)+(Y81*T79)+(Z81*U79)+(AA81*V79))/(S79+T79+U79+V79),0)</f>
        <v>0.02</v>
      </c>
    </row>
    <row r="82" customFormat="false" ht="15" hidden="false" customHeight="false" outlineLevel="0" collapsed="false">
      <c r="C82" s="22" t="s">
        <v>35</v>
      </c>
      <c r="H82" s="25"/>
      <c r="I82" s="50" t="n">
        <v>0</v>
      </c>
      <c r="J82" s="50" t="n">
        <v>0</v>
      </c>
      <c r="K82" s="50" t="n">
        <v>0</v>
      </c>
      <c r="L82" s="50" t="n">
        <v>0</v>
      </c>
      <c r="M82" s="48" t="n">
        <f aca="false">IFERROR(((I82*D79)+(J82*E79)+(K82*F79)+(L82*G79))/(D79+E79+F79+G79),0)</f>
        <v>0</v>
      </c>
      <c r="N82" s="50" t="n">
        <v>0</v>
      </c>
      <c r="O82" s="49" t="n">
        <v>0</v>
      </c>
      <c r="P82" s="49" t="n">
        <v>0</v>
      </c>
      <c r="Q82" s="49" t="n">
        <v>0</v>
      </c>
      <c r="R82" s="48" t="n">
        <f aca="false">IFERROR(((N82*I79)+(O82*J79)+(P82*K79)+(Q82*L79))/(I79+J79+K79+L79),0)</f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8" t="n">
        <f aca="false">IFERROR(((S82*N79)+(T82*O79)+(U82*P79)+(V82*Q79))/(N79+O79+P79+Q79),0)</f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8" t="n">
        <f aca="false">IFERROR(((X82*S79)+(Y82*T79)+(Z82*U79)+(AA82*V79))/(S79+T79+U79+V79),0)</f>
        <v>0</v>
      </c>
    </row>
    <row r="83" customFormat="false" ht="15" hidden="false" customHeight="false" outlineLevel="0" collapsed="false">
      <c r="C83" s="22" t="s">
        <v>36</v>
      </c>
      <c r="H83" s="25"/>
      <c r="I83" s="50" t="n">
        <v>-0.01</v>
      </c>
      <c r="J83" s="50" t="n">
        <v>0.01</v>
      </c>
      <c r="K83" s="50" t="n">
        <v>0.02</v>
      </c>
      <c r="L83" s="50" t="n">
        <v>0.02</v>
      </c>
      <c r="M83" s="48" t="n">
        <f aca="false">IFERROR(((I83*D79)+(J83*E79)+(K83*F79)+(L83*G79))/(D79+E79+F79+G79),0)</f>
        <v>0.0100346820809249</v>
      </c>
      <c r="N83" s="50" t="n">
        <v>0.03</v>
      </c>
      <c r="O83" s="49" t="n">
        <v>0</v>
      </c>
      <c r="P83" s="49" t="n">
        <v>0</v>
      </c>
      <c r="Q83" s="49" t="n">
        <v>0</v>
      </c>
      <c r="R83" s="48" t="n">
        <f aca="false">IFERROR(((N83*I79)+(O83*J79)+(P83*K79)+(Q83*L79))/(I79+J79+K79+L79),0)</f>
        <v>0.00713815789473684</v>
      </c>
      <c r="S83" s="49" t="n">
        <v>0</v>
      </c>
      <c r="T83" s="49" t="n">
        <v>0</v>
      </c>
      <c r="U83" s="49" t="n">
        <v>0</v>
      </c>
      <c r="V83" s="49" t="n">
        <v>0</v>
      </c>
      <c r="W83" s="48" t="n">
        <f aca="false">IFERROR(((S83*N79)+(T83*O79)+(U83*P79)+(V83*Q79))/(N79+O79+P79+Q79),0)</f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8" t="n">
        <f aca="false">IFERROR(((X83*S79)+(Y83*T79)+(Z83*U79)+(AA83*V79))/(S79+T79+U79+V79),0)</f>
        <v>0</v>
      </c>
    </row>
    <row r="84" customFormat="false" ht="15" hidden="false" customHeight="false" outlineLevel="0" collapsed="false">
      <c r="A84" s="22" t="s">
        <v>83</v>
      </c>
      <c r="C84" s="3" t="s">
        <v>95</v>
      </c>
      <c r="D84" s="35" t="n">
        <v>153</v>
      </c>
      <c r="E84" s="35" t="n">
        <v>158</v>
      </c>
      <c r="F84" s="35" t="n">
        <v>159</v>
      </c>
      <c r="G84" s="35" t="n">
        <v>162</v>
      </c>
      <c r="H84" s="46" t="n">
        <f aca="false">D84+E84+F84+G84</f>
        <v>632</v>
      </c>
      <c r="I84" s="35" t="n">
        <v>152</v>
      </c>
      <c r="J84" s="35" t="n">
        <v>159</v>
      </c>
      <c r="K84" s="35" t="n">
        <v>162</v>
      </c>
      <c r="L84" s="35" t="n">
        <v>172</v>
      </c>
      <c r="M84" s="46" t="n">
        <f aca="false">I84+J84+K84+L84</f>
        <v>645</v>
      </c>
      <c r="N84" s="35" t="n">
        <v>160</v>
      </c>
      <c r="O84" s="37" t="n">
        <f aca="false">J84*(1+O86+O87+O88)</f>
        <v>159</v>
      </c>
      <c r="P84" s="37" t="n">
        <f aca="false">K84*(1+P86+P87+P88)</f>
        <v>81</v>
      </c>
      <c r="Q84" s="37" t="n">
        <f aca="false">L84*(1+Q86+Q87+Q88)</f>
        <v>0</v>
      </c>
      <c r="R84" s="46" t="n">
        <f aca="false">N84+O84+P84+Q84</f>
        <v>400</v>
      </c>
      <c r="S84" s="37" t="n">
        <f aca="false">N84*(1+S86+S87+S88)</f>
        <v>0</v>
      </c>
      <c r="T84" s="37" t="n">
        <f aca="false">O84*(1+T86+T87+T88)</f>
        <v>0</v>
      </c>
      <c r="U84" s="37" t="n">
        <f aca="false">P84*(1+U86+U87+U88)</f>
        <v>40.5</v>
      </c>
      <c r="V84" s="37" t="n">
        <f aca="false">Q84*(1+V86+V87+V88)</f>
        <v>0</v>
      </c>
      <c r="W84" s="46" t="n">
        <f aca="false">S84+T84+U84+V84</f>
        <v>40.5</v>
      </c>
      <c r="X84" s="37" t="n">
        <f aca="false">S84*(1+X86+X87+X88)</f>
        <v>0</v>
      </c>
      <c r="Y84" s="37" t="n">
        <f aca="false">T84*(1+Y86+Y87+Y88)</f>
        <v>0</v>
      </c>
      <c r="Z84" s="37" t="n">
        <f aca="false">U84*(1+Z86+Z87+Z88)</f>
        <v>40.5</v>
      </c>
      <c r="AA84" s="37" t="n">
        <f aca="false">V84*(1+AA86+AA87+AA88)</f>
        <v>0</v>
      </c>
      <c r="AB84" s="46" t="n">
        <f aca="false">X84+Y84+Z84+AA84</f>
        <v>40.5</v>
      </c>
    </row>
    <row r="85" customFormat="false" ht="15" hidden="false" customHeight="false" outlineLevel="0" collapsed="false">
      <c r="C85" s="22" t="s">
        <v>33</v>
      </c>
      <c r="H85" s="25"/>
      <c r="I85" s="47" t="n">
        <f aca="false">IFERROR(I84/D84-1,0)</f>
        <v>-0.00653594771241828</v>
      </c>
      <c r="J85" s="47" t="n">
        <f aca="false">IFERROR(J84/E84-1,0)</f>
        <v>0.00632911392405067</v>
      </c>
      <c r="K85" s="47" t="n">
        <f aca="false">IFERROR(K84/F84-1,0)</f>
        <v>0.0188679245283019</v>
      </c>
      <c r="L85" s="47" t="n">
        <f aca="false">IFERROR(L84/G84-1,0)</f>
        <v>0.0617283950617285</v>
      </c>
      <c r="M85" s="48" t="n">
        <f aca="false">IFERROR(M84/H84-1,0)</f>
        <v>0.0205696202531647</v>
      </c>
      <c r="N85" s="47" t="n">
        <f aca="false">IFERROR(N84/I84-1,0)</f>
        <v>0.0526315789473684</v>
      </c>
      <c r="O85" s="47" t="n">
        <f aca="false">O86+O87+O88</f>
        <v>0</v>
      </c>
      <c r="P85" s="47" t="n">
        <f aca="false">P86+P87+P88</f>
        <v>-0.5</v>
      </c>
      <c r="Q85" s="47" t="n">
        <f aca="false">Q86+Q87+Q88</f>
        <v>-1</v>
      </c>
      <c r="R85" s="48" t="n">
        <f aca="false">IFERROR(R84/M84-1,0)</f>
        <v>-0.37984496124031</v>
      </c>
      <c r="S85" s="47" t="n">
        <f aca="false">S86+S87+S88</f>
        <v>-1</v>
      </c>
      <c r="T85" s="47" t="n">
        <f aca="false">T86+T87+T88</f>
        <v>-1</v>
      </c>
      <c r="U85" s="47" t="n">
        <f aca="false">U86+U87+U88</f>
        <v>-0.5</v>
      </c>
      <c r="V85" s="47" t="n">
        <f aca="false">V86+V87+V88</f>
        <v>0</v>
      </c>
      <c r="W85" s="48" t="n">
        <f aca="false">IFERROR(W84/R84-1,0)</f>
        <v>-0.89875</v>
      </c>
      <c r="X85" s="47" t="n">
        <f aca="false">X86+X87+X88</f>
        <v>0</v>
      </c>
      <c r="Y85" s="47" t="n">
        <f aca="false">Y86+Y87+Y88</f>
        <v>0</v>
      </c>
      <c r="Z85" s="47" t="n">
        <f aca="false">Z86+Z87+Z88</f>
        <v>0</v>
      </c>
      <c r="AA85" s="47" t="n">
        <f aca="false">AA86+AA87+AA88</f>
        <v>0</v>
      </c>
      <c r="AB85" s="48" t="n">
        <f aca="false">IFERROR(AB84/W84-1,0)</f>
        <v>0</v>
      </c>
    </row>
    <row r="86" customFormat="false" ht="15" hidden="false" customHeight="false" outlineLevel="0" collapsed="false">
      <c r="C86" s="22" t="s">
        <v>34</v>
      </c>
      <c r="H86" s="25"/>
      <c r="I86" s="47" t="n">
        <f aca="false">IFERROR(I85-I87-I88,0)</f>
        <v>0.00346405228758172</v>
      </c>
      <c r="J86" s="47" t="n">
        <f aca="false">IFERROR(J85-J87-J88,0)</f>
        <v>-0.00367088607594933</v>
      </c>
      <c r="K86" s="47" t="n">
        <f aca="false">IFERROR(K85-K87-K88,0)</f>
        <v>-0.00113207547169812</v>
      </c>
      <c r="L86" s="47" t="n">
        <f aca="false">IFERROR(L85-L87-L88,0)</f>
        <v>0.0417283950617284</v>
      </c>
      <c r="M86" s="48" t="n">
        <f aca="false">IFERROR(((I86*D84)+(J86*E84)+(K86*F84)+(L86*G84))/(D84+E84+F84+G84),0)</f>
        <v>0.0103322784810127</v>
      </c>
      <c r="N86" s="47" t="n">
        <f aca="false">IFERROR(N85-N87-N88,0)</f>
        <v>0.0226315789473684</v>
      </c>
      <c r="O86" s="49" t="n">
        <v>0</v>
      </c>
      <c r="P86" s="49" t="n">
        <v>0</v>
      </c>
      <c r="Q86" s="49" t="n">
        <v>0</v>
      </c>
      <c r="R86" s="48" t="n">
        <f aca="false">IFERROR(((N86*I84)+(O86*J84)+(P86*K84)+(Q86*L84))/(I84+J84+K84+L84),0)</f>
        <v>0.00533333333333332</v>
      </c>
      <c r="S86" s="49" t="n">
        <v>0</v>
      </c>
      <c r="T86" s="49" t="n">
        <v>0</v>
      </c>
      <c r="U86" s="49" t="n">
        <v>0</v>
      </c>
      <c r="V86" s="49" t="n">
        <v>0</v>
      </c>
      <c r="W86" s="48" t="n">
        <f aca="false">IFERROR(((S86*N84)+(T86*O84)+(U86*P84)+(V86*Q84))/(N84+O84+P84+Q84),0)</f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8" t="n">
        <f aca="false">IFERROR(((X86*S84)+(Y86*T84)+(Z86*U84)+(AA86*V84))/(S84+T84+U84+V84),0)</f>
        <v>0</v>
      </c>
    </row>
    <row r="87" customFormat="false" ht="15" hidden="false" customHeight="false" outlineLevel="0" collapsed="false">
      <c r="C87" s="22" t="s">
        <v>35</v>
      </c>
      <c r="H87" s="25"/>
      <c r="I87" s="50" t="n">
        <v>0</v>
      </c>
      <c r="J87" s="50" t="n">
        <v>0</v>
      </c>
      <c r="K87" s="50" t="n">
        <v>0</v>
      </c>
      <c r="L87" s="50" t="n">
        <v>0</v>
      </c>
      <c r="M87" s="48" t="n">
        <f aca="false">IFERROR(((I87*D84)+(J87*E84)+(K87*F84)+(L87*G84))/(D84+E84+F84+G84),0)</f>
        <v>0</v>
      </c>
      <c r="N87" s="50" t="n">
        <v>0</v>
      </c>
      <c r="O87" s="49" t="n">
        <v>0</v>
      </c>
      <c r="P87" s="49" t="n">
        <v>-0.5</v>
      </c>
      <c r="Q87" s="49" t="n">
        <v>-1</v>
      </c>
      <c r="R87" s="48" t="n">
        <f aca="false">IFERROR(((N87*I84)+(O87*J84)+(P87*K84)+(Q87*L84))/(I84+J84+K84+L84),0)</f>
        <v>-0.392248062015504</v>
      </c>
      <c r="S87" s="49" t="n">
        <v>-1</v>
      </c>
      <c r="T87" s="49" t="n">
        <v>-1</v>
      </c>
      <c r="U87" s="49" t="n">
        <v>-0.5</v>
      </c>
      <c r="V87" s="49" t="n">
        <v>0</v>
      </c>
      <c r="W87" s="48" t="n">
        <f aca="false">IFERROR(((S87*N84)+(T87*O84)+(U87*P84)+(V87*Q84))/(N84+O84+P84+Q84),0)</f>
        <v>-0.89875</v>
      </c>
      <c r="X87" s="49" t="n">
        <v>0</v>
      </c>
      <c r="Y87" s="49" t="n">
        <v>0</v>
      </c>
      <c r="Z87" s="49" t="n">
        <v>0</v>
      </c>
      <c r="AA87" s="49" t="n">
        <v>0</v>
      </c>
      <c r="AB87" s="48" t="n">
        <f aca="false">IFERROR(((X87*S84)+(Y87*T84)+(Z87*U84)+(AA87*V84))/(S84+T84+U84+V84),0)</f>
        <v>0</v>
      </c>
    </row>
    <row r="88" customFormat="false" ht="15" hidden="false" customHeight="false" outlineLevel="0" collapsed="false">
      <c r="C88" s="22" t="s">
        <v>36</v>
      </c>
      <c r="H88" s="25"/>
      <c r="I88" s="50" t="n">
        <v>-0.01</v>
      </c>
      <c r="J88" s="50" t="n">
        <v>0.01</v>
      </c>
      <c r="K88" s="50" t="n">
        <v>0.02</v>
      </c>
      <c r="L88" s="50" t="n">
        <v>0.02</v>
      </c>
      <c r="M88" s="48" t="n">
        <f aca="false">IFERROR(((I88*D84)+(J88*E84)+(K88*F84)+(L88*G84))/(D84+E84+F84+G84),0)</f>
        <v>0.0102373417721519</v>
      </c>
      <c r="N88" s="50" t="n">
        <v>0.03</v>
      </c>
      <c r="O88" s="49" t="n">
        <v>0</v>
      </c>
      <c r="P88" s="49" t="n">
        <v>0</v>
      </c>
      <c r="Q88" s="49" t="n">
        <v>0</v>
      </c>
      <c r="R88" s="48" t="n">
        <f aca="false">IFERROR(((N88*I84)+(O88*J84)+(P88*K84)+(Q88*L84))/(I84+J84+K84+L84),0)</f>
        <v>0.00706976744186046</v>
      </c>
      <c r="S88" s="49" t="n">
        <v>0</v>
      </c>
      <c r="T88" s="49" t="n">
        <v>0</v>
      </c>
      <c r="U88" s="49" t="n">
        <v>0</v>
      </c>
      <c r="V88" s="49" t="n">
        <v>0</v>
      </c>
      <c r="W88" s="48" t="n">
        <f aca="false">IFERROR(((S88*N84)+(T88*O84)+(U88*P84)+(V88*Q84))/(N84+O84+P84+Q84),0)</f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8" t="n">
        <f aca="false">IFERROR(((X88*S84)+(Y88*T84)+(Z88*U84)+(AA88*V84))/(S84+T84+U84+V84),0)</f>
        <v>0</v>
      </c>
    </row>
    <row r="89" customFormat="false" ht="15" hidden="false" customHeight="false" outlineLevel="0" collapsed="false">
      <c r="A89" s="22" t="s">
        <v>83</v>
      </c>
      <c r="C89" s="3" t="s">
        <v>96</v>
      </c>
      <c r="D89" s="35" t="n">
        <v>106</v>
      </c>
      <c r="E89" s="35" t="n">
        <v>111</v>
      </c>
      <c r="F89" s="35" t="n">
        <v>114</v>
      </c>
      <c r="G89" s="35" t="n">
        <v>122</v>
      </c>
      <c r="H89" s="46" t="n">
        <f aca="false">D89+E89+F89+G89</f>
        <v>453</v>
      </c>
      <c r="I89" s="35" t="n">
        <v>113</v>
      </c>
      <c r="J89" s="35" t="n">
        <v>124</v>
      </c>
      <c r="K89" s="35" t="n">
        <v>125</v>
      </c>
      <c r="L89" s="35" t="n">
        <v>130</v>
      </c>
      <c r="M89" s="46" t="n">
        <f aca="false">I89+J89+K89+L89</f>
        <v>492</v>
      </c>
      <c r="N89" s="35" t="n">
        <v>121</v>
      </c>
      <c r="O89" s="37" t="n">
        <f aca="false">J89*(1+O91+O92+O93)</f>
        <v>126.48</v>
      </c>
      <c r="P89" s="37" t="n">
        <f aca="false">K89*(1+P91+P92+P93)</f>
        <v>127.5</v>
      </c>
      <c r="Q89" s="37" t="n">
        <f aca="false">L89*(1+Q91+Q92+Q93)</f>
        <v>132.6</v>
      </c>
      <c r="R89" s="46" t="n">
        <f aca="false">N89+O89+P89+Q89</f>
        <v>507.58</v>
      </c>
      <c r="S89" s="37" t="n">
        <f aca="false">N89*(1+S91+S92+S93)</f>
        <v>123.42</v>
      </c>
      <c r="T89" s="37" t="n">
        <f aca="false">O89*(1+T91+T92+T93)</f>
        <v>129.0096</v>
      </c>
      <c r="U89" s="37" t="n">
        <f aca="false">P89*(1+U91+U92+U93)</f>
        <v>130.05</v>
      </c>
      <c r="V89" s="37" t="n">
        <f aca="false">Q89*(1+V91+V92+V93)</f>
        <v>135.252</v>
      </c>
      <c r="W89" s="46" t="n">
        <f aca="false">S89+T89+U89+V89</f>
        <v>517.7316</v>
      </c>
      <c r="X89" s="37" t="n">
        <f aca="false">S89*(1+X91+X92+X93)</f>
        <v>125.8884</v>
      </c>
      <c r="Y89" s="37" t="n">
        <f aca="false">T89*(1+Y91+Y92+Y93)</f>
        <v>131.589792</v>
      </c>
      <c r="Z89" s="37" t="n">
        <f aca="false">U89*(1+Z91+Z92+Z93)</f>
        <v>132.651</v>
      </c>
      <c r="AA89" s="37" t="n">
        <f aca="false">V89*(1+AA91+AA92+AA93)</f>
        <v>137.95704</v>
      </c>
      <c r="AB89" s="46" t="n">
        <f aca="false">X89+Y89+Z89+AA89</f>
        <v>528.086232</v>
      </c>
    </row>
    <row r="90" customFormat="false" ht="15" hidden="false" customHeight="false" outlineLevel="0" collapsed="false">
      <c r="C90" s="22" t="s">
        <v>33</v>
      </c>
      <c r="H90" s="25"/>
      <c r="I90" s="47" t="n">
        <f aca="false">IFERROR(I89/D89-1,0)</f>
        <v>0.0660377358490567</v>
      </c>
      <c r="J90" s="47" t="n">
        <f aca="false">IFERROR(J89/E89-1,0)</f>
        <v>0.117117117117117</v>
      </c>
      <c r="K90" s="47" t="n">
        <f aca="false">IFERROR(K89/F89-1,0)</f>
        <v>0.0964912280701755</v>
      </c>
      <c r="L90" s="47" t="n">
        <f aca="false">IFERROR(L89/G89-1,0)</f>
        <v>0.0655737704918034</v>
      </c>
      <c r="M90" s="48" t="n">
        <f aca="false">IFERROR(M89/H89-1,0)</f>
        <v>0.0860927152317881</v>
      </c>
      <c r="N90" s="47" t="n">
        <f aca="false">IFERROR(N89/I89-1,0)</f>
        <v>0.0707964601769913</v>
      </c>
      <c r="O90" s="47" t="n">
        <f aca="false">O91+O92+O93</f>
        <v>0.02</v>
      </c>
      <c r="P90" s="47" t="n">
        <f aca="false">P91+P92+P93</f>
        <v>0.02</v>
      </c>
      <c r="Q90" s="47" t="n">
        <f aca="false">Q91+Q92+Q93</f>
        <v>0.02</v>
      </c>
      <c r="R90" s="48" t="n">
        <f aca="false">IFERROR(R89/M89-1,0)</f>
        <v>0.0316666666666667</v>
      </c>
      <c r="S90" s="47" t="n">
        <f aca="false">S91+S92+S93</f>
        <v>0.02</v>
      </c>
      <c r="T90" s="47" t="n">
        <f aca="false">T91+T92+T93</f>
        <v>0.02</v>
      </c>
      <c r="U90" s="47" t="n">
        <f aca="false">U91+U92+U93</f>
        <v>0.02</v>
      </c>
      <c r="V90" s="47" t="n">
        <f aca="false">V91+V92+V93</f>
        <v>0.02</v>
      </c>
      <c r="W90" s="48" t="n">
        <f aca="false">IFERROR(W89/R89-1,0)</f>
        <v>0.02</v>
      </c>
      <c r="X90" s="47" t="n">
        <f aca="false">X91+X92+X93</f>
        <v>0.02</v>
      </c>
      <c r="Y90" s="47" t="n">
        <f aca="false">Y91+Y92+Y93</f>
        <v>0.02</v>
      </c>
      <c r="Z90" s="47" t="n">
        <f aca="false">Z91+Z92+Z93</f>
        <v>0.02</v>
      </c>
      <c r="AA90" s="47" t="n">
        <f aca="false">AA91+AA92+AA93</f>
        <v>0.02</v>
      </c>
      <c r="AB90" s="48" t="n">
        <f aca="false">IFERROR(AB89/W89-1,0)</f>
        <v>0.02</v>
      </c>
    </row>
    <row r="91" customFormat="false" ht="15" hidden="false" customHeight="false" outlineLevel="0" collapsed="false">
      <c r="C91" s="22" t="s">
        <v>34</v>
      </c>
      <c r="H91" s="25"/>
      <c r="I91" s="47" t="n">
        <f aca="false">IFERROR(I90-I92-I93,0)</f>
        <v>0.0760377358490567</v>
      </c>
      <c r="J91" s="47" t="n">
        <f aca="false">IFERROR(J90-J92-J93,0)</f>
        <v>0.107117117117117</v>
      </c>
      <c r="K91" s="47" t="n">
        <f aca="false">IFERROR(K90-K92-K93,0)</f>
        <v>0.0764912280701755</v>
      </c>
      <c r="L91" s="47" t="n">
        <f aca="false">IFERROR(L90-L92-L93,0)</f>
        <v>0.0455737704918034</v>
      </c>
      <c r="M91" s="48" t="n">
        <f aca="false">IFERROR(((I91*D89)+(J91*E89)+(K91*F89)+(L91*G89))/(D89+E89+F89+G89),0)</f>
        <v>0.0755629139072848</v>
      </c>
      <c r="N91" s="47" t="n">
        <f aca="false">IFERROR(N90-N92-N93,0)</f>
        <v>0.0407964601769913</v>
      </c>
      <c r="O91" s="49" t="n">
        <v>0.02</v>
      </c>
      <c r="P91" s="49" t="n">
        <v>0.02</v>
      </c>
      <c r="Q91" s="49" t="n">
        <v>0.02</v>
      </c>
      <c r="R91" s="48" t="n">
        <f aca="false">IFERROR(((N91*I89)+(O91*J89)+(P91*K89)+(Q91*L89))/(I89+J89+K89+L89),0)</f>
        <v>0.0247764227642277</v>
      </c>
      <c r="S91" s="49" t="n">
        <v>0.02</v>
      </c>
      <c r="T91" s="49" t="n">
        <v>0.02</v>
      </c>
      <c r="U91" s="49" t="n">
        <v>0.02</v>
      </c>
      <c r="V91" s="49" t="n">
        <v>0.02</v>
      </c>
      <c r="W91" s="48" t="n">
        <f aca="false">IFERROR(((S91*N89)+(T91*O89)+(U91*P89)+(V91*Q89))/(N89+O89+P89+Q89),0)</f>
        <v>0.02</v>
      </c>
      <c r="X91" s="49" t="n">
        <v>0.02</v>
      </c>
      <c r="Y91" s="49" t="n">
        <v>0.02</v>
      </c>
      <c r="Z91" s="49" t="n">
        <v>0.02</v>
      </c>
      <c r="AA91" s="49" t="n">
        <v>0.02</v>
      </c>
      <c r="AB91" s="48" t="n">
        <f aca="false">IFERROR(((X91*S89)+(Y91*T89)+(Z91*U89)+(AA91*V89))/(S89+T89+U89+V89),0)</f>
        <v>0.02</v>
      </c>
    </row>
    <row r="92" customFormat="false" ht="15" hidden="false" customHeight="false" outlineLevel="0" collapsed="false">
      <c r="C92" s="22" t="s">
        <v>35</v>
      </c>
      <c r="H92" s="25"/>
      <c r="I92" s="50" t="n">
        <v>0</v>
      </c>
      <c r="J92" s="50" t="n">
        <v>0</v>
      </c>
      <c r="K92" s="50" t="n">
        <v>0</v>
      </c>
      <c r="L92" s="50" t="n">
        <v>0</v>
      </c>
      <c r="M92" s="48" t="n">
        <f aca="false">IFERROR(((I92*D89)+(J92*E89)+(K92*F89)+(L92*G89))/(D89+E89+F89+G89),0)</f>
        <v>0</v>
      </c>
      <c r="N92" s="50" t="n">
        <v>0</v>
      </c>
      <c r="O92" s="49" t="n">
        <v>0</v>
      </c>
      <c r="P92" s="49" t="n">
        <v>0</v>
      </c>
      <c r="Q92" s="49" t="n">
        <v>0</v>
      </c>
      <c r="R92" s="48" t="n">
        <f aca="false">IFERROR(((N92*I89)+(O92*J89)+(P92*K89)+(Q92*L89))/(I89+J89+K89+L89),0)</f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8" t="n">
        <f aca="false">IFERROR(((S92*N89)+(T92*O89)+(U92*P89)+(V92*Q89))/(N89+O89+P89+Q89),0)</f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8" t="n">
        <f aca="false">IFERROR(((X92*S89)+(Y92*T89)+(Z92*U89)+(AA92*V89))/(S89+T89+U89+V89),0)</f>
        <v>0</v>
      </c>
    </row>
    <row r="93" customFormat="false" ht="15" hidden="false" customHeight="false" outlineLevel="0" collapsed="false">
      <c r="C93" s="22" t="s">
        <v>36</v>
      </c>
      <c r="H93" s="25"/>
      <c r="I93" s="50" t="n">
        <v>-0.01</v>
      </c>
      <c r="J93" s="50" t="n">
        <v>0.01</v>
      </c>
      <c r="K93" s="50" t="n">
        <v>0.02</v>
      </c>
      <c r="L93" s="50" t="n">
        <v>0.02</v>
      </c>
      <c r="M93" s="48" t="n">
        <f aca="false">IFERROR(((I93*D89)+(J93*E89)+(K93*F89)+(L93*G89))/(D89+E89+F89+G89),0)</f>
        <v>0.0105298013245033</v>
      </c>
      <c r="N93" s="50" t="n">
        <v>0.03</v>
      </c>
      <c r="O93" s="49" t="n">
        <v>0</v>
      </c>
      <c r="P93" s="49" t="n">
        <v>0</v>
      </c>
      <c r="Q93" s="49" t="n">
        <v>0</v>
      </c>
      <c r="R93" s="48" t="n">
        <f aca="false">IFERROR(((N93*I89)+(O93*J89)+(P93*K89)+(Q93*L89))/(I89+J89+K89+L89),0)</f>
        <v>0.00689024390243902</v>
      </c>
      <c r="S93" s="49" t="n">
        <v>0</v>
      </c>
      <c r="T93" s="49" t="n">
        <v>0</v>
      </c>
      <c r="U93" s="49" t="n">
        <v>0</v>
      </c>
      <c r="V93" s="49" t="n">
        <v>0</v>
      </c>
      <c r="W93" s="48" t="n">
        <f aca="false">IFERROR(((S93*N89)+(T93*O89)+(U93*P89)+(V93*Q89))/(N89+O89+P89+Q89),0)</f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8" t="n">
        <f aca="false">IFERROR(((X93*S89)+(Y93*T89)+(Z93*U89)+(AA93*V89))/(S89+T89+U89+V89),0)</f>
        <v>0</v>
      </c>
    </row>
    <row r="94" customFormat="false" ht="15" hidden="false" customHeight="false" outlineLevel="0" collapsed="false">
      <c r="A94" s="22" t="s">
        <v>83</v>
      </c>
      <c r="C94" s="3" t="s">
        <v>97</v>
      </c>
      <c r="D94" s="35" t="n">
        <v>438</v>
      </c>
      <c r="E94" s="35" t="n">
        <v>411</v>
      </c>
      <c r="F94" s="35" t="n">
        <v>453</v>
      </c>
      <c r="G94" s="35" t="n">
        <v>462</v>
      </c>
      <c r="H94" s="46" t="n">
        <f aca="false">D94+E94+F94+G94</f>
        <v>1764</v>
      </c>
      <c r="I94" s="35" t="n">
        <v>474</v>
      </c>
      <c r="J94" s="35" t="n">
        <v>407</v>
      </c>
      <c r="K94" s="35" t="n">
        <v>444</v>
      </c>
      <c r="L94" s="35" t="n">
        <v>463</v>
      </c>
      <c r="M94" s="46" t="n">
        <f aca="false">I94+J94+K94+L94</f>
        <v>1788</v>
      </c>
      <c r="N94" s="35" t="n">
        <v>430</v>
      </c>
      <c r="O94" s="37" t="n">
        <f aca="false">J94*(1+O96+O97+O98)</f>
        <v>415.14</v>
      </c>
      <c r="P94" s="37" t="n">
        <f aca="false">K94*(1+P96+P97+P98)</f>
        <v>452.88</v>
      </c>
      <c r="Q94" s="37" t="n">
        <f aca="false">L94*(1+Q96+Q97+Q98)</f>
        <v>472.26</v>
      </c>
      <c r="R94" s="46" t="n">
        <f aca="false">N94+O94+P94+Q94</f>
        <v>1770.28</v>
      </c>
      <c r="S94" s="37" t="n">
        <f aca="false">N94*(1+S96+S97+S98)</f>
        <v>438.6</v>
      </c>
      <c r="T94" s="37" t="n">
        <f aca="false">O94*(1+T96+T97+T98)</f>
        <v>423.4428</v>
      </c>
      <c r="U94" s="37" t="n">
        <f aca="false">P94*(1+U96+U97+U98)</f>
        <v>461.9376</v>
      </c>
      <c r="V94" s="37" t="n">
        <f aca="false">Q94*(1+V96+V97+V98)</f>
        <v>481.7052</v>
      </c>
      <c r="W94" s="46" t="n">
        <f aca="false">S94+T94+U94+V94</f>
        <v>1805.6856</v>
      </c>
      <c r="X94" s="37" t="n">
        <f aca="false">S94*(1+X96+X97+X98)</f>
        <v>447.372</v>
      </c>
      <c r="Y94" s="37" t="n">
        <f aca="false">T94*(1+Y96+Y97+Y98)</f>
        <v>431.911656</v>
      </c>
      <c r="Z94" s="37" t="n">
        <f aca="false">U94*(1+Z96+Z97+Z98)</f>
        <v>471.176352</v>
      </c>
      <c r="AA94" s="37" t="n">
        <f aca="false">V94*(1+AA96+AA97+AA98)</f>
        <v>491.339304</v>
      </c>
      <c r="AB94" s="46" t="n">
        <f aca="false">X94+Y94+Z94+AA94</f>
        <v>1841.799312</v>
      </c>
    </row>
    <row r="95" customFormat="false" ht="15" hidden="false" customHeight="false" outlineLevel="0" collapsed="false">
      <c r="C95" s="22" t="s">
        <v>33</v>
      </c>
      <c r="H95" s="25"/>
      <c r="I95" s="47" t="n">
        <f aca="false">IFERROR(I94/D94-1,0)</f>
        <v>0.0821917808219179</v>
      </c>
      <c r="J95" s="47" t="n">
        <f aca="false">IFERROR(J94/E94-1,0)</f>
        <v>-0.00973236009732359</v>
      </c>
      <c r="K95" s="47" t="n">
        <f aca="false">IFERROR(K94/F94-1,0)</f>
        <v>-0.0198675496688742</v>
      </c>
      <c r="L95" s="47" t="n">
        <f aca="false">IFERROR(L94/G94-1,0)</f>
        <v>0.00216450216450226</v>
      </c>
      <c r="M95" s="48" t="n">
        <f aca="false">IFERROR(M94/H94-1,0)</f>
        <v>0.0136054421768708</v>
      </c>
      <c r="N95" s="47" t="n">
        <f aca="false">IFERROR(N94/I94-1,0)</f>
        <v>-0.0928270042194093</v>
      </c>
      <c r="O95" s="47" t="n">
        <f aca="false">O96+O97+O98</f>
        <v>0.02</v>
      </c>
      <c r="P95" s="47" t="n">
        <f aca="false">P96+P97+P98</f>
        <v>0.02</v>
      </c>
      <c r="Q95" s="47" t="n">
        <f aca="false">Q96+Q97+Q98</f>
        <v>0.02</v>
      </c>
      <c r="R95" s="48" t="n">
        <f aca="false">IFERROR(R94/M94-1,0)</f>
        <v>-0.00991051454138703</v>
      </c>
      <c r="S95" s="47" t="n">
        <f aca="false">S96+S97+S98</f>
        <v>0.02</v>
      </c>
      <c r="T95" s="47" t="n">
        <f aca="false">T96+T97+T98</f>
        <v>0.02</v>
      </c>
      <c r="U95" s="47" t="n">
        <f aca="false">U96+U97+U98</f>
        <v>0.02</v>
      </c>
      <c r="V95" s="47" t="n">
        <f aca="false">V96+V97+V98</f>
        <v>0.02</v>
      </c>
      <c r="W95" s="48" t="n">
        <f aca="false">IFERROR(W94/R94-1,0)</f>
        <v>0.0199999999999998</v>
      </c>
      <c r="X95" s="47" t="n">
        <f aca="false">X96+X97+X98</f>
        <v>0.02</v>
      </c>
      <c r="Y95" s="47" t="n">
        <f aca="false">Y96+Y97+Y98</f>
        <v>0.02</v>
      </c>
      <c r="Z95" s="47" t="n">
        <f aca="false">Z96+Z97+Z98</f>
        <v>0.02</v>
      </c>
      <c r="AA95" s="47" t="n">
        <f aca="false">AA96+AA97+AA98</f>
        <v>0.02</v>
      </c>
      <c r="AB95" s="48" t="n">
        <f aca="false">IFERROR(AB94/W94-1,0)</f>
        <v>0.0200000000000002</v>
      </c>
    </row>
    <row r="96" customFormat="false" ht="15" hidden="false" customHeight="false" outlineLevel="0" collapsed="false">
      <c r="C96" s="22" t="s">
        <v>34</v>
      </c>
      <c r="H96" s="25"/>
      <c r="I96" s="47" t="n">
        <f aca="false">IFERROR(I95-I97-I98,0)</f>
        <v>0.0921917808219179</v>
      </c>
      <c r="J96" s="47" t="n">
        <f aca="false">IFERROR(J95-J97-J98,0)</f>
        <v>-0.0197323600973236</v>
      </c>
      <c r="K96" s="47" t="n">
        <f aca="false">IFERROR(K95-K97-K98,0)</f>
        <v>-0.0398675496688742</v>
      </c>
      <c r="L96" s="47" t="n">
        <f aca="false">IFERROR(L95-L97-L98,0)</f>
        <v>-0.0178354978354977</v>
      </c>
      <c r="M96" s="48" t="n">
        <f aca="false">IFERROR(((I96*D94)+(J96*E94)+(K96*F94)+(L96*G94))/(D94+E94+F94+G94),0)</f>
        <v>0.00338435374149665</v>
      </c>
      <c r="N96" s="47" t="n">
        <f aca="false">IFERROR(N95-N97-N98,0)</f>
        <v>-0.122827004219409</v>
      </c>
      <c r="O96" s="49" t="n">
        <v>0.02</v>
      </c>
      <c r="P96" s="49" t="n">
        <v>0.02</v>
      </c>
      <c r="Q96" s="49" t="n">
        <v>0.02</v>
      </c>
      <c r="R96" s="48" t="n">
        <f aca="false">IFERROR(((N96*I94)+(O96*J94)+(P96*K94)+(Q96*L94))/(I94+J94+K94+L94),0)</f>
        <v>-0.0178635346756152</v>
      </c>
      <c r="S96" s="49" t="n">
        <v>0.02</v>
      </c>
      <c r="T96" s="49" t="n">
        <v>0.02</v>
      </c>
      <c r="U96" s="49" t="n">
        <v>0.02</v>
      </c>
      <c r="V96" s="49" t="n">
        <v>0.02</v>
      </c>
      <c r="W96" s="48" t="n">
        <f aca="false">IFERROR(((S96*N94)+(T96*O94)+(U96*P94)+(V96*Q94))/(N94+O94+P94+Q94),0)</f>
        <v>0.02</v>
      </c>
      <c r="X96" s="49" t="n">
        <v>0.02</v>
      </c>
      <c r="Y96" s="49" t="n">
        <v>0.02</v>
      </c>
      <c r="Z96" s="49" t="n">
        <v>0.02</v>
      </c>
      <c r="AA96" s="49" t="n">
        <v>0.02</v>
      </c>
      <c r="AB96" s="48" t="n">
        <f aca="false">IFERROR(((X96*S94)+(Y96*T94)+(Z96*U94)+(AA96*V94))/(S94+T94+U94+V94),0)</f>
        <v>0.02</v>
      </c>
    </row>
    <row r="97" customFormat="false" ht="15" hidden="false" customHeight="false" outlineLevel="0" collapsed="false">
      <c r="C97" s="22" t="s">
        <v>35</v>
      </c>
      <c r="H97" s="25"/>
      <c r="I97" s="50" t="n">
        <v>0</v>
      </c>
      <c r="J97" s="50" t="n">
        <v>0</v>
      </c>
      <c r="K97" s="50" t="n">
        <v>0</v>
      </c>
      <c r="L97" s="50" t="n">
        <v>0</v>
      </c>
      <c r="M97" s="48" t="n">
        <f aca="false">IFERROR(((I97*D94)+(J97*E94)+(K97*F94)+(L97*G94))/(D94+E94+F94+G94),0)</f>
        <v>0</v>
      </c>
      <c r="N97" s="50" t="n">
        <v>0</v>
      </c>
      <c r="O97" s="49" t="n">
        <v>0</v>
      </c>
      <c r="P97" s="49" t="n">
        <v>0</v>
      </c>
      <c r="Q97" s="49" t="n">
        <v>0</v>
      </c>
      <c r="R97" s="48" t="n">
        <f aca="false">IFERROR(((N97*I94)+(O97*J94)+(P97*K94)+(Q97*L94))/(I94+J94+K94+L94),0)</f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8" t="n">
        <f aca="false">IFERROR(((S97*N94)+(T97*O94)+(U97*P94)+(V97*Q94))/(N94+O94+P94+Q94),0)</f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8" t="n">
        <f aca="false">IFERROR(((X97*S94)+(Y97*T94)+(Z97*U94)+(AA97*V94))/(S94+T94+U94+V94),0)</f>
        <v>0</v>
      </c>
    </row>
    <row r="98" customFormat="false" ht="15" hidden="false" customHeight="false" outlineLevel="0" collapsed="false">
      <c r="C98" s="22" t="s">
        <v>36</v>
      </c>
      <c r="H98" s="25"/>
      <c r="I98" s="50" t="n">
        <v>-0.01</v>
      </c>
      <c r="J98" s="50" t="n">
        <v>0.01</v>
      </c>
      <c r="K98" s="50" t="n">
        <v>0.02</v>
      </c>
      <c r="L98" s="50" t="n">
        <v>0.02</v>
      </c>
      <c r="M98" s="48" t="n">
        <f aca="false">IFERROR(((I98*D94)+(J98*E94)+(K98*F94)+(L98*G94))/(D94+E94+F94+G94),0)</f>
        <v>0.0102210884353742</v>
      </c>
      <c r="N98" s="50" t="n">
        <v>0.03</v>
      </c>
      <c r="O98" s="49" t="n">
        <v>0</v>
      </c>
      <c r="P98" s="49" t="n">
        <v>0</v>
      </c>
      <c r="Q98" s="49" t="n">
        <v>0</v>
      </c>
      <c r="R98" s="48" t="n">
        <f aca="false">IFERROR(((N98*I94)+(O98*J94)+(P98*K94)+(Q98*L94))/(I94+J94+K94+L94),0)</f>
        <v>0.00795302013422819</v>
      </c>
      <c r="S98" s="49" t="n">
        <v>0</v>
      </c>
      <c r="T98" s="49" t="n">
        <v>0</v>
      </c>
      <c r="U98" s="49" t="n">
        <v>0</v>
      </c>
      <c r="V98" s="49" t="n">
        <v>0</v>
      </c>
      <c r="W98" s="48" t="n">
        <f aca="false">IFERROR(((S98*N94)+(T98*O94)+(U98*P94)+(V98*Q94))/(N94+O94+P94+Q94),0)</f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8" t="n">
        <f aca="false">IFERROR(((X98*S94)+(Y98*T94)+(Z98*U94)+(AA98*V94))/(S94+T94+U94+V94),0)</f>
        <v>0</v>
      </c>
    </row>
    <row r="99" customFormat="false" ht="15" hidden="false" customHeight="false" outlineLevel="0" collapsed="false">
      <c r="A99" s="22" t="s">
        <v>83</v>
      </c>
      <c r="C99" s="3" t="s">
        <v>98</v>
      </c>
      <c r="D99" s="35" t="n">
        <v>-63</v>
      </c>
      <c r="E99" s="35" t="n">
        <v>-62</v>
      </c>
      <c r="F99" s="35" t="n">
        <v>-75</v>
      </c>
      <c r="G99" s="35" t="n">
        <v>-66</v>
      </c>
      <c r="H99" s="46" t="n">
        <f aca="false">D99+E99+F99+G99</f>
        <v>-266</v>
      </c>
      <c r="I99" s="35" t="n">
        <v>-72</v>
      </c>
      <c r="J99" s="35" t="n">
        <v>-65</v>
      </c>
      <c r="K99" s="35" t="n">
        <v>-70</v>
      </c>
      <c r="L99" s="35" t="n">
        <v>-68</v>
      </c>
      <c r="M99" s="46" t="n">
        <f aca="false">I99+J99+K99+L99</f>
        <v>-275</v>
      </c>
      <c r="N99" s="35" t="n">
        <v>-71</v>
      </c>
      <c r="O99" s="37" t="n">
        <f aca="false">J99*(1+O101+O102+O103)</f>
        <v>-66.3</v>
      </c>
      <c r="P99" s="37" t="n">
        <f aca="false">K99*(1+P101+P102+P103)</f>
        <v>-71.4</v>
      </c>
      <c r="Q99" s="37" t="n">
        <f aca="false">L99*(1+Q101+Q102+Q103)</f>
        <v>-69.36</v>
      </c>
      <c r="R99" s="46" t="n">
        <f aca="false">N99+O99+P99+Q99</f>
        <v>-278.06</v>
      </c>
      <c r="S99" s="37" t="n">
        <f aca="false">N99*(1+S101+S102+S103)</f>
        <v>-72.42</v>
      </c>
      <c r="T99" s="37" t="n">
        <f aca="false">O99*(1+T101+T102+T103)</f>
        <v>-67.626</v>
      </c>
      <c r="U99" s="37" t="n">
        <f aca="false">P99*(1+U101+U102+U103)</f>
        <v>-72.828</v>
      </c>
      <c r="V99" s="37" t="n">
        <f aca="false">Q99*(1+V101+V102+V103)</f>
        <v>-70.7472</v>
      </c>
      <c r="W99" s="46" t="n">
        <f aca="false">S99+T99+U99+V99</f>
        <v>-283.6212</v>
      </c>
      <c r="X99" s="37" t="n">
        <f aca="false">S99*(1+X101+X102+X103)</f>
        <v>-73.8684</v>
      </c>
      <c r="Y99" s="37" t="n">
        <f aca="false">T99*(1+Y101+Y102+Y103)</f>
        <v>-68.97852</v>
      </c>
      <c r="Z99" s="37" t="n">
        <f aca="false">U99*(1+Z101+Z102+Z103)</f>
        <v>-74.28456</v>
      </c>
      <c r="AA99" s="37" t="n">
        <f aca="false">V99*(1+AA101+AA102+AA103)</f>
        <v>-72.162144</v>
      </c>
      <c r="AB99" s="46" t="n">
        <f aca="false">X99+Y99+Z99+AA99</f>
        <v>-289.293624</v>
      </c>
    </row>
    <row r="100" customFormat="false" ht="15" hidden="false" customHeight="false" outlineLevel="0" collapsed="false">
      <c r="C100" s="22" t="s">
        <v>33</v>
      </c>
      <c r="H100" s="25"/>
      <c r="I100" s="47" t="n">
        <f aca="false">IFERROR(I99/D99-1,0)</f>
        <v>0.142857142857143</v>
      </c>
      <c r="J100" s="47" t="n">
        <f aca="false">IFERROR(J99/E99-1,0)</f>
        <v>0.0483870967741935</v>
      </c>
      <c r="K100" s="47" t="n">
        <f aca="false">IFERROR(K99/F99-1,0)</f>
        <v>-0.0666666666666667</v>
      </c>
      <c r="L100" s="47" t="n">
        <f aca="false">IFERROR(L99/G99-1,0)</f>
        <v>0.0303030303030303</v>
      </c>
      <c r="M100" s="48" t="n">
        <f aca="false">IFERROR(M99/H99-1,0)</f>
        <v>0.0338345864661653</v>
      </c>
      <c r="N100" s="47" t="n">
        <f aca="false">IFERROR(N99/I99-1,0)</f>
        <v>-0.0138888888888888</v>
      </c>
      <c r="O100" s="47" t="n">
        <f aca="false">O101+O102+O103</f>
        <v>0.02</v>
      </c>
      <c r="P100" s="47" t="n">
        <f aca="false">P101+P102+P103</f>
        <v>0.02</v>
      </c>
      <c r="Q100" s="47" t="n">
        <f aca="false">Q101+Q102+Q103</f>
        <v>0.02</v>
      </c>
      <c r="R100" s="48" t="n">
        <f aca="false">IFERROR(R99/M99-1,0)</f>
        <v>0.0111272727272727</v>
      </c>
      <c r="S100" s="47" t="n">
        <f aca="false">S101+S102+S103</f>
        <v>0.02</v>
      </c>
      <c r="T100" s="47" t="n">
        <f aca="false">T101+T102+T103</f>
        <v>0.02</v>
      </c>
      <c r="U100" s="47" t="n">
        <f aca="false">U101+U102+U103</f>
        <v>0.02</v>
      </c>
      <c r="V100" s="47" t="n">
        <f aca="false">V101+V102+V103</f>
        <v>0.02</v>
      </c>
      <c r="W100" s="48" t="n">
        <f aca="false">IFERROR(W99/R99-1,0)</f>
        <v>0.02</v>
      </c>
      <c r="X100" s="47" t="n">
        <f aca="false">X101+X102+X103</f>
        <v>0.02</v>
      </c>
      <c r="Y100" s="47" t="n">
        <f aca="false">Y101+Y102+Y103</f>
        <v>0.02</v>
      </c>
      <c r="Z100" s="47" t="n">
        <f aca="false">Z101+Z102+Z103</f>
        <v>0.02</v>
      </c>
      <c r="AA100" s="47" t="n">
        <f aca="false">AA101+AA102+AA103</f>
        <v>0.02</v>
      </c>
      <c r="AB100" s="48" t="n">
        <f aca="false">IFERROR(AB99/W99-1,0)</f>
        <v>0.02</v>
      </c>
    </row>
    <row r="101" customFormat="false" ht="15" hidden="false" customHeight="false" outlineLevel="0" collapsed="false">
      <c r="C101" s="22" t="s">
        <v>34</v>
      </c>
      <c r="H101" s="25"/>
      <c r="I101" s="47" t="n">
        <f aca="false">IFERROR(I100-I102-I103,0)</f>
        <v>0.152857142857143</v>
      </c>
      <c r="J101" s="47" t="n">
        <f aca="false">IFERROR(J100-J102-J103,0)</f>
        <v>0.0383870967741935</v>
      </c>
      <c r="K101" s="47" t="n">
        <f aca="false">IFERROR(K100-K102-K103,0)</f>
        <v>-0.0866666666666667</v>
      </c>
      <c r="L101" s="47" t="n">
        <f aca="false">IFERROR(L100-L102-L103,0)</f>
        <v>0.0103030303030303</v>
      </c>
      <c r="M101" s="48" t="n">
        <f aca="false">IFERROR(((I101*D99)+(J101*E99)+(K101*F99)+(L101*G99))/(D99+E99+F99+G99),0)</f>
        <v>0.0232706766917293</v>
      </c>
      <c r="N101" s="47" t="n">
        <f aca="false">IFERROR(N100-N102-N103,0)</f>
        <v>-0.0438888888888888</v>
      </c>
      <c r="O101" s="49" t="n">
        <v>0.02</v>
      </c>
      <c r="P101" s="49" t="n">
        <v>0.02</v>
      </c>
      <c r="Q101" s="49" t="n">
        <v>0.02</v>
      </c>
      <c r="R101" s="48" t="n">
        <f aca="false">IFERROR(((N101*I99)+(O101*J99)+(P101*K99)+(Q101*L99))/(I99+J99+K99+L99),0)</f>
        <v>0.00327272727272729</v>
      </c>
      <c r="S101" s="49" t="n">
        <v>0.02</v>
      </c>
      <c r="T101" s="49" t="n">
        <v>0.02</v>
      </c>
      <c r="U101" s="49" t="n">
        <v>0.02</v>
      </c>
      <c r="V101" s="49" t="n">
        <v>0.02</v>
      </c>
      <c r="W101" s="48" t="n">
        <f aca="false">IFERROR(((S101*N99)+(T101*O99)+(U101*P99)+(V101*Q99))/(N99+O99+P99+Q99),0)</f>
        <v>0.02</v>
      </c>
      <c r="X101" s="49" t="n">
        <v>0.02</v>
      </c>
      <c r="Y101" s="49" t="n">
        <v>0.02</v>
      </c>
      <c r="Z101" s="49" t="n">
        <v>0.02</v>
      </c>
      <c r="AA101" s="49" t="n">
        <v>0.02</v>
      </c>
      <c r="AB101" s="48" t="n">
        <f aca="false">IFERROR(((X101*S99)+(Y101*T99)+(Z101*U99)+(AA101*V99))/(S99+T99+U99+V99),0)</f>
        <v>0.02</v>
      </c>
    </row>
    <row r="102" customFormat="false" ht="15" hidden="false" customHeight="false" outlineLevel="0" collapsed="false">
      <c r="C102" s="22" t="s">
        <v>35</v>
      </c>
      <c r="H102" s="25"/>
      <c r="I102" s="50" t="n">
        <v>0</v>
      </c>
      <c r="J102" s="50" t="n">
        <v>0</v>
      </c>
      <c r="K102" s="50" t="n">
        <v>0</v>
      </c>
      <c r="L102" s="50" t="n">
        <v>0</v>
      </c>
      <c r="M102" s="48" t="n">
        <f aca="false">IFERROR(((I102*D99)+(J102*E99)+(K102*F99)+(L102*G99))/(D99+E99+F99+G99),0)</f>
        <v>0</v>
      </c>
      <c r="N102" s="50" t="n">
        <v>0</v>
      </c>
      <c r="O102" s="49" t="n">
        <v>0</v>
      </c>
      <c r="P102" s="49" t="n">
        <v>0</v>
      </c>
      <c r="Q102" s="49" t="n">
        <v>0</v>
      </c>
      <c r="R102" s="48" t="n">
        <f aca="false">IFERROR(((N102*I99)+(O102*J99)+(P102*K99)+(Q102*L99))/(I99+J99+K99+L99),0)</f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8" t="n">
        <f aca="false">IFERROR(((S102*N99)+(T102*O99)+(U102*P99)+(V102*Q99))/(N99+O99+P99+Q99),0)</f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8" t="n">
        <f aca="false">IFERROR(((X102*S99)+(Y102*T99)+(Z102*U99)+(AA102*V99))/(S99+T99+U99+V99),0)</f>
        <v>0</v>
      </c>
    </row>
    <row r="103" customFormat="false" ht="15" hidden="false" customHeight="false" outlineLevel="0" collapsed="false">
      <c r="C103" s="22" t="s">
        <v>36</v>
      </c>
      <c r="H103" s="25"/>
      <c r="I103" s="50" t="n">
        <v>-0.01</v>
      </c>
      <c r="J103" s="50" t="n">
        <v>0.01</v>
      </c>
      <c r="K103" s="50" t="n">
        <v>0.02</v>
      </c>
      <c r="L103" s="50" t="n">
        <v>0.02</v>
      </c>
      <c r="M103" s="48" t="n">
        <f aca="false">IFERROR(((I103*D99)+(J103*E99)+(K103*F99)+(L103*G99))/(D99+E99+F99+G99),0)</f>
        <v>0.0105639097744361</v>
      </c>
      <c r="N103" s="50" t="n">
        <v>0.03</v>
      </c>
      <c r="O103" s="49" t="n">
        <v>0</v>
      </c>
      <c r="P103" s="49" t="n">
        <v>0</v>
      </c>
      <c r="Q103" s="49" t="n">
        <v>0</v>
      </c>
      <c r="R103" s="48" t="n">
        <f aca="false">IFERROR(((N103*I99)+(O103*J99)+(P103*K99)+(Q103*L99))/(I99+J99+K99+L99),0)</f>
        <v>0.00785454545454545</v>
      </c>
      <c r="S103" s="49" t="n">
        <v>0</v>
      </c>
      <c r="T103" s="49" t="n">
        <v>0</v>
      </c>
      <c r="U103" s="49" t="n">
        <v>0</v>
      </c>
      <c r="V103" s="49" t="n">
        <v>0</v>
      </c>
      <c r="W103" s="48" t="n">
        <f aca="false">IFERROR(((S103*N99)+(T103*O99)+(U103*P99)+(V103*Q99))/(N99+O99+P99+Q99),0)</f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8" t="n">
        <f aca="false">IFERROR(((X103*S99)+(Y103*T99)+(Z103*U99)+(AA103*V99))/(S99+T99+U99+V99),0)</f>
        <v>0</v>
      </c>
    </row>
    <row r="104" customFormat="false" ht="15" hidden="false" customHeight="false" outlineLevel="0" collapsed="false">
      <c r="C104" s="30" t="s">
        <v>99</v>
      </c>
      <c r="D104" s="51" t="n">
        <f aca="false">D74+D79+D84+D89+D94+D99</f>
        <v>1109</v>
      </c>
      <c r="E104" s="51" t="n">
        <f aca="false">E74+E79+E84+E89+E94+E99</f>
        <v>1117</v>
      </c>
      <c r="F104" s="51" t="n">
        <f aca="false">F74+F79+F84+F89+F94+F99</f>
        <v>1129</v>
      </c>
      <c r="G104" s="51" t="n">
        <f aca="false">G74+G79+G84+G89+G94+G99</f>
        <v>1156</v>
      </c>
      <c r="H104" s="52" t="n">
        <f aca="false">H74+H79+H84+H89+H94+H99</f>
        <v>4511</v>
      </c>
      <c r="I104" s="51" t="n">
        <f aca="false">I74+I79+I84+I89+I94+I99</f>
        <v>1147</v>
      </c>
      <c r="J104" s="51" t="n">
        <f aca="false">J74+J79+J84+J89+J94+J99</f>
        <v>1135</v>
      </c>
      <c r="K104" s="51" t="n">
        <f aca="false">K74+K79+K84+K89+K94+K99</f>
        <v>1174</v>
      </c>
      <c r="L104" s="51" t="n">
        <f aca="false">L74+L79+L84+L89+L94+L99</f>
        <v>1221</v>
      </c>
      <c r="M104" s="52" t="n">
        <f aca="false">M74+M79+M84+M89+M94+M99</f>
        <v>4677</v>
      </c>
      <c r="N104" s="51" t="n">
        <f aca="false">N74+N79+N84+N89+N94+N99</f>
        <v>1141</v>
      </c>
      <c r="O104" s="51" t="n">
        <f aca="false">O74+O79+O84+O89+O94+O99</f>
        <v>1154.52</v>
      </c>
      <c r="P104" s="51" t="n">
        <f aca="false">P74+P79+P84+P89+P94+P99</f>
        <v>1113.24</v>
      </c>
      <c r="Q104" s="51" t="n">
        <f aca="false">Q74+Q79+Q84+Q89+Q94+Q99</f>
        <v>1069.98</v>
      </c>
      <c r="R104" s="52" t="n">
        <f aca="false">R74+R79+R84+R89+R94+R99</f>
        <v>4478.74</v>
      </c>
      <c r="S104" s="51" t="n">
        <f aca="false">S74+S79+S84+S89+S94+S99</f>
        <v>1000.62</v>
      </c>
      <c r="T104" s="51" t="n">
        <f aca="false">T74+T79+T84+T89+T94+T99</f>
        <v>1015.4304</v>
      </c>
      <c r="U104" s="51" t="n">
        <f aca="false">U74+U79+U84+U89+U94+U99</f>
        <v>1093.3848</v>
      </c>
      <c r="V104" s="51" t="n">
        <f aca="false">V74+V79+V84+V89+V94+V99</f>
        <v>1091.3796</v>
      </c>
      <c r="W104" s="52" t="n">
        <f aca="false">W74+W79+W84+W89+W94+W99</f>
        <v>4200.8148</v>
      </c>
      <c r="X104" s="51" t="n">
        <f aca="false">X74+X79+X84+X89+X94+X99</f>
        <v>1020.6324</v>
      </c>
      <c r="Y104" s="51" t="n">
        <f aca="false">Y74+Y79+Y84+Y89+Y94+Y99</f>
        <v>1035.739008</v>
      </c>
      <c r="Z104" s="51" t="n">
        <f aca="false">Z74+Z79+Z84+Z89+Z94+Z99</f>
        <v>1114.442496</v>
      </c>
      <c r="AA104" s="51" t="n">
        <f aca="false">AA74+AA79+AA84+AA89+AA94+AA99</f>
        <v>1113.207192</v>
      </c>
      <c r="AB104" s="52" t="n">
        <f aca="false">AB74+AB79+AB84+AB89+AB94+AB99</f>
        <v>4284.021096</v>
      </c>
    </row>
    <row r="105" customFormat="false" ht="15" hidden="false" customHeight="false" outlineLevel="0" collapsed="false">
      <c r="C105" s="22" t="s">
        <v>33</v>
      </c>
      <c r="H105" s="25"/>
      <c r="I105" s="40" t="n">
        <f aca="false">IFERROR(I104/D104-1,0)</f>
        <v>0.0342651036970243</v>
      </c>
      <c r="J105" s="40" t="n">
        <f aca="false">IFERROR(J104/E104-1,0)</f>
        <v>0.0161145926589077</v>
      </c>
      <c r="K105" s="40" t="n">
        <f aca="false">IFERROR(K104/F104-1,0)</f>
        <v>0.0398582816651905</v>
      </c>
      <c r="L105" s="40" t="n">
        <f aca="false">IFERROR(L104/G104-1,0)</f>
        <v>0.0562283737024221</v>
      </c>
      <c r="M105" s="41" t="n">
        <f aca="false">IFERROR(M104/H104-1,0)</f>
        <v>0.0367989359343826</v>
      </c>
      <c r="N105" s="40" t="n">
        <f aca="false">IFERROR(N104/I104-1,0)</f>
        <v>-0.00523103748910203</v>
      </c>
      <c r="O105" s="40" t="n">
        <f aca="false">IFERROR(O104/J104-1,0)</f>
        <v>0.0171982378854627</v>
      </c>
      <c r="P105" s="40" t="n">
        <f aca="false">IFERROR(P104/K104-1,0)</f>
        <v>-0.0517546848381604</v>
      </c>
      <c r="Q105" s="40" t="n">
        <f aca="false">IFERROR(Q104/L104-1,0)</f>
        <v>-0.123685503685503</v>
      </c>
      <c r="R105" s="41" t="n">
        <f aca="false">IFERROR(R104/M104-1,0)</f>
        <v>-0.0423904212101776</v>
      </c>
      <c r="S105" s="40" t="n">
        <f aca="false">IFERROR(S104/N104-1,0)</f>
        <v>-0.123032427695004</v>
      </c>
      <c r="T105" s="40" t="n">
        <f aca="false">IFERROR(T104/O104-1,0)</f>
        <v>-0.120473963205488</v>
      </c>
      <c r="U105" s="40" t="n">
        <f aca="false">IFERROR(U104/P104-1,0)</f>
        <v>-0.0178355071682653</v>
      </c>
      <c r="V105" s="40" t="n">
        <f aca="false">IFERROR(V104/Q104-1,0)</f>
        <v>0.0199999999999998</v>
      </c>
      <c r="W105" s="41" t="n">
        <f aca="false">IFERROR(W104/R104-1,0)</f>
        <v>-0.062054327779688</v>
      </c>
      <c r="X105" s="40" t="n">
        <f aca="false">IFERROR(X104/S104-1,0)</f>
        <v>0.02</v>
      </c>
      <c r="Y105" s="40" t="n">
        <f aca="false">IFERROR(Y104/T104-1,0)</f>
        <v>0.02</v>
      </c>
      <c r="Z105" s="40" t="n">
        <f aca="false">IFERROR(Z104/U104-1,0)</f>
        <v>0.0192591812141527</v>
      </c>
      <c r="AA105" s="40" t="n">
        <f aca="false">IFERROR(AA104/V104-1,0)</f>
        <v>0.0199999999999998</v>
      </c>
      <c r="AB105" s="41" t="n">
        <f aca="false">IFERROR(AB104/W104-1,0)</f>
        <v>0.0198071802641717</v>
      </c>
    </row>
    <row r="106" customFormat="false" ht="15" hidden="false" customHeight="false" outlineLevel="0" collapsed="false">
      <c r="C106" s="22" t="s">
        <v>34</v>
      </c>
      <c r="H106" s="25"/>
      <c r="I106" s="40" t="n">
        <f aca="false">IFERROR(I105-I107-I108,0)</f>
        <v>0.0442651036970243</v>
      </c>
      <c r="J106" s="40" t="n">
        <f aca="false">IFERROR(J105-J107-J108,0)</f>
        <v>0.00611459265890769</v>
      </c>
      <c r="K106" s="40" t="n">
        <f aca="false">IFERROR(K105-K107-K108,0)</f>
        <v>0.0198582816651905</v>
      </c>
      <c r="L106" s="40" t="n">
        <f aca="false">IFERROR(L105-L107-L108,0)</f>
        <v>0.0362283737024221</v>
      </c>
      <c r="M106" s="41" t="n">
        <f aca="false">IFERROR(((I106*D104)+(J106*E104)+(K106*F104)+(L106*G104))/(D104+E104+F104+G104),0)</f>
        <v>0.0266504101086233</v>
      </c>
      <c r="N106" s="40" t="n">
        <f aca="false">IFERROR(N105-N107-N108,0)</f>
        <v>-0.035231037489102</v>
      </c>
      <c r="O106" s="40" t="n">
        <f aca="false">IFERROR(((O76*J74)+(O81*J79)+(O86*J84)+(O91*J89)+(O96*J94)+(O101*J99))/(J74+J79+J84+J89+J94+J99),0)</f>
        <v>0.0171982378854626</v>
      </c>
      <c r="P106" s="40" t="n">
        <f aca="false">IFERROR(((P76*K74)+(P81*K79)+(P86*K84)+(P91*K89)+(P96*K94)+(P101*K99))/(K74+K79+K84+K89+K94+K99),0)</f>
        <v>0.0172402044293015</v>
      </c>
      <c r="Q106" s="40" t="n">
        <f aca="false">IFERROR(((Q76*L74)+(Q81*L79)+(Q86*L84)+(Q91*L89)+(Q96*L94)+(Q101*L99))/(L74+L79+L84+L89+L94+L99),0)</f>
        <v>0.0171826371826372</v>
      </c>
      <c r="R106" s="41" t="n">
        <f aca="false">IFERROR(((R76*M74)+(R81*M79)+(R86*M84)+(R91*M89)+(R96*M94)+(R101*M99))/(M74+M79+M84+M89+M94+M99),0)</f>
        <v>0.00434680350652128</v>
      </c>
      <c r="S106" s="40" t="n">
        <f aca="false">IFERROR(((S76*N74)+(S81*N79)+(S86*N84)+(S91*N89)+(S96*N94)+(S101*N99))/(N74+N79+N84+N89+N94+N99),0)</f>
        <v>0.0171954425942156</v>
      </c>
      <c r="T106" s="40" t="n">
        <f aca="false">IFERROR(((T76*O74)+(T81*O79)+(T86*O84)+(T91*O89)+(T96*O94)+(T101*O99))/(O74+O79+O84+O89+O94+O99),0)</f>
        <v>0.0172456085645983</v>
      </c>
      <c r="U106" s="40" t="n">
        <f aca="false">IFERROR(((U76*P74)+(U81*P79)+(U86*P84)+(U91*P89)+(U96*P94)+(U101*P99))/(P74+P79+P84+P89+P94+P99),0)</f>
        <v>0.0185447881858359</v>
      </c>
      <c r="V106" s="40" t="n">
        <f aca="false">IFERROR(((V76*Q74)+(V81*Q79)+(V86*Q84)+(V91*Q89)+(V96*Q94)+(V101*Q99))/(Q74+Q79+Q84+Q89+Q94+Q99),0)</f>
        <v>0.02</v>
      </c>
      <c r="W106" s="41" t="n">
        <f aca="false">IFERROR(((W76*R74)+(W81*R79)+(W86*R84)+(W91*R89)+(W96*R94)+(W101*R99))/(R74+R79+R84+R89+R94+R99),0)</f>
        <v>0.0182137833408503</v>
      </c>
      <c r="X106" s="40" t="n">
        <f aca="false">IFERROR(((X76*S74)+(X81*S79)+(X86*S84)+(X91*S89)+(X96*S94)+(X101*S99))/(S74+S79+S84+S89+S94+S99),0)</f>
        <v>0.02</v>
      </c>
      <c r="Y106" s="40" t="n">
        <f aca="false">IFERROR(((Y76*T74)+(Y81*T79)+(Y86*T84)+(Y91*T89)+(Y96*T94)+(Y101*T99))/(T74+T79+T84+T89+T94+T99),0)</f>
        <v>0.02</v>
      </c>
      <c r="Z106" s="40" t="n">
        <f aca="false">IFERROR(((Z76*U74)+(Z81*U79)+(Z86*U84)+(Z91*U89)+(Z96*U94)+(Z101*U99))/(U74+U79+U84+U89+U94+U99),0)</f>
        <v>0.0192591812141526</v>
      </c>
      <c r="AA106" s="40" t="n">
        <f aca="false">IFERROR(((AA76*V74)+(AA81*V79)+(AA86*V84)+(AA91*V89)+(AA96*V94)+(AA101*V99))/(V74+V79+V84+V89+V94+V99),0)</f>
        <v>0.02</v>
      </c>
      <c r="AB106" s="41" t="n">
        <f aca="false">IFERROR(((AB76*W74)+(AB81*W79)+(AB86*W84)+(AB91*W89)+(AB96*W94)+(AB101*W99))/(W74+W79+W84+W89+W94+W99),0)</f>
        <v>0.0198071802641716</v>
      </c>
    </row>
    <row r="107" customFormat="false" ht="15" hidden="false" customHeight="false" outlineLevel="0" collapsed="false">
      <c r="C107" s="22" t="s">
        <v>35</v>
      </c>
      <c r="H107" s="25"/>
      <c r="I107" s="53" t="n">
        <v>0</v>
      </c>
      <c r="J107" s="53" t="n">
        <v>0</v>
      </c>
      <c r="K107" s="53" t="n">
        <v>0</v>
      </c>
      <c r="L107" s="53" t="n">
        <v>0</v>
      </c>
      <c r="M107" s="41" t="n">
        <f aca="false">IFERROR(((I107*D104)+(J107*E104)+(K107*F104)+(L107*G104))/(D104+E104+F104+G104),0)</f>
        <v>0</v>
      </c>
      <c r="N107" s="53" t="n">
        <v>0</v>
      </c>
      <c r="O107" s="40" t="n">
        <f aca="false">IFERROR(((O77*J74)+(O82*J79)+(O87*J84)+(O92*J89)+(O97*J94)+(O102*J99))/(J74+J79+J84+J89+J94+J99),0)</f>
        <v>0</v>
      </c>
      <c r="P107" s="40" t="n">
        <f aca="false">IFERROR(((P77*K74)+(P82*K79)+(P87*K84)+(P92*K89)+(P97*K94)+(P102*K99))/(K74+K79+K84+K89+K94+K99),0)</f>
        <v>-0.0689948892674617</v>
      </c>
      <c r="Q107" s="40" t="n">
        <f aca="false">IFERROR(((Q77*L74)+(Q82*L79)+(Q87*L84)+(Q92*L89)+(Q97*L94)+(Q102*L99))/(L74+L79+L84+L89+L94+L99),0)</f>
        <v>-0.140868140868141</v>
      </c>
      <c r="R107" s="41" t="n">
        <f aca="false">IFERROR(((R77*M74)+(R82*M79)+(R87*M84)+(R92*M89)+(R97*M94)+(R102*M99))/(M74+M79+M84+M89+M94+M99),0)</f>
        <v>-0.0540945050245884</v>
      </c>
      <c r="S107" s="40" t="n">
        <f aca="false">IFERROR(((S77*N74)+(S82*N79)+(S87*N84)+(S92*N89)+(S97*N94)+(S102*N99))/(N74+N79+N84+N89+N94+N99),0)</f>
        <v>-0.14022787028922</v>
      </c>
      <c r="T107" s="40" t="n">
        <f aca="false">IFERROR(((T77*O74)+(T82*O79)+(T87*O84)+(T92*O89)+(T97*O94)+(T102*O99))/(O74+O79+O84+O89+O94+O99),0)</f>
        <v>-0.137719571770086</v>
      </c>
      <c r="U107" s="40" t="n">
        <f aca="false">IFERROR(((U77*P74)+(U82*P79)+(U87*P84)+(U92*P89)+(U97*P94)+(U102*P99))/(P74+P79+P84+P89+P94+P99),0)</f>
        <v>-0.0363802953541016</v>
      </c>
      <c r="V107" s="40" t="n">
        <f aca="false">IFERROR(((V77*Q74)+(V82*Q79)+(V87*Q84)+(V92*Q89)+(V97*Q94)+(V102*Q99))/(Q74+Q79+Q84+Q89+Q94+Q99),0)</f>
        <v>0</v>
      </c>
      <c r="W107" s="41" t="n">
        <f aca="false">IFERROR(((W77*R74)+(W82*R79)+(W87*R84)+(W92*R89)+(W97*R94)+(W102*R99))/(R74+R79+R84+R89+R94+R99),0)</f>
        <v>-0.0802681111205384</v>
      </c>
      <c r="X107" s="40" t="n">
        <f aca="false">IFERROR(((X77*S74)+(X82*S79)+(X87*S84)+(X92*S89)+(X97*S94)+(X102*S99))/(S74+S79+S84+S89+S94+S99),0)</f>
        <v>0</v>
      </c>
      <c r="Y107" s="40" t="n">
        <f aca="false">IFERROR(((Y77*T74)+(Y82*T79)+(Y87*T84)+(Y92*T89)+(Y97*T94)+(Y102*T99))/(T74+T79+T84+T89+T94+T99),0)</f>
        <v>0</v>
      </c>
      <c r="Z107" s="40" t="n">
        <f aca="false">IFERROR(((Z77*U74)+(Z82*U79)+(Z87*U84)+(Z92*U89)+(Z97*U94)+(Z102*U99))/(U74+U79+U84+U89+U94+U99),0)</f>
        <v>0</v>
      </c>
      <c r="AA107" s="40" t="n">
        <f aca="false">IFERROR(((AA77*V74)+(AA82*V79)+(AA87*V84)+(AA92*V89)+(AA97*V94)+(AA102*V99))/(V74+V79+V84+V89+V94+V99),0)</f>
        <v>0</v>
      </c>
      <c r="AB107" s="41" t="n">
        <f aca="false">IFERROR(((AB77*W74)+(AB82*W79)+(AB87*W84)+(AB92*W89)+(AB97*W94)+(AB102*W99))/(W74+W79+W84+W89+W94+W99),0)</f>
        <v>0</v>
      </c>
    </row>
    <row r="108" customFormat="false" ht="15" hidden="false" customHeight="false" outlineLevel="0" collapsed="false">
      <c r="C108" s="22" t="s">
        <v>36</v>
      </c>
      <c r="H108" s="25"/>
      <c r="I108" s="53" t="n">
        <v>-0.01</v>
      </c>
      <c r="J108" s="53" t="n">
        <v>0.01</v>
      </c>
      <c r="K108" s="53" t="n">
        <v>0.02</v>
      </c>
      <c r="L108" s="53" t="n">
        <v>0.02</v>
      </c>
      <c r="M108" s="41" t="n">
        <f aca="false">IFERROR(((I108*D104)+(J108*E104)+(K108*F104)+(L108*G104))/(D104+E104+F104+G104),0)</f>
        <v>0.0101485258257593</v>
      </c>
      <c r="N108" s="53" t="n">
        <v>0.03</v>
      </c>
      <c r="O108" s="40" t="n">
        <f aca="false">IFERROR(((O78*J74)+(O83*J79)+(O88*J84)+(O93*J89)+(O98*J94)+(O103*J99))/(J74+J79+J84+J89+J94+J99),0)</f>
        <v>0</v>
      </c>
      <c r="P108" s="40" t="n">
        <f aca="false">IFERROR(((P78*K74)+(P83*K79)+(P88*K84)+(P93*K89)+(P98*K94)+(P103*K99))/(K74+K79+K84+K89+K94+K99),0)</f>
        <v>0</v>
      </c>
      <c r="Q108" s="40" t="n">
        <f aca="false">IFERROR(((Q78*L74)+(Q83*L79)+(Q88*L84)+(Q93*L89)+(Q98*L94)+(Q103*L99))/(L74+L79+L84+L89+L94+L99),0)</f>
        <v>0</v>
      </c>
      <c r="R108" s="41" t="n">
        <f aca="false">IFERROR(((R78*M74)+(R83*M79)+(R88*M84)+(R93*M89)+(R98*M94)+(R103*M99))/(M74+M79+M84+M89+M94+M99),0)</f>
        <v>0.00735728030788967</v>
      </c>
      <c r="S108" s="40" t="n">
        <f aca="false">IFERROR(((S78*N74)+(S83*N79)+(S88*N84)+(S93*N89)+(S98*N94)+(S103*N99))/(N74+N79+N84+N89+N94+N99),0)</f>
        <v>0</v>
      </c>
      <c r="T108" s="40" t="n">
        <f aca="false">IFERROR(((T78*O74)+(T83*O79)+(T88*O84)+(T93*O89)+(T98*O94)+(T103*O99))/(O74+O79+O84+O89+O94+O99),0)</f>
        <v>0</v>
      </c>
      <c r="U108" s="40" t="n">
        <f aca="false">IFERROR(((U78*P74)+(U83*P79)+(U88*P84)+(U93*P89)+(U98*P94)+(U103*P99))/(P74+P79+P84+P89+P94+P99),0)</f>
        <v>0</v>
      </c>
      <c r="V108" s="40" t="n">
        <f aca="false">IFERROR(((V78*Q74)+(V83*Q79)+(V88*Q84)+(V93*Q89)+(V98*Q94)+(V103*Q99))/(Q74+Q79+Q84+Q89+Q94+Q99),0)</f>
        <v>0</v>
      </c>
      <c r="W108" s="41" t="n">
        <f aca="false">IFERROR(((W78*R74)+(W83*R79)+(W88*R84)+(W93*R89)+(W98*R94)+(W103*R99))/(R74+R79+R84+R89+R94+R99),0)</f>
        <v>0</v>
      </c>
      <c r="X108" s="40" t="n">
        <f aca="false">IFERROR(((X78*S74)+(X83*S79)+(X88*S84)+(X93*S89)+(X98*S94)+(X103*S99))/(S74+S79+S84+S89+S94+S99),0)</f>
        <v>0</v>
      </c>
      <c r="Y108" s="40" t="n">
        <f aca="false">IFERROR(((Y78*T74)+(Y83*T79)+(Y88*T84)+(Y93*T89)+(Y98*T94)+(Y103*T99))/(T74+T79+T84+T89+T94+T99),0)</f>
        <v>0</v>
      </c>
      <c r="Z108" s="40" t="n">
        <f aca="false">IFERROR(((Z78*U74)+(Z83*U79)+(Z88*U84)+(Z93*U89)+(Z98*U94)+(Z103*U99))/(U74+U79+U84+U89+U94+U99),0)</f>
        <v>0</v>
      </c>
      <c r="AA108" s="40" t="n">
        <f aca="false">IFERROR(((AA78*V74)+(AA83*V79)+(AA88*V84)+(AA93*V89)+(AA98*V94)+(AA103*V99))/(V74+V79+V84+V89+V94+V99),0)</f>
        <v>0</v>
      </c>
      <c r="AB108" s="41" t="n">
        <f aca="false">IFERROR(((AB78*W74)+(AB83*W79)+(AB88*W84)+(AB93*W89)+(AB98*W94)+(AB103*W99))/(W74+W79+W84+W89+W94+W99),0)</f>
        <v>0</v>
      </c>
    </row>
    <row r="109" customFormat="false" ht="15" hidden="false" customHeight="false" outlineLevel="0" collapsed="false">
      <c r="H109" s="25"/>
      <c r="M109" s="25"/>
      <c r="R109" s="25"/>
      <c r="W109" s="25"/>
      <c r="AB109" s="25"/>
    </row>
    <row r="110" customFormat="false" ht="15" hidden="false" customHeight="false" outlineLevel="0" collapsed="false">
      <c r="C110" s="30" t="s">
        <v>48</v>
      </c>
      <c r="D110" s="31"/>
      <c r="E110" s="31"/>
      <c r="F110" s="31"/>
      <c r="G110" s="31"/>
      <c r="H110" s="32"/>
      <c r="I110" s="31"/>
      <c r="J110" s="31"/>
      <c r="K110" s="31"/>
      <c r="L110" s="31"/>
      <c r="M110" s="32"/>
      <c r="N110" s="31"/>
      <c r="O110" s="31"/>
      <c r="P110" s="31"/>
      <c r="Q110" s="31"/>
      <c r="R110" s="32"/>
      <c r="S110" s="31"/>
      <c r="T110" s="31"/>
      <c r="U110" s="31"/>
      <c r="V110" s="31"/>
      <c r="W110" s="32"/>
      <c r="X110" s="31"/>
      <c r="Y110" s="31"/>
      <c r="Z110" s="31"/>
      <c r="AA110" s="31"/>
      <c r="AB110" s="32"/>
    </row>
    <row r="111" customFormat="false" ht="15" hidden="false" customHeight="false" outlineLevel="0" collapsed="false">
      <c r="A111" s="22" t="s">
        <v>83</v>
      </c>
      <c r="C111" s="3" t="s">
        <v>100</v>
      </c>
      <c r="D111" s="35" t="n">
        <v>624</v>
      </c>
      <c r="E111" s="35" t="n">
        <v>639</v>
      </c>
      <c r="F111" s="35" t="n">
        <v>614</v>
      </c>
      <c r="G111" s="35" t="n">
        <v>647</v>
      </c>
      <c r="H111" s="46" t="n">
        <f aca="false">D111+E111+F111+G111</f>
        <v>2524</v>
      </c>
      <c r="I111" s="35" t="n">
        <v>582</v>
      </c>
      <c r="J111" s="35" t="n">
        <v>601</v>
      </c>
      <c r="K111" s="35" t="n">
        <v>594</v>
      </c>
      <c r="L111" s="35" t="n">
        <v>631</v>
      </c>
      <c r="M111" s="46" t="n">
        <f aca="false">I111+J111+K111+L111</f>
        <v>2408</v>
      </c>
      <c r="N111" s="35" t="n">
        <v>569</v>
      </c>
      <c r="O111" s="37" t="n">
        <f aca="false">J111*(1+O113+O114+O115)</f>
        <v>613.02</v>
      </c>
      <c r="P111" s="37" t="n">
        <f aca="false">K111*(1+P113+P114+P115)</f>
        <v>605.88</v>
      </c>
      <c r="Q111" s="37" t="n">
        <f aca="false">L111*(1+Q113+Q114+Q115)</f>
        <v>643.62</v>
      </c>
      <c r="R111" s="46" t="n">
        <f aca="false">N111+O111+P111+Q111</f>
        <v>2431.52</v>
      </c>
      <c r="S111" s="37" t="n">
        <f aca="false">N111*(1+S113+S114+S115)</f>
        <v>580.38</v>
      </c>
      <c r="T111" s="37" t="n">
        <f aca="false">O111*(1+T113+T114+T115)</f>
        <v>625.2804</v>
      </c>
      <c r="U111" s="37" t="n">
        <f aca="false">P111*(1+U113+U114+U115)</f>
        <v>617.9976</v>
      </c>
      <c r="V111" s="37" t="n">
        <f aca="false">Q111*(1+V113+V114+V115)</f>
        <v>656.4924</v>
      </c>
      <c r="W111" s="46" t="n">
        <f aca="false">S111+T111+U111+V111</f>
        <v>2480.1504</v>
      </c>
      <c r="X111" s="37" t="n">
        <f aca="false">S111*(1+X113+X114+X115)</f>
        <v>591.9876</v>
      </c>
      <c r="Y111" s="37" t="n">
        <f aca="false">T111*(1+Y113+Y114+Y115)</f>
        <v>637.786008</v>
      </c>
      <c r="Z111" s="37" t="n">
        <f aca="false">U111*(1+Z113+Z114+Z115)</f>
        <v>630.357552</v>
      </c>
      <c r="AA111" s="37" t="n">
        <f aca="false">V111*(1+AA113+AA114+AA115)</f>
        <v>669.622248</v>
      </c>
      <c r="AB111" s="46" t="n">
        <f aca="false">X111+Y111+Z111+AA111</f>
        <v>2529.753408</v>
      </c>
    </row>
    <row r="112" customFormat="false" ht="15" hidden="false" customHeight="false" outlineLevel="0" collapsed="false">
      <c r="C112" s="22" t="s">
        <v>33</v>
      </c>
      <c r="H112" s="25"/>
      <c r="I112" s="47" t="n">
        <f aca="false">IFERROR(I111/D111-1,0)</f>
        <v>-0.0673076923076923</v>
      </c>
      <c r="J112" s="47" t="n">
        <f aca="false">IFERROR(J111/E111-1,0)</f>
        <v>-0.0594679186228482</v>
      </c>
      <c r="K112" s="47" t="n">
        <f aca="false">IFERROR(K111/F111-1,0)</f>
        <v>-0.0325732899022801</v>
      </c>
      <c r="L112" s="47" t="n">
        <f aca="false">IFERROR(L111/G111-1,0)</f>
        <v>-0.0247295208655333</v>
      </c>
      <c r="M112" s="48" t="n">
        <f aca="false">IFERROR(M111/H111-1,0)</f>
        <v>-0.0459587955625991</v>
      </c>
      <c r="N112" s="47" t="n">
        <f aca="false">IFERROR(N111/I111-1,0)</f>
        <v>-0.0223367697594502</v>
      </c>
      <c r="O112" s="47" t="n">
        <f aca="false">O113+O114+O115</f>
        <v>0.02</v>
      </c>
      <c r="P112" s="47" t="n">
        <f aca="false">P113+P114+P115</f>
        <v>0.02</v>
      </c>
      <c r="Q112" s="47" t="n">
        <f aca="false">Q113+Q114+Q115</f>
        <v>0.02</v>
      </c>
      <c r="R112" s="48" t="n">
        <f aca="false">IFERROR(R111/M111-1,0)</f>
        <v>0.00976744186046519</v>
      </c>
      <c r="S112" s="47" t="n">
        <f aca="false">S113+S114+S115</f>
        <v>0.02</v>
      </c>
      <c r="T112" s="47" t="n">
        <f aca="false">T113+T114+T115</f>
        <v>0.02</v>
      </c>
      <c r="U112" s="47" t="n">
        <f aca="false">U113+U114+U115</f>
        <v>0.02</v>
      </c>
      <c r="V112" s="47" t="n">
        <f aca="false">V113+V114+V115</f>
        <v>0.02</v>
      </c>
      <c r="W112" s="48" t="n">
        <f aca="false">IFERROR(W111/R111-1,0)</f>
        <v>0.02</v>
      </c>
      <c r="X112" s="47" t="n">
        <f aca="false">X113+X114+X115</f>
        <v>0.02</v>
      </c>
      <c r="Y112" s="47" t="n">
        <f aca="false">Y113+Y114+Y115</f>
        <v>0.02</v>
      </c>
      <c r="Z112" s="47" t="n">
        <f aca="false">Z113+Z114+Z115</f>
        <v>0.02</v>
      </c>
      <c r="AA112" s="47" t="n">
        <f aca="false">AA113+AA114+AA115</f>
        <v>0.02</v>
      </c>
      <c r="AB112" s="48" t="n">
        <f aca="false">IFERROR(AB111/W111-1,0)</f>
        <v>0.02</v>
      </c>
    </row>
    <row r="113" customFormat="false" ht="15" hidden="false" customHeight="false" outlineLevel="0" collapsed="false">
      <c r="C113" s="22" t="s">
        <v>34</v>
      </c>
      <c r="H113" s="25"/>
      <c r="I113" s="47" t="n">
        <f aca="false">IFERROR(I112-I114-I115,0)</f>
        <v>-0.0573076923076923</v>
      </c>
      <c r="J113" s="47" t="n">
        <f aca="false">IFERROR(J112-J114-J115,0)</f>
        <v>-0.0694679186228482</v>
      </c>
      <c r="K113" s="47" t="n">
        <f aca="false">IFERROR(K112-K114-K115,0)</f>
        <v>-0.0425732899022802</v>
      </c>
      <c r="L113" s="47" t="n">
        <f aca="false">IFERROR(L112-L114-L115,0)</f>
        <v>-0.0447295208655333</v>
      </c>
      <c r="M113" s="48" t="n">
        <f aca="false">IFERROR(((I113*D111)+(J113*E111)+(K113*F111)+(L113*G111))/(D111+E111+F111+G111),0)</f>
        <v>-0.0535776545166403</v>
      </c>
      <c r="N113" s="47" t="n">
        <f aca="false">IFERROR(N112-N114-N115,0)</f>
        <v>-0.0523367697594502</v>
      </c>
      <c r="O113" s="49" t="n">
        <v>0.02</v>
      </c>
      <c r="P113" s="49" t="n">
        <v>0.02</v>
      </c>
      <c r="Q113" s="49" t="n">
        <v>0.02</v>
      </c>
      <c r="R113" s="48" t="n">
        <f aca="false">IFERROR(((N113*I111)+(O113*J111)+(P113*K111)+(Q113*L111))/(I111+J111+K111+L111),0)</f>
        <v>0.00251661129568106</v>
      </c>
      <c r="S113" s="49" t="n">
        <v>0.02</v>
      </c>
      <c r="T113" s="49" t="n">
        <v>0.02</v>
      </c>
      <c r="U113" s="49" t="n">
        <v>0.02</v>
      </c>
      <c r="V113" s="49" t="n">
        <v>0.02</v>
      </c>
      <c r="W113" s="48" t="n">
        <f aca="false">IFERROR(((S113*N111)+(T113*O111)+(U113*P111)+(V113*Q111))/(N111+O111+P111+Q111),0)</f>
        <v>0.02</v>
      </c>
      <c r="X113" s="49" t="n">
        <v>0.02</v>
      </c>
      <c r="Y113" s="49" t="n">
        <v>0.02</v>
      </c>
      <c r="Z113" s="49" t="n">
        <v>0.02</v>
      </c>
      <c r="AA113" s="49" t="n">
        <v>0.02</v>
      </c>
      <c r="AB113" s="48" t="n">
        <f aca="false">IFERROR(((X113*S111)+(Y113*T111)+(Z113*U111)+(AA113*V111))/(S111+T111+U111+V111),0)</f>
        <v>0.02</v>
      </c>
    </row>
    <row r="114" customFormat="false" ht="15" hidden="false" customHeight="false" outlineLevel="0" collapsed="false">
      <c r="C114" s="22" t="s">
        <v>35</v>
      </c>
      <c r="H114" s="25"/>
      <c r="I114" s="50" t="n">
        <v>0</v>
      </c>
      <c r="J114" s="50" t="n">
        <v>0</v>
      </c>
      <c r="K114" s="50" t="n">
        <v>0</v>
      </c>
      <c r="L114" s="50" t="n">
        <v>0</v>
      </c>
      <c r="M114" s="48" t="n">
        <f aca="false">IFERROR(((I114*D111)+(J114*E111)+(K114*F111)+(L114*G111))/(D111+E111+F111+G111),0)</f>
        <v>0</v>
      </c>
      <c r="N114" s="50" t="n">
        <v>0.01</v>
      </c>
      <c r="O114" s="49" t="n">
        <v>0</v>
      </c>
      <c r="P114" s="49" t="n">
        <v>0</v>
      </c>
      <c r="Q114" s="49" t="n">
        <v>0</v>
      </c>
      <c r="R114" s="48" t="n">
        <f aca="false">IFERROR(((N114*I111)+(O114*J111)+(P114*K111)+(Q114*L111))/(I111+J111+K111+L111),0)</f>
        <v>0.00241694352159468</v>
      </c>
      <c r="S114" s="49" t="n">
        <v>0</v>
      </c>
      <c r="T114" s="49" t="n">
        <v>0</v>
      </c>
      <c r="U114" s="49" t="n">
        <v>0</v>
      </c>
      <c r="V114" s="49" t="n">
        <v>0</v>
      </c>
      <c r="W114" s="48" t="n">
        <f aca="false">IFERROR(((S114*N111)+(T114*O111)+(U114*P111)+(V114*Q111))/(N111+O111+P111+Q111),0)</f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8" t="n">
        <f aca="false">IFERROR(((X114*S111)+(Y114*T111)+(Z114*U111)+(AA114*V111))/(S111+T111+U111+V111),0)</f>
        <v>0</v>
      </c>
    </row>
    <row r="115" customFormat="false" ht="15" hidden="false" customHeight="false" outlineLevel="0" collapsed="false">
      <c r="C115" s="22" t="s">
        <v>36</v>
      </c>
      <c r="H115" s="25"/>
      <c r="I115" s="50" t="n">
        <v>-0.01</v>
      </c>
      <c r="J115" s="50" t="n">
        <v>0.01</v>
      </c>
      <c r="K115" s="50" t="n">
        <v>0.01</v>
      </c>
      <c r="L115" s="50" t="n">
        <v>0.02</v>
      </c>
      <c r="M115" s="48" t="n">
        <f aca="false">IFERROR(((I115*D111)+(J115*E111)+(K115*F111)+(L115*G111))/(D111+E111+F111+G111),0)</f>
        <v>0.00761885895404121</v>
      </c>
      <c r="N115" s="50" t="n">
        <v>0.02</v>
      </c>
      <c r="O115" s="49" t="n">
        <v>0</v>
      </c>
      <c r="P115" s="49" t="n">
        <v>0</v>
      </c>
      <c r="Q115" s="49" t="n">
        <v>0</v>
      </c>
      <c r="R115" s="48" t="n">
        <f aca="false">IFERROR(((N115*I111)+(O115*J111)+(P115*K111)+(Q115*L111))/(I111+J111+K111+L111),0)</f>
        <v>0.00483388704318937</v>
      </c>
      <c r="S115" s="49" t="n">
        <v>0</v>
      </c>
      <c r="T115" s="49" t="n">
        <v>0</v>
      </c>
      <c r="U115" s="49" t="n">
        <v>0</v>
      </c>
      <c r="V115" s="49" t="n">
        <v>0</v>
      </c>
      <c r="W115" s="48" t="n">
        <f aca="false">IFERROR(((S115*N111)+(T115*O111)+(U115*P111)+(V115*Q111))/(N111+O111+P111+Q111),0)</f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8" t="n">
        <f aca="false">IFERROR(((X115*S111)+(Y115*T111)+(Z115*U111)+(AA115*V111))/(S111+T111+U111+V111),0)</f>
        <v>0</v>
      </c>
    </row>
    <row r="116" customFormat="false" ht="15" hidden="false" customHeight="false" outlineLevel="0" collapsed="false">
      <c r="A116" s="22" t="s">
        <v>83</v>
      </c>
      <c r="C116" s="3" t="s">
        <v>101</v>
      </c>
      <c r="D116" s="35" t="n">
        <v>1711</v>
      </c>
      <c r="E116" s="35" t="n">
        <v>1775</v>
      </c>
      <c r="F116" s="35" t="n">
        <v>1739</v>
      </c>
      <c r="G116" s="35" t="n">
        <v>1794</v>
      </c>
      <c r="H116" s="46" t="n">
        <f aca="false">D116+E116+F116+G116</f>
        <v>7019</v>
      </c>
      <c r="I116" s="35" t="n">
        <v>1727</v>
      </c>
      <c r="J116" s="35" t="n">
        <v>1883</v>
      </c>
      <c r="K116" s="35" t="n">
        <v>1861</v>
      </c>
      <c r="L116" s="35" t="n">
        <v>1969</v>
      </c>
      <c r="M116" s="46" t="n">
        <f aca="false">I116+J116+K116+L116</f>
        <v>7440</v>
      </c>
      <c r="N116" s="35" t="n">
        <v>1827</v>
      </c>
      <c r="O116" s="37" t="n">
        <f aca="false">J116*(1+O118+O119+O120)</f>
        <v>1920.66</v>
      </c>
      <c r="P116" s="37" t="n">
        <f aca="false">K116*(1+P118+P119+P120)</f>
        <v>1898.22</v>
      </c>
      <c r="Q116" s="37" t="n">
        <f aca="false">L116*(1+Q118+Q119+Q120)</f>
        <v>2008.38</v>
      </c>
      <c r="R116" s="46" t="n">
        <f aca="false">N116+O116+P116+Q116</f>
        <v>7654.26</v>
      </c>
      <c r="S116" s="37" t="n">
        <f aca="false">N116*(1+S118+S119+S120)</f>
        <v>1863.54</v>
      </c>
      <c r="T116" s="37" t="n">
        <f aca="false">O116*(1+T118+T119+T120)</f>
        <v>1959.0732</v>
      </c>
      <c r="U116" s="37" t="n">
        <f aca="false">P116*(1+U118+U119+U120)</f>
        <v>1936.1844</v>
      </c>
      <c r="V116" s="37" t="n">
        <f aca="false">Q116*(1+V118+V119+V120)</f>
        <v>2048.5476</v>
      </c>
      <c r="W116" s="46" t="n">
        <f aca="false">S116+T116+U116+V116</f>
        <v>7807.3452</v>
      </c>
      <c r="X116" s="37" t="n">
        <f aca="false">S116*(1+X118+X119+X120)</f>
        <v>1900.8108</v>
      </c>
      <c r="Y116" s="37" t="n">
        <f aca="false">T116*(1+Y118+Y119+Y120)</f>
        <v>1998.254664</v>
      </c>
      <c r="Z116" s="37" t="n">
        <f aca="false">U116*(1+Z118+Z119+Z120)</f>
        <v>1974.908088</v>
      </c>
      <c r="AA116" s="37" t="n">
        <f aca="false">V116*(1+AA118+AA119+AA120)</f>
        <v>2089.518552</v>
      </c>
      <c r="AB116" s="46" t="n">
        <f aca="false">X116+Y116+Z116+AA116</f>
        <v>7963.492104</v>
      </c>
    </row>
    <row r="117" customFormat="false" ht="15" hidden="false" customHeight="false" outlineLevel="0" collapsed="false">
      <c r="C117" s="22" t="s">
        <v>33</v>
      </c>
      <c r="H117" s="25"/>
      <c r="I117" s="47" t="n">
        <f aca="false">IFERROR(I116/D116-1,0)</f>
        <v>0.00935125657510239</v>
      </c>
      <c r="J117" s="47" t="n">
        <f aca="false">IFERROR(J116/E116-1,0)</f>
        <v>0.0608450704225352</v>
      </c>
      <c r="K117" s="47" t="n">
        <f aca="false">IFERROR(K116/F116-1,0)</f>
        <v>0.0701552616446233</v>
      </c>
      <c r="L117" s="47" t="n">
        <f aca="false">IFERROR(L116/G116-1,0)</f>
        <v>0.0975473801560758</v>
      </c>
      <c r="M117" s="48" t="n">
        <f aca="false">IFERROR(M116/H116-1,0)</f>
        <v>0.0599800541387663</v>
      </c>
      <c r="N117" s="47" t="n">
        <f aca="false">IFERROR(N116/I116-1,0)</f>
        <v>0.0579038795599305</v>
      </c>
      <c r="O117" s="47" t="n">
        <f aca="false">O118+O119+O120</f>
        <v>0.02</v>
      </c>
      <c r="P117" s="47" t="n">
        <f aca="false">P118+P119+P120</f>
        <v>0.02</v>
      </c>
      <c r="Q117" s="47" t="n">
        <f aca="false">Q118+Q119+Q120</f>
        <v>0.02</v>
      </c>
      <c r="R117" s="48" t="n">
        <f aca="false">IFERROR(R116/M116-1,0)</f>
        <v>0.0287983870967743</v>
      </c>
      <c r="S117" s="47" t="n">
        <f aca="false">S118+S119+S120</f>
        <v>0.02</v>
      </c>
      <c r="T117" s="47" t="n">
        <f aca="false">T118+T119+T120</f>
        <v>0.02</v>
      </c>
      <c r="U117" s="47" t="n">
        <f aca="false">U118+U119+U120</f>
        <v>0.02</v>
      </c>
      <c r="V117" s="47" t="n">
        <f aca="false">V118+V119+V120</f>
        <v>0.02</v>
      </c>
      <c r="W117" s="48" t="n">
        <f aca="false">IFERROR(W116/R116-1,0)</f>
        <v>0.02</v>
      </c>
      <c r="X117" s="47" t="n">
        <f aca="false">X118+X119+X120</f>
        <v>0.02</v>
      </c>
      <c r="Y117" s="47" t="n">
        <f aca="false">Y118+Y119+Y120</f>
        <v>0.02</v>
      </c>
      <c r="Z117" s="47" t="n">
        <f aca="false">Z118+Z119+Z120</f>
        <v>0.02</v>
      </c>
      <c r="AA117" s="47" t="n">
        <f aca="false">AA118+AA119+AA120</f>
        <v>0.02</v>
      </c>
      <c r="AB117" s="48" t="n">
        <f aca="false">IFERROR(AB116/W116-1,0)</f>
        <v>0.0200000000000002</v>
      </c>
    </row>
    <row r="118" customFormat="false" ht="15" hidden="false" customHeight="false" outlineLevel="0" collapsed="false">
      <c r="C118" s="22" t="s">
        <v>34</v>
      </c>
      <c r="H118" s="25"/>
      <c r="I118" s="47" t="n">
        <f aca="false">IFERROR(I117-I119-I120,0)</f>
        <v>0.0193512565751024</v>
      </c>
      <c r="J118" s="47" t="n">
        <f aca="false">IFERROR(J117-J119-J120,0)</f>
        <v>0.0508450704225352</v>
      </c>
      <c r="K118" s="47" t="n">
        <f aca="false">IFERROR(K117-K119-K120,0)</f>
        <v>0.0601552616446233</v>
      </c>
      <c r="L118" s="47" t="n">
        <f aca="false">IFERROR(L117-L119-L120,0)</f>
        <v>0.0775473801560758</v>
      </c>
      <c r="M118" s="48" t="n">
        <f aca="false">IFERROR(((I118*D116)+(J118*E116)+(K118*F116)+(L118*G116))/(D116+E116+F116+G116),0)</f>
        <v>0.0522994728593817</v>
      </c>
      <c r="N118" s="47" t="n">
        <f aca="false">IFERROR(N117-N119-N120,0)</f>
        <v>0.0279038795599305</v>
      </c>
      <c r="O118" s="49" t="n">
        <v>0.02</v>
      </c>
      <c r="P118" s="49" t="n">
        <v>0.02</v>
      </c>
      <c r="Q118" s="49" t="n">
        <v>0.02</v>
      </c>
      <c r="R118" s="48" t="n">
        <f aca="false">IFERROR(((N118*I116)+(O118*J116)+(P118*K116)+(Q118*L116))/(I116+J116+K116+L116),0)</f>
        <v>0.0218346774193548</v>
      </c>
      <c r="S118" s="49" t="n">
        <v>0.02</v>
      </c>
      <c r="T118" s="49" t="n">
        <v>0.02</v>
      </c>
      <c r="U118" s="49" t="n">
        <v>0.02</v>
      </c>
      <c r="V118" s="49" t="n">
        <v>0.02</v>
      </c>
      <c r="W118" s="48" t="n">
        <f aca="false">IFERROR(((S118*N116)+(T118*O116)+(U118*P116)+(V118*Q116))/(N116+O116+P116+Q116),0)</f>
        <v>0.02</v>
      </c>
      <c r="X118" s="49" t="n">
        <v>0.02</v>
      </c>
      <c r="Y118" s="49" t="n">
        <v>0.02</v>
      </c>
      <c r="Z118" s="49" t="n">
        <v>0.02</v>
      </c>
      <c r="AA118" s="49" t="n">
        <v>0.02</v>
      </c>
      <c r="AB118" s="48" t="n">
        <f aca="false">IFERROR(((X118*S116)+(Y118*T116)+(Z118*U116)+(AA118*V116))/(S116+T116+U116+V116),0)</f>
        <v>0.02</v>
      </c>
    </row>
    <row r="119" customFormat="false" ht="15" hidden="false" customHeight="false" outlineLevel="0" collapsed="false">
      <c r="C119" s="22" t="s">
        <v>35</v>
      </c>
      <c r="H119" s="25"/>
      <c r="I119" s="50" t="n">
        <v>0</v>
      </c>
      <c r="J119" s="50" t="n">
        <v>0</v>
      </c>
      <c r="K119" s="50" t="n">
        <v>0</v>
      </c>
      <c r="L119" s="50" t="n">
        <v>0</v>
      </c>
      <c r="M119" s="48" t="n">
        <f aca="false">IFERROR(((I119*D116)+(J119*E116)+(K119*F116)+(L119*G116))/(D116+E116+F116+G116),0)</f>
        <v>0</v>
      </c>
      <c r="N119" s="50" t="n">
        <v>0.01</v>
      </c>
      <c r="O119" s="49" t="n">
        <v>0</v>
      </c>
      <c r="P119" s="49" t="n">
        <v>0</v>
      </c>
      <c r="Q119" s="49" t="n">
        <v>0</v>
      </c>
      <c r="R119" s="48" t="n">
        <f aca="false">IFERROR(((N119*I116)+(O119*J116)+(P119*K116)+(Q119*L116))/(I116+J116+K116+L116),0)</f>
        <v>0.00232123655913978</v>
      </c>
      <c r="S119" s="49" t="n">
        <v>0</v>
      </c>
      <c r="T119" s="49" t="n">
        <v>0</v>
      </c>
      <c r="U119" s="49" t="n">
        <v>0</v>
      </c>
      <c r="V119" s="49" t="n">
        <v>0</v>
      </c>
      <c r="W119" s="48" t="n">
        <f aca="false">IFERROR(((S119*N116)+(T119*O116)+(U119*P116)+(V119*Q116))/(N116+O116+P116+Q116),0)</f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8" t="n">
        <f aca="false">IFERROR(((X119*S116)+(Y119*T116)+(Z119*U116)+(AA119*V116))/(S116+T116+U116+V116),0)</f>
        <v>0</v>
      </c>
    </row>
    <row r="120" customFormat="false" ht="15" hidden="false" customHeight="false" outlineLevel="0" collapsed="false">
      <c r="C120" s="22" t="s">
        <v>36</v>
      </c>
      <c r="H120" s="25"/>
      <c r="I120" s="50" t="n">
        <v>-0.01</v>
      </c>
      <c r="J120" s="50" t="n">
        <v>0.01</v>
      </c>
      <c r="K120" s="50" t="n">
        <v>0.01</v>
      </c>
      <c r="L120" s="50" t="n">
        <v>0.02</v>
      </c>
      <c r="M120" s="48" t="n">
        <f aca="false">IFERROR(((I120*D116)+(J120*E116)+(K120*F116)+(L120*G116))/(D116+E116+F116+G116),0)</f>
        <v>0.00768058127938453</v>
      </c>
      <c r="N120" s="50" t="n">
        <v>0.02</v>
      </c>
      <c r="O120" s="49" t="n">
        <v>0</v>
      </c>
      <c r="P120" s="49" t="n">
        <v>0</v>
      </c>
      <c r="Q120" s="49" t="n">
        <v>0</v>
      </c>
      <c r="R120" s="48" t="n">
        <f aca="false">IFERROR(((N120*I116)+(O120*J116)+(P120*K116)+(Q120*L116))/(I116+J116+K116+L116),0)</f>
        <v>0.00464247311827957</v>
      </c>
      <c r="S120" s="49" t="n">
        <v>0</v>
      </c>
      <c r="T120" s="49" t="n">
        <v>0</v>
      </c>
      <c r="U120" s="49" t="n">
        <v>0</v>
      </c>
      <c r="V120" s="49" t="n">
        <v>0</v>
      </c>
      <c r="W120" s="48" t="n">
        <f aca="false">IFERROR(((S120*N116)+(T120*O116)+(U120*P116)+(V120*Q116))/(N116+O116+P116+Q116),0)</f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8" t="n">
        <f aca="false">IFERROR(((X120*S116)+(Y120*T116)+(Z120*U116)+(AA120*V116))/(S116+T116+U116+V116),0)</f>
        <v>0</v>
      </c>
    </row>
    <row r="121" customFormat="false" ht="15" hidden="false" customHeight="false" outlineLevel="0" collapsed="false">
      <c r="A121" s="22" t="s">
        <v>83</v>
      </c>
      <c r="C121" s="3" t="s">
        <v>102</v>
      </c>
      <c r="D121" s="35" t="n">
        <v>1578</v>
      </c>
      <c r="E121" s="35" t="n">
        <v>1627</v>
      </c>
      <c r="F121" s="35" t="n">
        <v>1647</v>
      </c>
      <c r="G121" s="35" t="n">
        <v>1833</v>
      </c>
      <c r="H121" s="46" t="n">
        <f aca="false">D121+E121+F121+G121</f>
        <v>6685</v>
      </c>
      <c r="I121" s="35" t="n">
        <v>1607</v>
      </c>
      <c r="J121" s="35" t="n">
        <v>1794</v>
      </c>
      <c r="K121" s="35" t="n">
        <v>1722</v>
      </c>
      <c r="L121" s="35" t="n">
        <v>2019</v>
      </c>
      <c r="M121" s="46" t="n">
        <f aca="false">I121+J121+K121+L121</f>
        <v>7142</v>
      </c>
      <c r="N121" s="35" t="n">
        <v>1741</v>
      </c>
      <c r="O121" s="37" t="n">
        <f aca="false">J121*(1+O123+O124+O125)</f>
        <v>1829.88</v>
      </c>
      <c r="P121" s="37" t="n">
        <f aca="false">K121*(1+P123+P124+P125)</f>
        <v>1756.44</v>
      </c>
      <c r="Q121" s="37" t="n">
        <f aca="false">L121*(1+Q123+Q124+Q125)</f>
        <v>2059.38</v>
      </c>
      <c r="R121" s="46" t="n">
        <f aca="false">N121+O121+P121+Q121</f>
        <v>7386.7</v>
      </c>
      <c r="S121" s="37" t="n">
        <f aca="false">N121*(1+S123+S124+S125)</f>
        <v>1775.82</v>
      </c>
      <c r="T121" s="37" t="n">
        <f aca="false">O121*(1+T123+T124+T125)</f>
        <v>1866.4776</v>
      </c>
      <c r="U121" s="37" t="n">
        <f aca="false">P121*(1+U123+U124+U125)</f>
        <v>1791.5688</v>
      </c>
      <c r="V121" s="37" t="n">
        <f aca="false">Q121*(1+V123+V124+V125)</f>
        <v>2100.5676</v>
      </c>
      <c r="W121" s="46" t="n">
        <f aca="false">S121+T121+U121+V121</f>
        <v>7534.434</v>
      </c>
      <c r="X121" s="37" t="n">
        <f aca="false">S121*(1+X123+X124+X125)</f>
        <v>1811.3364</v>
      </c>
      <c r="Y121" s="37" t="n">
        <f aca="false">T121*(1+Y123+Y124+Y125)</f>
        <v>1903.807152</v>
      </c>
      <c r="Z121" s="37" t="n">
        <f aca="false">U121*(1+Z123+Z124+Z125)</f>
        <v>1827.400176</v>
      </c>
      <c r="AA121" s="37" t="n">
        <f aca="false">V121*(1+AA123+AA124+AA125)</f>
        <v>2142.578952</v>
      </c>
      <c r="AB121" s="46" t="n">
        <f aca="false">X121+Y121+Z121+AA121</f>
        <v>7685.12268</v>
      </c>
    </row>
    <row r="122" customFormat="false" ht="15" hidden="false" customHeight="false" outlineLevel="0" collapsed="false">
      <c r="C122" s="22" t="s">
        <v>33</v>
      </c>
      <c r="H122" s="25"/>
      <c r="I122" s="47" t="n">
        <f aca="false">IFERROR(I121/D121-1,0)</f>
        <v>0.0183776932826363</v>
      </c>
      <c r="J122" s="47" t="n">
        <f aca="false">IFERROR(J121/E121-1,0)</f>
        <v>0.102642901044868</v>
      </c>
      <c r="K122" s="47" t="n">
        <f aca="false">IFERROR(K121/F121-1,0)</f>
        <v>0.0455373406193078</v>
      </c>
      <c r="L122" s="47" t="n">
        <f aca="false">IFERROR(L121/G121-1,0)</f>
        <v>0.101472995090016</v>
      </c>
      <c r="M122" s="48" t="n">
        <f aca="false">IFERROR(M121/H121-1,0)</f>
        <v>0.0683620044876589</v>
      </c>
      <c r="N122" s="47" t="n">
        <f aca="false">IFERROR(N121/I121-1,0)</f>
        <v>0.0833851897946485</v>
      </c>
      <c r="O122" s="47" t="n">
        <f aca="false">O123+O124+O125</f>
        <v>0.02</v>
      </c>
      <c r="P122" s="47" t="n">
        <f aca="false">P123+P124+P125</f>
        <v>0.02</v>
      </c>
      <c r="Q122" s="47" t="n">
        <f aca="false">Q123+Q124+Q125</f>
        <v>0.02</v>
      </c>
      <c r="R122" s="48" t="n">
        <f aca="false">IFERROR(R121/M121-1,0)</f>
        <v>0.0342621114533743</v>
      </c>
      <c r="S122" s="47" t="n">
        <f aca="false">S123+S124+S125</f>
        <v>0.02</v>
      </c>
      <c r="T122" s="47" t="n">
        <f aca="false">T123+T124+T125</f>
        <v>0.02</v>
      </c>
      <c r="U122" s="47" t="n">
        <f aca="false">U123+U124+U125</f>
        <v>0.02</v>
      </c>
      <c r="V122" s="47" t="n">
        <f aca="false">V123+V124+V125</f>
        <v>0.02</v>
      </c>
      <c r="W122" s="48" t="n">
        <f aca="false">IFERROR(W121/R121-1,0)</f>
        <v>0.02</v>
      </c>
      <c r="X122" s="47" t="n">
        <f aca="false">X123+X124+X125</f>
        <v>0.02</v>
      </c>
      <c r="Y122" s="47" t="n">
        <f aca="false">Y123+Y124+Y125</f>
        <v>0.02</v>
      </c>
      <c r="Z122" s="47" t="n">
        <f aca="false">Z123+Z124+Z125</f>
        <v>0.02</v>
      </c>
      <c r="AA122" s="47" t="n">
        <f aca="false">AA123+AA124+AA125</f>
        <v>0.02</v>
      </c>
      <c r="AB122" s="48" t="n">
        <f aca="false">IFERROR(AB121/W121-1,0)</f>
        <v>0.02</v>
      </c>
    </row>
    <row r="123" customFormat="false" ht="15" hidden="false" customHeight="false" outlineLevel="0" collapsed="false">
      <c r="C123" s="22" t="s">
        <v>34</v>
      </c>
      <c r="H123" s="25"/>
      <c r="I123" s="47" t="n">
        <f aca="false">IFERROR(I122-I124-I125,0)</f>
        <v>0.0283776932826363</v>
      </c>
      <c r="J123" s="47" t="n">
        <f aca="false">IFERROR(J122-J124-J125,0)</f>
        <v>0.092642901044868</v>
      </c>
      <c r="K123" s="47" t="n">
        <f aca="false">IFERROR(K122-K124-K125,0)</f>
        <v>0.0355373406193078</v>
      </c>
      <c r="L123" s="47" t="n">
        <f aca="false">IFERROR(L122-L124-L125,0)</f>
        <v>0.0814729950900164</v>
      </c>
      <c r="M123" s="48" t="n">
        <f aca="false">IFERROR(((I123*D121)+(J123*E121)+(K123*F121)+(L123*G121))/(D121+E121+F121+G121),0)</f>
        <v>0.060341062079282</v>
      </c>
      <c r="N123" s="47" t="n">
        <f aca="false">IFERROR(N122-N124-N125,0)</f>
        <v>0.0533851897946485</v>
      </c>
      <c r="O123" s="49" t="n">
        <v>0.02</v>
      </c>
      <c r="P123" s="49" t="n">
        <v>0.02</v>
      </c>
      <c r="Q123" s="49" t="n">
        <v>0.02</v>
      </c>
      <c r="R123" s="48" t="n">
        <f aca="false">IFERROR(((N123*I121)+(O123*J121)+(P123*K121)+(Q123*L121))/(I121+J121+K121+L121),0)</f>
        <v>0.0275119014281714</v>
      </c>
      <c r="S123" s="49" t="n">
        <v>0.02</v>
      </c>
      <c r="T123" s="49" t="n">
        <v>0.02</v>
      </c>
      <c r="U123" s="49" t="n">
        <v>0.02</v>
      </c>
      <c r="V123" s="49" t="n">
        <v>0.02</v>
      </c>
      <c r="W123" s="48" t="n">
        <f aca="false">IFERROR(((S123*N121)+(T123*O121)+(U123*P121)+(V123*Q121))/(N121+O121+P121+Q121),0)</f>
        <v>0.02</v>
      </c>
      <c r="X123" s="49" t="n">
        <v>0.02</v>
      </c>
      <c r="Y123" s="49" t="n">
        <v>0.02</v>
      </c>
      <c r="Z123" s="49" t="n">
        <v>0.02</v>
      </c>
      <c r="AA123" s="49" t="n">
        <v>0.02</v>
      </c>
      <c r="AB123" s="48" t="n">
        <f aca="false">IFERROR(((X123*S121)+(Y123*T121)+(Z123*U121)+(AA123*V121))/(S121+T121+U121+V121),0)</f>
        <v>0.02</v>
      </c>
    </row>
    <row r="124" customFormat="false" ht="15" hidden="false" customHeight="false" outlineLevel="0" collapsed="false">
      <c r="C124" s="22" t="s">
        <v>35</v>
      </c>
      <c r="H124" s="25"/>
      <c r="I124" s="50" t="n">
        <v>0</v>
      </c>
      <c r="J124" s="50" t="n">
        <v>0</v>
      </c>
      <c r="K124" s="50" t="n">
        <v>0</v>
      </c>
      <c r="L124" s="50" t="n">
        <v>0</v>
      </c>
      <c r="M124" s="48" t="n">
        <f aca="false">IFERROR(((I124*D121)+(J124*E121)+(K124*F121)+(L124*G121))/(D121+E121+F121+G121),0)</f>
        <v>0</v>
      </c>
      <c r="N124" s="50" t="n">
        <v>0.01</v>
      </c>
      <c r="O124" s="49" t="n">
        <v>0</v>
      </c>
      <c r="P124" s="49" t="n">
        <v>0</v>
      </c>
      <c r="Q124" s="49" t="n">
        <v>0</v>
      </c>
      <c r="R124" s="48" t="n">
        <f aca="false">IFERROR(((N124*I121)+(O124*J121)+(P124*K121)+(Q124*L121))/(I121+J121+K121+L121),0)</f>
        <v>0.00225007000840101</v>
      </c>
      <c r="S124" s="49" t="n">
        <v>0</v>
      </c>
      <c r="T124" s="49" t="n">
        <v>0</v>
      </c>
      <c r="U124" s="49" t="n">
        <v>0</v>
      </c>
      <c r="V124" s="49" t="n">
        <v>0</v>
      </c>
      <c r="W124" s="48" t="n">
        <f aca="false">IFERROR(((S124*N121)+(T124*O121)+(U124*P121)+(V124*Q121))/(N121+O121+P121+Q121),0)</f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8" t="n">
        <f aca="false">IFERROR(((X124*S121)+(Y124*T121)+(Z124*U121)+(AA124*V121))/(S121+T121+U121+V121),0)</f>
        <v>0</v>
      </c>
    </row>
    <row r="125" customFormat="false" ht="15" hidden="false" customHeight="false" outlineLevel="0" collapsed="false">
      <c r="C125" s="22" t="s">
        <v>36</v>
      </c>
      <c r="H125" s="25"/>
      <c r="I125" s="50" t="n">
        <v>-0.01</v>
      </c>
      <c r="J125" s="50" t="n">
        <v>0.01</v>
      </c>
      <c r="K125" s="50" t="n">
        <v>0.01</v>
      </c>
      <c r="L125" s="50" t="n">
        <v>0.02</v>
      </c>
      <c r="M125" s="48" t="n">
        <f aca="false">IFERROR(((I125*D121)+(J125*E121)+(K125*F121)+(L125*G121))/(D121+E121+F121+G121),0)</f>
        <v>0.00802094240837696</v>
      </c>
      <c r="N125" s="50" t="n">
        <v>0.02</v>
      </c>
      <c r="O125" s="49" t="n">
        <v>0</v>
      </c>
      <c r="P125" s="49" t="n">
        <v>0</v>
      </c>
      <c r="Q125" s="49" t="n">
        <v>0</v>
      </c>
      <c r="R125" s="48" t="n">
        <f aca="false">IFERROR(((N125*I121)+(O125*J121)+(P125*K121)+(Q125*L121))/(I121+J121+K121+L121),0)</f>
        <v>0.00450014001680202</v>
      </c>
      <c r="S125" s="49" t="n">
        <v>0</v>
      </c>
      <c r="T125" s="49" t="n">
        <v>0</v>
      </c>
      <c r="U125" s="49" t="n">
        <v>0</v>
      </c>
      <c r="V125" s="49" t="n">
        <v>0</v>
      </c>
      <c r="W125" s="48" t="n">
        <f aca="false">IFERROR(((S125*N121)+(T125*O121)+(U125*P121)+(V125*Q121))/(N121+O121+P121+Q121),0)</f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8" t="n">
        <f aca="false">IFERROR(((X125*S121)+(Y125*T121)+(Z125*U121)+(AA125*V121))/(S121+T121+U121+V121),0)</f>
        <v>0</v>
      </c>
    </row>
    <row r="126" customFormat="false" ht="15" hidden="false" customHeight="false" outlineLevel="0" collapsed="false">
      <c r="A126" s="22" t="s">
        <v>83</v>
      </c>
      <c r="C126" s="3" t="s">
        <v>103</v>
      </c>
      <c r="D126" s="35" t="n">
        <v>2033</v>
      </c>
      <c r="E126" s="35" t="n">
        <v>1949</v>
      </c>
      <c r="F126" s="35" t="n">
        <v>1956</v>
      </c>
      <c r="G126" s="35" t="n">
        <v>1898</v>
      </c>
      <c r="H126" s="46" t="n">
        <f aca="false">D126+E126+F126+G126</f>
        <v>7836</v>
      </c>
      <c r="I126" s="35" t="n">
        <v>1939</v>
      </c>
      <c r="J126" s="35" t="n">
        <v>1955</v>
      </c>
      <c r="K126" s="35" t="n">
        <v>2019</v>
      </c>
      <c r="L126" s="35" t="n">
        <v>2002</v>
      </c>
      <c r="M126" s="46" t="n">
        <f aca="false">I126+J126+K126+L126</f>
        <v>7915</v>
      </c>
      <c r="N126" s="35" t="n">
        <v>2128</v>
      </c>
      <c r="O126" s="37" t="n">
        <f aca="false">J126*(1+O128+O129+O130)</f>
        <v>2299.08</v>
      </c>
      <c r="P126" s="37" t="n">
        <f aca="false">K126*(1+P128+P129+P130)</f>
        <v>2366.268</v>
      </c>
      <c r="Q126" s="37" t="n">
        <f aca="false">L126*(1+Q128+Q129+Q130)</f>
        <v>2348.346</v>
      </c>
      <c r="R126" s="46" t="n">
        <f aca="false">N126+O126+P126+Q126</f>
        <v>9141.694</v>
      </c>
      <c r="S126" s="37" t="n">
        <f aca="false">N126*(1+S128+S129+S130)</f>
        <v>2476.992</v>
      </c>
      <c r="T126" s="37" t="n">
        <f aca="false">O126*(1+T128+T129+T130)</f>
        <v>2345.0616</v>
      </c>
      <c r="U126" s="37" t="n">
        <f aca="false">P126*(1+U128+U129+U130)</f>
        <v>2413.59336</v>
      </c>
      <c r="V126" s="37" t="n">
        <f aca="false">Q126*(1+V128+V129+V130)</f>
        <v>2395.31292</v>
      </c>
      <c r="W126" s="46" t="n">
        <f aca="false">S126+T126+U126+V126</f>
        <v>9630.95988</v>
      </c>
      <c r="X126" s="37" t="n">
        <f aca="false">S126*(1+X128+X129+X130)</f>
        <v>2526.53184</v>
      </c>
      <c r="Y126" s="37" t="n">
        <f aca="false">T126*(1+Y128+Y129+Y130)</f>
        <v>2391.962832</v>
      </c>
      <c r="Z126" s="37" t="n">
        <f aca="false">U126*(1+Z128+Z129+Z130)</f>
        <v>2461.8652272</v>
      </c>
      <c r="AA126" s="37" t="n">
        <f aca="false">V126*(1+AA128+AA129+AA130)</f>
        <v>2443.2191784</v>
      </c>
      <c r="AB126" s="46" t="n">
        <f aca="false">X126+Y126+Z126+AA126</f>
        <v>9823.5790776</v>
      </c>
    </row>
    <row r="127" customFormat="false" ht="15" hidden="false" customHeight="false" outlineLevel="0" collapsed="false">
      <c r="C127" s="22" t="s">
        <v>33</v>
      </c>
      <c r="H127" s="25"/>
      <c r="I127" s="47" t="n">
        <f aca="false">IFERROR(I126/D126-1,0)</f>
        <v>-0.0462370880472208</v>
      </c>
      <c r="J127" s="47" t="n">
        <f aca="false">IFERROR(J126/E126-1,0)</f>
        <v>0.00307850179579261</v>
      </c>
      <c r="K127" s="47" t="n">
        <f aca="false">IFERROR(K126/F126-1,0)</f>
        <v>0.0322085889570551</v>
      </c>
      <c r="L127" s="47" t="n">
        <f aca="false">IFERROR(L126/G126-1,0)</f>
        <v>0.0547945205479452</v>
      </c>
      <c r="M127" s="48" t="n">
        <f aca="false">IFERROR(M126/H126-1,0)</f>
        <v>0.0100816743236345</v>
      </c>
      <c r="N127" s="47" t="n">
        <f aca="false">IFERROR(N126/I126-1,0)</f>
        <v>0.0974729241877257</v>
      </c>
      <c r="O127" s="47" t="n">
        <f aca="false">O128+O129+O130</f>
        <v>0.176</v>
      </c>
      <c r="P127" s="47" t="n">
        <f aca="false">P128+P129+P130</f>
        <v>0.172</v>
      </c>
      <c r="Q127" s="47" t="n">
        <f aca="false">Q128+Q129+Q130</f>
        <v>0.173</v>
      </c>
      <c r="R127" s="48" t="n">
        <f aca="false">IFERROR(R126/M126-1,0)</f>
        <v>0.154983449147189</v>
      </c>
      <c r="S127" s="47" t="n">
        <f aca="false">S128+S129+S130</f>
        <v>0.164</v>
      </c>
      <c r="T127" s="47" t="n">
        <f aca="false">T128+T129+T130</f>
        <v>0.02</v>
      </c>
      <c r="U127" s="47" t="n">
        <f aca="false">U128+U129+U130</f>
        <v>0.02</v>
      </c>
      <c r="V127" s="47" t="n">
        <f aca="false">V128+V129+V130</f>
        <v>0.02</v>
      </c>
      <c r="W127" s="48" t="n">
        <f aca="false">IFERROR(W126/R126-1,0)</f>
        <v>0.0535202644061372</v>
      </c>
      <c r="X127" s="47" t="n">
        <f aca="false">X128+X129+X130</f>
        <v>0.02</v>
      </c>
      <c r="Y127" s="47" t="n">
        <f aca="false">Y128+Y129+Y130</f>
        <v>0.02</v>
      </c>
      <c r="Z127" s="47" t="n">
        <f aca="false">Z128+Z129+Z130</f>
        <v>0.02</v>
      </c>
      <c r="AA127" s="47" t="n">
        <f aca="false">AA128+AA129+AA130</f>
        <v>0.02</v>
      </c>
      <c r="AB127" s="48" t="n">
        <f aca="false">IFERROR(AB126/W126-1,0)</f>
        <v>0.02</v>
      </c>
    </row>
    <row r="128" customFormat="false" ht="15" hidden="false" customHeight="false" outlineLevel="0" collapsed="false">
      <c r="C128" s="22" t="s">
        <v>34</v>
      </c>
      <c r="H128" s="25"/>
      <c r="I128" s="47" t="n">
        <f aca="false">IFERROR(I127-I129-I130,0)</f>
        <v>-0.0362370880472208</v>
      </c>
      <c r="J128" s="47" t="n">
        <f aca="false">IFERROR(J127-J129-J130,0)</f>
        <v>-0.00692149820420739</v>
      </c>
      <c r="K128" s="47" t="n">
        <f aca="false">IFERROR(K127-K129-K130,0)</f>
        <v>0.0222085889570551</v>
      </c>
      <c r="L128" s="47" t="n">
        <f aca="false">IFERROR(L127-L129-L130,0)</f>
        <v>0.0347945205479452</v>
      </c>
      <c r="M128" s="48" t="n">
        <f aca="false">IFERROR(((I128*D126)+(J128*E126)+(K128*F126)+(L128*G126))/(D126+E126+F126+G126),0)</f>
        <v>0.00284839203675341</v>
      </c>
      <c r="N128" s="47" t="n">
        <f aca="false">IFERROR(N127-N129-N130,0)</f>
        <v>0.0674729241877257</v>
      </c>
      <c r="O128" s="49" t="n">
        <v>0.02</v>
      </c>
      <c r="P128" s="49" t="n">
        <v>0.02</v>
      </c>
      <c r="Q128" s="49" t="n">
        <v>0.02</v>
      </c>
      <c r="R128" s="48" t="n">
        <f aca="false">IFERROR(((N128*I126)+(O128*J126)+(P128*K126)+(Q128*L126))/(I126+J126+K126+L126),0)</f>
        <v>0.0316298168035376</v>
      </c>
      <c r="S128" s="49" t="n">
        <v>0.02</v>
      </c>
      <c r="T128" s="49" t="n">
        <v>0.02</v>
      </c>
      <c r="U128" s="49" t="n">
        <v>0.02</v>
      </c>
      <c r="V128" s="49" t="n">
        <v>0.02</v>
      </c>
      <c r="W128" s="48" t="n">
        <f aca="false">IFERROR(((S128*N126)+(T128*O126)+(U128*P126)+(V128*Q126))/(N126+O126+P126+Q126),0)</f>
        <v>0.02</v>
      </c>
      <c r="X128" s="49" t="n">
        <v>0.02</v>
      </c>
      <c r="Y128" s="49" t="n">
        <v>0.02</v>
      </c>
      <c r="Z128" s="49" t="n">
        <v>0.02</v>
      </c>
      <c r="AA128" s="49" t="n">
        <v>0.02</v>
      </c>
      <c r="AB128" s="48" t="n">
        <f aca="false">IFERROR(((X128*S126)+(Y128*T126)+(Z128*U126)+(AA128*V126))/(S126+T126+U126+V126),0)</f>
        <v>0.02</v>
      </c>
    </row>
    <row r="129" customFormat="false" ht="15" hidden="false" customHeight="false" outlineLevel="0" collapsed="false">
      <c r="C129" s="22" t="s">
        <v>35</v>
      </c>
      <c r="H129" s="25"/>
      <c r="I129" s="50" t="n">
        <v>0</v>
      </c>
      <c r="J129" s="50" t="n">
        <v>0</v>
      </c>
      <c r="K129" s="50" t="n">
        <v>0</v>
      </c>
      <c r="L129" s="50" t="n">
        <v>0</v>
      </c>
      <c r="M129" s="48" t="n">
        <f aca="false">IFERROR(((I129*D126)+(J129*E126)+(K129*F126)+(L129*G126))/(D126+E126+F126+G126),0)</f>
        <v>0</v>
      </c>
      <c r="N129" s="50" t="n">
        <v>0.01</v>
      </c>
      <c r="O129" s="49" t="n">
        <v>0.156</v>
      </c>
      <c r="P129" s="49" t="n">
        <v>0.152</v>
      </c>
      <c r="Q129" s="49" t="n">
        <v>0.153</v>
      </c>
      <c r="R129" s="48" t="n">
        <f aca="false">IFERROR(((N129*I126)+(O129*J126)+(P129*K126)+(Q129*L126))/(I126+J126+K126+L126),0)</f>
        <v>0.118454074542009</v>
      </c>
      <c r="S129" s="49" t="n">
        <v>0.144</v>
      </c>
      <c r="T129" s="49" t="n">
        <v>0</v>
      </c>
      <c r="U129" s="49" t="n">
        <v>0</v>
      </c>
      <c r="V129" s="49" t="n">
        <v>0</v>
      </c>
      <c r="W129" s="48" t="n">
        <f aca="false">IFERROR(((S129*N126)+(T129*O126)+(U129*P126)+(V129*Q126))/(N126+O126+P126+Q126),0)</f>
        <v>0.0335202644061374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8" t="n">
        <f aca="false">IFERROR(((X129*S126)+(Y129*T126)+(Z129*U126)+(AA129*V126))/(S126+T126+U126+V126),0)</f>
        <v>0</v>
      </c>
    </row>
    <row r="130" customFormat="false" ht="15" hidden="false" customHeight="false" outlineLevel="0" collapsed="false">
      <c r="C130" s="22" t="s">
        <v>36</v>
      </c>
      <c r="H130" s="25"/>
      <c r="I130" s="50" t="n">
        <v>-0.01</v>
      </c>
      <c r="J130" s="50" t="n">
        <v>0.01</v>
      </c>
      <c r="K130" s="50" t="n">
        <v>0.01</v>
      </c>
      <c r="L130" s="50" t="n">
        <v>0.02</v>
      </c>
      <c r="M130" s="48" t="n">
        <f aca="false">IFERROR(((I130*D126)+(J130*E126)+(K130*F126)+(L130*G126))/(D126+E126+F126+G126),0)</f>
        <v>0.00723328228688106</v>
      </c>
      <c r="N130" s="50" t="n">
        <v>0.02</v>
      </c>
      <c r="O130" s="49" t="n">
        <v>0</v>
      </c>
      <c r="P130" s="49" t="n">
        <v>0</v>
      </c>
      <c r="Q130" s="49" t="n">
        <v>0</v>
      </c>
      <c r="R130" s="48" t="n">
        <f aca="false">IFERROR(((N130*I126)+(O130*J126)+(P130*K126)+(Q130*L126))/(I126+J126+K126+L126),0)</f>
        <v>0.00489955780164245</v>
      </c>
      <c r="S130" s="49" t="n">
        <v>0</v>
      </c>
      <c r="T130" s="49" t="n">
        <v>0</v>
      </c>
      <c r="U130" s="49" t="n">
        <v>0</v>
      </c>
      <c r="V130" s="49" t="n">
        <v>0</v>
      </c>
      <c r="W130" s="48" t="n">
        <f aca="false">IFERROR(((S130*N126)+(T130*O126)+(U130*P126)+(V130*Q126))/(N126+O126+P126+Q126),0)</f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8" t="n">
        <f aca="false">IFERROR(((X130*S126)+(Y130*T126)+(Z130*U126)+(AA130*V126))/(S126+T126+U126+V126),0)</f>
        <v>0</v>
      </c>
    </row>
    <row r="131" customFormat="false" ht="15" hidden="false" customHeight="false" outlineLevel="0" collapsed="false">
      <c r="A131" s="22" t="s">
        <v>83</v>
      </c>
      <c r="C131" s="3" t="s">
        <v>104</v>
      </c>
      <c r="D131" s="35" t="n">
        <v>-224</v>
      </c>
      <c r="E131" s="35" t="n">
        <v>-233</v>
      </c>
      <c r="F131" s="35" t="n">
        <v>-216</v>
      </c>
      <c r="G131" s="35" t="n">
        <v>-234</v>
      </c>
      <c r="H131" s="46" t="n">
        <f aca="false">D131+E131+F131+G131</f>
        <v>-907</v>
      </c>
      <c r="I131" s="35" t="n">
        <v>-214</v>
      </c>
      <c r="J131" s="35" t="n">
        <v>-238</v>
      </c>
      <c r="K131" s="35" t="n">
        <v>-226</v>
      </c>
      <c r="L131" s="35" t="n">
        <v>-242</v>
      </c>
      <c r="M131" s="46" t="n">
        <f aca="false">I131+J131+K131+L131</f>
        <v>-920</v>
      </c>
      <c r="N131" s="35" t="n">
        <v>-228</v>
      </c>
      <c r="O131" s="37" t="n">
        <f aca="false">J131*(1+O133+O134+O135)</f>
        <v>-242.76</v>
      </c>
      <c r="P131" s="37" t="n">
        <f aca="false">K131*(1+P133+P134+P135)</f>
        <v>-230.52</v>
      </c>
      <c r="Q131" s="37" t="n">
        <f aca="false">L131*(1+Q133+Q134+Q135)</f>
        <v>-246.84</v>
      </c>
      <c r="R131" s="46" t="n">
        <f aca="false">N131+O131+P131+Q131</f>
        <v>-948.12</v>
      </c>
      <c r="S131" s="37" t="n">
        <f aca="false">N131*(1+S133+S134+S135)</f>
        <v>-232.56</v>
      </c>
      <c r="T131" s="37" t="n">
        <f aca="false">O131*(1+T133+T134+T135)</f>
        <v>-247.6152</v>
      </c>
      <c r="U131" s="37" t="n">
        <f aca="false">P131*(1+U133+U134+U135)</f>
        <v>-235.1304</v>
      </c>
      <c r="V131" s="37" t="n">
        <f aca="false">Q131*(1+V133+V134+V135)</f>
        <v>-251.7768</v>
      </c>
      <c r="W131" s="46" t="n">
        <f aca="false">S131+T131+U131+V131</f>
        <v>-967.0824</v>
      </c>
      <c r="X131" s="37" t="n">
        <f aca="false">S131*(1+X133+X134+X135)</f>
        <v>-237.2112</v>
      </c>
      <c r="Y131" s="37" t="n">
        <f aca="false">T131*(1+Y133+Y134+Y135)</f>
        <v>-252.567504</v>
      </c>
      <c r="Z131" s="37" t="n">
        <f aca="false">U131*(1+Z133+Z134+Z135)</f>
        <v>-239.833008</v>
      </c>
      <c r="AA131" s="37" t="n">
        <f aca="false">V131*(1+AA133+AA134+AA135)</f>
        <v>-256.812336</v>
      </c>
      <c r="AB131" s="46" t="n">
        <f aca="false">X131+Y131+Z131+AA131</f>
        <v>-986.424048</v>
      </c>
    </row>
    <row r="132" customFormat="false" ht="15" hidden="false" customHeight="false" outlineLevel="0" collapsed="false">
      <c r="C132" s="22" t="s">
        <v>33</v>
      </c>
      <c r="H132" s="25"/>
      <c r="I132" s="47" t="n">
        <f aca="false">IFERROR(I131/D131-1,0)</f>
        <v>-0.0446428571428571</v>
      </c>
      <c r="J132" s="47" t="n">
        <f aca="false">IFERROR(J131/E131-1,0)</f>
        <v>0.0214592274678112</v>
      </c>
      <c r="K132" s="47" t="n">
        <f aca="false">IFERROR(K131/F131-1,0)</f>
        <v>0.0462962962962963</v>
      </c>
      <c r="L132" s="47" t="n">
        <f aca="false">IFERROR(L131/G131-1,0)</f>
        <v>0.0341880341880343</v>
      </c>
      <c r="M132" s="48" t="n">
        <f aca="false">IFERROR(M131/H131-1,0)</f>
        <v>0.0143329658213891</v>
      </c>
      <c r="N132" s="47" t="n">
        <f aca="false">IFERROR(N131/I131-1,0)</f>
        <v>0.0654205607476635</v>
      </c>
      <c r="O132" s="47" t="n">
        <f aca="false">O133+O134+O135</f>
        <v>0.02</v>
      </c>
      <c r="P132" s="47" t="n">
        <f aca="false">P133+P134+P135</f>
        <v>0.02</v>
      </c>
      <c r="Q132" s="47" t="n">
        <f aca="false">Q133+Q134+Q135</f>
        <v>0.02</v>
      </c>
      <c r="R132" s="48" t="n">
        <f aca="false">IFERROR(R131/M131-1,0)</f>
        <v>0.0305652173913042</v>
      </c>
      <c r="S132" s="47" t="n">
        <f aca="false">S133+S134+S135</f>
        <v>0.02</v>
      </c>
      <c r="T132" s="47" t="n">
        <f aca="false">T133+T134+T135</f>
        <v>0.02</v>
      </c>
      <c r="U132" s="47" t="n">
        <f aca="false">U133+U134+U135</f>
        <v>0.02</v>
      </c>
      <c r="V132" s="47" t="n">
        <f aca="false">V133+V134+V135</f>
        <v>0.02</v>
      </c>
      <c r="W132" s="48" t="n">
        <f aca="false">IFERROR(W131/R131-1,0)</f>
        <v>0.02</v>
      </c>
      <c r="X132" s="47" t="n">
        <f aca="false">X133+X134+X135</f>
        <v>0.02</v>
      </c>
      <c r="Y132" s="47" t="n">
        <f aca="false">Y133+Y134+Y135</f>
        <v>0.02</v>
      </c>
      <c r="Z132" s="47" t="n">
        <f aca="false">Z133+Z134+Z135</f>
        <v>0.02</v>
      </c>
      <c r="AA132" s="47" t="n">
        <f aca="false">AA133+AA134+AA135</f>
        <v>0.02</v>
      </c>
      <c r="AB132" s="48" t="n">
        <f aca="false">IFERROR(AB131/W131-1,0)</f>
        <v>0.02</v>
      </c>
    </row>
    <row r="133" customFormat="false" ht="15" hidden="false" customHeight="false" outlineLevel="0" collapsed="false">
      <c r="C133" s="22" t="s">
        <v>34</v>
      </c>
      <c r="H133" s="25"/>
      <c r="I133" s="47" t="n">
        <f aca="false">IFERROR(I132-I134-I135,0)</f>
        <v>-0.0346428571428571</v>
      </c>
      <c r="J133" s="47" t="n">
        <f aca="false">IFERROR(J132-J134-J135,0)</f>
        <v>0.0114592274678111</v>
      </c>
      <c r="K133" s="47" t="n">
        <f aca="false">IFERROR(K132-K134-K135,0)</f>
        <v>0.0362962962962963</v>
      </c>
      <c r="L133" s="47" t="n">
        <f aca="false">IFERROR(L132-L134-L135,0)</f>
        <v>0.0141880341880343</v>
      </c>
      <c r="M133" s="48" t="n">
        <f aca="false">IFERROR(((I133*D131)+(J133*E131)+(K133*F131)+(L133*G131))/(D131+E131+F131+G131),0)</f>
        <v>0.00669239250275637</v>
      </c>
      <c r="N133" s="47" t="n">
        <f aca="false">IFERROR(N132-N134-N135,0)</f>
        <v>0.0354205607476635</v>
      </c>
      <c r="O133" s="49" t="n">
        <v>0.02</v>
      </c>
      <c r="P133" s="49" t="n">
        <v>0.02</v>
      </c>
      <c r="Q133" s="49" t="n">
        <v>0.02</v>
      </c>
      <c r="R133" s="48" t="n">
        <f aca="false">IFERROR(((N133*I131)+(O133*J131)+(P133*K131)+(Q133*L131))/(I131+J131+K131+L131),0)</f>
        <v>0.0235869565217391</v>
      </c>
      <c r="S133" s="49" t="n">
        <v>0.02</v>
      </c>
      <c r="T133" s="49" t="n">
        <v>0.02</v>
      </c>
      <c r="U133" s="49" t="n">
        <v>0.02</v>
      </c>
      <c r="V133" s="49" t="n">
        <v>0.02</v>
      </c>
      <c r="W133" s="48" t="n">
        <f aca="false">IFERROR(((S133*N131)+(T133*O131)+(U133*P131)+(V133*Q131))/(N131+O131+P131+Q131),0)</f>
        <v>0.02</v>
      </c>
      <c r="X133" s="49" t="n">
        <v>0.02</v>
      </c>
      <c r="Y133" s="49" t="n">
        <v>0.02</v>
      </c>
      <c r="Z133" s="49" t="n">
        <v>0.02</v>
      </c>
      <c r="AA133" s="49" t="n">
        <v>0.02</v>
      </c>
      <c r="AB133" s="48" t="n">
        <f aca="false">IFERROR(((X133*S131)+(Y133*T131)+(Z133*U131)+(AA133*V131))/(S131+T131+U131+V131),0)</f>
        <v>0.02</v>
      </c>
    </row>
    <row r="134" customFormat="false" ht="15" hidden="false" customHeight="false" outlineLevel="0" collapsed="false">
      <c r="C134" s="22" t="s">
        <v>35</v>
      </c>
      <c r="H134" s="25"/>
      <c r="I134" s="50" t="n">
        <v>0</v>
      </c>
      <c r="J134" s="50" t="n">
        <v>0</v>
      </c>
      <c r="K134" s="50" t="n">
        <v>0</v>
      </c>
      <c r="L134" s="50" t="n">
        <v>0</v>
      </c>
      <c r="M134" s="48" t="n">
        <f aca="false">IFERROR(((I134*D131)+(J134*E131)+(K134*F131)+(L134*G131))/(D131+E131+F131+G131),0)</f>
        <v>0</v>
      </c>
      <c r="N134" s="50" t="n">
        <v>0.01</v>
      </c>
      <c r="O134" s="49" t="n">
        <v>0</v>
      </c>
      <c r="P134" s="49" t="n">
        <v>0</v>
      </c>
      <c r="Q134" s="49" t="n">
        <v>0</v>
      </c>
      <c r="R134" s="48" t="n">
        <f aca="false">IFERROR(((N134*I131)+(O134*J131)+(P134*K131)+(Q134*L131))/(I131+J131+K131+L131),0)</f>
        <v>0.00232608695652174</v>
      </c>
      <c r="S134" s="49" t="n">
        <v>0</v>
      </c>
      <c r="T134" s="49" t="n">
        <v>0</v>
      </c>
      <c r="U134" s="49" t="n">
        <v>0</v>
      </c>
      <c r="V134" s="49" t="n">
        <v>0</v>
      </c>
      <c r="W134" s="48" t="n">
        <f aca="false">IFERROR(((S134*N131)+(T134*O131)+(U134*P131)+(V134*Q131))/(N131+O131+P131+Q131),0)</f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8" t="n">
        <f aca="false">IFERROR(((X134*S131)+(Y134*T131)+(Z134*U131)+(AA134*V131))/(S131+T131+U131+V131),0)</f>
        <v>0</v>
      </c>
    </row>
    <row r="135" customFormat="false" ht="15" hidden="false" customHeight="false" outlineLevel="0" collapsed="false">
      <c r="C135" s="22" t="s">
        <v>36</v>
      </c>
      <c r="H135" s="25"/>
      <c r="I135" s="50" t="n">
        <v>-0.01</v>
      </c>
      <c r="J135" s="50" t="n">
        <v>0.01</v>
      </c>
      <c r="K135" s="50" t="n">
        <v>0.01</v>
      </c>
      <c r="L135" s="50" t="n">
        <v>0.02</v>
      </c>
      <c r="M135" s="48" t="n">
        <f aca="false">IFERROR(((I135*D131)+(J135*E131)+(K135*F131)+(L135*G131))/(D131+E131+F131+G131),0)</f>
        <v>0.00764057331863286</v>
      </c>
      <c r="N135" s="50" t="n">
        <v>0.02</v>
      </c>
      <c r="O135" s="49" t="n">
        <v>0</v>
      </c>
      <c r="P135" s="49" t="n">
        <v>0</v>
      </c>
      <c r="Q135" s="49" t="n">
        <v>0</v>
      </c>
      <c r="R135" s="48" t="n">
        <f aca="false">IFERROR(((N135*I131)+(O135*J131)+(P135*K131)+(Q135*L131))/(I131+J131+K131+L131),0)</f>
        <v>0.00465217391304348</v>
      </c>
      <c r="S135" s="49" t="n">
        <v>0</v>
      </c>
      <c r="T135" s="49" t="n">
        <v>0</v>
      </c>
      <c r="U135" s="49" t="n">
        <v>0</v>
      </c>
      <c r="V135" s="49" t="n">
        <v>0</v>
      </c>
      <c r="W135" s="48" t="n">
        <f aca="false">IFERROR(((S135*N131)+(T135*O131)+(U135*P131)+(V135*Q131))/(N131+O131+P131+Q131),0)</f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8" t="n">
        <f aca="false">IFERROR(((X135*S131)+(Y135*T131)+(Z135*U131)+(AA135*V131))/(S131+T131+U131+V131),0)</f>
        <v>0</v>
      </c>
    </row>
    <row r="136" customFormat="false" ht="15" hidden="false" customHeight="false" outlineLevel="0" collapsed="false">
      <c r="C136" s="30" t="s">
        <v>105</v>
      </c>
      <c r="D136" s="51" t="n">
        <f aca="false">D111+D116+D121+D126+D131</f>
        <v>5722</v>
      </c>
      <c r="E136" s="51" t="n">
        <f aca="false">E111+E116+E121+E126+E131</f>
        <v>5757</v>
      </c>
      <c r="F136" s="51" t="n">
        <f aca="false">F111+F116+F121+F126+F131</f>
        <v>5740</v>
      </c>
      <c r="G136" s="51" t="n">
        <f aca="false">G111+G116+G121+G126+G131</f>
        <v>5938</v>
      </c>
      <c r="H136" s="52" t="n">
        <f aca="false">H111+H116+H121+H126+H131</f>
        <v>23157</v>
      </c>
      <c r="I136" s="51" t="n">
        <f aca="false">I111+I116+I121+I126+I131</f>
        <v>5641</v>
      </c>
      <c r="J136" s="51" t="n">
        <f aca="false">J111+J116+J121+J126+J131</f>
        <v>5995</v>
      </c>
      <c r="K136" s="51" t="n">
        <f aca="false">K111+K116+K121+K126+K131</f>
        <v>5970</v>
      </c>
      <c r="L136" s="51" t="n">
        <f aca="false">L111+L116+L121+L126+L131</f>
        <v>6379</v>
      </c>
      <c r="M136" s="52" t="n">
        <f aca="false">M111+M116+M121+M126+M131</f>
        <v>23985</v>
      </c>
      <c r="N136" s="51" t="n">
        <f aca="false">N111+N116+N121+N126+N131</f>
        <v>6037</v>
      </c>
      <c r="O136" s="51" t="n">
        <f aca="false">O111+O116+O121+O126+O131</f>
        <v>6419.88</v>
      </c>
      <c r="P136" s="51" t="n">
        <f aca="false">P111+P116+P121+P126+P131</f>
        <v>6396.288</v>
      </c>
      <c r="Q136" s="51" t="n">
        <f aca="false">Q111+Q116+Q121+Q126+Q131</f>
        <v>6812.886</v>
      </c>
      <c r="R136" s="52" t="n">
        <f aca="false">R111+R116+R121+R126+R131</f>
        <v>25666.054</v>
      </c>
      <c r="S136" s="51" t="n">
        <f aca="false">S111+S116+S121+S126+S131</f>
        <v>6464.172</v>
      </c>
      <c r="T136" s="51" t="n">
        <f aca="false">T111+T116+T121+T126+T131</f>
        <v>6548.2776</v>
      </c>
      <c r="U136" s="51" t="n">
        <f aca="false">U111+U116+U121+U126+U131</f>
        <v>6524.21376</v>
      </c>
      <c r="V136" s="51" t="n">
        <f aca="false">V111+V116+V121+V126+V131</f>
        <v>6949.14372</v>
      </c>
      <c r="W136" s="52" t="n">
        <f aca="false">W111+W116+W121+W126+W131</f>
        <v>26485.80708</v>
      </c>
      <c r="X136" s="51" t="n">
        <f aca="false">X111+X116+X121+X126+X131</f>
        <v>6593.45544</v>
      </c>
      <c r="Y136" s="51" t="n">
        <f aca="false">Y111+Y116+Y121+Y126+Y131</f>
        <v>6679.243152</v>
      </c>
      <c r="Z136" s="51" t="n">
        <f aca="false">Z111+Z116+Z121+Z126+Z131</f>
        <v>6654.6980352</v>
      </c>
      <c r="AA136" s="51" t="n">
        <f aca="false">AA111+AA116+AA121+AA126+AA131</f>
        <v>7088.1265944</v>
      </c>
      <c r="AB136" s="52" t="n">
        <f aca="false">AB111+AB116+AB121+AB126+AB131</f>
        <v>27015.5232216</v>
      </c>
    </row>
    <row r="137" customFormat="false" ht="15" hidden="false" customHeight="false" outlineLevel="0" collapsed="false">
      <c r="C137" s="22" t="s">
        <v>33</v>
      </c>
      <c r="H137" s="25"/>
      <c r="I137" s="40" t="n">
        <f aca="false">IFERROR(I136/D136-1,0)</f>
        <v>-0.0141558895491087</v>
      </c>
      <c r="J137" s="40" t="n">
        <f aca="false">IFERROR(J136/E136-1,0)</f>
        <v>0.0413409762028834</v>
      </c>
      <c r="K137" s="40" t="n">
        <f aca="false">IFERROR(K136/F136-1,0)</f>
        <v>0.0400696864111498</v>
      </c>
      <c r="L137" s="40" t="n">
        <f aca="false">IFERROR(L136/G136-1,0)</f>
        <v>0.0742674301111486</v>
      </c>
      <c r="M137" s="41" t="n">
        <f aca="false">IFERROR(M136/H136-1,0)</f>
        <v>0.0357559269335406</v>
      </c>
      <c r="N137" s="40" t="n">
        <f aca="false">IFERROR(N136/I136-1,0)</f>
        <v>0.0702003190923595</v>
      </c>
      <c r="O137" s="40" t="n">
        <f aca="false">IFERROR(O136/J136-1,0)</f>
        <v>0.0708723936613844</v>
      </c>
      <c r="P137" s="40" t="n">
        <f aca="false">IFERROR(P136/K136-1,0)</f>
        <v>0.071405025125628</v>
      </c>
      <c r="Q137" s="40" t="n">
        <f aca="false">IFERROR(Q136/L136-1,0)</f>
        <v>0.0680178711396771</v>
      </c>
      <c r="R137" s="41" t="n">
        <f aca="false">IFERROR(R136/M136-1,0)</f>
        <v>0.0700877214925995</v>
      </c>
      <c r="S137" s="40" t="n">
        <f aca="false">IFERROR(S136/N136-1,0)</f>
        <v>0.0707589862514493</v>
      </c>
      <c r="T137" s="40" t="n">
        <f aca="false">IFERROR(T136/O136-1,0)</f>
        <v>0.02</v>
      </c>
      <c r="U137" s="40" t="n">
        <f aca="false">IFERROR(U136/P136-1,0)</f>
        <v>0.02</v>
      </c>
      <c r="V137" s="40" t="n">
        <f aca="false">IFERROR(V136/Q136-1,0)</f>
        <v>0.0200000000000002</v>
      </c>
      <c r="W137" s="41" t="n">
        <f aca="false">IFERROR(W136/R136-1,0)</f>
        <v>0.0319391940810223</v>
      </c>
      <c r="X137" s="40" t="n">
        <f aca="false">IFERROR(X136/S136-1,0)</f>
        <v>0.02</v>
      </c>
      <c r="Y137" s="40" t="n">
        <f aca="false">IFERROR(Y136/T136-1,0)</f>
        <v>0.02</v>
      </c>
      <c r="Z137" s="40" t="n">
        <f aca="false">IFERROR(Z136/U136-1,0)</f>
        <v>0.0200000000000002</v>
      </c>
      <c r="AA137" s="40" t="n">
        <f aca="false">IFERROR(AA136/V136-1,0)</f>
        <v>0.0199999999999998</v>
      </c>
      <c r="AB137" s="41" t="n">
        <f aca="false">IFERROR(AB136/W136-1,0)</f>
        <v>0.02</v>
      </c>
    </row>
    <row r="138" customFormat="false" ht="15" hidden="false" customHeight="false" outlineLevel="0" collapsed="false">
      <c r="C138" s="22" t="s">
        <v>34</v>
      </c>
      <c r="H138" s="25"/>
      <c r="I138" s="40" t="n">
        <f aca="false">IFERROR(I137-I139-I140,0)</f>
        <v>-0.00415588954910874</v>
      </c>
      <c r="J138" s="40" t="n">
        <f aca="false">IFERROR(J137-J139-J140,0)</f>
        <v>0.0313409762028834</v>
      </c>
      <c r="K138" s="40" t="n">
        <f aca="false">IFERROR(K137-K139-K140,0)</f>
        <v>0.0300696864111498</v>
      </c>
      <c r="L138" s="40" t="n">
        <f aca="false">IFERROR(L137-L139-L140,0)</f>
        <v>0.0542674301111486</v>
      </c>
      <c r="M138" s="41" t="n">
        <f aca="false">IFERROR(((I138*D136)+(J138*E136)+(K138*F136)+(L138*G136))/(D136+E136+F136+G136),0)</f>
        <v>0.0281336097076478</v>
      </c>
      <c r="N138" s="40" t="n">
        <f aca="false">IFERROR(N137-N139-N140,0)</f>
        <v>0.0402003190923595</v>
      </c>
      <c r="O138" s="40" t="n">
        <f aca="false">IFERROR(((O113*J111)+(O118*J116)+(O123*J121)+(O128*J126)+(O133*J131))/(J111+J116+J121+J126+J131),0)</f>
        <v>0.02</v>
      </c>
      <c r="P138" s="40" t="n">
        <f aca="false">IFERROR(((P113*K111)+(P118*K116)+(P123*K121)+(P128*K126)+(P133*K131))/(K111+K116+K121+K126+K131),0)</f>
        <v>0.02</v>
      </c>
      <c r="Q138" s="40" t="n">
        <f aca="false">IFERROR(((Q113*L111)+(Q118*L116)+(Q123*L121)+(Q128*L126)+(Q133*L131))/(L111+L116+L121+L126+L131),0)</f>
        <v>0.02</v>
      </c>
      <c r="R138" s="41" t="n">
        <f aca="false">IFERROR(((R113*M111)+(R118*M116)+(R123*M121)+(R128*M126)+(R133*M131))/(M111+M116+M121+M126+M131),0)</f>
        <v>0.0247508859703982</v>
      </c>
      <c r="S138" s="40" t="n">
        <f aca="false">IFERROR(((S113*N111)+(S118*N116)+(S123*N121)+(S128*N126)+(S133*N131))/(N111+N116+N121+N126+N131),0)</f>
        <v>0.02</v>
      </c>
      <c r="T138" s="40" t="n">
        <f aca="false">IFERROR(((T113*O111)+(T118*O116)+(T123*O121)+(T128*O126)+(T133*O131))/(O111+O116+O121+O126+O131),0)</f>
        <v>0.02</v>
      </c>
      <c r="U138" s="40" t="n">
        <f aca="false">IFERROR(((U113*P111)+(U118*P116)+(U123*P121)+(U128*P126)+(U133*P131))/(P111+P116+P121+P126+P131),0)</f>
        <v>0.02</v>
      </c>
      <c r="V138" s="40" t="n">
        <f aca="false">IFERROR(((V113*Q111)+(V118*Q116)+(V123*Q121)+(V128*Q126)+(V133*Q131))/(Q111+Q116+Q121+Q126+Q131),0)</f>
        <v>0.02</v>
      </c>
      <c r="W138" s="41" t="n">
        <f aca="false">IFERROR(((W113*R111)+(W118*R116)+(W123*R121)+(W128*R126)+(W133*R131))/(R111+R116+R121+R126+R131),0)</f>
        <v>0.02</v>
      </c>
      <c r="X138" s="40" t="n">
        <f aca="false">IFERROR(((X113*S111)+(X118*S116)+(X123*S121)+(X128*S126)+(X133*S131))/(S111+S116+S121+S126+S131),0)</f>
        <v>0.02</v>
      </c>
      <c r="Y138" s="40" t="n">
        <f aca="false">IFERROR(((Y113*T111)+(Y118*T116)+(Y123*T121)+(Y128*T126)+(Y133*T131))/(T111+T116+T121+T126+T131),0)</f>
        <v>0.02</v>
      </c>
      <c r="Z138" s="40" t="n">
        <f aca="false">IFERROR(((Z113*U111)+(Z118*U116)+(Z123*U121)+(Z128*U126)+(Z133*U131))/(U111+U116+U121+U126+U131),0)</f>
        <v>0.02</v>
      </c>
      <c r="AA138" s="40" t="n">
        <f aca="false">IFERROR(((AA113*V111)+(AA118*V116)+(AA123*V121)+(AA128*V126)+(AA133*V131))/(V111+V116+V121+V126+V131),0)</f>
        <v>0.02</v>
      </c>
      <c r="AB138" s="41" t="n">
        <f aca="false">IFERROR(((AB113*W111)+(AB118*W116)+(AB123*W121)+(AB128*W126)+(AB133*W131))/(W111+W116+W121+W126+W131),0)</f>
        <v>0.02</v>
      </c>
    </row>
    <row r="139" customFormat="false" ht="15" hidden="false" customHeight="false" outlineLevel="0" collapsed="false">
      <c r="C139" s="22" t="s">
        <v>35</v>
      </c>
      <c r="H139" s="25"/>
      <c r="I139" s="53" t="n">
        <v>0</v>
      </c>
      <c r="J139" s="53" t="n">
        <v>0</v>
      </c>
      <c r="K139" s="53" t="n">
        <v>0</v>
      </c>
      <c r="L139" s="53" t="n">
        <v>0</v>
      </c>
      <c r="M139" s="41" t="n">
        <f aca="false">IFERROR(((I139*D136)+(J139*E136)+(K139*F136)+(L139*G136))/(D136+E136+F136+G136),0)</f>
        <v>0</v>
      </c>
      <c r="N139" s="53" t="n">
        <v>0.01</v>
      </c>
      <c r="O139" s="40" t="n">
        <f aca="false">IFERROR(((O114*J111)+(O119*J116)+(O124*J121)+(O129*J126)+(O134*J131))/(J111+J116+J121+J126+J131),0)</f>
        <v>0.0508723936613845</v>
      </c>
      <c r="P139" s="40" t="n">
        <f aca="false">IFERROR(((P114*K111)+(P119*K116)+(P124*K121)+(P129*K126)+(P134*K131))/(K111+K116+K121+K126+K131),0)</f>
        <v>0.0514050251256281</v>
      </c>
      <c r="Q139" s="40" t="n">
        <f aca="false">IFERROR(((Q114*L111)+(Q119*L116)+(Q124*L121)+(Q129*L126)+(Q134*L131))/(L111+L116+L121+L126+L131),0)</f>
        <v>0.0480178711396771</v>
      </c>
      <c r="R139" s="41" t="n">
        <f aca="false">IFERROR(((R114*M111)+(R119*M116)+(R124*M121)+(R129*M126)+(R134*M131))/(M111+M116+M121+M126+M131),0)</f>
        <v>0.0406330623306233</v>
      </c>
      <c r="S139" s="40" t="n">
        <f aca="false">IFERROR(((S114*N111)+(S119*N116)+(S124*N121)+(S129*N126)+(S134*N131))/(N111+N116+N121+N126+N131),0)</f>
        <v>0.0507589862514494</v>
      </c>
      <c r="T139" s="40" t="n">
        <f aca="false">IFERROR(((T114*O111)+(T119*O116)+(T124*O121)+(T129*O126)+(T134*O131))/(O111+O116+O121+O126+O131),0)</f>
        <v>0</v>
      </c>
      <c r="U139" s="40" t="n">
        <f aca="false">IFERROR(((U114*P111)+(U119*P116)+(U124*P121)+(U129*P126)+(U134*P131))/(P111+P116+P121+P126+P131),0)</f>
        <v>0</v>
      </c>
      <c r="V139" s="40" t="n">
        <f aca="false">IFERROR(((V114*Q111)+(V119*Q116)+(V124*Q121)+(V129*Q126)+(V134*Q131))/(Q111+Q116+Q121+Q126+Q131),0)</f>
        <v>0</v>
      </c>
      <c r="W139" s="41" t="n">
        <f aca="false">IFERROR(((W114*R111)+(W119*R116)+(W124*R121)+(W129*R126)+(W134*R131))/(R111+R116+R121+R126+R131),0)</f>
        <v>0.0119391940810223</v>
      </c>
      <c r="X139" s="40" t="n">
        <f aca="false">IFERROR(((X114*S111)+(X119*S116)+(X124*S121)+(X129*S126)+(X134*S131))/(S111+S116+S121+S126+S131),0)</f>
        <v>0</v>
      </c>
      <c r="Y139" s="40" t="n">
        <f aca="false">IFERROR(((Y114*T111)+(Y119*T116)+(Y124*T121)+(Y129*T126)+(Y134*T131))/(T111+T116+T121+T126+T131),0)</f>
        <v>0</v>
      </c>
      <c r="Z139" s="40" t="n">
        <f aca="false">IFERROR(((Z114*U111)+(Z119*U116)+(Z124*U121)+(Z129*U126)+(Z134*U131))/(U111+U116+U121+U126+U131),0)</f>
        <v>0</v>
      </c>
      <c r="AA139" s="40" t="n">
        <f aca="false">IFERROR(((AA114*V111)+(AA119*V116)+(AA124*V121)+(AA129*V126)+(AA134*V131))/(V111+V116+V121+V126+V131),0)</f>
        <v>0</v>
      </c>
      <c r="AB139" s="41" t="n">
        <f aca="false">IFERROR(((AB114*W111)+(AB119*W116)+(AB124*W121)+(AB129*W126)+(AB134*W131))/(W111+W116+W121+W126+W131),0)</f>
        <v>0</v>
      </c>
    </row>
    <row r="140" customFormat="false" ht="15" hidden="false" customHeight="false" outlineLevel="0" collapsed="false">
      <c r="C140" s="22" t="s">
        <v>36</v>
      </c>
      <c r="H140" s="25"/>
      <c r="I140" s="53" t="n">
        <v>-0.01</v>
      </c>
      <c r="J140" s="53" t="n">
        <v>0.01</v>
      </c>
      <c r="K140" s="53" t="n">
        <v>0.01</v>
      </c>
      <c r="L140" s="53" t="n">
        <v>0.02</v>
      </c>
      <c r="M140" s="41" t="n">
        <f aca="false">IFERROR(((I140*D136)+(J140*E136)+(K140*F136)+(L140*G136))/(D136+E136+F136+G136),0)</f>
        <v>0.00762231722589282</v>
      </c>
      <c r="N140" s="53" t="n">
        <v>0.02</v>
      </c>
      <c r="O140" s="40" t="n">
        <f aca="false">IFERROR(((O115*J111)+(O120*J116)+(O125*J121)+(O130*J126)+(O135*J131))/(J111+J116+J121+J126+J131),0)</f>
        <v>0</v>
      </c>
      <c r="P140" s="40" t="n">
        <f aca="false">IFERROR(((P115*K111)+(P120*K116)+(P125*K121)+(P130*K126)+(P135*K131))/(K111+K116+K121+K126+K131),0)</f>
        <v>0</v>
      </c>
      <c r="Q140" s="40" t="n">
        <f aca="false">IFERROR(((Q115*L111)+(Q120*L116)+(Q125*L121)+(Q130*L126)+(Q135*L131))/(L111+L116+L121+L126+L131),0)</f>
        <v>0</v>
      </c>
      <c r="R140" s="41" t="n">
        <f aca="false">IFERROR(((R115*M111)+(R120*M116)+(R125*M121)+(R130*M126)+(R135*M131))/(M111+M116+M121+M126+M131),0)</f>
        <v>0.00470377319157807</v>
      </c>
      <c r="S140" s="40" t="n">
        <f aca="false">IFERROR(((S115*N111)+(S120*N116)+(S125*N121)+(S130*N126)+(S135*N131))/(N111+N116+N121+N126+N131),0)</f>
        <v>0</v>
      </c>
      <c r="T140" s="40" t="n">
        <f aca="false">IFERROR(((T115*O111)+(T120*O116)+(T125*O121)+(T130*O126)+(T135*O131))/(O111+O116+O121+O126+O131),0)</f>
        <v>0</v>
      </c>
      <c r="U140" s="40" t="n">
        <f aca="false">IFERROR(((U115*P111)+(U120*P116)+(U125*P121)+(U130*P126)+(U135*P131))/(P111+P116+P121+P126+P131),0)</f>
        <v>0</v>
      </c>
      <c r="V140" s="40" t="n">
        <f aca="false">IFERROR(((V115*Q111)+(V120*Q116)+(V125*Q121)+(V130*Q126)+(V135*Q131))/(Q111+Q116+Q121+Q126+Q131),0)</f>
        <v>0</v>
      </c>
      <c r="W140" s="41" t="n">
        <f aca="false">IFERROR(((W115*R111)+(W120*R116)+(W125*R121)+(W130*R126)+(W135*R131))/(R111+R116+R121+R126+R131),0)</f>
        <v>0</v>
      </c>
      <c r="X140" s="40" t="n">
        <f aca="false">IFERROR(((X115*S111)+(X120*S116)+(X125*S121)+(X130*S126)+(X135*S131))/(S111+S116+S121+S126+S131),0)</f>
        <v>0</v>
      </c>
      <c r="Y140" s="40" t="n">
        <f aca="false">IFERROR(((Y115*T111)+(Y120*T116)+(Y125*T121)+(Y130*T126)+(Y135*T131))/(T111+T116+T121+T126+T131),0)</f>
        <v>0</v>
      </c>
      <c r="Z140" s="40" t="n">
        <f aca="false">IFERROR(((Z115*U111)+(Z120*U116)+(Z125*U121)+(Z130*U126)+(Z135*U131))/(U111+U116+U121+U126+U131),0)</f>
        <v>0</v>
      </c>
      <c r="AA140" s="40" t="n">
        <f aca="false">IFERROR(((AA115*V111)+(AA120*V116)+(AA125*V121)+(AA130*V126)+(AA135*V131))/(V111+V116+V121+V126+V131),0)</f>
        <v>0</v>
      </c>
      <c r="AB140" s="41" t="n">
        <f aca="false">IFERROR(((AB115*W111)+(AB120*W116)+(AB125*W121)+(AB130*W126)+(AB135*W131))/(W111+W116+W121+W126+W131),0)</f>
        <v>0</v>
      </c>
    </row>
    <row r="141" customFormat="false" ht="15" hidden="false" customHeight="false" outlineLevel="0" collapsed="false">
      <c r="H141" s="25"/>
      <c r="M141" s="25"/>
      <c r="R141" s="25"/>
      <c r="W141" s="25"/>
      <c r="AB141" s="25"/>
    </row>
    <row r="142" customFormat="false" ht="15" hidden="false" customHeight="false" outlineLevel="0" collapsed="false">
      <c r="C142" s="2" t="s">
        <v>106</v>
      </c>
      <c r="D142" s="35" t="n">
        <v>-460</v>
      </c>
      <c r="E142" s="35" t="n">
        <v>-470</v>
      </c>
      <c r="F142" s="35" t="n">
        <v>-467</v>
      </c>
      <c r="G142" s="35" t="n">
        <v>-488</v>
      </c>
      <c r="H142" s="46" t="n">
        <f aca="false">D142+E142+F142+G142</f>
        <v>-1885</v>
      </c>
      <c r="I142" s="35" t="n">
        <v>-482</v>
      </c>
      <c r="J142" s="35" t="n">
        <v>-501</v>
      </c>
      <c r="K142" s="35" t="n">
        <v>-503</v>
      </c>
      <c r="L142" s="35" t="n">
        <v>-546</v>
      </c>
      <c r="M142" s="46" t="n">
        <f aca="false">I142+J142+K142+L142</f>
        <v>-2032</v>
      </c>
      <c r="N142" s="35" t="n">
        <v>-524</v>
      </c>
      <c r="O142" s="37" t="n">
        <f aca="false">-(O45+O67+O104+O136)*O143/(1+O143)</f>
        <v>-511.834736842105</v>
      </c>
      <c r="P142" s="37" t="n">
        <f aca="false">-(P45+P67+P104+P136)*P143/(1+P143)</f>
        <v>-520.19776076555</v>
      </c>
      <c r="Q142" s="37" t="n">
        <f aca="false">-(Q45+Q67+Q104+Q136)*Q143/(1+Q143)</f>
        <v>-566.18638277512</v>
      </c>
      <c r="R142" s="46" t="n">
        <f aca="false">N142+O142+P142+Q142</f>
        <v>-2122.21888038278</v>
      </c>
      <c r="S142" s="37" t="n">
        <f aca="false">-(S45+S67+S104+S136)*S143/(1+S143)</f>
        <v>-512.605205741627</v>
      </c>
      <c r="T142" s="37" t="n">
        <f aca="false">-(T45+T67+T104+T136)*T143/(1+T143)</f>
        <v>-515.087603827751</v>
      </c>
      <c r="U142" s="37" t="n">
        <f aca="false">-(U45+U67+U104+U136)*U143/(1+U143)</f>
        <v>-528.787936076555</v>
      </c>
      <c r="V142" s="37" t="n">
        <f aca="false">-(V45+V67+V104+V136)*V143/(1+V143)</f>
        <v>-577.510110430622</v>
      </c>
      <c r="W142" s="46" t="n">
        <f aca="false">S142+T142+U142+V142</f>
        <v>-2133.99085607656</v>
      </c>
      <c r="X142" s="37" t="n">
        <f aca="false">-(X45+X67+X104+X136)*X143/(1+X143)</f>
        <v>-522.857309856459</v>
      </c>
      <c r="Y142" s="37" t="n">
        <f aca="false">-(Y45+Y67+Y104+Y136)*Y143/(1+Y143)</f>
        <v>-525.389355904306</v>
      </c>
      <c r="Z142" s="37" t="n">
        <f aca="false">-(Z45+Z67+Z104+Z136)*Z143/(1+Z143)</f>
        <v>-539.328814415311</v>
      </c>
      <c r="AA142" s="37" t="n">
        <f aca="false">-(AA45+AA67+AA104+AA136)*AA143/(1+AA143)</f>
        <v>-589.060312639234</v>
      </c>
      <c r="AB142" s="46" t="n">
        <f aca="false">X142+Y142+Z142+AA142</f>
        <v>-2176.63579281531</v>
      </c>
    </row>
    <row r="143" customFormat="false" ht="15" hidden="false" customHeight="false" outlineLevel="0" collapsed="false">
      <c r="C143" s="22" t="s">
        <v>107</v>
      </c>
      <c r="D143" s="54" t="n">
        <f aca="false">IFERROR(-D142/D144,0)</f>
        <v>0.0444659255679072</v>
      </c>
      <c r="E143" s="54" t="n">
        <f aca="false">IFERROR(-E142/E144,0)</f>
        <v>0.0445920303605313</v>
      </c>
      <c r="F143" s="54" t="n">
        <f aca="false">IFERROR(-F142/F144,0)</f>
        <v>0.0440690761536284</v>
      </c>
      <c r="G143" s="54" t="n">
        <f aca="false">IFERROR(-G142/G144,0)</f>
        <v>0.0428258007898201</v>
      </c>
      <c r="H143" s="55" t="n">
        <f aca="false">IFERROR(-H142/H144,0)</f>
        <v>0.0439629638267603</v>
      </c>
      <c r="I143" s="54" t="n">
        <f aca="false">IFERROR(-I142/I144,0)</f>
        <v>0.046502653159672</v>
      </c>
      <c r="J143" s="54" t="n">
        <f aca="false">IFERROR(-J142/J144,0)</f>
        <v>0.0461495946941783</v>
      </c>
      <c r="K143" s="54" t="n">
        <f aca="false">IFERROR(-K142/K144,0)</f>
        <v>0.045225678834742</v>
      </c>
      <c r="L143" s="54" t="n">
        <f aca="false">IFERROR(-L142/L144,0)</f>
        <v>0.0446954813359529</v>
      </c>
      <c r="M143" s="55" t="n">
        <f aca="false">IFERROR(-M142/M144,0)</f>
        <v>0.0456024596602258</v>
      </c>
      <c r="N143" s="54" t="n">
        <f aca="false">IFERROR(-N142/N144,0)</f>
        <v>0.0476103943303653</v>
      </c>
      <c r="O143" s="56" t="n">
        <v>0.045</v>
      </c>
      <c r="P143" s="56" t="n">
        <v>0.045</v>
      </c>
      <c r="Q143" s="56" t="n">
        <v>0.045</v>
      </c>
      <c r="R143" s="55" t="n">
        <f aca="false">IFERROR(-R142/R144,0)</f>
        <v>0.0456175576150009</v>
      </c>
      <c r="S143" s="56" t="n">
        <v>0.045</v>
      </c>
      <c r="T143" s="56" t="n">
        <v>0.045</v>
      </c>
      <c r="U143" s="56" t="n">
        <v>0.045</v>
      </c>
      <c r="V143" s="56" t="n">
        <v>0.045</v>
      </c>
      <c r="W143" s="55" t="n">
        <f aca="false">IFERROR(-W142/W144,0)</f>
        <v>0.045</v>
      </c>
      <c r="X143" s="56" t="n">
        <v>0.045</v>
      </c>
      <c r="Y143" s="56" t="n">
        <v>0.045</v>
      </c>
      <c r="Z143" s="56" t="n">
        <v>0.045</v>
      </c>
      <c r="AA143" s="56" t="n">
        <v>0.045</v>
      </c>
      <c r="AB143" s="55" t="n">
        <f aca="false">IFERROR(-AB142/AB144,0)</f>
        <v>0.045</v>
      </c>
    </row>
    <row r="144" customFormat="false" ht="15" hidden="false" customHeight="false" outlineLevel="0" collapsed="false">
      <c r="C144" s="57" t="s">
        <v>108</v>
      </c>
      <c r="D144" s="58" t="n">
        <f aca="false">D45+D67+D104+D136+D142</f>
        <v>10345</v>
      </c>
      <c r="E144" s="58" t="n">
        <f aca="false">E45+E67+E104+E136+E142</f>
        <v>10540</v>
      </c>
      <c r="F144" s="58" t="n">
        <f aca="false">F45+F67+F104+F136+F142</f>
        <v>10597</v>
      </c>
      <c r="G144" s="58" t="n">
        <f aca="false">G45+G67+G104+G136+G142</f>
        <v>11395</v>
      </c>
      <c r="H144" s="59" t="n">
        <f aca="false">H45+H67+H104+H136+H142</f>
        <v>42877</v>
      </c>
      <c r="I144" s="58" t="n">
        <f aca="false">I45+I67+I104+I136+I142</f>
        <v>10365</v>
      </c>
      <c r="J144" s="58" t="n">
        <f aca="false">J45+J67+J104+J136+J142</f>
        <v>10856</v>
      </c>
      <c r="K144" s="58" t="n">
        <f aca="false">K45+K67+K104+K136+K142</f>
        <v>11122</v>
      </c>
      <c r="L144" s="58" t="n">
        <f aca="false">L45+L67+L104+L136+L142</f>
        <v>12216</v>
      </c>
      <c r="M144" s="59" t="n">
        <f aca="false">M45+M67+M104+M136+M142</f>
        <v>44559</v>
      </c>
      <c r="N144" s="58" t="n">
        <f aca="false">N45+N67+N104+N136+N142</f>
        <v>11006</v>
      </c>
      <c r="O144" s="58" t="n">
        <f aca="false">O45+O67+O104+O136+O142</f>
        <v>11374.1052631579</v>
      </c>
      <c r="P144" s="58" t="n">
        <f aca="false">P45+P67+P104+P136+P142</f>
        <v>11559.9502392345</v>
      </c>
      <c r="Q144" s="58" t="n">
        <f aca="false">Q45+Q67+Q104+Q136+Q142</f>
        <v>12581.9196172249</v>
      </c>
      <c r="R144" s="59" t="n">
        <f aca="false">R45+R67+R104+R136+R142</f>
        <v>46521.9751196172</v>
      </c>
      <c r="S144" s="58" t="n">
        <f aca="false">S45+S67+S104+S136+S142</f>
        <v>11391.2267942584</v>
      </c>
      <c r="T144" s="58" t="n">
        <f aca="false">T45+T67+T104+T136+T142</f>
        <v>11446.3911961723</v>
      </c>
      <c r="U144" s="58" t="n">
        <f aca="false">U45+U67+U104+U136+U142</f>
        <v>11750.8430239234</v>
      </c>
      <c r="V144" s="58" t="n">
        <f aca="false">V45+V67+V104+V136+V142</f>
        <v>12833.5580095694</v>
      </c>
      <c r="W144" s="59" t="n">
        <f aca="false">W45+W67+W104+W136+W142</f>
        <v>47422.0190239234</v>
      </c>
      <c r="X144" s="58" t="n">
        <f aca="false">X45+X67+X104+X136+X142</f>
        <v>11619.0513301435</v>
      </c>
      <c r="Y144" s="58" t="n">
        <f aca="false">Y45+Y67+Y104+Y136+Y142</f>
        <v>11675.3190200957</v>
      </c>
      <c r="Z144" s="58" t="n">
        <f aca="false">Z45+Z67+Z104+Z136+Z142</f>
        <v>11985.0847647847</v>
      </c>
      <c r="AA144" s="58" t="n">
        <f aca="false">AA45+AA67+AA104+AA136+AA142</f>
        <v>13090.2291697608</v>
      </c>
      <c r="AB144" s="59" t="n">
        <f aca="false">AB45+AB67+AB104+AB136+AB142</f>
        <v>48369.6842847847</v>
      </c>
    </row>
    <row r="145" customFormat="false" ht="15" hidden="false" customHeight="false" outlineLevel="0" collapsed="false">
      <c r="C145" s="22" t="s">
        <v>33</v>
      </c>
      <c r="H145" s="25"/>
      <c r="I145" s="40" t="n">
        <f aca="false">IFERROR(I144/D144-1,0)</f>
        <v>0.00193330111164824</v>
      </c>
      <c r="J145" s="40" t="n">
        <f aca="false">IFERROR(J144/E144-1,0)</f>
        <v>0.0299810246679317</v>
      </c>
      <c r="K145" s="40" t="n">
        <f aca="false">IFERROR(K144/F144-1,0)</f>
        <v>0.0495423232990468</v>
      </c>
      <c r="L145" s="40" t="n">
        <f aca="false">IFERROR(L144/G144-1,0)</f>
        <v>0.0720491443615621</v>
      </c>
      <c r="M145" s="41" t="n">
        <f aca="false">IFERROR(M144/H144-1,0)</f>
        <v>0.0392284907992631</v>
      </c>
      <c r="N145" s="40" t="n">
        <f aca="false">IFERROR(N144/I144-1,0)</f>
        <v>0.0618427399903521</v>
      </c>
      <c r="O145" s="40" t="n">
        <f aca="false">IFERROR(O144/J144-1,0)</f>
        <v>0.0477252453166817</v>
      </c>
      <c r="P145" s="40" t="n">
        <f aca="false">IFERROR(P144/K144-1,0)</f>
        <v>0.0393769321376059</v>
      </c>
      <c r="Q145" s="40" t="n">
        <f aca="false">IFERROR(Q144/L144-1,0)</f>
        <v>0.0299541271467649</v>
      </c>
      <c r="R145" s="41" t="n">
        <f aca="false">IFERROR(R144/M144-1,0)</f>
        <v>0.0440533925720332</v>
      </c>
      <c r="S145" s="40" t="n">
        <f aca="false">IFERROR(S144/N144-1,0)</f>
        <v>0.035001525918442</v>
      </c>
      <c r="T145" s="40" t="n">
        <f aca="false">IFERROR(T144/O144-1,0)</f>
        <v>0.00635530719488742</v>
      </c>
      <c r="U145" s="40" t="n">
        <f aca="false">IFERROR(U144/P144-1,0)</f>
        <v>0.0165132877511101</v>
      </c>
      <c r="V145" s="40" t="n">
        <f aca="false">IFERROR(V144/Q144-1,0)</f>
        <v>0.0200000000000002</v>
      </c>
      <c r="W145" s="41" t="n">
        <f aca="false">IFERROR(W144/R144-1,0)</f>
        <v>0.0193466399909295</v>
      </c>
      <c r="X145" s="40" t="n">
        <f aca="false">IFERROR(X144/S144-1,0)</f>
        <v>0.0200000000000002</v>
      </c>
      <c r="Y145" s="40" t="n">
        <f aca="false">IFERROR(Y144/T144-1,0)</f>
        <v>0.02</v>
      </c>
      <c r="Z145" s="40" t="n">
        <f aca="false">IFERROR(Z144/U144-1,0)</f>
        <v>0.0199340371056234</v>
      </c>
      <c r="AA145" s="40" t="n">
        <f aca="false">IFERROR(AA144/V144-1,0)</f>
        <v>0.0199999999999998</v>
      </c>
      <c r="AB145" s="41" t="n">
        <f aca="false">IFERROR(AB144/W144-1,0)</f>
        <v>0.0199836548583723</v>
      </c>
    </row>
    <row r="146" customFormat="false" ht="15" hidden="false" customHeight="false" outlineLevel="0" collapsed="false">
      <c r="C146" s="22" t="s">
        <v>34</v>
      </c>
      <c r="H146" s="25"/>
      <c r="I146" s="40" t="n">
        <f aca="false">IFERROR(((I47*D45)+(I69*D67)+(I106*D104)+(I138*D136))/(D45+D67+D104+D136),0)</f>
        <v>0.00965571494678388</v>
      </c>
      <c r="J146" s="40" t="n">
        <f aca="false">IFERROR(((J47*E45)+(J69*E67)+(J106*E104)+(J138*E136))/(E45+E67+E104+E136),0)</f>
        <v>0.0193778383287919</v>
      </c>
      <c r="K146" s="40" t="n">
        <f aca="false">IFERROR(((K47*F45)+(K69*F67)+(K106*F104)+(K138*F136))/(F45+F67+F104+F136),0)</f>
        <v>0.0332149313087491</v>
      </c>
      <c r="L146" s="40" t="n">
        <f aca="false">IFERROR(((L47*G45)+(L69*G67)+(L106*G104)+(L138*G136))/(G45+G67+G104+G136),0)</f>
        <v>0.0364402928553396</v>
      </c>
      <c r="M146" s="41" t="n">
        <f aca="false">IFERROR(((I146*D144)+(J146*E144)+(K146*F144)+(L146*G144))/(D144+E144+F144+G144),0)</f>
        <v>0.0249865091138689</v>
      </c>
      <c r="N146" s="40" t="n">
        <f aca="false">IFERROR(((N47*I45)+(N69*I67)+(N106*I104)+(N138*I136))/(I45+I67+I104+I136),0)</f>
        <v>0.0151267631603208</v>
      </c>
      <c r="O146" s="40" t="n">
        <f aca="false">IFERROR(((O47*J45)+(O69*J67)+(O106*J104)+(O138*J136))/(J45+J67+J104+J136),0)</f>
        <v>0.0197199964779431</v>
      </c>
      <c r="P146" s="40" t="n">
        <f aca="false">IFERROR(((P47*K45)+(P69*K67)+(P106*K104)+(P138*K136))/(K45+K67+K104+K136),0)</f>
        <v>0.0197212903225806</v>
      </c>
      <c r="Q146" s="40" t="n">
        <f aca="false">IFERROR(((Q47*L45)+(Q69*L67)+(Q106*L104)+(Q138*L136))/(L45+L67+L104+L136),0)</f>
        <v>0.0197304497727629</v>
      </c>
      <c r="R146" s="41" t="n">
        <f aca="false">IFERROR(((N146*I144)+(O146*J144)+(P146*K144)+(Q146*L144))/(I144+J144+K144+L144),0)</f>
        <v>0.0186547397229087</v>
      </c>
      <c r="S146" s="40" t="n">
        <f aca="false">IFERROR(((S47*N45)+(S69*N67)+(S106*N104)+(S138*N136))/(N45+N67+N104+N136),0)</f>
        <v>0.0197224631396357</v>
      </c>
      <c r="T146" s="40" t="n">
        <f aca="false">IFERROR(((T47*O45)+(T69*O67)+(T106*O104)+(T138*O136))/(O45+O67+O104+O136),0)</f>
        <v>0.0197324570038213</v>
      </c>
      <c r="U146" s="40" t="n">
        <f aca="false">IFERROR(((U47*P45)+(U69*P67)+(U106*P104)+(U138*P136))/(P45+P67+P104+P136),0)</f>
        <v>0.019865895682735</v>
      </c>
      <c r="V146" s="40" t="n">
        <f aca="false">IFERROR(((V47*Q45)+(V69*Q67)+(V106*Q104)+(V138*Q136))/(Q45+Q67+Q104+Q136),0)</f>
        <v>0.02</v>
      </c>
      <c r="W146" s="41" t="n">
        <f aca="false">IFERROR(((S146*N144)+(T146*O144)+(U146*P144)+(V146*Q144))/(N144+O144+P144+Q144),0)</f>
        <v>0.0198356073210367</v>
      </c>
      <c r="X146" s="40" t="n">
        <f aca="false">IFERROR(((X47*S45)+(X69*S67)+(X106*S104)+(X138*S136))/(S45+S67+S104+S136),0)</f>
        <v>0.02</v>
      </c>
      <c r="Y146" s="40" t="n">
        <f aca="false">IFERROR(((Y47*T45)+(Y69*T67)+(Y106*T104)+(Y138*T136))/(T45+T67+T104+T136),0)</f>
        <v>0.02</v>
      </c>
      <c r="Z146" s="40" t="n">
        <f aca="false">IFERROR(((Z47*U45)+(Z69*U67)+(Z106*U104)+(Z138*U136))/(U45+U67+U104+U136),0)</f>
        <v>0.0199340371056232</v>
      </c>
      <c r="AA146" s="40" t="n">
        <f aca="false">IFERROR(((AA47*V45)+(AA69*V67)+(AA106*V104)+(AA138*V136))/(V45+V67+V104+V136),0)</f>
        <v>0.02</v>
      </c>
      <c r="AB146" s="41" t="n">
        <f aca="false">IFERROR(((X146*S144)+(Y146*T144)+(Z146*U144)+(AA146*V144))/(S144+T144+U144+V144),0)</f>
        <v>0.0199836548583721</v>
      </c>
    </row>
    <row r="147" customFormat="false" ht="15" hidden="false" customHeight="false" outlineLevel="0" collapsed="false">
      <c r="C147" s="22" t="s">
        <v>35</v>
      </c>
      <c r="H147" s="25"/>
      <c r="I147" s="40" t="n">
        <f aca="false">IFERROR(((I48*D45)+(I70*D67)+(I107*D104)+(I139*D136))/(D45+D67+D104+D136),0)</f>
        <v>0.0042313743637205</v>
      </c>
      <c r="J147" s="40" t="n">
        <f aca="false">IFERROR(((J48*E45)+(J70*E67)+(J107*E104)+(J139*E136))/(E45+E67+E104+E136),0)</f>
        <v>0.00213896457765668</v>
      </c>
      <c r="K147" s="40" t="n">
        <f aca="false">IFERROR(((K48*F45)+(K70*F67)+(K107*F104)+(K139*F136))/(F45+F67+F104+F136),0)</f>
        <v>0.00646963123644252</v>
      </c>
      <c r="L147" s="40" t="n">
        <f aca="false">IFERROR(((L48*G45)+(L70*G67)+(L107*G104)+(L139*G136))/(G45+G67+G104+G136),0)</f>
        <v>0.0175309265337036</v>
      </c>
      <c r="M147" s="41" t="n">
        <f aca="false">IFERROR(((I147*D144)+(J147*E144)+(K147*F144)+(L147*G144))/(D144+E144+F144+G144),0)</f>
        <v>0.00780469353045511</v>
      </c>
      <c r="N147" s="40" t="n">
        <f aca="false">IFERROR(((N48*I45)+(N70*I67)+(N107*I104)+(N139*I136))/(I45+I67+I104+I136),0)</f>
        <v>0.0246243200885037</v>
      </c>
      <c r="O147" s="40" t="n">
        <f aca="false">IFERROR(((O48*J45)+(O70*J67)+(O107*J104)+(O139*J136))/(J45+J67+J104+J136),0)</f>
        <v>0.0268539226908515</v>
      </c>
      <c r="P147" s="40" t="n">
        <f aca="false">IFERROR(((P48*K45)+(P70*K67)+(P107*K104)+(P139*K136))/(K45+K67+K104+K136),0)</f>
        <v>0.0194312258064516</v>
      </c>
      <c r="Q147" s="40" t="n">
        <f aca="false">IFERROR(((Q48*L45)+(Q70*L67)+(Q107*L104)+(Q139*L136))/(L45+L67+L104+L136),0)</f>
        <v>0.01052389907538</v>
      </c>
      <c r="R147" s="41" t="n">
        <f aca="false">IFERROR(((N147*I144)+(O147*J144)+(P147*K144)+(Q147*L144))/(I144+J144+K144+L144),0)</f>
        <v>0.0200056398701367</v>
      </c>
      <c r="S147" s="40" t="n">
        <f aca="false">IFERROR(((S48*N45)+(S70*N67)+(S107*N104)+(S139*N136))/(N45+N67+N104+N136),0)</f>
        <v>0.0127000867302689</v>
      </c>
      <c r="T147" s="40" t="n">
        <f aca="false">IFERROR(((T48*O45)+(T70*O67)+(T107*O104)+(T139*O136))/(O45+O67+O104+O136),0)</f>
        <v>-0.0133771498089339</v>
      </c>
      <c r="U147" s="40" t="n">
        <f aca="false">IFERROR(((U48*P45)+(U70*P67)+(U107*P104)+(U139*P136))/(P45+P67+P104+P136),0)</f>
        <v>-0.00335260793162468</v>
      </c>
      <c r="V147" s="40" t="n">
        <f aca="false">IFERROR(((V48*Q45)+(V70*Q67)+(V107*Q104)+(V139*Q136))/(Q45+Q67+Q104+Q136),0)</f>
        <v>0</v>
      </c>
      <c r="W147" s="41" t="n">
        <f aca="false">IFERROR(((S147*N144)+(T147*O144)+(U147*P144)+(V147*Q144))/(N144+O144+P144+Q144),0)</f>
        <v>-0.00109909212204085</v>
      </c>
      <c r="X147" s="40" t="n">
        <f aca="false">IFERROR(((X48*S45)+(X70*S67)+(X107*S104)+(X139*S136))/(S45+S67+S104+S136),0)</f>
        <v>0</v>
      </c>
      <c r="Y147" s="40" t="n">
        <f aca="false">IFERROR(((Y48*T45)+(Y70*T67)+(Y107*T104)+(Y139*T136))/(T45+T67+T104+T136),0)</f>
        <v>0</v>
      </c>
      <c r="Z147" s="40" t="n">
        <f aca="false">IFERROR(((Z48*U45)+(Z70*U67)+(Z107*U104)+(Z139*U136))/(U45+U67+U104+U136),0)</f>
        <v>0</v>
      </c>
      <c r="AA147" s="40" t="n">
        <f aca="false">IFERROR(((AA48*V45)+(AA70*V67)+(AA107*V104)+(AA139*V136))/(V45+V67+V104+V136),0)</f>
        <v>0</v>
      </c>
      <c r="AB147" s="41" t="n">
        <f aca="false">IFERROR(((X147*S144)+(Y147*T144)+(Z147*U144)+(AA147*V144))/(S144+T144+U144+V144),0)</f>
        <v>0</v>
      </c>
    </row>
    <row r="148" customFormat="false" ht="15" hidden="false" customHeight="false" outlineLevel="0" collapsed="false">
      <c r="C148" s="22" t="s">
        <v>36</v>
      </c>
      <c r="H148" s="25"/>
      <c r="I148" s="40" t="n">
        <f aca="false">IFERROR(((I49*D45)+(I71*D67)+(I108*D104)+(I140*D136))/(D45+D67+D104+D136),0)</f>
        <v>-0.01</v>
      </c>
      <c r="J148" s="40" t="n">
        <f aca="false">IFERROR(((J49*E45)+(J71*E67)+(J108*E104)+(J140*E136))/(E45+E67+E104+E136),0)</f>
        <v>0.01</v>
      </c>
      <c r="K148" s="40" t="n">
        <f aca="false">IFERROR(((K49*F45)+(K71*F67)+(K108*F104)+(K140*F136))/(F45+F67+F104+F136),0)</f>
        <v>0.0110204266088214</v>
      </c>
      <c r="L148" s="40" t="n">
        <f aca="false">IFERROR(((L49*G45)+(L71*G67)+(L108*G104)+(L140*G136))/(G45+G67+G104+G136),0)</f>
        <v>0.02</v>
      </c>
      <c r="M148" s="41" t="n">
        <f aca="false">IFERROR(((I148*D144)+(J148*E144)+(K148*F144)+(L148*G144))/(D144+E144+F144+G144),0)</f>
        <v>0.00808436832739418</v>
      </c>
      <c r="N148" s="40" t="n">
        <f aca="false">IFERROR(((N49*I45)+(N71*I67)+(N108*I104)+(N140*I136))/(I45+I67+I104+I136),0)</f>
        <v>0.0232156356596294</v>
      </c>
      <c r="O148" s="40" t="n">
        <f aca="false">IFERROR(((O49*J45)+(O71*J67)+(O108*J104)+(O140*J136))/(J45+J67+J104+J136),0)</f>
        <v>0</v>
      </c>
      <c r="P148" s="40" t="n">
        <f aca="false">IFERROR(((P49*K45)+(P71*K67)+(P108*K104)+(P140*K136))/(K45+K67+K104+K136),0)</f>
        <v>0</v>
      </c>
      <c r="Q148" s="40" t="n">
        <f aca="false">IFERROR(((Q49*L45)+(Q71*L67)+(Q108*L104)+(Q140*L136))/(L45+L67+L104+L136),0)</f>
        <v>0</v>
      </c>
      <c r="R148" s="41" t="n">
        <f aca="false">IFERROR(((N148*I144)+(O148*J144)+(P148*K144)+(Q148*L144))/(I144+J144+K144+L144),0)</f>
        <v>0.00540025726816263</v>
      </c>
      <c r="S148" s="40" t="n">
        <f aca="false">IFERROR(((S49*N45)+(S71*N67)+(S108*N104)+(S140*N136))/(N45+N67+N104+N136),0)</f>
        <v>0</v>
      </c>
      <c r="T148" s="40" t="n">
        <f aca="false">IFERROR(((T49*O45)+(T71*O67)+(T108*O104)+(T140*O136))/(O45+O67+O104+O136),0)</f>
        <v>0</v>
      </c>
      <c r="U148" s="40" t="n">
        <f aca="false">IFERROR(((U49*P45)+(U71*P67)+(U108*P104)+(U140*P136))/(P45+P67+P104+P136),0)</f>
        <v>0</v>
      </c>
      <c r="V148" s="40" t="n">
        <f aca="false">IFERROR(((V49*Q45)+(V71*Q67)+(V108*Q104)+(V140*Q136))/(Q45+Q67+Q104+Q136),0)</f>
        <v>0</v>
      </c>
      <c r="W148" s="41" t="n">
        <f aca="false">IFERROR(((S148*N144)+(T148*O144)+(U148*P144)+(V148*Q144))/(N144+O144+P144+Q144),0)</f>
        <v>0</v>
      </c>
      <c r="X148" s="40" t="n">
        <f aca="false">IFERROR(((X49*S45)+(X71*S67)+(X108*S104)+(X140*S136))/(S45+S67+S104+S136),0)</f>
        <v>0</v>
      </c>
      <c r="Y148" s="40" t="n">
        <f aca="false">IFERROR(((Y49*T45)+(Y71*T67)+(Y108*T104)+(Y140*T136))/(T45+T67+T104+T136),0)</f>
        <v>0</v>
      </c>
      <c r="Z148" s="40" t="n">
        <f aca="false">IFERROR(((Z49*U45)+(Z71*U67)+(Z108*U104)+(Z140*U136))/(U45+U67+U104+U136),0)</f>
        <v>0</v>
      </c>
      <c r="AA148" s="40" t="n">
        <f aca="false">IFERROR(((AA49*V45)+(AA71*V67)+(AA108*V104)+(AA140*V136))/(V45+V67+V104+V136),0)</f>
        <v>0</v>
      </c>
      <c r="AB148" s="41" t="n">
        <f aca="false">IFERROR(((X148*S144)+(Y148*T144)+(Z148*U144)+(AA148*V144))/(S144+T144+U144+V144),0)</f>
        <v>0</v>
      </c>
    </row>
    <row r="149" customFormat="false" ht="15" hidden="false" customHeight="false" outlineLevel="0" collapsed="false">
      <c r="H149" s="25"/>
      <c r="M149" s="25"/>
      <c r="R149" s="25"/>
      <c r="W149" s="25"/>
      <c r="AB149" s="25"/>
    </row>
    <row r="150" customFormat="false" ht="15" hidden="false" customHeight="false" outlineLevel="0" collapsed="false">
      <c r="B150" s="17" t="s">
        <v>109</v>
      </c>
      <c r="C150" s="18"/>
      <c r="D150" s="18"/>
      <c r="E150" s="18"/>
      <c r="F150" s="18"/>
      <c r="G150" s="18"/>
      <c r="H150" s="19"/>
      <c r="I150" s="18"/>
      <c r="J150" s="18"/>
      <c r="K150" s="18"/>
      <c r="L150" s="18"/>
      <c r="M150" s="19"/>
      <c r="N150" s="18"/>
      <c r="O150" s="18"/>
      <c r="P150" s="18"/>
      <c r="Q150" s="18"/>
      <c r="R150" s="19"/>
      <c r="S150" s="18"/>
      <c r="T150" s="18"/>
      <c r="U150" s="18"/>
      <c r="V150" s="18"/>
      <c r="W150" s="19"/>
      <c r="X150" s="18"/>
      <c r="Y150" s="18"/>
      <c r="Z150" s="18"/>
      <c r="AA150" s="18"/>
      <c r="AB150" s="19"/>
    </row>
    <row r="151" customFormat="false" ht="15" hidden="false" customHeight="false" outlineLevel="0" collapsed="false">
      <c r="H151" s="25"/>
      <c r="M151" s="25"/>
      <c r="R151" s="25"/>
      <c r="W151" s="25"/>
      <c r="AB151" s="25"/>
    </row>
    <row r="152" customFormat="false" ht="15" hidden="false" customHeight="false" outlineLevel="0" collapsed="false">
      <c r="C152" s="30" t="s">
        <v>42</v>
      </c>
      <c r="D152" s="31"/>
      <c r="E152" s="31"/>
      <c r="F152" s="31"/>
      <c r="G152" s="31"/>
      <c r="H152" s="32"/>
      <c r="I152" s="31"/>
      <c r="J152" s="31"/>
      <c r="K152" s="31"/>
      <c r="L152" s="31"/>
      <c r="M152" s="32"/>
      <c r="N152" s="31"/>
      <c r="O152" s="31"/>
      <c r="P152" s="31"/>
      <c r="Q152" s="31"/>
      <c r="R152" s="32"/>
      <c r="S152" s="31"/>
      <c r="T152" s="31"/>
      <c r="U152" s="31"/>
      <c r="V152" s="31"/>
      <c r="W152" s="32"/>
      <c r="X152" s="31"/>
      <c r="Y152" s="31"/>
      <c r="Z152" s="31"/>
      <c r="AA152" s="31"/>
      <c r="AB152" s="32"/>
    </row>
    <row r="153" customFormat="false" ht="15" hidden="false" customHeight="false" outlineLevel="0" collapsed="false">
      <c r="C153" s="3" t="s">
        <v>110</v>
      </c>
      <c r="D153" s="37" t="n">
        <f aca="false">D45</f>
        <v>2286</v>
      </c>
      <c r="E153" s="37" t="n">
        <f aca="false">E45</f>
        <v>2355</v>
      </c>
      <c r="F153" s="37" t="n">
        <f aca="false">F45</f>
        <v>2386</v>
      </c>
      <c r="G153" s="37" t="n">
        <f aca="false">G45</f>
        <v>2604</v>
      </c>
      <c r="H153" s="46" t="n">
        <f aca="false">H45</f>
        <v>9631</v>
      </c>
      <c r="I153" s="37" t="n">
        <f aca="false">I45</f>
        <v>2341</v>
      </c>
      <c r="J153" s="37" t="n">
        <f aca="false">J45</f>
        <v>2499</v>
      </c>
      <c r="K153" s="37" t="n">
        <f aca="false">K45</f>
        <v>2588</v>
      </c>
      <c r="L153" s="37" t="n">
        <f aca="false">L45</f>
        <v>2947</v>
      </c>
      <c r="M153" s="46" t="n">
        <f aca="false">M45</f>
        <v>10375</v>
      </c>
      <c r="N153" s="37" t="n">
        <f aca="false">N45</f>
        <v>2636</v>
      </c>
      <c r="O153" s="37" t="n">
        <f aca="false">O45</f>
        <v>2548.98</v>
      </c>
      <c r="P153" s="37" t="n">
        <f aca="false">P45</f>
        <v>2639.76</v>
      </c>
      <c r="Q153" s="37" t="n">
        <f aca="false">Q45</f>
        <v>3005.94</v>
      </c>
      <c r="R153" s="46" t="n">
        <f aca="false">R45</f>
        <v>10830.68</v>
      </c>
      <c r="S153" s="37" t="n">
        <f aca="false">S45</f>
        <v>2688.72</v>
      </c>
      <c r="T153" s="37" t="n">
        <f aca="false">T45</f>
        <v>2599.9596</v>
      </c>
      <c r="U153" s="37" t="n">
        <f aca="false">U45</f>
        <v>2692.5552</v>
      </c>
      <c r="V153" s="37" t="n">
        <f aca="false">V45</f>
        <v>3066.0588</v>
      </c>
      <c r="W153" s="46" t="n">
        <f aca="false">W45</f>
        <v>11047.2936</v>
      </c>
      <c r="X153" s="37" t="n">
        <f aca="false">X45</f>
        <v>2742.4944</v>
      </c>
      <c r="Y153" s="37" t="n">
        <f aca="false">Y45</f>
        <v>2651.958792</v>
      </c>
      <c r="Z153" s="37" t="n">
        <f aca="false">Z45</f>
        <v>2746.406304</v>
      </c>
      <c r="AA153" s="37" t="n">
        <f aca="false">AA45</f>
        <v>3127.379976</v>
      </c>
      <c r="AB153" s="46" t="n">
        <f aca="false">AB45</f>
        <v>11268.239472</v>
      </c>
    </row>
    <row r="154" customFormat="false" ht="15" hidden="false" customHeight="false" outlineLevel="0" collapsed="false">
      <c r="C154" s="3" t="s">
        <v>111</v>
      </c>
      <c r="D154" s="60" t="n">
        <v>0.36745406824147</v>
      </c>
      <c r="E154" s="60" t="n">
        <v>0.367303609341826</v>
      </c>
      <c r="F154" s="60" t="n">
        <v>0.354149203688181</v>
      </c>
      <c r="G154" s="60" t="n">
        <v>0.365975422427035</v>
      </c>
      <c r="H154" s="55" t="n">
        <f aca="false">IFERROR(H155/H153,0)</f>
        <v>0.363721316581871</v>
      </c>
      <c r="I154" s="60" t="n">
        <v>0.356258009397693</v>
      </c>
      <c r="J154" s="60" t="n">
        <v>0.367747098839536</v>
      </c>
      <c r="K154" s="60" t="n">
        <v>0.37403400309119</v>
      </c>
      <c r="L154" s="60" t="n">
        <v>0.354937224295894</v>
      </c>
      <c r="M154" s="55" t="n">
        <f aca="false">IFERROR(M155/M153,0)</f>
        <v>0.363084337349398</v>
      </c>
      <c r="N154" s="60" t="n">
        <v>0.361911987860395</v>
      </c>
      <c r="O154" s="56" t="n">
        <f aca="false">J154</f>
        <v>0.367747098839536</v>
      </c>
      <c r="P154" s="56" t="n">
        <f aca="false">K154</f>
        <v>0.37403400309119</v>
      </c>
      <c r="Q154" s="56" t="n">
        <f aca="false">L154</f>
        <v>0.354937224295894</v>
      </c>
      <c r="R154" s="55" t="n">
        <f aca="false">IFERROR(R155/R153,0)</f>
        <v>0.364303995686328</v>
      </c>
      <c r="S154" s="56" t="n">
        <f aca="false">N154</f>
        <v>0.361911987860395</v>
      </c>
      <c r="T154" s="56" t="n">
        <f aca="false">O154</f>
        <v>0.367747098839536</v>
      </c>
      <c r="U154" s="56" t="n">
        <f aca="false">P154</f>
        <v>0.37403400309119</v>
      </c>
      <c r="V154" s="56" t="n">
        <f aca="false">Q154</f>
        <v>0.354937224295894</v>
      </c>
      <c r="W154" s="55" t="n">
        <f aca="false">IFERROR(W155/W153,0)</f>
        <v>0.364303995686328</v>
      </c>
      <c r="X154" s="56" t="n">
        <f aca="false">S154</f>
        <v>0.361911987860395</v>
      </c>
      <c r="Y154" s="56" t="n">
        <f aca="false">T154</f>
        <v>0.367747098839536</v>
      </c>
      <c r="Z154" s="56" t="n">
        <f aca="false">U154</f>
        <v>0.37403400309119</v>
      </c>
      <c r="AA154" s="56" t="n">
        <f aca="false">V154</f>
        <v>0.354937224295894</v>
      </c>
      <c r="AB154" s="55" t="n">
        <f aca="false">IFERROR(AB155/AB153,0)</f>
        <v>0.364303995686328</v>
      </c>
    </row>
    <row r="155" customFormat="false" ht="15" hidden="false" customHeight="false" outlineLevel="0" collapsed="false">
      <c r="C155" s="2" t="s">
        <v>44</v>
      </c>
      <c r="D155" s="61" t="n">
        <v>840</v>
      </c>
      <c r="E155" s="61" t="n">
        <v>865</v>
      </c>
      <c r="F155" s="61" t="n">
        <v>845</v>
      </c>
      <c r="G155" s="61" t="n">
        <v>953</v>
      </c>
      <c r="H155" s="39" t="n">
        <f aca="false">D155+E155+F155+G155</f>
        <v>3503</v>
      </c>
      <c r="I155" s="61" t="n">
        <v>834</v>
      </c>
      <c r="J155" s="61" t="n">
        <v>919</v>
      </c>
      <c r="K155" s="61" t="n">
        <v>968</v>
      </c>
      <c r="L155" s="61" t="n">
        <v>1046</v>
      </c>
      <c r="M155" s="39" t="n">
        <f aca="false">I155+J155+K155+L155</f>
        <v>3767</v>
      </c>
      <c r="N155" s="61" t="n">
        <v>954</v>
      </c>
      <c r="O155" s="38" t="n">
        <f aca="false">O154*O153</f>
        <v>937.38</v>
      </c>
      <c r="P155" s="38" t="n">
        <f aca="false">P154*P153</f>
        <v>987.36</v>
      </c>
      <c r="Q155" s="38" t="n">
        <f aca="false">Q154*Q153</f>
        <v>1066.92</v>
      </c>
      <c r="R155" s="39" t="n">
        <f aca="false">N155+O155+P155+Q155</f>
        <v>3945.66</v>
      </c>
      <c r="S155" s="38" t="n">
        <f aca="false">S154*S153</f>
        <v>973.08</v>
      </c>
      <c r="T155" s="38" t="n">
        <f aca="false">T154*T153</f>
        <v>956.1276</v>
      </c>
      <c r="U155" s="38" t="n">
        <f aca="false">U154*U153</f>
        <v>1007.1072</v>
      </c>
      <c r="V155" s="38" t="n">
        <f aca="false">V154*V153</f>
        <v>1088.2584</v>
      </c>
      <c r="W155" s="39" t="n">
        <f aca="false">S155+T155+U155+V155</f>
        <v>4024.5732</v>
      </c>
      <c r="X155" s="38" t="n">
        <f aca="false">X154*X153</f>
        <v>992.5416</v>
      </c>
      <c r="Y155" s="38" t="n">
        <f aca="false">Y154*Y153</f>
        <v>975.250152</v>
      </c>
      <c r="Z155" s="38" t="n">
        <f aca="false">Z154*Z153</f>
        <v>1027.249344</v>
      </c>
      <c r="AA155" s="38" t="n">
        <f aca="false">AA154*AA153</f>
        <v>1110.023568</v>
      </c>
      <c r="AB155" s="39" t="n">
        <f aca="false">X155+Y155+Z155+AA155</f>
        <v>4105.064664</v>
      </c>
    </row>
    <row r="156" customFormat="false" ht="15" hidden="false" customHeight="false" outlineLevel="0" collapsed="false">
      <c r="C156" s="22" t="s">
        <v>40</v>
      </c>
      <c r="H156" s="25"/>
      <c r="I156" s="62" t="n">
        <f aca="false">IFERROR((I154-D154)*10000,0)</f>
        <v>-111.960588437765</v>
      </c>
      <c r="J156" s="62" t="n">
        <f aca="false">IFERROR((J154-E154)*10000,0)</f>
        <v>4.43489497709948</v>
      </c>
      <c r="K156" s="62" t="n">
        <f aca="false">IFERROR((K154-F154)*10000,0)</f>
        <v>198.847994030091</v>
      </c>
      <c r="L156" s="62" t="n">
        <f aca="false">IFERROR((L154-G154)*10000,0)</f>
        <v>-110.381981311412</v>
      </c>
      <c r="M156" s="63" t="n">
        <f aca="false">IFERROR((M154-H154)*10000,0)</f>
        <v>-6.36979232473467</v>
      </c>
      <c r="N156" s="62" t="n">
        <f aca="false">IFERROR((N154-I154)*10000,0)</f>
        <v>56.5397846270121</v>
      </c>
      <c r="O156" s="62" t="n">
        <f aca="false">IFERROR((O154-J154)*10000,0)</f>
        <v>0</v>
      </c>
      <c r="P156" s="62" t="n">
        <f aca="false">IFERROR((P154-K154)*10000,0)</f>
        <v>0</v>
      </c>
      <c r="Q156" s="62" t="n">
        <f aca="false">IFERROR((Q154-L154)*10000,0)</f>
        <v>0</v>
      </c>
      <c r="R156" s="63" t="n">
        <f aca="false">IFERROR((R154-M154)*10000,0)</f>
        <v>12.196583369305</v>
      </c>
      <c r="S156" s="62" t="n">
        <f aca="false">IFERROR((S154-N154)*10000,0)</f>
        <v>0</v>
      </c>
      <c r="T156" s="62" t="n">
        <f aca="false">IFERROR((T154-O154)*10000,0)</f>
        <v>0</v>
      </c>
      <c r="U156" s="62" t="n">
        <f aca="false">IFERROR((U154-P154)*10000,0)</f>
        <v>0</v>
      </c>
      <c r="V156" s="62" t="n">
        <f aca="false">IFERROR((V154-Q154)*10000,0)</f>
        <v>0</v>
      </c>
      <c r="W156" s="63" t="n">
        <f aca="false">IFERROR((W154-R154)*10000,0)</f>
        <v>0</v>
      </c>
      <c r="X156" s="62" t="n">
        <f aca="false">IFERROR((X154-S154)*10000,0)</f>
        <v>0</v>
      </c>
      <c r="Y156" s="62" t="n">
        <f aca="false">IFERROR((Y154-T154)*10000,0)</f>
        <v>0</v>
      </c>
      <c r="Z156" s="62" t="n">
        <f aca="false">IFERROR((Z154-U154)*10000,0)</f>
        <v>0</v>
      </c>
      <c r="AA156" s="62" t="n">
        <f aca="false">IFERROR((AA154-V154)*10000,0)</f>
        <v>0</v>
      </c>
      <c r="AB156" s="63" t="n">
        <f aca="false">IFERROR((AB154-W154)*10000,0)</f>
        <v>0</v>
      </c>
    </row>
    <row r="157" customFormat="false" ht="15" hidden="false" customHeight="false" outlineLevel="0" collapsed="false">
      <c r="H157" s="25"/>
      <c r="M157" s="25"/>
      <c r="R157" s="25"/>
      <c r="W157" s="25"/>
      <c r="AB157" s="25"/>
    </row>
    <row r="158" customFormat="false" ht="15" hidden="false" customHeight="false" outlineLevel="0" collapsed="false">
      <c r="C158" s="30" t="s">
        <v>46</v>
      </c>
      <c r="D158" s="31"/>
      <c r="E158" s="31"/>
      <c r="F158" s="31"/>
      <c r="G158" s="31"/>
      <c r="H158" s="32"/>
      <c r="I158" s="31"/>
      <c r="J158" s="31"/>
      <c r="K158" s="31"/>
      <c r="L158" s="31"/>
      <c r="M158" s="32"/>
      <c r="N158" s="31"/>
      <c r="O158" s="31"/>
      <c r="P158" s="31"/>
      <c r="Q158" s="31"/>
      <c r="R158" s="32"/>
      <c r="S158" s="31"/>
      <c r="T158" s="31"/>
      <c r="U158" s="31"/>
      <c r="V158" s="31"/>
      <c r="W158" s="32"/>
      <c r="X158" s="31"/>
      <c r="Y158" s="31"/>
      <c r="Z158" s="31"/>
      <c r="AA158" s="31"/>
      <c r="AB158" s="32"/>
    </row>
    <row r="159" customFormat="false" ht="15" hidden="false" customHeight="false" outlineLevel="0" collapsed="false">
      <c r="C159" s="3" t="s">
        <v>110</v>
      </c>
      <c r="D159" s="37" t="n">
        <f aca="false">D67</f>
        <v>1688</v>
      </c>
      <c r="E159" s="37" t="n">
        <f aca="false">E67</f>
        <v>1781</v>
      </c>
      <c r="F159" s="37" t="n">
        <f aca="false">F67</f>
        <v>1809</v>
      </c>
      <c r="G159" s="37" t="n">
        <f aca="false">G67</f>
        <v>2185</v>
      </c>
      <c r="H159" s="46" t="n">
        <f aca="false">H67</f>
        <v>7463</v>
      </c>
      <c r="I159" s="37" t="n">
        <f aca="false">I67</f>
        <v>1718</v>
      </c>
      <c r="J159" s="37" t="n">
        <f aca="false">J67</f>
        <v>1728</v>
      </c>
      <c r="K159" s="37" t="n">
        <f aca="false">K67</f>
        <v>1893</v>
      </c>
      <c r="L159" s="37" t="n">
        <f aca="false">L67</f>
        <v>2215</v>
      </c>
      <c r="M159" s="46" t="n">
        <f aca="false">M67</f>
        <v>7554</v>
      </c>
      <c r="N159" s="37" t="n">
        <f aca="false">N67</f>
        <v>1716</v>
      </c>
      <c r="O159" s="37" t="n">
        <f aca="false">O67</f>
        <v>1762.56</v>
      </c>
      <c r="P159" s="37" t="n">
        <f aca="false">P67</f>
        <v>1930.86</v>
      </c>
      <c r="Q159" s="37" t="n">
        <f aca="false">Q67</f>
        <v>2259.3</v>
      </c>
      <c r="R159" s="46" t="n">
        <f aca="false">R67</f>
        <v>7668.72</v>
      </c>
      <c r="S159" s="37" t="n">
        <f aca="false">S67</f>
        <v>1750.32</v>
      </c>
      <c r="T159" s="37" t="n">
        <f aca="false">T67</f>
        <v>1797.8112</v>
      </c>
      <c r="U159" s="37" t="n">
        <f aca="false">U67</f>
        <v>1969.4772</v>
      </c>
      <c r="V159" s="37" t="n">
        <f aca="false">V67</f>
        <v>2304.486</v>
      </c>
      <c r="W159" s="46" t="n">
        <f aca="false">W67</f>
        <v>7822.0944</v>
      </c>
      <c r="X159" s="37" t="n">
        <f aca="false">X67</f>
        <v>1785.3264</v>
      </c>
      <c r="Y159" s="37" t="n">
        <f aca="false">Y67</f>
        <v>1833.767424</v>
      </c>
      <c r="Z159" s="37" t="n">
        <f aca="false">Z67</f>
        <v>2008.866744</v>
      </c>
      <c r="AA159" s="37" t="n">
        <f aca="false">AA67</f>
        <v>2350.57572</v>
      </c>
      <c r="AB159" s="46" t="n">
        <f aca="false">AB67</f>
        <v>7978.536288</v>
      </c>
    </row>
    <row r="160" customFormat="false" ht="15" hidden="false" customHeight="false" outlineLevel="0" collapsed="false">
      <c r="C160" s="3" t="s">
        <v>111</v>
      </c>
      <c r="D160" s="60" t="n">
        <v>0.23696682464455</v>
      </c>
      <c r="E160" s="60" t="n">
        <v>0.24649073554183</v>
      </c>
      <c r="F160" s="60" t="n">
        <v>0.24930901050304</v>
      </c>
      <c r="G160" s="60" t="n">
        <v>0.304347826086957</v>
      </c>
      <c r="H160" s="55" t="n">
        <f aca="false">IFERROR(H161/H159,0)</f>
        <v>0.261958997722096</v>
      </c>
      <c r="I160" s="60" t="n">
        <v>0.232246798603027</v>
      </c>
      <c r="J160" s="60" t="n">
        <v>0.188078703703704</v>
      </c>
      <c r="K160" s="60" t="n">
        <v>0.22662440570523</v>
      </c>
      <c r="L160" s="60" t="n">
        <v>0.263205417607224</v>
      </c>
      <c r="M160" s="55" t="n">
        <f aca="false">IFERROR(M161/M159,0)</f>
        <v>0.22981202012179</v>
      </c>
      <c r="N160" s="60" t="n">
        <v>0.206876456876457</v>
      </c>
      <c r="O160" s="56" t="n">
        <f aca="false">J160</f>
        <v>0.188078703703704</v>
      </c>
      <c r="P160" s="56" t="n">
        <f aca="false">K160</f>
        <v>0.22662440570523</v>
      </c>
      <c r="Q160" s="56" t="n">
        <f aca="false">L160</f>
        <v>0.263205417607224</v>
      </c>
      <c r="R160" s="55" t="n">
        <f aca="false">IFERROR(R161/R159,0)</f>
        <v>0.224123452153684</v>
      </c>
      <c r="S160" s="56" t="n">
        <f aca="false">N160</f>
        <v>0.206876456876457</v>
      </c>
      <c r="T160" s="56" t="n">
        <f aca="false">O160</f>
        <v>0.188078703703704</v>
      </c>
      <c r="U160" s="56" t="n">
        <f aca="false">P160</f>
        <v>0.22662440570523</v>
      </c>
      <c r="V160" s="56" t="n">
        <f aca="false">Q160</f>
        <v>0.263205417607224</v>
      </c>
      <c r="W160" s="55" t="n">
        <f aca="false">IFERROR(W161/W159,0)</f>
        <v>0.224123452153684</v>
      </c>
      <c r="X160" s="56" t="n">
        <f aca="false">S160</f>
        <v>0.206876456876457</v>
      </c>
      <c r="Y160" s="56" t="n">
        <f aca="false">T160</f>
        <v>0.188078703703704</v>
      </c>
      <c r="Z160" s="56" t="n">
        <f aca="false">U160</f>
        <v>0.22662440570523</v>
      </c>
      <c r="AA160" s="56" t="n">
        <f aca="false">V160</f>
        <v>0.263205417607224</v>
      </c>
      <c r="AB160" s="55" t="n">
        <f aca="false">IFERROR(AB161/AB159,0)</f>
        <v>0.224123452153684</v>
      </c>
    </row>
    <row r="161" customFormat="false" ht="15" hidden="false" customHeight="false" outlineLevel="0" collapsed="false">
      <c r="C161" s="2" t="s">
        <v>44</v>
      </c>
      <c r="D161" s="61" t="n">
        <v>400</v>
      </c>
      <c r="E161" s="61" t="n">
        <v>439</v>
      </c>
      <c r="F161" s="61" t="n">
        <v>451</v>
      </c>
      <c r="G161" s="61" t="n">
        <v>665</v>
      </c>
      <c r="H161" s="39" t="n">
        <f aca="false">D161+E161+F161+G161</f>
        <v>1955</v>
      </c>
      <c r="I161" s="61" t="n">
        <v>399</v>
      </c>
      <c r="J161" s="61" t="n">
        <v>325</v>
      </c>
      <c r="K161" s="61" t="n">
        <v>429</v>
      </c>
      <c r="L161" s="61" t="n">
        <v>583</v>
      </c>
      <c r="M161" s="39" t="n">
        <f aca="false">I161+J161+K161+L161</f>
        <v>1736</v>
      </c>
      <c r="N161" s="61" t="n">
        <v>355</v>
      </c>
      <c r="O161" s="38" t="n">
        <f aca="false">O160*O159</f>
        <v>331.5</v>
      </c>
      <c r="P161" s="38" t="n">
        <f aca="false">P160*P159</f>
        <v>437.58</v>
      </c>
      <c r="Q161" s="38" t="n">
        <f aca="false">Q160*Q159</f>
        <v>594.66</v>
      </c>
      <c r="R161" s="39" t="n">
        <f aca="false">N161+O161+P161+Q161</f>
        <v>1718.74</v>
      </c>
      <c r="S161" s="38" t="n">
        <f aca="false">S160*S159</f>
        <v>362.1</v>
      </c>
      <c r="T161" s="38" t="n">
        <f aca="false">T160*T159</f>
        <v>338.13</v>
      </c>
      <c r="U161" s="38" t="n">
        <f aca="false">U160*U159</f>
        <v>446.3316</v>
      </c>
      <c r="V161" s="38" t="n">
        <f aca="false">V160*V159</f>
        <v>606.5532</v>
      </c>
      <c r="W161" s="39" t="n">
        <f aca="false">S161+T161+U161+V161</f>
        <v>1753.1148</v>
      </c>
      <c r="X161" s="38" t="n">
        <f aca="false">X160*X159</f>
        <v>369.342</v>
      </c>
      <c r="Y161" s="38" t="n">
        <f aca="false">Y160*Y159</f>
        <v>344.8926</v>
      </c>
      <c r="Z161" s="38" t="n">
        <f aca="false">Z160*Z159</f>
        <v>455.258232</v>
      </c>
      <c r="AA161" s="38" t="n">
        <f aca="false">AA160*AA159</f>
        <v>618.684264</v>
      </c>
      <c r="AB161" s="39" t="n">
        <f aca="false">X161+Y161+Z161+AA161</f>
        <v>1788.177096</v>
      </c>
    </row>
    <row r="162" customFormat="false" ht="15" hidden="false" customHeight="false" outlineLevel="0" collapsed="false">
      <c r="C162" s="22" t="s">
        <v>40</v>
      </c>
      <c r="H162" s="25"/>
      <c r="I162" s="62" t="n">
        <f aca="false">IFERROR((I160-D160)*10000,0)</f>
        <v>-47.20026041523</v>
      </c>
      <c r="J162" s="62" t="n">
        <f aca="false">IFERROR((J160-E160)*10000,0)</f>
        <v>-584.120318381267</v>
      </c>
      <c r="K162" s="62" t="n">
        <f aca="false">IFERROR((K160-F160)*10000,0)</f>
        <v>-226.846047978106</v>
      </c>
      <c r="L162" s="62" t="n">
        <f aca="false">IFERROR((L160-G160)*10000,0)</f>
        <v>-411.42408479733</v>
      </c>
      <c r="M162" s="63" t="n">
        <f aca="false">IFERROR((M160-H160)*10000,0)</f>
        <v>-321.469776003059</v>
      </c>
      <c r="N162" s="62" t="n">
        <f aca="false">IFERROR((N160-I160)*10000,0)</f>
        <v>-253.703417265699</v>
      </c>
      <c r="O162" s="62" t="n">
        <f aca="false">IFERROR((O160-J160)*10000,0)</f>
        <v>0</v>
      </c>
      <c r="P162" s="62" t="n">
        <f aca="false">IFERROR((P160-K160)*10000,0)</f>
        <v>0</v>
      </c>
      <c r="Q162" s="62" t="n">
        <f aca="false">IFERROR((Q160-L160)*10000,0)</f>
        <v>0</v>
      </c>
      <c r="R162" s="63" t="n">
        <f aca="false">IFERROR((R160-M160)*10000,0)</f>
        <v>-56.8856796810574</v>
      </c>
      <c r="S162" s="62" t="n">
        <f aca="false">IFERROR((S160-N160)*10000,0)</f>
        <v>0</v>
      </c>
      <c r="T162" s="62" t="n">
        <f aca="false">IFERROR((T160-O160)*10000,0)</f>
        <v>0</v>
      </c>
      <c r="U162" s="62" t="n">
        <f aca="false">IFERROR((U160-P160)*10000,0)</f>
        <v>0</v>
      </c>
      <c r="V162" s="62" t="n">
        <f aca="false">IFERROR((V160-Q160)*10000,0)</f>
        <v>0</v>
      </c>
      <c r="W162" s="63" t="n">
        <f aca="false">IFERROR((W160-R160)*10000,0)</f>
        <v>0</v>
      </c>
      <c r="X162" s="62" t="n">
        <f aca="false">IFERROR((X160-S160)*10000,0)</f>
        <v>0</v>
      </c>
      <c r="Y162" s="62" t="n">
        <f aca="false">IFERROR((Y160-T160)*10000,0)</f>
        <v>0</v>
      </c>
      <c r="Z162" s="62" t="n">
        <f aca="false">IFERROR((Z160-U160)*10000,0)</f>
        <v>0</v>
      </c>
      <c r="AA162" s="62" t="n">
        <f aca="false">IFERROR((AA160-V160)*10000,0)</f>
        <v>0</v>
      </c>
      <c r="AB162" s="63" t="n">
        <f aca="false">IFERROR((AB160-W160)*10000,0)</f>
        <v>0</v>
      </c>
    </row>
    <row r="163" customFormat="false" ht="15" hidden="false" customHeight="false" outlineLevel="0" collapsed="false">
      <c r="H163" s="25"/>
      <c r="M163" s="25"/>
      <c r="R163" s="25"/>
      <c r="W163" s="25"/>
      <c r="AB163" s="25"/>
    </row>
    <row r="164" customFormat="false" ht="15" hidden="false" customHeight="false" outlineLevel="0" collapsed="false">
      <c r="C164" s="30" t="s">
        <v>47</v>
      </c>
      <c r="D164" s="31"/>
      <c r="E164" s="31"/>
      <c r="F164" s="31"/>
      <c r="G164" s="31"/>
      <c r="H164" s="32"/>
      <c r="I164" s="31"/>
      <c r="J164" s="31"/>
      <c r="K164" s="31"/>
      <c r="L164" s="31"/>
      <c r="M164" s="32"/>
      <c r="N164" s="31"/>
      <c r="O164" s="31"/>
      <c r="P164" s="31"/>
      <c r="Q164" s="31"/>
      <c r="R164" s="32"/>
      <c r="S164" s="31"/>
      <c r="T164" s="31"/>
      <c r="U164" s="31"/>
      <c r="V164" s="31"/>
      <c r="W164" s="32"/>
      <c r="X164" s="31"/>
      <c r="Y164" s="31"/>
      <c r="Z164" s="31"/>
      <c r="AA164" s="31"/>
      <c r="AB164" s="32"/>
    </row>
    <row r="165" customFormat="false" ht="15" hidden="false" customHeight="false" outlineLevel="0" collapsed="false">
      <c r="C165" s="3" t="s">
        <v>110</v>
      </c>
      <c r="D165" s="37" t="n">
        <f aca="false">D104</f>
        <v>1109</v>
      </c>
      <c r="E165" s="37" t="n">
        <f aca="false">E104</f>
        <v>1117</v>
      </c>
      <c r="F165" s="37" t="n">
        <f aca="false">F104</f>
        <v>1129</v>
      </c>
      <c r="G165" s="37" t="n">
        <f aca="false">G104</f>
        <v>1156</v>
      </c>
      <c r="H165" s="46" t="n">
        <f aca="false">H104</f>
        <v>4511</v>
      </c>
      <c r="I165" s="37" t="n">
        <f aca="false">I104</f>
        <v>1147</v>
      </c>
      <c r="J165" s="37" t="n">
        <f aca="false">J104</f>
        <v>1135</v>
      </c>
      <c r="K165" s="37" t="n">
        <f aca="false">K104</f>
        <v>1174</v>
      </c>
      <c r="L165" s="37" t="n">
        <f aca="false">L104</f>
        <v>1221</v>
      </c>
      <c r="M165" s="46" t="n">
        <f aca="false">M104</f>
        <v>4677</v>
      </c>
      <c r="N165" s="37" t="n">
        <f aca="false">N104</f>
        <v>1141</v>
      </c>
      <c r="O165" s="37" t="n">
        <f aca="false">O104</f>
        <v>1154.52</v>
      </c>
      <c r="P165" s="37" t="n">
        <f aca="false">P104</f>
        <v>1113.24</v>
      </c>
      <c r="Q165" s="37" t="n">
        <f aca="false">Q104</f>
        <v>1069.98</v>
      </c>
      <c r="R165" s="46" t="n">
        <f aca="false">R104</f>
        <v>4478.74</v>
      </c>
      <c r="S165" s="37" t="n">
        <f aca="false">S104</f>
        <v>1000.62</v>
      </c>
      <c r="T165" s="37" t="n">
        <f aca="false">T104</f>
        <v>1015.4304</v>
      </c>
      <c r="U165" s="37" t="n">
        <f aca="false">U104</f>
        <v>1093.3848</v>
      </c>
      <c r="V165" s="37" t="n">
        <f aca="false">V104</f>
        <v>1091.3796</v>
      </c>
      <c r="W165" s="46" t="n">
        <f aca="false">W104</f>
        <v>4200.8148</v>
      </c>
      <c r="X165" s="37" t="n">
        <f aca="false">X104</f>
        <v>1020.6324</v>
      </c>
      <c r="Y165" s="37" t="n">
        <f aca="false">Y104</f>
        <v>1035.739008</v>
      </c>
      <c r="Z165" s="37" t="n">
        <f aca="false">Z104</f>
        <v>1114.442496</v>
      </c>
      <c r="AA165" s="37" t="n">
        <f aca="false">AA104</f>
        <v>1113.207192</v>
      </c>
      <c r="AB165" s="46" t="n">
        <f aca="false">AB104</f>
        <v>4284.021096</v>
      </c>
    </row>
    <row r="166" customFormat="false" ht="15" hidden="false" customHeight="false" outlineLevel="0" collapsed="false">
      <c r="C166" s="3" t="s">
        <v>111</v>
      </c>
      <c r="D166" s="60" t="n">
        <v>0.265103697024346</v>
      </c>
      <c r="E166" s="60" t="n">
        <v>0.267681289167413</v>
      </c>
      <c r="F166" s="60" t="n">
        <v>0.259521700620018</v>
      </c>
      <c r="G166" s="60" t="n">
        <v>0.236159169550173</v>
      </c>
      <c r="H166" s="55" t="n">
        <f aca="false">IFERROR(H167/H165,0)</f>
        <v>0.256927510529816</v>
      </c>
      <c r="I166" s="60" t="n">
        <v>0.265039232781168</v>
      </c>
      <c r="J166" s="60" t="n">
        <v>0.269603524229075</v>
      </c>
      <c r="K166" s="60" t="n">
        <v>0.273424190800681</v>
      </c>
      <c r="L166" s="60" t="n">
        <v>0.265356265356265</v>
      </c>
      <c r="M166" s="55" t="n">
        <f aca="false">IFERROR(M167/M165,0)</f>
        <v>0.268334402394697</v>
      </c>
      <c r="N166" s="60" t="n">
        <v>0.274320771253287</v>
      </c>
      <c r="O166" s="56" t="n">
        <f aca="false">J166</f>
        <v>0.269603524229075</v>
      </c>
      <c r="P166" s="56" t="n">
        <f aca="false">K166</f>
        <v>0.273424190800681</v>
      </c>
      <c r="Q166" s="56" t="n">
        <f aca="false">L166</f>
        <v>0.265356265356265</v>
      </c>
      <c r="R166" s="55" t="n">
        <f aca="false">IFERROR(R167/R165,0)</f>
        <v>0.270740276007493</v>
      </c>
      <c r="S166" s="56" t="n">
        <f aca="false">N166</f>
        <v>0.274320771253287</v>
      </c>
      <c r="T166" s="56" t="n">
        <f aca="false">O166</f>
        <v>0.269603524229075</v>
      </c>
      <c r="U166" s="56" t="n">
        <f aca="false">P166</f>
        <v>0.273424190800681</v>
      </c>
      <c r="V166" s="56" t="n">
        <f aca="false">Q166</f>
        <v>0.265356265356265</v>
      </c>
      <c r="W166" s="55" t="n">
        <f aca="false">IFERROR(W167/W165,0)</f>
        <v>0.270618150911243</v>
      </c>
      <c r="X166" s="56" t="n">
        <f aca="false">S166</f>
        <v>0.274320771253287</v>
      </c>
      <c r="Y166" s="56" t="n">
        <f aca="false">T166</f>
        <v>0.269603524229075</v>
      </c>
      <c r="Z166" s="56" t="n">
        <f aca="false">U166</f>
        <v>0.273424190800681</v>
      </c>
      <c r="AA166" s="56" t="n">
        <f aca="false">V166</f>
        <v>0.265356265356265</v>
      </c>
      <c r="AB166" s="55" t="n">
        <f aca="false">IFERROR(AB167/AB165,0)</f>
        <v>0.270617620360095</v>
      </c>
    </row>
    <row r="167" customFormat="false" ht="15" hidden="false" customHeight="false" outlineLevel="0" collapsed="false">
      <c r="C167" s="2" t="s">
        <v>44</v>
      </c>
      <c r="D167" s="61" t="n">
        <v>294</v>
      </c>
      <c r="E167" s="61" t="n">
        <v>299</v>
      </c>
      <c r="F167" s="61" t="n">
        <v>293</v>
      </c>
      <c r="G167" s="61" t="n">
        <v>273</v>
      </c>
      <c r="H167" s="39" t="n">
        <f aca="false">D167+E167+F167+G167</f>
        <v>1159</v>
      </c>
      <c r="I167" s="61" t="n">
        <v>304</v>
      </c>
      <c r="J167" s="61" t="n">
        <v>306</v>
      </c>
      <c r="K167" s="61" t="n">
        <v>321</v>
      </c>
      <c r="L167" s="61" t="n">
        <v>324</v>
      </c>
      <c r="M167" s="39" t="n">
        <f aca="false">I167+J167+K167+L167</f>
        <v>1255</v>
      </c>
      <c r="N167" s="61" t="n">
        <v>313</v>
      </c>
      <c r="O167" s="38" t="n">
        <f aca="false">O166*O165</f>
        <v>311.262660792952</v>
      </c>
      <c r="P167" s="38" t="n">
        <f aca="false">P166*P165</f>
        <v>304.386746166951</v>
      </c>
      <c r="Q167" s="38" t="n">
        <f aca="false">Q166*Q165</f>
        <v>283.925896805897</v>
      </c>
      <c r="R167" s="39" t="n">
        <f aca="false">N167+O167+P167+Q167</f>
        <v>1212.5753037658</v>
      </c>
      <c r="S167" s="38" t="n">
        <f aca="false">S166*S165</f>
        <v>274.490850131464</v>
      </c>
      <c r="T167" s="38" t="n">
        <f aca="false">T166*T165</f>
        <v>273.763614449339</v>
      </c>
      <c r="U167" s="38" t="n">
        <f aca="false">U166*U165</f>
        <v>298.957854173765</v>
      </c>
      <c r="V167" s="38" t="n">
        <f aca="false">V166*V165</f>
        <v>289.604414742015</v>
      </c>
      <c r="W167" s="39" t="n">
        <f aca="false">S167+T167+U167+V167</f>
        <v>1136.81673349658</v>
      </c>
      <c r="X167" s="38" t="n">
        <f aca="false">X166*X165</f>
        <v>279.980667134093</v>
      </c>
      <c r="Y167" s="38" t="n">
        <f aca="false">Y166*Y165</f>
        <v>279.238886738326</v>
      </c>
      <c r="Z167" s="38" t="n">
        <f aca="false">Z166*Z165</f>
        <v>304.715537662692</v>
      </c>
      <c r="AA167" s="38" t="n">
        <f aca="false">AA166*AA165</f>
        <v>295.396503036855</v>
      </c>
      <c r="AB167" s="39" t="n">
        <f aca="false">X167+Y167+Z167+AA167</f>
        <v>1159.33159457197</v>
      </c>
    </row>
    <row r="168" customFormat="false" ht="15" hidden="false" customHeight="false" outlineLevel="0" collapsed="false">
      <c r="C168" s="22" t="s">
        <v>40</v>
      </c>
      <c r="H168" s="25"/>
      <c r="I168" s="62" t="n">
        <f aca="false">IFERROR((I166-D166)*10000,0)</f>
        <v>-0.644642431779641</v>
      </c>
      <c r="J168" s="62" t="n">
        <f aca="false">IFERROR((J166-E166)*10000,0)</f>
        <v>19.2223506166223</v>
      </c>
      <c r="K168" s="62" t="n">
        <f aca="false">IFERROR((K166-F166)*10000,0)</f>
        <v>139.024901806637</v>
      </c>
      <c r="L168" s="62" t="n">
        <f aca="false">IFERROR((L166-G166)*10000,0)</f>
        <v>291.970958060923</v>
      </c>
      <c r="M168" s="63" t="n">
        <f aca="false">IFERROR((M166-H166)*10000,0)</f>
        <v>114.068918648815</v>
      </c>
      <c r="N168" s="62" t="n">
        <f aca="false">IFERROR((N166-I166)*10000,0)</f>
        <v>92.8153847211827</v>
      </c>
      <c r="O168" s="62" t="n">
        <f aca="false">IFERROR((O166-J166)*10000,0)</f>
        <v>0</v>
      </c>
      <c r="P168" s="62" t="n">
        <f aca="false">IFERROR((P166-K166)*10000,0)</f>
        <v>0</v>
      </c>
      <c r="Q168" s="62" t="n">
        <f aca="false">IFERROR((Q166-L166)*10000,0)</f>
        <v>0</v>
      </c>
      <c r="R168" s="63" t="n">
        <f aca="false">IFERROR((R166-M166)*10000,0)</f>
        <v>24.0587361279548</v>
      </c>
      <c r="S168" s="62" t="n">
        <f aca="false">IFERROR((S166-N166)*10000,0)</f>
        <v>0</v>
      </c>
      <c r="T168" s="62" t="n">
        <f aca="false">IFERROR((T166-O166)*10000,0)</f>
        <v>0</v>
      </c>
      <c r="U168" s="62" t="n">
        <f aca="false">IFERROR((U166-P166)*10000,0)</f>
        <v>0</v>
      </c>
      <c r="V168" s="62" t="n">
        <f aca="false">IFERROR((V166-Q166)*10000,0)</f>
        <v>0</v>
      </c>
      <c r="W168" s="63" t="n">
        <f aca="false">IFERROR((W166-R166)*10000,0)</f>
        <v>-1.22125096250147</v>
      </c>
      <c r="X168" s="62" t="n">
        <f aca="false">IFERROR((X166-S166)*10000,0)</f>
        <v>0</v>
      </c>
      <c r="Y168" s="62" t="n">
        <f aca="false">IFERROR((Y166-T166)*10000,0)</f>
        <v>0</v>
      </c>
      <c r="Z168" s="62" t="n">
        <f aca="false">IFERROR((Z166-U166)*10000,0)</f>
        <v>0</v>
      </c>
      <c r="AA168" s="62" t="n">
        <f aca="false">IFERROR((AA166-V166)*10000,0)</f>
        <v>0</v>
      </c>
      <c r="AB168" s="63" t="n">
        <f aca="false">IFERROR((AB166-W166)*10000,0)</f>
        <v>-0.00530551147959191</v>
      </c>
    </row>
    <row r="169" customFormat="false" ht="15" hidden="false" customHeight="false" outlineLevel="0" collapsed="false">
      <c r="H169" s="25"/>
      <c r="M169" s="25"/>
      <c r="R169" s="25"/>
      <c r="W169" s="25"/>
      <c r="AB169" s="25"/>
    </row>
    <row r="170" customFormat="false" ht="15" hidden="false" customHeight="false" outlineLevel="0" collapsed="false">
      <c r="C170" s="30" t="s">
        <v>48</v>
      </c>
      <c r="D170" s="31"/>
      <c r="E170" s="31"/>
      <c r="F170" s="31"/>
      <c r="G170" s="31"/>
      <c r="H170" s="32"/>
      <c r="I170" s="31"/>
      <c r="J170" s="31"/>
      <c r="K170" s="31"/>
      <c r="L170" s="31"/>
      <c r="M170" s="32"/>
      <c r="N170" s="31"/>
      <c r="O170" s="31"/>
      <c r="P170" s="31"/>
      <c r="Q170" s="31"/>
      <c r="R170" s="32"/>
      <c r="S170" s="31"/>
      <c r="T170" s="31"/>
      <c r="U170" s="31"/>
      <c r="V170" s="31"/>
      <c r="W170" s="32"/>
      <c r="X170" s="31"/>
      <c r="Y170" s="31"/>
      <c r="Z170" s="31"/>
      <c r="AA170" s="31"/>
      <c r="AB170" s="32"/>
    </row>
    <row r="171" customFormat="false" ht="15" hidden="false" customHeight="false" outlineLevel="0" collapsed="false">
      <c r="C171" s="3" t="s">
        <v>110</v>
      </c>
      <c r="D171" s="37" t="n">
        <f aca="false">D136</f>
        <v>5722</v>
      </c>
      <c r="E171" s="37" t="n">
        <f aca="false">E136</f>
        <v>5757</v>
      </c>
      <c r="F171" s="37" t="n">
        <f aca="false">F136</f>
        <v>5740</v>
      </c>
      <c r="G171" s="37" t="n">
        <f aca="false">G136</f>
        <v>5938</v>
      </c>
      <c r="H171" s="46" t="n">
        <f aca="false">H136</f>
        <v>23157</v>
      </c>
      <c r="I171" s="37" t="n">
        <f aca="false">I136</f>
        <v>5641</v>
      </c>
      <c r="J171" s="37" t="n">
        <f aca="false">J136</f>
        <v>5995</v>
      </c>
      <c r="K171" s="37" t="n">
        <f aca="false">K136</f>
        <v>5970</v>
      </c>
      <c r="L171" s="37" t="n">
        <f aca="false">L136</f>
        <v>6379</v>
      </c>
      <c r="M171" s="46" t="n">
        <f aca="false">M136</f>
        <v>23985</v>
      </c>
      <c r="N171" s="37" t="n">
        <f aca="false">N136</f>
        <v>6037</v>
      </c>
      <c r="O171" s="37" t="n">
        <f aca="false">O136</f>
        <v>6419.88</v>
      </c>
      <c r="P171" s="37" t="n">
        <f aca="false">P136</f>
        <v>6396.288</v>
      </c>
      <c r="Q171" s="37" t="n">
        <f aca="false">Q136</f>
        <v>6812.886</v>
      </c>
      <c r="R171" s="46" t="n">
        <f aca="false">R136</f>
        <v>25666.054</v>
      </c>
      <c r="S171" s="37" t="n">
        <f aca="false">S136</f>
        <v>6464.172</v>
      </c>
      <c r="T171" s="37" t="n">
        <f aca="false">T136</f>
        <v>6548.2776</v>
      </c>
      <c r="U171" s="37" t="n">
        <f aca="false">U136</f>
        <v>6524.21376</v>
      </c>
      <c r="V171" s="37" t="n">
        <f aca="false">V136</f>
        <v>6949.14372</v>
      </c>
      <c r="W171" s="46" t="n">
        <f aca="false">W136</f>
        <v>26485.80708</v>
      </c>
      <c r="X171" s="37" t="n">
        <f aca="false">X136</f>
        <v>6593.45544</v>
      </c>
      <c r="Y171" s="37" t="n">
        <f aca="false">Y136</f>
        <v>6679.243152</v>
      </c>
      <c r="Z171" s="37" t="n">
        <f aca="false">Z136</f>
        <v>6654.6980352</v>
      </c>
      <c r="AA171" s="37" t="n">
        <f aca="false">AA136</f>
        <v>7088.1265944</v>
      </c>
      <c r="AB171" s="46" t="n">
        <f aca="false">AB136</f>
        <v>27015.5232216</v>
      </c>
    </row>
    <row r="172" customFormat="false" ht="15" hidden="false" customHeight="false" outlineLevel="0" collapsed="false">
      <c r="C172" s="3" t="s">
        <v>111</v>
      </c>
      <c r="D172" s="60" t="n">
        <v>0.130024466969591</v>
      </c>
      <c r="E172" s="60" t="n">
        <v>0.129407677609866</v>
      </c>
      <c r="F172" s="60" t="n">
        <v>0.134668989547038</v>
      </c>
      <c r="G172" s="60" t="n">
        <v>0.139440889188279</v>
      </c>
      <c r="H172" s="55" t="n">
        <f aca="false">IFERROR(H173/H171,0)</f>
        <v>0.133436973701257</v>
      </c>
      <c r="I172" s="60" t="n">
        <v>0.129586952667967</v>
      </c>
      <c r="J172" s="60" t="n">
        <v>0.137614678899083</v>
      </c>
      <c r="K172" s="60" t="n">
        <v>0.145393634840871</v>
      </c>
      <c r="L172" s="60" t="n">
        <v>0.145007054397241</v>
      </c>
      <c r="M172" s="55" t="n">
        <f aca="false">IFERROR(M173/M171,0)</f>
        <v>0.139628934750886</v>
      </c>
      <c r="N172" s="60" t="n">
        <v>0.12887195626967</v>
      </c>
      <c r="O172" s="56" t="n">
        <f aca="false">J172</f>
        <v>0.137614678899083</v>
      </c>
      <c r="P172" s="56" t="n">
        <f aca="false">K172</f>
        <v>0.145393634840871</v>
      </c>
      <c r="Q172" s="56" t="n">
        <f aca="false">L172</f>
        <v>0.145007054397241</v>
      </c>
      <c r="R172" s="55" t="n">
        <f aca="false">IFERROR(R173/R171,0)</f>
        <v>0.139459139974688</v>
      </c>
      <c r="S172" s="56" t="n">
        <f aca="false">N172</f>
        <v>0.12887195626967</v>
      </c>
      <c r="T172" s="56" t="n">
        <f aca="false">O172</f>
        <v>0.137614678899083</v>
      </c>
      <c r="U172" s="56" t="n">
        <f aca="false">P172</f>
        <v>0.145393634840871</v>
      </c>
      <c r="V172" s="56" t="n">
        <f aca="false">Q172</f>
        <v>0.145007054397241</v>
      </c>
      <c r="W172" s="55" t="n">
        <f aca="false">IFERROR(W173/W171,0)</f>
        <v>0.139336649772018</v>
      </c>
      <c r="X172" s="56" t="n">
        <f aca="false">S172</f>
        <v>0.12887195626967</v>
      </c>
      <c r="Y172" s="56" t="n">
        <f aca="false">T172</f>
        <v>0.137614678899083</v>
      </c>
      <c r="Z172" s="56" t="n">
        <f aca="false">U172</f>
        <v>0.145393634840871</v>
      </c>
      <c r="AA172" s="56" t="n">
        <f aca="false">V172</f>
        <v>0.145007054397241</v>
      </c>
      <c r="AB172" s="55" t="n">
        <f aca="false">IFERROR(AB173/AB171,0)</f>
        <v>0.139336649772018</v>
      </c>
    </row>
    <row r="173" customFormat="false" ht="15" hidden="false" customHeight="false" outlineLevel="0" collapsed="false">
      <c r="C173" s="2" t="s">
        <v>44</v>
      </c>
      <c r="D173" s="61" t="n">
        <v>744</v>
      </c>
      <c r="E173" s="61" t="n">
        <v>745</v>
      </c>
      <c r="F173" s="61" t="n">
        <v>773</v>
      </c>
      <c r="G173" s="61" t="n">
        <v>828</v>
      </c>
      <c r="H173" s="39" t="n">
        <f aca="false">D173+E173+F173+G173</f>
        <v>3090</v>
      </c>
      <c r="I173" s="61" t="n">
        <v>731</v>
      </c>
      <c r="J173" s="61" t="n">
        <v>825</v>
      </c>
      <c r="K173" s="61" t="n">
        <v>868</v>
      </c>
      <c r="L173" s="61" t="n">
        <v>925</v>
      </c>
      <c r="M173" s="39" t="n">
        <f aca="false">I173+J173+K173+L173</f>
        <v>3349</v>
      </c>
      <c r="N173" s="61" t="n">
        <v>778</v>
      </c>
      <c r="O173" s="38" t="n">
        <f aca="false">O172*O171</f>
        <v>883.469724770642</v>
      </c>
      <c r="P173" s="38" t="n">
        <f aca="false">P172*P171</f>
        <v>929.979561809045</v>
      </c>
      <c r="Q173" s="38" t="n">
        <f aca="false">Q172*Q171</f>
        <v>987.916530804202</v>
      </c>
      <c r="R173" s="39" t="n">
        <f aca="false">N173+O173+P173+Q173</f>
        <v>3579.36581738389</v>
      </c>
      <c r="S173" s="38" t="n">
        <f aca="false">S172*S171</f>
        <v>833.050491303628</v>
      </c>
      <c r="T173" s="38" t="n">
        <f aca="false">T172*T171</f>
        <v>901.139119266055</v>
      </c>
      <c r="U173" s="38" t="n">
        <f aca="false">U172*U171</f>
        <v>948.579153045226</v>
      </c>
      <c r="V173" s="38" t="n">
        <f aca="false">V172*V171</f>
        <v>1007.67486142029</v>
      </c>
      <c r="W173" s="39" t="n">
        <f aca="false">S173+T173+U173+V173</f>
        <v>3690.4436250352</v>
      </c>
      <c r="X173" s="38" t="n">
        <f aca="false">X172*X171</f>
        <v>849.7115011297</v>
      </c>
      <c r="Y173" s="38" t="n">
        <f aca="false">Y172*Y171</f>
        <v>919.161901651377</v>
      </c>
      <c r="Z173" s="38" t="n">
        <f aca="false">Z172*Z171</f>
        <v>967.550736106131</v>
      </c>
      <c r="AA173" s="38" t="n">
        <f aca="false">AA172*AA171</f>
        <v>1027.82835864869</v>
      </c>
      <c r="AB173" s="39" t="n">
        <f aca="false">X173+Y173+Z173+AA173</f>
        <v>3764.2524975359</v>
      </c>
    </row>
    <row r="174" customFormat="false" ht="15" hidden="false" customHeight="false" outlineLevel="0" collapsed="false">
      <c r="C174" s="22" t="s">
        <v>40</v>
      </c>
      <c r="H174" s="25"/>
      <c r="I174" s="62" t="n">
        <f aca="false">IFERROR((I172-D172)*10000,0)</f>
        <v>-4.3751430162442</v>
      </c>
      <c r="J174" s="62" t="n">
        <f aca="false">IFERROR((J172-E172)*10000,0)</f>
        <v>82.0700128921639</v>
      </c>
      <c r="K174" s="62" t="n">
        <f aca="false">IFERROR((K172-F172)*10000,0)</f>
        <v>107.246452938327</v>
      </c>
      <c r="L174" s="62" t="n">
        <f aca="false">IFERROR((L172-G172)*10000,0)</f>
        <v>55.6616520896208</v>
      </c>
      <c r="M174" s="63" t="n">
        <f aca="false">IFERROR((M172-H172)*10000,0)</f>
        <v>61.9196104962932</v>
      </c>
      <c r="N174" s="62" t="n">
        <f aca="false">IFERROR((N172-I172)*10000,0)</f>
        <v>-7.1499639829628</v>
      </c>
      <c r="O174" s="62" t="n">
        <f aca="false">IFERROR((O172-J172)*10000,0)</f>
        <v>0</v>
      </c>
      <c r="P174" s="62" t="n">
        <f aca="false">IFERROR((P172-K172)*10000,0)</f>
        <v>0</v>
      </c>
      <c r="Q174" s="62" t="n">
        <f aca="false">IFERROR((Q172-L172)*10000,0)</f>
        <v>0</v>
      </c>
      <c r="R174" s="63" t="n">
        <f aca="false">IFERROR((R172-M172)*10000,0)</f>
        <v>-1.6979477619844</v>
      </c>
      <c r="S174" s="62" t="n">
        <f aca="false">IFERROR((S172-N172)*10000,0)</f>
        <v>0</v>
      </c>
      <c r="T174" s="62" t="n">
        <f aca="false">IFERROR((T172-O172)*10000,0)</f>
        <v>0</v>
      </c>
      <c r="U174" s="62" t="n">
        <f aca="false">IFERROR((U172-P172)*10000,0)</f>
        <v>0</v>
      </c>
      <c r="V174" s="62" t="n">
        <f aca="false">IFERROR((V172-Q172)*10000,0)</f>
        <v>0</v>
      </c>
      <c r="W174" s="63" t="n">
        <f aca="false">IFERROR((W172-R172)*10000,0)</f>
        <v>-1.22490202669495</v>
      </c>
      <c r="X174" s="62" t="n">
        <f aca="false">IFERROR((X172-S172)*10000,0)</f>
        <v>0</v>
      </c>
      <c r="Y174" s="62" t="n">
        <f aca="false">IFERROR((Y172-T172)*10000,0)</f>
        <v>0</v>
      </c>
      <c r="Z174" s="62" t="n">
        <f aca="false">IFERROR((Z172-U172)*10000,0)</f>
        <v>0</v>
      </c>
      <c r="AA174" s="62" t="n">
        <f aca="false">IFERROR((AA172-V172)*10000,0)</f>
        <v>0</v>
      </c>
      <c r="AB174" s="63" t="n">
        <f aca="false">IFERROR((AB172-W172)*10000,0)</f>
        <v>0</v>
      </c>
    </row>
    <row r="175" customFormat="false" ht="15" hidden="false" customHeight="false" outlineLevel="0" collapsed="false">
      <c r="H175" s="25"/>
      <c r="M175" s="25"/>
      <c r="R175" s="25"/>
      <c r="W175" s="25"/>
      <c r="AB175" s="25"/>
    </row>
    <row r="176" customFormat="false" ht="15" hidden="false" customHeight="false" outlineLevel="0" collapsed="false">
      <c r="C176" s="57" t="s">
        <v>112</v>
      </c>
      <c r="D176" s="58" t="n">
        <f aca="false">D155+D161+D167+D173</f>
        <v>2278</v>
      </c>
      <c r="E176" s="58" t="n">
        <f aca="false">E155+E161+E167+E173</f>
        <v>2348</v>
      </c>
      <c r="F176" s="58" t="n">
        <f aca="false">F155+F161+F167+F173</f>
        <v>2362</v>
      </c>
      <c r="G176" s="58" t="n">
        <f aca="false">G155+G161+G167+G173</f>
        <v>2719</v>
      </c>
      <c r="H176" s="59" t="n">
        <f aca="false">H155+H161+H167+H173</f>
        <v>9707</v>
      </c>
      <c r="I176" s="58" t="n">
        <f aca="false">I155+I161+I167+I173</f>
        <v>2268</v>
      </c>
      <c r="J176" s="58" t="n">
        <f aca="false">J155+J161+J167+J173</f>
        <v>2375</v>
      </c>
      <c r="K176" s="58" t="n">
        <f aca="false">K155+K161+K167+K173</f>
        <v>2586</v>
      </c>
      <c r="L176" s="58" t="n">
        <f aca="false">L155+L161+L167+L173</f>
        <v>2878</v>
      </c>
      <c r="M176" s="59" t="n">
        <f aca="false">M155+M161+M167+M173</f>
        <v>10107</v>
      </c>
      <c r="N176" s="58" t="n">
        <f aca="false">N155+N161+N167+N173</f>
        <v>2400</v>
      </c>
      <c r="O176" s="58" t="n">
        <f aca="false">O155+O161+O167+O173</f>
        <v>2463.61238556359</v>
      </c>
      <c r="P176" s="58" t="n">
        <f aca="false">P155+P161+P167+P173</f>
        <v>2659.306307976</v>
      </c>
      <c r="Q176" s="58" t="n">
        <f aca="false">Q155+Q161+Q167+Q173</f>
        <v>2933.4224276101</v>
      </c>
      <c r="R176" s="59" t="n">
        <f aca="false">R155+R161+R167+R173</f>
        <v>10456.3411211497</v>
      </c>
      <c r="S176" s="58" t="n">
        <f aca="false">S155+S161+S167+S173</f>
        <v>2442.72134143509</v>
      </c>
      <c r="T176" s="58" t="n">
        <f aca="false">T155+T161+T167+T173</f>
        <v>2469.16033371539</v>
      </c>
      <c r="U176" s="58" t="n">
        <f aca="false">U155+U161+U167+U173</f>
        <v>2700.97580721899</v>
      </c>
      <c r="V176" s="58" t="n">
        <f aca="false">V155+V161+V167+V173</f>
        <v>2992.0908761623</v>
      </c>
      <c r="W176" s="59" t="n">
        <f aca="false">W155+W161+W167+W173</f>
        <v>10604.9483585318</v>
      </c>
      <c r="X176" s="58" t="n">
        <f aca="false">X155+X161+X167+X173</f>
        <v>2491.57576826379</v>
      </c>
      <c r="Y176" s="58" t="n">
        <f aca="false">Y155+Y161+Y167+Y173</f>
        <v>2518.5435403897</v>
      </c>
      <c r="Z176" s="58" t="n">
        <f aca="false">Z155+Z161+Z167+Z173</f>
        <v>2754.77384976882</v>
      </c>
      <c r="AA176" s="58" t="n">
        <f aca="false">AA155+AA161+AA167+AA173</f>
        <v>3051.93269368555</v>
      </c>
      <c r="AB176" s="59" t="n">
        <f aca="false">AB155+AB161+AB167+AB173</f>
        <v>10816.8258521079</v>
      </c>
    </row>
    <row r="177" customFormat="false" ht="15" hidden="false" customHeight="false" outlineLevel="0" collapsed="false">
      <c r="C177" s="3" t="s">
        <v>113</v>
      </c>
      <c r="D177" s="54" t="n">
        <f aca="false">IFERROR(D176/D144,0)</f>
        <v>0.220202996616723</v>
      </c>
      <c r="E177" s="54" t="n">
        <f aca="false">IFERROR(E176/E144,0)</f>
        <v>0.222770398481973</v>
      </c>
      <c r="F177" s="54" t="n">
        <f aca="false">IFERROR(F176/F144,0)</f>
        <v>0.222893271680664</v>
      </c>
      <c r="G177" s="54" t="n">
        <f aca="false">IFERROR(G176/G144,0)</f>
        <v>0.238613426941641</v>
      </c>
      <c r="H177" s="55" t="n">
        <f aca="false">IFERROR(H176/H144,0)</f>
        <v>0.226391771812394</v>
      </c>
      <c r="I177" s="54" t="n">
        <f aca="false">IFERROR(I176/I144,0)</f>
        <v>0.218813314037627</v>
      </c>
      <c r="J177" s="54" t="n">
        <f aca="false">IFERROR(J176/J144,0)</f>
        <v>0.218773028739867</v>
      </c>
      <c r="K177" s="54" t="n">
        <f aca="false">IFERROR(K176/K144,0)</f>
        <v>0.232512138104657</v>
      </c>
      <c r="L177" s="54" t="n">
        <f aca="false">IFERROR(L176/L144,0)</f>
        <v>0.235592665356909</v>
      </c>
      <c r="M177" s="55" t="n">
        <f aca="false">IFERROR(M176/M144,0)</f>
        <v>0.226822864067865</v>
      </c>
      <c r="N177" s="54" t="n">
        <f aca="false">IFERROR(N176/N144,0)</f>
        <v>0.218062874795566</v>
      </c>
      <c r="O177" s="54" t="n">
        <f aca="false">IFERROR(O176/O144,0)</f>
        <v>0.216598345853501</v>
      </c>
      <c r="P177" s="54" t="n">
        <f aca="false">IFERROR(P176/P144,0)</f>
        <v>0.230044788510448</v>
      </c>
      <c r="Q177" s="54" t="n">
        <f aca="false">IFERROR(Q176/Q144,0)</f>
        <v>0.233145856661983</v>
      </c>
      <c r="R177" s="55" t="n">
        <f aca="false">IFERROR(R176/R144,0)</f>
        <v>0.224761332558739</v>
      </c>
      <c r="S177" s="54" t="n">
        <f aca="false">IFERROR(S176/S144,0)</f>
        <v>0.21443882959703</v>
      </c>
      <c r="T177" s="54" t="n">
        <f aca="false">IFERROR(T176/T144,0)</f>
        <v>0.215715179692714</v>
      </c>
      <c r="U177" s="54" t="n">
        <f aca="false">IFERROR(U176/U144,0)</f>
        <v>0.229853790210634</v>
      </c>
      <c r="V177" s="54" t="n">
        <f aca="false">IFERROR(V176/V144,0)</f>
        <v>0.233145856661982</v>
      </c>
      <c r="W177" s="55" t="n">
        <f aca="false">IFERROR(W176/W144,0)</f>
        <v>0.223629203834231</v>
      </c>
      <c r="X177" s="54" t="n">
        <f aca="false">IFERROR(X176/X144,0)</f>
        <v>0.21443882959703</v>
      </c>
      <c r="Y177" s="54" t="n">
        <f aca="false">IFERROR(Y176/Y144,0)</f>
        <v>0.215715179692714</v>
      </c>
      <c r="Z177" s="54" t="n">
        <f aca="false">IFERROR(Z176/Z144,0)</f>
        <v>0.229850176601426</v>
      </c>
      <c r="AA177" s="54" t="n">
        <f aca="false">IFERROR(AA176/AA144,0)</f>
        <v>0.233145856661983</v>
      </c>
      <c r="AB177" s="55" t="n">
        <f aca="false">IFERROR(AB176/AB144,0)</f>
        <v>0.223628208702417</v>
      </c>
    </row>
    <row r="178" customFormat="false" ht="15" hidden="false" customHeight="false" outlineLevel="0" collapsed="false">
      <c r="C178" s="22" t="s">
        <v>40</v>
      </c>
      <c r="H178" s="25"/>
      <c r="I178" s="62" t="n">
        <f aca="false">IFERROR((I177-D177)*10000,0)</f>
        <v>-13.8968257909641</v>
      </c>
      <c r="J178" s="62" t="n">
        <f aca="false">IFERROR((J177-E177)*10000,0)</f>
        <v>-39.973697421061</v>
      </c>
      <c r="K178" s="62" t="n">
        <f aca="false">IFERROR((K177-F177)*10000,0)</f>
        <v>96.1886642399309</v>
      </c>
      <c r="L178" s="62" t="n">
        <f aca="false">IFERROR((L177-G177)*10000,0)</f>
        <v>-30.2076158473208</v>
      </c>
      <c r="M178" s="63" t="n">
        <f aca="false">IFERROR((M177-H177)*10000,0)</f>
        <v>4.31092255471499</v>
      </c>
      <c r="N178" s="62" t="n">
        <f aca="false">IFERROR((N177-I177)*10000,0)</f>
        <v>-7.50439242060585</v>
      </c>
      <c r="O178" s="62" t="n">
        <f aca="false">IFERROR((O177-J177)*10000,0)</f>
        <v>-21.7468288636682</v>
      </c>
      <c r="P178" s="62" t="n">
        <f aca="false">IFERROR((P177-K177)*10000,0)</f>
        <v>-24.6734959420911</v>
      </c>
      <c r="Q178" s="62" t="n">
        <f aca="false">IFERROR((Q177-L177)*10000,0)</f>
        <v>-24.4680869492639</v>
      </c>
      <c r="R178" s="63" t="n">
        <f aca="false">IFERROR((R177-M177)*10000,0)</f>
        <v>-20.6153150912569</v>
      </c>
      <c r="S178" s="62" t="n">
        <f aca="false">IFERROR((S177-N177)*10000,0)</f>
        <v>-36.2404519853618</v>
      </c>
      <c r="T178" s="62" t="n">
        <f aca="false">IFERROR((T177-O177)*10000,0)</f>
        <v>-8.83166160786653</v>
      </c>
      <c r="U178" s="62" t="n">
        <f aca="false">IFERROR((U177-P177)*10000,0)</f>
        <v>-1.90998299814393</v>
      </c>
      <c r="V178" s="62" t="n">
        <f aca="false">IFERROR((V177-Q177)*10000,0)</f>
        <v>0</v>
      </c>
      <c r="W178" s="63" t="n">
        <f aca="false">IFERROR((W177-R177)*10000,0)</f>
        <v>-11.3212872450794</v>
      </c>
      <c r="X178" s="62" t="n">
        <f aca="false">IFERROR((X177-S177)*10000,0)</f>
        <v>0</v>
      </c>
      <c r="Y178" s="62" t="n">
        <f aca="false">IFERROR((Y177-T177)*10000,0)</f>
        <v>0</v>
      </c>
      <c r="Z178" s="62" t="n">
        <f aca="false">IFERROR((Z177-U177)*10000,0)</f>
        <v>-0.0361360920780873</v>
      </c>
      <c r="AA178" s="62" t="n">
        <f aca="false">IFERROR((AA177-V177)*10000,0)</f>
        <v>0</v>
      </c>
      <c r="AB178" s="63" t="n">
        <f aca="false">IFERROR((AB177-W177)*10000,0)</f>
        <v>-0.00995131814202077</v>
      </c>
    </row>
    <row r="179" customFormat="false" ht="15" hidden="false" customHeight="false" outlineLevel="0" collapsed="false">
      <c r="H179" s="25"/>
      <c r="M179" s="25"/>
      <c r="R179" s="25"/>
      <c r="W179" s="25"/>
      <c r="AB179" s="25"/>
    </row>
    <row r="180" customFormat="false" ht="15" hidden="false" customHeight="false" outlineLevel="0" collapsed="false">
      <c r="H180" s="25"/>
      <c r="M180" s="25"/>
      <c r="R180" s="25"/>
      <c r="W180" s="25"/>
      <c r="AB18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7" min="6" style="0" width="13"/>
  </cols>
  <sheetData>
    <row r="2" customFormat="false" ht="15" hidden="false" customHeight="false" outlineLevel="0" collapsed="false">
      <c r="B2" s="1" t="s">
        <v>114</v>
      </c>
    </row>
    <row r="4" customFormat="false" ht="15" hidden="false" customHeight="false" outlineLevel="0" collapsed="false">
      <c r="B4" s="64" t="s">
        <v>115</v>
      </c>
      <c r="C4" s="64" t="s">
        <v>116</v>
      </c>
      <c r="D4" s="64" t="s">
        <v>117</v>
      </c>
      <c r="E4" s="64" t="s">
        <v>118</v>
      </c>
      <c r="F4" s="64" t="s">
        <v>119</v>
      </c>
      <c r="G4" s="64" t="s">
        <v>120</v>
      </c>
    </row>
    <row r="5" customFormat="false" ht="15" hidden="false" customHeight="false" outlineLevel="0" collapsed="false">
      <c r="B5" s="3" t="s">
        <v>121</v>
      </c>
      <c r="C5" s="35" t="n">
        <v>45200</v>
      </c>
      <c r="D5" s="20" t="n">
        <f aca="false">Model!R144</f>
        <v>46521.9751196172</v>
      </c>
      <c r="E5" s="47" t="n">
        <f aca="false">IFERROR((D5-C5)/C5,0)</f>
        <v>0.0292472371596732</v>
      </c>
      <c r="F5" s="20" t="n">
        <f aca="false">Model!W144</f>
        <v>47422.0190239234</v>
      </c>
      <c r="G5" s="20" t="n">
        <f aca="false">Model!AB144</f>
        <v>48369.6842847847</v>
      </c>
    </row>
    <row r="6" customFormat="false" ht="15" hidden="false" customHeight="false" outlineLevel="0" collapsed="false">
      <c r="B6" s="3" t="s">
        <v>122</v>
      </c>
      <c r="C6" s="60" t="n">
        <v>0.035</v>
      </c>
      <c r="D6" s="26" t="n">
        <f aca="false">Model!R146</f>
        <v>0.0186547397229087</v>
      </c>
      <c r="E6" s="47" t="n">
        <f aca="false">D6-C6</f>
        <v>-0.0163452602770913</v>
      </c>
      <c r="F6" s="26" t="n">
        <f aca="false">Model!W146</f>
        <v>0.0198356073210367</v>
      </c>
      <c r="G6" s="26" t="n">
        <f aca="false">Model!AB146</f>
        <v>0.0199836548583721</v>
      </c>
    </row>
    <row r="7" customFormat="false" ht="15" hidden="false" customHeight="false" outlineLevel="0" collapsed="false">
      <c r="B7" s="3" t="s">
        <v>38</v>
      </c>
      <c r="C7" s="35" t="n">
        <v>10500</v>
      </c>
      <c r="D7" s="20" t="n">
        <f aca="false">Model!R176</f>
        <v>10456.3411211497</v>
      </c>
      <c r="E7" s="47" t="n">
        <f aca="false">IFERROR((D7-C7)/C7,0)</f>
        <v>-0.0041579884619345</v>
      </c>
      <c r="F7" s="20" t="n">
        <f aca="false">Model!W176</f>
        <v>10604.9483585318</v>
      </c>
      <c r="G7" s="20" t="n">
        <f aca="false">Model!AB176</f>
        <v>10816.8258521079</v>
      </c>
    </row>
    <row r="8" customFormat="false" ht="15" hidden="false" customHeight="false" outlineLevel="0" collapsed="false">
      <c r="B8" s="3" t="s">
        <v>123</v>
      </c>
      <c r="C8" s="54" t="n">
        <f aca="false">C7/C5</f>
        <v>0.232300884955752</v>
      </c>
      <c r="D8" s="54" t="n">
        <f aca="false">D7/D5</f>
        <v>0.224761332558739</v>
      </c>
      <c r="E8" s="47" t="n">
        <f aca="false">D8-C8</f>
        <v>-0.00753955239701282</v>
      </c>
      <c r="F8" s="54" t="n">
        <f aca="false">F7/F5</f>
        <v>0.223629203834231</v>
      </c>
      <c r="G8" s="54" t="n">
        <f aca="false">G7/G5</f>
        <v>0.223628208702417</v>
      </c>
    </row>
    <row r="10" customFormat="false" ht="15" hidden="false" customHeight="false" outlineLevel="0" collapsed="false">
      <c r="B10" s="2" t="s">
        <v>124</v>
      </c>
    </row>
    <row r="11" customFormat="false" ht="15" hidden="false" customHeight="false" outlineLevel="0" collapsed="false">
      <c r="B11" s="2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2026-05-13T20:10:45Z</dcterms:created>
  <dc:creator>openpyxl</dc:creator>
  <dc:description/>
  <dc:language>en-US</dc:language>
  <cp:lastModifiedBy/>
  <dcterms:modified xsi:type="dcterms:W3CDTF">2026-05-13T20:10:45Z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