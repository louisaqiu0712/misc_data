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louisaqiu/Documents/Claude/Projects/Research/"/>
    </mc:Choice>
  </mc:AlternateContent>
  <xr:revisionPtr revIDLastSave="0" documentId="13_ncr:1_{812E0B09-F163-E84B-895E-EC42DB832B1C}" xr6:coauthVersionLast="47" xr6:coauthVersionMax="47" xr10:uidLastSave="{00000000-0000-0000-0000-000000000000}"/>
  <bookViews>
    <workbookView xWindow="0" yWindow="660" windowWidth="29400" windowHeight="18460" tabRatio="500" activeTab="2" xr2:uid="{00000000-000D-0000-FFFF-FFFF00000000}"/>
  </bookViews>
  <sheets>
    <sheet name="AI Pipeline" sheetId="1" r:id="rId1"/>
    <sheet name="Scorecard Summary" sheetId="2" r:id="rId2"/>
    <sheet name="Target Novelty (S3)" sheetId="3" r:id="rId3"/>
  </sheets>
  <definedNames>
    <definedName name="_xlnm._FilterDatabase" localSheetId="0" hidden="1">'AI Pipeline'!$A$3:$L$85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2" l="1"/>
  <c r="C10" i="2"/>
  <c r="C9" i="2"/>
  <c r="C8" i="2"/>
  <c r="C7" i="2"/>
  <c r="C6" i="2"/>
  <c r="C5" i="2"/>
</calcChain>
</file>

<file path=xl/sharedStrings.xml><?xml version="1.0" encoding="utf-8"?>
<sst xmlns="http://schemas.openxmlformats.org/spreadsheetml/2006/main" count="840" uniqueCount="349">
  <si>
    <t>AI Drug Pipeline Tracker — Comprehensive Database</t>
  </si>
  <si>
    <t>#</t>
  </si>
  <si>
    <t>Source</t>
  </si>
  <si>
    <t>Asset Name</t>
  </si>
  <si>
    <t>Company</t>
  </si>
  <si>
    <t>Modality</t>
  </si>
  <si>
    <t>Target / MoA</t>
  </si>
  <si>
    <t>Indication</t>
  </si>
  <si>
    <t>AI Mode of Discovery</t>
  </si>
  <si>
    <t>Highest Phase</t>
  </si>
  <si>
    <t>Status</t>
  </si>
  <si>
    <t>Key Data / Notes</t>
  </si>
  <si>
    <t>Next Catalyst</t>
  </si>
  <si>
    <t>Zasocitinib (NDI-034858)</t>
  </si>
  <si>
    <t>Nimbus / Takeda</t>
  </si>
  <si>
    <t>Small molecule</t>
  </si>
  <si>
    <t>TYK2</t>
  </si>
  <si>
    <t>Plaque Psoriasis</t>
  </si>
  <si>
    <t>Small molecule design (FEP+)</t>
  </si>
  <si>
    <t>Phase III</t>
  </si>
  <si>
    <t>Positive — Winner</t>
  </si>
  <si>
    <t>Phase III (Dec 2025): all co-primary + 44 secondary endpoints met. &gt;50% PASI 90 at wk 16, ~30% PASI 100. Beat placebo + apremilast. $4B + $2B milestones.</t>
  </si>
  <si>
    <t>Regulatory filing FY2026</t>
  </si>
  <si>
    <t>Rentosertib (INS018-055)</t>
  </si>
  <si>
    <t>Insilico Medicine</t>
  </si>
  <si>
    <t>TNIK</t>
  </si>
  <si>
    <t>IPF</t>
  </si>
  <si>
    <t>Generative AI (target + molecule)</t>
  </si>
  <si>
    <t>Phase IIa → III</t>
  </si>
  <si>
    <t>+98.4 mL FVC improvement vs. -62.3 mL placebo. Published Nature Medicine Jun 2025. Lilly signed $2.75B deal Mar 2026. 18-mo target-to-IND.</t>
  </si>
  <si>
    <t>Phase III initiation</t>
  </si>
  <si>
    <t>Rilvegostomig</t>
  </si>
  <si>
    <t>Compugen / AstraZeneca</t>
  </si>
  <si>
    <t>Antibody</t>
  </si>
  <si>
    <t>PD-1/TIGIT bispecific</t>
  </si>
  <si>
    <t>NSCLC, Gastric</t>
  </si>
  <si>
    <t>Computational target discovery</t>
  </si>
  <si>
    <t>Phase 1b → III</t>
  </si>
  <si>
    <t>Positive — Commercial advance</t>
  </si>
  <si>
    <t>57.5% ORR + 95% DCR in 1L NSCLC (combo w/ Datroway). Licensed to AZ. Multiple Phase III trials. Note: TIGIT co-discovered by 3 groups in 2009 using bioinformatics.</t>
  </si>
  <si>
    <t>Phase III readouts 2026-27</t>
  </si>
  <si>
    <t>Dexmedetomidine (BXCL-501)</t>
  </si>
  <si>
    <t>BioXcel Therapeutics</t>
  </si>
  <si>
    <t>Adrenoceptor alpha 2A</t>
  </si>
  <si>
    <t>Agitation in dementia</t>
  </si>
  <si>
    <t>Repurposing</t>
  </si>
  <si>
    <t>Successful (Ph III)</t>
  </si>
  <si>
    <t>TRANQUILITY II Phase 3 met primary + all secondary endpoints for Alzheimer's-related agitation. FDA approved.</t>
  </si>
  <si>
    <t>Post-marketing</t>
  </si>
  <si>
    <t>REC-4881</t>
  </si>
  <si>
    <t>Recursion</t>
  </si>
  <si>
    <t>MEK1/2</t>
  </si>
  <si>
    <t>FAP / AXIN1/APC Cancers</t>
  </si>
  <si>
    <t>Phase 1b/2</t>
  </si>
  <si>
    <t>TUPELO: 75% polyp burden reduction. 53% median reduction sustained at wk 25 post-discontinuation. Clean safety.</t>
  </si>
  <si>
    <t>Expansion cohorts</t>
  </si>
  <si>
    <t>EVX-01</t>
  </si>
  <si>
    <t>Evaxion Biotech</t>
  </si>
  <si>
    <t>Vaccine</t>
  </si>
  <si>
    <t>Neoantigen vaccine</t>
  </si>
  <si>
    <t>Melanoma</t>
  </si>
  <si>
    <t>Vaccine design (AI neoantigen prediction)</t>
  </si>
  <si>
    <t>Phase II</t>
  </si>
  <si>
    <t>Combo w/ Keytruda: 75% ORR at 2 yrs. 4 CRs / 16 pts. 92% responders durable at 24 mo. AI predicted T-cell response in 81%.</t>
  </si>
  <si>
    <t>2-yr data ESMO 2025</t>
  </si>
  <si>
    <t>SGR-1505</t>
  </si>
  <si>
    <t>Schrödinger</t>
  </si>
  <si>
    <t>MALT1</t>
  </si>
  <si>
    <t>B-cell Neoplasms</t>
  </si>
  <si>
    <t>Phase I</t>
  </si>
  <si>
    <t>49 pts. Well-tolerated, no DLTs. Responses across CLL, Waldenström's, MZL. FDA Fast Track designation (EHA 2025).</t>
  </si>
  <si>
    <t>Expansion data</t>
  </si>
  <si>
    <t>SGR-2921</t>
  </si>
  <si>
    <t>CDC7</t>
  </si>
  <si>
    <t>AML/MDS</t>
  </si>
  <si>
    <t>Failed — Discontinued</t>
  </si>
  <si>
    <t>Two treatment-related patient deaths in Phase I dose escalation. Shut down Aug 2025.</t>
  </si>
  <si>
    <t>Program terminated</t>
  </si>
  <si>
    <t>REC-2282</t>
  </si>
  <si>
    <t>HDAC</t>
  </si>
  <si>
    <t>NF2 Meningiomas</t>
  </si>
  <si>
    <t>Phase II passed futility threshold in 40mg cohort. Limited tumor shrinkage.</t>
  </si>
  <si>
    <t>GV20-0251</t>
  </si>
  <si>
    <t>GV20 Therapeutics</t>
  </si>
  <si>
    <t>IGSF8</t>
  </si>
  <si>
    <t>Solid Tumors</t>
  </si>
  <si>
    <t>Antibody design</t>
  </si>
  <si>
    <t>Positive but early</t>
  </si>
  <si>
    <t>38 pts. No DLTs up to 20 mg/kg. 2 confirmed PRs in metastatic melanoma (12 evaluable).</t>
  </si>
  <si>
    <t>ASCO 2025 update</t>
  </si>
  <si>
    <t>ISM5411</t>
  </si>
  <si>
    <t>PHD inhibitor</t>
  </si>
  <si>
    <t>IBD (UC)</t>
  </si>
  <si>
    <t>Generative AI (molecule design)</t>
  </si>
  <si>
    <t>Phase I → II</t>
  </si>
  <si>
    <t>Positive in 2 Phase I trials (AU + CN). Gut-restricted PK, no serious AEs. Designed in 12 mo, ~115 molecules.</t>
  </si>
  <si>
    <t>Phase II in UC H2 2025</t>
  </si>
  <si>
    <t>TOS-358</t>
  </si>
  <si>
    <t>Totus Medicines</t>
  </si>
  <si>
    <t>PI3Kα</t>
  </si>
  <si>
    <t>Solid Tumors (breast)</t>
  </si>
  <si>
    <t>Small molecule design</t>
  </si>
  <si>
    <t>Phase I (expansion)</t>
  </si>
  <si>
    <t>50% CBR. 75% DCR in PI3Kα-mutant breast CA. No bone marrow/liver/ocular/skin tox — major differentiator vs. older PI3Ki.</t>
  </si>
  <si>
    <t>Ph 1b combos Jan 2026</t>
  </si>
  <si>
    <t>VRG-50635</t>
  </si>
  <si>
    <t>Verge Genomics</t>
  </si>
  <si>
    <t>PIKfyve</t>
  </si>
  <si>
    <t>ALS</t>
  </si>
  <si>
    <t>Target discovery (AI platform)</t>
  </si>
  <si>
    <t>Phase I → 1b</t>
  </si>
  <si>
    <t>Phase I HVs clean safety + once-daily PK. Phase 1b PoC in ALS enrolled Aug 2024.</t>
  </si>
  <si>
    <t>Efficacy data H2 2025</t>
  </si>
  <si>
    <t>Omilancor</t>
  </si>
  <si>
    <t>Landos Biopharma / NImmune</t>
  </si>
  <si>
    <t>LanC like 2</t>
  </si>
  <si>
    <t>UC, Crohn's</t>
  </si>
  <si>
    <t>Target discovery</t>
  </si>
  <si>
    <t>Successful (Ph II)</t>
  </si>
  <si>
    <t>Phase I + Phase II both successful for UC and Crohn's disease.</t>
  </si>
  <si>
    <t>Phase III planning</t>
  </si>
  <si>
    <t>HFB-200301</t>
  </si>
  <si>
    <t>HiFiBiO</t>
  </si>
  <si>
    <t>TNFR2 Agonist</t>
  </si>
  <si>
    <t>IO-refractory tumors</t>
  </si>
  <si>
    <t>ESMO 2024: promise in mono + combo w/ anti-PD-1. Informing Phase 2 dose selection.</t>
  </si>
  <si>
    <t>Ph 2 dose selection</t>
  </si>
  <si>
    <t>HFB-200603</t>
  </si>
  <si>
    <t>BTLA Antagonist</t>
  </si>
  <si>
    <t>Oncology</t>
  </si>
  <si>
    <t>ESMO 2024: early safety/PK data.</t>
  </si>
  <si>
    <t>Dose expansion</t>
  </si>
  <si>
    <t>HST-1011</t>
  </si>
  <si>
    <t>HotSpot Therapeutics</t>
  </si>
  <si>
    <t>CBL-B inhibitor</t>
  </si>
  <si>
    <t>Phase I/II</t>
  </si>
  <si>
    <t>ESMO 2024: immune activation biomarkers in blood + tumor. No efficacy readout yet.</t>
  </si>
  <si>
    <t>Dose escalation</t>
  </si>
  <si>
    <t>HMBD-001</t>
  </si>
  <si>
    <t>Hummingbird Bioscience</t>
  </si>
  <si>
    <t>HER3</t>
  </si>
  <si>
    <t>43% DCR. 1 PR with 51% tumor shrinkage. No DLTs. HMBD-002 licensed to Percheron Jun 2025.</t>
  </si>
  <si>
    <t>Expansion + HMBD-002 Ph 2</t>
  </si>
  <si>
    <t>GTAEXS617</t>
  </si>
  <si>
    <t>Exscientia</t>
  </si>
  <si>
    <t>CDK7</t>
  </si>
  <si>
    <t>Too early to judge</t>
  </si>
  <si>
    <t>Phase I dose escalation ongoing H2 2024. Exscientia acquired full rights Jul 2024.</t>
  </si>
  <si>
    <t>Phase I data</t>
  </si>
  <si>
    <t>Jayatunga</t>
  </si>
  <si>
    <t>A2A-252</t>
  </si>
  <si>
    <t>A2A Pharmaceuticals</t>
  </si>
  <si>
    <t>TACC3</t>
  </si>
  <si>
    <t>22% avg tumor reduction in 67% of pts at &lt;1/3 MTD (Bernstein Ex 14).</t>
  </si>
  <si>
    <t>BMF-219</t>
  </si>
  <si>
    <t>A2A Pharma / Biomea Fusion</t>
  </si>
  <si>
    <t>Ongoing</t>
  </si>
  <si>
    <t>Ph I successful, Ph I/II ongoing.</t>
  </si>
  <si>
    <t>Monoclonal antibodies, Teva</t>
  </si>
  <si>
    <t>AbCellera Biologics</t>
  </si>
  <si>
    <t>AC-682</t>
  </si>
  <si>
    <t>Accutar Biotechnology</t>
  </si>
  <si>
    <t>AC-0176</t>
  </si>
  <si>
    <t>AC-0676</t>
  </si>
  <si>
    <t>BTK Degrader</t>
  </si>
  <si>
    <t>Heme malignancies</t>
  </si>
  <si>
    <t>First patient dosed Jun 2023. No public results.</t>
  </si>
  <si>
    <t>AC-699</t>
  </si>
  <si>
    <t>ATH-63</t>
  </si>
  <si>
    <t>Athos Therapeutics</t>
  </si>
  <si>
    <t>Target discovery + molecule design</t>
  </si>
  <si>
    <t>AU-409</t>
  </si>
  <si>
    <t>Auransa</t>
  </si>
  <si>
    <t>Undisclosed</t>
  </si>
  <si>
    <t>HCC</t>
  </si>
  <si>
    <t>First patient dosed 2023 USC Norris. No results yet.</t>
  </si>
  <si>
    <t>Phase I readout</t>
  </si>
  <si>
    <t>BEN-2293</t>
  </si>
  <si>
    <t>BenevolentAI</t>
  </si>
  <si>
    <t>Pan-TRK</t>
  </si>
  <si>
    <t>Atopic dermatitis</t>
  </si>
  <si>
    <t>Failed</t>
  </si>
  <si>
    <t>Ph I successful but Ph II unsuccessful.</t>
  </si>
  <si>
    <t>BEN-8744</t>
  </si>
  <si>
    <t>Bavisant</t>
  </si>
  <si>
    <t>Phase completed but asset removed from pipeline.</t>
  </si>
  <si>
    <t>BGE-105 (Azelaprag)</t>
  </si>
  <si>
    <t>BioAge Labs</t>
  </si>
  <si>
    <t>Apelin receptor</t>
  </si>
  <si>
    <t>Obesity</t>
  </si>
  <si>
    <t>Elevated liver enzymes. BioAge shut down program after IPO.</t>
  </si>
  <si>
    <t>AU-007</t>
  </si>
  <si>
    <t>Biolojic Design / Aulos</t>
  </si>
  <si>
    <t>IL-2</t>
  </si>
  <si>
    <t>Talabostat (BXCL-701)</t>
  </si>
  <si>
    <t>Phase IIb</t>
  </si>
  <si>
    <t>Successful Phase IIa; now Phase IIb.</t>
  </si>
  <si>
    <t>BDTX-1535</t>
  </si>
  <si>
    <t>Black Diamond Therapeutics</t>
  </si>
  <si>
    <t>EGFR</t>
  </si>
  <si>
    <t>BDTX-189</t>
  </si>
  <si>
    <t>EGFR/HER2</t>
  </si>
  <si>
    <t>Ph I successful but Ph II terminated (reprioritisation).</t>
  </si>
  <si>
    <t>BDTX-4933</t>
  </si>
  <si>
    <t>C4X_3256/INDV-2000</t>
  </si>
  <si>
    <t>C4X Discovery / Indivior</t>
  </si>
  <si>
    <t>CEL-383</t>
  </si>
  <si>
    <t>Celsius Therapeutics</t>
  </si>
  <si>
    <t>Bapotulimab</t>
  </si>
  <si>
    <t>Compugen</t>
  </si>
  <si>
    <t>COM-701</t>
  </si>
  <si>
    <t>Influenza vaccine H7N9</t>
  </si>
  <si>
    <t>EpiVax</t>
  </si>
  <si>
    <t>Vaccine design</t>
  </si>
  <si>
    <t>EVX-02</t>
  </si>
  <si>
    <t>Cancer immunotherapy</t>
  </si>
  <si>
    <t>Ph I successful but terminated before Ph II to accelerate 2nd-gen platform.</t>
  </si>
  <si>
    <t>EVOEXS-21546</t>
  </si>
  <si>
    <t>A2a receptor</t>
  </si>
  <si>
    <t>Phase Ia successful but Ib/II terminated — couldn't reach therapeutic index.</t>
  </si>
  <si>
    <t>DSP-1181</t>
  </si>
  <si>
    <t>5-HT1A</t>
  </si>
  <si>
    <t>OCD</t>
  </si>
  <si>
    <t>Unsuccessful Phase I.</t>
  </si>
  <si>
    <t>DSP-0038</t>
  </si>
  <si>
    <t>EXS-617</t>
  </si>
  <si>
    <t>EXS-4318</t>
  </si>
  <si>
    <t>Exscientia *</t>
  </si>
  <si>
    <t>GB-0895</t>
  </si>
  <si>
    <t>Generate:Biomedicines</t>
  </si>
  <si>
    <t>HIV vaccine</t>
  </si>
  <si>
    <t>Gritstone Bio</t>
  </si>
  <si>
    <t>GRANITE-001</t>
  </si>
  <si>
    <t>Phase II/III</t>
  </si>
  <si>
    <t>Ph I successful, Ph II/III ongoing.</t>
  </si>
  <si>
    <t>SLATE-001</t>
  </si>
  <si>
    <t>Gritstone Bio *</t>
  </si>
  <si>
    <t>Sulindac (HLX-0201)</t>
  </si>
  <si>
    <t>Healx</t>
  </si>
  <si>
    <t>Terminated — delays in site activation.</t>
  </si>
  <si>
    <t>HST-5040</t>
  </si>
  <si>
    <t>HemoShear Therapeutics</t>
  </si>
  <si>
    <t>Terminated — business consideration.</t>
  </si>
  <si>
    <t>HFB-301001</t>
  </si>
  <si>
    <t>OX40 Agonist</t>
  </si>
  <si>
    <t>Expected Jan 2025. No public results.</t>
  </si>
  <si>
    <t>HMBD-002</t>
  </si>
  <si>
    <t>VISTA</t>
  </si>
  <si>
    <t>Ph I completed. Licensed to Percheron for Phase 2 (Jun 2025).</t>
  </si>
  <si>
    <t>ISM012-042</t>
  </si>
  <si>
    <t>ISM-0003091</t>
  </si>
  <si>
    <t>Insilico Medicine / Exelixis</t>
  </si>
  <si>
    <t>NX-13</t>
  </si>
  <si>
    <t>NLRX1</t>
  </si>
  <si>
    <t>IBD</t>
  </si>
  <si>
    <t>Phase I successful, Phase II ongoing.</t>
  </si>
  <si>
    <t>NIM-1324</t>
  </si>
  <si>
    <t>SLE</t>
  </si>
  <si>
    <t>Successful (Ph I)</t>
  </si>
  <si>
    <t>Phase I successful.</t>
  </si>
  <si>
    <t>CNS disease therapy</t>
  </si>
  <si>
    <t>METiS Pharmaceuticals</t>
  </si>
  <si>
    <t>Other</t>
  </si>
  <si>
    <t>MRANK-001</t>
  </si>
  <si>
    <t>MindRank</t>
  </si>
  <si>
    <t>NEU-723</t>
  </si>
  <si>
    <t>Neuron23</t>
  </si>
  <si>
    <t>LRRK2</t>
  </si>
  <si>
    <t>Terminated — business decision.</t>
  </si>
  <si>
    <t>NEU-411</t>
  </si>
  <si>
    <t>Firsocostat</t>
  </si>
  <si>
    <t>Nimbus Therapeutics *</t>
  </si>
  <si>
    <t>ACC</t>
  </si>
  <si>
    <t>NASH</t>
  </si>
  <si>
    <t>NDI-101150</t>
  </si>
  <si>
    <t>Nimbus Therapeutics</t>
  </si>
  <si>
    <t>Fasoracetam (NB-001)</t>
  </si>
  <si>
    <t>Nobias Therapeutics</t>
  </si>
  <si>
    <t>Phase II successful.</t>
  </si>
  <si>
    <t>PHI-101</t>
  </si>
  <si>
    <t>Pharos iBio</t>
  </si>
  <si>
    <t>REC-994</t>
  </si>
  <si>
    <t>Unspecified</t>
  </si>
  <si>
    <t>REC-3964</t>
  </si>
  <si>
    <t>RLY-1971</t>
  </si>
  <si>
    <t>Relay Therapeutics</t>
  </si>
  <si>
    <t>RLY-2608</t>
  </si>
  <si>
    <t>RLY-4008</t>
  </si>
  <si>
    <t>FGFR2</t>
  </si>
  <si>
    <t>RLY-5836</t>
  </si>
  <si>
    <t>SNX-281</t>
  </si>
  <si>
    <t>Roivant Sciences</t>
  </si>
  <si>
    <t>SGR-3515</t>
  </si>
  <si>
    <t>Wee1/Myt1</t>
  </si>
  <si>
    <t>Phase I dosing ongoing. Preclinical data only (AACR 2025).</t>
  </si>
  <si>
    <t>Phase I dose escalation</t>
  </si>
  <si>
    <t>Tolcapone (SOM0226)</t>
  </si>
  <si>
    <t>SOM Biotech</t>
  </si>
  <si>
    <t>COMT</t>
  </si>
  <si>
    <t>Bevantolol (SOM-3355)</t>
  </si>
  <si>
    <t>Phase IIa completed; Phase IIb ongoing.</t>
  </si>
  <si>
    <t>SAR-407899</t>
  </si>
  <si>
    <t>Valo Health</t>
  </si>
  <si>
    <t>COM-902</t>
  </si>
  <si>
    <t>TIGIT</t>
  </si>
  <si>
    <t>Advanced malignancies</t>
  </si>
  <si>
    <t>Parent antibody. Limited public data.</t>
  </si>
  <si>
    <t>ISM8207</t>
  </si>
  <si>
    <t>QPCTL</t>
  </si>
  <si>
    <t>Generative AI</t>
  </si>
  <si>
    <t>Pre-Phase I</t>
  </si>
  <si>
    <t>Nov 2026 target. No results yet.</t>
  </si>
  <si>
    <t>IND / Phase I</t>
  </si>
  <si>
    <t>Bernstein</t>
  </si>
  <si>
    <t>OPL-0401</t>
  </si>
  <si>
    <t>ROCK1</t>
  </si>
  <si>
    <t>Diabetic Retinopathy</t>
  </si>
  <si>
    <t>Phase II SPECTRA did not meet primary or secondary endpoints. Valo suspended, seeking partner.</t>
  </si>
  <si>
    <t>AI Drug Pipeline — Aggregate Scorecard</t>
  </si>
  <si>
    <t>Combined Jayatunga et al. (2024) + Bernstein Exhibits 13 &amp; 14. Updated through April 2026.</t>
  </si>
  <si>
    <t>Outcome Category</t>
  </si>
  <si>
    <t>Count</t>
  </si>
  <si>
    <t>% of Total</t>
  </si>
  <si>
    <t>Clear winners</t>
  </si>
  <si>
    <t>Successful (completed phase)</t>
  </si>
  <si>
    <t>Ongoing (no readout yet)</t>
  </si>
  <si>
    <t>Failed / Terminated</t>
  </si>
  <si>
    <t>TOTAL</t>
  </si>
  <si>
    <t>Attrition rate (failed / programs with completed phases):</t>
  </si>
  <si>
    <t>Key finding: AI has compressed discovery timelines (Insilico: 18 months target-to-IND vs. 4+ year industry average) but has NOT demonstrably improved clinical-stage POS. Zasocitinib is the only AI-assisted program to clear Phase III. Attrition rate among completed programs is ~40-50%, in line with historical pharma attrition (Fernald et al., 2024). The pipeline is heavily Phase I — most programs lack efficacy data.</t>
  </si>
  <si>
    <t>Target Novelty for Phase I Completed Assets — Jayatunga et al. (2024) Supp Table S3</t>
  </si>
  <si>
    <t>Novel = no other asset targeted the same protein/molecule. Only 3/24 (12.5%) hit novel targets.</t>
  </si>
  <si>
    <t>Target</t>
  </si>
  <si>
    <t>Novel Target?</t>
  </si>
  <si>
    <t>menin 1</t>
  </si>
  <si>
    <t>No</t>
  </si>
  <si>
    <t>NTRK 1, 2 and 3</t>
  </si>
  <si>
    <t>BGE-105</t>
  </si>
  <si>
    <t>apelin</t>
  </si>
  <si>
    <t>interleukin 2</t>
  </si>
  <si>
    <t>adrenoceptor alpha 2A</t>
  </si>
  <si>
    <t>adenosine A2a</t>
  </si>
  <si>
    <t>Yes</t>
  </si>
  <si>
    <t>ACC alpha</t>
  </si>
  <si>
    <t>NDI-034858</t>
  </si>
  <si>
    <t>Tolcapone</t>
  </si>
  <si>
    <t>N/A</t>
  </si>
  <si>
    <t>INS018-055</t>
  </si>
  <si>
    <t>Sources: Jayatunga et al., Drug Discovery Today (2024), Supp Table S2 (as of Dec 2023); company disclosures, ClinicalTrials.gov, ASCO/ESMO/AACR/EHA.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</si>
</sst>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charset val="1"/>
    </font>
    <font>
      <b/>
      <sz val="13"/>
      <color rgb="FF1A2744"/>
      <name val="Arial"/>
      <family val="2"/>
    </font>
    <font>
      <i/>
      <sz val="8"/>
      <color rgb="FF94A3B8"/>
      <name val="Arial"/>
      <family val="2"/>
    </font>
    <font>
      <b/>
      <sz val="10"/>
      <color rgb="FFFFFFFF"/>
      <name val="Arial"/>
      <family val="2"/>
    </font>
    <font>
      <sz val="8"/>
      <color rgb="FF94A3B8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color rgb="FF059669"/>
      <name val="Arial"/>
      <family val="2"/>
    </font>
    <font>
      <sz val="8"/>
      <name val="Arial"/>
      <family val="2"/>
    </font>
    <font>
      <i/>
      <sz val="8"/>
      <color rgb="FF1E3A5F"/>
      <name val="Arial"/>
      <family val="2"/>
    </font>
    <font>
      <b/>
      <sz val="8"/>
      <color rgb="FFDC2626"/>
      <name val="Arial"/>
      <family val="2"/>
    </font>
    <font>
      <sz val="8"/>
      <color rgb="FF2563EB"/>
      <name val="Arial"/>
      <family val="2"/>
    </font>
    <font>
      <sz val="8"/>
      <color rgb="FF059669"/>
      <name val="Arial"/>
      <family val="2"/>
    </font>
    <font>
      <sz val="8"/>
      <color rgb="FFD97706"/>
      <name val="Arial"/>
      <family val="2"/>
    </font>
    <font>
      <b/>
      <sz val="12"/>
      <color rgb="FF1A274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rgb="FF1A2744"/>
      <name val="Arial"/>
      <family val="2"/>
    </font>
    <font>
      <b/>
      <sz val="12"/>
      <color rgb="FFDC2626"/>
      <name val="Arial"/>
      <family val="2"/>
    </font>
    <font>
      <sz val="10"/>
      <name val="Arial"/>
      <family val="2"/>
    </font>
    <font>
      <b/>
      <sz val="11"/>
      <color rgb="FF1A2744"/>
      <name val="Arial"/>
      <family val="2"/>
    </font>
    <font>
      <sz val="9"/>
      <color rgb="FFDC2626"/>
      <name val="Arial"/>
      <family val="2"/>
    </font>
    <font>
      <b/>
      <sz val="9"/>
      <color rgb="FF05966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2744"/>
        <bgColor rgb="FF1E3A5F"/>
      </patternFill>
    </fill>
    <fill>
      <patternFill patternType="solid">
        <fgColor rgb="FFFFFFFF"/>
        <bgColor rgb="FFF1F5F9"/>
      </patternFill>
    </fill>
    <fill>
      <patternFill patternType="solid">
        <fgColor rgb="FFD1FAE5"/>
        <bgColor rgb="FFDBEAFE"/>
      </patternFill>
    </fill>
    <fill>
      <patternFill patternType="solid">
        <fgColor rgb="FFF1F5F9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DBEAFE"/>
        <bgColor rgb="FFE0E7FF"/>
      </patternFill>
    </fill>
    <fill>
      <patternFill patternType="solid">
        <fgColor rgb="FFFEF3C7"/>
        <b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1" fillId="0" borderId="0" xfId="0" applyFont="1"/>
    <xf numFmtId="0" fontId="20" fillId="0" borderId="0" xfId="0" applyFont="1" applyAlignment="1">
      <alignment vertical="top" wrapText="1"/>
    </xf>
    <xf numFmtId="0" fontId="15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16" fillId="7" borderId="1" xfId="0" applyFont="1" applyFill="1" applyBorder="1"/>
    <xf numFmtId="0" fontId="16" fillId="8" borderId="1" xfId="0" applyFont="1" applyFill="1" applyBorder="1"/>
    <xf numFmtId="0" fontId="16" fillId="6" borderId="1" xfId="0" applyFont="1" applyFill="1" applyBorder="1"/>
    <xf numFmtId="0" fontId="16" fillId="0" borderId="1" xfId="0" applyFont="1" applyBorder="1"/>
    <xf numFmtId="0" fontId="0" fillId="0" borderId="1" xfId="0" applyBorder="1"/>
    <xf numFmtId="0" fontId="18" fillId="0" borderId="0" xfId="0" applyFont="1"/>
    <xf numFmtId="164" fontId="19" fillId="0" borderId="0" xfId="0" applyNumberFormat="1" applyFont="1"/>
    <xf numFmtId="0" fontId="22" fillId="6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D1FAE5"/>
      <rgbColor rgb="FFF1F5F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66699"/>
      <rgbColor rgb="FF94A3B8"/>
      <rgbColor rgb="FF1E3A5F"/>
      <rgbColor rgb="FF339966"/>
      <rgbColor rgb="FF003300"/>
      <rgbColor rgb="FF333300"/>
      <rgbColor rgb="FF993300"/>
      <rgbColor rgb="FF993366"/>
      <rgbColor rgb="FF333399"/>
      <rgbColor rgb="FF1A27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zoomScaleNormal="100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C4" sqref="C4:C85"/>
    </sheetView>
  </sheetViews>
  <sheetFormatPr baseColWidth="10" defaultColWidth="8.6640625" defaultRowHeight="15" x14ac:dyDescent="0.2"/>
  <cols>
    <col min="1" max="1" width="4" customWidth="1"/>
    <col min="2" max="2" width="10" customWidth="1"/>
    <col min="3" max="3" width="22" customWidth="1"/>
    <col min="4" max="4" width="24" customWidth="1"/>
    <col min="5" max="5" width="12" customWidth="1"/>
    <col min="6" max="7" width="18" customWidth="1"/>
    <col min="8" max="8" width="24" customWidth="1"/>
    <col min="9" max="9" width="10" customWidth="1"/>
    <col min="10" max="10" width="18" customWidth="1"/>
    <col min="11" max="11" width="42" customWidth="1"/>
    <col min="12" max="12" width="24" customWidth="1"/>
  </cols>
  <sheetData>
    <row r="1" spans="1:12" ht="30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9.5" customHeight="1" x14ac:dyDescent="0.2">
      <c r="A2" s="4" t="s">
        <v>348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7.75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spans="1:12" ht="49.5" customHeight="1" x14ac:dyDescent="0.2">
      <c r="A4" s="7">
        <v>1</v>
      </c>
      <c r="B4" s="20" t="s">
        <v>149</v>
      </c>
      <c r="C4" s="8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10" t="s">
        <v>20</v>
      </c>
      <c r="K4" s="11" t="s">
        <v>21</v>
      </c>
      <c r="L4" s="12" t="s">
        <v>22</v>
      </c>
    </row>
    <row r="5" spans="1:12" ht="49.5" customHeight="1" x14ac:dyDescent="0.2">
      <c r="A5" s="13">
        <v>2</v>
      </c>
      <c r="B5" s="20" t="s">
        <v>149</v>
      </c>
      <c r="C5" s="14" t="s">
        <v>23</v>
      </c>
      <c r="D5" s="15" t="s">
        <v>24</v>
      </c>
      <c r="E5" s="15" t="s">
        <v>15</v>
      </c>
      <c r="F5" s="15" t="s">
        <v>25</v>
      </c>
      <c r="G5" s="15" t="s">
        <v>26</v>
      </c>
      <c r="H5" s="15" t="s">
        <v>27</v>
      </c>
      <c r="I5" s="15" t="s">
        <v>28</v>
      </c>
      <c r="J5" s="10" t="s">
        <v>20</v>
      </c>
      <c r="K5" s="11" t="s">
        <v>29</v>
      </c>
      <c r="L5" s="12" t="s">
        <v>30</v>
      </c>
    </row>
    <row r="6" spans="1:12" ht="49.5" customHeight="1" x14ac:dyDescent="0.2">
      <c r="A6" s="7">
        <v>3</v>
      </c>
      <c r="B6" s="20" t="s">
        <v>149</v>
      </c>
      <c r="C6" s="8" t="s">
        <v>31</v>
      </c>
      <c r="D6" s="9" t="s">
        <v>32</v>
      </c>
      <c r="E6" s="9" t="s">
        <v>33</v>
      </c>
      <c r="F6" s="9" t="s">
        <v>34</v>
      </c>
      <c r="G6" s="9" t="s">
        <v>35</v>
      </c>
      <c r="H6" s="9" t="s">
        <v>36</v>
      </c>
      <c r="I6" s="9" t="s">
        <v>37</v>
      </c>
      <c r="J6" s="10" t="s">
        <v>38</v>
      </c>
      <c r="K6" s="11" t="s">
        <v>39</v>
      </c>
      <c r="L6" s="12" t="s">
        <v>40</v>
      </c>
    </row>
    <row r="7" spans="1:12" ht="36" customHeight="1" x14ac:dyDescent="0.2">
      <c r="A7" s="13">
        <v>4</v>
      </c>
      <c r="B7" s="20" t="s">
        <v>149</v>
      </c>
      <c r="C7" s="14" t="s">
        <v>41</v>
      </c>
      <c r="D7" s="15" t="s">
        <v>42</v>
      </c>
      <c r="E7" s="15" t="s">
        <v>15</v>
      </c>
      <c r="F7" s="15" t="s">
        <v>43</v>
      </c>
      <c r="G7" s="15" t="s">
        <v>44</v>
      </c>
      <c r="H7" s="15" t="s">
        <v>45</v>
      </c>
      <c r="I7" s="15" t="s">
        <v>19</v>
      </c>
      <c r="J7" s="10" t="s">
        <v>46</v>
      </c>
      <c r="K7" s="11" t="s">
        <v>47</v>
      </c>
      <c r="L7" s="12" t="s">
        <v>48</v>
      </c>
    </row>
    <row r="8" spans="1:12" ht="36" customHeight="1" x14ac:dyDescent="0.2">
      <c r="A8" s="7">
        <v>5</v>
      </c>
      <c r="B8" s="20" t="s">
        <v>149</v>
      </c>
      <c r="C8" s="8" t="s">
        <v>49</v>
      </c>
      <c r="D8" s="9" t="s">
        <v>50</v>
      </c>
      <c r="E8" s="9" t="s">
        <v>15</v>
      </c>
      <c r="F8" s="9" t="s">
        <v>51</v>
      </c>
      <c r="G8" s="9" t="s">
        <v>52</v>
      </c>
      <c r="H8" s="9" t="s">
        <v>45</v>
      </c>
      <c r="I8" s="9" t="s">
        <v>53</v>
      </c>
      <c r="J8" s="10" t="s">
        <v>20</v>
      </c>
      <c r="K8" s="11" t="s">
        <v>54</v>
      </c>
      <c r="L8" s="12" t="s">
        <v>55</v>
      </c>
    </row>
    <row r="9" spans="1:12" ht="49.5" customHeight="1" x14ac:dyDescent="0.2">
      <c r="A9" s="13">
        <v>6</v>
      </c>
      <c r="B9" s="20" t="s">
        <v>149</v>
      </c>
      <c r="C9" s="14" t="s">
        <v>56</v>
      </c>
      <c r="D9" s="15" t="s">
        <v>57</v>
      </c>
      <c r="E9" s="15" t="s">
        <v>58</v>
      </c>
      <c r="F9" s="15" t="s">
        <v>59</v>
      </c>
      <c r="G9" s="15" t="s">
        <v>60</v>
      </c>
      <c r="H9" s="15" t="s">
        <v>61</v>
      </c>
      <c r="I9" s="15" t="s">
        <v>62</v>
      </c>
      <c r="J9" s="10" t="s">
        <v>20</v>
      </c>
      <c r="K9" s="11" t="s">
        <v>63</v>
      </c>
      <c r="L9" s="12" t="s">
        <v>64</v>
      </c>
    </row>
    <row r="10" spans="1:12" ht="36" customHeight="1" x14ac:dyDescent="0.2">
      <c r="A10" s="7">
        <v>7</v>
      </c>
      <c r="B10" s="20" t="s">
        <v>149</v>
      </c>
      <c r="C10" s="8" t="s">
        <v>65</v>
      </c>
      <c r="D10" s="9" t="s">
        <v>66</v>
      </c>
      <c r="E10" s="9" t="s">
        <v>15</v>
      </c>
      <c r="F10" s="9" t="s">
        <v>67</v>
      </c>
      <c r="G10" s="9" t="s">
        <v>68</v>
      </c>
      <c r="H10" s="9" t="s">
        <v>18</v>
      </c>
      <c r="I10" s="9" t="s">
        <v>69</v>
      </c>
      <c r="J10" s="10" t="s">
        <v>20</v>
      </c>
      <c r="K10" s="11" t="s">
        <v>70</v>
      </c>
      <c r="L10" s="12" t="s">
        <v>71</v>
      </c>
    </row>
    <row r="11" spans="1:12" ht="36" customHeight="1" x14ac:dyDescent="0.2">
      <c r="A11" s="13">
        <v>8</v>
      </c>
      <c r="B11" s="20" t="s">
        <v>149</v>
      </c>
      <c r="C11" s="14" t="s">
        <v>72</v>
      </c>
      <c r="D11" s="15" t="s">
        <v>66</v>
      </c>
      <c r="E11" s="15" t="s">
        <v>15</v>
      </c>
      <c r="F11" s="15" t="s">
        <v>73</v>
      </c>
      <c r="G11" s="15" t="s">
        <v>74</v>
      </c>
      <c r="H11" s="15" t="s">
        <v>18</v>
      </c>
      <c r="I11" s="15" t="s">
        <v>69</v>
      </c>
      <c r="J11" s="16" t="s">
        <v>75</v>
      </c>
      <c r="K11" s="11" t="s">
        <v>76</v>
      </c>
      <c r="L11" s="12" t="s">
        <v>77</v>
      </c>
    </row>
    <row r="12" spans="1:12" ht="36" customHeight="1" x14ac:dyDescent="0.2">
      <c r="A12" s="7">
        <v>9</v>
      </c>
      <c r="B12" s="20" t="s">
        <v>149</v>
      </c>
      <c r="C12" s="8" t="s">
        <v>78</v>
      </c>
      <c r="D12" s="9" t="s">
        <v>50</v>
      </c>
      <c r="E12" s="9" t="s">
        <v>15</v>
      </c>
      <c r="F12" s="9" t="s">
        <v>79</v>
      </c>
      <c r="G12" s="9" t="s">
        <v>80</v>
      </c>
      <c r="H12" s="9" t="s">
        <v>45</v>
      </c>
      <c r="I12" s="9" t="s">
        <v>62</v>
      </c>
      <c r="J12" s="16" t="s">
        <v>75</v>
      </c>
      <c r="K12" s="11" t="s">
        <v>81</v>
      </c>
      <c r="L12" s="12" t="s">
        <v>77</v>
      </c>
    </row>
    <row r="13" spans="1:12" ht="36" customHeight="1" x14ac:dyDescent="0.2">
      <c r="A13" s="13">
        <v>10</v>
      </c>
      <c r="B13" s="20" t="s">
        <v>149</v>
      </c>
      <c r="C13" s="14" t="s">
        <v>82</v>
      </c>
      <c r="D13" s="15" t="s">
        <v>83</v>
      </c>
      <c r="E13" s="15" t="s">
        <v>33</v>
      </c>
      <c r="F13" s="15" t="s">
        <v>84</v>
      </c>
      <c r="G13" s="15" t="s">
        <v>85</v>
      </c>
      <c r="H13" s="15" t="s">
        <v>86</v>
      </c>
      <c r="I13" s="15" t="s">
        <v>69</v>
      </c>
      <c r="J13" s="17" t="s">
        <v>87</v>
      </c>
      <c r="K13" s="11" t="s">
        <v>88</v>
      </c>
      <c r="L13" s="12" t="s">
        <v>89</v>
      </c>
    </row>
    <row r="14" spans="1:12" ht="36" customHeight="1" x14ac:dyDescent="0.2">
      <c r="A14" s="7">
        <v>11</v>
      </c>
      <c r="B14" s="20" t="s">
        <v>149</v>
      </c>
      <c r="C14" s="8" t="s">
        <v>90</v>
      </c>
      <c r="D14" s="9" t="s">
        <v>24</v>
      </c>
      <c r="E14" s="9" t="s">
        <v>15</v>
      </c>
      <c r="F14" s="9" t="s">
        <v>91</v>
      </c>
      <c r="G14" s="9" t="s">
        <v>92</v>
      </c>
      <c r="H14" s="9" t="s">
        <v>93</v>
      </c>
      <c r="I14" s="9" t="s">
        <v>94</v>
      </c>
      <c r="J14" s="10" t="s">
        <v>20</v>
      </c>
      <c r="K14" s="11" t="s">
        <v>95</v>
      </c>
      <c r="L14" s="12" t="s">
        <v>96</v>
      </c>
    </row>
    <row r="15" spans="1:12" ht="36" customHeight="1" x14ac:dyDescent="0.2">
      <c r="A15" s="13">
        <v>12</v>
      </c>
      <c r="B15" s="20" t="s">
        <v>149</v>
      </c>
      <c r="C15" s="14" t="s">
        <v>97</v>
      </c>
      <c r="D15" s="15" t="s">
        <v>98</v>
      </c>
      <c r="E15" s="15" t="s">
        <v>15</v>
      </c>
      <c r="F15" s="15" t="s">
        <v>99</v>
      </c>
      <c r="G15" s="15" t="s">
        <v>100</v>
      </c>
      <c r="H15" s="15" t="s">
        <v>101</v>
      </c>
      <c r="I15" s="15" t="s">
        <v>102</v>
      </c>
      <c r="J15" s="10" t="s">
        <v>20</v>
      </c>
      <c r="K15" s="11" t="s">
        <v>103</v>
      </c>
      <c r="L15" s="12" t="s">
        <v>104</v>
      </c>
    </row>
    <row r="16" spans="1:12" ht="36" customHeight="1" x14ac:dyDescent="0.2">
      <c r="A16" s="7">
        <v>13</v>
      </c>
      <c r="B16" s="20" t="s">
        <v>149</v>
      </c>
      <c r="C16" s="8" t="s">
        <v>105</v>
      </c>
      <c r="D16" s="9" t="s">
        <v>106</v>
      </c>
      <c r="E16" s="9" t="s">
        <v>15</v>
      </c>
      <c r="F16" s="9" t="s">
        <v>107</v>
      </c>
      <c r="G16" s="9" t="s">
        <v>108</v>
      </c>
      <c r="H16" s="9" t="s">
        <v>109</v>
      </c>
      <c r="I16" s="9" t="s">
        <v>110</v>
      </c>
      <c r="J16" s="17" t="s">
        <v>87</v>
      </c>
      <c r="K16" s="11" t="s">
        <v>111</v>
      </c>
      <c r="L16" s="12" t="s">
        <v>112</v>
      </c>
    </row>
    <row r="17" spans="1:12" ht="36" customHeight="1" x14ac:dyDescent="0.2">
      <c r="A17" s="13">
        <v>14</v>
      </c>
      <c r="B17" s="20" t="s">
        <v>149</v>
      </c>
      <c r="C17" s="14" t="s">
        <v>113</v>
      </c>
      <c r="D17" s="15" t="s">
        <v>114</v>
      </c>
      <c r="E17" s="15" t="s">
        <v>15</v>
      </c>
      <c r="F17" s="15" t="s">
        <v>115</v>
      </c>
      <c r="G17" s="15" t="s">
        <v>116</v>
      </c>
      <c r="H17" s="15" t="s">
        <v>117</v>
      </c>
      <c r="I17" s="15" t="s">
        <v>62</v>
      </c>
      <c r="J17" s="18" t="s">
        <v>118</v>
      </c>
      <c r="K17" s="11" t="s">
        <v>119</v>
      </c>
      <c r="L17" s="12" t="s">
        <v>120</v>
      </c>
    </row>
    <row r="18" spans="1:12" ht="36" customHeight="1" x14ac:dyDescent="0.2">
      <c r="A18" s="7">
        <v>15</v>
      </c>
      <c r="B18" s="20" t="s">
        <v>149</v>
      </c>
      <c r="C18" s="8" t="s">
        <v>121</v>
      </c>
      <c r="D18" s="9" t="s">
        <v>122</v>
      </c>
      <c r="E18" s="9" t="s">
        <v>33</v>
      </c>
      <c r="F18" s="9" t="s">
        <v>123</v>
      </c>
      <c r="G18" s="9" t="s">
        <v>124</v>
      </c>
      <c r="H18" s="9" t="s">
        <v>117</v>
      </c>
      <c r="I18" s="9" t="s">
        <v>69</v>
      </c>
      <c r="J18" s="17" t="s">
        <v>87</v>
      </c>
      <c r="K18" s="11" t="s">
        <v>125</v>
      </c>
      <c r="L18" s="12" t="s">
        <v>126</v>
      </c>
    </row>
    <row r="19" spans="1:12" ht="24" customHeight="1" x14ac:dyDescent="0.2">
      <c r="A19" s="13">
        <v>16</v>
      </c>
      <c r="B19" s="20" t="s">
        <v>149</v>
      </c>
      <c r="C19" s="14" t="s">
        <v>127</v>
      </c>
      <c r="D19" s="15" t="s">
        <v>122</v>
      </c>
      <c r="E19" s="15" t="s">
        <v>33</v>
      </c>
      <c r="F19" s="15" t="s">
        <v>128</v>
      </c>
      <c r="G19" s="15" t="s">
        <v>129</v>
      </c>
      <c r="H19" s="15" t="s">
        <v>117</v>
      </c>
      <c r="I19" s="15" t="s">
        <v>69</v>
      </c>
      <c r="J19" s="17" t="s">
        <v>87</v>
      </c>
      <c r="K19" s="11" t="s">
        <v>130</v>
      </c>
      <c r="L19" s="12" t="s">
        <v>131</v>
      </c>
    </row>
    <row r="20" spans="1:12" ht="36" customHeight="1" x14ac:dyDescent="0.2">
      <c r="A20" s="7">
        <v>17</v>
      </c>
      <c r="B20" s="20" t="s">
        <v>149</v>
      </c>
      <c r="C20" s="8" t="s">
        <v>132</v>
      </c>
      <c r="D20" s="9" t="s">
        <v>133</v>
      </c>
      <c r="E20" s="9" t="s">
        <v>15</v>
      </c>
      <c r="F20" s="9" t="s">
        <v>134</v>
      </c>
      <c r="G20" s="9" t="s">
        <v>129</v>
      </c>
      <c r="H20" s="9" t="s">
        <v>117</v>
      </c>
      <c r="I20" s="9" t="s">
        <v>135</v>
      </c>
      <c r="J20" s="17" t="s">
        <v>87</v>
      </c>
      <c r="K20" s="11" t="s">
        <v>136</v>
      </c>
      <c r="L20" s="12" t="s">
        <v>137</v>
      </c>
    </row>
    <row r="21" spans="1:12" ht="36" customHeight="1" x14ac:dyDescent="0.2">
      <c r="A21" s="13">
        <v>18</v>
      </c>
      <c r="B21" s="20" t="s">
        <v>149</v>
      </c>
      <c r="C21" s="14" t="s">
        <v>138</v>
      </c>
      <c r="D21" s="15" t="s">
        <v>139</v>
      </c>
      <c r="E21" s="15" t="s">
        <v>33</v>
      </c>
      <c r="F21" s="15" t="s">
        <v>140</v>
      </c>
      <c r="G21" s="15" t="s">
        <v>129</v>
      </c>
      <c r="H21" s="15" t="s">
        <v>117</v>
      </c>
      <c r="I21" s="15" t="s">
        <v>69</v>
      </c>
      <c r="J21" s="17" t="s">
        <v>87</v>
      </c>
      <c r="K21" s="11" t="s">
        <v>141</v>
      </c>
      <c r="L21" s="12" t="s">
        <v>142</v>
      </c>
    </row>
    <row r="22" spans="1:12" ht="36" customHeight="1" x14ac:dyDescent="0.2">
      <c r="A22" s="7">
        <v>19</v>
      </c>
      <c r="B22" s="20" t="s">
        <v>149</v>
      </c>
      <c r="C22" s="8" t="s">
        <v>143</v>
      </c>
      <c r="D22" s="9" t="s">
        <v>144</v>
      </c>
      <c r="E22" s="9" t="s">
        <v>15</v>
      </c>
      <c r="F22" s="9" t="s">
        <v>145</v>
      </c>
      <c r="G22" s="9" t="s">
        <v>85</v>
      </c>
      <c r="H22" s="9" t="s">
        <v>101</v>
      </c>
      <c r="I22" s="9" t="s">
        <v>69</v>
      </c>
      <c r="J22" s="19" t="s">
        <v>146</v>
      </c>
      <c r="K22" s="11" t="s">
        <v>147</v>
      </c>
      <c r="L22" s="12" t="s">
        <v>148</v>
      </c>
    </row>
    <row r="23" spans="1:12" ht="36" customHeight="1" x14ac:dyDescent="0.2">
      <c r="A23" s="13">
        <v>20</v>
      </c>
      <c r="B23" s="20" t="s">
        <v>149</v>
      </c>
      <c r="C23" s="14" t="s">
        <v>150</v>
      </c>
      <c r="D23" s="15" t="s">
        <v>151</v>
      </c>
      <c r="E23" s="15" t="s">
        <v>15</v>
      </c>
      <c r="F23" s="15" t="s">
        <v>152</v>
      </c>
      <c r="G23" s="15" t="s">
        <v>85</v>
      </c>
      <c r="H23" s="15" t="s">
        <v>101</v>
      </c>
      <c r="I23" s="15" t="s">
        <v>69</v>
      </c>
      <c r="J23" s="17" t="s">
        <v>87</v>
      </c>
      <c r="K23" s="11" t="s">
        <v>153</v>
      </c>
      <c r="L23" s="12" t="s">
        <v>55</v>
      </c>
    </row>
    <row r="24" spans="1:12" ht="24" customHeight="1" x14ac:dyDescent="0.2">
      <c r="A24" s="7">
        <v>21</v>
      </c>
      <c r="B24" s="20" t="s">
        <v>149</v>
      </c>
      <c r="C24" s="8" t="s">
        <v>154</v>
      </c>
      <c r="D24" s="9" t="s">
        <v>155</v>
      </c>
      <c r="E24" s="9" t="s">
        <v>15</v>
      </c>
      <c r="F24" s="9"/>
      <c r="G24" s="9"/>
      <c r="H24" s="9" t="s">
        <v>101</v>
      </c>
      <c r="I24" s="9" t="s">
        <v>135</v>
      </c>
      <c r="J24" s="17" t="s">
        <v>156</v>
      </c>
      <c r="K24" s="11" t="s">
        <v>157</v>
      </c>
      <c r="L24" s="12"/>
    </row>
    <row r="25" spans="1:12" ht="24" customHeight="1" x14ac:dyDescent="0.2">
      <c r="A25" s="13">
        <v>22</v>
      </c>
      <c r="B25" s="20" t="s">
        <v>149</v>
      </c>
      <c r="C25" s="14" t="s">
        <v>158</v>
      </c>
      <c r="D25" s="15" t="s">
        <v>159</v>
      </c>
      <c r="E25" s="15" t="s">
        <v>33</v>
      </c>
      <c r="F25" s="15"/>
      <c r="G25" s="15"/>
      <c r="H25" s="15" t="s">
        <v>86</v>
      </c>
      <c r="I25" s="15" t="s">
        <v>69</v>
      </c>
      <c r="J25" s="17" t="s">
        <v>156</v>
      </c>
      <c r="K25" s="11"/>
      <c r="L25" s="12"/>
    </row>
    <row r="26" spans="1:12" ht="24" customHeight="1" x14ac:dyDescent="0.2">
      <c r="A26" s="7">
        <v>23</v>
      </c>
      <c r="B26" s="20" t="s">
        <v>149</v>
      </c>
      <c r="C26" s="8" t="s">
        <v>160</v>
      </c>
      <c r="D26" s="9" t="s">
        <v>161</v>
      </c>
      <c r="E26" s="9" t="s">
        <v>15</v>
      </c>
      <c r="F26" s="9"/>
      <c r="G26" s="9"/>
      <c r="H26" s="9" t="s">
        <v>101</v>
      </c>
      <c r="I26" s="9" t="s">
        <v>69</v>
      </c>
      <c r="J26" s="17" t="s">
        <v>156</v>
      </c>
      <c r="K26" s="11"/>
      <c r="L26" s="12"/>
    </row>
    <row r="27" spans="1:12" ht="24" customHeight="1" x14ac:dyDescent="0.2">
      <c r="A27" s="13">
        <v>24</v>
      </c>
      <c r="B27" s="20" t="s">
        <v>149</v>
      </c>
      <c r="C27" s="14" t="s">
        <v>162</v>
      </c>
      <c r="D27" s="15" t="s">
        <v>161</v>
      </c>
      <c r="E27" s="15" t="s">
        <v>15</v>
      </c>
      <c r="F27" s="15"/>
      <c r="G27" s="15"/>
      <c r="H27" s="15" t="s">
        <v>101</v>
      </c>
      <c r="I27" s="15" t="s">
        <v>69</v>
      </c>
      <c r="J27" s="17" t="s">
        <v>156</v>
      </c>
      <c r="K27" s="11"/>
      <c r="L27" s="12"/>
    </row>
    <row r="28" spans="1:12" ht="24" customHeight="1" x14ac:dyDescent="0.2">
      <c r="A28" s="7">
        <v>25</v>
      </c>
      <c r="B28" s="20" t="s">
        <v>149</v>
      </c>
      <c r="C28" s="8" t="s">
        <v>163</v>
      </c>
      <c r="D28" s="9" t="s">
        <v>161</v>
      </c>
      <c r="E28" s="9" t="s">
        <v>15</v>
      </c>
      <c r="F28" s="9" t="s">
        <v>164</v>
      </c>
      <c r="G28" s="9" t="s">
        <v>165</v>
      </c>
      <c r="H28" s="9" t="s">
        <v>101</v>
      </c>
      <c r="I28" s="9" t="s">
        <v>69</v>
      </c>
      <c r="J28" s="19" t="s">
        <v>146</v>
      </c>
      <c r="K28" s="11" t="s">
        <v>166</v>
      </c>
      <c r="L28" s="12" t="s">
        <v>148</v>
      </c>
    </row>
    <row r="29" spans="1:12" ht="24" customHeight="1" x14ac:dyDescent="0.2">
      <c r="A29" s="13">
        <v>26</v>
      </c>
      <c r="B29" s="20" t="s">
        <v>149</v>
      </c>
      <c r="C29" s="14" t="s">
        <v>167</v>
      </c>
      <c r="D29" s="15" t="s">
        <v>161</v>
      </c>
      <c r="E29" s="15" t="s">
        <v>15</v>
      </c>
      <c r="F29" s="15"/>
      <c r="G29" s="15"/>
      <c r="H29" s="15" t="s">
        <v>101</v>
      </c>
      <c r="I29" s="15" t="s">
        <v>69</v>
      </c>
      <c r="J29" s="17" t="s">
        <v>156</v>
      </c>
      <c r="K29" s="11"/>
      <c r="L29" s="12"/>
    </row>
    <row r="30" spans="1:12" ht="24" customHeight="1" x14ac:dyDescent="0.2">
      <c r="A30" s="7">
        <v>27</v>
      </c>
      <c r="B30" s="20" t="s">
        <v>149</v>
      </c>
      <c r="C30" s="8" t="s">
        <v>168</v>
      </c>
      <c r="D30" s="9" t="s">
        <v>169</v>
      </c>
      <c r="E30" s="9" t="s">
        <v>15</v>
      </c>
      <c r="F30" s="9"/>
      <c r="G30" s="9"/>
      <c r="H30" s="9" t="s">
        <v>170</v>
      </c>
      <c r="I30" s="9" t="s">
        <v>69</v>
      </c>
      <c r="J30" s="17" t="s">
        <v>156</v>
      </c>
      <c r="K30" s="11"/>
      <c r="L30" s="12"/>
    </row>
    <row r="31" spans="1:12" ht="36" customHeight="1" x14ac:dyDescent="0.2">
      <c r="A31" s="13">
        <v>28</v>
      </c>
      <c r="B31" s="20" t="s">
        <v>149</v>
      </c>
      <c r="C31" s="14" t="s">
        <v>171</v>
      </c>
      <c r="D31" s="15" t="s">
        <v>172</v>
      </c>
      <c r="E31" s="15" t="s">
        <v>15</v>
      </c>
      <c r="F31" s="15" t="s">
        <v>173</v>
      </c>
      <c r="G31" s="15" t="s">
        <v>174</v>
      </c>
      <c r="H31" s="15" t="s">
        <v>117</v>
      </c>
      <c r="I31" s="15" t="s">
        <v>69</v>
      </c>
      <c r="J31" s="19" t="s">
        <v>146</v>
      </c>
      <c r="K31" s="11" t="s">
        <v>175</v>
      </c>
      <c r="L31" s="12" t="s">
        <v>176</v>
      </c>
    </row>
    <row r="32" spans="1:12" ht="24" customHeight="1" x14ac:dyDescent="0.2">
      <c r="A32" s="7">
        <v>29</v>
      </c>
      <c r="B32" s="20" t="s">
        <v>149</v>
      </c>
      <c r="C32" s="8" t="s">
        <v>177</v>
      </c>
      <c r="D32" s="9" t="s">
        <v>178</v>
      </c>
      <c r="E32" s="9" t="s">
        <v>15</v>
      </c>
      <c r="F32" s="9" t="s">
        <v>179</v>
      </c>
      <c r="G32" s="9" t="s">
        <v>180</v>
      </c>
      <c r="H32" s="9" t="s">
        <v>117</v>
      </c>
      <c r="I32" s="9" t="s">
        <v>135</v>
      </c>
      <c r="J32" s="16" t="s">
        <v>181</v>
      </c>
      <c r="K32" s="11" t="s">
        <v>182</v>
      </c>
      <c r="L32" s="12"/>
    </row>
    <row r="33" spans="1:12" ht="24" customHeight="1" x14ac:dyDescent="0.2">
      <c r="A33" s="13">
        <v>30</v>
      </c>
      <c r="B33" s="20" t="s">
        <v>149</v>
      </c>
      <c r="C33" s="14" t="s">
        <v>183</v>
      </c>
      <c r="D33" s="15" t="s">
        <v>178</v>
      </c>
      <c r="E33" s="15" t="s">
        <v>15</v>
      </c>
      <c r="F33" s="15"/>
      <c r="G33" s="15"/>
      <c r="H33" s="15" t="s">
        <v>117</v>
      </c>
      <c r="I33" s="15" t="s">
        <v>69</v>
      </c>
      <c r="J33" s="17" t="s">
        <v>156</v>
      </c>
      <c r="K33" s="11"/>
      <c r="L33" s="12"/>
    </row>
    <row r="34" spans="1:12" ht="24" customHeight="1" x14ac:dyDescent="0.2">
      <c r="A34" s="7">
        <v>31</v>
      </c>
      <c r="B34" s="20" t="s">
        <v>149</v>
      </c>
      <c r="C34" s="8" t="s">
        <v>184</v>
      </c>
      <c r="D34" s="9" t="s">
        <v>178</v>
      </c>
      <c r="E34" s="9" t="s">
        <v>15</v>
      </c>
      <c r="F34" s="9"/>
      <c r="G34" s="9"/>
      <c r="H34" s="9" t="s">
        <v>45</v>
      </c>
      <c r="I34" s="9" t="s">
        <v>62</v>
      </c>
      <c r="J34" s="16" t="s">
        <v>181</v>
      </c>
      <c r="K34" s="11" t="s">
        <v>185</v>
      </c>
      <c r="L34" s="12"/>
    </row>
    <row r="35" spans="1:12" ht="36" customHeight="1" x14ac:dyDescent="0.2">
      <c r="A35" s="13">
        <v>32</v>
      </c>
      <c r="B35" s="20" t="s">
        <v>149</v>
      </c>
      <c r="C35" s="14" t="s">
        <v>186</v>
      </c>
      <c r="D35" s="15" t="s">
        <v>187</v>
      </c>
      <c r="E35" s="15" t="s">
        <v>15</v>
      </c>
      <c r="F35" s="15" t="s">
        <v>188</v>
      </c>
      <c r="G35" s="15" t="s">
        <v>189</v>
      </c>
      <c r="H35" s="15" t="s">
        <v>45</v>
      </c>
      <c r="I35" s="15" t="s">
        <v>62</v>
      </c>
      <c r="J35" s="16" t="s">
        <v>75</v>
      </c>
      <c r="K35" s="11" t="s">
        <v>190</v>
      </c>
      <c r="L35" s="12" t="s">
        <v>77</v>
      </c>
    </row>
    <row r="36" spans="1:12" ht="24" customHeight="1" x14ac:dyDescent="0.2">
      <c r="A36" s="7">
        <v>33</v>
      </c>
      <c r="B36" s="20" t="s">
        <v>149</v>
      </c>
      <c r="C36" s="8" t="s">
        <v>191</v>
      </c>
      <c r="D36" s="9" t="s">
        <v>192</v>
      </c>
      <c r="E36" s="9" t="s">
        <v>33</v>
      </c>
      <c r="F36" s="9" t="s">
        <v>193</v>
      </c>
      <c r="G36" s="9" t="s">
        <v>85</v>
      </c>
      <c r="H36" s="9" t="s">
        <v>86</v>
      </c>
      <c r="I36" s="9" t="s">
        <v>135</v>
      </c>
      <c r="J36" s="17" t="s">
        <v>156</v>
      </c>
      <c r="K36" s="11" t="s">
        <v>157</v>
      </c>
      <c r="L36" s="12"/>
    </row>
    <row r="37" spans="1:12" ht="24" customHeight="1" x14ac:dyDescent="0.2">
      <c r="A37" s="13">
        <v>34</v>
      </c>
      <c r="B37" s="20" t="s">
        <v>149</v>
      </c>
      <c r="C37" s="14" t="s">
        <v>194</v>
      </c>
      <c r="D37" s="15" t="s">
        <v>42</v>
      </c>
      <c r="E37" s="15" t="s">
        <v>15</v>
      </c>
      <c r="F37" s="15"/>
      <c r="G37" s="15"/>
      <c r="H37" s="15" t="s">
        <v>45</v>
      </c>
      <c r="I37" s="15" t="s">
        <v>195</v>
      </c>
      <c r="J37" s="17" t="s">
        <v>156</v>
      </c>
      <c r="K37" s="11" t="s">
        <v>196</v>
      </c>
      <c r="L37" s="12"/>
    </row>
    <row r="38" spans="1:12" ht="24" customHeight="1" x14ac:dyDescent="0.2">
      <c r="A38" s="7">
        <v>35</v>
      </c>
      <c r="B38" s="20" t="s">
        <v>149</v>
      </c>
      <c r="C38" s="8" t="s">
        <v>197</v>
      </c>
      <c r="D38" s="9" t="s">
        <v>198</v>
      </c>
      <c r="E38" s="9" t="s">
        <v>15</v>
      </c>
      <c r="F38" s="9" t="s">
        <v>199</v>
      </c>
      <c r="G38" s="9"/>
      <c r="H38" s="9" t="s">
        <v>117</v>
      </c>
      <c r="I38" s="9" t="s">
        <v>135</v>
      </c>
      <c r="J38" s="17" t="s">
        <v>156</v>
      </c>
      <c r="K38" s="11" t="s">
        <v>157</v>
      </c>
      <c r="L38" s="12"/>
    </row>
    <row r="39" spans="1:12" ht="36" customHeight="1" x14ac:dyDescent="0.2">
      <c r="A39" s="13">
        <v>36</v>
      </c>
      <c r="B39" s="20" t="s">
        <v>149</v>
      </c>
      <c r="C39" s="14" t="s">
        <v>200</v>
      </c>
      <c r="D39" s="15" t="s">
        <v>198</v>
      </c>
      <c r="E39" s="15" t="s">
        <v>15</v>
      </c>
      <c r="F39" s="15" t="s">
        <v>201</v>
      </c>
      <c r="G39" s="15"/>
      <c r="H39" s="15" t="s">
        <v>117</v>
      </c>
      <c r="I39" s="15" t="s">
        <v>135</v>
      </c>
      <c r="J39" s="16" t="s">
        <v>181</v>
      </c>
      <c r="K39" s="11" t="s">
        <v>202</v>
      </c>
      <c r="L39" s="12"/>
    </row>
    <row r="40" spans="1:12" ht="24" customHeight="1" x14ac:dyDescent="0.2">
      <c r="A40" s="7">
        <v>37</v>
      </c>
      <c r="B40" s="20" t="s">
        <v>149</v>
      </c>
      <c r="C40" s="8" t="s">
        <v>203</v>
      </c>
      <c r="D40" s="9" t="s">
        <v>198</v>
      </c>
      <c r="E40" s="9" t="s">
        <v>15</v>
      </c>
      <c r="F40" s="9"/>
      <c r="G40" s="9"/>
      <c r="H40" s="9" t="s">
        <v>117</v>
      </c>
      <c r="I40" s="9" t="s">
        <v>69</v>
      </c>
      <c r="J40" s="17" t="s">
        <v>156</v>
      </c>
      <c r="K40" s="11"/>
      <c r="L40" s="12"/>
    </row>
    <row r="41" spans="1:12" ht="24" customHeight="1" x14ac:dyDescent="0.2">
      <c r="A41" s="13">
        <v>38</v>
      </c>
      <c r="B41" s="20" t="s">
        <v>149</v>
      </c>
      <c r="C41" s="14" t="s">
        <v>204</v>
      </c>
      <c r="D41" s="15" t="s">
        <v>205</v>
      </c>
      <c r="E41" s="15" t="s">
        <v>15</v>
      </c>
      <c r="F41" s="15"/>
      <c r="G41" s="15"/>
      <c r="H41" s="15" t="s">
        <v>101</v>
      </c>
      <c r="I41" s="15" t="s">
        <v>69</v>
      </c>
      <c r="J41" s="17" t="s">
        <v>156</v>
      </c>
      <c r="K41" s="11"/>
      <c r="L41" s="12"/>
    </row>
    <row r="42" spans="1:12" ht="24" customHeight="1" x14ac:dyDescent="0.2">
      <c r="A42" s="7">
        <v>39</v>
      </c>
      <c r="B42" s="20" t="s">
        <v>149</v>
      </c>
      <c r="C42" s="8" t="s">
        <v>206</v>
      </c>
      <c r="D42" s="9" t="s">
        <v>207</v>
      </c>
      <c r="E42" s="9" t="s">
        <v>33</v>
      </c>
      <c r="F42" s="9"/>
      <c r="G42" s="9"/>
      <c r="H42" s="9" t="s">
        <v>117</v>
      </c>
      <c r="I42" s="9" t="s">
        <v>69</v>
      </c>
      <c r="J42" s="17" t="s">
        <v>156</v>
      </c>
      <c r="K42" s="11"/>
      <c r="L42" s="12"/>
    </row>
    <row r="43" spans="1:12" ht="24" customHeight="1" x14ac:dyDescent="0.2">
      <c r="A43" s="13">
        <v>40</v>
      </c>
      <c r="B43" s="20" t="s">
        <v>149</v>
      </c>
      <c r="C43" s="14" t="s">
        <v>208</v>
      </c>
      <c r="D43" s="15" t="s">
        <v>209</v>
      </c>
      <c r="E43" s="15" t="s">
        <v>33</v>
      </c>
      <c r="F43" s="15"/>
      <c r="G43" s="15" t="s">
        <v>129</v>
      </c>
      <c r="H43" s="15" t="s">
        <v>117</v>
      </c>
      <c r="I43" s="15" t="s">
        <v>69</v>
      </c>
      <c r="J43" s="17" t="s">
        <v>156</v>
      </c>
      <c r="K43" s="11"/>
      <c r="L43" s="12"/>
    </row>
    <row r="44" spans="1:12" ht="24" customHeight="1" x14ac:dyDescent="0.2">
      <c r="A44" s="7">
        <v>41</v>
      </c>
      <c r="B44" s="20" t="s">
        <v>149</v>
      </c>
      <c r="C44" s="8" t="s">
        <v>210</v>
      </c>
      <c r="D44" s="9" t="s">
        <v>209</v>
      </c>
      <c r="E44" s="9" t="s">
        <v>33</v>
      </c>
      <c r="F44" s="9"/>
      <c r="G44" s="9"/>
      <c r="H44" s="9" t="s">
        <v>117</v>
      </c>
      <c r="I44" s="9" t="s">
        <v>69</v>
      </c>
      <c r="J44" s="17" t="s">
        <v>156</v>
      </c>
      <c r="K44" s="11"/>
      <c r="L44" s="12"/>
    </row>
    <row r="45" spans="1:12" ht="24" customHeight="1" x14ac:dyDescent="0.2">
      <c r="A45" s="13">
        <v>42</v>
      </c>
      <c r="B45" s="20" t="s">
        <v>149</v>
      </c>
      <c r="C45" s="14" t="s">
        <v>211</v>
      </c>
      <c r="D45" s="15" t="s">
        <v>212</v>
      </c>
      <c r="E45" s="15" t="s">
        <v>58</v>
      </c>
      <c r="F45" s="15"/>
      <c r="G45" s="15"/>
      <c r="H45" s="15" t="s">
        <v>213</v>
      </c>
      <c r="I45" s="15" t="s">
        <v>69</v>
      </c>
      <c r="J45" s="17" t="s">
        <v>156</v>
      </c>
      <c r="K45" s="11"/>
      <c r="L45" s="12"/>
    </row>
    <row r="46" spans="1:12" ht="36" customHeight="1" x14ac:dyDescent="0.2">
      <c r="A46" s="7">
        <v>43</v>
      </c>
      <c r="B46" s="20" t="s">
        <v>149</v>
      </c>
      <c r="C46" s="8" t="s">
        <v>214</v>
      </c>
      <c r="D46" s="9" t="s">
        <v>57</v>
      </c>
      <c r="E46" s="9" t="s">
        <v>58</v>
      </c>
      <c r="F46" s="9"/>
      <c r="G46" s="9" t="s">
        <v>215</v>
      </c>
      <c r="H46" s="9" t="s">
        <v>213</v>
      </c>
      <c r="I46" s="9" t="s">
        <v>69</v>
      </c>
      <c r="J46" s="16" t="s">
        <v>181</v>
      </c>
      <c r="K46" s="11" t="s">
        <v>216</v>
      </c>
      <c r="L46" s="12"/>
    </row>
    <row r="47" spans="1:12" ht="36" customHeight="1" x14ac:dyDescent="0.2">
      <c r="A47" s="13">
        <v>44</v>
      </c>
      <c r="B47" s="20" t="s">
        <v>149</v>
      </c>
      <c r="C47" s="14" t="s">
        <v>217</v>
      </c>
      <c r="D47" s="15" t="s">
        <v>144</v>
      </c>
      <c r="E47" s="15" t="s">
        <v>15</v>
      </c>
      <c r="F47" s="15" t="s">
        <v>218</v>
      </c>
      <c r="G47" s="15"/>
      <c r="H47" s="15" t="s">
        <v>101</v>
      </c>
      <c r="I47" s="15" t="s">
        <v>69</v>
      </c>
      <c r="J47" s="16" t="s">
        <v>181</v>
      </c>
      <c r="K47" s="11" t="s">
        <v>219</v>
      </c>
      <c r="L47" s="12"/>
    </row>
    <row r="48" spans="1:12" ht="24" customHeight="1" x14ac:dyDescent="0.2">
      <c r="A48" s="7">
        <v>45</v>
      </c>
      <c r="B48" s="20" t="s">
        <v>149</v>
      </c>
      <c r="C48" s="8" t="s">
        <v>220</v>
      </c>
      <c r="D48" s="9" t="s">
        <v>144</v>
      </c>
      <c r="E48" s="9" t="s">
        <v>15</v>
      </c>
      <c r="F48" s="9" t="s">
        <v>221</v>
      </c>
      <c r="G48" s="9" t="s">
        <v>222</v>
      </c>
      <c r="H48" s="9" t="s">
        <v>101</v>
      </c>
      <c r="I48" s="9" t="s">
        <v>69</v>
      </c>
      <c r="J48" s="16" t="s">
        <v>181</v>
      </c>
      <c r="K48" s="11" t="s">
        <v>223</v>
      </c>
      <c r="L48" s="12"/>
    </row>
    <row r="49" spans="1:12" ht="24" customHeight="1" x14ac:dyDescent="0.2">
      <c r="A49" s="13">
        <v>46</v>
      </c>
      <c r="B49" s="20" t="s">
        <v>149</v>
      </c>
      <c r="C49" s="14" t="s">
        <v>224</v>
      </c>
      <c r="D49" s="15" t="s">
        <v>144</v>
      </c>
      <c r="E49" s="15" t="s">
        <v>15</v>
      </c>
      <c r="F49" s="15"/>
      <c r="G49" s="15"/>
      <c r="H49" s="15" t="s">
        <v>101</v>
      </c>
      <c r="I49" s="15" t="s">
        <v>69</v>
      </c>
      <c r="J49" s="17" t="s">
        <v>156</v>
      </c>
      <c r="K49" s="11"/>
      <c r="L49" s="12"/>
    </row>
    <row r="50" spans="1:12" ht="24" customHeight="1" x14ac:dyDescent="0.2">
      <c r="A50" s="7">
        <v>47</v>
      </c>
      <c r="B50" s="20" t="s">
        <v>149</v>
      </c>
      <c r="C50" s="8" t="s">
        <v>225</v>
      </c>
      <c r="D50" s="9" t="s">
        <v>144</v>
      </c>
      <c r="E50" s="9" t="s">
        <v>15</v>
      </c>
      <c r="F50" s="9"/>
      <c r="G50" s="9"/>
      <c r="H50" s="9" t="s">
        <v>101</v>
      </c>
      <c r="I50" s="9" t="s">
        <v>135</v>
      </c>
      <c r="J50" s="17" t="s">
        <v>156</v>
      </c>
      <c r="K50" s="11"/>
      <c r="L50" s="12"/>
    </row>
    <row r="51" spans="1:12" ht="24" customHeight="1" x14ac:dyDescent="0.2">
      <c r="A51" s="13">
        <v>48</v>
      </c>
      <c r="B51" s="20" t="s">
        <v>149</v>
      </c>
      <c r="C51" s="14" t="s">
        <v>226</v>
      </c>
      <c r="D51" s="15" t="s">
        <v>227</v>
      </c>
      <c r="E51" s="15" t="s">
        <v>15</v>
      </c>
      <c r="F51" s="15"/>
      <c r="G51" s="15"/>
      <c r="H51" s="15" t="s">
        <v>101</v>
      </c>
      <c r="I51" s="15" t="s">
        <v>69</v>
      </c>
      <c r="J51" s="17" t="s">
        <v>156</v>
      </c>
      <c r="K51" s="11"/>
      <c r="L51" s="12"/>
    </row>
    <row r="52" spans="1:12" ht="24" customHeight="1" x14ac:dyDescent="0.2">
      <c r="A52" s="7">
        <v>49</v>
      </c>
      <c r="B52" s="20" t="s">
        <v>149</v>
      </c>
      <c r="C52" s="8" t="s">
        <v>228</v>
      </c>
      <c r="D52" s="9" t="s">
        <v>229</v>
      </c>
      <c r="E52" s="9" t="s">
        <v>33</v>
      </c>
      <c r="F52" s="9"/>
      <c r="G52" s="9"/>
      <c r="H52" s="9" t="s">
        <v>86</v>
      </c>
      <c r="I52" s="9" t="s">
        <v>69</v>
      </c>
      <c r="J52" s="17" t="s">
        <v>156</v>
      </c>
      <c r="K52" s="11"/>
      <c r="L52" s="12"/>
    </row>
    <row r="53" spans="1:12" ht="24" customHeight="1" x14ac:dyDescent="0.2">
      <c r="A53" s="13">
        <v>50</v>
      </c>
      <c r="B53" s="20" t="s">
        <v>149</v>
      </c>
      <c r="C53" s="14" t="s">
        <v>230</v>
      </c>
      <c r="D53" s="15" t="s">
        <v>231</v>
      </c>
      <c r="E53" s="15" t="s">
        <v>58</v>
      </c>
      <c r="F53" s="15"/>
      <c r="G53" s="15"/>
      <c r="H53" s="15" t="s">
        <v>213</v>
      </c>
      <c r="I53" s="15" t="s">
        <v>69</v>
      </c>
      <c r="J53" s="17" t="s">
        <v>156</v>
      </c>
      <c r="K53" s="11"/>
      <c r="L53" s="12"/>
    </row>
    <row r="54" spans="1:12" ht="24" customHeight="1" x14ac:dyDescent="0.2">
      <c r="A54" s="7">
        <v>51</v>
      </c>
      <c r="B54" s="20" t="s">
        <v>149</v>
      </c>
      <c r="C54" s="8" t="s">
        <v>232</v>
      </c>
      <c r="D54" s="9" t="s">
        <v>231</v>
      </c>
      <c r="E54" s="9" t="s">
        <v>58</v>
      </c>
      <c r="F54" s="9"/>
      <c r="G54" s="9"/>
      <c r="H54" s="9" t="s">
        <v>213</v>
      </c>
      <c r="I54" s="9" t="s">
        <v>233</v>
      </c>
      <c r="J54" s="17" t="s">
        <v>156</v>
      </c>
      <c r="K54" s="11" t="s">
        <v>234</v>
      </c>
      <c r="L54" s="12"/>
    </row>
    <row r="55" spans="1:12" ht="24" customHeight="1" x14ac:dyDescent="0.2">
      <c r="A55" s="13">
        <v>52</v>
      </c>
      <c r="B55" s="20" t="s">
        <v>149</v>
      </c>
      <c r="C55" s="14" t="s">
        <v>235</v>
      </c>
      <c r="D55" s="15" t="s">
        <v>236</v>
      </c>
      <c r="E55" s="15" t="s">
        <v>58</v>
      </c>
      <c r="F55" s="15"/>
      <c r="G55" s="15"/>
      <c r="H55" s="15" t="s">
        <v>213</v>
      </c>
      <c r="I55" s="15" t="s">
        <v>135</v>
      </c>
      <c r="J55" s="17" t="s">
        <v>156</v>
      </c>
      <c r="K55" s="11" t="s">
        <v>157</v>
      </c>
      <c r="L55" s="12"/>
    </row>
    <row r="56" spans="1:12" ht="24" customHeight="1" x14ac:dyDescent="0.2">
      <c r="A56" s="7">
        <v>53</v>
      </c>
      <c r="B56" s="20" t="s">
        <v>149</v>
      </c>
      <c r="C56" s="8" t="s">
        <v>237</v>
      </c>
      <c r="D56" s="9" t="s">
        <v>238</v>
      </c>
      <c r="E56" s="9" t="s">
        <v>15</v>
      </c>
      <c r="F56" s="9"/>
      <c r="G56" s="9"/>
      <c r="H56" s="9" t="s">
        <v>45</v>
      </c>
      <c r="I56" s="9" t="s">
        <v>62</v>
      </c>
      <c r="J56" s="16" t="s">
        <v>181</v>
      </c>
      <c r="K56" s="11" t="s">
        <v>239</v>
      </c>
      <c r="L56" s="12"/>
    </row>
    <row r="57" spans="1:12" ht="24" customHeight="1" x14ac:dyDescent="0.2">
      <c r="A57" s="13">
        <v>54</v>
      </c>
      <c r="B57" s="20" t="s">
        <v>149</v>
      </c>
      <c r="C57" s="14" t="s">
        <v>240</v>
      </c>
      <c r="D57" s="15" t="s">
        <v>241</v>
      </c>
      <c r="E57" s="15" t="s">
        <v>15</v>
      </c>
      <c r="F57" s="15"/>
      <c r="G57" s="15"/>
      <c r="H57" s="15" t="s">
        <v>117</v>
      </c>
      <c r="I57" s="15" t="s">
        <v>62</v>
      </c>
      <c r="J57" s="16" t="s">
        <v>181</v>
      </c>
      <c r="K57" s="11" t="s">
        <v>242</v>
      </c>
      <c r="L57" s="12"/>
    </row>
    <row r="58" spans="1:12" ht="24" customHeight="1" x14ac:dyDescent="0.2">
      <c r="A58" s="7">
        <v>55</v>
      </c>
      <c r="B58" s="20" t="s">
        <v>149</v>
      </c>
      <c r="C58" s="8" t="s">
        <v>243</v>
      </c>
      <c r="D58" s="9" t="s">
        <v>122</v>
      </c>
      <c r="E58" s="9" t="s">
        <v>33</v>
      </c>
      <c r="F58" s="9" t="s">
        <v>244</v>
      </c>
      <c r="G58" s="9" t="s">
        <v>129</v>
      </c>
      <c r="H58" s="9" t="s">
        <v>117</v>
      </c>
      <c r="I58" s="9" t="s">
        <v>69</v>
      </c>
      <c r="J58" s="19" t="s">
        <v>146</v>
      </c>
      <c r="K58" s="11" t="s">
        <v>245</v>
      </c>
      <c r="L58" s="12" t="s">
        <v>148</v>
      </c>
    </row>
    <row r="59" spans="1:12" ht="36" customHeight="1" x14ac:dyDescent="0.2">
      <c r="A59" s="13">
        <v>56</v>
      </c>
      <c r="B59" s="20" t="s">
        <v>149</v>
      </c>
      <c r="C59" s="14" t="s">
        <v>246</v>
      </c>
      <c r="D59" s="15" t="s">
        <v>139</v>
      </c>
      <c r="E59" s="15" t="s">
        <v>33</v>
      </c>
      <c r="F59" s="15" t="s">
        <v>247</v>
      </c>
      <c r="G59" s="15" t="s">
        <v>129</v>
      </c>
      <c r="H59" s="15" t="s">
        <v>117</v>
      </c>
      <c r="I59" s="15" t="s">
        <v>69</v>
      </c>
      <c r="J59" s="17" t="s">
        <v>156</v>
      </c>
      <c r="K59" s="11" t="s">
        <v>248</v>
      </c>
      <c r="L59" s="12"/>
    </row>
    <row r="60" spans="1:12" ht="24" customHeight="1" x14ac:dyDescent="0.2">
      <c r="A60" s="7">
        <v>57</v>
      </c>
      <c r="B60" s="20" t="s">
        <v>149</v>
      </c>
      <c r="C60" s="8" t="s">
        <v>249</v>
      </c>
      <c r="D60" s="9" t="s">
        <v>24</v>
      </c>
      <c r="E60" s="9" t="s">
        <v>15</v>
      </c>
      <c r="F60" s="9"/>
      <c r="G60" s="9"/>
      <c r="H60" s="9" t="s">
        <v>101</v>
      </c>
      <c r="I60" s="9" t="s">
        <v>69</v>
      </c>
      <c r="J60" s="17" t="s">
        <v>156</v>
      </c>
      <c r="K60" s="11"/>
      <c r="L60" s="12"/>
    </row>
    <row r="61" spans="1:12" ht="24" customHeight="1" x14ac:dyDescent="0.2">
      <c r="A61" s="13">
        <v>58</v>
      </c>
      <c r="B61" s="20" t="s">
        <v>149</v>
      </c>
      <c r="C61" s="14" t="s">
        <v>250</v>
      </c>
      <c r="D61" s="15" t="s">
        <v>251</v>
      </c>
      <c r="E61" s="15" t="s">
        <v>15</v>
      </c>
      <c r="F61" s="15"/>
      <c r="G61" s="15"/>
      <c r="H61" s="15" t="s">
        <v>101</v>
      </c>
      <c r="I61" s="15" t="s">
        <v>69</v>
      </c>
      <c r="J61" s="17" t="s">
        <v>156</v>
      </c>
      <c r="K61" s="11"/>
      <c r="L61" s="12"/>
    </row>
    <row r="62" spans="1:12" ht="24" customHeight="1" x14ac:dyDescent="0.2">
      <c r="A62" s="7">
        <v>59</v>
      </c>
      <c r="B62" s="20" t="s">
        <v>149</v>
      </c>
      <c r="C62" s="8" t="s">
        <v>252</v>
      </c>
      <c r="D62" s="9" t="s">
        <v>114</v>
      </c>
      <c r="E62" s="9" t="s">
        <v>15</v>
      </c>
      <c r="F62" s="9" t="s">
        <v>253</v>
      </c>
      <c r="G62" s="9" t="s">
        <v>254</v>
      </c>
      <c r="H62" s="9" t="s">
        <v>117</v>
      </c>
      <c r="I62" s="9" t="s">
        <v>62</v>
      </c>
      <c r="J62" s="17" t="s">
        <v>156</v>
      </c>
      <c r="K62" s="11" t="s">
        <v>255</v>
      </c>
      <c r="L62" s="12"/>
    </row>
    <row r="63" spans="1:12" ht="24" customHeight="1" x14ac:dyDescent="0.2">
      <c r="A63" s="13">
        <v>60</v>
      </c>
      <c r="B63" s="20" t="s">
        <v>149</v>
      </c>
      <c r="C63" s="14" t="s">
        <v>256</v>
      </c>
      <c r="D63" s="15" t="s">
        <v>114</v>
      </c>
      <c r="E63" s="15" t="s">
        <v>15</v>
      </c>
      <c r="F63" s="15" t="s">
        <v>115</v>
      </c>
      <c r="G63" s="15" t="s">
        <v>257</v>
      </c>
      <c r="H63" s="15" t="s">
        <v>117</v>
      </c>
      <c r="I63" s="15" t="s">
        <v>69</v>
      </c>
      <c r="J63" s="18" t="s">
        <v>258</v>
      </c>
      <c r="K63" s="11" t="s">
        <v>259</v>
      </c>
      <c r="L63" s="12"/>
    </row>
    <row r="64" spans="1:12" ht="24" customHeight="1" x14ac:dyDescent="0.2">
      <c r="A64" s="7">
        <v>61</v>
      </c>
      <c r="B64" s="20" t="s">
        <v>149</v>
      </c>
      <c r="C64" s="8" t="s">
        <v>260</v>
      </c>
      <c r="D64" s="9" t="s">
        <v>261</v>
      </c>
      <c r="E64" s="9" t="s">
        <v>15</v>
      </c>
      <c r="F64" s="9"/>
      <c r="G64" s="9"/>
      <c r="H64" s="9" t="s">
        <v>262</v>
      </c>
      <c r="I64" s="9" t="s">
        <v>69</v>
      </c>
      <c r="J64" s="17" t="s">
        <v>156</v>
      </c>
      <c r="K64" s="11"/>
      <c r="L64" s="12"/>
    </row>
    <row r="65" spans="1:12" ht="24" customHeight="1" x14ac:dyDescent="0.2">
      <c r="A65" s="13">
        <v>62</v>
      </c>
      <c r="B65" s="20" t="s">
        <v>149</v>
      </c>
      <c r="C65" s="14" t="s">
        <v>263</v>
      </c>
      <c r="D65" s="15" t="s">
        <v>264</v>
      </c>
      <c r="E65" s="15" t="s">
        <v>15</v>
      </c>
      <c r="F65" s="15"/>
      <c r="G65" s="15"/>
      <c r="H65" s="15" t="s">
        <v>101</v>
      </c>
      <c r="I65" s="15" t="s">
        <v>69</v>
      </c>
      <c r="J65" s="17" t="s">
        <v>156</v>
      </c>
      <c r="K65" s="11"/>
      <c r="L65" s="12"/>
    </row>
    <row r="66" spans="1:12" ht="24" customHeight="1" x14ac:dyDescent="0.2">
      <c r="A66" s="7">
        <v>63</v>
      </c>
      <c r="B66" s="20" t="s">
        <v>149</v>
      </c>
      <c r="C66" s="8" t="s">
        <v>265</v>
      </c>
      <c r="D66" s="9" t="s">
        <v>266</v>
      </c>
      <c r="E66" s="9" t="s">
        <v>15</v>
      </c>
      <c r="F66" s="9" t="s">
        <v>267</v>
      </c>
      <c r="G66" s="9"/>
      <c r="H66" s="9" t="s">
        <v>117</v>
      </c>
      <c r="I66" s="9" t="s">
        <v>69</v>
      </c>
      <c r="J66" s="16" t="s">
        <v>181</v>
      </c>
      <c r="K66" s="11" t="s">
        <v>268</v>
      </c>
      <c r="L66" s="12"/>
    </row>
    <row r="67" spans="1:12" ht="24" customHeight="1" x14ac:dyDescent="0.2">
      <c r="A67" s="13">
        <v>64</v>
      </c>
      <c r="B67" s="20" t="s">
        <v>149</v>
      </c>
      <c r="C67" s="14" t="s">
        <v>269</v>
      </c>
      <c r="D67" s="15" t="s">
        <v>266</v>
      </c>
      <c r="E67" s="15" t="s">
        <v>15</v>
      </c>
      <c r="F67" s="15"/>
      <c r="G67" s="15"/>
      <c r="H67" s="15" t="s">
        <v>117</v>
      </c>
      <c r="I67" s="15" t="s">
        <v>69</v>
      </c>
      <c r="J67" s="17" t="s">
        <v>156</v>
      </c>
      <c r="K67" s="11"/>
      <c r="L67" s="12"/>
    </row>
    <row r="68" spans="1:12" ht="24" customHeight="1" x14ac:dyDescent="0.2">
      <c r="A68" s="7">
        <v>65</v>
      </c>
      <c r="B68" s="20" t="s">
        <v>149</v>
      </c>
      <c r="C68" s="8" t="s">
        <v>270</v>
      </c>
      <c r="D68" s="9" t="s">
        <v>271</v>
      </c>
      <c r="E68" s="9" t="s">
        <v>15</v>
      </c>
      <c r="F68" s="9" t="s">
        <v>272</v>
      </c>
      <c r="G68" s="9" t="s">
        <v>273</v>
      </c>
      <c r="H68" s="9" t="s">
        <v>101</v>
      </c>
      <c r="I68" s="9" t="s">
        <v>62</v>
      </c>
      <c r="J68" s="16" t="s">
        <v>181</v>
      </c>
      <c r="K68" s="11" t="s">
        <v>182</v>
      </c>
      <c r="L68" s="12"/>
    </row>
    <row r="69" spans="1:12" ht="24" customHeight="1" x14ac:dyDescent="0.2">
      <c r="A69" s="13">
        <v>66</v>
      </c>
      <c r="B69" s="20" t="s">
        <v>149</v>
      </c>
      <c r="C69" s="14" t="s">
        <v>274</v>
      </c>
      <c r="D69" s="15" t="s">
        <v>275</v>
      </c>
      <c r="E69" s="15" t="s">
        <v>15</v>
      </c>
      <c r="F69" s="15"/>
      <c r="G69" s="15"/>
      <c r="H69" s="15" t="s">
        <v>101</v>
      </c>
      <c r="I69" s="15" t="s">
        <v>135</v>
      </c>
      <c r="J69" s="17" t="s">
        <v>156</v>
      </c>
      <c r="K69" s="11"/>
      <c r="L69" s="12"/>
    </row>
    <row r="70" spans="1:12" ht="24" customHeight="1" x14ac:dyDescent="0.2">
      <c r="A70" s="7">
        <v>67</v>
      </c>
      <c r="B70" s="20" t="s">
        <v>149</v>
      </c>
      <c r="C70" s="8" t="s">
        <v>276</v>
      </c>
      <c r="D70" s="9" t="s">
        <v>277</v>
      </c>
      <c r="E70" s="9" t="s">
        <v>15</v>
      </c>
      <c r="F70" s="9"/>
      <c r="G70" s="9"/>
      <c r="H70" s="9" t="s">
        <v>45</v>
      </c>
      <c r="I70" s="9" t="s">
        <v>62</v>
      </c>
      <c r="J70" s="18" t="s">
        <v>118</v>
      </c>
      <c r="K70" s="11" t="s">
        <v>278</v>
      </c>
      <c r="L70" s="12"/>
    </row>
    <row r="71" spans="1:12" ht="24" customHeight="1" x14ac:dyDescent="0.2">
      <c r="A71" s="13">
        <v>68</v>
      </c>
      <c r="B71" s="20" t="s">
        <v>149</v>
      </c>
      <c r="C71" s="14" t="s">
        <v>279</v>
      </c>
      <c r="D71" s="15" t="s">
        <v>280</v>
      </c>
      <c r="E71" s="15" t="s">
        <v>15</v>
      </c>
      <c r="F71" s="15"/>
      <c r="G71" s="15"/>
      <c r="H71" s="15" t="s">
        <v>101</v>
      </c>
      <c r="I71" s="15" t="s">
        <v>69</v>
      </c>
      <c r="J71" s="17" t="s">
        <v>156</v>
      </c>
      <c r="K71" s="11"/>
      <c r="L71" s="12"/>
    </row>
    <row r="72" spans="1:12" ht="24" customHeight="1" x14ac:dyDescent="0.2">
      <c r="A72" s="7">
        <v>69</v>
      </c>
      <c r="B72" s="20" t="s">
        <v>149</v>
      </c>
      <c r="C72" s="8" t="s">
        <v>281</v>
      </c>
      <c r="D72" s="9" t="s">
        <v>50</v>
      </c>
      <c r="E72" s="9" t="s">
        <v>15</v>
      </c>
      <c r="F72" s="9" t="s">
        <v>282</v>
      </c>
      <c r="G72" s="9"/>
      <c r="H72" s="9" t="s">
        <v>117</v>
      </c>
      <c r="I72" s="9" t="s">
        <v>62</v>
      </c>
      <c r="J72" s="17" t="s">
        <v>156</v>
      </c>
      <c r="K72" s="11" t="s">
        <v>255</v>
      </c>
      <c r="L72" s="12"/>
    </row>
    <row r="73" spans="1:12" ht="24" customHeight="1" x14ac:dyDescent="0.2">
      <c r="A73" s="13">
        <v>70</v>
      </c>
      <c r="B73" s="20" t="s">
        <v>149</v>
      </c>
      <c r="C73" s="14" t="s">
        <v>283</v>
      </c>
      <c r="D73" s="15" t="s">
        <v>50</v>
      </c>
      <c r="E73" s="15" t="s">
        <v>15</v>
      </c>
      <c r="F73" s="15" t="s">
        <v>282</v>
      </c>
      <c r="G73" s="15"/>
      <c r="H73" s="15" t="s">
        <v>117</v>
      </c>
      <c r="I73" s="15" t="s">
        <v>69</v>
      </c>
      <c r="J73" s="18" t="s">
        <v>258</v>
      </c>
      <c r="K73" s="11" t="s">
        <v>259</v>
      </c>
      <c r="L73" s="12"/>
    </row>
    <row r="74" spans="1:12" ht="24" customHeight="1" x14ac:dyDescent="0.2">
      <c r="A74" s="7">
        <v>71</v>
      </c>
      <c r="B74" s="20" t="s">
        <v>149</v>
      </c>
      <c r="C74" s="8" t="s">
        <v>284</v>
      </c>
      <c r="D74" s="9" t="s">
        <v>285</v>
      </c>
      <c r="E74" s="9" t="s">
        <v>15</v>
      </c>
      <c r="F74" s="9"/>
      <c r="G74" s="9"/>
      <c r="H74" s="9" t="s">
        <v>101</v>
      </c>
      <c r="I74" s="9" t="s">
        <v>69</v>
      </c>
      <c r="J74" s="17" t="s">
        <v>156</v>
      </c>
      <c r="K74" s="11"/>
      <c r="L74" s="12"/>
    </row>
    <row r="75" spans="1:12" ht="24" customHeight="1" x14ac:dyDescent="0.2">
      <c r="A75" s="13">
        <v>72</v>
      </c>
      <c r="B75" s="20" t="s">
        <v>149</v>
      </c>
      <c r="C75" s="14" t="s">
        <v>286</v>
      </c>
      <c r="D75" s="15" t="s">
        <v>285</v>
      </c>
      <c r="E75" s="15" t="s">
        <v>15</v>
      </c>
      <c r="F75" s="15"/>
      <c r="G75" s="15"/>
      <c r="H75" s="15" t="s">
        <v>101</v>
      </c>
      <c r="I75" s="15" t="s">
        <v>69</v>
      </c>
      <c r="J75" s="17" t="s">
        <v>156</v>
      </c>
      <c r="K75" s="11"/>
      <c r="L75" s="12"/>
    </row>
    <row r="76" spans="1:12" ht="24" customHeight="1" x14ac:dyDescent="0.2">
      <c r="A76" s="7">
        <v>73</v>
      </c>
      <c r="B76" s="20" t="s">
        <v>149</v>
      </c>
      <c r="C76" s="8" t="s">
        <v>287</v>
      </c>
      <c r="D76" s="9" t="s">
        <v>285</v>
      </c>
      <c r="E76" s="9" t="s">
        <v>15</v>
      </c>
      <c r="F76" s="9" t="s">
        <v>288</v>
      </c>
      <c r="G76" s="9"/>
      <c r="H76" s="9" t="s">
        <v>101</v>
      </c>
      <c r="I76" s="9" t="s">
        <v>135</v>
      </c>
      <c r="J76" s="17" t="s">
        <v>156</v>
      </c>
      <c r="K76" s="11" t="s">
        <v>157</v>
      </c>
      <c r="L76" s="12"/>
    </row>
    <row r="77" spans="1:12" ht="24" customHeight="1" x14ac:dyDescent="0.2">
      <c r="A77" s="13">
        <v>74</v>
      </c>
      <c r="B77" s="20" t="s">
        <v>149</v>
      </c>
      <c r="C77" s="14" t="s">
        <v>289</v>
      </c>
      <c r="D77" s="15" t="s">
        <v>285</v>
      </c>
      <c r="E77" s="15" t="s">
        <v>15</v>
      </c>
      <c r="F77" s="15"/>
      <c r="G77" s="15"/>
      <c r="H77" s="15" t="s">
        <v>101</v>
      </c>
      <c r="I77" s="15" t="s">
        <v>69</v>
      </c>
      <c r="J77" s="17" t="s">
        <v>156</v>
      </c>
      <c r="K77" s="11"/>
      <c r="L77" s="12"/>
    </row>
    <row r="78" spans="1:12" ht="24" customHeight="1" x14ac:dyDescent="0.2">
      <c r="A78" s="7">
        <v>75</v>
      </c>
      <c r="B78" s="20" t="s">
        <v>149</v>
      </c>
      <c r="C78" s="8" t="s">
        <v>290</v>
      </c>
      <c r="D78" s="9" t="s">
        <v>291</v>
      </c>
      <c r="E78" s="9" t="s">
        <v>15</v>
      </c>
      <c r="F78" s="9"/>
      <c r="G78" s="9"/>
      <c r="H78" s="9" t="s">
        <v>101</v>
      </c>
      <c r="I78" s="9" t="s">
        <v>69</v>
      </c>
      <c r="J78" s="17" t="s">
        <v>156</v>
      </c>
      <c r="K78" s="11"/>
      <c r="L78" s="12"/>
    </row>
    <row r="79" spans="1:12" ht="36" customHeight="1" x14ac:dyDescent="0.2">
      <c r="A79" s="13">
        <v>76</v>
      </c>
      <c r="B79" s="20" t="s">
        <v>149</v>
      </c>
      <c r="C79" s="14" t="s">
        <v>292</v>
      </c>
      <c r="D79" s="15" t="s">
        <v>66</v>
      </c>
      <c r="E79" s="15" t="s">
        <v>15</v>
      </c>
      <c r="F79" s="15" t="s">
        <v>293</v>
      </c>
      <c r="G79" s="15" t="s">
        <v>85</v>
      </c>
      <c r="H79" s="15" t="s">
        <v>18</v>
      </c>
      <c r="I79" s="15" t="s">
        <v>69</v>
      </c>
      <c r="J79" s="19" t="s">
        <v>146</v>
      </c>
      <c r="K79" s="11" t="s">
        <v>294</v>
      </c>
      <c r="L79" s="12" t="s">
        <v>295</v>
      </c>
    </row>
    <row r="80" spans="1:12" ht="24" customHeight="1" x14ac:dyDescent="0.2">
      <c r="A80" s="7">
        <v>77</v>
      </c>
      <c r="B80" s="20" t="s">
        <v>149</v>
      </c>
      <c r="C80" s="8" t="s">
        <v>296</v>
      </c>
      <c r="D80" s="9" t="s">
        <v>297</v>
      </c>
      <c r="E80" s="9" t="s">
        <v>15</v>
      </c>
      <c r="F80" s="9" t="s">
        <v>298</v>
      </c>
      <c r="G80" s="9"/>
      <c r="H80" s="9" t="s">
        <v>45</v>
      </c>
      <c r="I80" s="9" t="s">
        <v>62</v>
      </c>
      <c r="J80" s="17" t="s">
        <v>156</v>
      </c>
      <c r="K80" s="11" t="s">
        <v>255</v>
      </c>
      <c r="L80" s="12"/>
    </row>
    <row r="81" spans="1:12" ht="24" customHeight="1" x14ac:dyDescent="0.2">
      <c r="A81" s="13">
        <v>78</v>
      </c>
      <c r="B81" s="20" t="s">
        <v>149</v>
      </c>
      <c r="C81" s="14" t="s">
        <v>299</v>
      </c>
      <c r="D81" s="15" t="s">
        <v>297</v>
      </c>
      <c r="E81" s="15" t="s">
        <v>15</v>
      </c>
      <c r="F81" s="15"/>
      <c r="G81" s="15"/>
      <c r="H81" s="15" t="s">
        <v>45</v>
      </c>
      <c r="I81" s="15" t="s">
        <v>195</v>
      </c>
      <c r="J81" s="17" t="s">
        <v>156</v>
      </c>
      <c r="K81" s="11" t="s">
        <v>300</v>
      </c>
      <c r="L81" s="12"/>
    </row>
    <row r="82" spans="1:12" ht="24" customHeight="1" x14ac:dyDescent="0.2">
      <c r="A82" s="7">
        <v>79</v>
      </c>
      <c r="B82" s="20" t="s">
        <v>149</v>
      </c>
      <c r="C82" s="8" t="s">
        <v>301</v>
      </c>
      <c r="D82" s="9" t="s">
        <v>302</v>
      </c>
      <c r="E82" s="9" t="s">
        <v>15</v>
      </c>
      <c r="F82" s="9"/>
      <c r="G82" s="9"/>
      <c r="H82" s="9" t="s">
        <v>45</v>
      </c>
      <c r="I82" s="9" t="s">
        <v>62</v>
      </c>
      <c r="J82" s="17" t="s">
        <v>156</v>
      </c>
      <c r="K82" s="11"/>
      <c r="L82" s="12"/>
    </row>
    <row r="83" spans="1:12" ht="24" customHeight="1" x14ac:dyDescent="0.2">
      <c r="A83" s="13">
        <v>80</v>
      </c>
      <c r="B83" s="20" t="s">
        <v>149</v>
      </c>
      <c r="C83" s="14" t="s">
        <v>303</v>
      </c>
      <c r="D83" s="15" t="s">
        <v>209</v>
      </c>
      <c r="E83" s="15" t="s">
        <v>33</v>
      </c>
      <c r="F83" s="15" t="s">
        <v>304</v>
      </c>
      <c r="G83" s="15" t="s">
        <v>305</v>
      </c>
      <c r="H83" s="15" t="s">
        <v>36</v>
      </c>
      <c r="I83" s="15" t="s">
        <v>69</v>
      </c>
      <c r="J83" s="19" t="s">
        <v>146</v>
      </c>
      <c r="K83" s="11" t="s">
        <v>306</v>
      </c>
      <c r="L83" s="12" t="s">
        <v>148</v>
      </c>
    </row>
    <row r="84" spans="1:12" ht="24" customHeight="1" x14ac:dyDescent="0.2">
      <c r="A84" s="7">
        <v>81</v>
      </c>
      <c r="B84" s="20" t="s">
        <v>149</v>
      </c>
      <c r="C84" s="8" t="s">
        <v>307</v>
      </c>
      <c r="D84" s="9" t="s">
        <v>24</v>
      </c>
      <c r="E84" s="9" t="s">
        <v>15</v>
      </c>
      <c r="F84" s="9" t="s">
        <v>308</v>
      </c>
      <c r="G84" s="9" t="s">
        <v>85</v>
      </c>
      <c r="H84" s="9" t="s">
        <v>309</v>
      </c>
      <c r="I84" s="9" t="s">
        <v>310</v>
      </c>
      <c r="J84" s="19" t="s">
        <v>146</v>
      </c>
      <c r="K84" s="11" t="s">
        <v>311</v>
      </c>
      <c r="L84" s="12" t="s">
        <v>312</v>
      </c>
    </row>
    <row r="85" spans="1:12" ht="36" customHeight="1" x14ac:dyDescent="0.2">
      <c r="A85" s="13">
        <v>82</v>
      </c>
      <c r="B85" s="21" t="s">
        <v>313</v>
      </c>
      <c r="C85" s="14" t="s">
        <v>314</v>
      </c>
      <c r="D85" s="15" t="s">
        <v>302</v>
      </c>
      <c r="E85" s="15" t="s">
        <v>15</v>
      </c>
      <c r="F85" s="15" t="s">
        <v>315</v>
      </c>
      <c r="G85" s="15" t="s">
        <v>316</v>
      </c>
      <c r="H85" s="15" t="s">
        <v>109</v>
      </c>
      <c r="I85" s="15" t="s">
        <v>62</v>
      </c>
      <c r="J85" s="16" t="s">
        <v>75</v>
      </c>
      <c r="K85" s="11" t="s">
        <v>317</v>
      </c>
      <c r="L85" s="12" t="s">
        <v>77</v>
      </c>
    </row>
  </sheetData>
  <autoFilter ref="A3:L85" xr:uid="{00000000-0009-0000-0000-000000000000}"/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zoomScale="142" zoomScaleNormal="100" workbookViewId="0">
      <selection activeCell="A5" sqref="A5"/>
    </sheetView>
  </sheetViews>
  <sheetFormatPr baseColWidth="10" defaultColWidth="8.6640625" defaultRowHeight="15" x14ac:dyDescent="0.2"/>
  <cols>
    <col min="1" max="1" width="30" customWidth="1"/>
    <col min="2" max="2" width="10" customWidth="1"/>
    <col min="3" max="3" width="12" customWidth="1"/>
  </cols>
  <sheetData>
    <row r="1" spans="1:6" ht="27.75" customHeight="1" x14ac:dyDescent="0.2">
      <c r="A1" s="3" t="s">
        <v>318</v>
      </c>
      <c r="B1" s="3"/>
      <c r="C1" s="3"/>
      <c r="D1" s="3"/>
      <c r="E1" s="3"/>
      <c r="F1" s="3"/>
    </row>
    <row r="2" spans="1:6" x14ac:dyDescent="0.2">
      <c r="A2" s="4" t="s">
        <v>319</v>
      </c>
      <c r="B2" s="4"/>
      <c r="C2" s="4"/>
      <c r="D2" s="4"/>
      <c r="E2" s="4"/>
      <c r="F2" s="4"/>
    </row>
    <row r="4" spans="1:6" x14ac:dyDescent="0.2">
      <c r="A4" s="6" t="s">
        <v>320</v>
      </c>
      <c r="B4" s="6" t="s">
        <v>321</v>
      </c>
      <c r="C4" s="6" t="s">
        <v>322</v>
      </c>
    </row>
    <row r="5" spans="1:6" x14ac:dyDescent="0.2">
      <c r="A5" s="22" t="s">
        <v>323</v>
      </c>
      <c r="B5" s="23">
        <v>8</v>
      </c>
      <c r="C5" s="24">
        <f t="shared" ref="C5:C10" si="0">B5/82</f>
        <v>9.7560975609756101E-2</v>
      </c>
    </row>
    <row r="6" spans="1:6" x14ac:dyDescent="0.2">
      <c r="A6" s="22" t="s">
        <v>324</v>
      </c>
      <c r="B6" s="23">
        <v>5</v>
      </c>
      <c r="C6" s="24">
        <f t="shared" si="0"/>
        <v>6.097560975609756E-2</v>
      </c>
    </row>
    <row r="7" spans="1:6" x14ac:dyDescent="0.2">
      <c r="A7" s="25" t="s">
        <v>87</v>
      </c>
      <c r="B7" s="23">
        <v>7</v>
      </c>
      <c r="C7" s="24">
        <f t="shared" si="0"/>
        <v>8.5365853658536592E-2</v>
      </c>
    </row>
    <row r="8" spans="1:6" x14ac:dyDescent="0.2">
      <c r="A8" s="25" t="s">
        <v>325</v>
      </c>
      <c r="B8" s="23">
        <v>41</v>
      </c>
      <c r="C8" s="24">
        <f t="shared" si="0"/>
        <v>0.5</v>
      </c>
    </row>
    <row r="9" spans="1:6" x14ac:dyDescent="0.2">
      <c r="A9" s="26" t="s">
        <v>146</v>
      </c>
      <c r="B9" s="23">
        <v>7</v>
      </c>
      <c r="C9" s="24">
        <f t="shared" si="0"/>
        <v>8.5365853658536592E-2</v>
      </c>
    </row>
    <row r="10" spans="1:6" x14ac:dyDescent="0.2">
      <c r="A10" s="27" t="s">
        <v>326</v>
      </c>
      <c r="B10" s="23">
        <v>14</v>
      </c>
      <c r="C10" s="24">
        <f t="shared" si="0"/>
        <v>0.17073170731707318</v>
      </c>
    </row>
    <row r="11" spans="1:6" x14ac:dyDescent="0.2">
      <c r="A11" s="28" t="s">
        <v>327</v>
      </c>
      <c r="B11" s="23">
        <v>82</v>
      </c>
      <c r="C11" s="29"/>
    </row>
    <row r="13" spans="1:6" ht="16" x14ac:dyDescent="0.2">
      <c r="A13" s="30" t="s">
        <v>328</v>
      </c>
      <c r="B13" s="31">
        <f>14/(14+13)</f>
        <v>0.51851851851851849</v>
      </c>
    </row>
    <row r="15" spans="1:6" ht="54.75" customHeight="1" x14ac:dyDescent="0.2">
      <c r="A15" s="2" t="s">
        <v>329</v>
      </c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</sheetData>
  <mergeCells count="3">
    <mergeCell ref="A1:F1"/>
    <mergeCell ref="A2:F2"/>
    <mergeCell ref="A15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tabSelected="1" zoomScaleNormal="100" workbookViewId="0">
      <pane ySplit="3" topLeftCell="A4" activePane="bottomLeft" state="frozen"/>
      <selection pane="bottomLeft" activeCell="C15" sqref="C15"/>
    </sheetView>
  </sheetViews>
  <sheetFormatPr baseColWidth="10" defaultColWidth="8.6640625" defaultRowHeight="15" x14ac:dyDescent="0.2"/>
  <cols>
    <col min="1" max="1" width="28" customWidth="1"/>
    <col min="2" max="2" width="42" customWidth="1"/>
    <col min="3" max="3" width="16" customWidth="1"/>
  </cols>
  <sheetData>
    <row r="1" spans="1:3" ht="25.5" customHeight="1" x14ac:dyDescent="0.2">
      <c r="A1" s="1" t="s">
        <v>330</v>
      </c>
      <c r="B1" s="1"/>
      <c r="C1" s="1"/>
    </row>
    <row r="2" spans="1:3" x14ac:dyDescent="0.2">
      <c r="A2" s="4" t="s">
        <v>331</v>
      </c>
      <c r="B2" s="4"/>
      <c r="C2" s="4"/>
    </row>
    <row r="3" spans="1:3" x14ac:dyDescent="0.2">
      <c r="A3" s="6" t="s">
        <v>3</v>
      </c>
      <c r="B3" s="6" t="s">
        <v>332</v>
      </c>
      <c r="C3" s="6" t="s">
        <v>333</v>
      </c>
    </row>
    <row r="4" spans="1:3" x14ac:dyDescent="0.2">
      <c r="A4" s="8" t="s">
        <v>154</v>
      </c>
      <c r="B4" s="9" t="s">
        <v>334</v>
      </c>
      <c r="C4" s="32" t="s">
        <v>335</v>
      </c>
    </row>
    <row r="5" spans="1:3" x14ac:dyDescent="0.2">
      <c r="A5" s="14" t="s">
        <v>177</v>
      </c>
      <c r="B5" s="15" t="s">
        <v>336</v>
      </c>
      <c r="C5" s="32" t="s">
        <v>335</v>
      </c>
    </row>
    <row r="6" spans="1:3" x14ac:dyDescent="0.2">
      <c r="A6" s="8" t="s">
        <v>337</v>
      </c>
      <c r="B6" s="9" t="s">
        <v>338</v>
      </c>
      <c r="C6" s="32" t="s">
        <v>335</v>
      </c>
    </row>
    <row r="7" spans="1:3" x14ac:dyDescent="0.2">
      <c r="A7" s="14" t="s">
        <v>191</v>
      </c>
      <c r="B7" s="15" t="s">
        <v>339</v>
      </c>
      <c r="C7" s="32" t="s">
        <v>335</v>
      </c>
    </row>
    <row r="8" spans="1:3" x14ac:dyDescent="0.2">
      <c r="A8" s="8" t="s">
        <v>41</v>
      </c>
      <c r="B8" s="9" t="s">
        <v>340</v>
      </c>
      <c r="C8" s="32" t="s">
        <v>335</v>
      </c>
    </row>
    <row r="9" spans="1:3" x14ac:dyDescent="0.2">
      <c r="A9" s="14" t="s">
        <v>197</v>
      </c>
      <c r="B9" s="15" t="s">
        <v>199</v>
      </c>
      <c r="C9" s="32" t="s">
        <v>335</v>
      </c>
    </row>
    <row r="10" spans="1:3" x14ac:dyDescent="0.2">
      <c r="A10" s="8" t="s">
        <v>200</v>
      </c>
      <c r="B10" s="9" t="s">
        <v>201</v>
      </c>
      <c r="C10" s="32" t="s">
        <v>335</v>
      </c>
    </row>
    <row r="11" spans="1:3" x14ac:dyDescent="0.2">
      <c r="A11" s="14" t="s">
        <v>217</v>
      </c>
      <c r="B11" s="15" t="s">
        <v>341</v>
      </c>
      <c r="C11" s="32" t="s">
        <v>335</v>
      </c>
    </row>
    <row r="12" spans="1:3" x14ac:dyDescent="0.2">
      <c r="A12" s="8" t="s">
        <v>220</v>
      </c>
      <c r="B12" s="9" t="s">
        <v>221</v>
      </c>
      <c r="C12" s="32" t="s">
        <v>335</v>
      </c>
    </row>
    <row r="13" spans="1:3" x14ac:dyDescent="0.2">
      <c r="A13" s="14" t="s">
        <v>113</v>
      </c>
      <c r="B13" s="15" t="s">
        <v>115</v>
      </c>
      <c r="C13" s="33" t="s">
        <v>342</v>
      </c>
    </row>
    <row r="14" spans="1:3" x14ac:dyDescent="0.2">
      <c r="A14" s="8" t="s">
        <v>252</v>
      </c>
      <c r="B14" s="9" t="s">
        <v>253</v>
      </c>
      <c r="C14" s="33" t="s">
        <v>342</v>
      </c>
    </row>
    <row r="15" spans="1:3" x14ac:dyDescent="0.2">
      <c r="A15" s="14" t="s">
        <v>256</v>
      </c>
      <c r="B15" s="15" t="s">
        <v>115</v>
      </c>
      <c r="C15" s="33" t="s">
        <v>342</v>
      </c>
    </row>
    <row r="16" spans="1:3" x14ac:dyDescent="0.2">
      <c r="A16" s="8" t="s">
        <v>265</v>
      </c>
      <c r="B16" s="9" t="s">
        <v>267</v>
      </c>
      <c r="C16" s="32" t="s">
        <v>335</v>
      </c>
    </row>
    <row r="17" spans="1:3" x14ac:dyDescent="0.2">
      <c r="A17" s="14" t="s">
        <v>270</v>
      </c>
      <c r="B17" s="15" t="s">
        <v>343</v>
      </c>
      <c r="C17" s="32" t="s">
        <v>335</v>
      </c>
    </row>
    <row r="18" spans="1:3" x14ac:dyDescent="0.2">
      <c r="A18" s="8" t="s">
        <v>344</v>
      </c>
      <c r="B18" s="9" t="s">
        <v>16</v>
      </c>
      <c r="C18" s="32" t="s">
        <v>335</v>
      </c>
    </row>
    <row r="19" spans="1:3" x14ac:dyDescent="0.2">
      <c r="A19" s="14" t="s">
        <v>281</v>
      </c>
      <c r="B19" s="15" t="s">
        <v>282</v>
      </c>
      <c r="C19" s="34" t="s">
        <v>282</v>
      </c>
    </row>
    <row r="20" spans="1:3" x14ac:dyDescent="0.2">
      <c r="A20" s="8" t="s">
        <v>283</v>
      </c>
      <c r="B20" s="9" t="s">
        <v>282</v>
      </c>
      <c r="C20" s="34" t="s">
        <v>282</v>
      </c>
    </row>
    <row r="21" spans="1:3" x14ac:dyDescent="0.2">
      <c r="A21" s="14" t="s">
        <v>287</v>
      </c>
      <c r="B21" s="15" t="s">
        <v>288</v>
      </c>
      <c r="C21" s="32" t="s">
        <v>335</v>
      </c>
    </row>
    <row r="22" spans="1:3" x14ac:dyDescent="0.2">
      <c r="A22" s="8" t="s">
        <v>345</v>
      </c>
      <c r="B22" s="9" t="s">
        <v>298</v>
      </c>
      <c r="C22" s="32" t="s">
        <v>335</v>
      </c>
    </row>
    <row r="23" spans="1:3" x14ac:dyDescent="0.2">
      <c r="A23" s="14" t="s">
        <v>214</v>
      </c>
      <c r="B23" s="15" t="s">
        <v>346</v>
      </c>
      <c r="C23" s="34" t="s">
        <v>346</v>
      </c>
    </row>
    <row r="24" spans="1:3" x14ac:dyDescent="0.2">
      <c r="A24" s="8" t="s">
        <v>56</v>
      </c>
      <c r="B24" s="9" t="s">
        <v>282</v>
      </c>
      <c r="C24" s="34" t="s">
        <v>282</v>
      </c>
    </row>
    <row r="25" spans="1:3" x14ac:dyDescent="0.2">
      <c r="A25" s="14" t="s">
        <v>235</v>
      </c>
      <c r="B25" s="15" t="s">
        <v>282</v>
      </c>
      <c r="C25" s="34" t="s">
        <v>282</v>
      </c>
    </row>
    <row r="26" spans="1:3" x14ac:dyDescent="0.2">
      <c r="A26" s="8" t="s">
        <v>232</v>
      </c>
      <c r="B26" s="9" t="s">
        <v>282</v>
      </c>
      <c r="C26" s="34" t="s">
        <v>282</v>
      </c>
    </row>
    <row r="27" spans="1:3" x14ac:dyDescent="0.2">
      <c r="A27" s="14" t="s">
        <v>347</v>
      </c>
      <c r="B27" s="15" t="s">
        <v>282</v>
      </c>
      <c r="C27" s="34" t="s">
        <v>282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 Pipeline</vt:lpstr>
      <vt:lpstr>Scorecard Summary</vt:lpstr>
      <vt:lpstr>Target Novelty (S3)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Louisa Qiu</cp:lastModifiedBy>
  <cp:revision>0</cp:revision>
  <dcterms:created xsi:type="dcterms:W3CDTF">2026-04-13T02:27:12Z</dcterms:created>
  <dcterms:modified xsi:type="dcterms:W3CDTF">2026-04-13T02:29:56Z</dcterms:modified>
  <dc:language>en-US</dc:language>
</cp:coreProperties>
</file>