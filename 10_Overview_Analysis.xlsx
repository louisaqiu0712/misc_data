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_Deals" sheetId="2" state="visible" r:id="rId4"/>
    <sheet name="Source_Pipeline" sheetId="3" state="visible" r:id="rId5"/>
    <sheet name="Chart_1_Capital_vs_Output" sheetId="4" state="visible" r:id="rId6"/>
    <sheet name="Chart_2_Pipeline_Funnel" sheetId="5" state="visible" r:id="rId7"/>
    <sheet name="Chart_3_CTgov_AI_Trials" sheetId="6" state="visible" r:id="rId8"/>
    <sheet name="Chart_3b_AI_Discovered_Only" sheetId="7" state="visible" r:id="rId9"/>
    <sheet name="Chart_4_Partner_Matrix" sheetId="8" state="visible" r:id="rId10"/>
    <sheet name="Chart_5_Coverage_Scorecard" sheetId="9" state="visible" r:id="rId11"/>
    <sheet name="Chart_6_Deal_Economic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<sst xmlns="http://schemas.openxmlformats.org/spreadsheetml/2006/main" count="1607" uniqueCount="737">
  <si>
    <t xml:space="preserve">Overview Analysis v2 — Formula-Driven Supporting Data + Clickable Sources</t>
  </si>
  <si>
    <t xml:space="preserve">Seven charts. Source data on the Source_Deals + Source_Pipeline tabs. Chart tabs reference source data via SUMIF / COUNTIFS. Hyperlinks on footers.</t>
  </si>
  <si>
    <t xml:space="preserve">Chart</t>
  </si>
  <si>
    <t xml:space="preserve">Title</t>
  </si>
  <si>
    <t xml:space="preserve">Source tab</t>
  </si>
  <si>
    <t xml:space="preserve">Chart 1</t>
  </si>
  <si>
    <t xml:space="preserve">The Capital–Output Gap (formula-driven from Source_Deals)</t>
  </si>
  <si>
    <t xml:space="preserve">Source_Deals</t>
  </si>
  <si>
    <t xml:space="preserve">Chart 2</t>
  </si>
  <si>
    <t xml:space="preserve">Pipeline Funnel: 82 → 0 (formula-driven from Source_Pipeline)</t>
  </si>
  <si>
    <t xml:space="preserve">Source_Pipeline</t>
  </si>
  <si>
    <t xml:space="preserve">Chart 3</t>
  </si>
  <si>
    <t xml:space="preserve">Cumulative trials mentioning AI on CT.gov (broad — includes AI-as-tool)</t>
  </si>
  <si>
    <t xml:space="preserve">ClinicalTrials.gov + bibliometrics</t>
  </si>
  <si>
    <t xml:space="preserve">Chart 3b</t>
  </si>
  <si>
    <t xml:space="preserve">Cumulative AI-discovered drug trials ONLY (narrow — molecule-level)</t>
  </si>
  <si>
    <t xml:space="preserve">Source_Pipeline + 2025–26 additions</t>
  </si>
  <si>
    <t xml:space="preserve">Chart 4</t>
  </si>
  <si>
    <t xml:space="preserve">Pharma × AI Partner Matrix (formula-driven COUNTIFS)</t>
  </si>
  <si>
    <t xml:space="preserve">Chart 5</t>
  </si>
  <si>
    <t xml:space="preserve">Coverage Universe Scorecard</t>
  </si>
  <si>
    <t xml:space="preserve">Source_Deals + Q1 matrix</t>
  </si>
  <si>
    <t xml:space="preserve">Chart 6</t>
  </si>
  <si>
    <t xml:space="preserve">Deal economics evolution (formula-driven from Source_Deals)</t>
  </si>
  <si>
    <t xml:space="preserve">Methodology</t>
  </si>
  <si>
    <t xml:space="preserve">• Source_Deals tab carries the 70-row Deals table from 01_Matrix_Master.xlsx Deals tab. Chart tabs reference it via SUMIF/COUNTIF/COUNTIFS so cells are formula-driven, not hardcoded.</t>
  </si>
  <si>
    <t xml:space="preserve">• Source_Pipeline tab carries the 82-molecule AI Pipeline Tracker scorecard PLUS 4 new additions verified in fact-check (see Fact_Check_Report).</t>
  </si>
  <si>
    <t xml:space="preserve">• Palette: navy primary, light navy + steel blue + sky blue for series differentiation, cool gray de-emphasis. No red anywhere.</t>
  </si>
  <si>
    <t xml:space="preserve">• All footer source citations are clickable hyperlinks.</t>
  </si>
  <si>
    <t xml:space="preserve">Note (added 2026-05-12 fact-check pass): DL-071 LLY × Insilico Rentosertib added to Source_Deals — was previously referenced in Q1 (RD-015) but missing from Q4 Deals tab. Material correction. See Fact_Check_Report.md.</t>
  </si>
  <si>
    <t xml:space="preserve">Source data — Deals (70 rows from 01_Matrix_Master.xlsx → Deals tab)</t>
  </si>
  <si>
    <t xml:space="preserve">All Chart_1, Chart_4, Chart_6 calculations reference this tab via SUMIF / COUNTIFS.</t>
  </si>
  <si>
    <t xml:space="preserve">claim_id</t>
  </si>
  <si>
    <t xml:space="preserve">deal_date</t>
  </si>
  <si>
    <t xml:space="preserve">year</t>
  </si>
  <si>
    <t xml:space="preserve">pharma_counterparty</t>
  </si>
  <si>
    <t xml:space="preserve">ai_counterparty</t>
  </si>
  <si>
    <t xml:space="preserve">deal_type</t>
  </si>
  <si>
    <t xml:space="preserve">upfront_usd_mm</t>
  </si>
  <si>
    <t xml:space="preserve">total_biobucks_usd_mm</t>
  </si>
  <si>
    <t xml:space="preserve">equity_component</t>
  </si>
  <si>
    <t xml:space="preserve">equity_flag_01</t>
  </si>
  <si>
    <t xml:space="preserve">program_scope</t>
  </si>
  <si>
    <t xml:space="preserve">evidence_tier</t>
  </si>
  <si>
    <t xml:space="preserve">source_url</t>
  </si>
  <si>
    <t xml:space="preserve">DL-001</t>
  </si>
  <si>
    <t xml:space="preserve">2024-01-07</t>
  </si>
  <si>
    <t xml:space="preserve">Eli Lilly</t>
  </si>
  <si>
    <t xml:space="preserve">Isomorphic Labs</t>
  </si>
  <si>
    <t xml:space="preserve">collaboration</t>
  </si>
  <si>
    <t xml:space="preserve">FALSE</t>
  </si>
  <si>
    <t xml:space="preserve">multi-target</t>
  </si>
  <si>
    <t xml:space="preserve">1</t>
  </si>
  <si>
    <t xml:space="preserve">https://www.prnewswire.com/news-releases/isomorphic-labs-announces-strategic-multi-target-research-collaboration-with-lilly-302027392.html</t>
  </si>
  <si>
    <t xml:space="preserve">DL-002</t>
  </si>
  <si>
    <t xml:space="preserve">Novartis</t>
  </si>
  <si>
    <t xml:space="preserve">https://www.prnewswire.com/news-releases/isomorphic-labs-announces-strategic-multi-target-research-collaboration-with-novartis-302027387.html</t>
  </si>
  <si>
    <t xml:space="preserve">DL-003</t>
  </si>
  <si>
    <t xml:space="preserve">2022-01-06</t>
  </si>
  <si>
    <t xml:space="preserve">Amgen</t>
  </si>
  <si>
    <t xml:space="preserve">Generate Biomedicines</t>
  </si>
  <si>
    <t xml:space="preserve">TRUE</t>
  </si>
  <si>
    <t xml:space="preserve">https://www.amgen.com/newsroom/press-releases/2022/01/amgen-and-generate-biomedicines-announce-multitarget-multimodality-research-collaboration-agreement</t>
  </si>
  <si>
    <t xml:space="preserve">DL-004</t>
  </si>
  <si>
    <t xml:space="preserve">2021-12-07</t>
  </si>
  <si>
    <t xml:space="preserve">Roche/Genentech</t>
  </si>
  <si>
    <t xml:space="preserve">Recursion</t>
  </si>
  <si>
    <t xml:space="preserve">platform partnership</t>
  </si>
  <si>
    <t xml:space="preserve">platform</t>
  </si>
  <si>
    <t xml:space="preserve">https://ir.recursion.com/news-releases/news-release-details/recursion-announces-transformational-collaboration-roche-and</t>
  </si>
  <si>
    <t xml:space="preserve">DL-005</t>
  </si>
  <si>
    <t xml:space="preserve">2022-11-08</t>
  </si>
  <si>
    <t xml:space="preserve">Sanofi</t>
  </si>
  <si>
    <t xml:space="preserve">Insilico Medicine</t>
  </si>
  <si>
    <t xml:space="preserve">https://www.globenewswire.com/news-release/2022/11/08/2551039/31533/en/Insilico-Medicine-Signs-Strategic-Research-Collaboration-with-Sanofi-worth-up-to-1-2-Billion.html</t>
  </si>
  <si>
    <t xml:space="preserve">DL-006</t>
  </si>
  <si>
    <t xml:space="preserve">2024-06-25</t>
  </si>
  <si>
    <t xml:space="preserve">OpenAI</t>
  </si>
  <si>
    <t xml:space="preserve">https://investor.lilly.com/news-releases/news-release-details/lilly-collaborates-openai-discover-novel-medicines-treat-drug</t>
  </si>
  <si>
    <t xml:space="preserve">DL-007</t>
  </si>
  <si>
    <t xml:space="preserve">2023-05-30</t>
  </si>
  <si>
    <t xml:space="preserve">XtalPi</t>
  </si>
  <si>
    <t xml:space="preserve">single target</t>
  </si>
  <si>
    <t xml:space="preserve">https://www.prnewswire.com/news-releases/xtalpi-announces-collaboration-with-lilly-using-ai--robotics-to-uncover-first-in-class-therapeutics-301837142.html</t>
  </si>
  <si>
    <t xml:space="preserve">DL-008</t>
  </si>
  <si>
    <t xml:space="preserve">2021-07-08</t>
  </si>
  <si>
    <t xml:space="preserve">Verge Genomics</t>
  </si>
  <si>
    <t xml:space="preserve">https://www.businesswire.com/news/home/20210708005085/en/Verge-Genomics-Announces-Three-Year-Collaboration-With-Lilly-to-Discover-and-Develop-Novel-Treatments-Using-Its-AI-Driven-All-in-Human-Platform</t>
  </si>
  <si>
    <t xml:space="preserve">DL-009</t>
  </si>
  <si>
    <t xml:space="preserve">2024-09-05</t>
  </si>
  <si>
    <t xml:space="preserve">Genetic Leap</t>
  </si>
  <si>
    <t xml:space="preserve">https://www.prnewswire.com/news-releases/genetic-leap-and-lilly-enter-collaboration-to-accelerate-genetic-medicine-development-with-ai-302239471.html</t>
  </si>
  <si>
    <t xml:space="preserve">DL-010</t>
  </si>
  <si>
    <t xml:space="preserve">2019-06-04</t>
  </si>
  <si>
    <t xml:space="preserve">Atomwise</t>
  </si>
  <si>
    <t xml:space="preserve">https://www.genengnews.com/topics/artificial-intelligence/lilly-inks-up-to-560m-ai-drug-discovery-collaboration-with-atomwise/</t>
  </si>
  <si>
    <t xml:space="preserve">DL-011</t>
  </si>
  <si>
    <t xml:space="preserve">2020-03-13</t>
  </si>
  <si>
    <t xml:space="preserve">AbCellera</t>
  </si>
  <si>
    <t xml:space="preserve">https://investors.abcellera.com/news/news-releases/2020/AbCellera-Announces-Multi-Year-Antibody-Discovery-Collaboration-with-Lilly/default.aspx</t>
  </si>
  <si>
    <t xml:space="preserve">DL-012</t>
  </si>
  <si>
    <t xml:space="preserve">2020-12-31</t>
  </si>
  <si>
    <t xml:space="preserve">license</t>
  </si>
  <si>
    <t xml:space="preserve">https://www.theglobeandmail.com/business/article-abcellera-made-200-million-in-royalties-from-its-covid-19-treatment/</t>
  </si>
  <si>
    <t xml:space="preserve">DL-013</t>
  </si>
  <si>
    <t xml:space="preserve">2024-07-31</t>
  </si>
  <si>
    <t xml:space="preserve">https://investors.abcellera.com/news/news-releases/2024/AbCellera-and-Lilly-Expand-Collaboration-to-Develop-Antibody-Medicines/default.aspx</t>
  </si>
  <si>
    <t xml:space="preserve">DL-014</t>
  </si>
  <si>
    <t xml:space="preserve">2021-05-19</t>
  </si>
  <si>
    <t xml:space="preserve">Bristol Myers Squibb</t>
  </si>
  <si>
    <t xml:space="preserve">Exscientia</t>
  </si>
  <si>
    <t xml:space="preserve">https://www.businesswire.com/news/home/20210519005180/en/Exscientia-announces-multi-target-AI-driven-drug-discovery-collaboration-with-Bristol-Myers-Squibb</t>
  </si>
  <si>
    <t xml:space="preserve">DL-015</t>
  </si>
  <si>
    <t xml:space="preserve">2020-04-15</t>
  </si>
  <si>
    <t xml:space="preserve">Insitro</t>
  </si>
  <si>
    <t xml:space="preserve">https://www.goodwinlaw.com/en/news-and-events/news/2020/10/10_28-insitro-announces</t>
  </si>
  <si>
    <t xml:space="preserve">DL-016</t>
  </si>
  <si>
    <t xml:space="preserve">2022-09-20</t>
  </si>
  <si>
    <t xml:space="preserve">Pfizer</t>
  </si>
  <si>
    <t xml:space="preserve">CytoReason</t>
  </si>
  <si>
    <t xml:space="preserve">https://www.pfizer.com/news/press-release/press-release-detail/cytoreason-announces-expanded-collaboration-deal-pfizer</t>
  </si>
  <si>
    <t xml:space="preserve">DL-017</t>
  </si>
  <si>
    <t xml:space="preserve">2019-12-12</t>
  </si>
  <si>
    <t xml:space="preserve">https://www.pfizer.com/news/press-release/press-release-detail/cytoreason-signs-collaboration-agreement-pfizer-inc-utilize</t>
  </si>
  <si>
    <t xml:space="preserve">DL-018</t>
  </si>
  <si>
    <t xml:space="preserve">2018-09-17</t>
  </si>
  <si>
    <t xml:space="preserve">research services</t>
  </si>
  <si>
    <t xml:space="preserve">https://www.businesswire.com/news/home/20180917005163/en/Atomwise-Enters-Evaluation-Agreement-Pfizer</t>
  </si>
  <si>
    <t xml:space="preserve">DL-019</t>
  </si>
  <si>
    <t xml:space="preserve">2022-01-11</t>
  </si>
  <si>
    <t xml:space="preserve">PostEra</t>
  </si>
  <si>
    <t xml:space="preserve">https://www.prnewswire.com/news-releases/postera-announces-260m-multi-target-strategic-ai-lab-collaboration-with-pfizer-301457261.html</t>
  </si>
  <si>
    <t xml:space="preserve">DL-020</t>
  </si>
  <si>
    <t xml:space="preserve">2025-01-13</t>
  </si>
  <si>
    <t xml:space="preserve">https://www.prnewswire.com/news-releases/postera-announces-expansion-to-610m-in-their-ai-drug-discovery-collaboration-with-pfizer-302342047.html</t>
  </si>
  <si>
    <t xml:space="preserve">DL-021</t>
  </si>
  <si>
    <t xml:space="preserve">2023-09-19</t>
  </si>
  <si>
    <t xml:space="preserve">Merck KGaA</t>
  </si>
  <si>
    <t xml:space="preserve">BenevolentAI</t>
  </si>
  <si>
    <t xml:space="preserve">https://www.businesswire.com/news/home/20230919017658/en/BenevolentAI-Signs-Strategic-Collaboration-with-Merck</t>
  </si>
  <si>
    <t xml:space="preserve">DL-022</t>
  </si>
  <si>
    <t xml:space="preserve">https://investors.exscientia.ai/press-releases/press-release-details/2023/Exscientia-Announces-AI-Drug-Discovery-Collaboration-with-Merck-KGaA-Darmstadt-Germany/default.aspx</t>
  </si>
  <si>
    <t xml:space="preserve">DL-023</t>
  </si>
  <si>
    <t xml:space="preserve">2025-09-23</t>
  </si>
  <si>
    <t xml:space="preserve">Merck &amp; Co (MRK)</t>
  </si>
  <si>
    <t xml:space="preserve">Variational AI</t>
  </si>
  <si>
    <t xml:space="preserve">https://www.businesswire.com/news/home/20250923751722/en/Variational-AI-Enters-Collaboration-with-Merck-to-Apply-Generative-AI-to-Drug-Discovery</t>
  </si>
  <si>
    <t xml:space="preserve">DL-024</t>
  </si>
  <si>
    <t xml:space="preserve">2022-01-12</t>
  </si>
  <si>
    <t xml:space="preserve">Absci</t>
  </si>
  <si>
    <t xml:space="preserve">https://www.absci.com/partnerships/</t>
  </si>
  <si>
    <t xml:space="preserve">DL-025</t>
  </si>
  <si>
    <t xml:space="preserve">2020-11-23</t>
  </si>
  <si>
    <t xml:space="preserve">Schrödinger</t>
  </si>
  <si>
    <t xml:space="preserve">https://ir.schrodinger.com/press-releases/news-details/2020/Schrdinger-Announces-a-Multi-Target-Drug-Discovery-Development-and-Commercialization-Collaboration-with-Bristol-Myers-Squibb-11-23-2020/default.aspx</t>
  </si>
  <si>
    <t xml:space="preserve">DL-026</t>
  </si>
  <si>
    <t xml:space="preserve">2024-11-12</t>
  </si>
  <si>
    <t xml:space="preserve">https://ir.schrodinger.com/press-releases/news-details/2024/Schrdinger-Announces-Multi-Target-Collaboration-and-Expanded-Software-Licensing-Agreement-with-Novartis/default.aspx</t>
  </si>
  <si>
    <t xml:space="preserve">DL-027</t>
  </si>
  <si>
    <t xml:space="preserve">2023-01-10</t>
  </si>
  <si>
    <t xml:space="preserve">Otsuka</t>
  </si>
  <si>
    <t xml:space="preserve">https://www.otsuka.co.jp/en/company/newsreleases/2023/20230110_1.html</t>
  </si>
  <si>
    <t xml:space="preserve">DL-028</t>
  </si>
  <si>
    <t xml:space="preserve">2022-04-19</t>
  </si>
  <si>
    <t xml:space="preserve">https://thehealthcaretechnologyreport.com/eli-lilly-enters-into-425m-small-molecule-arrangement-with-schrodinger/</t>
  </si>
  <si>
    <t xml:space="preserve">DL-029</t>
  </si>
  <si>
    <t xml:space="preserve">2020-01-13</t>
  </si>
  <si>
    <t xml:space="preserve">Bayer</t>
  </si>
  <si>
    <t xml:space="preserve">https://investors.exscientia.ai/press-releases/press-release-details/2020/Bayer-and-Exscientia-collaborate-to-leverage-the-potential-of-artificial-intelligence-in-cardiovascular-and-oncology-drug-discovery/default.aspx</t>
  </si>
  <si>
    <t xml:space="preserve">DL-030</t>
  </si>
  <si>
    <t xml:space="preserve">2020-09-09</t>
  </si>
  <si>
    <t xml:space="preserve">https://recursion.com/news/bayer-partnership</t>
  </si>
  <si>
    <t xml:space="preserve">DL-031</t>
  </si>
  <si>
    <t xml:space="preserve">2023-11-09</t>
  </si>
  <si>
    <t xml:space="preserve">https://www.globenewswire.com/news-release/2023/11/09/2777499/0/en/Bayer-and-Recursion-Focus-Research-Collaboration-on-Oncology.html</t>
  </si>
  <si>
    <t xml:space="preserve">DL-032</t>
  </si>
  <si>
    <t xml:space="preserve">2019-04-30</t>
  </si>
  <si>
    <t xml:space="preserve">AstraZeneca</t>
  </si>
  <si>
    <t xml:space="preserve">https://www.astrazeneca.com/media-centre/press-releases/2019/astrazeneca-starts-artificial-intelligence-collaboration-to-accelerate-drug-discovery-30042019.html</t>
  </si>
  <si>
    <t xml:space="preserve">DL-033</t>
  </si>
  <si>
    <t xml:space="preserve">2022-01-04</t>
  </si>
  <si>
    <t xml:space="preserve">https://www.benevolent.com/news-and-media/press-releases-and-in-media/benevolentai-announces-3-year-collaboration-expansion-astrazeneca-focused-systemic-lupus-erythematosus-and-heart-failure/</t>
  </si>
  <si>
    <t xml:space="preserve">DL-034</t>
  </si>
  <si>
    <t xml:space="preserve">2023-12-04</t>
  </si>
  <si>
    <t xml:space="preserve">https://investors.absci.com/news-releases/news-release-details/absci-announces-collaboration-astrazeneca-advance-ai-driven</t>
  </si>
  <si>
    <t xml:space="preserve">DL-035</t>
  </si>
  <si>
    <t xml:space="preserve">2023-09-25</t>
  </si>
  <si>
    <t xml:space="preserve">https://www.polsinelli.com/news/polsinelli-represents-verge-genomics-in-ai-enabled-drug-discovery-collaboration-with-alexion-astrazeneca-rare-disease-worth-up-to-840-million</t>
  </si>
  <si>
    <t xml:space="preserve">DL-036</t>
  </si>
  <si>
    <t xml:space="preserve">2022-10-25</t>
  </si>
  <si>
    <t xml:space="preserve">GSK</t>
  </si>
  <si>
    <t xml:space="preserve">Tempus AI</t>
  </si>
  <si>
    <t xml:space="preserve">https://www.gsk.com/en-gb/media/press-releases/gsk-announces-expanded-collaboration-with-tempus-in-precision-medicine-to-accelerate-rd/</t>
  </si>
  <si>
    <t xml:space="preserve">DL-037</t>
  </si>
  <si>
    <t xml:space="preserve">2020-12-01</t>
  </si>
  <si>
    <t xml:space="preserve">Cerebras</t>
  </si>
  <si>
    <t xml:space="preserve">https://www.gsk.ai/publications/epigenomic-language-models-powered-by-cerebras/</t>
  </si>
  <si>
    <t xml:space="preserve">DL-038</t>
  </si>
  <si>
    <t xml:space="preserve">2019-10-01</t>
  </si>
  <si>
    <t xml:space="preserve">Microsoft</t>
  </si>
  <si>
    <t xml:space="preserve">https://www.novartis.com/news/novartis-and-microsoft-announce-collaboration-transform-medicine-artificial-intelligence</t>
  </si>
  <si>
    <t xml:space="preserve">DL-039</t>
  </si>
  <si>
    <t xml:space="preserve">2022-12-13</t>
  </si>
  <si>
    <t xml:space="preserve">Takeda</t>
  </si>
  <si>
    <t xml:space="preserve">Nimbus Therapeutics</t>
  </si>
  <si>
    <t xml:space="preserve">M&amp;A</t>
  </si>
  <si>
    <t xml:space="preserve">single asset</t>
  </si>
  <si>
    <t xml:space="preserve">https://www.takeda.com/newsroom/newsreleases/2022/takeda-to-acquire-late-stage-potential-best-in-class-oral-allosteric-tyk2-inhibitor--ndi-034858-from-nimbus-therapeutics/</t>
  </si>
  <si>
    <t xml:space="preserve">DL-040</t>
  </si>
  <si>
    <t xml:space="preserve">2024-08-08</t>
  </si>
  <si>
    <t xml:space="preserve">full company</t>
  </si>
  <si>
    <t xml:space="preserve">https://ir.recursion.com/news-releases/news-release-details/recursion-and-exscientia-enter-definitive-agreement-create</t>
  </si>
  <si>
    <t xml:space="preserve">DL-041</t>
  </si>
  <si>
    <t xml:space="preserve">2022-08-17</t>
  </si>
  <si>
    <t xml:space="preserve">https://www.businesswire.com/news/home/20220817005089/en/Atomwise-Signs-Strategic-Multi-Target-Research-Collaboration-with-Sanofi-for-AI-Powered-Drug-Discovery</t>
  </si>
  <si>
    <t xml:space="preserve">DL-042</t>
  </si>
  <si>
    <t xml:space="preserve">2021-11-18</t>
  </si>
  <si>
    <t xml:space="preserve">Owkin</t>
  </si>
  <si>
    <t xml:space="preserve">equity investment</t>
  </si>
  <si>
    <t xml:space="preserve">https://www.sanofi.com/en/media-room/press-releases/2021/2021-11-18-06-30-00-2336966</t>
  </si>
  <si>
    <t xml:space="preserve">DL-043</t>
  </si>
  <si>
    <t xml:space="preserve">2023-10-10</t>
  </si>
  <si>
    <t xml:space="preserve">BioMap</t>
  </si>
  <si>
    <t xml:space="preserve">https://www.businesswire.com/news/home/20231010485897/en/BioMap-Establishes-a-Strategic-Collaboration-with-Sanofi-to-Co-Develop-AI-Modules-to-Accelerate-Drug-Discovery-for-Biotherapeutics</t>
  </si>
  <si>
    <t xml:space="preserve">DL-044</t>
  </si>
  <si>
    <t xml:space="preserve">2024-05-21</t>
  </si>
  <si>
    <t xml:space="preserve">https://www.sanofi.com/en/media-room/press-releases/2024/2024-05-21-05-30-00-2885244</t>
  </si>
  <si>
    <t xml:space="preserve">DL-045</t>
  </si>
  <si>
    <t xml:space="preserve">2024-04-24</t>
  </si>
  <si>
    <t xml:space="preserve">Moderna</t>
  </si>
  <si>
    <t xml:space="preserve">https://www.modernatx.com/en-US/media-center/all-media/blogs/collaboration-with-openai</t>
  </si>
  <si>
    <t xml:space="preserve">DL-046</t>
  </si>
  <si>
    <t xml:space="preserve">2023-04-20</t>
  </si>
  <si>
    <t xml:space="preserve">IBM</t>
  </si>
  <si>
    <t xml:space="preserve">https://newsroom.ibm.com/2023-04-20-Moderna-and-IBM-to-Explore-Quantum-Computing-and-Generative-AI-for-mRNA-Science</t>
  </si>
  <si>
    <t xml:space="preserve">DL-047</t>
  </si>
  <si>
    <t xml:space="preserve">2024-09-11</t>
  </si>
  <si>
    <t xml:space="preserve">Gilead</t>
  </si>
  <si>
    <t xml:space="preserve">Genesis Therapeutics</t>
  </si>
  <si>
    <t xml:space="preserve">https://investors.gilead.com/news/news-details/2024/Gilead-and-Genesis-Therapeutics-Announce-Strategic-Collaboration-to-Discover-and-Develop-Novel-Therapies/default.aspx</t>
  </si>
  <si>
    <t xml:space="preserve">DL-048</t>
  </si>
  <si>
    <t xml:space="preserve">2024-12-17</t>
  </si>
  <si>
    <t xml:space="preserve">Terray Therapeutics</t>
  </si>
  <si>
    <t xml:space="preserve">https://investors.gilead.com/news/news-details/2024/Gilead-and-Terray-Therapeutics-Announce-Multi-Target-Research-Collaboration-to-Discover-and-Develop-Novel-Small-Molecule-Therapies/default.aspx</t>
  </si>
  <si>
    <t xml:space="preserve">DL-049</t>
  </si>
  <si>
    <t xml:space="preserve">AbbVie</t>
  </si>
  <si>
    <t xml:space="preserve">https://investors.abcellera.com/news/news-releases/2022/AbCellera-and-AbbVie-Partner-to-Advance-New-Antibody-Therapies/default.aspx</t>
  </si>
  <si>
    <t xml:space="preserve">DL-050</t>
  </si>
  <si>
    <t xml:space="preserve">https://investors.abcellera.com/news/news-releases/2025/AbCellera-Expands-Collaboration-with-AbbVie-to-Develop-Novel-T-Cell-Engagers-for-Oncology/default.aspx</t>
  </si>
  <si>
    <t xml:space="preserve">DL-051</t>
  </si>
  <si>
    <t xml:space="preserve">Anima Biotech</t>
  </si>
  <si>
    <t xml:space="preserve">https://news.abbvie.com/2023-01-10-AbbVie-and-Anima-Biotech-Announce-Collaboration-for-the-Discovery-and-Development-of-mRNA-Biology-Modulators-against-Oncology-and-Immunology-Targets</t>
  </si>
  <si>
    <t xml:space="preserve">DL-052</t>
  </si>
  <si>
    <t xml:space="preserve">2023-10-05</t>
  </si>
  <si>
    <t xml:space="preserve">Mitokinin</t>
  </si>
  <si>
    <t xml:space="preserve">https://news.abbvie.com/2023-10-05-AbbVie-Exercises-Exclusive-Right-to-Acquire-Mitokinin,-Further-Strengthening-Neuroscience-Pipeline</t>
  </si>
  <si>
    <t xml:space="preserve">DL-053</t>
  </si>
  <si>
    <t xml:space="preserve">2023-11-28</t>
  </si>
  <si>
    <t xml:space="preserve">Boehringer Ingelheim</t>
  </si>
  <si>
    <t xml:space="preserve">https://newsroom.ibm.com/2023-11-28-Boehringer-Ingelheim-and-IBM-Collaborate-to-Advance-Generative-AI-and-Foundation-Models-for-Therapeutic-Antibody-Development</t>
  </si>
  <si>
    <t xml:space="preserve">DL-054</t>
  </si>
  <si>
    <t xml:space="preserve">2023-09-11</t>
  </si>
  <si>
    <t xml:space="preserve">Novo Nordisk</t>
  </si>
  <si>
    <t xml:space="preserve">Valo Health</t>
  </si>
  <si>
    <t xml:space="preserve">https://www.valohealth.com/press/valo-health-and-novo-nordisk-expand-collaboration-to-discover-and-develop-novel-treatments-for-cardiometabolic-diseases</t>
  </si>
  <si>
    <t xml:space="preserve">DL-055</t>
  </si>
  <si>
    <t xml:space="preserve">DL-056</t>
  </si>
  <si>
    <t xml:space="preserve">2023-09-12</t>
  </si>
  <si>
    <t xml:space="preserve">Exelixis</t>
  </si>
  <si>
    <t xml:space="preserve">https://ir.exelixis.com/news-releases/news-release-details/exelixis-and-insilico-medicine-enter-exclusive-global-license</t>
  </si>
  <si>
    <t xml:space="preserve">DL-057</t>
  </si>
  <si>
    <t xml:space="preserve">2020-01-30</t>
  </si>
  <si>
    <t xml:space="preserve">Sumitomo Pharma</t>
  </si>
  <si>
    <t xml:space="preserve">https://www.sumitomo-pharma.com/news/20200130.html</t>
  </si>
  <si>
    <t xml:space="preserve">DL-058</t>
  </si>
  <si>
    <t xml:space="preserve">2023-10-15</t>
  </si>
  <si>
    <t xml:space="preserve">https://www.fiercebiotech.com/biotech/ai-drug-hunter-exscientia-chops-down-rapidly-emerging-pipeline-focus-2-main-oncology</t>
  </si>
  <si>
    <t xml:space="preserve">DL-059</t>
  </si>
  <si>
    <t xml:space="preserve">2025-03-31</t>
  </si>
  <si>
    <t xml:space="preserve">Alphabet (Isomorphic spinout)</t>
  </si>
  <si>
    <t xml:space="preserve">Thrive Capital + GV</t>
  </si>
  <si>
    <t xml:space="preserve">single company</t>
  </si>
  <si>
    <t xml:space="preserve">https://www.isomorphiclabs.com/articles/isomorphic-labs-announces-600m-external-investment-round</t>
  </si>
  <si>
    <t xml:space="preserve">DL-060</t>
  </si>
  <si>
    <t xml:space="preserve">2021-03-15</t>
  </si>
  <si>
    <t xml:space="preserve">Insitro / multiple LPs</t>
  </si>
  <si>
    <t xml:space="preserve">https://www.insitro.com/news/insitro-raises-400-million-in-series-c-financing-2/</t>
  </si>
  <si>
    <t xml:space="preserve">DL-061</t>
  </si>
  <si>
    <t xml:space="preserve">2021-12-06</t>
  </si>
  <si>
    <t xml:space="preserve">https://www.prnewswire.com/news-releases/recursion-and-bayer-expand-fibrosis-collaboration-to-include-inferential-search-capabilities-301437525.html</t>
  </si>
  <si>
    <t xml:space="preserve">DL-062</t>
  </si>
  <si>
    <t xml:space="preserve">2022-01-25</t>
  </si>
  <si>
    <t xml:space="preserve">2</t>
  </si>
  <si>
    <t xml:space="preserve">https://www.recursion.com/partners</t>
  </si>
  <si>
    <t xml:space="preserve">DL-063</t>
  </si>
  <si>
    <t xml:space="preserve">DL-064</t>
  </si>
  <si>
    <t xml:space="preserve">2025-11-05</t>
  </si>
  <si>
    <t xml:space="preserve">https://ir.recursion.com/news-releases/news-release-details/recursion-reports-third-quarter-2025-financial-results-and</t>
  </si>
  <si>
    <t xml:space="preserve">DL-065</t>
  </si>
  <si>
    <t xml:space="preserve">2026-01-09</t>
  </si>
  <si>
    <t xml:space="preserve">https://ir.schrodinger.com/press-releases/news-details/2026/Schrdinger-Partners-with-Lilly-to-Make-TuneLab-Platform-Available-in-LiveDesign/default.aspx</t>
  </si>
  <si>
    <t xml:space="preserve">DL-066</t>
  </si>
  <si>
    <t xml:space="preserve">2025-06-04</t>
  </si>
  <si>
    <t xml:space="preserve">https://www.prnewswire.com/news-releases/xtalpi-and-pfizer-expand-strategic-collaboration-to-advance-ai-driven-drug-discovery-and-materials-science-simulations-302494033.html</t>
  </si>
  <si>
    <t xml:space="preserve">DL-067</t>
  </si>
  <si>
    <t xml:space="preserve">2023-05-15</t>
  </si>
  <si>
    <t xml:space="preserve">Hummingbird Bioscience</t>
  </si>
  <si>
    <t xml:space="preserve">https://hummingbirdbioscience.com/hummingbird-bioscience-and-merck-enter-collaboration-to-evaluate-hmbd-001-in-squamous-non-small-cell-lung-carcinoma/</t>
  </si>
  <si>
    <t xml:space="preserve">DL-068</t>
  </si>
  <si>
    <t xml:space="preserve">2025-09-15</t>
  </si>
  <si>
    <t xml:space="preserve">Google Cloud</t>
  </si>
  <si>
    <t xml:space="preserve">https://www.merck.com/news/merck-and-google-cloud-partner-to-accelerate-agentic-ai-enterprise-transformation/</t>
  </si>
  <si>
    <t xml:space="preserve">DL-069</t>
  </si>
  <si>
    <t xml:space="preserve">2022-11-22</t>
  </si>
  <si>
    <t xml:space="preserve">Roche</t>
  </si>
  <si>
    <t xml:space="preserve">single TA</t>
  </si>
  <si>
    <t xml:space="preserve">https://www.nature.com/articles/s41591-022-02155-w</t>
  </si>
  <si>
    <t xml:space="preserve">DL-070</t>
  </si>
  <si>
    <t xml:space="preserve">2025-04-15</t>
  </si>
  <si>
    <t xml:space="preserve">https://www.eurekalert.org/news-releases/1063134</t>
  </si>
  <si>
    <t xml:space="preserve">DL-071</t>
  </si>
  <si>
    <t xml:space="preserve">2026-03-01</t>
  </si>
  <si>
    <t xml:space="preserve">Rentosertib asset license</t>
  </si>
  <si>
    <t xml:space="preserve">https://insilico.com/news/lilly-rentosertib-2026</t>
  </si>
  <si>
    <t xml:space="preserve">Source data — AI Pipeline (82 from Jayatunga 2024 + 4 new additions verified via fact-check)</t>
  </si>
  <si>
    <t xml:space="preserve">Chart 2, Chart 3b reference this tab. Outcome category drives funnel; first-in-human year drives the cumulative cohort chart.</t>
  </si>
  <si>
    <t xml:space="preserve">asset_name</t>
  </si>
  <si>
    <t xml:space="preserve">company</t>
  </si>
  <si>
    <t xml:space="preserve">modality</t>
  </si>
  <si>
    <t xml:space="preserve">target</t>
  </si>
  <si>
    <t xml:space="preserve">indication</t>
  </si>
  <si>
    <t xml:space="preserve">ai_mode</t>
  </si>
  <si>
    <t xml:space="preserve">highest_phase</t>
  </si>
  <si>
    <t xml:space="preserve">outcome</t>
  </si>
  <si>
    <t xml:space="preserve">first_in_human_year</t>
  </si>
  <si>
    <t xml:space="preserve">source</t>
  </si>
  <si>
    <t xml:space="preserve">status_note</t>
  </si>
  <si>
    <t xml:space="preserve">nct_or_url</t>
  </si>
  <si>
    <t xml:space="preserve">Zasocitinib (NDI-034858)</t>
  </si>
  <si>
    <t xml:space="preserve">Nimbus / Takeda</t>
  </si>
  <si>
    <t xml:space="preserve">Small molecule</t>
  </si>
  <si>
    <t xml:space="preserve">TYK2</t>
  </si>
  <si>
    <t xml:space="preserve">Plaque Psoriasis</t>
  </si>
  <si>
    <t xml:space="preserve">Small molecule design (FEP+)</t>
  </si>
  <si>
    <t xml:space="preserve">Phase III</t>
  </si>
  <si>
    <t xml:space="preserve">Clear winner</t>
  </si>
  <si>
    <t xml:space="preserve">Jayatunga</t>
  </si>
  <si>
    <t xml:space="preserve">Phase III (Dec 2025): all co-primary + 44 secondary endpoints met. &gt;50% PASI 90 at wk 16, ~30% PASI 100. Beat placebo + apremilast. $4B + $2B milestones.</t>
  </si>
  <si>
    <t xml:space="preserve">Rentosertib (INS018-055)</t>
  </si>
  <si>
    <t xml:space="preserve">TNIK</t>
  </si>
  <si>
    <t xml:space="preserve">IPF</t>
  </si>
  <si>
    <t xml:space="preserve">Generative AI (target + molecule)</t>
  </si>
  <si>
    <t xml:space="preserve">Phase IIa → III</t>
  </si>
  <si>
    <t xml:space="preserve">+98.4 mL FVC improvement vs. -62.3 mL placebo. Published Nature Medicine Jun 2025. Lilly signed $2.75B deal Mar 2026. 18-mo target-to-IND.</t>
  </si>
  <si>
    <t xml:space="preserve">Rilvegostomig</t>
  </si>
  <si>
    <t xml:space="preserve">Compugen / AstraZeneca</t>
  </si>
  <si>
    <t xml:space="preserve">Antibody</t>
  </si>
  <si>
    <t xml:space="preserve">PD-1/TIGIT bispecific</t>
  </si>
  <si>
    <t xml:space="preserve">NSCLC, Gastric</t>
  </si>
  <si>
    <t xml:space="preserve">Computational target discovery</t>
  </si>
  <si>
    <t xml:space="preserve">Phase 1b → III</t>
  </si>
  <si>
    <t xml:space="preserve">Positive but early</t>
  </si>
  <si>
    <t xml:space="preserve">57.5% ORR + 95% DCR in 1L NSCLC (combo w/ Datroway). Licensed to AZ. Multiple Phase III trials. Note: TIGIT co-discovered by 3 groups in 2009 using bioinformatics.</t>
  </si>
  <si>
    <t xml:space="preserve">Dexmedetomidine (BXCL-501)</t>
  </si>
  <si>
    <t xml:space="preserve">BioXcel Therapeutics</t>
  </si>
  <si>
    <t xml:space="preserve">Adrenoceptor alpha 2A</t>
  </si>
  <si>
    <t xml:space="preserve">Agitation in dementia</t>
  </si>
  <si>
    <t xml:space="preserve">Repurposing</t>
  </si>
  <si>
    <t xml:space="preserve">Successful (completed phase)</t>
  </si>
  <si>
    <t xml:space="preserve">TRANQUILITY II Phase 3 met primary + all secondary endpoints for Alzheimer's-related agitation. FDA approved.</t>
  </si>
  <si>
    <t xml:space="preserve">REC-4881</t>
  </si>
  <si>
    <t xml:space="preserve">MEK1/2</t>
  </si>
  <si>
    <t xml:space="preserve">FAP / AXIN1/APC Cancers</t>
  </si>
  <si>
    <t xml:space="preserve">Phase 1b/2</t>
  </si>
  <si>
    <t xml:space="preserve">TUPELO: 75% polyp burden reduction. 53% median reduction sustained at wk 25 post-discontinuation. Clean safety.</t>
  </si>
  <si>
    <t xml:space="preserve">EVX-01</t>
  </si>
  <si>
    <t xml:space="preserve">Evaxion Biotech</t>
  </si>
  <si>
    <t xml:space="preserve">Vaccine</t>
  </si>
  <si>
    <t xml:space="preserve">Neoantigen vaccine</t>
  </si>
  <si>
    <t xml:space="preserve">Melanoma</t>
  </si>
  <si>
    <t xml:space="preserve">Vaccine design (AI neoantigen prediction)</t>
  </si>
  <si>
    <t xml:space="preserve">Phase II</t>
  </si>
  <si>
    <t xml:space="preserve">Combo w/ Keytruda: 75% ORR at 2 yrs. 4 CRs / 16 pts. 92% responders durable at 24 mo. AI predicted T-cell response in 81%.</t>
  </si>
  <si>
    <t xml:space="preserve">SGR-1505</t>
  </si>
  <si>
    <t xml:space="preserve">MALT1</t>
  </si>
  <si>
    <t xml:space="preserve">B-cell Neoplasms</t>
  </si>
  <si>
    <t xml:space="preserve">Phase I</t>
  </si>
  <si>
    <t xml:space="preserve">49 pts. Well-tolerated, no DLTs. Responses across CLL, Waldenström's, MZL. FDA Fast Track designation (EHA 2025).</t>
  </si>
  <si>
    <t xml:space="preserve">SGR-2921</t>
  </si>
  <si>
    <t xml:space="preserve">CDC7</t>
  </si>
  <si>
    <t xml:space="preserve">AML/MDS</t>
  </si>
  <si>
    <t xml:space="preserve">Failed / Terminated</t>
  </si>
  <si>
    <t xml:space="preserve">Two treatment-related patient deaths in Phase I dose escalation. Shut down Aug 2025.</t>
  </si>
  <si>
    <t xml:space="preserve">REC-2282</t>
  </si>
  <si>
    <t xml:space="preserve">HDAC</t>
  </si>
  <si>
    <t xml:space="preserve">NF2 Meningiomas</t>
  </si>
  <si>
    <t xml:space="preserve">Phase II passed futility threshold in 40mg cohort. Limited tumor shrinkage.</t>
  </si>
  <si>
    <t xml:space="preserve">GV20-0251</t>
  </si>
  <si>
    <t xml:space="preserve">GV20 Therapeutics</t>
  </si>
  <si>
    <t xml:space="preserve">IGSF8</t>
  </si>
  <si>
    <t xml:space="preserve">Solid Tumors</t>
  </si>
  <si>
    <t xml:space="preserve">Antibody design</t>
  </si>
  <si>
    <t xml:space="preserve">38 pts. No DLTs up to 20 mg/kg. 2 confirmed PRs in metastatic melanoma (12 evaluable).</t>
  </si>
  <si>
    <t xml:space="preserve">ISM5411</t>
  </si>
  <si>
    <t xml:space="preserve">PHD inhibitor</t>
  </si>
  <si>
    <t xml:space="preserve">IBD (UC)</t>
  </si>
  <si>
    <t xml:space="preserve">Generative AI (molecule design)</t>
  </si>
  <si>
    <t xml:space="preserve">Phase I → II</t>
  </si>
  <si>
    <t xml:space="preserve">Positive in 2 Phase I trials (AU + CN). Gut-restricted PK, no serious AEs. Designed in 12 mo, ~115 molecules.</t>
  </si>
  <si>
    <t xml:space="preserve">TOS-358</t>
  </si>
  <si>
    <t xml:space="preserve">Totus Medicines</t>
  </si>
  <si>
    <t xml:space="preserve">PI3Kα</t>
  </si>
  <si>
    <t xml:space="preserve">Solid Tumors (breast)</t>
  </si>
  <si>
    <t xml:space="preserve">Small molecule design</t>
  </si>
  <si>
    <t xml:space="preserve">Phase I (expansion)</t>
  </si>
  <si>
    <t xml:space="preserve">50% CBR. 75% DCR in PI3Kα-mutant breast CA. No bone marrow/liver/ocular/skin tox — major differentiator vs. older PI3Ki.</t>
  </si>
  <si>
    <t xml:space="preserve">VRG-50635</t>
  </si>
  <si>
    <t xml:space="preserve">PIKfyve</t>
  </si>
  <si>
    <t xml:space="preserve">ALS</t>
  </si>
  <si>
    <t xml:space="preserve">Target discovery (AI platform)</t>
  </si>
  <si>
    <t xml:space="preserve">Phase I → 1b</t>
  </si>
  <si>
    <t xml:space="preserve">Phase I HVs clean safety + once-daily PK. Phase 1b PoC in ALS enrolled Aug 2024.</t>
  </si>
  <si>
    <t xml:space="preserve">Omilancor</t>
  </si>
  <si>
    <t xml:space="preserve">Landos Biopharma / NImmune</t>
  </si>
  <si>
    <t xml:space="preserve">LanC like 2</t>
  </si>
  <si>
    <t xml:space="preserve">UC, Crohn's</t>
  </si>
  <si>
    <t xml:space="preserve">Target discovery</t>
  </si>
  <si>
    <t xml:space="preserve">Phase I + Phase II both successful for UC and Crohn's disease.</t>
  </si>
  <si>
    <t xml:space="preserve">HFB-200301</t>
  </si>
  <si>
    <t xml:space="preserve">HiFiBiO</t>
  </si>
  <si>
    <t xml:space="preserve">TNFR2 Agonist</t>
  </si>
  <si>
    <t xml:space="preserve">IO-refractory tumors</t>
  </si>
  <si>
    <t xml:space="preserve">ESMO 2024: promise in mono + combo w/ anti-PD-1. Informing Phase 2 dose selection.</t>
  </si>
  <si>
    <t xml:space="preserve">HFB-200603</t>
  </si>
  <si>
    <t xml:space="preserve">BTLA Antagonist</t>
  </si>
  <si>
    <t xml:space="preserve">Oncology</t>
  </si>
  <si>
    <t xml:space="preserve">ESMO 2024: early safety/PK data.</t>
  </si>
  <si>
    <t xml:space="preserve">HST-1011</t>
  </si>
  <si>
    <t xml:space="preserve">HotSpot Therapeutics</t>
  </si>
  <si>
    <t xml:space="preserve">CBL-B inhibitor</t>
  </si>
  <si>
    <t xml:space="preserve">Phase I/II</t>
  </si>
  <si>
    <t xml:space="preserve">ESMO 2024: immune activation biomarkers in blood + tumor. No efficacy readout yet.</t>
  </si>
  <si>
    <t xml:space="preserve">HMBD-001</t>
  </si>
  <si>
    <t xml:space="preserve">HER3</t>
  </si>
  <si>
    <t xml:space="preserve">43% DCR. 1 PR with 51% tumor shrinkage. No DLTs. HMBD-002 licensed to Percheron Jun 2025.</t>
  </si>
  <si>
    <t xml:space="preserve">GTAEXS617</t>
  </si>
  <si>
    <t xml:space="preserve">CDK7</t>
  </si>
  <si>
    <t xml:space="preserve">Phase I dose escalation ongoing H2 2024. Exscientia acquired full rights Jul 2024.</t>
  </si>
  <si>
    <t xml:space="preserve">A2A-252</t>
  </si>
  <si>
    <t xml:space="preserve">A2A Pharmaceuticals</t>
  </si>
  <si>
    <t xml:space="preserve">TACC3</t>
  </si>
  <si>
    <t xml:space="preserve">22% avg tumor reduction in 67% of pts at &lt;1/3 MTD (Bernstein Ex 14).</t>
  </si>
  <si>
    <t xml:space="preserve">BMF-219</t>
  </si>
  <si>
    <t xml:space="preserve">A2A Pharma / Biomea Fusion</t>
  </si>
  <si>
    <t xml:space="preserve">Ongoing</t>
  </si>
  <si>
    <t xml:space="preserve">Ph I successful, Ph I/II ongoing.</t>
  </si>
  <si>
    <t xml:space="preserve">Monoclonal antibodies, Teva</t>
  </si>
  <si>
    <t xml:space="preserve">AbCellera Biologics</t>
  </si>
  <si>
    <t xml:space="preserve">AC-682</t>
  </si>
  <si>
    <t xml:space="preserve">Accutar Biotechnology</t>
  </si>
  <si>
    <t xml:space="preserve">AC-0176</t>
  </si>
  <si>
    <t xml:space="preserve">AC-0676</t>
  </si>
  <si>
    <t xml:space="preserve">BTK Degrader</t>
  </si>
  <si>
    <t xml:space="preserve">Heme malignancies</t>
  </si>
  <si>
    <t xml:space="preserve">First patient dosed Jun 2023. No public results.</t>
  </si>
  <si>
    <t xml:space="preserve">AC-699</t>
  </si>
  <si>
    <t xml:space="preserve">ATH-63</t>
  </si>
  <si>
    <t xml:space="preserve">Athos Therapeutics</t>
  </si>
  <si>
    <t xml:space="preserve">Target discovery + molecule design</t>
  </si>
  <si>
    <t xml:space="preserve">AU-409</t>
  </si>
  <si>
    <t xml:space="preserve">Auransa</t>
  </si>
  <si>
    <t xml:space="preserve">Undisclosed</t>
  </si>
  <si>
    <t xml:space="preserve">HCC</t>
  </si>
  <si>
    <t xml:space="preserve">First patient dosed 2023 USC Norris. No results yet.</t>
  </si>
  <si>
    <t xml:space="preserve">BEN-2293</t>
  </si>
  <si>
    <t xml:space="preserve">Pan-TRK</t>
  </si>
  <si>
    <t xml:space="preserve">Atopic dermatitis</t>
  </si>
  <si>
    <t xml:space="preserve">Ph I successful but Ph II unsuccessful.</t>
  </si>
  <si>
    <t xml:space="preserve">BEN-8744</t>
  </si>
  <si>
    <t xml:space="preserve">Bavisant</t>
  </si>
  <si>
    <t xml:space="preserve">Phase completed but asset removed from pipeline.</t>
  </si>
  <si>
    <t xml:space="preserve">BGE-105 (Azelaprag)</t>
  </si>
  <si>
    <t xml:space="preserve">BioAge Labs</t>
  </si>
  <si>
    <t xml:space="preserve">Apelin receptor</t>
  </si>
  <si>
    <t xml:space="preserve">Obesity</t>
  </si>
  <si>
    <t xml:space="preserve">Elevated liver enzymes. BioAge shut down program after IPO.</t>
  </si>
  <si>
    <t xml:space="preserve">AU-007</t>
  </si>
  <si>
    <t xml:space="preserve">Biolojic Design / Aulos</t>
  </si>
  <si>
    <t xml:space="preserve">IL-2</t>
  </si>
  <si>
    <t xml:space="preserve">Talabostat (BXCL-701)</t>
  </si>
  <si>
    <t xml:space="preserve">Phase IIb</t>
  </si>
  <si>
    <t xml:space="preserve">Successful Phase IIa; now Phase IIb.</t>
  </si>
  <si>
    <t xml:space="preserve">BDTX-1535</t>
  </si>
  <si>
    <t xml:space="preserve">Black Diamond Therapeutics</t>
  </si>
  <si>
    <t xml:space="preserve">EGFR</t>
  </si>
  <si>
    <t xml:space="preserve">BDTX-189</t>
  </si>
  <si>
    <t xml:space="preserve">EGFR/HER2</t>
  </si>
  <si>
    <t xml:space="preserve">Ph I successful but Ph II terminated (reprioritisation).</t>
  </si>
  <si>
    <t xml:space="preserve">BDTX-4933</t>
  </si>
  <si>
    <t xml:space="preserve">C4X_3256/INDV-2000</t>
  </si>
  <si>
    <t xml:space="preserve">C4X Discovery / Indivior</t>
  </si>
  <si>
    <t xml:space="preserve">CEL-383</t>
  </si>
  <si>
    <t xml:space="preserve">Celsius Therapeutics</t>
  </si>
  <si>
    <t xml:space="preserve">Bapotulimab</t>
  </si>
  <si>
    <t xml:space="preserve">Compugen</t>
  </si>
  <si>
    <t xml:space="preserve">COM-701</t>
  </si>
  <si>
    <t xml:space="preserve">Influenza vaccine H7N9</t>
  </si>
  <si>
    <t xml:space="preserve">EpiVax</t>
  </si>
  <si>
    <t xml:space="preserve">Vaccine design</t>
  </si>
  <si>
    <t xml:space="preserve">EVX-02</t>
  </si>
  <si>
    <t xml:space="preserve">Cancer immunotherapy</t>
  </si>
  <si>
    <t xml:space="preserve">Ph I successful but terminated before Ph II to accelerate 2nd-gen platform.</t>
  </si>
  <si>
    <t xml:space="preserve">EVOEXS-21546</t>
  </si>
  <si>
    <t xml:space="preserve">A2a receptor</t>
  </si>
  <si>
    <t xml:space="preserve">Phase Ia successful but Ib/II terminated — couldn't reach therapeutic index.</t>
  </si>
  <si>
    <t xml:space="preserve">DSP-1181</t>
  </si>
  <si>
    <t xml:space="preserve">5-HT1A</t>
  </si>
  <si>
    <t xml:space="preserve">OCD</t>
  </si>
  <si>
    <t xml:space="preserve">Unsuccessful Phase I.</t>
  </si>
  <si>
    <t xml:space="preserve">DSP-0038</t>
  </si>
  <si>
    <t xml:space="preserve">EXS-617</t>
  </si>
  <si>
    <t xml:space="preserve">EXS-4318</t>
  </si>
  <si>
    <t xml:space="preserve">Exscientia *</t>
  </si>
  <si>
    <t xml:space="preserve">GB-0895</t>
  </si>
  <si>
    <t xml:space="preserve">Generate:Biomedicines</t>
  </si>
  <si>
    <t xml:space="preserve">HIV vaccine</t>
  </si>
  <si>
    <t xml:space="preserve">Gritstone Bio</t>
  </si>
  <si>
    <t xml:space="preserve">GRANITE-001</t>
  </si>
  <si>
    <t xml:space="preserve">Phase II/III</t>
  </si>
  <si>
    <t xml:space="preserve">Ph I successful, Ph II/III ongoing.</t>
  </si>
  <si>
    <t xml:space="preserve">SLATE-001</t>
  </si>
  <si>
    <t xml:space="preserve">Gritstone Bio *</t>
  </si>
  <si>
    <t xml:space="preserve">Sulindac (HLX-0201)</t>
  </si>
  <si>
    <t xml:space="preserve">Healx</t>
  </si>
  <si>
    <t xml:space="preserve">Terminated — delays in site activation.</t>
  </si>
  <si>
    <t xml:space="preserve">HST-5040</t>
  </si>
  <si>
    <t xml:space="preserve">HemoShear Therapeutics</t>
  </si>
  <si>
    <t xml:space="preserve">Terminated — business consideration.</t>
  </si>
  <si>
    <t xml:space="preserve">HFB-301001</t>
  </si>
  <si>
    <t xml:space="preserve">OX40 Agonist</t>
  </si>
  <si>
    <t xml:space="preserve">Expected Jan 2025. No public results.</t>
  </si>
  <si>
    <t xml:space="preserve">HMBD-002</t>
  </si>
  <si>
    <t xml:space="preserve">VISTA</t>
  </si>
  <si>
    <t xml:space="preserve">Ph I completed. Licensed to Percheron for Phase 2 (Jun 2025).</t>
  </si>
  <si>
    <t xml:space="preserve">ISM012-042</t>
  </si>
  <si>
    <t xml:space="preserve">ISM-0003091</t>
  </si>
  <si>
    <t xml:space="preserve">Insilico Medicine / Exelixis</t>
  </si>
  <si>
    <t xml:space="preserve">NX-13</t>
  </si>
  <si>
    <t xml:space="preserve">NLRX1</t>
  </si>
  <si>
    <t xml:space="preserve">IBD</t>
  </si>
  <si>
    <t xml:space="preserve">Phase I successful, Phase II ongoing.</t>
  </si>
  <si>
    <t xml:space="preserve">NIM-1324</t>
  </si>
  <si>
    <t xml:space="preserve">SLE</t>
  </si>
  <si>
    <t xml:space="preserve">Phase I successful.</t>
  </si>
  <si>
    <t xml:space="preserve">CNS disease therapy</t>
  </si>
  <si>
    <t xml:space="preserve">METiS Pharmaceuticals</t>
  </si>
  <si>
    <t xml:space="preserve">Other</t>
  </si>
  <si>
    <t xml:space="preserve">MRANK-001</t>
  </si>
  <si>
    <t xml:space="preserve">MindRank</t>
  </si>
  <si>
    <t xml:space="preserve">NEU-723</t>
  </si>
  <si>
    <t xml:space="preserve">Neuron23</t>
  </si>
  <si>
    <t xml:space="preserve">LRRK2</t>
  </si>
  <si>
    <t xml:space="preserve">Terminated — business decision.</t>
  </si>
  <si>
    <t xml:space="preserve">NEU-411</t>
  </si>
  <si>
    <t xml:space="preserve">Firsocostat</t>
  </si>
  <si>
    <t xml:space="preserve">Nimbus Therapeutics *</t>
  </si>
  <si>
    <t xml:space="preserve">ACC</t>
  </si>
  <si>
    <t xml:space="preserve">NASH</t>
  </si>
  <si>
    <t xml:space="preserve">NDI-101150</t>
  </si>
  <si>
    <t xml:space="preserve">Fasoracetam (NB-001)</t>
  </si>
  <si>
    <t xml:space="preserve">Nobias Therapeutics</t>
  </si>
  <si>
    <t xml:space="preserve">Phase II successful.</t>
  </si>
  <si>
    <t xml:space="preserve">PHI-101</t>
  </si>
  <si>
    <t xml:space="preserve">Pharos iBio</t>
  </si>
  <si>
    <t xml:space="preserve">REC-994</t>
  </si>
  <si>
    <t xml:space="preserve">Unspecified</t>
  </si>
  <si>
    <t xml:space="preserve">REC-3964</t>
  </si>
  <si>
    <t xml:space="preserve">RLY-1971</t>
  </si>
  <si>
    <t xml:space="preserve">Relay Therapeutics</t>
  </si>
  <si>
    <t xml:space="preserve">RLY-2608</t>
  </si>
  <si>
    <t xml:space="preserve">RLY-4008</t>
  </si>
  <si>
    <t xml:space="preserve">FGFR2</t>
  </si>
  <si>
    <t xml:space="preserve">RLY-5836</t>
  </si>
  <si>
    <t xml:space="preserve">SNX-281</t>
  </si>
  <si>
    <t xml:space="preserve">Roivant Sciences</t>
  </si>
  <si>
    <t xml:space="preserve">SGR-3515</t>
  </si>
  <si>
    <t xml:space="preserve">Wee1/Myt1</t>
  </si>
  <si>
    <t xml:space="preserve">Phase I dosing ongoing. Preclinical data only (AACR 2025).</t>
  </si>
  <si>
    <t xml:space="preserve">Tolcapone (SOM0226)</t>
  </si>
  <si>
    <t xml:space="preserve">SOM Biotech</t>
  </si>
  <si>
    <t xml:space="preserve">COMT</t>
  </si>
  <si>
    <t xml:space="preserve">Bevantolol (SOM-3355)</t>
  </si>
  <si>
    <t xml:space="preserve">Phase IIa completed; Phase IIb ongoing.</t>
  </si>
  <si>
    <t xml:space="preserve">SAR-407899</t>
  </si>
  <si>
    <t xml:space="preserve">COM-902</t>
  </si>
  <si>
    <t xml:space="preserve">TIGIT</t>
  </si>
  <si>
    <t xml:space="preserve">Advanced malignancies</t>
  </si>
  <si>
    <t xml:space="preserve">Parent antibody. Limited public data.</t>
  </si>
  <si>
    <t xml:space="preserve">ISM8207</t>
  </si>
  <si>
    <t xml:space="preserve">QPCTL</t>
  </si>
  <si>
    <t xml:space="preserve">Generative AI</t>
  </si>
  <si>
    <t xml:space="preserve">Pre-Phase I</t>
  </si>
  <si>
    <t xml:space="preserve">Nov 2026 target. No results yet.</t>
  </si>
  <si>
    <t xml:space="preserve">OPL-0401</t>
  </si>
  <si>
    <t xml:space="preserve">ROCK1</t>
  </si>
  <si>
    <t xml:space="preserve">Diabetic Retinopathy</t>
  </si>
  <si>
    <t xml:space="preserve">Bernstein</t>
  </si>
  <si>
    <t xml:space="preserve">Phase II SPECTRA did not meet primary or secondary endpoints. Valo suspended, seeking partner.</t>
  </si>
  <si>
    <t xml:space="preserve">IAM1363</t>
  </si>
  <si>
    <t xml:space="preserve">Iambic Therapeutics</t>
  </si>
  <si>
    <t xml:space="preserve">HER2 (mutant + WT)</t>
  </si>
  <si>
    <t xml:space="preserve">HER2-altered solid tumors</t>
  </si>
  <si>
    <t xml:space="preserve">Small molecule design (generative + physics)</t>
  </si>
  <si>
    <t xml:space="preserve">Phase 1/1B</t>
  </si>
  <si>
    <t xml:space="preserve">Bernstein addition (post-tracker)</t>
  </si>
  <si>
    <t xml:space="preserve">FIH March 2024; dose escalation complete June 2025; 28% PR rate in HER2-altered ≥960mg cohort at ESMO 2025; expanded to EU sites.</t>
  </si>
  <si>
    <t xml:space="preserve">NCT06253871</t>
  </si>
  <si>
    <t xml:space="preserve">ISM3412</t>
  </si>
  <si>
    <t xml:space="preserve">MAT2A</t>
  </si>
  <si>
    <t xml:space="preserve">MTAP-deleted solid tumors</t>
  </si>
  <si>
    <t xml:space="preserve">Generative AI (small molecule design)</t>
  </si>
  <si>
    <t xml:space="preserve">Phase 1</t>
  </si>
  <si>
    <t xml:space="preserve">Too early to judge</t>
  </si>
  <si>
    <t xml:space="preserve">Global multicenter Phase 1 initiated 2025; first patient dosed 2025. From Insilico 2025 Annual Results.</t>
  </si>
  <si>
    <t xml:space="preserve">Insilico Annual 2025</t>
  </si>
  <si>
    <t xml:space="preserve">ISM6331</t>
  </si>
  <si>
    <t xml:space="preserve">pan-TEAD</t>
  </si>
  <si>
    <t xml:space="preserve">Solid tumors</t>
  </si>
  <si>
    <t xml:space="preserve">Non-covalent pan-TEAD inhibitor; Phase 1 initiated 2025.</t>
  </si>
  <si>
    <t xml:space="preserve">IAM-H1</t>
  </si>
  <si>
    <t xml:space="preserve">Undisclosed kinase</t>
  </si>
  <si>
    <t xml:space="preserve">Second clinical-stage Iambic asset entering Phase 1 in 2025 per company disclosures.</t>
  </si>
  <si>
    <t xml:space="preserve">Iambic disclosure</t>
  </si>
  <si>
    <t xml:space="preserve">Chart 1 — The Capital–Output Gap</t>
  </si>
  <si>
    <t xml:space="preserve">Cumulative AI-pharma deal upfront ($M) vs. cumulative AI-discovered FDA approvals. All cells formula-driven from Source_Deals tab.</t>
  </si>
  <si>
    <t xml:space="preserve">Year</t>
  </si>
  <si>
    <t xml:space="preserve">Annual upfront $M (SUMIF)</t>
  </si>
  <si>
    <t xml:space="preserve">Cumulative upfront $M (running)</t>
  </si>
  <si>
    <t xml:space="preserve">Cumulative FDA approvals (AI-discovered)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</si>
  <si>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</si>
  <si>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</si>
  <si>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</si>
  <si>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</si>
  <si>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</si>
  <si>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</si>
  <si>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</si>
  <si>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</si>
  <si>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 YTD</t>
  </si>
  <si>
    <t xml:space="preserve">As of 2026-05-11. All cells formula-driven via SUMIFS pointing to Source_Deals tab.</t>
  </si>
  <si>
    <t xml:space="preserve">Cumulative upfront = running total of disclosed upfronts per Source_Deals!G column, filtered by year in Source_Deals!C column.</t>
  </si>
  <si>
    <t xml:space="preserve">Cumulative FDA approvals = zero through 2026-05-11. Zasocitinib NDA targeted FY2026 (would be the first to break the floor).</t>
  </si>
  <si>
    <t xml:space="preserve">Source: 01_Matrix_Master.xlsx Deals tab — 70 deal rows verified</t>
  </si>
  <si>
    <t xml:space="preserve">Cross-check: AI Pipeline Tracker (Jayatunga 2024)</t>
  </si>
  <si>
    <t xml:space="preserve">Chart 2 — The AI Discovery Funnel</t>
  </si>
  <si>
    <t xml:space="preserve">82 (Jayatunga cohort) → 0 FDA approvals. Cells formula-driven via COUNTIF on Source_Pipeline. Updates as new molecules added.</t>
  </si>
  <si>
    <t xml:space="preserve">Funnel stage</t>
  </si>
  <si>
    <t xml:space="preserve">Count (formula)</t>
  </si>
  <si>
    <t xml:space="preserve">% of cohort</t>
  </si>
  <si>
    <t xml:space="preserve">1. AI-discovered cohort (Jayatunga + extensions + new additions)</t>
  </si>
  <si>
    <t xml:space="preserve">2. Reached Phase I or beyond</t>
  </si>
  <si>
    <t xml:space="preserve">3. Have completed-phase readouts</t>
  </si>
  <si>
    <t xml:space="preserve">4. Successful through completed phase</t>
  </si>
  <si>
    <t xml:space="preserve">5. Cleared Phase 3 primary endpoint</t>
  </si>
  <si>
    <t xml:space="preserve">6. FDA-approved</t>
  </si>
  <si>
    <t xml:space="preserve">As of 2026-05-11. Cohort size and stage counts formula-driven from Source_Pipeline tab via COUNTIF.</t>
  </si>
  <si>
    <t xml:space="preserve">Cohort definition: 82 from Jayatunga et al. 2024 (peer-reviewed, BCG-authored) + 4 Bernstein-added molecules verified May 2026.</t>
  </si>
  <si>
    <t xml:space="preserve">Stage 4 = 'Clear winner' + 'Successful' + 'Positive but early' counts. Stage 5 = Zasocitinib only (manually anchored).</t>
  </si>
  <si>
    <t xml:space="preserve">Source: Jayatunga 2024 cohort</t>
  </si>
  <si>
    <t xml:space="preserve">Zasocitinib NCT06108544 (Phase 3 completed Dec 2024)</t>
  </si>
  <si>
    <t xml:space="preserve">Chart 3 — Cumulative trials mentioning AI on ClinicalTrials.gov (BROAD)</t>
  </si>
  <si>
    <t xml:space="preserve">Includes trials USING AI as analytical tool (imaging, monitoring, diagnostics) — NOT just AI-discovered molecules. Stylized from public bibliometrics.</t>
  </si>
  <si>
    <t xml:space="preserve">Cumulative trials (CT.gov text-search 'AI / ML / deep learning')</t>
  </si>
  <si>
    <t xml:space="preserve">2015</t>
  </si>
  <si>
    <t xml:space="preserve">2016</t>
  </si>
  <si>
    <t xml:space="preserve">2017</t>
  </si>
  <si>
    <t xml:space="preserve">As of 2026-05-11. STYLIZED — anchored on documented bibliometric trends.</t>
  </si>
  <si>
    <t xml:space="preserve">Methodology: cumulative count of CT.gov records mentioning 'AI', 'machine learning', or 'deep learning' in any field. Includes trials that USE AI tools (image analysis, monitoring, RWE) — NOT a count of AI-discovered molecules.</t>
  </si>
  <si>
    <t xml:space="preserve">See Chart 3b for the narrower 'AI-discovered drugs only' view.</t>
  </si>
  <si>
    <t xml:space="preserve">Source: ClinicalTrials.gov public registry</t>
  </si>
  <si>
    <t xml:space="preserve">Liu et al. 2023 Frontiers in Med bibliometric analysis</t>
  </si>
  <si>
    <t xml:space="preserve">Chart 3b — Cumulative AI-discovered drug trials, narrow definition (NEW)</t>
  </si>
  <si>
    <t xml:space="preserve">Molecule-level only: counts molecules in our verified AI-discovered cohort that have entered Phase I by year. Formula-driven from Source_Pipeline.</t>
  </si>
  <si>
    <t xml:space="preserve">New molecules entering clinic (annual)</t>
  </si>
  <si>
    <t xml:space="preserve">Cumulative AI-discovered molecules in clinic</t>
  </si>
  <si>
    <t xml:space="preserve">As of 2026-05-11. NARROW DEFINITION — AI-discovered molecules only (not trials using AI as a tool).</t>
  </si>
  <si>
    <t xml:space="preserve">Methodology: first-in-human (FIH) year derived from Source_Pipeline tab column I. FIH years for landmark molecules manually anchored (Zasocitinib 2019, Rentosertib 2022, DSP-1181 2020); others estimated from highest-phase backdated by typical clinical timelines.</t>
  </si>
  <si>
    <t xml:space="preserve">Compare with Chart 3: trial-level AI mentions are ~6,100 cumulative; AI-DISCOVERED molecule-level is ~86. The 70× ratio is itself the punchline — most CT.gov 'AI' activity is tool-use, not drug-discovery.</t>
  </si>
  <si>
    <t xml:space="preserve">Important methodology caveat: the Jayatunga 82-cohort is a peer-reviewed conservative sample. A broader landscape estimate (biomednexus 2026) cites ~173 AI-discovered programs in clinic across all stages — flag this as an Industry Estimate (Tier 3 sourcing).</t>
  </si>
  <si>
    <t xml:space="preserve">Iambic IAM1363 NCT06253871 (Bernstein addition)</t>
  </si>
  <si>
    <t xml:space="preserve">Insilico 2025 Annual Results (ISM3412, ISM6331 additions)</t>
  </si>
  <si>
    <t xml:space="preserve">Chart 4 — Pharma × AI Partner Matrix</t>
  </si>
  <si>
    <t xml:space="preserve">Deal count per pair, 2018–2026. Cells formula-driven via COUNTIFS on Source_Deals.</t>
  </si>
  <si>
    <t xml:space="preserve">Total</t>
  </si>
  <si>
    <t xml:space="preserve">Total deals (AI counterparty)</t>
  </si>
  <si>
    <t xml:space="preserve">Heat-map legend: 0 deals = blank | 1 = pale blue | 2 = medium blue | 3+ = dark navy</t>
  </si>
  <si>
    <t xml:space="preserve">Conditional-formatting intensities will resolve after Excel recalcs the formulas; the underlying values are formula-driven from Source_Deals.</t>
  </si>
  <si>
    <t xml:space="preserve">As of 2026-05-11. Each cell = COUNTIFS(Source_Deals!D, pharma, Source_Deals!E, AI partner).</t>
  </si>
  <si>
    <t xml:space="preserve">Pharma list: 8 Bernstein-covered + 6 most-active non-covered. AI counterparty list: top 14 by deal count.</t>
  </si>
  <si>
    <t xml:space="preserve">Source: 01_Matrix_Master.xlsx Deals tab</t>
  </si>
  <si>
    <t xml:space="preserve">Chart 5 — Coverage Universe Scorecard</t>
  </si>
  <si>
    <t xml:space="preserve">Eight covered pharma × five signal dimensions. Deal $ totals and deal counts are formula-driven; filing-grade counts and savings disclosed are manually anchored to specific rows.</t>
  </si>
  <si>
    <t xml:space="preserve">Coverage name</t>
  </si>
  <si>
    <t xml:space="preserve">Deal upfront committed ($M, SUMIFS)</t>
  </si>
  <si>
    <t xml:space="preserve">Total deals (COUNTIF)</t>
  </si>
  <si>
    <t xml:space="preserve">Filing-grade AI disclosures (count, manual)</t>
  </si>
  <si>
    <t xml:space="preserve">AI programs in clinic (count, manual)</t>
  </si>
  <si>
    <t xml:space="preserve">Disclosed AI savings ($M, manual)</t>
  </si>
  <si>
    <t xml:space="preserve">Verdict</t>
  </si>
  <si>
    <t xml:space="preserve">LLY</t>
  </si>
  <si>
    <t xml:space="preserve">CAPITAL DEPLOYED, NO PROOF YET</t>
  </si>
  <si>
    <t xml:space="preserve">PFE</t>
  </si>
  <si>
    <t xml:space="preserve">PROOF ON RECORD (narrow)</t>
  </si>
  <si>
    <t xml:space="preserve">MRK</t>
  </si>
  <si>
    <t xml:space="preserve">NARROW PROOF</t>
  </si>
  <si>
    <t xml:space="preserve">BMY</t>
  </si>
  <si>
    <t xml:space="preserve">TALKING, NO PROOF</t>
  </si>
  <si>
    <t xml:space="preserve">AMGN</t>
  </si>
  <si>
    <t xml:space="preserve">ABBV</t>
  </si>
  <si>
    <t xml:space="preserve">MRNA</t>
  </si>
  <si>
    <t xml:space="preserve">STRUCTURAL FIT, THIN PROOF</t>
  </si>
  <si>
    <t xml:space="preserve">GILD</t>
  </si>
  <si>
    <t xml:space="preserve">SILENT / CONTRARIAN</t>
  </si>
  <si>
    <t xml:space="preserve">As of 2026-05-11. Cols B–C formula-driven (SUMIFS / COUNTIF on Source_Deals). Cols D–F manually anchored to specific matrix rows below.</t>
  </si>
  <si>
    <t xml:space="preserve">Filing-grade AI disclosure anchors: PFE = SG-001 ($1.2B Q4 2024 call); MRK = SG-005 (CSR drafting -55%); LLY = SG-008 (operating leverage proxy).</t>
  </si>
  <si>
    <t xml:space="preserve">AI programs in clinic counts: LLY (Rentosertib post-licensing + Isomorphic-derived = 4); PFE (Atomwise programs in clinic); MRK (Schrödinger MALT1+CDC7); BMY (Insitro CV+onc); AMGN (Generate molecules); ABBV/MRNA/GILD = 0.</t>
  </si>
  <si>
    <t xml:space="preserve">Source: 01_Matrix_Master.xlsx Matrix + Deals tabs</t>
  </si>
  <si>
    <t xml:space="preserve">PFE Q4 2024 earnings call transcript (SG-001 anchor)</t>
  </si>
  <si>
    <t xml:space="preserve">Insilico Rentosertib Nature Medicine 2025 (Lilly deal context)</t>
  </si>
  <si>
    <t xml:space="preserve">Chart 6 — Deal economics evolution, 2018–2026</t>
  </si>
  <si>
    <t xml:space="preserve">Annual upfront $ + equity prevalence %. Cells formula-driven from Source_Deals via SUMIFS / COUNTIFS.</t>
  </si>
  <si>
    <t xml:space="preserve">Annual upfront $M (SUMIFS)</t>
  </si>
  <si>
    <t xml:space="preserve">Deals count (COUNTIF)</t>
  </si>
  <si>
    <t xml:space="preserve">Equity-flagged count (SUMIFS)</t>
  </si>
  <si>
    <t xml:space="preserve">Equity prevalence (formula)</t>
  </si>
  <si>
    <t xml:space="preserve">As of 2026-05-11. All numeric cells formula-driven via SUMIFS / COUNTIFS on Source_Deals.</t>
  </si>
  <si>
    <t xml:space="preserve">Equity prevalence = equity-flagged deals / total deals in year. Source_Deals!J is the binary equity flag (1 if deal has equity component, 0 otherwise).</t>
  </si>
  <si>
    <t xml:space="preserve">Source: 01_Matrix_Master.xlsx Deals tab — 70 verified deal rows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</si>
</sst>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1E3C"/>
      <name val="Calibri"/>
      <family val="0"/>
      <charset val="1"/>
    </font>
    <font>
      <i val="true"/>
      <sz val="11"/>
      <color rgb="FF6C757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color rgb="FF001E3C"/>
      <name val="Calibri"/>
      <family val="0"/>
      <charset val="1"/>
    </font>
    <font>
      <i val="true"/>
      <sz val="10"/>
      <color rgb="FFC8102E"/>
      <name val="Calibri"/>
      <family val="0"/>
      <charset val="1"/>
    </font>
    <font>
      <i val="true"/>
      <u val="single"/>
      <sz val="8"/>
      <color rgb="FF0563C1"/>
      <name val="Calibri"/>
      <family val="0"/>
      <charset val="1"/>
    </font>
    <font>
      <i val="true"/>
      <sz val="8"/>
      <color rgb="FF6C757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1E3C"/>
      <name val="Calibri"/>
      <family val="0"/>
      <charset val="1"/>
    </font>
    <font>
      <i val="true"/>
      <sz val="10"/>
      <color rgb="FF6C757D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1E3C"/>
        <bgColor rgb="FF1A1A1A"/>
      </patternFill>
    </fill>
    <fill>
      <patternFill patternType="solid">
        <fgColor rgb="FFF2F2F2"/>
        <bgColor rgb="FFE1EBF5"/>
      </patternFill>
    </fill>
    <fill>
      <patternFill patternType="solid">
        <fgColor rgb="FFE1EBF5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45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E1EBF5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B5D9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C757D"/>
      <rgbColor rgb="FF6C8FB3"/>
      <rgbColor rgb="FF001E3C"/>
      <rgbColor rgb="FF4A6B8C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$6.99B in disclosed upfront committed. Zero AI-discovered FDA approvals.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Chart_1_Capital_vs_Output!C4</c:f>
              <c:strCache>
                <c:ptCount val="1"/>
                <c:pt idx="0">
                  <c:v>Cumulative upfront $M (running)</c:v>
                </c:pt>
              </c:strCache>
            </c:strRef>
          </c:tx>
          <c:spPr>
            <a:solidFill>
              <a:srgbClr val="001E3C"/>
            </a:solidFill>
            <a:ln w="12600">
              <a:solidFill>
                <a:srgbClr val="001E3C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1E3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Chart_1_Capital_vs_Output!$A$5:$A$13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 YTD</c:v>
                </c:pt>
              </c:strCache>
            </c:strRef>
          </c:cat>
          <c:val>
            <c:numRef>
              <c:f>Chart_1_Capital_vs_Output!$C$5:$C$13</c:f>
              <c:numCache>
                <c:formatCode>\$#,##0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135</c:v>
                </c:pt>
                <c:pt idx="3">
                  <c:v>940</c:v>
                </c:pt>
                <c:pt idx="4">
                  <c:v>5134.5</c:v>
                </c:pt>
                <c:pt idx="5">
                  <c:v>5431.5</c:v>
                </c:pt>
                <c:pt idx="6">
                  <c:v>6387</c:v>
                </c:pt>
                <c:pt idx="7">
                  <c:v>6987</c:v>
                </c:pt>
                <c:pt idx="8">
                  <c:v>7987</c:v>
                </c:pt>
              </c:numCache>
            </c:numRef>
          </c:val>
        </c:ser>
        <c:gapWidth val="150"/>
        <c:overlap val="0"/>
        <c:axId val="66804496"/>
        <c:axId val="5996899"/>
      </c:barChart>
      <c:lineChart>
        <c:grouping val="standard"/>
        <c:varyColors val="0"/>
        <c:ser>
          <c:idx val="1"/>
          <c:order val="1"/>
          <c:tx>
            <c:strRef>
              <c:f>Chart_1_Capital_vs_Output!D4</c:f>
              <c:strCache>
                <c:ptCount val="1"/>
                <c:pt idx="0">
                  <c:v>Cumulative FDA approvals (AI-discovered)</c:v>
                </c:pt>
              </c:strCache>
            </c:strRef>
          </c:tx>
          <c:spPr>
            <a:solidFill>
              <a:srgbClr val="87B5D9"/>
            </a:solidFill>
            <a:ln w="28440">
              <a:solidFill>
                <a:srgbClr val="87B5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Chart_1_Capital_vs_Output!$A$5:$A$13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 YTD</c:v>
                </c:pt>
              </c:strCache>
            </c:strRef>
          </c:cat>
          <c:val>
            <c:numRef>
              <c:f>Chart_1_Capital_vs_Output!$D$5:$D$13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768075"/>
        <c:axId val="18396620"/>
      </c:lineChart>
      <c:catAx>
        <c:axId val="668044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96899"/>
        <c:crosses val="autoZero"/>
        <c:auto val="1"/>
        <c:lblAlgn val="ctr"/>
        <c:lblOffset val="100"/>
        <c:noMultiLvlLbl val="0"/>
      </c:catAx>
      <c:valAx>
        <c:axId val="5996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upfront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804496"/>
        <c:crosses val="autoZero"/>
        <c:crossBetween val="between"/>
      </c:valAx>
      <c:catAx>
        <c:axId val="35768075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396620"/>
        <c:crosses val="autoZero"/>
        <c:auto val="1"/>
        <c:lblAlgn val="ctr"/>
        <c:lblOffset val="100"/>
        <c:noMultiLvlLbl val="0"/>
      </c:catAx>
      <c:valAx>
        <c:axId val="1839662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FDA approvals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768075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82 → 27 → 13 → 1 → 0 (formula-driven)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Chart_2_Pipeline_Funnel!B4</c:f>
              <c:strCache>
                <c:ptCount val="1"/>
                <c:pt idx="0">
                  <c:v>Count (formula)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1E3C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1E3C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4A6B8C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4A6B8C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6C8FB3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87B5D9"/>
              </a:solidFill>
              <a:ln w="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Chart_2_Pipeline_Funnel!$A$5:$A$10</c:f>
              <c:strCache>
                <c:ptCount val="6"/>
                <c:pt idx="0">
                  <c:v>1. AI-discovered cohort (Jayatunga + extensions + new additions)</c:v>
                </c:pt>
                <c:pt idx="1">
                  <c:v>2. Reached Phase I or beyond</c:v>
                </c:pt>
                <c:pt idx="2">
                  <c:v>3. Have completed-phase readouts</c:v>
                </c:pt>
                <c:pt idx="3">
                  <c:v>4. Successful through completed phase</c:v>
                </c:pt>
                <c:pt idx="4">
                  <c:v>5. Cleared Phase 3 primary endpoint</c:v>
                </c:pt>
                <c:pt idx="5">
                  <c:v>6. FDA-approved</c:v>
                </c:pt>
              </c:strCache>
            </c:strRef>
          </c:cat>
          <c:val>
            <c:numRef>
              <c:f>Chart_2_Pipeline_Funnel!$B$5:$B$10</c:f>
              <c:numCache>
                <c:formatCode>General</c:formatCode>
                <c:ptCount val="6"/>
                <c:pt idx="0">
                  <c:v>86</c:v>
                </c:pt>
                <c:pt idx="1">
                  <c:v>85</c:v>
                </c:pt>
                <c:pt idx="2">
                  <c:v>26</c:v>
                </c:pt>
                <c:pt idx="3">
                  <c:v>28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169804"/>
        <c:axId val="9758999"/>
      </c:barChart>
      <c:catAx>
        <c:axId val="916980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Molecules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58999"/>
        <c:crosses val="autoZero"/>
        <c:auto val="1"/>
        <c:lblAlgn val="ctr"/>
        <c:lblOffset val="100"/>
        <c:noMultiLvlLbl val="0"/>
      </c:catAx>
      <c:valAx>
        <c:axId val="9758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698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Broad trial-level AI mentions: ~40× growth 2015→2026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Chart_3_CTgov_AI_Trials!B4</c:f>
              <c:strCache>
                <c:ptCount val="1"/>
                <c:pt idx="0">
                  <c:v>Cumulative trials (CT.gov text-search 'AI / ML / deep learning')</c:v>
                </c:pt>
              </c:strCache>
            </c:strRef>
          </c:tx>
          <c:spPr>
            <a:solidFill>
              <a:srgbClr val="001E3C"/>
            </a:solidFill>
            <a:ln w="28440">
              <a:solidFill>
                <a:srgbClr val="001E3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Chart_3_CTgov_AI_Trials!$A$5:$A$16</c:f>
              <c:strCach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 YTD</c:v>
                </c:pt>
              </c:strCache>
            </c:strRef>
          </c:cat>
          <c:val>
            <c:numRef>
              <c:f>Chart_3_CTgov_AI_Trials!$B$5:$B$16</c:f>
              <c:numCache>
                <c:formatCode>General</c:formatCode>
                <c:ptCount val="12"/>
                <c:pt idx="0">
                  <c:v>145</c:v>
                </c:pt>
                <c:pt idx="1">
                  <c:v>220</c:v>
                </c:pt>
                <c:pt idx="2">
                  <c:v>340</c:v>
                </c:pt>
                <c:pt idx="3">
                  <c:v>510</c:v>
                </c:pt>
                <c:pt idx="4">
                  <c:v>750</c:v>
                </c:pt>
                <c:pt idx="5">
                  <c:v>1100</c:v>
                </c:pt>
                <c:pt idx="6">
                  <c:v>1620</c:v>
                </c:pt>
                <c:pt idx="7">
                  <c:v>2310</c:v>
                </c:pt>
                <c:pt idx="8">
                  <c:v>3200</c:v>
                </c:pt>
                <c:pt idx="9">
                  <c:v>4280</c:v>
                </c:pt>
                <c:pt idx="10">
                  <c:v>5560</c:v>
                </c:pt>
                <c:pt idx="11">
                  <c:v>6100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320300"/>
        <c:axId val="85733723"/>
      </c:lineChart>
      <c:catAx>
        <c:axId val="763203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733723"/>
        <c:crosses val="autoZero"/>
        <c:auto val="1"/>
        <c:lblAlgn val="ctr"/>
        <c:lblOffset val="100"/>
        <c:noMultiLvlLbl val="0"/>
      </c:catAx>
      <c:valAx>
        <c:axId val="85733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3203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AI-discovered cohort: only ~86 molecules in clinic across 12 years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Chart_3b_AI_Discovered_Only!B4</c:f>
              <c:strCache>
                <c:ptCount val="1"/>
                <c:pt idx="0">
                  <c:v>New molecules entering clinic (annual)</c:v>
                </c:pt>
              </c:strCache>
            </c:strRef>
          </c:tx>
          <c:spPr>
            <a:solidFill>
              <a:srgbClr val="001E3C"/>
            </a:solidFill>
            <a:ln w="12600">
              <a:solidFill>
                <a:srgbClr val="001E3C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1E3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Chart_3b_AI_Discovered_Only!$A$5:$A$17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Chart_3b_AI_Discovered_Only!$B$5:$B$17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17</c:v>
                </c:pt>
                <c:pt idx="8">
                  <c:v>15</c:v>
                </c:pt>
                <c:pt idx="9">
                  <c:v>40</c:v>
                </c:pt>
                <c:pt idx="10">
                  <c:v>1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9425465"/>
        <c:axId val="10690838"/>
      </c:barChart>
      <c:lineChart>
        <c:grouping val="standard"/>
        <c:varyColors val="0"/>
        <c:ser>
          <c:idx val="1"/>
          <c:order val="1"/>
          <c:tx>
            <c:strRef>
              <c:f>Chart_3b_AI_Discovered_Only!C4</c:f>
              <c:strCache>
                <c:ptCount val="1"/>
                <c:pt idx="0">
                  <c:v>Cumulative AI-discovered molecules in clinic</c:v>
                </c:pt>
              </c:strCache>
            </c:strRef>
          </c:tx>
          <c:spPr>
            <a:solidFill>
              <a:srgbClr val="6C8FB3"/>
            </a:solidFill>
            <a:ln w="28440">
              <a:solidFill>
                <a:srgbClr val="6C8F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Chart_3b_AI_Discovered_Only!$A$5:$A$17</c:f>
              <c:strCach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strCache>
            </c:strRef>
          </c:cat>
          <c:val>
            <c:numRef>
              <c:f>Chart_3b_AI_Discovered_Only!$C$5:$C$17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9</c:v>
                </c:pt>
                <c:pt idx="7">
                  <c:v>26</c:v>
                </c:pt>
                <c:pt idx="8">
                  <c:v>41</c:v>
                </c:pt>
                <c:pt idx="9">
                  <c:v>81</c:v>
                </c:pt>
                <c:pt idx="10">
                  <c:v>82</c:v>
                </c:pt>
                <c:pt idx="11">
                  <c:v>86</c:v>
                </c:pt>
                <c:pt idx="12">
                  <c:v>86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545804"/>
        <c:axId val="88520037"/>
      </c:lineChart>
      <c:catAx>
        <c:axId val="94254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690838"/>
        <c:crosses val="autoZero"/>
        <c:auto val="1"/>
        <c:lblAlgn val="ctr"/>
        <c:lblOffset val="100"/>
        <c:noMultiLvlLbl val="0"/>
      </c:catAx>
      <c:valAx>
        <c:axId val="10690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of molecules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25465"/>
        <c:crosses val="autoZero"/>
        <c:crossBetween val="between"/>
      </c:valAx>
      <c:catAx>
        <c:axId val="52545804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520037"/>
        <c:crosses val="autoZero"/>
        <c:auto val="1"/>
        <c:lblAlgn val="ctr"/>
        <c:lblOffset val="100"/>
        <c:noMultiLvlLbl val="0"/>
      </c:catAx>
      <c:valAx>
        <c:axId val="8852003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molecules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545804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upfront peaked 2022; equity-component prevalence peaked 2021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Chart_6_Deal_Economics!B4</c:f>
              <c:strCache>
                <c:ptCount val="1"/>
                <c:pt idx="0">
                  <c:v>Annual upfront $M (SUMIFS)</c:v>
                </c:pt>
              </c:strCache>
            </c:strRef>
          </c:tx>
          <c:spPr>
            <a:solidFill>
              <a:srgbClr val="001E3C"/>
            </a:solidFill>
            <a:ln w="12600">
              <a:solidFill>
                <a:srgbClr val="001E3C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1E3C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Chart_6_Deal_Economics!$A$5:$A$13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 YTD</c:v>
                </c:pt>
              </c:strCache>
            </c:strRef>
          </c:cat>
          <c:val>
            <c:numRef>
              <c:f>Chart_6_Deal_Economics!$B$5:$B$13</c:f>
              <c:numCache>
                <c:formatCode>\$#,##0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135</c:v>
                </c:pt>
                <c:pt idx="3">
                  <c:v>805</c:v>
                </c:pt>
                <c:pt idx="4">
                  <c:v>4194.5</c:v>
                </c:pt>
                <c:pt idx="5">
                  <c:v>297</c:v>
                </c:pt>
                <c:pt idx="6">
                  <c:v>955.5</c:v>
                </c:pt>
                <c:pt idx="7">
                  <c:v>600</c:v>
                </c:pt>
                <c:pt idx="8">
                  <c:v>1000</c:v>
                </c:pt>
              </c:numCache>
            </c:numRef>
          </c:val>
        </c:ser>
        <c:gapWidth val="150"/>
        <c:overlap val="0"/>
        <c:axId val="69095138"/>
        <c:axId val="49578933"/>
      </c:barChart>
      <c:lineChart>
        <c:grouping val="standard"/>
        <c:varyColors val="0"/>
        <c:ser>
          <c:idx val="1"/>
          <c:order val="1"/>
          <c:tx>
            <c:strRef>
              <c:f>Chart_6_Deal_Economics!E4</c:f>
              <c:strCache>
                <c:ptCount val="1"/>
                <c:pt idx="0">
                  <c:v>Equity prevalence (formula)</c:v>
                </c:pt>
              </c:strCache>
            </c:strRef>
          </c:tx>
          <c:spPr>
            <a:solidFill>
              <a:srgbClr val="6C8FB3"/>
            </a:solidFill>
            <a:ln w="28440">
              <a:solidFill>
                <a:srgbClr val="6C8FB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Chart_6_Deal_Economics!$A$5:$A$13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 YTD</c:v>
                </c:pt>
              </c:strCache>
            </c:strRef>
          </c:cat>
          <c:val>
            <c:numRef>
              <c:f>Chart_6_Deal_Economics!$E$5:$E$13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0.5</c:v>
                </c:pt>
                <c:pt idx="4">
                  <c:v>0.153846153846154</c:v>
                </c:pt>
                <c:pt idx="5">
                  <c:v>0.0588235294117647</c:v>
                </c:pt>
                <c:pt idx="6">
                  <c:v>0</c:v>
                </c:pt>
                <c:pt idx="7">
                  <c:v>0.111111111111111</c:v>
                </c:pt>
                <c:pt idx="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447239"/>
        <c:axId val="70630884"/>
      </c:lineChart>
      <c:catAx>
        <c:axId val="690951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578933"/>
        <c:crosses val="autoZero"/>
        <c:auto val="1"/>
        <c:lblAlgn val="ctr"/>
        <c:lblOffset val="100"/>
        <c:noMultiLvlLbl val="0"/>
      </c:catAx>
      <c:valAx>
        <c:axId val="49578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Annual upfront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095138"/>
        <c:crosses val="autoZero"/>
        <c:crossBetween val="between"/>
      </c:valAx>
      <c:catAx>
        <c:axId val="51447239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630884"/>
        <c:crosses val="autoZero"/>
        <c:auto val="1"/>
        <c:lblAlgn val="ctr"/>
        <c:lblOffset val="100"/>
        <c:noMultiLvlLbl val="0"/>
      </c:catAx>
      <c:valAx>
        <c:axId val="7063088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Equity prevalence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447239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15</xdr:col>
      <xdr:colOff>364320</xdr:colOff>
      <xdr:row>22</xdr:row>
      <xdr:rowOff>149040</xdr:rowOff>
    </xdr:to>
    <xdr:graphicFrame>
      <xdr:nvGraphicFramePr>
        <xdr:cNvPr id="1" name="Chart 1"/>
        <xdr:cNvGraphicFramePr/>
      </xdr:nvGraphicFramePr>
      <xdr:xfrm>
        <a:off x="7378200" y="628560"/>
        <a:ext cx="64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14</xdr:col>
      <xdr:colOff>364320</xdr:colOff>
      <xdr:row>20</xdr:row>
      <xdr:rowOff>170280</xdr:rowOff>
    </xdr:to>
    <xdr:graphicFrame>
      <xdr:nvGraphicFramePr>
        <xdr:cNvPr id="2" name="Chart 1"/>
        <xdr:cNvGraphicFramePr/>
      </xdr:nvGraphicFramePr>
      <xdr:xfrm>
        <a:off x="6250320" y="62856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13</xdr:col>
      <xdr:colOff>364320</xdr:colOff>
      <xdr:row>20</xdr:row>
      <xdr:rowOff>170280</xdr:rowOff>
    </xdr:to>
    <xdr:graphicFrame>
      <xdr:nvGraphicFramePr>
        <xdr:cNvPr id="3" name="Chart 1"/>
        <xdr:cNvGraphicFramePr/>
      </xdr:nvGraphicFramePr>
      <xdr:xfrm>
        <a:off x="5827320" y="62856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14</xdr:col>
      <xdr:colOff>364320</xdr:colOff>
      <xdr:row>22</xdr:row>
      <xdr:rowOff>149040</xdr:rowOff>
    </xdr:to>
    <xdr:graphicFrame>
      <xdr:nvGraphicFramePr>
        <xdr:cNvPr id="4" name="Chart 1"/>
        <xdr:cNvGraphicFramePr/>
      </xdr:nvGraphicFramePr>
      <xdr:xfrm>
        <a:off x="5827320" y="628560"/>
        <a:ext cx="64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364320</xdr:colOff>
      <xdr:row>22</xdr:row>
      <xdr:rowOff>149040</xdr:rowOff>
    </xdr:to>
    <xdr:graphicFrame>
      <xdr:nvGraphicFramePr>
        <xdr:cNvPr id="5" name="Chart 1"/>
        <xdr:cNvGraphicFramePr/>
      </xdr:nvGraphicFramePr>
      <xdr:xfrm>
        <a:off x="7660080" y="628560"/>
        <a:ext cx="64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prnewswire.com/news-releases/isomorphic-labs-announces-strategic-multi-target-research-collaboration-with-lilly-302027392.html" TargetMode="External"/><Relationship Id="rId2" Type="http://schemas.openxmlformats.org/officeDocument/2006/relationships/hyperlink" Target="https://www.prnewswire.com/news-releases/isomorphic-labs-announces-strategic-multi-target-research-collaboration-with-novartis-302027387.html" TargetMode="External"/><Relationship Id="rId3" Type="http://schemas.openxmlformats.org/officeDocument/2006/relationships/hyperlink" Target="https://www.amgen.com/newsroom/press-releases/2022/01/amgen-and-generate-biomedicines-announce-multitarget-multimodality-research-collaboration-agreement" TargetMode="External"/><Relationship Id="rId4" Type="http://schemas.openxmlformats.org/officeDocument/2006/relationships/hyperlink" Target="https://ir.recursion.com/news-releases/news-release-details/recursion-announces-transformational-collaboration-roche-and" TargetMode="External"/><Relationship Id="rId5" Type="http://schemas.openxmlformats.org/officeDocument/2006/relationships/hyperlink" Target="https://www.globenewswire.com/news-release/2022/11/08/2551039/31533/en/Insilico-Medicine-Signs-Strategic-Research-Collaboration-with-Sanofi-worth-up-to-1-2-Billion.html" TargetMode="External"/><Relationship Id="rId6" Type="http://schemas.openxmlformats.org/officeDocument/2006/relationships/hyperlink" Target="https://investor.lilly.com/news-releases/news-release-details/lilly-collaborates-openai-discover-novel-medicines-treat-drug" TargetMode="External"/><Relationship Id="rId7" Type="http://schemas.openxmlformats.org/officeDocument/2006/relationships/hyperlink" Target="https://www.prnewswire.com/news-releases/xtalpi-announces-collaboration-with-lilly-using-ai--robotics-to-uncover-first-in-class-therapeutics-301837142.html" TargetMode="External"/><Relationship Id="rId8" Type="http://schemas.openxmlformats.org/officeDocument/2006/relationships/hyperlink" Target="https://www.businesswire.com/news/home/20210708005085/en/Verge-Genomics-Announces-Three-Year-Collaboration-With-Lilly-to-Discover-and-Develop-Novel-Treatments-Using-Its-AI-Driven-All-in-Human-Platform" TargetMode="External"/><Relationship Id="rId9" Type="http://schemas.openxmlformats.org/officeDocument/2006/relationships/hyperlink" Target="https://www.prnewswire.com/news-releases/genetic-leap-and-lilly-enter-collaboration-to-accelerate-genetic-medicine-development-with-ai-302239471.html" TargetMode="External"/><Relationship Id="rId10" Type="http://schemas.openxmlformats.org/officeDocument/2006/relationships/hyperlink" Target="https://www.genengnews.com/topics/artificial-intelligence/lilly-inks-up-to-560m-ai-drug-discovery-collaboration-with-atomwise/" TargetMode="External"/><Relationship Id="rId11" Type="http://schemas.openxmlformats.org/officeDocument/2006/relationships/hyperlink" Target="https://investors.abcellera.com/news/news-releases/2020/AbCellera-Announces-Multi-Year-Antibody-Discovery-Collaboration-with-Lilly/default.aspx" TargetMode="External"/><Relationship Id="rId12" Type="http://schemas.openxmlformats.org/officeDocument/2006/relationships/hyperlink" Target="https://www.theglobeandmail.com/business/article-abcellera-made-200-million-in-royalties-from-its-covid-19-treatment/" TargetMode="External"/><Relationship Id="rId13" Type="http://schemas.openxmlformats.org/officeDocument/2006/relationships/hyperlink" Target="https://investors.abcellera.com/news/news-releases/2024/AbCellera-and-Lilly-Expand-Collaboration-to-Develop-Antibody-Medicines/default.aspx" TargetMode="External"/><Relationship Id="rId14" Type="http://schemas.openxmlformats.org/officeDocument/2006/relationships/hyperlink" Target="https://www.businesswire.com/news/home/20210519005180/en/Exscientia-announces-multi-target-AI-driven-drug-discovery-collaboration-with-Bristol-Myers-Squibb" TargetMode="External"/><Relationship Id="rId15" Type="http://schemas.openxmlformats.org/officeDocument/2006/relationships/hyperlink" Target="https://www.goodwinlaw.com/en/news-and-events/news/2020/10/10_28-insitro-announces" TargetMode="External"/><Relationship Id="rId16" Type="http://schemas.openxmlformats.org/officeDocument/2006/relationships/hyperlink" Target="https://www.pfizer.com/news/press-release/press-release-detail/cytoreason-announces-expanded-collaboration-deal-pfizer" TargetMode="External"/><Relationship Id="rId17" Type="http://schemas.openxmlformats.org/officeDocument/2006/relationships/hyperlink" Target="https://www.pfizer.com/news/press-release/press-release-detail/cytoreason-signs-collaboration-agreement-pfizer-inc-utilize" TargetMode="External"/><Relationship Id="rId18" Type="http://schemas.openxmlformats.org/officeDocument/2006/relationships/hyperlink" Target="https://www.businesswire.com/news/home/20180917005163/en/Atomwise-Enters-Evaluation-Agreement-Pfizer" TargetMode="External"/><Relationship Id="rId19" Type="http://schemas.openxmlformats.org/officeDocument/2006/relationships/hyperlink" Target="https://www.prnewswire.com/news-releases/postera-announces-260m-multi-target-strategic-ai-lab-collaboration-with-pfizer-301457261.html" TargetMode="External"/><Relationship Id="rId20" Type="http://schemas.openxmlformats.org/officeDocument/2006/relationships/hyperlink" Target="https://www.prnewswire.com/news-releases/postera-announces-expansion-to-610m-in-their-ai-drug-discovery-collaboration-with-pfizer-302342047.html" TargetMode="External"/><Relationship Id="rId21" Type="http://schemas.openxmlformats.org/officeDocument/2006/relationships/hyperlink" Target="https://www.businesswire.com/news/home/20230919017658/en/BenevolentAI-Signs-Strategic-Collaboration-with-Merck" TargetMode="External"/><Relationship Id="rId22" Type="http://schemas.openxmlformats.org/officeDocument/2006/relationships/hyperlink" Target="https://investors.exscientia.ai/press-releases/press-release-details/2023/Exscientia-Announces-AI-Drug-Discovery-Collaboration-with-Merck-KGaA-Darmstadt-Germany/default.aspx" TargetMode="External"/><Relationship Id="rId23" Type="http://schemas.openxmlformats.org/officeDocument/2006/relationships/hyperlink" Target="https://www.businesswire.com/news/home/20250923751722/en/Variational-AI-Enters-Collaboration-with-Merck-to-Apply-Generative-AI-to-Drug-Discovery" TargetMode="External"/><Relationship Id="rId24" Type="http://schemas.openxmlformats.org/officeDocument/2006/relationships/hyperlink" Target="https://www.absci.com/partnerships/" TargetMode="External"/><Relationship Id="rId25" Type="http://schemas.openxmlformats.org/officeDocument/2006/relationships/hyperlink" Target="https://ir.schrodinger.com/press-releases/news-details/2020/Schrdinger-Announces-a-Multi-Target-Drug-Discovery-Development-and-Commercialization-Collaboration-with-Bristol-Myers-Squibb-11-23-2020/default.aspx" TargetMode="External"/><Relationship Id="rId26" Type="http://schemas.openxmlformats.org/officeDocument/2006/relationships/hyperlink" Target="https://ir.schrodinger.com/press-releases/news-details/2024/Schrdinger-Announces-Multi-Target-Collaboration-and-Expanded-Software-Licensing-Agreement-with-Novartis/default.aspx" TargetMode="External"/><Relationship Id="rId27" Type="http://schemas.openxmlformats.org/officeDocument/2006/relationships/hyperlink" Target="https://www.otsuka.co.jp/en/company/newsreleases/2023/20230110_1.html" TargetMode="External"/><Relationship Id="rId28" Type="http://schemas.openxmlformats.org/officeDocument/2006/relationships/hyperlink" Target="https://thehealthcaretechnologyreport.com/eli-lilly-enters-into-425m-small-molecule-arrangement-with-schrodinger/" TargetMode="External"/><Relationship Id="rId29" Type="http://schemas.openxmlformats.org/officeDocument/2006/relationships/hyperlink" Target="https://investors.exscientia.ai/press-releases/press-release-details/2020/Bayer-and-Exscientia-collaborate-to-leverage-the-potential-of-artificial-intelligence-in-cardiovascular-and-oncology-drug-discovery/default.aspx" TargetMode="External"/><Relationship Id="rId30" Type="http://schemas.openxmlformats.org/officeDocument/2006/relationships/hyperlink" Target="https://recursion.com/news/bayer-partnership" TargetMode="External"/><Relationship Id="rId31" Type="http://schemas.openxmlformats.org/officeDocument/2006/relationships/hyperlink" Target="https://www.globenewswire.com/news-release/2023/11/09/2777499/0/en/Bayer-and-Recursion-Focus-Research-Collaboration-on-Oncology.html" TargetMode="External"/><Relationship Id="rId32" Type="http://schemas.openxmlformats.org/officeDocument/2006/relationships/hyperlink" Target="https://www.astrazeneca.com/media-centre/press-releases/2019/astrazeneca-starts-artificial-intelligence-collaboration-to-accelerate-drug-discovery-30042019.html" TargetMode="External"/><Relationship Id="rId33" Type="http://schemas.openxmlformats.org/officeDocument/2006/relationships/hyperlink" Target="https://www.benevolent.com/news-and-media/press-releases-and-in-media/benevolentai-announces-3-year-collaboration-expansion-astrazeneca-focused-systemic-lupus-erythematosus-and-heart-failure/" TargetMode="External"/><Relationship Id="rId34" Type="http://schemas.openxmlformats.org/officeDocument/2006/relationships/hyperlink" Target="https://investors.absci.com/news-releases/news-release-details/absci-announces-collaboration-astrazeneca-advance-ai-driven" TargetMode="External"/><Relationship Id="rId35" Type="http://schemas.openxmlformats.org/officeDocument/2006/relationships/hyperlink" Target="https://www.polsinelli.com/news/polsinelli-represents-verge-genomics-in-ai-enabled-drug-discovery-collaboration-with-alexion-astrazeneca-rare-disease-worth-up-to-840-million" TargetMode="External"/><Relationship Id="rId36" Type="http://schemas.openxmlformats.org/officeDocument/2006/relationships/hyperlink" Target="https://www.gsk.com/en-gb/media/press-releases/gsk-announces-expanded-collaboration-with-tempus-in-precision-medicine-to-accelerate-rd/" TargetMode="External"/><Relationship Id="rId37" Type="http://schemas.openxmlformats.org/officeDocument/2006/relationships/hyperlink" Target="https://www.gsk.ai/publications/epigenomic-language-models-powered-by-cerebras/" TargetMode="External"/><Relationship Id="rId38" Type="http://schemas.openxmlformats.org/officeDocument/2006/relationships/hyperlink" Target="https://www.novartis.com/news/novartis-and-microsoft-announce-collaboration-transform-medicine-artificial-intelligence" TargetMode="External"/><Relationship Id="rId39" Type="http://schemas.openxmlformats.org/officeDocument/2006/relationships/hyperlink" Target="https://www.takeda.com/newsroom/newsreleases/2022/takeda-to-acquire-late-stage-potential-best-in-class-oral-allosteric-tyk2-inhibitor--ndi-034858-from-nimbus-therapeutics/" TargetMode="External"/><Relationship Id="rId40" Type="http://schemas.openxmlformats.org/officeDocument/2006/relationships/hyperlink" Target="https://ir.recursion.com/news-releases/news-release-details/recursion-and-exscientia-enter-definitive-agreement-create" TargetMode="External"/><Relationship Id="rId41" Type="http://schemas.openxmlformats.org/officeDocument/2006/relationships/hyperlink" Target="https://www.businesswire.com/news/home/20220817005089/en/Atomwise-Signs-Strategic-Multi-Target-Research-Collaboration-with-Sanofi-for-AI-Powered-Drug-Discovery" TargetMode="External"/><Relationship Id="rId42" Type="http://schemas.openxmlformats.org/officeDocument/2006/relationships/hyperlink" Target="https://www.sanofi.com/en/media-room/press-releases/2021/2021-11-18-06-30-00-2336966" TargetMode="External"/><Relationship Id="rId43" Type="http://schemas.openxmlformats.org/officeDocument/2006/relationships/hyperlink" Target="https://www.businesswire.com/news/home/20231010485897/en/BioMap-Establishes-a-Strategic-Collaboration-with-Sanofi-to-Co-Develop-AI-Modules-to-Accelerate-Drug-Discovery-for-Biotherapeutics" TargetMode="External"/><Relationship Id="rId44" Type="http://schemas.openxmlformats.org/officeDocument/2006/relationships/hyperlink" Target="https://www.sanofi.com/en/media-room/press-releases/2024/2024-05-21-05-30-00-2885244" TargetMode="External"/><Relationship Id="rId45" Type="http://schemas.openxmlformats.org/officeDocument/2006/relationships/hyperlink" Target="https://www.modernatx.com/en-US/media-center/all-media/blogs/collaboration-with-openai" TargetMode="External"/><Relationship Id="rId46" Type="http://schemas.openxmlformats.org/officeDocument/2006/relationships/hyperlink" Target="https://newsroom.ibm.com/2023-04-20-Moderna-and-IBM-to-Explore-Quantum-Computing-and-Generative-AI-for-mRNA-Science" TargetMode="External"/><Relationship Id="rId47" Type="http://schemas.openxmlformats.org/officeDocument/2006/relationships/hyperlink" Target="https://investors.gilead.com/news/news-details/2024/Gilead-and-Genesis-Therapeutics-Announce-Strategic-Collaboration-to-Discover-and-Develop-Novel-Therapies/default.aspx" TargetMode="External"/><Relationship Id="rId48" Type="http://schemas.openxmlformats.org/officeDocument/2006/relationships/hyperlink" Target="https://investors.gilead.com/news/news-details/2024/Gilead-and-Terray-Therapeutics-Announce-Multi-Target-Research-Collaboration-to-Discover-and-Develop-Novel-Small-Molecule-Therapies/default.aspx" TargetMode="External"/><Relationship Id="rId49" Type="http://schemas.openxmlformats.org/officeDocument/2006/relationships/hyperlink" Target="https://investors.abcellera.com/news/news-releases/2022/AbCellera-and-AbbVie-Partner-to-Advance-New-Antibody-Therapies/default.aspx" TargetMode="External"/><Relationship Id="rId50" Type="http://schemas.openxmlformats.org/officeDocument/2006/relationships/hyperlink" Target="https://investors.abcellera.com/news/news-releases/2025/AbCellera-Expands-Collaboration-with-AbbVie-to-Develop-Novel-T-Cell-Engagers-for-Oncology/default.aspx" TargetMode="External"/><Relationship Id="rId51" Type="http://schemas.openxmlformats.org/officeDocument/2006/relationships/hyperlink" Target="https://news.abbvie.com/2023-01-10-AbbVie-and-Anima-Biotech-Announce-Collaboration-for-the-Discovery-and-Development-of-mRNA-Biology-Modulators-against-Oncology-and-Immunology-Targets" TargetMode="External"/><Relationship Id="rId52" Type="http://schemas.openxmlformats.org/officeDocument/2006/relationships/hyperlink" Target="https://news.abbvie.com/2023-10-05-AbbVie-Exercises-Exclusive-Right-to-Acquire-Mitokinin,-Further-Strengthening-Neuroscience-Pipeline" TargetMode="External"/><Relationship Id="rId53" Type="http://schemas.openxmlformats.org/officeDocument/2006/relationships/hyperlink" Target="https://newsroom.ibm.com/2023-11-28-Boehringer-Ingelheim-and-IBM-Collaborate-to-Advance-Generative-AI-and-Foundation-Models-for-Therapeutic-Antibody-Development" TargetMode="External"/><Relationship Id="rId54" Type="http://schemas.openxmlformats.org/officeDocument/2006/relationships/hyperlink" Target="https://www.valohealth.com/press/valo-health-and-novo-nordisk-expand-collaboration-to-discover-and-develop-novel-treatments-for-cardiometabolic-diseases" TargetMode="External"/><Relationship Id="rId55" Type="http://schemas.openxmlformats.org/officeDocument/2006/relationships/hyperlink" Target="https://www.valohealth.com/press/valo-health-and-novo-nordisk-expand-collaboration-to-discover-and-develop-novel-treatments-for-cardiometabolic-diseases" TargetMode="External"/><Relationship Id="rId56" Type="http://schemas.openxmlformats.org/officeDocument/2006/relationships/hyperlink" Target="https://ir.exelixis.com/news-releases/news-release-details/exelixis-and-insilico-medicine-enter-exclusive-global-license" TargetMode="External"/><Relationship Id="rId57" Type="http://schemas.openxmlformats.org/officeDocument/2006/relationships/hyperlink" Target="https://www.sumitomo-pharma.com/news/20200130.html" TargetMode="External"/><Relationship Id="rId58" Type="http://schemas.openxmlformats.org/officeDocument/2006/relationships/hyperlink" Target="https://www.fiercebiotech.com/biotech/ai-drug-hunter-exscientia-chops-down-rapidly-emerging-pipeline-focus-2-main-oncology" TargetMode="External"/><Relationship Id="rId59" Type="http://schemas.openxmlformats.org/officeDocument/2006/relationships/hyperlink" Target="https://www.isomorphiclabs.com/articles/isomorphic-labs-announces-600m-external-investment-round" TargetMode="External"/><Relationship Id="rId60" Type="http://schemas.openxmlformats.org/officeDocument/2006/relationships/hyperlink" Target="https://www.insitro.com/news/insitro-raises-400-million-in-series-c-financing-2/" TargetMode="External"/><Relationship Id="rId61" Type="http://schemas.openxmlformats.org/officeDocument/2006/relationships/hyperlink" Target="https://www.prnewswire.com/news-releases/recursion-and-bayer-expand-fibrosis-collaboration-to-include-inferential-search-capabilities-301437525.html" TargetMode="External"/><Relationship Id="rId62" Type="http://schemas.openxmlformats.org/officeDocument/2006/relationships/hyperlink" Target="https://www.recursion.com/partners" TargetMode="External"/><Relationship Id="rId63" Type="http://schemas.openxmlformats.org/officeDocument/2006/relationships/hyperlink" Target="https://www.recursion.com/partners" TargetMode="External"/><Relationship Id="rId64" Type="http://schemas.openxmlformats.org/officeDocument/2006/relationships/hyperlink" Target="https://ir.recursion.com/news-releases/news-release-details/recursion-reports-third-quarter-2025-financial-results-and" TargetMode="External"/><Relationship Id="rId65" Type="http://schemas.openxmlformats.org/officeDocument/2006/relationships/hyperlink" Target="https://ir.schrodinger.com/press-releases/news-details/2026/Schrdinger-Partners-with-Lilly-to-Make-TuneLab-Platform-Available-in-LiveDesign/default.aspx" TargetMode="External"/><Relationship Id="rId66" Type="http://schemas.openxmlformats.org/officeDocument/2006/relationships/hyperlink" Target="https://www.prnewswire.com/news-releases/xtalpi-and-pfizer-expand-strategic-collaboration-to-advance-ai-driven-drug-discovery-and-materials-science-simulations-302494033.html" TargetMode="External"/><Relationship Id="rId67" Type="http://schemas.openxmlformats.org/officeDocument/2006/relationships/hyperlink" Target="https://hummingbirdbioscience.com/hummingbird-bioscience-and-merck-enter-collaboration-to-evaluate-hmbd-001-in-squamous-non-small-cell-lung-carcinoma/" TargetMode="External"/><Relationship Id="rId68" Type="http://schemas.openxmlformats.org/officeDocument/2006/relationships/hyperlink" Target="https://www.merck.com/news/merck-and-google-cloud-partner-to-accelerate-agentic-ai-enterprise-transformation/" TargetMode="External"/><Relationship Id="rId69" Type="http://schemas.openxmlformats.org/officeDocument/2006/relationships/hyperlink" Target="https://www.nature.com/articles/s41591-022-02155-w" TargetMode="External"/><Relationship Id="rId70" Type="http://schemas.openxmlformats.org/officeDocument/2006/relationships/hyperlink" Target="https://www.eurekalert.org/news-releases/1063134" TargetMode="External"/><Relationship Id="rId71" Type="http://schemas.openxmlformats.org/officeDocument/2006/relationships/hyperlink" Target="https://insilico.com/news/lilly-rentosertib-2026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linicaltrials.gov/study/NCT06253871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example.com/internal-matrix" TargetMode="External"/><Relationship Id="rId2" Type="http://schemas.openxmlformats.org/officeDocument/2006/relationships/hyperlink" Target="https://doi.org/10.1016/j.drudis.2024.104009" TargetMode="External"/><Relationship Id="rId3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oi.org/10.1016/j.drudis.2024.104009" TargetMode="External"/><Relationship Id="rId2" Type="http://schemas.openxmlformats.org/officeDocument/2006/relationships/hyperlink" Target="https://clinicaltrials.gov/study/NCT06108544" TargetMode="External"/><Relationship Id="rId3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clinicaltrials.gov/" TargetMode="External"/><Relationship Id="rId2" Type="http://schemas.openxmlformats.org/officeDocument/2006/relationships/hyperlink" Target="https://www.frontiersin.org/journals/medicine" TargetMode="External"/><Relationship Id="rId3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doi.org/10.1016/j.drudis.2024.104009" TargetMode="External"/><Relationship Id="rId2" Type="http://schemas.openxmlformats.org/officeDocument/2006/relationships/hyperlink" Target="https://clinicaltrials.gov/study/NCT06253871" TargetMode="External"/><Relationship Id="rId3" Type="http://schemas.openxmlformats.org/officeDocument/2006/relationships/hyperlink" Target="https://insilico.com/news/ohz9ozx0t1-insilico-medicine-announces-2025-annual" TargetMode="External"/><Relationship Id="rId4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example.com/internal-matri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example.com/internal-matrix" TargetMode="External"/><Relationship Id="rId2" Type="http://schemas.openxmlformats.org/officeDocument/2006/relationships/hyperlink" Target="https://s28.q4cdn.com/781576035/files/doc_financials/2024/q4/PFE-USQ_Transcript_2025-02-04.pdf" TargetMode="External"/><Relationship Id="rId3" Type="http://schemas.openxmlformats.org/officeDocument/2006/relationships/hyperlink" Target="https://pubmed.ncbi.nlm.nih.gov/40461817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example.com/internal-matrix" TargetMode="External"/><Relationship Id="rId2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8"/>
    <col collapsed="false" customWidth="true" hidden="false" outlineLevel="0" max="3" min="3" style="1" width="2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s">
        <v>6</v>
      </c>
      <c r="C5" s="6" t="s">
        <v>7</v>
      </c>
    </row>
    <row r="6" customFormat="false" ht="15" hidden="false" customHeight="true" outlineLevel="0" collapsed="false">
      <c r="A6" s="7" t="s">
        <v>8</v>
      </c>
      <c r="B6" s="8" t="s">
        <v>9</v>
      </c>
      <c r="C6" s="8" t="s">
        <v>10</v>
      </c>
    </row>
    <row r="7" customFormat="false" ht="15" hidden="false" customHeight="true" outlineLevel="0" collapsed="false">
      <c r="A7" s="5" t="s">
        <v>11</v>
      </c>
      <c r="B7" s="6" t="s">
        <v>12</v>
      </c>
      <c r="C7" s="6" t="s">
        <v>13</v>
      </c>
    </row>
    <row r="8" customFormat="false" ht="15" hidden="false" customHeight="true" outlineLevel="0" collapsed="false">
      <c r="A8" s="7" t="s">
        <v>14</v>
      </c>
      <c r="B8" s="8" t="s">
        <v>15</v>
      </c>
      <c r="C8" s="8" t="s">
        <v>16</v>
      </c>
    </row>
    <row r="9" customFormat="false" ht="15" hidden="false" customHeight="true" outlineLevel="0" collapsed="false">
      <c r="A9" s="5" t="s">
        <v>17</v>
      </c>
      <c r="B9" s="6" t="s">
        <v>18</v>
      </c>
      <c r="C9" s="6" t="s">
        <v>7</v>
      </c>
    </row>
    <row r="10" customFormat="false" ht="15" hidden="false" customHeight="true" outlineLevel="0" collapsed="false">
      <c r="A10" s="7" t="s">
        <v>19</v>
      </c>
      <c r="B10" s="8" t="s">
        <v>20</v>
      </c>
      <c r="C10" s="8" t="s">
        <v>21</v>
      </c>
    </row>
    <row r="11" customFormat="false" ht="15" hidden="false" customHeight="true" outlineLevel="0" collapsed="false">
      <c r="A11" s="5" t="s">
        <v>22</v>
      </c>
      <c r="B11" s="6" t="s">
        <v>23</v>
      </c>
      <c r="C11" s="6" t="s">
        <v>7</v>
      </c>
    </row>
    <row r="14" customFormat="false" ht="15" hidden="false" customHeight="true" outlineLevel="0" collapsed="false">
      <c r="A14" s="9" t="s">
        <v>24</v>
      </c>
    </row>
    <row r="15" customFormat="false" ht="15" hidden="false" customHeight="true" outlineLevel="0" collapsed="false">
      <c r="A15" s="10" t="s">
        <v>25</v>
      </c>
    </row>
    <row r="16" customFormat="false" ht="15" hidden="false" customHeight="true" outlineLevel="0" collapsed="false">
      <c r="A16" s="10" t="s">
        <v>26</v>
      </c>
    </row>
    <row r="17" customFormat="false" ht="15" hidden="false" customHeight="true" outlineLevel="0" collapsed="false">
      <c r="A17" s="10" t="s">
        <v>27</v>
      </c>
    </row>
    <row r="18" customFormat="false" ht="15" hidden="false" customHeight="true" outlineLevel="0" collapsed="false">
      <c r="A18" s="10" t="s">
        <v>28</v>
      </c>
    </row>
    <row r="20" customFormat="false" ht="15" hidden="false" customHeight="false" outlineLevel="0" collapsed="false">
      <c r="A20" s="1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5" min="4" style="1" width="22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10" min="9" style="1" width="12"/>
    <col collapsed="false" customWidth="true" hidden="false" outlineLevel="0" max="11" min="11" style="1" width="22"/>
    <col collapsed="false" customWidth="true" hidden="false" outlineLevel="0" max="12" min="12" style="1" width="8"/>
    <col collapsed="false" customWidth="true" hidden="false" outlineLevel="0" max="13" min="13" style="1" width="50"/>
  </cols>
  <sheetData>
    <row r="1" customFormat="false" ht="19.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31</v>
      </c>
    </row>
    <row r="4" customFormat="false" ht="30" hidden="false" customHeight="tru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</row>
    <row r="5" customFormat="false" ht="15" hidden="false" customHeight="true" outlineLevel="0" collapsed="false">
      <c r="A5" s="7" t="s">
        <v>45</v>
      </c>
      <c r="B5" s="8" t="s">
        <v>46</v>
      </c>
      <c r="C5" s="8" t="n">
        <v>2024</v>
      </c>
      <c r="D5" s="8" t="s">
        <v>47</v>
      </c>
      <c r="E5" s="8" t="s">
        <v>48</v>
      </c>
      <c r="F5" s="8" t="s">
        <v>49</v>
      </c>
      <c r="G5" s="8" t="n">
        <v>45</v>
      </c>
      <c r="H5" s="8" t="n">
        <v>1700</v>
      </c>
      <c r="I5" s="8" t="s">
        <v>50</v>
      </c>
      <c r="J5" s="8" t="n">
        <v>0</v>
      </c>
      <c r="K5" s="8" t="s">
        <v>51</v>
      </c>
      <c r="L5" s="8" t="s">
        <v>52</v>
      </c>
      <c r="M5" s="12" t="s">
        <v>53</v>
      </c>
    </row>
    <row r="6" customFormat="false" ht="15" hidden="false" customHeight="true" outlineLevel="0" collapsed="false">
      <c r="A6" s="5" t="s">
        <v>54</v>
      </c>
      <c r="B6" s="6" t="s">
        <v>46</v>
      </c>
      <c r="C6" s="6" t="n">
        <v>2024</v>
      </c>
      <c r="D6" s="6" t="s">
        <v>55</v>
      </c>
      <c r="E6" s="6" t="s">
        <v>48</v>
      </c>
      <c r="F6" s="6" t="s">
        <v>49</v>
      </c>
      <c r="G6" s="6" t="n">
        <v>37.5</v>
      </c>
      <c r="H6" s="6" t="n">
        <v>1200</v>
      </c>
      <c r="I6" s="6" t="s">
        <v>50</v>
      </c>
      <c r="J6" s="6" t="n">
        <v>0</v>
      </c>
      <c r="K6" s="6" t="s">
        <v>51</v>
      </c>
      <c r="L6" s="6" t="s">
        <v>52</v>
      </c>
      <c r="M6" s="13" t="s">
        <v>56</v>
      </c>
    </row>
    <row r="7" customFormat="false" ht="15" hidden="false" customHeight="true" outlineLevel="0" collapsed="false">
      <c r="A7" s="7" t="s">
        <v>57</v>
      </c>
      <c r="B7" s="8" t="s">
        <v>58</v>
      </c>
      <c r="C7" s="8" t="n">
        <v>2022</v>
      </c>
      <c r="D7" s="8" t="s">
        <v>59</v>
      </c>
      <c r="E7" s="8" t="s">
        <v>60</v>
      </c>
      <c r="F7" s="8" t="s">
        <v>49</v>
      </c>
      <c r="G7" s="8" t="n">
        <v>50</v>
      </c>
      <c r="H7" s="8" t="n">
        <v>1900</v>
      </c>
      <c r="I7" s="8" t="s">
        <v>61</v>
      </c>
      <c r="J7" s="8" t="n">
        <v>1</v>
      </c>
      <c r="K7" s="8" t="s">
        <v>51</v>
      </c>
      <c r="L7" s="8" t="s">
        <v>52</v>
      </c>
      <c r="M7" s="12" t="s">
        <v>62</v>
      </c>
    </row>
    <row r="8" customFormat="false" ht="15" hidden="false" customHeight="true" outlineLevel="0" collapsed="false">
      <c r="A8" s="5" t="s">
        <v>63</v>
      </c>
      <c r="B8" s="6" t="s">
        <v>64</v>
      </c>
      <c r="C8" s="6" t="n">
        <v>2021</v>
      </c>
      <c r="D8" s="6" t="s">
        <v>65</v>
      </c>
      <c r="E8" s="6" t="s">
        <v>66</v>
      </c>
      <c r="F8" s="6" t="s">
        <v>67</v>
      </c>
      <c r="G8" s="6" t="n">
        <v>150</v>
      </c>
      <c r="H8" s="6" t="n">
        <v>12000</v>
      </c>
      <c r="I8" s="6" t="s">
        <v>50</v>
      </c>
      <c r="J8" s="6" t="n">
        <v>0</v>
      </c>
      <c r="K8" s="6" t="s">
        <v>68</v>
      </c>
      <c r="L8" s="6" t="s">
        <v>52</v>
      </c>
      <c r="M8" s="13" t="s">
        <v>69</v>
      </c>
    </row>
    <row r="9" customFormat="false" ht="15" hidden="false" customHeight="true" outlineLevel="0" collapsed="false">
      <c r="A9" s="7" t="s">
        <v>70</v>
      </c>
      <c r="B9" s="8" t="s">
        <v>71</v>
      </c>
      <c r="C9" s="8" t="n">
        <v>2022</v>
      </c>
      <c r="D9" s="8" t="s">
        <v>72</v>
      </c>
      <c r="E9" s="8" t="s">
        <v>73</v>
      </c>
      <c r="F9" s="8" t="s">
        <v>49</v>
      </c>
      <c r="G9" s="8" t="n">
        <v>21.5</v>
      </c>
      <c r="H9" s="8" t="n">
        <v>1200</v>
      </c>
      <c r="I9" s="8" t="s">
        <v>50</v>
      </c>
      <c r="J9" s="8" t="n">
        <v>0</v>
      </c>
      <c r="K9" s="8" t="s">
        <v>51</v>
      </c>
      <c r="L9" s="8" t="s">
        <v>52</v>
      </c>
      <c r="M9" s="12" t="s">
        <v>74</v>
      </c>
    </row>
    <row r="10" customFormat="false" ht="15" hidden="false" customHeight="true" outlineLevel="0" collapsed="false">
      <c r="A10" s="5" t="s">
        <v>75</v>
      </c>
      <c r="B10" s="6" t="s">
        <v>76</v>
      </c>
      <c r="C10" s="6" t="n">
        <v>2024</v>
      </c>
      <c r="D10" s="6" t="s">
        <v>47</v>
      </c>
      <c r="E10" s="6" t="s">
        <v>77</v>
      </c>
      <c r="F10" s="6" t="s">
        <v>49</v>
      </c>
      <c r="G10" s="6"/>
      <c r="H10" s="6"/>
      <c r="I10" s="6" t="s">
        <v>50</v>
      </c>
      <c r="J10" s="6" t="n">
        <v>0</v>
      </c>
      <c r="K10" s="6" t="s">
        <v>51</v>
      </c>
      <c r="L10" s="6" t="s">
        <v>52</v>
      </c>
      <c r="M10" s="13" t="s">
        <v>78</v>
      </c>
    </row>
    <row r="11" customFormat="false" ht="15" hidden="false" customHeight="true" outlineLevel="0" collapsed="false">
      <c r="A11" s="7" t="s">
        <v>79</v>
      </c>
      <c r="B11" s="8" t="s">
        <v>80</v>
      </c>
      <c r="C11" s="8" t="n">
        <v>2023</v>
      </c>
      <c r="D11" s="8" t="s">
        <v>47</v>
      </c>
      <c r="E11" s="8" t="s">
        <v>81</v>
      </c>
      <c r="F11" s="8" t="s">
        <v>49</v>
      </c>
      <c r="G11" s="8"/>
      <c r="H11" s="8" t="n">
        <v>250</v>
      </c>
      <c r="I11" s="8" t="s">
        <v>50</v>
      </c>
      <c r="J11" s="8" t="n">
        <v>0</v>
      </c>
      <c r="K11" s="8" t="s">
        <v>82</v>
      </c>
      <c r="L11" s="8" t="s">
        <v>52</v>
      </c>
      <c r="M11" s="12" t="s">
        <v>83</v>
      </c>
    </row>
    <row r="12" customFormat="false" ht="15" hidden="false" customHeight="true" outlineLevel="0" collapsed="false">
      <c r="A12" s="5" t="s">
        <v>84</v>
      </c>
      <c r="B12" s="6" t="s">
        <v>85</v>
      </c>
      <c r="C12" s="6" t="n">
        <v>2021</v>
      </c>
      <c r="D12" s="6" t="s">
        <v>47</v>
      </c>
      <c r="E12" s="6" t="s">
        <v>86</v>
      </c>
      <c r="F12" s="6" t="s">
        <v>49</v>
      </c>
      <c r="G12" s="6" t="n">
        <v>25</v>
      </c>
      <c r="H12" s="6" t="n">
        <v>694</v>
      </c>
      <c r="I12" s="6" t="s">
        <v>61</v>
      </c>
      <c r="J12" s="6" t="n">
        <v>1</v>
      </c>
      <c r="K12" s="6" t="s">
        <v>51</v>
      </c>
      <c r="L12" s="6" t="s">
        <v>52</v>
      </c>
      <c r="M12" s="13" t="s">
        <v>87</v>
      </c>
    </row>
    <row r="13" customFormat="false" ht="15" hidden="false" customHeight="true" outlineLevel="0" collapsed="false">
      <c r="A13" s="7" t="s">
        <v>88</v>
      </c>
      <c r="B13" s="8" t="s">
        <v>89</v>
      </c>
      <c r="C13" s="8" t="n">
        <v>2024</v>
      </c>
      <c r="D13" s="8" t="s">
        <v>47</v>
      </c>
      <c r="E13" s="8" t="s">
        <v>90</v>
      </c>
      <c r="F13" s="8" t="s">
        <v>49</v>
      </c>
      <c r="G13" s="8"/>
      <c r="H13" s="8" t="n">
        <v>409</v>
      </c>
      <c r="I13" s="8" t="s">
        <v>50</v>
      </c>
      <c r="J13" s="8" t="n">
        <v>0</v>
      </c>
      <c r="K13" s="8" t="s">
        <v>51</v>
      </c>
      <c r="L13" s="8" t="s">
        <v>52</v>
      </c>
      <c r="M13" s="12" t="s">
        <v>91</v>
      </c>
    </row>
    <row r="14" customFormat="false" ht="15" hidden="false" customHeight="true" outlineLevel="0" collapsed="false">
      <c r="A14" s="5" t="s">
        <v>92</v>
      </c>
      <c r="B14" s="6" t="s">
        <v>93</v>
      </c>
      <c r="C14" s="6" t="n">
        <v>2019</v>
      </c>
      <c r="D14" s="6" t="s">
        <v>47</v>
      </c>
      <c r="E14" s="6" t="s">
        <v>94</v>
      </c>
      <c r="F14" s="6" t="s">
        <v>49</v>
      </c>
      <c r="G14" s="6"/>
      <c r="H14" s="6" t="n">
        <v>560</v>
      </c>
      <c r="I14" s="6" t="s">
        <v>50</v>
      </c>
      <c r="J14" s="6" t="n">
        <v>0</v>
      </c>
      <c r="K14" s="6" t="s">
        <v>51</v>
      </c>
      <c r="L14" s="6" t="s">
        <v>52</v>
      </c>
      <c r="M14" s="13" t="s">
        <v>95</v>
      </c>
    </row>
    <row r="15" customFormat="false" ht="15" hidden="false" customHeight="true" outlineLevel="0" collapsed="false">
      <c r="A15" s="7" t="s">
        <v>96</v>
      </c>
      <c r="B15" s="8" t="s">
        <v>97</v>
      </c>
      <c r="C15" s="8" t="n">
        <v>2020</v>
      </c>
      <c r="D15" s="8" t="s">
        <v>47</v>
      </c>
      <c r="E15" s="8" t="s">
        <v>98</v>
      </c>
      <c r="F15" s="8" t="s">
        <v>49</v>
      </c>
      <c r="G15" s="8"/>
      <c r="H15" s="8"/>
      <c r="I15" s="8" t="s">
        <v>50</v>
      </c>
      <c r="J15" s="8" t="n">
        <v>0</v>
      </c>
      <c r="K15" s="8" t="s">
        <v>51</v>
      </c>
      <c r="L15" s="8" t="s">
        <v>52</v>
      </c>
      <c r="M15" s="12" t="s">
        <v>99</v>
      </c>
    </row>
    <row r="16" customFormat="false" ht="15" hidden="false" customHeight="true" outlineLevel="0" collapsed="false">
      <c r="A16" s="5" t="s">
        <v>100</v>
      </c>
      <c r="B16" s="6" t="s">
        <v>101</v>
      </c>
      <c r="C16" s="6" t="n">
        <v>2020</v>
      </c>
      <c r="D16" s="6" t="s">
        <v>47</v>
      </c>
      <c r="E16" s="6" t="s">
        <v>98</v>
      </c>
      <c r="F16" s="6" t="s">
        <v>102</v>
      </c>
      <c r="G16" s="6"/>
      <c r="H16" s="6"/>
      <c r="I16" s="6" t="s">
        <v>50</v>
      </c>
      <c r="J16" s="6" t="n">
        <v>0</v>
      </c>
      <c r="K16" s="6" t="s">
        <v>82</v>
      </c>
      <c r="L16" s="6" t="s">
        <v>52</v>
      </c>
      <c r="M16" s="13" t="s">
        <v>103</v>
      </c>
    </row>
    <row r="17" customFormat="false" ht="15" hidden="false" customHeight="true" outlineLevel="0" collapsed="false">
      <c r="A17" s="7" t="s">
        <v>104</v>
      </c>
      <c r="B17" s="8" t="s">
        <v>105</v>
      </c>
      <c r="C17" s="8" t="n">
        <v>2024</v>
      </c>
      <c r="D17" s="8" t="s">
        <v>47</v>
      </c>
      <c r="E17" s="8" t="s">
        <v>98</v>
      </c>
      <c r="F17" s="8" t="s">
        <v>49</v>
      </c>
      <c r="G17" s="8"/>
      <c r="H17" s="8"/>
      <c r="I17" s="8" t="s">
        <v>50</v>
      </c>
      <c r="J17" s="8" t="n">
        <v>0</v>
      </c>
      <c r="K17" s="8" t="s">
        <v>51</v>
      </c>
      <c r="L17" s="8" t="s">
        <v>52</v>
      </c>
      <c r="M17" s="12" t="s">
        <v>106</v>
      </c>
    </row>
    <row r="18" customFormat="false" ht="15" hidden="false" customHeight="true" outlineLevel="0" collapsed="false">
      <c r="A18" s="5" t="s">
        <v>107</v>
      </c>
      <c r="B18" s="6" t="s">
        <v>108</v>
      </c>
      <c r="C18" s="6" t="n">
        <v>2021</v>
      </c>
      <c r="D18" s="6" t="s">
        <v>109</v>
      </c>
      <c r="E18" s="6" t="s">
        <v>110</v>
      </c>
      <c r="F18" s="6" t="s">
        <v>49</v>
      </c>
      <c r="G18" s="6" t="n">
        <v>50</v>
      </c>
      <c r="H18" s="6" t="n">
        <v>1200</v>
      </c>
      <c r="I18" s="6" t="s">
        <v>50</v>
      </c>
      <c r="J18" s="6" t="n">
        <v>0</v>
      </c>
      <c r="K18" s="6" t="s">
        <v>51</v>
      </c>
      <c r="L18" s="6" t="s">
        <v>52</v>
      </c>
      <c r="M18" s="13" t="s">
        <v>111</v>
      </c>
    </row>
    <row r="19" customFormat="false" ht="15" hidden="false" customHeight="true" outlineLevel="0" collapsed="false">
      <c r="A19" s="7" t="s">
        <v>112</v>
      </c>
      <c r="B19" s="8" t="s">
        <v>113</v>
      </c>
      <c r="C19" s="8" t="n">
        <v>2020</v>
      </c>
      <c r="D19" s="8" t="s">
        <v>109</v>
      </c>
      <c r="E19" s="8" t="s">
        <v>114</v>
      </c>
      <c r="F19" s="8" t="s">
        <v>49</v>
      </c>
      <c r="G19" s="8" t="n">
        <v>50</v>
      </c>
      <c r="H19" s="8" t="n">
        <v>2070</v>
      </c>
      <c r="I19" s="8" t="s">
        <v>50</v>
      </c>
      <c r="J19" s="8" t="n">
        <v>0</v>
      </c>
      <c r="K19" s="8" t="s">
        <v>51</v>
      </c>
      <c r="L19" s="8" t="s">
        <v>52</v>
      </c>
      <c r="M19" s="12" t="s">
        <v>115</v>
      </c>
    </row>
    <row r="20" customFormat="false" ht="15" hidden="false" customHeight="true" outlineLevel="0" collapsed="false">
      <c r="A20" s="5" t="s">
        <v>116</v>
      </c>
      <c r="B20" s="6" t="s">
        <v>117</v>
      </c>
      <c r="C20" s="6" t="n">
        <v>2022</v>
      </c>
      <c r="D20" s="6" t="s">
        <v>118</v>
      </c>
      <c r="E20" s="6" t="s">
        <v>119</v>
      </c>
      <c r="F20" s="6" t="s">
        <v>49</v>
      </c>
      <c r="G20" s="6" t="n">
        <v>20</v>
      </c>
      <c r="H20" s="6" t="n">
        <v>110</v>
      </c>
      <c r="I20" s="6" t="s">
        <v>61</v>
      </c>
      <c r="J20" s="6" t="n">
        <v>1</v>
      </c>
      <c r="K20" s="6" t="s">
        <v>68</v>
      </c>
      <c r="L20" s="6" t="s">
        <v>52</v>
      </c>
      <c r="M20" s="13" t="s">
        <v>120</v>
      </c>
    </row>
    <row r="21" customFormat="false" ht="15" hidden="false" customHeight="true" outlineLevel="0" collapsed="false">
      <c r="A21" s="7" t="s">
        <v>121</v>
      </c>
      <c r="B21" s="8" t="s">
        <v>122</v>
      </c>
      <c r="C21" s="8" t="n">
        <v>2019</v>
      </c>
      <c r="D21" s="8" t="s">
        <v>118</v>
      </c>
      <c r="E21" s="8" t="s">
        <v>119</v>
      </c>
      <c r="F21" s="8" t="s">
        <v>49</v>
      </c>
      <c r="G21" s="8"/>
      <c r="H21" s="8"/>
      <c r="I21" s="8" t="s">
        <v>50</v>
      </c>
      <c r="J21" s="8" t="n">
        <v>0</v>
      </c>
      <c r="K21" s="8" t="s">
        <v>68</v>
      </c>
      <c r="L21" s="8" t="s">
        <v>52</v>
      </c>
      <c r="M21" s="12" t="s">
        <v>123</v>
      </c>
    </row>
    <row r="22" customFormat="false" ht="15" hidden="false" customHeight="true" outlineLevel="0" collapsed="false">
      <c r="A22" s="5" t="s">
        <v>124</v>
      </c>
      <c r="B22" s="6" t="s">
        <v>125</v>
      </c>
      <c r="C22" s="6" t="n">
        <v>2018</v>
      </c>
      <c r="D22" s="6" t="s">
        <v>118</v>
      </c>
      <c r="E22" s="6" t="s">
        <v>94</v>
      </c>
      <c r="F22" s="6" t="s">
        <v>126</v>
      </c>
      <c r="G22" s="6"/>
      <c r="H22" s="6"/>
      <c r="I22" s="6" t="s">
        <v>50</v>
      </c>
      <c r="J22" s="6" t="n">
        <v>0</v>
      </c>
      <c r="K22" s="6" t="s">
        <v>51</v>
      </c>
      <c r="L22" s="6" t="s">
        <v>52</v>
      </c>
      <c r="M22" s="13" t="s">
        <v>127</v>
      </c>
    </row>
    <row r="23" customFormat="false" ht="15" hidden="false" customHeight="true" outlineLevel="0" collapsed="false">
      <c r="A23" s="7" t="s">
        <v>128</v>
      </c>
      <c r="B23" s="8" t="s">
        <v>129</v>
      </c>
      <c r="C23" s="8" t="n">
        <v>2022</v>
      </c>
      <c r="D23" s="8" t="s">
        <v>118</v>
      </c>
      <c r="E23" s="8" t="s">
        <v>130</v>
      </c>
      <c r="F23" s="8" t="s">
        <v>67</v>
      </c>
      <c r="G23" s="8" t="n">
        <v>13</v>
      </c>
      <c r="H23" s="8" t="n">
        <v>260</v>
      </c>
      <c r="I23" s="8" t="s">
        <v>50</v>
      </c>
      <c r="J23" s="8" t="n">
        <v>0</v>
      </c>
      <c r="K23" s="8" t="s">
        <v>68</v>
      </c>
      <c r="L23" s="8" t="s">
        <v>52</v>
      </c>
      <c r="M23" s="12" t="s">
        <v>131</v>
      </c>
    </row>
    <row r="24" customFormat="false" ht="15" hidden="false" customHeight="true" outlineLevel="0" collapsed="false">
      <c r="A24" s="5" t="s">
        <v>132</v>
      </c>
      <c r="B24" s="6" t="s">
        <v>133</v>
      </c>
      <c r="C24" s="6" t="n">
        <v>2025</v>
      </c>
      <c r="D24" s="6" t="s">
        <v>118</v>
      </c>
      <c r="E24" s="6" t="s">
        <v>130</v>
      </c>
      <c r="F24" s="6" t="s">
        <v>67</v>
      </c>
      <c r="G24" s="6"/>
      <c r="H24" s="6" t="n">
        <v>610</v>
      </c>
      <c r="I24" s="6" t="s">
        <v>50</v>
      </c>
      <c r="J24" s="6" t="n">
        <v>0</v>
      </c>
      <c r="K24" s="6" t="s">
        <v>68</v>
      </c>
      <c r="L24" s="6" t="s">
        <v>52</v>
      </c>
      <c r="M24" s="13" t="s">
        <v>134</v>
      </c>
    </row>
    <row r="25" customFormat="false" ht="15" hidden="false" customHeight="true" outlineLevel="0" collapsed="false">
      <c r="A25" s="7" t="s">
        <v>135</v>
      </c>
      <c r="B25" s="8" t="s">
        <v>136</v>
      </c>
      <c r="C25" s="8" t="n">
        <v>2023</v>
      </c>
      <c r="D25" s="8" t="s">
        <v>137</v>
      </c>
      <c r="E25" s="8" t="s">
        <v>138</v>
      </c>
      <c r="F25" s="8" t="s">
        <v>49</v>
      </c>
      <c r="G25" s="8" t="n">
        <v>15</v>
      </c>
      <c r="H25" s="8" t="n">
        <v>594</v>
      </c>
      <c r="I25" s="8" t="s">
        <v>50</v>
      </c>
      <c r="J25" s="8" t="n">
        <v>0</v>
      </c>
      <c r="K25" s="8" t="s">
        <v>51</v>
      </c>
      <c r="L25" s="8" t="s">
        <v>52</v>
      </c>
      <c r="M25" s="12" t="s">
        <v>139</v>
      </c>
    </row>
    <row r="26" customFormat="false" ht="15" hidden="false" customHeight="true" outlineLevel="0" collapsed="false">
      <c r="A26" s="5" t="s">
        <v>140</v>
      </c>
      <c r="B26" s="6" t="s">
        <v>136</v>
      </c>
      <c r="C26" s="6" t="n">
        <v>2023</v>
      </c>
      <c r="D26" s="6" t="s">
        <v>137</v>
      </c>
      <c r="E26" s="6" t="s">
        <v>110</v>
      </c>
      <c r="F26" s="6" t="s">
        <v>49</v>
      </c>
      <c r="G26" s="6" t="n">
        <v>20</v>
      </c>
      <c r="H26" s="6" t="n">
        <v>674</v>
      </c>
      <c r="I26" s="6" t="s">
        <v>50</v>
      </c>
      <c r="J26" s="6" t="n">
        <v>0</v>
      </c>
      <c r="K26" s="6" t="s">
        <v>51</v>
      </c>
      <c r="L26" s="6" t="s">
        <v>52</v>
      </c>
      <c r="M26" s="13" t="s">
        <v>141</v>
      </c>
    </row>
    <row r="27" customFormat="false" ht="15" hidden="false" customHeight="true" outlineLevel="0" collapsed="false">
      <c r="A27" s="7" t="s">
        <v>142</v>
      </c>
      <c r="B27" s="8" t="s">
        <v>143</v>
      </c>
      <c r="C27" s="8" t="n">
        <v>2025</v>
      </c>
      <c r="D27" s="8" t="s">
        <v>144</v>
      </c>
      <c r="E27" s="8" t="s">
        <v>145</v>
      </c>
      <c r="F27" s="8" t="s">
        <v>49</v>
      </c>
      <c r="G27" s="8"/>
      <c r="H27" s="8" t="n">
        <v>349</v>
      </c>
      <c r="I27" s="8" t="s">
        <v>50</v>
      </c>
      <c r="J27" s="8" t="n">
        <v>0</v>
      </c>
      <c r="K27" s="8" t="s">
        <v>51</v>
      </c>
      <c r="L27" s="8" t="s">
        <v>52</v>
      </c>
      <c r="M27" s="12" t="s">
        <v>146</v>
      </c>
    </row>
    <row r="28" customFormat="false" ht="15" hidden="false" customHeight="true" outlineLevel="0" collapsed="false">
      <c r="A28" s="5" t="s">
        <v>147</v>
      </c>
      <c r="B28" s="6" t="s">
        <v>148</v>
      </c>
      <c r="C28" s="6" t="n">
        <v>2022</v>
      </c>
      <c r="D28" s="6" t="s">
        <v>144</v>
      </c>
      <c r="E28" s="6" t="s">
        <v>149</v>
      </c>
      <c r="F28" s="6" t="s">
        <v>49</v>
      </c>
      <c r="G28" s="6"/>
      <c r="H28" s="6" t="n">
        <v>610</v>
      </c>
      <c r="I28" s="6" t="s">
        <v>50</v>
      </c>
      <c r="J28" s="6" t="n">
        <v>0</v>
      </c>
      <c r="K28" s="6" t="s">
        <v>51</v>
      </c>
      <c r="L28" s="6" t="s">
        <v>52</v>
      </c>
      <c r="M28" s="13" t="s">
        <v>150</v>
      </c>
    </row>
    <row r="29" customFormat="false" ht="15" hidden="false" customHeight="true" outlineLevel="0" collapsed="false">
      <c r="A29" s="7" t="s">
        <v>151</v>
      </c>
      <c r="B29" s="8" t="s">
        <v>152</v>
      </c>
      <c r="C29" s="8" t="n">
        <v>2020</v>
      </c>
      <c r="D29" s="8" t="s">
        <v>109</v>
      </c>
      <c r="E29" s="8" t="s">
        <v>153</v>
      </c>
      <c r="F29" s="8" t="s">
        <v>49</v>
      </c>
      <c r="G29" s="8" t="n">
        <v>55</v>
      </c>
      <c r="H29" s="8" t="n">
        <v>2700</v>
      </c>
      <c r="I29" s="8" t="s">
        <v>50</v>
      </c>
      <c r="J29" s="8" t="n">
        <v>0</v>
      </c>
      <c r="K29" s="8" t="s">
        <v>51</v>
      </c>
      <c r="L29" s="8" t="s">
        <v>52</v>
      </c>
      <c r="M29" s="12" t="s">
        <v>154</v>
      </c>
    </row>
    <row r="30" customFormat="false" ht="15" hidden="false" customHeight="true" outlineLevel="0" collapsed="false">
      <c r="A30" s="5" t="s">
        <v>155</v>
      </c>
      <c r="B30" s="6" t="s">
        <v>156</v>
      </c>
      <c r="C30" s="6" t="n">
        <v>2024</v>
      </c>
      <c r="D30" s="6" t="s">
        <v>55</v>
      </c>
      <c r="E30" s="6" t="s">
        <v>153</v>
      </c>
      <c r="F30" s="6" t="s">
        <v>67</v>
      </c>
      <c r="G30" s="6" t="n">
        <v>150</v>
      </c>
      <c r="H30" s="6" t="n">
        <v>2270</v>
      </c>
      <c r="I30" s="6" t="s">
        <v>50</v>
      </c>
      <c r="J30" s="6" t="n">
        <v>0</v>
      </c>
      <c r="K30" s="6" t="s">
        <v>51</v>
      </c>
      <c r="L30" s="6" t="s">
        <v>52</v>
      </c>
      <c r="M30" s="13" t="s">
        <v>157</v>
      </c>
    </row>
    <row r="31" customFormat="false" ht="15" hidden="false" customHeight="true" outlineLevel="0" collapsed="false">
      <c r="A31" s="7" t="s">
        <v>158</v>
      </c>
      <c r="B31" s="8" t="s">
        <v>159</v>
      </c>
      <c r="C31" s="8" t="n">
        <v>2023</v>
      </c>
      <c r="D31" s="8" t="s">
        <v>160</v>
      </c>
      <c r="E31" s="8" t="s">
        <v>153</v>
      </c>
      <c r="F31" s="8" t="s">
        <v>49</v>
      </c>
      <c r="G31" s="8"/>
      <c r="H31" s="8"/>
      <c r="I31" s="8" t="s">
        <v>50</v>
      </c>
      <c r="J31" s="8" t="n">
        <v>0</v>
      </c>
      <c r="K31" s="8" t="s">
        <v>82</v>
      </c>
      <c r="L31" s="8" t="s">
        <v>52</v>
      </c>
      <c r="M31" s="12" t="s">
        <v>161</v>
      </c>
    </row>
    <row r="32" customFormat="false" ht="15" hidden="false" customHeight="true" outlineLevel="0" collapsed="false">
      <c r="A32" s="5" t="s">
        <v>162</v>
      </c>
      <c r="B32" s="6" t="s">
        <v>163</v>
      </c>
      <c r="C32" s="6" t="n">
        <v>2022</v>
      </c>
      <c r="D32" s="6" t="s">
        <v>47</v>
      </c>
      <c r="E32" s="6" t="s">
        <v>153</v>
      </c>
      <c r="F32" s="6" t="s">
        <v>49</v>
      </c>
      <c r="G32" s="6"/>
      <c r="H32" s="6" t="n">
        <v>425</v>
      </c>
      <c r="I32" s="6" t="s">
        <v>50</v>
      </c>
      <c r="J32" s="6" t="n">
        <v>0</v>
      </c>
      <c r="K32" s="6" t="s">
        <v>82</v>
      </c>
      <c r="L32" s="6" t="s">
        <v>52</v>
      </c>
      <c r="M32" s="13" t="s">
        <v>164</v>
      </c>
    </row>
    <row r="33" customFormat="false" ht="15" hidden="false" customHeight="true" outlineLevel="0" collapsed="false">
      <c r="A33" s="7" t="s">
        <v>165</v>
      </c>
      <c r="B33" s="8" t="s">
        <v>166</v>
      </c>
      <c r="C33" s="8" t="n">
        <v>2020</v>
      </c>
      <c r="D33" s="8" t="s">
        <v>167</v>
      </c>
      <c r="E33" s="8" t="s">
        <v>110</v>
      </c>
      <c r="F33" s="8" t="s">
        <v>49</v>
      </c>
      <c r="G33" s="8"/>
      <c r="H33" s="8" t="n">
        <v>265</v>
      </c>
      <c r="I33" s="8" t="s">
        <v>50</v>
      </c>
      <c r="J33" s="8" t="n">
        <v>0</v>
      </c>
      <c r="K33" s="8" t="s">
        <v>51</v>
      </c>
      <c r="L33" s="8" t="s">
        <v>52</v>
      </c>
      <c r="M33" s="12" t="s">
        <v>168</v>
      </c>
    </row>
    <row r="34" customFormat="false" ht="15" hidden="false" customHeight="true" outlineLevel="0" collapsed="false">
      <c r="A34" s="5" t="s">
        <v>169</v>
      </c>
      <c r="B34" s="6" t="s">
        <v>170</v>
      </c>
      <c r="C34" s="6" t="n">
        <v>2020</v>
      </c>
      <c r="D34" s="6" t="s">
        <v>167</v>
      </c>
      <c r="E34" s="6" t="s">
        <v>66</v>
      </c>
      <c r="F34" s="6" t="s">
        <v>49</v>
      </c>
      <c r="G34" s="6" t="n">
        <v>30</v>
      </c>
      <c r="H34" s="6" t="n">
        <v>1080</v>
      </c>
      <c r="I34" s="6" t="s">
        <v>61</v>
      </c>
      <c r="J34" s="6" t="n">
        <v>1</v>
      </c>
      <c r="K34" s="6" t="s">
        <v>51</v>
      </c>
      <c r="L34" s="6" t="s">
        <v>52</v>
      </c>
      <c r="M34" s="13" t="s">
        <v>171</v>
      </c>
    </row>
    <row r="35" customFormat="false" ht="15" hidden="false" customHeight="true" outlineLevel="0" collapsed="false">
      <c r="A35" s="7" t="s">
        <v>172</v>
      </c>
      <c r="B35" s="8" t="s">
        <v>173</v>
      </c>
      <c r="C35" s="8" t="n">
        <v>2023</v>
      </c>
      <c r="D35" s="8" t="s">
        <v>167</v>
      </c>
      <c r="E35" s="8" t="s">
        <v>66</v>
      </c>
      <c r="F35" s="8" t="s">
        <v>49</v>
      </c>
      <c r="G35" s="8"/>
      <c r="H35" s="8" t="n">
        <v>1500</v>
      </c>
      <c r="I35" s="8" t="s">
        <v>50</v>
      </c>
      <c r="J35" s="8" t="n">
        <v>0</v>
      </c>
      <c r="K35" s="8" t="s">
        <v>51</v>
      </c>
      <c r="L35" s="8" t="s">
        <v>52</v>
      </c>
      <c r="M35" s="12" t="s">
        <v>174</v>
      </c>
    </row>
    <row r="36" customFormat="false" ht="15" hidden="false" customHeight="true" outlineLevel="0" collapsed="false">
      <c r="A36" s="5" t="s">
        <v>175</v>
      </c>
      <c r="B36" s="6" t="s">
        <v>176</v>
      </c>
      <c r="C36" s="6" t="n">
        <v>2019</v>
      </c>
      <c r="D36" s="6" t="s">
        <v>177</v>
      </c>
      <c r="E36" s="6" t="s">
        <v>138</v>
      </c>
      <c r="F36" s="6" t="s">
        <v>49</v>
      </c>
      <c r="G36" s="6"/>
      <c r="H36" s="6"/>
      <c r="I36" s="6" t="s">
        <v>50</v>
      </c>
      <c r="J36" s="6" t="n">
        <v>0</v>
      </c>
      <c r="K36" s="6" t="s">
        <v>51</v>
      </c>
      <c r="L36" s="6" t="s">
        <v>52</v>
      </c>
      <c r="M36" s="13" t="s">
        <v>178</v>
      </c>
    </row>
    <row r="37" customFormat="false" ht="15" hidden="false" customHeight="true" outlineLevel="0" collapsed="false">
      <c r="A37" s="7" t="s">
        <v>179</v>
      </c>
      <c r="B37" s="8" t="s">
        <v>180</v>
      </c>
      <c r="C37" s="8" t="n">
        <v>2022</v>
      </c>
      <c r="D37" s="8" t="s">
        <v>177</v>
      </c>
      <c r="E37" s="8" t="s">
        <v>138</v>
      </c>
      <c r="F37" s="8" t="s">
        <v>49</v>
      </c>
      <c r="G37" s="8"/>
      <c r="H37" s="8"/>
      <c r="I37" s="8" t="s">
        <v>50</v>
      </c>
      <c r="J37" s="8" t="n">
        <v>0</v>
      </c>
      <c r="K37" s="8" t="s">
        <v>51</v>
      </c>
      <c r="L37" s="8" t="s">
        <v>52</v>
      </c>
      <c r="M37" s="12" t="s">
        <v>181</v>
      </c>
    </row>
    <row r="38" customFormat="false" ht="15" hidden="false" customHeight="true" outlineLevel="0" collapsed="false">
      <c r="A38" s="5" t="s">
        <v>182</v>
      </c>
      <c r="B38" s="6" t="s">
        <v>183</v>
      </c>
      <c r="C38" s="6" t="n">
        <v>2023</v>
      </c>
      <c r="D38" s="6" t="s">
        <v>177</v>
      </c>
      <c r="E38" s="6" t="s">
        <v>149</v>
      </c>
      <c r="F38" s="6" t="s">
        <v>49</v>
      </c>
      <c r="G38" s="6"/>
      <c r="H38" s="6" t="n">
        <v>247</v>
      </c>
      <c r="I38" s="6" t="s">
        <v>50</v>
      </c>
      <c r="J38" s="6" t="n">
        <v>0</v>
      </c>
      <c r="K38" s="6" t="s">
        <v>82</v>
      </c>
      <c r="L38" s="6" t="s">
        <v>52</v>
      </c>
      <c r="M38" s="13" t="s">
        <v>184</v>
      </c>
    </row>
    <row r="39" customFormat="false" ht="15" hidden="false" customHeight="true" outlineLevel="0" collapsed="false">
      <c r="A39" s="7" t="s">
        <v>185</v>
      </c>
      <c r="B39" s="8" t="s">
        <v>186</v>
      </c>
      <c r="C39" s="8" t="n">
        <v>2023</v>
      </c>
      <c r="D39" s="8" t="s">
        <v>177</v>
      </c>
      <c r="E39" s="8" t="s">
        <v>86</v>
      </c>
      <c r="F39" s="8" t="s">
        <v>49</v>
      </c>
      <c r="G39" s="8"/>
      <c r="H39" s="8" t="n">
        <v>840</v>
      </c>
      <c r="I39" s="8" t="s">
        <v>61</v>
      </c>
      <c r="J39" s="8" t="n">
        <v>1</v>
      </c>
      <c r="K39" s="8" t="s">
        <v>51</v>
      </c>
      <c r="L39" s="8" t="s">
        <v>52</v>
      </c>
      <c r="M39" s="12" t="s">
        <v>187</v>
      </c>
    </row>
    <row r="40" customFormat="false" ht="15" hidden="false" customHeight="true" outlineLevel="0" collapsed="false">
      <c r="A40" s="5" t="s">
        <v>188</v>
      </c>
      <c r="B40" s="6" t="s">
        <v>189</v>
      </c>
      <c r="C40" s="6" t="n">
        <v>2022</v>
      </c>
      <c r="D40" s="6" t="s">
        <v>190</v>
      </c>
      <c r="E40" s="6" t="s">
        <v>191</v>
      </c>
      <c r="F40" s="6" t="s">
        <v>102</v>
      </c>
      <c r="G40" s="6" t="n">
        <v>70</v>
      </c>
      <c r="H40" s="6" t="n">
        <v>70</v>
      </c>
      <c r="I40" s="6" t="s">
        <v>50</v>
      </c>
      <c r="J40" s="6" t="n">
        <v>0</v>
      </c>
      <c r="K40" s="6" t="s">
        <v>68</v>
      </c>
      <c r="L40" s="6" t="s">
        <v>52</v>
      </c>
      <c r="M40" s="13" t="s">
        <v>192</v>
      </c>
    </row>
    <row r="41" customFormat="false" ht="15" hidden="false" customHeight="true" outlineLevel="0" collapsed="false">
      <c r="A41" s="7" t="s">
        <v>193</v>
      </c>
      <c r="B41" s="8" t="s">
        <v>194</v>
      </c>
      <c r="C41" s="8" t="n">
        <v>2020</v>
      </c>
      <c r="D41" s="8" t="s">
        <v>190</v>
      </c>
      <c r="E41" s="8" t="s">
        <v>195</v>
      </c>
      <c r="F41" s="8" t="s">
        <v>67</v>
      </c>
      <c r="G41" s="8"/>
      <c r="H41" s="8"/>
      <c r="I41" s="8" t="s">
        <v>50</v>
      </c>
      <c r="J41" s="8" t="n">
        <v>0</v>
      </c>
      <c r="K41" s="8" t="s">
        <v>68</v>
      </c>
      <c r="L41" s="8" t="s">
        <v>52</v>
      </c>
      <c r="M41" s="12" t="s">
        <v>196</v>
      </c>
    </row>
    <row r="42" customFormat="false" ht="15" hidden="false" customHeight="true" outlineLevel="0" collapsed="false">
      <c r="A42" s="5" t="s">
        <v>197</v>
      </c>
      <c r="B42" s="6" t="s">
        <v>198</v>
      </c>
      <c r="C42" s="6" t="n">
        <v>2019</v>
      </c>
      <c r="D42" s="6" t="s">
        <v>55</v>
      </c>
      <c r="E42" s="6" t="s">
        <v>199</v>
      </c>
      <c r="F42" s="6" t="s">
        <v>67</v>
      </c>
      <c r="G42" s="6"/>
      <c r="H42" s="6"/>
      <c r="I42" s="6" t="s">
        <v>50</v>
      </c>
      <c r="J42" s="6" t="n">
        <v>0</v>
      </c>
      <c r="K42" s="6" t="s">
        <v>68</v>
      </c>
      <c r="L42" s="6" t="s">
        <v>52</v>
      </c>
      <c r="M42" s="13" t="s">
        <v>200</v>
      </c>
    </row>
    <row r="43" customFormat="false" ht="15" hidden="false" customHeight="true" outlineLevel="0" collapsed="false">
      <c r="A43" s="7" t="s">
        <v>201</v>
      </c>
      <c r="B43" s="8" t="s">
        <v>202</v>
      </c>
      <c r="C43" s="8" t="n">
        <v>2022</v>
      </c>
      <c r="D43" s="8" t="s">
        <v>203</v>
      </c>
      <c r="E43" s="8" t="s">
        <v>204</v>
      </c>
      <c r="F43" s="8" t="s">
        <v>205</v>
      </c>
      <c r="G43" s="8" t="n">
        <v>4000</v>
      </c>
      <c r="H43" s="8" t="n">
        <v>6000</v>
      </c>
      <c r="I43" s="8" t="s">
        <v>50</v>
      </c>
      <c r="J43" s="8" t="n">
        <v>0</v>
      </c>
      <c r="K43" s="8" t="s">
        <v>206</v>
      </c>
      <c r="L43" s="8" t="s">
        <v>52</v>
      </c>
      <c r="M43" s="12" t="s">
        <v>207</v>
      </c>
    </row>
    <row r="44" customFormat="false" ht="15" hidden="false" customHeight="true" outlineLevel="0" collapsed="false">
      <c r="A44" s="5" t="s">
        <v>208</v>
      </c>
      <c r="B44" s="6" t="s">
        <v>209</v>
      </c>
      <c r="C44" s="6" t="n">
        <v>2024</v>
      </c>
      <c r="D44" s="6" t="s">
        <v>66</v>
      </c>
      <c r="E44" s="6" t="s">
        <v>110</v>
      </c>
      <c r="F44" s="6" t="s">
        <v>205</v>
      </c>
      <c r="G44" s="6" t="n">
        <v>688</v>
      </c>
      <c r="H44" s="6" t="n">
        <v>688</v>
      </c>
      <c r="I44" s="6" t="s">
        <v>50</v>
      </c>
      <c r="J44" s="6" t="n">
        <v>0</v>
      </c>
      <c r="K44" s="6" t="s">
        <v>210</v>
      </c>
      <c r="L44" s="6" t="s">
        <v>52</v>
      </c>
      <c r="M44" s="13" t="s">
        <v>211</v>
      </c>
    </row>
    <row r="45" customFormat="false" ht="15" hidden="false" customHeight="true" outlineLevel="0" collapsed="false">
      <c r="A45" s="7" t="s">
        <v>212</v>
      </c>
      <c r="B45" s="8" t="s">
        <v>213</v>
      </c>
      <c r="C45" s="8" t="n">
        <v>2022</v>
      </c>
      <c r="D45" s="8" t="s">
        <v>72</v>
      </c>
      <c r="E45" s="8" t="s">
        <v>94</v>
      </c>
      <c r="F45" s="8" t="s">
        <v>49</v>
      </c>
      <c r="G45" s="8" t="n">
        <v>20</v>
      </c>
      <c r="H45" s="8" t="n">
        <v>1020</v>
      </c>
      <c r="I45" s="8" t="s">
        <v>50</v>
      </c>
      <c r="J45" s="8" t="n">
        <v>0</v>
      </c>
      <c r="K45" s="8" t="s">
        <v>51</v>
      </c>
      <c r="L45" s="8" t="s">
        <v>52</v>
      </c>
      <c r="M45" s="12" t="s">
        <v>214</v>
      </c>
    </row>
    <row r="46" customFormat="false" ht="15" hidden="false" customHeight="true" outlineLevel="0" collapsed="false">
      <c r="A46" s="5" t="s">
        <v>215</v>
      </c>
      <c r="B46" s="6" t="s">
        <v>216</v>
      </c>
      <c r="C46" s="6" t="n">
        <v>2021</v>
      </c>
      <c r="D46" s="6" t="s">
        <v>72</v>
      </c>
      <c r="E46" s="6" t="s">
        <v>217</v>
      </c>
      <c r="F46" s="6" t="s">
        <v>218</v>
      </c>
      <c r="G46" s="6" t="n">
        <v>180</v>
      </c>
      <c r="H46" s="6" t="n">
        <v>270</v>
      </c>
      <c r="I46" s="6" t="s">
        <v>61</v>
      </c>
      <c r="J46" s="6" t="n">
        <v>1</v>
      </c>
      <c r="K46" s="6" t="s">
        <v>51</v>
      </c>
      <c r="L46" s="6" t="s">
        <v>52</v>
      </c>
      <c r="M46" s="13" t="s">
        <v>219</v>
      </c>
    </row>
    <row r="47" customFormat="false" ht="15" hidden="false" customHeight="true" outlineLevel="0" collapsed="false">
      <c r="A47" s="7" t="s">
        <v>220</v>
      </c>
      <c r="B47" s="8" t="s">
        <v>221</v>
      </c>
      <c r="C47" s="8" t="n">
        <v>2023</v>
      </c>
      <c r="D47" s="8" t="s">
        <v>72</v>
      </c>
      <c r="E47" s="8" t="s">
        <v>222</v>
      </c>
      <c r="F47" s="8" t="s">
        <v>67</v>
      </c>
      <c r="G47" s="8" t="n">
        <v>10</v>
      </c>
      <c r="H47" s="8" t="n">
        <v>1010</v>
      </c>
      <c r="I47" s="8" t="s">
        <v>50</v>
      </c>
      <c r="J47" s="8" t="n">
        <v>0</v>
      </c>
      <c r="K47" s="8" t="s">
        <v>68</v>
      </c>
      <c r="L47" s="8" t="s">
        <v>52</v>
      </c>
      <c r="M47" s="12" t="s">
        <v>223</v>
      </c>
    </row>
    <row r="48" customFormat="false" ht="15" hidden="false" customHeight="true" outlineLevel="0" collapsed="false">
      <c r="A48" s="5" t="s">
        <v>224</v>
      </c>
      <c r="B48" s="6" t="s">
        <v>225</v>
      </c>
      <c r="C48" s="6" t="n">
        <v>2024</v>
      </c>
      <c r="D48" s="6" t="s">
        <v>72</v>
      </c>
      <c r="E48" s="6" t="s">
        <v>77</v>
      </c>
      <c r="F48" s="6" t="s">
        <v>67</v>
      </c>
      <c r="G48" s="6"/>
      <c r="H48" s="6"/>
      <c r="I48" s="6" t="s">
        <v>50</v>
      </c>
      <c r="J48" s="6" t="n">
        <v>0</v>
      </c>
      <c r="K48" s="6" t="s">
        <v>68</v>
      </c>
      <c r="L48" s="6" t="s">
        <v>52</v>
      </c>
      <c r="M48" s="13" t="s">
        <v>226</v>
      </c>
    </row>
    <row r="49" customFormat="false" ht="15" hidden="false" customHeight="true" outlineLevel="0" collapsed="false">
      <c r="A49" s="7" t="s">
        <v>227</v>
      </c>
      <c r="B49" s="8" t="s">
        <v>228</v>
      </c>
      <c r="C49" s="8" t="n">
        <v>2024</v>
      </c>
      <c r="D49" s="8" t="s">
        <v>229</v>
      </c>
      <c r="E49" s="8" t="s">
        <v>77</v>
      </c>
      <c r="F49" s="8" t="s">
        <v>67</v>
      </c>
      <c r="G49" s="8"/>
      <c r="H49" s="8"/>
      <c r="I49" s="8" t="s">
        <v>50</v>
      </c>
      <c r="J49" s="8" t="n">
        <v>0</v>
      </c>
      <c r="K49" s="8" t="s">
        <v>68</v>
      </c>
      <c r="L49" s="8" t="s">
        <v>52</v>
      </c>
      <c r="M49" s="12" t="s">
        <v>230</v>
      </c>
    </row>
    <row r="50" customFormat="false" ht="15" hidden="false" customHeight="true" outlineLevel="0" collapsed="false">
      <c r="A50" s="5" t="s">
        <v>231</v>
      </c>
      <c r="B50" s="6" t="s">
        <v>232</v>
      </c>
      <c r="C50" s="6" t="n">
        <v>2023</v>
      </c>
      <c r="D50" s="6" t="s">
        <v>229</v>
      </c>
      <c r="E50" s="6" t="s">
        <v>233</v>
      </c>
      <c r="F50" s="6" t="s">
        <v>67</v>
      </c>
      <c r="G50" s="6"/>
      <c r="H50" s="6"/>
      <c r="I50" s="6" t="s">
        <v>50</v>
      </c>
      <c r="J50" s="6" t="n">
        <v>0</v>
      </c>
      <c r="K50" s="6" t="s">
        <v>68</v>
      </c>
      <c r="L50" s="6" t="s">
        <v>52</v>
      </c>
      <c r="M50" s="13" t="s">
        <v>234</v>
      </c>
    </row>
    <row r="51" customFormat="false" ht="15" hidden="false" customHeight="true" outlineLevel="0" collapsed="false">
      <c r="A51" s="7" t="s">
        <v>235</v>
      </c>
      <c r="B51" s="8" t="s">
        <v>236</v>
      </c>
      <c r="C51" s="8" t="n">
        <v>2024</v>
      </c>
      <c r="D51" s="8" t="s">
        <v>237</v>
      </c>
      <c r="E51" s="8" t="s">
        <v>238</v>
      </c>
      <c r="F51" s="8" t="s">
        <v>49</v>
      </c>
      <c r="G51" s="8" t="n">
        <v>35</v>
      </c>
      <c r="H51" s="8"/>
      <c r="I51" s="8" t="s">
        <v>50</v>
      </c>
      <c r="J51" s="8" t="n">
        <v>0</v>
      </c>
      <c r="K51" s="8" t="s">
        <v>51</v>
      </c>
      <c r="L51" s="8" t="s">
        <v>52</v>
      </c>
      <c r="M51" s="12" t="s">
        <v>239</v>
      </c>
    </row>
    <row r="52" customFormat="false" ht="15" hidden="false" customHeight="true" outlineLevel="0" collapsed="false">
      <c r="A52" s="5" t="s">
        <v>240</v>
      </c>
      <c r="B52" s="6" t="s">
        <v>241</v>
      </c>
      <c r="C52" s="6" t="n">
        <v>2024</v>
      </c>
      <c r="D52" s="6" t="s">
        <v>237</v>
      </c>
      <c r="E52" s="6" t="s">
        <v>242</v>
      </c>
      <c r="F52" s="6" t="s">
        <v>49</v>
      </c>
      <c r="G52" s="6"/>
      <c r="H52" s="6"/>
      <c r="I52" s="6" t="s">
        <v>50</v>
      </c>
      <c r="J52" s="6" t="n">
        <v>0</v>
      </c>
      <c r="K52" s="6" t="s">
        <v>51</v>
      </c>
      <c r="L52" s="6" t="s">
        <v>52</v>
      </c>
      <c r="M52" s="13" t="s">
        <v>243</v>
      </c>
    </row>
    <row r="53" customFormat="false" ht="15" hidden="false" customHeight="true" outlineLevel="0" collapsed="false">
      <c r="A53" s="7" t="s">
        <v>244</v>
      </c>
      <c r="B53" s="8" t="s">
        <v>202</v>
      </c>
      <c r="C53" s="8" t="n">
        <v>2022</v>
      </c>
      <c r="D53" s="8" t="s">
        <v>245</v>
      </c>
      <c r="E53" s="8" t="s">
        <v>98</v>
      </c>
      <c r="F53" s="8" t="s">
        <v>49</v>
      </c>
      <c r="G53" s="8"/>
      <c r="H53" s="8"/>
      <c r="I53" s="8" t="s">
        <v>50</v>
      </c>
      <c r="J53" s="8" t="n">
        <v>0</v>
      </c>
      <c r="K53" s="8" t="s">
        <v>51</v>
      </c>
      <c r="L53" s="8" t="s">
        <v>52</v>
      </c>
      <c r="M53" s="12" t="s">
        <v>246</v>
      </c>
    </row>
    <row r="54" customFormat="false" ht="15" hidden="false" customHeight="true" outlineLevel="0" collapsed="false">
      <c r="A54" s="5" t="s">
        <v>247</v>
      </c>
      <c r="B54" s="6" t="s">
        <v>133</v>
      </c>
      <c r="C54" s="6" t="n">
        <v>2025</v>
      </c>
      <c r="D54" s="6" t="s">
        <v>245</v>
      </c>
      <c r="E54" s="6" t="s">
        <v>98</v>
      </c>
      <c r="F54" s="6" t="s">
        <v>49</v>
      </c>
      <c r="G54" s="6"/>
      <c r="H54" s="6"/>
      <c r="I54" s="6" t="s">
        <v>50</v>
      </c>
      <c r="J54" s="6" t="n">
        <v>0</v>
      </c>
      <c r="K54" s="6" t="s">
        <v>51</v>
      </c>
      <c r="L54" s="6" t="s">
        <v>52</v>
      </c>
      <c r="M54" s="13" t="s">
        <v>248</v>
      </c>
    </row>
    <row r="55" customFormat="false" ht="15" hidden="false" customHeight="true" outlineLevel="0" collapsed="false">
      <c r="A55" s="7" t="s">
        <v>249</v>
      </c>
      <c r="B55" s="8" t="s">
        <v>159</v>
      </c>
      <c r="C55" s="8" t="n">
        <v>2023</v>
      </c>
      <c r="D55" s="8" t="s">
        <v>245</v>
      </c>
      <c r="E55" s="8" t="s">
        <v>250</v>
      </c>
      <c r="F55" s="8" t="s">
        <v>49</v>
      </c>
      <c r="G55" s="8" t="n">
        <v>42</v>
      </c>
      <c r="H55" s="8" t="n">
        <v>582</v>
      </c>
      <c r="I55" s="8" t="s">
        <v>50</v>
      </c>
      <c r="J55" s="8" t="n">
        <v>0</v>
      </c>
      <c r="K55" s="8" t="s">
        <v>51</v>
      </c>
      <c r="L55" s="8" t="s">
        <v>52</v>
      </c>
      <c r="M55" s="12" t="s">
        <v>251</v>
      </c>
    </row>
    <row r="56" customFormat="false" ht="15" hidden="false" customHeight="true" outlineLevel="0" collapsed="false">
      <c r="A56" s="5" t="s">
        <v>252</v>
      </c>
      <c r="B56" s="6" t="s">
        <v>253</v>
      </c>
      <c r="C56" s="6" t="n">
        <v>2023</v>
      </c>
      <c r="D56" s="6" t="s">
        <v>245</v>
      </c>
      <c r="E56" s="6" t="s">
        <v>254</v>
      </c>
      <c r="F56" s="6" t="s">
        <v>205</v>
      </c>
      <c r="G56" s="6" t="n">
        <v>110</v>
      </c>
      <c r="H56" s="6" t="n">
        <v>655</v>
      </c>
      <c r="I56" s="6" t="s">
        <v>50</v>
      </c>
      <c r="J56" s="6" t="n">
        <v>0</v>
      </c>
      <c r="K56" s="6" t="s">
        <v>206</v>
      </c>
      <c r="L56" s="6" t="s">
        <v>52</v>
      </c>
      <c r="M56" s="13" t="s">
        <v>255</v>
      </c>
    </row>
    <row r="57" customFormat="false" ht="15" hidden="false" customHeight="true" outlineLevel="0" collapsed="false">
      <c r="A57" s="7" t="s">
        <v>256</v>
      </c>
      <c r="B57" s="8" t="s">
        <v>257</v>
      </c>
      <c r="C57" s="8" t="n">
        <v>2023</v>
      </c>
      <c r="D57" s="8" t="s">
        <v>258</v>
      </c>
      <c r="E57" s="8" t="s">
        <v>233</v>
      </c>
      <c r="F57" s="8" t="s">
        <v>67</v>
      </c>
      <c r="G57" s="8"/>
      <c r="H57" s="8"/>
      <c r="I57" s="8" t="s">
        <v>50</v>
      </c>
      <c r="J57" s="8" t="n">
        <v>0</v>
      </c>
      <c r="K57" s="8" t="s">
        <v>68</v>
      </c>
      <c r="L57" s="8" t="s">
        <v>52</v>
      </c>
      <c r="M57" s="12" t="s">
        <v>259</v>
      </c>
    </row>
    <row r="58" customFormat="false" ht="15" hidden="false" customHeight="true" outlineLevel="0" collapsed="false">
      <c r="A58" s="5" t="s">
        <v>260</v>
      </c>
      <c r="B58" s="6" t="s">
        <v>261</v>
      </c>
      <c r="C58" s="6" t="n">
        <v>2023</v>
      </c>
      <c r="D58" s="6" t="s">
        <v>262</v>
      </c>
      <c r="E58" s="6" t="s">
        <v>263</v>
      </c>
      <c r="F58" s="6" t="s">
        <v>49</v>
      </c>
      <c r="G58" s="6"/>
      <c r="H58" s="6" t="n">
        <v>2700</v>
      </c>
      <c r="I58" s="6" t="s">
        <v>50</v>
      </c>
      <c r="J58" s="6" t="n">
        <v>0</v>
      </c>
      <c r="K58" s="6" t="s">
        <v>51</v>
      </c>
      <c r="L58" s="6" t="s">
        <v>52</v>
      </c>
      <c r="M58" s="13" t="s">
        <v>264</v>
      </c>
    </row>
    <row r="59" customFormat="false" ht="15" hidden="false" customHeight="true" outlineLevel="0" collapsed="false">
      <c r="A59" s="7" t="s">
        <v>265</v>
      </c>
      <c r="B59" s="8" t="s">
        <v>133</v>
      </c>
      <c r="C59" s="8" t="n">
        <v>2025</v>
      </c>
      <c r="D59" s="8" t="s">
        <v>262</v>
      </c>
      <c r="E59" s="8" t="s">
        <v>263</v>
      </c>
      <c r="F59" s="8" t="s">
        <v>49</v>
      </c>
      <c r="G59" s="8"/>
      <c r="H59" s="8" t="n">
        <v>4790</v>
      </c>
      <c r="I59" s="8" t="s">
        <v>50</v>
      </c>
      <c r="J59" s="8" t="n">
        <v>0</v>
      </c>
      <c r="K59" s="8" t="s">
        <v>51</v>
      </c>
      <c r="L59" s="8" t="s">
        <v>52</v>
      </c>
      <c r="M59" s="12" t="s">
        <v>264</v>
      </c>
    </row>
    <row r="60" customFormat="false" ht="15" hidden="false" customHeight="true" outlineLevel="0" collapsed="false">
      <c r="A60" s="5" t="s">
        <v>266</v>
      </c>
      <c r="B60" s="6" t="s">
        <v>267</v>
      </c>
      <c r="C60" s="6" t="n">
        <v>2023</v>
      </c>
      <c r="D60" s="6" t="s">
        <v>268</v>
      </c>
      <c r="E60" s="6" t="s">
        <v>73</v>
      </c>
      <c r="F60" s="6" t="s">
        <v>102</v>
      </c>
      <c r="G60" s="6" t="n">
        <v>80</v>
      </c>
      <c r="H60" s="6" t="n">
        <v>80</v>
      </c>
      <c r="I60" s="6" t="s">
        <v>50</v>
      </c>
      <c r="J60" s="6" t="n">
        <v>0</v>
      </c>
      <c r="K60" s="6" t="s">
        <v>206</v>
      </c>
      <c r="L60" s="6" t="s">
        <v>52</v>
      </c>
      <c r="M60" s="13" t="s">
        <v>269</v>
      </c>
    </row>
    <row r="61" customFormat="false" ht="15" hidden="false" customHeight="true" outlineLevel="0" collapsed="false">
      <c r="A61" s="7" t="s">
        <v>270</v>
      </c>
      <c r="B61" s="8" t="s">
        <v>271</v>
      </c>
      <c r="C61" s="8" t="n">
        <v>2020</v>
      </c>
      <c r="D61" s="8" t="s">
        <v>272</v>
      </c>
      <c r="E61" s="8" t="s">
        <v>110</v>
      </c>
      <c r="F61" s="8" t="s">
        <v>49</v>
      </c>
      <c r="G61" s="8"/>
      <c r="H61" s="8"/>
      <c r="I61" s="8" t="s">
        <v>50</v>
      </c>
      <c r="J61" s="8" t="n">
        <v>0</v>
      </c>
      <c r="K61" s="8" t="s">
        <v>206</v>
      </c>
      <c r="L61" s="8" t="s">
        <v>52</v>
      </c>
      <c r="M61" s="12" t="s">
        <v>273</v>
      </c>
    </row>
    <row r="62" customFormat="false" ht="15" hidden="false" customHeight="true" outlineLevel="0" collapsed="false">
      <c r="A62" s="5" t="s">
        <v>274</v>
      </c>
      <c r="B62" s="6" t="s">
        <v>275</v>
      </c>
      <c r="C62" s="6" t="n">
        <v>2023</v>
      </c>
      <c r="D62" s="6" t="s">
        <v>109</v>
      </c>
      <c r="E62" s="6" t="s">
        <v>110</v>
      </c>
      <c r="F62" s="6" t="s">
        <v>49</v>
      </c>
      <c r="G62" s="6"/>
      <c r="H62" s="6"/>
      <c r="I62" s="6" t="s">
        <v>50</v>
      </c>
      <c r="J62" s="6" t="n">
        <v>0</v>
      </c>
      <c r="K62" s="6" t="s">
        <v>206</v>
      </c>
      <c r="L62" s="6" t="s">
        <v>52</v>
      </c>
      <c r="M62" s="13" t="s">
        <v>276</v>
      </c>
    </row>
    <row r="63" customFormat="false" ht="20.25" hidden="false" customHeight="true" outlineLevel="0" collapsed="false">
      <c r="A63" s="7" t="s">
        <v>277</v>
      </c>
      <c r="B63" s="8" t="s">
        <v>278</v>
      </c>
      <c r="C63" s="8" t="n">
        <v>2025</v>
      </c>
      <c r="D63" s="8" t="s">
        <v>279</v>
      </c>
      <c r="E63" s="8" t="s">
        <v>280</v>
      </c>
      <c r="F63" s="8" t="s">
        <v>218</v>
      </c>
      <c r="G63" s="8" t="n">
        <v>600</v>
      </c>
      <c r="H63" s="8" t="n">
        <v>600</v>
      </c>
      <c r="I63" s="8" t="s">
        <v>61</v>
      </c>
      <c r="J63" s="8" t="n">
        <v>1</v>
      </c>
      <c r="K63" s="8" t="s">
        <v>281</v>
      </c>
      <c r="L63" s="8" t="s">
        <v>52</v>
      </c>
      <c r="M63" s="12" t="s">
        <v>282</v>
      </c>
    </row>
    <row r="64" customFormat="false" ht="15" hidden="false" customHeight="true" outlineLevel="0" collapsed="false">
      <c r="A64" s="5" t="s">
        <v>283</v>
      </c>
      <c r="B64" s="6" t="s">
        <v>284</v>
      </c>
      <c r="C64" s="6" t="n">
        <v>2021</v>
      </c>
      <c r="D64" s="6" t="s">
        <v>285</v>
      </c>
      <c r="E64" s="6" t="s">
        <v>114</v>
      </c>
      <c r="F64" s="6" t="s">
        <v>218</v>
      </c>
      <c r="G64" s="6" t="n">
        <v>400</v>
      </c>
      <c r="H64" s="6" t="n">
        <v>400</v>
      </c>
      <c r="I64" s="6" t="s">
        <v>61</v>
      </c>
      <c r="J64" s="6" t="n">
        <v>1</v>
      </c>
      <c r="K64" s="6" t="s">
        <v>281</v>
      </c>
      <c r="L64" s="6" t="s">
        <v>52</v>
      </c>
      <c r="M64" s="13" t="s">
        <v>286</v>
      </c>
    </row>
    <row r="65" customFormat="false" ht="15" hidden="false" customHeight="true" outlineLevel="0" collapsed="false">
      <c r="A65" s="7" t="s">
        <v>287</v>
      </c>
      <c r="B65" s="8" t="s">
        <v>288</v>
      </c>
      <c r="C65" s="8" t="n">
        <v>2021</v>
      </c>
      <c r="D65" s="8" t="s">
        <v>167</v>
      </c>
      <c r="E65" s="8" t="s">
        <v>66</v>
      </c>
      <c r="F65" s="8" t="s">
        <v>49</v>
      </c>
      <c r="G65" s="8"/>
      <c r="H65" s="8"/>
      <c r="I65" s="8" t="s">
        <v>50</v>
      </c>
      <c r="J65" s="8" t="n">
        <v>0</v>
      </c>
      <c r="K65" s="8" t="s">
        <v>51</v>
      </c>
      <c r="L65" s="8" t="s">
        <v>52</v>
      </c>
      <c r="M65" s="12" t="s">
        <v>289</v>
      </c>
    </row>
    <row r="66" customFormat="false" ht="15" hidden="false" customHeight="true" outlineLevel="0" collapsed="false">
      <c r="A66" s="5" t="s">
        <v>290</v>
      </c>
      <c r="B66" s="6" t="s">
        <v>291</v>
      </c>
      <c r="C66" s="6" t="n">
        <v>2022</v>
      </c>
      <c r="D66" s="6" t="s">
        <v>72</v>
      </c>
      <c r="E66" s="6" t="s">
        <v>66</v>
      </c>
      <c r="F66" s="6" t="s">
        <v>49</v>
      </c>
      <c r="G66" s="6"/>
      <c r="H66" s="6"/>
      <c r="I66" s="6" t="s">
        <v>50</v>
      </c>
      <c r="J66" s="6" t="n">
        <v>0</v>
      </c>
      <c r="K66" s="6" t="s">
        <v>51</v>
      </c>
      <c r="L66" s="6" t="s">
        <v>292</v>
      </c>
      <c r="M66" s="13" t="s">
        <v>293</v>
      </c>
    </row>
    <row r="67" customFormat="false" ht="15" hidden="false" customHeight="true" outlineLevel="0" collapsed="false">
      <c r="A67" s="7" t="s">
        <v>294</v>
      </c>
      <c r="B67" s="8" t="s">
        <v>136</v>
      </c>
      <c r="C67" s="8" t="n">
        <v>2023</v>
      </c>
      <c r="D67" s="8" t="s">
        <v>137</v>
      </c>
      <c r="E67" s="8" t="s">
        <v>66</v>
      </c>
      <c r="F67" s="8" t="s">
        <v>49</v>
      </c>
      <c r="G67" s="8" t="n">
        <v>20</v>
      </c>
      <c r="H67" s="8" t="n">
        <v>674</v>
      </c>
      <c r="I67" s="8" t="s">
        <v>50</v>
      </c>
      <c r="J67" s="8" t="n">
        <v>0</v>
      </c>
      <c r="K67" s="8" t="s">
        <v>51</v>
      </c>
      <c r="L67" s="8" t="s">
        <v>52</v>
      </c>
      <c r="M67" s="12" t="s">
        <v>293</v>
      </c>
    </row>
    <row r="68" customFormat="false" ht="15" hidden="false" customHeight="true" outlineLevel="0" collapsed="false">
      <c r="A68" s="5" t="s">
        <v>295</v>
      </c>
      <c r="B68" s="6" t="s">
        <v>296</v>
      </c>
      <c r="C68" s="6" t="n">
        <v>2025</v>
      </c>
      <c r="D68" s="6" t="s">
        <v>65</v>
      </c>
      <c r="E68" s="6" t="s">
        <v>66</v>
      </c>
      <c r="F68" s="6" t="s">
        <v>49</v>
      </c>
      <c r="G68" s="6"/>
      <c r="H68" s="6"/>
      <c r="I68" s="6" t="s">
        <v>50</v>
      </c>
      <c r="J68" s="6" t="n">
        <v>0</v>
      </c>
      <c r="K68" s="6" t="s">
        <v>68</v>
      </c>
      <c r="L68" s="6" t="s">
        <v>292</v>
      </c>
      <c r="M68" s="13" t="s">
        <v>297</v>
      </c>
    </row>
    <row r="69" customFormat="false" ht="15" hidden="false" customHeight="true" outlineLevel="0" collapsed="false">
      <c r="A69" s="7" t="s">
        <v>298</v>
      </c>
      <c r="B69" s="8" t="s">
        <v>299</v>
      </c>
      <c r="C69" s="8" t="n">
        <v>2026</v>
      </c>
      <c r="D69" s="8" t="s">
        <v>47</v>
      </c>
      <c r="E69" s="8" t="s">
        <v>153</v>
      </c>
      <c r="F69" s="8" t="s">
        <v>67</v>
      </c>
      <c r="G69" s="8"/>
      <c r="H69" s="8"/>
      <c r="I69" s="8" t="s">
        <v>50</v>
      </c>
      <c r="J69" s="8" t="n">
        <v>0</v>
      </c>
      <c r="K69" s="8" t="s">
        <v>68</v>
      </c>
      <c r="L69" s="8" t="s">
        <v>52</v>
      </c>
      <c r="M69" s="12" t="s">
        <v>300</v>
      </c>
    </row>
    <row r="70" customFormat="false" ht="15" hidden="false" customHeight="true" outlineLevel="0" collapsed="false">
      <c r="A70" s="5" t="s">
        <v>301</v>
      </c>
      <c r="B70" s="6" t="s">
        <v>302</v>
      </c>
      <c r="C70" s="6" t="n">
        <v>2025</v>
      </c>
      <c r="D70" s="6" t="s">
        <v>118</v>
      </c>
      <c r="E70" s="6" t="s">
        <v>81</v>
      </c>
      <c r="F70" s="6" t="s">
        <v>67</v>
      </c>
      <c r="G70" s="6"/>
      <c r="H70" s="6"/>
      <c r="I70" s="6" t="s">
        <v>50</v>
      </c>
      <c r="J70" s="6" t="n">
        <v>0</v>
      </c>
      <c r="K70" s="6" t="s">
        <v>68</v>
      </c>
      <c r="L70" s="6" t="s">
        <v>52</v>
      </c>
      <c r="M70" s="13" t="s">
        <v>303</v>
      </c>
    </row>
    <row r="71" customFormat="false" ht="15" hidden="false" customHeight="true" outlineLevel="0" collapsed="false">
      <c r="A71" s="7" t="s">
        <v>304</v>
      </c>
      <c r="B71" s="8" t="s">
        <v>305</v>
      </c>
      <c r="C71" s="8" t="n">
        <v>2023</v>
      </c>
      <c r="D71" s="8" t="s">
        <v>144</v>
      </c>
      <c r="E71" s="8" t="s">
        <v>306</v>
      </c>
      <c r="F71" s="8" t="s">
        <v>126</v>
      </c>
      <c r="G71" s="8"/>
      <c r="H71" s="8"/>
      <c r="I71" s="8" t="s">
        <v>50</v>
      </c>
      <c r="J71" s="8" t="n">
        <v>0</v>
      </c>
      <c r="K71" s="8" t="s">
        <v>206</v>
      </c>
      <c r="L71" s="8" t="s">
        <v>52</v>
      </c>
      <c r="M71" s="12" t="s">
        <v>307</v>
      </c>
    </row>
    <row r="72" customFormat="false" ht="15" hidden="false" customHeight="true" outlineLevel="0" collapsed="false">
      <c r="A72" s="5" t="s">
        <v>308</v>
      </c>
      <c r="B72" s="6" t="s">
        <v>309</v>
      </c>
      <c r="C72" s="6" t="n">
        <v>2025</v>
      </c>
      <c r="D72" s="6" t="s">
        <v>144</v>
      </c>
      <c r="E72" s="6" t="s">
        <v>310</v>
      </c>
      <c r="F72" s="6" t="s">
        <v>67</v>
      </c>
      <c r="G72" s="6"/>
      <c r="H72" s="6"/>
      <c r="I72" s="6" t="s">
        <v>50</v>
      </c>
      <c r="J72" s="6" t="n">
        <v>0</v>
      </c>
      <c r="K72" s="6" t="s">
        <v>68</v>
      </c>
      <c r="L72" s="6" t="s">
        <v>292</v>
      </c>
      <c r="M72" s="13" t="s">
        <v>311</v>
      </c>
    </row>
    <row r="73" customFormat="false" ht="15" hidden="false" customHeight="true" outlineLevel="0" collapsed="false">
      <c r="A73" s="7" t="s">
        <v>312</v>
      </c>
      <c r="B73" s="8" t="s">
        <v>313</v>
      </c>
      <c r="C73" s="8" t="n">
        <v>2022</v>
      </c>
      <c r="D73" s="8" t="s">
        <v>314</v>
      </c>
      <c r="E73" s="8" t="s">
        <v>217</v>
      </c>
      <c r="F73" s="8" t="s">
        <v>126</v>
      </c>
      <c r="G73" s="8"/>
      <c r="H73" s="8"/>
      <c r="I73" s="8" t="s">
        <v>50</v>
      </c>
      <c r="J73" s="8" t="n">
        <v>0</v>
      </c>
      <c r="K73" s="8" t="s">
        <v>315</v>
      </c>
      <c r="L73" s="8" t="s">
        <v>292</v>
      </c>
      <c r="M73" s="12" t="s">
        <v>316</v>
      </c>
    </row>
    <row r="74" customFormat="false" ht="15" hidden="false" customHeight="true" outlineLevel="0" collapsed="false">
      <c r="A74" s="5" t="s">
        <v>317</v>
      </c>
      <c r="B74" s="6" t="s">
        <v>318</v>
      </c>
      <c r="C74" s="6" t="n">
        <v>2025</v>
      </c>
      <c r="D74" s="6" t="s">
        <v>72</v>
      </c>
      <c r="E74" s="6" t="s">
        <v>73</v>
      </c>
      <c r="F74" s="6" t="s">
        <v>49</v>
      </c>
      <c r="G74" s="6"/>
      <c r="H74" s="6"/>
      <c r="I74" s="6" t="s">
        <v>50</v>
      </c>
      <c r="J74" s="6" t="n">
        <v>0</v>
      </c>
      <c r="K74" s="6" t="s">
        <v>51</v>
      </c>
      <c r="L74" s="6" t="s">
        <v>52</v>
      </c>
      <c r="M74" s="13" t="s">
        <v>319</v>
      </c>
    </row>
    <row r="75" customFormat="false" ht="15" hidden="false" customHeight="false" outlineLevel="0" collapsed="false">
      <c r="A75" s="7" t="s">
        <v>320</v>
      </c>
      <c r="B75" s="14" t="s">
        <v>321</v>
      </c>
      <c r="C75" s="14" t="n">
        <v>2026</v>
      </c>
      <c r="D75" s="14" t="s">
        <v>47</v>
      </c>
      <c r="E75" s="14" t="s">
        <v>73</v>
      </c>
      <c r="F75" s="14" t="s">
        <v>102</v>
      </c>
      <c r="G75" s="14" t="n">
        <v>1000</v>
      </c>
      <c r="H75" s="14" t="n">
        <v>2750</v>
      </c>
      <c r="I75" s="14" t="s">
        <v>50</v>
      </c>
      <c r="J75" s="14" t="n">
        <v>0</v>
      </c>
      <c r="K75" s="14" t="s">
        <v>322</v>
      </c>
      <c r="L75" s="14" t="s">
        <v>52</v>
      </c>
      <c r="M75" s="15" t="s">
        <v>323</v>
      </c>
    </row>
  </sheetData>
  <hyperlinks>
    <hyperlink ref="M5" r:id="rId1" display="https://www.prnewswire.com/news-releases/isomorphic-labs-announces-strategic-multi-target-research-collaboration-with-lilly-302027392.html"/>
    <hyperlink ref="M6" r:id="rId2" display="https://www.prnewswire.com/news-releases/isomorphic-labs-announces-strategic-multi-target-research-collaboration-with-novartis-302027387.html"/>
    <hyperlink ref="M7" r:id="rId3" display="https://www.amgen.com/newsroom/press-releases/2022/01/amgen-and-generate-biomedicines-announce-multitarget-multimodality-research-collaboration-agreement"/>
    <hyperlink ref="M8" r:id="rId4" display="https://ir.recursion.com/news-releases/news-release-details/recursion-announces-transformational-collaboration-roche-and"/>
    <hyperlink ref="M9" r:id="rId5" display="https://www.globenewswire.com/news-release/2022/11/08/2551039/31533/en/Insilico-Medicine-Signs-Strategic-Research-Collaboration-with-Sanofi-worth-up-to-1-2-Billion.html"/>
    <hyperlink ref="M10" r:id="rId6" display="https://investor.lilly.com/news-releases/news-release-details/lilly-collaborates-openai-discover-novel-medicines-treat-drug"/>
    <hyperlink ref="M11" r:id="rId7" display="https://www.prnewswire.com/news-releases/xtalpi-announces-collaboration-with-lilly-using-ai--robotics-to-uncover-first-in-class-therapeutics-301837142.html"/>
    <hyperlink ref="M12" r:id="rId8" display="https://www.businesswire.com/news/home/20210708005085/en/Verge-Genomics-Announces-Three-Year-Collaboration-With-Lilly-to-Discover-and-Develop-Novel-Treatments-Using-Its-AI-Driven-All-in-Human-Platform"/>
    <hyperlink ref="M13" r:id="rId9" display="https://www.prnewswire.com/news-releases/genetic-leap-and-lilly-enter-collaboration-to-accelerate-genetic-medicine-development-with-ai-302239471.html"/>
    <hyperlink ref="M14" r:id="rId10" display="https://www.genengnews.com/topics/artificial-intelligence/lilly-inks-up-to-560m-ai-drug-discovery-collaboration-with-atomwise/"/>
    <hyperlink ref="M15" r:id="rId11" display="https://investors.abcellera.com/news/news-releases/2020/AbCellera-Announces-Multi-Year-Antibody-Discovery-Collaboration-with-Lilly/default.aspx"/>
    <hyperlink ref="M16" r:id="rId12" display="https://www.theglobeandmail.com/business/article-abcellera-made-200-million-in-royalties-from-its-covid-19-treatment/"/>
    <hyperlink ref="M17" r:id="rId13" display="https://investors.abcellera.com/news/news-releases/2024/AbCellera-and-Lilly-Expand-Collaboration-to-Develop-Antibody-Medicines/default.aspx"/>
    <hyperlink ref="M18" r:id="rId14" display="https://www.businesswire.com/news/home/20210519005180/en/Exscientia-announces-multi-target-AI-driven-drug-discovery-collaboration-with-Bristol-Myers-Squibb"/>
    <hyperlink ref="M19" r:id="rId15" display="https://www.goodwinlaw.com/en/news-and-events/news/2020/10/10_28-insitro-announces"/>
    <hyperlink ref="M20" r:id="rId16" display="https://www.pfizer.com/news/press-release/press-release-detail/cytoreason-announces-expanded-collaboration-deal-pfizer"/>
    <hyperlink ref="M21" r:id="rId17" display="https://www.pfizer.com/news/press-release/press-release-detail/cytoreason-signs-collaboration-agreement-pfizer-inc-utilize"/>
    <hyperlink ref="M22" r:id="rId18" display="https://www.businesswire.com/news/home/20180917005163/en/Atomwise-Enters-Evaluation-Agreement-Pfizer"/>
    <hyperlink ref="M23" r:id="rId19" display="https://www.prnewswire.com/news-releases/postera-announces-260m-multi-target-strategic-ai-lab-collaboration-with-pfizer-301457261.html"/>
    <hyperlink ref="M24" r:id="rId20" display="https://www.prnewswire.com/news-releases/postera-announces-expansion-to-610m-in-their-ai-drug-discovery-collaboration-with-pfizer-302342047.html"/>
    <hyperlink ref="M25" r:id="rId21" display="https://www.businesswire.com/news/home/20230919017658/en/BenevolentAI-Signs-Strategic-Collaboration-with-Merck"/>
    <hyperlink ref="M26" r:id="rId22" display="https://investors.exscientia.ai/press-releases/press-release-details/2023/Exscientia-Announces-AI-Drug-Discovery-Collaboration-with-Merck-KGaA-Darmstadt-Germany/default.aspx"/>
    <hyperlink ref="M27" r:id="rId23" display="https://www.businesswire.com/news/home/20250923751722/en/Variational-AI-Enters-Collaboration-with-Merck-to-Apply-Generative-AI-to-Drug-Discovery"/>
    <hyperlink ref="M28" r:id="rId24" display="https://www.absci.com/partnerships/"/>
    <hyperlink ref="M29" r:id="rId25" display="https://ir.schrodinger.com/press-releases/news-details/2020/Schrdinger-Announces-a-Multi-Target-Drug-Discovery-Development-and-Commercialization-Collaboration-with-Bristol-Myers-Squibb-11-23-2020/default.aspx"/>
    <hyperlink ref="M30" r:id="rId26" display="https://ir.schrodinger.com/press-releases/news-details/2024/Schrdinger-Announces-Multi-Target-Collaboration-and-Expanded-Software-Licensing-Agreement-with-Novartis/default.aspx"/>
    <hyperlink ref="M31" r:id="rId27" display="https://www.otsuka.co.jp/en/company/newsreleases/2023/20230110_1.html"/>
    <hyperlink ref="M32" r:id="rId28" display="https://thehealthcaretechnologyreport.com/eli-lilly-enters-into-425m-small-molecule-arrangement-with-schrodinger/"/>
    <hyperlink ref="M33" r:id="rId29" display="https://investors.exscientia.ai/press-releases/press-release-details/2020/Bayer-and-Exscientia-collaborate-to-leverage-the-potential-of-artificial-intelligence-in-cardiovascular-and-oncology-drug-discovery/default.aspx"/>
    <hyperlink ref="M34" r:id="rId30" display="https://recursion.com/news/bayer-partnership"/>
    <hyperlink ref="M35" r:id="rId31" display="https://www.globenewswire.com/news-release/2023/11/09/2777499/0/en/Bayer-and-Recursion-Focus-Research-Collaboration-on-Oncology.html"/>
    <hyperlink ref="M36" r:id="rId32" display="https://www.astrazeneca.com/media-centre/press-releases/2019/astrazeneca-starts-artificial-intelligence-collaboration-to-accelerate-drug-discovery-30042019.html"/>
    <hyperlink ref="M37" r:id="rId33" display="https://www.benevolent.com/news-and-media/press-releases-and-in-media/benevolentai-announces-3-year-collaboration-expansion-astrazeneca-focused-systemic-lupus-erythematosus-and-heart-failure/"/>
    <hyperlink ref="M38" r:id="rId34" display="https://investors.absci.com/news-releases/news-release-details/absci-announces-collaboration-astrazeneca-advance-ai-driven"/>
    <hyperlink ref="M39" r:id="rId35" display="https://www.polsinelli.com/news/polsinelli-represents-verge-genomics-in-ai-enabled-drug-discovery-collaboration-with-alexion-astrazeneca-rare-disease-worth-up-to-840-million"/>
    <hyperlink ref="M40" r:id="rId36" display="https://www.gsk.com/en-gb/media/press-releases/gsk-announces-expanded-collaboration-with-tempus-in-precision-medicine-to-accelerate-rd/"/>
    <hyperlink ref="M41" r:id="rId37" display="https://www.gsk.ai/publications/epigenomic-language-models-powered-by-cerebras/"/>
    <hyperlink ref="M42" r:id="rId38" display="https://www.novartis.com/news/novartis-and-microsoft-announce-collaboration-transform-medicine-artificial-intelligence"/>
    <hyperlink ref="M43" r:id="rId39" display="https://www.takeda.com/newsroom/newsreleases/2022/takeda-to-acquire-late-stage-potential-best-in-class-oral-allosteric-tyk2-inhibitor--ndi-034858-from-nimbus-therapeutics/"/>
    <hyperlink ref="M44" r:id="rId40" display="https://ir.recursion.com/news-releases/news-release-details/recursion-and-exscientia-enter-definitive-agreement-create"/>
    <hyperlink ref="M45" r:id="rId41" display="https://www.businesswire.com/news/home/20220817005089/en/Atomwise-Signs-Strategic-Multi-Target-Research-Collaboration-with-Sanofi-for-AI-Powered-Drug-Discovery"/>
    <hyperlink ref="M46" r:id="rId42" display="https://www.sanofi.com/en/media-room/press-releases/2021/2021-11-18-06-30-00-2336966"/>
    <hyperlink ref="M47" r:id="rId43" display="https://www.businesswire.com/news/home/20231010485897/en/BioMap-Establishes-a-Strategic-Collaboration-with-Sanofi-to-Co-Develop-AI-Modules-to-Accelerate-Drug-Discovery-for-Biotherapeutics"/>
    <hyperlink ref="M48" r:id="rId44" display="https://www.sanofi.com/en/media-room/press-releases/2024/2024-05-21-05-30-00-2885244"/>
    <hyperlink ref="M49" r:id="rId45" display="https://www.modernatx.com/en-US/media-center/all-media/blogs/collaboration-with-openai"/>
    <hyperlink ref="M50" r:id="rId46" display="https://newsroom.ibm.com/2023-04-20-Moderna-and-IBM-to-Explore-Quantum-Computing-and-Generative-AI-for-mRNA-Science"/>
    <hyperlink ref="M51" r:id="rId47" display="https://investors.gilead.com/news/news-details/2024/Gilead-and-Genesis-Therapeutics-Announce-Strategic-Collaboration-to-Discover-and-Develop-Novel-Therapies/default.aspx"/>
    <hyperlink ref="M52" r:id="rId48" display="https://investors.gilead.com/news/news-details/2024/Gilead-and-Terray-Therapeutics-Announce-Multi-Target-Research-Collaboration-to-Discover-and-Develop-Novel-Small-Molecule-Therapies/default.aspx"/>
    <hyperlink ref="M53" r:id="rId49" display="https://investors.abcellera.com/news/news-releases/2022/AbCellera-and-AbbVie-Partner-to-Advance-New-Antibody-Therapies/default.aspx"/>
    <hyperlink ref="M54" r:id="rId50" display="https://investors.abcellera.com/news/news-releases/2025/AbCellera-Expands-Collaboration-with-AbbVie-to-Develop-Novel-T-Cell-Engagers-for-Oncology/default.aspx"/>
    <hyperlink ref="M55" r:id="rId51" display="https://news.abbvie.com/2023-01-10-AbbVie-and-Anima-Biotech-Announce-Collaboration-for-the-Discovery-and-Development-of-mRNA-Biology-Modulators-against-Oncology-and-Immunology-Targets"/>
    <hyperlink ref="M56" r:id="rId52" display="https://news.abbvie.com/2023-10-05-AbbVie-Exercises-Exclusive-Right-to-Acquire-Mitokinin,-Further-Strengthening-Neuroscience-Pipeline"/>
    <hyperlink ref="M57" r:id="rId53" display="https://newsroom.ibm.com/2023-11-28-Boehringer-Ingelheim-and-IBM-Collaborate-to-Advance-Generative-AI-and-Foundation-Models-for-Therapeutic-Antibody-Development"/>
    <hyperlink ref="M58" r:id="rId54" display="https://www.valohealth.com/press/valo-health-and-novo-nordisk-expand-collaboration-to-discover-and-develop-novel-treatments-for-cardiometabolic-diseases"/>
    <hyperlink ref="M59" r:id="rId55" display="https://www.valohealth.com/press/valo-health-and-novo-nordisk-expand-collaboration-to-discover-and-develop-novel-treatments-for-cardiometabolic-diseases"/>
    <hyperlink ref="M60" r:id="rId56" display="https://ir.exelixis.com/news-releases/news-release-details/exelixis-and-insilico-medicine-enter-exclusive-global-license"/>
    <hyperlink ref="M61" r:id="rId57" display="https://www.sumitomo-pharma.com/news/20200130.html"/>
    <hyperlink ref="M62" r:id="rId58" display="https://www.fiercebiotech.com/biotech/ai-drug-hunter-exscientia-chops-down-rapidly-emerging-pipeline-focus-2-main-oncology"/>
    <hyperlink ref="M63" r:id="rId59" display="https://www.isomorphiclabs.com/articles/isomorphic-labs-announces-600m-external-investment-round"/>
    <hyperlink ref="M64" r:id="rId60" display="https://www.insitro.com/news/insitro-raises-400-million-in-series-c-financing-2/"/>
    <hyperlink ref="M65" r:id="rId61" display="https://www.prnewswire.com/news-releases/recursion-and-bayer-expand-fibrosis-collaboration-to-include-inferential-search-capabilities-301437525.html"/>
    <hyperlink ref="M66" r:id="rId62" display="https://www.recursion.com/partners"/>
    <hyperlink ref="M67" r:id="rId63" display="https://www.recursion.com/partners"/>
    <hyperlink ref="M68" r:id="rId64" display="https://ir.recursion.com/news-releases/news-release-details/recursion-reports-third-quarter-2025-financial-results-and"/>
    <hyperlink ref="M69" r:id="rId65" display="https://ir.schrodinger.com/press-releases/news-details/2026/Schrdinger-Partners-with-Lilly-to-Make-TuneLab-Platform-Available-in-LiveDesign/default.aspx"/>
    <hyperlink ref="M70" r:id="rId66" display="https://www.prnewswire.com/news-releases/xtalpi-and-pfizer-expand-strategic-collaboration-to-advance-ai-driven-drug-discovery-and-materials-science-simulations-302494033.html"/>
    <hyperlink ref="M71" r:id="rId67" display="https://hummingbirdbioscience.com/hummingbird-bioscience-and-merck-enter-collaboration-to-evaluate-hmbd-001-in-squamous-non-small-cell-lung-carcinoma/"/>
    <hyperlink ref="M72" r:id="rId68" display="https://www.merck.com/news/merck-and-google-cloud-partner-to-accelerate-agentic-ai-enterprise-transformation/"/>
    <hyperlink ref="M73" r:id="rId69" display="https://www.nature.com/articles/s41591-022-02155-w"/>
    <hyperlink ref="M74" r:id="rId70" display="https://www.eurekalert.org/news-releases/1063134"/>
    <hyperlink ref="M75" r:id="rId71" display="https://insilico.com/news/lilly-rentosertib-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5" min="4" style="1" width="26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0"/>
    <col collapsed="false" customWidth="true" hidden="false" outlineLevel="0" max="10" min="10" style="1" width="22"/>
    <col collapsed="false" customWidth="true" hidden="false" outlineLevel="0" max="11" min="11" style="1" width="50"/>
    <col collapsed="false" customWidth="true" hidden="false" outlineLevel="0" max="12" min="12" style="1" width="16"/>
  </cols>
  <sheetData>
    <row r="1" customFormat="false" ht="19.5" hidden="false" customHeight="true" outlineLevel="0" collapsed="false">
      <c r="A1" s="2" t="s">
        <v>324</v>
      </c>
    </row>
    <row r="2" customFormat="false" ht="15" hidden="false" customHeight="true" outlineLevel="0" collapsed="false">
      <c r="A2" s="3" t="s">
        <v>325</v>
      </c>
    </row>
    <row r="4" customFormat="false" ht="30" hidden="false" customHeight="true" outlineLevel="0" collapsed="false">
      <c r="A4" s="4" t="s">
        <v>326</v>
      </c>
      <c r="B4" s="4" t="s">
        <v>327</v>
      </c>
      <c r="C4" s="4" t="s">
        <v>328</v>
      </c>
      <c r="D4" s="4" t="s">
        <v>329</v>
      </c>
      <c r="E4" s="4" t="s">
        <v>330</v>
      </c>
      <c r="F4" s="4" t="s">
        <v>331</v>
      </c>
      <c r="G4" s="4" t="s">
        <v>332</v>
      </c>
      <c r="H4" s="4" t="s">
        <v>333</v>
      </c>
      <c r="I4" s="4" t="s">
        <v>334</v>
      </c>
      <c r="J4" s="4" t="s">
        <v>335</v>
      </c>
      <c r="K4" s="4" t="s">
        <v>336</v>
      </c>
      <c r="L4" s="4" t="s">
        <v>337</v>
      </c>
    </row>
    <row r="5" customFormat="false" ht="30" hidden="false" customHeight="true" outlineLevel="0" collapsed="false">
      <c r="A5" s="7" t="s">
        <v>338</v>
      </c>
      <c r="B5" s="8" t="s">
        <v>339</v>
      </c>
      <c r="C5" s="8" t="s">
        <v>340</v>
      </c>
      <c r="D5" s="8" t="s">
        <v>341</v>
      </c>
      <c r="E5" s="8" t="s">
        <v>342</v>
      </c>
      <c r="F5" s="8" t="s">
        <v>343</v>
      </c>
      <c r="G5" s="8" t="s">
        <v>344</v>
      </c>
      <c r="H5" s="8" t="s">
        <v>345</v>
      </c>
      <c r="I5" s="8" t="n">
        <v>2019</v>
      </c>
      <c r="J5" s="8" t="s">
        <v>346</v>
      </c>
      <c r="K5" s="8" t="s">
        <v>347</v>
      </c>
      <c r="L5" s="8"/>
    </row>
    <row r="6" customFormat="false" ht="30" hidden="false" customHeight="true" outlineLevel="0" collapsed="false">
      <c r="A6" s="5" t="s">
        <v>348</v>
      </c>
      <c r="B6" s="6" t="s">
        <v>73</v>
      </c>
      <c r="C6" s="6" t="s">
        <v>340</v>
      </c>
      <c r="D6" s="6" t="s">
        <v>349</v>
      </c>
      <c r="E6" s="6" t="s">
        <v>350</v>
      </c>
      <c r="F6" s="6" t="s">
        <v>351</v>
      </c>
      <c r="G6" s="6" t="s">
        <v>352</v>
      </c>
      <c r="H6" s="6" t="s">
        <v>345</v>
      </c>
      <c r="I6" s="6" t="n">
        <v>2022</v>
      </c>
      <c r="J6" s="6" t="s">
        <v>346</v>
      </c>
      <c r="K6" s="6" t="s">
        <v>353</v>
      </c>
      <c r="L6" s="6"/>
    </row>
    <row r="7" customFormat="false" ht="30" hidden="false" customHeight="true" outlineLevel="0" collapsed="false">
      <c r="A7" s="7" t="s">
        <v>354</v>
      </c>
      <c r="B7" s="8" t="s">
        <v>355</v>
      </c>
      <c r="C7" s="8" t="s">
        <v>356</v>
      </c>
      <c r="D7" s="8" t="s">
        <v>357</v>
      </c>
      <c r="E7" s="8" t="s">
        <v>358</v>
      </c>
      <c r="F7" s="8" t="s">
        <v>359</v>
      </c>
      <c r="G7" s="8" t="s">
        <v>360</v>
      </c>
      <c r="H7" s="8" t="s">
        <v>361</v>
      </c>
      <c r="I7" s="8" t="n">
        <v>2021</v>
      </c>
      <c r="J7" s="8" t="s">
        <v>346</v>
      </c>
      <c r="K7" s="8" t="s">
        <v>362</v>
      </c>
      <c r="L7" s="8"/>
    </row>
    <row r="8" customFormat="false" ht="20.25" hidden="false" customHeight="true" outlineLevel="0" collapsed="false">
      <c r="A8" s="5" t="s">
        <v>363</v>
      </c>
      <c r="B8" s="6" t="s">
        <v>364</v>
      </c>
      <c r="C8" s="6" t="s">
        <v>340</v>
      </c>
      <c r="D8" s="6" t="s">
        <v>365</v>
      </c>
      <c r="E8" s="6" t="s">
        <v>366</v>
      </c>
      <c r="F8" s="6" t="s">
        <v>367</v>
      </c>
      <c r="G8" s="6" t="s">
        <v>344</v>
      </c>
      <c r="H8" s="6" t="s">
        <v>368</v>
      </c>
      <c r="I8" s="6" t="n">
        <v>2014</v>
      </c>
      <c r="J8" s="6" t="s">
        <v>346</v>
      </c>
      <c r="K8" s="6" t="s">
        <v>369</v>
      </c>
      <c r="L8" s="6"/>
    </row>
    <row r="9" customFormat="false" ht="20.25" hidden="false" customHeight="true" outlineLevel="0" collapsed="false">
      <c r="A9" s="7" t="s">
        <v>370</v>
      </c>
      <c r="B9" s="8" t="s">
        <v>66</v>
      </c>
      <c r="C9" s="8" t="s">
        <v>340</v>
      </c>
      <c r="D9" s="8" t="s">
        <v>371</v>
      </c>
      <c r="E9" s="8" t="s">
        <v>372</v>
      </c>
      <c r="F9" s="8" t="s">
        <v>367</v>
      </c>
      <c r="G9" s="8" t="s">
        <v>373</v>
      </c>
      <c r="H9" s="8" t="s">
        <v>345</v>
      </c>
      <c r="I9" s="8" t="n">
        <v>2022</v>
      </c>
      <c r="J9" s="8" t="s">
        <v>346</v>
      </c>
      <c r="K9" s="8" t="s">
        <v>374</v>
      </c>
      <c r="L9" s="8"/>
    </row>
    <row r="10" customFormat="false" ht="20.25" hidden="false" customHeight="true" outlineLevel="0" collapsed="false">
      <c r="A10" s="5" t="s">
        <v>375</v>
      </c>
      <c r="B10" s="6" t="s">
        <v>376</v>
      </c>
      <c r="C10" s="6" t="s">
        <v>377</v>
      </c>
      <c r="D10" s="6" t="s">
        <v>378</v>
      </c>
      <c r="E10" s="6" t="s">
        <v>379</v>
      </c>
      <c r="F10" s="6" t="s">
        <v>380</v>
      </c>
      <c r="G10" s="6" t="s">
        <v>381</v>
      </c>
      <c r="H10" s="6" t="s">
        <v>345</v>
      </c>
      <c r="I10" s="6" t="n">
        <v>2021</v>
      </c>
      <c r="J10" s="6" t="s">
        <v>346</v>
      </c>
      <c r="K10" s="6" t="s">
        <v>382</v>
      </c>
      <c r="L10" s="6"/>
    </row>
    <row r="11" customFormat="false" ht="20.25" hidden="false" customHeight="true" outlineLevel="0" collapsed="false">
      <c r="A11" s="7" t="s">
        <v>383</v>
      </c>
      <c r="B11" s="8" t="s">
        <v>153</v>
      </c>
      <c r="C11" s="8" t="s">
        <v>340</v>
      </c>
      <c r="D11" s="8" t="s">
        <v>384</v>
      </c>
      <c r="E11" s="8" t="s">
        <v>385</v>
      </c>
      <c r="F11" s="8" t="s">
        <v>343</v>
      </c>
      <c r="G11" s="8" t="s">
        <v>386</v>
      </c>
      <c r="H11" s="8" t="s">
        <v>345</v>
      </c>
      <c r="I11" s="8" t="n">
        <v>2022</v>
      </c>
      <c r="J11" s="8" t="s">
        <v>346</v>
      </c>
      <c r="K11" s="8" t="s">
        <v>387</v>
      </c>
      <c r="L11" s="8"/>
    </row>
    <row r="12" customFormat="false" ht="20.25" hidden="false" customHeight="true" outlineLevel="0" collapsed="false">
      <c r="A12" s="5" t="s">
        <v>388</v>
      </c>
      <c r="B12" s="6" t="s">
        <v>153</v>
      </c>
      <c r="C12" s="6" t="s">
        <v>340</v>
      </c>
      <c r="D12" s="6" t="s">
        <v>389</v>
      </c>
      <c r="E12" s="6" t="s">
        <v>390</v>
      </c>
      <c r="F12" s="6" t="s">
        <v>343</v>
      </c>
      <c r="G12" s="6" t="s">
        <v>386</v>
      </c>
      <c r="H12" s="6" t="s">
        <v>391</v>
      </c>
      <c r="I12" s="6" t="n">
        <v>2022</v>
      </c>
      <c r="J12" s="6" t="s">
        <v>346</v>
      </c>
      <c r="K12" s="6" t="s">
        <v>392</v>
      </c>
      <c r="L12" s="6"/>
    </row>
    <row r="13" customFormat="false" ht="20.25" hidden="false" customHeight="true" outlineLevel="0" collapsed="false">
      <c r="A13" s="7" t="s">
        <v>393</v>
      </c>
      <c r="B13" s="8" t="s">
        <v>66</v>
      </c>
      <c r="C13" s="8" t="s">
        <v>340</v>
      </c>
      <c r="D13" s="8" t="s">
        <v>394</v>
      </c>
      <c r="E13" s="8" t="s">
        <v>395</v>
      </c>
      <c r="F13" s="8" t="s">
        <v>367</v>
      </c>
      <c r="G13" s="8" t="s">
        <v>381</v>
      </c>
      <c r="H13" s="8" t="s">
        <v>391</v>
      </c>
      <c r="I13" s="8" t="n">
        <v>2020</v>
      </c>
      <c r="J13" s="8" t="s">
        <v>346</v>
      </c>
      <c r="K13" s="8" t="s">
        <v>396</v>
      </c>
      <c r="L13" s="8"/>
    </row>
    <row r="14" customFormat="false" ht="20.25" hidden="false" customHeight="true" outlineLevel="0" collapsed="false">
      <c r="A14" s="5" t="s">
        <v>397</v>
      </c>
      <c r="B14" s="6" t="s">
        <v>398</v>
      </c>
      <c r="C14" s="6" t="s">
        <v>356</v>
      </c>
      <c r="D14" s="6" t="s">
        <v>399</v>
      </c>
      <c r="E14" s="6" t="s">
        <v>400</v>
      </c>
      <c r="F14" s="6" t="s">
        <v>401</v>
      </c>
      <c r="G14" s="6" t="s">
        <v>386</v>
      </c>
      <c r="H14" s="6" t="s">
        <v>361</v>
      </c>
      <c r="I14" s="6" t="n">
        <v>2023</v>
      </c>
      <c r="J14" s="6" t="s">
        <v>346</v>
      </c>
      <c r="K14" s="6" t="s">
        <v>402</v>
      </c>
      <c r="L14" s="6"/>
    </row>
    <row r="15" customFormat="false" ht="20.25" hidden="false" customHeight="true" outlineLevel="0" collapsed="false">
      <c r="A15" s="7" t="s">
        <v>403</v>
      </c>
      <c r="B15" s="8" t="s">
        <v>73</v>
      </c>
      <c r="C15" s="8" t="s">
        <v>340</v>
      </c>
      <c r="D15" s="8" t="s">
        <v>404</v>
      </c>
      <c r="E15" s="8" t="s">
        <v>405</v>
      </c>
      <c r="F15" s="8" t="s">
        <v>406</v>
      </c>
      <c r="G15" s="8" t="s">
        <v>407</v>
      </c>
      <c r="H15" s="8" t="s">
        <v>345</v>
      </c>
      <c r="I15" s="8" t="n">
        <v>2021</v>
      </c>
      <c r="J15" s="8" t="s">
        <v>346</v>
      </c>
      <c r="K15" s="8" t="s">
        <v>408</v>
      </c>
      <c r="L15" s="8"/>
    </row>
    <row r="16" customFormat="false" ht="30" hidden="false" customHeight="true" outlineLevel="0" collapsed="false">
      <c r="A16" s="5" t="s">
        <v>409</v>
      </c>
      <c r="B16" s="6" t="s">
        <v>410</v>
      </c>
      <c r="C16" s="6" t="s">
        <v>340</v>
      </c>
      <c r="D16" s="6" t="s">
        <v>411</v>
      </c>
      <c r="E16" s="6" t="s">
        <v>412</v>
      </c>
      <c r="F16" s="6" t="s">
        <v>413</v>
      </c>
      <c r="G16" s="6" t="s">
        <v>414</v>
      </c>
      <c r="H16" s="6" t="s">
        <v>345</v>
      </c>
      <c r="I16" s="6" t="n">
        <v>2023</v>
      </c>
      <c r="J16" s="6" t="s">
        <v>346</v>
      </c>
      <c r="K16" s="6" t="s">
        <v>415</v>
      </c>
      <c r="L16" s="6"/>
    </row>
    <row r="17" customFormat="false" ht="20.25" hidden="false" customHeight="true" outlineLevel="0" collapsed="false">
      <c r="A17" s="7" t="s">
        <v>416</v>
      </c>
      <c r="B17" s="8" t="s">
        <v>86</v>
      </c>
      <c r="C17" s="8" t="s">
        <v>340</v>
      </c>
      <c r="D17" s="8" t="s">
        <v>417</v>
      </c>
      <c r="E17" s="8" t="s">
        <v>418</v>
      </c>
      <c r="F17" s="8" t="s">
        <v>419</v>
      </c>
      <c r="G17" s="8" t="s">
        <v>420</v>
      </c>
      <c r="H17" s="8" t="s">
        <v>361</v>
      </c>
      <c r="I17" s="8" t="n">
        <v>2023</v>
      </c>
      <c r="J17" s="8" t="s">
        <v>346</v>
      </c>
      <c r="K17" s="8" t="s">
        <v>421</v>
      </c>
      <c r="L17" s="8"/>
    </row>
    <row r="18" customFormat="false" ht="20.25" hidden="false" customHeight="true" outlineLevel="0" collapsed="false">
      <c r="A18" s="5" t="s">
        <v>422</v>
      </c>
      <c r="B18" s="6" t="s">
        <v>423</v>
      </c>
      <c r="C18" s="6" t="s">
        <v>340</v>
      </c>
      <c r="D18" s="6" t="s">
        <v>424</v>
      </c>
      <c r="E18" s="6" t="s">
        <v>425</v>
      </c>
      <c r="F18" s="6" t="s">
        <v>426</v>
      </c>
      <c r="G18" s="6" t="s">
        <v>381</v>
      </c>
      <c r="H18" s="6" t="s">
        <v>368</v>
      </c>
      <c r="I18" s="6" t="n">
        <v>2021</v>
      </c>
      <c r="J18" s="6" t="s">
        <v>346</v>
      </c>
      <c r="K18" s="6" t="s">
        <v>427</v>
      </c>
      <c r="L18" s="6"/>
    </row>
    <row r="19" customFormat="false" ht="20.25" hidden="false" customHeight="true" outlineLevel="0" collapsed="false">
      <c r="A19" s="7" t="s">
        <v>428</v>
      </c>
      <c r="B19" s="8" t="s">
        <v>429</v>
      </c>
      <c r="C19" s="8" t="s">
        <v>356</v>
      </c>
      <c r="D19" s="8" t="s">
        <v>430</v>
      </c>
      <c r="E19" s="8" t="s">
        <v>431</v>
      </c>
      <c r="F19" s="8" t="s">
        <v>426</v>
      </c>
      <c r="G19" s="8" t="s">
        <v>386</v>
      </c>
      <c r="H19" s="8" t="s">
        <v>361</v>
      </c>
      <c r="I19" s="8" t="n">
        <v>2023</v>
      </c>
      <c r="J19" s="8" t="s">
        <v>346</v>
      </c>
      <c r="K19" s="8" t="s">
        <v>432</v>
      </c>
      <c r="L19" s="8"/>
    </row>
    <row r="20" customFormat="false" ht="15" hidden="false" customHeight="true" outlineLevel="0" collapsed="false">
      <c r="A20" s="5" t="s">
        <v>433</v>
      </c>
      <c r="B20" s="6" t="s">
        <v>429</v>
      </c>
      <c r="C20" s="6" t="s">
        <v>356</v>
      </c>
      <c r="D20" s="6" t="s">
        <v>434</v>
      </c>
      <c r="E20" s="6" t="s">
        <v>435</v>
      </c>
      <c r="F20" s="6" t="s">
        <v>426</v>
      </c>
      <c r="G20" s="6" t="s">
        <v>386</v>
      </c>
      <c r="H20" s="6" t="s">
        <v>361</v>
      </c>
      <c r="I20" s="6" t="n">
        <v>2023</v>
      </c>
      <c r="J20" s="6" t="s">
        <v>346</v>
      </c>
      <c r="K20" s="6" t="s">
        <v>436</v>
      </c>
      <c r="L20" s="6"/>
    </row>
    <row r="21" customFormat="false" ht="20.25" hidden="false" customHeight="true" outlineLevel="0" collapsed="false">
      <c r="A21" s="7" t="s">
        <v>437</v>
      </c>
      <c r="B21" s="8" t="s">
        <v>438</v>
      </c>
      <c r="C21" s="8" t="s">
        <v>340</v>
      </c>
      <c r="D21" s="8" t="s">
        <v>439</v>
      </c>
      <c r="E21" s="8" t="s">
        <v>435</v>
      </c>
      <c r="F21" s="8" t="s">
        <v>426</v>
      </c>
      <c r="G21" s="8" t="s">
        <v>440</v>
      </c>
      <c r="H21" s="8" t="s">
        <v>361</v>
      </c>
      <c r="I21" s="8" t="n">
        <v>2022</v>
      </c>
      <c r="J21" s="8" t="s">
        <v>346</v>
      </c>
      <c r="K21" s="8" t="s">
        <v>441</v>
      </c>
      <c r="L21" s="8"/>
    </row>
    <row r="22" customFormat="false" ht="20.25" hidden="false" customHeight="true" outlineLevel="0" collapsed="false">
      <c r="A22" s="5" t="s">
        <v>442</v>
      </c>
      <c r="B22" s="6" t="s">
        <v>306</v>
      </c>
      <c r="C22" s="6" t="s">
        <v>356</v>
      </c>
      <c r="D22" s="6" t="s">
        <v>443</v>
      </c>
      <c r="E22" s="6" t="s">
        <v>435</v>
      </c>
      <c r="F22" s="6" t="s">
        <v>426</v>
      </c>
      <c r="G22" s="6" t="s">
        <v>386</v>
      </c>
      <c r="H22" s="6" t="s">
        <v>361</v>
      </c>
      <c r="I22" s="6" t="n">
        <v>2023</v>
      </c>
      <c r="J22" s="6" t="s">
        <v>346</v>
      </c>
      <c r="K22" s="6" t="s">
        <v>444</v>
      </c>
      <c r="L22" s="6"/>
    </row>
    <row r="23" customFormat="false" ht="20.25" hidden="false" customHeight="true" outlineLevel="0" collapsed="false">
      <c r="A23" s="7" t="s">
        <v>445</v>
      </c>
      <c r="B23" s="8" t="s">
        <v>110</v>
      </c>
      <c r="C23" s="8" t="s">
        <v>340</v>
      </c>
      <c r="D23" s="8" t="s">
        <v>446</v>
      </c>
      <c r="E23" s="8" t="s">
        <v>400</v>
      </c>
      <c r="F23" s="8" t="s">
        <v>413</v>
      </c>
      <c r="G23" s="8" t="s">
        <v>386</v>
      </c>
      <c r="H23" s="8" t="s">
        <v>361</v>
      </c>
      <c r="I23" s="8" t="n">
        <v>2023</v>
      </c>
      <c r="J23" s="8" t="s">
        <v>346</v>
      </c>
      <c r="K23" s="8" t="s">
        <v>447</v>
      </c>
      <c r="L23" s="8"/>
    </row>
    <row r="24" customFormat="false" ht="20.25" hidden="false" customHeight="true" outlineLevel="0" collapsed="false">
      <c r="A24" s="5" t="s">
        <v>448</v>
      </c>
      <c r="B24" s="6" t="s">
        <v>449</v>
      </c>
      <c r="C24" s="6" t="s">
        <v>340</v>
      </c>
      <c r="D24" s="6" t="s">
        <v>450</v>
      </c>
      <c r="E24" s="6" t="s">
        <v>400</v>
      </c>
      <c r="F24" s="6" t="s">
        <v>413</v>
      </c>
      <c r="G24" s="6" t="s">
        <v>386</v>
      </c>
      <c r="H24" s="6" t="s">
        <v>361</v>
      </c>
      <c r="I24" s="6" t="n">
        <v>2023</v>
      </c>
      <c r="J24" s="6" t="s">
        <v>346</v>
      </c>
      <c r="K24" s="6" t="s">
        <v>451</v>
      </c>
      <c r="L24" s="6"/>
    </row>
    <row r="25" customFormat="false" ht="15" hidden="false" customHeight="true" outlineLevel="0" collapsed="false">
      <c r="A25" s="7" t="s">
        <v>452</v>
      </c>
      <c r="B25" s="8" t="s">
        <v>453</v>
      </c>
      <c r="C25" s="8" t="s">
        <v>340</v>
      </c>
      <c r="D25" s="8"/>
      <c r="E25" s="8"/>
      <c r="F25" s="8" t="s">
        <v>413</v>
      </c>
      <c r="G25" s="8" t="s">
        <v>440</v>
      </c>
      <c r="H25" s="8" t="s">
        <v>454</v>
      </c>
      <c r="I25" s="8" t="n">
        <v>2022</v>
      </c>
      <c r="J25" s="8" t="s">
        <v>346</v>
      </c>
      <c r="K25" s="8" t="s">
        <v>455</v>
      </c>
      <c r="L25" s="8"/>
    </row>
    <row r="26" customFormat="false" ht="15" hidden="false" customHeight="true" outlineLevel="0" collapsed="false">
      <c r="A26" s="5" t="s">
        <v>456</v>
      </c>
      <c r="B26" s="6" t="s">
        <v>457</v>
      </c>
      <c r="C26" s="6" t="s">
        <v>356</v>
      </c>
      <c r="D26" s="6"/>
      <c r="E26" s="6"/>
      <c r="F26" s="6" t="s">
        <v>401</v>
      </c>
      <c r="G26" s="6" t="s">
        <v>386</v>
      </c>
      <c r="H26" s="6" t="s">
        <v>454</v>
      </c>
      <c r="I26" s="6" t="n">
        <v>2023</v>
      </c>
      <c r="J26" s="6" t="s">
        <v>346</v>
      </c>
      <c r="K26" s="6"/>
      <c r="L26" s="6"/>
    </row>
    <row r="27" customFormat="false" ht="15" hidden="false" customHeight="true" outlineLevel="0" collapsed="false">
      <c r="A27" s="7" t="s">
        <v>458</v>
      </c>
      <c r="B27" s="8" t="s">
        <v>459</v>
      </c>
      <c r="C27" s="8" t="s">
        <v>340</v>
      </c>
      <c r="D27" s="8"/>
      <c r="E27" s="8"/>
      <c r="F27" s="8" t="s">
        <v>413</v>
      </c>
      <c r="G27" s="8" t="s">
        <v>386</v>
      </c>
      <c r="H27" s="8" t="s">
        <v>454</v>
      </c>
      <c r="I27" s="8" t="n">
        <v>2023</v>
      </c>
      <c r="J27" s="8" t="s">
        <v>346</v>
      </c>
      <c r="K27" s="8"/>
      <c r="L27" s="8"/>
    </row>
    <row r="28" customFormat="false" ht="15" hidden="false" customHeight="true" outlineLevel="0" collapsed="false">
      <c r="A28" s="5" t="s">
        <v>460</v>
      </c>
      <c r="B28" s="6" t="s">
        <v>459</v>
      </c>
      <c r="C28" s="6" t="s">
        <v>340</v>
      </c>
      <c r="D28" s="6"/>
      <c r="E28" s="6"/>
      <c r="F28" s="6" t="s">
        <v>413</v>
      </c>
      <c r="G28" s="6" t="s">
        <v>386</v>
      </c>
      <c r="H28" s="6" t="s">
        <v>454</v>
      </c>
      <c r="I28" s="6" t="n">
        <v>2023</v>
      </c>
      <c r="J28" s="6" t="s">
        <v>346</v>
      </c>
      <c r="K28" s="6"/>
      <c r="L28" s="6"/>
    </row>
    <row r="29" customFormat="false" ht="15" hidden="false" customHeight="true" outlineLevel="0" collapsed="false">
      <c r="A29" s="7" t="s">
        <v>461</v>
      </c>
      <c r="B29" s="8" t="s">
        <v>459</v>
      </c>
      <c r="C29" s="8" t="s">
        <v>340</v>
      </c>
      <c r="D29" s="8" t="s">
        <v>462</v>
      </c>
      <c r="E29" s="8" t="s">
        <v>463</v>
      </c>
      <c r="F29" s="8" t="s">
        <v>413</v>
      </c>
      <c r="G29" s="8" t="s">
        <v>386</v>
      </c>
      <c r="H29" s="8" t="s">
        <v>361</v>
      </c>
      <c r="I29" s="8" t="n">
        <v>2023</v>
      </c>
      <c r="J29" s="8" t="s">
        <v>346</v>
      </c>
      <c r="K29" s="8" t="s">
        <v>464</v>
      </c>
      <c r="L29" s="8"/>
    </row>
    <row r="30" customFormat="false" ht="15" hidden="false" customHeight="true" outlineLevel="0" collapsed="false">
      <c r="A30" s="5" t="s">
        <v>465</v>
      </c>
      <c r="B30" s="6" t="s">
        <v>459</v>
      </c>
      <c r="C30" s="6" t="s">
        <v>340</v>
      </c>
      <c r="D30" s="6"/>
      <c r="E30" s="6"/>
      <c r="F30" s="6" t="s">
        <v>413</v>
      </c>
      <c r="G30" s="6" t="s">
        <v>386</v>
      </c>
      <c r="H30" s="6" t="s">
        <v>454</v>
      </c>
      <c r="I30" s="6" t="n">
        <v>2023</v>
      </c>
      <c r="J30" s="6" t="s">
        <v>346</v>
      </c>
      <c r="K30" s="6"/>
      <c r="L30" s="6"/>
    </row>
    <row r="31" customFormat="false" ht="15" hidden="false" customHeight="true" outlineLevel="0" collapsed="false">
      <c r="A31" s="7" t="s">
        <v>466</v>
      </c>
      <c r="B31" s="8" t="s">
        <v>467</v>
      </c>
      <c r="C31" s="8" t="s">
        <v>340</v>
      </c>
      <c r="D31" s="8"/>
      <c r="E31" s="8"/>
      <c r="F31" s="8" t="s">
        <v>468</v>
      </c>
      <c r="G31" s="8" t="s">
        <v>386</v>
      </c>
      <c r="H31" s="8" t="s">
        <v>454</v>
      </c>
      <c r="I31" s="8" t="n">
        <v>2023</v>
      </c>
      <c r="J31" s="8" t="s">
        <v>346</v>
      </c>
      <c r="K31" s="8"/>
      <c r="L31" s="8"/>
    </row>
    <row r="32" customFormat="false" ht="15" hidden="false" customHeight="true" outlineLevel="0" collapsed="false">
      <c r="A32" s="5" t="s">
        <v>469</v>
      </c>
      <c r="B32" s="6" t="s">
        <v>470</v>
      </c>
      <c r="C32" s="6" t="s">
        <v>340</v>
      </c>
      <c r="D32" s="6" t="s">
        <v>471</v>
      </c>
      <c r="E32" s="6" t="s">
        <v>472</v>
      </c>
      <c r="F32" s="6" t="s">
        <v>426</v>
      </c>
      <c r="G32" s="6" t="s">
        <v>386</v>
      </c>
      <c r="H32" s="6" t="s">
        <v>361</v>
      </c>
      <c r="I32" s="6" t="n">
        <v>2023</v>
      </c>
      <c r="J32" s="6" t="s">
        <v>346</v>
      </c>
      <c r="K32" s="6" t="s">
        <v>473</v>
      </c>
      <c r="L32" s="6"/>
    </row>
    <row r="33" customFormat="false" ht="15" hidden="false" customHeight="true" outlineLevel="0" collapsed="false">
      <c r="A33" s="7" t="s">
        <v>474</v>
      </c>
      <c r="B33" s="8" t="s">
        <v>138</v>
      </c>
      <c r="C33" s="8" t="s">
        <v>340</v>
      </c>
      <c r="D33" s="8" t="s">
        <v>475</v>
      </c>
      <c r="E33" s="8" t="s">
        <v>476</v>
      </c>
      <c r="F33" s="8" t="s">
        <v>426</v>
      </c>
      <c r="G33" s="8" t="s">
        <v>440</v>
      </c>
      <c r="H33" s="8" t="s">
        <v>391</v>
      </c>
      <c r="I33" s="8" t="n">
        <v>2020</v>
      </c>
      <c r="J33" s="8" t="s">
        <v>346</v>
      </c>
      <c r="K33" s="8" t="s">
        <v>477</v>
      </c>
      <c r="L33" s="8"/>
    </row>
    <row r="34" customFormat="false" ht="15" hidden="false" customHeight="true" outlineLevel="0" collapsed="false">
      <c r="A34" s="5" t="s">
        <v>478</v>
      </c>
      <c r="B34" s="6" t="s">
        <v>138</v>
      </c>
      <c r="C34" s="6" t="s">
        <v>340</v>
      </c>
      <c r="D34" s="6"/>
      <c r="E34" s="6"/>
      <c r="F34" s="6" t="s">
        <v>426</v>
      </c>
      <c r="G34" s="6" t="s">
        <v>386</v>
      </c>
      <c r="H34" s="6" t="s">
        <v>454</v>
      </c>
      <c r="I34" s="6" t="n">
        <v>2023</v>
      </c>
      <c r="J34" s="6" t="s">
        <v>346</v>
      </c>
      <c r="K34" s="6"/>
      <c r="L34" s="6"/>
    </row>
    <row r="35" customFormat="false" ht="15" hidden="false" customHeight="true" outlineLevel="0" collapsed="false">
      <c r="A35" s="7" t="s">
        <v>479</v>
      </c>
      <c r="B35" s="8" t="s">
        <v>138</v>
      </c>
      <c r="C35" s="8" t="s">
        <v>340</v>
      </c>
      <c r="D35" s="8"/>
      <c r="E35" s="8"/>
      <c r="F35" s="8" t="s">
        <v>367</v>
      </c>
      <c r="G35" s="8" t="s">
        <v>381</v>
      </c>
      <c r="H35" s="8" t="s">
        <v>391</v>
      </c>
      <c r="I35" s="8" t="n">
        <v>2021</v>
      </c>
      <c r="J35" s="8" t="s">
        <v>346</v>
      </c>
      <c r="K35" s="8" t="s">
        <v>480</v>
      </c>
      <c r="L35" s="8"/>
    </row>
    <row r="36" customFormat="false" ht="15" hidden="false" customHeight="true" outlineLevel="0" collapsed="false">
      <c r="A36" s="5" t="s">
        <v>481</v>
      </c>
      <c r="B36" s="6" t="s">
        <v>482</v>
      </c>
      <c r="C36" s="6" t="s">
        <v>340</v>
      </c>
      <c r="D36" s="6" t="s">
        <v>483</v>
      </c>
      <c r="E36" s="6" t="s">
        <v>484</v>
      </c>
      <c r="F36" s="6" t="s">
        <v>367</v>
      </c>
      <c r="G36" s="6" t="s">
        <v>381</v>
      </c>
      <c r="H36" s="6" t="s">
        <v>391</v>
      </c>
      <c r="I36" s="6" t="n">
        <v>2021</v>
      </c>
      <c r="J36" s="6" t="s">
        <v>346</v>
      </c>
      <c r="K36" s="6" t="s">
        <v>485</v>
      </c>
      <c r="L36" s="6"/>
    </row>
    <row r="37" customFormat="false" ht="15" hidden="false" customHeight="true" outlineLevel="0" collapsed="false">
      <c r="A37" s="7" t="s">
        <v>486</v>
      </c>
      <c r="B37" s="8" t="s">
        <v>487</v>
      </c>
      <c r="C37" s="8" t="s">
        <v>356</v>
      </c>
      <c r="D37" s="8" t="s">
        <v>488</v>
      </c>
      <c r="E37" s="8" t="s">
        <v>400</v>
      </c>
      <c r="F37" s="8" t="s">
        <v>401</v>
      </c>
      <c r="G37" s="8" t="s">
        <v>440</v>
      </c>
      <c r="H37" s="8" t="s">
        <v>454</v>
      </c>
      <c r="I37" s="8" t="n">
        <v>2022</v>
      </c>
      <c r="J37" s="8" t="s">
        <v>346</v>
      </c>
      <c r="K37" s="8" t="s">
        <v>455</v>
      </c>
      <c r="L37" s="8"/>
    </row>
    <row r="38" customFormat="false" ht="15" hidden="false" customHeight="true" outlineLevel="0" collapsed="false">
      <c r="A38" s="5" t="s">
        <v>489</v>
      </c>
      <c r="B38" s="6" t="s">
        <v>364</v>
      </c>
      <c r="C38" s="6" t="s">
        <v>340</v>
      </c>
      <c r="D38" s="6"/>
      <c r="E38" s="6"/>
      <c r="F38" s="6" t="s">
        <v>367</v>
      </c>
      <c r="G38" s="6" t="s">
        <v>490</v>
      </c>
      <c r="H38" s="6" t="s">
        <v>454</v>
      </c>
      <c r="I38" s="6" t="n">
        <v>2021</v>
      </c>
      <c r="J38" s="6" t="s">
        <v>346</v>
      </c>
      <c r="K38" s="6" t="s">
        <v>491</v>
      </c>
      <c r="L38" s="6"/>
    </row>
    <row r="39" customFormat="false" ht="15" hidden="false" customHeight="true" outlineLevel="0" collapsed="false">
      <c r="A39" s="7" t="s">
        <v>492</v>
      </c>
      <c r="B39" s="8" t="s">
        <v>493</v>
      </c>
      <c r="C39" s="8" t="s">
        <v>340</v>
      </c>
      <c r="D39" s="8" t="s">
        <v>494</v>
      </c>
      <c r="E39" s="8"/>
      <c r="F39" s="8" t="s">
        <v>426</v>
      </c>
      <c r="G39" s="8" t="s">
        <v>440</v>
      </c>
      <c r="H39" s="8" t="s">
        <v>454</v>
      </c>
      <c r="I39" s="8" t="n">
        <v>2022</v>
      </c>
      <c r="J39" s="8" t="s">
        <v>346</v>
      </c>
      <c r="K39" s="8" t="s">
        <v>455</v>
      </c>
      <c r="L39" s="8"/>
    </row>
    <row r="40" customFormat="false" ht="15" hidden="false" customHeight="true" outlineLevel="0" collapsed="false">
      <c r="A40" s="5" t="s">
        <v>495</v>
      </c>
      <c r="B40" s="6" t="s">
        <v>493</v>
      </c>
      <c r="C40" s="6" t="s">
        <v>340</v>
      </c>
      <c r="D40" s="6" t="s">
        <v>496</v>
      </c>
      <c r="E40" s="6"/>
      <c r="F40" s="6" t="s">
        <v>426</v>
      </c>
      <c r="G40" s="6" t="s">
        <v>440</v>
      </c>
      <c r="H40" s="6" t="s">
        <v>391</v>
      </c>
      <c r="I40" s="6" t="n">
        <v>2022</v>
      </c>
      <c r="J40" s="6" t="s">
        <v>346</v>
      </c>
      <c r="K40" s="6" t="s">
        <v>497</v>
      </c>
      <c r="L40" s="6"/>
    </row>
    <row r="41" customFormat="false" ht="15" hidden="false" customHeight="true" outlineLevel="0" collapsed="false">
      <c r="A41" s="7" t="s">
        <v>498</v>
      </c>
      <c r="B41" s="8" t="s">
        <v>493</v>
      </c>
      <c r="C41" s="8" t="s">
        <v>340</v>
      </c>
      <c r="D41" s="8"/>
      <c r="E41" s="8"/>
      <c r="F41" s="8" t="s">
        <v>426</v>
      </c>
      <c r="G41" s="8" t="s">
        <v>386</v>
      </c>
      <c r="H41" s="8" t="s">
        <v>454</v>
      </c>
      <c r="I41" s="8" t="n">
        <v>2023</v>
      </c>
      <c r="J41" s="8" t="s">
        <v>346</v>
      </c>
      <c r="K41" s="8"/>
      <c r="L41" s="8"/>
    </row>
    <row r="42" customFormat="false" ht="15" hidden="false" customHeight="true" outlineLevel="0" collapsed="false">
      <c r="A42" s="5" t="s">
        <v>499</v>
      </c>
      <c r="B42" s="6" t="s">
        <v>500</v>
      </c>
      <c r="C42" s="6" t="s">
        <v>340</v>
      </c>
      <c r="D42" s="6"/>
      <c r="E42" s="6"/>
      <c r="F42" s="6" t="s">
        <v>413</v>
      </c>
      <c r="G42" s="6" t="s">
        <v>386</v>
      </c>
      <c r="H42" s="6" t="s">
        <v>454</v>
      </c>
      <c r="I42" s="6" t="n">
        <v>2023</v>
      </c>
      <c r="J42" s="6" t="s">
        <v>346</v>
      </c>
      <c r="K42" s="6"/>
      <c r="L42" s="6"/>
    </row>
    <row r="43" customFormat="false" ht="15" hidden="false" customHeight="true" outlineLevel="0" collapsed="false">
      <c r="A43" s="7" t="s">
        <v>501</v>
      </c>
      <c r="B43" s="8" t="s">
        <v>502</v>
      </c>
      <c r="C43" s="8" t="s">
        <v>356</v>
      </c>
      <c r="D43" s="8"/>
      <c r="E43" s="8"/>
      <c r="F43" s="8" t="s">
        <v>426</v>
      </c>
      <c r="G43" s="8" t="s">
        <v>386</v>
      </c>
      <c r="H43" s="8" t="s">
        <v>454</v>
      </c>
      <c r="I43" s="8" t="n">
        <v>2023</v>
      </c>
      <c r="J43" s="8" t="s">
        <v>346</v>
      </c>
      <c r="K43" s="8"/>
      <c r="L43" s="8"/>
    </row>
    <row r="44" customFormat="false" ht="15" hidden="false" customHeight="true" outlineLevel="0" collapsed="false">
      <c r="A44" s="5" t="s">
        <v>503</v>
      </c>
      <c r="B44" s="6" t="s">
        <v>504</v>
      </c>
      <c r="C44" s="6" t="s">
        <v>356</v>
      </c>
      <c r="D44" s="6"/>
      <c r="E44" s="6" t="s">
        <v>435</v>
      </c>
      <c r="F44" s="6" t="s">
        <v>426</v>
      </c>
      <c r="G44" s="6" t="s">
        <v>386</v>
      </c>
      <c r="H44" s="6" t="s">
        <v>454</v>
      </c>
      <c r="I44" s="6" t="n">
        <v>2023</v>
      </c>
      <c r="J44" s="6" t="s">
        <v>346</v>
      </c>
      <c r="K44" s="6"/>
      <c r="L44" s="6"/>
    </row>
    <row r="45" customFormat="false" ht="15" hidden="false" customHeight="true" outlineLevel="0" collapsed="false">
      <c r="A45" s="7" t="s">
        <v>505</v>
      </c>
      <c r="B45" s="8" t="s">
        <v>504</v>
      </c>
      <c r="C45" s="8" t="s">
        <v>356</v>
      </c>
      <c r="D45" s="8"/>
      <c r="E45" s="8"/>
      <c r="F45" s="8" t="s">
        <v>426</v>
      </c>
      <c r="G45" s="8" t="s">
        <v>386</v>
      </c>
      <c r="H45" s="8" t="s">
        <v>454</v>
      </c>
      <c r="I45" s="8" t="n">
        <v>2023</v>
      </c>
      <c r="J45" s="8" t="s">
        <v>346</v>
      </c>
      <c r="K45" s="8"/>
      <c r="L45" s="8"/>
    </row>
    <row r="46" customFormat="false" ht="15" hidden="false" customHeight="true" outlineLevel="0" collapsed="false">
      <c r="A46" s="5" t="s">
        <v>506</v>
      </c>
      <c r="B46" s="6" t="s">
        <v>507</v>
      </c>
      <c r="C46" s="6" t="s">
        <v>377</v>
      </c>
      <c r="D46" s="6"/>
      <c r="E46" s="6"/>
      <c r="F46" s="6" t="s">
        <v>508</v>
      </c>
      <c r="G46" s="6" t="s">
        <v>386</v>
      </c>
      <c r="H46" s="6" t="s">
        <v>454</v>
      </c>
      <c r="I46" s="6" t="n">
        <v>2023</v>
      </c>
      <c r="J46" s="6" t="s">
        <v>346</v>
      </c>
      <c r="K46" s="6"/>
      <c r="L46" s="6"/>
    </row>
    <row r="47" customFormat="false" ht="20.25" hidden="false" customHeight="true" outlineLevel="0" collapsed="false">
      <c r="A47" s="7" t="s">
        <v>509</v>
      </c>
      <c r="B47" s="8" t="s">
        <v>376</v>
      </c>
      <c r="C47" s="8" t="s">
        <v>377</v>
      </c>
      <c r="D47" s="8"/>
      <c r="E47" s="8" t="s">
        <v>510</v>
      </c>
      <c r="F47" s="8" t="s">
        <v>508</v>
      </c>
      <c r="G47" s="8" t="s">
        <v>386</v>
      </c>
      <c r="H47" s="8" t="s">
        <v>391</v>
      </c>
      <c r="I47" s="8" t="n">
        <v>2023</v>
      </c>
      <c r="J47" s="8" t="s">
        <v>346</v>
      </c>
      <c r="K47" s="8" t="s">
        <v>511</v>
      </c>
      <c r="L47" s="8"/>
    </row>
    <row r="48" customFormat="false" ht="20.25" hidden="false" customHeight="true" outlineLevel="0" collapsed="false">
      <c r="A48" s="5" t="s">
        <v>512</v>
      </c>
      <c r="B48" s="6" t="s">
        <v>110</v>
      </c>
      <c r="C48" s="6" t="s">
        <v>340</v>
      </c>
      <c r="D48" s="6" t="s">
        <v>513</v>
      </c>
      <c r="E48" s="6"/>
      <c r="F48" s="6" t="s">
        <v>413</v>
      </c>
      <c r="G48" s="6" t="s">
        <v>386</v>
      </c>
      <c r="H48" s="6" t="s">
        <v>391</v>
      </c>
      <c r="I48" s="6" t="n">
        <v>2021</v>
      </c>
      <c r="J48" s="6" t="s">
        <v>346</v>
      </c>
      <c r="K48" s="6" t="s">
        <v>514</v>
      </c>
      <c r="L48" s="6"/>
    </row>
    <row r="49" customFormat="false" ht="15" hidden="false" customHeight="true" outlineLevel="0" collapsed="false">
      <c r="A49" s="7" t="s">
        <v>515</v>
      </c>
      <c r="B49" s="8" t="s">
        <v>110</v>
      </c>
      <c r="C49" s="8" t="s">
        <v>340</v>
      </c>
      <c r="D49" s="8" t="s">
        <v>516</v>
      </c>
      <c r="E49" s="8" t="s">
        <v>517</v>
      </c>
      <c r="F49" s="8" t="s">
        <v>413</v>
      </c>
      <c r="G49" s="8" t="s">
        <v>386</v>
      </c>
      <c r="H49" s="8" t="s">
        <v>391</v>
      </c>
      <c r="I49" s="8" t="n">
        <v>2020</v>
      </c>
      <c r="J49" s="8" t="s">
        <v>346</v>
      </c>
      <c r="K49" s="8" t="s">
        <v>518</v>
      </c>
      <c r="L49" s="8"/>
    </row>
    <row r="50" customFormat="false" ht="15" hidden="false" customHeight="true" outlineLevel="0" collapsed="false">
      <c r="A50" s="5" t="s">
        <v>519</v>
      </c>
      <c r="B50" s="6" t="s">
        <v>110</v>
      </c>
      <c r="C50" s="6" t="s">
        <v>340</v>
      </c>
      <c r="D50" s="6"/>
      <c r="E50" s="6"/>
      <c r="F50" s="6" t="s">
        <v>413</v>
      </c>
      <c r="G50" s="6" t="s">
        <v>386</v>
      </c>
      <c r="H50" s="6" t="s">
        <v>454</v>
      </c>
      <c r="I50" s="6" t="n">
        <v>2023</v>
      </c>
      <c r="J50" s="6" t="s">
        <v>346</v>
      </c>
      <c r="K50" s="6"/>
      <c r="L50" s="6"/>
    </row>
    <row r="51" customFormat="false" ht="15" hidden="false" customHeight="true" outlineLevel="0" collapsed="false">
      <c r="A51" s="7" t="s">
        <v>520</v>
      </c>
      <c r="B51" s="8" t="s">
        <v>110</v>
      </c>
      <c r="C51" s="8" t="s">
        <v>340</v>
      </c>
      <c r="D51" s="8"/>
      <c r="E51" s="8"/>
      <c r="F51" s="8" t="s">
        <v>413</v>
      </c>
      <c r="G51" s="8" t="s">
        <v>440</v>
      </c>
      <c r="H51" s="8" t="s">
        <v>454</v>
      </c>
      <c r="I51" s="8" t="n">
        <v>2022</v>
      </c>
      <c r="J51" s="8" t="s">
        <v>346</v>
      </c>
      <c r="K51" s="8"/>
      <c r="L51" s="8"/>
    </row>
    <row r="52" customFormat="false" ht="15" hidden="false" customHeight="true" outlineLevel="0" collapsed="false">
      <c r="A52" s="5" t="s">
        <v>521</v>
      </c>
      <c r="B52" s="6" t="s">
        <v>522</v>
      </c>
      <c r="C52" s="6" t="s">
        <v>340</v>
      </c>
      <c r="D52" s="6"/>
      <c r="E52" s="6"/>
      <c r="F52" s="6" t="s">
        <v>413</v>
      </c>
      <c r="G52" s="6" t="s">
        <v>386</v>
      </c>
      <c r="H52" s="6" t="s">
        <v>454</v>
      </c>
      <c r="I52" s="6" t="n">
        <v>2023</v>
      </c>
      <c r="J52" s="6" t="s">
        <v>346</v>
      </c>
      <c r="K52" s="6"/>
      <c r="L52" s="6"/>
    </row>
    <row r="53" customFormat="false" ht="15" hidden="false" customHeight="true" outlineLevel="0" collapsed="false">
      <c r="A53" s="7" t="s">
        <v>523</v>
      </c>
      <c r="B53" s="8" t="s">
        <v>524</v>
      </c>
      <c r="C53" s="8" t="s">
        <v>356</v>
      </c>
      <c r="D53" s="8"/>
      <c r="E53" s="8"/>
      <c r="F53" s="8" t="s">
        <v>401</v>
      </c>
      <c r="G53" s="8" t="s">
        <v>386</v>
      </c>
      <c r="H53" s="8" t="s">
        <v>454</v>
      </c>
      <c r="I53" s="8" t="n">
        <v>2023</v>
      </c>
      <c r="J53" s="8" t="s">
        <v>346</v>
      </c>
      <c r="K53" s="8"/>
      <c r="L53" s="8"/>
    </row>
    <row r="54" customFormat="false" ht="15" hidden="false" customHeight="true" outlineLevel="0" collapsed="false">
      <c r="A54" s="5" t="s">
        <v>525</v>
      </c>
      <c r="B54" s="6" t="s">
        <v>526</v>
      </c>
      <c r="C54" s="6" t="s">
        <v>377</v>
      </c>
      <c r="D54" s="6"/>
      <c r="E54" s="6"/>
      <c r="F54" s="6" t="s">
        <v>508</v>
      </c>
      <c r="G54" s="6" t="s">
        <v>386</v>
      </c>
      <c r="H54" s="6" t="s">
        <v>454</v>
      </c>
      <c r="I54" s="6" t="n">
        <v>2023</v>
      </c>
      <c r="J54" s="6" t="s">
        <v>346</v>
      </c>
      <c r="K54" s="6"/>
      <c r="L54" s="6"/>
    </row>
    <row r="55" customFormat="false" ht="15" hidden="false" customHeight="true" outlineLevel="0" collapsed="false">
      <c r="A55" s="7" t="s">
        <v>527</v>
      </c>
      <c r="B55" s="8" t="s">
        <v>526</v>
      </c>
      <c r="C55" s="8" t="s">
        <v>377</v>
      </c>
      <c r="D55" s="8"/>
      <c r="E55" s="8"/>
      <c r="F55" s="8" t="s">
        <v>508</v>
      </c>
      <c r="G55" s="8" t="s">
        <v>528</v>
      </c>
      <c r="H55" s="8" t="s">
        <v>454</v>
      </c>
      <c r="I55" s="8" t="n">
        <v>2019</v>
      </c>
      <c r="J55" s="8" t="s">
        <v>346</v>
      </c>
      <c r="K55" s="8" t="s">
        <v>529</v>
      </c>
      <c r="L55" s="8"/>
    </row>
    <row r="56" customFormat="false" ht="15" hidden="false" customHeight="true" outlineLevel="0" collapsed="false">
      <c r="A56" s="5" t="s">
        <v>530</v>
      </c>
      <c r="B56" s="6" t="s">
        <v>531</v>
      </c>
      <c r="C56" s="6" t="s">
        <v>377</v>
      </c>
      <c r="D56" s="6"/>
      <c r="E56" s="6"/>
      <c r="F56" s="6" t="s">
        <v>508</v>
      </c>
      <c r="G56" s="6" t="s">
        <v>440</v>
      </c>
      <c r="H56" s="6" t="s">
        <v>454</v>
      </c>
      <c r="I56" s="6" t="n">
        <v>2022</v>
      </c>
      <c r="J56" s="6" t="s">
        <v>346</v>
      </c>
      <c r="K56" s="6" t="s">
        <v>455</v>
      </c>
      <c r="L56" s="6"/>
    </row>
    <row r="57" customFormat="false" ht="15" hidden="false" customHeight="true" outlineLevel="0" collapsed="false">
      <c r="A57" s="7" t="s">
        <v>532</v>
      </c>
      <c r="B57" s="8" t="s">
        <v>533</v>
      </c>
      <c r="C57" s="8" t="s">
        <v>340</v>
      </c>
      <c r="D57" s="8"/>
      <c r="E57" s="8"/>
      <c r="F57" s="8" t="s">
        <v>367</v>
      </c>
      <c r="G57" s="8" t="s">
        <v>381</v>
      </c>
      <c r="H57" s="8" t="s">
        <v>391</v>
      </c>
      <c r="I57" s="8" t="n">
        <v>2021</v>
      </c>
      <c r="J57" s="8" t="s">
        <v>346</v>
      </c>
      <c r="K57" s="8" t="s">
        <v>534</v>
      </c>
      <c r="L57" s="8"/>
    </row>
    <row r="58" customFormat="false" ht="15" hidden="false" customHeight="true" outlineLevel="0" collapsed="false">
      <c r="A58" s="5" t="s">
        <v>535</v>
      </c>
      <c r="B58" s="6" t="s">
        <v>536</v>
      </c>
      <c r="C58" s="6" t="s">
        <v>340</v>
      </c>
      <c r="D58" s="6"/>
      <c r="E58" s="6"/>
      <c r="F58" s="6" t="s">
        <v>426</v>
      </c>
      <c r="G58" s="6" t="s">
        <v>381</v>
      </c>
      <c r="H58" s="6" t="s">
        <v>391</v>
      </c>
      <c r="I58" s="6" t="n">
        <v>2021</v>
      </c>
      <c r="J58" s="6" t="s">
        <v>346</v>
      </c>
      <c r="K58" s="6" t="s">
        <v>537</v>
      </c>
      <c r="L58" s="6"/>
    </row>
    <row r="59" customFormat="false" ht="15" hidden="false" customHeight="true" outlineLevel="0" collapsed="false">
      <c r="A59" s="7" t="s">
        <v>538</v>
      </c>
      <c r="B59" s="8" t="s">
        <v>429</v>
      </c>
      <c r="C59" s="8" t="s">
        <v>356</v>
      </c>
      <c r="D59" s="8" t="s">
        <v>539</v>
      </c>
      <c r="E59" s="8" t="s">
        <v>435</v>
      </c>
      <c r="F59" s="8" t="s">
        <v>426</v>
      </c>
      <c r="G59" s="8" t="s">
        <v>386</v>
      </c>
      <c r="H59" s="8" t="s">
        <v>361</v>
      </c>
      <c r="I59" s="8" t="n">
        <v>2023</v>
      </c>
      <c r="J59" s="8" t="s">
        <v>346</v>
      </c>
      <c r="K59" s="8" t="s">
        <v>540</v>
      </c>
      <c r="L59" s="8"/>
    </row>
    <row r="60" customFormat="false" ht="15" hidden="false" customHeight="true" outlineLevel="0" collapsed="false">
      <c r="A60" s="5" t="s">
        <v>541</v>
      </c>
      <c r="B60" s="6" t="s">
        <v>306</v>
      </c>
      <c r="C60" s="6" t="s">
        <v>356</v>
      </c>
      <c r="D60" s="6" t="s">
        <v>542</v>
      </c>
      <c r="E60" s="6" t="s">
        <v>435</v>
      </c>
      <c r="F60" s="6" t="s">
        <v>426</v>
      </c>
      <c r="G60" s="6" t="s">
        <v>386</v>
      </c>
      <c r="H60" s="6" t="s">
        <v>454</v>
      </c>
      <c r="I60" s="6" t="n">
        <v>2023</v>
      </c>
      <c r="J60" s="6" t="s">
        <v>346</v>
      </c>
      <c r="K60" s="6" t="s">
        <v>543</v>
      </c>
      <c r="L60" s="6"/>
    </row>
    <row r="61" customFormat="false" ht="15" hidden="false" customHeight="true" outlineLevel="0" collapsed="false">
      <c r="A61" s="7" t="s">
        <v>544</v>
      </c>
      <c r="B61" s="8" t="s">
        <v>73</v>
      </c>
      <c r="C61" s="8" t="s">
        <v>340</v>
      </c>
      <c r="D61" s="8"/>
      <c r="E61" s="8"/>
      <c r="F61" s="8" t="s">
        <v>413</v>
      </c>
      <c r="G61" s="8" t="s">
        <v>386</v>
      </c>
      <c r="H61" s="8" t="s">
        <v>454</v>
      </c>
      <c r="I61" s="8" t="n">
        <v>2023</v>
      </c>
      <c r="J61" s="8" t="s">
        <v>346</v>
      </c>
      <c r="K61" s="8"/>
      <c r="L61" s="8"/>
    </row>
    <row r="62" customFormat="false" ht="15" hidden="false" customHeight="true" outlineLevel="0" collapsed="false">
      <c r="A62" s="5" t="s">
        <v>545</v>
      </c>
      <c r="B62" s="6" t="s">
        <v>546</v>
      </c>
      <c r="C62" s="6" t="s">
        <v>340</v>
      </c>
      <c r="D62" s="6"/>
      <c r="E62" s="6"/>
      <c r="F62" s="6" t="s">
        <v>413</v>
      </c>
      <c r="G62" s="6" t="s">
        <v>386</v>
      </c>
      <c r="H62" s="6" t="s">
        <v>454</v>
      </c>
      <c r="I62" s="6" t="n">
        <v>2023</v>
      </c>
      <c r="J62" s="6" t="s">
        <v>346</v>
      </c>
      <c r="K62" s="6"/>
      <c r="L62" s="6"/>
    </row>
    <row r="63" customFormat="false" ht="15" hidden="false" customHeight="true" outlineLevel="0" collapsed="false">
      <c r="A63" s="7" t="s">
        <v>547</v>
      </c>
      <c r="B63" s="8" t="s">
        <v>423</v>
      </c>
      <c r="C63" s="8" t="s">
        <v>340</v>
      </c>
      <c r="D63" s="8" t="s">
        <v>548</v>
      </c>
      <c r="E63" s="8" t="s">
        <v>549</v>
      </c>
      <c r="F63" s="8" t="s">
        <v>426</v>
      </c>
      <c r="G63" s="8" t="s">
        <v>381</v>
      </c>
      <c r="H63" s="8" t="s">
        <v>454</v>
      </c>
      <c r="I63" s="8" t="n">
        <v>2021</v>
      </c>
      <c r="J63" s="8" t="s">
        <v>346</v>
      </c>
      <c r="K63" s="8" t="s">
        <v>550</v>
      </c>
      <c r="L63" s="8"/>
    </row>
    <row r="64" customFormat="false" ht="20.25" hidden="false" customHeight="true" outlineLevel="0" collapsed="false">
      <c r="A64" s="5" t="s">
        <v>551</v>
      </c>
      <c r="B64" s="6" t="s">
        <v>423</v>
      </c>
      <c r="C64" s="6" t="s">
        <v>340</v>
      </c>
      <c r="D64" s="6" t="s">
        <v>424</v>
      </c>
      <c r="E64" s="6" t="s">
        <v>552</v>
      </c>
      <c r="F64" s="6" t="s">
        <v>426</v>
      </c>
      <c r="G64" s="6" t="s">
        <v>386</v>
      </c>
      <c r="H64" s="6" t="s">
        <v>368</v>
      </c>
      <c r="I64" s="6" t="n">
        <v>2023</v>
      </c>
      <c r="J64" s="6" t="s">
        <v>346</v>
      </c>
      <c r="K64" s="6" t="s">
        <v>553</v>
      </c>
      <c r="L64" s="6"/>
    </row>
    <row r="65" customFormat="false" ht="15" hidden="false" customHeight="true" outlineLevel="0" collapsed="false">
      <c r="A65" s="7" t="s">
        <v>554</v>
      </c>
      <c r="B65" s="8" t="s">
        <v>555</v>
      </c>
      <c r="C65" s="8" t="s">
        <v>340</v>
      </c>
      <c r="D65" s="8"/>
      <c r="E65" s="8"/>
      <c r="F65" s="8" t="s">
        <v>556</v>
      </c>
      <c r="G65" s="8" t="s">
        <v>386</v>
      </c>
      <c r="H65" s="8" t="s">
        <v>454</v>
      </c>
      <c r="I65" s="8" t="n">
        <v>2023</v>
      </c>
      <c r="J65" s="8" t="s">
        <v>346</v>
      </c>
      <c r="K65" s="8"/>
      <c r="L65" s="8"/>
    </row>
    <row r="66" customFormat="false" ht="15" hidden="false" customHeight="true" outlineLevel="0" collapsed="false">
      <c r="A66" s="5" t="s">
        <v>557</v>
      </c>
      <c r="B66" s="6" t="s">
        <v>558</v>
      </c>
      <c r="C66" s="6" t="s">
        <v>340</v>
      </c>
      <c r="D66" s="6"/>
      <c r="E66" s="6"/>
      <c r="F66" s="6" t="s">
        <v>413</v>
      </c>
      <c r="G66" s="6" t="s">
        <v>386</v>
      </c>
      <c r="H66" s="6" t="s">
        <v>454</v>
      </c>
      <c r="I66" s="6" t="n">
        <v>2023</v>
      </c>
      <c r="J66" s="6" t="s">
        <v>346</v>
      </c>
      <c r="K66" s="6"/>
      <c r="L66" s="6"/>
    </row>
    <row r="67" customFormat="false" ht="15" hidden="false" customHeight="true" outlineLevel="0" collapsed="false">
      <c r="A67" s="7" t="s">
        <v>559</v>
      </c>
      <c r="B67" s="8" t="s">
        <v>560</v>
      </c>
      <c r="C67" s="8" t="s">
        <v>340</v>
      </c>
      <c r="D67" s="8" t="s">
        <v>561</v>
      </c>
      <c r="E67" s="8"/>
      <c r="F67" s="8" t="s">
        <v>426</v>
      </c>
      <c r="G67" s="8" t="s">
        <v>386</v>
      </c>
      <c r="H67" s="8" t="s">
        <v>391</v>
      </c>
      <c r="I67" s="8" t="n">
        <v>2022</v>
      </c>
      <c r="J67" s="8" t="s">
        <v>346</v>
      </c>
      <c r="K67" s="8" t="s">
        <v>562</v>
      </c>
      <c r="L67" s="8"/>
    </row>
    <row r="68" customFormat="false" ht="15" hidden="false" customHeight="true" outlineLevel="0" collapsed="false">
      <c r="A68" s="5" t="s">
        <v>563</v>
      </c>
      <c r="B68" s="6" t="s">
        <v>560</v>
      </c>
      <c r="C68" s="6" t="s">
        <v>340</v>
      </c>
      <c r="D68" s="6"/>
      <c r="E68" s="6"/>
      <c r="F68" s="6" t="s">
        <v>426</v>
      </c>
      <c r="G68" s="6" t="s">
        <v>386</v>
      </c>
      <c r="H68" s="6" t="s">
        <v>454</v>
      </c>
      <c r="I68" s="6" t="n">
        <v>2023</v>
      </c>
      <c r="J68" s="6" t="s">
        <v>346</v>
      </c>
      <c r="K68" s="6"/>
      <c r="L68" s="6"/>
    </row>
    <row r="69" customFormat="false" ht="15" hidden="false" customHeight="true" outlineLevel="0" collapsed="false">
      <c r="A69" s="7" t="s">
        <v>564</v>
      </c>
      <c r="B69" s="8" t="s">
        <v>565</v>
      </c>
      <c r="C69" s="8" t="s">
        <v>340</v>
      </c>
      <c r="D69" s="8" t="s">
        <v>566</v>
      </c>
      <c r="E69" s="8" t="s">
        <v>567</v>
      </c>
      <c r="F69" s="8" t="s">
        <v>413</v>
      </c>
      <c r="G69" s="8" t="s">
        <v>381</v>
      </c>
      <c r="H69" s="8" t="s">
        <v>391</v>
      </c>
      <c r="I69" s="8" t="n">
        <v>2021</v>
      </c>
      <c r="J69" s="8" t="s">
        <v>346</v>
      </c>
      <c r="K69" s="8" t="s">
        <v>477</v>
      </c>
      <c r="L69" s="8"/>
    </row>
    <row r="70" customFormat="false" ht="15" hidden="false" customHeight="true" outlineLevel="0" collapsed="false">
      <c r="A70" s="5" t="s">
        <v>568</v>
      </c>
      <c r="B70" s="6" t="s">
        <v>204</v>
      </c>
      <c r="C70" s="6" t="s">
        <v>340</v>
      </c>
      <c r="D70" s="6"/>
      <c r="E70" s="6"/>
      <c r="F70" s="6" t="s">
        <v>413</v>
      </c>
      <c r="G70" s="6" t="s">
        <v>440</v>
      </c>
      <c r="H70" s="6" t="s">
        <v>454</v>
      </c>
      <c r="I70" s="6" t="n">
        <v>2022</v>
      </c>
      <c r="J70" s="6" t="s">
        <v>346</v>
      </c>
      <c r="K70" s="6"/>
      <c r="L70" s="6"/>
    </row>
    <row r="71" customFormat="false" ht="20.25" hidden="false" customHeight="true" outlineLevel="0" collapsed="false">
      <c r="A71" s="7" t="s">
        <v>569</v>
      </c>
      <c r="B71" s="8" t="s">
        <v>570</v>
      </c>
      <c r="C71" s="8" t="s">
        <v>340</v>
      </c>
      <c r="D71" s="8"/>
      <c r="E71" s="8"/>
      <c r="F71" s="8" t="s">
        <v>367</v>
      </c>
      <c r="G71" s="8" t="s">
        <v>381</v>
      </c>
      <c r="H71" s="8" t="s">
        <v>368</v>
      </c>
      <c r="I71" s="8" t="n">
        <v>2021</v>
      </c>
      <c r="J71" s="8" t="s">
        <v>346</v>
      </c>
      <c r="K71" s="8" t="s">
        <v>571</v>
      </c>
      <c r="L71" s="8"/>
    </row>
    <row r="72" customFormat="false" ht="15" hidden="false" customHeight="true" outlineLevel="0" collapsed="false">
      <c r="A72" s="5" t="s">
        <v>572</v>
      </c>
      <c r="B72" s="6" t="s">
        <v>573</v>
      </c>
      <c r="C72" s="6" t="s">
        <v>340</v>
      </c>
      <c r="D72" s="6"/>
      <c r="E72" s="6"/>
      <c r="F72" s="6" t="s">
        <v>413</v>
      </c>
      <c r="G72" s="6" t="s">
        <v>386</v>
      </c>
      <c r="H72" s="6" t="s">
        <v>454</v>
      </c>
      <c r="I72" s="6" t="n">
        <v>2023</v>
      </c>
      <c r="J72" s="6" t="s">
        <v>346</v>
      </c>
      <c r="K72" s="6"/>
      <c r="L72" s="6"/>
    </row>
    <row r="73" customFormat="false" ht="15" hidden="false" customHeight="true" outlineLevel="0" collapsed="false">
      <c r="A73" s="7" t="s">
        <v>574</v>
      </c>
      <c r="B73" s="8" t="s">
        <v>66</v>
      </c>
      <c r="C73" s="8" t="s">
        <v>340</v>
      </c>
      <c r="D73" s="8" t="s">
        <v>575</v>
      </c>
      <c r="E73" s="8"/>
      <c r="F73" s="8" t="s">
        <v>426</v>
      </c>
      <c r="G73" s="8" t="s">
        <v>381</v>
      </c>
      <c r="H73" s="8" t="s">
        <v>454</v>
      </c>
      <c r="I73" s="8" t="n">
        <v>2019</v>
      </c>
      <c r="J73" s="8" t="s">
        <v>346</v>
      </c>
      <c r="K73" s="8" t="s">
        <v>550</v>
      </c>
      <c r="L73" s="8"/>
    </row>
    <row r="74" customFormat="false" ht="20.25" hidden="false" customHeight="true" outlineLevel="0" collapsed="false">
      <c r="A74" s="5" t="s">
        <v>576</v>
      </c>
      <c r="B74" s="6" t="s">
        <v>66</v>
      </c>
      <c r="C74" s="6" t="s">
        <v>340</v>
      </c>
      <c r="D74" s="6" t="s">
        <v>575</v>
      </c>
      <c r="E74" s="6"/>
      <c r="F74" s="6" t="s">
        <v>426</v>
      </c>
      <c r="G74" s="6" t="s">
        <v>386</v>
      </c>
      <c r="H74" s="6" t="s">
        <v>368</v>
      </c>
      <c r="I74" s="6" t="n">
        <v>2022</v>
      </c>
      <c r="J74" s="6" t="s">
        <v>346</v>
      </c>
      <c r="K74" s="6" t="s">
        <v>553</v>
      </c>
      <c r="L74" s="6"/>
    </row>
    <row r="75" customFormat="false" ht="15" hidden="false" customHeight="true" outlineLevel="0" collapsed="false">
      <c r="A75" s="7" t="s">
        <v>577</v>
      </c>
      <c r="B75" s="8" t="s">
        <v>578</v>
      </c>
      <c r="C75" s="8" t="s">
        <v>340</v>
      </c>
      <c r="D75" s="8"/>
      <c r="E75" s="8"/>
      <c r="F75" s="8" t="s">
        <v>413</v>
      </c>
      <c r="G75" s="8" t="s">
        <v>386</v>
      </c>
      <c r="H75" s="8" t="s">
        <v>454</v>
      </c>
      <c r="I75" s="8" t="n">
        <v>2020</v>
      </c>
      <c r="J75" s="8" t="s">
        <v>346</v>
      </c>
      <c r="K75" s="8"/>
      <c r="L75" s="8"/>
    </row>
    <row r="76" customFormat="false" ht="15" hidden="false" customHeight="true" outlineLevel="0" collapsed="false">
      <c r="A76" s="5" t="s">
        <v>579</v>
      </c>
      <c r="B76" s="6" t="s">
        <v>578</v>
      </c>
      <c r="C76" s="6" t="s">
        <v>340</v>
      </c>
      <c r="D76" s="6"/>
      <c r="E76" s="6"/>
      <c r="F76" s="6" t="s">
        <v>413</v>
      </c>
      <c r="G76" s="6" t="s">
        <v>386</v>
      </c>
      <c r="H76" s="6" t="s">
        <v>454</v>
      </c>
      <c r="I76" s="6" t="n">
        <v>2022</v>
      </c>
      <c r="J76" s="6" t="s">
        <v>346</v>
      </c>
      <c r="K76" s="6"/>
      <c r="L76" s="6"/>
    </row>
    <row r="77" customFormat="false" ht="15" hidden="false" customHeight="true" outlineLevel="0" collapsed="false">
      <c r="A77" s="7" t="s">
        <v>580</v>
      </c>
      <c r="B77" s="8" t="s">
        <v>578</v>
      </c>
      <c r="C77" s="8" t="s">
        <v>340</v>
      </c>
      <c r="D77" s="8" t="s">
        <v>581</v>
      </c>
      <c r="E77" s="8"/>
      <c r="F77" s="8" t="s">
        <v>413</v>
      </c>
      <c r="G77" s="8" t="s">
        <v>440</v>
      </c>
      <c r="H77" s="8" t="s">
        <v>454</v>
      </c>
      <c r="I77" s="8" t="n">
        <v>2020</v>
      </c>
      <c r="J77" s="8" t="s">
        <v>346</v>
      </c>
      <c r="K77" s="8" t="s">
        <v>455</v>
      </c>
      <c r="L77" s="8"/>
    </row>
    <row r="78" customFormat="false" ht="15" hidden="false" customHeight="true" outlineLevel="0" collapsed="false">
      <c r="A78" s="5" t="s">
        <v>582</v>
      </c>
      <c r="B78" s="6" t="s">
        <v>578</v>
      </c>
      <c r="C78" s="6" t="s">
        <v>340</v>
      </c>
      <c r="D78" s="6"/>
      <c r="E78" s="6"/>
      <c r="F78" s="6" t="s">
        <v>413</v>
      </c>
      <c r="G78" s="6" t="s">
        <v>386</v>
      </c>
      <c r="H78" s="6" t="s">
        <v>454</v>
      </c>
      <c r="I78" s="6" t="n">
        <v>2023</v>
      </c>
      <c r="J78" s="6" t="s">
        <v>346</v>
      </c>
      <c r="K78" s="6"/>
      <c r="L78" s="6"/>
    </row>
    <row r="79" customFormat="false" ht="15" hidden="false" customHeight="true" outlineLevel="0" collapsed="false">
      <c r="A79" s="7" t="s">
        <v>583</v>
      </c>
      <c r="B79" s="8" t="s">
        <v>584</v>
      </c>
      <c r="C79" s="8" t="s">
        <v>340</v>
      </c>
      <c r="D79" s="8"/>
      <c r="E79" s="8"/>
      <c r="F79" s="8" t="s">
        <v>413</v>
      </c>
      <c r="G79" s="8" t="s">
        <v>386</v>
      </c>
      <c r="H79" s="8" t="s">
        <v>454</v>
      </c>
      <c r="I79" s="8" t="n">
        <v>2023</v>
      </c>
      <c r="J79" s="8" t="s">
        <v>346</v>
      </c>
      <c r="K79" s="8"/>
      <c r="L79" s="8"/>
    </row>
    <row r="80" customFormat="false" ht="15" hidden="false" customHeight="true" outlineLevel="0" collapsed="false">
      <c r="A80" s="5" t="s">
        <v>585</v>
      </c>
      <c r="B80" s="6" t="s">
        <v>153</v>
      </c>
      <c r="C80" s="6" t="s">
        <v>340</v>
      </c>
      <c r="D80" s="6" t="s">
        <v>586</v>
      </c>
      <c r="E80" s="6" t="s">
        <v>400</v>
      </c>
      <c r="F80" s="6" t="s">
        <v>343</v>
      </c>
      <c r="G80" s="6" t="s">
        <v>386</v>
      </c>
      <c r="H80" s="6" t="s">
        <v>361</v>
      </c>
      <c r="I80" s="6" t="n">
        <v>2023</v>
      </c>
      <c r="J80" s="6" t="s">
        <v>346</v>
      </c>
      <c r="K80" s="6" t="s">
        <v>587</v>
      </c>
      <c r="L80" s="6"/>
    </row>
    <row r="81" customFormat="false" ht="15" hidden="false" customHeight="true" outlineLevel="0" collapsed="false">
      <c r="A81" s="7" t="s">
        <v>588</v>
      </c>
      <c r="B81" s="8" t="s">
        <v>589</v>
      </c>
      <c r="C81" s="8" t="s">
        <v>340</v>
      </c>
      <c r="D81" s="8" t="s">
        <v>590</v>
      </c>
      <c r="E81" s="8"/>
      <c r="F81" s="8" t="s">
        <v>367</v>
      </c>
      <c r="G81" s="8" t="s">
        <v>381</v>
      </c>
      <c r="H81" s="8" t="s">
        <v>454</v>
      </c>
      <c r="I81" s="8" t="n">
        <v>2021</v>
      </c>
      <c r="J81" s="8" t="s">
        <v>346</v>
      </c>
      <c r="K81" s="8" t="s">
        <v>550</v>
      </c>
      <c r="L81" s="8"/>
    </row>
    <row r="82" customFormat="false" ht="15" hidden="false" customHeight="true" outlineLevel="0" collapsed="false">
      <c r="A82" s="5" t="s">
        <v>591</v>
      </c>
      <c r="B82" s="6" t="s">
        <v>589</v>
      </c>
      <c r="C82" s="6" t="s">
        <v>340</v>
      </c>
      <c r="D82" s="6"/>
      <c r="E82" s="6"/>
      <c r="F82" s="6" t="s">
        <v>367</v>
      </c>
      <c r="G82" s="6" t="s">
        <v>490</v>
      </c>
      <c r="H82" s="6" t="s">
        <v>454</v>
      </c>
      <c r="I82" s="6" t="n">
        <v>2021</v>
      </c>
      <c r="J82" s="6" t="s">
        <v>346</v>
      </c>
      <c r="K82" s="6" t="s">
        <v>592</v>
      </c>
      <c r="L82" s="6"/>
    </row>
    <row r="83" customFormat="false" ht="15" hidden="false" customHeight="true" outlineLevel="0" collapsed="false">
      <c r="A83" s="7" t="s">
        <v>593</v>
      </c>
      <c r="B83" s="8" t="s">
        <v>263</v>
      </c>
      <c r="C83" s="8" t="s">
        <v>340</v>
      </c>
      <c r="D83" s="8"/>
      <c r="E83" s="8"/>
      <c r="F83" s="8" t="s">
        <v>367</v>
      </c>
      <c r="G83" s="8" t="s">
        <v>381</v>
      </c>
      <c r="H83" s="8" t="s">
        <v>454</v>
      </c>
      <c r="I83" s="8" t="n">
        <v>2021</v>
      </c>
      <c r="J83" s="8" t="s">
        <v>346</v>
      </c>
      <c r="K83" s="8"/>
      <c r="L83" s="8"/>
    </row>
    <row r="84" customFormat="false" ht="15" hidden="false" customHeight="true" outlineLevel="0" collapsed="false">
      <c r="A84" s="5" t="s">
        <v>594</v>
      </c>
      <c r="B84" s="6" t="s">
        <v>504</v>
      </c>
      <c r="C84" s="6" t="s">
        <v>356</v>
      </c>
      <c r="D84" s="6" t="s">
        <v>595</v>
      </c>
      <c r="E84" s="6" t="s">
        <v>596</v>
      </c>
      <c r="F84" s="6" t="s">
        <v>359</v>
      </c>
      <c r="G84" s="6" t="s">
        <v>386</v>
      </c>
      <c r="H84" s="6" t="s">
        <v>361</v>
      </c>
      <c r="I84" s="6" t="n">
        <v>2023</v>
      </c>
      <c r="J84" s="6" t="s">
        <v>346</v>
      </c>
      <c r="K84" s="6" t="s">
        <v>597</v>
      </c>
      <c r="L84" s="6"/>
    </row>
    <row r="85" customFormat="false" ht="15" hidden="false" customHeight="true" outlineLevel="0" collapsed="false">
      <c r="A85" s="7" t="s">
        <v>598</v>
      </c>
      <c r="B85" s="8" t="s">
        <v>73</v>
      </c>
      <c r="C85" s="8" t="s">
        <v>340</v>
      </c>
      <c r="D85" s="8" t="s">
        <v>599</v>
      </c>
      <c r="E85" s="8" t="s">
        <v>400</v>
      </c>
      <c r="F85" s="8" t="s">
        <v>600</v>
      </c>
      <c r="G85" s="8" t="s">
        <v>601</v>
      </c>
      <c r="H85" s="8" t="s">
        <v>361</v>
      </c>
      <c r="I85" s="8" t="n">
        <v>2025</v>
      </c>
      <c r="J85" s="8" t="s">
        <v>346</v>
      </c>
      <c r="K85" s="8" t="s">
        <v>602</v>
      </c>
      <c r="L85" s="8"/>
    </row>
    <row r="86" customFormat="false" ht="20.25" hidden="false" customHeight="true" outlineLevel="0" collapsed="false">
      <c r="A86" s="5" t="s">
        <v>603</v>
      </c>
      <c r="B86" s="6" t="s">
        <v>263</v>
      </c>
      <c r="C86" s="6" t="s">
        <v>340</v>
      </c>
      <c r="D86" s="6" t="s">
        <v>604</v>
      </c>
      <c r="E86" s="6" t="s">
        <v>605</v>
      </c>
      <c r="F86" s="6" t="s">
        <v>419</v>
      </c>
      <c r="G86" s="6" t="s">
        <v>381</v>
      </c>
      <c r="H86" s="6" t="s">
        <v>391</v>
      </c>
      <c r="I86" s="6" t="n">
        <v>2021</v>
      </c>
      <c r="J86" s="6" t="s">
        <v>606</v>
      </c>
      <c r="K86" s="6" t="s">
        <v>607</v>
      </c>
      <c r="L86" s="6"/>
    </row>
    <row r="87" customFormat="false" ht="30" hidden="false" customHeight="true" outlineLevel="0" collapsed="false">
      <c r="A87" s="16" t="s">
        <v>608</v>
      </c>
      <c r="B87" s="17" t="s">
        <v>609</v>
      </c>
      <c r="C87" s="17" t="s">
        <v>340</v>
      </c>
      <c r="D87" s="17" t="s">
        <v>610</v>
      </c>
      <c r="E87" s="17" t="s">
        <v>611</v>
      </c>
      <c r="F87" s="17" t="s">
        <v>612</v>
      </c>
      <c r="G87" s="17" t="s">
        <v>613</v>
      </c>
      <c r="H87" s="17" t="s">
        <v>361</v>
      </c>
      <c r="I87" s="17" t="n">
        <v>2024</v>
      </c>
      <c r="J87" s="17" t="s">
        <v>614</v>
      </c>
      <c r="K87" s="17" t="s">
        <v>615</v>
      </c>
      <c r="L87" s="18" t="s">
        <v>616</v>
      </c>
    </row>
    <row r="88" customFormat="false" ht="20.25" hidden="false" customHeight="true" outlineLevel="0" collapsed="false">
      <c r="A88" s="16" t="s">
        <v>617</v>
      </c>
      <c r="B88" s="17" t="s">
        <v>73</v>
      </c>
      <c r="C88" s="17" t="s">
        <v>340</v>
      </c>
      <c r="D88" s="17" t="s">
        <v>618</v>
      </c>
      <c r="E88" s="17" t="s">
        <v>619</v>
      </c>
      <c r="F88" s="17" t="s">
        <v>620</v>
      </c>
      <c r="G88" s="17" t="s">
        <v>621</v>
      </c>
      <c r="H88" s="17" t="s">
        <v>622</v>
      </c>
      <c r="I88" s="17" t="n">
        <v>2025</v>
      </c>
      <c r="J88" s="17" t="s">
        <v>614</v>
      </c>
      <c r="K88" s="17" t="s">
        <v>623</v>
      </c>
      <c r="L88" s="17" t="s">
        <v>624</v>
      </c>
    </row>
    <row r="89" customFormat="false" ht="20.25" hidden="false" customHeight="true" outlineLevel="0" collapsed="false">
      <c r="A89" s="16" t="s">
        <v>625</v>
      </c>
      <c r="B89" s="17" t="s">
        <v>73</v>
      </c>
      <c r="C89" s="17" t="s">
        <v>340</v>
      </c>
      <c r="D89" s="17" t="s">
        <v>626</v>
      </c>
      <c r="E89" s="17" t="s">
        <v>627</v>
      </c>
      <c r="F89" s="17" t="s">
        <v>620</v>
      </c>
      <c r="G89" s="17" t="s">
        <v>621</v>
      </c>
      <c r="H89" s="17" t="s">
        <v>622</v>
      </c>
      <c r="I89" s="17" t="n">
        <v>2025</v>
      </c>
      <c r="J89" s="17" t="s">
        <v>614</v>
      </c>
      <c r="K89" s="17" t="s">
        <v>628</v>
      </c>
      <c r="L89" s="17" t="s">
        <v>624</v>
      </c>
    </row>
    <row r="90" customFormat="false" ht="20.25" hidden="false" customHeight="true" outlineLevel="0" collapsed="false">
      <c r="A90" s="16" t="s">
        <v>629</v>
      </c>
      <c r="B90" s="17" t="s">
        <v>609</v>
      </c>
      <c r="C90" s="17" t="s">
        <v>340</v>
      </c>
      <c r="D90" s="17" t="s">
        <v>630</v>
      </c>
      <c r="E90" s="17" t="s">
        <v>435</v>
      </c>
      <c r="F90" s="17" t="s">
        <v>612</v>
      </c>
      <c r="G90" s="17" t="s">
        <v>621</v>
      </c>
      <c r="H90" s="17" t="s">
        <v>622</v>
      </c>
      <c r="I90" s="17" t="n">
        <v>2025</v>
      </c>
      <c r="J90" s="17" t="s">
        <v>614</v>
      </c>
      <c r="K90" s="17" t="s">
        <v>631</v>
      </c>
      <c r="L90" s="17" t="s">
        <v>632</v>
      </c>
    </row>
  </sheetData>
  <hyperlinks>
    <hyperlink ref="L87" r:id="rId1" display="NCT0625387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24"/>
  </cols>
  <sheetData>
    <row r="1" customFormat="false" ht="19.5" hidden="false" customHeight="true" outlineLevel="0" collapsed="false">
      <c r="A1" s="2" t="s">
        <v>633</v>
      </c>
    </row>
    <row r="2" customFormat="false" ht="15" hidden="false" customHeight="true" outlineLevel="0" collapsed="false">
      <c r="A2" s="3" t="s">
        <v>634</v>
      </c>
    </row>
    <row r="4" customFormat="false" ht="30" hidden="false" customHeight="true" outlineLevel="0" collapsed="false">
      <c r="A4" s="4" t="s">
        <v>635</v>
      </c>
      <c r="B4" s="4" t="s">
        <v>636</v>
      </c>
      <c r="C4" s="4" t="s">
        <v>637</v>
      </c>
      <c r="D4" s="4" t="s">
        <v>638</v>
      </c>
    </row>
    <row r="5" customFormat="false" ht="15" hidden="false" customHeight="true" outlineLevel="0" collapsed="false">
      <c r="A5" s="7" t="s">
        <v>639</v>
      </c>
      <c r="B5" s="19" t="n">
        <f aca="false">SUMIFS(Source_Deals!G:G, Source_Deals!C:C, 2018)</f>
        <v>0</v>
      </c>
      <c r="C5" s="19" t="n">
        <f aca="false">B5</f>
        <v>0</v>
      </c>
      <c r="D5" s="8" t="n">
        <v>0</v>
      </c>
    </row>
    <row r="6" customFormat="false" ht="15" hidden="false" customHeight="true" outlineLevel="0" collapsed="false">
      <c r="A6" s="5" t="s">
        <v>640</v>
      </c>
      <c r="B6" s="20" t="n">
        <f aca="false">SUMIFS(Source_Deals!G:G, Source_Deals!C:C, 2019)</f>
        <v>0</v>
      </c>
      <c r="C6" s="20" t="n">
        <f aca="false">C5+B6</f>
        <v>0</v>
      </c>
      <c r="D6" s="6" t="n">
        <v>0</v>
      </c>
    </row>
    <row r="7" customFormat="false" ht="15" hidden="false" customHeight="true" outlineLevel="0" collapsed="false">
      <c r="A7" s="7" t="s">
        <v>641</v>
      </c>
      <c r="B7" s="19" t="n">
        <f aca="false">SUMIFS(Source_Deals!G:G, Source_Deals!C:C, 2020)</f>
        <v>135</v>
      </c>
      <c r="C7" s="19" t="n">
        <f aca="false">C6+B7</f>
        <v>135</v>
      </c>
      <c r="D7" s="8" t="n">
        <v>0</v>
      </c>
    </row>
    <row r="8" customFormat="false" ht="15" hidden="false" customHeight="true" outlineLevel="0" collapsed="false">
      <c r="A8" s="5" t="s">
        <v>642</v>
      </c>
      <c r="B8" s="20" t="n">
        <f aca="false">SUMIFS(Source_Deals!G:G, Source_Deals!C:C, 2021)</f>
        <v>805</v>
      </c>
      <c r="C8" s="20" t="n">
        <f aca="false">C7+B8</f>
        <v>940</v>
      </c>
      <c r="D8" s="6" t="n">
        <v>0</v>
      </c>
    </row>
    <row r="9" customFormat="false" ht="15" hidden="false" customHeight="true" outlineLevel="0" collapsed="false">
      <c r="A9" s="7" t="s">
        <v>643</v>
      </c>
      <c r="B9" s="19" t="n">
        <f aca="false">SUMIFS(Source_Deals!G:G, Source_Deals!C:C, 2022)</f>
        <v>4194.5</v>
      </c>
      <c r="C9" s="19" t="n">
        <f aca="false">C8+B9</f>
        <v>5134.5</v>
      </c>
      <c r="D9" s="8" t="n">
        <v>0</v>
      </c>
    </row>
    <row r="10" customFormat="false" ht="15" hidden="false" customHeight="true" outlineLevel="0" collapsed="false">
      <c r="A10" s="5" t="s">
        <v>644</v>
      </c>
      <c r="B10" s="20" t="n">
        <f aca="false">SUMIFS(Source_Deals!G:G, Source_Deals!C:C, 2023)</f>
        <v>297</v>
      </c>
      <c r="C10" s="20" t="n">
        <f aca="false">C9+B10</f>
        <v>5431.5</v>
      </c>
      <c r="D10" s="6" t="n">
        <v>0</v>
      </c>
    </row>
    <row r="11" customFormat="false" ht="15" hidden="false" customHeight="true" outlineLevel="0" collapsed="false">
      <c r="A11" s="7" t="s">
        <v>645</v>
      </c>
      <c r="B11" s="19" t="n">
        <f aca="false">SUMIFS(Source_Deals!G:G, Source_Deals!C:C, 2024)</f>
        <v>955.5</v>
      </c>
      <c r="C11" s="19" t="n">
        <f aca="false">C10+B11</f>
        <v>6387</v>
      </c>
      <c r="D11" s="8" t="n">
        <v>0</v>
      </c>
    </row>
    <row r="12" customFormat="false" ht="15" hidden="false" customHeight="true" outlineLevel="0" collapsed="false">
      <c r="A12" s="5" t="s">
        <v>646</v>
      </c>
      <c r="B12" s="20" t="n">
        <f aca="false">SUMIFS(Source_Deals!G:G, Source_Deals!C:C, 2025)</f>
        <v>600</v>
      </c>
      <c r="C12" s="20" t="n">
        <f aca="false">C11+B12</f>
        <v>6987</v>
      </c>
      <c r="D12" s="6" t="n">
        <v>0</v>
      </c>
    </row>
    <row r="13" customFormat="false" ht="15" hidden="false" customHeight="true" outlineLevel="0" collapsed="false">
      <c r="A13" s="7" t="s">
        <v>647</v>
      </c>
      <c r="B13" s="19" t="n">
        <f aca="false">SUMIFS(Source_Deals!G:G, Source_Deals!C:C, 2026)</f>
        <v>1000</v>
      </c>
      <c r="C13" s="19" t="n">
        <f aca="false">C12+B13</f>
        <v>7987</v>
      </c>
      <c r="D13" s="8" t="n">
        <v>0</v>
      </c>
    </row>
    <row r="30" customFormat="false" ht="25.5" hidden="false" customHeight="true" outlineLevel="0" collapsed="false">
      <c r="A30" s="21" t="s">
        <v>648</v>
      </c>
    </row>
    <row r="31" customFormat="false" ht="33.75" hidden="false" customHeight="true" outlineLevel="0" collapsed="false">
      <c r="A31" s="21" t="s">
        <v>649</v>
      </c>
    </row>
    <row r="32" customFormat="false" ht="33.75" hidden="false" customHeight="true" outlineLevel="0" collapsed="false">
      <c r="A32" s="21" t="s">
        <v>650</v>
      </c>
    </row>
    <row r="33" customFormat="false" ht="15" hidden="false" customHeight="true" outlineLevel="0" collapsed="false">
      <c r="A33" s="22" t="s">
        <v>651</v>
      </c>
    </row>
    <row r="34" customFormat="false" ht="15" hidden="false" customHeight="true" outlineLevel="0" collapsed="false">
      <c r="A34" s="22" t="s">
        <v>652</v>
      </c>
    </row>
  </sheetData>
  <hyperlinks>
    <hyperlink ref="A33" r:id="rId1" display="Source: 01_Matrix_Master.xlsx Deals tab — 70 deal rows verified"/>
    <hyperlink ref="A34" r:id="rId2" display="Cross-check: AI Pipeline Tracker (Jayatunga 2024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9.5" hidden="false" customHeight="true" outlineLevel="0" collapsed="false">
      <c r="A1" s="2" t="s">
        <v>653</v>
      </c>
    </row>
    <row r="2" customFormat="false" ht="15" hidden="false" customHeight="true" outlineLevel="0" collapsed="false">
      <c r="A2" s="3" t="s">
        <v>654</v>
      </c>
    </row>
    <row r="4" customFormat="false" ht="30" hidden="false" customHeight="true" outlineLevel="0" collapsed="false">
      <c r="A4" s="4" t="s">
        <v>655</v>
      </c>
      <c r="B4" s="4" t="s">
        <v>656</v>
      </c>
      <c r="C4" s="4" t="s">
        <v>657</v>
      </c>
    </row>
    <row r="5" customFormat="false" ht="15" hidden="false" customHeight="true" outlineLevel="0" collapsed="false">
      <c r="A5" s="7" t="s">
        <v>658</v>
      </c>
      <c r="B5" s="8" t="n">
        <f aca="false">COUNTA(Source_Pipeline!A5:A90)</f>
        <v>86</v>
      </c>
      <c r="C5" s="23" t="n">
        <f aca="false">B5/$B$5</f>
        <v>1</v>
      </c>
    </row>
    <row r="6" customFormat="false" ht="15" hidden="false" customHeight="true" outlineLevel="0" collapsed="false">
      <c r="A6" s="5" t="s">
        <v>659</v>
      </c>
      <c r="B6" s="6" t="n">
        <f aca="false">COUNTA(Source_Pipeline!A5:A90)-COUNTIF(Source_Pipeline!G5:G90,"Pre-Phase I")</f>
        <v>85</v>
      </c>
      <c r="C6" s="24" t="n">
        <f aca="false">B6/$B$5</f>
        <v>0.988372093023256</v>
      </c>
    </row>
    <row r="7" customFormat="false" ht="15" hidden="false" customHeight="true" outlineLevel="0" collapsed="false">
      <c r="A7" s="7" t="s">
        <v>660</v>
      </c>
      <c r="B7" s="8" t="n">
        <f aca="false">COUNTIF(Source_Pipeline!H5:H90,"Clear winner")+COUNTIF(Source_Pipeline!H5:H90,"Successful (completed phase)")+COUNTIF(Source_Pipeline!H5:H90,"Failed / Terminated")</f>
        <v>26</v>
      </c>
      <c r="C7" s="23" t="n">
        <f aca="false">B7/$B$5</f>
        <v>0.302325581395349</v>
      </c>
    </row>
    <row r="8" customFormat="false" ht="15" hidden="false" customHeight="true" outlineLevel="0" collapsed="false">
      <c r="A8" s="5" t="s">
        <v>661</v>
      </c>
      <c r="B8" s="6" t="n">
        <f aca="false">COUNTIF(Source_Pipeline!H5:H90,"Clear winner")+COUNTIF(Source_Pipeline!H5:H90,"Successful (completed phase)")+COUNTIF(Source_Pipeline!H5:H90,"Positive but early")</f>
        <v>28</v>
      </c>
      <c r="C8" s="24" t="n">
        <f aca="false">B8/$B$5</f>
        <v>0.325581395348837</v>
      </c>
    </row>
    <row r="9" customFormat="false" ht="15" hidden="false" customHeight="true" outlineLevel="0" collapsed="false">
      <c r="A9" s="7" t="s">
        <v>662</v>
      </c>
      <c r="B9" s="8" t="n">
        <v>1</v>
      </c>
      <c r="C9" s="23" t="n">
        <f aca="false">B9/$B$5</f>
        <v>0.0116279069767442</v>
      </c>
    </row>
    <row r="10" customFormat="false" ht="15" hidden="false" customHeight="true" outlineLevel="0" collapsed="false">
      <c r="A10" s="5" t="s">
        <v>663</v>
      </c>
      <c r="B10" s="6" t="n">
        <v>0</v>
      </c>
      <c r="C10" s="24" t="n">
        <f aca="false">B10/$B$5</f>
        <v>0</v>
      </c>
    </row>
    <row r="30" customFormat="false" ht="17.25" hidden="false" customHeight="true" outlineLevel="0" collapsed="false">
      <c r="A30" s="21" t="s">
        <v>664</v>
      </c>
    </row>
    <row r="31" customFormat="false" ht="17.25" hidden="false" customHeight="true" outlineLevel="0" collapsed="false">
      <c r="A31" s="21" t="s">
        <v>665</v>
      </c>
    </row>
    <row r="32" customFormat="false" ht="17.25" hidden="false" customHeight="true" outlineLevel="0" collapsed="false">
      <c r="A32" s="21" t="s">
        <v>666</v>
      </c>
    </row>
    <row r="33" customFormat="false" ht="15" hidden="false" customHeight="true" outlineLevel="0" collapsed="false">
      <c r="A33" s="22" t="s">
        <v>667</v>
      </c>
    </row>
    <row r="34" customFormat="false" ht="15" hidden="false" customHeight="true" outlineLevel="0" collapsed="false">
      <c r="A34" s="22" t="s">
        <v>668</v>
      </c>
    </row>
  </sheetData>
  <hyperlinks>
    <hyperlink ref="A33" r:id="rId1" display="Source: Jayatunga 2024 cohort"/>
    <hyperlink ref="A34" r:id="rId2" display="Zasocitinib NCT06108544 (Phase 3 completed Dec 2024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</cols>
  <sheetData>
    <row r="1" customFormat="false" ht="19.5" hidden="false" customHeight="true" outlineLevel="0" collapsed="false">
      <c r="A1" s="2" t="s">
        <v>669</v>
      </c>
    </row>
    <row r="2" customFormat="false" ht="15" hidden="false" customHeight="true" outlineLevel="0" collapsed="false">
      <c r="A2" s="3" t="s">
        <v>670</v>
      </c>
    </row>
    <row r="4" customFormat="false" ht="30" hidden="false" customHeight="true" outlineLevel="0" collapsed="false">
      <c r="A4" s="4" t="s">
        <v>635</v>
      </c>
      <c r="B4" s="4" t="s">
        <v>671</v>
      </c>
    </row>
    <row r="5" customFormat="false" ht="15" hidden="false" customHeight="true" outlineLevel="0" collapsed="false">
      <c r="A5" s="7" t="s">
        <v>672</v>
      </c>
      <c r="B5" s="8" t="n">
        <v>145</v>
      </c>
    </row>
    <row r="6" customFormat="false" ht="15" hidden="false" customHeight="true" outlineLevel="0" collapsed="false">
      <c r="A6" s="5" t="s">
        <v>673</v>
      </c>
      <c r="B6" s="6" t="n">
        <v>220</v>
      </c>
    </row>
    <row r="7" customFormat="false" ht="15" hidden="false" customHeight="true" outlineLevel="0" collapsed="false">
      <c r="A7" s="7" t="s">
        <v>674</v>
      </c>
      <c r="B7" s="8" t="n">
        <v>340</v>
      </c>
    </row>
    <row r="8" customFormat="false" ht="15" hidden="false" customHeight="true" outlineLevel="0" collapsed="false">
      <c r="A8" s="5" t="s">
        <v>639</v>
      </c>
      <c r="B8" s="6" t="n">
        <v>510</v>
      </c>
    </row>
    <row r="9" customFormat="false" ht="15" hidden="false" customHeight="true" outlineLevel="0" collapsed="false">
      <c r="A9" s="7" t="s">
        <v>640</v>
      </c>
      <c r="B9" s="8" t="n">
        <v>750</v>
      </c>
    </row>
    <row r="10" customFormat="false" ht="15" hidden="false" customHeight="true" outlineLevel="0" collapsed="false">
      <c r="A10" s="5" t="s">
        <v>641</v>
      </c>
      <c r="B10" s="6" t="n">
        <v>1100</v>
      </c>
    </row>
    <row r="11" customFormat="false" ht="15" hidden="false" customHeight="true" outlineLevel="0" collapsed="false">
      <c r="A11" s="7" t="s">
        <v>642</v>
      </c>
      <c r="B11" s="8" t="n">
        <v>1620</v>
      </c>
    </row>
    <row r="12" customFormat="false" ht="15" hidden="false" customHeight="true" outlineLevel="0" collapsed="false">
      <c r="A12" s="5" t="s">
        <v>643</v>
      </c>
      <c r="B12" s="6" t="n">
        <v>2310</v>
      </c>
    </row>
    <row r="13" customFormat="false" ht="15" hidden="false" customHeight="true" outlineLevel="0" collapsed="false">
      <c r="A13" s="7" t="s">
        <v>644</v>
      </c>
      <c r="B13" s="8" t="n">
        <v>3200</v>
      </c>
    </row>
    <row r="14" customFormat="false" ht="15" hidden="false" customHeight="true" outlineLevel="0" collapsed="false">
      <c r="A14" s="5" t="s">
        <v>645</v>
      </c>
      <c r="B14" s="6" t="n">
        <v>4280</v>
      </c>
    </row>
    <row r="15" customFormat="false" ht="15" hidden="false" customHeight="true" outlineLevel="0" collapsed="false">
      <c r="A15" s="7" t="s">
        <v>646</v>
      </c>
      <c r="B15" s="8" t="n">
        <v>5560</v>
      </c>
    </row>
    <row r="16" customFormat="false" ht="15" hidden="false" customHeight="true" outlineLevel="0" collapsed="false">
      <c r="A16" s="5" t="s">
        <v>647</v>
      </c>
      <c r="B16" s="6" t="n">
        <v>6100</v>
      </c>
    </row>
    <row r="30" customFormat="false" ht="42" hidden="false" customHeight="true" outlineLevel="0" collapsed="false">
      <c r="A30" s="21" t="s">
        <v>675</v>
      </c>
    </row>
    <row r="31" customFormat="false" ht="108" hidden="false" customHeight="true" outlineLevel="0" collapsed="false">
      <c r="A31" s="21" t="s">
        <v>676</v>
      </c>
    </row>
    <row r="32" customFormat="false" ht="33.75" hidden="false" customHeight="true" outlineLevel="0" collapsed="false">
      <c r="A32" s="21" t="s">
        <v>677</v>
      </c>
    </row>
    <row r="33" customFormat="false" ht="15" hidden="false" customHeight="true" outlineLevel="0" collapsed="false">
      <c r="A33" s="22" t="s">
        <v>678</v>
      </c>
    </row>
    <row r="34" customFormat="false" ht="15" hidden="false" customHeight="true" outlineLevel="0" collapsed="false">
      <c r="A34" s="22" t="s">
        <v>679</v>
      </c>
    </row>
  </sheetData>
  <hyperlinks>
    <hyperlink ref="A33" r:id="rId1" display="Source: ClinicalTrials.gov public registry"/>
    <hyperlink ref="A34" r:id="rId2" display="Liu et al. 2023 Frontiers in Med bibliometric analysi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32"/>
  </cols>
  <sheetData>
    <row r="1" customFormat="false" ht="19.5" hidden="false" customHeight="true" outlineLevel="0" collapsed="false">
      <c r="A1" s="2" t="s">
        <v>680</v>
      </c>
    </row>
    <row r="2" customFormat="false" ht="15" hidden="false" customHeight="true" outlineLevel="0" collapsed="false">
      <c r="A2" s="3" t="s">
        <v>681</v>
      </c>
    </row>
    <row r="4" customFormat="false" ht="30" hidden="false" customHeight="true" outlineLevel="0" collapsed="false">
      <c r="A4" s="4" t="s">
        <v>635</v>
      </c>
      <c r="B4" s="4" t="s">
        <v>682</v>
      </c>
      <c r="C4" s="4" t="s">
        <v>683</v>
      </c>
    </row>
    <row r="5" customFormat="false" ht="15" hidden="false" customHeight="true" outlineLevel="0" collapsed="false">
      <c r="A5" s="7" t="n">
        <v>2014</v>
      </c>
      <c r="B5" s="8" t="n">
        <f aca="false">COUNTIF(Source_Pipeline!I5:I90, 2014)</f>
        <v>1</v>
      </c>
      <c r="C5" s="8" t="n">
        <f aca="false">B5</f>
        <v>1</v>
      </c>
    </row>
    <row r="6" customFormat="false" ht="15" hidden="false" customHeight="true" outlineLevel="0" collapsed="false">
      <c r="A6" s="5" t="n">
        <v>2015</v>
      </c>
      <c r="B6" s="6" t="n">
        <f aca="false">COUNTIF(Source_Pipeline!I5:I90, 2015)</f>
        <v>0</v>
      </c>
      <c r="C6" s="6" t="n">
        <f aca="false">C5+B6</f>
        <v>1</v>
      </c>
    </row>
    <row r="7" customFormat="false" ht="15" hidden="false" customHeight="true" outlineLevel="0" collapsed="false">
      <c r="A7" s="7" t="n">
        <v>2016</v>
      </c>
      <c r="B7" s="8" t="n">
        <f aca="false">COUNTIF(Source_Pipeline!I5:I90, 2016)</f>
        <v>0</v>
      </c>
      <c r="C7" s="8" t="n">
        <f aca="false">C6+B7</f>
        <v>1</v>
      </c>
    </row>
    <row r="8" customFormat="false" ht="15" hidden="false" customHeight="true" outlineLevel="0" collapsed="false">
      <c r="A8" s="5" t="n">
        <v>2017</v>
      </c>
      <c r="B8" s="6" t="n">
        <f aca="false">COUNTIF(Source_Pipeline!I5:I90, 2017)</f>
        <v>0</v>
      </c>
      <c r="C8" s="6" t="n">
        <f aca="false">C7+B8</f>
        <v>1</v>
      </c>
    </row>
    <row r="9" customFormat="false" ht="15" hidden="false" customHeight="true" outlineLevel="0" collapsed="false">
      <c r="A9" s="7" t="n">
        <v>2018</v>
      </c>
      <c r="B9" s="8" t="n">
        <f aca="false">COUNTIF(Source_Pipeline!I5:I90, 2018)</f>
        <v>0</v>
      </c>
      <c r="C9" s="8" t="n">
        <f aca="false">C8+B9</f>
        <v>1</v>
      </c>
    </row>
    <row r="10" customFormat="false" ht="15" hidden="false" customHeight="true" outlineLevel="0" collapsed="false">
      <c r="A10" s="5" t="n">
        <v>2019</v>
      </c>
      <c r="B10" s="6" t="n">
        <f aca="false">COUNTIF(Source_Pipeline!I5:I90, 2019)</f>
        <v>3</v>
      </c>
      <c r="C10" s="6" t="n">
        <f aca="false">C9+B10</f>
        <v>4</v>
      </c>
    </row>
    <row r="11" customFormat="false" ht="15" hidden="false" customHeight="true" outlineLevel="0" collapsed="false">
      <c r="A11" s="7" t="n">
        <v>2020</v>
      </c>
      <c r="B11" s="8" t="n">
        <f aca="false">COUNTIF(Source_Pipeline!I5:I90, 2020)</f>
        <v>5</v>
      </c>
      <c r="C11" s="8" t="n">
        <f aca="false">C10+B11</f>
        <v>9</v>
      </c>
    </row>
    <row r="12" customFormat="false" ht="15" hidden="false" customHeight="true" outlineLevel="0" collapsed="false">
      <c r="A12" s="5" t="n">
        <v>2021</v>
      </c>
      <c r="B12" s="6" t="n">
        <f aca="false">COUNTIF(Source_Pipeline!I5:I90, 2021)</f>
        <v>17</v>
      </c>
      <c r="C12" s="6" t="n">
        <f aca="false">C11+B12</f>
        <v>26</v>
      </c>
    </row>
    <row r="13" customFormat="false" ht="15" hidden="false" customHeight="true" outlineLevel="0" collapsed="false">
      <c r="A13" s="7" t="n">
        <v>2022</v>
      </c>
      <c r="B13" s="8" t="n">
        <f aca="false">COUNTIF(Source_Pipeline!I5:I90, 2022)</f>
        <v>15</v>
      </c>
      <c r="C13" s="8" t="n">
        <f aca="false">C12+B13</f>
        <v>41</v>
      </c>
    </row>
    <row r="14" customFormat="false" ht="15" hidden="false" customHeight="true" outlineLevel="0" collapsed="false">
      <c r="A14" s="5" t="n">
        <v>2023</v>
      </c>
      <c r="B14" s="6" t="n">
        <f aca="false">COUNTIF(Source_Pipeline!I5:I90, 2023)</f>
        <v>40</v>
      </c>
      <c r="C14" s="6" t="n">
        <f aca="false">C13+B14</f>
        <v>81</v>
      </c>
    </row>
    <row r="15" customFormat="false" ht="15" hidden="false" customHeight="true" outlineLevel="0" collapsed="false">
      <c r="A15" s="7" t="n">
        <v>2024</v>
      </c>
      <c r="B15" s="8" t="n">
        <f aca="false">COUNTIF(Source_Pipeline!I5:I90, 2024)</f>
        <v>1</v>
      </c>
      <c r="C15" s="8" t="n">
        <f aca="false">C14+B15</f>
        <v>82</v>
      </c>
    </row>
    <row r="16" customFormat="false" ht="15" hidden="false" customHeight="true" outlineLevel="0" collapsed="false">
      <c r="A16" s="5" t="n">
        <v>2025</v>
      </c>
      <c r="B16" s="6" t="n">
        <f aca="false">COUNTIF(Source_Pipeline!I5:I90, 2025)</f>
        <v>4</v>
      </c>
      <c r="C16" s="6" t="n">
        <f aca="false">C15+B16</f>
        <v>86</v>
      </c>
    </row>
    <row r="17" customFormat="false" ht="15" hidden="false" customHeight="true" outlineLevel="0" collapsed="false">
      <c r="A17" s="7" t="n">
        <v>2026</v>
      </c>
      <c r="B17" s="8" t="n">
        <f aca="false">COUNTIF(Source_Pipeline!I5:I90, 2026)</f>
        <v>0</v>
      </c>
      <c r="C17" s="8" t="n">
        <f aca="false">C16+B17</f>
        <v>86</v>
      </c>
    </row>
    <row r="30" customFormat="false" ht="66.75" hidden="false" customHeight="true" outlineLevel="0" collapsed="false">
      <c r="A30" s="21" t="s">
        <v>684</v>
      </c>
    </row>
    <row r="31" customFormat="false" ht="189.75" hidden="false" customHeight="true" outlineLevel="0" collapsed="false">
      <c r="A31" s="21" t="s">
        <v>685</v>
      </c>
    </row>
    <row r="32" customFormat="false" ht="132.75" hidden="false" customHeight="true" outlineLevel="0" collapsed="false">
      <c r="A32" s="21" t="s">
        <v>686</v>
      </c>
    </row>
    <row r="33" customFormat="false" ht="181.5" hidden="false" customHeight="true" outlineLevel="0" collapsed="false">
      <c r="A33" s="21" t="s">
        <v>687</v>
      </c>
    </row>
    <row r="34" customFormat="false" ht="15" hidden="false" customHeight="true" outlineLevel="0" collapsed="false">
      <c r="A34" s="22" t="s">
        <v>667</v>
      </c>
    </row>
    <row r="35" customFormat="false" ht="15" hidden="false" customHeight="true" outlineLevel="0" collapsed="false">
      <c r="A35" s="22" t="s">
        <v>688</v>
      </c>
    </row>
    <row r="36" customFormat="false" ht="15" hidden="false" customHeight="true" outlineLevel="0" collapsed="false">
      <c r="A36" s="22" t="s">
        <v>689</v>
      </c>
    </row>
  </sheetData>
  <hyperlinks>
    <hyperlink ref="A34" r:id="rId1" display="Source: Jayatunga 2024 cohort"/>
    <hyperlink ref="A35" r:id="rId2" display="Iambic IAM1363 NCT06253871 (Bernstein addition)"/>
    <hyperlink ref="A36" r:id="rId3" display="Insilico 2025 Annual Results (ISM3412, ISM6331 additions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16" min="2" style="1" width="9"/>
  </cols>
  <sheetData>
    <row r="1" customFormat="false" ht="19.5" hidden="false" customHeight="true" outlineLevel="0" collapsed="false">
      <c r="A1" s="2" t="s">
        <v>690</v>
      </c>
    </row>
    <row r="2" customFormat="false" ht="15" hidden="false" customHeight="true" outlineLevel="0" collapsed="false">
      <c r="A2" s="3" t="s">
        <v>691</v>
      </c>
    </row>
    <row r="4" customFormat="false" ht="84" hidden="false" customHeight="true" outlineLevel="0" collapsed="false">
      <c r="B4" s="25" t="s">
        <v>66</v>
      </c>
      <c r="C4" s="25" t="s">
        <v>110</v>
      </c>
      <c r="D4" s="25" t="s">
        <v>98</v>
      </c>
      <c r="E4" s="25" t="s">
        <v>153</v>
      </c>
      <c r="F4" s="25" t="s">
        <v>73</v>
      </c>
      <c r="G4" s="25" t="s">
        <v>77</v>
      </c>
      <c r="H4" s="25" t="s">
        <v>94</v>
      </c>
      <c r="I4" s="25" t="s">
        <v>138</v>
      </c>
      <c r="J4" s="25" t="s">
        <v>48</v>
      </c>
      <c r="K4" s="25" t="s">
        <v>81</v>
      </c>
      <c r="L4" s="25" t="s">
        <v>86</v>
      </c>
      <c r="M4" s="25" t="s">
        <v>114</v>
      </c>
      <c r="N4" s="25" t="s">
        <v>60</v>
      </c>
      <c r="O4" s="25" t="s">
        <v>191</v>
      </c>
      <c r="P4" s="4" t="s">
        <v>692</v>
      </c>
    </row>
    <row r="5" customFormat="false" ht="15" hidden="false" customHeight="true" outlineLevel="0" collapsed="false">
      <c r="A5" s="26" t="s">
        <v>47</v>
      </c>
      <c r="B5" s="8" t="n">
        <f aca="false">COUNTIFS(Source_Deals!D:D,"Eli Lilly",Source_Deals!E:E,"Recursion")</f>
        <v>0</v>
      </c>
      <c r="C5" s="8" t="n">
        <f aca="false">COUNTIFS(Source_Deals!D:D,"Eli Lilly",Source_Deals!E:E,"Exscientia")</f>
        <v>0</v>
      </c>
      <c r="D5" s="8" t="n">
        <f aca="false">COUNTIFS(Source_Deals!D:D,"Eli Lilly",Source_Deals!E:E,"AbCellera")</f>
        <v>3</v>
      </c>
      <c r="E5" s="8" t="n">
        <f aca="false">COUNTIFS(Source_Deals!D:D,"Eli Lilly",Source_Deals!E:E,"Schrödinger")</f>
        <v>2</v>
      </c>
      <c r="F5" s="8" t="n">
        <f aca="false">COUNTIFS(Source_Deals!D:D,"Eli Lilly",Source_Deals!E:E,"Insilico Medicine")</f>
        <v>1</v>
      </c>
      <c r="G5" s="8" t="n">
        <f aca="false">COUNTIFS(Source_Deals!D:D,"Eli Lilly",Source_Deals!E:E,"OpenAI")</f>
        <v>1</v>
      </c>
      <c r="H5" s="8" t="n">
        <f aca="false">COUNTIFS(Source_Deals!D:D,"Eli Lilly",Source_Deals!E:E,"Atomwise")</f>
        <v>1</v>
      </c>
      <c r="I5" s="8" t="n">
        <f aca="false">COUNTIFS(Source_Deals!D:D,"Eli Lilly",Source_Deals!E:E,"BenevolentAI")</f>
        <v>0</v>
      </c>
      <c r="J5" s="8" t="n">
        <f aca="false">COUNTIFS(Source_Deals!D:D,"Eli Lilly",Source_Deals!E:E,"Isomorphic Labs")</f>
        <v>1</v>
      </c>
      <c r="K5" s="8" t="n">
        <f aca="false">COUNTIFS(Source_Deals!D:D,"Eli Lilly",Source_Deals!E:E,"XtalPi")</f>
        <v>1</v>
      </c>
      <c r="L5" s="8" t="n">
        <f aca="false">COUNTIFS(Source_Deals!D:D,"Eli Lilly",Source_Deals!E:E,"Verge Genomics")</f>
        <v>1</v>
      </c>
      <c r="M5" s="8" t="n">
        <f aca="false">COUNTIFS(Source_Deals!D:D,"Eli Lilly",Source_Deals!E:E,"Insitro")</f>
        <v>0</v>
      </c>
      <c r="N5" s="8" t="n">
        <f aca="false">COUNTIFS(Source_Deals!D:D,"Eli Lilly",Source_Deals!E:E,"Generate Biomedicines")</f>
        <v>0</v>
      </c>
      <c r="O5" s="8" t="n">
        <f aca="false">COUNTIFS(Source_Deals!D:D,"Eli Lilly",Source_Deals!E:E,"Tempus AI")</f>
        <v>0</v>
      </c>
      <c r="P5" s="27" t="n">
        <f aca="false">COUNTIF(Source_Deals!D:D,"Eli Lilly")</f>
        <v>12</v>
      </c>
    </row>
    <row r="6" customFormat="false" ht="15" hidden="false" customHeight="true" outlineLevel="0" collapsed="false">
      <c r="A6" s="26" t="s">
        <v>72</v>
      </c>
      <c r="B6" s="8" t="n">
        <f aca="false">COUNTIFS(Source_Deals!D:D,"Sanofi",Source_Deals!E:E,"Recursion")</f>
        <v>1</v>
      </c>
      <c r="C6" s="8" t="n">
        <f aca="false">COUNTIFS(Source_Deals!D:D,"Sanofi",Source_Deals!E:E,"Exscientia")</f>
        <v>0</v>
      </c>
      <c r="D6" s="8" t="n">
        <f aca="false">COUNTIFS(Source_Deals!D:D,"Sanofi",Source_Deals!E:E,"AbCellera")</f>
        <v>0</v>
      </c>
      <c r="E6" s="8" t="n">
        <f aca="false">COUNTIFS(Source_Deals!D:D,"Sanofi",Source_Deals!E:E,"Schrödinger")</f>
        <v>0</v>
      </c>
      <c r="F6" s="8" t="n">
        <f aca="false">COUNTIFS(Source_Deals!D:D,"Sanofi",Source_Deals!E:E,"Insilico Medicine")</f>
        <v>2</v>
      </c>
      <c r="G6" s="8" t="n">
        <f aca="false">COUNTIFS(Source_Deals!D:D,"Sanofi",Source_Deals!E:E,"OpenAI")</f>
        <v>1</v>
      </c>
      <c r="H6" s="8" t="n">
        <f aca="false">COUNTIFS(Source_Deals!D:D,"Sanofi",Source_Deals!E:E,"Atomwise")</f>
        <v>1</v>
      </c>
      <c r="I6" s="8" t="n">
        <f aca="false">COUNTIFS(Source_Deals!D:D,"Sanofi",Source_Deals!E:E,"BenevolentAI")</f>
        <v>0</v>
      </c>
      <c r="J6" s="8" t="n">
        <f aca="false">COUNTIFS(Source_Deals!D:D,"Sanofi",Source_Deals!E:E,"Isomorphic Labs")</f>
        <v>0</v>
      </c>
      <c r="K6" s="8" t="n">
        <f aca="false">COUNTIFS(Source_Deals!D:D,"Sanofi",Source_Deals!E:E,"XtalPi")</f>
        <v>0</v>
      </c>
      <c r="L6" s="8" t="n">
        <f aca="false">COUNTIFS(Source_Deals!D:D,"Sanofi",Source_Deals!E:E,"Verge Genomics")</f>
        <v>0</v>
      </c>
      <c r="M6" s="8" t="n">
        <f aca="false">COUNTIFS(Source_Deals!D:D,"Sanofi",Source_Deals!E:E,"Insitro")</f>
        <v>0</v>
      </c>
      <c r="N6" s="8" t="n">
        <f aca="false">COUNTIFS(Source_Deals!D:D,"Sanofi",Source_Deals!E:E,"Generate Biomedicines")</f>
        <v>0</v>
      </c>
      <c r="O6" s="8" t="n">
        <f aca="false">COUNTIFS(Source_Deals!D:D,"Sanofi",Source_Deals!E:E,"Tempus AI")</f>
        <v>0</v>
      </c>
      <c r="P6" s="27" t="n">
        <f aca="false">COUNTIF(Source_Deals!D:D,"Sanofi")</f>
        <v>7</v>
      </c>
    </row>
    <row r="7" customFormat="false" ht="15" hidden="false" customHeight="true" outlineLevel="0" collapsed="false">
      <c r="A7" s="26" t="s">
        <v>118</v>
      </c>
      <c r="B7" s="8" t="n">
        <f aca="false">COUNTIFS(Source_Deals!D:D,"Pfizer",Source_Deals!E:E,"Recursion")</f>
        <v>0</v>
      </c>
      <c r="C7" s="8" t="n">
        <f aca="false">COUNTIFS(Source_Deals!D:D,"Pfizer",Source_Deals!E:E,"Exscientia")</f>
        <v>0</v>
      </c>
      <c r="D7" s="8" t="n">
        <f aca="false">COUNTIFS(Source_Deals!D:D,"Pfizer",Source_Deals!E:E,"AbCellera")</f>
        <v>0</v>
      </c>
      <c r="E7" s="8" t="n">
        <f aca="false">COUNTIFS(Source_Deals!D:D,"Pfizer",Source_Deals!E:E,"Schrödinger")</f>
        <v>0</v>
      </c>
      <c r="F7" s="8" t="n">
        <f aca="false">COUNTIFS(Source_Deals!D:D,"Pfizer",Source_Deals!E:E,"Insilico Medicine")</f>
        <v>0</v>
      </c>
      <c r="G7" s="8" t="n">
        <f aca="false">COUNTIFS(Source_Deals!D:D,"Pfizer",Source_Deals!E:E,"OpenAI")</f>
        <v>0</v>
      </c>
      <c r="H7" s="8" t="n">
        <f aca="false">COUNTIFS(Source_Deals!D:D,"Pfizer",Source_Deals!E:E,"Atomwise")</f>
        <v>1</v>
      </c>
      <c r="I7" s="8" t="n">
        <f aca="false">COUNTIFS(Source_Deals!D:D,"Pfizer",Source_Deals!E:E,"BenevolentAI")</f>
        <v>0</v>
      </c>
      <c r="J7" s="8" t="n">
        <f aca="false">COUNTIFS(Source_Deals!D:D,"Pfizer",Source_Deals!E:E,"Isomorphic Labs")</f>
        <v>0</v>
      </c>
      <c r="K7" s="8" t="n">
        <f aca="false">COUNTIFS(Source_Deals!D:D,"Pfizer",Source_Deals!E:E,"XtalPi")</f>
        <v>1</v>
      </c>
      <c r="L7" s="8" t="n">
        <f aca="false">COUNTIFS(Source_Deals!D:D,"Pfizer",Source_Deals!E:E,"Verge Genomics")</f>
        <v>0</v>
      </c>
      <c r="M7" s="8" t="n">
        <f aca="false">COUNTIFS(Source_Deals!D:D,"Pfizer",Source_Deals!E:E,"Insitro")</f>
        <v>0</v>
      </c>
      <c r="N7" s="8" t="n">
        <f aca="false">COUNTIFS(Source_Deals!D:D,"Pfizer",Source_Deals!E:E,"Generate Biomedicines")</f>
        <v>0</v>
      </c>
      <c r="O7" s="8" t="n">
        <f aca="false">COUNTIFS(Source_Deals!D:D,"Pfizer",Source_Deals!E:E,"Tempus AI")</f>
        <v>0</v>
      </c>
      <c r="P7" s="27" t="n">
        <f aca="false">COUNTIF(Source_Deals!D:D,"Pfizer")</f>
        <v>6</v>
      </c>
    </row>
    <row r="8" customFormat="false" ht="15" hidden="false" customHeight="true" outlineLevel="0" collapsed="false">
      <c r="A8" s="26" t="s">
        <v>109</v>
      </c>
      <c r="B8" s="8" t="n">
        <f aca="false">COUNTIFS(Source_Deals!D:D,"Bristol Myers Squibb",Source_Deals!E:E,"Recursion")</f>
        <v>0</v>
      </c>
      <c r="C8" s="8" t="n">
        <f aca="false">COUNTIFS(Source_Deals!D:D,"Bristol Myers Squibb",Source_Deals!E:E,"Exscientia")</f>
        <v>2</v>
      </c>
      <c r="D8" s="8" t="n">
        <f aca="false">COUNTIFS(Source_Deals!D:D,"Bristol Myers Squibb",Source_Deals!E:E,"AbCellera")</f>
        <v>0</v>
      </c>
      <c r="E8" s="8" t="n">
        <f aca="false">COUNTIFS(Source_Deals!D:D,"Bristol Myers Squibb",Source_Deals!E:E,"Schrödinger")</f>
        <v>1</v>
      </c>
      <c r="F8" s="8" t="n">
        <f aca="false">COUNTIFS(Source_Deals!D:D,"Bristol Myers Squibb",Source_Deals!E:E,"Insilico Medicine")</f>
        <v>0</v>
      </c>
      <c r="G8" s="8" t="n">
        <f aca="false">COUNTIFS(Source_Deals!D:D,"Bristol Myers Squibb",Source_Deals!E:E,"OpenAI")</f>
        <v>0</v>
      </c>
      <c r="H8" s="8" t="n">
        <f aca="false">COUNTIFS(Source_Deals!D:D,"Bristol Myers Squibb",Source_Deals!E:E,"Atomwise")</f>
        <v>0</v>
      </c>
      <c r="I8" s="8" t="n">
        <f aca="false">COUNTIFS(Source_Deals!D:D,"Bristol Myers Squibb",Source_Deals!E:E,"BenevolentAI")</f>
        <v>0</v>
      </c>
      <c r="J8" s="8" t="n">
        <f aca="false">COUNTIFS(Source_Deals!D:D,"Bristol Myers Squibb",Source_Deals!E:E,"Isomorphic Labs")</f>
        <v>0</v>
      </c>
      <c r="K8" s="8" t="n">
        <f aca="false">COUNTIFS(Source_Deals!D:D,"Bristol Myers Squibb",Source_Deals!E:E,"XtalPi")</f>
        <v>0</v>
      </c>
      <c r="L8" s="8" t="n">
        <f aca="false">COUNTIFS(Source_Deals!D:D,"Bristol Myers Squibb",Source_Deals!E:E,"Verge Genomics")</f>
        <v>0</v>
      </c>
      <c r="M8" s="8" t="n">
        <f aca="false">COUNTIFS(Source_Deals!D:D,"Bristol Myers Squibb",Source_Deals!E:E,"Insitro")</f>
        <v>1</v>
      </c>
      <c r="N8" s="8" t="n">
        <f aca="false">COUNTIFS(Source_Deals!D:D,"Bristol Myers Squibb",Source_Deals!E:E,"Generate Biomedicines")</f>
        <v>0</v>
      </c>
      <c r="O8" s="8" t="n">
        <f aca="false">COUNTIFS(Source_Deals!D:D,"Bristol Myers Squibb",Source_Deals!E:E,"Tempus AI")</f>
        <v>0</v>
      </c>
      <c r="P8" s="27" t="n">
        <f aca="false">COUNTIF(Source_Deals!D:D,"Bristol Myers Squibb")</f>
        <v>4</v>
      </c>
    </row>
    <row r="9" customFormat="false" ht="15" hidden="false" customHeight="true" outlineLevel="0" collapsed="false">
      <c r="A9" s="26" t="s">
        <v>144</v>
      </c>
      <c r="B9" s="8" t="n">
        <f aca="false">COUNTIFS(Source_Deals!D:D,"Merck &amp; Co (MRK)",Source_Deals!E:E,"Recursion")</f>
        <v>0</v>
      </c>
      <c r="C9" s="8" t="n">
        <f aca="false">COUNTIFS(Source_Deals!D:D,"Merck &amp; Co (MRK)",Source_Deals!E:E,"Exscientia")</f>
        <v>0</v>
      </c>
      <c r="D9" s="8" t="n">
        <f aca="false">COUNTIFS(Source_Deals!D:D,"Merck &amp; Co (MRK)",Source_Deals!E:E,"AbCellera")</f>
        <v>0</v>
      </c>
      <c r="E9" s="8" t="n">
        <f aca="false">COUNTIFS(Source_Deals!D:D,"Merck &amp; Co (MRK)",Source_Deals!E:E,"Schrödinger")</f>
        <v>0</v>
      </c>
      <c r="F9" s="8" t="n">
        <f aca="false">COUNTIFS(Source_Deals!D:D,"Merck &amp; Co (MRK)",Source_Deals!E:E,"Insilico Medicine")</f>
        <v>0</v>
      </c>
      <c r="G9" s="8" t="n">
        <f aca="false">COUNTIFS(Source_Deals!D:D,"Merck &amp; Co (MRK)",Source_Deals!E:E,"OpenAI")</f>
        <v>0</v>
      </c>
      <c r="H9" s="8" t="n">
        <f aca="false">COUNTIFS(Source_Deals!D:D,"Merck &amp; Co (MRK)",Source_Deals!E:E,"Atomwise")</f>
        <v>0</v>
      </c>
      <c r="I9" s="8" t="n">
        <f aca="false">COUNTIFS(Source_Deals!D:D,"Merck &amp; Co (MRK)",Source_Deals!E:E,"BenevolentAI")</f>
        <v>0</v>
      </c>
      <c r="J9" s="8" t="n">
        <f aca="false">COUNTIFS(Source_Deals!D:D,"Merck &amp; Co (MRK)",Source_Deals!E:E,"Isomorphic Labs")</f>
        <v>0</v>
      </c>
      <c r="K9" s="8" t="n">
        <f aca="false">COUNTIFS(Source_Deals!D:D,"Merck &amp; Co (MRK)",Source_Deals!E:E,"XtalPi")</f>
        <v>0</v>
      </c>
      <c r="L9" s="8" t="n">
        <f aca="false">COUNTIFS(Source_Deals!D:D,"Merck &amp; Co (MRK)",Source_Deals!E:E,"Verge Genomics")</f>
        <v>0</v>
      </c>
      <c r="M9" s="8" t="n">
        <f aca="false">COUNTIFS(Source_Deals!D:D,"Merck &amp; Co (MRK)",Source_Deals!E:E,"Insitro")</f>
        <v>0</v>
      </c>
      <c r="N9" s="8" t="n">
        <f aca="false">COUNTIFS(Source_Deals!D:D,"Merck &amp; Co (MRK)",Source_Deals!E:E,"Generate Biomedicines")</f>
        <v>0</v>
      </c>
      <c r="O9" s="8" t="n">
        <f aca="false">COUNTIFS(Source_Deals!D:D,"Merck &amp; Co (MRK)",Source_Deals!E:E,"Tempus AI")</f>
        <v>0</v>
      </c>
      <c r="P9" s="27" t="n">
        <f aca="false">COUNTIF(Source_Deals!D:D,"Merck &amp; Co (MRK)")</f>
        <v>4</v>
      </c>
    </row>
    <row r="10" customFormat="false" ht="15" hidden="false" customHeight="true" outlineLevel="0" collapsed="false">
      <c r="A10" s="26" t="s">
        <v>167</v>
      </c>
      <c r="B10" s="8" t="n">
        <f aca="false">COUNTIFS(Source_Deals!D:D,"Bayer",Source_Deals!E:E,"Recursion")</f>
        <v>3</v>
      </c>
      <c r="C10" s="8" t="n">
        <f aca="false">COUNTIFS(Source_Deals!D:D,"Bayer",Source_Deals!E:E,"Exscientia")</f>
        <v>1</v>
      </c>
      <c r="D10" s="8" t="n">
        <f aca="false">COUNTIFS(Source_Deals!D:D,"Bayer",Source_Deals!E:E,"AbCellera")</f>
        <v>0</v>
      </c>
      <c r="E10" s="8" t="n">
        <f aca="false">COUNTIFS(Source_Deals!D:D,"Bayer",Source_Deals!E:E,"Schrödinger")</f>
        <v>0</v>
      </c>
      <c r="F10" s="8" t="n">
        <f aca="false">COUNTIFS(Source_Deals!D:D,"Bayer",Source_Deals!E:E,"Insilico Medicine")</f>
        <v>0</v>
      </c>
      <c r="G10" s="8" t="n">
        <f aca="false">COUNTIFS(Source_Deals!D:D,"Bayer",Source_Deals!E:E,"OpenAI")</f>
        <v>0</v>
      </c>
      <c r="H10" s="8" t="n">
        <f aca="false">COUNTIFS(Source_Deals!D:D,"Bayer",Source_Deals!E:E,"Atomwise")</f>
        <v>0</v>
      </c>
      <c r="I10" s="8" t="n">
        <f aca="false">COUNTIFS(Source_Deals!D:D,"Bayer",Source_Deals!E:E,"BenevolentAI")</f>
        <v>0</v>
      </c>
      <c r="J10" s="8" t="n">
        <f aca="false">COUNTIFS(Source_Deals!D:D,"Bayer",Source_Deals!E:E,"Isomorphic Labs")</f>
        <v>0</v>
      </c>
      <c r="K10" s="8" t="n">
        <f aca="false">COUNTIFS(Source_Deals!D:D,"Bayer",Source_Deals!E:E,"XtalPi")</f>
        <v>0</v>
      </c>
      <c r="L10" s="8" t="n">
        <f aca="false">COUNTIFS(Source_Deals!D:D,"Bayer",Source_Deals!E:E,"Verge Genomics")</f>
        <v>0</v>
      </c>
      <c r="M10" s="8" t="n">
        <f aca="false">COUNTIFS(Source_Deals!D:D,"Bayer",Source_Deals!E:E,"Insitro")</f>
        <v>0</v>
      </c>
      <c r="N10" s="8" t="n">
        <f aca="false">COUNTIFS(Source_Deals!D:D,"Bayer",Source_Deals!E:E,"Generate Biomedicines")</f>
        <v>0</v>
      </c>
      <c r="O10" s="8" t="n">
        <f aca="false">COUNTIFS(Source_Deals!D:D,"Bayer",Source_Deals!E:E,"Tempus AI")</f>
        <v>0</v>
      </c>
      <c r="P10" s="27" t="n">
        <f aca="false">COUNTIF(Source_Deals!D:D,"Bayer")</f>
        <v>4</v>
      </c>
    </row>
    <row r="11" customFormat="false" ht="15" hidden="false" customHeight="true" outlineLevel="0" collapsed="false">
      <c r="A11" s="26" t="s">
        <v>177</v>
      </c>
      <c r="B11" s="8" t="n">
        <f aca="false">COUNTIFS(Source_Deals!D:D,"AstraZeneca",Source_Deals!E:E,"Recursion")</f>
        <v>0</v>
      </c>
      <c r="C11" s="8" t="n">
        <f aca="false">COUNTIFS(Source_Deals!D:D,"AstraZeneca",Source_Deals!E:E,"Exscientia")</f>
        <v>0</v>
      </c>
      <c r="D11" s="8" t="n">
        <f aca="false">COUNTIFS(Source_Deals!D:D,"AstraZeneca",Source_Deals!E:E,"AbCellera")</f>
        <v>0</v>
      </c>
      <c r="E11" s="8" t="n">
        <f aca="false">COUNTIFS(Source_Deals!D:D,"AstraZeneca",Source_Deals!E:E,"Schrödinger")</f>
        <v>0</v>
      </c>
      <c r="F11" s="8" t="n">
        <f aca="false">COUNTIFS(Source_Deals!D:D,"AstraZeneca",Source_Deals!E:E,"Insilico Medicine")</f>
        <v>0</v>
      </c>
      <c r="G11" s="8" t="n">
        <f aca="false">COUNTIFS(Source_Deals!D:D,"AstraZeneca",Source_Deals!E:E,"OpenAI")</f>
        <v>0</v>
      </c>
      <c r="H11" s="8" t="n">
        <f aca="false">COUNTIFS(Source_Deals!D:D,"AstraZeneca",Source_Deals!E:E,"Atomwise")</f>
        <v>0</v>
      </c>
      <c r="I11" s="8" t="n">
        <f aca="false">COUNTIFS(Source_Deals!D:D,"AstraZeneca",Source_Deals!E:E,"BenevolentAI")</f>
        <v>2</v>
      </c>
      <c r="J11" s="8" t="n">
        <f aca="false">COUNTIFS(Source_Deals!D:D,"AstraZeneca",Source_Deals!E:E,"Isomorphic Labs")</f>
        <v>0</v>
      </c>
      <c r="K11" s="8" t="n">
        <f aca="false">COUNTIFS(Source_Deals!D:D,"AstraZeneca",Source_Deals!E:E,"XtalPi")</f>
        <v>0</v>
      </c>
      <c r="L11" s="8" t="n">
        <f aca="false">COUNTIFS(Source_Deals!D:D,"AstraZeneca",Source_Deals!E:E,"Verge Genomics")</f>
        <v>1</v>
      </c>
      <c r="M11" s="8" t="n">
        <f aca="false">COUNTIFS(Source_Deals!D:D,"AstraZeneca",Source_Deals!E:E,"Insitro")</f>
        <v>0</v>
      </c>
      <c r="N11" s="8" t="n">
        <f aca="false">COUNTIFS(Source_Deals!D:D,"AstraZeneca",Source_Deals!E:E,"Generate Biomedicines")</f>
        <v>0</v>
      </c>
      <c r="O11" s="8" t="n">
        <f aca="false">COUNTIFS(Source_Deals!D:D,"AstraZeneca",Source_Deals!E:E,"Tempus AI")</f>
        <v>0</v>
      </c>
      <c r="P11" s="27" t="n">
        <f aca="false">COUNTIF(Source_Deals!D:D,"AstraZeneca")</f>
        <v>4</v>
      </c>
    </row>
    <row r="12" customFormat="false" ht="15" hidden="false" customHeight="true" outlineLevel="0" collapsed="false">
      <c r="A12" s="26" t="s">
        <v>245</v>
      </c>
      <c r="B12" s="8" t="n">
        <f aca="false">COUNTIFS(Source_Deals!D:D,"AbbVie",Source_Deals!E:E,"Recursion")</f>
        <v>0</v>
      </c>
      <c r="C12" s="8" t="n">
        <f aca="false">COUNTIFS(Source_Deals!D:D,"AbbVie",Source_Deals!E:E,"Exscientia")</f>
        <v>0</v>
      </c>
      <c r="D12" s="8" t="n">
        <f aca="false">COUNTIFS(Source_Deals!D:D,"AbbVie",Source_Deals!E:E,"AbCellera")</f>
        <v>2</v>
      </c>
      <c r="E12" s="8" t="n">
        <f aca="false">COUNTIFS(Source_Deals!D:D,"AbbVie",Source_Deals!E:E,"Schrödinger")</f>
        <v>0</v>
      </c>
      <c r="F12" s="8" t="n">
        <f aca="false">COUNTIFS(Source_Deals!D:D,"AbbVie",Source_Deals!E:E,"Insilico Medicine")</f>
        <v>0</v>
      </c>
      <c r="G12" s="8" t="n">
        <f aca="false">COUNTIFS(Source_Deals!D:D,"AbbVie",Source_Deals!E:E,"OpenAI")</f>
        <v>0</v>
      </c>
      <c r="H12" s="8" t="n">
        <f aca="false">COUNTIFS(Source_Deals!D:D,"AbbVie",Source_Deals!E:E,"Atomwise")</f>
        <v>0</v>
      </c>
      <c r="I12" s="8" t="n">
        <f aca="false">COUNTIFS(Source_Deals!D:D,"AbbVie",Source_Deals!E:E,"BenevolentAI")</f>
        <v>0</v>
      </c>
      <c r="J12" s="8" t="n">
        <f aca="false">COUNTIFS(Source_Deals!D:D,"AbbVie",Source_Deals!E:E,"Isomorphic Labs")</f>
        <v>0</v>
      </c>
      <c r="K12" s="8" t="n">
        <f aca="false">COUNTIFS(Source_Deals!D:D,"AbbVie",Source_Deals!E:E,"XtalPi")</f>
        <v>0</v>
      </c>
      <c r="L12" s="8" t="n">
        <f aca="false">COUNTIFS(Source_Deals!D:D,"AbbVie",Source_Deals!E:E,"Verge Genomics")</f>
        <v>0</v>
      </c>
      <c r="M12" s="8" t="n">
        <f aca="false">COUNTIFS(Source_Deals!D:D,"AbbVie",Source_Deals!E:E,"Insitro")</f>
        <v>0</v>
      </c>
      <c r="N12" s="8" t="n">
        <f aca="false">COUNTIFS(Source_Deals!D:D,"AbbVie",Source_Deals!E:E,"Generate Biomedicines")</f>
        <v>0</v>
      </c>
      <c r="O12" s="8" t="n">
        <f aca="false">COUNTIFS(Source_Deals!D:D,"AbbVie",Source_Deals!E:E,"Tempus AI")</f>
        <v>0</v>
      </c>
      <c r="P12" s="27" t="n">
        <f aca="false">COUNTIF(Source_Deals!D:D,"AbbVie")</f>
        <v>4</v>
      </c>
    </row>
    <row r="13" customFormat="false" ht="15" hidden="false" customHeight="true" outlineLevel="0" collapsed="false">
      <c r="A13" s="26" t="s">
        <v>55</v>
      </c>
      <c r="B13" s="8" t="n">
        <f aca="false">COUNTIFS(Source_Deals!D:D,"Novartis",Source_Deals!E:E,"Recursion")</f>
        <v>0</v>
      </c>
      <c r="C13" s="8" t="n">
        <f aca="false">COUNTIFS(Source_Deals!D:D,"Novartis",Source_Deals!E:E,"Exscientia")</f>
        <v>0</v>
      </c>
      <c r="D13" s="8" t="n">
        <f aca="false">COUNTIFS(Source_Deals!D:D,"Novartis",Source_Deals!E:E,"AbCellera")</f>
        <v>0</v>
      </c>
      <c r="E13" s="8" t="n">
        <f aca="false">COUNTIFS(Source_Deals!D:D,"Novartis",Source_Deals!E:E,"Schrödinger")</f>
        <v>1</v>
      </c>
      <c r="F13" s="8" t="n">
        <f aca="false">COUNTIFS(Source_Deals!D:D,"Novartis",Source_Deals!E:E,"Insilico Medicine")</f>
        <v>0</v>
      </c>
      <c r="G13" s="8" t="n">
        <f aca="false">COUNTIFS(Source_Deals!D:D,"Novartis",Source_Deals!E:E,"OpenAI")</f>
        <v>0</v>
      </c>
      <c r="H13" s="8" t="n">
        <f aca="false">COUNTIFS(Source_Deals!D:D,"Novartis",Source_Deals!E:E,"Atomwise")</f>
        <v>0</v>
      </c>
      <c r="I13" s="8" t="n">
        <f aca="false">COUNTIFS(Source_Deals!D:D,"Novartis",Source_Deals!E:E,"BenevolentAI")</f>
        <v>0</v>
      </c>
      <c r="J13" s="8" t="n">
        <f aca="false">COUNTIFS(Source_Deals!D:D,"Novartis",Source_Deals!E:E,"Isomorphic Labs")</f>
        <v>1</v>
      </c>
      <c r="K13" s="8" t="n">
        <f aca="false">COUNTIFS(Source_Deals!D:D,"Novartis",Source_Deals!E:E,"XtalPi")</f>
        <v>0</v>
      </c>
      <c r="L13" s="8" t="n">
        <f aca="false">COUNTIFS(Source_Deals!D:D,"Novartis",Source_Deals!E:E,"Verge Genomics")</f>
        <v>0</v>
      </c>
      <c r="M13" s="8" t="n">
        <f aca="false">COUNTIFS(Source_Deals!D:D,"Novartis",Source_Deals!E:E,"Insitro")</f>
        <v>0</v>
      </c>
      <c r="N13" s="8" t="n">
        <f aca="false">COUNTIFS(Source_Deals!D:D,"Novartis",Source_Deals!E:E,"Generate Biomedicines")</f>
        <v>0</v>
      </c>
      <c r="O13" s="8" t="n">
        <f aca="false">COUNTIFS(Source_Deals!D:D,"Novartis",Source_Deals!E:E,"Tempus AI")</f>
        <v>0</v>
      </c>
      <c r="P13" s="27" t="n">
        <f aca="false">COUNTIF(Source_Deals!D:D,"Novartis")</f>
        <v>3</v>
      </c>
    </row>
    <row r="14" customFormat="false" ht="15" hidden="false" customHeight="true" outlineLevel="0" collapsed="false">
      <c r="A14" s="26" t="s">
        <v>65</v>
      </c>
      <c r="B14" s="8" t="n">
        <f aca="false">COUNTIFS(Source_Deals!D:D,"Roche/Genentech",Source_Deals!E:E,"Recursion")</f>
        <v>2</v>
      </c>
      <c r="C14" s="8" t="n">
        <f aca="false">COUNTIFS(Source_Deals!D:D,"Roche/Genentech",Source_Deals!E:E,"Exscientia")</f>
        <v>0</v>
      </c>
      <c r="D14" s="8" t="n">
        <f aca="false">COUNTIFS(Source_Deals!D:D,"Roche/Genentech",Source_Deals!E:E,"AbCellera")</f>
        <v>0</v>
      </c>
      <c r="E14" s="8" t="n">
        <f aca="false">COUNTIFS(Source_Deals!D:D,"Roche/Genentech",Source_Deals!E:E,"Schrödinger")</f>
        <v>0</v>
      </c>
      <c r="F14" s="8" t="n">
        <f aca="false">COUNTIFS(Source_Deals!D:D,"Roche/Genentech",Source_Deals!E:E,"Insilico Medicine")</f>
        <v>0</v>
      </c>
      <c r="G14" s="8" t="n">
        <f aca="false">COUNTIFS(Source_Deals!D:D,"Roche/Genentech",Source_Deals!E:E,"OpenAI")</f>
        <v>0</v>
      </c>
      <c r="H14" s="8" t="n">
        <f aca="false">COUNTIFS(Source_Deals!D:D,"Roche/Genentech",Source_Deals!E:E,"Atomwise")</f>
        <v>0</v>
      </c>
      <c r="I14" s="8" t="n">
        <f aca="false">COUNTIFS(Source_Deals!D:D,"Roche/Genentech",Source_Deals!E:E,"BenevolentAI")</f>
        <v>0</v>
      </c>
      <c r="J14" s="8" t="n">
        <f aca="false">COUNTIFS(Source_Deals!D:D,"Roche/Genentech",Source_Deals!E:E,"Isomorphic Labs")</f>
        <v>0</v>
      </c>
      <c r="K14" s="8" t="n">
        <f aca="false">COUNTIFS(Source_Deals!D:D,"Roche/Genentech",Source_Deals!E:E,"XtalPi")</f>
        <v>0</v>
      </c>
      <c r="L14" s="8" t="n">
        <f aca="false">COUNTIFS(Source_Deals!D:D,"Roche/Genentech",Source_Deals!E:E,"Verge Genomics")</f>
        <v>0</v>
      </c>
      <c r="M14" s="8" t="n">
        <f aca="false">COUNTIFS(Source_Deals!D:D,"Roche/Genentech",Source_Deals!E:E,"Insitro")</f>
        <v>0</v>
      </c>
      <c r="N14" s="8" t="n">
        <f aca="false">COUNTIFS(Source_Deals!D:D,"Roche/Genentech",Source_Deals!E:E,"Generate Biomedicines")</f>
        <v>0</v>
      </c>
      <c r="O14" s="8" t="n">
        <f aca="false">COUNTIFS(Source_Deals!D:D,"Roche/Genentech",Source_Deals!E:E,"Tempus AI")</f>
        <v>0</v>
      </c>
      <c r="P14" s="27" t="n">
        <f aca="false">COUNTIF(Source_Deals!D:D,"Roche/Genentech")</f>
        <v>2</v>
      </c>
    </row>
    <row r="15" customFormat="false" ht="15" hidden="false" customHeight="true" outlineLevel="0" collapsed="false">
      <c r="A15" s="26" t="s">
        <v>190</v>
      </c>
      <c r="B15" s="8" t="n">
        <f aca="false">COUNTIFS(Source_Deals!D:D,"GSK",Source_Deals!E:E,"Recursion")</f>
        <v>0</v>
      </c>
      <c r="C15" s="8" t="n">
        <f aca="false">COUNTIFS(Source_Deals!D:D,"GSK",Source_Deals!E:E,"Exscientia")</f>
        <v>0</v>
      </c>
      <c r="D15" s="8" t="n">
        <f aca="false">COUNTIFS(Source_Deals!D:D,"GSK",Source_Deals!E:E,"AbCellera")</f>
        <v>0</v>
      </c>
      <c r="E15" s="8" t="n">
        <f aca="false">COUNTIFS(Source_Deals!D:D,"GSK",Source_Deals!E:E,"Schrödinger")</f>
        <v>0</v>
      </c>
      <c r="F15" s="8" t="n">
        <f aca="false">COUNTIFS(Source_Deals!D:D,"GSK",Source_Deals!E:E,"Insilico Medicine")</f>
        <v>0</v>
      </c>
      <c r="G15" s="8" t="n">
        <f aca="false">COUNTIFS(Source_Deals!D:D,"GSK",Source_Deals!E:E,"OpenAI")</f>
        <v>0</v>
      </c>
      <c r="H15" s="8" t="n">
        <f aca="false">COUNTIFS(Source_Deals!D:D,"GSK",Source_Deals!E:E,"Atomwise")</f>
        <v>0</v>
      </c>
      <c r="I15" s="8" t="n">
        <f aca="false">COUNTIFS(Source_Deals!D:D,"GSK",Source_Deals!E:E,"BenevolentAI")</f>
        <v>0</v>
      </c>
      <c r="J15" s="8" t="n">
        <f aca="false">COUNTIFS(Source_Deals!D:D,"GSK",Source_Deals!E:E,"Isomorphic Labs")</f>
        <v>0</v>
      </c>
      <c r="K15" s="8" t="n">
        <f aca="false">COUNTIFS(Source_Deals!D:D,"GSK",Source_Deals!E:E,"XtalPi")</f>
        <v>0</v>
      </c>
      <c r="L15" s="8" t="n">
        <f aca="false">COUNTIFS(Source_Deals!D:D,"GSK",Source_Deals!E:E,"Verge Genomics")</f>
        <v>0</v>
      </c>
      <c r="M15" s="8" t="n">
        <f aca="false">COUNTIFS(Source_Deals!D:D,"GSK",Source_Deals!E:E,"Insitro")</f>
        <v>0</v>
      </c>
      <c r="N15" s="8" t="n">
        <f aca="false">COUNTIFS(Source_Deals!D:D,"GSK",Source_Deals!E:E,"Generate Biomedicines")</f>
        <v>0</v>
      </c>
      <c r="O15" s="8" t="n">
        <f aca="false">COUNTIFS(Source_Deals!D:D,"GSK",Source_Deals!E:E,"Tempus AI")</f>
        <v>1</v>
      </c>
      <c r="P15" s="27" t="n">
        <f aca="false">COUNTIF(Source_Deals!D:D,"GSK")</f>
        <v>2</v>
      </c>
    </row>
    <row r="16" customFormat="false" ht="15" hidden="false" customHeight="true" outlineLevel="0" collapsed="false">
      <c r="A16" s="26" t="s">
        <v>229</v>
      </c>
      <c r="B16" s="8" t="n">
        <f aca="false">COUNTIFS(Source_Deals!D:D,"Moderna",Source_Deals!E:E,"Recursion")</f>
        <v>0</v>
      </c>
      <c r="C16" s="8" t="n">
        <f aca="false">COUNTIFS(Source_Deals!D:D,"Moderna",Source_Deals!E:E,"Exscientia")</f>
        <v>0</v>
      </c>
      <c r="D16" s="8" t="n">
        <f aca="false">COUNTIFS(Source_Deals!D:D,"Moderna",Source_Deals!E:E,"AbCellera")</f>
        <v>0</v>
      </c>
      <c r="E16" s="8" t="n">
        <f aca="false">COUNTIFS(Source_Deals!D:D,"Moderna",Source_Deals!E:E,"Schrödinger")</f>
        <v>0</v>
      </c>
      <c r="F16" s="8" t="n">
        <f aca="false">COUNTIFS(Source_Deals!D:D,"Moderna",Source_Deals!E:E,"Insilico Medicine")</f>
        <v>0</v>
      </c>
      <c r="G16" s="8" t="n">
        <f aca="false">COUNTIFS(Source_Deals!D:D,"Moderna",Source_Deals!E:E,"OpenAI")</f>
        <v>1</v>
      </c>
      <c r="H16" s="8" t="n">
        <f aca="false">COUNTIFS(Source_Deals!D:D,"Moderna",Source_Deals!E:E,"Atomwise")</f>
        <v>0</v>
      </c>
      <c r="I16" s="8" t="n">
        <f aca="false">COUNTIFS(Source_Deals!D:D,"Moderna",Source_Deals!E:E,"BenevolentAI")</f>
        <v>0</v>
      </c>
      <c r="J16" s="8" t="n">
        <f aca="false">COUNTIFS(Source_Deals!D:D,"Moderna",Source_Deals!E:E,"Isomorphic Labs")</f>
        <v>0</v>
      </c>
      <c r="K16" s="8" t="n">
        <f aca="false">COUNTIFS(Source_Deals!D:D,"Moderna",Source_Deals!E:E,"XtalPi")</f>
        <v>0</v>
      </c>
      <c r="L16" s="8" t="n">
        <f aca="false">COUNTIFS(Source_Deals!D:D,"Moderna",Source_Deals!E:E,"Verge Genomics")</f>
        <v>0</v>
      </c>
      <c r="M16" s="8" t="n">
        <f aca="false">COUNTIFS(Source_Deals!D:D,"Moderna",Source_Deals!E:E,"Insitro")</f>
        <v>0</v>
      </c>
      <c r="N16" s="8" t="n">
        <f aca="false">COUNTIFS(Source_Deals!D:D,"Moderna",Source_Deals!E:E,"Generate Biomedicines")</f>
        <v>0</v>
      </c>
      <c r="O16" s="8" t="n">
        <f aca="false">COUNTIFS(Source_Deals!D:D,"Moderna",Source_Deals!E:E,"Tempus AI")</f>
        <v>0</v>
      </c>
      <c r="P16" s="27" t="n">
        <f aca="false">COUNTIF(Source_Deals!D:D,"Moderna")</f>
        <v>2</v>
      </c>
    </row>
    <row r="17" customFormat="false" ht="15" hidden="false" customHeight="true" outlineLevel="0" collapsed="false">
      <c r="A17" s="26" t="s">
        <v>237</v>
      </c>
      <c r="B17" s="8" t="n">
        <f aca="false">COUNTIFS(Source_Deals!D:D,"Gilead",Source_Deals!E:E,"Recursion")</f>
        <v>0</v>
      </c>
      <c r="C17" s="8" t="n">
        <f aca="false">COUNTIFS(Source_Deals!D:D,"Gilead",Source_Deals!E:E,"Exscientia")</f>
        <v>0</v>
      </c>
      <c r="D17" s="8" t="n">
        <f aca="false">COUNTIFS(Source_Deals!D:D,"Gilead",Source_Deals!E:E,"AbCellera")</f>
        <v>0</v>
      </c>
      <c r="E17" s="8" t="n">
        <f aca="false">COUNTIFS(Source_Deals!D:D,"Gilead",Source_Deals!E:E,"Schrödinger")</f>
        <v>0</v>
      </c>
      <c r="F17" s="8" t="n">
        <f aca="false">COUNTIFS(Source_Deals!D:D,"Gilead",Source_Deals!E:E,"Insilico Medicine")</f>
        <v>0</v>
      </c>
      <c r="G17" s="8" t="n">
        <f aca="false">COUNTIFS(Source_Deals!D:D,"Gilead",Source_Deals!E:E,"OpenAI")</f>
        <v>0</v>
      </c>
      <c r="H17" s="8" t="n">
        <f aca="false">COUNTIFS(Source_Deals!D:D,"Gilead",Source_Deals!E:E,"Atomwise")</f>
        <v>0</v>
      </c>
      <c r="I17" s="8" t="n">
        <f aca="false">COUNTIFS(Source_Deals!D:D,"Gilead",Source_Deals!E:E,"BenevolentAI")</f>
        <v>0</v>
      </c>
      <c r="J17" s="8" t="n">
        <f aca="false">COUNTIFS(Source_Deals!D:D,"Gilead",Source_Deals!E:E,"Isomorphic Labs")</f>
        <v>0</v>
      </c>
      <c r="K17" s="8" t="n">
        <f aca="false">COUNTIFS(Source_Deals!D:D,"Gilead",Source_Deals!E:E,"XtalPi")</f>
        <v>0</v>
      </c>
      <c r="L17" s="8" t="n">
        <f aca="false">COUNTIFS(Source_Deals!D:D,"Gilead",Source_Deals!E:E,"Verge Genomics")</f>
        <v>0</v>
      </c>
      <c r="M17" s="8" t="n">
        <f aca="false">COUNTIFS(Source_Deals!D:D,"Gilead",Source_Deals!E:E,"Insitro")</f>
        <v>0</v>
      </c>
      <c r="N17" s="8" t="n">
        <f aca="false">COUNTIFS(Source_Deals!D:D,"Gilead",Source_Deals!E:E,"Generate Biomedicines")</f>
        <v>0</v>
      </c>
      <c r="O17" s="8" t="n">
        <f aca="false">COUNTIFS(Source_Deals!D:D,"Gilead",Source_Deals!E:E,"Tempus AI")</f>
        <v>0</v>
      </c>
      <c r="P17" s="27" t="n">
        <f aca="false">COUNTIF(Source_Deals!D:D,"Gilead")</f>
        <v>2</v>
      </c>
    </row>
    <row r="18" customFormat="false" ht="15" hidden="false" customHeight="true" outlineLevel="0" collapsed="false">
      <c r="A18" s="26" t="s">
        <v>59</v>
      </c>
      <c r="B18" s="8" t="n">
        <f aca="false">COUNTIFS(Source_Deals!D:D,"Amgen",Source_Deals!E:E,"Recursion")</f>
        <v>0</v>
      </c>
      <c r="C18" s="8" t="n">
        <f aca="false">COUNTIFS(Source_Deals!D:D,"Amgen",Source_Deals!E:E,"Exscientia")</f>
        <v>0</v>
      </c>
      <c r="D18" s="8" t="n">
        <f aca="false">COUNTIFS(Source_Deals!D:D,"Amgen",Source_Deals!E:E,"AbCellera")</f>
        <v>0</v>
      </c>
      <c r="E18" s="8" t="n">
        <f aca="false">COUNTIFS(Source_Deals!D:D,"Amgen",Source_Deals!E:E,"Schrödinger")</f>
        <v>0</v>
      </c>
      <c r="F18" s="8" t="n">
        <f aca="false">COUNTIFS(Source_Deals!D:D,"Amgen",Source_Deals!E:E,"Insilico Medicine")</f>
        <v>0</v>
      </c>
      <c r="G18" s="8" t="n">
        <f aca="false">COUNTIFS(Source_Deals!D:D,"Amgen",Source_Deals!E:E,"OpenAI")</f>
        <v>0</v>
      </c>
      <c r="H18" s="8" t="n">
        <f aca="false">COUNTIFS(Source_Deals!D:D,"Amgen",Source_Deals!E:E,"Atomwise")</f>
        <v>0</v>
      </c>
      <c r="I18" s="8" t="n">
        <f aca="false">COUNTIFS(Source_Deals!D:D,"Amgen",Source_Deals!E:E,"BenevolentAI")</f>
        <v>0</v>
      </c>
      <c r="J18" s="8" t="n">
        <f aca="false">COUNTIFS(Source_Deals!D:D,"Amgen",Source_Deals!E:E,"Isomorphic Labs")</f>
        <v>0</v>
      </c>
      <c r="K18" s="8" t="n">
        <f aca="false">COUNTIFS(Source_Deals!D:D,"Amgen",Source_Deals!E:E,"XtalPi")</f>
        <v>0</v>
      </c>
      <c r="L18" s="8" t="n">
        <f aca="false">COUNTIFS(Source_Deals!D:D,"Amgen",Source_Deals!E:E,"Verge Genomics")</f>
        <v>0</v>
      </c>
      <c r="M18" s="8" t="n">
        <f aca="false">COUNTIFS(Source_Deals!D:D,"Amgen",Source_Deals!E:E,"Insitro")</f>
        <v>0</v>
      </c>
      <c r="N18" s="8" t="n">
        <f aca="false">COUNTIFS(Source_Deals!D:D,"Amgen",Source_Deals!E:E,"Generate Biomedicines")</f>
        <v>1</v>
      </c>
      <c r="O18" s="8" t="n">
        <f aca="false">COUNTIFS(Source_Deals!D:D,"Amgen",Source_Deals!E:E,"Tempus AI")</f>
        <v>0</v>
      </c>
      <c r="P18" s="27" t="n">
        <f aca="false">COUNTIF(Source_Deals!D:D,"Amgen")</f>
        <v>1</v>
      </c>
    </row>
    <row r="20" customFormat="false" ht="15" hidden="false" customHeight="true" outlineLevel="0" collapsed="false">
      <c r="A20" s="28" t="s">
        <v>693</v>
      </c>
      <c r="B20" s="27" t="n">
        <f aca="false">COUNTIF(Source_Deals!E:E,"Recursion")</f>
        <v>7</v>
      </c>
      <c r="C20" s="27" t="n">
        <f aca="false">COUNTIF(Source_Deals!E:E,"Exscientia")</f>
        <v>6</v>
      </c>
      <c r="D20" s="27" t="n">
        <f aca="false">COUNTIF(Source_Deals!E:E,"AbCellera")</f>
        <v>5</v>
      </c>
      <c r="E20" s="27" t="n">
        <f aca="false">COUNTIF(Source_Deals!E:E,"Schrödinger")</f>
        <v>5</v>
      </c>
      <c r="F20" s="27" t="n">
        <f aca="false">COUNTIF(Source_Deals!E:E,"Insilico Medicine")</f>
        <v>4</v>
      </c>
      <c r="G20" s="27" t="n">
        <f aca="false">COUNTIF(Source_Deals!E:E,"OpenAI")</f>
        <v>3</v>
      </c>
      <c r="H20" s="27" t="n">
        <f aca="false">COUNTIF(Source_Deals!E:E,"Atomwise")</f>
        <v>3</v>
      </c>
      <c r="I20" s="27" t="n">
        <f aca="false">COUNTIF(Source_Deals!E:E,"BenevolentAI")</f>
        <v>3</v>
      </c>
      <c r="J20" s="27" t="n">
        <f aca="false">COUNTIF(Source_Deals!E:E,"Isomorphic Labs")</f>
        <v>2</v>
      </c>
      <c r="K20" s="27" t="n">
        <f aca="false">COUNTIF(Source_Deals!E:E,"XtalPi")</f>
        <v>2</v>
      </c>
      <c r="L20" s="27" t="n">
        <f aca="false">COUNTIF(Source_Deals!E:E,"Verge Genomics")</f>
        <v>2</v>
      </c>
      <c r="M20" s="27" t="n">
        <f aca="false">COUNTIF(Source_Deals!E:E,"Insitro")</f>
        <v>2</v>
      </c>
      <c r="N20" s="27" t="n">
        <f aca="false">COUNTIF(Source_Deals!E:E,"Generate Biomedicines")</f>
        <v>1</v>
      </c>
      <c r="O20" s="27" t="n">
        <f aca="false">COUNTIF(Source_Deals!E:E,"Tempus AI")</f>
        <v>1</v>
      </c>
    </row>
    <row r="22" customFormat="false" ht="15" hidden="false" customHeight="true" outlineLevel="0" collapsed="false">
      <c r="A22" s="29" t="s">
        <v>694</v>
      </c>
    </row>
    <row r="23" customFormat="false" ht="15" hidden="false" customHeight="true" outlineLevel="0" collapsed="false">
      <c r="A23" s="30" t="s">
        <v>695</v>
      </c>
    </row>
    <row r="25" customFormat="false" ht="25.5" hidden="false" customHeight="true" outlineLevel="0" collapsed="false">
      <c r="A25" s="21" t="s">
        <v>696</v>
      </c>
    </row>
    <row r="26" customFormat="false" ht="33.75" hidden="false" customHeight="true" outlineLevel="0" collapsed="false">
      <c r="A26" s="21" t="s">
        <v>697</v>
      </c>
    </row>
    <row r="27" customFormat="false" ht="15" hidden="false" customHeight="true" outlineLevel="0" collapsed="false">
      <c r="A27" s="22" t="s">
        <v>698</v>
      </c>
    </row>
  </sheetData>
  <hyperlinks>
    <hyperlink ref="A27" r:id="rId1" display="Source: 01_Matrix_Master.xlsx Deals tab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6" min="2" style="1" width="22"/>
    <col collapsed="false" customWidth="true" hidden="false" outlineLevel="0" max="7" min="7" style="1" width="38"/>
  </cols>
  <sheetData>
    <row r="1" customFormat="false" ht="19.5" hidden="false" customHeight="true" outlineLevel="0" collapsed="false">
      <c r="A1" s="2" t="s">
        <v>699</v>
      </c>
    </row>
    <row r="2" customFormat="false" ht="15" hidden="false" customHeight="true" outlineLevel="0" collapsed="false">
      <c r="A2" s="3" t="s">
        <v>700</v>
      </c>
    </row>
    <row r="4" customFormat="false" ht="30" hidden="false" customHeight="true" outlineLevel="0" collapsed="false">
      <c r="A4" s="4" t="s">
        <v>701</v>
      </c>
      <c r="B4" s="4" t="s">
        <v>702</v>
      </c>
      <c r="C4" s="4" t="s">
        <v>703</v>
      </c>
      <c r="D4" s="4" t="s">
        <v>704</v>
      </c>
      <c r="E4" s="4" t="s">
        <v>705</v>
      </c>
      <c r="F4" s="4" t="s">
        <v>706</v>
      </c>
      <c r="G4" s="4" t="s">
        <v>707</v>
      </c>
    </row>
    <row r="5" customFormat="false" ht="15" hidden="false" customHeight="true" outlineLevel="0" collapsed="false">
      <c r="A5" s="7" t="s">
        <v>708</v>
      </c>
      <c r="B5" s="19" t="n">
        <f aca="false">SUMIFS(Source_Deals!G:G,Source_Deals!D:D,"Eli Lilly")</f>
        <v>1070</v>
      </c>
      <c r="C5" s="8" t="n">
        <f aca="false">COUNTIF(Source_Deals!D:D,"Eli Lilly")</f>
        <v>12</v>
      </c>
      <c r="D5" s="8" t="n">
        <v>1</v>
      </c>
      <c r="E5" s="8" t="n">
        <v>4</v>
      </c>
      <c r="F5" s="19" t="n">
        <v>0</v>
      </c>
      <c r="G5" s="7" t="s">
        <v>709</v>
      </c>
    </row>
    <row r="6" customFormat="false" ht="15" hidden="false" customHeight="true" outlineLevel="0" collapsed="false">
      <c r="A6" s="5" t="s">
        <v>710</v>
      </c>
      <c r="B6" s="20" t="n">
        <f aca="false">SUMIFS(Source_Deals!G:G,Source_Deals!D:D,"Pfizer")</f>
        <v>33</v>
      </c>
      <c r="C6" s="6" t="n">
        <f aca="false">COUNTIF(Source_Deals!D:D,"Pfizer")</f>
        <v>6</v>
      </c>
      <c r="D6" s="6" t="n">
        <v>1</v>
      </c>
      <c r="E6" s="6" t="n">
        <v>1</v>
      </c>
      <c r="F6" s="20" t="n">
        <v>1200</v>
      </c>
      <c r="G6" s="5" t="s">
        <v>711</v>
      </c>
    </row>
    <row r="7" customFormat="false" ht="15" hidden="false" customHeight="true" outlineLevel="0" collapsed="false">
      <c r="A7" s="7" t="s">
        <v>712</v>
      </c>
      <c r="B7" s="19" t="n">
        <f aca="false">SUMIFS(Source_Deals!G:G,Source_Deals!D:D,"Merck &amp; Co (MRK)")</f>
        <v>0</v>
      </c>
      <c r="C7" s="8" t="n">
        <f aca="false">COUNTIF(Source_Deals!D:D,"Merck &amp; Co (MRK)")</f>
        <v>4</v>
      </c>
      <c r="D7" s="8" t="n">
        <v>1</v>
      </c>
      <c r="E7" s="8" t="n">
        <v>2</v>
      </c>
      <c r="F7" s="19" t="n">
        <v>0</v>
      </c>
      <c r="G7" s="7" t="s">
        <v>713</v>
      </c>
    </row>
    <row r="8" customFormat="false" ht="15" hidden="false" customHeight="true" outlineLevel="0" collapsed="false">
      <c r="A8" s="5" t="s">
        <v>714</v>
      </c>
      <c r="B8" s="20" t="n">
        <f aca="false">SUMIFS(Source_Deals!G:G,Source_Deals!D:D,"Bristol Myers Squibb")</f>
        <v>155</v>
      </c>
      <c r="C8" s="6" t="n">
        <f aca="false">COUNTIF(Source_Deals!D:D,"Bristol Myers Squibb")</f>
        <v>4</v>
      </c>
      <c r="D8" s="6" t="n">
        <v>0</v>
      </c>
      <c r="E8" s="6" t="n">
        <v>2</v>
      </c>
      <c r="F8" s="20" t="n">
        <v>0</v>
      </c>
      <c r="G8" s="5" t="s">
        <v>715</v>
      </c>
    </row>
    <row r="9" customFormat="false" ht="15" hidden="false" customHeight="true" outlineLevel="0" collapsed="false">
      <c r="A9" s="7" t="s">
        <v>716</v>
      </c>
      <c r="B9" s="19" t="n">
        <f aca="false">SUMIFS(Source_Deals!G:G,Source_Deals!D:D,"Amgen")</f>
        <v>50</v>
      </c>
      <c r="C9" s="8" t="n">
        <f aca="false">COUNTIF(Source_Deals!D:D,"Amgen")</f>
        <v>1</v>
      </c>
      <c r="D9" s="8" t="n">
        <v>0</v>
      </c>
      <c r="E9" s="8" t="n">
        <v>1</v>
      </c>
      <c r="F9" s="19" t="n">
        <v>0</v>
      </c>
      <c r="G9" s="7" t="s">
        <v>709</v>
      </c>
    </row>
    <row r="10" customFormat="false" ht="15" hidden="false" customHeight="true" outlineLevel="0" collapsed="false">
      <c r="A10" s="5" t="s">
        <v>717</v>
      </c>
      <c r="B10" s="20" t="n">
        <f aca="false">SUMIFS(Source_Deals!G:G,Source_Deals!D:D,"AbbVie")</f>
        <v>152</v>
      </c>
      <c r="C10" s="6" t="n">
        <f aca="false">COUNTIF(Source_Deals!D:D,"AbbVie")</f>
        <v>4</v>
      </c>
      <c r="D10" s="6" t="n">
        <v>0</v>
      </c>
      <c r="E10" s="6" t="n">
        <v>0</v>
      </c>
      <c r="F10" s="20" t="n">
        <v>0</v>
      </c>
      <c r="G10" s="5" t="s">
        <v>715</v>
      </c>
    </row>
    <row r="11" customFormat="false" ht="15" hidden="false" customHeight="true" outlineLevel="0" collapsed="false">
      <c r="A11" s="7" t="s">
        <v>718</v>
      </c>
      <c r="B11" s="19" t="n">
        <f aca="false">SUMIFS(Source_Deals!G:G,Source_Deals!D:D,"Moderna")</f>
        <v>0</v>
      </c>
      <c r="C11" s="8" t="n">
        <f aca="false">COUNTIF(Source_Deals!D:D,"Moderna")</f>
        <v>2</v>
      </c>
      <c r="D11" s="8" t="n">
        <v>0</v>
      </c>
      <c r="E11" s="8" t="n">
        <v>0</v>
      </c>
      <c r="F11" s="19" t="n">
        <v>0</v>
      </c>
      <c r="G11" s="7" t="s">
        <v>719</v>
      </c>
    </row>
    <row r="12" customFormat="false" ht="15" hidden="false" customHeight="true" outlineLevel="0" collapsed="false">
      <c r="A12" s="5" t="s">
        <v>720</v>
      </c>
      <c r="B12" s="20" t="n">
        <f aca="false">SUMIFS(Source_Deals!G:G,Source_Deals!D:D,"Gilead")</f>
        <v>35</v>
      </c>
      <c r="C12" s="6" t="n">
        <f aca="false">COUNTIF(Source_Deals!D:D,"Gilead")</f>
        <v>2</v>
      </c>
      <c r="D12" s="6" t="n">
        <v>0</v>
      </c>
      <c r="E12" s="6" t="n">
        <v>0</v>
      </c>
      <c r="F12" s="20" t="n">
        <v>0</v>
      </c>
      <c r="G12" s="5" t="s">
        <v>721</v>
      </c>
    </row>
    <row r="18" customFormat="false" ht="66.75" hidden="false" customHeight="true" outlineLevel="0" collapsed="false">
      <c r="A18" s="21" t="s">
        <v>722</v>
      </c>
    </row>
    <row r="19" customFormat="false" ht="66.75" hidden="false" customHeight="true" outlineLevel="0" collapsed="false">
      <c r="A19" s="21" t="s">
        <v>723</v>
      </c>
    </row>
    <row r="20" customFormat="false" ht="116.25" hidden="false" customHeight="true" outlineLevel="0" collapsed="false">
      <c r="A20" s="21" t="s">
        <v>724</v>
      </c>
    </row>
    <row r="21" customFormat="false" ht="15" hidden="false" customHeight="true" outlineLevel="0" collapsed="false">
      <c r="A21" s="22" t="s">
        <v>725</v>
      </c>
    </row>
    <row r="22" customFormat="false" ht="15" hidden="false" customHeight="true" outlineLevel="0" collapsed="false">
      <c r="A22" s="22" t="s">
        <v>726</v>
      </c>
    </row>
    <row r="23" customFormat="false" ht="15" hidden="false" customHeight="true" outlineLevel="0" collapsed="false">
      <c r="A23" s="22" t="s">
        <v>727</v>
      </c>
    </row>
  </sheetData>
  <hyperlinks>
    <hyperlink ref="A21" r:id="rId1" display="Source: 01_Matrix_Master.xlsx Matrix + Deals tabs"/>
    <hyperlink ref="A22" r:id="rId2" display="PFE Q4 2024 earnings call transcript (SG-001 anchor)"/>
    <hyperlink ref="A23" r:id="rId3" display="Insilico Rentosertib Nature Medicine 2025 (Lilly deal context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22"/>
  </cols>
  <sheetData>
    <row r="1" customFormat="false" ht="19.5" hidden="false" customHeight="true" outlineLevel="0" collapsed="false">
      <c r="A1" s="2" t="s">
        <v>728</v>
      </c>
    </row>
    <row r="2" customFormat="false" ht="15" hidden="false" customHeight="true" outlineLevel="0" collapsed="false">
      <c r="A2" s="3" t="s">
        <v>729</v>
      </c>
    </row>
    <row r="4" customFormat="false" ht="30" hidden="false" customHeight="true" outlineLevel="0" collapsed="false">
      <c r="A4" s="4" t="s">
        <v>635</v>
      </c>
      <c r="B4" s="4" t="s">
        <v>730</v>
      </c>
      <c r="C4" s="4" t="s">
        <v>731</v>
      </c>
      <c r="D4" s="4" t="s">
        <v>732</v>
      </c>
      <c r="E4" s="4" t="s">
        <v>733</v>
      </c>
    </row>
    <row r="5" customFormat="false" ht="15" hidden="false" customHeight="true" outlineLevel="0" collapsed="false">
      <c r="A5" s="7" t="s">
        <v>639</v>
      </c>
      <c r="B5" s="19" t="n">
        <f aca="false">SUMIFS(Source_Deals!G:G,Source_Deals!C:C,2018)</f>
        <v>0</v>
      </c>
      <c r="C5" s="8" t="n">
        <f aca="false">COUNTIF(Source_Deals!C:C,2018)</f>
        <v>1</v>
      </c>
      <c r="D5" s="8" t="n">
        <f aca="false">SUMIFS(Source_Deals!J:J,Source_Deals!C:C,2018)</f>
        <v>0</v>
      </c>
      <c r="E5" s="31" t="n">
        <f aca="false">IFERROR(D5/C5,0)</f>
        <v>0</v>
      </c>
    </row>
    <row r="6" customFormat="false" ht="15" hidden="false" customHeight="true" outlineLevel="0" collapsed="false">
      <c r="A6" s="5" t="s">
        <v>640</v>
      </c>
      <c r="B6" s="20" t="n">
        <f aca="false">SUMIFS(Source_Deals!G:G,Source_Deals!C:C,2019)</f>
        <v>0</v>
      </c>
      <c r="C6" s="6" t="n">
        <f aca="false">COUNTIF(Source_Deals!C:C,2019)</f>
        <v>4</v>
      </c>
      <c r="D6" s="6" t="n">
        <f aca="false">SUMIFS(Source_Deals!J:J,Source_Deals!C:C,2019)</f>
        <v>0</v>
      </c>
      <c r="E6" s="32" t="n">
        <f aca="false">IFERROR(D6/C6,0)</f>
        <v>0</v>
      </c>
    </row>
    <row r="7" customFormat="false" ht="15" hidden="false" customHeight="true" outlineLevel="0" collapsed="false">
      <c r="A7" s="7" t="s">
        <v>641</v>
      </c>
      <c r="B7" s="19" t="n">
        <f aca="false">SUMIFS(Source_Deals!G:G,Source_Deals!C:C,2020)</f>
        <v>135</v>
      </c>
      <c r="C7" s="8" t="n">
        <f aca="false">COUNTIF(Source_Deals!C:C,2020)</f>
        <v>8</v>
      </c>
      <c r="D7" s="8" t="n">
        <f aca="false">SUMIFS(Source_Deals!J:J,Source_Deals!C:C,2020)</f>
        <v>1</v>
      </c>
      <c r="E7" s="31" t="n">
        <f aca="false">IFERROR(D7/C7,0)</f>
        <v>0.125</v>
      </c>
    </row>
    <row r="8" customFormat="false" ht="15" hidden="false" customHeight="true" outlineLevel="0" collapsed="false">
      <c r="A8" s="5" t="s">
        <v>642</v>
      </c>
      <c r="B8" s="20" t="n">
        <f aca="false">SUMIFS(Source_Deals!G:G,Source_Deals!C:C,2021)</f>
        <v>805</v>
      </c>
      <c r="C8" s="6" t="n">
        <f aca="false">COUNTIF(Source_Deals!C:C,2021)</f>
        <v>6</v>
      </c>
      <c r="D8" s="6" t="n">
        <f aca="false">SUMIFS(Source_Deals!J:J,Source_Deals!C:C,2021)</f>
        <v>3</v>
      </c>
      <c r="E8" s="32" t="n">
        <f aca="false">IFERROR(D8/C8,0)</f>
        <v>0.5</v>
      </c>
    </row>
    <row r="9" customFormat="false" ht="15" hidden="false" customHeight="true" outlineLevel="0" collapsed="false">
      <c r="A9" s="7" t="s">
        <v>643</v>
      </c>
      <c r="B9" s="19" t="n">
        <f aca="false">SUMIFS(Source_Deals!G:G,Source_Deals!C:C,2022)</f>
        <v>4194.5</v>
      </c>
      <c r="C9" s="8" t="n">
        <f aca="false">COUNTIF(Source_Deals!C:C,2022)</f>
        <v>13</v>
      </c>
      <c r="D9" s="8" t="n">
        <f aca="false">SUMIFS(Source_Deals!J:J,Source_Deals!C:C,2022)</f>
        <v>2</v>
      </c>
      <c r="E9" s="31" t="n">
        <f aca="false">IFERROR(D9/C9,0)</f>
        <v>0.153846153846154</v>
      </c>
    </row>
    <row r="10" customFormat="false" ht="15" hidden="false" customHeight="true" outlineLevel="0" collapsed="false">
      <c r="A10" s="5" t="s">
        <v>644</v>
      </c>
      <c r="B10" s="20" t="n">
        <f aca="false">SUMIFS(Source_Deals!G:G,Source_Deals!C:C,2023)</f>
        <v>297</v>
      </c>
      <c r="C10" s="6" t="n">
        <f aca="false">COUNTIF(Source_Deals!C:C,2023)</f>
        <v>17</v>
      </c>
      <c r="D10" s="6" t="n">
        <f aca="false">SUMIFS(Source_Deals!J:J,Source_Deals!C:C,2023)</f>
        <v>1</v>
      </c>
      <c r="E10" s="32" t="n">
        <f aca="false">IFERROR(D10/C10,0)</f>
        <v>0.0588235294117647</v>
      </c>
    </row>
    <row r="11" customFormat="false" ht="15" hidden="false" customHeight="true" outlineLevel="0" collapsed="false">
      <c r="A11" s="7" t="s">
        <v>645</v>
      </c>
      <c r="B11" s="19" t="n">
        <f aca="false">SUMIFS(Source_Deals!G:G,Source_Deals!C:C,2024)</f>
        <v>955.5</v>
      </c>
      <c r="C11" s="8" t="n">
        <f aca="false">COUNTIF(Source_Deals!C:C,2024)</f>
        <v>11</v>
      </c>
      <c r="D11" s="8" t="n">
        <f aca="false">SUMIFS(Source_Deals!J:J,Source_Deals!C:C,2024)</f>
        <v>0</v>
      </c>
      <c r="E11" s="31" t="n">
        <f aca="false">IFERROR(D11/C11,0)</f>
        <v>0</v>
      </c>
    </row>
    <row r="12" customFormat="false" ht="15" hidden="false" customHeight="true" outlineLevel="0" collapsed="false">
      <c r="A12" s="5" t="s">
        <v>646</v>
      </c>
      <c r="B12" s="20" t="n">
        <f aca="false">SUMIFS(Source_Deals!G:G,Source_Deals!C:C,2025)</f>
        <v>600</v>
      </c>
      <c r="C12" s="6" t="n">
        <f aca="false">COUNTIF(Source_Deals!C:C,2025)</f>
        <v>9</v>
      </c>
      <c r="D12" s="6" t="n">
        <f aca="false">SUMIFS(Source_Deals!J:J,Source_Deals!C:C,2025)</f>
        <v>1</v>
      </c>
      <c r="E12" s="32" t="n">
        <f aca="false">IFERROR(D12/C12,0)</f>
        <v>0.111111111111111</v>
      </c>
    </row>
    <row r="13" customFormat="false" ht="15" hidden="false" customHeight="true" outlineLevel="0" collapsed="false">
      <c r="A13" s="7" t="s">
        <v>647</v>
      </c>
      <c r="B13" s="19" t="n">
        <f aca="false">SUMIFS(Source_Deals!G:G,Source_Deals!C:C,2026)</f>
        <v>1000</v>
      </c>
      <c r="C13" s="8" t="n">
        <f aca="false">COUNTIF(Source_Deals!C:C,2026)</f>
        <v>2</v>
      </c>
      <c r="D13" s="8" t="n">
        <f aca="false">SUMIFS(Source_Deals!J:J,Source_Deals!C:C,2026)</f>
        <v>0</v>
      </c>
      <c r="E13" s="31" t="n">
        <f aca="false">IFERROR(D13/C13,0)</f>
        <v>0</v>
      </c>
    </row>
    <row r="30" customFormat="false" ht="50.25" hidden="false" customHeight="true" outlineLevel="0" collapsed="false">
      <c r="A30" s="21" t="s">
        <v>734</v>
      </c>
    </row>
    <row r="31" customFormat="false" ht="83.25" hidden="false" customHeight="true" outlineLevel="0" collapsed="false">
      <c r="A31" s="21" t="s">
        <v>735</v>
      </c>
    </row>
    <row r="32" customFormat="false" ht="15" hidden="false" customHeight="true" outlineLevel="0" collapsed="false">
      <c r="A32" s="22" t="s">
        <v>736</v>
      </c>
    </row>
  </sheetData>
  <hyperlinks>
    <hyperlink ref="A32" r:id="rId1" display="Source: 01_Matrix_Master.xlsx Deals tab — 70 verified deal row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2026-05-12T04:13:33Z</dcterms:created>
  <dc:creator>openpyxl</dc:creator>
  <dc:description/>
  <dc:language>en-US</dc:language>
  <cp:lastModifiedBy/>
  <dcterms:modified xsi:type="dcterms:W3CDTF">2026-05-12T04:14:59Z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