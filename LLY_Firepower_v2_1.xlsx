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er" sheetId="1" state="visible" r:id="rId3"/>
    <sheet name="EBITDA Bridge" sheetId="2" state="visible" r:id="rId4"/>
    <sheet name="Inputs" sheetId="3" state="visible" r:id="rId5"/>
    <sheet name="Firepower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<sst xmlns="http://schemas.openxmlformats.org/spreadsheetml/2006/main" count="173" uniqueCount="154">
  <si>
    <t xml:space="preserve">Why Higher Credit Ratings — Quick Reference</t>
  </si>
  <si>
    <t xml:space="preserve">1. Lower cost of debt</t>
  </si>
  <si>
    <t xml:space="preserve">Each notch typically saves 5–25 bps on issuance. AA- vs A+ is roughly 10–20 bps. On LLY's $42.5B debt stack, 10 bps = ~$42M/year on a fully refinanced book.</t>
  </si>
  <si>
    <t xml:space="preserve">2. Broader investor base</t>
  </si>
  <si>
    <t xml:space="preserve">Insurance general accounts, pensions, and tiered IG mandates favor AA paper. Bigger order books, tighter pricing on jumbo deals.</t>
  </si>
  <si>
    <t xml:space="preserve">3. CP &amp; short-term funding access</t>
  </si>
  <si>
    <t xml:space="preserve">AA-tier issuers get better CP tiering and remain accessible during stress. LLY had $0 CP at YE25 (vs $4.3B YE24), but optionality has value.</t>
  </si>
  <si>
    <t xml:space="preserve">4. Counterparty / operational</t>
  </si>
  <si>
    <t xml:space="preserve">Lower ISDA collateral on FX hedges (LLY has EUR/GBP/JPY/CHF debt), better trade finance, lower D&amp;O insurance.</t>
  </si>
  <si>
    <t xml:space="preserve">5. M&amp;A firepower</t>
  </si>
  <si>
    <t xml:space="preserve">AA rating allows absorbing a 1–2 notch downgrade post-deal while staying solidly IG — critical for biopharma's episodic mega-deals.</t>
  </si>
  <si>
    <t xml:space="preserve">6. Signaling</t>
  </si>
  <si>
    <t xml:space="preserve">Third-party validation of capital allocation discipline. For LLY, AA- signals S&amp;P views the incretin franchise as durable enough for AA-category underwriting.</t>
  </si>
  <si>
    <t xml:space="preserve">Why most pharma stops at A/A-</t>
  </si>
  <si>
    <t xml:space="preserve">Going above AA- requires very low leverage (&lt;1.0x), leaving capital underdeployed. Interest savings AA- → AA are only 5–10 bps vs. large opportunity cost. Most peers (PFE, MRK, ABBV, BMY, AMGN, GILD) target A/A-. LLY's AA- is unusual and reflects incretin EBITDA outpacing debt.</t>
  </si>
  <si>
    <t xml:space="preserve">Deriving 2026E EBITDA from LLY Guidance — Two Methods</t>
  </si>
  <si>
    <t xml:space="preserve">Source: Q1 2026 earnings release (4/30/2026), Q4 2025 8-K guidance schedule</t>
  </si>
  <si>
    <t xml:space="preserve">LLY 2026 Full-Year Guidance (raised Q1 2026)</t>
  </si>
  <si>
    <t xml:space="preserve">Metric</t>
  </si>
  <si>
    <t xml:space="preserve">Low</t>
  </si>
  <si>
    <t xml:space="preserve">High</t>
  </si>
  <si>
    <t xml:space="preserve">Midpoint</t>
  </si>
  <si>
    <t xml:space="preserve">Source / Note</t>
  </si>
  <si>
    <t xml:space="preserve">Revenue ($M)</t>
  </si>
  <si>
    <t xml:space="preserve">Q1'26 raised from $80–83B prior</t>
  </si>
  <si>
    <t xml:space="preserve">Non-GAAP Performance Margin</t>
  </si>
  <si>
    <t xml:space="preserve">Excludes amortization of intangibles per LLY definition</t>
  </si>
  <si>
    <t xml:space="preserve">Non-GAAP EPS</t>
  </si>
  <si>
    <t xml:space="preserve">Q1'26 raised from $33.50–35.00 prior</t>
  </si>
  <si>
    <t xml:space="preserve">Diluted shares (M)</t>
  </si>
  <si>
    <t xml:space="preserve">Per Q4'25 guidance schedule</t>
  </si>
  <si>
    <t xml:space="preserve">Effective tax rate (non-GAAP)</t>
  </si>
  <si>
    <t xml:space="preserve">LLY-disclosed range; held flat in Q1'26 update</t>
  </si>
  <si>
    <t xml:space="preserve">D&amp;A Assumption</t>
  </si>
  <si>
    <t xml:space="preserve">Total D&amp;A FY2026E ($M)</t>
  </si>
  <si>
    <t xml:space="preserve">H1'25 D&amp;A was $941M, Q1'25 was $463M annualizing to ~$1.85B; ramping with capex build</t>
  </si>
  <si>
    <t xml:space="preserve">Amortization of intangibles ($M)</t>
  </si>
  <si>
    <t xml:space="preserve">Per LLY non-GAAP recon: ~$124–136M/quarter pre-tax = ~$540M annual</t>
  </si>
  <si>
    <t xml:space="preserve">Depreciation only ($M)</t>
  </si>
  <si>
    <t xml:space="preserve">Implied: total D&amp;A less intangibles amort</t>
  </si>
  <si>
    <t xml:space="preserve">Method 1: Top-Down — Revenue × Performance Margin → EBIT(non-GAAP) → EBITDA</t>
  </si>
  <si>
    <t xml:space="preserve">Build</t>
  </si>
  <si>
    <t xml:space="preserve">Logic</t>
  </si>
  <si>
    <t xml:space="preserve">Revenue</t>
  </si>
  <si>
    <t xml:space="preserve">From guidance row 6</t>
  </si>
  <si>
    <t xml:space="preserve">× Performance margin</t>
  </si>
  <si>
    <t xml:space="preserve">From guidance row 7</t>
  </si>
  <si>
    <t xml:space="preserve"> = Non-GAAP operating income (EBIT, ex-amort)</t>
  </si>
  <si>
    <t xml:space="preserve">Approximation of non-GAAP EBIT</t>
  </si>
  <si>
    <t xml:space="preserve">+ Depreciation</t>
  </si>
  <si>
    <t xml:space="preserve">Already excluded from perf margin? NO — perf margin includes COGS/opex which include depreciation. Add back below.</t>
  </si>
  <si>
    <t xml:space="preserve"> = EBITDA (non-GAAP, ex-intangibles-amort)</t>
  </si>
  <si>
    <t xml:space="preserve">This is the cleanest 'cash EBITDA' figure</t>
  </si>
  <si>
    <t xml:space="preserve">+ Amortization of intangibles</t>
  </si>
  <si>
    <t xml:space="preserve">Add back to get GAAP EBITDA equivalent</t>
  </si>
  <si>
    <t xml:space="preserve"> = EBITDA (GAAP-equivalent)</t>
  </si>
  <si>
    <t xml:space="preserve">EBITDA most commonly cited by rating agencies</t>
  </si>
  <si>
    <t xml:space="preserve">Method 2: Bottom-Up — Non-GAAP EPS → Net Income → EBIT → EBITDA</t>
  </si>
  <si>
    <t xml:space="preserve">Interest expense ($M)</t>
  </si>
  <si>
    <t xml:space="preserve">Estimate ~2.1% blended rate × $42.5B debt</t>
  </si>
  <si>
    <t xml:space="preserve">Non-GAAP EPS ($)</t>
  </si>
  <si>
    <t xml:space="preserve">From guidance</t>
  </si>
  <si>
    <t xml:space="preserve">× Diluted shares (M)</t>
  </si>
  <si>
    <t xml:space="preserve"> = Non-GAAP net income</t>
  </si>
  <si>
    <t xml:space="preserve">÷ (1 − tax rate)</t>
  </si>
  <si>
    <t xml:space="preserve"> = Non-GAAP pre-tax income</t>
  </si>
  <si>
    <t xml:space="preserve">+ Interest expense</t>
  </si>
  <si>
    <t xml:space="preserve">Add back to derive EBIT</t>
  </si>
  <si>
    <t xml:space="preserve"> = EBIT (non-GAAP)</t>
  </si>
  <si>
    <t xml:space="preserve">+ D&amp;A (total)</t>
  </si>
  <si>
    <t xml:space="preserve">Includes intangibles amort to match GAAP EBITDA</t>
  </si>
  <si>
    <t xml:space="preserve">Cross-check against Method 1 row 25</t>
  </si>
  <si>
    <t xml:space="preserve">Triangulation — Final EBITDA for Firepower Analysis</t>
  </si>
  <si>
    <t xml:space="preserve">Method 1 — Top-down EBITDA (midpoint)</t>
  </si>
  <si>
    <t xml:space="preserve">Method 2 — Bottom-up EBITDA (midpoint)</t>
  </si>
  <si>
    <t xml:space="preserve">Variance</t>
  </si>
  <si>
    <t xml:space="preserve">EBITDA used for firepower (low case)</t>
  </si>
  <si>
    <t xml:space="preserve">EBITDA used for firepower (mid case)</t>
  </si>
  <si>
    <t xml:space="preserve">EBITDA used for firepower (high case)</t>
  </si>
  <si>
    <t xml:space="preserve">Balance Sheet &amp; S&amp;P Rating Thresholds</t>
  </si>
  <si>
    <t xml:space="preserve">Current Balance Sheet (12/31/2025)</t>
  </si>
  <si>
    <t xml:space="preserve">Total debt</t>
  </si>
  <si>
    <t xml:space="preserve">10-K FY2025</t>
  </si>
  <si>
    <t xml:space="preserve">    Long-term debt</t>
  </si>
  <si>
    <t xml:space="preserve">    Current portion of LT debt</t>
  </si>
  <si>
    <t xml:space="preserve">    Short-term commercial paper</t>
  </si>
  <si>
    <t xml:space="preserve">10-K FY2025 (was $4,338M YE24)</t>
  </si>
  <si>
    <t xml:space="preserve">Cash &amp; equivalents</t>
  </si>
  <si>
    <t xml:space="preserve">10-K FY2025 — verify with latest 10-Q</t>
  </si>
  <si>
    <t xml:space="preserve">Short-term investments</t>
  </si>
  <si>
    <t xml:space="preserve">Cash + ST investments</t>
  </si>
  <si>
    <t xml:space="preserve">Net debt</t>
  </si>
  <si>
    <t xml:space="preserve">S&amp;P Pharma Industry — Indicative Leverage Thresholds</t>
  </si>
  <si>
    <t xml:space="preserve">Rating</t>
  </si>
  <si>
    <t xml:space="preserve">Max Total Debt/EBITDA</t>
  </si>
  <si>
    <t xml:space="preserve">Indicative Range</t>
  </si>
  <si>
    <t xml:space="preserve">Notes</t>
  </si>
  <si>
    <t xml:space="preserve">AA / AA+</t>
  </si>
  <si>
    <t xml:space="preserve">&lt; 1.0x</t>
  </si>
  <si>
    <t xml:space="preserve">Conservative; rare for large pharma</t>
  </si>
  <si>
    <t xml:space="preserve">AA-</t>
  </si>
  <si>
    <t xml:space="preserve">1.0x – 1.5x</t>
  </si>
  <si>
    <t xml:space="preserve">LLY's NEW rating (S&amp;P upgrade)</t>
  </si>
  <si>
    <t xml:space="preserve">A+</t>
  </si>
  <si>
    <t xml:space="preserve">1.5x – 2.0x</t>
  </si>
  <si>
    <t xml:space="preserve">LLY's PRIOR rating</t>
  </si>
  <si>
    <t xml:space="preserve">A</t>
  </si>
  <si>
    <t xml:space="preserve">2.0x – 2.5x</t>
  </si>
  <si>
    <t xml:space="preserve">Most large-cap pharma median</t>
  </si>
  <si>
    <t xml:space="preserve">A-</t>
  </si>
  <si>
    <t xml:space="preserve">2.5x – 3.0x</t>
  </si>
  <si>
    <t xml:space="preserve">Post-mega-deal (BMY, AMGN post-Horizon)</t>
  </si>
  <si>
    <t xml:space="preserve">BBB+</t>
  </si>
  <si>
    <t xml:space="preserve">3.0x – 3.5x</t>
  </si>
  <si>
    <t xml:space="preserve">Stretched IG</t>
  </si>
  <si>
    <t xml:space="preserve">Note: Rating agencies look at total debt/EBITDA AND FFO/Debt jointly, plus business risk profile.</t>
  </si>
  <si>
    <t xml:space="preserve">Incremental Debt Firepower — How Much Can LLY Borrow Before Rating Drops?</t>
  </si>
  <si>
    <t xml:space="preserve">Firepower = (Target Leverage × EBITDA) − Current Debt. This is the INCREMENTAL debt LLY can add before crossing the rating threshold.</t>
  </si>
  <si>
    <t xml:space="preserve">Rating Scenario</t>
  </si>
  <si>
    <t xml:space="preserve">Target Debt/EBITDA</t>
  </si>
  <si>
    <t xml:space="preserve">EBITDA case (Low)</t>
  </si>
  <si>
    <t xml:space="preserve">EBITDA case (Mid)</t>
  </si>
  <si>
    <t xml:space="preserve">EBITDA case (High)</t>
  </si>
  <si>
    <t xml:space="preserve">Firepower (Low)</t>
  </si>
  <si>
    <t xml:space="preserve">Firepower (Mid)</t>
  </si>
  <si>
    <t xml:space="preserve">Firepower (High)</t>
  </si>
  <si>
    <t xml:space="preserve">EBITDA used ($M)</t>
  </si>
  <si>
    <t xml:space="preserve">(from EBITDA Bridge sheet)</t>
  </si>
  <si>
    <t xml:space="preserve">Maximize rating to AA / AA+</t>
  </si>
  <si>
    <t xml:space="preserve">Maintain new AA- rating</t>
  </si>
  <si>
    <t xml:space="preserve">Accept downgrade to A+ (prior)</t>
  </si>
  <si>
    <t xml:space="preserve">Accept downgrade to A</t>
  </si>
  <si>
    <t xml:space="preserve">Accept downgrade to A-</t>
  </si>
  <si>
    <t xml:space="preserve">Accept downgrade to BBB+</t>
  </si>
  <si>
    <t xml:space="preserve">HEADLINE: Firepower at AA- (mid case)</t>
  </si>
  <si>
    <t xml:space="preserve">Trade-up to AA / AA+ (mid case) — pay down required</t>
  </si>
  <si>
    <t xml:space="preserve">Drop to A+ (prior rating) (mid case) — extra firepower</t>
  </si>
  <si>
    <t xml:space="preserve">Mega-deal capacity (drop to A-) (mid case)</t>
  </si>
  <si>
    <t xml:space="preserve">Caveats</t>
  </si>
  <si>
    <t xml:space="preserve">• Firepower assumes 100% debt-funded transaction at target leverage — equity component would expand capacity</t>
  </si>
  <si>
    <t xml:space="preserve">• Does NOT include target's EBITDA contribution: in real M&amp;A, target adds to denominator (raising firepower further)</t>
  </si>
  <si>
    <t xml:space="preserve">• Does NOT include synergies: realized cost synergies further increase pro-forma EBITDA</t>
  </si>
  <si>
    <t xml:space="preserve">• S&amp;P expects deleveraging trajectory within 18–24 months post-close — firms can temporarily exceed thresholds with credible plan</t>
  </si>
  <si>
    <t xml:space="preserve">• Cash on balance sheet (~$3.4B) is supplementary firepower beyond debt capacity; we exclude it here to stay strict on credit metric definition</t>
  </si>
  <si>
    <t xml:space="preserve">• Real S&amp;P decision combines Total Debt/EBITDA AND FFO/Debt — this model focuses on the leverage metric only</t>
  </si>
  <si>
    <t xml:space="preserve">Firepower Sensitivity — EBITDA × Target Leverage</t>
  </si>
  <si>
    <t xml:space="preserve">Each cell = (Leverage × EBITDA) − Current Debt. Negative = LLY already above that threshold.</t>
  </si>
  <si>
    <t xml:space="preserve">EBITDA ($M) ↓ / Leverage →</t>
  </si>
  <si>
    <t xml:space="preserve">BBB</t>
  </si>
  <si>
    <t xml:space="preserve">Reading</t>
  </si>
  <si>
    <t xml:space="preserve">• Green column (1.5x) = AA- ceiling — incremental debt LLY can add at the new rating</t>
  </si>
  <si>
    <t xml:space="preserve">• Blue column (2.0x) = A+ ceiling (prior rating) — capacity given up to earn the upgrade</t>
  </si>
  <si>
    <t xml:space="preserve">• 2026E EBITDA (~$33–37B from guidance) gives meaningful headroom even at AA-</t>
  </si>
  <si>
    <t xml:space="preserve">• Each $1B of EBITDA growth at 1.5x = $1.5B of incremental firepower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</si>
</sst>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\$#,##0.00"/>
    <numFmt numFmtId="168" formatCode="#,##0"/>
    <numFmt numFmtId="169" formatCode="0.000"/>
    <numFmt numFmtId="170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25.5" hidden="false" customHeight="true" outlineLevel="0" collapsed="false">
      <c r="A1" s="2" t="s">
        <v>0</v>
      </c>
      <c r="B1" s="2"/>
    </row>
    <row r="3" customFormat="false" ht="60" hidden="false" customHeight="true" outlineLevel="0" collapsed="false">
      <c r="A3" s="3" t="s">
        <v>1</v>
      </c>
      <c r="B3" s="4" t="s">
        <v>2</v>
      </c>
    </row>
    <row r="4" customFormat="false" ht="60" hidden="false" customHeight="true" outlineLevel="0" collapsed="false">
      <c r="A4" s="3" t="s">
        <v>3</v>
      </c>
      <c r="B4" s="4" t="s">
        <v>4</v>
      </c>
    </row>
    <row r="5" customFormat="false" ht="60" hidden="false" customHeight="true" outlineLevel="0" collapsed="false">
      <c r="A5" s="3" t="s">
        <v>5</v>
      </c>
      <c r="B5" s="4" t="s">
        <v>6</v>
      </c>
    </row>
    <row r="6" customFormat="false" ht="60" hidden="false" customHeight="true" outlineLevel="0" collapsed="false">
      <c r="A6" s="3" t="s">
        <v>7</v>
      </c>
      <c r="B6" s="4" t="s">
        <v>8</v>
      </c>
    </row>
    <row r="7" customFormat="false" ht="60" hidden="false" customHeight="true" outlineLevel="0" collapsed="false">
      <c r="A7" s="3" t="s">
        <v>9</v>
      </c>
      <c r="B7" s="4" t="s">
        <v>10</v>
      </c>
    </row>
    <row r="8" customFormat="false" ht="60" hidden="false" customHeight="true" outlineLevel="0" collapsed="false">
      <c r="A8" s="3" t="s">
        <v>11</v>
      </c>
      <c r="B8" s="4" t="s">
        <v>12</v>
      </c>
    </row>
    <row r="9" customFormat="false" ht="60" hidden="false" customHeight="true" outlineLevel="0" collapsed="false">
      <c r="A9" s="3" t="s">
        <v>13</v>
      </c>
      <c r="B9" s="4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4"/>
    <col collapsed="false" customWidth="true" hidden="false" outlineLevel="0" max="5" min="5" style="1" width="60"/>
  </cols>
  <sheetData>
    <row r="1" customFormat="false" ht="25.5" hidden="false" customHeight="true" outlineLevel="0" collapsed="false">
      <c r="A1" s="2" t="s">
        <v>15</v>
      </c>
      <c r="B1" s="2"/>
      <c r="C1" s="2"/>
      <c r="D1" s="2"/>
      <c r="E1" s="2"/>
    </row>
    <row r="2" customFormat="false" ht="15" hidden="false" customHeight="true" outlineLevel="0" collapsed="false">
      <c r="A2" s="5" t="s">
        <v>16</v>
      </c>
      <c r="B2" s="5"/>
      <c r="C2" s="5"/>
      <c r="D2" s="5"/>
      <c r="E2" s="5"/>
    </row>
    <row r="4" customFormat="false" ht="15" hidden="false" customHeight="true" outlineLevel="0" collapsed="false">
      <c r="A4" s="6" t="s">
        <v>17</v>
      </c>
      <c r="B4" s="6"/>
      <c r="C4" s="6"/>
      <c r="D4" s="6"/>
      <c r="E4" s="6"/>
    </row>
    <row r="5" customFormat="false" ht="15" hidden="false" customHeight="true" outlineLevel="0" collapsed="false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</row>
    <row r="6" customFormat="false" ht="15" hidden="false" customHeight="true" outlineLevel="0" collapsed="false">
      <c r="A6" s="8" t="s">
        <v>23</v>
      </c>
      <c r="B6" s="9" t="n">
        <v>82000</v>
      </c>
      <c r="C6" s="9" t="n">
        <v>85000</v>
      </c>
      <c r="D6" s="10" t="n">
        <f aca="false">AVERAGE(B6:C6)</f>
        <v>83500</v>
      </c>
      <c r="E6" s="11" t="s">
        <v>24</v>
      </c>
    </row>
    <row r="7" customFormat="false" ht="15" hidden="false" customHeight="true" outlineLevel="0" collapsed="false">
      <c r="A7" s="8" t="s">
        <v>25</v>
      </c>
      <c r="B7" s="12" t="n">
        <v>0.47</v>
      </c>
      <c r="C7" s="12" t="n">
        <v>0.485</v>
      </c>
      <c r="D7" s="13" t="n">
        <f aca="false">AVERAGE(B7:C7)</f>
        <v>0.4775</v>
      </c>
      <c r="E7" s="11" t="s">
        <v>26</v>
      </c>
    </row>
    <row r="8" customFormat="false" ht="15" hidden="false" customHeight="true" outlineLevel="0" collapsed="false">
      <c r="A8" s="8" t="s">
        <v>27</v>
      </c>
      <c r="B8" s="14" t="n">
        <v>35.5</v>
      </c>
      <c r="C8" s="14" t="n">
        <v>37</v>
      </c>
      <c r="D8" s="15" t="n">
        <f aca="false">AVERAGE(B8:C8)</f>
        <v>36.25</v>
      </c>
      <c r="E8" s="11" t="s">
        <v>28</v>
      </c>
    </row>
    <row r="9" customFormat="false" ht="15" hidden="false" customHeight="true" outlineLevel="0" collapsed="false">
      <c r="A9" s="8" t="s">
        <v>29</v>
      </c>
      <c r="B9" s="16" t="n">
        <v>894</v>
      </c>
      <c r="C9" s="16" t="n">
        <v>894</v>
      </c>
      <c r="D9" s="17" t="n">
        <f aca="false">AVERAGE(B9:C9)</f>
        <v>894</v>
      </c>
      <c r="E9" s="11" t="s">
        <v>30</v>
      </c>
    </row>
    <row r="10" customFormat="false" ht="15" hidden="false" customHeight="true" outlineLevel="0" collapsed="false">
      <c r="A10" s="8" t="s">
        <v>31</v>
      </c>
      <c r="B10" s="12" t="n">
        <v>0.15</v>
      </c>
      <c r="C10" s="12" t="n">
        <v>0.16</v>
      </c>
      <c r="D10" s="13" t="n">
        <f aca="false">AVERAGE(B10:C10)</f>
        <v>0.155</v>
      </c>
      <c r="E10" s="11" t="s">
        <v>32</v>
      </c>
    </row>
    <row r="12" customFormat="false" ht="15" hidden="false" customHeight="true" outlineLevel="0" collapsed="false">
      <c r="A12" s="6" t="s">
        <v>33</v>
      </c>
      <c r="B12" s="6"/>
      <c r="C12" s="6"/>
      <c r="D12" s="6"/>
      <c r="E12" s="6"/>
    </row>
    <row r="13" customFormat="false" ht="15" hidden="false" customHeight="true" outlineLevel="0" collapsed="false">
      <c r="A13" s="8" t="s">
        <v>34</v>
      </c>
      <c r="B13" s="18" t="n">
        <v>2200</v>
      </c>
      <c r="C13" s="19" t="s">
        <v>35</v>
      </c>
      <c r="D13" s="19"/>
      <c r="E13" s="19"/>
    </row>
    <row r="14" customFormat="false" ht="15" hidden="false" customHeight="true" outlineLevel="0" collapsed="false">
      <c r="A14" s="8" t="s">
        <v>36</v>
      </c>
      <c r="B14" s="18" t="n">
        <v>540</v>
      </c>
      <c r="C14" s="19" t="s">
        <v>37</v>
      </c>
      <c r="D14" s="19"/>
      <c r="E14" s="19"/>
    </row>
    <row r="15" customFormat="false" ht="15" hidden="false" customHeight="true" outlineLevel="0" collapsed="false">
      <c r="A15" s="8" t="s">
        <v>38</v>
      </c>
      <c r="B15" s="20" t="n">
        <f aca="false">B13-B14</f>
        <v>1660</v>
      </c>
      <c r="C15" s="19" t="s">
        <v>39</v>
      </c>
      <c r="D15" s="19"/>
      <c r="E15" s="19"/>
    </row>
    <row r="17" customFormat="false" ht="15" hidden="false" customHeight="true" outlineLevel="0" collapsed="false">
      <c r="A17" s="6" t="s">
        <v>40</v>
      </c>
      <c r="B17" s="6"/>
      <c r="C17" s="6"/>
      <c r="D17" s="6"/>
      <c r="E17" s="6"/>
    </row>
    <row r="18" customFormat="false" ht="15" hidden="false" customHeight="true" outlineLevel="0" collapsed="false">
      <c r="A18" s="7" t="s">
        <v>41</v>
      </c>
      <c r="B18" s="7" t="s">
        <v>19</v>
      </c>
      <c r="C18" s="7" t="s">
        <v>20</v>
      </c>
      <c r="D18" s="7" t="s">
        <v>21</v>
      </c>
      <c r="E18" s="7" t="s">
        <v>42</v>
      </c>
    </row>
    <row r="19" customFormat="false" ht="15" hidden="false" customHeight="true" outlineLevel="0" collapsed="false">
      <c r="A19" s="8" t="s">
        <v>43</v>
      </c>
      <c r="B19" s="21" t="n">
        <f aca="false">B6</f>
        <v>82000</v>
      </c>
      <c r="C19" s="21" t="n">
        <f aca="false">C6</f>
        <v>85000</v>
      </c>
      <c r="D19" s="21" t="n">
        <f aca="false">D6</f>
        <v>83500</v>
      </c>
      <c r="E19" s="11" t="s">
        <v>44</v>
      </c>
    </row>
    <row r="20" customFormat="false" ht="15" hidden="false" customHeight="true" outlineLevel="0" collapsed="false">
      <c r="A20" s="8" t="s">
        <v>45</v>
      </c>
      <c r="B20" s="22" t="n">
        <f aca="false">B7</f>
        <v>0.47</v>
      </c>
      <c r="C20" s="22" t="n">
        <f aca="false">C7</f>
        <v>0.485</v>
      </c>
      <c r="D20" s="22" t="n">
        <f aca="false">D7</f>
        <v>0.4775</v>
      </c>
      <c r="E20" s="11" t="s">
        <v>46</v>
      </c>
    </row>
    <row r="21" customFormat="false" ht="15" hidden="false" customHeight="true" outlineLevel="0" collapsed="false">
      <c r="A21" s="23" t="s">
        <v>47</v>
      </c>
      <c r="B21" s="21" t="n">
        <f aca="false">B19*B20</f>
        <v>38540</v>
      </c>
      <c r="C21" s="21" t="n">
        <f aca="false">C19*C20</f>
        <v>41225</v>
      </c>
      <c r="D21" s="21" t="n">
        <f aca="false">D19*D20</f>
        <v>39871.25</v>
      </c>
      <c r="E21" s="11" t="s">
        <v>48</v>
      </c>
    </row>
    <row r="22" customFormat="false" ht="15" hidden="false" customHeight="true" outlineLevel="0" collapsed="false">
      <c r="A22" s="8" t="s">
        <v>49</v>
      </c>
      <c r="B22" s="21" t="n">
        <f aca="false">$B$15</f>
        <v>1660</v>
      </c>
      <c r="C22" s="21" t="n">
        <f aca="false">$B$15</f>
        <v>1660</v>
      </c>
      <c r="D22" s="21" t="n">
        <f aca="false">$B$15</f>
        <v>1660</v>
      </c>
      <c r="E22" s="11" t="s">
        <v>50</v>
      </c>
    </row>
    <row r="23" customFormat="false" ht="15" hidden="false" customHeight="true" outlineLevel="0" collapsed="false">
      <c r="A23" s="23" t="s">
        <v>51</v>
      </c>
      <c r="B23" s="24" t="n">
        <f aca="false">B21+B22</f>
        <v>40200</v>
      </c>
      <c r="C23" s="24" t="n">
        <f aca="false">C21+C22</f>
        <v>42885</v>
      </c>
      <c r="D23" s="24" t="n">
        <f aca="false">D21+D22</f>
        <v>41531.25</v>
      </c>
      <c r="E23" s="11" t="s">
        <v>52</v>
      </c>
    </row>
    <row r="24" customFormat="false" ht="15" hidden="false" customHeight="true" outlineLevel="0" collapsed="false">
      <c r="A24" s="8" t="s">
        <v>53</v>
      </c>
      <c r="B24" s="21" t="n">
        <f aca="false">$B$14</f>
        <v>540</v>
      </c>
      <c r="C24" s="21" t="n">
        <f aca="false">$B$14</f>
        <v>540</v>
      </c>
      <c r="D24" s="21" t="n">
        <f aca="false">$B$14</f>
        <v>540</v>
      </c>
      <c r="E24" s="11" t="s">
        <v>54</v>
      </c>
    </row>
    <row r="25" customFormat="false" ht="15" hidden="false" customHeight="true" outlineLevel="0" collapsed="false">
      <c r="A25" s="23" t="s">
        <v>55</v>
      </c>
      <c r="B25" s="24" t="n">
        <f aca="false">B23+B24</f>
        <v>40740</v>
      </c>
      <c r="C25" s="24" t="n">
        <f aca="false">C23+C24</f>
        <v>43425</v>
      </c>
      <c r="D25" s="24" t="n">
        <f aca="false">D23+D24</f>
        <v>42071.25</v>
      </c>
      <c r="E25" s="11" t="s">
        <v>56</v>
      </c>
    </row>
    <row r="27" customFormat="false" ht="15" hidden="false" customHeight="true" outlineLevel="0" collapsed="false">
      <c r="A27" s="6" t="s">
        <v>57</v>
      </c>
      <c r="B27" s="6"/>
      <c r="C27" s="6"/>
      <c r="D27" s="6"/>
      <c r="E27" s="6"/>
    </row>
    <row r="28" customFormat="false" ht="15" hidden="false" customHeight="true" outlineLevel="0" collapsed="false">
      <c r="A28" s="7" t="s">
        <v>41</v>
      </c>
      <c r="B28" s="7" t="s">
        <v>19</v>
      </c>
      <c r="C28" s="7" t="s">
        <v>20</v>
      </c>
      <c r="D28" s="7" t="s">
        <v>21</v>
      </c>
      <c r="E28" s="7" t="s">
        <v>42</v>
      </c>
    </row>
    <row r="29" customFormat="false" ht="15" hidden="false" customHeight="true" outlineLevel="0" collapsed="false">
      <c r="A29" s="8" t="s">
        <v>58</v>
      </c>
      <c r="B29" s="18" t="n">
        <v>900</v>
      </c>
      <c r="C29" s="19" t="s">
        <v>59</v>
      </c>
      <c r="D29" s="19"/>
      <c r="E29" s="19"/>
    </row>
    <row r="30" customFormat="false" ht="15" hidden="false" customHeight="true" outlineLevel="0" collapsed="false">
      <c r="A30" s="8" t="s">
        <v>60</v>
      </c>
      <c r="B30" s="25" t="n">
        <f aca="false">B8</f>
        <v>35.5</v>
      </c>
      <c r="C30" s="25" t="n">
        <f aca="false">C8</f>
        <v>37</v>
      </c>
      <c r="D30" s="25" t="n">
        <f aca="false">D8</f>
        <v>36.25</v>
      </c>
      <c r="E30" s="11" t="s">
        <v>61</v>
      </c>
    </row>
    <row r="31" customFormat="false" ht="15" hidden="false" customHeight="true" outlineLevel="0" collapsed="false">
      <c r="A31" s="8" t="s">
        <v>62</v>
      </c>
      <c r="B31" s="26" t="n">
        <f aca="false">B9</f>
        <v>894</v>
      </c>
      <c r="C31" s="26" t="n">
        <f aca="false">C9</f>
        <v>894</v>
      </c>
      <c r="D31" s="26" t="n">
        <f aca="false">D9</f>
        <v>894</v>
      </c>
      <c r="E31" s="11" t="s">
        <v>61</v>
      </c>
    </row>
    <row r="32" customFormat="false" ht="15" hidden="false" customHeight="true" outlineLevel="0" collapsed="false">
      <c r="A32" s="23" t="s">
        <v>63</v>
      </c>
      <c r="B32" s="21" t="n">
        <f aca="false">B30*B31</f>
        <v>31737</v>
      </c>
      <c r="C32" s="21" t="n">
        <f aca="false">C30*C31</f>
        <v>33078</v>
      </c>
      <c r="D32" s="21" t="n">
        <f aca="false">D30*D31</f>
        <v>32407.5</v>
      </c>
      <c r="E32" s="11"/>
    </row>
    <row r="33" customFormat="false" ht="15" hidden="false" customHeight="true" outlineLevel="0" collapsed="false">
      <c r="A33" s="8" t="s">
        <v>64</v>
      </c>
      <c r="B33" s="27" t="n">
        <f aca="false">1-B10</f>
        <v>0.85</v>
      </c>
      <c r="C33" s="27" t="n">
        <f aca="false">1-C10</f>
        <v>0.84</v>
      </c>
      <c r="D33" s="27" t="n">
        <f aca="false">1-D10</f>
        <v>0.845</v>
      </c>
      <c r="E33" s="11"/>
    </row>
    <row r="34" customFormat="false" ht="15" hidden="false" customHeight="true" outlineLevel="0" collapsed="false">
      <c r="A34" s="23" t="s">
        <v>65</v>
      </c>
      <c r="B34" s="21" t="n">
        <f aca="false">B32/B33</f>
        <v>37337.6470588235</v>
      </c>
      <c r="C34" s="21" t="n">
        <f aca="false">C32/C33</f>
        <v>39378.5714285714</v>
      </c>
      <c r="D34" s="21" t="n">
        <f aca="false">D32/D33</f>
        <v>38352.0710059172</v>
      </c>
      <c r="E34" s="11"/>
    </row>
    <row r="35" customFormat="false" ht="15" hidden="false" customHeight="true" outlineLevel="0" collapsed="false">
      <c r="A35" s="8" t="s">
        <v>66</v>
      </c>
      <c r="B35" s="21" t="n">
        <f aca="false">$B$29</f>
        <v>900</v>
      </c>
      <c r="C35" s="21" t="n">
        <f aca="false">$B$29</f>
        <v>900</v>
      </c>
      <c r="D35" s="21" t="n">
        <f aca="false">$B$29</f>
        <v>900</v>
      </c>
      <c r="E35" s="11" t="s">
        <v>67</v>
      </c>
    </row>
    <row r="36" customFormat="false" ht="15" hidden="false" customHeight="true" outlineLevel="0" collapsed="false">
      <c r="A36" s="23" t="s">
        <v>68</v>
      </c>
      <c r="B36" s="21" t="n">
        <f aca="false">B34+B35</f>
        <v>38237.6470588235</v>
      </c>
      <c r="C36" s="21" t="n">
        <f aca="false">C34+C35</f>
        <v>40278.5714285714</v>
      </c>
      <c r="D36" s="21" t="n">
        <f aca="false">D34+D35</f>
        <v>39252.0710059172</v>
      </c>
      <c r="E36" s="11"/>
    </row>
    <row r="37" customFormat="false" ht="15" hidden="false" customHeight="true" outlineLevel="0" collapsed="false">
      <c r="A37" s="8" t="s">
        <v>69</v>
      </c>
      <c r="B37" s="21" t="n">
        <f aca="false">$B$13</f>
        <v>2200</v>
      </c>
      <c r="C37" s="21" t="n">
        <f aca="false">$B$13</f>
        <v>2200</v>
      </c>
      <c r="D37" s="21" t="n">
        <f aca="false">$B$13</f>
        <v>2200</v>
      </c>
      <c r="E37" s="11" t="s">
        <v>70</v>
      </c>
    </row>
    <row r="38" customFormat="false" ht="15" hidden="false" customHeight="true" outlineLevel="0" collapsed="false">
      <c r="A38" s="23" t="s">
        <v>55</v>
      </c>
      <c r="B38" s="24" t="n">
        <f aca="false">B36+B37</f>
        <v>40437.6470588235</v>
      </c>
      <c r="C38" s="24" t="n">
        <f aca="false">C36+C37</f>
        <v>42478.5714285714</v>
      </c>
      <c r="D38" s="24" t="n">
        <f aca="false">D36+D37</f>
        <v>41452.0710059172</v>
      </c>
      <c r="E38" s="11" t="s">
        <v>71</v>
      </c>
    </row>
    <row r="40" customFormat="false" ht="15" hidden="false" customHeight="true" outlineLevel="0" collapsed="false">
      <c r="A40" s="6" t="s">
        <v>72</v>
      </c>
      <c r="B40" s="6"/>
      <c r="C40" s="6"/>
      <c r="D40" s="6"/>
      <c r="E40" s="6"/>
    </row>
    <row r="41" customFormat="false" ht="15" hidden="false" customHeight="true" outlineLevel="0" collapsed="false">
      <c r="A41" s="8" t="s">
        <v>73</v>
      </c>
      <c r="B41" s="28" t="n">
        <f aca="false">D25</f>
        <v>42071.25</v>
      </c>
    </row>
    <row r="42" customFormat="false" ht="15" hidden="false" customHeight="true" outlineLevel="0" collapsed="false">
      <c r="A42" s="8" t="s">
        <v>74</v>
      </c>
      <c r="B42" s="28" t="n">
        <f aca="false">D38</f>
        <v>41452.0710059172</v>
      </c>
    </row>
    <row r="43" customFormat="false" ht="15" hidden="false" customHeight="true" outlineLevel="0" collapsed="false">
      <c r="A43" s="8" t="s">
        <v>75</v>
      </c>
      <c r="B43" s="21" t="n">
        <f aca="false">B41-B42</f>
        <v>619.178994082839</v>
      </c>
    </row>
    <row r="44" customFormat="false" ht="15" hidden="false" customHeight="true" outlineLevel="0" collapsed="false">
      <c r="A44" s="8" t="s">
        <v>76</v>
      </c>
      <c r="B44" s="24" t="n">
        <f aca="false">MIN(B25,B38)</f>
        <v>40437.6470588235</v>
      </c>
    </row>
    <row r="45" customFormat="false" ht="15" hidden="false" customHeight="true" outlineLevel="0" collapsed="false">
      <c r="A45" s="8" t="s">
        <v>77</v>
      </c>
      <c r="B45" s="24" t="n">
        <f aca="false">AVERAGE(D25,D38)</f>
        <v>41761.6605029586</v>
      </c>
    </row>
    <row r="46" customFormat="false" ht="15" hidden="false" customHeight="true" outlineLevel="0" collapsed="false">
      <c r="A46" s="8" t="s">
        <v>78</v>
      </c>
      <c r="B46" s="24" t="n">
        <f aca="false">MAX(C25,C38)</f>
        <v>43425</v>
      </c>
    </row>
  </sheetData>
  <mergeCells count="11">
    <mergeCell ref="A1:E1"/>
    <mergeCell ref="A2:E2"/>
    <mergeCell ref="A4:E4"/>
    <mergeCell ref="A12:E12"/>
    <mergeCell ref="C13:E13"/>
    <mergeCell ref="C14:E14"/>
    <mergeCell ref="C15:E15"/>
    <mergeCell ref="A17:E17"/>
    <mergeCell ref="A27:E27"/>
    <mergeCell ref="C29:E2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25.5" hidden="false" customHeight="true" outlineLevel="0" collapsed="false">
      <c r="A1" s="2" t="s">
        <v>79</v>
      </c>
      <c r="B1" s="2"/>
      <c r="C1" s="2"/>
      <c r="D1" s="2"/>
    </row>
    <row r="3" customFormat="false" ht="15" hidden="false" customHeight="true" outlineLevel="0" collapsed="false">
      <c r="A3" s="6" t="s">
        <v>80</v>
      </c>
      <c r="B3" s="6"/>
      <c r="C3" s="6"/>
      <c r="D3" s="6"/>
    </row>
    <row r="4" customFormat="false" ht="15" hidden="false" customHeight="true" outlineLevel="0" collapsed="false">
      <c r="A4" s="8" t="s">
        <v>81</v>
      </c>
      <c r="B4" s="9" t="n">
        <v>42503</v>
      </c>
      <c r="C4" s="11" t="s">
        <v>82</v>
      </c>
    </row>
    <row r="5" customFormat="false" ht="15" hidden="false" customHeight="true" outlineLevel="0" collapsed="false">
      <c r="A5" s="8" t="s">
        <v>83</v>
      </c>
      <c r="B5" s="9" t="n">
        <v>40868</v>
      </c>
      <c r="C5" s="11" t="s">
        <v>82</v>
      </c>
    </row>
    <row r="6" customFormat="false" ht="15" hidden="false" customHeight="true" outlineLevel="0" collapsed="false">
      <c r="A6" s="8" t="s">
        <v>84</v>
      </c>
      <c r="B6" s="9" t="n">
        <v>1635</v>
      </c>
      <c r="C6" s="11" t="s">
        <v>82</v>
      </c>
    </row>
    <row r="7" customFormat="false" ht="15" hidden="false" customHeight="true" outlineLevel="0" collapsed="false">
      <c r="A7" s="8" t="s">
        <v>85</v>
      </c>
      <c r="B7" s="9" t="n">
        <v>0</v>
      </c>
      <c r="C7" s="11" t="s">
        <v>86</v>
      </c>
    </row>
    <row r="8" customFormat="false" ht="15" hidden="false" customHeight="true" outlineLevel="0" collapsed="false">
      <c r="A8" s="8" t="s">
        <v>87</v>
      </c>
      <c r="B8" s="9" t="n">
        <v>3268</v>
      </c>
      <c r="C8" s="11" t="s">
        <v>88</v>
      </c>
    </row>
    <row r="9" customFormat="false" ht="15" hidden="false" customHeight="true" outlineLevel="0" collapsed="false">
      <c r="A9" s="8" t="s">
        <v>89</v>
      </c>
      <c r="B9" s="9" t="n">
        <v>155</v>
      </c>
      <c r="C9" s="11" t="s">
        <v>82</v>
      </c>
    </row>
    <row r="10" customFormat="false" ht="15" hidden="false" customHeight="true" outlineLevel="0" collapsed="false">
      <c r="A10" s="8" t="s">
        <v>90</v>
      </c>
      <c r="B10" s="10" t="n">
        <f aca="false">B8+B9</f>
        <v>3423</v>
      </c>
      <c r="C10" s="11"/>
    </row>
    <row r="11" customFormat="false" ht="15" hidden="false" customHeight="true" outlineLevel="0" collapsed="false">
      <c r="A11" s="8" t="s">
        <v>91</v>
      </c>
      <c r="B11" s="10" t="n">
        <f aca="false">B4-B10</f>
        <v>39080</v>
      </c>
      <c r="C11" s="11"/>
    </row>
    <row r="14" customFormat="false" ht="15" hidden="false" customHeight="true" outlineLevel="0" collapsed="false">
      <c r="A14" s="6" t="s">
        <v>92</v>
      </c>
      <c r="B14" s="6"/>
      <c r="C14" s="6"/>
      <c r="D14" s="6"/>
    </row>
    <row r="15" customFormat="false" ht="15" hidden="false" customHeight="true" outlineLevel="0" collapsed="false">
      <c r="A15" s="7" t="s">
        <v>93</v>
      </c>
      <c r="B15" s="7" t="s">
        <v>94</v>
      </c>
      <c r="C15" s="7" t="s">
        <v>95</v>
      </c>
      <c r="D15" s="7" t="s">
        <v>96</v>
      </c>
    </row>
    <row r="16" customFormat="false" ht="15" hidden="false" customHeight="true" outlineLevel="0" collapsed="false">
      <c r="A16" s="23" t="s">
        <v>97</v>
      </c>
      <c r="B16" s="29" t="n">
        <v>1</v>
      </c>
      <c r="C16" s="30" t="s">
        <v>98</v>
      </c>
      <c r="D16" s="11" t="s">
        <v>99</v>
      </c>
    </row>
    <row r="17" customFormat="false" ht="15" hidden="false" customHeight="true" outlineLevel="0" collapsed="false">
      <c r="A17" s="31" t="s">
        <v>100</v>
      </c>
      <c r="B17" s="32" t="n">
        <v>1.5</v>
      </c>
      <c r="C17" s="33" t="s">
        <v>101</v>
      </c>
      <c r="D17" s="34" t="s">
        <v>102</v>
      </c>
    </row>
    <row r="18" customFormat="false" ht="15" hidden="false" customHeight="true" outlineLevel="0" collapsed="false">
      <c r="A18" s="23" t="s">
        <v>103</v>
      </c>
      <c r="B18" s="29" t="n">
        <v>2</v>
      </c>
      <c r="C18" s="30" t="s">
        <v>104</v>
      </c>
      <c r="D18" s="11" t="s">
        <v>105</v>
      </c>
    </row>
    <row r="19" customFormat="false" ht="15" hidden="false" customHeight="true" outlineLevel="0" collapsed="false">
      <c r="A19" s="23" t="s">
        <v>106</v>
      </c>
      <c r="B19" s="29" t="n">
        <v>2.5</v>
      </c>
      <c r="C19" s="30" t="s">
        <v>107</v>
      </c>
      <c r="D19" s="11" t="s">
        <v>108</v>
      </c>
    </row>
    <row r="20" customFormat="false" ht="15" hidden="false" customHeight="true" outlineLevel="0" collapsed="false">
      <c r="A20" s="23" t="s">
        <v>109</v>
      </c>
      <c r="B20" s="29" t="n">
        <v>3</v>
      </c>
      <c r="C20" s="30" t="s">
        <v>110</v>
      </c>
      <c r="D20" s="11" t="s">
        <v>111</v>
      </c>
    </row>
    <row r="21" customFormat="false" ht="15" hidden="false" customHeight="true" outlineLevel="0" collapsed="false">
      <c r="A21" s="23" t="s">
        <v>112</v>
      </c>
      <c r="B21" s="29" t="n">
        <v>3.5</v>
      </c>
      <c r="C21" s="30" t="s">
        <v>113</v>
      </c>
      <c r="D21" s="11" t="s">
        <v>114</v>
      </c>
    </row>
    <row r="23" customFormat="false" ht="15" hidden="false" customHeight="true" outlineLevel="0" collapsed="false">
      <c r="A23" s="19" t="s">
        <v>115</v>
      </c>
      <c r="B23" s="19"/>
      <c r="C23" s="19"/>
      <c r="D23" s="19"/>
    </row>
  </sheetData>
  <mergeCells count="4">
    <mergeCell ref="A1:D1"/>
    <mergeCell ref="A3:D3"/>
    <mergeCell ref="A14:D14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6"/>
  </cols>
  <sheetData>
    <row r="1" customFormat="false" ht="25.5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5" t="s">
        <v>117</v>
      </c>
      <c r="B2" s="5"/>
      <c r="C2" s="5"/>
      <c r="D2" s="5"/>
      <c r="E2" s="5"/>
      <c r="F2" s="5"/>
      <c r="G2" s="5"/>
      <c r="H2" s="5"/>
    </row>
    <row r="4" customFormat="false" ht="31.5" hidden="false" customHeight="true" outlineLevel="0" collapsed="false">
      <c r="A4" s="35" t="s">
        <v>118</v>
      </c>
      <c r="B4" s="35" t="s">
        <v>119</v>
      </c>
      <c r="C4" s="35" t="s">
        <v>120</v>
      </c>
      <c r="D4" s="35" t="s">
        <v>121</v>
      </c>
      <c r="E4" s="35" t="s">
        <v>122</v>
      </c>
      <c r="F4" s="35" t="s">
        <v>123</v>
      </c>
      <c r="G4" s="35" t="s">
        <v>124</v>
      </c>
      <c r="H4" s="35" t="s">
        <v>125</v>
      </c>
    </row>
    <row r="5" customFormat="false" ht="15" hidden="false" customHeight="true" outlineLevel="0" collapsed="false">
      <c r="A5" s="36" t="s">
        <v>126</v>
      </c>
      <c r="B5" s="37" t="s">
        <v>127</v>
      </c>
      <c r="C5" s="38" t="n">
        <f aca="false">'EBITDA Bridge'!B44</f>
        <v>40437.6470588235</v>
      </c>
      <c r="D5" s="38" t="n">
        <f aca="false">'EBITDA Bridge'!B45</f>
        <v>41761.6605029586</v>
      </c>
      <c r="E5" s="38" t="n">
        <f aca="false">'EBITDA Bridge'!B46</f>
        <v>43425</v>
      </c>
      <c r="F5" s="39"/>
      <c r="G5" s="39"/>
      <c r="H5" s="39"/>
    </row>
    <row r="6" customFormat="false" ht="15" hidden="false" customHeight="true" outlineLevel="0" collapsed="false">
      <c r="A6" s="40" t="s">
        <v>128</v>
      </c>
      <c r="B6" s="41" t="n">
        <v>1</v>
      </c>
      <c r="C6" s="42" t="n">
        <f aca="false">C5</f>
        <v>40437.6470588235</v>
      </c>
      <c r="D6" s="42" t="n">
        <f aca="false">D5</f>
        <v>41761.6605029586</v>
      </c>
      <c r="E6" s="42" t="n">
        <f aca="false">E5</f>
        <v>43425</v>
      </c>
      <c r="F6" s="43" t="n">
        <f aca="false">$B6*C6-Inputs!$B$4</f>
        <v>-2065.35294117647</v>
      </c>
      <c r="G6" s="43" t="n">
        <f aca="false">$B6*D6-Inputs!$B$4</f>
        <v>-741.339497041423</v>
      </c>
      <c r="H6" s="43" t="n">
        <f aca="false">$B6*E6-Inputs!$B$4</f>
        <v>922</v>
      </c>
    </row>
    <row r="7" customFormat="false" ht="15" hidden="false" customHeight="true" outlineLevel="0" collapsed="false">
      <c r="A7" s="40" t="s">
        <v>129</v>
      </c>
      <c r="B7" s="41" t="n">
        <v>1.5</v>
      </c>
      <c r="C7" s="42" t="n">
        <f aca="false">C5</f>
        <v>40437.6470588235</v>
      </c>
      <c r="D7" s="42" t="n">
        <f aca="false">D5</f>
        <v>41761.6605029586</v>
      </c>
      <c r="E7" s="42" t="n">
        <f aca="false">E5</f>
        <v>43425</v>
      </c>
      <c r="F7" s="44" t="n">
        <f aca="false">$B7*C7-Inputs!$B$4</f>
        <v>18153.4705882353</v>
      </c>
      <c r="G7" s="44" t="n">
        <f aca="false">$B7*D7-Inputs!$B$4</f>
        <v>20139.4907544379</v>
      </c>
      <c r="H7" s="44" t="n">
        <f aca="false">$B7*E7-Inputs!$B$4</f>
        <v>22634.5</v>
      </c>
    </row>
    <row r="8" customFormat="false" ht="15" hidden="false" customHeight="true" outlineLevel="0" collapsed="false">
      <c r="A8" s="40" t="s">
        <v>130</v>
      </c>
      <c r="B8" s="41" t="n">
        <v>2</v>
      </c>
      <c r="C8" s="42" t="n">
        <f aca="false">C5</f>
        <v>40437.6470588235</v>
      </c>
      <c r="D8" s="42" t="n">
        <f aca="false">D5</f>
        <v>41761.6605029586</v>
      </c>
      <c r="E8" s="42" t="n">
        <f aca="false">E5</f>
        <v>43425</v>
      </c>
      <c r="F8" s="45" t="n">
        <f aca="false">$B8*C8-Inputs!$B$4</f>
        <v>38372.2941176471</v>
      </c>
      <c r="G8" s="45" t="n">
        <f aca="false">$B8*D8-Inputs!$B$4</f>
        <v>41020.3210059172</v>
      </c>
      <c r="H8" s="45" t="n">
        <f aca="false">$B8*E8-Inputs!$B$4</f>
        <v>44347</v>
      </c>
    </row>
    <row r="9" customFormat="false" ht="15" hidden="false" customHeight="true" outlineLevel="0" collapsed="false">
      <c r="A9" s="40" t="s">
        <v>131</v>
      </c>
      <c r="B9" s="41" t="n">
        <v>2.5</v>
      </c>
      <c r="C9" s="42" t="n">
        <f aca="false">C5</f>
        <v>40437.6470588235</v>
      </c>
      <c r="D9" s="42" t="n">
        <f aca="false">D5</f>
        <v>41761.6605029586</v>
      </c>
      <c r="E9" s="42" t="n">
        <f aca="false">E5</f>
        <v>43425</v>
      </c>
      <c r="F9" s="45" t="n">
        <f aca="false">$B9*C9-Inputs!$B$4</f>
        <v>58591.1176470588</v>
      </c>
      <c r="G9" s="45" t="n">
        <f aca="false">$B9*D9-Inputs!$B$4</f>
        <v>61901.1512573964</v>
      </c>
      <c r="H9" s="45" t="n">
        <f aca="false">$B9*E9-Inputs!$B$4</f>
        <v>66059.5</v>
      </c>
    </row>
    <row r="10" customFormat="false" ht="15" hidden="false" customHeight="true" outlineLevel="0" collapsed="false">
      <c r="A10" s="40" t="s">
        <v>132</v>
      </c>
      <c r="B10" s="41" t="n">
        <v>3</v>
      </c>
      <c r="C10" s="42" t="n">
        <f aca="false">C5</f>
        <v>40437.6470588235</v>
      </c>
      <c r="D10" s="42" t="n">
        <f aca="false">D5</f>
        <v>41761.6605029586</v>
      </c>
      <c r="E10" s="42" t="n">
        <f aca="false">E5</f>
        <v>43425</v>
      </c>
      <c r="F10" s="46" t="n">
        <f aca="false">$B10*C10-Inputs!$B$4</f>
        <v>78809.9411764706</v>
      </c>
      <c r="G10" s="46" t="n">
        <f aca="false">$B10*D10-Inputs!$B$4</f>
        <v>82781.9815088757</v>
      </c>
      <c r="H10" s="46" t="n">
        <f aca="false">$B10*E10-Inputs!$B$4</f>
        <v>87772</v>
      </c>
    </row>
    <row r="11" customFormat="false" ht="15" hidden="false" customHeight="true" outlineLevel="0" collapsed="false">
      <c r="A11" s="40" t="s">
        <v>133</v>
      </c>
      <c r="B11" s="41" t="n">
        <v>3.5</v>
      </c>
      <c r="C11" s="42" t="n">
        <f aca="false">C5</f>
        <v>40437.6470588235</v>
      </c>
      <c r="D11" s="42" t="n">
        <f aca="false">D5</f>
        <v>41761.6605029586</v>
      </c>
      <c r="E11" s="42" t="n">
        <f aca="false">E5</f>
        <v>43425</v>
      </c>
      <c r="F11" s="46" t="n">
        <f aca="false">$B11*C11-Inputs!$B$4</f>
        <v>99028.7647058824</v>
      </c>
      <c r="G11" s="46" t="n">
        <f aca="false">$B11*D11-Inputs!$B$4</f>
        <v>103662.811760355</v>
      </c>
      <c r="H11" s="46" t="n">
        <f aca="false">$B11*E11-Inputs!$B$4</f>
        <v>109484.5</v>
      </c>
    </row>
    <row r="14" customFormat="false" ht="15" hidden="false" customHeight="true" outlineLevel="0" collapsed="false">
      <c r="A14" s="6" t="s">
        <v>134</v>
      </c>
      <c r="B14" s="6"/>
      <c r="C14" s="6"/>
      <c r="D14" s="6"/>
      <c r="E14" s="6"/>
      <c r="F14" s="47" t="n">
        <f aca="false">G7</f>
        <v>20139.4907544379</v>
      </c>
      <c r="G14" s="47"/>
      <c r="H14" s="47"/>
    </row>
    <row r="15" customFormat="false" ht="15" hidden="false" customHeight="true" outlineLevel="0" collapsed="false">
      <c r="A15" s="8" t="s">
        <v>135</v>
      </c>
      <c r="F15" s="48" t="n">
        <f aca="false">G6</f>
        <v>-741.339497041423</v>
      </c>
      <c r="G15" s="48"/>
      <c r="H15" s="48"/>
    </row>
    <row r="16" customFormat="false" ht="15" hidden="false" customHeight="true" outlineLevel="0" collapsed="false">
      <c r="A16" s="8" t="s">
        <v>136</v>
      </c>
      <c r="F16" s="48" t="n">
        <f aca="false">G8</f>
        <v>41020.3210059172</v>
      </c>
      <c r="G16" s="48"/>
      <c r="H16" s="48"/>
    </row>
    <row r="17" customFormat="false" ht="15" hidden="false" customHeight="true" outlineLevel="0" collapsed="false">
      <c r="A17" s="8" t="s">
        <v>137</v>
      </c>
      <c r="F17" s="48" t="n">
        <f aca="false">G10</f>
        <v>82781.9815088757</v>
      </c>
      <c r="G17" s="48"/>
      <c r="H17" s="48"/>
    </row>
    <row r="19" customFormat="false" ht="15" hidden="false" customHeight="true" outlineLevel="0" collapsed="false">
      <c r="A19" s="6" t="s">
        <v>138</v>
      </c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49" t="s">
        <v>139</v>
      </c>
      <c r="B20" s="49"/>
      <c r="C20" s="49"/>
      <c r="D20" s="49"/>
      <c r="E20" s="49"/>
      <c r="F20" s="49"/>
      <c r="G20" s="49"/>
      <c r="H20" s="49"/>
    </row>
    <row r="21" customFormat="false" ht="15" hidden="false" customHeight="true" outlineLevel="0" collapsed="false">
      <c r="A21" s="49" t="s">
        <v>140</v>
      </c>
      <c r="B21" s="49"/>
      <c r="C21" s="49"/>
      <c r="D21" s="49"/>
      <c r="E21" s="49"/>
      <c r="F21" s="49"/>
      <c r="G21" s="49"/>
      <c r="H21" s="49"/>
    </row>
    <row r="22" customFormat="false" ht="15" hidden="false" customHeight="true" outlineLevel="0" collapsed="false">
      <c r="A22" s="49" t="s">
        <v>141</v>
      </c>
      <c r="B22" s="49"/>
      <c r="C22" s="49"/>
      <c r="D22" s="49"/>
      <c r="E22" s="49"/>
      <c r="F22" s="49"/>
      <c r="G22" s="49"/>
      <c r="H22" s="49"/>
    </row>
    <row r="23" customFormat="false" ht="15" hidden="false" customHeight="true" outlineLevel="0" collapsed="false">
      <c r="A23" s="49" t="s">
        <v>142</v>
      </c>
      <c r="B23" s="49"/>
      <c r="C23" s="49"/>
      <c r="D23" s="49"/>
      <c r="E23" s="49"/>
      <c r="F23" s="49"/>
      <c r="G23" s="49"/>
      <c r="H23" s="49"/>
    </row>
    <row r="24" customFormat="false" ht="15" hidden="false" customHeight="true" outlineLevel="0" collapsed="false">
      <c r="A24" s="49" t="s">
        <v>143</v>
      </c>
      <c r="B24" s="49"/>
      <c r="C24" s="49"/>
      <c r="D24" s="49"/>
      <c r="E24" s="49"/>
      <c r="F24" s="49"/>
      <c r="G24" s="49"/>
      <c r="H24" s="49"/>
    </row>
    <row r="25" customFormat="false" ht="15" hidden="false" customHeight="true" outlineLevel="0" collapsed="false">
      <c r="A25" s="49" t="s">
        <v>144</v>
      </c>
      <c r="B25" s="49"/>
      <c r="C25" s="49"/>
      <c r="D25" s="49"/>
      <c r="E25" s="49"/>
      <c r="F25" s="49"/>
      <c r="G25" s="49"/>
      <c r="H25" s="49"/>
    </row>
  </sheetData>
  <mergeCells count="14">
    <mergeCell ref="A1:H1"/>
    <mergeCell ref="A2:H2"/>
    <mergeCell ref="A14:E14"/>
    <mergeCell ref="F14:H14"/>
    <mergeCell ref="F15:H15"/>
    <mergeCell ref="F16:H16"/>
    <mergeCell ref="F17:H17"/>
    <mergeCell ref="A19:H19"/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4"/>
  </cols>
  <sheetData>
    <row r="1" customFormat="false" ht="25.5" hidden="false" customHeight="true" outlineLevel="0" collapsed="false">
      <c r="A1" s="2" t="s">
        <v>145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5" t="s">
        <v>146</v>
      </c>
      <c r="B2" s="5"/>
      <c r="C2" s="5"/>
      <c r="D2" s="5"/>
      <c r="E2" s="5"/>
      <c r="F2" s="5"/>
      <c r="G2" s="5"/>
      <c r="H2" s="5"/>
      <c r="I2" s="5"/>
    </row>
    <row r="4" customFormat="false" ht="30" hidden="false" customHeight="true" outlineLevel="0" collapsed="false">
      <c r="A4" s="50" t="s">
        <v>147</v>
      </c>
      <c r="B4" s="51" t="n">
        <v>1</v>
      </c>
      <c r="C4" s="51" t="n">
        <v>1.5</v>
      </c>
      <c r="D4" s="51" t="n">
        <v>2</v>
      </c>
      <c r="E4" s="51" t="n">
        <v>2.5</v>
      </c>
      <c r="F4" s="51" t="n">
        <v>3</v>
      </c>
      <c r="G4" s="51" t="n">
        <v>3.5</v>
      </c>
      <c r="H4" s="51" t="n">
        <v>4</v>
      </c>
    </row>
    <row r="5" customFormat="false" ht="15" hidden="false" customHeight="true" outlineLevel="0" collapsed="false">
      <c r="B5" s="52" t="s">
        <v>97</v>
      </c>
      <c r="C5" s="52" t="s">
        <v>100</v>
      </c>
      <c r="D5" s="52" t="s">
        <v>103</v>
      </c>
      <c r="E5" s="52" t="s">
        <v>106</v>
      </c>
      <c r="F5" s="52" t="s">
        <v>109</v>
      </c>
      <c r="G5" s="52" t="s">
        <v>112</v>
      </c>
      <c r="H5" s="52" t="s">
        <v>148</v>
      </c>
    </row>
    <row r="6" customFormat="false" ht="15" hidden="false" customHeight="true" outlineLevel="0" collapsed="false">
      <c r="A6" s="53" t="n">
        <v>28000</v>
      </c>
      <c r="B6" s="54" t="n">
        <f aca="false">$B$4*$A6-Inputs!$B$4</f>
        <v>-14503</v>
      </c>
      <c r="C6" s="55" t="n">
        <f aca="false">$C$4*$A6-Inputs!$B$4</f>
        <v>-503</v>
      </c>
      <c r="D6" s="56" t="n">
        <f aca="false">$D$4*$A6-Inputs!$B$4</f>
        <v>13497</v>
      </c>
      <c r="E6" s="54" t="n">
        <f aca="false">$E$4*$A6-Inputs!$B$4</f>
        <v>27497</v>
      </c>
      <c r="F6" s="54" t="n">
        <f aca="false">$F$4*$A6-Inputs!$B$4</f>
        <v>41497</v>
      </c>
      <c r="G6" s="54" t="n">
        <f aca="false">$G$4*$A6-Inputs!$B$4</f>
        <v>55497</v>
      </c>
      <c r="H6" s="54" t="n">
        <f aca="false">$H$4*$A6-Inputs!$B$4</f>
        <v>69497</v>
      </c>
    </row>
    <row r="7" customFormat="false" ht="15" hidden="false" customHeight="true" outlineLevel="0" collapsed="false">
      <c r="A7" s="53" t="n">
        <v>30000</v>
      </c>
      <c r="B7" s="54" t="n">
        <f aca="false">$B$4*$A7-Inputs!$B$4</f>
        <v>-12503</v>
      </c>
      <c r="C7" s="55" t="n">
        <f aca="false">$C$4*$A7-Inputs!$B$4</f>
        <v>2497</v>
      </c>
      <c r="D7" s="56" t="n">
        <f aca="false">$D$4*$A7-Inputs!$B$4</f>
        <v>17497</v>
      </c>
      <c r="E7" s="54" t="n">
        <f aca="false">$E$4*$A7-Inputs!$B$4</f>
        <v>32497</v>
      </c>
      <c r="F7" s="54" t="n">
        <f aca="false">$F$4*$A7-Inputs!$B$4</f>
        <v>47497</v>
      </c>
      <c r="G7" s="54" t="n">
        <f aca="false">$G$4*$A7-Inputs!$B$4</f>
        <v>62497</v>
      </c>
      <c r="H7" s="54" t="n">
        <f aca="false">$H$4*$A7-Inputs!$B$4</f>
        <v>77497</v>
      </c>
    </row>
    <row r="8" customFormat="false" ht="15" hidden="false" customHeight="true" outlineLevel="0" collapsed="false">
      <c r="A8" s="53" t="n">
        <v>32000</v>
      </c>
      <c r="B8" s="54" t="n">
        <f aca="false">$B$4*$A8-Inputs!$B$4</f>
        <v>-10503</v>
      </c>
      <c r="C8" s="55" t="n">
        <f aca="false">$C$4*$A8-Inputs!$B$4</f>
        <v>5497</v>
      </c>
      <c r="D8" s="56" t="n">
        <f aca="false">$D$4*$A8-Inputs!$B$4</f>
        <v>21497</v>
      </c>
      <c r="E8" s="54" t="n">
        <f aca="false">$E$4*$A8-Inputs!$B$4</f>
        <v>37497</v>
      </c>
      <c r="F8" s="54" t="n">
        <f aca="false">$F$4*$A8-Inputs!$B$4</f>
        <v>53497</v>
      </c>
      <c r="G8" s="54" t="n">
        <f aca="false">$G$4*$A8-Inputs!$B$4</f>
        <v>69497</v>
      </c>
      <c r="H8" s="54" t="n">
        <f aca="false">$H$4*$A8-Inputs!$B$4</f>
        <v>85497</v>
      </c>
    </row>
    <row r="9" customFormat="false" ht="15" hidden="false" customHeight="true" outlineLevel="0" collapsed="false">
      <c r="A9" s="53" t="n">
        <v>34000</v>
      </c>
      <c r="B9" s="54" t="n">
        <f aca="false">$B$4*$A9-Inputs!$B$4</f>
        <v>-8503</v>
      </c>
      <c r="C9" s="55" t="n">
        <f aca="false">$C$4*$A9-Inputs!$B$4</f>
        <v>8497</v>
      </c>
      <c r="D9" s="56" t="n">
        <f aca="false">$D$4*$A9-Inputs!$B$4</f>
        <v>25497</v>
      </c>
      <c r="E9" s="54" t="n">
        <f aca="false">$E$4*$A9-Inputs!$B$4</f>
        <v>42497</v>
      </c>
      <c r="F9" s="54" t="n">
        <f aca="false">$F$4*$A9-Inputs!$B$4</f>
        <v>59497</v>
      </c>
      <c r="G9" s="54" t="n">
        <f aca="false">$G$4*$A9-Inputs!$B$4</f>
        <v>76497</v>
      </c>
      <c r="H9" s="54" t="n">
        <f aca="false">$H$4*$A9-Inputs!$B$4</f>
        <v>93497</v>
      </c>
    </row>
    <row r="10" customFormat="false" ht="15" hidden="false" customHeight="true" outlineLevel="0" collapsed="false">
      <c r="A10" s="53" t="n">
        <v>36000</v>
      </c>
      <c r="B10" s="54" t="n">
        <f aca="false">$B$4*$A10-Inputs!$B$4</f>
        <v>-6503</v>
      </c>
      <c r="C10" s="55" t="n">
        <f aca="false">$C$4*$A10-Inputs!$B$4</f>
        <v>11497</v>
      </c>
      <c r="D10" s="56" t="n">
        <f aca="false">$D$4*$A10-Inputs!$B$4</f>
        <v>29497</v>
      </c>
      <c r="E10" s="54" t="n">
        <f aca="false">$E$4*$A10-Inputs!$B$4</f>
        <v>47497</v>
      </c>
      <c r="F10" s="54" t="n">
        <f aca="false">$F$4*$A10-Inputs!$B$4</f>
        <v>65497</v>
      </c>
      <c r="G10" s="54" t="n">
        <f aca="false">$G$4*$A10-Inputs!$B$4</f>
        <v>83497</v>
      </c>
      <c r="H10" s="54" t="n">
        <f aca="false">$H$4*$A10-Inputs!$B$4</f>
        <v>101497</v>
      </c>
    </row>
    <row r="11" customFormat="false" ht="15" hidden="false" customHeight="true" outlineLevel="0" collapsed="false">
      <c r="A11" s="53" t="n">
        <v>38000</v>
      </c>
      <c r="B11" s="54" t="n">
        <f aca="false">$B$4*$A11-Inputs!$B$4</f>
        <v>-4503</v>
      </c>
      <c r="C11" s="55" t="n">
        <f aca="false">$C$4*$A11-Inputs!$B$4</f>
        <v>14497</v>
      </c>
      <c r="D11" s="56" t="n">
        <f aca="false">$D$4*$A11-Inputs!$B$4</f>
        <v>33497</v>
      </c>
      <c r="E11" s="54" t="n">
        <f aca="false">$E$4*$A11-Inputs!$B$4</f>
        <v>52497</v>
      </c>
      <c r="F11" s="54" t="n">
        <f aca="false">$F$4*$A11-Inputs!$B$4</f>
        <v>71497</v>
      </c>
      <c r="G11" s="54" t="n">
        <f aca="false">$G$4*$A11-Inputs!$B$4</f>
        <v>90497</v>
      </c>
      <c r="H11" s="54" t="n">
        <f aca="false">$H$4*$A11-Inputs!$B$4</f>
        <v>109497</v>
      </c>
    </row>
    <row r="12" customFormat="false" ht="15" hidden="false" customHeight="true" outlineLevel="0" collapsed="false">
      <c r="A12" s="53" t="n">
        <v>40000</v>
      </c>
      <c r="B12" s="54" t="n">
        <f aca="false">$B$4*$A12-Inputs!$B$4</f>
        <v>-2503</v>
      </c>
      <c r="C12" s="55" t="n">
        <f aca="false">$C$4*$A12-Inputs!$B$4</f>
        <v>17497</v>
      </c>
      <c r="D12" s="56" t="n">
        <f aca="false">$D$4*$A12-Inputs!$B$4</f>
        <v>37497</v>
      </c>
      <c r="E12" s="54" t="n">
        <f aca="false">$E$4*$A12-Inputs!$B$4</f>
        <v>57497</v>
      </c>
      <c r="F12" s="54" t="n">
        <f aca="false">$F$4*$A12-Inputs!$B$4</f>
        <v>77497</v>
      </c>
      <c r="G12" s="54" t="n">
        <f aca="false">$G$4*$A12-Inputs!$B$4</f>
        <v>97497</v>
      </c>
      <c r="H12" s="54" t="n">
        <f aca="false">$H$4*$A12-Inputs!$B$4</f>
        <v>117497</v>
      </c>
    </row>
    <row r="13" customFormat="false" ht="15" hidden="false" customHeight="true" outlineLevel="0" collapsed="false">
      <c r="A13" s="53" t="n">
        <v>42000</v>
      </c>
      <c r="B13" s="54" t="n">
        <f aca="false">$B$4*$A13-Inputs!$B$4</f>
        <v>-503</v>
      </c>
      <c r="C13" s="55" t="n">
        <f aca="false">$C$4*$A13-Inputs!$B$4</f>
        <v>20497</v>
      </c>
      <c r="D13" s="56" t="n">
        <f aca="false">$D$4*$A13-Inputs!$B$4</f>
        <v>41497</v>
      </c>
      <c r="E13" s="54" t="n">
        <f aca="false">$E$4*$A13-Inputs!$B$4</f>
        <v>62497</v>
      </c>
      <c r="F13" s="54" t="n">
        <f aca="false">$F$4*$A13-Inputs!$B$4</f>
        <v>83497</v>
      </c>
      <c r="G13" s="54" t="n">
        <f aca="false">$G$4*$A13-Inputs!$B$4</f>
        <v>104497</v>
      </c>
      <c r="H13" s="54" t="n">
        <f aca="false">$H$4*$A13-Inputs!$B$4</f>
        <v>125497</v>
      </c>
    </row>
    <row r="14" customFormat="false" ht="15" hidden="false" customHeight="true" outlineLevel="0" collapsed="false">
      <c r="A14" s="53" t="n">
        <v>45000</v>
      </c>
      <c r="B14" s="54" t="n">
        <f aca="false">$B$4*$A14-Inputs!$B$4</f>
        <v>2497</v>
      </c>
      <c r="C14" s="55" t="n">
        <f aca="false">$C$4*$A14-Inputs!$B$4</f>
        <v>24997</v>
      </c>
      <c r="D14" s="56" t="n">
        <f aca="false">$D$4*$A14-Inputs!$B$4</f>
        <v>47497</v>
      </c>
      <c r="E14" s="54" t="n">
        <f aca="false">$E$4*$A14-Inputs!$B$4</f>
        <v>69997</v>
      </c>
      <c r="F14" s="54" t="n">
        <f aca="false">$F$4*$A14-Inputs!$B$4</f>
        <v>92497</v>
      </c>
      <c r="G14" s="54" t="n">
        <f aca="false">$G$4*$A14-Inputs!$B$4</f>
        <v>114997</v>
      </c>
      <c r="H14" s="54" t="n">
        <f aca="false">$H$4*$A14-Inputs!$B$4</f>
        <v>137497</v>
      </c>
    </row>
    <row r="16" customFormat="false" ht="15" hidden="false" customHeight="true" outlineLevel="0" collapsed="false">
      <c r="A16" s="6" t="s">
        <v>149</v>
      </c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true" outlineLevel="0" collapsed="false">
      <c r="A17" s="49" t="s">
        <v>150</v>
      </c>
      <c r="B17" s="49"/>
      <c r="C17" s="49"/>
      <c r="D17" s="49"/>
      <c r="E17" s="49"/>
      <c r="F17" s="49"/>
      <c r="G17" s="49"/>
      <c r="H17" s="49"/>
      <c r="I17" s="49"/>
    </row>
    <row r="18" customFormat="false" ht="15" hidden="false" customHeight="true" outlineLevel="0" collapsed="false">
      <c r="A18" s="49" t="s">
        <v>151</v>
      </c>
      <c r="B18" s="49"/>
      <c r="C18" s="49"/>
      <c r="D18" s="49"/>
      <c r="E18" s="49"/>
      <c r="F18" s="49"/>
      <c r="G18" s="49"/>
      <c r="H18" s="49"/>
      <c r="I18" s="49"/>
    </row>
    <row r="19" customFormat="false" ht="15" hidden="false" customHeight="true" outlineLevel="0" collapsed="false">
      <c r="A19" s="49" t="s">
        <v>152</v>
      </c>
      <c r="B19" s="49"/>
      <c r="C19" s="49"/>
      <c r="D19" s="49"/>
      <c r="E19" s="49"/>
      <c r="F19" s="49"/>
      <c r="G19" s="49"/>
      <c r="H19" s="49"/>
      <c r="I19" s="49"/>
    </row>
    <row r="20" customFormat="false" ht="15" hidden="false" customHeight="true" outlineLevel="0" collapsed="false">
      <c r="A20" s="49" t="s">
        <v>153</v>
      </c>
      <c r="B20" s="49"/>
      <c r="C20" s="49"/>
      <c r="D20" s="49"/>
      <c r="E20" s="49"/>
      <c r="F20" s="49"/>
      <c r="G20" s="49"/>
      <c r="H20" s="49"/>
      <c r="I20" s="49"/>
    </row>
  </sheetData>
  <mergeCells count="7">
    <mergeCell ref="A1:I1"/>
    <mergeCell ref="A2:I2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2026-04-30T18:24:10Z</dcterms:created>
  <dc:creator>openpyxl</dc:creator>
  <dc:description/>
  <dc:language>en-US</dc:language>
  <cp:lastModifiedBy/>
  <dcterms:modified xsi:type="dcterms:W3CDTF">2026-04-30T18:24:26Z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