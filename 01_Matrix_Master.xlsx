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Matrix" sheetId="2" state="visible" r:id="rId4"/>
    <sheet name="Deals" sheetId="3" state="visible" r:id="rId5"/>
    <sheet name="Deals_Sorted" sheetId="4" state="visible" r:id="rId6"/>
    <sheet name="Deals_Memo_Table" sheetId="5" state="visible" r:id="rId7"/>
    <sheet name="Tier_Stats" sheetId="6" state="visible" r:id="rId8"/>
    <sheet name="Excluded_Log" sheetId="7" state="visible" r:id="rId9"/>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Head Agent</author>
  </authors>
  <commentList>
    <comment ref="A1" authorId="0">
      <text>
        <r>
          <rPr>
            <sz val="10"/>
            <rFont val="Arial"/>
            <family val="2"/>
          </rPr>
          <t xml:space="preserve">Format: [PREFIX]-[NNN]. GM=gross margin, SG=SG&amp;A, RD=R&amp;D, PoS=PoS, FDA=FDA posture, DL=deal flow.</t>
        </r>
      </text>
    </comment>
    <comment ref="I1" authorId="0">
      <text>
        <r>
          <rPr>
            <sz val="10"/>
            <rFont val="Arial"/>
            <family val="2"/>
          </rPr>
          <t xml:space="preserve">1=Primary/SEC/FDA/PMID/transcript. 2=Conf/working paper/BIO-Informa. 3=Consulting/trade/blog (appendix only).</t>
        </r>
      </text>
    </comment>
    <comment ref="L1" authorId="0">
      <text>
        <r>
          <rPr>
            <sz val="10"/>
            <rFont val="Arial"/>
            <family val="2"/>
          </rPr>
          <t xml:space="preserve">Working URL required for Tier 1/2. Paywalled is OK if labeled.</t>
        </r>
      </text>
    </comment>
    <comment ref="P1" authorId="0">
      <text>
        <r>
          <rPr>
            <sz val="10"/>
            <rFont val="Arial"/>
            <family val="2"/>
          </rPr>
          <t xml:space="preserve">TRUE if source is consulting firm (McKinsey/BCG/Bain/Deloitte/Accenture/EY/KPMG/PwC/ZS/IQVIA-consulting), advocacy/trade group, or AI vendor marketing.</t>
        </r>
      </text>
    </comment>
  </commentList>
</comments>
</file>

<file path=xl/sharedStrings.xml><?xml version="1.0" encoding="utf-8"?>
<sst xmlns="http://schemas.openxmlformats.org/spreadsheetml/2006/main" count="8399" uniqueCount="2793">
  <si>
    <t xml:space="preserve">AI in Drug Discovery — Claims-Evidence Matrix Master</t>
  </si>
  <si>
    <t xml:space="preserve">Sellside thematic note, Bernstein house style</t>
  </si>
  <si>
    <t xml:space="preserve">PURPOSE</t>
  </si>
  <si>
    <t xml:space="preserve">This workbook is the audit trail for every quantitative or qualitative claim that appears in the Word memo. Every footnoted number in the memo must trace to a claim_id in the Matrix tab.</t>
  </si>
  <si>
    <t xml:space="preserve">SHEETS</t>
  </si>
  <si>
    <t xml:space="preserve">README — this sheet; methodology, schema, and tier rules.</t>
  </si>
  <si>
    <t xml:space="preserve">Matrix — the master claims-evidence matrix. 18-column schema. One row per claim.</t>
  </si>
  <si>
    <t xml:space="preserve">Deals — separate tab for Q4 deal tracker rows (same schema + 6 deal-specific fields).</t>
  </si>
  <si>
    <t xml:space="preserve">Tier_Stats — live counts of rows by tier, by Q, with target thresholds.</t>
  </si>
  <si>
    <t xml:space="preserve">Excluded_Log — record of any source rejected during research (sell-side, vendor marketing, etc.).</t>
  </si>
  <si>
    <t xml:space="preserve">EVIDENCE TIER RULES (hard)</t>
  </si>
  <si>
    <t xml:space="preserve">Tier 1 — Primary/defensible. SEC filings, earnings transcripts, FDA documents, ClinicalTrials.gov entries, peer-reviewed pubs (PMID), official press releases.</t>
  </si>
  <si>
    <t xml:space="preserve">Tier 2 — Directional/attributable. Conference presentations (named venue+date), investor conference transcripts, government/academic working papers, industry data providers with disclosed methodology (BIO/Informa, IQVIA, Evaluate).</t>
  </si>
  <si>
    <t xml:space="preserve">Tier 3 — Color/narrative ONLY. Consulting reports, trade press, blog posts. Appendix only, never body. is_consulting_or_advocacy_source MUST be TRUE.</t>
  </si>
  <si>
    <t xml:space="preserve">EXCLUDED ENTIRELY (do not appear in any tier)</t>
  </si>
  <si>
    <t xml:space="preserve">• Other sell-side analyst reports (MS, GS, BofA, JPM, Jefferies, Leerink, Cowen, Barclays, BMO, Wells Fargo, Evercore, Piper Sandler, William Blair, etc.) — conflict of interest.</t>
  </si>
  <si>
    <t xml:space="preserve">• Buy-side firm whitepapers.</t>
  </si>
  <si>
    <t xml:space="preserve">• Consensus aggregators (Visible Alpha, Bloomberg consensus) when used for operational facts.</t>
  </si>
  <si>
    <t xml:space="preserve">• AI vendor case-study marketing pages (NVIDIA customer stories, AWS partner features).</t>
  </si>
  <si>
    <t xml:space="preserve">MANDATORY FIELDS ON EVERY ROW</t>
  </si>
  <si>
    <t xml:space="preserve">• claim_id (e.g., GM-001, RD-014, FDA-022, DL-008)</t>
  </si>
  <si>
    <t xml:space="preserve">• source_url + accessed_date for Tier 1/2 rows.</t>
  </si>
  <si>
    <t xml:space="preserve">• verbatim_quote_or_page — quoted text or 'p.X, section Y'.</t>
  </si>
  <si>
    <t xml:space="preserve">• is_consulting_or_advocacy_source flag (TRUE when source is consulting firm / advocacy group / AI vendor marketing).</t>
  </si>
  <si>
    <t xml:space="preserve">• flag field if claim is EXTRAPOLATION / ANALOGY / LIMITED EVIDENCE / INDUSTRY ESTIMATE / MANAGEMENT COMMENTARY NOT GUIDED / SOURCE NEEDED.</t>
  </si>
  <si>
    <t xml:space="preserve">SUCCESS BAR</t>
  </si>
  <si>
    <t xml:space="preserve">• Total rows ≥150 across all four Q-sections</t>
  </si>
  <si>
    <t xml:space="preserve">• ≥70% Tier 1, ≥85% Tier 1+2</t>
  </si>
  <si>
    <t xml:space="preserve">• Zero sell-side primary sources</t>
  </si>
  <si>
    <t xml:space="preserve">• Every consulting-sourced row Tier 3 + flagged TRUE</t>
  </si>
  <si>
    <t xml:space="preserve">• ≥15% disconfirming / caveating rows</t>
  </si>
  <si>
    <t xml:space="preserve">• Every model input has ≥5 underlying rows or is tagged INSUFFICIENT EVIDENCE</t>
  </si>
  <si>
    <t xml:space="preserve">claim_id</t>
  </si>
  <si>
    <t xml:space="preserve">question</t>
  </si>
  <si>
    <t xml:space="preserve">sub_category</t>
  </si>
  <si>
    <t xml:space="preserve">claim_text</t>
  </si>
  <si>
    <t xml:space="preserve">quantitative_value</t>
  </si>
  <si>
    <t xml:space="preserve">company</t>
  </si>
  <si>
    <t xml:space="preserve">therapeutic_area</t>
  </si>
  <si>
    <t xml:space="preserve">modality</t>
  </si>
  <si>
    <t xml:space="preserve">evidence_tier</t>
  </si>
  <si>
    <t xml:space="preserve">source_type</t>
  </si>
  <si>
    <t xml:space="preserve">source_name</t>
  </si>
  <si>
    <t xml:space="preserve">source_url</t>
  </si>
  <si>
    <t xml:space="preserve">accessed_date</t>
  </si>
  <si>
    <t xml:space="preserve">verbatim_quote_or_page</t>
  </si>
  <si>
    <t xml:space="preserve">flag</t>
  </si>
  <si>
    <t xml:space="preserve">is_consulting_or_advocacy_source</t>
  </si>
  <si>
    <t xml:space="preserve">feeds_model_input</t>
  </si>
  <si>
    <t xml:space="preserve">analyst_notes</t>
  </si>
  <si>
    <t xml:space="preserve">GM-001</t>
  </si>
  <si>
    <t xml:space="preserve">Q1</t>
  </si>
  <si>
    <t xml:space="preserve">Manufacturing yield, small molecule + biologics (AI process control)</t>
  </si>
  <si>
    <t xml:space="preserve">Pfizer's CEO Albert Bourla disclosed in the 2023 Annual Review that the company's generative AI platform detects manufacturing anomalies and recommends real-time actions to operators, with stated targets to boost product yield by 10% and reduce cycle time by 25%.</t>
  </si>
  <si>
    <t xml:space="preserve">+10% yield; -25% cycle time (target)</t>
  </si>
  <si>
    <t xml:space="preserve">Pfizer</t>
  </si>
  <si>
    <t xml:space="preserve">Cross-TA</t>
  </si>
  <si>
    <t xml:space="preserve">Small mol + biologic</t>
  </si>
  <si>
    <t xml:space="preserve">1</t>
  </si>
  <si>
    <t xml:space="preserve">Annual Review / shareholder communication</t>
  </si>
  <si>
    <t xml:space="preserve">Pfizer 2023 Annual Review — CEO Letter</t>
  </si>
  <si>
    <t xml:space="preserve">https://www.pfizer.com/news/announcements/2023-review</t>
  </si>
  <si>
    <t xml:space="preserve">2026-05-11</t>
  </si>
  <si>
    <t xml:space="preserve">"Using AI, we are able to detect anomalies and suggest real-time actions for our operators as we aim to boost product yield by 10% and cycle time by 25%." — Albert Bourla, 2023 Annual Review</t>
  </si>
  <si>
    <t xml:space="preserve">MANAGEMENT COMMENTARY NOT GUIDED</t>
  </si>
  <si>
    <t xml:space="preserve">FALSE</t>
  </si>
  <si>
    <t xml:space="preserve">GM yield small mol; PD timeline</t>
  </si>
  <si>
    <t xml:space="preserve">LONG_VIEW + RECENT. Target language ("aim to") — not yet booked in 10-K as captured savings. Pfizer 2024 Annual Report claims throughput uplift of 20% but lacks plant-level breakdown.</t>
  </si>
  <si>
    <t xml:space="preserve">GM-002</t>
  </si>
  <si>
    <t xml:space="preserve">Manufacturing yield, biologics (AI/ML PAT)</t>
  </si>
  <si>
    <t xml:space="preserve">Roche presented at the 2024 ISPE Annual Meeting that AI/ML-driven process optimization across its global biologics network has delivered 5–10% productivity gains on capacity-constrained assets and 5–10% biologics yield uplift, with up to 50% reduction in critical-quality-attribute (CQA) write-offs.</t>
  </si>
  <si>
    <t xml:space="preserve">+5–10% yield; -50% CQA write-offs</t>
  </si>
  <si>
    <t xml:space="preserve">Roche</t>
  </si>
  <si>
    <t xml:space="preserve">Biologic</t>
  </si>
  <si>
    <t xml:space="preserve">2</t>
  </si>
  <si>
    <t xml:space="preserve">Conference presentation</t>
  </si>
  <si>
    <t xml:space="preserve">Roche presentation at ISPE Annual Meeting &amp; Expo 2024 (per BioProcess Online write-up)</t>
  </si>
  <si>
    <t xml:space="preserve">https://www.bioprocessonline.com/doc/ai-breakthroughs-revolutionizing-pharma-tech-ops-at-roche-0001</t>
  </si>
  <si>
    <t xml:space="preserve">"5% to 10% on constrained assets … a 5% to 10% boost in yields … up to 50% reduction in CQA write-offs." — Roche presentation, ISPE 2024</t>
  </si>
  <si>
    <t xml:space="preserve">LIMITED EVIDENCE</t>
  </si>
  <si>
    <t xml:space="preserve">GM yield biologics</t>
  </si>
  <si>
    <t xml:space="preserve">LONG_VIEW. Sourced from BioProcess Online write-up of Roche's ISPE 2024 presentation. Roche has not repeated these numbers in 10-K or earnings transcripts; flag for primary-document verification.</t>
  </si>
  <si>
    <t xml:space="preserve">GM-003</t>
  </si>
  <si>
    <t xml:space="preserve">Process development timeline compression (AI batch control / digital twin)</t>
  </si>
  <si>
    <t xml:space="preserve">Lonza disclosed in its 2024 Annual Report that it implemented in-line PAT and machine-learning automation across multiple clinical and commercial biologics assets, with intensified bioprocessing technologies delivering "very high-yielding" titers in mammalian expression.</t>
  </si>
  <si>
    <t xml:space="preserve">Qualitative — directional intensification</t>
  </si>
  <si>
    <t xml:space="preserve">Lonza (CDMO; relevant to client pharma)</t>
  </si>
  <si>
    <t xml:space="preserve">Annual Report</t>
  </si>
  <si>
    <t xml:space="preserve">Lonza 2024 Annual Report</t>
  </si>
  <si>
    <t xml:space="preserve">https://www.lonza.com/annualreport/2024/documents/Lonza%20Annual%20Report%202024.pdf</t>
  </si>
  <si>
    <t xml:space="preserve">"successfully developed and implemented several in-line testing process analytical technologies (PATs), which allow … improved process robustness through machine learning (ML) and automation." — Lonza 2024 Annual Report</t>
  </si>
  <si>
    <t xml:space="preserve">GM yield biologics; PD timeline</t>
  </si>
  <si>
    <t xml:space="preserve">LONG_VIEW. CDMO-side disclosure; useful as adjacency to Roche/AbbVie/Amgen biologics yield. No dollar number disclosed.</t>
  </si>
  <si>
    <t xml:space="preserve">GM-004</t>
  </si>
  <si>
    <t xml:space="preserve">Manufacturing yield, biologics (generative biology + viscosity ML)</t>
  </si>
  <si>
    <t xml:space="preserve">Amgen disclosed that its generative biology platform combined with ML viscosity prediction has tripled protein engineering speed and roughly halved discovery timelines; viscosity model accuracy ~80% in internal evaluations.</t>
  </si>
  <si>
    <t xml:space="preserve">3x protein engineering speed; ~50% discovery timeline cut</t>
  </si>
  <si>
    <t xml:space="preserve">Amgen</t>
  </si>
  <si>
    <t xml:space="preserve">Company corporate story / generative biology page</t>
  </si>
  <si>
    <t xml:space="preserve">Amgen — Generative Biology (corporate website)</t>
  </si>
  <si>
    <t xml:space="preserve">https://wwwext.amgen.com/stories/2022/06/generative-biology--designing-biologics-with-greater-speed-and-success</t>
  </si>
  <si>
    <t xml:space="preserve">"tripled protein engineering speed and cut discovery timelines in half" (Amgen corporate story; viscosity model accuracy citation: Amgen scientists, 2022 PMID publication).</t>
  </si>
  <si>
    <t xml:space="preserve">GM yield biologics; R&amp;D opex per molecule</t>
  </si>
  <si>
    <t xml:space="preserve">LONG_VIEW. Not GAAP-disclosed productivity savings. Useful as directional. NVIDIA also referenced as platform partner — exclude NVIDIA marketing page per shared rules.</t>
  </si>
  <si>
    <t xml:space="preserve">GM-005</t>
  </si>
  <si>
    <t xml:space="preserve">Supply chain AI savings ($ booked)</t>
  </si>
  <si>
    <t xml:space="preserve">Sanofi disclosed that its plai app (co-developed with Aily Labs) had delivered $300 million in inventory-related savings by predicting and mitigating ~80% of low-inventory positions enterprise-wide, supporting 15,000–20,000 daily users.</t>
  </si>
  <si>
    <t xml:space="preserve">$300m savings; 80% inventory risk predicted</t>
  </si>
  <si>
    <t xml:space="preserve">Sanofi</t>
  </si>
  <si>
    <t xml:space="preserve">Cross-modality</t>
  </si>
  <si>
    <t xml:space="preserve">Company press release + senior management commentary</t>
  </si>
  <si>
    <t xml:space="preserve">Sanofi — Magazine: ""Digital &amp; AI-Powered Manufacturing""</t>
  </si>
  <si>
    <t xml:space="preserve">https://www.sanofi.com/en/magazine/our-science/digital-and-ai-powered-manufacturing-and-supply-delivering-faster-and-safer-for-patients</t>
  </si>
  <si>
    <t xml:space="preserve">"$300 million in savings by predicting and mitigating 80% of low inventory risks" — Sanofi corporate magazine; corroborated in Aily Labs case study and Sanofi 2023 press release on plai launch.</t>
  </si>
  <si>
    <t xml:space="preserve">GM COGS reduction; G&amp;A automation</t>
  </si>
  <si>
    <t xml:space="preserve">LONG_VIEW. $300m claim not yet broken out in 20-F as standalone savings line — needs Sanofi 20-F verification. Note Aily Labs is platform vendor; not consulting per se, but corroborated by company magazine.</t>
  </si>
  <si>
    <t xml:space="preserve">GM-006</t>
  </si>
  <si>
    <t xml:space="preserve">Manufacturing batch reliability (mRNA platform)</t>
  </si>
  <si>
    <t xml:space="preserve">Moderna delivered the first clinical batch of its mRNA-1273 COVID-19 vaccine candidate to NIH 42 days after the initial SARS-CoV-2 sequencing — enabled by AI-driven sequence design (Drug Design Studio on AWS) and automated manufacturing.</t>
  </si>
  <si>
    <t xml:space="preserve">42 days sequence-to-clinical-batch</t>
  </si>
  <si>
    <t xml:space="preserve">Moderna</t>
  </si>
  <si>
    <t xml:space="preserve">Infectious disease</t>
  </si>
  <si>
    <t xml:space="preserve">Nucleic acid (mRNA)</t>
  </si>
  <si>
    <t xml:space="preserve">Vendor case study + Moderna 10-K narrative</t>
  </si>
  <si>
    <t xml:space="preserve">AWS — Moderna case study; Moderna 10-K 2020</t>
  </si>
  <si>
    <t xml:space="preserve">https://press.aboutamazon.com/2020/8/aws-powers-modernas-digital-biotechnology-platform-to-develop-new-class-of-vaccines-and-therapeutics</t>
  </si>
  <si>
    <t xml:space="preserve">"delivered the first clinical batch of its vaccine candidate (mRNA-1273) … to the NIH for the Phase 1 trial 42 days after the initial sequencing of the virus."</t>
  </si>
  <si>
    <t xml:space="preserve">PD timeline compression</t>
  </si>
  <si>
    <t xml:space="preserve">LONG_VIEW. AWS source flagged — corroborated by Moderna SEC filings (2020 10-K). N=1 program; pandemic-era prioritization confounds the timeline read. Exclude AWS marketing rationale; use only as date corroboration.</t>
  </si>
  <si>
    <t xml:space="preserve">GM-007</t>
  </si>
  <si>
    <t xml:space="preserve">Manufacturing yield + cycle time (overall)</t>
  </si>
  <si>
    <t xml:space="preserve">Pfizer 2024 commentary states AI-powered manufacturing increased throughput by 20% across selected sites; not GAAP-broken-out as savings.</t>
  </si>
  <si>
    <t xml:space="preserve">+20% throughput (claim)</t>
  </si>
  <si>
    <t xml:space="preserve">3</t>
  </si>
  <si>
    <t xml:space="preserve">Company corporate communication</t>
  </si>
  <si>
    <t xml:space="preserve">Pfizer Insights — ""Pfizer's AI Advantage""</t>
  </si>
  <si>
    <t xml:space="preserve">https://insights.pfizer.com/pfizer%E2%80%99s-ai-advantage</t>
  </si>
  <si>
    <t xml:space="preserve">"AI-powered manufacturing increased throughput by 20%" — Pfizer Insights (2024).</t>
  </si>
  <si>
    <t xml:space="preserve">GM yield small mol; GM yield biologics</t>
  </si>
  <si>
    <t xml:space="preserve">RECENT-adjacent. Pfizer marketing page — flag tier carefully. Use only as directional; not load-bearing.</t>
  </si>
  <si>
    <t xml:space="preserve">GM-008</t>
  </si>
  <si>
    <t xml:space="preserve">Process development cycle time — CMC (AI agent)</t>
  </si>
  <si>
    <t xml:space="preserve">AstraZeneca disclosed that its AI Development Agent aims to halve chemistry-manufacturing-controls (CMC) development time, complementing the REINVENT generative-molecule pipeline that is used on ~70% of small-molecule chemistry projects.</t>
  </si>
  <si>
    <t xml:space="preserve">Target: -50% CMC time; deployed on 70% of small-mol projects</t>
  </si>
  <si>
    <t xml:space="preserve">AstraZeneca</t>
  </si>
  <si>
    <t xml:space="preserve">Small molecule</t>
  </si>
  <si>
    <t xml:space="preserve">Company R&amp;D narrative + Annual Report</t>
  </si>
  <si>
    <t xml:space="preserve">AstraZeneca — Data Science &amp; AI page</t>
  </si>
  <si>
    <t xml:space="preserve">https://www.astrazeneca.com/r-d/data-science-and-ai.html</t>
  </si>
  <si>
    <t xml:space="preserve">"halve chemistry, manufacturing and controls (CMC) development time" — AstraZeneca R&amp;D page; "70% of small molecule chemistry projects" — Soriot commentary, Clinical Research News, March 2025.</t>
  </si>
  <si>
    <t xml:space="preserve">RECENT. Soriot's claim of "measurable impact" repeated at investor events but not standalone-disclosed in 20-F as a savings line. Useful for directional CMC compression.</t>
  </si>
  <si>
    <t xml:space="preserve">GM-009</t>
  </si>
  <si>
    <t xml:space="preserve">Manufacturing yield, biologics (no measurable impact)</t>
  </si>
  <si>
    <t xml:space="preserve">Industry-level commentary in NPJ Drug Discovery (2025) notes that despite &gt;$250B in industry AI investment, no improvement has been observed in industry-wide preclinical or clinical success rates, with implication that downstream manufacturing yield gains remain largely speculative outside named programs.</t>
  </si>
  <si>
    <t xml:space="preserve">No industry-wide GM uplift observed</t>
  </si>
  <si>
    <t xml:space="preserve">Industry</t>
  </si>
  <si>
    <t xml:space="preserve">Peer-reviewed publication</t>
  </si>
  <si>
    <t xml:space="preserve">NPJ Drug Discovery — "The AI drug revolution needs a revolution" (2025)</t>
  </si>
  <si>
    <t xml:space="preserve">https://www.nature.com/articles/s44386-025-00013-6</t>
  </si>
  <si>
    <t xml:space="preserve">"medicine makers have yet to see substantially shorter development timelines or improvements in preclinical or clinical success rates." — npj Drug Discovery commentary, 2025</t>
  </si>
  <si>
    <t xml:space="preserve">DISCONFIRMING</t>
  </si>
  <si>
    <t xml:space="preserve">GM yield (caveat); R&amp;D opex (caveat)</t>
  </si>
  <si>
    <t xml:space="preserve">RECENT. Critical disconfirming framing. Peer-reviewed commentary. PMID search required for exact identifier. Use as headline counter-case.</t>
  </si>
  <si>
    <t xml:space="preserve">GM-010</t>
  </si>
  <si>
    <t xml:space="preserve">Yield uplift — pharma supply chain (failure modes)</t>
  </si>
  <si>
    <t xml:space="preserve">Industry-wide ~10.7% of pharma companies have fully implemented AI across clinical activities, suggesting reported yield/cycle-time uplifts are concentrated in early adopters and not yet broad-based.</t>
  </si>
  <si>
    <t xml:space="preserve">10.7% of pharma fully implemented AI</t>
  </si>
  <si>
    <t xml:space="preserve">Industry trade</t>
  </si>
  <si>
    <t xml:space="preserve">Coherent Solutions / VanEck thematic reports</t>
  </si>
  <si>
    <t xml:space="preserve">https://www.vaneck.com/us/en/blogs/thematic-investing/ai-in-biotech/</t>
  </si>
  <si>
    <t xml:space="preserve">"only 10.7% of companies have fully implemented AI across clinical activities" — VanEck thematic, 2025</t>
  </si>
  <si>
    <t xml:space="preserve">INDUSTRY ESTIMATE</t>
  </si>
  <si>
    <t xml:space="preserve">GM yield (caveat)</t>
  </si>
  <si>
    <t xml:space="preserve">RECENT. Tier 3 framing only; appendix use. Useful framing for the "adoption-vs-reported-savings" gap.</t>
  </si>
  <si>
    <t xml:space="preserve">SG-001</t>
  </si>
  <si>
    <t xml:space="preserve">SG&amp;A — AI commercial platform + cost realignment</t>
  </si>
  <si>
    <t xml:space="preserve">Pfizer's Q4 2024 earnings call disclosed that the company expects its cost realignment program to deliver an additional $1.2B in net savings — primarily in SG&amp;A — "in part by leveraging digital tools, including automation and AI, as well as simplification of business processes."</t>
  </si>
  <si>
    <t xml:space="preserve">$1.2B incremental SG&amp;A net savings (primarily 2025)</t>
  </si>
  <si>
    <t xml:space="preserve">Earnings call transcript</t>
  </si>
  <si>
    <t xml:space="preserve">Pfizer Q4 2024 earnings call (Feb 4, 2025)</t>
  </si>
  <si>
    <t xml:space="preserve">https://s28.q4cdn.com/781576035/files/doc_financials/2024/q4/PFE-USQ_Transcript_2025-02-04.pdf</t>
  </si>
  <si>
    <t xml:space="preserve">"the cost realignment program will deliver an additional $1.2 billion in net savings, primarily in SG&amp;A, in part by leveraging digital tools, including automation and AI." — Pfizer Q4 2024 earnings call transcript, Feb 4 2025</t>
  </si>
  <si>
    <t xml:space="preserve">blank</t>
  </si>
  <si>
    <t xml:space="preserve">SG&amp;A reduction; G&amp;A automation</t>
  </si>
  <si>
    <t xml:space="preserve">RECENT. STRONG Tier 1 quantified SG&amp;A claim explicitly tied to AI + automation. Highest-value find for Q1b.</t>
  </si>
  <si>
    <t xml:space="preserve">SG-002</t>
  </si>
  <si>
    <t xml:space="preserve">SG&amp;A — total cost realignment program</t>
  </si>
  <si>
    <t xml:space="preserve">Pfizer delivered the $4B net cost savings target from its 2023 cost realignment program by end-2024, with a further $4.5B in cumulative savings expected by end-2025 across COGS and SG&amp;A.</t>
  </si>
  <si>
    <t xml:space="preserve">$4.0B realized (2023–2024); $4.5B total by end-2025</t>
  </si>
  <si>
    <t xml:space="preserve">Earnings call transcript + press release</t>
  </si>
  <si>
    <t xml:space="preserve">"Pfizer delivered the $4 billion net cost savings target from the cost realignment program, with a further $4.5 billion in overall savings expected by end of 2025." — Pfizer Q4 2024 transcript</t>
  </si>
  <si>
    <t xml:space="preserve">SG&amp;A reduction (envelope)</t>
  </si>
  <si>
    <t xml:space="preserve">RECENT + LONG_VIEW. The bulk of savings is not exclusively AI-attributable. Useful as top-line envelope; back out AI component using SG-001 ($1.2B) as AI/automation share.</t>
  </si>
  <si>
    <t xml:space="preserve">SG-003</t>
  </si>
  <si>
    <t xml:space="preserve">SG&amp;A — commercial productivity (precision targeting + AI)</t>
  </si>
  <si>
    <t xml:space="preserve">Pfizer's commercial realignment + AI-driven resource deployment is credited with attaining a #1 or #2 rank in 70% of target clinical specialties per management commentary on the Q4 2024 call.</t>
  </si>
  <si>
    <t xml:space="preserve">70% of target specialties #1/#2</t>
  </si>
  <si>
    <t xml:space="preserve">Pfizer Q4 2024 earnings call</t>
  </si>
  <si>
    <t xml:space="preserve">"commercial realignment into U.S. and international divisions, combined with AI-driven resource optimization, resulted in the company attaining a #1 or #2 rank in 70% of its target clinical specialties."</t>
  </si>
  <si>
    <t xml:space="preserve">SG&amp;A field productivity</t>
  </si>
  <si>
    <t xml:space="preserve">RECENT. Output metric (rank) not an input metric (FTE saved). Useful but indirect.</t>
  </si>
  <si>
    <t xml:space="preserve">SG-004</t>
  </si>
  <si>
    <t xml:space="preserve">SG&amp;A — supply chain savings as G&amp;A reduction</t>
  </si>
  <si>
    <t xml:space="preserve">Sanofi's plai app supply-chain savings claim ($300m) is functionally a G&amp;A / SG&amp;A reduction since the savings come from working-capital optimization and inventory-write-down avoidance.</t>
  </si>
  <si>
    <t xml:space="preserve">$300m (reclassified to G&amp;A/COGS interface)</t>
  </si>
  <si>
    <t xml:space="preserve">Company magazine + Aily case study</t>
  </si>
  <si>
    <t xml:space="preserve">Aily Labs — Sanofi case study</t>
  </si>
  <si>
    <t xml:space="preserve">https://www.ailylabs.com/case-study/sanofi</t>
  </si>
  <si>
    <t xml:space="preserve">"$300 million in savings" (Sanofi via Aily Labs case study; corroborated by Sanofi own magazine).</t>
  </si>
  <si>
    <t xml:space="preserve">G&amp;A automation savings</t>
  </si>
  <si>
    <t xml:space="preserve">LONG_VIEW. Same claim as GM-005; tagged separately for SG&amp;A model input. Aily Labs is platform vendor (not consulting).</t>
  </si>
  <si>
    <t xml:space="preserve">SG-005</t>
  </si>
  <si>
    <t xml:space="preserve">SG&amp;A — Medical Writing (CSR drafting)</t>
  </si>
  <si>
    <t xml:space="preserve">Merck disclosed that LLM-based clinical study report (CSR) drafting reduces draft creation from 2–3 weeks to 3–4 days (-180h to -80h average, -55% time); error rates fell 50% in data/messaging/citation/terminology/typography categories.</t>
  </si>
  <si>
    <t xml:space="preserve">CSR draft time: 180h→80h (-55%); errors -50%</t>
  </si>
  <si>
    <t xml:space="preserve">Merck</t>
  </si>
  <si>
    <t xml:space="preserve">Company press release / corporate news</t>
  </si>
  <si>
    <t xml:space="preserve">Merck — ""Merck Expands Innovative Internal Generative AI Solutions""</t>
  </si>
  <si>
    <t xml:space="preserve">https://www.merck.com/news/merck-expands-innovative-internal-generative-ai-solutions-helping-to-deliver-medicines-to-patients-faster/</t>
  </si>
  <si>
    <t xml:space="preserve">"reduced the time to create a fully human-reviewed CSR first draft from an average of 180 hours to 80 hours and increased the quality of CSR drafts as measured by reducing the number of errors by 50%."</t>
  </si>
  <si>
    <t xml:space="preserve">R&amp;D/SG&amp;A productivity (medical affairs adjacent)</t>
  </si>
  <si>
    <t xml:space="preserve">LONG_VIEW. STRONG Tier 1 quantified medical-writing FTE-equivalent savings. CSR is shared R&amp;D/Med Affairs; sits between Q1b and Q1c.</t>
  </si>
  <si>
    <t xml:space="preserve">SG-006</t>
  </si>
  <si>
    <t xml:space="preserve">SG&amp;A — Marketing AI platform ('Charlie')</t>
  </si>
  <si>
    <t xml:space="preserve">Pfizer's generative AI marketing platform 'Charlie' (launched Feb 2024) is deployed to hundreds of marketers and external agency partners (Publicis, IPG) by 2025; intended to reduce content creation, editing, fact-checking, and legal review cycles.</t>
  </si>
  <si>
    <t xml:space="preserve">Qualitative — deployment scaled to hundreds → thousands of users</t>
  </si>
  <si>
    <t xml:space="preserve">Industry trade + company press</t>
  </si>
  <si>
    <t xml:space="preserve">Digiday + American Healthcare Leader</t>
  </si>
  <si>
    <t xml:space="preserve">https://digiday.com/marketing/with-charlie-pfizer-is-building-a-new-generative-ai-platform-for-pharma-marketing/</t>
  </si>
  <si>
    <t xml:space="preserve">"generative AI platform aimed at revolutionising pharma marketing by improving content creation, editing, fact-checking, and legal reviews." (Pfizer + Digiday, Feb 2024).</t>
  </si>
  <si>
    <t xml:space="preserve">SG&amp;A marketing efficiency</t>
  </si>
  <si>
    <t xml:space="preserve">LONG_VIEW + RECENT. No FTE or $ savings disclosed for Charlie; flagged as deployment proof not productivity proof.</t>
  </si>
  <si>
    <t xml:space="preserve">SG-007</t>
  </si>
  <si>
    <t xml:space="preserve">SG&amp;A — Field force AI / next-best-action</t>
  </si>
  <si>
    <t xml:space="preserve">Veeva markets next-best-action AI (CRM Bot, Pre-call Agent) to pharma field forces with AstraZeneca disclosed as a customer reporting 29% ROI on Veeva Vault CRM (vendor disclosure).</t>
  </si>
  <si>
    <t xml:space="preserve">29% ROI claim (vendor)</t>
  </si>
  <si>
    <t xml:space="preserve">AstraZeneca (Veeva customer)</t>
  </si>
  <si>
    <t xml:space="preserve">Vendor case study (Veeva)</t>
  </si>
  <si>
    <t xml:space="preserve">IntuitionLabs Veeva/Salesforce comparison; cited Veeva customer disclosures</t>
  </si>
  <si>
    <t xml:space="preserve">https://intuitionlabs.ai/articles/veeva-vs-salesforce-life-sciences</t>
  </si>
  <si>
    <t xml:space="preserve">"Veeva customers like AstraZeneca report large ROI (29%) and efficiency gains."</t>
  </si>
  <si>
    <t xml:space="preserve">RECENT. VENDOR DISCLOSURE — Tier 3 only. AstraZeneca has not independently disclosed this in 20-F or earnings. Used only for framing.</t>
  </si>
  <si>
    <t xml:space="preserve">SG-008</t>
  </si>
  <si>
    <t xml:space="preserve">SG&amp;A — Eli Lilly operating leverage (cross-functional AI)</t>
  </si>
  <si>
    <t xml:space="preserve">Eli Lilly Q1 2026: revenue +56% YoY; SG&amp;A grew 19% and R&amp;D grew 28% — both materially slower than revenue growth, driving operating-margin expansion to 49% (vs. 43% Q1 2025). Management attributes part of the gap to AI/automation but does not break out a standalone AI savings line.</t>
  </si>
  <si>
    <t xml:space="preserve">SG&amp;A 19% YoY vs revenue 56% YoY (Q1 2026); operating margin 49% (+6pp YoY)</t>
  </si>
  <si>
    <t xml:space="preserve">Eli Lilly</t>
  </si>
  <si>
    <t xml:space="preserve">Earnings press release</t>
  </si>
  <si>
    <t xml:space="preserve">Eli Lilly Q1 2026 financial results press release</t>
  </si>
  <si>
    <t xml:space="preserve">https://investor.lilly.com/news-releases/news-release-details/lilly-reports-first-quarter-2026-financial-results-raises-full</t>
  </si>
  <si>
    <t xml:space="preserve">"Marketing, selling, and administrative expenses increased 19% to $2.9 billion in Q1 2026" — Lilly Q1 2026 release; operating margin expansion narrative per Q1 2026 transcript.</t>
  </si>
  <si>
    <t xml:space="preserve">SG&amp;A operating leverage</t>
  </si>
  <si>
    <t xml:space="preserve">RECENT. Strong proxy for "AI helping operating leverage" but not AI-attributable in isolation. Caveat: growth from incretins (Mounjaro/Zepbound) drives the leverage, not directly AI.</t>
  </si>
  <si>
    <t xml:space="preserve">SG-009</t>
  </si>
  <si>
    <t xml:space="preserve">SG&amp;A — Pfizer field research / search productivity</t>
  </si>
  <si>
    <t xml:space="preserve">Pfizer reports 16,000 hours saved via implementing improved AI-search capabilities, equivalent to ~8 FTE-years of research effort.</t>
  </si>
  <si>
    <t xml:space="preserve">16,000 hours / ~8 FTE-years saved</t>
  </si>
  <si>
    <t xml:space="preserve">Chief AI Officer / corroborated by Pfizer internal communications</t>
  </si>
  <si>
    <t xml:space="preserve">https://chiefaiofficer.com/how-pfizer-cut-drug-discovery-time-from-years-to-30-days-and-what-every-ceo-can-learn/</t>
  </si>
  <si>
    <t xml:space="preserve">"Pfizer achieved 16,000 saved hours, equivalent to eight full-time researchers worth of productivity gain from implementing better search capabilities."</t>
  </si>
  <si>
    <t xml:space="preserve">R&amp;D productivity / SG&amp;A productivity</t>
  </si>
  <si>
    <t xml:space="preserve">LONG_VIEW. Single-source claim; not confirmed in 10-K. Useful as directional FTE-equivalent metric.</t>
  </si>
  <si>
    <t xml:space="preserve">RD-001</t>
  </si>
  <si>
    <t xml:space="preserve">R&amp;D opex per IND (AI-enabled vs traditional)</t>
  </si>
  <si>
    <t xml:space="preserve">Insilico Medicine's INS018_055 / Rentosertib (TNIK inhibitor, IPF) progressed from target identification to preclinical candidate nomination in ~18 months at a total budget of ~$2.6M (vs. industry traditional discovery cost ~$50–100M per preclinical candidate per DiMasi/Tufts CSDD).</t>
  </si>
  <si>
    <t xml:space="preserve">$2.6M to PCC (AI-enabled) vs ~$50–100M traditional (Tufts CSDD benchmark)</t>
  </si>
  <si>
    <t xml:space="preserve">Insilico Medicine</t>
  </si>
  <si>
    <t xml:space="preserve">Rare disease (IPF)</t>
  </si>
  <si>
    <t xml:space="preserve">Peer-reviewed publication + company press release</t>
  </si>
  <si>
    <t xml:space="preserve">Nature Biotechnology (Ren et al. 2024) and Insilico ""Phase1"" landing page</t>
  </si>
  <si>
    <t xml:space="preserve">https://www.nature.com/articles/s41587-024-02143-0</t>
  </si>
  <si>
    <t xml:space="preserve">"From target hypothesis to preclinical candidate selection … less than 18 months and at a total cost of approximately $1,800,000 for IPF and $800,000 for other fibrotic disorders." — Nature Biotechnology, Ren et al. 2024</t>
  </si>
  <si>
    <t xml:space="preserve">R&amp;D opex per IND</t>
  </si>
  <si>
    <t xml:space="preserve">LONG_VIEW + RECENT. Single program, survivorship bias. Compare to traditional ~$50–100M ballpark per Tufts CSDD; flag traditional benchmark separately. N=1.</t>
  </si>
  <si>
    <t xml:space="preserve">RD-002</t>
  </si>
  <si>
    <t xml:space="preserve">R&amp;D opex per IND (AI-enabled portfolio metric)</t>
  </si>
  <si>
    <t xml:space="preserve">Insilico Medicine has nominated 22 preclinical candidates 2021–2024; each project required synthesis and testing of only ~60–200 molecules vs. traditional discovery requiring thousands to tens of thousands of molecules synthesized.</t>
  </si>
  <si>
    <t xml:space="preserve">60–200 molecules per PCC (AI) vs ~5,000+ (industry)</t>
  </si>
  <si>
    <t xml:space="preserve">Company press release + supporting Nature Medicine publication</t>
  </si>
  <si>
    <t xml:space="preserve">Insilico — Phase 2a Rentosertib announcement (June 2025)</t>
  </si>
  <si>
    <t xml:space="preserve">https://www.prnewswire.com/news-releases/insilico-medicine-announces-nature-medicine-publication-of-phase-iia-results-evaluating-rentosertib-the-novel-tnik-inhibitor-for-idiopathic-pulmonary-fibrosis-ipf-discovered-and-designed-with-a-pioneering-ai-approach-302472070.html</t>
  </si>
  <si>
    <t xml:space="preserve">"Insilico's 22 nominated candidate drugs from 2021 to 2024 took only 12–18 months on average … each project requiring synthesis and testing of only about 60–200 molecules."</t>
  </si>
  <si>
    <t xml:space="preserve">R&amp;D opex per molecule; R&amp;D opex per IND</t>
  </si>
  <si>
    <t xml:space="preserve">RECENT. Higher-confidence than RD-001 because n=22, not n=1. Industry comparator (~5,000+ molecules per traditional PCC) is approximate — flag for tighter sourcing.</t>
  </si>
  <si>
    <t xml:space="preserve">RD-003</t>
  </si>
  <si>
    <t xml:space="preserve">R&amp;D opex per program — AI-native operating model</t>
  </si>
  <si>
    <t xml:space="preserve">Recursion Pharmaceuticals Q1 2026: cash operating expenses reduced 30% YoY to $85M; R&amp;D expenses fell to $87.9M (from $129.6M Q1 2025), G&amp;A fell to $34.6M (from $54.7M Q1 2025). Management cites "ongoing efficiency gains from technology advancements and the adoption of agents."</t>
  </si>
  <si>
    <t xml:space="preserve">R&amp;D -32% YoY; G&amp;A -37% YoY (Q1 2026)</t>
  </si>
  <si>
    <t xml:space="preserve">Recursion (RXRX)</t>
  </si>
  <si>
    <t xml:space="preserve">Recursion Q1 2026 financial results</t>
  </si>
  <si>
    <t xml:space="preserve">https://ir.recursion.com/news-releases/news-release-details/recursion-reports-first-quarter-financial-results-and</t>
  </si>
  <si>
    <t xml:space="preserve">"Research and development expenses fell to $87.9 million from $129.6 million a year ago, while general and administrative expenses dropped to $34.6 million from $54.7 million." — Recursion Q1 2026 release</t>
  </si>
  <si>
    <t xml:space="preserve">R&amp;D opex per program; G&amp;A automation</t>
  </si>
  <si>
    <t xml:space="preserve">RECENT. STRONG quantified Tier 1 disconfirming-of-baseline. NOTE: Cuts include integration savings from Exscientia acquisition + portfolio reprioritization, not solely AI productivity. Caveat heavily.</t>
  </si>
  <si>
    <t xml:space="preserve">RD-004</t>
  </si>
  <si>
    <t xml:space="preserve">R&amp;D opex — AI-native scaling-cost economics</t>
  </si>
  <si>
    <t xml:space="preserve">Recursion's stated operating model: first 10–15 programs cost MORE per program than traditional; programs 50–100 cost "dramatically less" with faster cycle times. Operating leverage thesis is forward-looking not yet realized.</t>
  </si>
  <si>
    <t xml:space="preserve">Cost-per-program leverage curve (qualitative)</t>
  </si>
  <si>
    <t xml:space="preserve">Investor presentation / management commentary</t>
  </si>
  <si>
    <t xml:space="preserve">Recursion Download Day investor commentary</t>
  </si>
  <si>
    <t xml:space="preserve">https://ir.recursion.com/news-releases/news-release-details/recursion-gives-guidance-seven-clinical-readouts-within-18</t>
  </si>
  <si>
    <t xml:space="preserve">"first 10–15 programs cost more per program than traditional approaches, but programs 50–100 cost dramatically less while moving faster" (Recursion investor day commentary, paraphrased).</t>
  </si>
  <si>
    <t xml:space="preserve">R&amp;D opex per program</t>
  </si>
  <si>
    <t xml:space="preserve">LONG_VIEW. Forward thesis; no realized data confirming the back half of the leverage curve. Use as framing only.</t>
  </si>
  <si>
    <t xml:space="preserve">RD-005</t>
  </si>
  <si>
    <t xml:space="preserve">R&amp;D — AI in molecule design penetration (BMS)</t>
  </si>
  <si>
    <t xml:space="preserve">Bristol Myers Squibb: 100% of small molecules moving from research into development now have AI as part of optimization process; close to 50% of large molecule programs use AI; up from just 5% AI penetration in small molecules in 2021.</t>
  </si>
  <si>
    <t xml:space="preserve">100% (sm mol); ~50% (lg mol); was 5% in 2021</t>
  </si>
  <si>
    <t xml:space="preserve">Bristol Myers Squibb (BMY)</t>
  </si>
  <si>
    <t xml:space="preserve">Industry trade interview</t>
  </si>
  <si>
    <t xml:space="preserve">GEN — ""Predict First: BMS Executives Discuss AI Approach""</t>
  </si>
  <si>
    <t xml:space="preserve">https://www.genengnews.com/topics/artificial-intelligence/predict-first-bms-executives-discuss-companys-ai-approach/</t>
  </si>
  <si>
    <t xml:space="preserve">"All of BMS's 'predict first'-enabled small molecule programs now use AI to evaluate properties like efficacy prior to synthesis, a significant leap from just 5% in 2021."</t>
  </si>
  <si>
    <t xml:space="preserve">R&amp;D opex per molecule</t>
  </si>
  <si>
    <t xml:space="preserve">LONG_VIEW. Penetration metric not $ savings. Higher AI usage doesn't necessarily mean lower opex — could be flat with more shots on goal. Caveat as adoption not savings.</t>
  </si>
  <si>
    <t xml:space="preserve">RD-006</t>
  </si>
  <si>
    <t xml:space="preserve">R&amp;D — AI in molecule design (AstraZeneca penetration)</t>
  </si>
  <si>
    <t xml:space="preserve">AstraZeneca CEO Pascal Soriot: REINVENT generative AI used across ~70% of small-molecule chemistry projects; aims to identify lead molecules in half the time vs. baseline.</t>
  </si>
  <si>
    <t xml:space="preserve">70% project penetration; -50% time to lead</t>
  </si>
  <si>
    <t xml:space="preserve">Industry trade + corporate website</t>
  </si>
  <si>
    <t xml:space="preserve">Clinical Research News Online (March 2025); AstraZeneca R&amp;D page</t>
  </si>
  <si>
    <t xml:space="preserve">https://www.clinicalresearchnewsonline.com/news/2025/03/04/astrazeneca-scaling-up-use-of-generative-ai-to-help-reach-2030-ambitions</t>
  </si>
  <si>
    <t xml:space="preserve">"halved the time needed to identify molecular structures … 70 percent of its small molecule chemistry projects." — Soriot commentary, March 2025.</t>
  </si>
  <si>
    <t xml:space="preserve">R&amp;D opex per IND; PD timeline</t>
  </si>
  <si>
    <t xml:space="preserve">RECENT. Strong management commentary; not yet in 20-F as standalone savings. Repeat by Soriot suggests durability.</t>
  </si>
  <si>
    <t xml:space="preserve">RD-007</t>
  </si>
  <si>
    <t xml:space="preserve">R&amp;D — AbbVie ARCH knowledge platform productivity</t>
  </si>
  <si>
    <t xml:space="preserve">AbbVie's ARCH platform aggregates 450TB of internal+external R&amp;D data with 1.7 billion knowledge graphs across 200+ data sources. Company claim: 5 drug approvals 2016–2021 vs. 19 major approvals 2021–2025+ (12 more expected) coinciding with ARCH/AI buildout — correlation not causation but disclosed by company.</t>
  </si>
  <si>
    <t xml:space="preserve">5 → 19 approvals (4x); 12 expected</t>
  </si>
  <si>
    <t xml:space="preserve">AbbVie (ABBV)</t>
  </si>
  <si>
    <t xml:space="preserve">Company corporate story + Bio-IT World coverage</t>
  </si>
  <si>
    <t xml:space="preserve">AbbVie — ""Three Ways AI Is Changing Drug Discovery""; Bio-IT World on Howard Jacob</t>
  </si>
  <si>
    <t xml:space="preserve">https://www.abbvie.com/who-we-are/our-stories/three-ways-ai-is-changing-drug-discovery-at-abbvie.html</t>
  </si>
  <si>
    <t xml:space="preserve">"450 terabytes of data … 1.7 billion knowledge graphs" — AbbVie corporate story; "five new drug approvals … 19 major product or indication approvals" — Klover.ai analysis citing AbbVie sources</t>
  </si>
  <si>
    <t xml:space="preserve">R&amp;D productivity (qualitative)</t>
  </si>
  <si>
    <t xml:space="preserve">LONG_VIEW. CORRELATION ≠ CAUSATION caveat is strong — many approvals are post-Humira pipeline (Skyrizi, Rinvoq, ABBV-elahere via ImmunoGen, etc.) acquired or developed pre-ARCH. Useful framing only; do not feed as model input.</t>
  </si>
  <si>
    <t xml:space="preserve">RD-008</t>
  </si>
  <si>
    <t xml:space="preserve">R&amp;D opex per validated target — GSK genetics-first</t>
  </si>
  <si>
    <t xml:space="preserve">GSK has more than doubled the number of targets in its early portfolio since 2017 with &gt;70% having genetic support (vs. baseline ~30%), reflecting AI/ML + functional genomics improvements; R&amp;D spend £6.4B in 2024.</t>
  </si>
  <si>
    <t xml:space="preserve">2x portfolio targets; 70% genetic-supported vs ~30% baseline</t>
  </si>
  <si>
    <t xml:space="preserve">GSK</t>
  </si>
  <si>
    <t xml:space="preserve">Industry / company narrative</t>
  </si>
  <si>
    <t xml:space="preserve">GSK Innovation page; GSK 2024 Annual Report</t>
  </si>
  <si>
    <t xml:space="preserve">https://www.gsk.com/en-gb/innovation/</t>
  </si>
  <si>
    <t xml:space="preserve">"GSK has more than doubled the number of targets in its early portfolio and increased the proportion of those targets with genetic support to over 70%." — GSK narrative, sourced via Klover analysis citing GSK communications</t>
  </si>
  <si>
    <t xml:space="preserve">R&amp;D opex per validated target</t>
  </si>
  <si>
    <t xml:space="preserve">LONG_VIEW. Penetration claim. Genetic support rate is GSK's headline AI-ML productivity metric. "Target validation" $-per-target not disclosed.</t>
  </si>
  <si>
    <t xml:space="preserve">RD-009</t>
  </si>
  <si>
    <t xml:space="preserve">R&amp;D opex per IND — Compugen TIGIT/PD-1 bispecific (Rilvegostomig)</t>
  </si>
  <si>
    <t xml:space="preserve">Compugen's Rilvegostomig (PD-1/TIGIT bispecific) discovered via computational target ID approach; licensed to AstraZeneca; Phase 1b/III ongoing with 57.5% ORR + 95% DCR in 1L NSCLC (combo Datroway).</t>
  </si>
  <si>
    <t xml:space="preserve">ORR 57.5%; DCR 95% (1L NSCLC)</t>
  </si>
  <si>
    <t xml:space="preserve">Compugen / AstraZeneca</t>
  </si>
  <si>
    <t xml:space="preserve">Oncology</t>
  </si>
  <si>
    <t xml:space="preserve">Antibody (bispecific)</t>
  </si>
  <si>
    <t xml:space="preserve">AI Pipeline Tracker cross-link (#3)</t>
  </si>
  <si>
    <t xml:space="preserve">AI Pipeline Tracker; ASCO/ESMO/AACR primary disclosures</t>
  </si>
  <si>
    <t xml:space="preserve">N/A (cross-link to 00_Inputs_AI_Drug_Pipeline_Tracker.xlsx row #3)</t>
  </si>
  <si>
    <t xml:space="preserve">"57.5% ORR + 95% DCR in 1L NSCLC (combo w/ Datroway). Licensed to AZ." — AI Pipeline Tracker row 3 (Jayatunga + extension)</t>
  </si>
  <si>
    <t xml:space="preserve">R&amp;D opex per IND (output validation)</t>
  </si>
  <si>
    <t xml:space="preserve">LONG_VIEW + RECENT. Output success more relevant to Q2 than Q1; included as proof that AI-discovery output exists and is generating commercial deals (license to AZ).</t>
  </si>
  <si>
    <t xml:space="preserve">RD-010</t>
  </si>
  <si>
    <t xml:space="preserve">R&amp;D opex per IND — Nimbus TYK2 (Zasocitinib)</t>
  </si>
  <si>
    <t xml:space="preserve">Nimbus / Takeda Zasocitinib (TYK2; FEP+ small-molecule design) — Phase III met all co-primary + 44 secondary endpoints (Dec 2025); Takeda paid $4B upfront + $2B milestones for the program. AI-enabled design path supports R&amp;D opex per IND/IND-to-positive Phase III comparison.</t>
  </si>
  <si>
    <t xml:space="preserve">$4B upfront + $2B milestones for AI-discovered asset</t>
  </si>
  <si>
    <t xml:space="preserve">Nimbus / Takeda</t>
  </si>
  <si>
    <t xml:space="preserve">Immunology (psoriasis)</t>
  </si>
  <si>
    <t xml:space="preserve">Press release + AI Pipeline Tracker</t>
  </si>
  <si>
    <t xml:space="preserve">Takeda press release on Nimbus acquisition (2022) + Phase III topline</t>
  </si>
  <si>
    <t xml:space="preserve">N/A (cross-link to AI Pipeline Tracker row #1)</t>
  </si>
  <si>
    <t xml:space="preserve">"$4B + $2B milestones." — AI Pipeline Tracker row 1; corroborated by Takeda press release</t>
  </si>
  <si>
    <t xml:space="preserve">R&amp;D opex per IND (output-side benchmark)</t>
  </si>
  <si>
    <t xml:space="preserve">LONG_VIEW. Output-side value capture per AI-discovered IND. Cross-references Q4 deal flow.</t>
  </si>
  <si>
    <t xml:space="preserve">RD-011</t>
  </si>
  <si>
    <t xml:space="preserve">R&amp;D — Pfizer AI in drug discovery time (30 days narrative)</t>
  </si>
  <si>
    <t xml:space="preserve">Pfizer cited (in 2024 corporate communications) the ability to compress certain discovery cycles from years to "30 days" for selected workflows — Tier 3 framing not corroborated in 10-K.</t>
  </si>
  <si>
    <t xml:space="preserve">30 days (from ""years"") — claim</t>
  </si>
  <si>
    <t xml:space="preserve">Chief AI Officer</t>
  </si>
  <si>
    <t xml:space="preserve">"Pfizer Cut Drug Discovery Time From Years to 30 Days" — Chief AI Officer (industry trade), 2024</t>
  </si>
  <si>
    <t xml:space="preserve">R&amp;D timeline (not model input)</t>
  </si>
  <si>
    <t xml:space="preserve">RECENT. Round-number flag triggered. Appendix only.</t>
  </si>
  <si>
    <t xml:space="preserve">RD-012</t>
  </si>
  <si>
    <t xml:space="preserve">R&amp;D opex per IND — disconfirming Phase 2 attrition</t>
  </si>
  <si>
    <t xml:space="preserve">Per Jayatunga et al. (Drug Discovery Today 2024) and follow-up analyses: AI-discovered molecules show 80–90% Phase I success (vs. ~52% historic) BUT Phase II success ~40%, roughly equal to historic industry baseline. Implication: AI savings concentrate in preclinical/IND not in clinical-stage opex.</t>
  </si>
  <si>
    <t xml:space="preserve">P1 80–90% (AI) vs ~52% historic; P2 ~40% (both)</t>
  </si>
  <si>
    <t xml:space="preserve">AI cohort</t>
  </si>
  <si>
    <t xml:space="preserve">Jayatunga et al. Drug Discovery Today 2024 — ""How successful are AI-discovered drugs in clinical trials?""</t>
  </si>
  <si>
    <t xml:space="preserve">https://www.sciencedirect.com/science/article/pii/S135964462400134X</t>
  </si>
  <si>
    <t xml:space="preserve">"80–90% success rate in Phase I … In Phase II the success rate is ~40%, albeit on a limited sample size, comparable to historic industry averages."</t>
  </si>
  <si>
    <t xml:space="preserve">R&amp;D opex per IND (caveat); PoS by phase</t>
  </si>
  <si>
    <t xml:space="preserve">LONG_VIEW. The ANCHOR disconfirming claim for the entire memo. AI productivity savings concentrate in discovery, not late-stage.</t>
  </si>
  <si>
    <t xml:space="preserve">RD-013</t>
  </si>
  <si>
    <t xml:space="preserve">R&amp;D — Exscientia DSP-1181 OCD failure</t>
  </si>
  <si>
    <t xml:space="preserve">Sumitomo Pharma terminated DSP-1181 (5-HT1a agonist for OCD) after Phase I — the world's first AI-designed drug to enter clinical trials. Discovery completed in &lt;12 months. Termination demonstrates AI-discovery timeline compression does not translate to clinical-stage probability uplift.</t>
  </si>
  <si>
    <t xml:space="preserve">&lt;12 mo discovery; Phase I terminated 2022</t>
  </si>
  <si>
    <t xml:space="preserve">Exscientia / Sumitomo</t>
  </si>
  <si>
    <t xml:space="preserve">Neuro/CNS</t>
  </si>
  <si>
    <t xml:space="preserve">Industry trade + Exscientia disclosure</t>
  </si>
  <si>
    <t xml:space="preserve">European Pharmaceutical Review; Exscientia DSP-1181 portfolio page</t>
  </si>
  <si>
    <t xml:space="preserve">https://www.europeanpharmaceuticalreview.com/news/112044/dsp-1181-drug-created-using-ai-enters-clinical-trials/</t>
  </si>
  <si>
    <t xml:space="preserve">"DSP-1181 was discontinued after Phase I, despite a favorable safety profile, highlighting that the acceleration of discovery timelines by AI does not guarantee clinical success."</t>
  </si>
  <si>
    <t xml:space="preserve">R&amp;D opex per IND (output caveat)</t>
  </si>
  <si>
    <t xml:space="preserve">LONG_VIEW. Companion to RD-012 disconfirming. Foundational case study for "speed-vs-success" framing.</t>
  </si>
  <si>
    <t xml:space="preserve">RD-014</t>
  </si>
  <si>
    <t xml:space="preserve">R&amp;D — Recursion + Bayer LOWE platform usage</t>
  </si>
  <si>
    <t xml:space="preserve">Bayer became first external beta-user of Recursion's LOWE LLM-orchestrated workflow engine; joint Bayer-Recursion oncology project initiated 2024 + 25 multi-modal data packages delivered Q3 2024 — used as evidence for cost-per-target validation acceleration.</t>
  </si>
  <si>
    <t xml:space="preserve">25 multi-modal data packages (Q3 2024)</t>
  </si>
  <si>
    <t xml:space="preserve">Bayer / Recursion</t>
  </si>
  <si>
    <t xml:space="preserve">Press release</t>
  </si>
  <si>
    <t xml:space="preserve">Recursion press release — Download Day Bayer partnership update</t>
  </si>
  <si>
    <t xml:space="preserve">"Bayer became the first external beta-user of Recursion's LOWE … 25 unique multi-modal data packages expected to be delivered in the third quarter of 2024."</t>
  </si>
  <si>
    <t xml:space="preserve">R&amp;D opex per target</t>
  </si>
  <si>
    <t xml:space="preserve">RECENT. Adoption proof not $ savings. Useful for "external validation" of platform economics.</t>
  </si>
  <si>
    <t xml:space="preserve">RD-015</t>
  </si>
  <si>
    <t xml:space="preserve">R&amp;D — Insilico/Lilly deal for Rentosertib licensing</t>
  </si>
  <si>
    <t xml:space="preserve">Eli Lilly signed a $2.75B deal with Insilico for Rentosertib (March 2026) following positive Phase IIa data — establishing market-clearing price for an AI-discovered Phase IIa asset and validating Insilico's R&amp;D opex efficiency thesis.</t>
  </si>
  <si>
    <t xml:space="preserve">$2.75B deal value for AI-discovered Phase IIa asset</t>
  </si>
  <si>
    <t xml:space="preserve">Eli Lilly / Insilico</t>
  </si>
  <si>
    <t xml:space="preserve">AI Pipeline Tracker + Insilico/Lilly press release</t>
  </si>
  <si>
    <t xml:space="preserve">Insilico Medicine — Lilly deal announcement (March 2026)</t>
  </si>
  <si>
    <t xml:space="preserve">N/A (cross-link to AI Pipeline Tracker row #2)</t>
  </si>
  <si>
    <t xml:space="preserve">"Lilly signed $2.75B deal Mar 2026." — AI Pipeline Tracker row 2 (Bernstein extension)</t>
  </si>
  <si>
    <t xml:space="preserve">R&amp;D opex per IND (output value)</t>
  </si>
  <si>
    <t xml:space="preserve">RECENT. Validates "$2.6M-to-PCC" thesis with massive value capture. Output-side benchmark; cross-link to Q4 deal flow.</t>
  </si>
  <si>
    <t xml:space="preserve">RD-016</t>
  </si>
  <si>
    <t xml:space="preserve">R&amp;D — Schrödinger software gross margin discipline</t>
  </si>
  <si>
    <t xml:space="preserve">Schrödinger FY 2024 Software gross margin 80% (vs 81% FY 2023); FY 2024 software revenue $180.4M (+13.3% YoY); ACV guide 10–15% growth in 2026 from $218–228M base. AI-platform business model: 80%+ software gross margin sustainable.</t>
  </si>
  <si>
    <t xml:space="preserve">80% software GM; $180.4M FY24 software rev</t>
  </si>
  <si>
    <t xml:space="preserve">Schrödinger (SDGR)</t>
  </si>
  <si>
    <t xml:space="preserve">Press release / 10-K</t>
  </si>
  <si>
    <t xml:space="preserve">Schrödinger Q4/FY 2024 press release</t>
  </si>
  <si>
    <t xml:space="preserve">https://ir.schrodinger.com/press-releases/news-details/2025/Schrdinger-Reports-Strong-Fourth-Quarter-and-Full-Year-2024-Financial-Results/default.aspx</t>
  </si>
  <si>
    <t xml:space="preserve">"Software gross margin was 80% for the full year, compared to 81% for 2023."</t>
  </si>
  <si>
    <t xml:space="preserve">GM proxy — AI software platform</t>
  </si>
  <si>
    <t xml:space="preserve">LONG_VIEW + RECENT. Tier 1 SDGR baseline economic. Useful as benchmark for "what AI-platform gross margin looks like" vs ~75–85% pharma branded GM.</t>
  </si>
  <si>
    <t xml:space="preserve">RD-017</t>
  </si>
  <si>
    <t xml:space="preserve">R&amp;D — Recursion gross margin disclosure 2024</t>
  </si>
  <si>
    <t xml:space="preserve">Recursion FY 2024 revenue $58.5M; cost of revenue $45.2M; gross profit $13.3M = 22.7% gross margin; operating expenses $492.3M; operating loss -$479M. Demonstrates AI-native drug discovery economics still pre-leverage.</t>
  </si>
  <si>
    <t xml:space="preserve">FY24 GM 22.7%; opex $492M; OL -$479M</t>
  </si>
  <si>
    <t xml:space="preserve">SEC filing (10-K)</t>
  </si>
  <si>
    <t xml:space="preserve">Recursion 2024 10-K</t>
  </si>
  <si>
    <t xml:space="preserve">https://www.stocktitan.net/financials/RXRX/</t>
  </si>
  <si>
    <t xml:space="preserve">"For the year ended December 31, 2024, Recursion reported total revenue of $58.488 million, cost of revenue of $45.238 million resulting in gross profit of $13.250 million, and operating expenses of $492.254 million."</t>
  </si>
  <si>
    <t xml:space="preserve">GM AI-native baseline</t>
  </si>
  <si>
    <t xml:space="preserve">LONG_VIEW. Disconfirming-adjacent: AI-native companies are not yet showing operating leverage in published financials at scale. Note Exscientia integration distorts 2024 comparability.</t>
  </si>
  <si>
    <t xml:space="preserve">RD-018</t>
  </si>
  <si>
    <t xml:space="preserve">R&amp;D — Recursion R&amp;D growth 2024→2025</t>
  </si>
  <si>
    <t xml:space="preserve">Recursion R&amp;D expenses: $314.4M FY24 → $475.3M FY25 (+51%); 2025 jump driven primarily by Tempus data purchases + Exscientia integration, not core platform spend.</t>
  </si>
  <si>
    <t xml:space="preserve">R&amp;D +51% YoY (FY24→FY25)</t>
  </si>
  <si>
    <t xml:space="preserve">Recursion FY 2025 results</t>
  </si>
  <si>
    <t xml:space="preserve">https://ir.recursion.com/news-releases/news-release-details/recursion-reports-fourth-quarter-and-full-year-2025-financial</t>
  </si>
  <si>
    <t xml:space="preserve">"Research and development expenses were $475.3 million for the year ended December 31, 2025, compared to $314.4 million for the year ended December 31, 2024."</t>
  </si>
  <si>
    <t xml:space="preserve">R&amp;D opex</t>
  </si>
  <si>
    <t xml:space="preserve">LONG_VIEW. Disconfirming. AI-native R&amp;D is not yet getting cheaper — but cuts are starting Q1 2026 (see RD-003).</t>
  </si>
  <si>
    <t xml:space="preserve">RD-019</t>
  </si>
  <si>
    <t xml:space="preserve">R&amp;D — BMS NVIDIA DGX SuperPOD AI infrastructure</t>
  </si>
  <si>
    <t xml:space="preserve">BMS deployed NVIDIA DGX SuperPOD (March 2024) as centralized AI platform across R&amp;D; 30+ generative AI solutions implemented across R&amp;D, GPD&amp;S, and Commercialization in partnership with Accenture.</t>
  </si>
  <si>
    <t xml:space="preserve">30+ AI solutions deployed</t>
  </si>
  <si>
    <t xml:space="preserve">Vendor case study (NVIDIA) + Accenture case study</t>
  </si>
  <si>
    <t xml:space="preserve">BMS Predict First commentary + Accenture case study</t>
  </si>
  <si>
    <t xml:space="preserve">https://www.bms.com/life-and-science/news-and-perspectives/leveraging-ai-to-enance-innovation-efficiency.html</t>
  </si>
  <si>
    <t xml:space="preserve">"BMS's NVIDIA DGX SuperPOD … served as a centralized AI platform … 30 generative AI solutions across R&amp;D, GPD&amp;S, and Commercialization"</t>
  </si>
  <si>
    <t xml:space="preserve">R&amp;D infrastructure</t>
  </si>
  <si>
    <t xml:space="preserve">LONG_VIEW. NVIDIA case study source excluded as primary per shared rules; BMS corporate page used as primary. Adoption proof not $ savings.</t>
  </si>
  <si>
    <t xml:space="preserve">RD-020</t>
  </si>
  <si>
    <t xml:space="preserve">R&amp;D — LLY-NVIDIA AI co-innovation lab ($1B commitment)</t>
  </si>
  <si>
    <t xml:space="preserve">Lilly + NVIDIA announced (Q4 2025) up to $1B over 5 years in talent + infrastructure + compute for joint AI lab supporting drug discovery, manufacturing, medical imaging, and scientific AI agents.</t>
  </si>
  <si>
    <t xml:space="preserve">Up to $1B / 5 years (capex commitment, not opex saving)</t>
  </si>
  <si>
    <t xml:space="preserve">Eli Lilly investor news — NVIDIA partnership</t>
  </si>
  <si>
    <t xml:space="preserve">https://investor.lilly.com/news-releases/news-release-details/nvidia-and-lilly-announce-co-innovation-ai-lab-reinvent-drug</t>
  </si>
  <si>
    <t xml:space="preserve">"The two companies will invest up to $1 billion in talent, infrastructure and compute over five years to support the new AI co-innovation lab."</t>
  </si>
  <si>
    <t xml:space="preserve">R&amp;D capex commitment</t>
  </si>
  <si>
    <t xml:space="preserve">RECENT. Investment commitment (capex / opex spend UP) not savings. Note for memo: total cost of AI is not net savings.</t>
  </si>
  <si>
    <t xml:space="preserve">RD-021</t>
  </si>
  <si>
    <t xml:space="preserve">R&amp;D — AbbVie Q1 2025 SG&amp;A and R&amp;D as % sales</t>
  </si>
  <si>
    <t xml:space="preserve">AbbVie Q1 2025: revenue $13.3B (+9.8% op); adjusted R&amp;D 15.4% of sales; adjusted SG&amp;A 24.6% of sales. AbbVie does not break out an AI-attributable opex savings line.</t>
  </si>
  <si>
    <t xml:space="preserve">R&amp;D 15.4%/sales; SG&amp;A 24.6%/sales (Q1 25)</t>
  </si>
  <si>
    <t xml:space="preserve">AbbVie Q1 2025 financial results</t>
  </si>
  <si>
    <t xml:space="preserve">https://investors.abbvie.com/static-files/3f892a1f-9727-4aae-b39d-29f8dd904cb5</t>
  </si>
  <si>
    <t xml:space="preserve">"Adjusted R&amp;D expense was 15.4% of sales and adjusted SG&amp;A expense was 24.6% of sales."</t>
  </si>
  <si>
    <t xml:space="preserve">SG&amp;A baseline; R&amp;D baseline</t>
  </si>
  <si>
    <t xml:space="preserve">RECENT. Baseline AbbVie reporting metrics. AI savings not isolated.</t>
  </si>
  <si>
    <t xml:space="preserve">RD-022</t>
  </si>
  <si>
    <t xml:space="preserve">R&amp;D — Lilly Q4 2025 AI lab announcement</t>
  </si>
  <si>
    <t xml:space="preserve">Eli Lilly Q4 2025 commentary: AI factory will support manufacturing, medical imaging, and scientific AI agents; explicit aim to apply AI across clinical development, manufacturing, and commercial operations. No quantified savings figure disclosed.</t>
  </si>
  <si>
    <t xml:space="preserve">Qualitative; no $ figure</t>
  </si>
  <si>
    <t xml:space="preserve">Eli Lilly Q4 2025 earnings call (Feb 4, 2026)</t>
  </si>
  <si>
    <t xml:space="preserve">https://www.fool.com/earnings/call-transcripts/2026/02/04/eli-lilly-lly-q4-2025-earnings-call-transcript/</t>
  </si>
  <si>
    <t xml:space="preserve">"recently announcing a new collaboration with NVIDIA to open a co-innovation AI lab."</t>
  </si>
  <si>
    <t xml:space="preserve">R&amp;D / SG&amp;A directional</t>
  </si>
  <si>
    <t xml:space="preserve">RECENT. Companion to RD-020. AI mentioned strategically but not numerically.</t>
  </si>
  <si>
    <t xml:space="preserve">RD-023</t>
  </si>
  <si>
    <t xml:space="preserve">R&amp;D — Pfizer NLP CSR drafting and AI-assistant deployment</t>
  </si>
  <si>
    <t xml:space="preserve">Pfizer 2023 Annual Review (and 2024 Annual Review): AI assistants deployed for medical writing, regulatory submissions, and protocol generation; specific $ savings not disclosed.</t>
  </si>
  <si>
    <t xml:space="preserve">Qualitative</t>
  </si>
  <si>
    <t xml:space="preserve">Pfizer 2023 Annual Review</t>
  </si>
  <si>
    <t xml:space="preserve">"Pfizer leverages digital innovation to help deliver medicines to patients faster" (2022 Pfizer Annual Report).</t>
  </si>
  <si>
    <t xml:space="preserve">R&amp;D productivity</t>
  </si>
  <si>
    <t xml:space="preserve">LONG_VIEW. Qualitative companion to GM-001/SG-001.</t>
  </si>
  <si>
    <t xml:space="preserve">RD-024</t>
  </si>
  <si>
    <t xml:space="preserve">Manufacturing yield — biologics generative biology (Amgen ml)</t>
  </si>
  <si>
    <t xml:space="preserve">Amgen disclosed peer-reviewed work (PMID 36859709, Amgen scientists 2023) on ML-based viscosity prediction for biologics: ~80% accuracy in internal evaluations — key manufacturability constraint.</t>
  </si>
  <si>
    <t xml:space="preserve">~80% accuracy (ML viscosity prediction)</t>
  </si>
  <si>
    <t xml:space="preserve">Amgen scientists — viscosity ML paper (PMID lookup required)</t>
  </si>
  <si>
    <t xml:space="preserve">N/A (PMID candidate)</t>
  </si>
  <si>
    <t xml:space="preserve">"machine learning model that predicts viscosity—a property critical to injectable medicines—with approximately 80% accuracy in internal evaluations."</t>
  </si>
  <si>
    <t xml:space="preserve">LONG_VIEW. PMID NOT VERIFIED — flag for primary-source check. Should be verifiable in Europe PMC.</t>
  </si>
  <si>
    <t xml:space="preserve">RD-025</t>
  </si>
  <si>
    <t xml:space="preserve">R&amp;D — Schrödinger SGR-1505 MALT1 Fast Track</t>
  </si>
  <si>
    <t xml:space="preserve">Schrödinger's SGR-1505 (MALT1 inhibitor) received FDA Fast Track designation in 2025; Phase I data presented at ASH demonstrated 100% response rate in Waldenström's macroglobulinemia. AI-discovered (FEP+) asset reaching commercial inflection.</t>
  </si>
  <si>
    <t xml:space="preserve">100% response rate in WM (n small)</t>
  </si>
  <si>
    <t xml:space="preserve">Oncology (B-cell)</t>
  </si>
  <si>
    <t xml:space="preserve">Press release + ASH 2024</t>
  </si>
  <si>
    <t xml:space="preserve">Schrödinger Q1 2026 press release; ASH presentation</t>
  </si>
  <si>
    <t xml:space="preserve">https://www.biospace.com/press-releases/schrodinger-reports-first-quarter-2026-financial-results</t>
  </si>
  <si>
    <t xml:space="preserve">"SGR-1505 was generally well tolerated and clinically active in patients … 100% response rate in patients with Waldenström macroglobulinemia"</t>
  </si>
  <si>
    <t xml:space="preserve">R&amp;D output validation; per-program economics</t>
  </si>
  <si>
    <t xml:space="preserve">RECENT. Output-side benchmark. Strong validation of SDGR proprietary economics.</t>
  </si>
  <si>
    <t xml:space="preserve">RD-026</t>
  </si>
  <si>
    <t xml:space="preserve">SG&amp;A — Sanofi 70% time reduction in summary document creation</t>
  </si>
  <si>
    <t xml:space="preserve">Sanofi targeting 70% reduction in time required for high-value-analysis document creation via GenAI automation.</t>
  </si>
  <si>
    <t xml:space="preserve">-70% document drafting time</t>
  </si>
  <si>
    <t xml:space="preserve">Klover.ai analysis citing Sanofi communications</t>
  </si>
  <si>
    <t xml:space="preserve">https://www.klover.ai/sanofi-ai-strategy-analysis-of-dominance-in-biopharma/</t>
  </si>
  <si>
    <t xml:space="preserve">"by using GenAI to automate this task, Sanofi is targeting a 70% reduction in the time required for their creation"</t>
  </si>
  <si>
    <t xml:space="preserve">SG&amp;A productivity</t>
  </si>
  <si>
    <t xml:space="preserve">LONG_VIEW. Target language. Round-number flag — verify primary source.</t>
  </si>
  <si>
    <t xml:space="preserve">RD-027</t>
  </si>
  <si>
    <t xml:space="preserve">Process development — AstraZeneca Reinvent open-source</t>
  </si>
  <si>
    <t xml:space="preserve">AstraZeneca's Reinvent generative AI framework is open-sourced; goal: "halved time" to identify lead molecular structures. Per CEO Pascal Soriot, AI is "delivering real, measurable impact today, right across our value chain."</t>
  </si>
  <si>
    <t xml:space="preserve">-50% time to lead (claim)</t>
  </si>
  <si>
    <t xml:space="preserve">Annual Report + corporate press</t>
  </si>
  <si>
    <t xml:space="preserve">AstraZeneca 2024 Annual Report (Form 20-F)</t>
  </si>
  <si>
    <t xml:space="preserve">https://www.astrazeneca.com/content/dam/az/Investor_Relations/annual-report-2024/pdf/AstraZeneca_AR_2024.pdf</t>
  </si>
  <si>
    <t xml:space="preserve">"halved the time needed to identify molecular structures that could become potential new medicines." — AstraZeneca communications, March 2025</t>
  </si>
  <si>
    <t xml:space="preserve">R&amp;D timeline; R&amp;D opex per molecule</t>
  </si>
  <si>
    <t xml:space="preserve">RECENT. Round-number flag. Pascal Soriot quote per Clinical Research News, March 4 2025.</t>
  </si>
  <si>
    <t xml:space="preserve">RD-028</t>
  </si>
  <si>
    <t xml:space="preserve">Industry-wide pharma AI investment vs returns</t>
  </si>
  <si>
    <t xml:space="preserve">Industry-wide cumulative pharma AI investment &gt;$250B (2024); industry AI market projected $4B (2025) → $25.7B (2030). Despite this, no observable industry-wide improvement in clinical success rates.</t>
  </si>
  <si>
    <t xml:space="preserve">$250B+ cumulative AI spend; $4B→$25.7B market</t>
  </si>
  <si>
    <t xml:space="preserve">Industry trade (consulting-adjacent)</t>
  </si>
  <si>
    <t xml:space="preserve">CB Insights research; VanEck thematic</t>
  </si>
  <si>
    <t xml:space="preserve">https://www.cbinsights.com/research/ai-readiness-index-pharma-2025/</t>
  </si>
  <si>
    <t xml:space="preserve">"companies invested more than $250 billion in AI last year, and the pharma industry AI market is projected to grow from more than $4 billion this year to $25.7 billion by 2030."</t>
  </si>
  <si>
    <t xml:space="preserve">TRUE</t>
  </si>
  <si>
    <t xml:space="preserve">Framing only — not a model input</t>
  </si>
  <si>
    <t xml:space="preserve">RECENT. CB Insights / VanEck = Tier 3 framing. Note CB Insights is a research/data provider with marketing interest in AI narrative — flag TRUE for advocacy.</t>
  </si>
  <si>
    <t xml:space="preserve">RD-029</t>
  </si>
  <si>
    <t xml:space="preserve">R&amp;D opex caveat — Nature Medicine 2025 Rentosertib publication</t>
  </si>
  <si>
    <t xml:space="preserve">Insilico Phase IIa Rentosertib data published Nature Medicine June 2025; 60mg QD arm showed +98.4 mL FVC improvement vs -20.3 mL placebo (also -62.3 mL in original tracker note). Meeting primary endpoint validates Insilico's AI-discovery + IND-opex thesis but is n=1 program.</t>
  </si>
  <si>
    <t xml:space="preserve">+98.4 mL FVC vs placebo</t>
  </si>
  <si>
    <t xml:space="preserve">Nature Medicine, June 2025 (PMID 40461817)</t>
  </si>
  <si>
    <t xml:space="preserve">https://pubmed.ncbi.nlm.nih.gov/40461817/</t>
  </si>
  <si>
    <t xml:space="preserve">"+98.4 mL FVC improvement vs. -62.3 mL placebo. Published Nature Medicine Jun 2025." — AI Pipeline Tracker; PMID 40461817</t>
  </si>
  <si>
    <t xml:space="preserve">R&amp;D opex per IND (validation)</t>
  </si>
  <si>
    <t xml:space="preserve">RECENT. PMID resolves. Cross-links to RD-001/RD-002/RD-015. The strongest single Tier 1 anchor for Insilico's opex-per-IND claim.</t>
  </si>
  <si>
    <t xml:space="preserve">RD-030</t>
  </si>
  <si>
    <t xml:space="preserve">R&amp;D — Big-pharma deployment of AI: penetration vs savings</t>
  </si>
  <si>
    <t xml:space="preserve">Big pharma AI penetration across R&amp;D processes runs 10–70% by company depending on workflow (BMS 100% sm-mol; AstraZeneca 70% sm-mol projects; AbbVie majority programs); however, AI-attributable opex savings remain undisclosed at line-item level across all eight covered names (LLY, PFE, MRK, BMY, AMGN, ABBV, MRNA, GILD).</t>
  </si>
  <si>
    <t xml:space="preserve">Penetration 10–70%; standalone $ savings = $0 disclosed</t>
  </si>
  <si>
    <t xml:space="preserve">Industry — LLY, PFE, MRK, BMY, AMGN, ABBV, MRNA, GILD</t>
  </si>
  <si>
    <t xml:space="preserve">Aggregation of Tier 1/2 disclosures from this matrix</t>
  </si>
  <si>
    <t xml:space="preserve">Internal synthesis — see RD-005/RD-006/RD-007 + GM-001 + SG-001</t>
  </si>
  <si>
    <t xml:space="preserve">N/A</t>
  </si>
  <si>
    <t xml:space="preserve">Internal aggregation row</t>
  </si>
  <si>
    <t xml:space="preserve">All Q1 categories — framing</t>
  </si>
  <si>
    <t xml:space="preserve">LONG_VIEW + RECENT. ANCHOR ROW. The headline disconfirming finding for the memo: AI penetration is up, AI-savings disclosure remains qualitative. Only PFE (SG-001 $1.2B) provides AI/automation-attributable SG&amp;A breakout.</t>
  </si>
  <si>
    <t xml:space="preserve">RD-031</t>
  </si>
  <si>
    <t xml:space="preserve">R&amp;D — Eli Lilly Q1 2026 R&amp;D opex (baseline)</t>
  </si>
  <si>
    <t xml:space="preserve">Eli Lilly Q1 2026: R&amp;D $3.5B (+28% YoY); 18% of revenue.</t>
  </si>
  <si>
    <t xml:space="preserve">$3.5B R&amp;D Q1 26; 18% of revenue</t>
  </si>
  <si>
    <t xml:space="preserve">Eli Lilly Q1 2026 press release</t>
  </si>
  <si>
    <t xml:space="preserve">"Research and development expenses increased 28% to $3.5 billion, or 18% of revenue"</t>
  </si>
  <si>
    <t xml:space="preserve">R&amp;D opex baseline</t>
  </si>
  <si>
    <t xml:space="preserve">RECENT. Baseline for model. R&amp;D growing faster than SG&amp;A — LLY is reinvesting, not cutting.</t>
  </si>
  <si>
    <t xml:space="preserve">RD-032</t>
  </si>
  <si>
    <t xml:space="preserve">R&amp;D — Schrödinger Q1 2026 drug discovery revenue 2x</t>
  </si>
  <si>
    <t xml:space="preserve">Schrödinger Q1 2026: drug discovery revenue $22.9M (vs $10.2M Q1 2025) = 2.2x growth, supporting AI-platform monetization thesis.</t>
  </si>
  <si>
    <t xml:space="preserve">$22.9M (2.2x YoY)</t>
  </si>
  <si>
    <t xml:space="preserve">Schrödinger Q1 2026 financial results</t>
  </si>
  <si>
    <t xml:space="preserve">"Drug discovery revenue was $22.9 million in the quarter, up from $10.2 million a year earlier."</t>
  </si>
  <si>
    <t xml:space="preserve">AI-platform GM proxy</t>
  </si>
  <si>
    <t xml:space="preserve">RECENT. Output validation.</t>
  </si>
  <si>
    <t xml:space="preserve">RD-033</t>
  </si>
  <si>
    <t xml:space="preserve">R&amp;D — Schrödinger Q1 2026 ACV growth</t>
  </si>
  <si>
    <t xml:space="preserve">Schrödinger Q1 2026 ACV $28.4M (+12% YoY); 2026 ACV guide $218–228M (10–15% growth). Software economics intact.</t>
  </si>
  <si>
    <t xml:space="preserve">ACV +12% YoY (Q1 26)</t>
  </si>
  <si>
    <t xml:space="preserve">"12% ACV growth to $28.4M" (Schrödinger Q1 2026)</t>
  </si>
  <si>
    <t xml:space="preserve">AI-platform revenue</t>
  </si>
  <si>
    <t xml:space="preserve">RECENT. AI-platform revenue growth durable but moderate (10–15%) — not hypergrowth.</t>
  </si>
  <si>
    <t xml:space="preserve">RD-034</t>
  </si>
  <si>
    <t xml:space="preserve">Disconfirming — Pharma AI ROI gap (consulting framing)</t>
  </si>
  <si>
    <t xml:space="preserve">McKinsey commentary on pharma AI 2025: "bolting AI onto business as usual likely won't deliver tangible results" — consulting framing flagged.</t>
  </si>
  <si>
    <t xml:space="preserve">Consulting report</t>
  </si>
  <si>
    <t xml:space="preserve">McKinsey — How pharma is rewriting the AI playbook</t>
  </si>
  <si>
    <t xml:space="preserve">https://www.mckinsey.com/industries/life-sciences/our-insights/the-synthesis/how-pharma-is-rewriting-the-ai-playbook-perspectives-from-industry-leaders</t>
  </si>
  <si>
    <t xml:space="preserve">"Simply bolting AI onto business as usual likely won't deliver tangible results" — McKinsey 2025 synthesis</t>
  </si>
  <si>
    <t xml:space="preserve">Framing only</t>
  </si>
  <si>
    <t xml:space="preserve">RECENT. Consulting-flagged TRUE; appendix only per shared rules.</t>
  </si>
  <si>
    <t xml:space="preserve">RD-035</t>
  </si>
  <si>
    <t xml:space="preserve">Manufacturing — Pfizer R&amp;D-to-commercial AI scope</t>
  </si>
  <si>
    <t xml:space="preserve">Pfizer "only company with clear, evidence-backed, deeply integrated AI initiatives across all major functions: R&amp;D, clinical development, manufacturing, and commercialization" — Pfizer self-assessment 2025/2026.</t>
  </si>
  <si>
    <t xml:space="preserve">Industry trade (Pfizer-sourced framing)</t>
  </si>
  <si>
    <t xml:space="preserve">FinancialContent — Pfizer's AI Revolution</t>
  </si>
  <si>
    <t xml:space="preserve">https://markets.financialcontent.com/wral/article/tokenring-2025-10-4-pfizers-ai-revolution-a-new-era-for-drug-discovery-and-pharmaceutical-innovation</t>
  </si>
  <si>
    <t xml:space="preserve">"Pfizer is the only company with clear, evidence-backed, and deeply integrated AI initiatives across all major functions"</t>
  </si>
  <si>
    <t xml:space="preserve">RECENT. Tier 3 — appendix only.</t>
  </si>
  <si>
    <t xml:space="preserve">RD-036</t>
  </si>
  <si>
    <t xml:space="preserve">R&amp;D opex per IND — Tufts CSDD traditional benchmark</t>
  </si>
  <si>
    <t xml:space="preserve">Tufts CSDD: traditional drug development cost ~$2.6B per approved drug (2023 update); preclinical-to-IND component ~$50–100M per program (industry rule-of-thumb).</t>
  </si>
  <si>
    <t xml:space="preserve">~$2.6B per approval; ~$50–100M to IND (traditional)</t>
  </si>
  <si>
    <t xml:space="preserve">Academic working paper (DiMasi/Tufts)</t>
  </si>
  <si>
    <t xml:space="preserve">Tufts CSDD (DiMasi et al. updates)</t>
  </si>
  <si>
    <t xml:space="preserve">N/A — citation needed</t>
  </si>
  <si>
    <t xml:space="preserve">Industry rule-of-thumb derived from DiMasi/Tufts CSDD 2003/2014/2023 series; precise per-IND breakout requires source verification.</t>
  </si>
  <si>
    <t xml:space="preserve">SOURCE NEEDED</t>
  </si>
  <si>
    <t xml:space="preserve">R&amp;D opex per IND (traditional baseline)</t>
  </si>
  <si>
    <t xml:space="preserve">LONG_VIEW. SOURCE NEEDED flag — Tufts CSDD primary document required. Use as directional baseline only.</t>
  </si>
  <si>
    <t xml:space="preserve">B-001</t>
  </si>
  <si>
    <t xml:space="preserve">Q2</t>
  </si>
  <si>
    <t xml:space="preserve">Industry baseline PoS</t>
  </si>
  <si>
    <t xml:space="preserve">BIO/Informa/QLS Advisors Clinical Development Success Rates 2011–2020: overall Phase I to approval likelihood of 9.6% across all programs.</t>
  </si>
  <si>
    <t xml:space="preserve">9.6% (P1-&gt;approval, overall)</t>
  </si>
  <si>
    <t xml:space="preserve">All</t>
  </si>
  <si>
    <t xml:space="preserve">Industry data provider methodology report</t>
  </si>
  <si>
    <t xml:space="preserve">BIO/Informa/QLS Advisors, Clinical Development Success Rates 2011–2020</t>
  </si>
  <si>
    <t xml:space="preserve">https://go.bio.org/rs/490-EHZ-999/images/ClinicalDevelopmentSuccessRates2011_2020.pdf</t>
  </si>
  <si>
    <t xml:space="preserve">"The overall likelihood of approval (LOA) from Phase I for all developmental candidates was 9.6%"</t>
  </si>
  <si>
    <t xml:space="preserve">False</t>
  </si>
  <si>
    <t xml:space="preserve">R&amp;D PoS - cross-TA baseline</t>
  </si>
  <si>
    <t xml:space="preserve">LONG_VIEW. Tier 2 (industry data provider, transparent methodology, peer-reviewed-style). is_consulting_flag=FALSE per dispatch packet rules — BIO/Informa methodology is transparent. Used as anchor for AI cohort comparison.</t>
  </si>
  <si>
    <t xml:space="preserve">B-002</t>
  </si>
  <si>
    <t xml:space="preserve">Industry baseline PoS - Oncology</t>
  </si>
  <si>
    <t xml:space="preserve">BIO/Informa benchmark: Oncology has the lowest Phase I-to-approval likelihood among 14 disease areas at 5.1%.</t>
  </si>
  <si>
    <t xml:space="preserve">5.1% (P1-&gt;approval, oncology)</t>
  </si>
  <si>
    <t xml:space="preserve">"Of the 14 major disease areas studied, Hematology had the highest likelihood of approval from Phase I (26.1%) and Oncology had the lowest (5.1%)."</t>
  </si>
  <si>
    <t xml:space="preserve">R&amp;D PoS - oncology baseline</t>
  </si>
  <si>
    <t xml:space="preserve">LONG_VIEW. Anchor for AI-cohort oncology comparison.</t>
  </si>
  <si>
    <t xml:space="preserve">B-003</t>
  </si>
  <si>
    <t xml:space="preserve">Industry baseline PoS - non-Oncology</t>
  </si>
  <si>
    <t xml:space="preserve">BIO/Informa benchmark: Phase I-to-approval likelihood is 11.9% across all indications excluding oncology.</t>
  </si>
  <si>
    <t xml:space="preserve">11.9% (P1-&gt;approval, ex-Onc)</t>
  </si>
  <si>
    <t xml:space="preserve">"The overall likelihood of approval from Phase I … was 9.6%, and 11.9% for all indications outside of Oncology."</t>
  </si>
  <si>
    <t xml:space="preserve">R&amp;D PoS - non-oncology baseline</t>
  </si>
  <si>
    <t xml:space="preserve">LONG_VIEW.</t>
  </si>
  <si>
    <t xml:space="preserve">B-004</t>
  </si>
  <si>
    <t xml:space="preserve">Industry baseline PoS - Biomarker effect</t>
  </si>
  <si>
    <t xml:space="preserve">BIO/Informa: programs using selection biomarkers showed Phase I-to-approval LOA of 25.9% vs 8.4% without biomarkers.</t>
  </si>
  <si>
    <t xml:space="preserve">25.9% (biomarker) vs 8.4% (none)</t>
  </si>
  <si>
    <t xml:space="preserve">"Clinical trial programs that used selection biomarkers saw an overall likelihood of approval from Phase I of 25.9%, compared to 8.4% when no selection biomarkers were used."</t>
  </si>
  <si>
    <t xml:space="preserve">R&amp;D PoS - biomarker adjustment</t>
  </si>
  <si>
    <t xml:space="preserve">LONG_VIEW. Material for analyst notes: AI cohort over-indexes on biomarker-stratified oncology, which would mechanically lift PoS vs unstratified base.</t>
  </si>
  <si>
    <t xml:space="preserve">B-005</t>
  </si>
  <si>
    <t xml:space="preserve">Industry baseline PoS - Wong/Lo/Siah</t>
  </si>
  <si>
    <t xml:space="preserve">Wong, Siah, Lo (Biostatistics 2019): aggregate clinical-trial success rate ~13.8% across 406,038 trials 2000–2015; oncology success rate 3.4% (vs. 5.1% cited in prior studies).</t>
  </si>
  <si>
    <t xml:space="preserve">13.8% (overall); 3.4% (oncology)</t>
  </si>
  <si>
    <t xml:space="preserve">Peer-reviewed publication (PMID)</t>
  </si>
  <si>
    <t xml:space="preserve">Wong CH, Siah KW, Lo AW. Estimation of clinical trial success rates and related parameters. Biostatistics 2019; 20(2):273–286.</t>
  </si>
  <si>
    <t xml:space="preserve">https://doi.org/10.1093/biostatistics/kxx069</t>
  </si>
  <si>
    <t xml:space="preserve">"oncology has a 3.4% success rate in our sample vs. 5.1% in prior studies"; "Using a sample of 406 038 entries of clinical trial data for over 21 143 compounds"</t>
  </si>
  <si>
    <t xml:space="preserve">R&amp;D PoS - cross-check baseline</t>
  </si>
  <si>
    <t xml:space="preserve">LONG_VIEW. PMID 29394327. Tier 1 peer-reviewed. Used as independent corroboration of BIO/Informa.</t>
  </si>
  <si>
    <t xml:space="preserve">B-006</t>
  </si>
  <si>
    <t xml:space="preserve">Industry baseline PoS - Rare disease</t>
  </si>
  <si>
    <t xml:space="preserve">BIO/Informa: rare disease programs had higher success rates at each phase vs. the overall dataset (approximately ~17% P1-&gt;approval in summary commentary).</t>
  </si>
  <si>
    <t xml:space="preserve">~17% P1-&gt;approval, rare disease</t>
  </si>
  <si>
    <t xml:space="preserve">Rare disease</t>
  </si>
  <si>
    <t xml:space="preserve">"rare disease programs had higher success rates at each phase of development vs. the overall dataset"</t>
  </si>
  <si>
    <t xml:space="preserve">EXTRAPOLATION</t>
  </si>
  <si>
    <t xml:space="preserve">R&amp;D PoS - rare disease baseline</t>
  </si>
  <si>
    <t xml:space="preserve">LONG_VIEW. Exact ~17% figure is the spec's stated industry shorthand; verify against full table when accessing report.</t>
  </si>
  <si>
    <t xml:space="preserve">B-007</t>
  </si>
  <si>
    <t xml:space="preserve">Industry baseline R&amp;D efficiency</t>
  </si>
  <si>
    <t xml:space="preserve">Fernald et al. 2024: pharma R&amp;D cost per novel drug exceeds $3.5B and continues a five-decade decline in productivity; late-stage attrition remains elevated.</t>
  </si>
  <si>
    <t xml:space="preserve">&gt;$3.5B per novel drug</t>
  </si>
  <si>
    <t xml:space="preserve">Fernald KDS et al. The pharmaceutical productivity gap—Incremental decline in R&amp;D efficiency despite transient improvements. Drug Discov Today 2024; 29(11):104160.</t>
  </si>
  <si>
    <t xml:space="preserve">https://doi.org/10.1016/j.drudis.2024.104160</t>
  </si>
  <si>
    <t xml:space="preserve">"Rising research and development costs, currently exceeding $3.5 billion per novel drug, reflect a five-decade decline in pharmaceutical R&amp;D efficiency."</t>
  </si>
  <si>
    <t xml:space="preserve">R&amp;D opex per IND - context</t>
  </si>
  <si>
    <t xml:space="preserve">LONG_VIEW. PMID 39241979. Frames the productivity gap AI is supposed to close.</t>
  </si>
  <si>
    <t xml:space="preserve">T-001</t>
  </si>
  <si>
    <t xml:space="preserve">Discovery-to-IND timeline (AI)</t>
  </si>
  <si>
    <t xml:space="preserve">Insilico Medicine INS018_055 (rentosertib) progressed from target discovery to preclinical-candidate nomination in ~18 months using generative AI; phase 1 trial NCT05154240 (78 HVs) was completed.</t>
  </si>
  <si>
    <t xml:space="preserve">~18 months target-to-PCC (AI)</t>
  </si>
  <si>
    <t xml:space="preserve">Insilico Medicine (private)</t>
  </si>
  <si>
    <t xml:space="preserve">Peer-reviewed publication (PMID) + ClinicalTrials.gov NCT</t>
  </si>
  <si>
    <t xml:space="preserve">Ren F et al. A small-molecule TNIK inhibitor targets fibrosis in preclinical and clinical models. Nat Biotechnol 2024; 43(1):63–75. (PMID 38459338)</t>
  </si>
  <si>
    <t xml:space="preserve">https://doi.org/10.1038/s41587-024-02143-0</t>
  </si>
  <si>
    <t xml:space="preserve">"This work was completed in roughly 18 months from target discovery to preclinical candidate nomination and demonstrates the capabilities of our generative AI-driven drug-discovery pipeline."</t>
  </si>
  <si>
    <t xml:space="preserve">R&amp;D timeline - rare disease</t>
  </si>
  <si>
    <t xml:space="preserve">LONG_VIEW. Anchor benchmark for AI timeline win. NCT05154240 Phase I HVs. The dispatch packet's '~30 months target-to-IND' = target through Phase I dosing inclusive, vs. ~18 months target-to-PCC reported in the paper. Use both numbers carefully.</t>
  </si>
  <si>
    <t xml:space="preserve">T-002</t>
  </si>
  <si>
    <t xml:space="preserve">Discovery-to-IND timeline (industry baseline)</t>
  </si>
  <si>
    <t xml:space="preserve">Industry baseline target identification through IND submission: 4–6 years (often cited 54+ months) per multiple historical pharma productivity studies; Fernald 2024 documents persistent late-stage attrition.</t>
  </si>
  <si>
    <t xml:space="preserve">~54 months (range 48–72) baseline</t>
  </si>
  <si>
    <t xml:space="preserve">Peer-reviewed publication (PMID) (Fernald 2024) + analyst synthesis from industry datasets</t>
  </si>
  <si>
    <t xml:space="preserve">Fernald KDS et al. Drug Discov Today 2024</t>
  </si>
  <si>
    <t xml:space="preserve">p.104160; spec's industry baseline 54+ months target-to-IND.</t>
  </si>
  <si>
    <t xml:space="preserve">R&amp;D timeline - baseline</t>
  </si>
  <si>
    <t xml:space="preserve">LONG_VIEW. Anchor 'industry benchmark' that Insilico is being measured against in the literature.</t>
  </si>
  <si>
    <t xml:space="preserve">T-003</t>
  </si>
  <si>
    <t xml:space="preserve">Discovery-to-IND - AI Phase II readout</t>
  </si>
  <si>
    <t xml:space="preserve">Rentosertib Phase IIa (NCT05938920) completed Aug 2024; +98.4 mL FVC at 12 weeks for 60mg QD vs -20.3 mL placebo. Published Nat Med 2025 by Xu, Ren, Zhavoronkov et al.</t>
  </si>
  <si>
    <t xml:space="preserve">+98.4 mL FVC (60mg QD) vs -20.3 mL placebo, 12 wks</t>
  </si>
  <si>
    <t xml:space="preserve">Xu Z, Ren F, Zhavoronkov A et al. A generative AI-discovered TNIK inhibitor for IPF: a randomized phase 2a trial. Nat Med 2025; 31(8):2602–2610. (PMID 40461817)</t>
  </si>
  <si>
    <t xml:space="preserve">https://doi.org/10.1038/s41591-025-03743-2</t>
  </si>
  <si>
    <t xml:space="preserve">"increased forced vital capacity at the highest dosage with a mean change of +98.4 ml … compared with -20.3 ml for the placebo group."</t>
  </si>
  <si>
    <t xml:space="preserve">R&amp;D PoS - IPF case study</t>
  </si>
  <si>
    <t xml:space="preserve">RECENT and LONG_VIEW. Lilly signed $2.75B Insilico deal Mar 2026 (per tracker). Material positive readout — caveats with the dispatch packet noting 'P1 discontinued December 2024 in some reports' which conflicts with peer-reviewed P2a result; flag for resolution. Reconciled view: P1 NCT05154240 = HVs completed; P2a NCT05938920 = positive in IPF patients. The 'discontinuation' reference may refer to a separate dose arm or program path.</t>
  </si>
  <si>
    <t xml:space="preserve">T-004</t>
  </si>
  <si>
    <t xml:space="preserve">Discovery-to-IND timeline - aggregate (BCG)</t>
  </si>
  <si>
    <t xml:space="preserve">Jayatunga et al. (Drug Discov Today 2024): AI-discovered molecules show 80–90% Phase I success and ~40% Phase II success based on AI-native biotech pipelines as of late 2023.</t>
  </si>
  <si>
    <t xml:space="preserve">Phase I 80–90% (AI); Phase II ~40% (AI)</t>
  </si>
  <si>
    <t xml:space="preserve">Industry (AI cohort)</t>
  </si>
  <si>
    <t xml:space="preserve">Jayatunga MKP, Ayers M, Bruens L, Jayanth D, Meier C. How successful are AI-discovered drugs in clinical trials? A first analysis and emerging lessons. Drug Discov Today 2024; 29(6):104009. (PMID 38692505)</t>
  </si>
  <si>
    <t xml:space="preserve">https://doi.org/10.1016/j.drudis.2024.104009</t>
  </si>
  <si>
    <t xml:space="preserve">"In Phase I we find AI-discovered molecules have an 80-90% success rate, substantially higher than historic industry averages." "In Phase II the success rate is ~40%, albeit on a limited sample size, comparable to historic industry averages."</t>
  </si>
  <si>
    <t xml:space="preserve">True</t>
  </si>
  <si>
    <t xml:space="preserve">R&amp;D PoS - AI cohort headline</t>
  </si>
  <si>
    <t xml:space="preserve">LONG_VIEW. PMID 38692505. AUTHOR AFFILIATION: Boston Consulting Group — Tier 1 peer-reviewed but is_consulting_or_advocacy_source=TRUE because BCG simultaneously sells AI-pharma services. Treat with extra scrutiny; the body of the memo can cite the peer-reviewed paper but the consulting affiliation should appear in methodology notes.</t>
  </si>
  <si>
    <t xml:space="preserve">T-005</t>
  </si>
  <si>
    <t xml:space="preserve">Discovery-to-IND timeline (AI) - ISM5411</t>
  </si>
  <si>
    <t xml:space="preserve">Insilico ISM5411 (PHD inhibitor, IBD): per tracker 'Designed in 12 mo, ~115 molecules'. Phase I HVs completed (NCT06012578) Sep 2024; Phase IIa in UC initiated Dec 2025 (NCT07265570).</t>
  </si>
  <si>
    <t xml:space="preserve">~12 months design</t>
  </si>
  <si>
    <t xml:space="preserve">Immunology/Inflammation</t>
  </si>
  <si>
    <t xml:space="preserve">ClinicalTrials.gov NCT + tracker company disclosure</t>
  </si>
  <si>
    <t xml:space="preserve">ClinicalTrials.gov NCT06012578 (P1 HVs); NCT07265570 (P2a UC)</t>
  </si>
  <si>
    <t xml:space="preserve">https://clinicaltrials.gov/study/NCT07265570</t>
  </si>
  <si>
    <t xml:space="preserve">NCT06012578 Primary Completion 2024-09-04; NCT07265570 Start 2025-12-10 (Phase IIa).</t>
  </si>
  <si>
    <t xml:space="preserve">R&amp;D timeline - immunology</t>
  </si>
  <si>
    <t xml:space="preserve">LONG_VIEW. Second Insilico timeline data point — reinforces single-platform claim, does NOT independently validate the cohort. Survivorship caveat.</t>
  </si>
  <si>
    <t xml:space="preserve">T-006</t>
  </si>
  <si>
    <t xml:space="preserve">Discovery-to-IND timeline (AI) - Exscientia historical</t>
  </si>
  <si>
    <t xml:space="preserve">Exscientia DSP-1181 (5-HT1A, OCD with Sumitomo) historically reported as 'first AI-designed molecule in human trials' ~12-month design timeline (announced Jan 2020); Phase I unsuccessful per tracker.</t>
  </si>
  <si>
    <t xml:space="preserve">~12 months design (claimed)</t>
  </si>
  <si>
    <t xml:space="preserve">Exscientia (acq. Recursion 2024)</t>
  </si>
  <si>
    <t xml:space="preserve">Neuro/CNS (OCD)</t>
  </si>
  <si>
    <t xml:space="preserve">Company press release + tracker</t>
  </si>
  <si>
    <t xml:space="preserve">Tracker AI Pipeline R48; ClinicalTrials.gov record not found</t>
  </si>
  <si>
    <t xml:space="preserve">https://www.exscientia.ai/</t>
  </si>
  <si>
    <t xml:space="preserve">Tracker AI Pipeline R48: 'Unsuccessful Phase I.'</t>
  </si>
  <si>
    <t xml:space="preserve">R&amp;D timeline + PoS - neuro/CNS</t>
  </si>
  <si>
    <t xml:space="preserve">LONG_VIEW. Material disconfirming data point: timeline win + clinical failure. The first widely-publicized AI-designed molecule failed.</t>
  </si>
  <si>
    <t xml:space="preserve">PoS-001</t>
  </si>
  <si>
    <t xml:space="preserve">AI Pipeline molecule (PoS cohort)</t>
  </si>
  <si>
    <t xml:space="preserve">Zasocitinib (NDI-034858) (Nimbus / Takeda) — Small molecule targeting TYK2 in Plaque Psoriasis. AI mode: Small molecule design (physics-based, FEP+). Highest phase: Phase III. Outcome: Positive — Winner. Key data: Phase III (Dec 2025): all co-primary + 44 secondary endpoints met. &gt;50% PASI 90 at wk 16, ~30% PASI 100. Beat placebo + apremilast. $4B + $2B milestones.</t>
  </si>
  <si>
    <t xml:space="preserve">Highest Phase: Phase III</t>
  </si>
  <si>
    <t xml:space="preserve">Peer-reviewed publication (PMID) + AI Pipeline Tracker</t>
  </si>
  <si>
    <t xml:space="preserve">Jayatunga MKP et al. Drug Discov Today 2024 (PMID 38692505) — molecule entry</t>
  </si>
  <si>
    <t xml:space="preserve">Tracker AI Pipeline R4: 'Positive — Winner'</t>
  </si>
  <si>
    <t xml:space="preserve">R&amp;D PoS - AI cohort</t>
  </si>
  <si>
    <t xml:space="preserve">RECENT. Mode: Small molecule design (physics-based, FEP+). Catalyst: Regulatory filing FY2026. Source affiliation: Jayatunga 2024 authors are BCG; flag=TRUE per consulting rule even though publication is peer-reviewed.</t>
  </si>
  <si>
    <t xml:space="preserve">PoS-002</t>
  </si>
  <si>
    <t xml:space="preserve">Rentosertib (INS018-055) (Insilico Medicine) — Small molecule targeting TNIK in IPF. AI mode: Small molecule design (generative). Highest phase: Phase IIa → III. Outcome: Positive — Winner. Key data: +98.4 mL FVC improvement vs. -62.3 mL placebo. Published Nature Medicine Jun 2025. Lilly signed $2.75B deal Mar 2026. 18-mo target-to-IND.</t>
  </si>
  <si>
    <t xml:space="preserve">Highest Phase: Phase IIa → III</t>
  </si>
  <si>
    <t xml:space="preserve">Tracker AI Pipeline R5: 'Positive — Winner'</t>
  </si>
  <si>
    <t xml:space="preserve">RECENT. Mode: Small molecule design (generative). Catalyst: Phase III initiation. Source affiliation: Jayatunga 2024 authors are BCG; flag=TRUE per consulting rule even though publication is peer-reviewed.</t>
  </si>
  <si>
    <t xml:space="preserve">PoS-003</t>
  </si>
  <si>
    <t xml:space="preserve">Rilvegostomig (Compugen / AstraZeneca) — Antibody targeting PD-1/TIGIT bispecific in NSCLC, Gastric. AI mode: Target discovery (phenotypic AI platform). Highest phase: Phase 1b → III. Outcome: Positive — Commercial advance. Key data: 57.5% ORR + 95% DCR in 1L NSCLC (combo w/ Datroway). Licensed to AZ. Multiple Phase III trials. Note: TIGIT co-discovered by 3 groups in 2009 using bioinformatics.</t>
  </si>
  <si>
    <t xml:space="preserve">Highest Phase: Phase 1b → III</t>
  </si>
  <si>
    <t xml:space="preserve">Antibody</t>
  </si>
  <si>
    <t xml:space="preserve">Tracker AI Pipeline R6: 'Positive — Commercial advance'</t>
  </si>
  <si>
    <t xml:space="preserve">LONG_VIEW. Mode: Target discovery (phenotypic AI platform). Catalyst: Phase III readouts 2026-27. Source affiliation: Jayatunga 2024 authors are BCG; flag=TRUE per consulting rule even though publication is peer-reviewed.</t>
  </si>
  <si>
    <t xml:space="preserve">PoS-004</t>
  </si>
  <si>
    <t xml:space="preserve">Dexmedetomidine (BXCL-501) (BioXcel Therapeutics) — Small molecule targeting Adrenoceptor alpha 2A in Agitation in dementia. AI mode: Repurposing. Highest phase: Phase III. Outcome: Successful (Ph III). Key data: TRANQUILITY II Phase 3 met primary + all secondary endpoints for Alzheimer's-related agitation. FDA approved.</t>
  </si>
  <si>
    <t xml:space="preserve">BioXcel Therapeutics</t>
  </si>
  <si>
    <t xml:space="preserve">Tracker AI Pipeline R7: 'Successful (Ph III)'</t>
  </si>
  <si>
    <t xml:space="preserve">LONG_VIEW. Mode: Repurposing. Catalyst: Post-marketing. Source affiliation: Jayatunga 2024 authors are BCG; flag=TRUE per consulting rule even though publication is peer-reviewed.</t>
  </si>
  <si>
    <t xml:space="preserve">PoS-005</t>
  </si>
  <si>
    <t xml:space="preserve">REC-4881 (Recursion) — Small molecule targeting MEK1/2 in FAP / AXIN1/APC Cancers. AI mode: Repurposing. Highest phase: Phase 1b/2. Outcome: Positive — Winner. Key data: TUPELO: 75% polyp burden reduction. 53% median reduction sustained at wk 25 post-discontinuation. Clean safety.</t>
  </si>
  <si>
    <t xml:space="preserve">Highest Phase: Phase 1b/2</t>
  </si>
  <si>
    <t xml:space="preserve">Recursion</t>
  </si>
  <si>
    <t xml:space="preserve">Rare disease (oncology overlap)</t>
  </si>
  <si>
    <t xml:space="preserve">Tracker AI Pipeline R8: 'Positive — Winner'</t>
  </si>
  <si>
    <t xml:space="preserve">LONG_VIEW. Mode: Repurposing. Catalyst: Expansion cohorts. Source affiliation: Jayatunga 2024 authors are BCG; flag=TRUE per consulting rule even though publication is peer-reviewed.</t>
  </si>
  <si>
    <t xml:space="preserve">PoS-006</t>
  </si>
  <si>
    <t xml:space="preserve">EVX-01 (Evaxion Biotech) — Vaccine targeting Neoantigen vaccine in Melanoma. AI mode: Vaccine / neoantigen design. Highest phase: Phase II. Outcome: Positive — Winner. Key data: Combo w/ Keytruda: 75% ORR at 2 yrs. 4 CRs / 16 pts. 92% responders durable at 24 mo. AI predicted T-cell response in 81%.</t>
  </si>
  <si>
    <t xml:space="preserve">Highest Phase: Phase II</t>
  </si>
  <si>
    <t xml:space="preserve">Evaxion Biotech</t>
  </si>
  <si>
    <t xml:space="preserve">Vaccine</t>
  </si>
  <si>
    <t xml:space="preserve">Tracker AI Pipeline R9: 'Positive — Winner'</t>
  </si>
  <si>
    <t xml:space="preserve">LONG_VIEW. Mode: Vaccine / neoantigen design. Catalyst: 2-yr data ESMO 2025. Source affiliation: Jayatunga 2024 authors are BCG; flag=TRUE per consulting rule even though publication is peer-reviewed.</t>
  </si>
  <si>
    <t xml:space="preserve">PoS-007</t>
  </si>
  <si>
    <t xml:space="preserve">SGR-1505 (Schrödinger) — Small molecule targeting MALT1 in B-cell Neoplasms. AI mode: Small molecule design (physics-based, FEP+). Highest phase: Phase I. Outcome: Positive — Winner. Key data: 49 pts. Well-tolerated, no DLTs. Responses across CLL, Waldenström's, MZL. FDA Fast Track designation (EHA 2025).</t>
  </si>
  <si>
    <t xml:space="preserve">Highest Phase: Phase I</t>
  </si>
  <si>
    <t xml:space="preserve">Schrödinger</t>
  </si>
  <si>
    <t xml:space="preserve">Tracker AI Pipeline R10: 'Positive — Winner'</t>
  </si>
  <si>
    <t xml:space="preserve">RECENT. Mode: Small molecule design (physics-based, FEP+). Catalyst: Expansion data. Source affiliation: Jayatunga 2024 authors are BCG; flag=TRUE per consulting rule even though publication is peer-reviewed.</t>
  </si>
  <si>
    <t xml:space="preserve">PoS-008</t>
  </si>
  <si>
    <t xml:space="preserve">SGR-2921 (Schrödinger) — Small molecule targeting CDC7 in AML/MDS. AI mode: Small molecule design (physics-based, FEP+). Highest phase: Phase I. Outcome: Failed — Discontinued. Key data: Two treatment-related patient deaths in Phase I dose escalation. Shut down Aug 2025.</t>
  </si>
  <si>
    <t xml:space="preserve">Tracker AI Pipeline R11: 'Failed — Discontinued'</t>
  </si>
  <si>
    <t xml:space="preserve">RECENT. Mode: Small molecule design (physics-based, FEP+). Catalyst: Program terminated. DISCONFIRMING — disclosed failure or termination. Source affiliation: Jayatunga 2024 authors are BCG; flag=TRUE per consulting rule even though publication is peer-reviewed.</t>
  </si>
  <si>
    <t xml:space="preserve">PoS-009</t>
  </si>
  <si>
    <t xml:space="preserve">REC-2282 (Recursion) — Small molecule targeting HDAC in NF2 Meningiomas. AI mode: Repurposing. Highest phase: Phase II. Outcome: Failed — Discontinued. Key data: Phase II passed futility threshold in 40mg cohort. Limited tumor shrinkage.</t>
  </si>
  <si>
    <t xml:space="preserve">Tracker AI Pipeline R12: 'Failed — Discontinued'</t>
  </si>
  <si>
    <t xml:space="preserve">LONG_VIEW. Mode: Repurposing. Catalyst: Program terminated. DISCONFIRMING — disclosed failure or termination. Source affiliation: Jayatunga 2024 authors are BCG; flag=TRUE per consulting rule even though publication is peer-reviewed.</t>
  </si>
  <si>
    <t xml:space="preserve">PoS-010</t>
  </si>
  <si>
    <t xml:space="preserve">GV20-0251 (GV20 Therapeutics) — Antibody targeting IGSF8 in Solid Tumors. AI mode: Antibody design. Highest phase: Phase I. Outcome: Positive but early. Key data: 38 pts. No DLTs up to 20 mg/kg. 2 confirmed PRs in metastatic melanoma (12 evaluable).</t>
  </si>
  <si>
    <t xml:space="preserve">GV20 Therapeutics</t>
  </si>
  <si>
    <t xml:space="preserve">Tracker AI Pipeline R13: 'Positive but early'</t>
  </si>
  <si>
    <t xml:space="preserve">LONG_VIEW. Mode: Antibody design. Catalyst: ASCO 2025 update. Source affiliation: Jayatunga 2024 authors are BCG; flag=TRUE per consulting rule even though publication is peer-reviewed.</t>
  </si>
  <si>
    <t xml:space="preserve">PoS-011</t>
  </si>
  <si>
    <t xml:space="preserve">ISM5411 (Insilico Medicine) — Small molecule targeting PHD inhibitor in IBD (UC). AI mode: Small molecule design (generative). Highest phase: Phase I → II. Outcome: Positive — Winner. Key data: Positive in 2 Phase I trials (AU + CN). Gut-restricted PK, no serious AEs. Designed in 12 mo, ~115 molecules.</t>
  </si>
  <si>
    <t xml:space="preserve">Highest Phase: Phase I → II</t>
  </si>
  <si>
    <t xml:space="preserve">Tracker AI Pipeline R14: 'Positive — Winner'</t>
  </si>
  <si>
    <t xml:space="preserve">LONG_VIEW. Mode: Small molecule design (generative). Catalyst: Phase II in UC H2 2025. Source affiliation: Jayatunga 2024 authors are BCG; flag=TRUE per consulting rule even though publication is peer-reviewed.</t>
  </si>
  <si>
    <t xml:space="preserve">PoS-012</t>
  </si>
  <si>
    <t xml:space="preserve">TOS-358 (Totus Medicines) — Small molecule targeting PI3Kα in Solid Tumors (breast). AI mode: Small molecule design (generative). Highest phase: Phase I (expansion). Outcome: Positive — Winner. Key data: 50% CBR. 75% DCR in PI3Kα-mutant breast CA. No bone marrow/liver/ocular/skin tox — major differentiator vs. older PI3Ki.</t>
  </si>
  <si>
    <t xml:space="preserve">Highest Phase: Phase I (expansion)</t>
  </si>
  <si>
    <t xml:space="preserve">Totus Medicines</t>
  </si>
  <si>
    <t xml:space="preserve">Tracker AI Pipeline R15: 'Positive — Winner'</t>
  </si>
  <si>
    <t xml:space="preserve">LONG_VIEW. Mode: Small molecule design (generative). Catalyst: Ph 1b combos Jan 2026. Source affiliation: Jayatunga 2024 authors are BCG; flag=TRUE per consulting rule even though publication is peer-reviewed.</t>
  </si>
  <si>
    <t xml:space="preserve">PoS-013</t>
  </si>
  <si>
    <t xml:space="preserve">VRG-50635 (Verge Genomics) — Small molecule targeting PIKfyve in ALS. AI mode: Target discovery (phenotypic AI platform). Highest phase: Phase I → 1b. Outcome: Positive but early. Key data: Phase I HVs clean safety + once-daily PK. Phase 1b PoC in ALS enrolled Aug 2024.</t>
  </si>
  <si>
    <t xml:space="preserve">Highest Phase: Phase I → 1b</t>
  </si>
  <si>
    <t xml:space="preserve">Verge Genomics</t>
  </si>
  <si>
    <t xml:space="preserve">Neuro/CNS (rare)</t>
  </si>
  <si>
    <t xml:space="preserve">Tracker AI Pipeline R16: 'Positive but early'</t>
  </si>
  <si>
    <t xml:space="preserve">LONG_VIEW. Mode: Target discovery (phenotypic AI platform). Catalyst: Efficacy data H2 2025. Source affiliation: Jayatunga 2024 authors are BCG; flag=TRUE per consulting rule even though publication is peer-reviewed.</t>
  </si>
  <si>
    <t xml:space="preserve">PoS-014</t>
  </si>
  <si>
    <t xml:space="preserve">Omilancor (Landos Biopharma / NImmune) — Small molecule targeting LanC like 2 in UC, Crohn's. AI mode: Target discovery (phenotypic AI platform). Highest phase: Phase II. Outcome: Successful (Ph II). Key data: Phase I + Phase II both successful for UC and Crohn's disease.</t>
  </si>
  <si>
    <t xml:space="preserve">Landos Biopharma / NImmune</t>
  </si>
  <si>
    <t xml:space="preserve">Tracker AI Pipeline R17: 'Successful (Ph II)'</t>
  </si>
  <si>
    <t xml:space="preserve">LONG_VIEW. Mode: Target discovery (phenotypic AI platform). Catalyst: Phase III planning. Source affiliation: Jayatunga 2024 authors are BCG; flag=TRUE per consulting rule even though publication is peer-reviewed.</t>
  </si>
  <si>
    <t xml:space="preserve">PoS-015</t>
  </si>
  <si>
    <t xml:space="preserve">HFB-200301 (HiFiBiO) — Antibody targeting TNFR2 Agonist in IO-refractory tumors. AI mode: Target discovery (phenotypic AI platform). Highest phase: Phase I. Outcome: Positive but early. Key data: ESMO 2024: promise in mono + combo w/ anti-PD-1. Informing Phase 2 dose selection.</t>
  </si>
  <si>
    <t xml:space="preserve">HiFiBiO</t>
  </si>
  <si>
    <t xml:space="preserve">Tracker AI Pipeline R18: 'Positive but early'</t>
  </si>
  <si>
    <t xml:space="preserve">LONG_VIEW. Mode: Target discovery (phenotypic AI platform). Catalyst: Ph 2 dose selection. Source affiliation: Jayatunga 2024 authors are BCG; flag=TRUE per consulting rule even though publication is peer-reviewed.</t>
  </si>
  <si>
    <t xml:space="preserve">PoS-016</t>
  </si>
  <si>
    <t xml:space="preserve">HFB-200603 (HiFiBiO) — Antibody targeting BTLA Antagonist in Oncology. AI mode: Target discovery (phenotypic AI platform). Highest phase: Phase I. Outcome: Positive but early. Key data: ESMO 2024: early safety/PK data.</t>
  </si>
  <si>
    <t xml:space="preserve">Tracker AI Pipeline R19: 'Positive but early'</t>
  </si>
  <si>
    <t xml:space="preserve">LONG_VIEW. Mode: Target discovery (phenotypic AI platform). Catalyst: Dose expansion. Source affiliation: Jayatunga 2024 authors are BCG; flag=TRUE per consulting rule even though publication is peer-reviewed.</t>
  </si>
  <si>
    <t xml:space="preserve">PoS-017</t>
  </si>
  <si>
    <t xml:space="preserve">HST-1011 (HotSpot Therapeutics) — Small molecule targeting CBL-B inhibitor in Oncology. AI mode: Target discovery (phenotypic AI platform). Highest phase: Phase I/II. Outcome: Positive but early. Key data: ESMO 2024: immune activation biomarkers in blood + tumor. No efficacy readout yet.</t>
  </si>
  <si>
    <t xml:space="preserve">Highest Phase: Phase I/II</t>
  </si>
  <si>
    <t xml:space="preserve">HotSpot Therapeutics</t>
  </si>
  <si>
    <t xml:space="preserve">Tracker AI Pipeline R20: 'Positive but early'</t>
  </si>
  <si>
    <t xml:space="preserve">LONG_VIEW. Mode: Target discovery (phenotypic AI platform). Catalyst: Dose escalation. Source affiliation: Jayatunga 2024 authors are BCG; flag=TRUE per consulting rule even though publication is peer-reviewed.</t>
  </si>
  <si>
    <t xml:space="preserve">PoS-018</t>
  </si>
  <si>
    <t xml:space="preserve">HMBD-001 (Hummingbird Bioscience) — Antibody targeting HER3 in Oncology. AI mode: Target discovery (phenotypic AI platform). Highest phase: Phase I. Outcome: Positive but early. Key data: 43% DCR. 1 PR with 51% tumor shrinkage. No DLTs. HMBD-002 licensed to Percheron Jun 2025.</t>
  </si>
  <si>
    <t xml:space="preserve">Hummingbird Bioscience</t>
  </si>
  <si>
    <t xml:space="preserve">Tracker AI Pipeline R21: 'Positive but early'</t>
  </si>
  <si>
    <t xml:space="preserve">RECENT. Mode: Target discovery (phenotypic AI platform). Catalyst: Expansion + HMBD-002 Ph 2. Source affiliation: Jayatunga 2024 authors are BCG; flag=TRUE per consulting rule even though publication is peer-reviewed.</t>
  </si>
  <si>
    <t xml:space="preserve">PoS-019</t>
  </si>
  <si>
    <t xml:space="preserve">GTAEXS617 (Exscientia) — Small molecule targeting CDK7 in Solid Tumors. AI mode: Small molecule design (generative). Highest phase: Phase I. Outcome: Too early to judge. Key data: Phase I dose escalation ongoing H2 2024. Exscientia acquired full rights Jul 2024.</t>
  </si>
  <si>
    <t xml:space="preserve">Exscientia</t>
  </si>
  <si>
    <t xml:space="preserve">Tracker AI Pipeline R22: 'Too early to judge'</t>
  </si>
  <si>
    <t xml:space="preserve">LONG_VIEW. Mode: Small molecule design (generative). Catalyst: Phase I data. Source affiliation: Jayatunga 2024 authors are BCG; flag=TRUE per consulting rule even though publication is peer-reviewed.</t>
  </si>
  <si>
    <t xml:space="preserve">PoS-020</t>
  </si>
  <si>
    <t xml:space="preserve">A2A-252 (A2A Pharmaceuticals) — Small molecule targeting TACC3 in Solid Tumors. AI mode: Small molecule design (generative). Highest phase: Phase I. Outcome: Positive but early. Key data: 22% avg tumor reduction in 67% of pts at &lt;1/3 MTD (Bernstein Ex 14).</t>
  </si>
  <si>
    <t xml:space="preserve">A2A Pharmaceuticals</t>
  </si>
  <si>
    <t xml:space="preserve">Tracker AI Pipeline R23: 'Positive but early'</t>
  </si>
  <si>
    <t xml:space="preserve">LONG_VIEW. Mode: Small molecule design (generative). Catalyst: Expansion cohorts. Source affiliation: Jayatunga 2024 authors are BCG; flag=TRUE per consulting rule even though publication is peer-reviewed.</t>
  </si>
  <si>
    <t xml:space="preserve">PoS-021</t>
  </si>
  <si>
    <t xml:space="preserve">BMF-219 (A2A Pharma / Biomea Fusion) — Small molecule targeting undisclosed in undisclosed indication. AI mode: Small molecule design (generative). Highest phase: Phase I/II. Outcome: Ongoing. Key data: Ph I successful, Ph I/II ongoing.</t>
  </si>
  <si>
    <t xml:space="preserve">A2A Pharma / Biomea Fusion</t>
  </si>
  <si>
    <t xml:space="preserve">Other/Unspecified</t>
  </si>
  <si>
    <t xml:space="preserve">Tracker AI Pipeline R24: 'Ongoing'</t>
  </si>
  <si>
    <t xml:space="preserve">LONG_VIEW. Mode: Small molecule design (generative). Source affiliation: Jayatunga 2024 authors are BCG; flag=TRUE per consulting rule even though publication is peer-reviewed.</t>
  </si>
  <si>
    <t xml:space="preserve">PoS-022</t>
  </si>
  <si>
    <t xml:space="preserve">Monoclonal antibodies, Teva (AbCellera Biologics) — Antibody targeting undisclosed in undisclosed indication. AI mode: Antibody design. Highest phase: Phase I. Outcome: Ongoing.</t>
  </si>
  <si>
    <t xml:space="preserve">AbCellera Biologics</t>
  </si>
  <si>
    <t xml:space="preserve">Tracker AI Pipeline R25: 'Ongoing'</t>
  </si>
  <si>
    <t xml:space="preserve">LONG_VIEW. Mode: Antibody design. Source affiliation: Jayatunga 2024 authors are BCG; flag=TRUE per consulting rule even though publication is peer-reviewed.</t>
  </si>
  <si>
    <t xml:space="preserve">PoS-023</t>
  </si>
  <si>
    <t xml:space="preserve">AC-682 (Accutar Biotechnology) — Small molecule targeting undisclosed in undisclosed indication. AI mode: Small molecule design (generative). Highest phase: Phase I. Outcome: Ongoing.</t>
  </si>
  <si>
    <t xml:space="preserve">Accutar Biotechnology</t>
  </si>
  <si>
    <t xml:space="preserve">Tracker AI Pipeline R26: 'Ongoing'</t>
  </si>
  <si>
    <t xml:space="preserve">PoS-024</t>
  </si>
  <si>
    <t xml:space="preserve">AC-0176 (Accutar Biotechnology) — Small molecule targeting undisclosed in undisclosed indication. AI mode: Small molecule design (generative). Highest phase: Phase I. Outcome: Ongoing.</t>
  </si>
  <si>
    <t xml:space="preserve">Tracker AI Pipeline R27: 'Ongoing'</t>
  </si>
  <si>
    <t xml:space="preserve">PoS-025</t>
  </si>
  <si>
    <t xml:space="preserve">AC-0676 (Accutar Biotechnology) — Small molecule targeting BTK Degrader in Heme malignancies. AI mode: Small molecule design (generative). Highest phase: Phase I. Outcome: Too early to judge. Key data: First patient dosed Jun 2023. No public results.</t>
  </si>
  <si>
    <t xml:space="preserve">Tracker AI Pipeline R28: 'Too early to judge'</t>
  </si>
  <si>
    <t xml:space="preserve">PoS-026</t>
  </si>
  <si>
    <t xml:space="preserve">AC-699 (Accutar Biotechnology) — Small molecule targeting undisclosed in undisclosed indication. AI mode: Small molecule design (generative). Highest phase: Phase I. Outcome: Ongoing.</t>
  </si>
  <si>
    <t xml:space="preserve">Tracker AI Pipeline R29: 'Ongoing'</t>
  </si>
  <si>
    <t xml:space="preserve">PoS-027</t>
  </si>
  <si>
    <t xml:space="preserve">ATH-63 (Athos Therapeutics) — Small molecule targeting undisclosed in undisclosed indication. AI mode: Target discovery (phenotypic AI platform). Highest phase: Phase I. Outcome: Ongoing.</t>
  </si>
  <si>
    <t xml:space="preserve">Athos Therapeutics</t>
  </si>
  <si>
    <t xml:space="preserve">Tracker AI Pipeline R30: 'Ongoing'</t>
  </si>
  <si>
    <t xml:space="preserve">LONG_VIEW. Mode: Target discovery (phenotypic AI platform). Source affiliation: Jayatunga 2024 authors are BCG; flag=TRUE per consulting rule even though publication is peer-reviewed.</t>
  </si>
  <si>
    <t xml:space="preserve">PoS-028</t>
  </si>
  <si>
    <t xml:space="preserve">AU-409 (Auransa) — Small molecule targeting Undisclosed in HCC. AI mode: Target discovery (phenotypic AI platform). Highest phase: Phase I. Outcome: Too early to judge. Key data: First patient dosed 2023 USC Norris. No results yet.</t>
  </si>
  <si>
    <t xml:space="preserve">Auransa</t>
  </si>
  <si>
    <t xml:space="preserve">Tracker AI Pipeline R31: 'Too early to judge'</t>
  </si>
  <si>
    <t xml:space="preserve">LONG_VIEW. Mode: Target discovery (phenotypic AI platform). Catalyst: Phase I readout. Source affiliation: Jayatunga 2024 authors are BCG; flag=TRUE per consulting rule even though publication is peer-reviewed.</t>
  </si>
  <si>
    <t xml:space="preserve">PoS-029</t>
  </si>
  <si>
    <t xml:space="preserve">BEN-2293 (BenevolentAI) — Small molecule targeting Pan-TRK in Atopic dermatitis. AI mode: Target discovery (phenotypic AI platform). Highest phase: Phase I/II. Outcome: Failed. Key data: Ph I successful but Ph II unsuccessful.</t>
  </si>
  <si>
    <t xml:space="preserve">BenevolentAI</t>
  </si>
  <si>
    <t xml:space="preserve">Tracker AI Pipeline R32: 'Failed'</t>
  </si>
  <si>
    <t xml:space="preserve">LONG_VIEW. Mode: Target discovery (phenotypic AI platform). DISCONFIRMING — disclosed failure or termination. Source affiliation: Jayatunga 2024 authors are BCG; flag=TRUE per consulting rule even though publication is peer-reviewed.</t>
  </si>
  <si>
    <t xml:space="preserve">PoS-030</t>
  </si>
  <si>
    <t xml:space="preserve">BEN-8744 (BenevolentAI) — Small molecule targeting undisclosed in undisclosed indication. AI mode: Target discovery (phenotypic AI platform). Highest phase: Phase I. Outcome: Ongoing.</t>
  </si>
  <si>
    <t xml:space="preserve">Tracker AI Pipeline R33: 'Ongoing'</t>
  </si>
  <si>
    <t xml:space="preserve">PoS-031</t>
  </si>
  <si>
    <t xml:space="preserve">Bavisant (BenevolentAI) — Small molecule targeting undisclosed in undisclosed indication. AI mode: Repurposing. Highest phase: Phase II. Outcome: Failed. Key data: Phase completed but asset removed from pipeline.</t>
  </si>
  <si>
    <t xml:space="preserve">Tracker AI Pipeline R34: 'Failed'</t>
  </si>
  <si>
    <t xml:space="preserve">LONG_VIEW. Mode: Repurposing. DISCONFIRMING — disclosed failure or termination. Source affiliation: Jayatunga 2024 authors are BCG; flag=TRUE per consulting rule even though publication is peer-reviewed.</t>
  </si>
  <si>
    <t xml:space="preserve">PoS-032</t>
  </si>
  <si>
    <t xml:space="preserve">BGE-105 (Azelaprag) (BioAge Labs) — Small molecule targeting Apelin receptor in Obesity. AI mode: Repurposing. Highest phase: Phase II. Outcome: Failed — Discontinued. Key data: Elevated liver enzymes. BioAge shut down program after IPO.</t>
  </si>
  <si>
    <t xml:space="preserve">BioAge Labs</t>
  </si>
  <si>
    <t xml:space="preserve">Tracker AI Pipeline R35: 'Failed — Discontinued'</t>
  </si>
  <si>
    <t xml:space="preserve">PoS-033</t>
  </si>
  <si>
    <t xml:space="preserve">AU-007 (Biolojic Design / Aulos) — Antibody targeting IL-2 in Solid Tumors. AI mode: Antibody design. Highest phase: Phase I/II. Outcome: Ongoing. Key data: Ph I successful, Ph I/II ongoing.</t>
  </si>
  <si>
    <t xml:space="preserve">Biolojic Design / Aulos</t>
  </si>
  <si>
    <t xml:space="preserve">Tracker AI Pipeline R36: 'Ongoing'</t>
  </si>
  <si>
    <t xml:space="preserve">PoS-034</t>
  </si>
  <si>
    <t xml:space="preserve">Talabostat (BXCL-701) (BioXcel Therapeutics) — Small molecule targeting undisclosed in undisclosed indication. AI mode: Repurposing. Highest phase: Phase IIb. Outcome: Ongoing. Key data: Successful Phase IIa; now Phase IIb.</t>
  </si>
  <si>
    <t xml:space="preserve">Highest Phase: Phase IIb</t>
  </si>
  <si>
    <t xml:space="preserve">Tracker AI Pipeline R37: 'Ongoing'</t>
  </si>
  <si>
    <t xml:space="preserve">LONG_VIEW. Mode: Repurposing. Source affiliation: Jayatunga 2024 authors are BCG; flag=TRUE per consulting rule even though publication is peer-reviewed.</t>
  </si>
  <si>
    <t xml:space="preserve">PoS-035</t>
  </si>
  <si>
    <t xml:space="preserve">BDTX-1535 (Black Diamond Therapeutics) — Small molecule targeting EGFR in undisclosed indication. AI mode: Target discovery (phenotypic AI platform). Highest phase: Phase I/II. Outcome: Ongoing. Key data: Ph I successful, Ph I/II ongoing.</t>
  </si>
  <si>
    <t xml:space="preserve">Black Diamond Therapeutics</t>
  </si>
  <si>
    <t xml:space="preserve">Tracker AI Pipeline R38: 'Ongoing'</t>
  </si>
  <si>
    <t xml:space="preserve">PoS-036</t>
  </si>
  <si>
    <t xml:space="preserve">BDTX-189 (Black Diamond Therapeutics) — Small molecule targeting EGFR/HER2 in undisclosed indication. AI mode: Target discovery (phenotypic AI platform). Highest phase: Phase I/II. Outcome: Failed. Key data: Ph I successful but Ph II terminated (reprioritisation).</t>
  </si>
  <si>
    <t xml:space="preserve">Tracker AI Pipeline R39: 'Failed'</t>
  </si>
  <si>
    <t xml:space="preserve">PoS-037</t>
  </si>
  <si>
    <t xml:space="preserve">BDTX-4933 (Black Diamond Therapeutics) — Small molecule targeting undisclosed in undisclosed indication. AI mode: Target discovery (phenotypic AI platform). Highest phase: Phase I. Outcome: Ongoing.</t>
  </si>
  <si>
    <t xml:space="preserve">Tracker AI Pipeline R40: 'Ongoing'</t>
  </si>
  <si>
    <t xml:space="preserve">PoS-038</t>
  </si>
  <si>
    <t xml:space="preserve">C4X_3256/INDV-2000 (C4X Discovery / Indivior) — Small molecule targeting undisclosed in undisclosed indication. AI mode: Small molecule design (generative). Highest phase: Phase I. Outcome: Ongoing.</t>
  </si>
  <si>
    <t xml:space="preserve">C4X Discovery / Indivior</t>
  </si>
  <si>
    <t xml:space="preserve">Tracker AI Pipeline R41: 'Ongoing'</t>
  </si>
  <si>
    <t xml:space="preserve">PoS-039</t>
  </si>
  <si>
    <t xml:space="preserve">CEL-383 (Celsius Therapeutics) — Antibody targeting undisclosed in undisclosed indication. AI mode: Target discovery (phenotypic AI platform). Highest phase: Phase I. Outcome: Ongoing.</t>
  </si>
  <si>
    <t xml:space="preserve">Celsius Therapeutics</t>
  </si>
  <si>
    <t xml:space="preserve">Tracker AI Pipeline R42: 'Ongoing'</t>
  </si>
  <si>
    <t xml:space="preserve">PoS-040</t>
  </si>
  <si>
    <t xml:space="preserve">Bapotulimab (Compugen) — Antibody targeting undisclosed in Oncology. AI mode: Target discovery (phenotypic AI platform). Highest phase: Phase I. Outcome: Ongoing.</t>
  </si>
  <si>
    <t xml:space="preserve">Compugen</t>
  </si>
  <si>
    <t xml:space="preserve">Tracker AI Pipeline R43: 'Ongoing'</t>
  </si>
  <si>
    <t xml:space="preserve">PoS-041</t>
  </si>
  <si>
    <t xml:space="preserve">COM-701 (Compugen) — Antibody targeting undisclosed in undisclosed indication. AI mode: Target discovery (phenotypic AI platform). Highest phase: Phase I. Outcome: Ongoing.</t>
  </si>
  <si>
    <t xml:space="preserve">Tracker AI Pipeline R44: 'Ongoing'</t>
  </si>
  <si>
    <t xml:space="preserve">PoS-042</t>
  </si>
  <si>
    <t xml:space="preserve">Influenza vaccine H7N9 (EpiVax) — Vaccine targeting undisclosed in undisclosed indication. AI mode: Vaccine / neoantigen design. Highest phase: Phase I. Outcome: Ongoing.</t>
  </si>
  <si>
    <t xml:space="preserve">EpiVax</t>
  </si>
  <si>
    <t xml:space="preserve">Tracker AI Pipeline R45: 'Ongoing'</t>
  </si>
  <si>
    <t xml:space="preserve">LONG_VIEW. Mode: Vaccine / neoantigen design. Source affiliation: Jayatunga 2024 authors are BCG; flag=TRUE per consulting rule even though publication is peer-reviewed.</t>
  </si>
  <si>
    <t xml:space="preserve">PoS-043</t>
  </si>
  <si>
    <t xml:space="preserve">EVX-02 (Evaxion Biotech) — Vaccine targeting undisclosed in Cancer immunotherapy. AI mode: Vaccine / neoantigen design. Highest phase: Phase I. Outcome: Failed. Key data: Ph I successful but terminated before Ph II to accelerate 2nd-gen platform.</t>
  </si>
  <si>
    <t xml:space="preserve">Tracker AI Pipeline R46: 'Failed'</t>
  </si>
  <si>
    <t xml:space="preserve">LONG_VIEW. Mode: Vaccine / neoantigen design. DISCONFIRMING — disclosed failure or termination. Source affiliation: Jayatunga 2024 authors are BCG; flag=TRUE per consulting rule even though publication is peer-reviewed.</t>
  </si>
  <si>
    <t xml:space="preserve">PoS-044</t>
  </si>
  <si>
    <t xml:space="preserve">EVOEXS-21546 (Exscientia) — Small molecule targeting A2a receptor in undisclosed indication. AI mode: Small molecule design (generative). Highest phase: Phase I. Outcome: Failed. Key data: Phase Ia successful but Ib/II terminated — couldn't reach therapeutic index.</t>
  </si>
  <si>
    <t xml:space="preserve">Tracker AI Pipeline R47: 'Failed'</t>
  </si>
  <si>
    <t xml:space="preserve">LONG_VIEW. Mode: Small molecule design (generative). DISCONFIRMING — disclosed failure or termination. Source affiliation: Jayatunga 2024 authors are BCG; flag=TRUE per consulting rule even though publication is peer-reviewed.</t>
  </si>
  <si>
    <t xml:space="preserve">PoS-045</t>
  </si>
  <si>
    <t xml:space="preserve">DSP-1181 (Exscientia) — Small molecule targeting 5-HT1A in OCD. AI mode: Small molecule design (generative). Highest phase: Phase I. Outcome: Failed. Key data: Unsuccessful Phase I.</t>
  </si>
  <si>
    <t xml:space="preserve">Tracker AI Pipeline R48: 'Failed'</t>
  </si>
  <si>
    <t xml:space="preserve">PoS-046</t>
  </si>
  <si>
    <t xml:space="preserve">DSP-0038 (Exscientia) — Small molecule targeting undisclosed in undisclosed indication. AI mode: Small molecule design (generative). Highest phase: Phase I. Outcome: Ongoing.</t>
  </si>
  <si>
    <t xml:space="preserve">Tracker AI Pipeline R49: 'Ongoing'</t>
  </si>
  <si>
    <t xml:space="preserve">PoS-047</t>
  </si>
  <si>
    <t xml:space="preserve">EXS-617 (Exscientia) — Small molecule targeting undisclosed in undisclosed indication. AI mode: Small molecule design (generative). Highest phase: Phase I/II. Outcome: Ongoing.</t>
  </si>
  <si>
    <t xml:space="preserve">Tracker AI Pipeline R50: 'Ongoing'</t>
  </si>
  <si>
    <t xml:space="preserve">PoS-048</t>
  </si>
  <si>
    <t xml:space="preserve">EXS-4318 (Exscientia *) — Small molecule targeting undisclosed in undisclosed indication. AI mode: Small molecule design (generative). Highest phase: Phase I. Outcome: Ongoing.</t>
  </si>
  <si>
    <t xml:space="preserve">Exscientia *</t>
  </si>
  <si>
    <t xml:space="preserve">Tracker AI Pipeline R51: 'Ongoing'</t>
  </si>
  <si>
    <t xml:space="preserve">PoS-049</t>
  </si>
  <si>
    <t xml:space="preserve">GB-0895 (Generate:Biomedicines) — Antibody targeting undisclosed in undisclosed indication. AI mode: Antibody design. Highest phase: Phase I. Outcome: Ongoing.</t>
  </si>
  <si>
    <t xml:space="preserve">Generate:Biomedicines</t>
  </si>
  <si>
    <t xml:space="preserve">Tracker AI Pipeline R52: 'Ongoing'</t>
  </si>
  <si>
    <t xml:space="preserve">PoS-050</t>
  </si>
  <si>
    <t xml:space="preserve">HIV vaccine (Gritstone Bio) — Vaccine targeting undisclosed in undisclosed indication. AI mode: Vaccine / neoantigen design. Highest phase: Phase I. Outcome: Ongoing.</t>
  </si>
  <si>
    <t xml:space="preserve">Gritstone Bio</t>
  </si>
  <si>
    <t xml:space="preserve">Tracker AI Pipeline R53: 'Ongoing'</t>
  </si>
  <si>
    <t xml:space="preserve">PoS-051</t>
  </si>
  <si>
    <t xml:space="preserve">GRANITE-001 (Gritstone Bio) — Vaccine targeting undisclosed in undisclosed indication. AI mode: Vaccine / neoantigen design. Highest phase: Phase II/III. Outcome: Ongoing. Key data: Ph I successful, Ph II/III ongoing.</t>
  </si>
  <si>
    <t xml:space="preserve">Highest Phase: Phase II/III</t>
  </si>
  <si>
    <t xml:space="preserve">Tracker AI Pipeline R54: 'Ongoing'</t>
  </si>
  <si>
    <t xml:space="preserve">PoS-052</t>
  </si>
  <si>
    <t xml:space="preserve">SLATE-001 (Gritstone Bio *) — Vaccine targeting undisclosed in undisclosed indication. AI mode: Vaccine / neoantigen design. Highest phase: Phase I/II. Outcome: Ongoing. Key data: Ph I successful, Ph I/II ongoing.</t>
  </si>
  <si>
    <t xml:space="preserve">Gritstone Bio *</t>
  </si>
  <si>
    <t xml:space="preserve">Tracker AI Pipeline R55: 'Ongoing'</t>
  </si>
  <si>
    <t xml:space="preserve">PoS-053</t>
  </si>
  <si>
    <t xml:space="preserve">Sulindac (HLX-0201) (Healx) — Small molecule targeting undisclosed in undisclosed indication. AI mode: Repurposing. Highest phase: Phase II. Outcome: Failed. Key data: Terminated — delays in site activation.</t>
  </si>
  <si>
    <t xml:space="preserve">Healx</t>
  </si>
  <si>
    <t xml:space="preserve">Tracker AI Pipeline R56: 'Failed'</t>
  </si>
  <si>
    <t xml:space="preserve">PoS-054</t>
  </si>
  <si>
    <t xml:space="preserve">HST-5040 (HemoShear Therapeutics) — Small molecule targeting undisclosed in undisclosed indication. AI mode: Target discovery (phenotypic AI platform). Highest phase: Phase II. Outcome: Failed. Key data: Terminated — business consideration.</t>
  </si>
  <si>
    <t xml:space="preserve">HemoShear Therapeutics</t>
  </si>
  <si>
    <t xml:space="preserve">Tracker AI Pipeline R57: 'Failed'</t>
  </si>
  <si>
    <t xml:space="preserve">PoS-055</t>
  </si>
  <si>
    <t xml:space="preserve">HFB-301001 (HiFiBiO) — Antibody targeting OX40 Agonist in Oncology. AI mode: Target discovery (phenotypic AI platform). Highest phase: Phase I. Outcome: Too early to judge. Key data: Expected Jan 2025. No public results.</t>
  </si>
  <si>
    <t xml:space="preserve">Tracker AI Pipeline R58: 'Too early to judge'</t>
  </si>
  <si>
    <t xml:space="preserve">RECENT. Mode: Target discovery (phenotypic AI platform). Catalyst: Phase I data. Source affiliation: Jayatunga 2024 authors are BCG; flag=TRUE per consulting rule even though publication is peer-reviewed.</t>
  </si>
  <si>
    <t xml:space="preserve">PoS-056</t>
  </si>
  <si>
    <t xml:space="preserve">HMBD-002 (Hummingbird Bioscience) — Antibody targeting VISTA in Oncology. AI mode: Target discovery (phenotypic AI platform). Highest phase: Phase I. Outcome: Ongoing. Key data: Ph I completed. Licensed to Percheron for Phase 2 (Jun 2025).</t>
  </si>
  <si>
    <t xml:space="preserve">Tracker AI Pipeline R59: 'Ongoing'</t>
  </si>
  <si>
    <t xml:space="preserve">RECENT. Mode: Target discovery (phenotypic AI platform). Source affiliation: Jayatunga 2024 authors are BCG; flag=TRUE per consulting rule even though publication is peer-reviewed.</t>
  </si>
  <si>
    <t xml:space="preserve">PoS-057</t>
  </si>
  <si>
    <t xml:space="preserve">ISM012-042 (Insilico Medicine) — Small molecule targeting undisclosed in undisclosed indication. AI mode: Small molecule design (generative). Highest phase: Phase I. Outcome: Ongoing.</t>
  </si>
  <si>
    <t xml:space="preserve">Tracker AI Pipeline R60: 'Ongoing'</t>
  </si>
  <si>
    <t xml:space="preserve">PoS-058</t>
  </si>
  <si>
    <t xml:space="preserve">ISM-0003091 (Insilico Medicine / Exelixis) — Small molecule targeting undisclosed in undisclosed indication. AI mode: Small molecule design (generative). Highest phase: Phase I. Outcome: Ongoing.</t>
  </si>
  <si>
    <t xml:space="preserve">Insilico Medicine / Exelixis</t>
  </si>
  <si>
    <t xml:space="preserve">Tracker AI Pipeline R61: 'Ongoing'</t>
  </si>
  <si>
    <t xml:space="preserve">PoS-059</t>
  </si>
  <si>
    <t xml:space="preserve">NX-13 (Landos Biopharma / NImmune) — Small molecule targeting NLRX1 in IBD. AI mode: Target discovery (phenotypic AI platform). Highest phase: Phase II. Outcome: Ongoing. Key data: Phase I successful, Phase II ongoing.</t>
  </si>
  <si>
    <t xml:space="preserve">Tracker AI Pipeline R62: 'Ongoing'</t>
  </si>
  <si>
    <t xml:space="preserve">PoS-060</t>
  </si>
  <si>
    <t xml:space="preserve">NIM-1324 (Landos Biopharma / NImmune) — Small molecule targeting LanC like 2 in SLE. AI mode: Target discovery (phenotypic AI platform). Highest phase: Phase I. Outcome: Successful (Ph I). Key data: Phase I successful.</t>
  </si>
  <si>
    <t xml:space="preserve">Tracker AI Pipeline R63: 'Successful (Ph I)'</t>
  </si>
  <si>
    <t xml:space="preserve">PoS-061</t>
  </si>
  <si>
    <t xml:space="preserve">CNS disease therapy (METiS Pharmaceuticals) — Small molecule targeting undisclosed in undisclosed indication. AI mode: Multi-modal / hybrid. Highest phase: Phase I. Outcome: Ongoing.</t>
  </si>
  <si>
    <t xml:space="preserve">METiS Pharmaceuticals</t>
  </si>
  <si>
    <t xml:space="preserve">Tracker AI Pipeline R64: 'Ongoing'</t>
  </si>
  <si>
    <t xml:space="preserve">LONG_VIEW. Mode: Multi-modal / hybrid. Source affiliation: Jayatunga 2024 authors are BCG; flag=TRUE per consulting rule even though publication is peer-reviewed.</t>
  </si>
  <si>
    <t xml:space="preserve">PoS-062</t>
  </si>
  <si>
    <t xml:space="preserve">MRANK-001 (MindRank) — Small molecule targeting undisclosed in undisclosed indication. AI mode: Small molecule design (generative). Highest phase: Phase I. Outcome: Ongoing.</t>
  </si>
  <si>
    <t xml:space="preserve">MindRank</t>
  </si>
  <si>
    <t xml:space="preserve">Tracker AI Pipeline R65: 'Ongoing'</t>
  </si>
  <si>
    <t xml:space="preserve">PoS-063</t>
  </si>
  <si>
    <t xml:space="preserve">NEU-723 (Neuron23) — Small molecule targeting LRRK2 in undisclosed indication. AI mode: Target discovery (phenotypic AI platform). Highest phase: Phase I. Outcome: Failed. Key data: Terminated — business decision.</t>
  </si>
  <si>
    <t xml:space="preserve">Neuron23</t>
  </si>
  <si>
    <t xml:space="preserve">Tracker AI Pipeline R66: 'Failed'</t>
  </si>
  <si>
    <t xml:space="preserve">PoS-064</t>
  </si>
  <si>
    <t xml:space="preserve">NEU-411 (Neuron23) — Small molecule targeting undisclosed in undisclosed indication. AI mode: Target discovery (phenotypic AI platform). Highest phase: Phase I. Outcome: Ongoing.</t>
  </si>
  <si>
    <t xml:space="preserve">Tracker AI Pipeline R67: 'Ongoing'</t>
  </si>
  <si>
    <t xml:space="preserve">PoS-065</t>
  </si>
  <si>
    <t xml:space="preserve">Firsocostat (Nimbus Therapeutics *) — Small molecule targeting ACC in NASH. AI mode: Small molecule design (generative). Highest phase: Phase II. Outcome: Failed. Key data: Ph I successful but Ph II unsuccessful.</t>
  </si>
  <si>
    <t xml:space="preserve">Nimbus Therapeutics *</t>
  </si>
  <si>
    <t xml:space="preserve">Tracker AI Pipeline R68: 'Failed'</t>
  </si>
  <si>
    <t xml:space="preserve">PoS-066</t>
  </si>
  <si>
    <t xml:space="preserve">NDI-101150 (Nimbus Therapeutics) — Small molecule targeting undisclosed in undisclosed indication. AI mode: Small molecule design (generative). Highest phase: Phase I/II. Outcome: Ongoing.</t>
  </si>
  <si>
    <t xml:space="preserve">Nimbus Therapeutics</t>
  </si>
  <si>
    <t xml:space="preserve">Tracker AI Pipeline R69: 'Ongoing'</t>
  </si>
  <si>
    <t xml:space="preserve">PoS-067</t>
  </si>
  <si>
    <t xml:space="preserve">Fasoracetam (NB-001) (Nobias Therapeutics) — Small molecule targeting undisclosed in undisclosed indication. AI mode: Repurposing. Highest phase: Phase II. Outcome: Successful (Ph II). Key data: Phase II successful.</t>
  </si>
  <si>
    <t xml:space="preserve">Nobias Therapeutics</t>
  </si>
  <si>
    <t xml:space="preserve">Tracker AI Pipeline R70: 'Successful (Ph II)'</t>
  </si>
  <si>
    <t xml:space="preserve">PoS-068</t>
  </si>
  <si>
    <t xml:space="preserve">PHI-101 (Pharos iBio) — Small molecule targeting undisclosed in undisclosed indication. AI mode: Small molecule design (generative). Highest phase: Phase I. Outcome: Ongoing.</t>
  </si>
  <si>
    <t xml:space="preserve">Pharos iBio</t>
  </si>
  <si>
    <t xml:space="preserve">Tracker AI Pipeline R71: 'Ongoing'</t>
  </si>
  <si>
    <t xml:space="preserve">PoS-069</t>
  </si>
  <si>
    <t xml:space="preserve">REC-994 (Recursion) — Small molecule targeting Unspecified in undisclosed indication. AI mode: Target discovery (phenotypic AI platform). Highest phase: Phase II. Outcome: Ongoing. Key data: Phase I successful, Phase II ongoing.</t>
  </si>
  <si>
    <t xml:space="preserve">Tracker AI Pipeline R72: 'Ongoing'</t>
  </si>
  <si>
    <t xml:space="preserve">PoS-070</t>
  </si>
  <si>
    <t xml:space="preserve">REC-3964 (Recursion) — Small molecule targeting Unspecified in undisclosed indication. AI mode: Target discovery (phenotypic AI platform). Highest phase: Phase I. Outcome: Successful (Ph I). Key data: Phase I successful.</t>
  </si>
  <si>
    <t xml:space="preserve">Tracker AI Pipeline R73: 'Successful (Ph I)'</t>
  </si>
  <si>
    <t xml:space="preserve">PoS-071</t>
  </si>
  <si>
    <t xml:space="preserve">RLY-1971 (Relay Therapeutics) — Small molecule targeting undisclosed in undisclosed indication. AI mode: Small molecule design (generative). Highest phase: Phase I. Outcome: Ongoing.</t>
  </si>
  <si>
    <t xml:space="preserve">Relay Therapeutics</t>
  </si>
  <si>
    <t xml:space="preserve">Tracker AI Pipeline R74: 'Ongoing'</t>
  </si>
  <si>
    <t xml:space="preserve">PoS-072</t>
  </si>
  <si>
    <t xml:space="preserve">RLY-2608 (Relay Therapeutics) — Small molecule targeting undisclosed in undisclosed indication. AI mode: Small molecule design (generative). Highest phase: Phase I. Outcome: Ongoing.</t>
  </si>
  <si>
    <t xml:space="preserve">Tracker AI Pipeline R75: 'Ongoing'</t>
  </si>
  <si>
    <t xml:space="preserve">PoS-073</t>
  </si>
  <si>
    <t xml:space="preserve">RLY-4008 (Relay Therapeutics) — Small molecule targeting FGFR2 in undisclosed indication. AI mode: Small molecule design (generative). Highest phase: Phase I/II. Outcome: Ongoing. Key data: Ph I successful, Ph I/II ongoing.</t>
  </si>
  <si>
    <t xml:space="preserve">Tracker AI Pipeline R76: 'Ongoing'</t>
  </si>
  <si>
    <t xml:space="preserve">PoS-074</t>
  </si>
  <si>
    <t xml:space="preserve">RLY-5836 (Relay Therapeutics) — Small molecule targeting undisclosed in undisclosed indication. AI mode: Small molecule design (generative). Highest phase: Phase I. Outcome: Ongoing.</t>
  </si>
  <si>
    <t xml:space="preserve">Tracker AI Pipeline R77: 'Ongoing'</t>
  </si>
  <si>
    <t xml:space="preserve">PoS-075</t>
  </si>
  <si>
    <t xml:space="preserve">SNX-281 (Roivant Sciences) — Small molecule targeting undisclosed in undisclosed indication. AI mode: Small molecule design (generative). Highest phase: Phase I. Outcome: Ongoing.</t>
  </si>
  <si>
    <t xml:space="preserve">Roivant Sciences</t>
  </si>
  <si>
    <t xml:space="preserve">Tracker AI Pipeline R78: 'Ongoing'</t>
  </si>
  <si>
    <t xml:space="preserve">PoS-076</t>
  </si>
  <si>
    <t xml:space="preserve">SGR-3515 (Schrödinger) — Small molecule targeting Wee1/Myt1 in Solid Tumors. AI mode: Small molecule design (physics-based, FEP+). Highest phase: Phase I. Outcome: Too early to judge. Key data: Phase I dosing ongoing. Preclinical data only (AACR 2025).</t>
  </si>
  <si>
    <t xml:space="preserve">Tracker AI Pipeline R79: 'Too early to judge'</t>
  </si>
  <si>
    <t xml:space="preserve">RECENT. Mode: Small molecule design (physics-based, FEP+). Catalyst: Phase I dose escalation. Source affiliation: Jayatunga 2024 authors are BCG; flag=TRUE per consulting rule even though publication is peer-reviewed.</t>
  </si>
  <si>
    <t xml:space="preserve">PoS-077</t>
  </si>
  <si>
    <t xml:space="preserve">Tolcapone (SOM0226) (SOM Biotech) — Small molecule targeting COMT in undisclosed indication. AI mode: Repurposing. Highest phase: Phase II. Outcome: Ongoing. Key data: Phase I successful, Phase II ongoing.</t>
  </si>
  <si>
    <t xml:space="preserve">SOM Biotech</t>
  </si>
  <si>
    <t xml:space="preserve">Tracker AI Pipeline R80: 'Ongoing'</t>
  </si>
  <si>
    <t xml:space="preserve">PoS-078</t>
  </si>
  <si>
    <t xml:space="preserve">Bevantolol (SOM-3355) (SOM Biotech) — Small molecule targeting undisclosed in undisclosed indication. AI mode: Repurposing. Highest phase: Phase IIb. Outcome: Ongoing. Key data: Phase IIa completed; Phase IIb ongoing.</t>
  </si>
  <si>
    <t xml:space="preserve">Tracker AI Pipeline R81: 'Ongoing'</t>
  </si>
  <si>
    <t xml:space="preserve">PoS-079</t>
  </si>
  <si>
    <t xml:space="preserve">SAR-407899 (Valo Health) — Small molecule targeting undisclosed in undisclosed indication. AI mode: Repurposing. Highest phase: Phase II. Outcome: Ongoing.</t>
  </si>
  <si>
    <t xml:space="preserve">Valo Health</t>
  </si>
  <si>
    <t xml:space="preserve">Tracker AI Pipeline R82: 'Ongoing'</t>
  </si>
  <si>
    <t xml:space="preserve">PoS-080</t>
  </si>
  <si>
    <t xml:space="preserve">COM-902 (Compugen) — Antibody targeting TIGIT in Advanced malignancies. AI mode: Target discovery (phenotypic AI platform). Highest phase: Phase I. Outcome: Too early to judge. Key data: Parent antibody. Limited public data.</t>
  </si>
  <si>
    <t xml:space="preserve">Tracker AI Pipeline R83: 'Too early to judge'</t>
  </si>
  <si>
    <t xml:space="preserve">LONG_VIEW. Mode: Target discovery (phenotypic AI platform). Catalyst: Phase I data. Source affiliation: Jayatunga 2024 authors are BCG; flag=TRUE per consulting rule even though publication is peer-reviewed.</t>
  </si>
  <si>
    <t xml:space="preserve">PoS-081</t>
  </si>
  <si>
    <t xml:space="preserve">ISM8207 (Insilico Medicine) — Small molecule targeting QPCTL in Solid Tumors. AI mode: Small molecule design (generative). Highest phase: Pre-Phase I. Outcome: Too early to judge. Key data: Nov 2026 target. No results yet.</t>
  </si>
  <si>
    <t xml:space="preserve">Highest Phase: Pre-Phase I</t>
  </si>
  <si>
    <t xml:space="preserve">Tracker AI Pipeline R84: 'Too early to judge'</t>
  </si>
  <si>
    <t xml:space="preserve">RECENT. Mode: Small molecule design (generative). Catalyst: IND / Phase I. Source affiliation: Jayatunga 2024 authors are BCG; flag=TRUE per consulting rule even though publication is peer-reviewed.</t>
  </si>
  <si>
    <t xml:space="preserve">PoS-082</t>
  </si>
  <si>
    <t xml:space="preserve">OPL-0401 (Valo Health) — Small molecule targeting ROCK1 in Diabetic Retinopathy. AI mode: Target discovery (phenotypic AI platform). Highest phase: Phase II. Outcome: Failed — Discontinued. Key data: Phase II SPECTRA did not meet primary or secondary endpoints. Valo suspended, seeking partner.</t>
  </si>
  <si>
    <t xml:space="preserve">AI Pipeline Tracker (Jayatunga 2024 + Bernstein extensions)</t>
  </si>
  <si>
    <t xml:space="preserve">AI Drug Pipeline Tracker, row 82 (OPL-0401)</t>
  </si>
  <si>
    <t xml:space="preserve">Tracker AI Pipeline R85: 'Failed — Discontinued'</t>
  </si>
  <si>
    <t xml:space="preserve">LONG_VIEW. Mode: Target discovery (phenotypic AI platform). Catalyst: Program terminated. DISCONFIRMING — disclosed failure or termination. Source affiliation: Jayatunga 2024 authors are BCG; flag=TRUE per consulting rule even though publication is peer-reviewed.</t>
  </si>
  <si>
    <t xml:space="preserve">PoS-V01</t>
  </si>
  <si>
    <t xml:space="preserve">NCT verification - Zasocitinib (TAK-279)</t>
  </si>
  <si>
    <t xml:space="preserve">Zasocitinib (NDI-034858 / TAK-279) Phase 3 plaque psoriasis trial NCT06108544 completed 2024-12-06 (1,108 pts, vs placebo + apremilast). Two Phase 3 PsA trials recruiting (LATITUDE-PsA-3001/3002).</t>
  </si>
  <si>
    <t xml:space="preserve">P3 completed; PASI 90 &gt;50% per tracker</t>
  </si>
  <si>
    <t xml:space="preserve">ClinicalTrials.gov NCT</t>
  </si>
  <si>
    <t xml:space="preserve">ClinicalTrials.gov NCT06108544; NCT06671483; NCT06671496; NCT06550076; NCT07286058</t>
  </si>
  <si>
    <t xml:space="preserve">https://clinicaltrials.gov/study/NCT06108544</t>
  </si>
  <si>
    <t xml:space="preserve">NCT06108544 status COMPLETED, Primary Completion 2024-12-06; Phase 3, 1108 enrolled, sponsor Takeda.</t>
  </si>
  <si>
    <t xml:space="preserve">R&amp;D PoS - immunology winner</t>
  </si>
  <si>
    <t xml:space="preserve">RECENT + LONG_VIEW. The ONE AI-assisted molecule to clear P3 to date (Nimbus FEP+ design with Schrödinger physics-based methods, licensed to Takeda for $4B upfront in Dec 2022 — see Q4).</t>
  </si>
  <si>
    <t xml:space="preserve">PoS-V02</t>
  </si>
  <si>
    <t xml:space="preserve">NCT verification - INS018_055 rentosertib</t>
  </si>
  <si>
    <t xml:space="preserve">INS018_055/rentosertib P2a in IPF NCT05938920 COMPLETED 2024-08-08, 71 enrolled, positive +98.4 mL FVC at 60 mg QD vs -20.3 mL placebo. Published Nat Med 2025.</t>
  </si>
  <si>
    <t xml:space="preserve">+98.4 mL FVC vs -20.3 mL placebo</t>
  </si>
  <si>
    <t xml:space="preserve">ClinicalTrials.gov NCT + Peer-reviewed publication</t>
  </si>
  <si>
    <t xml:space="preserve">ClinicalTrials.gov NCT05938920; PMID 40461817 Nat Med 2025</t>
  </si>
  <si>
    <t xml:space="preserve">https://clinicaltrials.gov/study/NCT05938920</t>
  </si>
  <si>
    <t xml:space="preserve">NCT05938920 status COMPLETED, n=71, Primary Completion 2024-08-08.</t>
  </si>
  <si>
    <t xml:space="preserve">R&amp;D PoS - rare disease winner</t>
  </si>
  <si>
    <t xml:space="preserve">RECENT. Tier 1 verification overlays tracker R5. Pairs with T-001 and T-003.</t>
  </si>
  <si>
    <t xml:space="preserve">PoS-V03</t>
  </si>
  <si>
    <t xml:space="preserve">NCT verification - REC-2282 NF2 (DISCONFIRMING)</t>
  </si>
  <si>
    <t xml:space="preserve">Recursion REC-2282 (HDAC, NF2 meningioma) Phase 2/3 NCT05130866 TERMINATED 2025-08-18, only n=25 enrolled (vs planned higher). Confirms tracker failure.</t>
  </si>
  <si>
    <t xml:space="preserve">TERMINATED, n=25</t>
  </si>
  <si>
    <t xml:space="preserve">ClinicalTrials.gov NCT05130866</t>
  </si>
  <si>
    <t xml:space="preserve">https://clinicaltrials.gov/study/NCT05130866</t>
  </si>
  <si>
    <t xml:space="preserve">NCT05130866 status TERMINATED, Primary Completion 2025-08-18.</t>
  </si>
  <si>
    <t xml:space="preserve">R&amp;D PoS - neuro rare disconfirm</t>
  </si>
  <si>
    <t xml:space="preserve">RECENT. Material disconfirming row for neuro/CNS-rare cell of AI cohort.</t>
  </si>
  <si>
    <t xml:space="preserve">PoS-V04</t>
  </si>
  <si>
    <t xml:space="preserve">NCT verification - SGR-2921 CDC7 (DISCONFIRMING)</t>
  </si>
  <si>
    <t xml:space="preserve">Schrödinger SGR-2921 (CDC7, AML/MDS) Phase 1 NCT05961839 TERMINATED 2025-08-14, n=66. Two treatment-related deaths per tracker.</t>
  </si>
  <si>
    <t xml:space="preserve">TERMINATED P1, n=66</t>
  </si>
  <si>
    <t xml:space="preserve">ClinicalTrials.gov NCT05961839</t>
  </si>
  <si>
    <t xml:space="preserve">https://clinicaltrials.gov/study/NCT05961839</t>
  </si>
  <si>
    <t xml:space="preserve">NCT05961839 status TERMINATED, Phase 1, Primary Completion 2025-08-14, n=66.</t>
  </si>
  <si>
    <t xml:space="preserve">R&amp;D PoS - oncology disconfirm</t>
  </si>
  <si>
    <t xml:space="preserve">RECENT. AI-assisted small-mol (FEP+) failure with safety signal. Crucial — AI did not prevent on-target hematologic toxicity.</t>
  </si>
  <si>
    <t xml:space="preserve">PoS-V05</t>
  </si>
  <si>
    <t xml:space="preserve">NCT verification - REC-4881 FAP</t>
  </si>
  <si>
    <t xml:space="preserve">Recursion REC-4881 (MEK1/2, FAP) Phase 1b/2 NCT05552755 RECRUITING — TUPELO 75% polyp burden reduction per tracker R8. Separate REC-4881 Phase 2 AXIN1/APC mCRC trial NCT06005974 TERMINATED 2025-02-24 at n=18.</t>
  </si>
  <si>
    <t xml:space="preserve">P1b/2 RECRUITING (FAP); P2 TERMINATED (AXIN1/APC)</t>
  </si>
  <si>
    <t xml:space="preserve">Rare disease (FAP)</t>
  </si>
  <si>
    <t xml:space="preserve">NCT05552755; NCT06005974</t>
  </si>
  <si>
    <t xml:space="preserve">https://clinicaltrials.gov/study/NCT05552755</t>
  </si>
  <si>
    <t xml:space="preserve">NCT05552755 RECRUITING (FAP); NCT06005974 TERMINATED 2025-02-24 (AXIN1/APC mCRC, n=18).</t>
  </si>
  <si>
    <t xml:space="preserve">DISCONFIRMING (oncology arm)</t>
  </si>
  <si>
    <t xml:space="preserve">R&amp;D PoS - rare disease and oncology</t>
  </si>
  <si>
    <t xml:space="preserve">RECENT. Same molecule wins in rare-disease cohort and loses in oncology cohort — illustrates TA-specificity of AI molecule performance.</t>
  </si>
  <si>
    <t xml:space="preserve">PoS-V06</t>
  </si>
  <si>
    <t xml:space="preserve">NCT verification - REC-994 CCM</t>
  </si>
  <si>
    <t xml:space="preserve">Recursion REC-994 P2 NCT05085561 COMPLETED 2025-06-30, n=62. Cerebral cavernous malformation (rare). Phase 2 met futility threshold (tracker R72 'Phase I successful, Phase II ongoing' — but completion was 2025).</t>
  </si>
  <si>
    <t xml:space="preserve">P2 COMPLETED 2025-06-30</t>
  </si>
  <si>
    <t xml:space="preserve">Rare disease (CCM)</t>
  </si>
  <si>
    <t xml:space="preserve">ClinicalTrials.gov NCT05085561</t>
  </si>
  <si>
    <t xml:space="preserve">https://clinicaltrials.gov/study/NCT05085561</t>
  </si>
  <si>
    <t xml:space="preserve">NCT05085561 status COMPLETED Primary Completion 2025-06-30, n=62.</t>
  </si>
  <si>
    <t xml:space="preserve">R&amp;D PoS - rare disease</t>
  </si>
  <si>
    <t xml:space="preserve">RECENT update vs tracker (tracker had as ongoing). Need readout disclosure for outcome assignment.</t>
  </si>
  <si>
    <t xml:space="preserve">PoS-V07</t>
  </si>
  <si>
    <t xml:space="preserve">NCT verification - REC-3964 (DISCONFIRMING)</t>
  </si>
  <si>
    <t xml:space="preserve">Recursion REC-3964 P2 NCT06536465 for recurrent C. diff TERMINATED 2025-05-06, n=3 enrolled (out of planned higher).</t>
  </si>
  <si>
    <t xml:space="preserve">TERMINATED P2, n=3</t>
  </si>
  <si>
    <t xml:space="preserve">ClinicalTrials.gov NCT06536465</t>
  </si>
  <si>
    <t xml:space="preserve">https://clinicaltrials.gov/study/NCT06536465</t>
  </si>
  <si>
    <t xml:space="preserve">NCT06536465 status TERMINATED, Primary Completion 2025-05-06.</t>
  </si>
  <si>
    <t xml:space="preserve">R&amp;D PoS - disconfirm</t>
  </si>
  <si>
    <t xml:space="preserve">RECENT update vs tracker (tracker had R70 as 'Phase I successful'). Tracker is now stale for this molecule.</t>
  </si>
  <si>
    <t xml:space="preserve">PoS-V08</t>
  </si>
  <si>
    <t xml:space="preserve">NCT verification - VRG-50635 (DISCONFIRMING)</t>
  </si>
  <si>
    <t xml:space="preserve">Verge Genomics VRG-50635 (PIKfyve, ALS) P1b NCT06215755 TERMINATED 2025-07-07, n=54 (vs planned higher). Tracker R16 had as 'Positive but early'.</t>
  </si>
  <si>
    <t xml:space="preserve">TERMINATED P1b, n=54</t>
  </si>
  <si>
    <t xml:space="preserve">ClinicalTrials.gov NCT06215755</t>
  </si>
  <si>
    <t xml:space="preserve">https://clinicaltrials.gov/study/NCT06215755</t>
  </si>
  <si>
    <t xml:space="preserve">NCT06215755 status TERMINATED, Primary Completion 2025-07-07.</t>
  </si>
  <si>
    <t xml:space="preserve">R&amp;D PoS - neuro/CNS disconfirm</t>
  </si>
  <si>
    <t xml:space="preserve">RECENT update vs tracker. AI target-discovery platform program failure — material disconfirming data for AI-novel-target thesis in neuro/ALS.</t>
  </si>
  <si>
    <t xml:space="preserve">PoS-V09</t>
  </si>
  <si>
    <t xml:space="preserve">NCT verification - EXS-21546 (DISCONFIRMING)</t>
  </si>
  <si>
    <t xml:space="preserve">Exscientia EXS-21546 (A2A receptor) Phase 1b/2A NCT05920408 TERMINATED 2023-09-27, only n=6 enrolled. 'Couldn't reach therapeutic index' (tracker).</t>
  </si>
  <si>
    <t xml:space="preserve">TERMINATED P1b/2a, n=6</t>
  </si>
  <si>
    <t xml:space="preserve">ClinicalTrials.gov NCT05920408</t>
  </si>
  <si>
    <t xml:space="preserve">https://clinicaltrials.gov/study/NCT05920408</t>
  </si>
  <si>
    <t xml:space="preserve">NCT05920408 status TERMINATED, Primary Completion 2023-09-27, n=6.</t>
  </si>
  <si>
    <t xml:space="preserve">LONG_VIEW. Confirms tracker R47 failure. Therapeutic-index failure is biology, not chemistry — AI design got the molecule but not the target validation.</t>
  </si>
  <si>
    <t xml:space="preserve">PoS-V10</t>
  </si>
  <si>
    <t xml:space="preserve">NCT verification - NEU-723 (DISCONFIRMING)</t>
  </si>
  <si>
    <t xml:space="preserve">Neuron23 NEU-723 (LRRK2) P1 HVs NCT05633745 TERMINATED 2023-06-30 (business decision per tracker). Note novel-target (LRRK2 for non-PD indication) attempt.</t>
  </si>
  <si>
    <t xml:space="preserve">TERMINATED P1, n=40</t>
  </si>
  <si>
    <t xml:space="preserve">ClinicalTrials.gov NCT05633745</t>
  </si>
  <si>
    <t xml:space="preserve">https://clinicaltrials.gov/study/NCT05633745</t>
  </si>
  <si>
    <t xml:space="preserve">NCT05633745 status TERMINATED, Primary Completion 2023-06-30.</t>
  </si>
  <si>
    <t xml:space="preserve">LONG_VIEW. Business-decision termination — different signal than safety/efficacy failure, but still removes the molecule from the cohort.</t>
  </si>
  <si>
    <t xml:space="preserve">PoS-V11</t>
  </si>
  <si>
    <t xml:space="preserve">NCT verification - OPL-0401 (DISCONFIRMING)</t>
  </si>
  <si>
    <t xml:space="preserve">Valo Health OPL-0401 (ROCK1, diabetic retinopathy) P2 SPECTRA NCT05393284 ACTIVE_NOT_RECRUITING; per tracker R85 did not meet primary or secondary endpoints; Valo suspended program.</t>
  </si>
  <si>
    <t xml:space="preserve">P2 failed, Valo suspended</t>
  </si>
  <si>
    <t xml:space="preserve">Other/Unspecified (DR)</t>
  </si>
  <si>
    <t xml:space="preserve">ClinicalTrials.gov NCT + tracker</t>
  </si>
  <si>
    <t xml:space="preserve">ClinicalTrials.gov NCT05393284</t>
  </si>
  <si>
    <t xml:space="preserve">https://clinicaltrials.gov/study/NCT05393284</t>
  </si>
  <si>
    <t xml:space="preserve">NCT05393284 ACTIVE_NOT_RECRUITING; tracker: 'did not meet primary or secondary endpoints. Valo suspended.'</t>
  </si>
  <si>
    <t xml:space="preserve">RECENT. Material disconfirming data for AI target-discovery in metabolic/ophthalmology TA.</t>
  </si>
  <si>
    <t xml:space="preserve">PoS-V12</t>
  </si>
  <si>
    <t xml:space="preserve">NCT verification - RLY-2608 Phase 3</t>
  </si>
  <si>
    <t xml:space="preserve">Relay RLY-2608 (mutant-selective PI3Kα) advanced to Phase 3 NCT06982521 (vs capivasertib in PIK3CA-mutant HR+/HER2- mBC) RECRUITING from 2025-08-26, n=540.</t>
  </si>
  <si>
    <t xml:space="preserve">P3 RECRUITING, n=540</t>
  </si>
  <si>
    <t xml:space="preserve">ClinicalTrials.gov NCT06982521 (P3); NCT05216432 (P1)</t>
  </si>
  <si>
    <t xml:space="preserve">https://clinicaltrials.gov/study/NCT06982521</t>
  </si>
  <si>
    <t xml:space="preserve">NCT06982521 status RECRUITING, Phase 3, Start 2025-08-26.</t>
  </si>
  <si>
    <t xml:space="preserve">R&amp;D PoS - oncology advance</t>
  </si>
  <si>
    <t xml:space="preserve">RECENT update — material vs tracker which had R75 as 'Ph I' ongoing. Relay's RLY-2608 is now an AI-assisted molecule in Phase 3 alongside zasocitinib. NCT05216432 P1 enrolled n=930.</t>
  </si>
  <si>
    <t xml:space="preserve">PoS-V13</t>
  </si>
  <si>
    <t xml:space="preserve">NCT verification - Rilvegostomig Phase 3</t>
  </si>
  <si>
    <t xml:space="preserve">Compugen/AZ rilvegostomig (PD-1/TIGIT bispecific) is in multiple Phase 3 trials (NCT06627647 ARTEMIDE-Lung03 n=878; NCT06868277 ARTEMIDE-Lung04 n=830; NCT06109779 ARTEMIDE-Biliary01 n=757; NCT06989112 DESTINY-Endometrial01 n=600).</t>
  </si>
  <si>
    <t xml:space="preserve">P3 across NSCLC/BTC/endometrial; &gt;2,500 pts enrolled</t>
  </si>
  <si>
    <t xml:space="preserve">ClinicalTrials.gov NCT06627647; NCT06868277; NCT06109779; NCT06989112</t>
  </si>
  <si>
    <t xml:space="preserve">https://clinicaltrials.gov/study/NCT06627647</t>
  </si>
  <si>
    <t xml:space="preserve">Multiple ARTEMIDE Phase 3 NCT records.</t>
  </si>
  <si>
    <t xml:space="preserve">RECENT. Tier 1. Compugen/AZ TIGIT bispecific is AI-cohort second program at scaled Phase 3. CAUTION: TIGIT itself was co-discovered by 3 groups in 2009 — Compugen's claim of 'computational target discovery' for TIGIT is contested; this is a soft AI-cohort qualifier.</t>
  </si>
  <si>
    <t xml:space="preserve">PoS-V14</t>
  </si>
  <si>
    <t xml:space="preserve">NCT verification - BEN-2293 (DISCONFIRMING)</t>
  </si>
  <si>
    <t xml:space="preserve">BenevolentAI BEN-2293 (Pan-TRK, atopic dermatitis) Phase 1/2 NCT04737304 COMPLETED 2023-01-12, n=123. Per tracker R32 P1 successful but P2 unsuccessful — primary efficacy endpoints not met.</t>
  </si>
  <si>
    <t xml:space="preserve">P2 failed, n=123</t>
  </si>
  <si>
    <t xml:space="preserve">ClinicalTrials.gov NCT04737304</t>
  </si>
  <si>
    <t xml:space="preserve">https://clinicaltrials.gov/study/NCT04737304</t>
  </si>
  <si>
    <t xml:space="preserve">NCT04737304 status COMPLETED 2023-01-12; tracker: 'Ph I successful but Ph II unsuccessful'.</t>
  </si>
  <si>
    <t xml:space="preserve">R&amp;D PoS - immunology disconfirm</t>
  </si>
  <si>
    <t xml:space="preserve">LONG_VIEW. Material disconfirming data: AI-discovered target hypothesis (Pan-TRK in AD) failed at P2.</t>
  </si>
  <si>
    <t xml:space="preserve">PoS-V15</t>
  </si>
  <si>
    <t xml:space="preserve">NCT verification - SGR-1505 MALT1</t>
  </si>
  <si>
    <t xml:space="preserve">Schrödinger SGR-1505 (MALT1, B-cell malignancies) P1 NCT05544019 RECRUITING, n=98. FDA Fast Track granted per tracker R10.</t>
  </si>
  <si>
    <t xml:space="preserve">P1 ongoing, n=98, Fast Track</t>
  </si>
  <si>
    <t xml:space="preserve">ClinicalTrials.gov NCT05544019</t>
  </si>
  <si>
    <t xml:space="preserve">https://clinicaltrials.gov/study/NCT05544019</t>
  </si>
  <si>
    <t xml:space="preserve">NCT05544019 status RECRUITING, Phase 1.</t>
  </si>
  <si>
    <t xml:space="preserve">R&amp;D PoS - oncology</t>
  </si>
  <si>
    <t xml:space="preserve">RECENT. Schrödinger wholly-owned program. AI-design (FEP+) of MALT1 inhibitor — well-known target.</t>
  </si>
  <si>
    <t xml:space="preserve">PoS-V16</t>
  </si>
  <si>
    <t xml:space="preserve">NCT verification - HMBD-002 P1 completed</t>
  </si>
  <si>
    <t xml:space="preserve">Hummingbird Bioscience HMBD-002 (VISTA, solid tumors) P1 NCT05082610 COMPLETED 2024-11-05, n=48; partnered to Percheron Therapeutics for Phase 2 per tracker R56.</t>
  </si>
  <si>
    <t xml:space="preserve">P1 COMPLETED, n=48</t>
  </si>
  <si>
    <t xml:space="preserve">ClinicalTrials.gov NCT05082610</t>
  </si>
  <si>
    <t xml:space="preserve">https://clinicaltrials.gov/study/NCT05082610</t>
  </si>
  <si>
    <t xml:space="preserve">NCT05082610 status COMPLETED 2024-11-05.</t>
  </si>
  <si>
    <t xml:space="preserve">LONG_VIEW. AI antibody design progressing through P1.</t>
  </si>
  <si>
    <t xml:space="preserve">PoS-V17</t>
  </si>
  <si>
    <t xml:space="preserve">NCT verification - BXCL501 P3 success</t>
  </si>
  <si>
    <t xml:space="preserve">BioXcel BXCL-501 (dexmedetomidine sublingual film, repurposing) P3 NCT05271552 COMPLETED 2023-04-21, n=151. TRANQUILITY II met primary + all secondary endpoints in Alzheimer's-related agitation.</t>
  </si>
  <si>
    <t xml:space="preserve">P3 met primary + all secondary</t>
  </si>
  <si>
    <t xml:space="preserve">ClinicalTrials.gov NCT05271552</t>
  </si>
  <si>
    <t xml:space="preserve">https://clinicaltrials.gov/study/NCT05271552</t>
  </si>
  <si>
    <t xml:space="preserve">NCT05271552 status COMPLETED 2023-04-21; tracker R7: 'TRANQUILITY II Phase 3 met primary + all secondary endpoints'.</t>
  </si>
  <si>
    <t xml:space="preserve">R&amp;D PoS - neuro/CNS winner</t>
  </si>
  <si>
    <t xml:space="preserve">LONG_VIEW. AI-repurposing (BioXcel screened existing agents — repurposed dexmedetomidine). Caveat: dexmedetomidine itself is approved sedative; this is repurposing rather than de novo discovery.</t>
  </si>
  <si>
    <t xml:space="preserve">TN-001</t>
  </si>
  <si>
    <t xml:space="preserve">Target novelty - aggregate</t>
  </si>
  <si>
    <t xml:space="preserve">Of 24 Phase I-completed AI-discovered assets in Jayatunga et al. Supp Table S3, only 3 (12.5%) hit fully novel targets: Omilancor (LanC like 2), NX-13 (NLRX1), NIM-1324 (LanC like 2). Notably 2 of 3 are the same target.</t>
  </si>
  <si>
    <t xml:space="preserve">3/24 novel targets (12.5%); 2 share LanC like 2</t>
  </si>
  <si>
    <t xml:space="preserve">Peer-reviewed publication (PMID) Supplementary Table</t>
  </si>
  <si>
    <t xml:space="preserve">Jayatunga et al. Drug Discov Today 2024 Supp Table S3 + tracker S3 sheet</t>
  </si>
  <si>
    <t xml:space="preserve">Tracker Target Novelty (S3): 'Only 3/24 (12.5%) hit novel targets.' Novel = Omilancor, NX-13, NIM-1324.</t>
  </si>
  <si>
    <t xml:space="preserve">Target novelty - punchline</t>
  </si>
  <si>
    <t xml:space="preserve">LONG_VIEW. Source author affiliation is BCG — flag TRUE. The 'AI hits known biology' finding is robust because the underlying methodology (novel = no other asset targets the same protein) is auditable.</t>
  </si>
  <si>
    <t xml:space="preserve">TN-002</t>
  </si>
  <si>
    <t xml:space="preserve">Target novelty - individual asset</t>
  </si>
  <si>
    <t xml:space="preserve">BMF-219: target = menin 1; novel = No. From Jayatunga Supp Table S3.</t>
  </si>
  <si>
    <t xml:space="preserve">Novel: No</t>
  </si>
  <si>
    <t xml:space="preserve">BMF-219</t>
  </si>
  <si>
    <t xml:space="preserve">Mixed</t>
  </si>
  <si>
    <t xml:space="preserve">Jayatunga et al. Drug Discov Today 2024 Supp Table S3</t>
  </si>
  <si>
    <t xml:space="preserve">Supp S3: BMF-219 / menin 1 / novel=No</t>
  </si>
  <si>
    <t xml:space="preserve">Target novelty - asset</t>
  </si>
  <si>
    <t xml:space="preserve">LONG_VIEW. BCG-authored supp.</t>
  </si>
  <si>
    <t xml:space="preserve">TN-003</t>
  </si>
  <si>
    <t xml:space="preserve">BEN-2293: target = NTRK 1/2/3; novel = No. From Jayatunga Supp Table S3.</t>
  </si>
  <si>
    <t xml:space="preserve">BEN-2293</t>
  </si>
  <si>
    <t xml:space="preserve">Supp S3: BEN-2293 / NTRK 1/2/3 / novel=No</t>
  </si>
  <si>
    <t xml:space="preserve">TN-004</t>
  </si>
  <si>
    <t xml:space="preserve">BGE-105: target = apelin; novel = No. From Jayatunga Supp Table S3.</t>
  </si>
  <si>
    <t xml:space="preserve">BGE-105</t>
  </si>
  <si>
    <t xml:space="preserve">Supp S3: BGE-105 / apelin / novel=No</t>
  </si>
  <si>
    <t xml:space="preserve">TN-005</t>
  </si>
  <si>
    <t xml:space="preserve">AU-007: target = interleukin 2; novel = No. From Jayatunga Supp Table S3.</t>
  </si>
  <si>
    <t xml:space="preserve">AU-007</t>
  </si>
  <si>
    <t xml:space="preserve">Supp S3: AU-007 / interleukin 2 / novel=No</t>
  </si>
  <si>
    <t xml:space="preserve">TN-006</t>
  </si>
  <si>
    <t xml:space="preserve">Dexmedetomidine (BXCL-501): target = adrenoceptor alpha 2A; novel = No. From Jayatunga Supp Table S3.</t>
  </si>
  <si>
    <t xml:space="preserve">Dexmedetomidine</t>
  </si>
  <si>
    <t xml:space="preserve">Supp S3: Dexmedetomidine (BXCL-501) / adrenoceptor alpha 2A / novel=No</t>
  </si>
  <si>
    <t xml:space="preserve">TN-007</t>
  </si>
  <si>
    <t xml:space="preserve">BDTX-1535: target = EGFR; novel = No. From Jayatunga Supp Table S3.</t>
  </si>
  <si>
    <t xml:space="preserve">BDTX-1535</t>
  </si>
  <si>
    <t xml:space="preserve">Supp S3: BDTX-1535 / EGFR / novel=No</t>
  </si>
  <si>
    <t xml:space="preserve">TN-008</t>
  </si>
  <si>
    <t xml:space="preserve">BDTX-189: target = EGFR/HER2; novel = No. From Jayatunga Supp Table S3.</t>
  </si>
  <si>
    <t xml:space="preserve">BDTX-189</t>
  </si>
  <si>
    <t xml:space="preserve">Supp S3: BDTX-189 / EGFR/HER2 / novel=No</t>
  </si>
  <si>
    <t xml:space="preserve">TN-009</t>
  </si>
  <si>
    <t xml:space="preserve">EVOEXS-21546: target = adenosine A2a; novel = No. From Jayatunga Supp Table S3.</t>
  </si>
  <si>
    <t xml:space="preserve">EVOEXS-21546</t>
  </si>
  <si>
    <t xml:space="preserve">Supp S3: EVOEXS-21546 / adenosine A2a / novel=No</t>
  </si>
  <si>
    <t xml:space="preserve">TN-010</t>
  </si>
  <si>
    <t xml:space="preserve">DSP-1181: target = 5-HT1A; novel = No. From Jayatunga Supp Table S3.</t>
  </si>
  <si>
    <t xml:space="preserve">DSP-1181</t>
  </si>
  <si>
    <t xml:space="preserve">Supp S3: DSP-1181 / 5-HT1A / novel=No</t>
  </si>
  <si>
    <t xml:space="preserve">TN-011</t>
  </si>
  <si>
    <t xml:space="preserve">Omilancor: target = LanC like 2; novel = Yes. From Jayatunga Supp Table S3.</t>
  </si>
  <si>
    <t xml:space="preserve">Novel: Yes</t>
  </si>
  <si>
    <t xml:space="preserve">Omilancor</t>
  </si>
  <si>
    <t xml:space="preserve">Supp S3: Omilancor / LanC like 2 / novel=Yes</t>
  </si>
  <si>
    <t xml:space="preserve">TN-012</t>
  </si>
  <si>
    <t xml:space="preserve">NX-13: target = NLRX1; novel = Yes. From Jayatunga Supp Table S3.</t>
  </si>
  <si>
    <t xml:space="preserve">NX-13</t>
  </si>
  <si>
    <t xml:space="preserve">Supp S3: NX-13 / NLRX1 / novel=Yes</t>
  </si>
  <si>
    <t xml:space="preserve">TN-013</t>
  </si>
  <si>
    <t xml:space="preserve">NIM-1324: target = LanC like 2; novel = Yes. From Jayatunga Supp Table S3.</t>
  </si>
  <si>
    <t xml:space="preserve">NIM-1324</t>
  </si>
  <si>
    <t xml:space="preserve">Supp S3: NIM-1324 / LanC like 2 / novel=Yes</t>
  </si>
  <si>
    <t xml:space="preserve">TN-014</t>
  </si>
  <si>
    <t xml:space="preserve">NEU-723: target = LRRK2; novel = No. From Jayatunga Supp Table S3.</t>
  </si>
  <si>
    <t xml:space="preserve">NEU-723</t>
  </si>
  <si>
    <t xml:space="preserve">Supp S3: NEU-723 / LRRK2 / novel=No</t>
  </si>
  <si>
    <t xml:space="preserve">TN-015</t>
  </si>
  <si>
    <t xml:space="preserve">Firsocostat: target = ACC alpha; novel = No. From Jayatunga Supp Table S3.</t>
  </si>
  <si>
    <t xml:space="preserve">Firsocostat</t>
  </si>
  <si>
    <t xml:space="preserve">Supp S3: Firsocostat / ACC alpha / novel=No</t>
  </si>
  <si>
    <t xml:space="preserve">TN-016</t>
  </si>
  <si>
    <t xml:space="preserve">NDI-034858 (Zasocitinib): target = TYK2; novel = No. From Jayatunga Supp Table S3.</t>
  </si>
  <si>
    <t xml:space="preserve">NDI-034858</t>
  </si>
  <si>
    <t xml:space="preserve">Supp S3: NDI-034858 (Zasocitinib) / TYK2 / novel=No</t>
  </si>
  <si>
    <t xml:space="preserve">TN-017</t>
  </si>
  <si>
    <t xml:space="preserve">REC-994: target = Unspecified; novel = Unspecified. From Jayatunga Supp Table S3.</t>
  </si>
  <si>
    <t xml:space="preserve">Novel: Unspecified</t>
  </si>
  <si>
    <t xml:space="preserve">REC-994</t>
  </si>
  <si>
    <t xml:space="preserve">Supp S3: REC-994 / Unspecified / novel=Unspecified</t>
  </si>
  <si>
    <t xml:space="preserve">TN-018</t>
  </si>
  <si>
    <t xml:space="preserve">REC-3964: target = Unspecified; novel = Unspecified. From Jayatunga Supp Table S3.</t>
  </si>
  <si>
    <t xml:space="preserve">REC-3964</t>
  </si>
  <si>
    <t xml:space="preserve">Supp S3: REC-3964 / Unspecified / novel=Unspecified</t>
  </si>
  <si>
    <t xml:space="preserve">TN-019</t>
  </si>
  <si>
    <t xml:space="preserve">RLY-4008: target = FGFR2; novel = No. From Jayatunga Supp Table S3.</t>
  </si>
  <si>
    <t xml:space="preserve">RLY-4008</t>
  </si>
  <si>
    <t xml:space="preserve">Supp S3: RLY-4008 / FGFR2 / novel=No</t>
  </si>
  <si>
    <t xml:space="preserve">TN-020</t>
  </si>
  <si>
    <t xml:space="preserve">Tolcapone: target = COMT; novel = No. From Jayatunga Supp Table S3.</t>
  </si>
  <si>
    <t xml:space="preserve">Tolcapone</t>
  </si>
  <si>
    <t xml:space="preserve">Supp S3: Tolcapone / COMT / novel=No</t>
  </si>
  <si>
    <t xml:space="preserve">RDQ2-001</t>
  </si>
  <si>
    <t xml:space="preserve">R&amp;D opex per IND - Insilico claim</t>
  </si>
  <si>
    <t xml:space="preserve">Insilico (per Ren et al. Nat Biotechnol 2024) achieved target discovery to preclinical-candidate nomination in ~18 months — a discovery-phase efficiency claim. No public $ per IND number disclosed.</t>
  </si>
  <si>
    <t xml:space="preserve">$ per IND: not disclosed; 18-mo discovery duration</t>
  </si>
  <si>
    <t xml:space="preserve">Ren F et al. Nat Biotechnol 2024 (PMID 38459338)</t>
  </si>
  <si>
    <t xml:space="preserve">"This work was completed in roughly 18 months from target discovery to preclinical candidate nomination"</t>
  </si>
  <si>
    <t xml:space="preserve">LONG_VIEW. Insilico does not disclose $/IND. Discovery-cycle compression vs. industry baseline (~4–6 yr to IND) is the operationalizable lever. Cross-link to Q1 for SG&amp;A/R&amp;D opex disclosures.</t>
  </si>
  <si>
    <t xml:space="preserve">RDQ2-002</t>
  </si>
  <si>
    <t xml:space="preserve">R&amp;D opex - Recursion 10-K</t>
  </si>
  <si>
    <t xml:space="preserve">Recursion Pharmaceuticals (RXRX) discloses R&amp;D expense in 10-K; FY2024 R&amp;D ~$300M+ across discovery, preclinical and clinical programs. Per-IND figure not separately disclosed.</t>
  </si>
  <si>
    <t xml:space="preserve">FY24 R&amp;D ~$300M+</t>
  </si>
  <si>
    <t xml:space="preserve">SEC 10-K filing</t>
  </si>
  <si>
    <t xml:space="preserve">Recursion Pharmaceuticals Form 10-K FY2024</t>
  </si>
  <si>
    <t xml:space="preserve">https://www.sec.gov/cgi-bin/browse-edgar?action=getcompany&amp;CIK=0001601830&amp;type=10-K</t>
  </si>
  <si>
    <t xml:space="preserve">FY2024 10-K — R&amp;D expense line (review primary filing for exact amount).</t>
  </si>
  <si>
    <t xml:space="preserve">R&amp;D opex per IND - Recursion</t>
  </si>
  <si>
    <t xml:space="preserve">RECENT. Tier 1 (SEC filing). Exact R&amp;D $ figure pending direct 10-K pull; flagged SOURCE NEEDED for the precise number. AI-native biotech aggregate R&amp;D should be benchmarked against IND output count.</t>
  </si>
  <si>
    <t xml:space="preserve">RDQ2-003</t>
  </si>
  <si>
    <t xml:space="preserve">R&amp;D opex - Schrödinger 10-K</t>
  </si>
  <si>
    <t xml:space="preserve">Schrödinger (SDGR) discloses R&amp;D expense in 10-K; wholly-owned drug discovery program R&amp;D + enterprise software costs. Wholly-owned pipeline includes SGR-1505, SGR-2921 (terminated), SGR-3515.</t>
  </si>
  <si>
    <t xml:space="preserve">SDGR FY24 R&amp;D: see 10-K</t>
  </si>
  <si>
    <t xml:space="preserve">Schrödinger Inc Form 10-K FY2024</t>
  </si>
  <si>
    <t xml:space="preserve">https://www.sec.gov/cgi-bin/browse-edgar?action=getcompany&amp;CIK=0001650164&amp;type=10-K</t>
  </si>
  <si>
    <t xml:space="preserve">FY2024 10-K (review primary filing).</t>
  </si>
  <si>
    <t xml:space="preserve">R&amp;D opex per IND - Schrödinger</t>
  </si>
  <si>
    <t xml:space="preserve">RECENT. Tier 1. Exact R&amp;D and per-IND figures pending direct extraction.</t>
  </si>
  <si>
    <t xml:space="preserve">RDQ2-004</t>
  </si>
  <si>
    <t xml:space="preserve">R&amp;D opex aggregate - Fernald 2024</t>
  </si>
  <si>
    <t xml:space="preserve">Industry-level: pharmaceutical R&amp;D cost per novel drug exceeds $3.5B and has shown five-decade declining productivity, with late-stage attrition the primary cost driver (Fernald 2024).</t>
  </si>
  <si>
    <t xml:space="preserve">&gt;$3.5B per novel drug (industry baseline)</t>
  </si>
  <si>
    <t xml:space="preserve">"R&amp;D costs … exceeding $3.5 billion per novel drug"</t>
  </si>
  <si>
    <t xml:space="preserve">R&amp;D opex per IND - baseline</t>
  </si>
  <si>
    <t xml:space="preserve">LONG_VIEW. Baseline for any AI productivity claim. PMID 39241979.</t>
  </si>
  <si>
    <t xml:space="preserve">RDQ2-005</t>
  </si>
  <si>
    <t xml:space="preserve">R&amp;D opex - Exscientia $/molecule claim</t>
  </si>
  <si>
    <t xml:space="preserve">Exscientia historically claimed AI-enabled platform could deliver development candidate molecules using 'fewer compounds synthesized' (~80% reduction) vs. traditional; pre-acquisition company filings. Tier 2 — corporate marketing claim.</t>
  </si>
  <si>
    <t xml:space="preserve">~80% fewer compounds (company claim)</t>
  </si>
  <si>
    <t xml:space="preserve">Company press release / S-1</t>
  </si>
  <si>
    <t xml:space="preserve">Exscientia plc S-1/Annual report pre-acquisition</t>
  </si>
  <si>
    <t xml:space="preserve">https://www.sec.gov/cgi-bin/browse-edgar?action=getcompany&amp;CIK=0001872929</t>
  </si>
  <si>
    <t xml:space="preserve">Exscientia historical platform disclosures pre-2024 Recursion acquisition.</t>
  </si>
  <si>
    <t xml:space="preserve">LONG_VIEW. Caveat heavily: claim made by company that subsequently saw clinical failures (EXS-21546, DSP-1181). Compound-count efficiency did not translate to clinical PoS.</t>
  </si>
  <si>
    <t xml:space="preserve">PoS-AGG-001</t>
  </si>
  <si>
    <t xml:space="preserve">AI cohort - aggregate outcomes</t>
  </si>
  <si>
    <t xml:space="preserve">AI cohort (n=82): 8 clear winners (9.8%), 5 successful (6.1%), 7 positive but early (8.5%), 41 ongoing/no readout (50.0%), 7 too early (8.5%), 14 failed/terminated (17.1%).</t>
  </si>
  <si>
    <t xml:space="preserve">Failed 17%; Ongoing 50%; n=82</t>
  </si>
  <si>
    <t xml:space="preserve">AI Drug Pipeline Tracker Scorecard Summary</t>
  </si>
  <si>
    <t xml:space="preserve">Tracker Scorecard: 8/5/7/41/7/14 across 82 rows.</t>
  </si>
  <si>
    <t xml:space="preserve">R&amp;D PoS - aggregate</t>
  </si>
  <si>
    <t xml:space="preserve">LONG_VIEW. Survivorship-bias heavy: 50% of cohort has no readout yet. Source author affil BCG = flag TRUE.</t>
  </si>
  <si>
    <t xml:space="preserve">PoS-AGG-002</t>
  </si>
  <si>
    <t xml:space="preserve">AI cohort - attrition rate</t>
  </si>
  <si>
    <t xml:space="preserve">AI cohort attrition rate among programs with completed phases: 14 failed / (14 + 8 winners + 5 successful) ≈ 51.9%. In line with historical pharma attrition (Fernald 2024).</t>
  </si>
  <si>
    <t xml:space="preserve">~52% attrition among completed-phase programs</t>
  </si>
  <si>
    <t xml:space="preserve">AI Pipeline Tracker (computed)</t>
  </si>
  <si>
    <t xml:space="preserve">Tracker Scorecard Summary R13</t>
  </si>
  <si>
    <t xml:space="preserve">Tracker: 'Attrition rate (failed / programs with completed phases): 51.85%'</t>
  </si>
  <si>
    <t xml:space="preserve">R&amp;D PoS - attrition</t>
  </si>
  <si>
    <t xml:space="preserve">LONG_VIEW. Headline finding: AI HAS NOT demonstrably improved clinical-stage attrition. Source: tracker derives this from Jayatunga 2024 + Bernstein extensions; consulting flag TRUE.</t>
  </si>
  <si>
    <t xml:space="preserve">PoS-AGG-003</t>
  </si>
  <si>
    <t xml:space="preserve">AI cohort - Phase III progression</t>
  </si>
  <si>
    <t xml:space="preserve">Only 1 of 82 AI-discovered molecules has cleared a Phase 3 primary endpoint readout to date: Zasocitinib (Takeda P3 NCT06108544 completed Dec 2024). Rilvegostomig (Compugen/AZ) is in Phase 3 but no readout. BXCL-501 reached P3 success but is a repurposing case.</t>
  </si>
  <si>
    <t xml:space="preserve">1/82 (1.2%) AI-discovered with positive P3</t>
  </si>
  <si>
    <t xml:space="preserve">ClinicalTrials.gov NCT + AI Pipeline Tracker</t>
  </si>
  <si>
    <t xml:space="preserve">Tracker R4 (Zasocitinib) + NCT06108544</t>
  </si>
  <si>
    <t xml:space="preserve">Tracker R4: 'Phase III (Dec 2025): all co-primary + 44 secondary endpoints met.'</t>
  </si>
  <si>
    <t xml:space="preserve">R&amp;D PoS - Phase 3 yield</t>
  </si>
  <si>
    <t xml:space="preserve">RECENT + LONG_VIEW. Headline punchline of the section.</t>
  </si>
  <si>
    <t xml:space="preserve">PoS-AGG-TA-IMMU-06</t>
  </si>
  <si>
    <t xml:space="preserve">AI cohort by TA - Immunology/Inflammation</t>
  </si>
  <si>
    <t xml:space="preserve">AI cohort in Immunology/Inflammation (n=6): Winners 2, Successful 2, Positive but early 0, Failed 1, Ongoing 1, Too early 0.</t>
  </si>
  <si>
    <t xml:space="preserve">n=6; Failed=1; Winners=2</t>
  </si>
  <si>
    <t xml:space="preserve">Tracker AI Pipeline (filtered by TA)</t>
  </si>
  <si>
    <t xml:space="preserve">Tracker AI Pipeline (rows 4-85), TA classification by analyst.</t>
  </si>
  <si>
    <t xml:space="preserve">R&amp;D PoS - by TA</t>
  </si>
  <si>
    <t xml:space="preserve">LONG_VIEW. TA cell n=6; INSUFFICIENT n for clean PoS calc. TA classification done by analyst from tracker indication/target fields — methodology documented in workbook.</t>
  </si>
  <si>
    <t xml:space="preserve">PoS-AGG-TA-RARE-02</t>
  </si>
  <si>
    <t xml:space="preserve">AI cohort by TA - Rare disease</t>
  </si>
  <si>
    <t xml:space="preserve">AI cohort in Rare disease (n=2): Winners 1, Successful 0, Positive but early 0, Failed 1, Ongoing 0, Too early 0.</t>
  </si>
  <si>
    <t xml:space="preserve">n=2; Failed=1; Winners=1</t>
  </si>
  <si>
    <t xml:space="preserve">LONG_VIEW. TA cell n=2; INSUFFICIENT n for clean PoS calc. TA classification done by analyst from tracker indication/target fields — methodology documented in workbook.</t>
  </si>
  <si>
    <t xml:space="preserve">PoS-AGG-TA-ONCO-21</t>
  </si>
  <si>
    <t xml:space="preserve">AI cohort by TA - Oncology</t>
  </si>
  <si>
    <t xml:space="preserve">AI cohort in Oncology (n=21): Winners 4, Successful 0, Positive but early 6, Failed 2, Ongoing 3, Too early 6.</t>
  </si>
  <si>
    <t xml:space="preserve">n=21; Failed=2; Winners=4</t>
  </si>
  <si>
    <t xml:space="preserve">LONG_VIEW. TA cell n=21; sufficient n for directional read. TA classification done by analyst from tracker indication/target fields — methodology documented in workbook.</t>
  </si>
  <si>
    <t xml:space="preserve">PoS-AGG-TA-NEUR-03</t>
  </si>
  <si>
    <t xml:space="preserve">AI cohort by TA - Neuro/CNS</t>
  </si>
  <si>
    <t xml:space="preserve">AI cohort in Neuro/CNS (n=3): Winners 0, Successful 1, Positive but early 0, Failed 2, Ongoing 0, Too early 0.</t>
  </si>
  <si>
    <t xml:space="preserve">n=3; Failed=2; Winners=0</t>
  </si>
  <si>
    <t xml:space="preserve">LONG_VIEW. TA cell n=3; INSUFFICIENT n for clean PoS calc. TA classification done by analyst from tracker indication/target fields — methodology documented in workbook.</t>
  </si>
  <si>
    <t xml:space="preserve">PoS-AGG-TA-RARE-02b</t>
  </si>
  <si>
    <t xml:space="preserve">AI cohort by TA - Rare disease (oncology overlap)</t>
  </si>
  <si>
    <t xml:space="preserve">AI cohort in Rare disease (oncology overlap) (n=2): Winners 1, Successful 0, Positive but early 0, Failed 1, Ongoing 0, Too early 0.</t>
  </si>
  <si>
    <t xml:space="preserve">PoS-AGG-TA-NEUR-01</t>
  </si>
  <si>
    <t xml:space="preserve">AI cohort by TA - Neuro/CNS (rare)</t>
  </si>
  <si>
    <t xml:space="preserve">AI cohort in Neuro/CNS (rare) (n=1): Winners 0, Successful 0, Positive but early 1, Failed 0, Ongoing 0, Too early 0.</t>
  </si>
  <si>
    <t xml:space="preserve">n=1; Failed=0; Winners=0</t>
  </si>
  <si>
    <t xml:space="preserve">LONG_VIEW. TA cell n=1; INSUFFICIENT n for clean PoS calc. TA classification done by analyst from tracker indication/target fields — methodology documented in workbook.</t>
  </si>
  <si>
    <t xml:space="preserve">PoS-AGG-TA-OTHE-47</t>
  </si>
  <si>
    <t xml:space="preserve">AI cohort by TA - Other/Unspecified</t>
  </si>
  <si>
    <t xml:space="preserve">AI cohort in Other/Unspecified (n=47): Winners 0, Successful 2, Positive but early 0, Failed 7, Ongoing 37, Too early 1.</t>
  </si>
  <si>
    <t xml:space="preserve">n=47; Failed=7; Winners=0</t>
  </si>
  <si>
    <t xml:space="preserve">LONG_VIEW. TA cell n=47; sufficient n for directional read. TA classification done by analyst from tracker indication/target fields — methodology documented in workbook.</t>
  </si>
  <si>
    <t xml:space="preserve">FDA-001</t>
  </si>
  <si>
    <t xml:space="preserve">Q3a</t>
  </si>
  <si>
    <t xml:space="preserve">Foundational guidance — CDRH SaMD Action Plan</t>
  </si>
  <si>
    <t xml:space="preserve">FDA CDRH issued the AI/ML Software as a Medical Device (SaMD) Action Plan, the agency's first dedicated AI roadmap, with five components: tailored regulatory framework, GMLP, patient-centered transparency, algorithm evaluation methods, and real-world performance monitoring.</t>
  </si>
  <si>
    <t xml:space="preserve">5 action items</t>
  </si>
  <si>
    <t xml:space="preserve">FDA-CDRH</t>
  </si>
  <si>
    <t xml:space="preserve">FDA press release</t>
  </si>
  <si>
    <t xml:space="preserve">FDA Releases Artificial Intelligence/Machine Learning Action Plan (Jan 12, 2021)</t>
  </si>
  <si>
    <t xml:space="preserve">https://www.fda.gov/news-events/press-announcements/fda-releases-artificial-intelligencemachine-learning-action-plan</t>
  </si>
  <si>
    <t xml:space="preserve">"On January 12, 2021, the U.S. Food and Drug Administration (FDA) released the Artificial Intelligence/Machine Learning (AI/ML)-Based Software as a Medical Device (SaMD) Action Plan."</t>
  </si>
  <si>
    <t xml:space="preserve">LONG_VIEW. First substantive FDA AI roadmap. Originated the predetermined change control plan concept later finalized in Dec 2024.</t>
  </si>
  <si>
    <t xml:space="preserve">FDA-002</t>
  </si>
  <si>
    <t xml:space="preserve">Q3b</t>
  </si>
  <si>
    <t xml:space="preserve">Foundational discussion paper — CDER</t>
  </si>
  <si>
    <t xml:space="preserve">FDA CDER, with CBER and CDRH, published the Discussion Paper "Using Artificial Intelligence and Machine Learning in the Development of Drug and Biological Products" inviting public input on AI/ML across discovery, nonclinical, clinical, postmarketing, and manufacturing.</t>
  </si>
  <si>
    <t xml:space="preserve">Comment deadline Aug 9, 2023</t>
  </si>
  <si>
    <t xml:space="preserve">FDA-CDER</t>
  </si>
  <si>
    <t xml:space="preserve">Federal Register notice</t>
  </si>
  <si>
    <t xml:space="preserve">Federal Register, "Using Artificial Intelligence and Machine Learning in the Development of Drug and Biological Products" (May 11, 2023)</t>
  </si>
  <si>
    <t xml:space="preserve">https://www.federalregister.gov/documents/2023/05/11/2023-09985/using-artificial-intelligence-and-machine-learning-in-the-development-of-drug-and-biological</t>
  </si>
  <si>
    <t xml:space="preserve">"The FDA announced the publication of a discussion paper entitled 'Using Artificial Intelligence and Machine Learning in the Development of Drug and Biological Products.'"</t>
  </si>
  <si>
    <t xml:space="preserve">LONG_VIEW. Foundational scoping document; precursor to Jan 2025 draft guidance.</t>
  </si>
  <si>
    <t xml:space="preserve">FDA-003</t>
  </si>
  <si>
    <t xml:space="preserve">Public input volume — 2023 discussion papers</t>
  </si>
  <si>
    <t xml:space="preserve">FDA received over 800 comments on the two 2023 discussion papers covering AI in drug development and AI in drug manufacturing, plus the agency reviewed over 500 submissions with AI components from 2016–2023; this corpus directly informed the January 2025 draft guidance.</t>
  </si>
  <si>
    <t xml:space="preserve">&gt;800 comments; &gt;500 submissions 2016–2023</t>
  </si>
  <si>
    <t xml:space="preserve">FDA, "FDA Proposes Framework to Advance Credibility of AI Models Used for Drug and Biological Product Submissions" (Jan 2025)</t>
  </si>
  <si>
    <t xml:space="preserve">https://www.fda.gov/news-events/press-announcements/fda-proposes-framework-advance-credibility-ai-models-used-drug-and-biological-product-submissions</t>
  </si>
  <si>
    <t xml:space="preserve">Press release cites "over 800 comments received on the 2023 discussion papers" and "over 500 submissions with AI components from 2016 to 2023."</t>
  </si>
  <si>
    <t xml:space="preserve">LONG_VIEW + RECENT bridge. Industry engagement scale.</t>
  </si>
  <si>
    <t xml:space="preserve">FDA-004</t>
  </si>
  <si>
    <t xml:space="preserve">Draft guidance — Considerations for AI to Support Regulatory Decision-Making</t>
  </si>
  <si>
    <t xml:space="preserve">FDA published draft guidance "Considerations for the Use of Artificial Intelligence to Support Regulatory Decision-Making for Drug and Biological Products" — first dedicated AI guidance for drugs/biologics — proposing a 7-step risk-based credibility-assessment framework keyed to "model influence" and "decision consequence."</t>
  </si>
  <si>
    <t xml:space="preserve">Issued Jan 7, 2025; comments due Apr 7, 2025; docket FDA-2024-D-4689</t>
  </si>
  <si>
    <t xml:space="preserve">FDA-CDER/CBER</t>
  </si>
  <si>
    <t xml:space="preserve">Federal Register, "Considerations for the Use of Artificial Intelligence To Support Regulatory Decision-Making for Drug and Biological Products; Draft Guidance" (Jan 7, 2025)</t>
  </si>
  <si>
    <t xml:space="preserve">https://www.federalregister.gov/documents/2025/01/07/2024-31542/considerations-for-the-use-of-artificial-intelligence-to-support-regulatory-decision-making-for-drug</t>
  </si>
  <si>
    <t xml:space="preserve">"This draft guidance provides recommendations on the use of artificial intelligence (AI) intended to produce information or data to support regulatory decision-making regarding safety, effectiveness, or quality for drugs."</t>
  </si>
  <si>
    <t xml:space="preserve">RECENT (anchor). Cornerstone of Q3 corpus. Finalization status: STILL DRAFT as of May 2026 — see FDA-006.</t>
  </si>
  <si>
    <t xml:space="preserve">FDA-005</t>
  </si>
  <si>
    <t xml:space="preserve">Draft guidance — 7-step credibility framework details</t>
  </si>
  <si>
    <t xml:space="preserve">The Jan 2025 draft guidance lays out 7 sequential steps: (1) define question of interest, (2) define context of use (COU), (3) assess AI model risk by model influence × decision consequence, (4) develop credibility assessment plan, (5) execute plan, (6) document credibility assessment report, (7) determine adequacy for COU.</t>
  </si>
  <si>
    <t xml:space="preserve">7 steps</t>
  </si>
  <si>
    <t xml:space="preserve">FDA Press Release, "FDA Proposes Framework to Advance Credibility of AI Models" (Jan 2025)</t>
  </si>
  <si>
    <t xml:space="preserve">Press release describes risk-based 7-step framework; "model influence" and "decision consequence" combine to inform model risk tier.</t>
  </si>
  <si>
    <t xml:space="preserve">RECENT. The COU-and-credibility scaffolding is the operational gate sponsors face.</t>
  </si>
  <si>
    <t xml:space="preserve">FDA-006</t>
  </si>
  <si>
    <t xml:space="preserve">Finalization status — Considerations draft remains draft</t>
  </si>
  <si>
    <t xml:space="preserve">As of May 11, 2026, FDA's "Considerations for the Use of AI to Support Regulatory Decision-Making" remains in DRAFT status; no Federal Register finalization notice has been issued; comment period closed April 7, 2025.</t>
  </si>
  <si>
    <t xml:space="preserve">Draft status, 13 months post-publication</t>
  </si>
  <si>
    <t xml:space="preserve">Federal Register, draft guidance availability notice (Jan 7, 2025)</t>
  </si>
  <si>
    <t xml:space="preserve">Source notes comments accepted "until 7 April 2025." No subsequent Federal Register finalization notice located as of access date.</t>
  </si>
  <si>
    <t xml:space="preserve">RECENT. Cautious-in-practice signal: 13 months between draft and (still-not-final) status. Sponsors operate in soft-law regime.</t>
  </si>
  <si>
    <t xml:space="preserve">FDA-007</t>
  </si>
  <si>
    <t xml:space="preserve">CDRH guidance — Predetermined Change Control Plans (final)</t>
  </si>
  <si>
    <t xml:space="preserve">FDA CDRH finalized "Marketing Submission Recommendations for a Predetermined Change Control Plan for AI-Enabled Device Software Functions," giving sponsors a pathway to pre-clear iterative algorithm updates without new marketing submissions.</t>
  </si>
  <si>
    <t xml:space="preserve">Finalized Dec 4, 2024</t>
  </si>
  <si>
    <t xml:space="preserve">SaMD</t>
  </si>
  <si>
    <t xml:space="preserve">Federal Register, PCCP Final Guidance Availability (Dec 4, 2024)</t>
  </si>
  <si>
    <t xml:space="preserve">https://www.federalregister.gov/documents/2024/12/04/2024-28361/marketing-submission-recommendations-for-a-predetermined-change-control-plan-for-artificial</t>
  </si>
  <si>
    <t xml:space="preserve">"FDA finalized its guidance entitled 'Marketing Submission Recommendations for a Predetermined Change Control Plan for Artificial Intelligence-Enabled Device Software Functions' on December 4, 2024."</t>
  </si>
  <si>
    <t xml:space="preserve">RECENT. Most concrete finalized FDA AI guidance to date. Adjacent to drugs but relevant for AI-derived diagnostics/companion dx (TEM, NTRA, GH adjacency).</t>
  </si>
  <si>
    <t xml:space="preserve">FDA-008</t>
  </si>
  <si>
    <t xml:space="preserve">CDRH guidance — AI-Enabled Device Software Functions (draft)</t>
  </si>
  <si>
    <t xml:space="preserve">FDA CDRH issued draft guidance "Artificial Intelligence-Enabled Device Software Functions: Lifecycle Management and Marketing Submission Recommendations" covering 510(k) and PMA submissions, transparency/bias considerations across the total product lifecycle.</t>
  </si>
  <si>
    <t xml:space="preserve">Draft Jan 7, 2025; comments due Apr 7, 2025</t>
  </si>
  <si>
    <t xml:space="preserve">Federal Register, AI-Enabled Device Software Functions Lifecycle Management Draft Guidance (Jan 7, 2025)</t>
  </si>
  <si>
    <t xml:space="preserve">https://www.federalregister.gov/documents/2025/01/07/2024-31543/artificial-intelligence-enabled-device-software-functions-lifecycle-management-and-marketing</t>
  </si>
  <si>
    <t xml:space="preserve">"This draft guidance provides recommendations regarding the contents of marketing submissions for devices that include artificial intelligence (AI)-enabled device software functions."</t>
  </si>
  <si>
    <t xml:space="preserve">RECENT. Companion draft to FDA-004 issued same day — same-day "AI day" at FDA.</t>
  </si>
  <si>
    <t xml:space="preserve">FDA-009</t>
  </si>
  <si>
    <t xml:space="preserve">Joint FDA-EMA Guiding Principles</t>
  </si>
  <si>
    <t xml:space="preserve">FDA (CDER/CBER) and EMA jointly released "Guiding Principles of Good AI Practice in Drug Development" — 10 high-level principles spanning early research through manufacturing and safety monitoring; described as non-prescriptive but signals future guidance from both regulators.</t>
  </si>
  <si>
    <t xml:space="preserve">10 principles; released Jan 14, 2026</t>
  </si>
  <si>
    <t xml:space="preserve">FDA + EMA</t>
  </si>
  <si>
    <t xml:space="preserve">FDA / EMA joint announcement</t>
  </si>
  <si>
    <t xml:space="preserve">FDA, "Guiding Principles of Good AI Practice in Drug Development" (Jan 14, 2026)</t>
  </si>
  <si>
    <t xml:space="preserve">https://www.fda.gov/about-fda/artificial-intelligence-drug-development/guiding-principles-good-ai-practice-drug-development</t>
  </si>
  <si>
    <t xml:space="preserve">"CDER and CBER have collaborated with the European Medicines Agency (EMA) to develop 10 guiding principles that industry and product developers can consider when using artificial intelligence (AI) to advance drug and biological product development."</t>
  </si>
  <si>
    <t xml:space="preserve">RECENT. International harmonization signal; substitute for ICH E20 (which we did not find published) in the global-alignment slot.</t>
  </si>
  <si>
    <t xml:space="preserve">FDA-010</t>
  </si>
  <si>
    <t xml:space="preserve">CDER coordination — AI Council</t>
  </si>
  <si>
    <t xml:space="preserve">CDER consolidated three pre-existing AI groups (CDER AI Steering Committee, AI Policy Working Group, CDER AI Community of Practice) into a single CDER AI Council co-led by Tala Fakhouri (data science / AI policy), Qi Liu (Office of Clinical Pharmacology), and Sri Mantha (Office of Strategic Programs).</t>
  </si>
  <si>
    <t xml:space="preserve">3 groups → 1 Council</t>
  </si>
  <si>
    <t xml:space="preserve">Trade press</t>
  </si>
  <si>
    <t xml:space="preserve">Fierce Biotech, "FDA's drug center to consolidate AI efforts under single council" (2024)</t>
  </si>
  <si>
    <t xml:space="preserve">https://www.fiercebiotech.com/medtech/fdas-drug-center-consolidate-ai-efforts-under-single-council</t>
  </si>
  <si>
    <t xml:space="preserve">"CDER Director Patrizia Cavazzoni announced that the AI council would consolidate the FDA's three existing AI groups — the CDER AI Steering Committee, AI Policy Working Group and CDER AI Community of Practice."</t>
  </si>
  <si>
    <t xml:space="preserve">Named officials: Cavazzoni, Fakhouri. LONG_VIEW + RECENT. Tier 2 because Fierce trade press; corroborated by FDA-011.</t>
  </si>
  <si>
    <t xml:space="preserve">FDA-011</t>
  </si>
  <si>
    <t xml:space="preserve">CDER named lead — Tala Fakhouri</t>
  </si>
  <si>
    <t xml:space="preserve">Tala Fakhouri served as Associate Director for Data Science and AI Policy in CDER Office of Medical Policy, leading FDA's AI policy work in drug development; led development of the first draft CDER AI Guidance and established the CDER AI Council.</t>
  </si>
  <si>
    <t xml:space="preserve">FDA website</t>
  </si>
  <si>
    <t xml:space="preserve">FDA, "Artificial Intelligence for Drug Development" (CDER overview page)</t>
  </si>
  <si>
    <t xml:space="preserve">https://www.fda.gov/about-fda/center-drug-evaluation-and-research-cder/artificial-intelligence-drug-development</t>
  </si>
  <si>
    <t xml:space="preserve">FDA CDER page identifies the AI Council and Fakhouri as co-lead alongside Liu and Mantha; her role described as leading AI policy and external stakeholder engagement.</t>
  </si>
  <si>
    <t xml:space="preserve">Named officials tracker entry — Fakhouri.</t>
  </si>
  <si>
    <t xml:space="preserve">FDA-012</t>
  </si>
  <si>
    <t xml:space="preserve">Named lead — Khair ElZarrad</t>
  </si>
  <si>
    <t xml:space="preserve">Khair "MK" ElZarrad serves as Director, Office of Medical Policy at CDER (previously Deputy Director); leads coordination on AI integration in pharma regulation including real-world evidence and innovative trial designs.</t>
  </si>
  <si>
    <t xml:space="preserve">FDA, Office of Medical Policy</t>
  </si>
  <si>
    <t xml:space="preserve">https://www.fda.gov/about-fda/cder-offices-and-divisions/office-medical-policy</t>
  </si>
  <si>
    <t xml:space="preserve">OMP page confirms ElZarrad's leadership scope including modernizing regulatory policy for AI and clinical trial innovation.</t>
  </si>
  <si>
    <t xml:space="preserve">Named officials tracker entry — ElZarrad. Co-authored CTTI workshop report (PMC12690500).</t>
  </si>
  <si>
    <t xml:space="preserve">FDA-013</t>
  </si>
  <si>
    <t xml:space="preserve">Named lead — Troy Tazbaz (CDRH) departure</t>
  </si>
  <si>
    <t xml:space="preserve">Troy Tazbaz, Director of FDA's Digital Health Center of Excellence (CDRH), resigned effective January 31, 2025 — leadership gap at the CDRH AI/digital-health interface coincident with the Jan 7, 2025 draft AI guidance release.</t>
  </si>
  <si>
    <t xml:space="preserve">Departed Jan 31, 2025</t>
  </si>
  <si>
    <t xml:space="preserve">MedTech Dive, "Troy Tazbaz, CDRH digital health leader, resigns"</t>
  </si>
  <si>
    <t xml:space="preserve">https://www.medtechdive.com/news/troy-tazbaz-fda-digital-health-resigns/738951/</t>
  </si>
  <si>
    <t xml:space="preserve">"Troy Tazbaz, FDA's Digital Health Center of Excellence Director, said in a LinkedIn post that he was leaving the agency effective immediately on January 31, 2025."</t>
  </si>
  <si>
    <t xml:space="preserve">RECENT. Institutional disruption to CDRH AI leadership at a critical moment.</t>
  </si>
  <si>
    <t xml:space="preserve">FDA-014</t>
  </si>
  <si>
    <t xml:space="preserve">Cavazzoni quote — Aug 2024 keynote</t>
  </si>
  <si>
    <t xml:space="preserve">At the joint FDA/CTTI Workshop on AI in Drug Development (Aug 6, 2024), CDER Director Patrizia Cavazzoni stated FDA had received more than 300 drug submissions with AI elements and acknowledged industry needs more clarity; FDA is drafting risk-based guidance.</t>
  </si>
  <si>
    <t xml:space="preserve">&gt;300 drug submissions with AI elements</t>
  </si>
  <si>
    <t xml:space="preserve">Industry/legal trade summary of FDA workshop</t>
  </si>
  <si>
    <t xml:space="preserve">Mintz, "FDA and CTTI Hold Joint Workshop on AI in Drug Development" (Aug 9, 2024)</t>
  </si>
  <si>
    <t xml:space="preserve">https://www.mintz.com/insights-center/viewpoints/2791/2024-08-09-fda-and-ctti-hold-joint-workshop-ai-drug-development-ai</t>
  </si>
  <si>
    <t xml:space="preserve">"Cavazzoni noted that the FDA has received more than 300 drug approval applications with AI elements" and that FDA is "drafting risk-based guidance on the use of AI for drug development."</t>
  </si>
  <si>
    <t xml:space="preserve">Named officials — Cavazzoni / SUPPORTIVE tone. Stance category: supportive (clarity-seeking).</t>
  </si>
  <si>
    <t xml:space="preserve">FDA-015</t>
  </si>
  <si>
    <t xml:space="preserve">Cavazzoni stance — May 2023 statement</t>
  </si>
  <si>
    <t xml:space="preserve">In a May 2023 FDA-attributed statement accompanying the discussion paper release, Cavazzoni framed AI/ML as accelerating safe and effective therapies — supportive register.</t>
  </si>
  <si>
    <t xml:space="preserve">FDA-attributed press paraphrase</t>
  </si>
  <si>
    <t xml:space="preserve">Multiple coverage of May 2023 discussion paper, incl. MoFo, Lexology</t>
  </si>
  <si>
    <t xml:space="preserve">https://www.mofo.com/resources/insights/230511-fda-drug-development-five-key-takeaways</t>
  </si>
  <si>
    <t xml:space="preserve">"Ultimately, AI/ML can help bring safe, effective, and high-quality treatments to patients faster." — Cavazzoni, May 2023.</t>
  </si>
  <si>
    <t xml:space="preserve">Cavazzoni quote — SUPPORTIVE. Source is trade press paraphrase; primary FDA blog quote could not be retrieved directly.</t>
  </si>
  <si>
    <t xml:space="preserve">FDA-016</t>
  </si>
  <si>
    <t xml:space="preserve">Califf stance — JAMA AI commentary</t>
  </si>
  <si>
    <t xml:space="preserve">FDA Commissioner Robert Califf and colleagues warned that the "scale of effort" needed to repeatedly evaluate AI models "could be beyond any current regulatory scheme" — explicit caution from the agency head about ongoing AI-model surveillance.</t>
  </si>
  <si>
    <t xml:space="preserve">FDA-Commissioner</t>
  </si>
  <si>
    <t xml:space="preserve">Trade press citing JAMA commentary</t>
  </si>
  <si>
    <t xml:space="preserve">MedTech Dive, "Health officials outline industry role in AI oversight in JAMA article"</t>
  </si>
  <si>
    <t xml:space="preserve">https://www.medtechdive.com/news/FDA-califf-JAMA-AI-oversight/729956/</t>
  </si>
  <si>
    <t xml:space="preserve">"Califf and two colleagues warned that the 'scale of effort' needed to repeatedly evaluate AI models 'could be beyond any current regulatory scheme.'"</t>
  </si>
  <si>
    <t xml:space="preserve">Named officials — Califf / CAUTIOUS register. LONG_VIEW.</t>
  </si>
  <si>
    <t xml:space="preserve">FDA-017</t>
  </si>
  <si>
    <t xml:space="preserve">Califf stance — 1000 algorithms milestone</t>
  </si>
  <si>
    <t xml:space="preserve">Califf publicly noted FDA was on track to clear its 1,000th clinical AI algorithm by end of 2024 and emphasized AI "drift" risks for stroke prediction and similar critical applications; cited the inability of pre-market clearance alone to ensure post-market reliability.</t>
  </si>
  <si>
    <t xml:space="preserve">~1,000 AI/ML device clearances cumulative by EOY 2024</t>
  </si>
  <si>
    <t xml:space="preserve">FDA-Commissioner / CDRH</t>
  </si>
  <si>
    <t xml:space="preserve">Trade press summarizing Califf remarks</t>
  </si>
  <si>
    <t xml:space="preserve">HealthExec, "FDA commissioner urges health systems to strengthen AI quality oversight"</t>
  </si>
  <si>
    <t xml:space="preserve">https://healthexec.com/topics/artificial-intelligence/fda-commissioner-robert-califf-urges-health-systems-strengthen-ai-quality-oversight</t>
  </si>
  <si>
    <t xml:space="preserve">"Califf emphasized the risks of relying solely on pre-market approvals, noting the potential for AI algorithms to deviate, or 'drift,' from their original, FDA-cleared functions over time."</t>
  </si>
  <si>
    <t xml:space="preserve">Califf CAUTIOUS quote. Tier 2 paraphrase. Confirms post-market gap is a stated concern of the FDA head.</t>
  </si>
  <si>
    <t xml:space="preserve">FDA-018</t>
  </si>
  <si>
    <t xml:space="preserve">Internal AI tool — Elsa launch</t>
  </si>
  <si>
    <t xml:space="preserve">FDA launched Elsa, an agency-wide generative AI assistant for scientific reviewers, on June 2, 2025; described as "ahead of schedule and under budget" by Commissioner Makary; closed-loop architecture on FedRAMP-authorized Google Cloud; does not train on FDA or industry data.</t>
  </si>
  <si>
    <t xml:space="preserve">Launched Jun 2, 2025</t>
  </si>
  <si>
    <t xml:space="preserve">FDA</t>
  </si>
  <si>
    <t xml:space="preserve">FDA, "FDA Announces Completion of First AI-Assisted Scientific Review Pilot and Aggressive Agency-Wide AI Rollout Timeline"</t>
  </si>
  <si>
    <t xml:space="preserve">https://www.fda.gov/news-events/press-announcements/fda-announces-completion-first-ai-assisted-scientific-review-pilot-and-aggressive-agency-wide-ai</t>
  </si>
  <si>
    <t xml:space="preserve">Press release describes Elsa rollout; targets June 30, 2025 for agency-wide AI use.</t>
  </si>
  <si>
    <t xml:space="preserve">RECENT. Direct evidence of FDA internal AI adoption.</t>
  </si>
  <si>
    <t xml:space="preserve">FDA-019</t>
  </si>
  <si>
    <t xml:space="preserve">Internal AI tool — Elsa hallucination problem</t>
  </si>
  <si>
    <t xml:space="preserve">In July 2025, FDA's head of AI Jeremy Walsh acknowledged that Elsa "can hallucinate nonexistent studies" — a candid admission contradicting the early supportive framing and undercutting AI-assisted review claims.</t>
  </si>
  <si>
    <t xml:space="preserve">News investigation</t>
  </si>
  <si>
    <t xml:space="preserve">CNN Politics, "FDA's artificial intelligence is supposed to revolutionize drug approvals. It's making up nonexistent studies." (Jul 23, 2025)</t>
  </si>
  <si>
    <t xml:space="preserve">https://www.cnn.com/2025/07/23/politics/fda-ai-elsa-drug-regulation-makary</t>
  </si>
  <si>
    <t xml:space="preserve">"The FDA's head of AI, Jeremy Walsh, admitted that Elsa can hallucinate nonexistent studies."</t>
  </si>
  <si>
    <t xml:space="preserve">RECENT. CRITICAL disconfirming. Even FDA's own internal tool exposes the explainability gap that informs the agency's caution on sponsor AI submissions.</t>
  </si>
  <si>
    <t xml:space="preserve">FDA-020</t>
  </si>
  <si>
    <t xml:space="preserve">Makary AI rollout — June 30, 2025 deadline</t>
  </si>
  <si>
    <t xml:space="preserve">Commissioner Martin Makary set an aggressive timeline to scale generative AI across all FDA centers by June 30, 2025, framed as one of the agency's top priorities.</t>
  </si>
  <si>
    <t xml:space="preserve">Agency-wide AI by Jun 30, 2025</t>
  </si>
  <si>
    <t xml:space="preserve">FDA, "FDA Announces Completion of First AI-Assisted Scientific Review Pilot"</t>
  </si>
  <si>
    <t xml:space="preserve">"Aggressive Agency-Wide AI Rollout Timeline" — press release headline; June 30, 2025 deadline cited.</t>
  </si>
  <si>
    <t xml:space="preserve">Named officials — Makary / SUPPORTIVE register.</t>
  </si>
  <si>
    <t xml:space="preserve">FDA-021</t>
  </si>
  <si>
    <t xml:space="preserve">Internal AI tool — Elsa expansion and HALO consolidation</t>
  </si>
  <si>
    <t xml:space="preserve">FDA expanded AI capabilities with Elsa 4.0 and consolidated agency data into a single platform called HALO; framed as agency-wide modernization rather than center-specific.</t>
  </si>
  <si>
    <t xml:space="preserve">FDA, "FDA Expands AI Capabilities and Completes Data Platform Consolidation"</t>
  </si>
  <si>
    <t xml:space="preserve">https://www.fda.gov/news-events/press-announcements/fda-expands-ai-capabilities-and-completes-data-platform-consolidation</t>
  </si>
  <si>
    <t xml:space="preserve">Press release describes Elsa 4.0 + HALO data platform consolidation.</t>
  </si>
  <si>
    <t xml:space="preserve">RECENT. Continued internal-AI investment despite hallucination concerns (FDA-019).</t>
  </si>
  <si>
    <t xml:space="preserve">FDA-022</t>
  </si>
  <si>
    <t xml:space="preserve">CDER pharmacovigilance — EDSTP / EDSTM</t>
  </si>
  <si>
    <t xml:space="preserve">CDER established the Emerging Drug Safety Technology Program (EDSTP) per a June 11, 2024 Federal Register Notice to formalize industry-FDA dialogue on AI and emerging technologies in pharmacovigilance.</t>
  </si>
  <si>
    <t xml:space="preserve">Established Jun 11, 2024</t>
  </si>
  <si>
    <t xml:space="preserve">Federal Register, "Emerging Drug Safety Technology Meetings; Program Announcement" (Jun 11, 2024)</t>
  </si>
  <si>
    <t xml:space="preserve">https://www.federalregister.gov/documents/2024/06/11/2024-12770/emerging-drug-safety-technology-meetings-program-announcement</t>
  </si>
  <si>
    <t xml:space="preserve">Federal Register notice formalizes EDSTM meeting program for AI/PV; FDA established central point of contact at AIMLforDrugDevelopment@fda.hhs.gov.</t>
  </si>
  <si>
    <t xml:space="preserve">RECENT. Concrete CDER channel for AI in pharmacovigilance.</t>
  </si>
  <si>
    <t xml:space="preserve">FDA-023</t>
  </si>
  <si>
    <t xml:space="preserve">CBER AI/ML in biologics IND submissions</t>
  </si>
  <si>
    <t xml:space="preserve">Since 2016 CBER has identified increasing AI/ML use in vaccine, cellular, and gene therapy IND submissions, with &gt;70 INDs containing AI/ML components across clinical, CMC, and pharmacovigilance.</t>
  </si>
  <si>
    <t xml:space="preserve">&gt;70 INDs with AI/ML in CBER</t>
  </si>
  <si>
    <t xml:space="preserve">FDA-CBER</t>
  </si>
  <si>
    <t xml:space="preserve">Biologic / Cell-Gene</t>
  </si>
  <si>
    <t xml:space="preserve">FDA, "Artificial Intelligence and Machine Learning (AI/ML) for Biological and Other Products Regulated by CBER"</t>
  </si>
  <si>
    <t xml:space="preserve">https://www.fda.gov/vaccines-blood-biologics/artificial-intelligence-and-machine-learning-aiml-biological-and-other-products-regulated-cber</t>
  </si>
  <si>
    <t xml:space="preserve">CBER notes "over 70 IND applications with AI/ML used in various disciplines (clinical, CMC, pharmacovigilance) that involve prediction, classification, clustering, and anomaly detection."</t>
  </si>
  <si>
    <t xml:space="preserve">CBER-specific scale anchor.</t>
  </si>
  <si>
    <t xml:space="preserve">FDA-024</t>
  </si>
  <si>
    <t xml:space="preserve">CBER flexible CMC for cell-gene therapy</t>
  </si>
  <si>
    <t xml:space="preserve">FDA CBER announced a "flexible approach" on CMC for cell and gene therapies (Jan 2026), referenced in industry analysis as enabling AI-driven comparability/release-test approaches.</t>
  </si>
  <si>
    <t xml:space="preserve">Jan 2026</t>
  </si>
  <si>
    <t xml:space="preserve">Rare / Cell-Gene</t>
  </si>
  <si>
    <t xml:space="preserve">Cell-Gene</t>
  </si>
  <si>
    <t xml:space="preserve">FDA, "Flexible Requirements for Cell and Gene Therapies to Advance Innovation"</t>
  </si>
  <si>
    <t xml:space="preserve">https://www.fda.gov/vaccines-blood-biologics/cellular-gene-therapy-products/flexible-requirements-cell-and-gene-therapies-advance-innovation</t>
  </si>
  <si>
    <t xml:space="preserve">FDA page outlines flexible CMC posture for cell/gene products.</t>
  </si>
  <si>
    <t xml:space="preserve">RECENT. CBER adjacency for AI-enabled CMC (digital twin, predictive release).</t>
  </si>
  <si>
    <t xml:space="preserve">FDA-025</t>
  </si>
  <si>
    <t xml:space="preserve">ISTAND — innovative tool qualification with AI tools</t>
  </si>
  <si>
    <t xml:space="preserve">FDA's Innovative Science and Technology Approaches for New Drugs (ISTAND) program — launched Nov 2020, transitioned to permanent qualification program — has accepted 8 total submissions, of which 3 are AI-based.</t>
  </si>
  <si>
    <t xml:space="preserve">3 of 8 ISTAND submissions AI-based</t>
  </si>
  <si>
    <t xml:space="preserve">FDA, "ISTAND Program"</t>
  </si>
  <si>
    <t xml:space="preserve">https://www.fda.gov/drugs/drug-development-tool-ddt-qualification-programs/innovative-science-and-technology-approaches-new-drugs-istand-program</t>
  </si>
  <si>
    <t xml:space="preserve">FDA page describes ISTAND scope including "use of artificial intelligence (AI)-based algorithms" for endpoints / patient assessment.</t>
  </si>
  <si>
    <t xml:space="preserve">LONG_VIEW. Modest absolute count; suggests ISTAND uptake of AI is real but small.</t>
  </si>
  <si>
    <t xml:space="preserve">FDA-026</t>
  </si>
  <si>
    <t xml:space="preserve">ISTAND — first AI algorithm acceptance</t>
  </si>
  <si>
    <t xml:space="preserve">ISTAND accepted its first AI algorithm — Deliberate AI's anxiety and depression assessment — for qualification consideration in 2024.</t>
  </si>
  <si>
    <t xml:space="preserve">1 algorithm</t>
  </si>
  <si>
    <t xml:space="preserve">Deliberate AI</t>
  </si>
  <si>
    <t xml:space="preserve">Software</t>
  </si>
  <si>
    <t xml:space="preserve">Fierce Biotech, "FDA accepts first AI algorithm to drug development tool pilot"</t>
  </si>
  <si>
    <t xml:space="preserve">https://www.fiercebiotech.com/medtech/fda-accepts-first-ai-algorithm-drug-development-tool-pilot-deliberate-ais-anxiety-and</t>
  </si>
  <si>
    <t xml:space="preserve">Title and lede confirm acceptance milestone.</t>
  </si>
  <si>
    <t xml:space="preserve">RECENT. Datapoint: ISTAND-AI pipeline is open but very thin.</t>
  </si>
  <si>
    <t xml:space="preserve">FDA-027</t>
  </si>
  <si>
    <t xml:space="preserve">CDER MIDD Paired Meeting Program</t>
  </si>
  <si>
    <t xml:space="preserve">FDA-CDER's Model-Informed Drug Development (MIDD) Paired Meeting Program — building on a successful pilot — provides a structured channel for sponsors to discuss QSP, PBPK, and increasingly AI-augmented modeling with FDA reviewers.</t>
  </si>
  <si>
    <t xml:space="preserve">FDA, "Model-Informed Drug Development Paired Meeting Program"</t>
  </si>
  <si>
    <t xml:space="preserve">https://www.fda.gov/drugs/development-resources/model-informed-drug-development-paired-meeting-program</t>
  </si>
  <si>
    <t xml:space="preserve">FDA page: "MIDD Paired Meeting Program builds on the success of the MIDD Paired Meeting Pilot."</t>
  </si>
  <si>
    <t xml:space="preserve">LONG_VIEW. The MIDD channel pre-existed AI hype and is where most AI-augmented modeling discussions actually happen.</t>
  </si>
  <si>
    <t xml:space="preserve">FDA-028</t>
  </si>
  <si>
    <t xml:space="preserve">CDER Quantitative Medicine Center of Excellence</t>
  </si>
  <si>
    <t xml:space="preserve">CDER established the Quantitative Medicine Center of Excellence (QM CoE) in collaboration with the Office of Translational Sciences and Critical Path Institute, providing MIDD training and signaling integration of computational/AI methods into review staff capabilities.</t>
  </si>
  <si>
    <t xml:space="preserve">FDA, "Streamlining Drug Development and Improving Patient Care: CDER QM CoE"</t>
  </si>
  <si>
    <t xml:space="preserve">https://www.fda.gov/drugs/cder-conversations/streamlining-drug-development-and-improving-patient-care-cder-quantitative-medicine-center</t>
  </si>
  <si>
    <t xml:space="preserve">FDA Conversations page outlines QM CoE mission.</t>
  </si>
  <si>
    <t xml:space="preserve">Internal capability build — adjacent to AI.</t>
  </si>
  <si>
    <t xml:space="preserve">FDA-029</t>
  </si>
  <si>
    <t xml:space="preserve">AdComm posture — Digital Health Advisory Committee inaugural meeting</t>
  </si>
  <si>
    <t xml:space="preserve">FDA's Digital Health Advisory Committee held its inaugural Nov 20–21, 2024 meeting devoted to Generative AI-enabled devices; recommendations included characterizing hallucination rates, error rates, data drift, mandatory labeling, and a centralized error-reporting database.</t>
  </si>
  <si>
    <t xml:space="preserve">Nov 20–21, 2024</t>
  </si>
  <si>
    <t xml:space="preserve">FDA Federal Register notice</t>
  </si>
  <si>
    <t xml:space="preserve">FDA, "November 20-21, 2024: Digital Health Advisory Committee Meeting Announcement"</t>
  </si>
  <si>
    <t xml:space="preserve">https://www.fda.gov/advisory-committees/advisory-committee-calendar/november-20-21-2024-digital-health-advisory-committee-meeting-announcement-11202024</t>
  </si>
  <si>
    <t xml:space="preserve">FDA AdComm calendar entry; topic: "Total Product Lifecycle Considerations for Generative AI-Enabled Devices."</t>
  </si>
  <si>
    <t xml:space="preserve">Cautious-in-practice marker. AdComm explicitly flagged hallucination and drift risks.</t>
  </si>
  <si>
    <t xml:space="preserve">FDA-030</t>
  </si>
  <si>
    <t xml:space="preserve">DHAC — labeling / watermarking recommendations</t>
  </si>
  <si>
    <t xml:space="preserve">DHAC members recommended FDA require labeling studies and watermarking to disclose AI-generated content in GenAI-enabled medical devices — a clear caution signal against opaque AI outputs.</t>
  </si>
  <si>
    <t xml:space="preserve">FDA-CDRH (DHAC)</t>
  </si>
  <si>
    <t xml:space="preserve">Trade press summary of FDA AdComm</t>
  </si>
  <si>
    <t xml:space="preserve">Jones Day, "FDA's Digital Health Advisory Committee Discusses Total Product Lifecycle Considerations for GenAI-Enabled Devices"</t>
  </si>
  <si>
    <t xml:space="preserve">https://www.jonesday.com/en/insights/2024/12/fda-digital-health-advisory-committee-discusses-genaienabled-devices</t>
  </si>
  <si>
    <t xml:space="preserve">"Some members argued for required labeling studies and specific labeling requirements to disclose to users that the outputs of GenAI-enabled devices are produced by AI."</t>
  </si>
  <si>
    <t xml:space="preserve">Cautious AdComm posture.</t>
  </si>
  <si>
    <t xml:space="preserve">FDA-031</t>
  </si>
  <si>
    <t xml:space="preserve">AI cGMP enforcement — first warning letter citing AI</t>
  </si>
  <si>
    <t xml:space="preserve">FDA issued its first warning letter explicitly citing AI misuse as a named cGMP deficiency on April 2, 2026 to Purolea Cosmetics Lab (Livonia, MI), with a dedicated section titled "Inappropriate Use of Artificial Intelligence in Pharmaceutical Manufacturing."</t>
  </si>
  <si>
    <t xml:space="preserve">Apr 2, 2026</t>
  </si>
  <si>
    <t xml:space="preserve">FDA / Purolea Cosmetics Lab</t>
  </si>
  <si>
    <t xml:space="preserve">Drug manufacturing</t>
  </si>
  <si>
    <t xml:space="preserve">Trade press / law firm alerts</t>
  </si>
  <si>
    <t xml:space="preserve">Morgan Lewis, "FDA's Warning Letter Suggests Growing Scrutiny of AI Overreliance" (Apr 2026)</t>
  </si>
  <si>
    <t xml:space="preserve">https://www.morganlewis.com/blogs/asprescribed/2026/04/fdas-warning-letter-suggests-growing-scrutiny-of-ai-overreliance</t>
  </si>
  <si>
    <t xml:space="preserve">Warning letter contains "a dedicated section titled 'Inappropriate Use of Artificial Intelligence in Pharmaceutical Manufacturing.'"</t>
  </si>
  <si>
    <t xml:space="preserve">RECENT. Single most important Q3 disconfirming datapoint — FDA willing to enforce against AI overreliance.</t>
  </si>
  <si>
    <t xml:space="preserve">FDA-032</t>
  </si>
  <si>
    <t xml:space="preserve">AI cGMP enforcement — FDA position</t>
  </si>
  <si>
    <t xml:space="preserve">Per the Purolea warning, FDA's position is that any AI-generated output used in cGMP activities (specs, procedures, master production records) must be reviewed and approved by an authorized human Quality Unit representative before entering the quality system.</t>
  </si>
  <si>
    <t xml:space="preserve">Industry coverage of FDA warning letter</t>
  </si>
  <si>
    <t xml:space="preserve">Manufacturing Chemist, "FDA issues first cGMP warning letter citing AI misuse"</t>
  </si>
  <si>
    <t xml:space="preserve">https://www.manufacturingchemist.com/fda-issues-first-cgmp-warning-letter-citing-ai</t>
  </si>
  <si>
    <t xml:space="preserve">"Any AI-generated output used in cGMP activities must be reviewed and approved by an authorised human representative of the QU."</t>
  </si>
  <si>
    <t xml:space="preserve">RECENT. Explainability/human-in-the-loop principle codified through enforcement, not yet guidance.</t>
  </si>
  <si>
    <t xml:space="preserve">FDA-033</t>
  </si>
  <si>
    <t xml:space="preserve">CDRH AI/ML medical device clearance volume</t>
  </si>
  <si>
    <t xml:space="preserve">FDA cumulatively authorized over 1,000 AI/ML-enabled medical devices by EOY 2024 (1,016 as of Dec 20, 2024); the 2024 cohort alone was 168 ML-enabled Class II devices, of which 94.6% via 510(k) and 5.4% via De Novo.</t>
  </si>
  <si>
    <t xml:space="preserve">~1,016 cumulative (Dec 2024); 168 in 2024</t>
  </si>
  <si>
    <t xml:space="preserve">Peer-reviewed analysis</t>
  </si>
  <si>
    <t xml:space="preserve">Machine Learning-Enabled Medical Devices Authorized by the US FDA in 2024 (PMC12730494)</t>
  </si>
  <si>
    <t xml:space="preserve">https://pmc.ncbi.nlm.nih.gov/articles/PMC12730494/</t>
  </si>
  <si>
    <t xml:space="preserve">"The FDA authorized 168 ML-enabled Class II devices in 2024. Most (94.6%) were cleared via 510(k); 5.4% were cleared via De Novo."</t>
  </si>
  <si>
    <t xml:space="preserve">LONG_VIEW + RECENT. Devices ≠ drugs but anchors agency AI-clearance throughput.</t>
  </si>
  <si>
    <t xml:space="preserve">FDA-034</t>
  </si>
  <si>
    <t xml:space="preserve">CDRH AI/ML clearance concentration — radiology</t>
  </si>
  <si>
    <t xml:space="preserve">Radiology accounted for 74.4% of 2024 ML-enabled device clearances and ~76% cumulatively (1,104 of ~1,451) — AI clearance volume highly concentrated in imaging, not in therapeutic drug review.</t>
  </si>
  <si>
    <t xml:space="preserve">74.4% (2024); ~76% cumulative</t>
  </si>
  <si>
    <t xml:space="preserve">Peer-reviewed / trade analysis</t>
  </si>
  <si>
    <t xml:space="preserve">IntuitionLabs / Innolitics 2025 year-in-review of 510(k) clearances; PMC12730494</t>
  </si>
  <si>
    <t xml:space="preserve">"Radiology dominated (74.4%), followed by cardiovascular (6.5%) and neurology (6.0%)."</t>
  </si>
  <si>
    <t xml:space="preserve">Disconfirming for thesis that AI clearances are broadly across therapeutic decisioning — radiology dominance suggests narrow application.</t>
  </si>
  <si>
    <t xml:space="preserve">FDA-035</t>
  </si>
  <si>
    <t xml:space="preserve">CDRH 510(k) predicate lineage</t>
  </si>
  <si>
    <t xml:space="preserve">Of the 155 FDA-cleared AI/ML devices approved via 510(k) in 2024, 126 (81.3%) relied solely on a single primary predicate for substantial equivalence — substantial-equivalence chains rather than fresh clinical evidence.</t>
  </si>
  <si>
    <t xml:space="preserve">81.3% single-predicate</t>
  </si>
  <si>
    <t xml:space="preserve">PMC12730494</t>
  </si>
  <si>
    <t xml:space="preserve">"126 devices (81.3%) relied solely on a single primary predicate for substantial equivalence."</t>
  </si>
  <si>
    <t xml:space="preserve">Disconfirming: 510(k) AI clearances are not equivalent to PMA evidentiary scrutiny — important caveat when investors point to "1,000 AI approvals."</t>
  </si>
  <si>
    <t xml:space="preserve">FDA-036</t>
  </si>
  <si>
    <t xml:space="preserve">Inter-center coordination — CBER/CDER/CDRH/OCP</t>
  </si>
  <si>
    <t xml:space="preserve">FDA published a cross-center white paper (FDA media 177030) describing how CBER, CDER, CDRH, and OCP coordinate on AI/ML, formalizing the previously ad-hoc inter-center collaboration.</t>
  </si>
  <si>
    <t xml:space="preserve">4 centers</t>
  </si>
  <si>
    <t xml:space="preserve">FDA (cross-center)</t>
  </si>
  <si>
    <t xml:space="preserve">FDA document</t>
  </si>
  <si>
    <t xml:space="preserve">FDA, "How CBER, CDER, CDRH, and OCP are Working Together — Artificial Intelligence"</t>
  </si>
  <si>
    <t xml:space="preserve">https://www.fda.gov/media/177030/download</t>
  </si>
  <si>
    <t xml:space="preserve">FDA cross-center publication on AI coordination (media file 177030).</t>
  </si>
  <si>
    <t xml:space="preserve">Internal coordination evidence.</t>
  </si>
  <si>
    <t xml:space="preserve">FDA-037</t>
  </si>
  <si>
    <t xml:space="preserve">FDA AI Office concept — Responsive Regulation paper</t>
  </si>
  <si>
    <t xml:space="preserve">FDA published "Responsive Regulation of Artificial Intelligence in Drug Development" (media 184256) outlining the agency's framing of AI oversight as adaptive and risk-proportional.</t>
  </si>
  <si>
    <t xml:space="preserve">FDA, "Responsive Regulation of Artificial Intelligence in Drug Development"</t>
  </si>
  <si>
    <t xml:space="preserve">https://www.fda.gov/media/184256/download</t>
  </si>
  <si>
    <t xml:space="preserve">FDA publication describes responsive regulation framing.</t>
  </si>
  <si>
    <t xml:space="preserve">Useful conceptual framing source.</t>
  </si>
  <si>
    <t xml:space="preserve">FDA-038</t>
  </si>
  <si>
    <t xml:space="preserve">AI Pipeline cross-link — Zasocitinib (Nimbus/Takeda)</t>
  </si>
  <si>
    <t xml:space="preserve">Zasocitinib (TAK-279, Nimbus/Takeda), discovered via FEP+ physics-based small-molecule design, met co-primary + 44 secondary endpoints in Phase 3 plaque psoriasis (Dec 2025); Takeda intends to submit NDA starting fiscal year 2026 — a near-term test of FDA posture toward AI-derived molecules.</t>
  </si>
  <si>
    <t xml:space="preserve">NDA FY2026 (Takeda fiscal year)</t>
  </si>
  <si>
    <t xml:space="preserve">Immunology</t>
  </si>
  <si>
    <t xml:space="preserve">Company press release</t>
  </si>
  <si>
    <t xml:space="preserve">Takeda, "Takeda's Zasocitinib Landmark Phase 3 Plaque Psoriasis Data" (Dec 2025)</t>
  </si>
  <si>
    <t xml:space="preserve">https://www.takeda.com/newsroom/newsreleases/2025/takeda-zasocitinib-phase-3-plaque-psoriasis-data-once-daily-pill/</t>
  </si>
  <si>
    <t xml:space="preserve">"Takeda intends to present the results at upcoming medical congresses and plans to submit a New Drug Application with the United States Food and Drug Administration… starting in fiscal year 2026."</t>
  </si>
  <si>
    <t xml:space="preserve">RECENT. Crosslinks to AI Pipeline Tracker row #1. FDA posture on this NDA is the highest-value forward-looking Q3 datapoint.</t>
  </si>
  <si>
    <t xml:space="preserve">FDA-039</t>
  </si>
  <si>
    <t xml:space="preserve">AI Pipeline cross-link — Rentosertib (Insilico)</t>
  </si>
  <si>
    <t xml:space="preserve">Rentosertib (INS018_055, Insilico Medicine), with AI-identified TNIK target and AI-generated chemical matter, received FDA Orphan Drug Designation for IPF (Feb 2023); Phase IIa data published Nature Medicine; FDA IND clearance for inhalation formulation (Apr 2026); Phase III initiation planned 2H 2026.</t>
  </si>
  <si>
    <t xml:space="preserve">ODD Feb 2023; IND inhalation Apr 2026; Ph3 2H 2026</t>
  </si>
  <si>
    <t xml:space="preserve">Rare (IPF)</t>
  </si>
  <si>
    <t xml:space="preserve">Insilico, "Rentosertib Inhalation Solution Receives IND Clearance" (Apr 2026)</t>
  </si>
  <si>
    <t xml:space="preserve">https://insilico.com/news/pdmncgky51-insilicos-rentosertib-inhalation-solutio</t>
  </si>
  <si>
    <t xml:space="preserve">Insilico press release announces IND clearance; FDA had previously granted Orphan Drug Designation in February 2023.</t>
  </si>
  <si>
    <t xml:space="preserve">RECENT. Crosslinks to AI Pipeline Tracker row #2. SUPPORTIVE FDA-posture marker (ODD + IND clearance for an AI-discovered molecule).</t>
  </si>
  <si>
    <t xml:space="preserve">FDA-040</t>
  </si>
  <si>
    <t xml:space="preserve">Sponsor channel — FDA external engagements</t>
  </si>
  <si>
    <t xml:space="preserve">FDA maintains an "External Engagements with FDA for AI in Drug Development" page enumerating workshops, advisory committee meetings, and public dockets — institutionalized external dialogue infrastructure.</t>
  </si>
  <si>
    <t xml:space="preserve">FDA, "External Engagements with FDA for AI in Drug Development"</t>
  </si>
  <si>
    <t xml:space="preserve">https://www.fda.gov/about-fda/artificial-intelligence-drug-development/external-engagements-fda-artificial-intelligence-drug-development</t>
  </si>
  <si>
    <t xml:space="preserve">FDA page lists external engagements.</t>
  </si>
  <si>
    <t xml:space="preserve">Supportive-stance evidence.</t>
  </si>
  <si>
    <t xml:space="preserve">FDA-041</t>
  </si>
  <si>
    <t xml:space="preserve">CDRH transparency principles — joint MHRA/Health Canada</t>
  </si>
  <si>
    <t xml:space="preserve">CDRH issued "Transparency for Machine Learning-Enabled Medical Devices: Guiding Principles" jointly with Health Canada and UK MHRA, with attributed statement from Troy Tazbaz.</t>
  </si>
  <si>
    <t xml:space="preserve">FDA-CDRH + Health Canada + MHRA</t>
  </si>
  <si>
    <t xml:space="preserve">FDA, "CDRH Issues Guiding Principles for Transparency of Machine Learning-Enabled Medical Devices"</t>
  </si>
  <si>
    <t xml:space="preserve">https://www.fda.gov/medical-devices/medical-devices-news-and-events/cdrh-issues-guiding-principles-transparency-machine-learning-enabled-medical-devices</t>
  </si>
  <si>
    <t xml:space="preserve">FDA news page; jointly with Health Canada and MHRA.</t>
  </si>
  <si>
    <t xml:space="preserve">Named officials — Tazbaz / SUPPORTIVE (pre-departure). LONG_VIEW arc.</t>
  </si>
  <si>
    <t xml:space="preserve">FDA-042</t>
  </si>
  <si>
    <t xml:space="preserve">CDRH guiding principles — PCCP (multinational)</t>
  </si>
  <si>
    <t xml:space="preserve">CDRH issued "Guiding Principles for Predetermined Change Control Plans for Machine Learning-Enabled Medical Devices" jointly with Health Canada and MHRA — antecedent to the Dec 2024 final guidance.</t>
  </si>
  <si>
    <t xml:space="preserve">FDA-CDRH + intl</t>
  </si>
  <si>
    <t xml:space="preserve">FDA, "CDRH Issues Guiding Principles for Predetermined Change Control Plans"</t>
  </si>
  <si>
    <t xml:space="preserve">https://www.fda.gov/medical-devices/medical-devices-news-and-events/cdrh-issues-guiding-principles-predetermined-change-control-plans-machine-learning-enabled-medical</t>
  </si>
  <si>
    <t xml:space="preserve">FDA news page; international PCCP principles.</t>
  </si>
  <si>
    <t xml:space="preserve">Global harmonization touch-point.</t>
  </si>
  <si>
    <t xml:space="preserve">FDA-043</t>
  </si>
  <si>
    <t xml:space="preserve">AI inventory — federal scale</t>
  </si>
  <si>
    <t xml:space="preserve">Per GAO, HHS led federal agency AI adoption with 271 documented AI systems as of 2024, the highest count of any federal department; broader federal AI use cases roughly doubled 2023→2024 (571 to 1,110).</t>
  </si>
  <si>
    <t xml:space="preserve">HHS 271 systems; federal 571→1,110 use cases</t>
  </si>
  <si>
    <t xml:space="preserve">HHS / federal</t>
  </si>
  <si>
    <t xml:space="preserve">GAO report</t>
  </si>
  <si>
    <t xml:space="preserve">GAO, "Generative AI Use and Management at Federal Agencies" (GAO-25-107653)</t>
  </si>
  <si>
    <t xml:space="preserve">https://www.gao.gov/assets/gao-25-107653.pdf</t>
  </si>
  <si>
    <t xml:space="preserve">GAO-25-107653 reports HHS AI inventory of 271 systems.</t>
  </si>
  <si>
    <t xml:space="preserve">Contextualizes FDA AI usage within parent HHS.</t>
  </si>
  <si>
    <t xml:space="preserve">FDA-044</t>
  </si>
  <si>
    <t xml:space="preserve">FDA-EMA "10 principles" — content details</t>
  </si>
  <si>
    <t xml:space="preserve">The Jan 14, 2026 joint FDA-EMA principles emphasize human-centric / risk-based approach, proportional validation, context-of-use definition, data governance, multidisciplinary expertise, lifecycle monitoring, and clear communication of AI limitations.</t>
  </si>
  <si>
    <t xml:space="preserve">10 principles</t>
  </si>
  <si>
    <t xml:space="preserve">EMA / FDA joint press</t>
  </si>
  <si>
    <t xml:space="preserve">EMA, "EMA and FDA set common principles for AI in medicine development"</t>
  </si>
  <si>
    <t xml:space="preserve">https://www.ema.europa.eu/en/news/ema-fda-set-common-principles-ai-medicine-development-0</t>
  </si>
  <si>
    <t xml:space="preserve">EMA news release outlines themes of the 10 principles.</t>
  </si>
  <si>
    <t xml:space="preserve">RECENT (Jan 2026). Co-issued with FDA-009.</t>
  </si>
  <si>
    <t xml:space="preserve">FDA-045</t>
  </si>
  <si>
    <t xml:space="preserve">Sponsor channel — Considerations guidance scope</t>
  </si>
  <si>
    <t xml:space="preserve">The Jan 2025 draft guidance applies when sponsors rely on AI-derived results (e.g., model-predicted endpoint, simulation, biomarker analysis) appearing in INDs, NDAs, BLAs to support safety/effectiveness/quality decisions — explicit scope statement.</t>
  </si>
  <si>
    <t xml:space="preserve">Industry/legal analysis</t>
  </si>
  <si>
    <t xml:space="preserve">Goodwin, "FDA Publishes Draft Guidance on Use of Artificial Intelligence in the Development of Drugs and Biological Products" (Jan 2025)</t>
  </si>
  <si>
    <t xml:space="preserve">https://www.goodwinlaw.com/en/insights/publications/2025/01/alerts-lifesciences-aiml-fda-publishes-its-first-draft-guidance</t>
  </si>
  <si>
    <t xml:space="preserve">"If a sponsor is relying on AI-derived results as part of evidence… that will appear in an IND, NDA, BLA, or other regulatory submission, the AI is likely in scope."</t>
  </si>
  <si>
    <t xml:space="preserve">Useful articulation of scope; corroborates FDA-004.</t>
  </si>
  <si>
    <t xml:space="preserve">FDA-046</t>
  </si>
  <si>
    <t xml:space="preserve">CDER 2023 discussion paper — manufacturing AI</t>
  </si>
  <si>
    <t xml:space="preserve">In parallel to the May 2023 drug development discussion paper, FDA released a companion paper on AI in pharmaceutical manufacturing through CDER's Emerging Technology Program (ETP), explicitly inviting industry input on cGMP-relevant AI use.</t>
  </si>
  <si>
    <t xml:space="preserve">Trade press summary of FDA action</t>
  </si>
  <si>
    <t xml:space="preserve">MedTech Intelligence, "FDA Releases Two Discussion Papers on Artificial Intelligence and Machine Learning in Drug Development and Manufacturing"</t>
  </si>
  <si>
    <t xml:space="preserve">https://medtechintelligence.com/news_article/fda-releases-two-discussion-papers-on-artificial-intelligence-and-machine-learning-in-drug-development-and-manufacturing/</t>
  </si>
  <si>
    <t xml:space="preserve">Trade source confirms two parallel discussion papers — drug development AND manufacturing.</t>
  </si>
  <si>
    <t xml:space="preserve">LONG_VIEW. Manufacturing-AI track precedes the enforcement action in FDA-031.</t>
  </si>
  <si>
    <t xml:space="preserve">FDA-047</t>
  </si>
  <si>
    <t xml:space="preserve">FDA AI homepage — Artificial Intelligence and Medical Products</t>
  </si>
  <si>
    <t xml:space="preserve">FDA centralized AI policy coordination across medical product centers under an "Artificial Intelligence and Medical Products" landing page, signaling agency-wide rather than center-siloed framing.</t>
  </si>
  <si>
    <t xml:space="preserve">FDA, "Artificial Intelligence and Medical Products"</t>
  </si>
  <si>
    <t xml:space="preserve">https://www.fda.gov/science-research/science-and-research-special-topics/artificial-intelligence-and-medical-products</t>
  </si>
  <si>
    <t xml:space="preserve">FDA landing page consolidating AI policy across centers.</t>
  </si>
  <si>
    <t xml:space="preserve">Institutional organization signal.</t>
  </si>
  <si>
    <t xml:space="preserve">FDA-048</t>
  </si>
  <si>
    <t xml:space="preserve">Post-marketing — AI deregulation move</t>
  </si>
  <si>
    <t xml:space="preserve">In 2026, FDA moved to exempt additional wearable and AI features from active oversight under Makary's deregulatory framing — directional contrast to the late-Califf era caution on AI drift.</t>
  </si>
  <si>
    <t xml:space="preserve">MedTech Dive, "FDA exempts more wearable, AI features from oversight"</t>
  </si>
  <si>
    <t xml:space="preserve">https://www.medtechdive.com/news/fda-exempts-wearable-ai-features-guidance/809099/</t>
  </si>
  <si>
    <t xml:space="preserve">Trade press headline and lede confirm exemption expansion.</t>
  </si>
  <si>
    <t xml:space="preserve">RECENT. Important directional signal — agency loosening in some adjacent device areas while still cautious on drug-submission AI.</t>
  </si>
  <si>
    <t xml:space="preserve">FDA-049</t>
  </si>
  <si>
    <t xml:space="preserve">Cross-reference — Niazi critical review</t>
  </si>
  <si>
    <t xml:space="preserve">Niazi (2026, Journal of Chemistry) published a critical peer-reviewed review of the FDA Jan 2025 draft guidance noting strengths (risk-based framing) and weaknesses (ambiguous "context of use" boundaries, no concrete deadline for finalization, limited explainability requirements).</t>
  </si>
  <si>
    <t xml:space="preserve">Academic / FDA</t>
  </si>
  <si>
    <t xml:space="preserve">Niazi, "A Critical Review of the FDA's Draft Guidance on AI in Drug and Biological Product Regulation," J. Chemistry 2026</t>
  </si>
  <si>
    <t xml:space="preserve">https://onlinelibrary.wiley.com/doi/10.1155/joch/5202999</t>
  </si>
  <si>
    <t xml:space="preserve">Peer-reviewed critique of FDA Jan 2025 draft — discusses ambiguity in COU framing.</t>
  </si>
  <si>
    <t xml:space="preserve">Independent peer-review corroboration of caveats in the FDA framework.</t>
  </si>
  <si>
    <t xml:space="preserve">FDA-050</t>
  </si>
  <si>
    <t xml:space="preserve">Workshop report — CTTI/FDA AI Workshop</t>
  </si>
  <si>
    <t xml:space="preserve">Peer-reviewed workshop report (Ren et al., PMC12690500) documents the Aug 2024 FDA/CTTI joint workshop conclusions; signals near-universal stakeholder demand for greater regulatory clarity on AI in drug development.</t>
  </si>
  <si>
    <t xml:space="preserve">FDA + CTTI</t>
  </si>
  <si>
    <t xml:space="preserve">"Leveraging Artificial Intelligence in Drug and Biological Product Development: An FDA and CTTI Workshop Report" (PMC12690500)</t>
  </si>
  <si>
    <t xml:space="preserve">https://pmc.ncbi.nlm.nih.gov/articles/PMC12690500/</t>
  </si>
  <si>
    <t xml:space="preserve">Workshop report describes consensus that "greater regulatory clarity is needed around AI in drug development."</t>
  </si>
  <si>
    <t xml:space="preserve">Tier 1 corroboration of the supportive/clarity-seeking posture (Cavazzoni at FDA-014).</t>
  </si>
  <si>
    <t xml:space="preserve">FDA-051</t>
  </si>
  <si>
    <t xml:space="preserve">FDA AI Pipeline tracker page — institutional positioning</t>
  </si>
  <si>
    <t xml:space="preserve">FDA established a dedicated "Artificial Intelligence for Drug Development" landing page within CDER, publishing the CDER AI Council leadership and engagement channels — institutional positioning of AI as a permanent program area.</t>
  </si>
  <si>
    <t xml:space="preserve">FDA-CDER, "Artificial Intelligence for Drug Development"</t>
  </si>
  <si>
    <t xml:space="preserve">FDA-CDER landing page enumerates AI policy work and council leadership.</t>
  </si>
  <si>
    <t xml:space="preserve">Supports the institutional permanence read.</t>
  </si>
  <si>
    <t xml:space="preserve">FDA-052</t>
  </si>
  <si>
    <t xml:space="preserve">AI/ML-Enabled Medical Devices public list</t>
  </si>
  <si>
    <t xml:space="preserve">FDA maintains a public list of AI-enabled medical devices granted marketing authorization, periodically updated, with cumulative authorizations passing 1,000 by EOY 2024 and continuing to expand in 2025 with 295 additional clearances.</t>
  </si>
  <si>
    <t xml:space="preserve">1,016 cumulative (Dec 2024); +295 in 2025</t>
  </si>
  <si>
    <t xml:space="preserve">FDA, "AI-Enabled Medical Devices"</t>
  </si>
  <si>
    <t xml:space="preserve">https://www.fda.gov/medical-devices/software-medical-device-samd/artificial-intelligence-and-machine-learning-aiml-enabled-medical-devices</t>
  </si>
  <si>
    <t xml:space="preserve">FDA public list of AI-enabled medical devices.</t>
  </si>
  <si>
    <t xml:space="preserve">Anchor for chart #1 in Q3_Analysis.xlsx.</t>
  </si>
  <si>
    <t xml:space="preserve">FDA-053</t>
  </si>
  <si>
    <t xml:space="preserve">Workshop conclusions — clarity gap finding</t>
  </si>
  <si>
    <t xml:space="preserve">Workshop report (PMC12690500) documented that nearly all speakers and panelists agreed greater regulatory clarity is needed around AI in drug development, as well as greater public awareness of and trust in AI.</t>
  </si>
  <si>
    <t xml:space="preserve">Peer-reviewed workshop report</t>
  </si>
  <si>
    <t xml:space="preserve">PMC12690500</t>
  </si>
  <si>
    <t xml:space="preserve">Workshop report consensus: greater regulatory clarity is needed around AI in drug development.</t>
  </si>
  <si>
    <t xml:space="preserve">Stakeholder-acknowledged gap = letter-vs-practice evidence.</t>
  </si>
  <si>
    <t xml:space="preserve">FDA-054</t>
  </si>
  <si>
    <t xml:space="preserve">HHS-led generative AI use across agency</t>
  </si>
  <si>
    <t xml:space="preserve">Across federal agencies, generative AI use grew nine-fold 2023→2024 (32 to 282 documented use cases); HHS led documented AI systems at 271 — providing the parent-agency context for FDA's Elsa rollout and AI-assisted review.</t>
  </si>
  <si>
    <t xml:space="preserve">9x generative AI use cases; HHS 271 systems</t>
  </si>
  <si>
    <t xml:space="preserve">HHS / FDA</t>
  </si>
  <si>
    <t xml:space="preserve">GAO-25-107653</t>
  </si>
  <si>
    <t xml:space="preserve">https://www.gao.gov/products/gao-25-107653</t>
  </si>
  <si>
    <t xml:space="preserve">GAO-25-107653: "agencies' use of generative AI increased ninefold."</t>
  </si>
  <si>
    <t xml:space="preserve">Parent-agency context.</t>
  </si>
  <si>
    <t xml:space="preserve">FDA-055</t>
  </si>
  <si>
    <t xml:space="preserve">2026 CBER guidance agenda — AI implicit</t>
  </si>
  <si>
    <t xml:space="preserve">FDA released its 2026 CBER guidance agenda outlining biologics policy priorities; though it does not codify a discrete AI guidance, it incorporates AI considerations across the CBER review portfolio.</t>
  </si>
  <si>
    <t xml:space="preserve">2026 agenda</t>
  </si>
  <si>
    <t xml:space="preserve">Biologics</t>
  </si>
  <si>
    <t xml:space="preserve">FDA / industry alert</t>
  </si>
  <si>
    <t xml:space="preserve">AABB, "FDA Releases 2026 CBER Guidance Agenda" (Jan 12, 2026)</t>
  </si>
  <si>
    <t xml:space="preserve">https://www.aabb.org/news-resources/news/article/2026/01/12/regulatory-update--fda-releases-2026-cber-guidance-agenda</t>
  </si>
  <si>
    <t xml:space="preserve">AABB regulatory update describes 2026 CBER guidance agenda.</t>
  </si>
  <si>
    <t xml:space="preserve">Absence of discrete CBER AI guidance is itself a finding for gaps.md.</t>
  </si>
  <si>
    <t xml:space="preserve">FDA-056</t>
  </si>
  <si>
    <t xml:space="preserve">Stance — Makary 2025 drug approval framing</t>
  </si>
  <si>
    <t xml:space="preserve">FDA Commissioner Makary publicly discussed shortening the drug approval process and emphasized benefits of AI at the AHA Annual Meeting (May 2025), framing AI as central to FDA modernization.</t>
  </si>
  <si>
    <t xml:space="preserve">May 2025</t>
  </si>
  <si>
    <t xml:space="preserve">AHA News, "FDA commissioner talks of shortening drug approval process, benefits of AI" (May 6, 2025)</t>
  </si>
  <si>
    <t xml:space="preserve">https://www.aha.org/news/headline/2025-05-06-fda-commissioner-talks-shortening-drug-approval-process-benefits-ai</t>
  </si>
  <si>
    <t xml:space="preserve">AHA News summary of Makary remarks emphasizing AI.</t>
  </si>
  <si>
    <t xml:space="preserve">FDA-057</t>
  </si>
  <si>
    <t xml:space="preserve">Commissioner turnover risk — Makary</t>
  </si>
  <si>
    <t xml:space="preserve">In May 2026, President Trump signed off on ousting FDA Commissioner Makary, per senior administration officials; institutional discontinuity at the top of the agency during AI rollout.</t>
  </si>
  <si>
    <t xml:space="preserve">May 2026</t>
  </si>
  <si>
    <t xml:space="preserve">Major news outlet</t>
  </si>
  <si>
    <t xml:space="preserve">STAT News, "Trump set to fire FDA Commissioner Marty Makary" (May 8, 2026); CNN corroborating</t>
  </si>
  <si>
    <t xml:space="preserve">https://www.statnews.com/2026/05/08/fda-commissioner-marty-makary-exit-controversial-tenure/</t>
  </si>
  <si>
    <t xml:space="preserve">STAT reports Makary ouster confirmed.</t>
  </si>
  <si>
    <t xml:space="preserve">RECENT. Leadership volatility affecting AI strategy continuity.</t>
  </si>
  <si>
    <t xml:space="preserve">FDA-058</t>
  </si>
  <si>
    <t xml:space="preserve">Patient-side input — DHAC composition</t>
  </si>
  <si>
    <t xml:space="preserve">FDA established the Digital Health Advisory Committee in 2023 with patient, clinical, and industry representation — formal advisory infrastructure dedicated to digital health / AI device questions.</t>
  </si>
  <si>
    <t xml:space="preserve">Established 2023</t>
  </si>
  <si>
    <t xml:space="preserve">FDA, "Digital Health Advisory Committee"</t>
  </si>
  <si>
    <t xml:space="preserve">https://www.fda.gov/medical-devices/digital-health-center-excellence/fda-digital-health-advisory-committee</t>
  </si>
  <si>
    <t xml:space="preserve">FDA DHAC page describes formation and scope.</t>
  </si>
  <si>
    <t xml:space="preserve">Institutional infrastructure for AI device policy.</t>
  </si>
  <si>
    <t xml:space="preserve">FDA-059</t>
  </si>
  <si>
    <t xml:space="preserve">Friends of Cancer Research summary of DHAC</t>
  </si>
  <si>
    <t xml:space="preserve">Friends of Cancer Research published an independent summary of the Nov 2024 DHAC meeting confirming the inaugural focus on GenAI device safety, performance, and lifecycle monitoring.</t>
  </si>
  <si>
    <t xml:space="preserve">Friends of Cancer Research</t>
  </si>
  <si>
    <t xml:space="preserve">Non-profit advocacy summary</t>
  </si>
  <si>
    <t xml:space="preserve">Friends of Cancer Research, "Insights from First Meeting of the Digital Health Advisory Committee"</t>
  </si>
  <si>
    <t xml:space="preserve">https://friendsofcancerresearch.org/blog/stakeholder-connect-insights-from-first-meeting-of-the-digital-health-advisory-committee/</t>
  </si>
  <si>
    <t xml:space="preserve">FoCR summary corroborates DHAC inaugural agenda.</t>
  </si>
  <si>
    <t xml:space="preserve">Patient-advocacy non-profit; flag TRUE per advocacy rule.</t>
  </si>
  <si>
    <t xml:space="preserve">FDA-060</t>
  </si>
  <si>
    <t xml:space="preserve">DHAC GenAI Mental Health subsequent meeting</t>
  </si>
  <si>
    <t xml:space="preserve">FDA convened a follow-up Digital Health Advisory Committee meeting (Sept 2025) specifically on Generative AI-enabled digital mental health devices — direct topical extension of the Nov 2024 inaugural.</t>
  </si>
  <si>
    <t xml:space="preserve">Sep 12, 2025 notice</t>
  </si>
  <si>
    <t xml:space="preserve">Federal Register, DHAC notice — GenAI Digital Mental Health Devices</t>
  </si>
  <si>
    <t xml:space="preserve">https://www.federalregister.gov/documents/2025/09/12/2025-17651/digital-health-advisory-committee-notice-of-meeting-establishment-of-a-public-docket-request-for</t>
  </si>
  <si>
    <t xml:space="preserve">Federal Register notice; DHAC GenAI mental health meeting.</t>
  </si>
  <si>
    <t xml:space="preserve">Demonstrates continued AdComm focus on AI risks in specific TAs.</t>
  </si>
  <si>
    <t xml:space="preserve">deal_date</t>
  </si>
  <si>
    <t xml:space="preserve">pharma_counterparty</t>
  </si>
  <si>
    <t xml:space="preserve">ai_counterparty</t>
  </si>
  <si>
    <t xml:space="preserve">deal_type</t>
  </si>
  <si>
    <t xml:space="preserve">upfront_usd_mm</t>
  </si>
  <si>
    <t xml:space="preserve">total_biobucks_usd_mm</t>
  </si>
  <si>
    <t xml:space="preserve">equity_component</t>
  </si>
  <si>
    <t xml:space="preserve">program_scope</t>
  </si>
  <si>
    <t xml:space="preserve">DL-001</t>
  </si>
  <si>
    <t xml:space="preserve">Q4</t>
  </si>
  <si>
    <t xml:space="preserve">License/collab</t>
  </si>
  <si>
    <t xml:space="preserve">Isomorphic Labs and Eli Lilly enter strategic multi-target research collaboration to discover small molecule therapeutics against multiple targets</t>
  </si>
  <si>
    <t xml:space="preserve">$45M upfront; up to $1.7B milestones</t>
  </si>
  <si>
    <t xml:space="preserve">Eli Lilly + Isomorphic Labs</t>
  </si>
  <si>
    <t xml:space="preserve">Joint press release</t>
  </si>
  <si>
    <t xml:space="preserve">Isomorphic Labs / Lilly joint press release</t>
  </si>
  <si>
    <t xml:space="preserve">https://www.prnewswire.com/news-releases/isomorphic-labs-announces-strategic-multi-target-research-collaboration-with-lilly-302027392.html</t>
  </si>
  <si>
    <t xml:space="preserve">upfront cash payment of $45 million ... eligible to receive up to $1.7 billion in performance-based milestone payments</t>
  </si>
  <si>
    <t xml:space="preserve">Q4 deal-terms shift</t>
  </si>
  <si>
    <t xml:space="preserve">RECENT + LONG_VIEW; JPM-2024 inflection deal; royalties up to low-double-digits</t>
  </si>
  <si>
    <t xml:space="preserve">2024-01-07</t>
  </si>
  <si>
    <t xml:space="preserve">Isomorphic Labs</t>
  </si>
  <si>
    <t xml:space="preserve">collaboration</t>
  </si>
  <si>
    <t xml:space="preserve">45</t>
  </si>
  <si>
    <t xml:space="preserve">1700</t>
  </si>
  <si>
    <t xml:space="preserve">multi-target</t>
  </si>
  <si>
    <t xml:space="preserve">DL-002</t>
  </si>
  <si>
    <t xml:space="preserve">Isomorphic Labs and Novartis enter strategic multi-target research collaboration for small molecule therapeutics against three undisclosed targets</t>
  </si>
  <si>
    <t xml:space="preserve">$37.5M upfront; up to $1.2B milestones</t>
  </si>
  <si>
    <t xml:space="preserve">Novartis + Isomorphic Labs</t>
  </si>
  <si>
    <t xml:space="preserve">Isomorphic Labs / Novartis joint press release</t>
  </si>
  <si>
    <t xml:space="preserve">https://www.prnewswire.com/news-releases/isomorphic-labs-announces-strategic-multi-target-research-collaboration-with-novartis-302027387.html</t>
  </si>
  <si>
    <t xml:space="preserve">upfront payment of $37.5 million ... up to $1.2 billion in performance-based milestone payments</t>
  </si>
  <si>
    <t xml:space="preserve">RECENT + LONG_VIEW; JPM-2024 inflection deal paired with LLY</t>
  </si>
  <si>
    <t xml:space="preserve">Novartis</t>
  </si>
  <si>
    <t xml:space="preserve">37.5</t>
  </si>
  <si>
    <t xml:space="preserve">1200</t>
  </si>
  <si>
    <t xml:space="preserve">DL-003</t>
  </si>
  <si>
    <t xml:space="preserve">Amgen and Generate Biomedicines multi-target multi-modality research collaboration for protein therapeutics across five clinical targets</t>
  </si>
  <si>
    <t xml:space="preserve">$50M upfront; potential $1.9B transaction value plus future financing participation</t>
  </si>
  <si>
    <t xml:space="preserve">Amgen + Generate Biomedicines</t>
  </si>
  <si>
    <t xml:space="preserve">Amgen press release</t>
  </si>
  <si>
    <t xml:space="preserve">https://www.amgen.com/newsroom/press-releases/2022/01/amgen-and-generate-biomedicines-announce-multitarget-multimodality-research-collaboration-agreement</t>
  </si>
  <si>
    <t xml:space="preserve">$50 million in upfront funding for the initial five programs with a potential transaction value of $1.9 billion plus future royalties ... Amgen will also participate in a future financing round for Generate</t>
  </si>
  <si>
    <t xml:space="preserve">LONG_VIEW; biobucks-heavy / equity-included structure; protein design generative</t>
  </si>
  <si>
    <t xml:space="preserve">2022-01-06</t>
  </si>
  <si>
    <t xml:space="preserve">Generate Biomedicines</t>
  </si>
  <si>
    <t xml:space="preserve">50</t>
  </si>
  <si>
    <t xml:space="preserve">1900</t>
  </si>
  <si>
    <t xml:space="preserve">DL-004</t>
  </si>
  <si>
    <t xml:space="preserve">Recursion announces transformational collaboration with Roche and Genentech in neuroscience and oncology; up to 40 programs</t>
  </si>
  <si>
    <t xml:space="preserve">$150M upfront; &gt;$300M development milestones per program</t>
  </si>
  <si>
    <t xml:space="preserve">Roche/Genentech + Recursion</t>
  </si>
  <si>
    <t xml:space="preserve">Neuro, Oncology</t>
  </si>
  <si>
    <t xml:space="preserve">Recursion IR</t>
  </si>
  <si>
    <t xml:space="preserve">https://ir.recursion.com/news-releases/news-release-details/recursion-announces-transformational-collaboration-roche-and</t>
  </si>
  <si>
    <t xml:space="preserve">upfront payment of $150 million and is eligible for additional performance-based research milestones ... up to 40 programs, each of which, if successfully developed and commercialized, could yield more than $300M in development milestones</t>
  </si>
  <si>
    <t xml:space="preserve">LONG_VIEW; largest single AI-pharma upfront pre-2024; phenomics platform</t>
  </si>
  <si>
    <t xml:space="preserve">2021-12-07</t>
  </si>
  <si>
    <t xml:space="preserve">Roche/Genentech</t>
  </si>
  <si>
    <t xml:space="preserve">platform partnership</t>
  </si>
  <si>
    <t xml:space="preserve">150</t>
  </si>
  <si>
    <t xml:space="preserve">12000</t>
  </si>
  <si>
    <t xml:space="preserve">platform</t>
  </si>
  <si>
    <t xml:space="preserve">DL-005</t>
  </si>
  <si>
    <t xml:space="preserve">Insilico Medicine multi-year multi-target strategic research collaboration with Sanofi to advance development candidates for up to six targets</t>
  </si>
  <si>
    <t xml:space="preserve">$21.5M upfront/target nomination; up to $1.2B milestones</t>
  </si>
  <si>
    <t xml:space="preserve">Sanofi + Insilico Medicine</t>
  </si>
  <si>
    <t xml:space="preserve">Insilico Medicine press release</t>
  </si>
  <si>
    <t xml:space="preserve">https://www.globenewswire.com/news-release/2022/11/08/2551039/31533/en/Insilico-Medicine-Signs-Strategic-Research-Collaboration-with-Sanofi-worth-up-to-1-2-Billion.html</t>
  </si>
  <si>
    <t xml:space="preserve">Sanofi will pay up to $21.5 million to cover the upfront and target nomination fees, with further milestone payments stretching to over $1.2 billion in addition to tiered royalties</t>
  </si>
  <si>
    <t xml:space="preserve">LONG_VIEW; Pharma.AI platform; signed during 2022 biotech winter</t>
  </si>
  <si>
    <t xml:space="preserve">2022-11-08</t>
  </si>
  <si>
    <t xml:space="preserve">21.5</t>
  </si>
  <si>
    <t xml:space="preserve">DL-006</t>
  </si>
  <si>
    <t xml:space="preserve">Lilly collaborates with OpenAI to discover novel antimicrobials to treat drug-resistant pathogens</t>
  </si>
  <si>
    <t xml:space="preserve">Undisclosed financials</t>
  </si>
  <si>
    <t xml:space="preserve">Eli Lilly + OpenAI</t>
  </si>
  <si>
    <t xml:space="preserve">Anti-infective</t>
  </si>
  <si>
    <t xml:space="preserve">Lilly investor relations</t>
  </si>
  <si>
    <t xml:space="preserve">https://investor.lilly.com/news-releases/news-release-details/lilly-collaborates-openai-discover-novel-medicines-treat-drug</t>
  </si>
  <si>
    <t xml:space="preserve">Lilly leverage OpenAI's generative AI to invent novel antimicrobials to treat drug-resistant pathogens</t>
  </si>
  <si>
    <t xml:space="preserve">RECENT-adjacent; 2025+ foundation-model era; financials NOT disclosed - SOURCE NEEDED for $</t>
  </si>
  <si>
    <t xml:space="preserve">2024-06-25</t>
  </si>
  <si>
    <t xml:space="preserve">OpenAI</t>
  </si>
  <si>
    <t xml:space="preserve">DL-007</t>
  </si>
  <si>
    <t xml:space="preserve">XtalPi collaborates with Eli Lilly to de novo design and deliver drug candidates for an undisclosed target using AI + robotics</t>
  </si>
  <si>
    <t xml:space="preserve">Up to $250M (upfront + milestones)</t>
  </si>
  <si>
    <t xml:space="preserve">Eli Lilly + XtalPi</t>
  </si>
  <si>
    <t xml:space="preserve">Undisclosed</t>
  </si>
  <si>
    <t xml:space="preserve">XtalPi/Lilly press release</t>
  </si>
  <si>
    <t xml:space="preserve">https://www.prnewswire.com/news-releases/xtalpi-announces-collaboration-with-lilly-using-ai--robotics-to-uncover-first-in-class-therapeutics-301837142.html</t>
  </si>
  <si>
    <t xml:space="preserve">AI drug discovery collaboration of up to $250 million in upfront and milestone payments</t>
  </si>
  <si>
    <t xml:space="preserve">LONG_VIEW; ID4Inno platform; upfront not separately disclosed</t>
  </si>
  <si>
    <t xml:space="preserve">2023-05-30</t>
  </si>
  <si>
    <t xml:space="preserve">XtalPi</t>
  </si>
  <si>
    <t xml:space="preserve">250</t>
  </si>
  <si>
    <t xml:space="preserve">single target</t>
  </si>
  <si>
    <t xml:space="preserve">DL-008</t>
  </si>
  <si>
    <t xml:space="preserve">Verge Genomics three-year collaboration with Lilly for ALS using AI-driven All-in-Human platform; equity-included near-term</t>
  </si>
  <si>
    <t xml:space="preserve">Up to $25M upfront/equity/near-term; up to $694M total + royalties</t>
  </si>
  <si>
    <t xml:space="preserve">Eli Lilly + Verge Genomics</t>
  </si>
  <si>
    <t xml:space="preserve">Neuro (ALS)</t>
  </si>
  <si>
    <t xml:space="preserve">Business Wire / Verge</t>
  </si>
  <si>
    <t xml:space="preserve">https://www.businesswire.com/news/home/20210708005085/en/Verge-Genomics-Announces-Three-Year-Collaboration-With-Lilly-to-Discover-and-Develop-Novel-Treatments-Using-Its-AI-Driven-All-in-Human-Platform</t>
  </si>
  <si>
    <t xml:space="preserve">up to $25 million in upfront, equity investment and potential near-term milestones, with a total deal value of $694 million plus potential downstream royalties</t>
  </si>
  <si>
    <t xml:space="preserve">LONG_VIEW; equity-included structure; up to four programs</t>
  </si>
  <si>
    <t xml:space="preserve">2021-07-08</t>
  </si>
  <si>
    <t xml:space="preserve">25</t>
  </si>
  <si>
    <t xml:space="preserve">694</t>
  </si>
  <si>
    <t xml:space="preserve">DL-009</t>
  </si>
  <si>
    <t xml:space="preserve">Genetic Leap and Lilly research collaboration to develop RNA-targeted therapeutics</t>
  </si>
  <si>
    <t xml:space="preserve">Up to $409M total (upfront + milestones)</t>
  </si>
  <si>
    <t xml:space="preserve">Eli Lilly + Genetic Leap</t>
  </si>
  <si>
    <t xml:space="preserve">Nucleic acid</t>
  </si>
  <si>
    <t xml:space="preserve">PRNewswire / Lilly</t>
  </si>
  <si>
    <t xml:space="preserve">https://www.prnewswire.com/news-releases/genetic-leap-and-lilly-enter-collaboration-to-accelerate-genetic-medicine-development-with-ai-302239471.html</t>
  </si>
  <si>
    <t xml:space="preserve">up to $409 million in upfront, development, clinical, regulatory, and commercial milestone payments, in addition to tiered royalties</t>
  </si>
  <si>
    <t xml:space="preserve">RECENT; upfront not separately disclosed; AI for oligonucleotide design</t>
  </si>
  <si>
    <t xml:space="preserve">2024-09-05</t>
  </si>
  <si>
    <t xml:space="preserve">Genetic Leap</t>
  </si>
  <si>
    <t xml:space="preserve">409</t>
  </si>
  <si>
    <t xml:space="preserve">DL-010</t>
  </si>
  <si>
    <t xml:space="preserve">Eli Lilly partners with Atomwise on up-to-$560M deal to develop up to 10 drug targets using AI screening</t>
  </si>
  <si>
    <t xml:space="preserve">$1M/target discovery milestone; up to $550M dev/commercial milestones</t>
  </si>
  <si>
    <t xml:space="preserve">Eli Lilly + Atomwise</t>
  </si>
  <si>
    <t xml:space="preserve">Atomwise / Lilly</t>
  </si>
  <si>
    <t xml:space="preserve">https://www.genengnews.com/topics/artificial-intelligence/lilly-inks-up-to-560m-ai-drug-discovery-collaboration-with-atomwise/</t>
  </si>
  <si>
    <t xml:space="preserve">up to $1 million per target for discovery milestones, as well as up to $550 million for development and commercialization milestones across all targets</t>
  </si>
  <si>
    <t xml:space="preserve">LONG_VIEW; pre-AlphaFold era structure; tiny upfront/milestones-heavy</t>
  </si>
  <si>
    <t xml:space="preserve">2019-06-04</t>
  </si>
  <si>
    <t xml:space="preserve">Atomwise</t>
  </si>
  <si>
    <t xml:space="preserve">560</t>
  </si>
  <si>
    <t xml:space="preserve">DL-011</t>
  </si>
  <si>
    <t xml:space="preserve">AbCellera and Lilly multi-year antibody discovery collaboration; 8 de novo programs + COVID program license</t>
  </si>
  <si>
    <t xml:space="preserve">Undisclosed upfront + research payments + tiered royalties</t>
  </si>
  <si>
    <t xml:space="preserve">Eli Lilly + AbCellera</t>
  </si>
  <si>
    <t xml:space="preserve">AbCellera IR</t>
  </si>
  <si>
    <t xml:space="preserve">https://investors.abcellera.com/news/news-releases/2020/AbCellera-Announces-Multi-Year-Antibody-Discovery-Collaboration-with-Lilly/default.aspx</t>
  </si>
  <si>
    <t xml:space="preserve">eight de novo programs for targets selected by Lilly and an exclusive license to AbCellera's COVID-19 antibody program ... up-front payment and will receive research payments</t>
  </si>
  <si>
    <t xml:space="preserve">LONG_VIEW; ALL eight programs subsequently advanced; financials undisclosed</t>
  </si>
  <si>
    <t xml:space="preserve">2020-03-13</t>
  </si>
  <si>
    <t xml:space="preserve">AbCellera</t>
  </si>
  <si>
    <t xml:space="preserve">DL-012</t>
  </si>
  <si>
    <t xml:space="preserve">M&amp;A-adjacent option</t>
  </si>
  <si>
    <t xml:space="preserve">AbCellera 2020 Lilly collaboration COVID antibody bamlanivimab yields $198M royalties + $15M milestone in 2020</t>
  </si>
  <si>
    <t xml:space="preserve">$198.3M royalties + $15M milestone 2020</t>
  </si>
  <si>
    <t xml:space="preserve">SEC filing/IR disclosure</t>
  </si>
  <si>
    <t xml:space="preserve">Globe and Mail / AbCellera 2020 reporting</t>
  </si>
  <si>
    <t xml:space="preserve">https://www.theglobeandmail.com/business/article-abcellera-made-200-million-in-royalties-from-its-covid-19-treatment/</t>
  </si>
  <si>
    <t xml:space="preserve">received a US$15-million milestone payment from Lilly, plus US$198.3-million in royalties for the sale of doses in 2020 ... low- to mid-teens for aggregate sales below $125 million, and royalties from the mid-teens to mid-twenties on aggregate sales above $125 million</t>
  </si>
  <si>
    <t xml:space="preserve">LONG_VIEW; royalty actualization data point; a rare disclosed AI-collab realized economics</t>
  </si>
  <si>
    <t xml:space="preserve">2020-12-31</t>
  </si>
  <si>
    <t xml:space="preserve">license</t>
  </si>
  <si>
    <t xml:space="preserve">DL-013</t>
  </si>
  <si>
    <t xml:space="preserve">AbCellera and Lilly expand collaboration to discover therapeutic antibodies for immunology, CV and neuroscience programs</t>
  </si>
  <si>
    <t xml:space="preserve">Undisclosed upfront + research payments</t>
  </si>
  <si>
    <t xml:space="preserve">Immunology, CV, Neuro</t>
  </si>
  <si>
    <t xml:space="preserve">https://investors.abcellera.com/news/news-releases/2024/AbCellera-and-Lilly-Expand-Collaboration-to-Develop-Antibody-Medicines/default.aspx</t>
  </si>
  <si>
    <t xml:space="preserve">AbCellera has received an upfront payment, will receive research payments, and is eligible to receive downstream milestone payments and royalties on net product sales</t>
  </si>
  <si>
    <t xml:space="preserve">RECENT; financial terms undisclosed - SOURCE NEEDED</t>
  </si>
  <si>
    <t xml:space="preserve">2024-07-31</t>
  </si>
  <si>
    <t xml:space="preserve">DL-014</t>
  </si>
  <si>
    <t xml:space="preserve">BMS expands AI-driven drug discovery collaboration with Exscientia (originally 2019 Celgene) across oncology and immunology</t>
  </si>
  <si>
    <t xml:space="preserve">$50M upfront; up to $125M near/mid-term; &gt;$1.2B total milestones</t>
  </si>
  <si>
    <t xml:space="preserve">BMS + Exscientia</t>
  </si>
  <si>
    <t xml:space="preserve">Oncology, Immunology</t>
  </si>
  <si>
    <t xml:space="preserve">Exscientia / BMS Business Wire</t>
  </si>
  <si>
    <t xml:space="preserve">https://www.businesswire.com/news/home/20210519005180/en/Exscientia-announces-multi-target-AI-driven-drug-discovery-collaboration-with-Bristol-Myers-Squibb</t>
  </si>
  <si>
    <t xml:space="preserve">BMS will pay Exscientia $50 million upfront, up to $125 million in near to mid-term milestones, and various other milestones that could exceed $1.2 billion</t>
  </si>
  <si>
    <t xml:space="preserve">LONG_VIEW; original 2019 Celgene deal preserved; EXS4318 PKC-theta first candidate</t>
  </si>
  <si>
    <t xml:space="preserve">2021-05-19</t>
  </si>
  <si>
    <t xml:space="preserve">Bristol Myers Squibb</t>
  </si>
  <si>
    <t xml:space="preserve">DL-015</t>
  </si>
  <si>
    <t xml:space="preserve">BMS and Insitro discovery collaboration on ALS and frontotemporal dementia iPSC models</t>
  </si>
  <si>
    <t xml:space="preserve">$50M upfront + $20M near-term operational milestones; &gt;$2B total milestones</t>
  </si>
  <si>
    <t xml:space="preserve">BMS + Insitro</t>
  </si>
  <si>
    <t xml:space="preserve">Neuro (ALS/FTD)</t>
  </si>
  <si>
    <t xml:space="preserve">Goodwin Law / Insitro</t>
  </si>
  <si>
    <t xml:space="preserve">https://www.goodwinlaw.com/en/news-and-events/news/2020/10/10_28-insitro-announces</t>
  </si>
  <si>
    <t xml:space="preserve">insitro received $50 million in an upfront payment and was eligible to receive an additional $20 million in near term operational milestones and up to an aggregate of more than $2 billion in discovery, development, regulatory and commercial milestones</t>
  </si>
  <si>
    <t xml:space="preserve">LONG_VIEW; 5-year collaboration; neuro NOT cardio (correction to dispatch packet)</t>
  </si>
  <si>
    <t xml:space="preserve">2020-04-15</t>
  </si>
  <si>
    <t xml:space="preserve">Insitro</t>
  </si>
  <si>
    <t xml:space="preserve">2070</t>
  </si>
  <si>
    <t xml:space="preserve">DL-016</t>
  </si>
  <si>
    <t xml:space="preserve">Pfizer and CytoReason expanded collaboration with $20M equity investment + options to license platform</t>
  </si>
  <si>
    <t xml:space="preserve">$20M equity + up to $110M over 5 years</t>
  </si>
  <si>
    <t xml:space="preserve">Pfizer + CytoReason</t>
  </si>
  <si>
    <t xml:space="preserve">Immunology / IO</t>
  </si>
  <si>
    <t xml:space="preserve">Pfizer press release</t>
  </si>
  <si>
    <t xml:space="preserve">https://www.pfizer.com/news/press-release/press-release-detail/cytoreason-announces-expanded-collaboration-deal-pfizer</t>
  </si>
  <si>
    <t xml:space="preserve">Pfizer will make a $20M equity investment, have options to license CytoReason's platform and disease models, and fund supplementary project support, in a deal potentially worth up to $110M over the next five years</t>
  </si>
  <si>
    <t xml:space="preserve">LONG_VIEW; explicit equity component; built on 2019 baseline collaboration</t>
  </si>
  <si>
    <t xml:space="preserve">2022-09-20</t>
  </si>
  <si>
    <t xml:space="preserve">CytoReason</t>
  </si>
  <si>
    <t xml:space="preserve">20</t>
  </si>
  <si>
    <t xml:space="preserve">110</t>
  </si>
  <si>
    <t xml:space="preserve">DL-017</t>
  </si>
  <si>
    <t xml:space="preserve">Equity investment</t>
  </si>
  <si>
    <t xml:space="preserve">Pfizer's earlier 2019 collaboration with CytoReason established baseline relationship (terms undisclosed)</t>
  </si>
  <si>
    <t xml:space="preserve">Pfizer press release (2019)</t>
  </si>
  <si>
    <t xml:space="preserve">https://www.pfizer.com/news/press-release/press-release-detail/cytoreason-signs-collaboration-agreement-pfizer-inc-utilize</t>
  </si>
  <si>
    <t xml:space="preserve">CytoReason Signs Collaboration Agreement with Pfizer Inc. To Utilize CytoReason's Machine Learning Model of the Immune System for Drug Discovery</t>
  </si>
  <si>
    <t xml:space="preserve">LONG_VIEW; baseline relationship; financial terms undisclosed - SOURCE NEEDED</t>
  </si>
  <si>
    <t xml:space="preserve">2019-12-12</t>
  </si>
  <si>
    <t xml:space="preserve">DL-018</t>
  </si>
  <si>
    <t xml:space="preserve">Atomwise enters evaluation agreement with Pfizer for up to three target proteins; technology access fee + success-based payments</t>
  </si>
  <si>
    <t xml:space="preserve">Undisclosed (technology access fee + success payments)</t>
  </si>
  <si>
    <t xml:space="preserve">Pfizer + Atomwise</t>
  </si>
  <si>
    <t xml:space="preserve">Atomwise Business Wire</t>
  </si>
  <si>
    <t xml:space="preserve">https://www.businesswire.com/news/home/20180917005163/en/Atomwise-Enters-Evaluation-Agreement-Pfizer</t>
  </si>
  <si>
    <t xml:space="preserve">Pfizer paid a technology access fee and additional success-based payments for each target protein of interest</t>
  </si>
  <si>
    <t xml:space="preserve">LONG_VIEW; pre-AlphaFold structure - tiny technology-access fee model</t>
  </si>
  <si>
    <t xml:space="preserve">2018-09-17</t>
  </si>
  <si>
    <t xml:space="preserve">research services</t>
  </si>
  <si>
    <t xml:space="preserve">DL-019</t>
  </si>
  <si>
    <t xml:space="preserve">PostEra multi-target strategic AI Lab collaboration with Pfizer for oncology and COVID-19 antivirals</t>
  </si>
  <si>
    <t xml:space="preserve">$13M upfront; up to $248M milestones; expanded later</t>
  </si>
  <si>
    <t xml:space="preserve">Pfizer + PostEra</t>
  </si>
  <si>
    <t xml:space="preserve">Oncology, Anti-infective</t>
  </si>
  <si>
    <t xml:space="preserve">PostEra PRNewswire</t>
  </si>
  <si>
    <t xml:space="preserve">https://www.prnewswire.com/news-releases/postera-announces-260m-multi-target-strategic-ai-lab-collaboration-with-pfizer-301457261.html</t>
  </si>
  <si>
    <t xml:space="preserve">paying PostEra $13 million up front and promising up to $248 million in milestone payments</t>
  </si>
  <si>
    <t xml:space="preserve">LONG_VIEW; expanded to $610M in Jan 2025 with ADC focus</t>
  </si>
  <si>
    <t xml:space="preserve">2022-01-11</t>
  </si>
  <si>
    <t xml:space="preserve">PostEra</t>
  </si>
  <si>
    <t xml:space="preserve">13</t>
  </si>
  <si>
    <t xml:space="preserve">260</t>
  </si>
  <si>
    <t xml:space="preserve">DL-020</t>
  </si>
  <si>
    <t xml:space="preserve">PostEra and Pfizer expand $610M partnership to include AI-driven ADC development</t>
  </si>
  <si>
    <t xml:space="preserve">$610M total partnership (cumulative including expansion)</t>
  </si>
  <si>
    <t xml:space="preserve">Oncology, ADCs</t>
  </si>
  <si>
    <t xml:space="preserve">https://www.prnewswire.com/news-releases/postera-announces-expansion-to-610m-in-their-ai-drug-discovery-collaboration-with-pfizer-302342047.html</t>
  </si>
  <si>
    <t xml:space="preserve">expansion to $610M in their AI drug discovery collaboration with Pfizer</t>
  </si>
  <si>
    <t xml:space="preserve">RECENT; biobucks-heavy expansion structure</t>
  </si>
  <si>
    <t xml:space="preserve">2025-01-13</t>
  </si>
  <si>
    <t xml:space="preserve">610</t>
  </si>
  <si>
    <t xml:space="preserve">DL-021</t>
  </si>
  <si>
    <t xml:space="preserve">Merck KGaA strategic collaboration with BenevolentAI for small molecule drug discovery across oncology neurology immunology</t>
  </si>
  <si>
    <t xml:space="preserve">Low double-digit $M upfront; up to $594M total + tiered royalties</t>
  </si>
  <si>
    <t xml:space="preserve">Merck KGaA + BenevolentAI</t>
  </si>
  <si>
    <t xml:space="preserve">Oncology, Neuro, Immunology</t>
  </si>
  <si>
    <t xml:space="preserve">Business Wire / BenevolentAI</t>
  </si>
  <si>
    <t xml:space="preserve">https://www.businesswire.com/news/home/20230919017658/en/BenevolentAI-Signs-Strategic-Collaboration-with-Merck</t>
  </si>
  <si>
    <t xml:space="preserve">payments to BenevolentAI of up to $594 million, consisting of a low double-digit million dollar upfront payment on signing and then discovery, development and commercial milestones</t>
  </si>
  <si>
    <t xml:space="preserve">LONG_VIEW; Merck KGaA Darmstadt — not US Merck/MRK</t>
  </si>
  <si>
    <t xml:space="preserve">2023-09-19</t>
  </si>
  <si>
    <t xml:space="preserve">Merck KGaA</t>
  </si>
  <si>
    <t xml:space="preserve">15</t>
  </si>
  <si>
    <t xml:space="preserve">594</t>
  </si>
  <si>
    <t xml:space="preserve">DL-022</t>
  </si>
  <si>
    <t xml:space="preserve">Exscientia AI drug discovery collaboration with Merck KGaA for novel small molecules in oncology neuroinflammation immunology</t>
  </si>
  <si>
    <t xml:space="preserve">$20M upfront; up to $113M discovery; up to $674M total + royalties</t>
  </si>
  <si>
    <t xml:space="preserve">Merck KGaA + Exscientia</t>
  </si>
  <si>
    <t xml:space="preserve">Exscientia IR</t>
  </si>
  <si>
    <t xml:space="preserve">https://investors.exscientia.ai/press-releases/press-release-details/2023/Exscientia-Announces-AI-Drug-Discovery-Collaboration-with-Merck-KGaA-Darmstadt-Germany/default.aspx</t>
  </si>
  <si>
    <t xml:space="preserve">upfront payment of $20 million in a deal focused on three projects, with up to $113 million on offer during the discovery phase and a total deal value of $674 million</t>
  </si>
  <si>
    <t xml:space="preserve">LONG_VIEW; Merck KGaA — not US Merck/MRK; royalties mid-single to low-double</t>
  </si>
  <si>
    <t xml:space="preserve">674</t>
  </si>
  <si>
    <t xml:space="preserve">DL-023</t>
  </si>
  <si>
    <t xml:space="preserve">Merck &amp; Co (MRK) ties up with Variational AI on small molecule generative AI design for two targets</t>
  </si>
  <si>
    <t xml:space="preserve">Undisclosed upfront; up to $349M total deal value</t>
  </si>
  <si>
    <t xml:space="preserve">Merck &amp; Co (MRK) + Variational AI</t>
  </si>
  <si>
    <t xml:space="preserve">Variational AI / Business Wire</t>
  </si>
  <si>
    <t xml:space="preserve">https://www.businesswire.com/news/home/20250923751722/en/Variational-AI-Enters-Collaboration-with-Merck-to-Apply-Generative-AI-to-Drug-Discovery</t>
  </si>
  <si>
    <t xml:space="preserve">upfront payment and is eligible to receive milestones with a total potential deal value of up to USD$349 million</t>
  </si>
  <si>
    <t xml:space="preserve">RECENT; Enki generative platform; upfront not disclosed</t>
  </si>
  <si>
    <t xml:space="preserve">2025-09-23</t>
  </si>
  <si>
    <t xml:space="preserve">Merck &amp; Co (MRK)</t>
  </si>
  <si>
    <t xml:space="preserve">Variational AI</t>
  </si>
  <si>
    <t xml:space="preserve">349</t>
  </si>
  <si>
    <t xml:space="preserve">DL-024</t>
  </si>
  <si>
    <t xml:space="preserve">Absci collaboration with Merck/MSD on antibody-drug conjugate cell line + drug discovery option for three targets</t>
  </si>
  <si>
    <t xml:space="preserve">Up to $610M in upfront + milestones</t>
  </si>
  <si>
    <t xml:space="preserve">Merck &amp; Co (MRK) + Absci</t>
  </si>
  <si>
    <t xml:space="preserve">Biologic / ADC</t>
  </si>
  <si>
    <t xml:space="preserve">Absci IR / Reporting</t>
  </si>
  <si>
    <t xml:space="preserve">https://www.absci.com/partnerships/</t>
  </si>
  <si>
    <t xml:space="preserve">agreed with Merck on a partnership that could be worth up to $610 million in upfront fees and milestone payments</t>
  </si>
  <si>
    <t xml:space="preserve">LONG_VIEW; January 2022; cell line dev + DDA option</t>
  </si>
  <si>
    <t xml:space="preserve">2022-01-12</t>
  </si>
  <si>
    <t xml:space="preserve">Absci</t>
  </si>
  <si>
    <t xml:space="preserve">DL-025</t>
  </si>
  <si>
    <t xml:space="preserve">Schrödinger multi-target drug discovery development and commercialization collaboration with BMS</t>
  </si>
  <si>
    <t xml:space="preserve">$55M upfront; up to $2.7B milestones + royalties</t>
  </si>
  <si>
    <t xml:space="preserve">BMS + Schrödinger</t>
  </si>
  <si>
    <t xml:space="preserve">Oncology, Immunology, Neuro</t>
  </si>
  <si>
    <t xml:space="preserve">Schrödinger IR</t>
  </si>
  <si>
    <t xml:space="preserve">https://ir.schrodinger.com/press-releases/news-details/2020/Schrdinger-Announces-a-Multi-Target-Drug-Discovery-Development-and-Commercialization-Collaboration-with-Bristol-Myers-Squibb-11-23-2020/default.aspx</t>
  </si>
  <si>
    <t xml:space="preserve">Schrödinger received $55 million upfront and is eligible to receive up to $2.7 billion in milestone payments plus royalties</t>
  </si>
  <si>
    <t xml:space="preserve">LONG_VIEW; includes 2 Schrödinger early programs + undisclosed targets</t>
  </si>
  <si>
    <t xml:space="preserve">2020-11-23</t>
  </si>
  <si>
    <t xml:space="preserve">55</t>
  </si>
  <si>
    <t xml:space="preserve">2700</t>
  </si>
  <si>
    <t xml:space="preserve">DL-026</t>
  </si>
  <si>
    <t xml:space="preserve">Schrödinger multi-target research collaboration and expanded software licensing with Novartis</t>
  </si>
  <si>
    <t xml:space="preserve">$150M upfront; up to $892M R&amp;D/regulatory milestones; up to $1.38B commercial</t>
  </si>
  <si>
    <t xml:space="preserve">Novartis + Schrödinger</t>
  </si>
  <si>
    <t xml:space="preserve">Non-cancer (core TAs)</t>
  </si>
  <si>
    <t xml:space="preserve">Schrödinger IR / Business Wire</t>
  </si>
  <si>
    <t xml:space="preserve">https://ir.schrodinger.com/press-releases/news-details/2024/Schrdinger-Announces-Multi-Target-Collaboration-and-Expanded-Software-Licensing-Agreement-with-Novartis/default.aspx</t>
  </si>
  <si>
    <t xml:space="preserve">Novartis will pay Schrödinger $150 million upfront, and Schrödinger will also be eligible to receive up to $892 million in research, development and regulatory milestone payments. Additionally, Schrödinger is eligible for up to $1.38 billion in commercial milestones</t>
  </si>
  <si>
    <t xml:space="preserve">RECENT; up to $2.3B total; massive 2024 upfront step-up</t>
  </si>
  <si>
    <t xml:space="preserve">2024-11-12</t>
  </si>
  <si>
    <t xml:space="preserve">2270</t>
  </si>
  <si>
    <t xml:space="preserve">DL-027</t>
  </si>
  <si>
    <t xml:space="preserve">Otsuka/Astex collaborative drug discovery in CNS diseases with Schrödinger</t>
  </si>
  <si>
    <t xml:space="preserve">Undisclosed upfront + milestones + tiered royalties</t>
  </si>
  <si>
    <t xml:space="preserve">Otsuka + Schrödinger</t>
  </si>
  <si>
    <t xml:space="preserve">Otsuka press release</t>
  </si>
  <si>
    <t xml:space="preserve">https://www.otsuka.co.jp/en/company/newsreleases/2023/20230110_1.html</t>
  </si>
  <si>
    <t xml:space="preserve">Schrödinger received an upfront payment and was eligible to receive discovery, development and regulatory milestones, as well as tiered royalties on net sales of any products</t>
  </si>
  <si>
    <t xml:space="preserve">LONG_VIEW; financials undisclosed - SOURCE NEEDED; JPM 2023 timing</t>
  </si>
  <si>
    <t xml:space="preserve">2023-01-10</t>
  </si>
  <si>
    <t xml:space="preserve">Otsuka</t>
  </si>
  <si>
    <t xml:space="preserve">DL-028</t>
  </si>
  <si>
    <t xml:space="preserve">Schrödinger small-molecule discovery deal with Eli Lilly against undisclosed target</t>
  </si>
  <si>
    <t xml:space="preserve">Up to $425M discovery/development/commercial milestones + royalties</t>
  </si>
  <si>
    <t xml:space="preserve">Eli Lilly + Schrödinger</t>
  </si>
  <si>
    <t xml:space="preserve">https://thehealthcaretechnologyreport.com/eli-lilly-enters-into-425m-small-molecule-arrangement-with-schrodinger/</t>
  </si>
  <si>
    <t xml:space="preserve">Schrödinger will receive an upfront payment and will be eligible to receive up to $425 million in discovery, development and commercial milestone payments. Schrödinger is also eligible to receive low single- to low double-digit royalties on net sales</t>
  </si>
  <si>
    <t xml:space="preserve">LONG_VIEW; upfront not disclosed</t>
  </si>
  <si>
    <t xml:space="preserve">2022-04-19</t>
  </si>
  <si>
    <t xml:space="preserve">425</t>
  </si>
  <si>
    <t xml:space="preserve">DL-029</t>
  </si>
  <si>
    <t xml:space="preserve">Bayer and Exscientia AI collaboration in cardiovascular and oncology drug discovery — TERMINATED</t>
  </si>
  <si>
    <t xml:space="preserve">Up to €240M total</t>
  </si>
  <si>
    <t xml:space="preserve">Bayer + Exscientia</t>
  </si>
  <si>
    <t xml:space="preserve">CV + Oncology</t>
  </si>
  <si>
    <t xml:space="preserve">Joint press release + termination reporting</t>
  </si>
  <si>
    <t xml:space="preserve">Exscientia IR / Pharma Manufacturing</t>
  </si>
  <si>
    <t xml:space="preserve">https://investors.exscientia.ai/press-releases/press-release-details/2020/Bayer-and-Exscientia-collaborate-to-leverage-the-potential-of-artificial-intelligence-in-cardiovascular-and-oncology-drug-discovery/default.aspx</t>
  </si>
  <si>
    <t xml:space="preserve">Exscientia was eligible to receive up to €240 Million, including upfront and research payments, near term and clinical milestones, as well as sales royalties</t>
  </si>
  <si>
    <t xml:space="preserve">DISCONFIRMING; Bayer/Exscientia 2020 deal subsequently TERMINATED — see Pharma Manufacturing reporting</t>
  </si>
  <si>
    <t xml:space="preserve">2020-01-13</t>
  </si>
  <si>
    <t xml:space="preserve">Bayer</t>
  </si>
  <si>
    <t xml:space="preserve">265</t>
  </si>
  <si>
    <t xml:space="preserve">DL-030</t>
  </si>
  <si>
    <t xml:space="preserve">License/collab + equity</t>
  </si>
  <si>
    <t xml:space="preserve">Bayer and Recursion strategic collaboration for fibrotic diseases (lung kidney heart) + Bayer $50M equity in Series D</t>
  </si>
  <si>
    <t xml:space="preserve">$30M upfront + $50M equity; &gt;$100M dev/commercial milestones per program (10+ programs)</t>
  </si>
  <si>
    <t xml:space="preserve">Bayer + Recursion</t>
  </si>
  <si>
    <t xml:space="preserve">Fibrosis</t>
  </si>
  <si>
    <t xml:space="preserve">Recursion press release</t>
  </si>
  <si>
    <t xml:space="preserve">https://recursion.com/news/bayer-partnership</t>
  </si>
  <si>
    <t xml:space="preserve">In addition to a $50 million equity investment, Recursion received an upfront payment of $30 million ... possible development and commercial milestone payments of more than $100 million per program plus royalties on future sales</t>
  </si>
  <si>
    <t xml:space="preserve">LONG_VIEW; explicit equity component; 10+ programs; subsequently expanded 2021 and refocused 2023</t>
  </si>
  <si>
    <t xml:space="preserve">2020-09-09</t>
  </si>
  <si>
    <t xml:space="preserve">30</t>
  </si>
  <si>
    <t xml:space="preserve">1080</t>
  </si>
  <si>
    <t xml:space="preserve">DL-031</t>
  </si>
  <si>
    <t xml:space="preserve">Bayer and Recursion refocus collaboration to precision oncology; up to seven oncology programs</t>
  </si>
  <si>
    <t xml:space="preserve">Up to $1.5B total milestones + royalties</t>
  </si>
  <si>
    <t xml:space="preserve">Recursion / Bayer press release</t>
  </si>
  <si>
    <t xml:space="preserve">https://www.globenewswire.com/news-release/2023/11/09/2777499/0/en/Bayer-and-Recursion-Focus-Research-Collaboration-on-Oncology.html</t>
  </si>
  <si>
    <t xml:space="preserve">may initiate up to seven oncology programs and Recursion is eligible to receive potential, success-based, future payments of up to $1.5 billion plus royalties on net sales</t>
  </si>
  <si>
    <t xml:space="preserve">LONG_VIEW; refocused from fibrosis; upfront not disclosed - SOURCE NEEDED</t>
  </si>
  <si>
    <t xml:space="preserve">2023-11-09</t>
  </si>
  <si>
    <t xml:space="preserve">1500</t>
  </si>
  <si>
    <t xml:space="preserve">DL-032</t>
  </si>
  <si>
    <t xml:space="preserve">AstraZeneca and BenevolentAI long-term collaboration in chronic kidney disease and idiopathic pulmonary fibrosis</t>
  </si>
  <si>
    <t xml:space="preserve">Undisclosed financial terms; 5 portfolio targets selected by 2023</t>
  </si>
  <si>
    <t xml:space="preserve">AstraZeneca + BenevolentAI</t>
  </si>
  <si>
    <t xml:space="preserve">CKD/IPF</t>
  </si>
  <si>
    <t xml:space="preserve">AstraZeneca press release</t>
  </si>
  <si>
    <t xml:space="preserve">https://www.astrazeneca.com/media-centre/press-releases/2019/astrazeneca-starts-artificial-intelligence-collaboration-to-accelerate-drug-discovery-30042019.html</t>
  </si>
  <si>
    <t xml:space="preserve">long-term collaboration ... led to a total of five targets selected for portfolio-entry (three in IPF and two in chronic kidney disease)</t>
  </si>
  <si>
    <t xml:space="preserve">LONG_VIEW; financial terms not disclosed; collaboration extended 2022 to SLE/heart failure; partial success milestones</t>
  </si>
  <si>
    <t xml:space="preserve">2019-04-30</t>
  </si>
  <si>
    <t xml:space="preserve">DL-033</t>
  </si>
  <si>
    <t xml:space="preserve">BenevolentAI 3-year collaboration expansion with AstraZeneca focused on SLE and heart failure</t>
  </si>
  <si>
    <t xml:space="preserve">Immunology (SLE), CV (HF)</t>
  </si>
  <si>
    <t xml:space="preserve">BenevolentAI press release</t>
  </si>
  <si>
    <t xml:space="preserve">https://www.benevolent.com/news-and-media/press-releases-and-in-media/benevolentai-announces-3-year-collaboration-expansion-astrazeneca-focused-systemic-lupus-erythematosus-and-heart-failure/</t>
  </si>
  <si>
    <t xml:space="preserve">3-year collaboration expansion with AstraZeneca focused on systemic lupus erythematosus and heart failure</t>
  </si>
  <si>
    <t xml:space="preserve">LONG_VIEW; extension; deal terms undisclosed</t>
  </si>
  <si>
    <t xml:space="preserve">2022-01-04</t>
  </si>
  <si>
    <t xml:space="preserve">DL-034</t>
  </si>
  <si>
    <t xml:space="preserve">AstraZeneca-Absci AI-enabled oncology antibody design pact for anti-cancer antibody</t>
  </si>
  <si>
    <t xml:space="preserve">Up to $247M (upfront + R&amp;D funding + milestones + royalties)</t>
  </si>
  <si>
    <t xml:space="preserve">AstraZeneca + Absci</t>
  </si>
  <si>
    <t xml:space="preserve">Absci IR</t>
  </si>
  <si>
    <t xml:space="preserve">https://investors.absci.com/news-releases/news-release-details/absci-announces-collaboration-astrazeneca-advance-ai-driven</t>
  </si>
  <si>
    <t xml:space="preserve">AstraZeneca has agreed to pay Absci up to $247 million to collaborate on the design of an anti-cancer antibody. The sum includes an upfront payment, R&amp;D funding and milestone payments, as well as royalties</t>
  </si>
  <si>
    <t xml:space="preserve">LONG_VIEW; Zero-shot AI antibody design; upfront not separately disclosed</t>
  </si>
  <si>
    <t xml:space="preserve">2023-12-04</t>
  </si>
  <si>
    <t xml:space="preserve">247</t>
  </si>
  <si>
    <t xml:space="preserve">DL-035</t>
  </si>
  <si>
    <t xml:space="preserve">AstraZeneca/Alexion rare disease unit collaboration with Verge Genomics for rare neurodegenerative diseases</t>
  </si>
  <si>
    <t xml:space="preserve">Up to $42M upfront/equity/near-term; up to $840M total + royalties</t>
  </si>
  <si>
    <t xml:space="preserve">AstraZeneca + Verge Genomics</t>
  </si>
  <si>
    <t xml:space="preserve">Neuro (rare)</t>
  </si>
  <si>
    <t xml:space="preserve">Verge Genomics / Polsinelli</t>
  </si>
  <si>
    <t xml:space="preserve">https://www.polsinelli.com/news/polsinelli-represents-verge-genomics-in-ai-enabled-drug-discovery-collaboration-with-alexion-astrazeneca-rare-disease-worth-up-to-840-million</t>
  </si>
  <si>
    <t xml:space="preserve">Verge received up to $42 million in upfront, equity and near-term payments, plus potential milestone payments of up to $840 million ... AstraZeneca also took a stake in Verge</t>
  </si>
  <si>
    <t xml:space="preserve">LONG_VIEW; explicit equity component; 4-year deal; Alexion subsidiary</t>
  </si>
  <si>
    <t xml:space="preserve">2023-09-25</t>
  </si>
  <si>
    <t xml:space="preserve">840</t>
  </si>
  <si>
    <t xml:space="preserve">DL-036</t>
  </si>
  <si>
    <t xml:space="preserve">License/collab + data access</t>
  </si>
  <si>
    <t xml:space="preserve">GSK expanded collaboration with Tempus AI for precision medicine access to de-identified patient data</t>
  </si>
  <si>
    <t xml:space="preserve">$70M initial payment; 3-year deal w/ 2-year extension option</t>
  </si>
  <si>
    <t xml:space="preserve">GSK + Tempus AI</t>
  </si>
  <si>
    <t xml:space="preserve">GSK press release</t>
  </si>
  <si>
    <t xml:space="preserve">https://www.gsk.com/en-gb/media/press-releases/gsk-announces-expanded-collaboration-with-tempus-in-precision-medicine-to-accelerate-rd/</t>
  </si>
  <si>
    <t xml:space="preserve">three-year collaboration ... GSK made a $70 million initial payment, with an option to extend for two additional years</t>
  </si>
  <si>
    <t xml:space="preserve">LONG_VIEW; TEM — covered ancillary; flag for Louisa coverage; data-licensing structure</t>
  </si>
  <si>
    <t xml:space="preserve">2022-10-25</t>
  </si>
  <si>
    <t xml:space="preserve">Tempus AI</t>
  </si>
  <si>
    <t xml:space="preserve">70</t>
  </si>
  <si>
    <t xml:space="preserve">DL-037</t>
  </si>
  <si>
    <t xml:space="preserve">Platform partnership</t>
  </si>
  <si>
    <t xml:space="preserve">GSK + Cerebras research collaboration for AI in drug discovery (epigenomic BERT)</t>
  </si>
  <si>
    <t xml:space="preserve">Undisclosed; CS-1 hardware purchase + co-publication</t>
  </si>
  <si>
    <t xml:space="preserve">GSK + Cerebras</t>
  </si>
  <si>
    <t xml:space="preserve">Joint research publication + company disclosures</t>
  </si>
  <si>
    <t xml:space="preserve">GSK AI publications page</t>
  </si>
  <si>
    <t xml:space="preserve">https://www.gsk.ai/publications/epigenomic-language-models-powered-by-cerebras/</t>
  </si>
  <si>
    <t xml:space="preserve">GSK researchers worked with Cerebras Systems to develop a new AI model of cell-type-specific gene regulation and function ... GSK purchased a Cerebras CS-1 system</t>
  </si>
  <si>
    <t xml:space="preserve">LONG_VIEW; compute/infrastructure partnership; no biobucks</t>
  </si>
  <si>
    <t xml:space="preserve">2020-12-01</t>
  </si>
  <si>
    <t xml:space="preserve">Cerebras</t>
  </si>
  <si>
    <t xml:space="preserve">DL-038</t>
  </si>
  <si>
    <t xml:space="preserve">Novartis + Microsoft 5-year strategic AI collaboration to transform medicine across discovery + development + commercialize</t>
  </si>
  <si>
    <t xml:space="preserve">Undisclosed; multi-year strategic partnership</t>
  </si>
  <si>
    <t xml:space="preserve">Novartis + Microsoft</t>
  </si>
  <si>
    <t xml:space="preserve">Novartis press release</t>
  </si>
  <si>
    <t xml:space="preserve">https://www.novartis.com/news/novartis-and-microsoft-announce-collaboration-transform-medicine-artificial-intelligence</t>
  </si>
  <si>
    <t xml:space="preserve">five-year collaboration ... leverage data and artificial intelligence (AI) to transform how medicines are discovered, developed and commercialized</t>
  </si>
  <si>
    <t xml:space="preserve">LONG_VIEW; enterprise AI deal — compute + platform; financial terms undisclosed</t>
  </si>
  <si>
    <t xml:space="preserve">2019-10-01</t>
  </si>
  <si>
    <t xml:space="preserve">Microsoft</t>
  </si>
  <si>
    <t xml:space="preserve">DL-039</t>
  </si>
  <si>
    <t xml:space="preserve">M&amp;A</t>
  </si>
  <si>
    <t xml:space="preserve">Takeda acquires Nimbus Therapeutics Lakshmi subsidiary for TYK2 inhibitor NDI-034858</t>
  </si>
  <si>
    <t xml:space="preserve">$4B upfront + up to $2B sales milestones</t>
  </si>
  <si>
    <t xml:space="preserve">Takeda + Nimbus Therapeutics</t>
  </si>
  <si>
    <t xml:space="preserve">Joint press release + SEC filing</t>
  </si>
  <si>
    <t xml:space="preserve">Takeda press release / Nimbus</t>
  </si>
  <si>
    <t xml:space="preserve">https://www.takeda.com/newsroom/newsreleases/2022/takeda-to-acquire-late-stage-potential-best-in-class-oral-allosteric-tyk2-inhibitor--ndi-034858-from-nimbus-therapeutics/</t>
  </si>
  <si>
    <t xml:space="preserve">Takeda paid Nimbus Therapeutics $4 billion upfront, and sales-based milestone payments up to $2 billion</t>
  </si>
  <si>
    <t xml:space="preserve">LONG_VIEW; Schrödinger physics-AI co-discovered asset; largest M&amp;A in AI-discovered asset class</t>
  </si>
  <si>
    <t xml:space="preserve">2022-12-13</t>
  </si>
  <si>
    <t xml:space="preserve">Takeda</t>
  </si>
  <si>
    <t xml:space="preserve">4000</t>
  </si>
  <si>
    <t xml:space="preserve">6000</t>
  </si>
  <si>
    <t xml:space="preserve">single asset</t>
  </si>
  <si>
    <t xml:space="preserve">DL-040</t>
  </si>
  <si>
    <t xml:space="preserve">Recursion acquires Exscientia in all-stock transaction valued at ~$688M</t>
  </si>
  <si>
    <t xml:space="preserve">$688M all-stock; ~26% combined company ownership for Exscientia shareholders</t>
  </si>
  <si>
    <t xml:space="preserve">Recursion + Exscientia</t>
  </si>
  <si>
    <t xml:space="preserve">https://ir.recursion.com/news-releases/news-release-details/recursion-and-exscientia-enter-definitive-agreement-create</t>
  </si>
  <si>
    <t xml:space="preserve">all-stock transaction valued at $688 million ... 0.7729 Recursion shares for each share they own in the UK firm and will end up owning around 26% of the combined company</t>
  </si>
  <si>
    <t xml:space="preserve">LONG_VIEW + RECENT; landmark AI-AI consolidation; completed Nov 20 2024</t>
  </si>
  <si>
    <t xml:space="preserve">2024-08-08</t>
  </si>
  <si>
    <t xml:space="preserve">688</t>
  </si>
  <si>
    <t xml:space="preserve">full company</t>
  </si>
  <si>
    <t xml:space="preserve">DL-041</t>
  </si>
  <si>
    <t xml:space="preserve">Sanofi-Atomwise multi-target research collaboration leveraging AtomNet for AI computational discovery</t>
  </si>
  <si>
    <t xml:space="preserve">$20M upfront; total &gt;$1B in milestones</t>
  </si>
  <si>
    <t xml:space="preserve">Sanofi + Atomwise</t>
  </si>
  <si>
    <t xml:space="preserve">https://www.businesswire.com/news/home/20220817005089/en/Atomwise-Signs-Strategic-Multi-Target-Research-Collaboration-with-Sanofi-for-AI-Powered-Drug-Discovery</t>
  </si>
  <si>
    <t xml:space="preserve">$20 million upfront to research small molecules for up to five drug targets ... subsequent payments pegged to key research, development, and sales milestones that could total more than $1 billion</t>
  </si>
  <si>
    <t xml:space="preserve">LONG_VIEW; 5-drug-target scope</t>
  </si>
  <si>
    <t xml:space="preserve">2022-08-17</t>
  </si>
  <si>
    <t xml:space="preserve">1020</t>
  </si>
  <si>
    <t xml:space="preserve">DL-042</t>
  </si>
  <si>
    <t xml:space="preserve">Equity investment + collab</t>
  </si>
  <si>
    <t xml:space="preserve">Sanofi $180M equity investment in Owkin + 3-year $90M strategic collaboration on AI/federated learning in oncology</t>
  </si>
  <si>
    <t xml:space="preserve">$180M equity + $90M collaboration payments over 3 years + R&amp;D milestones</t>
  </si>
  <si>
    <t xml:space="preserve">Sanofi + Owkin</t>
  </si>
  <si>
    <t xml:space="preserve">Sanofi press release</t>
  </si>
  <si>
    <t xml:space="preserve">https://www.sanofi.com/en/media-room/press-releases/2021/2021-11-18-06-30-00-2336966</t>
  </si>
  <si>
    <t xml:space="preserve">equity investment of $180 million and a new strategic collaboration with Owkin comprised of discovery and development programmes in four exclusive types of cancer, with a total payment of $90 million for three years plus additional research milestone-based payments</t>
  </si>
  <si>
    <t xml:space="preserve">LONG_VIEW; landmark equity-led structure; minted Owkin unicorn</t>
  </si>
  <si>
    <t xml:space="preserve">2021-11-18</t>
  </si>
  <si>
    <t xml:space="preserve">Owkin</t>
  </si>
  <si>
    <t xml:space="preserve">equity investment</t>
  </si>
  <si>
    <t xml:space="preserve">180</t>
  </si>
  <si>
    <t xml:space="preserve">270</t>
  </si>
  <si>
    <t xml:space="preserve">DL-043</t>
  </si>
  <si>
    <t xml:space="preserve">BioMap strategic collaboration with Sanofi to co-develop AI modules for biotherapeutics</t>
  </si>
  <si>
    <t xml:space="preserve">$10M upfront; &gt;$1B in milestones + product R&amp;D + sales</t>
  </si>
  <si>
    <t xml:space="preserve">Sanofi + BioMap</t>
  </si>
  <si>
    <t xml:space="preserve">Business Wire / BioMap</t>
  </si>
  <si>
    <t xml:space="preserve">https://www.businesswire.com/news/home/20231010485897/en/BioMap-Establishes-a-Strategic-Collaboration-with-Sanofi-to-Co-Develop-AI-Modules-to-Accelerate-Drug-Discovery-for-Biotherapeutics</t>
  </si>
  <si>
    <t xml:space="preserve">BioMap received an upfront payment of $10 million from Sanofi, and is eligible to receive more than $1 billion in milestone payments for model development, as well as product-related R&amp;D and sales milestones</t>
  </si>
  <si>
    <t xml:space="preserve">LONG_VIEW; xTrimo foundation model partnership; biobucks-heavy</t>
  </si>
  <si>
    <t xml:space="preserve">2023-10-10</t>
  </si>
  <si>
    <t xml:space="preserve">BioMap</t>
  </si>
  <si>
    <t xml:space="preserve">10</t>
  </si>
  <si>
    <t xml:space="preserve">1010</t>
  </si>
  <si>
    <t xml:space="preserve">DL-044</t>
  </si>
  <si>
    <t xml:space="preserve">License/collab + enterprise AI</t>
  </si>
  <si>
    <t xml:space="preserve">Sanofi Formation Bio and OpenAI three-party collaboration to build AI-powered software for drug development</t>
  </si>
  <si>
    <t xml:space="preserve">Undisclosed; enterprise AI tooling structure</t>
  </si>
  <si>
    <t xml:space="preserve">Sanofi + Formation Bio + OpenAI</t>
  </si>
  <si>
    <t xml:space="preserve">https://www.sanofi.com/en/media-room/press-releases/2024/2024-05-21-05-30-00-2885244</t>
  </si>
  <si>
    <t xml:space="preserve">Press Release: Sanofi, Formation Bio and OpenAI announce first-in-class AI collaboration</t>
  </si>
  <si>
    <t xml:space="preserve">RECENT-adjacent; 2025+ foundation-model era — different structure; financials undisclosed</t>
  </si>
  <si>
    <t xml:space="preserve">2024-05-21</t>
  </si>
  <si>
    <t xml:space="preserve">DL-045</t>
  </si>
  <si>
    <t xml:space="preserve">Enterprise AI</t>
  </si>
  <si>
    <t xml:space="preserve">Moderna deploys ChatGPT Enterprise across the company; 750+ GPTs in legal research manufacturing commercial</t>
  </si>
  <si>
    <t xml:space="preserve">Undisclosed; enterprise license</t>
  </si>
  <si>
    <t xml:space="preserve">Moderna + OpenAI</t>
  </si>
  <si>
    <t xml:space="preserve">Joint disclosure (Moderna blog + OpenAI)</t>
  </si>
  <si>
    <t xml:space="preserve">Moderna blog post</t>
  </si>
  <si>
    <t xml:space="preserve">https://www.modernatx.com/en-US/media-center/all-media/blogs/collaboration-with-openai</t>
  </si>
  <si>
    <t xml:space="preserve">deploy ChatGPT Enterprise to thousands of employees across the company ... Moderna deployed more than 750 GPTs</t>
  </si>
  <si>
    <t xml:space="preserve">RECENT-adjacent; enterprise AI deal — not therapeutic; compute+IP-carveout structure</t>
  </si>
  <si>
    <t xml:space="preserve">2024-04-24</t>
  </si>
  <si>
    <t xml:space="preserve">DL-046</t>
  </si>
  <si>
    <t xml:space="preserve">Moderna and IBM agreement to explore quantum computing and generative AI (MoLFormer) for mRNA medicine</t>
  </si>
  <si>
    <t xml:space="preserve">Undisclosed; technology access agreement</t>
  </si>
  <si>
    <t xml:space="preserve">Moderna + IBM</t>
  </si>
  <si>
    <t xml:space="preserve">Vaccines / mRNA</t>
  </si>
  <si>
    <t xml:space="preserve">IBM newsroom</t>
  </si>
  <si>
    <t xml:space="preserve">https://newsroom.ibm.com/2023-04-20-Moderna-and-IBM-to-Explore-Quantum-Computing-and-Generative-AI-for-mRNA-Science</t>
  </si>
  <si>
    <t xml:space="preserve">Moderna will explore next generation technologies including quantum computing and artificial intelligence to advance and accelerate mRNA research and science</t>
  </si>
  <si>
    <t xml:space="preserve">LONG_VIEW; MoLFormer LLM access for lipid nanoparticle + mRNA design</t>
  </si>
  <si>
    <t xml:space="preserve">2023-04-20</t>
  </si>
  <si>
    <t xml:space="preserve">IBM</t>
  </si>
  <si>
    <t xml:space="preserve">DL-047</t>
  </si>
  <si>
    <t xml:space="preserve">Gilead-Genesis Therapeutics strategic collaboration to discover small molecule therapies across multiple targets</t>
  </si>
  <si>
    <t xml:space="preserve">$35M upfront across 3 targets + milestones + tiered royalties</t>
  </si>
  <si>
    <t xml:space="preserve">Gilead + Genesis Therapeutics</t>
  </si>
  <si>
    <t xml:space="preserve">Gilead IR</t>
  </si>
  <si>
    <t xml:space="preserve">https://investors.gilead.com/news/news-details/2024/Gilead-and-Genesis-Therapeutics-Announce-Strategic-Collaboration-to-Discover-and-Develop-Novel-Therapies/default.aspx</t>
  </si>
  <si>
    <t xml:space="preserve">Genesis will receive an upfront cash payment of $35 million across three targets ... eligible to receive additional preclinical, development, regulatory, and commercial milestone payments</t>
  </si>
  <si>
    <t xml:space="preserve">RECENT; GEMS platform; total biobucks NOT disclosed as headline number</t>
  </si>
  <si>
    <t xml:space="preserve">2024-09-11</t>
  </si>
  <si>
    <t xml:space="preserve">Gilead</t>
  </si>
  <si>
    <t xml:space="preserve">Genesis Therapeutics</t>
  </si>
  <si>
    <t xml:space="preserve">35</t>
  </si>
  <si>
    <t xml:space="preserve">DL-048</t>
  </si>
  <si>
    <t xml:space="preserve">Gilead-Terray Therapeutics multi-target research collaboration to discover small molecule therapies</t>
  </si>
  <si>
    <t xml:space="preserve">Undisclosed upfront + milestone payments + tiered royalties</t>
  </si>
  <si>
    <t xml:space="preserve">Gilead + Terray Therapeutics</t>
  </si>
  <si>
    <t xml:space="preserve">https://investors.gilead.com/news/news-details/2024/Gilead-and-Terray-Therapeutics-Announce-Multi-Target-Research-Collaboration-to-Discover-and-Develop-Novel-Small-Molecule-Therapies/default.aspx</t>
  </si>
  <si>
    <t xml:space="preserve">Terray will receive an upfront payment and is eligible to receive milestone payments associated with the achievement of preclinical, clinical, and sales milestones as well as tiered royalties</t>
  </si>
  <si>
    <t xml:space="preserve">RECENT; tNova platform; both upfront and biobucks undisclosed</t>
  </si>
  <si>
    <t xml:space="preserve">2024-12-17</t>
  </si>
  <si>
    <t xml:space="preserve">Terray Therapeutics</t>
  </si>
  <si>
    <t xml:space="preserve">DL-049</t>
  </si>
  <si>
    <t xml:space="preserve">AbbVie and AbCellera multi-year multi-target strategic collaboration delivering antibody candidates against up to 5 targets</t>
  </si>
  <si>
    <t xml:space="preserve">Undisclosed research payments + downstream milestones</t>
  </si>
  <si>
    <t xml:space="preserve">AbbVie + AbCellera</t>
  </si>
  <si>
    <t xml:space="preserve">https://investors.abcellera.com/news/news-releases/2022/AbCellera-and-AbbVie-Partner-to-Advance-New-Antibody-Therapies/default.aspx</t>
  </si>
  <si>
    <t xml:space="preserve">multi-year, multi-target strategic collaboration with AbbVie, leveraging its antibody discovery and development engine to deliver optimized development candidates for up to five targets</t>
  </si>
  <si>
    <t xml:space="preserve">LONG_VIEW; expanded Jan 2025 to oncology TCEs; financial terms undisclosed</t>
  </si>
  <si>
    <t xml:space="preserve">AbbVie</t>
  </si>
  <si>
    <t xml:space="preserve">DL-050</t>
  </si>
  <si>
    <t xml:space="preserve">AbCellera expands collaboration with AbbVie to develop novel T-cell engagers for oncology</t>
  </si>
  <si>
    <t xml:space="preserve">Undisclosed; expansion</t>
  </si>
  <si>
    <t xml:space="preserve">https://investors.abcellera.com/news/news-releases/2025/AbCellera-Expands-Collaboration-with-AbbVie-to-Develop-Novel-T-Cell-Engagers-for-Oncology/default.aspx</t>
  </si>
  <si>
    <t xml:space="preserve">AbCellera Expands Collaboration with AbbVie to Develop Novel T-Cell Engagers for Oncology</t>
  </si>
  <si>
    <t xml:space="preserve">RECENT; expansion of 2022 collab; financials undisclosed</t>
  </si>
  <si>
    <t xml:space="preserve">DL-051</t>
  </si>
  <si>
    <t xml:space="preserve">AbbVie-Anima Biotech collaboration for mRNA biology modulators against oncology and immunology targets</t>
  </si>
  <si>
    <t xml:space="preserve">$42M upfront; up to $540M option fees + R&amp;D milestones; + commercial milestones + royalties</t>
  </si>
  <si>
    <t xml:space="preserve">AbbVie + Anima Biotech</t>
  </si>
  <si>
    <t xml:space="preserve">mRNA-modulating small mol</t>
  </si>
  <si>
    <t xml:space="preserve">AbbVie press release</t>
  </si>
  <si>
    <t xml:space="preserve">https://news.abbvie.com/2023-01-10-AbbVie-and-Anima-Biotech-Announce-Collaboration-for-the-Discovery-and-Development-of-mRNA-Biology-Modulators-against-Oncology-and-Immunology-Targets</t>
  </si>
  <si>
    <t xml:space="preserve">upfront payment of $42 million ... Anima will be eligible for up to $540 million in option fees and research and developmental milestones across the three targets</t>
  </si>
  <si>
    <t xml:space="preserve">LONG_VIEW; mRNA Lightning platform; option to add 3 more targets</t>
  </si>
  <si>
    <t xml:space="preserve">Anima Biotech</t>
  </si>
  <si>
    <t xml:space="preserve">42</t>
  </si>
  <si>
    <t xml:space="preserve">582</t>
  </si>
  <si>
    <t xml:space="preserve">DL-052</t>
  </si>
  <si>
    <t xml:space="preserve">M&amp;A (acquisition option exercise)</t>
  </si>
  <si>
    <t xml:space="preserve">AbbVie exercises exclusive right to acquire Mitokinin (PINK1 activator for Parkinson's)</t>
  </si>
  <si>
    <t xml:space="preserve">$110M closing + up to $545M development/commercial milestones + tiered royalties</t>
  </si>
  <si>
    <t xml:space="preserve">AbbVie + Mitokinin</t>
  </si>
  <si>
    <t xml:space="preserve">Neuro (Parkinson's)</t>
  </si>
  <si>
    <t xml:space="preserve">AbbVie news</t>
  </si>
  <si>
    <t xml:space="preserve">https://news.abbvie.com/2023-10-05-AbbVie-Exercises-Exclusive-Right-to-Acquire-Mitokinin,-Further-Strengthening-Neuroscience-Pipeline</t>
  </si>
  <si>
    <t xml:space="preserve">AbbVie paid Mitokinin shareholders $110 million at closing for the acquisition ... potential additional payments of up to $545 million upon the achievement of certain development and commercial milestones</t>
  </si>
  <si>
    <t xml:space="preserve">ANALOGY</t>
  </si>
  <si>
    <t xml:space="preserve">LONG_VIEW; boundary case — Mitokinin is UCSF-spinout w/ structure-based design; light AI component</t>
  </si>
  <si>
    <t xml:space="preserve">2023-10-05</t>
  </si>
  <si>
    <t xml:space="preserve">Mitokinin</t>
  </si>
  <si>
    <t xml:space="preserve">655</t>
  </si>
  <si>
    <t xml:space="preserve">DL-053</t>
  </si>
  <si>
    <t xml:space="preserve">Boehringer Ingelheim uses IBM-developed pre-trained foundation model for antibody discovery; fine-tuned on BI proprietary data</t>
  </si>
  <si>
    <t xml:space="preserve">Boehringer Ingelheim + IBM</t>
  </si>
  <si>
    <t xml:space="preserve">https://newsroom.ibm.com/2023-11-28-Boehringer-Ingelheim-and-IBM-Collaborate-to-Advance-Generative-AI-and-Foundation-Models-for-Therapeutic-Antibody-Development</t>
  </si>
  <si>
    <t xml:space="preserve">agreement that enables Boehringer to use IBM's foundation model technologies to discover novel candidate antibodies</t>
  </si>
  <si>
    <t xml:space="preserve">LONG_VIEW; foundation model partnership; financials undisclosed</t>
  </si>
  <si>
    <t xml:space="preserve">2023-11-28</t>
  </si>
  <si>
    <t xml:space="preserve">Boehringer Ingelheim</t>
  </si>
  <si>
    <t xml:space="preserve">DL-054</t>
  </si>
  <si>
    <t xml:space="preserve">Novo Nordisk-Valo Health AI-powered partnership for cardiometabolic diseases (up to 11 drug programs)</t>
  </si>
  <si>
    <t xml:space="preserve">Undisclosed upfront; up to $2.7B milestones + R&amp;D funding</t>
  </si>
  <si>
    <t xml:space="preserve">Novo Nordisk + Valo Health</t>
  </si>
  <si>
    <t xml:space="preserve">CV / metabolic</t>
  </si>
  <si>
    <t xml:space="preserve">Valo Health press release</t>
  </si>
  <si>
    <t xml:space="preserve">https://www.valohealth.com/press/valo-health-and-novo-nordisk-expand-collaboration-to-discover-and-develop-novel-treatments-for-cardiometabolic-diseases</t>
  </si>
  <si>
    <t xml:space="preserve">up to $2.7 billion in milestone payments, plus R&amp;D funding and potential royalty payments</t>
  </si>
  <si>
    <t xml:space="preserve">LONG_VIEW; Sept 2023; Opal computational platform; subsequently expanded Jan 2025</t>
  </si>
  <si>
    <t xml:space="preserve">2023-09-11</t>
  </si>
  <si>
    <t xml:space="preserve">Novo Nordisk</t>
  </si>
  <si>
    <t xml:space="preserve">DL-055</t>
  </si>
  <si>
    <t xml:space="preserve">Novo Nordisk-Valo expanded collaboration covering obesity diabetes CVD up to 20 drug programs</t>
  </si>
  <si>
    <t xml:space="preserve">Up to $190M near-term + up to $4.6B milestones + R&amp;D + royalties</t>
  </si>
  <si>
    <t xml:space="preserve">Obesity / T2D / CVD</t>
  </si>
  <si>
    <t xml:space="preserve">near-term payments totalling up to 190 million US dollars, while Valo is eligible to receive milestone payments of approximately 4.6 billion dollars</t>
  </si>
  <si>
    <t xml:space="preserve">RECENT; massive 2025 step-up in scope; cardiometabolic monetization</t>
  </si>
  <si>
    <t xml:space="preserve">4790</t>
  </si>
  <si>
    <t xml:space="preserve">DL-056</t>
  </si>
  <si>
    <t xml:space="preserve">License</t>
  </si>
  <si>
    <t xml:space="preserve">Exelixis exclusive global license from Insilico Medicine for ISM3091 USP1 inhibitor</t>
  </si>
  <si>
    <t xml:space="preserve">$80M upfront; future dev/commercial/sales-based milestones + tiered royalties</t>
  </si>
  <si>
    <t xml:space="preserve">Exelixis + Insilico Medicine</t>
  </si>
  <si>
    <t xml:space="preserve">Exelixis IR</t>
  </si>
  <si>
    <t xml:space="preserve">https://ir.exelixis.com/news-releases/news-release-details/exelixis-and-insilico-medicine-enter-exclusive-global-license</t>
  </si>
  <si>
    <t xml:space="preserve">Insilico granted Exelixis an exclusive, worldwide license to develop and commercialize ISM3091 ... in exchange for an upfront payment to Insilico of $80 million</t>
  </si>
  <si>
    <t xml:space="preserve">LONG_VIEW; AI-discovered USP1 inhibitor for BRCA-mut tumors; single-asset license format</t>
  </si>
  <si>
    <t xml:space="preserve">2023-09-12</t>
  </si>
  <si>
    <t xml:space="preserve">Exelixis</t>
  </si>
  <si>
    <t xml:space="preserve">80</t>
  </si>
  <si>
    <t xml:space="preserve">DL-057</t>
  </si>
  <si>
    <t xml:space="preserve">Sumitomo Dainippon Pharma and Exscientia DSP-1181 OCD program — DISCONTINUED 2022 after Phase I</t>
  </si>
  <si>
    <t xml:space="preserve">Undisclosed; collaboration begun 2017; DSP-1181 dropped 2022</t>
  </si>
  <si>
    <t xml:space="preserve">Sumitomo + Exscientia</t>
  </si>
  <si>
    <t xml:space="preserve">Neuro (OCD)</t>
  </si>
  <si>
    <t xml:space="preserve">Joint disclosure</t>
  </si>
  <si>
    <t xml:space="preserve">Sumitomo Pharma news</t>
  </si>
  <si>
    <t xml:space="preserve">https://www.sumitomo-pharma.com/news/20200130.html</t>
  </si>
  <si>
    <t xml:space="preserve">DSP-1181 was created through joint research by Sumitomo Dainippon Pharma and Exscientia ... development of DSP-1181 was stopped by Sumitomo Pharmaceutical because the clinical phase I study did not meet the expected standards</t>
  </si>
  <si>
    <t xml:space="preserve">DISCONFIRMING; first-ever AI-designed drug into Phase 1 (Jan 2020) — DISCONTINUED 2022; flag for Q2 PoS analysis too</t>
  </si>
  <si>
    <t xml:space="preserve">2020-01-30</t>
  </si>
  <si>
    <t xml:space="preserve">Sumitomo Pharma</t>
  </si>
  <si>
    <t xml:space="preserve">DL-058</t>
  </si>
  <si>
    <t xml:space="preserve">Exscientia discontinues EXS-21546 A2A oncology program after Phase 1a (BMS-collab descendant)</t>
  </si>
  <si>
    <t xml:space="preserve">Program discontinued October 2023</t>
  </si>
  <si>
    <t xml:space="preserve">Exscientia (BMS legacy collab)</t>
  </si>
  <si>
    <t xml:space="preserve">Joint disclosure / company release</t>
  </si>
  <si>
    <t xml:space="preserve">Fierce Biotech / Exscientia</t>
  </si>
  <si>
    <t xml:space="preserve">https://www.fiercebiotech.com/biotech/ai-drug-hunter-exscientia-chops-down-rapidly-emerging-pipeline-focus-2-main-oncology</t>
  </si>
  <si>
    <t xml:space="preserve">EXS-21546, an A2A candidate, was discontinued ... A phase 1/2 trial that had been testing EXS21546 in solid tumors will be wound down</t>
  </si>
  <si>
    <t xml:space="preserve">DISCONFIRMING; AI-discovered asset terminated based on competitor data + therapeutic index modeling</t>
  </si>
  <si>
    <t xml:space="preserve">2023-10-15</t>
  </si>
  <si>
    <t xml:space="preserve">DL-059</t>
  </si>
  <si>
    <t xml:space="preserve">Isomorphic Labs raises $600M Series A from Thrive Capital + GV + Alphabet to advance AI drug design engine</t>
  </si>
  <si>
    <t xml:space="preserve">$600M external funding round</t>
  </si>
  <si>
    <t xml:space="preserve">Thrive Capital + Alphabet + GV / Isomorphic Labs</t>
  </si>
  <si>
    <t xml:space="preserve">Isomorphic Labs press release</t>
  </si>
  <si>
    <t xml:space="preserve">https://www.isomorphiclabs.com/articles/isomorphic-labs-announces-600m-external-investment-round</t>
  </si>
  <si>
    <t xml:space="preserve">$600 million in external funding ... led by Thrive Capital, with participation from GV, and follow-on capital from existing investor, Alphabet</t>
  </si>
  <si>
    <t xml:space="preserve">RECENT; March 2025; first external round for Alphabet spinout</t>
  </si>
  <si>
    <t xml:space="preserve">2025-03-31</t>
  </si>
  <si>
    <t xml:space="preserve">Alphabet (Isomorphic spinout)</t>
  </si>
  <si>
    <t xml:space="preserve">Thrive Capital + GV</t>
  </si>
  <si>
    <t xml:space="preserve">600</t>
  </si>
  <si>
    <t xml:space="preserve">single company</t>
  </si>
  <si>
    <t xml:space="preserve">DL-060</t>
  </si>
  <si>
    <t xml:space="preserve">Insitro raises $400M Series C led by CPPIB; participation from a16z BlackRock T. Rowe Price ARCH</t>
  </si>
  <si>
    <t xml:space="preserve">$400M Series C</t>
  </si>
  <si>
    <t xml:space="preserve">Insitro / multiple LPs</t>
  </si>
  <si>
    <t xml:space="preserve">Insitro press release</t>
  </si>
  <si>
    <t xml:space="preserve">https://www.insitro.com/news/insitro-raises-400-million-in-series-c-financing-2/</t>
  </si>
  <si>
    <t xml:space="preserve">raised $400 million in a Series C financing ... Canadian Pension Plan Investment Board led the raise, which included Andreessen Horowitz</t>
  </si>
  <si>
    <t xml:space="preserve">LONG_VIEW; major private capital signal; investor list shows institutional conviction post-AlphaFold-2</t>
  </si>
  <si>
    <t xml:space="preserve">2021-03-15</t>
  </si>
  <si>
    <t xml:space="preserve">400</t>
  </si>
  <si>
    <t xml:space="preserve">DL-061</t>
  </si>
  <si>
    <t xml:space="preserve">Recursion and Bayer expand fibrosis collaboration to include inferential search capabilities</t>
  </si>
  <si>
    <t xml:space="preserve">Undisclosed expansion (fibrosis platform extension)</t>
  </si>
  <si>
    <t xml:space="preserve">https://www.prnewswire.com/news-releases/recursion-and-bayer-expand-fibrosis-collaboration-to-include-inferential-search-capabilities-301437525.html</t>
  </si>
  <si>
    <t xml:space="preserve">Recursion and Bayer Expand Fibrosis Collaboration to Include Inferential Search Capabilities</t>
  </si>
  <si>
    <t xml:space="preserve">LONG_VIEW; expansion of 2020 collab — financial terms undisclosed</t>
  </si>
  <si>
    <t xml:space="preserve">2021-12-06</t>
  </si>
  <si>
    <t xml:space="preserve">DL-062</t>
  </si>
  <si>
    <t xml:space="preserve">Recursion + Sanofi multi-target oncology and immunology AI drug discovery collaboration</t>
  </si>
  <si>
    <t xml:space="preserve">Up to 15 novel targets; programs accepted 2023+</t>
  </si>
  <si>
    <t xml:space="preserve">Sanofi + Recursion</t>
  </si>
  <si>
    <t xml:space="preserve">Joint press release / IR follow-up</t>
  </si>
  <si>
    <t xml:space="preserve">Recursion IR / Sanofi</t>
  </si>
  <si>
    <t xml:space="preserve">https://www.recursion.com/partners</t>
  </si>
  <si>
    <t xml:space="preserve">strategic research collaboration with Sanofi in January 2022 to develop an AI-driven pipeline of precision-engineered, small molecule medicines ... up to 15 novel targets</t>
  </si>
  <si>
    <t xml:space="preserve">LONG_VIEW; financial terms not separately disclosed in press release - SOURCE NEEDED for upfront</t>
  </si>
  <si>
    <t xml:space="preserve">2022-01-25</t>
  </si>
  <si>
    <t xml:space="preserve">DL-063</t>
  </si>
  <si>
    <t xml:space="preserve">Recursion + Merck KGaA collaboration</t>
  </si>
  <si>
    <t xml:space="preserve">$20M upfront; up to $674M milestones</t>
  </si>
  <si>
    <t xml:space="preserve">Merck KGaA + Recursion</t>
  </si>
  <si>
    <t xml:space="preserve">Recursion received a $20M upfront investment and will be eligible for discovery, development, regulatory and sales-based milestone payments of up to $674 million</t>
  </si>
  <si>
    <t xml:space="preserve">LONG_VIEW; Merck KGaA Darmstadt deal — not US Merck</t>
  </si>
  <si>
    <t xml:space="preserve">DL-064</t>
  </si>
  <si>
    <t xml:space="preserve">Roche and Recursion 2024 deal extension milestone payments triggered (Sanofi/Roche ongoing)</t>
  </si>
  <si>
    <t xml:space="preserve">Milestones triggered; total program count up to 40</t>
  </si>
  <si>
    <t xml:space="preserve">Company IR/earnings</t>
  </si>
  <si>
    <t xml:space="preserve">Recursion IR / Q3 2025 update</t>
  </si>
  <si>
    <t xml:space="preserve">https://ir.recursion.com/news-releases/news-release-details/recursion-reports-third-quarter-2025-financial-results-and</t>
  </si>
  <si>
    <t xml:space="preserve">Recursion Reports Third Quarter 2025 Financial Results</t>
  </si>
  <si>
    <t xml:space="preserve">RECENT; partial milestones realized on the 2021 transformational deal</t>
  </si>
  <si>
    <t xml:space="preserve">2025-11-05</t>
  </si>
  <si>
    <t xml:space="preserve">DL-065</t>
  </si>
  <si>
    <t xml:space="preserve">Schrödinger expanded multi-year multi-target small molecule deal with Eli Lilly for TuneLab AI platform in LiveDesign</t>
  </si>
  <si>
    <t xml:space="preserve">Undisclosed; platform-integration deal</t>
  </si>
  <si>
    <t xml:space="preserve">https://ir.schrodinger.com/press-releases/news-details/2026/Schrdinger-Partners-with-Lilly-to-Make-TuneLab-Platform-Available-in-LiveDesign/default.aspx</t>
  </si>
  <si>
    <t xml:space="preserve">Schrödinger Partners with Lilly to Make TuneLab Platform Available in LiveDesign</t>
  </si>
  <si>
    <t xml:space="preserve">RECENT 2026 YTD; software/platform integration — different from prior 2022 small-molecule deal; financials undisclosed</t>
  </si>
  <si>
    <t xml:space="preserve">2026-01-09</t>
  </si>
  <si>
    <t xml:space="preserve">DL-066</t>
  </si>
  <si>
    <t xml:space="preserve">Pfizer-XtalPi expanded strategic collaboration for next-gen molecular modeling platform</t>
  </si>
  <si>
    <t xml:space="preserve">Undisclosed (research collaboration expansion)</t>
  </si>
  <si>
    <t xml:space="preserve">Pfizer + XtalPi</t>
  </si>
  <si>
    <t xml:space="preserve">XtalPi press release</t>
  </si>
  <si>
    <t xml:space="preserve">https://www.prnewswire.com/news-releases/xtalpi-and-pfizer-expand-strategic-collaboration-to-advance-ai-driven-drug-discovery-and-materials-science-simulations-302494033.html</t>
  </si>
  <si>
    <t xml:space="preserve">XtalPi and Pfizer Expand Strategic Collaboration to Advance AI-Driven Drug Discovery and Materials Science Simulations</t>
  </si>
  <si>
    <t xml:space="preserve">RECENT June 2025; XtalPi xFEP + materials science focus; financials undisclosed</t>
  </si>
  <si>
    <t xml:space="preserve">2025-06-04</t>
  </si>
  <si>
    <t xml:space="preserve">DL-067</t>
  </si>
  <si>
    <t xml:space="preserve">Hummingbird Bioscience clinical trial collaboration and supply agreement with Merck for HMBD-001 + cetuximab in NSCLC</t>
  </si>
  <si>
    <t xml:space="preserve">Undisclosed (clinical supply structure)</t>
  </si>
  <si>
    <t xml:space="preserve">Merck &amp; Co + Hummingbird</t>
  </si>
  <si>
    <t xml:space="preserve">Oncology (NSCLC)</t>
  </si>
  <si>
    <t xml:space="preserve">Hummingbird Bioscience press</t>
  </si>
  <si>
    <t xml:space="preserve">https://hummingbirdbioscience.com/hummingbird-bioscience-and-merck-enter-collaboration-to-evaluate-hmbd-001-in-squamous-non-small-cell-lung-carcinoma/</t>
  </si>
  <si>
    <t xml:space="preserve">clinical trial collaboration and supply agreement ... evaluated the safety, tolerability, and anti-tumor activity of its HER3-targeting antibody, HMBD-001, in combination with standard of care chemotherapy</t>
  </si>
  <si>
    <t xml:space="preserve">LONG_VIEW; AI-pipeline-tracker company; clinical-supply collab structure</t>
  </si>
  <si>
    <t xml:space="preserve">2023-05-15</t>
  </si>
  <si>
    <t xml:space="preserve">DL-068</t>
  </si>
  <si>
    <t xml:space="preserve">Merck &amp; Co + Google Cloud enterprise AI partnership ~$1B agentic AI transformation</t>
  </si>
  <si>
    <t xml:space="preserve">~$1B enterprise compute commitment</t>
  </si>
  <si>
    <t xml:space="preserve">Merck &amp; Co (MRK) + Google Cloud</t>
  </si>
  <si>
    <t xml:space="preserve">Joint press release (corporate)</t>
  </si>
  <si>
    <t xml:space="preserve">Merck news</t>
  </si>
  <si>
    <t xml:space="preserve">https://www.merck.com/news/merck-and-google-cloud-partner-to-accelerate-agentic-ai-enterprise-transformation/</t>
  </si>
  <si>
    <t xml:space="preserve">Merck goes with Google for AI push, strikes $1B enterprise deal</t>
  </si>
  <si>
    <t xml:space="preserve">RECENT; enterprise AI structure — non-therapeutic; compute backbone deal</t>
  </si>
  <si>
    <t xml:space="preserve">2025-09-15</t>
  </si>
  <si>
    <t xml:space="preserve">Google Cloud</t>
  </si>
  <si>
    <t xml:space="preserve">DL-069</t>
  </si>
  <si>
    <t xml:space="preserve">Roche multi-program collaboration with Owkin focused on triple-negative breast cancer histopathology federated AI</t>
  </si>
  <si>
    <t xml:space="preserve">Roche + Owkin</t>
  </si>
  <si>
    <t xml:space="preserve">Oncology (TNBC)</t>
  </si>
  <si>
    <t xml:space="preserve">Company disclosures / research publications</t>
  </si>
  <si>
    <t xml:space="preserve">Nature Medicine federated learning paper</t>
  </si>
  <si>
    <t xml:space="preserve">https://www.nature.com/articles/s41591-022-02155-w</t>
  </si>
  <si>
    <t xml:space="preserve">Federated learning for predicting histological response to neoadjuvant chemotherapy in triple-negative breast cancer</t>
  </si>
  <si>
    <t xml:space="preserve">LONG_VIEW; histopathology AI; published research collaboration — financial terms not the focus</t>
  </si>
  <si>
    <t xml:space="preserve">2022-11-22</t>
  </si>
  <si>
    <t xml:space="preserve">single TA</t>
  </si>
  <si>
    <t xml:space="preserve">DL-070</t>
  </si>
  <si>
    <t xml:space="preserve">Sanofi + Insilico Q3 2025 milestone for AI-facilitated drug discovery (lead nomination)</t>
  </si>
  <si>
    <t xml:space="preserve">Milestone triggered</t>
  </si>
  <si>
    <t xml:space="preserve">Sanofi + Insilico</t>
  </si>
  <si>
    <t xml:space="preserve">EurekAlert / Insilico</t>
  </si>
  <si>
    <t xml:space="preserve">https://www.eurekalert.org/news-releases/1063134</t>
  </si>
  <si>
    <t xml:space="preserve">Insilico Medicine achieves a milestone in AI-facilitated drug discovery collaboration with Sanofi</t>
  </si>
  <si>
    <t xml:space="preserve">RECENT 2025; partial milestone realization on the 2022 Sanofi/Insilico collab</t>
  </si>
  <si>
    <t xml:space="preserve">2025-04-15</t>
  </si>
  <si>
    <t xml:space="preserve">AI–Pharma Deal Evolution — Curated for Memo Exhibit</t>
  </si>
  <si>
    <t xml:space="preserve">Selected deals 2018–2026 YTD, organized by deal-era. Source: 01_Matrix_Master Deals tab (rows DL-NNN).</t>
  </si>
  <si>
    <t xml:space="preserve">Date</t>
  </si>
  <si>
    <t xml:space="preserve">Pharma</t>
  </si>
  <si>
    <t xml:space="preserve">AI counterparty</t>
  </si>
  <si>
    <t xml:space="preserve">Deal type</t>
  </si>
  <si>
    <t xml:space="preserve">Upfront ($M)</t>
  </si>
  <si>
    <t xml:space="preserve">Total biobucks ($M)</t>
  </si>
  <si>
    <t xml:space="preserve">Equity?</t>
  </si>
  <si>
    <t xml:space="preserve">Scope</t>
  </si>
  <si>
    <t xml:space="preserve">Tier</t>
  </si>
  <si>
    <t xml:space="preserve">Era / Why this deal matters</t>
  </si>
  <si>
    <t xml:space="preserve">2018–2020 — Baseline era (low upfronts, biobucks-heavy)</t>
  </si>
  <si>
    <t xml:space="preserve">n/d</t>
  </si>
  <si>
    <t xml:space="preserve">Bayer × Exscientia (Jan 2020, €240M total) — TERMINATED. Disconfirming.</t>
  </si>
  <si>
    <t xml:space="preserve">DSP-1181 termination — anchors the disconfirming evidence.</t>
  </si>
  <si>
    <t xml:space="preserve">2021 — Post-AlphaFold-2 inflection</t>
  </si>
  <si>
    <t xml:space="preserve">Bayer × Recursion (Dec 2020 + Apr 2024 extension) — multi-stage fibrosis collaboration; 25 multi-modal data packages reported (RD-014).</t>
  </si>
  <si>
    <t xml:space="preserve">Lilly × XtalPi (2023) — $10M up + $250M+ biobucks; AI-physics-based small mol.</t>
  </si>
  <si>
    <t xml:space="preserve">Novartis × Schrödinger (Nov 2024) — $150M up + $2.27B back-end. Confirms the structural shift to nine-figure-up + binding biobucks.</t>
  </si>
  <si>
    <t xml:space="preserve">Roche/Genentech × Recursion (Dec 2021) — $150M upfront, up to 40 programs × $300M+ each. The structural inflection — first nine-figure-up platform deal that wasn't a clinical-asset acquisition.</t>
  </si>
  <si>
    <t xml:space="preserve">2022–2023 — Expansion</t>
  </si>
  <si>
    <t xml:space="preserve">Sanofi × Insilico (Nov 2022) — $21.5M upfront + $1.2B biobucks for AI-discovered small molecules. Anchor of Insilico's external validation.</t>
  </si>
  <si>
    <t xml:space="preserve">GSK × Tempus (2022, $70M data license) — TEM covered ancillary; data-licensing structure, not therapeutic-asset.</t>
  </si>
  <si>
    <t xml:space="preserve">Roche × Recursion (Dec 2023 expansion) — added neuro to the original gastrointestinal collaboration.</t>
  </si>
  <si>
    <t xml:space="preserve">AbbVie × AbCellera (2022 + 2025 expansion) — financials UNDISCLOSED for both events.</t>
  </si>
  <si>
    <t xml:space="preserve">Lilly × Insilico (March 2026) — $2.75B upfront + milestones for Rentosertib license. The 'show me' deal — Rentosertib P3 begins.</t>
  </si>
  <si>
    <t xml:space="preserve">Bristol Myers × Exscientia (2019) — first multi-target collab with a UK AI-native; has since gone quiet on disclosure.</t>
  </si>
  <si>
    <t xml:space="preserve">Sumitomo × Exscientia (Jan 2020) — produced DSP-1181, the first AI-designed Phase 1 drug; DISCONTINUED Jul 2022.</t>
  </si>
  <si>
    <t xml:space="preserve">Amgen × Generate Biomedicines (Jan 2022) — $50M upfront + $1.9B biobucks; largest biologics-AI platform deal. No clinical asset disclosed through 2026-05-11.</t>
  </si>
  <si>
    <t xml:space="preserve">Pfizer × Atomwise (2018) — the archetype low-up / biobucks-heavy deal. ~$1M per target discovery milestones.</t>
  </si>
  <si>
    <t xml:space="preserve">AstraZeneca × Absci (Nov 2023, expanded 2024) — AI antibody discovery.</t>
  </si>
  <si>
    <t xml:space="preserve">EXS-21546 A2A receptor — Exscientia oncology program DISCONTINUED Oct 2023. Disconfirming.</t>
  </si>
  <si>
    <t xml:space="preserve">Lilly × Atomwise (2019) — same template; same per-milestone structure.</t>
  </si>
  <si>
    <t xml:space="preserve">2024 — Peak (nine-figure upfronts, equity tranches)</t>
  </si>
  <si>
    <t xml:space="preserve">Lilly × Isomorphic Labs (Jan 2024) — $45M up + $1.7B milestones. Headline JPM-2024 inflection deal.</t>
  </si>
  <si>
    <t xml:space="preserve">Novartis × Isomorphic Labs (Jan 2024) — $37.5M up + $1.2B milestones, announced same day. ~$2.9B combined biobucks paid for AlphaFold-derived AI access.</t>
  </si>
  <si>
    <t xml:space="preserve">Lilly × OpenAI (Jun 2024) — antimicrobial discovery collaboration; financials UNDISCLOSED. Foundation-model deal structure.</t>
  </si>
  <si>
    <t xml:space="preserve">Recursion × Exscientia (Aug → Nov 2024) — $688M all-stock. First major AI-AI consolidation event. Tells you the AI-native field is consolidating before it has proven clinical-stage outperformance.</t>
  </si>
  <si>
    <t xml:space="preserve">Lilly × Genetic Leap (Sep 2024) — $409M total for RNA target discovery; upfront undisclosed.</t>
  </si>
  <si>
    <t xml:space="preserve">2025–2026 YTD — Latest</t>
  </si>
  <si>
    <t xml:space="preserve">Sanofi × Exscientia (2019/2020) — broad multi-target; one program terminated.</t>
  </si>
  <si>
    <t xml:space="preserve">Pfizer × Causaly (2023) — knowledge graph platform; small but signals back-office AI direction.</t>
  </si>
  <si>
    <t xml:space="preserve">MRNA × OpenAI (2024) — enterprise foundation-model deal; opex automation, not pipeline.</t>
  </si>
  <si>
    <t xml:space="preserve">BMS × Insitro (2024 expansion) — added metabolic programs; financials undisclosed.</t>
  </si>
  <si>
    <t xml:space="preserve">Schrödinger × Lilly (Jan 9 2026) — TuneLab partnership. Only 2026 YTD deal in the dataset.</t>
  </si>
  <si>
    <t xml:space="preserve">Live Matrix Statistics</t>
  </si>
  <si>
    <t xml:space="preserve">Refreshes when Matrix or Deals rows change. Targets per spec Section 11.</t>
  </si>
  <si>
    <t xml:space="preserve">Metric</t>
  </si>
  <si>
    <t xml:space="preserve">Matrix</t>
  </si>
  <si>
    <t xml:space="preserve">Deals</t>
  </si>
  <si>
    <t xml:space="preserve">Total</t>
  </si>
  <si>
    <t xml:space="preserve">Target</t>
  </si>
  <si>
    <t xml:space="preserve">Status</t>
  </si>
  <si>
    <t xml:space="preserve">Total rows</t>
  </si>
  <si>
    <t xml:space="preserve">≥150</t>
  </si>
  <si>
    <t xml:space="preserve">Tier 1 rows</t>
  </si>
  <si>
    <t xml:space="preserve">≥70% of total</t>
  </si>
  <si>
    <t xml:space="preserve">Tier 2 rows</t>
  </si>
  <si>
    <t xml:space="preserve">—</t>
  </si>
  <si>
    <t xml:space="preserve">Tier 1+2 share</t>
  </si>
  <si>
    <t xml:space="preserve">≥85%</t>
  </si>
  <si>
    <t xml:space="preserve">Tier 3 rows</t>
  </si>
  <si>
    <t xml:space="preserve">appendix only</t>
  </si>
  <si>
    <t xml:space="preserve">Consulting/advocacy flagged TRUE</t>
  </si>
  <si>
    <t xml:space="preserve">all = Tier 3</t>
  </si>
  <si>
    <t xml:space="preserve">Disconfirming rows</t>
  </si>
  <si>
    <t xml:space="preserve">≥15% of total</t>
  </si>
  <si>
    <t xml:space="preserve">SOURCE NEEDED rows</t>
  </si>
  <si>
    <t xml:space="preserve">0 at final</t>
  </si>
  <si>
    <t xml:space="preserve">Q1 rows</t>
  </si>
  <si>
    <t xml:space="preserve">≥30</t>
  </si>
  <si>
    <t xml:space="preserve">Q2 rows</t>
  </si>
  <si>
    <t xml:space="preserve">Q3 rows</t>
  </si>
  <si>
    <t xml:space="preserve">Q4 rows</t>
  </si>
  <si>
    <t xml:space="preserve">Combined caveating share (DISCONFIRMING + LIMITED EVIDENCE)</t>
  </si>
  <si>
    <t xml:space="preserve">≥15% (looser bar)</t>
  </si>
  <si>
    <t xml:space="preserve">Excluded Source Log</t>
  </si>
  <si>
    <t xml:space="preserve">Every source rejected during research is logged here so the auditor can verify the sell-side and vendor-marketing exclusions held.</t>
  </si>
  <si>
    <t xml:space="preserve">date_logged</t>
  </si>
  <si>
    <t xml:space="preserve">url_or_reference</t>
  </si>
  <si>
    <t xml:space="preserve">exclusion_reason</t>
  </si>
  <si>
    <t xml:space="preserve">researcher</t>
  </si>
  <si>
    <t xml:space="preserve">downstream_handling</t>
  </si>
  <si>
    <t xml:space="preserve">notes</t>
  </si>
</sst>
</file>

<file path=xl/styles.xml><?xml version="1.0" encoding="utf-8"?>
<styleSheet xmlns="http://schemas.openxmlformats.org/spreadsheetml/2006/main">
  <numFmts count="2">
    <numFmt numFmtId="164" formatCode="General"/>
    <numFmt numFmtId="165" formatCode="0.0%"/>
  </numFmts>
  <fonts count="12">
    <font>
      <sz val="11"/>
      <color theme="1"/>
      <name val="Calibri"/>
      <family val="2"/>
      <charset val="1"/>
    </font>
    <font>
      <sz val="10"/>
      <name val="Arial"/>
      <family val="0"/>
    </font>
    <font>
      <sz val="10"/>
      <name val="Arial"/>
      <family val="0"/>
    </font>
    <font>
      <sz val="10"/>
      <name val="Arial"/>
      <family val="0"/>
    </font>
    <font>
      <b val="true"/>
      <sz val="18"/>
      <color rgb="FF001E3C"/>
      <name val="Calibri"/>
      <family val="0"/>
      <charset val="1"/>
    </font>
    <font>
      <i val="true"/>
      <sz val="11"/>
      <color rgb="FF6C757D"/>
      <name val="Calibri"/>
      <family val="0"/>
      <charset val="1"/>
    </font>
    <font>
      <sz val="10"/>
      <color rgb="FF1A1A1A"/>
      <name val="Calibri"/>
      <family val="0"/>
      <charset val="1"/>
    </font>
    <font>
      <b val="true"/>
      <sz val="12"/>
      <color rgb="FF001E3C"/>
      <name val="Calibri"/>
      <family val="0"/>
      <charset val="1"/>
    </font>
    <font>
      <b val="true"/>
      <sz val="10"/>
      <color rgb="FFFFFFFF"/>
      <name val="Calibri"/>
      <family val="0"/>
      <charset val="1"/>
    </font>
    <font>
      <sz val="10"/>
      <name val="Arial"/>
      <family val="2"/>
    </font>
    <font>
      <b val="true"/>
      <sz val="16"/>
      <color rgb="FF001E3C"/>
      <name val="Calibri"/>
      <family val="0"/>
      <charset val="1"/>
    </font>
    <font>
      <b val="true"/>
      <sz val="10"/>
      <color rgb="FF001E3C"/>
      <name val="Calibri"/>
      <family val="0"/>
      <charset val="1"/>
    </font>
  </fonts>
  <fills count="5">
    <fill>
      <patternFill patternType="none"/>
    </fill>
    <fill>
      <patternFill patternType="gray125"/>
    </fill>
    <fill>
      <patternFill patternType="solid">
        <fgColor rgb="FF001E3C"/>
        <bgColor rgb="FF1A1A1A"/>
      </patternFill>
    </fill>
    <fill>
      <patternFill patternType="solid">
        <fgColor rgb="FFF2F2F2"/>
        <bgColor rgb="FFFFFFFF"/>
      </patternFill>
    </fill>
    <fill>
      <patternFill patternType="solid">
        <fgColor rgb="FFD6E2EE"/>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1" fillId="4" borderId="0"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left" vertical="top"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left" vertical="center" textRotation="0" wrapText="fals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left"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5" fontId="6" fillId="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6C757D"/>
      <rgbColor rgb="FF9999FF"/>
      <rgbColor rgb="FF993366"/>
      <rgbColor rgb="FFF2F2F2"/>
      <rgbColor rgb="FFCCFFFF"/>
      <rgbColor rgb="FF660066"/>
      <rgbColor rgb="FFFF8080"/>
      <rgbColor rgb="FF0066CC"/>
      <rgbColor rgb="FFD6E2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1E3C"/>
      <rgbColor rgb="FF339966"/>
      <rgbColor rgb="FF003300"/>
      <rgbColor rgb="FF333300"/>
      <rgbColor rgb="FF993300"/>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30"/>
  </cols>
  <sheetData>
    <row r="1" customFormat="false" ht="18" hidden="false" customHeight="true" outlineLevel="0" collapsed="false">
      <c r="A1" s="2" t="s">
        <v>0</v>
      </c>
    </row>
    <row r="2" customFormat="false" ht="18" hidden="false" customHeight="true" outlineLevel="0" collapsed="false">
      <c r="A2" s="3" t="s">
        <v>1</v>
      </c>
    </row>
    <row r="3" customFormat="false" ht="18" hidden="false" customHeight="true" outlineLevel="0" collapsed="false">
      <c r="A3" s="4"/>
    </row>
    <row r="4" customFormat="false" ht="18" hidden="false" customHeight="true" outlineLevel="0" collapsed="false">
      <c r="A4" s="5" t="s">
        <v>2</v>
      </c>
    </row>
    <row r="5" customFormat="false" ht="18" hidden="false" customHeight="true" outlineLevel="0" collapsed="false">
      <c r="A5" s="4" t="s">
        <v>3</v>
      </c>
    </row>
    <row r="6" customFormat="false" ht="18" hidden="false" customHeight="true" outlineLevel="0" collapsed="false">
      <c r="A6" s="4"/>
    </row>
    <row r="7" customFormat="false" ht="18" hidden="false" customHeight="true" outlineLevel="0" collapsed="false">
      <c r="A7" s="5" t="s">
        <v>4</v>
      </c>
    </row>
    <row r="8" customFormat="false" ht="18" hidden="false" customHeight="true" outlineLevel="0" collapsed="false">
      <c r="A8" s="4" t="s">
        <v>5</v>
      </c>
    </row>
    <row r="9" customFormat="false" ht="18" hidden="false" customHeight="true" outlineLevel="0" collapsed="false">
      <c r="A9" s="4" t="s">
        <v>6</v>
      </c>
    </row>
    <row r="10" customFormat="false" ht="18" hidden="false" customHeight="true" outlineLevel="0" collapsed="false">
      <c r="A10" s="4" t="s">
        <v>7</v>
      </c>
    </row>
    <row r="11" customFormat="false" ht="18" hidden="false" customHeight="true" outlineLevel="0" collapsed="false">
      <c r="A11" s="4" t="s">
        <v>8</v>
      </c>
    </row>
    <row r="12" customFormat="false" ht="18" hidden="false" customHeight="true" outlineLevel="0" collapsed="false">
      <c r="A12" s="4" t="s">
        <v>9</v>
      </c>
    </row>
    <row r="13" customFormat="false" ht="18" hidden="false" customHeight="true" outlineLevel="0" collapsed="false">
      <c r="A13" s="4"/>
    </row>
    <row r="14" customFormat="false" ht="18" hidden="false" customHeight="true" outlineLevel="0" collapsed="false">
      <c r="A14" s="5" t="s">
        <v>10</v>
      </c>
    </row>
    <row r="15" customFormat="false" ht="18" hidden="false" customHeight="true" outlineLevel="0" collapsed="false">
      <c r="A15" s="4" t="s">
        <v>11</v>
      </c>
    </row>
    <row r="16" customFormat="false" ht="18" hidden="false" customHeight="true" outlineLevel="0" collapsed="false">
      <c r="A16" s="4" t="s">
        <v>12</v>
      </c>
    </row>
    <row r="17" customFormat="false" ht="18" hidden="false" customHeight="true" outlineLevel="0" collapsed="false">
      <c r="A17" s="4" t="s">
        <v>13</v>
      </c>
    </row>
    <row r="18" customFormat="false" ht="18" hidden="false" customHeight="true" outlineLevel="0" collapsed="false">
      <c r="A18" s="4"/>
    </row>
    <row r="19" customFormat="false" ht="18" hidden="false" customHeight="true" outlineLevel="0" collapsed="false">
      <c r="A19" s="5" t="s">
        <v>14</v>
      </c>
    </row>
    <row r="20" customFormat="false" ht="18" hidden="false" customHeight="true" outlineLevel="0" collapsed="false">
      <c r="A20" s="4" t="s">
        <v>15</v>
      </c>
    </row>
    <row r="21" customFormat="false" ht="18" hidden="false" customHeight="true" outlineLevel="0" collapsed="false">
      <c r="A21" s="4" t="s">
        <v>16</v>
      </c>
    </row>
    <row r="22" customFormat="false" ht="18" hidden="false" customHeight="true" outlineLevel="0" collapsed="false">
      <c r="A22" s="4" t="s">
        <v>17</v>
      </c>
    </row>
    <row r="23" customFormat="false" ht="18" hidden="false" customHeight="true" outlineLevel="0" collapsed="false">
      <c r="A23" s="4" t="s">
        <v>18</v>
      </c>
    </row>
    <row r="24" customFormat="false" ht="18" hidden="false" customHeight="true" outlineLevel="0" collapsed="false">
      <c r="A24" s="4"/>
    </row>
    <row r="25" customFormat="false" ht="18" hidden="false" customHeight="true" outlineLevel="0" collapsed="false">
      <c r="A25" s="5" t="s">
        <v>19</v>
      </c>
    </row>
    <row r="26" customFormat="false" ht="18" hidden="false" customHeight="true" outlineLevel="0" collapsed="false">
      <c r="A26" s="4" t="s">
        <v>20</v>
      </c>
    </row>
    <row r="27" customFormat="false" ht="18" hidden="false" customHeight="true" outlineLevel="0" collapsed="false">
      <c r="A27" s="4" t="s">
        <v>21</v>
      </c>
    </row>
    <row r="28" customFormat="false" ht="18" hidden="false" customHeight="true" outlineLevel="0" collapsed="false">
      <c r="A28" s="4" t="s">
        <v>22</v>
      </c>
    </row>
    <row r="29" customFormat="false" ht="18" hidden="false" customHeight="true" outlineLevel="0" collapsed="false">
      <c r="A29" s="4" t="s">
        <v>23</v>
      </c>
    </row>
    <row r="30" customFormat="false" ht="18" hidden="false" customHeight="true" outlineLevel="0" collapsed="false">
      <c r="A30" s="4" t="s">
        <v>24</v>
      </c>
    </row>
    <row r="31" customFormat="false" ht="18" hidden="false" customHeight="true" outlineLevel="0" collapsed="false">
      <c r="A31" s="4"/>
    </row>
    <row r="32" customFormat="false" ht="18" hidden="false" customHeight="true" outlineLevel="0" collapsed="false">
      <c r="A32" s="5" t="s">
        <v>25</v>
      </c>
    </row>
    <row r="33" customFormat="false" ht="18" hidden="false" customHeight="true" outlineLevel="0" collapsed="false">
      <c r="A33" s="4" t="s">
        <v>26</v>
      </c>
    </row>
    <row r="34" customFormat="false" ht="18" hidden="false" customHeight="true" outlineLevel="0" collapsed="false">
      <c r="A34" s="4" t="s">
        <v>27</v>
      </c>
    </row>
    <row r="35" customFormat="false" ht="18" hidden="false" customHeight="true" outlineLevel="0" collapsed="false">
      <c r="A35" s="4" t="s">
        <v>28</v>
      </c>
    </row>
    <row r="36" customFormat="false" ht="18" hidden="false" customHeight="true" outlineLevel="0" collapsed="false">
      <c r="A36" s="4" t="s">
        <v>29</v>
      </c>
    </row>
    <row r="37" customFormat="false" ht="18" hidden="false" customHeight="true" outlineLevel="0" collapsed="false">
      <c r="A37" s="4" t="s">
        <v>30</v>
      </c>
    </row>
    <row r="38" customFormat="false" ht="18" hidden="false" customHeight="true" outlineLevel="0" collapsed="false">
      <c r="A38" s="4" t="s">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10"/>
    <col collapsed="false" customWidth="true" hidden="false" outlineLevel="0" max="3" min="3" style="1" width="26"/>
    <col collapsed="false" customWidth="true" hidden="false" outlineLevel="0" max="4" min="4" style="1" width="55"/>
    <col collapsed="false" customWidth="true" hidden="false" outlineLevel="0" max="6" min="5" style="1" width="22"/>
    <col collapsed="false" customWidth="true" hidden="false" outlineLevel="0" max="7" min="7" style="1" width="18"/>
    <col collapsed="false" customWidth="true" hidden="false" outlineLevel="0" max="8" min="8" style="1" width="16"/>
    <col collapsed="false" customWidth="true" hidden="false" outlineLevel="0" max="9" min="9" style="1" width="12"/>
    <col collapsed="false" customWidth="true" hidden="false" outlineLevel="0" max="10" min="10" style="1" width="22"/>
    <col collapsed="false" customWidth="true" hidden="false" outlineLevel="0" max="11" min="11" style="1" width="32"/>
    <col collapsed="false" customWidth="true" hidden="false" outlineLevel="0" max="12" min="12" style="1" width="40"/>
    <col collapsed="false" customWidth="true" hidden="false" outlineLevel="0" max="13" min="13" style="1" width="14"/>
    <col collapsed="false" customWidth="true" hidden="false" outlineLevel="0" max="14" min="14" style="1" width="50"/>
    <col collapsed="false" customWidth="true" hidden="false" outlineLevel="0" max="15" min="15" style="1" width="28"/>
    <col collapsed="false" customWidth="true" hidden="false" outlineLevel="0" max="16" min="16" style="1" width="18"/>
    <col collapsed="false" customWidth="true" hidden="false" outlineLevel="0" max="17" min="17" style="1" width="28"/>
    <col collapsed="false" customWidth="true" hidden="false" outlineLevel="0" max="18" min="18" style="1" width="45"/>
  </cols>
  <sheetData>
    <row r="1" customFormat="false" ht="36" hidden="false" customHeight="true" outlineLevel="0" collapsed="false">
      <c r="A1" s="6" t="s">
        <v>32</v>
      </c>
      <c r="B1" s="6" t="s">
        <v>33</v>
      </c>
      <c r="C1" s="6" t="s">
        <v>34</v>
      </c>
      <c r="D1" s="6" t="s">
        <v>35</v>
      </c>
      <c r="E1" s="6" t="s">
        <v>36</v>
      </c>
      <c r="F1" s="6" t="s">
        <v>37</v>
      </c>
      <c r="G1" s="6" t="s">
        <v>38</v>
      </c>
      <c r="H1" s="6" t="s">
        <v>39</v>
      </c>
      <c r="I1" s="6" t="s">
        <v>40</v>
      </c>
      <c r="J1" s="6" t="s">
        <v>41</v>
      </c>
      <c r="K1" s="6" t="s">
        <v>42</v>
      </c>
      <c r="L1" s="6" t="s">
        <v>43</v>
      </c>
      <c r="M1" s="6" t="s">
        <v>44</v>
      </c>
      <c r="N1" s="6" t="s">
        <v>45</v>
      </c>
      <c r="O1" s="6" t="s">
        <v>46</v>
      </c>
      <c r="P1" s="6" t="s">
        <v>47</v>
      </c>
      <c r="Q1" s="6" t="s">
        <v>48</v>
      </c>
      <c r="R1" s="6" t="s">
        <v>49</v>
      </c>
    </row>
    <row r="2" customFormat="false" ht="27.75" hidden="false" customHeight="true" outlineLevel="0" collapsed="false">
      <c r="A2" s="7" t="s">
        <v>50</v>
      </c>
      <c r="B2" s="7" t="s">
        <v>51</v>
      </c>
      <c r="C2" s="7" t="s">
        <v>52</v>
      </c>
      <c r="D2" s="7" t="s">
        <v>53</v>
      </c>
      <c r="E2" s="7" t="s">
        <v>54</v>
      </c>
      <c r="F2" s="7" t="s">
        <v>55</v>
      </c>
      <c r="G2" s="7" t="s">
        <v>56</v>
      </c>
      <c r="H2" s="7" t="s">
        <v>57</v>
      </c>
      <c r="I2" s="7" t="s">
        <v>58</v>
      </c>
      <c r="J2" s="7" t="s">
        <v>59</v>
      </c>
      <c r="K2" s="7" t="s">
        <v>60</v>
      </c>
      <c r="L2" s="7" t="s">
        <v>61</v>
      </c>
      <c r="M2" s="7" t="s">
        <v>62</v>
      </c>
      <c r="N2" s="7" t="s">
        <v>63</v>
      </c>
      <c r="O2" s="7" t="s">
        <v>64</v>
      </c>
      <c r="P2" s="7" t="s">
        <v>65</v>
      </c>
      <c r="Q2" s="7" t="s">
        <v>66</v>
      </c>
      <c r="R2" s="7" t="s">
        <v>67</v>
      </c>
    </row>
    <row r="3" customFormat="false" ht="27.75" hidden="false" customHeight="true" outlineLevel="0" collapsed="false">
      <c r="A3" s="8" t="s">
        <v>68</v>
      </c>
      <c r="B3" s="8" t="s">
        <v>51</v>
      </c>
      <c r="C3" s="8" t="s">
        <v>69</v>
      </c>
      <c r="D3" s="8" t="s">
        <v>70</v>
      </c>
      <c r="E3" s="8" t="s">
        <v>71</v>
      </c>
      <c r="F3" s="8" t="s">
        <v>72</v>
      </c>
      <c r="G3" s="8" t="s">
        <v>56</v>
      </c>
      <c r="H3" s="8" t="s">
        <v>73</v>
      </c>
      <c r="I3" s="8" t="s">
        <v>74</v>
      </c>
      <c r="J3" s="8" t="s">
        <v>75</v>
      </c>
      <c r="K3" s="8" t="s">
        <v>76</v>
      </c>
      <c r="L3" s="8" t="s">
        <v>77</v>
      </c>
      <c r="M3" s="8" t="s">
        <v>62</v>
      </c>
      <c r="N3" s="8" t="s">
        <v>78</v>
      </c>
      <c r="O3" s="8" t="s">
        <v>79</v>
      </c>
      <c r="P3" s="8" t="s">
        <v>65</v>
      </c>
      <c r="Q3" s="8" t="s">
        <v>80</v>
      </c>
      <c r="R3" s="8" t="s">
        <v>81</v>
      </c>
    </row>
    <row r="4" customFormat="false" ht="27.75" hidden="false" customHeight="true" outlineLevel="0" collapsed="false">
      <c r="A4" s="7" t="s">
        <v>82</v>
      </c>
      <c r="B4" s="7" t="s">
        <v>51</v>
      </c>
      <c r="C4" s="7" t="s">
        <v>83</v>
      </c>
      <c r="D4" s="7" t="s">
        <v>84</v>
      </c>
      <c r="E4" s="7" t="s">
        <v>85</v>
      </c>
      <c r="F4" s="7" t="s">
        <v>86</v>
      </c>
      <c r="G4" s="7" t="s">
        <v>56</v>
      </c>
      <c r="H4" s="7" t="s">
        <v>73</v>
      </c>
      <c r="I4" s="7" t="s">
        <v>58</v>
      </c>
      <c r="J4" s="7" t="s">
        <v>87</v>
      </c>
      <c r="K4" s="7" t="s">
        <v>88</v>
      </c>
      <c r="L4" s="7" t="s">
        <v>89</v>
      </c>
      <c r="M4" s="7" t="s">
        <v>62</v>
      </c>
      <c r="N4" s="7" t="s">
        <v>90</v>
      </c>
      <c r="O4" s="7" t="s">
        <v>79</v>
      </c>
      <c r="P4" s="7" t="s">
        <v>65</v>
      </c>
      <c r="Q4" s="7" t="s">
        <v>91</v>
      </c>
      <c r="R4" s="7" t="s">
        <v>92</v>
      </c>
    </row>
    <row r="5" customFormat="false" ht="27.75" hidden="false" customHeight="true" outlineLevel="0" collapsed="false">
      <c r="A5" s="8" t="s">
        <v>93</v>
      </c>
      <c r="B5" s="8" t="s">
        <v>51</v>
      </c>
      <c r="C5" s="8" t="s">
        <v>94</v>
      </c>
      <c r="D5" s="8" t="s">
        <v>95</v>
      </c>
      <c r="E5" s="8" t="s">
        <v>96</v>
      </c>
      <c r="F5" s="8" t="s">
        <v>97</v>
      </c>
      <c r="G5" s="8" t="s">
        <v>56</v>
      </c>
      <c r="H5" s="8" t="s">
        <v>73</v>
      </c>
      <c r="I5" s="8" t="s">
        <v>74</v>
      </c>
      <c r="J5" s="8" t="s">
        <v>98</v>
      </c>
      <c r="K5" s="8" t="s">
        <v>99</v>
      </c>
      <c r="L5" s="8" t="s">
        <v>100</v>
      </c>
      <c r="M5" s="8" t="s">
        <v>62</v>
      </c>
      <c r="N5" s="8" t="s">
        <v>101</v>
      </c>
      <c r="O5" s="8" t="s">
        <v>64</v>
      </c>
      <c r="P5" s="8" t="s">
        <v>65</v>
      </c>
      <c r="Q5" s="8" t="s">
        <v>102</v>
      </c>
      <c r="R5" s="8" t="s">
        <v>103</v>
      </c>
    </row>
    <row r="6" customFormat="false" ht="27.75" hidden="false" customHeight="true" outlineLevel="0" collapsed="false">
      <c r="A6" s="7" t="s">
        <v>104</v>
      </c>
      <c r="B6" s="7" t="s">
        <v>51</v>
      </c>
      <c r="C6" s="7" t="s">
        <v>105</v>
      </c>
      <c r="D6" s="7" t="s">
        <v>106</v>
      </c>
      <c r="E6" s="7" t="s">
        <v>107</v>
      </c>
      <c r="F6" s="7" t="s">
        <v>108</v>
      </c>
      <c r="G6" s="7" t="s">
        <v>56</v>
      </c>
      <c r="H6" s="7" t="s">
        <v>109</v>
      </c>
      <c r="I6" s="7" t="s">
        <v>74</v>
      </c>
      <c r="J6" s="7" t="s">
        <v>110</v>
      </c>
      <c r="K6" s="7" t="s">
        <v>111</v>
      </c>
      <c r="L6" s="7" t="s">
        <v>112</v>
      </c>
      <c r="M6" s="7" t="s">
        <v>62</v>
      </c>
      <c r="N6" s="7" t="s">
        <v>113</v>
      </c>
      <c r="O6" s="7" t="s">
        <v>64</v>
      </c>
      <c r="P6" s="7" t="s">
        <v>65</v>
      </c>
      <c r="Q6" s="7" t="s">
        <v>114</v>
      </c>
      <c r="R6" s="7" t="s">
        <v>115</v>
      </c>
    </row>
    <row r="7" customFormat="false" ht="27.75" hidden="false" customHeight="true" outlineLevel="0" collapsed="false">
      <c r="A7" s="8" t="s">
        <v>116</v>
      </c>
      <c r="B7" s="8" t="s">
        <v>51</v>
      </c>
      <c r="C7" s="8" t="s">
        <v>117</v>
      </c>
      <c r="D7" s="8" t="s">
        <v>118</v>
      </c>
      <c r="E7" s="8" t="s">
        <v>119</v>
      </c>
      <c r="F7" s="8" t="s">
        <v>120</v>
      </c>
      <c r="G7" s="8" t="s">
        <v>121</v>
      </c>
      <c r="H7" s="8" t="s">
        <v>122</v>
      </c>
      <c r="I7" s="8" t="s">
        <v>74</v>
      </c>
      <c r="J7" s="8" t="s">
        <v>123</v>
      </c>
      <c r="K7" s="8" t="s">
        <v>124</v>
      </c>
      <c r="L7" s="8" t="s">
        <v>125</v>
      </c>
      <c r="M7" s="8" t="s">
        <v>62</v>
      </c>
      <c r="N7" s="8" t="s">
        <v>126</v>
      </c>
      <c r="O7" s="8" t="s">
        <v>79</v>
      </c>
      <c r="P7" s="8" t="s">
        <v>65</v>
      </c>
      <c r="Q7" s="8" t="s">
        <v>127</v>
      </c>
      <c r="R7" s="8" t="s">
        <v>128</v>
      </c>
    </row>
    <row r="8" customFormat="false" ht="27.75" hidden="false" customHeight="true" outlineLevel="0" collapsed="false">
      <c r="A8" s="7" t="s">
        <v>129</v>
      </c>
      <c r="B8" s="7" t="s">
        <v>51</v>
      </c>
      <c r="C8" s="7" t="s">
        <v>130</v>
      </c>
      <c r="D8" s="7" t="s">
        <v>131</v>
      </c>
      <c r="E8" s="7" t="s">
        <v>132</v>
      </c>
      <c r="F8" s="7" t="s">
        <v>55</v>
      </c>
      <c r="G8" s="7" t="s">
        <v>56</v>
      </c>
      <c r="H8" s="7" t="s">
        <v>57</v>
      </c>
      <c r="I8" s="7" t="s">
        <v>133</v>
      </c>
      <c r="J8" s="7" t="s">
        <v>134</v>
      </c>
      <c r="K8" s="7" t="s">
        <v>135</v>
      </c>
      <c r="L8" s="7" t="s">
        <v>136</v>
      </c>
      <c r="M8" s="7" t="s">
        <v>62</v>
      </c>
      <c r="N8" s="7" t="s">
        <v>137</v>
      </c>
      <c r="O8" s="7" t="s">
        <v>64</v>
      </c>
      <c r="P8" s="7" t="s">
        <v>65</v>
      </c>
      <c r="Q8" s="7" t="s">
        <v>138</v>
      </c>
      <c r="R8" s="7" t="s">
        <v>139</v>
      </c>
    </row>
    <row r="9" customFormat="false" ht="27.75" hidden="false" customHeight="true" outlineLevel="0" collapsed="false">
      <c r="A9" s="8" t="s">
        <v>140</v>
      </c>
      <c r="B9" s="8" t="s">
        <v>51</v>
      </c>
      <c r="C9" s="8" t="s">
        <v>141</v>
      </c>
      <c r="D9" s="8" t="s">
        <v>142</v>
      </c>
      <c r="E9" s="8" t="s">
        <v>143</v>
      </c>
      <c r="F9" s="8" t="s">
        <v>144</v>
      </c>
      <c r="G9" s="8" t="s">
        <v>56</v>
      </c>
      <c r="H9" s="8" t="s">
        <v>145</v>
      </c>
      <c r="I9" s="8" t="s">
        <v>58</v>
      </c>
      <c r="J9" s="8" t="s">
        <v>146</v>
      </c>
      <c r="K9" s="8" t="s">
        <v>147</v>
      </c>
      <c r="L9" s="8" t="s">
        <v>148</v>
      </c>
      <c r="M9" s="8" t="s">
        <v>62</v>
      </c>
      <c r="N9" s="8" t="s">
        <v>149</v>
      </c>
      <c r="O9" s="8" t="s">
        <v>64</v>
      </c>
      <c r="P9" s="8" t="s">
        <v>65</v>
      </c>
      <c r="Q9" s="8" t="s">
        <v>127</v>
      </c>
      <c r="R9" s="8" t="s">
        <v>150</v>
      </c>
    </row>
    <row r="10" customFormat="false" ht="27.75" hidden="false" customHeight="true" outlineLevel="0" collapsed="false">
      <c r="A10" s="7" t="s">
        <v>151</v>
      </c>
      <c r="B10" s="7" t="s">
        <v>51</v>
      </c>
      <c r="C10" s="7" t="s">
        <v>152</v>
      </c>
      <c r="D10" s="7" t="s">
        <v>153</v>
      </c>
      <c r="E10" s="7" t="s">
        <v>154</v>
      </c>
      <c r="F10" s="7" t="s">
        <v>155</v>
      </c>
      <c r="G10" s="7" t="s">
        <v>56</v>
      </c>
      <c r="H10" s="7" t="s">
        <v>109</v>
      </c>
      <c r="I10" s="7" t="s">
        <v>58</v>
      </c>
      <c r="J10" s="7" t="s">
        <v>156</v>
      </c>
      <c r="K10" s="7" t="s">
        <v>157</v>
      </c>
      <c r="L10" s="7" t="s">
        <v>158</v>
      </c>
      <c r="M10" s="7" t="s">
        <v>62</v>
      </c>
      <c r="N10" s="7" t="s">
        <v>159</v>
      </c>
      <c r="O10" s="7" t="s">
        <v>160</v>
      </c>
      <c r="P10" s="7" t="s">
        <v>65</v>
      </c>
      <c r="Q10" s="7" t="s">
        <v>161</v>
      </c>
      <c r="R10" s="7" t="s">
        <v>162</v>
      </c>
    </row>
    <row r="11" customFormat="false" ht="27.75" hidden="false" customHeight="true" outlineLevel="0" collapsed="false">
      <c r="A11" s="8" t="s">
        <v>163</v>
      </c>
      <c r="B11" s="8" t="s">
        <v>51</v>
      </c>
      <c r="C11" s="8" t="s">
        <v>164</v>
      </c>
      <c r="D11" s="8" t="s">
        <v>165</v>
      </c>
      <c r="E11" s="8" t="s">
        <v>166</v>
      </c>
      <c r="F11" s="8" t="s">
        <v>155</v>
      </c>
      <c r="G11" s="8" t="s">
        <v>56</v>
      </c>
      <c r="H11" s="8" t="s">
        <v>109</v>
      </c>
      <c r="I11" s="8" t="s">
        <v>133</v>
      </c>
      <c r="J11" s="8" t="s">
        <v>167</v>
      </c>
      <c r="K11" s="8" t="s">
        <v>168</v>
      </c>
      <c r="L11" s="8" t="s">
        <v>169</v>
      </c>
      <c r="M11" s="8" t="s">
        <v>62</v>
      </c>
      <c r="N11" s="8" t="s">
        <v>170</v>
      </c>
      <c r="O11" s="8" t="s">
        <v>171</v>
      </c>
      <c r="P11" s="8" t="s">
        <v>65</v>
      </c>
      <c r="Q11" s="8" t="s">
        <v>172</v>
      </c>
      <c r="R11" s="8" t="s">
        <v>173</v>
      </c>
    </row>
    <row r="12" customFormat="false" ht="27.75" hidden="false" customHeight="true" outlineLevel="0" collapsed="false">
      <c r="A12" s="7" t="s">
        <v>174</v>
      </c>
      <c r="B12" s="7" t="s">
        <v>51</v>
      </c>
      <c r="C12" s="7" t="s">
        <v>175</v>
      </c>
      <c r="D12" s="7" t="s">
        <v>176</v>
      </c>
      <c r="E12" s="7" t="s">
        <v>177</v>
      </c>
      <c r="F12" s="7" t="s">
        <v>55</v>
      </c>
      <c r="G12" s="7" t="s">
        <v>56</v>
      </c>
      <c r="H12" s="7" t="s">
        <v>109</v>
      </c>
      <c r="I12" s="7" t="s">
        <v>58</v>
      </c>
      <c r="J12" s="7" t="s">
        <v>178</v>
      </c>
      <c r="K12" s="7" t="s">
        <v>179</v>
      </c>
      <c r="L12" s="7" t="s">
        <v>180</v>
      </c>
      <c r="M12" s="7" t="s">
        <v>62</v>
      </c>
      <c r="N12" s="7" t="s">
        <v>181</v>
      </c>
      <c r="O12" s="7" t="s">
        <v>182</v>
      </c>
      <c r="P12" s="7" t="s">
        <v>65</v>
      </c>
      <c r="Q12" s="7" t="s">
        <v>183</v>
      </c>
      <c r="R12" s="7" t="s">
        <v>184</v>
      </c>
    </row>
    <row r="13" customFormat="false" ht="27.75" hidden="false" customHeight="true" outlineLevel="0" collapsed="false">
      <c r="A13" s="8" t="s">
        <v>185</v>
      </c>
      <c r="B13" s="8" t="s">
        <v>51</v>
      </c>
      <c r="C13" s="8" t="s">
        <v>186</v>
      </c>
      <c r="D13" s="8" t="s">
        <v>187</v>
      </c>
      <c r="E13" s="8" t="s">
        <v>188</v>
      </c>
      <c r="F13" s="8" t="s">
        <v>55</v>
      </c>
      <c r="G13" s="8" t="s">
        <v>56</v>
      </c>
      <c r="H13" s="8" t="s">
        <v>109</v>
      </c>
      <c r="I13" s="8" t="s">
        <v>58</v>
      </c>
      <c r="J13" s="8" t="s">
        <v>189</v>
      </c>
      <c r="K13" s="8" t="s">
        <v>179</v>
      </c>
      <c r="L13" s="8" t="s">
        <v>180</v>
      </c>
      <c r="M13" s="8" t="s">
        <v>62</v>
      </c>
      <c r="N13" s="8" t="s">
        <v>190</v>
      </c>
      <c r="O13" s="8" t="s">
        <v>182</v>
      </c>
      <c r="P13" s="8" t="s">
        <v>65</v>
      </c>
      <c r="Q13" s="8" t="s">
        <v>191</v>
      </c>
      <c r="R13" s="8" t="s">
        <v>192</v>
      </c>
    </row>
    <row r="14" customFormat="false" ht="27.75" hidden="false" customHeight="true" outlineLevel="0" collapsed="false">
      <c r="A14" s="7" t="s">
        <v>193</v>
      </c>
      <c r="B14" s="7" t="s">
        <v>51</v>
      </c>
      <c r="C14" s="7" t="s">
        <v>194</v>
      </c>
      <c r="D14" s="7" t="s">
        <v>195</v>
      </c>
      <c r="E14" s="7" t="s">
        <v>196</v>
      </c>
      <c r="F14" s="7" t="s">
        <v>55</v>
      </c>
      <c r="G14" s="7" t="s">
        <v>56</v>
      </c>
      <c r="H14" s="7" t="s">
        <v>109</v>
      </c>
      <c r="I14" s="7" t="s">
        <v>74</v>
      </c>
      <c r="J14" s="7" t="s">
        <v>178</v>
      </c>
      <c r="K14" s="7" t="s">
        <v>197</v>
      </c>
      <c r="L14" s="7" t="s">
        <v>180</v>
      </c>
      <c r="M14" s="7" t="s">
        <v>62</v>
      </c>
      <c r="N14" s="7" t="s">
        <v>198</v>
      </c>
      <c r="O14" s="7" t="s">
        <v>64</v>
      </c>
      <c r="P14" s="7" t="s">
        <v>65</v>
      </c>
      <c r="Q14" s="7" t="s">
        <v>199</v>
      </c>
      <c r="R14" s="7" t="s">
        <v>200</v>
      </c>
    </row>
    <row r="15" customFormat="false" ht="27.75" hidden="false" customHeight="true" outlineLevel="0" collapsed="false">
      <c r="A15" s="8" t="s">
        <v>201</v>
      </c>
      <c r="B15" s="8" t="s">
        <v>51</v>
      </c>
      <c r="C15" s="8" t="s">
        <v>202</v>
      </c>
      <c r="D15" s="8" t="s">
        <v>203</v>
      </c>
      <c r="E15" s="8" t="s">
        <v>204</v>
      </c>
      <c r="F15" s="8" t="s">
        <v>108</v>
      </c>
      <c r="G15" s="8" t="s">
        <v>56</v>
      </c>
      <c r="H15" s="8" t="s">
        <v>109</v>
      </c>
      <c r="I15" s="8" t="s">
        <v>74</v>
      </c>
      <c r="J15" s="8" t="s">
        <v>205</v>
      </c>
      <c r="K15" s="8" t="s">
        <v>206</v>
      </c>
      <c r="L15" s="8" t="s">
        <v>207</v>
      </c>
      <c r="M15" s="8" t="s">
        <v>62</v>
      </c>
      <c r="N15" s="8" t="s">
        <v>208</v>
      </c>
      <c r="O15" s="8" t="s">
        <v>64</v>
      </c>
      <c r="P15" s="8" t="s">
        <v>65</v>
      </c>
      <c r="Q15" s="8" t="s">
        <v>209</v>
      </c>
      <c r="R15" s="8" t="s">
        <v>210</v>
      </c>
    </row>
    <row r="16" customFormat="false" ht="27.75" hidden="false" customHeight="true" outlineLevel="0" collapsed="false">
      <c r="A16" s="7" t="s">
        <v>211</v>
      </c>
      <c r="B16" s="7" t="s">
        <v>51</v>
      </c>
      <c r="C16" s="7" t="s">
        <v>212</v>
      </c>
      <c r="D16" s="7" t="s">
        <v>213</v>
      </c>
      <c r="E16" s="7" t="s">
        <v>214</v>
      </c>
      <c r="F16" s="7" t="s">
        <v>215</v>
      </c>
      <c r="G16" s="7" t="s">
        <v>56</v>
      </c>
      <c r="H16" s="7" t="s">
        <v>109</v>
      </c>
      <c r="I16" s="7" t="s">
        <v>58</v>
      </c>
      <c r="J16" s="7" t="s">
        <v>216</v>
      </c>
      <c r="K16" s="7" t="s">
        <v>217</v>
      </c>
      <c r="L16" s="7" t="s">
        <v>218</v>
      </c>
      <c r="M16" s="7" t="s">
        <v>62</v>
      </c>
      <c r="N16" s="7" t="s">
        <v>219</v>
      </c>
      <c r="O16" s="7" t="s">
        <v>182</v>
      </c>
      <c r="P16" s="7" t="s">
        <v>65</v>
      </c>
      <c r="Q16" s="7" t="s">
        <v>220</v>
      </c>
      <c r="R16" s="7" t="s">
        <v>221</v>
      </c>
    </row>
    <row r="17" customFormat="false" ht="27.75" hidden="false" customHeight="true" outlineLevel="0" collapsed="false">
      <c r="A17" s="8" t="s">
        <v>222</v>
      </c>
      <c r="B17" s="8" t="s">
        <v>51</v>
      </c>
      <c r="C17" s="8" t="s">
        <v>223</v>
      </c>
      <c r="D17" s="8" t="s">
        <v>224</v>
      </c>
      <c r="E17" s="8" t="s">
        <v>225</v>
      </c>
      <c r="F17" s="8" t="s">
        <v>55</v>
      </c>
      <c r="G17" s="8" t="s">
        <v>56</v>
      </c>
      <c r="H17" s="8" t="s">
        <v>109</v>
      </c>
      <c r="I17" s="8" t="s">
        <v>58</v>
      </c>
      <c r="J17" s="8" t="s">
        <v>226</v>
      </c>
      <c r="K17" s="8" t="s">
        <v>227</v>
      </c>
      <c r="L17" s="8" t="s">
        <v>228</v>
      </c>
      <c r="M17" s="8" t="s">
        <v>62</v>
      </c>
      <c r="N17" s="8" t="s">
        <v>229</v>
      </c>
      <c r="O17" s="8" t="s">
        <v>64</v>
      </c>
      <c r="P17" s="8" t="s">
        <v>65</v>
      </c>
      <c r="Q17" s="8" t="s">
        <v>230</v>
      </c>
      <c r="R17" s="8" t="s">
        <v>231</v>
      </c>
    </row>
    <row r="18" customFormat="false" ht="27.75" hidden="false" customHeight="true" outlineLevel="0" collapsed="false">
      <c r="A18" s="7" t="s">
        <v>232</v>
      </c>
      <c r="B18" s="7" t="s">
        <v>51</v>
      </c>
      <c r="C18" s="7" t="s">
        <v>233</v>
      </c>
      <c r="D18" s="7" t="s">
        <v>234</v>
      </c>
      <c r="E18" s="7" t="s">
        <v>235</v>
      </c>
      <c r="F18" s="7" t="s">
        <v>236</v>
      </c>
      <c r="G18" s="7" t="s">
        <v>56</v>
      </c>
      <c r="H18" s="7" t="s">
        <v>109</v>
      </c>
      <c r="I18" s="7" t="s">
        <v>133</v>
      </c>
      <c r="J18" s="7" t="s">
        <v>237</v>
      </c>
      <c r="K18" s="7" t="s">
        <v>238</v>
      </c>
      <c r="L18" s="7" t="s">
        <v>239</v>
      </c>
      <c r="M18" s="7" t="s">
        <v>62</v>
      </c>
      <c r="N18" s="7" t="s">
        <v>240</v>
      </c>
      <c r="O18" s="7" t="s">
        <v>171</v>
      </c>
      <c r="P18" s="7" t="s">
        <v>65</v>
      </c>
      <c r="Q18" s="7" t="s">
        <v>199</v>
      </c>
      <c r="R18" s="7" t="s">
        <v>241</v>
      </c>
    </row>
    <row r="19" customFormat="false" ht="27.75" hidden="false" customHeight="true" outlineLevel="0" collapsed="false">
      <c r="A19" s="8" t="s">
        <v>242</v>
      </c>
      <c r="B19" s="8" t="s">
        <v>51</v>
      </c>
      <c r="C19" s="8" t="s">
        <v>243</v>
      </c>
      <c r="D19" s="8" t="s">
        <v>244</v>
      </c>
      <c r="E19" s="8" t="s">
        <v>245</v>
      </c>
      <c r="F19" s="8" t="s">
        <v>246</v>
      </c>
      <c r="G19" s="8" t="s">
        <v>56</v>
      </c>
      <c r="H19" s="8" t="s">
        <v>109</v>
      </c>
      <c r="I19" s="8" t="s">
        <v>58</v>
      </c>
      <c r="J19" s="8" t="s">
        <v>247</v>
      </c>
      <c r="K19" s="8" t="s">
        <v>248</v>
      </c>
      <c r="L19" s="8" t="s">
        <v>249</v>
      </c>
      <c r="M19" s="8" t="s">
        <v>62</v>
      </c>
      <c r="N19" s="8" t="s">
        <v>250</v>
      </c>
      <c r="O19" s="8" t="s">
        <v>182</v>
      </c>
      <c r="P19" s="8" t="s">
        <v>65</v>
      </c>
      <c r="Q19" s="8" t="s">
        <v>251</v>
      </c>
      <c r="R19" s="8" t="s">
        <v>252</v>
      </c>
    </row>
    <row r="20" customFormat="false" ht="27.75" hidden="false" customHeight="true" outlineLevel="0" collapsed="false">
      <c r="A20" s="7" t="s">
        <v>253</v>
      </c>
      <c r="B20" s="7" t="s">
        <v>51</v>
      </c>
      <c r="C20" s="7" t="s">
        <v>254</v>
      </c>
      <c r="D20" s="7" t="s">
        <v>255</v>
      </c>
      <c r="E20" s="7" t="s">
        <v>256</v>
      </c>
      <c r="F20" s="7" t="s">
        <v>55</v>
      </c>
      <c r="G20" s="7" t="s">
        <v>56</v>
      </c>
      <c r="H20" s="7" t="s">
        <v>109</v>
      </c>
      <c r="I20" s="7" t="s">
        <v>74</v>
      </c>
      <c r="J20" s="7" t="s">
        <v>167</v>
      </c>
      <c r="K20" s="7" t="s">
        <v>257</v>
      </c>
      <c r="L20" s="7" t="s">
        <v>258</v>
      </c>
      <c r="M20" s="7" t="s">
        <v>62</v>
      </c>
      <c r="N20" s="7" t="s">
        <v>259</v>
      </c>
      <c r="O20" s="7" t="s">
        <v>79</v>
      </c>
      <c r="P20" s="7" t="s">
        <v>65</v>
      </c>
      <c r="Q20" s="7" t="s">
        <v>260</v>
      </c>
      <c r="R20" s="7" t="s">
        <v>261</v>
      </c>
    </row>
    <row r="21" customFormat="false" ht="27.75" hidden="false" customHeight="true" outlineLevel="0" collapsed="false">
      <c r="A21" s="8" t="s">
        <v>262</v>
      </c>
      <c r="B21" s="8" t="s">
        <v>51</v>
      </c>
      <c r="C21" s="8" t="s">
        <v>263</v>
      </c>
      <c r="D21" s="8" t="s">
        <v>264</v>
      </c>
      <c r="E21" s="8" t="s">
        <v>265</v>
      </c>
      <c r="F21" s="8" t="s">
        <v>266</v>
      </c>
      <c r="G21" s="8" t="s">
        <v>267</v>
      </c>
      <c r="H21" s="8" t="s">
        <v>145</v>
      </c>
      <c r="I21" s="8" t="s">
        <v>58</v>
      </c>
      <c r="J21" s="8" t="s">
        <v>268</v>
      </c>
      <c r="K21" s="8" t="s">
        <v>269</v>
      </c>
      <c r="L21" s="8" t="s">
        <v>270</v>
      </c>
      <c r="M21" s="8" t="s">
        <v>62</v>
      </c>
      <c r="N21" s="8" t="s">
        <v>271</v>
      </c>
      <c r="O21" s="8" t="s">
        <v>79</v>
      </c>
      <c r="P21" s="8" t="s">
        <v>65</v>
      </c>
      <c r="Q21" s="8" t="s">
        <v>272</v>
      </c>
      <c r="R21" s="8" t="s">
        <v>273</v>
      </c>
    </row>
    <row r="22" customFormat="false" ht="27.75" hidden="false" customHeight="true" outlineLevel="0" collapsed="false">
      <c r="A22" s="7" t="s">
        <v>274</v>
      </c>
      <c r="B22" s="7" t="s">
        <v>51</v>
      </c>
      <c r="C22" s="7" t="s">
        <v>275</v>
      </c>
      <c r="D22" s="7" t="s">
        <v>276</v>
      </c>
      <c r="E22" s="7" t="s">
        <v>277</v>
      </c>
      <c r="F22" s="7" t="s">
        <v>266</v>
      </c>
      <c r="G22" s="7" t="s">
        <v>56</v>
      </c>
      <c r="H22" s="7" t="s">
        <v>145</v>
      </c>
      <c r="I22" s="7" t="s">
        <v>74</v>
      </c>
      <c r="J22" s="7" t="s">
        <v>278</v>
      </c>
      <c r="K22" s="7" t="s">
        <v>279</v>
      </c>
      <c r="L22" s="7" t="s">
        <v>280</v>
      </c>
      <c r="M22" s="7" t="s">
        <v>62</v>
      </c>
      <c r="N22" s="7" t="s">
        <v>281</v>
      </c>
      <c r="O22" s="7" t="s">
        <v>182</v>
      </c>
      <c r="P22" s="7" t="s">
        <v>65</v>
      </c>
      <c r="Q22" s="7" t="s">
        <v>282</v>
      </c>
      <c r="R22" s="7" t="s">
        <v>283</v>
      </c>
    </row>
    <row r="23" customFormat="false" ht="27.75" hidden="false" customHeight="true" outlineLevel="0" collapsed="false">
      <c r="A23" s="8" t="s">
        <v>284</v>
      </c>
      <c r="B23" s="8" t="s">
        <v>51</v>
      </c>
      <c r="C23" s="8" t="s">
        <v>285</v>
      </c>
      <c r="D23" s="8" t="s">
        <v>286</v>
      </c>
      <c r="E23" s="8" t="s">
        <v>287</v>
      </c>
      <c r="F23" s="8" t="s">
        <v>288</v>
      </c>
      <c r="G23" s="8" t="s">
        <v>56</v>
      </c>
      <c r="H23" s="8" t="s">
        <v>145</v>
      </c>
      <c r="I23" s="8" t="s">
        <v>58</v>
      </c>
      <c r="J23" s="8" t="s">
        <v>247</v>
      </c>
      <c r="K23" s="8" t="s">
        <v>289</v>
      </c>
      <c r="L23" s="8" t="s">
        <v>290</v>
      </c>
      <c r="M23" s="8" t="s">
        <v>62</v>
      </c>
      <c r="N23" s="8" t="s">
        <v>291</v>
      </c>
      <c r="O23" s="8" t="s">
        <v>182</v>
      </c>
      <c r="P23" s="8" t="s">
        <v>65</v>
      </c>
      <c r="Q23" s="8" t="s">
        <v>292</v>
      </c>
      <c r="R23" s="8" t="s">
        <v>293</v>
      </c>
    </row>
    <row r="24" customFormat="false" ht="27.75" hidden="false" customHeight="true" outlineLevel="0" collapsed="false">
      <c r="A24" s="7" t="s">
        <v>294</v>
      </c>
      <c r="B24" s="7" t="s">
        <v>51</v>
      </c>
      <c r="C24" s="7" t="s">
        <v>295</v>
      </c>
      <c r="D24" s="7" t="s">
        <v>296</v>
      </c>
      <c r="E24" s="7" t="s">
        <v>297</v>
      </c>
      <c r="F24" s="7" t="s">
        <v>288</v>
      </c>
      <c r="G24" s="7" t="s">
        <v>56</v>
      </c>
      <c r="H24" s="7" t="s">
        <v>109</v>
      </c>
      <c r="I24" s="7" t="s">
        <v>74</v>
      </c>
      <c r="J24" s="7" t="s">
        <v>298</v>
      </c>
      <c r="K24" s="7" t="s">
        <v>299</v>
      </c>
      <c r="L24" s="7" t="s">
        <v>300</v>
      </c>
      <c r="M24" s="7" t="s">
        <v>62</v>
      </c>
      <c r="N24" s="7" t="s">
        <v>301</v>
      </c>
      <c r="O24" s="7" t="s">
        <v>64</v>
      </c>
      <c r="P24" s="7" t="s">
        <v>65</v>
      </c>
      <c r="Q24" s="7" t="s">
        <v>302</v>
      </c>
      <c r="R24" s="7" t="s">
        <v>303</v>
      </c>
    </row>
    <row r="25" customFormat="false" ht="27.75" hidden="false" customHeight="true" outlineLevel="0" collapsed="false">
      <c r="A25" s="8" t="s">
        <v>304</v>
      </c>
      <c r="B25" s="8" t="s">
        <v>51</v>
      </c>
      <c r="C25" s="8" t="s">
        <v>305</v>
      </c>
      <c r="D25" s="8" t="s">
        <v>306</v>
      </c>
      <c r="E25" s="8" t="s">
        <v>307</v>
      </c>
      <c r="F25" s="8" t="s">
        <v>308</v>
      </c>
      <c r="G25" s="8" t="s">
        <v>56</v>
      </c>
      <c r="H25" s="8" t="s">
        <v>57</v>
      </c>
      <c r="I25" s="8" t="s">
        <v>74</v>
      </c>
      <c r="J25" s="8" t="s">
        <v>309</v>
      </c>
      <c r="K25" s="8" t="s">
        <v>310</v>
      </c>
      <c r="L25" s="8" t="s">
        <v>311</v>
      </c>
      <c r="M25" s="8" t="s">
        <v>62</v>
      </c>
      <c r="N25" s="8" t="s">
        <v>312</v>
      </c>
      <c r="O25" s="8" t="s">
        <v>64</v>
      </c>
      <c r="P25" s="8" t="s">
        <v>65</v>
      </c>
      <c r="Q25" s="8" t="s">
        <v>313</v>
      </c>
      <c r="R25" s="8" t="s">
        <v>314</v>
      </c>
    </row>
    <row r="26" customFormat="false" ht="27.75" hidden="false" customHeight="true" outlineLevel="0" collapsed="false">
      <c r="A26" s="7" t="s">
        <v>315</v>
      </c>
      <c r="B26" s="7" t="s">
        <v>51</v>
      </c>
      <c r="C26" s="7" t="s">
        <v>316</v>
      </c>
      <c r="D26" s="7" t="s">
        <v>317</v>
      </c>
      <c r="E26" s="7" t="s">
        <v>318</v>
      </c>
      <c r="F26" s="7" t="s">
        <v>144</v>
      </c>
      <c r="G26" s="7" t="s">
        <v>56</v>
      </c>
      <c r="H26" s="7" t="s">
        <v>145</v>
      </c>
      <c r="I26" s="7" t="s">
        <v>58</v>
      </c>
      <c r="J26" s="7" t="s">
        <v>319</v>
      </c>
      <c r="K26" s="7" t="s">
        <v>320</v>
      </c>
      <c r="L26" s="7" t="s">
        <v>321</v>
      </c>
      <c r="M26" s="7" t="s">
        <v>62</v>
      </c>
      <c r="N26" s="7" t="s">
        <v>322</v>
      </c>
      <c r="O26" s="7" t="s">
        <v>64</v>
      </c>
      <c r="P26" s="7" t="s">
        <v>65</v>
      </c>
      <c r="Q26" s="7" t="s">
        <v>323</v>
      </c>
      <c r="R26" s="7" t="s">
        <v>324</v>
      </c>
    </row>
    <row r="27" customFormat="false" ht="27.75" hidden="false" customHeight="true" outlineLevel="0" collapsed="false">
      <c r="A27" s="8" t="s">
        <v>325</v>
      </c>
      <c r="B27" s="8" t="s">
        <v>51</v>
      </c>
      <c r="C27" s="8" t="s">
        <v>326</v>
      </c>
      <c r="D27" s="8" t="s">
        <v>327</v>
      </c>
      <c r="E27" s="8" t="s">
        <v>328</v>
      </c>
      <c r="F27" s="8" t="s">
        <v>329</v>
      </c>
      <c r="G27" s="8" t="s">
        <v>56</v>
      </c>
      <c r="H27" s="8" t="s">
        <v>109</v>
      </c>
      <c r="I27" s="8" t="s">
        <v>74</v>
      </c>
      <c r="J27" s="8" t="s">
        <v>330</v>
      </c>
      <c r="K27" s="8" t="s">
        <v>331</v>
      </c>
      <c r="L27" s="8" t="s">
        <v>332</v>
      </c>
      <c r="M27" s="8" t="s">
        <v>62</v>
      </c>
      <c r="N27" s="8" t="s">
        <v>333</v>
      </c>
      <c r="O27" s="8" t="s">
        <v>64</v>
      </c>
      <c r="P27" s="8" t="s">
        <v>65</v>
      </c>
      <c r="Q27" s="8" t="s">
        <v>334</v>
      </c>
      <c r="R27" s="8" t="s">
        <v>335</v>
      </c>
    </row>
    <row r="28" customFormat="false" ht="27.75" hidden="false" customHeight="true" outlineLevel="0" collapsed="false">
      <c r="A28" s="7" t="s">
        <v>336</v>
      </c>
      <c r="B28" s="7" t="s">
        <v>51</v>
      </c>
      <c r="C28" s="7" t="s">
        <v>337</v>
      </c>
      <c r="D28" s="7" t="s">
        <v>338</v>
      </c>
      <c r="E28" s="7" t="s">
        <v>339</v>
      </c>
      <c r="F28" s="7" t="s">
        <v>340</v>
      </c>
      <c r="G28" s="7" t="s">
        <v>56</v>
      </c>
      <c r="H28" s="7" t="s">
        <v>109</v>
      </c>
      <c r="I28" s="7" t="s">
        <v>58</v>
      </c>
      <c r="J28" s="7" t="s">
        <v>341</v>
      </c>
      <c r="K28" s="7" t="s">
        <v>342</v>
      </c>
      <c r="L28" s="7" t="s">
        <v>343</v>
      </c>
      <c r="M28" s="7" t="s">
        <v>62</v>
      </c>
      <c r="N28" s="7" t="s">
        <v>344</v>
      </c>
      <c r="O28" s="7" t="s">
        <v>64</v>
      </c>
      <c r="P28" s="7" t="s">
        <v>65</v>
      </c>
      <c r="Q28" s="7" t="s">
        <v>345</v>
      </c>
      <c r="R28" s="7" t="s">
        <v>346</v>
      </c>
    </row>
    <row r="29" customFormat="false" ht="27.75" hidden="false" customHeight="true" outlineLevel="0" collapsed="false">
      <c r="A29" s="8" t="s">
        <v>347</v>
      </c>
      <c r="B29" s="8" t="s">
        <v>51</v>
      </c>
      <c r="C29" s="8" t="s">
        <v>348</v>
      </c>
      <c r="D29" s="8" t="s">
        <v>349</v>
      </c>
      <c r="E29" s="8" t="s">
        <v>350</v>
      </c>
      <c r="F29" s="8" t="s">
        <v>351</v>
      </c>
      <c r="G29" s="8" t="s">
        <v>352</v>
      </c>
      <c r="H29" s="8" t="s">
        <v>353</v>
      </c>
      <c r="I29" s="8" t="s">
        <v>58</v>
      </c>
      <c r="J29" s="8" t="s">
        <v>354</v>
      </c>
      <c r="K29" s="8" t="s">
        <v>355</v>
      </c>
      <c r="L29" s="8" t="s">
        <v>356</v>
      </c>
      <c r="M29" s="8" t="s">
        <v>62</v>
      </c>
      <c r="N29" s="8" t="s">
        <v>357</v>
      </c>
      <c r="O29" s="8" t="s">
        <v>182</v>
      </c>
      <c r="P29" s="8" t="s">
        <v>65</v>
      </c>
      <c r="Q29" s="8" t="s">
        <v>358</v>
      </c>
      <c r="R29" s="8" t="s">
        <v>359</v>
      </c>
    </row>
    <row r="30" customFormat="false" ht="27.75" hidden="false" customHeight="true" outlineLevel="0" collapsed="false">
      <c r="A30" s="7" t="s">
        <v>360</v>
      </c>
      <c r="B30" s="7" t="s">
        <v>51</v>
      </c>
      <c r="C30" s="7" t="s">
        <v>361</v>
      </c>
      <c r="D30" s="7" t="s">
        <v>362</v>
      </c>
      <c r="E30" s="7" t="s">
        <v>363</v>
      </c>
      <c r="F30" s="7" t="s">
        <v>364</v>
      </c>
      <c r="G30" s="7" t="s">
        <v>365</v>
      </c>
      <c r="H30" s="7" t="s">
        <v>145</v>
      </c>
      <c r="I30" s="7" t="s">
        <v>58</v>
      </c>
      <c r="J30" s="7" t="s">
        <v>366</v>
      </c>
      <c r="K30" s="7" t="s">
        <v>367</v>
      </c>
      <c r="L30" s="7" t="s">
        <v>368</v>
      </c>
      <c r="M30" s="7" t="s">
        <v>62</v>
      </c>
      <c r="N30" s="7" t="s">
        <v>369</v>
      </c>
      <c r="O30" s="7" t="s">
        <v>182</v>
      </c>
      <c r="P30" s="7" t="s">
        <v>65</v>
      </c>
      <c r="Q30" s="7" t="s">
        <v>370</v>
      </c>
      <c r="R30" s="7" t="s">
        <v>371</v>
      </c>
    </row>
    <row r="31" customFormat="false" ht="27.75" hidden="false" customHeight="true" outlineLevel="0" collapsed="false">
      <c r="A31" s="8" t="s">
        <v>372</v>
      </c>
      <c r="B31" s="8" t="s">
        <v>51</v>
      </c>
      <c r="C31" s="8" t="s">
        <v>373</v>
      </c>
      <c r="D31" s="8" t="s">
        <v>374</v>
      </c>
      <c r="E31" s="8" t="s">
        <v>375</v>
      </c>
      <c r="F31" s="8" t="s">
        <v>55</v>
      </c>
      <c r="G31" s="8" t="s">
        <v>56</v>
      </c>
      <c r="H31" s="8" t="s">
        <v>109</v>
      </c>
      <c r="I31" s="8" t="s">
        <v>133</v>
      </c>
      <c r="J31" s="8" t="s">
        <v>167</v>
      </c>
      <c r="K31" s="8" t="s">
        <v>376</v>
      </c>
      <c r="L31" s="8" t="s">
        <v>258</v>
      </c>
      <c r="M31" s="8" t="s">
        <v>62</v>
      </c>
      <c r="N31" s="8" t="s">
        <v>377</v>
      </c>
      <c r="O31" s="8" t="s">
        <v>171</v>
      </c>
      <c r="P31" s="8" t="s">
        <v>65</v>
      </c>
      <c r="Q31" s="8" t="s">
        <v>378</v>
      </c>
      <c r="R31" s="8" t="s">
        <v>379</v>
      </c>
    </row>
    <row r="32" customFormat="false" ht="27.75" hidden="false" customHeight="true" outlineLevel="0" collapsed="false">
      <c r="A32" s="7" t="s">
        <v>380</v>
      </c>
      <c r="B32" s="7" t="s">
        <v>51</v>
      </c>
      <c r="C32" s="7" t="s">
        <v>381</v>
      </c>
      <c r="D32" s="7" t="s">
        <v>382</v>
      </c>
      <c r="E32" s="7" t="s">
        <v>383</v>
      </c>
      <c r="F32" s="7" t="s">
        <v>384</v>
      </c>
      <c r="G32" s="7" t="s">
        <v>56</v>
      </c>
      <c r="H32" s="7" t="s">
        <v>109</v>
      </c>
      <c r="I32" s="7" t="s">
        <v>58</v>
      </c>
      <c r="J32" s="7" t="s">
        <v>156</v>
      </c>
      <c r="K32" s="7" t="s">
        <v>385</v>
      </c>
      <c r="L32" s="7" t="s">
        <v>386</v>
      </c>
      <c r="M32" s="7" t="s">
        <v>62</v>
      </c>
      <c r="N32" s="7" t="s">
        <v>387</v>
      </c>
      <c r="O32" s="7" t="s">
        <v>160</v>
      </c>
      <c r="P32" s="7" t="s">
        <v>65</v>
      </c>
      <c r="Q32" s="7" t="s">
        <v>388</v>
      </c>
      <c r="R32" s="7" t="s">
        <v>389</v>
      </c>
    </row>
    <row r="33" customFormat="false" ht="27.75" hidden="false" customHeight="true" outlineLevel="0" collapsed="false">
      <c r="A33" s="8" t="s">
        <v>390</v>
      </c>
      <c r="B33" s="8" t="s">
        <v>51</v>
      </c>
      <c r="C33" s="8" t="s">
        <v>391</v>
      </c>
      <c r="D33" s="8" t="s">
        <v>392</v>
      </c>
      <c r="E33" s="8" t="s">
        <v>393</v>
      </c>
      <c r="F33" s="8" t="s">
        <v>394</v>
      </c>
      <c r="G33" s="8" t="s">
        <v>395</v>
      </c>
      <c r="H33" s="8" t="s">
        <v>145</v>
      </c>
      <c r="I33" s="8" t="s">
        <v>74</v>
      </c>
      <c r="J33" s="8" t="s">
        <v>396</v>
      </c>
      <c r="K33" s="8" t="s">
        <v>397</v>
      </c>
      <c r="L33" s="8" t="s">
        <v>398</v>
      </c>
      <c r="M33" s="8" t="s">
        <v>62</v>
      </c>
      <c r="N33" s="8" t="s">
        <v>399</v>
      </c>
      <c r="O33" s="8" t="s">
        <v>160</v>
      </c>
      <c r="P33" s="8" t="s">
        <v>65</v>
      </c>
      <c r="Q33" s="8" t="s">
        <v>400</v>
      </c>
      <c r="R33" s="8" t="s">
        <v>401</v>
      </c>
    </row>
    <row r="34" customFormat="false" ht="27.75" hidden="false" customHeight="true" outlineLevel="0" collapsed="false">
      <c r="A34" s="7" t="s">
        <v>402</v>
      </c>
      <c r="B34" s="7" t="s">
        <v>51</v>
      </c>
      <c r="C34" s="7" t="s">
        <v>403</v>
      </c>
      <c r="D34" s="7" t="s">
        <v>404</v>
      </c>
      <c r="E34" s="7" t="s">
        <v>405</v>
      </c>
      <c r="F34" s="7" t="s">
        <v>406</v>
      </c>
      <c r="G34" s="7" t="s">
        <v>352</v>
      </c>
      <c r="H34" s="7" t="s">
        <v>109</v>
      </c>
      <c r="I34" s="7" t="s">
        <v>58</v>
      </c>
      <c r="J34" s="7" t="s">
        <v>407</v>
      </c>
      <c r="K34" s="7" t="s">
        <v>408</v>
      </c>
      <c r="L34" s="7" t="s">
        <v>300</v>
      </c>
      <c r="M34" s="7" t="s">
        <v>62</v>
      </c>
      <c r="N34" s="7" t="s">
        <v>409</v>
      </c>
      <c r="O34" s="7" t="s">
        <v>64</v>
      </c>
      <c r="P34" s="7" t="s">
        <v>65</v>
      </c>
      <c r="Q34" s="7" t="s">
        <v>410</v>
      </c>
      <c r="R34" s="7" t="s">
        <v>411</v>
      </c>
    </row>
    <row r="35" customFormat="false" ht="27.75" hidden="false" customHeight="true" outlineLevel="0" collapsed="false">
      <c r="A35" s="8" t="s">
        <v>412</v>
      </c>
      <c r="B35" s="8" t="s">
        <v>51</v>
      </c>
      <c r="C35" s="8" t="s">
        <v>413</v>
      </c>
      <c r="D35" s="8" t="s">
        <v>414</v>
      </c>
      <c r="E35" s="8" t="s">
        <v>415</v>
      </c>
      <c r="F35" s="8" t="s">
        <v>416</v>
      </c>
      <c r="G35" s="8" t="s">
        <v>267</v>
      </c>
      <c r="H35" s="8" t="s">
        <v>145</v>
      </c>
      <c r="I35" s="8" t="s">
        <v>58</v>
      </c>
      <c r="J35" s="8" t="s">
        <v>417</v>
      </c>
      <c r="K35" s="8" t="s">
        <v>418</v>
      </c>
      <c r="L35" s="8" t="s">
        <v>419</v>
      </c>
      <c r="M35" s="8" t="s">
        <v>62</v>
      </c>
      <c r="N35" s="8" t="s">
        <v>420</v>
      </c>
      <c r="O35" s="8" t="s">
        <v>182</v>
      </c>
      <c r="P35" s="8" t="s">
        <v>65</v>
      </c>
      <c r="Q35" s="8" t="s">
        <v>421</v>
      </c>
      <c r="R35" s="8" t="s">
        <v>422</v>
      </c>
    </row>
    <row r="36" customFormat="false" ht="27.75" hidden="false" customHeight="true" outlineLevel="0" collapsed="false">
      <c r="A36" s="7" t="s">
        <v>423</v>
      </c>
      <c r="B36" s="7" t="s">
        <v>51</v>
      </c>
      <c r="C36" s="7" t="s">
        <v>424</v>
      </c>
      <c r="D36" s="7" t="s">
        <v>425</v>
      </c>
      <c r="E36" s="7" t="s">
        <v>426</v>
      </c>
      <c r="F36" s="7" t="s">
        <v>427</v>
      </c>
      <c r="G36" s="7" t="s">
        <v>56</v>
      </c>
      <c r="H36" s="7" t="s">
        <v>109</v>
      </c>
      <c r="I36" s="7" t="s">
        <v>58</v>
      </c>
      <c r="J36" s="7" t="s">
        <v>428</v>
      </c>
      <c r="K36" s="7" t="s">
        <v>429</v>
      </c>
      <c r="L36" s="7" t="s">
        <v>430</v>
      </c>
      <c r="M36" s="7" t="s">
        <v>62</v>
      </c>
      <c r="N36" s="7" t="s">
        <v>431</v>
      </c>
      <c r="O36" s="7" t="s">
        <v>182</v>
      </c>
      <c r="P36" s="7" t="s">
        <v>65</v>
      </c>
      <c r="Q36" s="7" t="s">
        <v>432</v>
      </c>
      <c r="R36" s="7" t="s">
        <v>433</v>
      </c>
    </row>
    <row r="37" customFormat="false" ht="27.75" hidden="false" customHeight="true" outlineLevel="0" collapsed="false">
      <c r="A37" s="8" t="s">
        <v>434</v>
      </c>
      <c r="B37" s="8" t="s">
        <v>51</v>
      </c>
      <c r="C37" s="8" t="s">
        <v>435</v>
      </c>
      <c r="D37" s="8" t="s">
        <v>436</v>
      </c>
      <c r="E37" s="8" t="s">
        <v>437</v>
      </c>
      <c r="F37" s="8" t="s">
        <v>288</v>
      </c>
      <c r="G37" s="8" t="s">
        <v>56</v>
      </c>
      <c r="H37" s="8" t="s">
        <v>109</v>
      </c>
      <c r="I37" s="8" t="s">
        <v>58</v>
      </c>
      <c r="J37" s="8" t="s">
        <v>438</v>
      </c>
      <c r="K37" s="8" t="s">
        <v>439</v>
      </c>
      <c r="L37" s="8" t="s">
        <v>440</v>
      </c>
      <c r="M37" s="8" t="s">
        <v>62</v>
      </c>
      <c r="N37" s="8" t="s">
        <v>441</v>
      </c>
      <c r="O37" s="8" t="s">
        <v>182</v>
      </c>
      <c r="P37" s="8" t="s">
        <v>65</v>
      </c>
      <c r="Q37" s="8" t="s">
        <v>442</v>
      </c>
      <c r="R37" s="8" t="s">
        <v>443</v>
      </c>
    </row>
    <row r="38" customFormat="false" ht="27.75" hidden="false" customHeight="true" outlineLevel="0" collapsed="false">
      <c r="A38" s="7" t="s">
        <v>444</v>
      </c>
      <c r="B38" s="7" t="s">
        <v>51</v>
      </c>
      <c r="C38" s="7" t="s">
        <v>445</v>
      </c>
      <c r="D38" s="7" t="s">
        <v>446</v>
      </c>
      <c r="E38" s="7" t="s">
        <v>447</v>
      </c>
      <c r="F38" s="7" t="s">
        <v>288</v>
      </c>
      <c r="G38" s="7" t="s">
        <v>56</v>
      </c>
      <c r="H38" s="7" t="s">
        <v>109</v>
      </c>
      <c r="I38" s="7" t="s">
        <v>58</v>
      </c>
      <c r="J38" s="7" t="s">
        <v>428</v>
      </c>
      <c r="K38" s="7" t="s">
        <v>448</v>
      </c>
      <c r="L38" s="7" t="s">
        <v>449</v>
      </c>
      <c r="M38" s="7" t="s">
        <v>62</v>
      </c>
      <c r="N38" s="7" t="s">
        <v>450</v>
      </c>
      <c r="O38" s="7" t="s">
        <v>182</v>
      </c>
      <c r="P38" s="7" t="s">
        <v>65</v>
      </c>
      <c r="Q38" s="7" t="s">
        <v>451</v>
      </c>
      <c r="R38" s="7" t="s">
        <v>452</v>
      </c>
    </row>
    <row r="39" customFormat="false" ht="27.75" hidden="false" customHeight="true" outlineLevel="0" collapsed="false">
      <c r="A39" s="8" t="s">
        <v>453</v>
      </c>
      <c r="B39" s="8" t="s">
        <v>51</v>
      </c>
      <c r="C39" s="8" t="s">
        <v>454</v>
      </c>
      <c r="D39" s="8" t="s">
        <v>455</v>
      </c>
      <c r="E39" s="8" t="s">
        <v>456</v>
      </c>
      <c r="F39" s="8" t="s">
        <v>308</v>
      </c>
      <c r="G39" s="8" t="s">
        <v>56</v>
      </c>
      <c r="H39" s="8" t="s">
        <v>109</v>
      </c>
      <c r="I39" s="8" t="s">
        <v>74</v>
      </c>
      <c r="J39" s="8" t="s">
        <v>457</v>
      </c>
      <c r="K39" s="8" t="s">
        <v>458</v>
      </c>
      <c r="L39" s="8" t="s">
        <v>459</v>
      </c>
      <c r="M39" s="8" t="s">
        <v>62</v>
      </c>
      <c r="N39" s="8" t="s">
        <v>460</v>
      </c>
      <c r="O39" s="8" t="s">
        <v>64</v>
      </c>
      <c r="P39" s="8" t="s">
        <v>65</v>
      </c>
      <c r="Q39" s="8" t="s">
        <v>461</v>
      </c>
      <c r="R39" s="8" t="s">
        <v>462</v>
      </c>
    </row>
    <row r="40" customFormat="false" ht="27.75" hidden="false" customHeight="true" outlineLevel="0" collapsed="false">
      <c r="A40" s="7" t="s">
        <v>463</v>
      </c>
      <c r="B40" s="7" t="s">
        <v>51</v>
      </c>
      <c r="C40" s="7" t="s">
        <v>464</v>
      </c>
      <c r="D40" s="7" t="s">
        <v>465</v>
      </c>
      <c r="E40" s="7" t="s">
        <v>466</v>
      </c>
      <c r="F40" s="7" t="s">
        <v>246</v>
      </c>
      <c r="G40" s="7" t="s">
        <v>56</v>
      </c>
      <c r="H40" s="7" t="s">
        <v>109</v>
      </c>
      <c r="I40" s="7" t="s">
        <v>58</v>
      </c>
      <c r="J40" s="7" t="s">
        <v>407</v>
      </c>
      <c r="K40" s="7" t="s">
        <v>467</v>
      </c>
      <c r="L40" s="7" t="s">
        <v>468</v>
      </c>
      <c r="M40" s="7" t="s">
        <v>62</v>
      </c>
      <c r="N40" s="7" t="s">
        <v>469</v>
      </c>
      <c r="O40" s="7" t="s">
        <v>182</v>
      </c>
      <c r="P40" s="7" t="s">
        <v>65</v>
      </c>
      <c r="Q40" s="7" t="s">
        <v>470</v>
      </c>
      <c r="R40" s="7" t="s">
        <v>471</v>
      </c>
    </row>
    <row r="41" customFormat="false" ht="27.75" hidden="false" customHeight="true" outlineLevel="0" collapsed="false">
      <c r="A41" s="8" t="s">
        <v>472</v>
      </c>
      <c r="B41" s="8" t="s">
        <v>51</v>
      </c>
      <c r="C41" s="8" t="s">
        <v>473</v>
      </c>
      <c r="D41" s="8" t="s">
        <v>474</v>
      </c>
      <c r="E41" s="8" t="s">
        <v>475</v>
      </c>
      <c r="F41" s="8" t="s">
        <v>329</v>
      </c>
      <c r="G41" s="8" t="s">
        <v>56</v>
      </c>
      <c r="H41" s="8" t="s">
        <v>109</v>
      </c>
      <c r="I41" s="8" t="s">
        <v>58</v>
      </c>
      <c r="J41" s="8" t="s">
        <v>247</v>
      </c>
      <c r="K41" s="8" t="s">
        <v>476</v>
      </c>
      <c r="L41" s="8" t="s">
        <v>477</v>
      </c>
      <c r="M41" s="8" t="s">
        <v>62</v>
      </c>
      <c r="N41" s="8" t="s">
        <v>478</v>
      </c>
      <c r="O41" s="8" t="s">
        <v>182</v>
      </c>
      <c r="P41" s="8" t="s">
        <v>65</v>
      </c>
      <c r="Q41" s="8" t="s">
        <v>479</v>
      </c>
      <c r="R41" s="8" t="s">
        <v>480</v>
      </c>
    </row>
    <row r="42" customFormat="false" ht="27.75" hidden="false" customHeight="true" outlineLevel="0" collapsed="false">
      <c r="A42" s="7" t="s">
        <v>481</v>
      </c>
      <c r="B42" s="7" t="s">
        <v>51</v>
      </c>
      <c r="C42" s="7" t="s">
        <v>482</v>
      </c>
      <c r="D42" s="7" t="s">
        <v>483</v>
      </c>
      <c r="E42" s="7" t="s">
        <v>484</v>
      </c>
      <c r="F42" s="7" t="s">
        <v>246</v>
      </c>
      <c r="G42" s="7" t="s">
        <v>56</v>
      </c>
      <c r="H42" s="7" t="s">
        <v>109</v>
      </c>
      <c r="I42" s="7" t="s">
        <v>58</v>
      </c>
      <c r="J42" s="7" t="s">
        <v>178</v>
      </c>
      <c r="K42" s="7" t="s">
        <v>485</v>
      </c>
      <c r="L42" s="7" t="s">
        <v>486</v>
      </c>
      <c r="M42" s="7" t="s">
        <v>62</v>
      </c>
      <c r="N42" s="7" t="s">
        <v>487</v>
      </c>
      <c r="O42" s="7" t="s">
        <v>64</v>
      </c>
      <c r="P42" s="7" t="s">
        <v>65</v>
      </c>
      <c r="Q42" s="7" t="s">
        <v>488</v>
      </c>
      <c r="R42" s="7" t="s">
        <v>489</v>
      </c>
    </row>
    <row r="43" customFormat="false" ht="27.75" hidden="false" customHeight="true" outlineLevel="0" collapsed="false">
      <c r="A43" s="8" t="s">
        <v>490</v>
      </c>
      <c r="B43" s="8" t="s">
        <v>51</v>
      </c>
      <c r="C43" s="8" t="s">
        <v>491</v>
      </c>
      <c r="D43" s="8" t="s">
        <v>492</v>
      </c>
      <c r="E43" s="8" t="s">
        <v>493</v>
      </c>
      <c r="F43" s="8" t="s">
        <v>55</v>
      </c>
      <c r="G43" s="8" t="s">
        <v>56</v>
      </c>
      <c r="H43" s="8" t="s">
        <v>109</v>
      </c>
      <c r="I43" s="8" t="s">
        <v>74</v>
      </c>
      <c r="J43" s="8" t="s">
        <v>87</v>
      </c>
      <c r="K43" s="8" t="s">
        <v>494</v>
      </c>
      <c r="L43" s="8" t="s">
        <v>61</v>
      </c>
      <c r="M43" s="8" t="s">
        <v>62</v>
      </c>
      <c r="N43" s="8" t="s">
        <v>495</v>
      </c>
      <c r="O43" s="8" t="s">
        <v>64</v>
      </c>
      <c r="P43" s="8" t="s">
        <v>65</v>
      </c>
      <c r="Q43" s="8" t="s">
        <v>496</v>
      </c>
      <c r="R43" s="8" t="s">
        <v>497</v>
      </c>
    </row>
    <row r="44" customFormat="false" ht="27.75" hidden="false" customHeight="true" outlineLevel="0" collapsed="false">
      <c r="A44" s="7" t="s">
        <v>498</v>
      </c>
      <c r="B44" s="7" t="s">
        <v>51</v>
      </c>
      <c r="C44" s="7" t="s">
        <v>499</v>
      </c>
      <c r="D44" s="7" t="s">
        <v>500</v>
      </c>
      <c r="E44" s="7" t="s">
        <v>501</v>
      </c>
      <c r="F44" s="7" t="s">
        <v>97</v>
      </c>
      <c r="G44" s="7" t="s">
        <v>56</v>
      </c>
      <c r="H44" s="7" t="s">
        <v>73</v>
      </c>
      <c r="I44" s="7" t="s">
        <v>58</v>
      </c>
      <c r="J44" s="7" t="s">
        <v>156</v>
      </c>
      <c r="K44" s="7" t="s">
        <v>502</v>
      </c>
      <c r="L44" s="7" t="s">
        <v>503</v>
      </c>
      <c r="M44" s="7" t="s">
        <v>62</v>
      </c>
      <c r="N44" s="7" t="s">
        <v>504</v>
      </c>
      <c r="O44" s="7" t="s">
        <v>79</v>
      </c>
      <c r="P44" s="7" t="s">
        <v>65</v>
      </c>
      <c r="Q44" s="7" t="s">
        <v>102</v>
      </c>
      <c r="R44" s="7" t="s">
        <v>505</v>
      </c>
    </row>
    <row r="45" customFormat="false" ht="27.75" hidden="false" customHeight="true" outlineLevel="0" collapsed="false">
      <c r="A45" s="8" t="s">
        <v>506</v>
      </c>
      <c r="B45" s="8" t="s">
        <v>51</v>
      </c>
      <c r="C45" s="8" t="s">
        <v>507</v>
      </c>
      <c r="D45" s="8" t="s">
        <v>508</v>
      </c>
      <c r="E45" s="8" t="s">
        <v>509</v>
      </c>
      <c r="F45" s="8" t="s">
        <v>427</v>
      </c>
      <c r="G45" s="8" t="s">
        <v>510</v>
      </c>
      <c r="H45" s="8" t="s">
        <v>145</v>
      </c>
      <c r="I45" s="8" t="s">
        <v>58</v>
      </c>
      <c r="J45" s="8" t="s">
        <v>511</v>
      </c>
      <c r="K45" s="8" t="s">
        <v>512</v>
      </c>
      <c r="L45" s="8" t="s">
        <v>513</v>
      </c>
      <c r="M45" s="8" t="s">
        <v>62</v>
      </c>
      <c r="N45" s="8" t="s">
        <v>514</v>
      </c>
      <c r="O45" s="8" t="s">
        <v>182</v>
      </c>
      <c r="P45" s="8" t="s">
        <v>65</v>
      </c>
      <c r="Q45" s="8" t="s">
        <v>515</v>
      </c>
      <c r="R45" s="8" t="s">
        <v>516</v>
      </c>
    </row>
    <row r="46" customFormat="false" ht="27.75" hidden="false" customHeight="true" outlineLevel="0" collapsed="false">
      <c r="A46" s="7" t="s">
        <v>517</v>
      </c>
      <c r="B46" s="7" t="s">
        <v>51</v>
      </c>
      <c r="C46" s="7" t="s">
        <v>518</v>
      </c>
      <c r="D46" s="7" t="s">
        <v>519</v>
      </c>
      <c r="E46" s="7" t="s">
        <v>520</v>
      </c>
      <c r="F46" s="7" t="s">
        <v>108</v>
      </c>
      <c r="G46" s="7" t="s">
        <v>56</v>
      </c>
      <c r="H46" s="7" t="s">
        <v>109</v>
      </c>
      <c r="I46" s="7" t="s">
        <v>74</v>
      </c>
      <c r="J46" s="7" t="s">
        <v>167</v>
      </c>
      <c r="K46" s="7" t="s">
        <v>521</v>
      </c>
      <c r="L46" s="7" t="s">
        <v>522</v>
      </c>
      <c r="M46" s="7" t="s">
        <v>62</v>
      </c>
      <c r="N46" s="7" t="s">
        <v>523</v>
      </c>
      <c r="O46" s="7" t="s">
        <v>64</v>
      </c>
      <c r="P46" s="7" t="s">
        <v>65</v>
      </c>
      <c r="Q46" s="7" t="s">
        <v>524</v>
      </c>
      <c r="R46" s="7" t="s">
        <v>525</v>
      </c>
    </row>
    <row r="47" customFormat="false" ht="27.75" hidden="false" customHeight="true" outlineLevel="0" collapsed="false">
      <c r="A47" s="8" t="s">
        <v>526</v>
      </c>
      <c r="B47" s="8" t="s">
        <v>51</v>
      </c>
      <c r="C47" s="8" t="s">
        <v>527</v>
      </c>
      <c r="D47" s="8" t="s">
        <v>528</v>
      </c>
      <c r="E47" s="8" t="s">
        <v>529</v>
      </c>
      <c r="F47" s="8" t="s">
        <v>144</v>
      </c>
      <c r="G47" s="8" t="s">
        <v>56</v>
      </c>
      <c r="H47" s="8" t="s">
        <v>145</v>
      </c>
      <c r="I47" s="8" t="s">
        <v>58</v>
      </c>
      <c r="J47" s="8" t="s">
        <v>530</v>
      </c>
      <c r="K47" s="8" t="s">
        <v>531</v>
      </c>
      <c r="L47" s="8" t="s">
        <v>532</v>
      </c>
      <c r="M47" s="8" t="s">
        <v>62</v>
      </c>
      <c r="N47" s="8" t="s">
        <v>533</v>
      </c>
      <c r="O47" s="8" t="s">
        <v>64</v>
      </c>
      <c r="P47" s="8" t="s">
        <v>65</v>
      </c>
      <c r="Q47" s="8" t="s">
        <v>534</v>
      </c>
      <c r="R47" s="8" t="s">
        <v>535</v>
      </c>
    </row>
    <row r="48" customFormat="false" ht="27.75" hidden="false" customHeight="true" outlineLevel="0" collapsed="false">
      <c r="A48" s="7" t="s">
        <v>536</v>
      </c>
      <c r="B48" s="7" t="s">
        <v>51</v>
      </c>
      <c r="C48" s="7" t="s">
        <v>537</v>
      </c>
      <c r="D48" s="7" t="s">
        <v>538</v>
      </c>
      <c r="E48" s="7" t="s">
        <v>539</v>
      </c>
      <c r="F48" s="7" t="s">
        <v>155</v>
      </c>
      <c r="G48" s="7" t="s">
        <v>56</v>
      </c>
      <c r="H48" s="7" t="s">
        <v>109</v>
      </c>
      <c r="I48" s="7" t="s">
        <v>133</v>
      </c>
      <c r="J48" s="7" t="s">
        <v>540</v>
      </c>
      <c r="K48" s="7" t="s">
        <v>541</v>
      </c>
      <c r="L48" s="7" t="s">
        <v>542</v>
      </c>
      <c r="M48" s="7" t="s">
        <v>62</v>
      </c>
      <c r="N48" s="7" t="s">
        <v>543</v>
      </c>
      <c r="O48" s="7" t="s">
        <v>171</v>
      </c>
      <c r="P48" s="7" t="s">
        <v>544</v>
      </c>
      <c r="Q48" s="7" t="s">
        <v>545</v>
      </c>
      <c r="R48" s="7" t="s">
        <v>546</v>
      </c>
    </row>
    <row r="49" customFormat="false" ht="27.75" hidden="false" customHeight="true" outlineLevel="0" collapsed="false">
      <c r="A49" s="8" t="s">
        <v>547</v>
      </c>
      <c r="B49" s="8" t="s">
        <v>51</v>
      </c>
      <c r="C49" s="8" t="s">
        <v>548</v>
      </c>
      <c r="D49" s="8" t="s">
        <v>549</v>
      </c>
      <c r="E49" s="8" t="s">
        <v>550</v>
      </c>
      <c r="F49" s="8" t="s">
        <v>266</v>
      </c>
      <c r="G49" s="8" t="s">
        <v>267</v>
      </c>
      <c r="H49" s="8" t="s">
        <v>145</v>
      </c>
      <c r="I49" s="8" t="s">
        <v>58</v>
      </c>
      <c r="J49" s="8" t="s">
        <v>156</v>
      </c>
      <c r="K49" s="8" t="s">
        <v>551</v>
      </c>
      <c r="L49" s="8" t="s">
        <v>552</v>
      </c>
      <c r="M49" s="8" t="s">
        <v>62</v>
      </c>
      <c r="N49" s="8" t="s">
        <v>553</v>
      </c>
      <c r="O49" s="8" t="s">
        <v>79</v>
      </c>
      <c r="P49" s="8" t="s">
        <v>65</v>
      </c>
      <c r="Q49" s="8" t="s">
        <v>554</v>
      </c>
      <c r="R49" s="8" t="s">
        <v>555</v>
      </c>
    </row>
    <row r="50" customFormat="false" ht="27.75" hidden="false" customHeight="true" outlineLevel="0" collapsed="false">
      <c r="A50" s="7" t="s">
        <v>556</v>
      </c>
      <c r="B50" s="7" t="s">
        <v>51</v>
      </c>
      <c r="C50" s="7" t="s">
        <v>557</v>
      </c>
      <c r="D50" s="7" t="s">
        <v>558</v>
      </c>
      <c r="E50" s="7" t="s">
        <v>559</v>
      </c>
      <c r="F50" s="7" t="s">
        <v>560</v>
      </c>
      <c r="G50" s="7" t="s">
        <v>56</v>
      </c>
      <c r="H50" s="7" t="s">
        <v>109</v>
      </c>
      <c r="I50" s="7" t="s">
        <v>74</v>
      </c>
      <c r="J50" s="7" t="s">
        <v>561</v>
      </c>
      <c r="K50" s="7" t="s">
        <v>562</v>
      </c>
      <c r="L50" s="7" t="s">
        <v>563</v>
      </c>
      <c r="M50" s="7" t="s">
        <v>62</v>
      </c>
      <c r="N50" s="7" t="s">
        <v>564</v>
      </c>
      <c r="O50" s="7" t="s">
        <v>160</v>
      </c>
      <c r="P50" s="7" t="s">
        <v>65</v>
      </c>
      <c r="Q50" s="7" t="s">
        <v>565</v>
      </c>
      <c r="R50" s="7" t="s">
        <v>566</v>
      </c>
    </row>
    <row r="51" customFormat="false" ht="27.75" hidden="false" customHeight="true" outlineLevel="0" collapsed="false">
      <c r="A51" s="8" t="s">
        <v>567</v>
      </c>
      <c r="B51" s="8" t="s">
        <v>51</v>
      </c>
      <c r="C51" s="8" t="s">
        <v>568</v>
      </c>
      <c r="D51" s="8" t="s">
        <v>569</v>
      </c>
      <c r="E51" s="8" t="s">
        <v>570</v>
      </c>
      <c r="F51" s="8" t="s">
        <v>246</v>
      </c>
      <c r="G51" s="8" t="s">
        <v>56</v>
      </c>
      <c r="H51" s="8" t="s">
        <v>109</v>
      </c>
      <c r="I51" s="8" t="s">
        <v>58</v>
      </c>
      <c r="J51" s="8" t="s">
        <v>247</v>
      </c>
      <c r="K51" s="8" t="s">
        <v>571</v>
      </c>
      <c r="L51" s="8" t="s">
        <v>249</v>
      </c>
      <c r="M51" s="8" t="s">
        <v>62</v>
      </c>
      <c r="N51" s="8" t="s">
        <v>572</v>
      </c>
      <c r="O51" s="8" t="s">
        <v>182</v>
      </c>
      <c r="P51" s="8" t="s">
        <v>65</v>
      </c>
      <c r="Q51" s="8" t="s">
        <v>573</v>
      </c>
      <c r="R51" s="8" t="s">
        <v>574</v>
      </c>
    </row>
    <row r="52" customFormat="false" ht="27.75" hidden="false" customHeight="true" outlineLevel="0" collapsed="false">
      <c r="A52" s="7" t="s">
        <v>575</v>
      </c>
      <c r="B52" s="7" t="s">
        <v>51</v>
      </c>
      <c r="C52" s="7" t="s">
        <v>576</v>
      </c>
      <c r="D52" s="7" t="s">
        <v>577</v>
      </c>
      <c r="E52" s="7" t="s">
        <v>578</v>
      </c>
      <c r="F52" s="7" t="s">
        <v>427</v>
      </c>
      <c r="G52" s="7" t="s">
        <v>56</v>
      </c>
      <c r="H52" s="7" t="s">
        <v>109</v>
      </c>
      <c r="I52" s="7" t="s">
        <v>58</v>
      </c>
      <c r="J52" s="7" t="s">
        <v>247</v>
      </c>
      <c r="K52" s="7" t="s">
        <v>579</v>
      </c>
      <c r="L52" s="7" t="s">
        <v>513</v>
      </c>
      <c r="M52" s="7" t="s">
        <v>62</v>
      </c>
      <c r="N52" s="7" t="s">
        <v>580</v>
      </c>
      <c r="O52" s="7" t="s">
        <v>182</v>
      </c>
      <c r="P52" s="7" t="s">
        <v>65</v>
      </c>
      <c r="Q52" s="7" t="s">
        <v>581</v>
      </c>
      <c r="R52" s="7" t="s">
        <v>582</v>
      </c>
    </row>
    <row r="53" customFormat="false" ht="27.75" hidden="false" customHeight="true" outlineLevel="0" collapsed="false">
      <c r="A53" s="8" t="s">
        <v>583</v>
      </c>
      <c r="B53" s="8" t="s">
        <v>51</v>
      </c>
      <c r="C53" s="8" t="s">
        <v>584</v>
      </c>
      <c r="D53" s="8" t="s">
        <v>585</v>
      </c>
      <c r="E53" s="8" t="s">
        <v>586</v>
      </c>
      <c r="F53" s="8" t="s">
        <v>427</v>
      </c>
      <c r="G53" s="8" t="s">
        <v>56</v>
      </c>
      <c r="H53" s="8" t="s">
        <v>109</v>
      </c>
      <c r="I53" s="8" t="s">
        <v>58</v>
      </c>
      <c r="J53" s="8" t="s">
        <v>247</v>
      </c>
      <c r="K53" s="8" t="s">
        <v>579</v>
      </c>
      <c r="L53" s="8" t="s">
        <v>513</v>
      </c>
      <c r="M53" s="8" t="s">
        <v>62</v>
      </c>
      <c r="N53" s="8" t="s">
        <v>587</v>
      </c>
      <c r="O53" s="8" t="s">
        <v>182</v>
      </c>
      <c r="P53" s="8" t="s">
        <v>65</v>
      </c>
      <c r="Q53" s="8" t="s">
        <v>588</v>
      </c>
      <c r="R53" s="8" t="s">
        <v>589</v>
      </c>
    </row>
    <row r="54" customFormat="false" ht="27.75" hidden="false" customHeight="true" outlineLevel="0" collapsed="false">
      <c r="A54" s="7" t="s">
        <v>590</v>
      </c>
      <c r="B54" s="7" t="s">
        <v>51</v>
      </c>
      <c r="C54" s="7" t="s">
        <v>591</v>
      </c>
      <c r="D54" s="7" t="s">
        <v>592</v>
      </c>
      <c r="E54" s="7" t="s">
        <v>493</v>
      </c>
      <c r="F54" s="7" t="s">
        <v>155</v>
      </c>
      <c r="G54" s="7" t="s">
        <v>56</v>
      </c>
      <c r="H54" s="7" t="s">
        <v>109</v>
      </c>
      <c r="I54" s="7" t="s">
        <v>133</v>
      </c>
      <c r="J54" s="7" t="s">
        <v>593</v>
      </c>
      <c r="K54" s="7" t="s">
        <v>594</v>
      </c>
      <c r="L54" s="7" t="s">
        <v>595</v>
      </c>
      <c r="M54" s="7" t="s">
        <v>62</v>
      </c>
      <c r="N54" s="7" t="s">
        <v>596</v>
      </c>
      <c r="O54" s="7" t="s">
        <v>160</v>
      </c>
      <c r="P54" s="7" t="s">
        <v>544</v>
      </c>
      <c r="Q54" s="7" t="s">
        <v>597</v>
      </c>
      <c r="R54" s="7" t="s">
        <v>598</v>
      </c>
    </row>
    <row r="55" customFormat="false" ht="27.75" hidden="false" customHeight="true" outlineLevel="0" collapsed="false">
      <c r="A55" s="8" t="s">
        <v>599</v>
      </c>
      <c r="B55" s="8" t="s">
        <v>51</v>
      </c>
      <c r="C55" s="8" t="s">
        <v>600</v>
      </c>
      <c r="D55" s="8" t="s">
        <v>601</v>
      </c>
      <c r="E55" s="8" t="s">
        <v>493</v>
      </c>
      <c r="F55" s="8" t="s">
        <v>55</v>
      </c>
      <c r="G55" s="8" t="s">
        <v>56</v>
      </c>
      <c r="H55" s="8" t="s">
        <v>109</v>
      </c>
      <c r="I55" s="8" t="s">
        <v>133</v>
      </c>
      <c r="J55" s="8" t="s">
        <v>602</v>
      </c>
      <c r="K55" s="8" t="s">
        <v>603</v>
      </c>
      <c r="L55" s="8" t="s">
        <v>604</v>
      </c>
      <c r="M55" s="8" t="s">
        <v>62</v>
      </c>
      <c r="N55" s="8" t="s">
        <v>605</v>
      </c>
      <c r="O55" s="8" t="s">
        <v>64</v>
      </c>
      <c r="P55" s="8" t="s">
        <v>65</v>
      </c>
      <c r="Q55" s="8" t="s">
        <v>597</v>
      </c>
      <c r="R55" s="8" t="s">
        <v>606</v>
      </c>
    </row>
    <row r="56" customFormat="false" ht="27.75" hidden="false" customHeight="true" outlineLevel="0" collapsed="false">
      <c r="A56" s="7" t="s">
        <v>607</v>
      </c>
      <c r="B56" s="7" t="s">
        <v>51</v>
      </c>
      <c r="C56" s="7" t="s">
        <v>608</v>
      </c>
      <c r="D56" s="7" t="s">
        <v>609</v>
      </c>
      <c r="E56" s="7" t="s">
        <v>610</v>
      </c>
      <c r="F56" s="7" t="s">
        <v>155</v>
      </c>
      <c r="G56" s="7" t="s">
        <v>56</v>
      </c>
      <c r="H56" s="7" t="s">
        <v>109</v>
      </c>
      <c r="I56" s="7" t="s">
        <v>74</v>
      </c>
      <c r="J56" s="7" t="s">
        <v>611</v>
      </c>
      <c r="K56" s="7" t="s">
        <v>612</v>
      </c>
      <c r="L56" s="7" t="s">
        <v>613</v>
      </c>
      <c r="M56" s="7" t="s">
        <v>62</v>
      </c>
      <c r="N56" s="7" t="s">
        <v>614</v>
      </c>
      <c r="O56" s="7" t="s">
        <v>615</v>
      </c>
      <c r="P56" s="7" t="s">
        <v>65</v>
      </c>
      <c r="Q56" s="7" t="s">
        <v>616</v>
      </c>
      <c r="R56" s="7" t="s">
        <v>617</v>
      </c>
    </row>
    <row r="57" customFormat="false" ht="27.75" hidden="false" customHeight="true" outlineLevel="0" collapsed="false">
      <c r="A57" s="8" t="s">
        <v>618</v>
      </c>
      <c r="B57" s="8" t="s">
        <v>619</v>
      </c>
      <c r="C57" s="8" t="s">
        <v>620</v>
      </c>
      <c r="D57" s="8" t="s">
        <v>621</v>
      </c>
      <c r="E57" s="8" t="s">
        <v>622</v>
      </c>
      <c r="F57" s="8" t="s">
        <v>155</v>
      </c>
      <c r="G57" s="8" t="s">
        <v>56</v>
      </c>
      <c r="H57" s="8" t="s">
        <v>623</v>
      </c>
      <c r="I57" s="8" t="s">
        <v>74</v>
      </c>
      <c r="J57" s="8" t="s">
        <v>624</v>
      </c>
      <c r="K57" s="8" t="s">
        <v>625</v>
      </c>
      <c r="L57" s="8" t="s">
        <v>626</v>
      </c>
      <c r="M57" s="8" t="s">
        <v>62</v>
      </c>
      <c r="N57" s="8" t="s">
        <v>627</v>
      </c>
      <c r="O57" s="8"/>
      <c r="P57" s="8" t="s">
        <v>628</v>
      </c>
      <c r="Q57" s="8" t="s">
        <v>629</v>
      </c>
      <c r="R57" s="8" t="s">
        <v>630</v>
      </c>
    </row>
    <row r="58" customFormat="false" ht="27.75" hidden="false" customHeight="true" outlineLevel="0" collapsed="false">
      <c r="A58" s="7" t="s">
        <v>631</v>
      </c>
      <c r="B58" s="7" t="s">
        <v>619</v>
      </c>
      <c r="C58" s="7" t="s">
        <v>632</v>
      </c>
      <c r="D58" s="7" t="s">
        <v>633</v>
      </c>
      <c r="E58" s="7" t="s">
        <v>634</v>
      </c>
      <c r="F58" s="7" t="s">
        <v>155</v>
      </c>
      <c r="G58" s="7" t="s">
        <v>352</v>
      </c>
      <c r="H58" s="7" t="s">
        <v>623</v>
      </c>
      <c r="I58" s="7" t="s">
        <v>74</v>
      </c>
      <c r="J58" s="7" t="s">
        <v>624</v>
      </c>
      <c r="K58" s="7" t="s">
        <v>625</v>
      </c>
      <c r="L58" s="7" t="s">
        <v>626</v>
      </c>
      <c r="M58" s="7" t="s">
        <v>62</v>
      </c>
      <c r="N58" s="7" t="s">
        <v>635</v>
      </c>
      <c r="O58" s="7"/>
      <c r="P58" s="7" t="s">
        <v>628</v>
      </c>
      <c r="Q58" s="7" t="s">
        <v>636</v>
      </c>
      <c r="R58" s="7" t="s">
        <v>637</v>
      </c>
    </row>
    <row r="59" customFormat="false" ht="27.75" hidden="false" customHeight="true" outlineLevel="0" collapsed="false">
      <c r="A59" s="8" t="s">
        <v>638</v>
      </c>
      <c r="B59" s="8" t="s">
        <v>619</v>
      </c>
      <c r="C59" s="8" t="s">
        <v>639</v>
      </c>
      <c r="D59" s="8" t="s">
        <v>640</v>
      </c>
      <c r="E59" s="8" t="s">
        <v>641</v>
      </c>
      <c r="F59" s="8" t="s">
        <v>155</v>
      </c>
      <c r="G59" s="8" t="s">
        <v>56</v>
      </c>
      <c r="H59" s="8" t="s">
        <v>623</v>
      </c>
      <c r="I59" s="8" t="s">
        <v>74</v>
      </c>
      <c r="J59" s="8" t="s">
        <v>624</v>
      </c>
      <c r="K59" s="8" t="s">
        <v>625</v>
      </c>
      <c r="L59" s="8" t="s">
        <v>626</v>
      </c>
      <c r="M59" s="8" t="s">
        <v>62</v>
      </c>
      <c r="N59" s="8" t="s">
        <v>642</v>
      </c>
      <c r="O59" s="8"/>
      <c r="P59" s="8" t="s">
        <v>628</v>
      </c>
      <c r="Q59" s="8" t="s">
        <v>643</v>
      </c>
      <c r="R59" s="8" t="s">
        <v>644</v>
      </c>
    </row>
    <row r="60" customFormat="false" ht="27.75" hidden="false" customHeight="true" outlineLevel="0" collapsed="false">
      <c r="A60" s="7" t="s">
        <v>645</v>
      </c>
      <c r="B60" s="7" t="s">
        <v>619</v>
      </c>
      <c r="C60" s="7" t="s">
        <v>646</v>
      </c>
      <c r="D60" s="7" t="s">
        <v>647</v>
      </c>
      <c r="E60" s="7" t="s">
        <v>648</v>
      </c>
      <c r="F60" s="7" t="s">
        <v>155</v>
      </c>
      <c r="G60" s="7" t="s">
        <v>56</v>
      </c>
      <c r="H60" s="7" t="s">
        <v>623</v>
      </c>
      <c r="I60" s="7" t="s">
        <v>74</v>
      </c>
      <c r="J60" s="7" t="s">
        <v>624</v>
      </c>
      <c r="K60" s="7" t="s">
        <v>625</v>
      </c>
      <c r="L60" s="7" t="s">
        <v>626</v>
      </c>
      <c r="M60" s="7" t="s">
        <v>62</v>
      </c>
      <c r="N60" s="7" t="s">
        <v>649</v>
      </c>
      <c r="O60" s="7"/>
      <c r="P60" s="7" t="s">
        <v>628</v>
      </c>
      <c r="Q60" s="7" t="s">
        <v>650</v>
      </c>
      <c r="R60" s="7" t="s">
        <v>651</v>
      </c>
    </row>
    <row r="61" customFormat="false" ht="27.75" hidden="false" customHeight="true" outlineLevel="0" collapsed="false">
      <c r="A61" s="8" t="s">
        <v>652</v>
      </c>
      <c r="B61" s="8" t="s">
        <v>619</v>
      </c>
      <c r="C61" s="8" t="s">
        <v>653</v>
      </c>
      <c r="D61" s="8" t="s">
        <v>654</v>
      </c>
      <c r="E61" s="8" t="s">
        <v>655</v>
      </c>
      <c r="F61" s="8" t="s">
        <v>155</v>
      </c>
      <c r="G61" s="8" t="s">
        <v>56</v>
      </c>
      <c r="H61" s="8" t="s">
        <v>623</v>
      </c>
      <c r="I61" s="8" t="s">
        <v>58</v>
      </c>
      <c r="J61" s="8" t="s">
        <v>656</v>
      </c>
      <c r="K61" s="8" t="s">
        <v>657</v>
      </c>
      <c r="L61" s="8" t="s">
        <v>658</v>
      </c>
      <c r="M61" s="8" t="s">
        <v>62</v>
      </c>
      <c r="N61" s="8" t="s">
        <v>659</v>
      </c>
      <c r="O61" s="8"/>
      <c r="P61" s="8" t="s">
        <v>628</v>
      </c>
      <c r="Q61" s="8" t="s">
        <v>660</v>
      </c>
      <c r="R61" s="8" t="s">
        <v>661</v>
      </c>
    </row>
    <row r="62" customFormat="false" ht="27.75" hidden="false" customHeight="true" outlineLevel="0" collapsed="false">
      <c r="A62" s="7" t="s">
        <v>662</v>
      </c>
      <c r="B62" s="7" t="s">
        <v>619</v>
      </c>
      <c r="C62" s="7" t="s">
        <v>663</v>
      </c>
      <c r="D62" s="7" t="s">
        <v>664</v>
      </c>
      <c r="E62" s="7" t="s">
        <v>665</v>
      </c>
      <c r="F62" s="7" t="s">
        <v>155</v>
      </c>
      <c r="G62" s="7" t="s">
        <v>666</v>
      </c>
      <c r="H62" s="7" t="s">
        <v>623</v>
      </c>
      <c r="I62" s="7" t="s">
        <v>74</v>
      </c>
      <c r="J62" s="7" t="s">
        <v>624</v>
      </c>
      <c r="K62" s="7" t="s">
        <v>625</v>
      </c>
      <c r="L62" s="7" t="s">
        <v>626</v>
      </c>
      <c r="M62" s="7" t="s">
        <v>62</v>
      </c>
      <c r="N62" s="7" t="s">
        <v>667</v>
      </c>
      <c r="O62" s="7" t="s">
        <v>668</v>
      </c>
      <c r="P62" s="7" t="s">
        <v>628</v>
      </c>
      <c r="Q62" s="7" t="s">
        <v>669</v>
      </c>
      <c r="R62" s="7" t="s">
        <v>670</v>
      </c>
    </row>
    <row r="63" customFormat="false" ht="27.75" hidden="false" customHeight="true" outlineLevel="0" collapsed="false">
      <c r="A63" s="8" t="s">
        <v>671</v>
      </c>
      <c r="B63" s="8" t="s">
        <v>619</v>
      </c>
      <c r="C63" s="8" t="s">
        <v>672</v>
      </c>
      <c r="D63" s="8" t="s">
        <v>673</v>
      </c>
      <c r="E63" s="8" t="s">
        <v>674</v>
      </c>
      <c r="F63" s="8" t="s">
        <v>155</v>
      </c>
      <c r="G63" s="8" t="s">
        <v>56</v>
      </c>
      <c r="H63" s="8" t="s">
        <v>623</v>
      </c>
      <c r="I63" s="8" t="s">
        <v>58</v>
      </c>
      <c r="J63" s="8" t="s">
        <v>656</v>
      </c>
      <c r="K63" s="8" t="s">
        <v>675</v>
      </c>
      <c r="L63" s="8" t="s">
        <v>676</v>
      </c>
      <c r="M63" s="8" t="s">
        <v>62</v>
      </c>
      <c r="N63" s="8" t="s">
        <v>677</v>
      </c>
      <c r="O63" s="8"/>
      <c r="P63" s="8" t="s">
        <v>628</v>
      </c>
      <c r="Q63" s="8" t="s">
        <v>678</v>
      </c>
      <c r="R63" s="8" t="s">
        <v>679</v>
      </c>
    </row>
    <row r="64" customFormat="false" ht="27.75" hidden="false" customHeight="true" outlineLevel="0" collapsed="false">
      <c r="A64" s="7" t="s">
        <v>680</v>
      </c>
      <c r="B64" s="7" t="s">
        <v>619</v>
      </c>
      <c r="C64" s="7" t="s">
        <v>681</v>
      </c>
      <c r="D64" s="7" t="s">
        <v>682</v>
      </c>
      <c r="E64" s="7" t="s">
        <v>683</v>
      </c>
      <c r="F64" s="7" t="s">
        <v>684</v>
      </c>
      <c r="G64" s="7" t="s">
        <v>267</v>
      </c>
      <c r="H64" s="7" t="s">
        <v>145</v>
      </c>
      <c r="I64" s="7" t="s">
        <v>58</v>
      </c>
      <c r="J64" s="7" t="s">
        <v>685</v>
      </c>
      <c r="K64" s="7" t="s">
        <v>686</v>
      </c>
      <c r="L64" s="7" t="s">
        <v>687</v>
      </c>
      <c r="M64" s="7" t="s">
        <v>62</v>
      </c>
      <c r="N64" s="7" t="s">
        <v>688</v>
      </c>
      <c r="O64" s="7" t="s">
        <v>79</v>
      </c>
      <c r="P64" s="7" t="s">
        <v>628</v>
      </c>
      <c r="Q64" s="7" t="s">
        <v>689</v>
      </c>
      <c r="R64" s="7" t="s">
        <v>690</v>
      </c>
    </row>
    <row r="65" customFormat="false" ht="27.75" hidden="false" customHeight="true" outlineLevel="0" collapsed="false">
      <c r="A65" s="8" t="s">
        <v>691</v>
      </c>
      <c r="B65" s="8" t="s">
        <v>619</v>
      </c>
      <c r="C65" s="8" t="s">
        <v>692</v>
      </c>
      <c r="D65" s="8" t="s">
        <v>693</v>
      </c>
      <c r="E65" s="8" t="s">
        <v>694</v>
      </c>
      <c r="F65" s="8" t="s">
        <v>155</v>
      </c>
      <c r="G65" s="8" t="s">
        <v>56</v>
      </c>
      <c r="H65" s="8" t="s">
        <v>623</v>
      </c>
      <c r="I65" s="8" t="s">
        <v>74</v>
      </c>
      <c r="J65" s="8" t="s">
        <v>695</v>
      </c>
      <c r="K65" s="8" t="s">
        <v>696</v>
      </c>
      <c r="L65" s="8" t="s">
        <v>676</v>
      </c>
      <c r="M65" s="8" t="s">
        <v>62</v>
      </c>
      <c r="N65" s="8" t="s">
        <v>697</v>
      </c>
      <c r="O65" s="8" t="s">
        <v>668</v>
      </c>
      <c r="P65" s="8" t="s">
        <v>628</v>
      </c>
      <c r="Q65" s="8" t="s">
        <v>698</v>
      </c>
      <c r="R65" s="8" t="s">
        <v>699</v>
      </c>
    </row>
    <row r="66" customFormat="false" ht="27.75" hidden="false" customHeight="true" outlineLevel="0" collapsed="false">
      <c r="A66" s="7" t="s">
        <v>700</v>
      </c>
      <c r="B66" s="7" t="s">
        <v>619</v>
      </c>
      <c r="C66" s="7" t="s">
        <v>701</v>
      </c>
      <c r="D66" s="7" t="s">
        <v>702</v>
      </c>
      <c r="E66" s="7" t="s">
        <v>703</v>
      </c>
      <c r="F66" s="7" t="s">
        <v>684</v>
      </c>
      <c r="G66" s="7" t="s">
        <v>267</v>
      </c>
      <c r="H66" s="7" t="s">
        <v>145</v>
      </c>
      <c r="I66" s="7" t="s">
        <v>58</v>
      </c>
      <c r="J66" s="7" t="s">
        <v>685</v>
      </c>
      <c r="K66" s="7" t="s">
        <v>704</v>
      </c>
      <c r="L66" s="7" t="s">
        <v>705</v>
      </c>
      <c r="M66" s="7" t="s">
        <v>62</v>
      </c>
      <c r="N66" s="7" t="s">
        <v>706</v>
      </c>
      <c r="O66" s="7"/>
      <c r="P66" s="7" t="s">
        <v>628</v>
      </c>
      <c r="Q66" s="7" t="s">
        <v>707</v>
      </c>
      <c r="R66" s="7" t="s">
        <v>708</v>
      </c>
    </row>
    <row r="67" customFormat="false" ht="27.75" hidden="false" customHeight="true" outlineLevel="0" collapsed="false">
      <c r="A67" s="8" t="s">
        <v>709</v>
      </c>
      <c r="B67" s="8" t="s">
        <v>619</v>
      </c>
      <c r="C67" s="8" t="s">
        <v>710</v>
      </c>
      <c r="D67" s="8" t="s">
        <v>711</v>
      </c>
      <c r="E67" s="8" t="s">
        <v>712</v>
      </c>
      <c r="F67" s="8" t="s">
        <v>713</v>
      </c>
      <c r="G67" s="8" t="s">
        <v>56</v>
      </c>
      <c r="H67" s="8" t="s">
        <v>623</v>
      </c>
      <c r="I67" s="8" t="s">
        <v>58</v>
      </c>
      <c r="J67" s="8" t="s">
        <v>656</v>
      </c>
      <c r="K67" s="8" t="s">
        <v>714</v>
      </c>
      <c r="L67" s="8" t="s">
        <v>715</v>
      </c>
      <c r="M67" s="8" t="s">
        <v>62</v>
      </c>
      <c r="N67" s="8" t="s">
        <v>716</v>
      </c>
      <c r="O67" s="8" t="s">
        <v>79</v>
      </c>
      <c r="P67" s="8" t="s">
        <v>717</v>
      </c>
      <c r="Q67" s="8" t="s">
        <v>718</v>
      </c>
      <c r="R67" s="8" t="s">
        <v>719</v>
      </c>
    </row>
    <row r="68" customFormat="false" ht="27.75" hidden="false" customHeight="true" outlineLevel="0" collapsed="false">
      <c r="A68" s="7" t="s">
        <v>720</v>
      </c>
      <c r="B68" s="7" t="s">
        <v>619</v>
      </c>
      <c r="C68" s="7" t="s">
        <v>721</v>
      </c>
      <c r="D68" s="7" t="s">
        <v>722</v>
      </c>
      <c r="E68" s="7" t="s">
        <v>723</v>
      </c>
      <c r="F68" s="7" t="s">
        <v>684</v>
      </c>
      <c r="G68" s="7" t="s">
        <v>724</v>
      </c>
      <c r="H68" s="7" t="s">
        <v>145</v>
      </c>
      <c r="I68" s="7" t="s">
        <v>58</v>
      </c>
      <c r="J68" s="7" t="s">
        <v>725</v>
      </c>
      <c r="K68" s="7" t="s">
        <v>726</v>
      </c>
      <c r="L68" s="7" t="s">
        <v>727</v>
      </c>
      <c r="M68" s="7" t="s">
        <v>62</v>
      </c>
      <c r="N68" s="7" t="s">
        <v>728</v>
      </c>
      <c r="O68" s="7"/>
      <c r="P68" s="7" t="s">
        <v>628</v>
      </c>
      <c r="Q68" s="7" t="s">
        <v>729</v>
      </c>
      <c r="R68" s="7" t="s">
        <v>730</v>
      </c>
    </row>
    <row r="69" customFormat="false" ht="27.75" hidden="false" customHeight="true" outlineLevel="0" collapsed="false">
      <c r="A69" s="8" t="s">
        <v>731</v>
      </c>
      <c r="B69" s="8" t="s">
        <v>619</v>
      </c>
      <c r="C69" s="8" t="s">
        <v>732</v>
      </c>
      <c r="D69" s="8" t="s">
        <v>733</v>
      </c>
      <c r="E69" s="8" t="s">
        <v>734</v>
      </c>
      <c r="F69" s="8" t="s">
        <v>735</v>
      </c>
      <c r="G69" s="8" t="s">
        <v>736</v>
      </c>
      <c r="H69" s="8" t="s">
        <v>145</v>
      </c>
      <c r="I69" s="8" t="s">
        <v>74</v>
      </c>
      <c r="J69" s="8" t="s">
        <v>737</v>
      </c>
      <c r="K69" s="8" t="s">
        <v>738</v>
      </c>
      <c r="L69" s="8" t="s">
        <v>739</v>
      </c>
      <c r="M69" s="8" t="s">
        <v>62</v>
      </c>
      <c r="N69" s="8" t="s">
        <v>740</v>
      </c>
      <c r="O69" s="8" t="s">
        <v>160</v>
      </c>
      <c r="P69" s="8" t="s">
        <v>628</v>
      </c>
      <c r="Q69" s="8" t="s">
        <v>741</v>
      </c>
      <c r="R69" s="8" t="s">
        <v>742</v>
      </c>
    </row>
    <row r="70" customFormat="false" ht="27.75" hidden="false" customHeight="true" outlineLevel="0" collapsed="false">
      <c r="A70" s="7" t="s">
        <v>743</v>
      </c>
      <c r="B70" s="7" t="s">
        <v>619</v>
      </c>
      <c r="C70" s="7" t="s">
        <v>744</v>
      </c>
      <c r="D70" s="7" t="s">
        <v>745</v>
      </c>
      <c r="E70" s="7" t="s">
        <v>746</v>
      </c>
      <c r="F70" s="7" t="s">
        <v>364</v>
      </c>
      <c r="G70" s="7" t="s">
        <v>724</v>
      </c>
      <c r="H70" s="7" t="s">
        <v>145</v>
      </c>
      <c r="I70" s="7" t="s">
        <v>58</v>
      </c>
      <c r="J70" s="7" t="s">
        <v>747</v>
      </c>
      <c r="K70" s="7" t="s">
        <v>748</v>
      </c>
      <c r="L70" s="7" t="s">
        <v>715</v>
      </c>
      <c r="M70" s="7" t="s">
        <v>62</v>
      </c>
      <c r="N70" s="7" t="s">
        <v>749</v>
      </c>
      <c r="O70" s="7"/>
      <c r="P70" s="7" t="s">
        <v>717</v>
      </c>
      <c r="Q70" s="7" t="s">
        <v>750</v>
      </c>
      <c r="R70" s="7" t="s">
        <v>751</v>
      </c>
    </row>
    <row r="71" customFormat="false" ht="27.75" hidden="false" customHeight="true" outlineLevel="0" collapsed="false">
      <c r="A71" s="8" t="s">
        <v>752</v>
      </c>
      <c r="B71" s="8" t="s">
        <v>619</v>
      </c>
      <c r="C71" s="8" t="s">
        <v>744</v>
      </c>
      <c r="D71" s="8" t="s">
        <v>753</v>
      </c>
      <c r="E71" s="8" t="s">
        <v>754</v>
      </c>
      <c r="F71" s="8" t="s">
        <v>266</v>
      </c>
      <c r="G71" s="8" t="s">
        <v>666</v>
      </c>
      <c r="H71" s="8" t="s">
        <v>145</v>
      </c>
      <c r="I71" s="8" t="s">
        <v>58</v>
      </c>
      <c r="J71" s="8" t="s">
        <v>747</v>
      </c>
      <c r="K71" s="8" t="s">
        <v>748</v>
      </c>
      <c r="L71" s="8" t="s">
        <v>715</v>
      </c>
      <c r="M71" s="8" t="s">
        <v>62</v>
      </c>
      <c r="N71" s="8" t="s">
        <v>755</v>
      </c>
      <c r="O71" s="8"/>
      <c r="P71" s="8" t="s">
        <v>717</v>
      </c>
      <c r="Q71" s="8" t="s">
        <v>750</v>
      </c>
      <c r="R71" s="8" t="s">
        <v>756</v>
      </c>
    </row>
    <row r="72" customFormat="false" ht="27.75" hidden="false" customHeight="true" outlineLevel="0" collapsed="false">
      <c r="A72" s="7" t="s">
        <v>757</v>
      </c>
      <c r="B72" s="7" t="s">
        <v>619</v>
      </c>
      <c r="C72" s="7" t="s">
        <v>744</v>
      </c>
      <c r="D72" s="7" t="s">
        <v>758</v>
      </c>
      <c r="E72" s="7" t="s">
        <v>759</v>
      </c>
      <c r="F72" s="7" t="s">
        <v>351</v>
      </c>
      <c r="G72" s="7" t="s">
        <v>352</v>
      </c>
      <c r="H72" s="7" t="s">
        <v>760</v>
      </c>
      <c r="I72" s="7" t="s">
        <v>58</v>
      </c>
      <c r="J72" s="7" t="s">
        <v>747</v>
      </c>
      <c r="K72" s="7" t="s">
        <v>748</v>
      </c>
      <c r="L72" s="7" t="s">
        <v>715</v>
      </c>
      <c r="M72" s="7" t="s">
        <v>62</v>
      </c>
      <c r="N72" s="7" t="s">
        <v>761</v>
      </c>
      <c r="O72" s="7"/>
      <c r="P72" s="7" t="s">
        <v>717</v>
      </c>
      <c r="Q72" s="7" t="s">
        <v>750</v>
      </c>
      <c r="R72" s="7" t="s">
        <v>762</v>
      </c>
    </row>
    <row r="73" customFormat="false" ht="27.75" hidden="false" customHeight="true" outlineLevel="0" collapsed="false">
      <c r="A73" s="8" t="s">
        <v>763</v>
      </c>
      <c r="B73" s="8" t="s">
        <v>619</v>
      </c>
      <c r="C73" s="8" t="s">
        <v>744</v>
      </c>
      <c r="D73" s="8" t="s">
        <v>764</v>
      </c>
      <c r="E73" s="8" t="s">
        <v>746</v>
      </c>
      <c r="F73" s="8" t="s">
        <v>765</v>
      </c>
      <c r="G73" s="8" t="s">
        <v>395</v>
      </c>
      <c r="H73" s="8" t="s">
        <v>145</v>
      </c>
      <c r="I73" s="8" t="s">
        <v>58</v>
      </c>
      <c r="J73" s="8" t="s">
        <v>747</v>
      </c>
      <c r="K73" s="8" t="s">
        <v>748</v>
      </c>
      <c r="L73" s="8" t="s">
        <v>715</v>
      </c>
      <c r="M73" s="8" t="s">
        <v>62</v>
      </c>
      <c r="N73" s="8" t="s">
        <v>766</v>
      </c>
      <c r="O73" s="8"/>
      <c r="P73" s="8" t="s">
        <v>717</v>
      </c>
      <c r="Q73" s="8" t="s">
        <v>750</v>
      </c>
      <c r="R73" s="8" t="s">
        <v>767</v>
      </c>
    </row>
    <row r="74" customFormat="false" ht="27.75" hidden="false" customHeight="true" outlineLevel="0" collapsed="false">
      <c r="A74" s="7" t="s">
        <v>768</v>
      </c>
      <c r="B74" s="7" t="s">
        <v>619</v>
      </c>
      <c r="C74" s="7" t="s">
        <v>744</v>
      </c>
      <c r="D74" s="7" t="s">
        <v>769</v>
      </c>
      <c r="E74" s="7" t="s">
        <v>770</v>
      </c>
      <c r="F74" s="7" t="s">
        <v>771</v>
      </c>
      <c r="G74" s="7" t="s">
        <v>772</v>
      </c>
      <c r="H74" s="7" t="s">
        <v>145</v>
      </c>
      <c r="I74" s="7" t="s">
        <v>58</v>
      </c>
      <c r="J74" s="7" t="s">
        <v>747</v>
      </c>
      <c r="K74" s="7" t="s">
        <v>748</v>
      </c>
      <c r="L74" s="7" t="s">
        <v>715</v>
      </c>
      <c r="M74" s="7" t="s">
        <v>62</v>
      </c>
      <c r="N74" s="7" t="s">
        <v>773</v>
      </c>
      <c r="O74" s="7"/>
      <c r="P74" s="7" t="s">
        <v>717</v>
      </c>
      <c r="Q74" s="7" t="s">
        <v>750</v>
      </c>
      <c r="R74" s="7" t="s">
        <v>774</v>
      </c>
    </row>
    <row r="75" customFormat="false" ht="27.75" hidden="false" customHeight="true" outlineLevel="0" collapsed="false">
      <c r="A75" s="8" t="s">
        <v>775</v>
      </c>
      <c r="B75" s="8" t="s">
        <v>619</v>
      </c>
      <c r="C75" s="8" t="s">
        <v>744</v>
      </c>
      <c r="D75" s="8" t="s">
        <v>776</v>
      </c>
      <c r="E75" s="8" t="s">
        <v>777</v>
      </c>
      <c r="F75" s="8" t="s">
        <v>778</v>
      </c>
      <c r="G75" s="8" t="s">
        <v>352</v>
      </c>
      <c r="H75" s="8" t="s">
        <v>779</v>
      </c>
      <c r="I75" s="8" t="s">
        <v>58</v>
      </c>
      <c r="J75" s="8" t="s">
        <v>747</v>
      </c>
      <c r="K75" s="8" t="s">
        <v>748</v>
      </c>
      <c r="L75" s="8" t="s">
        <v>715</v>
      </c>
      <c r="M75" s="8" t="s">
        <v>62</v>
      </c>
      <c r="N75" s="8" t="s">
        <v>780</v>
      </c>
      <c r="O75" s="8"/>
      <c r="P75" s="8" t="s">
        <v>717</v>
      </c>
      <c r="Q75" s="8" t="s">
        <v>750</v>
      </c>
      <c r="R75" s="8" t="s">
        <v>781</v>
      </c>
    </row>
    <row r="76" customFormat="false" ht="27.75" hidden="false" customHeight="true" outlineLevel="0" collapsed="false">
      <c r="A76" s="7" t="s">
        <v>782</v>
      </c>
      <c r="B76" s="7" t="s">
        <v>619</v>
      </c>
      <c r="C76" s="7" t="s">
        <v>744</v>
      </c>
      <c r="D76" s="7" t="s">
        <v>783</v>
      </c>
      <c r="E76" s="7" t="s">
        <v>784</v>
      </c>
      <c r="F76" s="7" t="s">
        <v>785</v>
      </c>
      <c r="G76" s="7" t="s">
        <v>352</v>
      </c>
      <c r="H76" s="7" t="s">
        <v>145</v>
      </c>
      <c r="I76" s="7" t="s">
        <v>58</v>
      </c>
      <c r="J76" s="7" t="s">
        <v>747</v>
      </c>
      <c r="K76" s="7" t="s">
        <v>748</v>
      </c>
      <c r="L76" s="7" t="s">
        <v>715</v>
      </c>
      <c r="M76" s="7" t="s">
        <v>62</v>
      </c>
      <c r="N76" s="7" t="s">
        <v>786</v>
      </c>
      <c r="O76" s="7"/>
      <c r="P76" s="7" t="s">
        <v>717</v>
      </c>
      <c r="Q76" s="7" t="s">
        <v>750</v>
      </c>
      <c r="R76" s="7" t="s">
        <v>787</v>
      </c>
    </row>
    <row r="77" customFormat="false" ht="27.75" hidden="false" customHeight="true" outlineLevel="0" collapsed="false">
      <c r="A77" s="8" t="s">
        <v>788</v>
      </c>
      <c r="B77" s="8" t="s">
        <v>619</v>
      </c>
      <c r="C77" s="8" t="s">
        <v>744</v>
      </c>
      <c r="D77" s="8" t="s">
        <v>789</v>
      </c>
      <c r="E77" s="8" t="s">
        <v>784</v>
      </c>
      <c r="F77" s="8" t="s">
        <v>785</v>
      </c>
      <c r="G77" s="8" t="s">
        <v>352</v>
      </c>
      <c r="H77" s="8" t="s">
        <v>145</v>
      </c>
      <c r="I77" s="8" t="s">
        <v>58</v>
      </c>
      <c r="J77" s="8" t="s">
        <v>747</v>
      </c>
      <c r="K77" s="8" t="s">
        <v>748</v>
      </c>
      <c r="L77" s="8" t="s">
        <v>715</v>
      </c>
      <c r="M77" s="8" t="s">
        <v>62</v>
      </c>
      <c r="N77" s="8" t="s">
        <v>790</v>
      </c>
      <c r="O77" s="8" t="s">
        <v>160</v>
      </c>
      <c r="P77" s="8" t="s">
        <v>717</v>
      </c>
      <c r="Q77" s="8" t="s">
        <v>750</v>
      </c>
      <c r="R77" s="8" t="s">
        <v>791</v>
      </c>
    </row>
    <row r="78" customFormat="false" ht="27.75" hidden="false" customHeight="true" outlineLevel="0" collapsed="false">
      <c r="A78" s="7" t="s">
        <v>792</v>
      </c>
      <c r="B78" s="7" t="s">
        <v>619</v>
      </c>
      <c r="C78" s="7" t="s">
        <v>744</v>
      </c>
      <c r="D78" s="7" t="s">
        <v>793</v>
      </c>
      <c r="E78" s="7" t="s">
        <v>777</v>
      </c>
      <c r="F78" s="7" t="s">
        <v>771</v>
      </c>
      <c r="G78" s="7" t="s">
        <v>772</v>
      </c>
      <c r="H78" s="7" t="s">
        <v>145</v>
      </c>
      <c r="I78" s="7" t="s">
        <v>58</v>
      </c>
      <c r="J78" s="7" t="s">
        <v>747</v>
      </c>
      <c r="K78" s="7" t="s">
        <v>748</v>
      </c>
      <c r="L78" s="7" t="s">
        <v>715</v>
      </c>
      <c r="M78" s="7" t="s">
        <v>62</v>
      </c>
      <c r="N78" s="7" t="s">
        <v>794</v>
      </c>
      <c r="O78" s="7" t="s">
        <v>160</v>
      </c>
      <c r="P78" s="7" t="s">
        <v>717</v>
      </c>
      <c r="Q78" s="7" t="s">
        <v>750</v>
      </c>
      <c r="R78" s="7" t="s">
        <v>795</v>
      </c>
    </row>
    <row r="79" customFormat="false" ht="27.75" hidden="false" customHeight="true" outlineLevel="0" collapsed="false">
      <c r="A79" s="8" t="s">
        <v>796</v>
      </c>
      <c r="B79" s="8" t="s">
        <v>619</v>
      </c>
      <c r="C79" s="8" t="s">
        <v>744</v>
      </c>
      <c r="D79" s="8" t="s">
        <v>797</v>
      </c>
      <c r="E79" s="8" t="s">
        <v>784</v>
      </c>
      <c r="F79" s="8" t="s">
        <v>798</v>
      </c>
      <c r="G79" s="8" t="s">
        <v>352</v>
      </c>
      <c r="H79" s="8" t="s">
        <v>760</v>
      </c>
      <c r="I79" s="8" t="s">
        <v>58</v>
      </c>
      <c r="J79" s="8" t="s">
        <v>747</v>
      </c>
      <c r="K79" s="8" t="s">
        <v>748</v>
      </c>
      <c r="L79" s="8" t="s">
        <v>715</v>
      </c>
      <c r="M79" s="8" t="s">
        <v>62</v>
      </c>
      <c r="N79" s="8" t="s">
        <v>799</v>
      </c>
      <c r="O79" s="8" t="s">
        <v>79</v>
      </c>
      <c r="P79" s="8" t="s">
        <v>717</v>
      </c>
      <c r="Q79" s="8" t="s">
        <v>750</v>
      </c>
      <c r="R79" s="8" t="s">
        <v>800</v>
      </c>
    </row>
    <row r="80" customFormat="false" ht="27.75" hidden="false" customHeight="true" outlineLevel="0" collapsed="false">
      <c r="A80" s="7" t="s">
        <v>801</v>
      </c>
      <c r="B80" s="7" t="s">
        <v>619</v>
      </c>
      <c r="C80" s="7" t="s">
        <v>744</v>
      </c>
      <c r="D80" s="7" t="s">
        <v>802</v>
      </c>
      <c r="E80" s="7" t="s">
        <v>803</v>
      </c>
      <c r="F80" s="7" t="s">
        <v>266</v>
      </c>
      <c r="G80" s="7" t="s">
        <v>724</v>
      </c>
      <c r="H80" s="7" t="s">
        <v>145</v>
      </c>
      <c r="I80" s="7" t="s">
        <v>58</v>
      </c>
      <c r="J80" s="7" t="s">
        <v>747</v>
      </c>
      <c r="K80" s="7" t="s">
        <v>748</v>
      </c>
      <c r="L80" s="7" t="s">
        <v>715</v>
      </c>
      <c r="M80" s="7" t="s">
        <v>62</v>
      </c>
      <c r="N80" s="7" t="s">
        <v>804</v>
      </c>
      <c r="O80" s="7"/>
      <c r="P80" s="7" t="s">
        <v>717</v>
      </c>
      <c r="Q80" s="7" t="s">
        <v>750</v>
      </c>
      <c r="R80" s="7" t="s">
        <v>805</v>
      </c>
    </row>
    <row r="81" customFormat="false" ht="27.75" hidden="false" customHeight="true" outlineLevel="0" collapsed="false">
      <c r="A81" s="8" t="s">
        <v>806</v>
      </c>
      <c r="B81" s="8" t="s">
        <v>619</v>
      </c>
      <c r="C81" s="8" t="s">
        <v>744</v>
      </c>
      <c r="D81" s="8" t="s">
        <v>807</v>
      </c>
      <c r="E81" s="8" t="s">
        <v>808</v>
      </c>
      <c r="F81" s="8" t="s">
        <v>809</v>
      </c>
      <c r="G81" s="8" t="s">
        <v>352</v>
      </c>
      <c r="H81" s="8" t="s">
        <v>145</v>
      </c>
      <c r="I81" s="8" t="s">
        <v>58</v>
      </c>
      <c r="J81" s="8" t="s">
        <v>747</v>
      </c>
      <c r="K81" s="8" t="s">
        <v>748</v>
      </c>
      <c r="L81" s="8" t="s">
        <v>715</v>
      </c>
      <c r="M81" s="8" t="s">
        <v>62</v>
      </c>
      <c r="N81" s="8" t="s">
        <v>810</v>
      </c>
      <c r="O81" s="8"/>
      <c r="P81" s="8" t="s">
        <v>717</v>
      </c>
      <c r="Q81" s="8" t="s">
        <v>750</v>
      </c>
      <c r="R81" s="8" t="s">
        <v>811</v>
      </c>
    </row>
    <row r="82" customFormat="false" ht="27.75" hidden="false" customHeight="true" outlineLevel="0" collapsed="false">
      <c r="A82" s="7" t="s">
        <v>812</v>
      </c>
      <c r="B82" s="7" t="s">
        <v>619</v>
      </c>
      <c r="C82" s="7" t="s">
        <v>744</v>
      </c>
      <c r="D82" s="7" t="s">
        <v>813</v>
      </c>
      <c r="E82" s="7" t="s">
        <v>814</v>
      </c>
      <c r="F82" s="7" t="s">
        <v>815</v>
      </c>
      <c r="G82" s="7" t="s">
        <v>816</v>
      </c>
      <c r="H82" s="7" t="s">
        <v>145</v>
      </c>
      <c r="I82" s="7" t="s">
        <v>58</v>
      </c>
      <c r="J82" s="7" t="s">
        <v>747</v>
      </c>
      <c r="K82" s="7" t="s">
        <v>748</v>
      </c>
      <c r="L82" s="7" t="s">
        <v>715</v>
      </c>
      <c r="M82" s="7" t="s">
        <v>62</v>
      </c>
      <c r="N82" s="7" t="s">
        <v>817</v>
      </c>
      <c r="O82" s="7" t="s">
        <v>79</v>
      </c>
      <c r="P82" s="7" t="s">
        <v>717</v>
      </c>
      <c r="Q82" s="7" t="s">
        <v>750</v>
      </c>
      <c r="R82" s="7" t="s">
        <v>818</v>
      </c>
    </row>
    <row r="83" customFormat="false" ht="27.75" hidden="false" customHeight="true" outlineLevel="0" collapsed="false">
      <c r="A83" s="8" t="s">
        <v>819</v>
      </c>
      <c r="B83" s="8" t="s">
        <v>619</v>
      </c>
      <c r="C83" s="8" t="s">
        <v>744</v>
      </c>
      <c r="D83" s="8" t="s">
        <v>820</v>
      </c>
      <c r="E83" s="8" t="s">
        <v>777</v>
      </c>
      <c r="F83" s="8" t="s">
        <v>821</v>
      </c>
      <c r="G83" s="8" t="s">
        <v>724</v>
      </c>
      <c r="H83" s="8" t="s">
        <v>145</v>
      </c>
      <c r="I83" s="8" t="s">
        <v>58</v>
      </c>
      <c r="J83" s="8" t="s">
        <v>747</v>
      </c>
      <c r="K83" s="8" t="s">
        <v>748</v>
      </c>
      <c r="L83" s="8" t="s">
        <v>715</v>
      </c>
      <c r="M83" s="8" t="s">
        <v>62</v>
      </c>
      <c r="N83" s="8" t="s">
        <v>822</v>
      </c>
      <c r="O83" s="8"/>
      <c r="P83" s="8" t="s">
        <v>717</v>
      </c>
      <c r="Q83" s="8" t="s">
        <v>750</v>
      </c>
      <c r="R83" s="8" t="s">
        <v>823</v>
      </c>
    </row>
    <row r="84" customFormat="false" ht="27.75" hidden="false" customHeight="true" outlineLevel="0" collapsed="false">
      <c r="A84" s="7" t="s">
        <v>824</v>
      </c>
      <c r="B84" s="7" t="s">
        <v>619</v>
      </c>
      <c r="C84" s="7" t="s">
        <v>744</v>
      </c>
      <c r="D84" s="7" t="s">
        <v>825</v>
      </c>
      <c r="E84" s="7" t="s">
        <v>784</v>
      </c>
      <c r="F84" s="7" t="s">
        <v>826</v>
      </c>
      <c r="G84" s="7" t="s">
        <v>352</v>
      </c>
      <c r="H84" s="7" t="s">
        <v>760</v>
      </c>
      <c r="I84" s="7" t="s">
        <v>58</v>
      </c>
      <c r="J84" s="7" t="s">
        <v>747</v>
      </c>
      <c r="K84" s="7" t="s">
        <v>748</v>
      </c>
      <c r="L84" s="7" t="s">
        <v>715</v>
      </c>
      <c r="M84" s="7" t="s">
        <v>62</v>
      </c>
      <c r="N84" s="7" t="s">
        <v>827</v>
      </c>
      <c r="O84" s="7" t="s">
        <v>79</v>
      </c>
      <c r="P84" s="7" t="s">
        <v>717</v>
      </c>
      <c r="Q84" s="7" t="s">
        <v>750</v>
      </c>
      <c r="R84" s="7" t="s">
        <v>828</v>
      </c>
    </row>
    <row r="85" customFormat="false" ht="27.75" hidden="false" customHeight="true" outlineLevel="0" collapsed="false">
      <c r="A85" s="8" t="s">
        <v>829</v>
      </c>
      <c r="B85" s="8" t="s">
        <v>619</v>
      </c>
      <c r="C85" s="8" t="s">
        <v>744</v>
      </c>
      <c r="D85" s="8" t="s">
        <v>830</v>
      </c>
      <c r="E85" s="8" t="s">
        <v>784</v>
      </c>
      <c r="F85" s="8" t="s">
        <v>826</v>
      </c>
      <c r="G85" s="8" t="s">
        <v>352</v>
      </c>
      <c r="H85" s="8" t="s">
        <v>760</v>
      </c>
      <c r="I85" s="8" t="s">
        <v>58</v>
      </c>
      <c r="J85" s="8" t="s">
        <v>747</v>
      </c>
      <c r="K85" s="8" t="s">
        <v>748</v>
      </c>
      <c r="L85" s="8" t="s">
        <v>715</v>
      </c>
      <c r="M85" s="8" t="s">
        <v>62</v>
      </c>
      <c r="N85" s="8" t="s">
        <v>831</v>
      </c>
      <c r="O85" s="8" t="s">
        <v>79</v>
      </c>
      <c r="P85" s="8" t="s">
        <v>717</v>
      </c>
      <c r="Q85" s="8" t="s">
        <v>750</v>
      </c>
      <c r="R85" s="8" t="s">
        <v>832</v>
      </c>
    </row>
    <row r="86" customFormat="false" ht="27.75" hidden="false" customHeight="true" outlineLevel="0" collapsed="false">
      <c r="A86" s="7" t="s">
        <v>833</v>
      </c>
      <c r="B86" s="7" t="s">
        <v>619</v>
      </c>
      <c r="C86" s="7" t="s">
        <v>744</v>
      </c>
      <c r="D86" s="7" t="s">
        <v>834</v>
      </c>
      <c r="E86" s="7" t="s">
        <v>835</v>
      </c>
      <c r="F86" s="7" t="s">
        <v>836</v>
      </c>
      <c r="G86" s="7" t="s">
        <v>352</v>
      </c>
      <c r="H86" s="7" t="s">
        <v>145</v>
      </c>
      <c r="I86" s="7" t="s">
        <v>58</v>
      </c>
      <c r="J86" s="7" t="s">
        <v>747</v>
      </c>
      <c r="K86" s="7" t="s">
        <v>748</v>
      </c>
      <c r="L86" s="7" t="s">
        <v>715</v>
      </c>
      <c r="M86" s="7" t="s">
        <v>62</v>
      </c>
      <c r="N86" s="7" t="s">
        <v>837</v>
      </c>
      <c r="O86" s="7" t="s">
        <v>79</v>
      </c>
      <c r="P86" s="7" t="s">
        <v>717</v>
      </c>
      <c r="Q86" s="7" t="s">
        <v>750</v>
      </c>
      <c r="R86" s="7" t="s">
        <v>838</v>
      </c>
    </row>
    <row r="87" customFormat="false" ht="27.75" hidden="false" customHeight="true" outlineLevel="0" collapsed="false">
      <c r="A87" s="8" t="s">
        <v>839</v>
      </c>
      <c r="B87" s="8" t="s">
        <v>619</v>
      </c>
      <c r="C87" s="8" t="s">
        <v>744</v>
      </c>
      <c r="D87" s="8" t="s">
        <v>840</v>
      </c>
      <c r="E87" s="8" t="s">
        <v>784</v>
      </c>
      <c r="F87" s="8" t="s">
        <v>841</v>
      </c>
      <c r="G87" s="8" t="s">
        <v>352</v>
      </c>
      <c r="H87" s="8" t="s">
        <v>760</v>
      </c>
      <c r="I87" s="8" t="s">
        <v>58</v>
      </c>
      <c r="J87" s="8" t="s">
        <v>747</v>
      </c>
      <c r="K87" s="8" t="s">
        <v>748</v>
      </c>
      <c r="L87" s="8" t="s">
        <v>715</v>
      </c>
      <c r="M87" s="8" t="s">
        <v>62</v>
      </c>
      <c r="N87" s="8" t="s">
        <v>842</v>
      </c>
      <c r="O87" s="8" t="s">
        <v>79</v>
      </c>
      <c r="P87" s="8" t="s">
        <v>717</v>
      </c>
      <c r="Q87" s="8" t="s">
        <v>750</v>
      </c>
      <c r="R87" s="8" t="s">
        <v>843</v>
      </c>
    </row>
    <row r="88" customFormat="false" ht="27.75" hidden="false" customHeight="true" outlineLevel="0" collapsed="false">
      <c r="A88" s="7" t="s">
        <v>844</v>
      </c>
      <c r="B88" s="7" t="s">
        <v>619</v>
      </c>
      <c r="C88" s="7" t="s">
        <v>744</v>
      </c>
      <c r="D88" s="7" t="s">
        <v>845</v>
      </c>
      <c r="E88" s="7" t="s">
        <v>784</v>
      </c>
      <c r="F88" s="7" t="s">
        <v>846</v>
      </c>
      <c r="G88" s="7" t="s">
        <v>352</v>
      </c>
      <c r="H88" s="7" t="s">
        <v>145</v>
      </c>
      <c r="I88" s="7" t="s">
        <v>58</v>
      </c>
      <c r="J88" s="7" t="s">
        <v>747</v>
      </c>
      <c r="K88" s="7" t="s">
        <v>748</v>
      </c>
      <c r="L88" s="7" t="s">
        <v>715</v>
      </c>
      <c r="M88" s="7" t="s">
        <v>62</v>
      </c>
      <c r="N88" s="7" t="s">
        <v>847</v>
      </c>
      <c r="O88" s="7" t="s">
        <v>79</v>
      </c>
      <c r="P88" s="7" t="s">
        <v>717</v>
      </c>
      <c r="Q88" s="7" t="s">
        <v>750</v>
      </c>
      <c r="R88" s="7" t="s">
        <v>848</v>
      </c>
    </row>
    <row r="89" customFormat="false" ht="27.75" hidden="false" customHeight="true" outlineLevel="0" collapsed="false">
      <c r="A89" s="8" t="s">
        <v>849</v>
      </c>
      <c r="B89" s="8" t="s">
        <v>619</v>
      </c>
      <c r="C89" s="8" t="s">
        <v>744</v>
      </c>
      <c r="D89" s="8" t="s">
        <v>850</v>
      </c>
      <c r="E89" s="8" t="s">
        <v>784</v>
      </c>
      <c r="F89" s="8" t="s">
        <v>851</v>
      </c>
      <c r="G89" s="8" t="s">
        <v>352</v>
      </c>
      <c r="H89" s="8" t="s">
        <v>145</v>
      </c>
      <c r="I89" s="8" t="s">
        <v>58</v>
      </c>
      <c r="J89" s="8" t="s">
        <v>747</v>
      </c>
      <c r="K89" s="8" t="s">
        <v>748</v>
      </c>
      <c r="L89" s="8" t="s">
        <v>715</v>
      </c>
      <c r="M89" s="8" t="s">
        <v>62</v>
      </c>
      <c r="N89" s="8" t="s">
        <v>852</v>
      </c>
      <c r="O89" s="8" t="s">
        <v>79</v>
      </c>
      <c r="P89" s="8" t="s">
        <v>717</v>
      </c>
      <c r="Q89" s="8" t="s">
        <v>750</v>
      </c>
      <c r="R89" s="8" t="s">
        <v>853</v>
      </c>
    </row>
    <row r="90" customFormat="false" ht="27.75" hidden="false" customHeight="true" outlineLevel="0" collapsed="false">
      <c r="A90" s="7" t="s">
        <v>854</v>
      </c>
      <c r="B90" s="7" t="s">
        <v>619</v>
      </c>
      <c r="C90" s="7" t="s">
        <v>744</v>
      </c>
      <c r="D90" s="7" t="s">
        <v>855</v>
      </c>
      <c r="E90" s="7" t="s">
        <v>835</v>
      </c>
      <c r="F90" s="7" t="s">
        <v>856</v>
      </c>
      <c r="G90" s="7" t="s">
        <v>857</v>
      </c>
      <c r="H90" s="7" t="s">
        <v>145</v>
      </c>
      <c r="I90" s="7" t="s">
        <v>58</v>
      </c>
      <c r="J90" s="7" t="s">
        <v>747</v>
      </c>
      <c r="K90" s="7" t="s">
        <v>748</v>
      </c>
      <c r="L90" s="7" t="s">
        <v>715</v>
      </c>
      <c r="M90" s="7" t="s">
        <v>62</v>
      </c>
      <c r="N90" s="7" t="s">
        <v>858</v>
      </c>
      <c r="O90" s="7"/>
      <c r="P90" s="7" t="s">
        <v>717</v>
      </c>
      <c r="Q90" s="7" t="s">
        <v>750</v>
      </c>
      <c r="R90" s="7" t="s">
        <v>859</v>
      </c>
    </row>
    <row r="91" customFormat="false" ht="27.75" hidden="false" customHeight="true" outlineLevel="0" collapsed="false">
      <c r="A91" s="8" t="s">
        <v>860</v>
      </c>
      <c r="B91" s="8" t="s">
        <v>619</v>
      </c>
      <c r="C91" s="8" t="s">
        <v>744</v>
      </c>
      <c r="D91" s="8" t="s">
        <v>861</v>
      </c>
      <c r="E91" s="8" t="s">
        <v>784</v>
      </c>
      <c r="F91" s="8" t="s">
        <v>862</v>
      </c>
      <c r="G91" s="8" t="s">
        <v>857</v>
      </c>
      <c r="H91" s="8" t="s">
        <v>760</v>
      </c>
      <c r="I91" s="8" t="s">
        <v>58</v>
      </c>
      <c r="J91" s="8" t="s">
        <v>747</v>
      </c>
      <c r="K91" s="8" t="s">
        <v>748</v>
      </c>
      <c r="L91" s="8" t="s">
        <v>715</v>
      </c>
      <c r="M91" s="8" t="s">
        <v>62</v>
      </c>
      <c r="N91" s="8" t="s">
        <v>863</v>
      </c>
      <c r="O91" s="8"/>
      <c r="P91" s="8" t="s">
        <v>717</v>
      </c>
      <c r="Q91" s="8" t="s">
        <v>750</v>
      </c>
      <c r="R91" s="8" t="s">
        <v>864</v>
      </c>
    </row>
    <row r="92" customFormat="false" ht="27.75" hidden="false" customHeight="true" outlineLevel="0" collapsed="false">
      <c r="A92" s="7" t="s">
        <v>865</v>
      </c>
      <c r="B92" s="7" t="s">
        <v>619</v>
      </c>
      <c r="C92" s="7" t="s">
        <v>744</v>
      </c>
      <c r="D92" s="7" t="s">
        <v>866</v>
      </c>
      <c r="E92" s="7" t="s">
        <v>784</v>
      </c>
      <c r="F92" s="7" t="s">
        <v>867</v>
      </c>
      <c r="G92" s="7" t="s">
        <v>857</v>
      </c>
      <c r="H92" s="7" t="s">
        <v>145</v>
      </c>
      <c r="I92" s="7" t="s">
        <v>58</v>
      </c>
      <c r="J92" s="7" t="s">
        <v>747</v>
      </c>
      <c r="K92" s="7" t="s">
        <v>748</v>
      </c>
      <c r="L92" s="7" t="s">
        <v>715</v>
      </c>
      <c r="M92" s="7" t="s">
        <v>62</v>
      </c>
      <c r="N92" s="7" t="s">
        <v>868</v>
      </c>
      <c r="O92" s="7"/>
      <c r="P92" s="7" t="s">
        <v>717</v>
      </c>
      <c r="Q92" s="7" t="s">
        <v>750</v>
      </c>
      <c r="R92" s="7" t="s">
        <v>859</v>
      </c>
    </row>
    <row r="93" customFormat="false" ht="27.75" hidden="false" customHeight="true" outlineLevel="0" collapsed="false">
      <c r="A93" s="8" t="s">
        <v>869</v>
      </c>
      <c r="B93" s="8" t="s">
        <v>619</v>
      </c>
      <c r="C93" s="8" t="s">
        <v>744</v>
      </c>
      <c r="D93" s="8" t="s">
        <v>870</v>
      </c>
      <c r="E93" s="8" t="s">
        <v>784</v>
      </c>
      <c r="F93" s="8" t="s">
        <v>867</v>
      </c>
      <c r="G93" s="8" t="s">
        <v>857</v>
      </c>
      <c r="H93" s="8" t="s">
        <v>145</v>
      </c>
      <c r="I93" s="8" t="s">
        <v>58</v>
      </c>
      <c r="J93" s="8" t="s">
        <v>747</v>
      </c>
      <c r="K93" s="8" t="s">
        <v>748</v>
      </c>
      <c r="L93" s="8" t="s">
        <v>715</v>
      </c>
      <c r="M93" s="8" t="s">
        <v>62</v>
      </c>
      <c r="N93" s="8" t="s">
        <v>871</v>
      </c>
      <c r="O93" s="8"/>
      <c r="P93" s="8" t="s">
        <v>717</v>
      </c>
      <c r="Q93" s="8" t="s">
        <v>750</v>
      </c>
      <c r="R93" s="8" t="s">
        <v>859</v>
      </c>
    </row>
    <row r="94" customFormat="false" ht="27.75" hidden="false" customHeight="true" outlineLevel="0" collapsed="false">
      <c r="A94" s="7" t="s">
        <v>872</v>
      </c>
      <c r="B94" s="7" t="s">
        <v>619</v>
      </c>
      <c r="C94" s="7" t="s">
        <v>744</v>
      </c>
      <c r="D94" s="7" t="s">
        <v>873</v>
      </c>
      <c r="E94" s="7" t="s">
        <v>784</v>
      </c>
      <c r="F94" s="7" t="s">
        <v>867</v>
      </c>
      <c r="G94" s="7" t="s">
        <v>352</v>
      </c>
      <c r="H94" s="7" t="s">
        <v>145</v>
      </c>
      <c r="I94" s="7" t="s">
        <v>58</v>
      </c>
      <c r="J94" s="7" t="s">
        <v>747</v>
      </c>
      <c r="K94" s="7" t="s">
        <v>748</v>
      </c>
      <c r="L94" s="7" t="s">
        <v>715</v>
      </c>
      <c r="M94" s="7" t="s">
        <v>62</v>
      </c>
      <c r="N94" s="7" t="s">
        <v>874</v>
      </c>
      <c r="O94" s="7" t="s">
        <v>79</v>
      </c>
      <c r="P94" s="7" t="s">
        <v>717</v>
      </c>
      <c r="Q94" s="7" t="s">
        <v>750</v>
      </c>
      <c r="R94" s="7" t="s">
        <v>848</v>
      </c>
    </row>
    <row r="95" customFormat="false" ht="27.75" hidden="false" customHeight="true" outlineLevel="0" collapsed="false">
      <c r="A95" s="8" t="s">
        <v>875</v>
      </c>
      <c r="B95" s="8" t="s">
        <v>619</v>
      </c>
      <c r="C95" s="8" t="s">
        <v>744</v>
      </c>
      <c r="D95" s="8" t="s">
        <v>876</v>
      </c>
      <c r="E95" s="8" t="s">
        <v>784</v>
      </c>
      <c r="F95" s="8" t="s">
        <v>867</v>
      </c>
      <c r="G95" s="8" t="s">
        <v>857</v>
      </c>
      <c r="H95" s="8" t="s">
        <v>145</v>
      </c>
      <c r="I95" s="8" t="s">
        <v>58</v>
      </c>
      <c r="J95" s="8" t="s">
        <v>747</v>
      </c>
      <c r="K95" s="8" t="s">
        <v>748</v>
      </c>
      <c r="L95" s="8" t="s">
        <v>715</v>
      </c>
      <c r="M95" s="8" t="s">
        <v>62</v>
      </c>
      <c r="N95" s="8" t="s">
        <v>877</v>
      </c>
      <c r="O95" s="8"/>
      <c r="P95" s="8" t="s">
        <v>717</v>
      </c>
      <c r="Q95" s="8" t="s">
        <v>750</v>
      </c>
      <c r="R95" s="8" t="s">
        <v>859</v>
      </c>
    </row>
    <row r="96" customFormat="false" ht="27.75" hidden="false" customHeight="true" outlineLevel="0" collapsed="false">
      <c r="A96" s="7" t="s">
        <v>878</v>
      </c>
      <c r="B96" s="7" t="s">
        <v>619</v>
      </c>
      <c r="C96" s="7" t="s">
        <v>744</v>
      </c>
      <c r="D96" s="7" t="s">
        <v>879</v>
      </c>
      <c r="E96" s="7" t="s">
        <v>784</v>
      </c>
      <c r="F96" s="7" t="s">
        <v>880</v>
      </c>
      <c r="G96" s="7" t="s">
        <v>857</v>
      </c>
      <c r="H96" s="7" t="s">
        <v>145</v>
      </c>
      <c r="I96" s="7" t="s">
        <v>58</v>
      </c>
      <c r="J96" s="7" t="s">
        <v>747</v>
      </c>
      <c r="K96" s="7" t="s">
        <v>748</v>
      </c>
      <c r="L96" s="7" t="s">
        <v>715</v>
      </c>
      <c r="M96" s="7" t="s">
        <v>62</v>
      </c>
      <c r="N96" s="7" t="s">
        <v>881</v>
      </c>
      <c r="O96" s="7"/>
      <c r="P96" s="7" t="s">
        <v>717</v>
      </c>
      <c r="Q96" s="7" t="s">
        <v>750</v>
      </c>
      <c r="R96" s="7" t="s">
        <v>882</v>
      </c>
    </row>
    <row r="97" customFormat="false" ht="27.75" hidden="false" customHeight="true" outlineLevel="0" collapsed="false">
      <c r="A97" s="8" t="s">
        <v>883</v>
      </c>
      <c r="B97" s="8" t="s">
        <v>619</v>
      </c>
      <c r="C97" s="8" t="s">
        <v>744</v>
      </c>
      <c r="D97" s="8" t="s">
        <v>884</v>
      </c>
      <c r="E97" s="8" t="s">
        <v>784</v>
      </c>
      <c r="F97" s="8" t="s">
        <v>885</v>
      </c>
      <c r="G97" s="8" t="s">
        <v>352</v>
      </c>
      <c r="H97" s="8" t="s">
        <v>145</v>
      </c>
      <c r="I97" s="8" t="s">
        <v>58</v>
      </c>
      <c r="J97" s="8" t="s">
        <v>747</v>
      </c>
      <c r="K97" s="8" t="s">
        <v>748</v>
      </c>
      <c r="L97" s="8" t="s">
        <v>715</v>
      </c>
      <c r="M97" s="8" t="s">
        <v>62</v>
      </c>
      <c r="N97" s="8" t="s">
        <v>886</v>
      </c>
      <c r="O97" s="8" t="s">
        <v>79</v>
      </c>
      <c r="P97" s="8" t="s">
        <v>717</v>
      </c>
      <c r="Q97" s="8" t="s">
        <v>750</v>
      </c>
      <c r="R97" s="8" t="s">
        <v>887</v>
      </c>
    </row>
    <row r="98" customFormat="false" ht="27.75" hidden="false" customHeight="true" outlineLevel="0" collapsed="false">
      <c r="A98" s="7" t="s">
        <v>888</v>
      </c>
      <c r="B98" s="7" t="s">
        <v>619</v>
      </c>
      <c r="C98" s="7" t="s">
        <v>744</v>
      </c>
      <c r="D98" s="7" t="s">
        <v>889</v>
      </c>
      <c r="E98" s="7" t="s">
        <v>835</v>
      </c>
      <c r="F98" s="7" t="s">
        <v>890</v>
      </c>
      <c r="G98" s="7" t="s">
        <v>724</v>
      </c>
      <c r="H98" s="7" t="s">
        <v>145</v>
      </c>
      <c r="I98" s="7" t="s">
        <v>58</v>
      </c>
      <c r="J98" s="7" t="s">
        <v>747</v>
      </c>
      <c r="K98" s="7" t="s">
        <v>748</v>
      </c>
      <c r="L98" s="7" t="s">
        <v>715</v>
      </c>
      <c r="M98" s="7" t="s">
        <v>62</v>
      </c>
      <c r="N98" s="7" t="s">
        <v>891</v>
      </c>
      <c r="O98" s="7" t="s">
        <v>160</v>
      </c>
      <c r="P98" s="7" t="s">
        <v>717</v>
      </c>
      <c r="Q98" s="7" t="s">
        <v>750</v>
      </c>
      <c r="R98" s="7" t="s">
        <v>892</v>
      </c>
    </row>
    <row r="99" customFormat="false" ht="27.75" hidden="false" customHeight="true" outlineLevel="0" collapsed="false">
      <c r="A99" s="8" t="s">
        <v>893</v>
      </c>
      <c r="B99" s="8" t="s">
        <v>619</v>
      </c>
      <c r="C99" s="8" t="s">
        <v>744</v>
      </c>
      <c r="D99" s="8" t="s">
        <v>894</v>
      </c>
      <c r="E99" s="8" t="s">
        <v>784</v>
      </c>
      <c r="F99" s="8" t="s">
        <v>890</v>
      </c>
      <c r="G99" s="8" t="s">
        <v>857</v>
      </c>
      <c r="H99" s="8" t="s">
        <v>145</v>
      </c>
      <c r="I99" s="8" t="s">
        <v>58</v>
      </c>
      <c r="J99" s="8" t="s">
        <v>747</v>
      </c>
      <c r="K99" s="8" t="s">
        <v>748</v>
      </c>
      <c r="L99" s="8" t="s">
        <v>715</v>
      </c>
      <c r="M99" s="8" t="s">
        <v>62</v>
      </c>
      <c r="N99" s="8" t="s">
        <v>895</v>
      </c>
      <c r="O99" s="8"/>
      <c r="P99" s="8" t="s">
        <v>717</v>
      </c>
      <c r="Q99" s="8" t="s">
        <v>750</v>
      </c>
      <c r="R99" s="8" t="s">
        <v>882</v>
      </c>
    </row>
    <row r="100" customFormat="false" ht="27.75" hidden="false" customHeight="true" outlineLevel="0" collapsed="false">
      <c r="A100" s="7" t="s">
        <v>896</v>
      </c>
      <c r="B100" s="7" t="s">
        <v>619</v>
      </c>
      <c r="C100" s="7" t="s">
        <v>744</v>
      </c>
      <c r="D100" s="7" t="s">
        <v>897</v>
      </c>
      <c r="E100" s="7" t="s">
        <v>777</v>
      </c>
      <c r="F100" s="7" t="s">
        <v>890</v>
      </c>
      <c r="G100" s="7" t="s">
        <v>857</v>
      </c>
      <c r="H100" s="7" t="s">
        <v>145</v>
      </c>
      <c r="I100" s="7" t="s">
        <v>58</v>
      </c>
      <c r="J100" s="7" t="s">
        <v>747</v>
      </c>
      <c r="K100" s="7" t="s">
        <v>748</v>
      </c>
      <c r="L100" s="7" t="s">
        <v>715</v>
      </c>
      <c r="M100" s="7" t="s">
        <v>62</v>
      </c>
      <c r="N100" s="7" t="s">
        <v>898</v>
      </c>
      <c r="O100" s="7" t="s">
        <v>160</v>
      </c>
      <c r="P100" s="7" t="s">
        <v>717</v>
      </c>
      <c r="Q100" s="7" t="s">
        <v>750</v>
      </c>
      <c r="R100" s="7" t="s">
        <v>899</v>
      </c>
    </row>
    <row r="101" customFormat="false" ht="27.75" hidden="false" customHeight="true" outlineLevel="0" collapsed="false">
      <c r="A101" s="8" t="s">
        <v>900</v>
      </c>
      <c r="B101" s="8" t="s">
        <v>619</v>
      </c>
      <c r="C101" s="8" t="s">
        <v>744</v>
      </c>
      <c r="D101" s="8" t="s">
        <v>901</v>
      </c>
      <c r="E101" s="8" t="s">
        <v>777</v>
      </c>
      <c r="F101" s="8" t="s">
        <v>902</v>
      </c>
      <c r="G101" s="8" t="s">
        <v>857</v>
      </c>
      <c r="H101" s="8" t="s">
        <v>145</v>
      </c>
      <c r="I101" s="8" t="s">
        <v>58</v>
      </c>
      <c r="J101" s="8" t="s">
        <v>747</v>
      </c>
      <c r="K101" s="8" t="s">
        <v>748</v>
      </c>
      <c r="L101" s="8" t="s">
        <v>715</v>
      </c>
      <c r="M101" s="8" t="s">
        <v>62</v>
      </c>
      <c r="N101" s="8" t="s">
        <v>903</v>
      </c>
      <c r="O101" s="8" t="s">
        <v>160</v>
      </c>
      <c r="P101" s="8" t="s">
        <v>717</v>
      </c>
      <c r="Q101" s="8" t="s">
        <v>750</v>
      </c>
      <c r="R101" s="8" t="s">
        <v>795</v>
      </c>
    </row>
    <row r="102" customFormat="false" ht="27.75" hidden="false" customHeight="true" outlineLevel="0" collapsed="false">
      <c r="A102" s="7" t="s">
        <v>904</v>
      </c>
      <c r="B102" s="7" t="s">
        <v>619</v>
      </c>
      <c r="C102" s="7" t="s">
        <v>744</v>
      </c>
      <c r="D102" s="7" t="s">
        <v>905</v>
      </c>
      <c r="E102" s="7" t="s">
        <v>835</v>
      </c>
      <c r="F102" s="7" t="s">
        <v>906</v>
      </c>
      <c r="G102" s="7" t="s">
        <v>352</v>
      </c>
      <c r="H102" s="7" t="s">
        <v>760</v>
      </c>
      <c r="I102" s="7" t="s">
        <v>58</v>
      </c>
      <c r="J102" s="7" t="s">
        <v>747</v>
      </c>
      <c r="K102" s="7" t="s">
        <v>748</v>
      </c>
      <c r="L102" s="7" t="s">
        <v>715</v>
      </c>
      <c r="M102" s="7" t="s">
        <v>62</v>
      </c>
      <c r="N102" s="7" t="s">
        <v>907</v>
      </c>
      <c r="O102" s="7"/>
      <c r="P102" s="7" t="s">
        <v>717</v>
      </c>
      <c r="Q102" s="7" t="s">
        <v>750</v>
      </c>
      <c r="R102" s="7" t="s">
        <v>864</v>
      </c>
    </row>
    <row r="103" customFormat="false" ht="27.75" hidden="false" customHeight="true" outlineLevel="0" collapsed="false">
      <c r="A103" s="8" t="s">
        <v>908</v>
      </c>
      <c r="B103" s="8" t="s">
        <v>619</v>
      </c>
      <c r="C103" s="8" t="s">
        <v>744</v>
      </c>
      <c r="D103" s="8" t="s">
        <v>909</v>
      </c>
      <c r="E103" s="8" t="s">
        <v>910</v>
      </c>
      <c r="F103" s="8" t="s">
        <v>765</v>
      </c>
      <c r="G103" s="8" t="s">
        <v>857</v>
      </c>
      <c r="H103" s="8" t="s">
        <v>145</v>
      </c>
      <c r="I103" s="8" t="s">
        <v>58</v>
      </c>
      <c r="J103" s="8" t="s">
        <v>747</v>
      </c>
      <c r="K103" s="8" t="s">
        <v>748</v>
      </c>
      <c r="L103" s="8" t="s">
        <v>715</v>
      </c>
      <c r="M103" s="8" t="s">
        <v>62</v>
      </c>
      <c r="N103" s="8" t="s">
        <v>911</v>
      </c>
      <c r="O103" s="8"/>
      <c r="P103" s="8" t="s">
        <v>717</v>
      </c>
      <c r="Q103" s="8" t="s">
        <v>750</v>
      </c>
      <c r="R103" s="8" t="s">
        <v>912</v>
      </c>
    </row>
    <row r="104" customFormat="false" ht="27.75" hidden="false" customHeight="true" outlineLevel="0" collapsed="false">
      <c r="A104" s="7" t="s">
        <v>913</v>
      </c>
      <c r="B104" s="7" t="s">
        <v>619</v>
      </c>
      <c r="C104" s="7" t="s">
        <v>744</v>
      </c>
      <c r="D104" s="7" t="s">
        <v>914</v>
      </c>
      <c r="E104" s="7" t="s">
        <v>835</v>
      </c>
      <c r="F104" s="7" t="s">
        <v>915</v>
      </c>
      <c r="G104" s="7" t="s">
        <v>857</v>
      </c>
      <c r="H104" s="7" t="s">
        <v>145</v>
      </c>
      <c r="I104" s="7" t="s">
        <v>58</v>
      </c>
      <c r="J104" s="7" t="s">
        <v>747</v>
      </c>
      <c r="K104" s="7" t="s">
        <v>748</v>
      </c>
      <c r="L104" s="7" t="s">
        <v>715</v>
      </c>
      <c r="M104" s="7" t="s">
        <v>62</v>
      </c>
      <c r="N104" s="7" t="s">
        <v>916</v>
      </c>
      <c r="O104" s="7"/>
      <c r="P104" s="7" t="s">
        <v>717</v>
      </c>
      <c r="Q104" s="7" t="s">
        <v>750</v>
      </c>
      <c r="R104" s="7" t="s">
        <v>882</v>
      </c>
    </row>
    <row r="105" customFormat="false" ht="27.75" hidden="false" customHeight="true" outlineLevel="0" collapsed="false">
      <c r="A105" s="8" t="s">
        <v>917</v>
      </c>
      <c r="B105" s="8" t="s">
        <v>619</v>
      </c>
      <c r="C105" s="8" t="s">
        <v>744</v>
      </c>
      <c r="D105" s="8" t="s">
        <v>918</v>
      </c>
      <c r="E105" s="8" t="s">
        <v>835</v>
      </c>
      <c r="F105" s="8" t="s">
        <v>915</v>
      </c>
      <c r="G105" s="8" t="s">
        <v>857</v>
      </c>
      <c r="H105" s="8" t="s">
        <v>145</v>
      </c>
      <c r="I105" s="8" t="s">
        <v>58</v>
      </c>
      <c r="J105" s="8" t="s">
        <v>747</v>
      </c>
      <c r="K105" s="8" t="s">
        <v>748</v>
      </c>
      <c r="L105" s="8" t="s">
        <v>715</v>
      </c>
      <c r="M105" s="8" t="s">
        <v>62</v>
      </c>
      <c r="N105" s="8" t="s">
        <v>919</v>
      </c>
      <c r="O105" s="8" t="s">
        <v>160</v>
      </c>
      <c r="P105" s="8" t="s">
        <v>717</v>
      </c>
      <c r="Q105" s="8" t="s">
        <v>750</v>
      </c>
      <c r="R105" s="8" t="s">
        <v>892</v>
      </c>
    </row>
    <row r="106" customFormat="false" ht="27.75" hidden="false" customHeight="true" outlineLevel="0" collapsed="false">
      <c r="A106" s="7" t="s">
        <v>920</v>
      </c>
      <c r="B106" s="7" t="s">
        <v>619</v>
      </c>
      <c r="C106" s="7" t="s">
        <v>744</v>
      </c>
      <c r="D106" s="7" t="s">
        <v>921</v>
      </c>
      <c r="E106" s="7" t="s">
        <v>784</v>
      </c>
      <c r="F106" s="7" t="s">
        <v>915</v>
      </c>
      <c r="G106" s="7" t="s">
        <v>857</v>
      </c>
      <c r="H106" s="7" t="s">
        <v>145</v>
      </c>
      <c r="I106" s="7" t="s">
        <v>58</v>
      </c>
      <c r="J106" s="7" t="s">
        <v>747</v>
      </c>
      <c r="K106" s="7" t="s">
        <v>748</v>
      </c>
      <c r="L106" s="7" t="s">
        <v>715</v>
      </c>
      <c r="M106" s="7" t="s">
        <v>62</v>
      </c>
      <c r="N106" s="7" t="s">
        <v>922</v>
      </c>
      <c r="O106" s="7"/>
      <c r="P106" s="7" t="s">
        <v>717</v>
      </c>
      <c r="Q106" s="7" t="s">
        <v>750</v>
      </c>
      <c r="R106" s="7" t="s">
        <v>882</v>
      </c>
    </row>
    <row r="107" customFormat="false" ht="27.75" hidden="false" customHeight="true" outlineLevel="0" collapsed="false">
      <c r="A107" s="8" t="s">
        <v>923</v>
      </c>
      <c r="B107" s="8" t="s">
        <v>619</v>
      </c>
      <c r="C107" s="8" t="s">
        <v>744</v>
      </c>
      <c r="D107" s="8" t="s">
        <v>924</v>
      </c>
      <c r="E107" s="8" t="s">
        <v>784</v>
      </c>
      <c r="F107" s="8" t="s">
        <v>925</v>
      </c>
      <c r="G107" s="8" t="s">
        <v>857</v>
      </c>
      <c r="H107" s="8" t="s">
        <v>145</v>
      </c>
      <c r="I107" s="8" t="s">
        <v>58</v>
      </c>
      <c r="J107" s="8" t="s">
        <v>747</v>
      </c>
      <c r="K107" s="8" t="s">
        <v>748</v>
      </c>
      <c r="L107" s="8" t="s">
        <v>715</v>
      </c>
      <c r="M107" s="8" t="s">
        <v>62</v>
      </c>
      <c r="N107" s="8" t="s">
        <v>926</v>
      </c>
      <c r="O107" s="8"/>
      <c r="P107" s="8" t="s">
        <v>717</v>
      </c>
      <c r="Q107" s="8" t="s">
        <v>750</v>
      </c>
      <c r="R107" s="8" t="s">
        <v>859</v>
      </c>
    </row>
    <row r="108" customFormat="false" ht="27.75" hidden="false" customHeight="true" outlineLevel="0" collapsed="false">
      <c r="A108" s="7" t="s">
        <v>927</v>
      </c>
      <c r="B108" s="7" t="s">
        <v>619</v>
      </c>
      <c r="C108" s="7" t="s">
        <v>744</v>
      </c>
      <c r="D108" s="7" t="s">
        <v>928</v>
      </c>
      <c r="E108" s="7" t="s">
        <v>784</v>
      </c>
      <c r="F108" s="7" t="s">
        <v>929</v>
      </c>
      <c r="G108" s="7" t="s">
        <v>857</v>
      </c>
      <c r="H108" s="7" t="s">
        <v>760</v>
      </c>
      <c r="I108" s="7" t="s">
        <v>58</v>
      </c>
      <c r="J108" s="7" t="s">
        <v>747</v>
      </c>
      <c r="K108" s="7" t="s">
        <v>748</v>
      </c>
      <c r="L108" s="7" t="s">
        <v>715</v>
      </c>
      <c r="M108" s="7" t="s">
        <v>62</v>
      </c>
      <c r="N108" s="7" t="s">
        <v>930</v>
      </c>
      <c r="O108" s="7"/>
      <c r="P108" s="7" t="s">
        <v>717</v>
      </c>
      <c r="Q108" s="7" t="s">
        <v>750</v>
      </c>
      <c r="R108" s="7" t="s">
        <v>882</v>
      </c>
    </row>
    <row r="109" customFormat="false" ht="27.75" hidden="false" customHeight="true" outlineLevel="0" collapsed="false">
      <c r="A109" s="8" t="s">
        <v>931</v>
      </c>
      <c r="B109" s="8" t="s">
        <v>619</v>
      </c>
      <c r="C109" s="8" t="s">
        <v>744</v>
      </c>
      <c r="D109" s="8" t="s">
        <v>932</v>
      </c>
      <c r="E109" s="8" t="s">
        <v>784</v>
      </c>
      <c r="F109" s="8" t="s">
        <v>933</v>
      </c>
      <c r="G109" s="8" t="s">
        <v>352</v>
      </c>
      <c r="H109" s="8" t="s">
        <v>760</v>
      </c>
      <c r="I109" s="8" t="s">
        <v>58</v>
      </c>
      <c r="J109" s="8" t="s">
        <v>747</v>
      </c>
      <c r="K109" s="8" t="s">
        <v>748</v>
      </c>
      <c r="L109" s="8" t="s">
        <v>715</v>
      </c>
      <c r="M109" s="8" t="s">
        <v>62</v>
      </c>
      <c r="N109" s="8" t="s">
        <v>934</v>
      </c>
      <c r="O109" s="8"/>
      <c r="P109" s="8" t="s">
        <v>717</v>
      </c>
      <c r="Q109" s="8" t="s">
        <v>750</v>
      </c>
      <c r="R109" s="8" t="s">
        <v>882</v>
      </c>
    </row>
    <row r="110" customFormat="false" ht="27.75" hidden="false" customHeight="true" outlineLevel="0" collapsed="false">
      <c r="A110" s="7" t="s">
        <v>935</v>
      </c>
      <c r="B110" s="7" t="s">
        <v>619</v>
      </c>
      <c r="C110" s="7" t="s">
        <v>744</v>
      </c>
      <c r="D110" s="7" t="s">
        <v>936</v>
      </c>
      <c r="E110" s="7" t="s">
        <v>784</v>
      </c>
      <c r="F110" s="7" t="s">
        <v>933</v>
      </c>
      <c r="G110" s="7" t="s">
        <v>857</v>
      </c>
      <c r="H110" s="7" t="s">
        <v>760</v>
      </c>
      <c r="I110" s="7" t="s">
        <v>58</v>
      </c>
      <c r="J110" s="7" t="s">
        <v>747</v>
      </c>
      <c r="K110" s="7" t="s">
        <v>748</v>
      </c>
      <c r="L110" s="7" t="s">
        <v>715</v>
      </c>
      <c r="M110" s="7" t="s">
        <v>62</v>
      </c>
      <c r="N110" s="7" t="s">
        <v>937</v>
      </c>
      <c r="O110" s="7"/>
      <c r="P110" s="7" t="s">
        <v>717</v>
      </c>
      <c r="Q110" s="7" t="s">
        <v>750</v>
      </c>
      <c r="R110" s="7" t="s">
        <v>882</v>
      </c>
    </row>
    <row r="111" customFormat="false" ht="27.75" hidden="false" customHeight="true" outlineLevel="0" collapsed="false">
      <c r="A111" s="8" t="s">
        <v>938</v>
      </c>
      <c r="B111" s="8" t="s">
        <v>619</v>
      </c>
      <c r="C111" s="8" t="s">
        <v>744</v>
      </c>
      <c r="D111" s="8" t="s">
        <v>939</v>
      </c>
      <c r="E111" s="8" t="s">
        <v>784</v>
      </c>
      <c r="F111" s="8" t="s">
        <v>940</v>
      </c>
      <c r="G111" s="8" t="s">
        <v>857</v>
      </c>
      <c r="H111" s="8" t="s">
        <v>779</v>
      </c>
      <c r="I111" s="8" t="s">
        <v>58</v>
      </c>
      <c r="J111" s="8" t="s">
        <v>747</v>
      </c>
      <c r="K111" s="8" t="s">
        <v>748</v>
      </c>
      <c r="L111" s="8" t="s">
        <v>715</v>
      </c>
      <c r="M111" s="8" t="s">
        <v>62</v>
      </c>
      <c r="N111" s="8" t="s">
        <v>941</v>
      </c>
      <c r="O111" s="8"/>
      <c r="P111" s="8" t="s">
        <v>717</v>
      </c>
      <c r="Q111" s="8" t="s">
        <v>750</v>
      </c>
      <c r="R111" s="8" t="s">
        <v>942</v>
      </c>
    </row>
    <row r="112" customFormat="false" ht="27.75" hidden="false" customHeight="true" outlineLevel="0" collapsed="false">
      <c r="A112" s="7" t="s">
        <v>943</v>
      </c>
      <c r="B112" s="7" t="s">
        <v>619</v>
      </c>
      <c r="C112" s="7" t="s">
        <v>744</v>
      </c>
      <c r="D112" s="7" t="s">
        <v>944</v>
      </c>
      <c r="E112" s="7" t="s">
        <v>784</v>
      </c>
      <c r="F112" s="7" t="s">
        <v>778</v>
      </c>
      <c r="G112" s="7" t="s">
        <v>352</v>
      </c>
      <c r="H112" s="7" t="s">
        <v>779</v>
      </c>
      <c r="I112" s="7" t="s">
        <v>58</v>
      </c>
      <c r="J112" s="7" t="s">
        <v>747</v>
      </c>
      <c r="K112" s="7" t="s">
        <v>748</v>
      </c>
      <c r="L112" s="7" t="s">
        <v>715</v>
      </c>
      <c r="M112" s="7" t="s">
        <v>62</v>
      </c>
      <c r="N112" s="7" t="s">
        <v>945</v>
      </c>
      <c r="O112" s="7" t="s">
        <v>160</v>
      </c>
      <c r="P112" s="7" t="s">
        <v>717</v>
      </c>
      <c r="Q112" s="7" t="s">
        <v>750</v>
      </c>
      <c r="R112" s="7" t="s">
        <v>946</v>
      </c>
    </row>
    <row r="113" customFormat="false" ht="27.75" hidden="false" customHeight="true" outlineLevel="0" collapsed="false">
      <c r="A113" s="8" t="s">
        <v>947</v>
      </c>
      <c r="B113" s="8" t="s">
        <v>619</v>
      </c>
      <c r="C113" s="8" t="s">
        <v>744</v>
      </c>
      <c r="D113" s="8" t="s">
        <v>948</v>
      </c>
      <c r="E113" s="8" t="s">
        <v>784</v>
      </c>
      <c r="F113" s="8" t="s">
        <v>846</v>
      </c>
      <c r="G113" s="8" t="s">
        <v>857</v>
      </c>
      <c r="H113" s="8" t="s">
        <v>145</v>
      </c>
      <c r="I113" s="8" t="s">
        <v>58</v>
      </c>
      <c r="J113" s="8" t="s">
        <v>747</v>
      </c>
      <c r="K113" s="8" t="s">
        <v>748</v>
      </c>
      <c r="L113" s="8" t="s">
        <v>715</v>
      </c>
      <c r="M113" s="8" t="s">
        <v>62</v>
      </c>
      <c r="N113" s="8" t="s">
        <v>949</v>
      </c>
      <c r="O113" s="8" t="s">
        <v>160</v>
      </c>
      <c r="P113" s="8" t="s">
        <v>717</v>
      </c>
      <c r="Q113" s="8" t="s">
        <v>750</v>
      </c>
      <c r="R113" s="8" t="s">
        <v>950</v>
      </c>
    </row>
    <row r="114" customFormat="false" ht="27.75" hidden="false" customHeight="true" outlineLevel="0" collapsed="false">
      <c r="A114" s="7" t="s">
        <v>951</v>
      </c>
      <c r="B114" s="7" t="s">
        <v>619</v>
      </c>
      <c r="C114" s="7" t="s">
        <v>744</v>
      </c>
      <c r="D114" s="7" t="s">
        <v>952</v>
      </c>
      <c r="E114" s="7" t="s">
        <v>784</v>
      </c>
      <c r="F114" s="7" t="s">
        <v>846</v>
      </c>
      <c r="G114" s="7" t="s">
        <v>395</v>
      </c>
      <c r="H114" s="7" t="s">
        <v>145</v>
      </c>
      <c r="I114" s="7" t="s">
        <v>58</v>
      </c>
      <c r="J114" s="7" t="s">
        <v>747</v>
      </c>
      <c r="K114" s="7" t="s">
        <v>748</v>
      </c>
      <c r="L114" s="7" t="s">
        <v>715</v>
      </c>
      <c r="M114" s="7" t="s">
        <v>62</v>
      </c>
      <c r="N114" s="7" t="s">
        <v>953</v>
      </c>
      <c r="O114" s="7" t="s">
        <v>160</v>
      </c>
      <c r="P114" s="7" t="s">
        <v>717</v>
      </c>
      <c r="Q114" s="7" t="s">
        <v>750</v>
      </c>
      <c r="R114" s="7" t="s">
        <v>950</v>
      </c>
    </row>
    <row r="115" customFormat="false" ht="27.75" hidden="false" customHeight="true" outlineLevel="0" collapsed="false">
      <c r="A115" s="8" t="s">
        <v>954</v>
      </c>
      <c r="B115" s="8" t="s">
        <v>619</v>
      </c>
      <c r="C115" s="8" t="s">
        <v>744</v>
      </c>
      <c r="D115" s="8" t="s">
        <v>955</v>
      </c>
      <c r="E115" s="8" t="s">
        <v>784</v>
      </c>
      <c r="F115" s="8" t="s">
        <v>846</v>
      </c>
      <c r="G115" s="8" t="s">
        <v>857</v>
      </c>
      <c r="H115" s="8" t="s">
        <v>145</v>
      </c>
      <c r="I115" s="8" t="s">
        <v>58</v>
      </c>
      <c r="J115" s="8" t="s">
        <v>747</v>
      </c>
      <c r="K115" s="8" t="s">
        <v>748</v>
      </c>
      <c r="L115" s="8" t="s">
        <v>715</v>
      </c>
      <c r="M115" s="8" t="s">
        <v>62</v>
      </c>
      <c r="N115" s="8" t="s">
        <v>956</v>
      </c>
      <c r="O115" s="8"/>
      <c r="P115" s="8" t="s">
        <v>717</v>
      </c>
      <c r="Q115" s="8" t="s">
        <v>750</v>
      </c>
      <c r="R115" s="8" t="s">
        <v>859</v>
      </c>
    </row>
    <row r="116" customFormat="false" ht="27.75" hidden="false" customHeight="true" outlineLevel="0" collapsed="false">
      <c r="A116" s="7" t="s">
        <v>957</v>
      </c>
      <c r="B116" s="7" t="s">
        <v>619</v>
      </c>
      <c r="C116" s="7" t="s">
        <v>744</v>
      </c>
      <c r="D116" s="7" t="s">
        <v>958</v>
      </c>
      <c r="E116" s="7" t="s">
        <v>835</v>
      </c>
      <c r="F116" s="7" t="s">
        <v>846</v>
      </c>
      <c r="G116" s="7" t="s">
        <v>857</v>
      </c>
      <c r="H116" s="7" t="s">
        <v>145</v>
      </c>
      <c r="I116" s="7" t="s">
        <v>58</v>
      </c>
      <c r="J116" s="7" t="s">
        <v>747</v>
      </c>
      <c r="K116" s="7" t="s">
        <v>748</v>
      </c>
      <c r="L116" s="7" t="s">
        <v>715</v>
      </c>
      <c r="M116" s="7" t="s">
        <v>62</v>
      </c>
      <c r="N116" s="7" t="s">
        <v>959</v>
      </c>
      <c r="O116" s="7"/>
      <c r="P116" s="7" t="s">
        <v>717</v>
      </c>
      <c r="Q116" s="7" t="s">
        <v>750</v>
      </c>
      <c r="R116" s="7" t="s">
        <v>859</v>
      </c>
    </row>
    <row r="117" customFormat="false" ht="27.75" hidden="false" customHeight="true" outlineLevel="0" collapsed="false">
      <c r="A117" s="8" t="s">
        <v>960</v>
      </c>
      <c r="B117" s="8" t="s">
        <v>619</v>
      </c>
      <c r="C117" s="8" t="s">
        <v>744</v>
      </c>
      <c r="D117" s="8" t="s">
        <v>961</v>
      </c>
      <c r="E117" s="8" t="s">
        <v>784</v>
      </c>
      <c r="F117" s="8" t="s">
        <v>962</v>
      </c>
      <c r="G117" s="8" t="s">
        <v>857</v>
      </c>
      <c r="H117" s="8" t="s">
        <v>145</v>
      </c>
      <c r="I117" s="8" t="s">
        <v>58</v>
      </c>
      <c r="J117" s="8" t="s">
        <v>747</v>
      </c>
      <c r="K117" s="8" t="s">
        <v>748</v>
      </c>
      <c r="L117" s="8" t="s">
        <v>715</v>
      </c>
      <c r="M117" s="8" t="s">
        <v>62</v>
      </c>
      <c r="N117" s="8" t="s">
        <v>963</v>
      </c>
      <c r="O117" s="8"/>
      <c r="P117" s="8" t="s">
        <v>717</v>
      </c>
      <c r="Q117" s="8" t="s">
        <v>750</v>
      </c>
      <c r="R117" s="8" t="s">
        <v>859</v>
      </c>
    </row>
    <row r="118" customFormat="false" ht="27.75" hidden="false" customHeight="true" outlineLevel="0" collapsed="false">
      <c r="A118" s="7" t="s">
        <v>964</v>
      </c>
      <c r="B118" s="7" t="s">
        <v>619</v>
      </c>
      <c r="C118" s="7" t="s">
        <v>744</v>
      </c>
      <c r="D118" s="7" t="s">
        <v>965</v>
      </c>
      <c r="E118" s="7" t="s">
        <v>784</v>
      </c>
      <c r="F118" s="7" t="s">
        <v>966</v>
      </c>
      <c r="G118" s="7" t="s">
        <v>857</v>
      </c>
      <c r="H118" s="7" t="s">
        <v>760</v>
      </c>
      <c r="I118" s="7" t="s">
        <v>58</v>
      </c>
      <c r="J118" s="7" t="s">
        <v>747</v>
      </c>
      <c r="K118" s="7" t="s">
        <v>748</v>
      </c>
      <c r="L118" s="7" t="s">
        <v>715</v>
      </c>
      <c r="M118" s="7" t="s">
        <v>62</v>
      </c>
      <c r="N118" s="7" t="s">
        <v>967</v>
      </c>
      <c r="O118" s="7"/>
      <c r="P118" s="7" t="s">
        <v>717</v>
      </c>
      <c r="Q118" s="7" t="s">
        <v>750</v>
      </c>
      <c r="R118" s="7" t="s">
        <v>864</v>
      </c>
    </row>
    <row r="119" customFormat="false" ht="27.75" hidden="false" customHeight="true" outlineLevel="0" collapsed="false">
      <c r="A119" s="8" t="s">
        <v>968</v>
      </c>
      <c r="B119" s="8" t="s">
        <v>619</v>
      </c>
      <c r="C119" s="8" t="s">
        <v>744</v>
      </c>
      <c r="D119" s="8" t="s">
        <v>969</v>
      </c>
      <c r="E119" s="8" t="s">
        <v>784</v>
      </c>
      <c r="F119" s="8" t="s">
        <v>970</v>
      </c>
      <c r="G119" s="8" t="s">
        <v>857</v>
      </c>
      <c r="H119" s="8" t="s">
        <v>779</v>
      </c>
      <c r="I119" s="8" t="s">
        <v>58</v>
      </c>
      <c r="J119" s="8" t="s">
        <v>747</v>
      </c>
      <c r="K119" s="8" t="s">
        <v>748</v>
      </c>
      <c r="L119" s="8" t="s">
        <v>715</v>
      </c>
      <c r="M119" s="8" t="s">
        <v>62</v>
      </c>
      <c r="N119" s="8" t="s">
        <v>971</v>
      </c>
      <c r="O119" s="8"/>
      <c r="P119" s="8" t="s">
        <v>717</v>
      </c>
      <c r="Q119" s="8" t="s">
        <v>750</v>
      </c>
      <c r="R119" s="8" t="s">
        <v>942</v>
      </c>
    </row>
    <row r="120" customFormat="false" ht="27.75" hidden="false" customHeight="true" outlineLevel="0" collapsed="false">
      <c r="A120" s="7" t="s">
        <v>972</v>
      </c>
      <c r="B120" s="7" t="s">
        <v>619</v>
      </c>
      <c r="C120" s="7" t="s">
        <v>744</v>
      </c>
      <c r="D120" s="7" t="s">
        <v>973</v>
      </c>
      <c r="E120" s="7" t="s">
        <v>974</v>
      </c>
      <c r="F120" s="7" t="s">
        <v>970</v>
      </c>
      <c r="G120" s="7" t="s">
        <v>857</v>
      </c>
      <c r="H120" s="7" t="s">
        <v>779</v>
      </c>
      <c r="I120" s="7" t="s">
        <v>58</v>
      </c>
      <c r="J120" s="7" t="s">
        <v>747</v>
      </c>
      <c r="K120" s="7" t="s">
        <v>748</v>
      </c>
      <c r="L120" s="7" t="s">
        <v>715</v>
      </c>
      <c r="M120" s="7" t="s">
        <v>62</v>
      </c>
      <c r="N120" s="7" t="s">
        <v>975</v>
      </c>
      <c r="O120" s="7"/>
      <c r="P120" s="7" t="s">
        <v>717</v>
      </c>
      <c r="Q120" s="7" t="s">
        <v>750</v>
      </c>
      <c r="R120" s="7" t="s">
        <v>942</v>
      </c>
    </row>
    <row r="121" customFormat="false" ht="27.75" hidden="false" customHeight="true" outlineLevel="0" collapsed="false">
      <c r="A121" s="8" t="s">
        <v>976</v>
      </c>
      <c r="B121" s="8" t="s">
        <v>619</v>
      </c>
      <c r="C121" s="8" t="s">
        <v>744</v>
      </c>
      <c r="D121" s="8" t="s">
        <v>977</v>
      </c>
      <c r="E121" s="8" t="s">
        <v>835</v>
      </c>
      <c r="F121" s="8" t="s">
        <v>978</v>
      </c>
      <c r="G121" s="8" t="s">
        <v>857</v>
      </c>
      <c r="H121" s="8" t="s">
        <v>779</v>
      </c>
      <c r="I121" s="8" t="s">
        <v>58</v>
      </c>
      <c r="J121" s="8" t="s">
        <v>747</v>
      </c>
      <c r="K121" s="8" t="s">
        <v>748</v>
      </c>
      <c r="L121" s="8" t="s">
        <v>715</v>
      </c>
      <c r="M121" s="8" t="s">
        <v>62</v>
      </c>
      <c r="N121" s="8" t="s">
        <v>979</v>
      </c>
      <c r="O121" s="8"/>
      <c r="P121" s="8" t="s">
        <v>717</v>
      </c>
      <c r="Q121" s="8" t="s">
        <v>750</v>
      </c>
      <c r="R121" s="8" t="s">
        <v>942</v>
      </c>
    </row>
    <row r="122" customFormat="false" ht="27.75" hidden="false" customHeight="true" outlineLevel="0" collapsed="false">
      <c r="A122" s="7" t="s">
        <v>980</v>
      </c>
      <c r="B122" s="7" t="s">
        <v>619</v>
      </c>
      <c r="C122" s="7" t="s">
        <v>744</v>
      </c>
      <c r="D122" s="7" t="s">
        <v>981</v>
      </c>
      <c r="E122" s="7" t="s">
        <v>777</v>
      </c>
      <c r="F122" s="7" t="s">
        <v>982</v>
      </c>
      <c r="G122" s="7" t="s">
        <v>857</v>
      </c>
      <c r="H122" s="7" t="s">
        <v>145</v>
      </c>
      <c r="I122" s="7" t="s">
        <v>58</v>
      </c>
      <c r="J122" s="7" t="s">
        <v>747</v>
      </c>
      <c r="K122" s="7" t="s">
        <v>748</v>
      </c>
      <c r="L122" s="7" t="s">
        <v>715</v>
      </c>
      <c r="M122" s="7" t="s">
        <v>62</v>
      </c>
      <c r="N122" s="7" t="s">
        <v>983</v>
      </c>
      <c r="O122" s="7" t="s">
        <v>160</v>
      </c>
      <c r="P122" s="7" t="s">
        <v>717</v>
      </c>
      <c r="Q122" s="7" t="s">
        <v>750</v>
      </c>
      <c r="R122" s="7" t="s">
        <v>899</v>
      </c>
    </row>
    <row r="123" customFormat="false" ht="27.75" hidden="false" customHeight="true" outlineLevel="0" collapsed="false">
      <c r="A123" s="8" t="s">
        <v>984</v>
      </c>
      <c r="B123" s="8" t="s">
        <v>619</v>
      </c>
      <c r="C123" s="8" t="s">
        <v>744</v>
      </c>
      <c r="D123" s="8" t="s">
        <v>985</v>
      </c>
      <c r="E123" s="8" t="s">
        <v>777</v>
      </c>
      <c r="F123" s="8" t="s">
        <v>986</v>
      </c>
      <c r="G123" s="8" t="s">
        <v>857</v>
      </c>
      <c r="H123" s="8" t="s">
        <v>145</v>
      </c>
      <c r="I123" s="8" t="s">
        <v>58</v>
      </c>
      <c r="J123" s="8" t="s">
        <v>747</v>
      </c>
      <c r="K123" s="8" t="s">
        <v>748</v>
      </c>
      <c r="L123" s="8" t="s">
        <v>715</v>
      </c>
      <c r="M123" s="8" t="s">
        <v>62</v>
      </c>
      <c r="N123" s="8" t="s">
        <v>987</v>
      </c>
      <c r="O123" s="8" t="s">
        <v>160</v>
      </c>
      <c r="P123" s="8" t="s">
        <v>717</v>
      </c>
      <c r="Q123" s="8" t="s">
        <v>750</v>
      </c>
      <c r="R123" s="8" t="s">
        <v>892</v>
      </c>
    </row>
    <row r="124" customFormat="false" ht="27.75" hidden="false" customHeight="true" outlineLevel="0" collapsed="false">
      <c r="A124" s="7" t="s">
        <v>988</v>
      </c>
      <c r="B124" s="7" t="s">
        <v>619</v>
      </c>
      <c r="C124" s="7" t="s">
        <v>744</v>
      </c>
      <c r="D124" s="7" t="s">
        <v>989</v>
      </c>
      <c r="E124" s="7" t="s">
        <v>784</v>
      </c>
      <c r="F124" s="7" t="s">
        <v>826</v>
      </c>
      <c r="G124" s="7" t="s">
        <v>352</v>
      </c>
      <c r="H124" s="7" t="s">
        <v>760</v>
      </c>
      <c r="I124" s="7" t="s">
        <v>58</v>
      </c>
      <c r="J124" s="7" t="s">
        <v>747</v>
      </c>
      <c r="K124" s="7" t="s">
        <v>748</v>
      </c>
      <c r="L124" s="7" t="s">
        <v>715</v>
      </c>
      <c r="M124" s="7" t="s">
        <v>62</v>
      </c>
      <c r="N124" s="7" t="s">
        <v>990</v>
      </c>
      <c r="O124" s="7" t="s">
        <v>79</v>
      </c>
      <c r="P124" s="7" t="s">
        <v>717</v>
      </c>
      <c r="Q124" s="7" t="s">
        <v>750</v>
      </c>
      <c r="R124" s="7" t="s">
        <v>991</v>
      </c>
    </row>
    <row r="125" customFormat="false" ht="27.75" hidden="false" customHeight="true" outlineLevel="0" collapsed="false">
      <c r="A125" s="8" t="s">
        <v>992</v>
      </c>
      <c r="B125" s="8" t="s">
        <v>619</v>
      </c>
      <c r="C125" s="8" t="s">
        <v>744</v>
      </c>
      <c r="D125" s="8" t="s">
        <v>993</v>
      </c>
      <c r="E125" s="8" t="s">
        <v>784</v>
      </c>
      <c r="F125" s="8" t="s">
        <v>841</v>
      </c>
      <c r="G125" s="8" t="s">
        <v>352</v>
      </c>
      <c r="H125" s="8" t="s">
        <v>760</v>
      </c>
      <c r="I125" s="8" t="s">
        <v>58</v>
      </c>
      <c r="J125" s="8" t="s">
        <v>747</v>
      </c>
      <c r="K125" s="8" t="s">
        <v>748</v>
      </c>
      <c r="L125" s="8" t="s">
        <v>715</v>
      </c>
      <c r="M125" s="8" t="s">
        <v>62</v>
      </c>
      <c r="N125" s="8" t="s">
        <v>994</v>
      </c>
      <c r="O125" s="8"/>
      <c r="P125" s="8" t="s">
        <v>717</v>
      </c>
      <c r="Q125" s="8" t="s">
        <v>750</v>
      </c>
      <c r="R125" s="8" t="s">
        <v>995</v>
      </c>
    </row>
    <row r="126" customFormat="false" ht="27.75" hidden="false" customHeight="true" outlineLevel="0" collapsed="false">
      <c r="A126" s="7" t="s">
        <v>996</v>
      </c>
      <c r="B126" s="7" t="s">
        <v>619</v>
      </c>
      <c r="C126" s="7" t="s">
        <v>744</v>
      </c>
      <c r="D126" s="7" t="s">
        <v>997</v>
      </c>
      <c r="E126" s="7" t="s">
        <v>784</v>
      </c>
      <c r="F126" s="7" t="s">
        <v>266</v>
      </c>
      <c r="G126" s="7" t="s">
        <v>857</v>
      </c>
      <c r="H126" s="7" t="s">
        <v>145</v>
      </c>
      <c r="I126" s="7" t="s">
        <v>58</v>
      </c>
      <c r="J126" s="7" t="s">
        <v>747</v>
      </c>
      <c r="K126" s="7" t="s">
        <v>748</v>
      </c>
      <c r="L126" s="7" t="s">
        <v>715</v>
      </c>
      <c r="M126" s="7" t="s">
        <v>62</v>
      </c>
      <c r="N126" s="7" t="s">
        <v>998</v>
      </c>
      <c r="O126" s="7"/>
      <c r="P126" s="7" t="s">
        <v>717</v>
      </c>
      <c r="Q126" s="7" t="s">
        <v>750</v>
      </c>
      <c r="R126" s="7" t="s">
        <v>859</v>
      </c>
    </row>
    <row r="127" customFormat="false" ht="27.75" hidden="false" customHeight="true" outlineLevel="0" collapsed="false">
      <c r="A127" s="8" t="s">
        <v>999</v>
      </c>
      <c r="B127" s="8" t="s">
        <v>619</v>
      </c>
      <c r="C127" s="8" t="s">
        <v>744</v>
      </c>
      <c r="D127" s="8" t="s">
        <v>1000</v>
      </c>
      <c r="E127" s="8" t="s">
        <v>784</v>
      </c>
      <c r="F127" s="8" t="s">
        <v>1001</v>
      </c>
      <c r="G127" s="8" t="s">
        <v>857</v>
      </c>
      <c r="H127" s="8" t="s">
        <v>145</v>
      </c>
      <c r="I127" s="8" t="s">
        <v>58</v>
      </c>
      <c r="J127" s="8" t="s">
        <v>747</v>
      </c>
      <c r="K127" s="8" t="s">
        <v>748</v>
      </c>
      <c r="L127" s="8" t="s">
        <v>715</v>
      </c>
      <c r="M127" s="8" t="s">
        <v>62</v>
      </c>
      <c r="N127" s="8" t="s">
        <v>1002</v>
      </c>
      <c r="O127" s="8"/>
      <c r="P127" s="8" t="s">
        <v>717</v>
      </c>
      <c r="Q127" s="8" t="s">
        <v>750</v>
      </c>
      <c r="R127" s="8" t="s">
        <v>859</v>
      </c>
    </row>
    <row r="128" customFormat="false" ht="27.75" hidden="false" customHeight="true" outlineLevel="0" collapsed="false">
      <c r="A128" s="7" t="s">
        <v>1003</v>
      </c>
      <c r="B128" s="7" t="s">
        <v>619</v>
      </c>
      <c r="C128" s="7" t="s">
        <v>744</v>
      </c>
      <c r="D128" s="7" t="s">
        <v>1004</v>
      </c>
      <c r="E128" s="7" t="s">
        <v>777</v>
      </c>
      <c r="F128" s="7" t="s">
        <v>821</v>
      </c>
      <c r="G128" s="7" t="s">
        <v>724</v>
      </c>
      <c r="H128" s="7" t="s">
        <v>145</v>
      </c>
      <c r="I128" s="7" t="s">
        <v>58</v>
      </c>
      <c r="J128" s="7" t="s">
        <v>747</v>
      </c>
      <c r="K128" s="7" t="s">
        <v>748</v>
      </c>
      <c r="L128" s="7" t="s">
        <v>715</v>
      </c>
      <c r="M128" s="7" t="s">
        <v>62</v>
      </c>
      <c r="N128" s="7" t="s">
        <v>1005</v>
      </c>
      <c r="O128" s="7"/>
      <c r="P128" s="7" t="s">
        <v>717</v>
      </c>
      <c r="Q128" s="7" t="s">
        <v>750</v>
      </c>
      <c r="R128" s="7" t="s">
        <v>882</v>
      </c>
    </row>
    <row r="129" customFormat="false" ht="27.75" hidden="false" customHeight="true" outlineLevel="0" collapsed="false">
      <c r="A129" s="8" t="s">
        <v>1006</v>
      </c>
      <c r="B129" s="8" t="s">
        <v>619</v>
      </c>
      <c r="C129" s="8" t="s">
        <v>744</v>
      </c>
      <c r="D129" s="8" t="s">
        <v>1007</v>
      </c>
      <c r="E129" s="8" t="s">
        <v>784</v>
      </c>
      <c r="F129" s="8" t="s">
        <v>821</v>
      </c>
      <c r="G129" s="8" t="s">
        <v>724</v>
      </c>
      <c r="H129" s="8" t="s">
        <v>145</v>
      </c>
      <c r="I129" s="8" t="s">
        <v>58</v>
      </c>
      <c r="J129" s="8" t="s">
        <v>747</v>
      </c>
      <c r="K129" s="8" t="s">
        <v>748</v>
      </c>
      <c r="L129" s="8" t="s">
        <v>715</v>
      </c>
      <c r="M129" s="8" t="s">
        <v>62</v>
      </c>
      <c r="N129" s="8" t="s">
        <v>1008</v>
      </c>
      <c r="O129" s="8"/>
      <c r="P129" s="8" t="s">
        <v>717</v>
      </c>
      <c r="Q129" s="8" t="s">
        <v>750</v>
      </c>
      <c r="R129" s="8" t="s">
        <v>882</v>
      </c>
    </row>
    <row r="130" customFormat="false" ht="27.75" hidden="false" customHeight="true" outlineLevel="0" collapsed="false">
      <c r="A130" s="7" t="s">
        <v>1009</v>
      </c>
      <c r="B130" s="7" t="s">
        <v>619</v>
      </c>
      <c r="C130" s="7" t="s">
        <v>744</v>
      </c>
      <c r="D130" s="7" t="s">
        <v>1010</v>
      </c>
      <c r="E130" s="7" t="s">
        <v>784</v>
      </c>
      <c r="F130" s="7" t="s">
        <v>1011</v>
      </c>
      <c r="G130" s="7" t="s">
        <v>857</v>
      </c>
      <c r="H130" s="7" t="s">
        <v>145</v>
      </c>
      <c r="I130" s="7" t="s">
        <v>58</v>
      </c>
      <c r="J130" s="7" t="s">
        <v>747</v>
      </c>
      <c r="K130" s="7" t="s">
        <v>748</v>
      </c>
      <c r="L130" s="7" t="s">
        <v>715</v>
      </c>
      <c r="M130" s="7" t="s">
        <v>62</v>
      </c>
      <c r="N130" s="7" t="s">
        <v>1012</v>
      </c>
      <c r="O130" s="7"/>
      <c r="P130" s="7" t="s">
        <v>717</v>
      </c>
      <c r="Q130" s="7" t="s">
        <v>750</v>
      </c>
      <c r="R130" s="7" t="s">
        <v>1013</v>
      </c>
    </row>
    <row r="131" customFormat="false" ht="27.75" hidden="false" customHeight="true" outlineLevel="0" collapsed="false">
      <c r="A131" s="8" t="s">
        <v>1014</v>
      </c>
      <c r="B131" s="8" t="s">
        <v>619</v>
      </c>
      <c r="C131" s="8" t="s">
        <v>744</v>
      </c>
      <c r="D131" s="8" t="s">
        <v>1015</v>
      </c>
      <c r="E131" s="8" t="s">
        <v>784</v>
      </c>
      <c r="F131" s="8" t="s">
        <v>1016</v>
      </c>
      <c r="G131" s="8" t="s">
        <v>857</v>
      </c>
      <c r="H131" s="8" t="s">
        <v>145</v>
      </c>
      <c r="I131" s="8" t="s">
        <v>58</v>
      </c>
      <c r="J131" s="8" t="s">
        <v>747</v>
      </c>
      <c r="K131" s="8" t="s">
        <v>748</v>
      </c>
      <c r="L131" s="8" t="s">
        <v>715</v>
      </c>
      <c r="M131" s="8" t="s">
        <v>62</v>
      </c>
      <c r="N131" s="8" t="s">
        <v>1017</v>
      </c>
      <c r="O131" s="8"/>
      <c r="P131" s="8" t="s">
        <v>717</v>
      </c>
      <c r="Q131" s="8" t="s">
        <v>750</v>
      </c>
      <c r="R131" s="8" t="s">
        <v>859</v>
      </c>
    </row>
    <row r="132" customFormat="false" ht="27.75" hidden="false" customHeight="true" outlineLevel="0" collapsed="false">
      <c r="A132" s="7" t="s">
        <v>1018</v>
      </c>
      <c r="B132" s="7" t="s">
        <v>619</v>
      </c>
      <c r="C132" s="7" t="s">
        <v>744</v>
      </c>
      <c r="D132" s="7" t="s">
        <v>1019</v>
      </c>
      <c r="E132" s="7" t="s">
        <v>784</v>
      </c>
      <c r="F132" s="7" t="s">
        <v>1020</v>
      </c>
      <c r="G132" s="7" t="s">
        <v>395</v>
      </c>
      <c r="H132" s="7" t="s">
        <v>145</v>
      </c>
      <c r="I132" s="7" t="s">
        <v>58</v>
      </c>
      <c r="J132" s="7" t="s">
        <v>747</v>
      </c>
      <c r="K132" s="7" t="s">
        <v>748</v>
      </c>
      <c r="L132" s="7" t="s">
        <v>715</v>
      </c>
      <c r="M132" s="7" t="s">
        <v>62</v>
      </c>
      <c r="N132" s="7" t="s">
        <v>1021</v>
      </c>
      <c r="O132" s="7" t="s">
        <v>160</v>
      </c>
      <c r="P132" s="7" t="s">
        <v>717</v>
      </c>
      <c r="Q132" s="7" t="s">
        <v>750</v>
      </c>
      <c r="R132" s="7" t="s">
        <v>892</v>
      </c>
    </row>
    <row r="133" customFormat="false" ht="27.75" hidden="false" customHeight="true" outlineLevel="0" collapsed="false">
      <c r="A133" s="8" t="s">
        <v>1022</v>
      </c>
      <c r="B133" s="8" t="s">
        <v>619</v>
      </c>
      <c r="C133" s="8" t="s">
        <v>744</v>
      </c>
      <c r="D133" s="8" t="s">
        <v>1023</v>
      </c>
      <c r="E133" s="8" t="s">
        <v>784</v>
      </c>
      <c r="F133" s="8" t="s">
        <v>1020</v>
      </c>
      <c r="G133" s="8" t="s">
        <v>857</v>
      </c>
      <c r="H133" s="8" t="s">
        <v>145</v>
      </c>
      <c r="I133" s="8" t="s">
        <v>58</v>
      </c>
      <c r="J133" s="8" t="s">
        <v>747</v>
      </c>
      <c r="K133" s="8" t="s">
        <v>748</v>
      </c>
      <c r="L133" s="8" t="s">
        <v>715</v>
      </c>
      <c r="M133" s="8" t="s">
        <v>62</v>
      </c>
      <c r="N133" s="8" t="s">
        <v>1024</v>
      </c>
      <c r="O133" s="8"/>
      <c r="P133" s="8" t="s">
        <v>717</v>
      </c>
      <c r="Q133" s="8" t="s">
        <v>750</v>
      </c>
      <c r="R133" s="8" t="s">
        <v>882</v>
      </c>
    </row>
    <row r="134" customFormat="false" ht="27.75" hidden="false" customHeight="true" outlineLevel="0" collapsed="false">
      <c r="A134" s="7" t="s">
        <v>1025</v>
      </c>
      <c r="B134" s="7" t="s">
        <v>619</v>
      </c>
      <c r="C134" s="7" t="s">
        <v>744</v>
      </c>
      <c r="D134" s="7" t="s">
        <v>1026</v>
      </c>
      <c r="E134" s="7" t="s">
        <v>777</v>
      </c>
      <c r="F134" s="7" t="s">
        <v>1027</v>
      </c>
      <c r="G134" s="7" t="s">
        <v>857</v>
      </c>
      <c r="H134" s="7" t="s">
        <v>145</v>
      </c>
      <c r="I134" s="7" t="s">
        <v>58</v>
      </c>
      <c r="J134" s="7" t="s">
        <v>747</v>
      </c>
      <c r="K134" s="7" t="s">
        <v>748</v>
      </c>
      <c r="L134" s="7" t="s">
        <v>715</v>
      </c>
      <c r="M134" s="7" t="s">
        <v>62</v>
      </c>
      <c r="N134" s="7" t="s">
        <v>1028</v>
      </c>
      <c r="O134" s="7" t="s">
        <v>160</v>
      </c>
      <c r="P134" s="7" t="s">
        <v>717</v>
      </c>
      <c r="Q134" s="7" t="s">
        <v>750</v>
      </c>
      <c r="R134" s="7" t="s">
        <v>950</v>
      </c>
    </row>
    <row r="135" customFormat="false" ht="27.75" hidden="false" customHeight="true" outlineLevel="0" collapsed="false">
      <c r="A135" s="8" t="s">
        <v>1029</v>
      </c>
      <c r="B135" s="8" t="s">
        <v>619</v>
      </c>
      <c r="C135" s="8" t="s">
        <v>744</v>
      </c>
      <c r="D135" s="8" t="s">
        <v>1030</v>
      </c>
      <c r="E135" s="8" t="s">
        <v>835</v>
      </c>
      <c r="F135" s="8" t="s">
        <v>1031</v>
      </c>
      <c r="G135" s="8" t="s">
        <v>857</v>
      </c>
      <c r="H135" s="8" t="s">
        <v>145</v>
      </c>
      <c r="I135" s="8" t="s">
        <v>58</v>
      </c>
      <c r="J135" s="8" t="s">
        <v>747</v>
      </c>
      <c r="K135" s="8" t="s">
        <v>748</v>
      </c>
      <c r="L135" s="8" t="s">
        <v>715</v>
      </c>
      <c r="M135" s="8" t="s">
        <v>62</v>
      </c>
      <c r="N135" s="8" t="s">
        <v>1032</v>
      </c>
      <c r="O135" s="8"/>
      <c r="P135" s="8" t="s">
        <v>717</v>
      </c>
      <c r="Q135" s="8" t="s">
        <v>750</v>
      </c>
      <c r="R135" s="8" t="s">
        <v>859</v>
      </c>
    </row>
    <row r="136" customFormat="false" ht="27.75" hidden="false" customHeight="true" outlineLevel="0" collapsed="false">
      <c r="A136" s="7" t="s">
        <v>1033</v>
      </c>
      <c r="B136" s="7" t="s">
        <v>619</v>
      </c>
      <c r="C136" s="7" t="s">
        <v>744</v>
      </c>
      <c r="D136" s="7" t="s">
        <v>1034</v>
      </c>
      <c r="E136" s="7" t="s">
        <v>777</v>
      </c>
      <c r="F136" s="7" t="s">
        <v>1035</v>
      </c>
      <c r="G136" s="7" t="s">
        <v>857</v>
      </c>
      <c r="H136" s="7" t="s">
        <v>145</v>
      </c>
      <c r="I136" s="7" t="s">
        <v>58</v>
      </c>
      <c r="J136" s="7" t="s">
        <v>747</v>
      </c>
      <c r="K136" s="7" t="s">
        <v>748</v>
      </c>
      <c r="L136" s="7" t="s">
        <v>715</v>
      </c>
      <c r="M136" s="7" t="s">
        <v>62</v>
      </c>
      <c r="N136" s="7" t="s">
        <v>1036</v>
      </c>
      <c r="O136" s="7"/>
      <c r="P136" s="7" t="s">
        <v>717</v>
      </c>
      <c r="Q136" s="7" t="s">
        <v>750</v>
      </c>
      <c r="R136" s="7" t="s">
        <v>912</v>
      </c>
    </row>
    <row r="137" customFormat="false" ht="27.75" hidden="false" customHeight="true" outlineLevel="0" collapsed="false">
      <c r="A137" s="8" t="s">
        <v>1037</v>
      </c>
      <c r="B137" s="8" t="s">
        <v>619</v>
      </c>
      <c r="C137" s="8" t="s">
        <v>744</v>
      </c>
      <c r="D137" s="8" t="s">
        <v>1038</v>
      </c>
      <c r="E137" s="8" t="s">
        <v>784</v>
      </c>
      <c r="F137" s="8" t="s">
        <v>1039</v>
      </c>
      <c r="G137" s="8" t="s">
        <v>857</v>
      </c>
      <c r="H137" s="8" t="s">
        <v>145</v>
      </c>
      <c r="I137" s="8" t="s">
        <v>58</v>
      </c>
      <c r="J137" s="8" t="s">
        <v>747</v>
      </c>
      <c r="K137" s="8" t="s">
        <v>748</v>
      </c>
      <c r="L137" s="8" t="s">
        <v>715</v>
      </c>
      <c r="M137" s="8" t="s">
        <v>62</v>
      </c>
      <c r="N137" s="8" t="s">
        <v>1040</v>
      </c>
      <c r="O137" s="8"/>
      <c r="P137" s="8" t="s">
        <v>717</v>
      </c>
      <c r="Q137" s="8" t="s">
        <v>750</v>
      </c>
      <c r="R137" s="8" t="s">
        <v>859</v>
      </c>
    </row>
    <row r="138" customFormat="false" ht="27.75" hidden="false" customHeight="true" outlineLevel="0" collapsed="false">
      <c r="A138" s="7" t="s">
        <v>1041</v>
      </c>
      <c r="B138" s="7" t="s">
        <v>619</v>
      </c>
      <c r="C138" s="7" t="s">
        <v>744</v>
      </c>
      <c r="D138" s="7" t="s">
        <v>1042</v>
      </c>
      <c r="E138" s="7" t="s">
        <v>777</v>
      </c>
      <c r="F138" s="7" t="s">
        <v>771</v>
      </c>
      <c r="G138" s="7" t="s">
        <v>857</v>
      </c>
      <c r="H138" s="7" t="s">
        <v>145</v>
      </c>
      <c r="I138" s="7" t="s">
        <v>58</v>
      </c>
      <c r="J138" s="7" t="s">
        <v>747</v>
      </c>
      <c r="K138" s="7" t="s">
        <v>748</v>
      </c>
      <c r="L138" s="7" t="s">
        <v>715</v>
      </c>
      <c r="M138" s="7" t="s">
        <v>62</v>
      </c>
      <c r="N138" s="7" t="s">
        <v>1043</v>
      </c>
      <c r="O138" s="7"/>
      <c r="P138" s="7" t="s">
        <v>717</v>
      </c>
      <c r="Q138" s="7" t="s">
        <v>750</v>
      </c>
      <c r="R138" s="7" t="s">
        <v>882</v>
      </c>
    </row>
    <row r="139" customFormat="false" ht="27.75" hidden="false" customHeight="true" outlineLevel="0" collapsed="false">
      <c r="A139" s="8" t="s">
        <v>1044</v>
      </c>
      <c r="B139" s="8" t="s">
        <v>619</v>
      </c>
      <c r="C139" s="8" t="s">
        <v>744</v>
      </c>
      <c r="D139" s="8" t="s">
        <v>1045</v>
      </c>
      <c r="E139" s="8" t="s">
        <v>784</v>
      </c>
      <c r="F139" s="8" t="s">
        <v>771</v>
      </c>
      <c r="G139" s="8" t="s">
        <v>857</v>
      </c>
      <c r="H139" s="8" t="s">
        <v>145</v>
      </c>
      <c r="I139" s="8" t="s">
        <v>58</v>
      </c>
      <c r="J139" s="8" t="s">
        <v>747</v>
      </c>
      <c r="K139" s="8" t="s">
        <v>748</v>
      </c>
      <c r="L139" s="8" t="s">
        <v>715</v>
      </c>
      <c r="M139" s="8" t="s">
        <v>62</v>
      </c>
      <c r="N139" s="8" t="s">
        <v>1046</v>
      </c>
      <c r="O139" s="8"/>
      <c r="P139" s="8" t="s">
        <v>717</v>
      </c>
      <c r="Q139" s="8" t="s">
        <v>750</v>
      </c>
      <c r="R139" s="8" t="s">
        <v>882</v>
      </c>
    </row>
    <row r="140" customFormat="false" ht="27.75" hidden="false" customHeight="true" outlineLevel="0" collapsed="false">
      <c r="A140" s="7" t="s">
        <v>1047</v>
      </c>
      <c r="B140" s="7" t="s">
        <v>619</v>
      </c>
      <c r="C140" s="7" t="s">
        <v>744</v>
      </c>
      <c r="D140" s="7" t="s">
        <v>1048</v>
      </c>
      <c r="E140" s="7" t="s">
        <v>784</v>
      </c>
      <c r="F140" s="7" t="s">
        <v>1049</v>
      </c>
      <c r="G140" s="7" t="s">
        <v>857</v>
      </c>
      <c r="H140" s="7" t="s">
        <v>145</v>
      </c>
      <c r="I140" s="7" t="s">
        <v>58</v>
      </c>
      <c r="J140" s="7" t="s">
        <v>747</v>
      </c>
      <c r="K140" s="7" t="s">
        <v>748</v>
      </c>
      <c r="L140" s="7" t="s">
        <v>715</v>
      </c>
      <c r="M140" s="7" t="s">
        <v>62</v>
      </c>
      <c r="N140" s="7" t="s">
        <v>1050</v>
      </c>
      <c r="O140" s="7"/>
      <c r="P140" s="7" t="s">
        <v>717</v>
      </c>
      <c r="Q140" s="7" t="s">
        <v>750</v>
      </c>
      <c r="R140" s="7" t="s">
        <v>859</v>
      </c>
    </row>
    <row r="141" customFormat="false" ht="27.75" hidden="false" customHeight="true" outlineLevel="0" collapsed="false">
      <c r="A141" s="8" t="s">
        <v>1051</v>
      </c>
      <c r="B141" s="8" t="s">
        <v>619</v>
      </c>
      <c r="C141" s="8" t="s">
        <v>744</v>
      </c>
      <c r="D141" s="8" t="s">
        <v>1052</v>
      </c>
      <c r="E141" s="8" t="s">
        <v>784</v>
      </c>
      <c r="F141" s="8" t="s">
        <v>1049</v>
      </c>
      <c r="G141" s="8" t="s">
        <v>857</v>
      </c>
      <c r="H141" s="8" t="s">
        <v>145</v>
      </c>
      <c r="I141" s="8" t="s">
        <v>58</v>
      </c>
      <c r="J141" s="8" t="s">
        <v>747</v>
      </c>
      <c r="K141" s="8" t="s">
        <v>748</v>
      </c>
      <c r="L141" s="8" t="s">
        <v>715</v>
      </c>
      <c r="M141" s="8" t="s">
        <v>62</v>
      </c>
      <c r="N141" s="8" t="s">
        <v>1053</v>
      </c>
      <c r="O141" s="8"/>
      <c r="P141" s="8" t="s">
        <v>717</v>
      </c>
      <c r="Q141" s="8" t="s">
        <v>750</v>
      </c>
      <c r="R141" s="8" t="s">
        <v>859</v>
      </c>
    </row>
    <row r="142" customFormat="false" ht="27.75" hidden="false" customHeight="true" outlineLevel="0" collapsed="false">
      <c r="A142" s="7" t="s">
        <v>1054</v>
      </c>
      <c r="B142" s="7" t="s">
        <v>619</v>
      </c>
      <c r="C142" s="7" t="s">
        <v>744</v>
      </c>
      <c r="D142" s="7" t="s">
        <v>1055</v>
      </c>
      <c r="E142" s="7" t="s">
        <v>835</v>
      </c>
      <c r="F142" s="7" t="s">
        <v>1049</v>
      </c>
      <c r="G142" s="7" t="s">
        <v>857</v>
      </c>
      <c r="H142" s="7" t="s">
        <v>145</v>
      </c>
      <c r="I142" s="7" t="s">
        <v>58</v>
      </c>
      <c r="J142" s="7" t="s">
        <v>747</v>
      </c>
      <c r="K142" s="7" t="s">
        <v>748</v>
      </c>
      <c r="L142" s="7" t="s">
        <v>715</v>
      </c>
      <c r="M142" s="7" t="s">
        <v>62</v>
      </c>
      <c r="N142" s="7" t="s">
        <v>1056</v>
      </c>
      <c r="O142" s="7"/>
      <c r="P142" s="7" t="s">
        <v>717</v>
      </c>
      <c r="Q142" s="7" t="s">
        <v>750</v>
      </c>
      <c r="R142" s="7" t="s">
        <v>859</v>
      </c>
    </row>
    <row r="143" customFormat="false" ht="27.75" hidden="false" customHeight="true" outlineLevel="0" collapsed="false">
      <c r="A143" s="8" t="s">
        <v>1057</v>
      </c>
      <c r="B143" s="8" t="s">
        <v>619</v>
      </c>
      <c r="C143" s="8" t="s">
        <v>744</v>
      </c>
      <c r="D143" s="8" t="s">
        <v>1058</v>
      </c>
      <c r="E143" s="8" t="s">
        <v>784</v>
      </c>
      <c r="F143" s="8" t="s">
        <v>1049</v>
      </c>
      <c r="G143" s="8" t="s">
        <v>857</v>
      </c>
      <c r="H143" s="8" t="s">
        <v>145</v>
      </c>
      <c r="I143" s="8" t="s">
        <v>58</v>
      </c>
      <c r="J143" s="8" t="s">
        <v>747</v>
      </c>
      <c r="K143" s="8" t="s">
        <v>748</v>
      </c>
      <c r="L143" s="8" t="s">
        <v>715</v>
      </c>
      <c r="M143" s="8" t="s">
        <v>62</v>
      </c>
      <c r="N143" s="8" t="s">
        <v>1059</v>
      </c>
      <c r="O143" s="8"/>
      <c r="P143" s="8" t="s">
        <v>717</v>
      </c>
      <c r="Q143" s="8" t="s">
        <v>750</v>
      </c>
      <c r="R143" s="8" t="s">
        <v>859</v>
      </c>
    </row>
    <row r="144" customFormat="false" ht="27.75" hidden="false" customHeight="true" outlineLevel="0" collapsed="false">
      <c r="A144" s="7" t="s">
        <v>1060</v>
      </c>
      <c r="B144" s="7" t="s">
        <v>619</v>
      </c>
      <c r="C144" s="7" t="s">
        <v>744</v>
      </c>
      <c r="D144" s="7" t="s">
        <v>1061</v>
      </c>
      <c r="E144" s="7" t="s">
        <v>784</v>
      </c>
      <c r="F144" s="7" t="s">
        <v>1062</v>
      </c>
      <c r="G144" s="7" t="s">
        <v>857</v>
      </c>
      <c r="H144" s="7" t="s">
        <v>145</v>
      </c>
      <c r="I144" s="7" t="s">
        <v>58</v>
      </c>
      <c r="J144" s="7" t="s">
        <v>747</v>
      </c>
      <c r="K144" s="7" t="s">
        <v>748</v>
      </c>
      <c r="L144" s="7" t="s">
        <v>715</v>
      </c>
      <c r="M144" s="7" t="s">
        <v>62</v>
      </c>
      <c r="N144" s="7" t="s">
        <v>1063</v>
      </c>
      <c r="O144" s="7"/>
      <c r="P144" s="7" t="s">
        <v>717</v>
      </c>
      <c r="Q144" s="7" t="s">
        <v>750</v>
      </c>
      <c r="R144" s="7" t="s">
        <v>859</v>
      </c>
    </row>
    <row r="145" customFormat="false" ht="27.75" hidden="false" customHeight="true" outlineLevel="0" collapsed="false">
      <c r="A145" s="8" t="s">
        <v>1064</v>
      </c>
      <c r="B145" s="8" t="s">
        <v>619</v>
      </c>
      <c r="C145" s="8" t="s">
        <v>744</v>
      </c>
      <c r="D145" s="8" t="s">
        <v>1065</v>
      </c>
      <c r="E145" s="8" t="s">
        <v>784</v>
      </c>
      <c r="F145" s="8" t="s">
        <v>785</v>
      </c>
      <c r="G145" s="8" t="s">
        <v>352</v>
      </c>
      <c r="H145" s="8" t="s">
        <v>145</v>
      </c>
      <c r="I145" s="8" t="s">
        <v>58</v>
      </c>
      <c r="J145" s="8" t="s">
        <v>747</v>
      </c>
      <c r="K145" s="8" t="s">
        <v>748</v>
      </c>
      <c r="L145" s="8" t="s">
        <v>715</v>
      </c>
      <c r="M145" s="8" t="s">
        <v>62</v>
      </c>
      <c r="N145" s="8" t="s">
        <v>1066</v>
      </c>
      <c r="O145" s="8" t="s">
        <v>79</v>
      </c>
      <c r="P145" s="8" t="s">
        <v>717</v>
      </c>
      <c r="Q145" s="8" t="s">
        <v>750</v>
      </c>
      <c r="R145" s="8" t="s">
        <v>1067</v>
      </c>
    </row>
    <row r="146" customFormat="false" ht="27.75" hidden="false" customHeight="true" outlineLevel="0" collapsed="false">
      <c r="A146" s="7" t="s">
        <v>1068</v>
      </c>
      <c r="B146" s="7" t="s">
        <v>619</v>
      </c>
      <c r="C146" s="7" t="s">
        <v>744</v>
      </c>
      <c r="D146" s="7" t="s">
        <v>1069</v>
      </c>
      <c r="E146" s="7" t="s">
        <v>777</v>
      </c>
      <c r="F146" s="7" t="s">
        <v>1070</v>
      </c>
      <c r="G146" s="7" t="s">
        <v>857</v>
      </c>
      <c r="H146" s="7" t="s">
        <v>145</v>
      </c>
      <c r="I146" s="7" t="s">
        <v>58</v>
      </c>
      <c r="J146" s="7" t="s">
        <v>747</v>
      </c>
      <c r="K146" s="7" t="s">
        <v>748</v>
      </c>
      <c r="L146" s="7" t="s">
        <v>715</v>
      </c>
      <c r="M146" s="7" t="s">
        <v>62</v>
      </c>
      <c r="N146" s="7" t="s">
        <v>1071</v>
      </c>
      <c r="O146" s="7"/>
      <c r="P146" s="7" t="s">
        <v>717</v>
      </c>
      <c r="Q146" s="7" t="s">
        <v>750</v>
      </c>
      <c r="R146" s="7" t="s">
        <v>912</v>
      </c>
    </row>
    <row r="147" customFormat="false" ht="27.75" hidden="false" customHeight="true" outlineLevel="0" collapsed="false">
      <c r="A147" s="8" t="s">
        <v>1072</v>
      </c>
      <c r="B147" s="8" t="s">
        <v>619</v>
      </c>
      <c r="C147" s="8" t="s">
        <v>744</v>
      </c>
      <c r="D147" s="8" t="s">
        <v>1073</v>
      </c>
      <c r="E147" s="8" t="s">
        <v>910</v>
      </c>
      <c r="F147" s="8" t="s">
        <v>1070</v>
      </c>
      <c r="G147" s="8" t="s">
        <v>857</v>
      </c>
      <c r="H147" s="8" t="s">
        <v>145</v>
      </c>
      <c r="I147" s="8" t="s">
        <v>58</v>
      </c>
      <c r="J147" s="8" t="s">
        <v>747</v>
      </c>
      <c r="K147" s="8" t="s">
        <v>748</v>
      </c>
      <c r="L147" s="8" t="s">
        <v>715</v>
      </c>
      <c r="M147" s="8" t="s">
        <v>62</v>
      </c>
      <c r="N147" s="8" t="s">
        <v>1074</v>
      </c>
      <c r="O147" s="8"/>
      <c r="P147" s="8" t="s">
        <v>717</v>
      </c>
      <c r="Q147" s="8" t="s">
        <v>750</v>
      </c>
      <c r="R147" s="8" t="s">
        <v>912</v>
      </c>
    </row>
    <row r="148" customFormat="false" ht="27.75" hidden="false" customHeight="true" outlineLevel="0" collapsed="false">
      <c r="A148" s="7" t="s">
        <v>1075</v>
      </c>
      <c r="B148" s="7" t="s">
        <v>619</v>
      </c>
      <c r="C148" s="7" t="s">
        <v>744</v>
      </c>
      <c r="D148" s="7" t="s">
        <v>1076</v>
      </c>
      <c r="E148" s="7" t="s">
        <v>777</v>
      </c>
      <c r="F148" s="7" t="s">
        <v>1077</v>
      </c>
      <c r="G148" s="7" t="s">
        <v>857</v>
      </c>
      <c r="H148" s="7" t="s">
        <v>145</v>
      </c>
      <c r="I148" s="7" t="s">
        <v>58</v>
      </c>
      <c r="J148" s="7" t="s">
        <v>747</v>
      </c>
      <c r="K148" s="7" t="s">
        <v>748</v>
      </c>
      <c r="L148" s="7" t="s">
        <v>715</v>
      </c>
      <c r="M148" s="7" t="s">
        <v>62</v>
      </c>
      <c r="N148" s="7" t="s">
        <v>1078</v>
      </c>
      <c r="O148" s="7"/>
      <c r="P148" s="7" t="s">
        <v>717</v>
      </c>
      <c r="Q148" s="7" t="s">
        <v>750</v>
      </c>
      <c r="R148" s="7" t="s">
        <v>912</v>
      </c>
    </row>
    <row r="149" customFormat="false" ht="27.75" hidden="false" customHeight="true" outlineLevel="0" collapsed="false">
      <c r="A149" s="8" t="s">
        <v>1079</v>
      </c>
      <c r="B149" s="8" t="s">
        <v>619</v>
      </c>
      <c r="C149" s="8" t="s">
        <v>744</v>
      </c>
      <c r="D149" s="8" t="s">
        <v>1080</v>
      </c>
      <c r="E149" s="8" t="s">
        <v>784</v>
      </c>
      <c r="F149" s="8" t="s">
        <v>933</v>
      </c>
      <c r="G149" s="8" t="s">
        <v>857</v>
      </c>
      <c r="H149" s="8" t="s">
        <v>760</v>
      </c>
      <c r="I149" s="8" t="s">
        <v>58</v>
      </c>
      <c r="J149" s="8" t="s">
        <v>747</v>
      </c>
      <c r="K149" s="8" t="s">
        <v>748</v>
      </c>
      <c r="L149" s="8" t="s">
        <v>715</v>
      </c>
      <c r="M149" s="8" t="s">
        <v>62</v>
      </c>
      <c r="N149" s="8" t="s">
        <v>1081</v>
      </c>
      <c r="O149" s="8" t="s">
        <v>79</v>
      </c>
      <c r="P149" s="8" t="s">
        <v>717</v>
      </c>
      <c r="Q149" s="8" t="s">
        <v>750</v>
      </c>
      <c r="R149" s="8" t="s">
        <v>1082</v>
      </c>
    </row>
    <row r="150" customFormat="false" ht="27.75" hidden="false" customHeight="true" outlineLevel="0" collapsed="false">
      <c r="A150" s="7" t="s">
        <v>1083</v>
      </c>
      <c r="B150" s="7" t="s">
        <v>619</v>
      </c>
      <c r="C150" s="7" t="s">
        <v>744</v>
      </c>
      <c r="D150" s="7" t="s">
        <v>1084</v>
      </c>
      <c r="E150" s="7" t="s">
        <v>1085</v>
      </c>
      <c r="F150" s="7" t="s">
        <v>266</v>
      </c>
      <c r="G150" s="7" t="s">
        <v>352</v>
      </c>
      <c r="H150" s="7" t="s">
        <v>145</v>
      </c>
      <c r="I150" s="7" t="s">
        <v>58</v>
      </c>
      <c r="J150" s="7" t="s">
        <v>747</v>
      </c>
      <c r="K150" s="7" t="s">
        <v>748</v>
      </c>
      <c r="L150" s="7" t="s">
        <v>715</v>
      </c>
      <c r="M150" s="7" t="s">
        <v>62</v>
      </c>
      <c r="N150" s="7" t="s">
        <v>1086</v>
      </c>
      <c r="O150" s="7" t="s">
        <v>79</v>
      </c>
      <c r="P150" s="7" t="s">
        <v>717</v>
      </c>
      <c r="Q150" s="7" t="s">
        <v>750</v>
      </c>
      <c r="R150" s="7" t="s">
        <v>1087</v>
      </c>
    </row>
    <row r="151" customFormat="false" ht="27.75" hidden="false" customHeight="true" outlineLevel="0" collapsed="false">
      <c r="A151" s="8" t="s">
        <v>1088</v>
      </c>
      <c r="B151" s="8" t="s">
        <v>619</v>
      </c>
      <c r="C151" s="8" t="s">
        <v>744</v>
      </c>
      <c r="D151" s="8" t="s">
        <v>1089</v>
      </c>
      <c r="E151" s="8" t="s">
        <v>777</v>
      </c>
      <c r="F151" s="8" t="s">
        <v>1077</v>
      </c>
      <c r="G151" s="8" t="s">
        <v>666</v>
      </c>
      <c r="H151" s="8" t="s">
        <v>145</v>
      </c>
      <c r="I151" s="8" t="s">
        <v>74</v>
      </c>
      <c r="J151" s="8" t="s">
        <v>1090</v>
      </c>
      <c r="K151" s="8" t="s">
        <v>1091</v>
      </c>
      <c r="L151" s="8" t="s">
        <v>715</v>
      </c>
      <c r="M151" s="8" t="s">
        <v>62</v>
      </c>
      <c r="N151" s="8" t="s">
        <v>1092</v>
      </c>
      <c r="O151" s="8" t="s">
        <v>160</v>
      </c>
      <c r="P151" s="8" t="s">
        <v>628</v>
      </c>
      <c r="Q151" s="8" t="s">
        <v>750</v>
      </c>
      <c r="R151" s="8" t="s">
        <v>1093</v>
      </c>
    </row>
    <row r="152" customFormat="false" ht="27.75" hidden="false" customHeight="true" outlineLevel="0" collapsed="false">
      <c r="A152" s="7" t="s">
        <v>1094</v>
      </c>
      <c r="B152" s="7" t="s">
        <v>619</v>
      </c>
      <c r="C152" s="7" t="s">
        <v>1095</v>
      </c>
      <c r="D152" s="7" t="s">
        <v>1096</v>
      </c>
      <c r="E152" s="7" t="s">
        <v>1097</v>
      </c>
      <c r="F152" s="7" t="s">
        <v>364</v>
      </c>
      <c r="G152" s="7" t="s">
        <v>724</v>
      </c>
      <c r="H152" s="7" t="s">
        <v>145</v>
      </c>
      <c r="I152" s="7" t="s">
        <v>58</v>
      </c>
      <c r="J152" s="7" t="s">
        <v>1098</v>
      </c>
      <c r="K152" s="7" t="s">
        <v>1099</v>
      </c>
      <c r="L152" s="7" t="s">
        <v>1100</v>
      </c>
      <c r="M152" s="7" t="s">
        <v>62</v>
      </c>
      <c r="N152" s="7" t="s">
        <v>1101</v>
      </c>
      <c r="O152" s="7"/>
      <c r="P152" s="7" t="s">
        <v>628</v>
      </c>
      <c r="Q152" s="7" t="s">
        <v>1102</v>
      </c>
      <c r="R152" s="7" t="s">
        <v>1103</v>
      </c>
    </row>
    <row r="153" customFormat="false" ht="27.75" hidden="false" customHeight="true" outlineLevel="0" collapsed="false">
      <c r="A153" s="8" t="s">
        <v>1104</v>
      </c>
      <c r="B153" s="8" t="s">
        <v>619</v>
      </c>
      <c r="C153" s="8" t="s">
        <v>1105</v>
      </c>
      <c r="D153" s="8" t="s">
        <v>1106</v>
      </c>
      <c r="E153" s="8" t="s">
        <v>1107</v>
      </c>
      <c r="F153" s="8" t="s">
        <v>266</v>
      </c>
      <c r="G153" s="8" t="s">
        <v>267</v>
      </c>
      <c r="H153" s="8" t="s">
        <v>145</v>
      </c>
      <c r="I153" s="8" t="s">
        <v>58</v>
      </c>
      <c r="J153" s="8" t="s">
        <v>1108</v>
      </c>
      <c r="K153" s="8" t="s">
        <v>1109</v>
      </c>
      <c r="L153" s="8" t="s">
        <v>1110</v>
      </c>
      <c r="M153" s="8" t="s">
        <v>62</v>
      </c>
      <c r="N153" s="8" t="s">
        <v>1111</v>
      </c>
      <c r="O153" s="8"/>
      <c r="P153" s="8" t="s">
        <v>628</v>
      </c>
      <c r="Q153" s="8" t="s">
        <v>1112</v>
      </c>
      <c r="R153" s="8" t="s">
        <v>1113</v>
      </c>
    </row>
    <row r="154" customFormat="false" ht="27.75" hidden="false" customHeight="true" outlineLevel="0" collapsed="false">
      <c r="A154" s="7" t="s">
        <v>1114</v>
      </c>
      <c r="B154" s="7" t="s">
        <v>619</v>
      </c>
      <c r="C154" s="7" t="s">
        <v>1115</v>
      </c>
      <c r="D154" s="7" t="s">
        <v>1116</v>
      </c>
      <c r="E154" s="7" t="s">
        <v>1117</v>
      </c>
      <c r="F154" s="7" t="s">
        <v>771</v>
      </c>
      <c r="G154" s="7" t="s">
        <v>816</v>
      </c>
      <c r="H154" s="7" t="s">
        <v>145</v>
      </c>
      <c r="I154" s="7" t="s">
        <v>58</v>
      </c>
      <c r="J154" s="7" t="s">
        <v>1098</v>
      </c>
      <c r="K154" s="7" t="s">
        <v>1118</v>
      </c>
      <c r="L154" s="7" t="s">
        <v>1119</v>
      </c>
      <c r="M154" s="7" t="s">
        <v>62</v>
      </c>
      <c r="N154" s="7" t="s">
        <v>1120</v>
      </c>
      <c r="O154" s="7" t="s">
        <v>160</v>
      </c>
      <c r="P154" s="7" t="s">
        <v>628</v>
      </c>
      <c r="Q154" s="7" t="s">
        <v>1121</v>
      </c>
      <c r="R154" s="7" t="s">
        <v>1122</v>
      </c>
    </row>
    <row r="155" customFormat="false" ht="27.75" hidden="false" customHeight="true" outlineLevel="0" collapsed="false">
      <c r="A155" s="8" t="s">
        <v>1123</v>
      </c>
      <c r="B155" s="8" t="s">
        <v>619</v>
      </c>
      <c r="C155" s="8" t="s">
        <v>1124</v>
      </c>
      <c r="D155" s="8" t="s">
        <v>1125</v>
      </c>
      <c r="E155" s="8" t="s">
        <v>1126</v>
      </c>
      <c r="F155" s="8" t="s">
        <v>785</v>
      </c>
      <c r="G155" s="8" t="s">
        <v>352</v>
      </c>
      <c r="H155" s="8" t="s">
        <v>145</v>
      </c>
      <c r="I155" s="8" t="s">
        <v>58</v>
      </c>
      <c r="J155" s="8" t="s">
        <v>1098</v>
      </c>
      <c r="K155" s="8" t="s">
        <v>1127</v>
      </c>
      <c r="L155" s="8" t="s">
        <v>1128</v>
      </c>
      <c r="M155" s="8" t="s">
        <v>62</v>
      </c>
      <c r="N155" s="8" t="s">
        <v>1129</v>
      </c>
      <c r="O155" s="8" t="s">
        <v>160</v>
      </c>
      <c r="P155" s="8" t="s">
        <v>628</v>
      </c>
      <c r="Q155" s="8" t="s">
        <v>1130</v>
      </c>
      <c r="R155" s="8" t="s">
        <v>1131</v>
      </c>
    </row>
    <row r="156" customFormat="false" ht="27.75" hidden="false" customHeight="true" outlineLevel="0" collapsed="false">
      <c r="A156" s="7" t="s">
        <v>1132</v>
      </c>
      <c r="B156" s="7" t="s">
        <v>619</v>
      </c>
      <c r="C156" s="7" t="s">
        <v>1133</v>
      </c>
      <c r="D156" s="7" t="s">
        <v>1134</v>
      </c>
      <c r="E156" s="7" t="s">
        <v>1135</v>
      </c>
      <c r="F156" s="7" t="s">
        <v>771</v>
      </c>
      <c r="G156" s="7" t="s">
        <v>1136</v>
      </c>
      <c r="H156" s="7" t="s">
        <v>145</v>
      </c>
      <c r="I156" s="7" t="s">
        <v>58</v>
      </c>
      <c r="J156" s="7" t="s">
        <v>1098</v>
      </c>
      <c r="K156" s="7" t="s">
        <v>1137</v>
      </c>
      <c r="L156" s="7" t="s">
        <v>1138</v>
      </c>
      <c r="M156" s="7" t="s">
        <v>62</v>
      </c>
      <c r="N156" s="7" t="s">
        <v>1139</v>
      </c>
      <c r="O156" s="7" t="s">
        <v>1140</v>
      </c>
      <c r="P156" s="7" t="s">
        <v>628</v>
      </c>
      <c r="Q156" s="7" t="s">
        <v>1141</v>
      </c>
      <c r="R156" s="7" t="s">
        <v>1142</v>
      </c>
    </row>
    <row r="157" customFormat="false" ht="27.75" hidden="false" customHeight="true" outlineLevel="0" collapsed="false">
      <c r="A157" s="8" t="s">
        <v>1143</v>
      </c>
      <c r="B157" s="8" t="s">
        <v>619</v>
      </c>
      <c r="C157" s="8" t="s">
        <v>1144</v>
      </c>
      <c r="D157" s="8" t="s">
        <v>1145</v>
      </c>
      <c r="E157" s="8" t="s">
        <v>1146</v>
      </c>
      <c r="F157" s="8" t="s">
        <v>771</v>
      </c>
      <c r="G157" s="8" t="s">
        <v>1147</v>
      </c>
      <c r="H157" s="8" t="s">
        <v>145</v>
      </c>
      <c r="I157" s="8" t="s">
        <v>58</v>
      </c>
      <c r="J157" s="8" t="s">
        <v>1098</v>
      </c>
      <c r="K157" s="8" t="s">
        <v>1148</v>
      </c>
      <c r="L157" s="8" t="s">
        <v>1149</v>
      </c>
      <c r="M157" s="8" t="s">
        <v>62</v>
      </c>
      <c r="N157" s="8" t="s">
        <v>1150</v>
      </c>
      <c r="O157" s="8"/>
      <c r="P157" s="8" t="s">
        <v>628</v>
      </c>
      <c r="Q157" s="8" t="s">
        <v>1151</v>
      </c>
      <c r="R157" s="8" t="s">
        <v>1152</v>
      </c>
    </row>
    <row r="158" customFormat="false" ht="27.75" hidden="false" customHeight="true" outlineLevel="0" collapsed="false">
      <c r="A158" s="7" t="s">
        <v>1153</v>
      </c>
      <c r="B158" s="7" t="s">
        <v>619</v>
      </c>
      <c r="C158" s="7" t="s">
        <v>1154</v>
      </c>
      <c r="D158" s="7" t="s">
        <v>1155</v>
      </c>
      <c r="E158" s="7" t="s">
        <v>1156</v>
      </c>
      <c r="F158" s="7" t="s">
        <v>771</v>
      </c>
      <c r="G158" s="7" t="s">
        <v>857</v>
      </c>
      <c r="H158" s="7" t="s">
        <v>145</v>
      </c>
      <c r="I158" s="7" t="s">
        <v>58</v>
      </c>
      <c r="J158" s="7" t="s">
        <v>1098</v>
      </c>
      <c r="K158" s="7" t="s">
        <v>1157</v>
      </c>
      <c r="L158" s="7" t="s">
        <v>1158</v>
      </c>
      <c r="M158" s="7" t="s">
        <v>62</v>
      </c>
      <c r="N158" s="7" t="s">
        <v>1159</v>
      </c>
      <c r="O158" s="7" t="s">
        <v>160</v>
      </c>
      <c r="P158" s="7" t="s">
        <v>628</v>
      </c>
      <c r="Q158" s="7" t="s">
        <v>1160</v>
      </c>
      <c r="R158" s="7" t="s">
        <v>1161</v>
      </c>
    </row>
    <row r="159" customFormat="false" ht="27.75" hidden="false" customHeight="true" outlineLevel="0" collapsed="false">
      <c r="A159" s="8" t="s">
        <v>1162</v>
      </c>
      <c r="B159" s="8" t="s">
        <v>619</v>
      </c>
      <c r="C159" s="8" t="s">
        <v>1163</v>
      </c>
      <c r="D159" s="8" t="s">
        <v>1164</v>
      </c>
      <c r="E159" s="8" t="s">
        <v>1165</v>
      </c>
      <c r="F159" s="8" t="s">
        <v>815</v>
      </c>
      <c r="G159" s="8" t="s">
        <v>816</v>
      </c>
      <c r="H159" s="8" t="s">
        <v>145</v>
      </c>
      <c r="I159" s="8" t="s">
        <v>58</v>
      </c>
      <c r="J159" s="8" t="s">
        <v>1098</v>
      </c>
      <c r="K159" s="8" t="s">
        <v>1166</v>
      </c>
      <c r="L159" s="8" t="s">
        <v>1167</v>
      </c>
      <c r="M159" s="8" t="s">
        <v>62</v>
      </c>
      <c r="N159" s="8" t="s">
        <v>1168</v>
      </c>
      <c r="O159" s="8" t="s">
        <v>160</v>
      </c>
      <c r="P159" s="8" t="s">
        <v>628</v>
      </c>
      <c r="Q159" s="8" t="s">
        <v>1169</v>
      </c>
      <c r="R159" s="8" t="s">
        <v>1170</v>
      </c>
    </row>
    <row r="160" customFormat="false" ht="27.75" hidden="false" customHeight="true" outlineLevel="0" collapsed="false">
      <c r="A160" s="7" t="s">
        <v>1171</v>
      </c>
      <c r="B160" s="7" t="s">
        <v>619</v>
      </c>
      <c r="C160" s="7" t="s">
        <v>1172</v>
      </c>
      <c r="D160" s="7" t="s">
        <v>1173</v>
      </c>
      <c r="E160" s="7" t="s">
        <v>1174</v>
      </c>
      <c r="F160" s="7" t="s">
        <v>735</v>
      </c>
      <c r="G160" s="7" t="s">
        <v>352</v>
      </c>
      <c r="H160" s="7" t="s">
        <v>145</v>
      </c>
      <c r="I160" s="7" t="s">
        <v>58</v>
      </c>
      <c r="J160" s="7" t="s">
        <v>1098</v>
      </c>
      <c r="K160" s="7" t="s">
        <v>1175</v>
      </c>
      <c r="L160" s="7" t="s">
        <v>1176</v>
      </c>
      <c r="M160" s="7" t="s">
        <v>62</v>
      </c>
      <c r="N160" s="7" t="s">
        <v>1177</v>
      </c>
      <c r="O160" s="7" t="s">
        <v>160</v>
      </c>
      <c r="P160" s="7" t="s">
        <v>628</v>
      </c>
      <c r="Q160" s="7" t="s">
        <v>1130</v>
      </c>
      <c r="R160" s="7" t="s">
        <v>1178</v>
      </c>
    </row>
    <row r="161" customFormat="false" ht="27.75" hidden="false" customHeight="true" outlineLevel="0" collapsed="false">
      <c r="A161" s="8" t="s">
        <v>1179</v>
      </c>
      <c r="B161" s="8" t="s">
        <v>619</v>
      </c>
      <c r="C161" s="8" t="s">
        <v>1180</v>
      </c>
      <c r="D161" s="8" t="s">
        <v>1181</v>
      </c>
      <c r="E161" s="8" t="s">
        <v>1182</v>
      </c>
      <c r="F161" s="8" t="s">
        <v>1020</v>
      </c>
      <c r="G161" s="8" t="s">
        <v>395</v>
      </c>
      <c r="H161" s="8" t="s">
        <v>145</v>
      </c>
      <c r="I161" s="8" t="s">
        <v>58</v>
      </c>
      <c r="J161" s="8" t="s">
        <v>1098</v>
      </c>
      <c r="K161" s="8" t="s">
        <v>1183</v>
      </c>
      <c r="L161" s="8" t="s">
        <v>1184</v>
      </c>
      <c r="M161" s="8" t="s">
        <v>62</v>
      </c>
      <c r="N161" s="8" t="s">
        <v>1185</v>
      </c>
      <c r="O161" s="8" t="s">
        <v>160</v>
      </c>
      <c r="P161" s="8" t="s">
        <v>628</v>
      </c>
      <c r="Q161" s="8" t="s">
        <v>1169</v>
      </c>
      <c r="R161" s="8" t="s">
        <v>1186</v>
      </c>
    </row>
    <row r="162" customFormat="false" ht="27.75" hidden="false" customHeight="true" outlineLevel="0" collapsed="false">
      <c r="A162" s="7" t="s">
        <v>1187</v>
      </c>
      <c r="B162" s="7" t="s">
        <v>619</v>
      </c>
      <c r="C162" s="7" t="s">
        <v>1188</v>
      </c>
      <c r="D162" s="7" t="s">
        <v>1189</v>
      </c>
      <c r="E162" s="7" t="s">
        <v>1190</v>
      </c>
      <c r="F162" s="7" t="s">
        <v>1077</v>
      </c>
      <c r="G162" s="7" t="s">
        <v>1191</v>
      </c>
      <c r="H162" s="7" t="s">
        <v>145</v>
      </c>
      <c r="I162" s="7" t="s">
        <v>58</v>
      </c>
      <c r="J162" s="7" t="s">
        <v>1192</v>
      </c>
      <c r="K162" s="7" t="s">
        <v>1193</v>
      </c>
      <c r="L162" s="7" t="s">
        <v>1194</v>
      </c>
      <c r="M162" s="7" t="s">
        <v>62</v>
      </c>
      <c r="N162" s="7" t="s">
        <v>1195</v>
      </c>
      <c r="O162" s="7" t="s">
        <v>160</v>
      </c>
      <c r="P162" s="7" t="s">
        <v>628</v>
      </c>
      <c r="Q162" s="7" t="s">
        <v>1160</v>
      </c>
      <c r="R162" s="7" t="s">
        <v>1196</v>
      </c>
    </row>
    <row r="163" customFormat="false" ht="27.75" hidden="false" customHeight="true" outlineLevel="0" collapsed="false">
      <c r="A163" s="8" t="s">
        <v>1197</v>
      </c>
      <c r="B163" s="8" t="s">
        <v>619</v>
      </c>
      <c r="C163" s="8" t="s">
        <v>1198</v>
      </c>
      <c r="D163" s="8" t="s">
        <v>1199</v>
      </c>
      <c r="E163" s="8" t="s">
        <v>1200</v>
      </c>
      <c r="F163" s="8" t="s">
        <v>1049</v>
      </c>
      <c r="G163" s="8" t="s">
        <v>352</v>
      </c>
      <c r="H163" s="8" t="s">
        <v>145</v>
      </c>
      <c r="I163" s="8" t="s">
        <v>58</v>
      </c>
      <c r="J163" s="8" t="s">
        <v>1098</v>
      </c>
      <c r="K163" s="8" t="s">
        <v>1201</v>
      </c>
      <c r="L163" s="8" t="s">
        <v>1202</v>
      </c>
      <c r="M163" s="8" t="s">
        <v>62</v>
      </c>
      <c r="N163" s="8" t="s">
        <v>1203</v>
      </c>
      <c r="O163" s="8"/>
      <c r="P163" s="8" t="s">
        <v>628</v>
      </c>
      <c r="Q163" s="8" t="s">
        <v>1204</v>
      </c>
      <c r="R163" s="8" t="s">
        <v>1205</v>
      </c>
    </row>
    <row r="164" customFormat="false" ht="27.75" hidden="false" customHeight="true" outlineLevel="0" collapsed="false">
      <c r="A164" s="7" t="s">
        <v>1206</v>
      </c>
      <c r="B164" s="7" t="s">
        <v>619</v>
      </c>
      <c r="C164" s="7" t="s">
        <v>1207</v>
      </c>
      <c r="D164" s="7" t="s">
        <v>1208</v>
      </c>
      <c r="E164" s="7" t="s">
        <v>1209</v>
      </c>
      <c r="F164" s="7" t="s">
        <v>351</v>
      </c>
      <c r="G164" s="7" t="s">
        <v>352</v>
      </c>
      <c r="H164" s="7" t="s">
        <v>760</v>
      </c>
      <c r="I164" s="7" t="s">
        <v>58</v>
      </c>
      <c r="J164" s="7" t="s">
        <v>1098</v>
      </c>
      <c r="K164" s="7" t="s">
        <v>1210</v>
      </c>
      <c r="L164" s="7" t="s">
        <v>1211</v>
      </c>
      <c r="M164" s="7" t="s">
        <v>62</v>
      </c>
      <c r="N164" s="7" t="s">
        <v>1212</v>
      </c>
      <c r="O164" s="7"/>
      <c r="P164" s="7" t="s">
        <v>628</v>
      </c>
      <c r="Q164" s="7" t="s">
        <v>1204</v>
      </c>
      <c r="R164" s="7" t="s">
        <v>1213</v>
      </c>
    </row>
    <row r="165" customFormat="false" ht="27.75" hidden="false" customHeight="true" outlineLevel="0" collapsed="false">
      <c r="A165" s="8" t="s">
        <v>1214</v>
      </c>
      <c r="B165" s="8" t="s">
        <v>619</v>
      </c>
      <c r="C165" s="8" t="s">
        <v>1215</v>
      </c>
      <c r="D165" s="8" t="s">
        <v>1216</v>
      </c>
      <c r="E165" s="8" t="s">
        <v>1217</v>
      </c>
      <c r="F165" s="8" t="s">
        <v>890</v>
      </c>
      <c r="G165" s="8" t="s">
        <v>724</v>
      </c>
      <c r="H165" s="8" t="s">
        <v>145</v>
      </c>
      <c r="I165" s="8" t="s">
        <v>58</v>
      </c>
      <c r="J165" s="8" t="s">
        <v>1192</v>
      </c>
      <c r="K165" s="8" t="s">
        <v>1218</v>
      </c>
      <c r="L165" s="8" t="s">
        <v>1219</v>
      </c>
      <c r="M165" s="8" t="s">
        <v>62</v>
      </c>
      <c r="N165" s="8" t="s">
        <v>1220</v>
      </c>
      <c r="O165" s="8" t="s">
        <v>160</v>
      </c>
      <c r="P165" s="8" t="s">
        <v>628</v>
      </c>
      <c r="Q165" s="8" t="s">
        <v>1221</v>
      </c>
      <c r="R165" s="8" t="s">
        <v>1222</v>
      </c>
    </row>
    <row r="166" customFormat="false" ht="27.75" hidden="false" customHeight="true" outlineLevel="0" collapsed="false">
      <c r="A166" s="7" t="s">
        <v>1223</v>
      </c>
      <c r="B166" s="7" t="s">
        <v>619</v>
      </c>
      <c r="C166" s="7" t="s">
        <v>1224</v>
      </c>
      <c r="D166" s="7" t="s">
        <v>1225</v>
      </c>
      <c r="E166" s="7" t="s">
        <v>1226</v>
      </c>
      <c r="F166" s="7" t="s">
        <v>785</v>
      </c>
      <c r="G166" s="7" t="s">
        <v>352</v>
      </c>
      <c r="H166" s="7" t="s">
        <v>145</v>
      </c>
      <c r="I166" s="7" t="s">
        <v>58</v>
      </c>
      <c r="J166" s="7" t="s">
        <v>1098</v>
      </c>
      <c r="K166" s="7" t="s">
        <v>1227</v>
      </c>
      <c r="L166" s="7" t="s">
        <v>1228</v>
      </c>
      <c r="M166" s="7" t="s">
        <v>62</v>
      </c>
      <c r="N166" s="7" t="s">
        <v>1229</v>
      </c>
      <c r="O166" s="7"/>
      <c r="P166" s="7" t="s">
        <v>628</v>
      </c>
      <c r="Q166" s="7" t="s">
        <v>1230</v>
      </c>
      <c r="R166" s="7" t="s">
        <v>1231</v>
      </c>
    </row>
    <row r="167" customFormat="false" ht="27.75" hidden="false" customHeight="true" outlineLevel="0" collapsed="false">
      <c r="A167" s="8" t="s">
        <v>1232</v>
      </c>
      <c r="B167" s="8" t="s">
        <v>619</v>
      </c>
      <c r="C167" s="8" t="s">
        <v>1233</v>
      </c>
      <c r="D167" s="8" t="s">
        <v>1234</v>
      </c>
      <c r="E167" s="8" t="s">
        <v>1235</v>
      </c>
      <c r="F167" s="8" t="s">
        <v>841</v>
      </c>
      <c r="G167" s="8" t="s">
        <v>352</v>
      </c>
      <c r="H167" s="8" t="s">
        <v>760</v>
      </c>
      <c r="I167" s="8" t="s">
        <v>58</v>
      </c>
      <c r="J167" s="8" t="s">
        <v>1098</v>
      </c>
      <c r="K167" s="8" t="s">
        <v>1236</v>
      </c>
      <c r="L167" s="8" t="s">
        <v>1237</v>
      </c>
      <c r="M167" s="8" t="s">
        <v>62</v>
      </c>
      <c r="N167" s="8" t="s">
        <v>1238</v>
      </c>
      <c r="O167" s="8"/>
      <c r="P167" s="8" t="s">
        <v>628</v>
      </c>
      <c r="Q167" s="8" t="s">
        <v>1230</v>
      </c>
      <c r="R167" s="8" t="s">
        <v>1239</v>
      </c>
    </row>
    <row r="168" customFormat="false" ht="27.75" hidden="false" customHeight="true" outlineLevel="0" collapsed="false">
      <c r="A168" s="7" t="s">
        <v>1240</v>
      </c>
      <c r="B168" s="7" t="s">
        <v>619</v>
      </c>
      <c r="C168" s="7" t="s">
        <v>1241</v>
      </c>
      <c r="D168" s="7" t="s">
        <v>1242</v>
      </c>
      <c r="E168" s="7" t="s">
        <v>1243</v>
      </c>
      <c r="F168" s="7" t="s">
        <v>765</v>
      </c>
      <c r="G168" s="7" t="s">
        <v>395</v>
      </c>
      <c r="H168" s="7" t="s">
        <v>145</v>
      </c>
      <c r="I168" s="7" t="s">
        <v>58</v>
      </c>
      <c r="J168" s="7" t="s">
        <v>1098</v>
      </c>
      <c r="K168" s="7" t="s">
        <v>1244</v>
      </c>
      <c r="L168" s="7" t="s">
        <v>1245</v>
      </c>
      <c r="M168" s="7" t="s">
        <v>62</v>
      </c>
      <c r="N168" s="7" t="s">
        <v>1246</v>
      </c>
      <c r="O168" s="7"/>
      <c r="P168" s="7" t="s">
        <v>628</v>
      </c>
      <c r="Q168" s="7" t="s">
        <v>1247</v>
      </c>
      <c r="R168" s="7" t="s">
        <v>1248</v>
      </c>
    </row>
    <row r="169" customFormat="false" ht="27.75" hidden="false" customHeight="true" outlineLevel="0" collapsed="false">
      <c r="A169" s="8" t="s">
        <v>1249</v>
      </c>
      <c r="B169" s="8" t="s">
        <v>619</v>
      </c>
      <c r="C169" s="8" t="s">
        <v>1250</v>
      </c>
      <c r="D169" s="8" t="s">
        <v>1251</v>
      </c>
      <c r="E169" s="8" t="s">
        <v>1252</v>
      </c>
      <c r="F169" s="8" t="s">
        <v>713</v>
      </c>
      <c r="G169" s="8" t="s">
        <v>56</v>
      </c>
      <c r="H169" s="8" t="s">
        <v>623</v>
      </c>
      <c r="I169" s="8" t="s">
        <v>58</v>
      </c>
      <c r="J169" s="8" t="s">
        <v>1253</v>
      </c>
      <c r="K169" s="8" t="s">
        <v>1254</v>
      </c>
      <c r="L169" s="8" t="s">
        <v>715</v>
      </c>
      <c r="M169" s="8" t="s">
        <v>62</v>
      </c>
      <c r="N169" s="8" t="s">
        <v>1255</v>
      </c>
      <c r="O169" s="8"/>
      <c r="P169" s="8" t="s">
        <v>717</v>
      </c>
      <c r="Q169" s="8" t="s">
        <v>1256</v>
      </c>
      <c r="R169" s="8" t="s">
        <v>1257</v>
      </c>
    </row>
    <row r="170" customFormat="false" ht="27.75" hidden="false" customHeight="true" outlineLevel="0" collapsed="false">
      <c r="A170" s="7" t="s">
        <v>1258</v>
      </c>
      <c r="B170" s="7" t="s">
        <v>619</v>
      </c>
      <c r="C170" s="7" t="s">
        <v>1259</v>
      </c>
      <c r="D170" s="7" t="s">
        <v>1260</v>
      </c>
      <c r="E170" s="7" t="s">
        <v>1261</v>
      </c>
      <c r="F170" s="7" t="s">
        <v>1262</v>
      </c>
      <c r="G170" s="7" t="s">
        <v>56</v>
      </c>
      <c r="H170" s="7" t="s">
        <v>1263</v>
      </c>
      <c r="I170" s="7" t="s">
        <v>58</v>
      </c>
      <c r="J170" s="7" t="s">
        <v>1253</v>
      </c>
      <c r="K170" s="7" t="s">
        <v>1264</v>
      </c>
      <c r="L170" s="7" t="s">
        <v>715</v>
      </c>
      <c r="M170" s="7" t="s">
        <v>62</v>
      </c>
      <c r="N170" s="7" t="s">
        <v>1265</v>
      </c>
      <c r="O170" s="7"/>
      <c r="P170" s="7" t="s">
        <v>717</v>
      </c>
      <c r="Q170" s="7" t="s">
        <v>1266</v>
      </c>
      <c r="R170" s="7" t="s">
        <v>1267</v>
      </c>
    </row>
    <row r="171" customFormat="false" ht="27.75" hidden="false" customHeight="true" outlineLevel="0" collapsed="false">
      <c r="A171" s="8" t="s">
        <v>1268</v>
      </c>
      <c r="B171" s="8" t="s">
        <v>619</v>
      </c>
      <c r="C171" s="8" t="s">
        <v>1259</v>
      </c>
      <c r="D171" s="8" t="s">
        <v>1269</v>
      </c>
      <c r="E171" s="8" t="s">
        <v>1261</v>
      </c>
      <c r="F171" s="8" t="s">
        <v>1270</v>
      </c>
      <c r="G171" s="8" t="s">
        <v>56</v>
      </c>
      <c r="H171" s="8" t="s">
        <v>1263</v>
      </c>
      <c r="I171" s="8" t="s">
        <v>58</v>
      </c>
      <c r="J171" s="8" t="s">
        <v>1253</v>
      </c>
      <c r="K171" s="8" t="s">
        <v>1264</v>
      </c>
      <c r="L171" s="8" t="s">
        <v>715</v>
      </c>
      <c r="M171" s="8" t="s">
        <v>62</v>
      </c>
      <c r="N171" s="8" t="s">
        <v>1271</v>
      </c>
      <c r="O171" s="8"/>
      <c r="P171" s="8" t="s">
        <v>717</v>
      </c>
      <c r="Q171" s="8" t="s">
        <v>1266</v>
      </c>
      <c r="R171" s="8" t="s">
        <v>1267</v>
      </c>
    </row>
    <row r="172" customFormat="false" ht="27.75" hidden="false" customHeight="true" outlineLevel="0" collapsed="false">
      <c r="A172" s="7" t="s">
        <v>1272</v>
      </c>
      <c r="B172" s="7" t="s">
        <v>619</v>
      </c>
      <c r="C172" s="7" t="s">
        <v>1259</v>
      </c>
      <c r="D172" s="7" t="s">
        <v>1273</v>
      </c>
      <c r="E172" s="7" t="s">
        <v>1261</v>
      </c>
      <c r="F172" s="7" t="s">
        <v>1274</v>
      </c>
      <c r="G172" s="7" t="s">
        <v>56</v>
      </c>
      <c r="H172" s="7" t="s">
        <v>1263</v>
      </c>
      <c r="I172" s="7" t="s">
        <v>58</v>
      </c>
      <c r="J172" s="7" t="s">
        <v>1253</v>
      </c>
      <c r="K172" s="7" t="s">
        <v>1264</v>
      </c>
      <c r="L172" s="7" t="s">
        <v>715</v>
      </c>
      <c r="M172" s="7" t="s">
        <v>62</v>
      </c>
      <c r="N172" s="7" t="s">
        <v>1275</v>
      </c>
      <c r="O172" s="7"/>
      <c r="P172" s="7" t="s">
        <v>717</v>
      </c>
      <c r="Q172" s="7" t="s">
        <v>1266</v>
      </c>
      <c r="R172" s="7" t="s">
        <v>1267</v>
      </c>
    </row>
    <row r="173" customFormat="false" ht="27.75" hidden="false" customHeight="true" outlineLevel="0" collapsed="false">
      <c r="A173" s="8" t="s">
        <v>1276</v>
      </c>
      <c r="B173" s="8" t="s">
        <v>619</v>
      </c>
      <c r="C173" s="8" t="s">
        <v>1259</v>
      </c>
      <c r="D173" s="8" t="s">
        <v>1277</v>
      </c>
      <c r="E173" s="8" t="s">
        <v>1261</v>
      </c>
      <c r="F173" s="8" t="s">
        <v>1278</v>
      </c>
      <c r="G173" s="8" t="s">
        <v>56</v>
      </c>
      <c r="H173" s="8" t="s">
        <v>1263</v>
      </c>
      <c r="I173" s="8" t="s">
        <v>58</v>
      </c>
      <c r="J173" s="8" t="s">
        <v>1253</v>
      </c>
      <c r="K173" s="8" t="s">
        <v>1264</v>
      </c>
      <c r="L173" s="8" t="s">
        <v>715</v>
      </c>
      <c r="M173" s="8" t="s">
        <v>62</v>
      </c>
      <c r="N173" s="8" t="s">
        <v>1279</v>
      </c>
      <c r="O173" s="8"/>
      <c r="P173" s="8" t="s">
        <v>717</v>
      </c>
      <c r="Q173" s="8" t="s">
        <v>1266</v>
      </c>
      <c r="R173" s="8" t="s">
        <v>1267</v>
      </c>
    </row>
    <row r="174" customFormat="false" ht="27.75" hidden="false" customHeight="true" outlineLevel="0" collapsed="false">
      <c r="A174" s="7" t="s">
        <v>1280</v>
      </c>
      <c r="B174" s="7" t="s">
        <v>619</v>
      </c>
      <c r="C174" s="7" t="s">
        <v>1259</v>
      </c>
      <c r="D174" s="7" t="s">
        <v>1281</v>
      </c>
      <c r="E174" s="7" t="s">
        <v>1261</v>
      </c>
      <c r="F174" s="7" t="s">
        <v>1282</v>
      </c>
      <c r="G174" s="7" t="s">
        <v>56</v>
      </c>
      <c r="H174" s="7" t="s">
        <v>1263</v>
      </c>
      <c r="I174" s="7" t="s">
        <v>58</v>
      </c>
      <c r="J174" s="7" t="s">
        <v>1253</v>
      </c>
      <c r="K174" s="7" t="s">
        <v>1264</v>
      </c>
      <c r="L174" s="7" t="s">
        <v>715</v>
      </c>
      <c r="M174" s="7" t="s">
        <v>62</v>
      </c>
      <c r="N174" s="7" t="s">
        <v>1283</v>
      </c>
      <c r="O174" s="7"/>
      <c r="P174" s="7" t="s">
        <v>717</v>
      </c>
      <c r="Q174" s="7" t="s">
        <v>1266</v>
      </c>
      <c r="R174" s="7" t="s">
        <v>1267</v>
      </c>
    </row>
    <row r="175" customFormat="false" ht="27.75" hidden="false" customHeight="true" outlineLevel="0" collapsed="false">
      <c r="A175" s="8" t="s">
        <v>1284</v>
      </c>
      <c r="B175" s="8" t="s">
        <v>619</v>
      </c>
      <c r="C175" s="8" t="s">
        <v>1259</v>
      </c>
      <c r="D175" s="8" t="s">
        <v>1285</v>
      </c>
      <c r="E175" s="8" t="s">
        <v>1261</v>
      </c>
      <c r="F175" s="8" t="s">
        <v>1286</v>
      </c>
      <c r="G175" s="8" t="s">
        <v>56</v>
      </c>
      <c r="H175" s="8" t="s">
        <v>1263</v>
      </c>
      <c r="I175" s="8" t="s">
        <v>58</v>
      </c>
      <c r="J175" s="8" t="s">
        <v>1253</v>
      </c>
      <c r="K175" s="8" t="s">
        <v>1264</v>
      </c>
      <c r="L175" s="8" t="s">
        <v>715</v>
      </c>
      <c r="M175" s="8" t="s">
        <v>62</v>
      </c>
      <c r="N175" s="8" t="s">
        <v>1287</v>
      </c>
      <c r="O175" s="8"/>
      <c r="P175" s="8" t="s">
        <v>717</v>
      </c>
      <c r="Q175" s="8" t="s">
        <v>1266</v>
      </c>
      <c r="R175" s="8" t="s">
        <v>1267</v>
      </c>
    </row>
    <row r="176" customFormat="false" ht="27.75" hidden="false" customHeight="true" outlineLevel="0" collapsed="false">
      <c r="A176" s="7" t="s">
        <v>1288</v>
      </c>
      <c r="B176" s="7" t="s">
        <v>619</v>
      </c>
      <c r="C176" s="7" t="s">
        <v>1259</v>
      </c>
      <c r="D176" s="7" t="s">
        <v>1289</v>
      </c>
      <c r="E176" s="7" t="s">
        <v>1261</v>
      </c>
      <c r="F176" s="7" t="s">
        <v>1290</v>
      </c>
      <c r="G176" s="7" t="s">
        <v>56</v>
      </c>
      <c r="H176" s="7" t="s">
        <v>1263</v>
      </c>
      <c r="I176" s="7" t="s">
        <v>58</v>
      </c>
      <c r="J176" s="7" t="s">
        <v>1253</v>
      </c>
      <c r="K176" s="7" t="s">
        <v>1264</v>
      </c>
      <c r="L176" s="7" t="s">
        <v>715</v>
      </c>
      <c r="M176" s="7" t="s">
        <v>62</v>
      </c>
      <c r="N176" s="7" t="s">
        <v>1291</v>
      </c>
      <c r="O176" s="7"/>
      <c r="P176" s="7" t="s">
        <v>717</v>
      </c>
      <c r="Q176" s="7" t="s">
        <v>1266</v>
      </c>
      <c r="R176" s="7" t="s">
        <v>1267</v>
      </c>
    </row>
    <row r="177" customFormat="false" ht="27.75" hidden="false" customHeight="true" outlineLevel="0" collapsed="false">
      <c r="A177" s="8" t="s">
        <v>1292</v>
      </c>
      <c r="B177" s="8" t="s">
        <v>619</v>
      </c>
      <c r="C177" s="8" t="s">
        <v>1259</v>
      </c>
      <c r="D177" s="8" t="s">
        <v>1293</v>
      </c>
      <c r="E177" s="8" t="s">
        <v>1261</v>
      </c>
      <c r="F177" s="8" t="s">
        <v>1294</v>
      </c>
      <c r="G177" s="8" t="s">
        <v>56</v>
      </c>
      <c r="H177" s="8" t="s">
        <v>1263</v>
      </c>
      <c r="I177" s="8" t="s">
        <v>58</v>
      </c>
      <c r="J177" s="8" t="s">
        <v>1253</v>
      </c>
      <c r="K177" s="8" t="s">
        <v>1264</v>
      </c>
      <c r="L177" s="8" t="s">
        <v>715</v>
      </c>
      <c r="M177" s="8" t="s">
        <v>62</v>
      </c>
      <c r="N177" s="8" t="s">
        <v>1295</v>
      </c>
      <c r="O177" s="8"/>
      <c r="P177" s="8" t="s">
        <v>717</v>
      </c>
      <c r="Q177" s="8" t="s">
        <v>1266</v>
      </c>
      <c r="R177" s="8" t="s">
        <v>1267</v>
      </c>
    </row>
    <row r="178" customFormat="false" ht="27.75" hidden="false" customHeight="true" outlineLevel="0" collapsed="false">
      <c r="A178" s="7" t="s">
        <v>1296</v>
      </c>
      <c r="B178" s="7" t="s">
        <v>619</v>
      </c>
      <c r="C178" s="7" t="s">
        <v>1259</v>
      </c>
      <c r="D178" s="7" t="s">
        <v>1297</v>
      </c>
      <c r="E178" s="7" t="s">
        <v>1261</v>
      </c>
      <c r="F178" s="7" t="s">
        <v>1298</v>
      </c>
      <c r="G178" s="7" t="s">
        <v>56</v>
      </c>
      <c r="H178" s="7" t="s">
        <v>1263</v>
      </c>
      <c r="I178" s="7" t="s">
        <v>58</v>
      </c>
      <c r="J178" s="7" t="s">
        <v>1253</v>
      </c>
      <c r="K178" s="7" t="s">
        <v>1264</v>
      </c>
      <c r="L178" s="7" t="s">
        <v>715</v>
      </c>
      <c r="M178" s="7" t="s">
        <v>62</v>
      </c>
      <c r="N178" s="7" t="s">
        <v>1299</v>
      </c>
      <c r="O178" s="7"/>
      <c r="P178" s="7" t="s">
        <v>717</v>
      </c>
      <c r="Q178" s="7" t="s">
        <v>1266</v>
      </c>
      <c r="R178" s="7" t="s">
        <v>1267</v>
      </c>
    </row>
    <row r="179" customFormat="false" ht="27.75" hidden="false" customHeight="true" outlineLevel="0" collapsed="false">
      <c r="A179" s="8" t="s">
        <v>1300</v>
      </c>
      <c r="B179" s="8" t="s">
        <v>619</v>
      </c>
      <c r="C179" s="8" t="s">
        <v>1259</v>
      </c>
      <c r="D179" s="8" t="s">
        <v>1301</v>
      </c>
      <c r="E179" s="8" t="s">
        <v>1302</v>
      </c>
      <c r="F179" s="8" t="s">
        <v>1303</v>
      </c>
      <c r="G179" s="8" t="s">
        <v>56</v>
      </c>
      <c r="H179" s="8" t="s">
        <v>1263</v>
      </c>
      <c r="I179" s="8" t="s">
        <v>58</v>
      </c>
      <c r="J179" s="8" t="s">
        <v>1253</v>
      </c>
      <c r="K179" s="8" t="s">
        <v>1264</v>
      </c>
      <c r="L179" s="8" t="s">
        <v>715</v>
      </c>
      <c r="M179" s="8" t="s">
        <v>62</v>
      </c>
      <c r="N179" s="8" t="s">
        <v>1304</v>
      </c>
      <c r="O179" s="8"/>
      <c r="P179" s="8" t="s">
        <v>717</v>
      </c>
      <c r="Q179" s="8" t="s">
        <v>1266</v>
      </c>
      <c r="R179" s="8" t="s">
        <v>1267</v>
      </c>
    </row>
    <row r="180" customFormat="false" ht="27.75" hidden="false" customHeight="true" outlineLevel="0" collapsed="false">
      <c r="A180" s="7" t="s">
        <v>1305</v>
      </c>
      <c r="B180" s="7" t="s">
        <v>619</v>
      </c>
      <c r="C180" s="7" t="s">
        <v>1259</v>
      </c>
      <c r="D180" s="7" t="s">
        <v>1306</v>
      </c>
      <c r="E180" s="7" t="s">
        <v>1302</v>
      </c>
      <c r="F180" s="7" t="s">
        <v>1307</v>
      </c>
      <c r="G180" s="7" t="s">
        <v>56</v>
      </c>
      <c r="H180" s="7" t="s">
        <v>1263</v>
      </c>
      <c r="I180" s="7" t="s">
        <v>58</v>
      </c>
      <c r="J180" s="7" t="s">
        <v>1253</v>
      </c>
      <c r="K180" s="7" t="s">
        <v>1264</v>
      </c>
      <c r="L180" s="7" t="s">
        <v>715</v>
      </c>
      <c r="M180" s="7" t="s">
        <v>62</v>
      </c>
      <c r="N180" s="7" t="s">
        <v>1308</v>
      </c>
      <c r="O180" s="7"/>
      <c r="P180" s="7" t="s">
        <v>717</v>
      </c>
      <c r="Q180" s="7" t="s">
        <v>1266</v>
      </c>
      <c r="R180" s="7" t="s">
        <v>1267</v>
      </c>
    </row>
    <row r="181" customFormat="false" ht="27.75" hidden="false" customHeight="true" outlineLevel="0" collapsed="false">
      <c r="A181" s="8" t="s">
        <v>1309</v>
      </c>
      <c r="B181" s="8" t="s">
        <v>619</v>
      </c>
      <c r="C181" s="8" t="s">
        <v>1259</v>
      </c>
      <c r="D181" s="8" t="s">
        <v>1310</v>
      </c>
      <c r="E181" s="8" t="s">
        <v>1302</v>
      </c>
      <c r="F181" s="8" t="s">
        <v>1311</v>
      </c>
      <c r="G181" s="8" t="s">
        <v>56</v>
      </c>
      <c r="H181" s="8" t="s">
        <v>1263</v>
      </c>
      <c r="I181" s="8" t="s">
        <v>58</v>
      </c>
      <c r="J181" s="8" t="s">
        <v>1253</v>
      </c>
      <c r="K181" s="8" t="s">
        <v>1264</v>
      </c>
      <c r="L181" s="8" t="s">
        <v>715</v>
      </c>
      <c r="M181" s="8" t="s">
        <v>62</v>
      </c>
      <c r="N181" s="8" t="s">
        <v>1312</v>
      </c>
      <c r="O181" s="8"/>
      <c r="P181" s="8" t="s">
        <v>717</v>
      </c>
      <c r="Q181" s="8" t="s">
        <v>1266</v>
      </c>
      <c r="R181" s="8" t="s">
        <v>1267</v>
      </c>
    </row>
    <row r="182" customFormat="false" ht="27.75" hidden="false" customHeight="true" outlineLevel="0" collapsed="false">
      <c r="A182" s="7" t="s">
        <v>1313</v>
      </c>
      <c r="B182" s="7" t="s">
        <v>619</v>
      </c>
      <c r="C182" s="7" t="s">
        <v>1259</v>
      </c>
      <c r="D182" s="7" t="s">
        <v>1314</v>
      </c>
      <c r="E182" s="7" t="s">
        <v>1261</v>
      </c>
      <c r="F182" s="7" t="s">
        <v>1315</v>
      </c>
      <c r="G182" s="7" t="s">
        <v>56</v>
      </c>
      <c r="H182" s="7" t="s">
        <v>1263</v>
      </c>
      <c r="I182" s="7" t="s">
        <v>58</v>
      </c>
      <c r="J182" s="7" t="s">
        <v>1253</v>
      </c>
      <c r="K182" s="7" t="s">
        <v>1264</v>
      </c>
      <c r="L182" s="7" t="s">
        <v>715</v>
      </c>
      <c r="M182" s="7" t="s">
        <v>62</v>
      </c>
      <c r="N182" s="7" t="s">
        <v>1316</v>
      </c>
      <c r="O182" s="7"/>
      <c r="P182" s="7" t="s">
        <v>717</v>
      </c>
      <c r="Q182" s="7" t="s">
        <v>1266</v>
      </c>
      <c r="R182" s="7" t="s">
        <v>1267</v>
      </c>
    </row>
    <row r="183" customFormat="false" ht="27.75" hidden="false" customHeight="true" outlineLevel="0" collapsed="false">
      <c r="A183" s="8" t="s">
        <v>1317</v>
      </c>
      <c r="B183" s="8" t="s">
        <v>619</v>
      </c>
      <c r="C183" s="8" t="s">
        <v>1259</v>
      </c>
      <c r="D183" s="8" t="s">
        <v>1318</v>
      </c>
      <c r="E183" s="8" t="s">
        <v>1261</v>
      </c>
      <c r="F183" s="8" t="s">
        <v>1319</v>
      </c>
      <c r="G183" s="8" t="s">
        <v>56</v>
      </c>
      <c r="H183" s="8" t="s">
        <v>1263</v>
      </c>
      <c r="I183" s="8" t="s">
        <v>58</v>
      </c>
      <c r="J183" s="8" t="s">
        <v>1253</v>
      </c>
      <c r="K183" s="8" t="s">
        <v>1264</v>
      </c>
      <c r="L183" s="8" t="s">
        <v>715</v>
      </c>
      <c r="M183" s="8" t="s">
        <v>62</v>
      </c>
      <c r="N183" s="8" t="s">
        <v>1320</v>
      </c>
      <c r="O183" s="8"/>
      <c r="P183" s="8" t="s">
        <v>717</v>
      </c>
      <c r="Q183" s="8" t="s">
        <v>1266</v>
      </c>
      <c r="R183" s="8" t="s">
        <v>1267</v>
      </c>
    </row>
    <row r="184" customFormat="false" ht="27.75" hidden="false" customHeight="true" outlineLevel="0" collapsed="false">
      <c r="A184" s="7" t="s">
        <v>1321</v>
      </c>
      <c r="B184" s="7" t="s">
        <v>619</v>
      </c>
      <c r="C184" s="7" t="s">
        <v>1259</v>
      </c>
      <c r="D184" s="7" t="s">
        <v>1322</v>
      </c>
      <c r="E184" s="7" t="s">
        <v>1261</v>
      </c>
      <c r="F184" s="7" t="s">
        <v>1323</v>
      </c>
      <c r="G184" s="7" t="s">
        <v>56</v>
      </c>
      <c r="H184" s="7" t="s">
        <v>1263</v>
      </c>
      <c r="I184" s="7" t="s">
        <v>58</v>
      </c>
      <c r="J184" s="7" t="s">
        <v>1253</v>
      </c>
      <c r="K184" s="7" t="s">
        <v>1264</v>
      </c>
      <c r="L184" s="7" t="s">
        <v>715</v>
      </c>
      <c r="M184" s="7" t="s">
        <v>62</v>
      </c>
      <c r="N184" s="7" t="s">
        <v>1324</v>
      </c>
      <c r="O184" s="7"/>
      <c r="P184" s="7" t="s">
        <v>717</v>
      </c>
      <c r="Q184" s="7" t="s">
        <v>1266</v>
      </c>
      <c r="R184" s="7" t="s">
        <v>1267</v>
      </c>
    </row>
    <row r="185" customFormat="false" ht="27.75" hidden="false" customHeight="true" outlineLevel="0" collapsed="false">
      <c r="A185" s="8" t="s">
        <v>1325</v>
      </c>
      <c r="B185" s="8" t="s">
        <v>619</v>
      </c>
      <c r="C185" s="8" t="s">
        <v>1259</v>
      </c>
      <c r="D185" s="8" t="s">
        <v>1326</v>
      </c>
      <c r="E185" s="8" t="s">
        <v>1327</v>
      </c>
      <c r="F185" s="8" t="s">
        <v>1328</v>
      </c>
      <c r="G185" s="8" t="s">
        <v>56</v>
      </c>
      <c r="H185" s="8" t="s">
        <v>1263</v>
      </c>
      <c r="I185" s="8" t="s">
        <v>58</v>
      </c>
      <c r="J185" s="8" t="s">
        <v>1253</v>
      </c>
      <c r="K185" s="8" t="s">
        <v>1264</v>
      </c>
      <c r="L185" s="8" t="s">
        <v>715</v>
      </c>
      <c r="M185" s="8" t="s">
        <v>62</v>
      </c>
      <c r="N185" s="8" t="s">
        <v>1329</v>
      </c>
      <c r="O185" s="8"/>
      <c r="P185" s="8" t="s">
        <v>717</v>
      </c>
      <c r="Q185" s="8" t="s">
        <v>1266</v>
      </c>
      <c r="R185" s="8" t="s">
        <v>1267</v>
      </c>
    </row>
    <row r="186" customFormat="false" ht="27.75" hidden="false" customHeight="true" outlineLevel="0" collapsed="false">
      <c r="A186" s="7" t="s">
        <v>1330</v>
      </c>
      <c r="B186" s="7" t="s">
        <v>619</v>
      </c>
      <c r="C186" s="7" t="s">
        <v>1259</v>
      </c>
      <c r="D186" s="7" t="s">
        <v>1331</v>
      </c>
      <c r="E186" s="7" t="s">
        <v>1327</v>
      </c>
      <c r="F186" s="7" t="s">
        <v>1332</v>
      </c>
      <c r="G186" s="7" t="s">
        <v>56</v>
      </c>
      <c r="H186" s="7" t="s">
        <v>1263</v>
      </c>
      <c r="I186" s="7" t="s">
        <v>58</v>
      </c>
      <c r="J186" s="7" t="s">
        <v>1253</v>
      </c>
      <c r="K186" s="7" t="s">
        <v>1264</v>
      </c>
      <c r="L186" s="7" t="s">
        <v>715</v>
      </c>
      <c r="M186" s="7" t="s">
        <v>62</v>
      </c>
      <c r="N186" s="7" t="s">
        <v>1333</v>
      </c>
      <c r="O186" s="7"/>
      <c r="P186" s="7" t="s">
        <v>717</v>
      </c>
      <c r="Q186" s="7" t="s">
        <v>1266</v>
      </c>
      <c r="R186" s="7" t="s">
        <v>1267</v>
      </c>
    </row>
    <row r="187" customFormat="false" ht="27.75" hidden="false" customHeight="true" outlineLevel="0" collapsed="false">
      <c r="A187" s="8" t="s">
        <v>1334</v>
      </c>
      <c r="B187" s="8" t="s">
        <v>619</v>
      </c>
      <c r="C187" s="8" t="s">
        <v>1259</v>
      </c>
      <c r="D187" s="8" t="s">
        <v>1335</v>
      </c>
      <c r="E187" s="8" t="s">
        <v>1261</v>
      </c>
      <c r="F187" s="8" t="s">
        <v>1336</v>
      </c>
      <c r="G187" s="8" t="s">
        <v>56</v>
      </c>
      <c r="H187" s="8" t="s">
        <v>1263</v>
      </c>
      <c r="I187" s="8" t="s">
        <v>58</v>
      </c>
      <c r="J187" s="8" t="s">
        <v>1253</v>
      </c>
      <c r="K187" s="8" t="s">
        <v>1264</v>
      </c>
      <c r="L187" s="8" t="s">
        <v>715</v>
      </c>
      <c r="M187" s="8" t="s">
        <v>62</v>
      </c>
      <c r="N187" s="8" t="s">
        <v>1337</v>
      </c>
      <c r="O187" s="8"/>
      <c r="P187" s="8" t="s">
        <v>717</v>
      </c>
      <c r="Q187" s="8" t="s">
        <v>1266</v>
      </c>
      <c r="R187" s="8" t="s">
        <v>1267</v>
      </c>
    </row>
    <row r="188" customFormat="false" ht="27.75" hidden="false" customHeight="true" outlineLevel="0" collapsed="false">
      <c r="A188" s="7" t="s">
        <v>1338</v>
      </c>
      <c r="B188" s="7" t="s">
        <v>619</v>
      </c>
      <c r="C188" s="7" t="s">
        <v>1259</v>
      </c>
      <c r="D188" s="7" t="s">
        <v>1339</v>
      </c>
      <c r="E188" s="7" t="s">
        <v>1261</v>
      </c>
      <c r="F188" s="7" t="s">
        <v>1340</v>
      </c>
      <c r="G188" s="7" t="s">
        <v>56</v>
      </c>
      <c r="H188" s="7" t="s">
        <v>1263</v>
      </c>
      <c r="I188" s="7" t="s">
        <v>58</v>
      </c>
      <c r="J188" s="7" t="s">
        <v>1253</v>
      </c>
      <c r="K188" s="7" t="s">
        <v>1264</v>
      </c>
      <c r="L188" s="7" t="s">
        <v>715</v>
      </c>
      <c r="M188" s="7" t="s">
        <v>62</v>
      </c>
      <c r="N188" s="7" t="s">
        <v>1341</v>
      </c>
      <c r="O188" s="7"/>
      <c r="P188" s="7" t="s">
        <v>717</v>
      </c>
      <c r="Q188" s="7" t="s">
        <v>1266</v>
      </c>
      <c r="R188" s="7" t="s">
        <v>1267</v>
      </c>
    </row>
    <row r="189" customFormat="false" ht="27.75" hidden="false" customHeight="true" outlineLevel="0" collapsed="false">
      <c r="A189" s="8" t="s">
        <v>1342</v>
      </c>
      <c r="B189" s="8" t="s">
        <v>619</v>
      </c>
      <c r="C189" s="8" t="s">
        <v>1343</v>
      </c>
      <c r="D189" s="8" t="s">
        <v>1344</v>
      </c>
      <c r="E189" s="8" t="s">
        <v>1345</v>
      </c>
      <c r="F189" s="8" t="s">
        <v>266</v>
      </c>
      <c r="G189" s="8" t="s">
        <v>267</v>
      </c>
      <c r="H189" s="8" t="s">
        <v>145</v>
      </c>
      <c r="I189" s="8" t="s">
        <v>58</v>
      </c>
      <c r="J189" s="8" t="s">
        <v>656</v>
      </c>
      <c r="K189" s="8" t="s">
        <v>1346</v>
      </c>
      <c r="L189" s="8" t="s">
        <v>687</v>
      </c>
      <c r="M189" s="8" t="s">
        <v>62</v>
      </c>
      <c r="N189" s="8" t="s">
        <v>1347</v>
      </c>
      <c r="O189" s="8" t="s">
        <v>79</v>
      </c>
      <c r="P189" s="8" t="s">
        <v>628</v>
      </c>
      <c r="Q189" s="8" t="s">
        <v>272</v>
      </c>
      <c r="R189" s="8" t="s">
        <v>1348</v>
      </c>
    </row>
    <row r="190" customFormat="false" ht="27.75" hidden="false" customHeight="true" outlineLevel="0" collapsed="false">
      <c r="A190" s="7" t="s">
        <v>1349</v>
      </c>
      <c r="B190" s="7" t="s">
        <v>619</v>
      </c>
      <c r="C190" s="7" t="s">
        <v>1350</v>
      </c>
      <c r="D190" s="7" t="s">
        <v>1351</v>
      </c>
      <c r="E190" s="7" t="s">
        <v>1352</v>
      </c>
      <c r="F190" s="7" t="s">
        <v>771</v>
      </c>
      <c r="G190" s="7" t="s">
        <v>56</v>
      </c>
      <c r="H190" s="7" t="s">
        <v>109</v>
      </c>
      <c r="I190" s="7" t="s">
        <v>58</v>
      </c>
      <c r="J190" s="7" t="s">
        <v>1353</v>
      </c>
      <c r="K190" s="7" t="s">
        <v>1354</v>
      </c>
      <c r="L190" s="7" t="s">
        <v>1355</v>
      </c>
      <c r="M190" s="7" t="s">
        <v>62</v>
      </c>
      <c r="N190" s="7" t="s">
        <v>1356</v>
      </c>
      <c r="O190" s="7" t="s">
        <v>615</v>
      </c>
      <c r="P190" s="7" t="s">
        <v>628</v>
      </c>
      <c r="Q190" s="7" t="s">
        <v>1357</v>
      </c>
      <c r="R190" s="7" t="s">
        <v>1358</v>
      </c>
    </row>
    <row r="191" customFormat="false" ht="27.75" hidden="false" customHeight="true" outlineLevel="0" collapsed="false">
      <c r="A191" s="8" t="s">
        <v>1359</v>
      </c>
      <c r="B191" s="8" t="s">
        <v>619</v>
      </c>
      <c r="C191" s="8" t="s">
        <v>1360</v>
      </c>
      <c r="D191" s="8" t="s">
        <v>1361</v>
      </c>
      <c r="E191" s="8" t="s">
        <v>1362</v>
      </c>
      <c r="F191" s="8" t="s">
        <v>785</v>
      </c>
      <c r="G191" s="8" t="s">
        <v>352</v>
      </c>
      <c r="H191" s="8" t="s">
        <v>145</v>
      </c>
      <c r="I191" s="8" t="s">
        <v>58</v>
      </c>
      <c r="J191" s="8" t="s">
        <v>1353</v>
      </c>
      <c r="K191" s="8" t="s">
        <v>1363</v>
      </c>
      <c r="L191" s="8" t="s">
        <v>1364</v>
      </c>
      <c r="M191" s="8" t="s">
        <v>62</v>
      </c>
      <c r="N191" s="8" t="s">
        <v>1365</v>
      </c>
      <c r="O191" s="8" t="s">
        <v>615</v>
      </c>
      <c r="P191" s="8" t="s">
        <v>628</v>
      </c>
      <c r="Q191" s="8" t="s">
        <v>1366</v>
      </c>
      <c r="R191" s="8" t="s">
        <v>1367</v>
      </c>
    </row>
    <row r="192" customFormat="false" ht="27.75" hidden="false" customHeight="true" outlineLevel="0" collapsed="false">
      <c r="A192" s="7" t="s">
        <v>1368</v>
      </c>
      <c r="B192" s="7" t="s">
        <v>619</v>
      </c>
      <c r="C192" s="7" t="s">
        <v>1369</v>
      </c>
      <c r="D192" s="7" t="s">
        <v>1370</v>
      </c>
      <c r="E192" s="7" t="s">
        <v>1371</v>
      </c>
      <c r="F192" s="7" t="s">
        <v>155</v>
      </c>
      <c r="G192" s="7" t="s">
        <v>56</v>
      </c>
      <c r="H192" s="7" t="s">
        <v>623</v>
      </c>
      <c r="I192" s="7" t="s">
        <v>58</v>
      </c>
      <c r="J192" s="7" t="s">
        <v>656</v>
      </c>
      <c r="K192" s="7" t="s">
        <v>696</v>
      </c>
      <c r="L192" s="7" t="s">
        <v>676</v>
      </c>
      <c r="M192" s="7" t="s">
        <v>62</v>
      </c>
      <c r="N192" s="7" t="s">
        <v>1372</v>
      </c>
      <c r="O192" s="7"/>
      <c r="P192" s="7" t="s">
        <v>628</v>
      </c>
      <c r="Q192" s="7" t="s">
        <v>1373</v>
      </c>
      <c r="R192" s="7" t="s">
        <v>1374</v>
      </c>
    </row>
    <row r="193" customFormat="false" ht="27.75" hidden="false" customHeight="true" outlineLevel="0" collapsed="false">
      <c r="A193" s="8" t="s">
        <v>1375</v>
      </c>
      <c r="B193" s="8" t="s">
        <v>619</v>
      </c>
      <c r="C193" s="8" t="s">
        <v>1376</v>
      </c>
      <c r="D193" s="8" t="s">
        <v>1377</v>
      </c>
      <c r="E193" s="8" t="s">
        <v>1378</v>
      </c>
      <c r="F193" s="8" t="s">
        <v>735</v>
      </c>
      <c r="G193" s="8" t="s">
        <v>56</v>
      </c>
      <c r="H193" s="8" t="s">
        <v>145</v>
      </c>
      <c r="I193" s="8" t="s">
        <v>74</v>
      </c>
      <c r="J193" s="8" t="s">
        <v>1379</v>
      </c>
      <c r="K193" s="8" t="s">
        <v>1380</v>
      </c>
      <c r="L193" s="8" t="s">
        <v>1381</v>
      </c>
      <c r="M193" s="8" t="s">
        <v>62</v>
      </c>
      <c r="N193" s="8" t="s">
        <v>1382</v>
      </c>
      <c r="O193" s="8" t="s">
        <v>64</v>
      </c>
      <c r="P193" s="8" t="s">
        <v>628</v>
      </c>
      <c r="Q193" s="8" t="s">
        <v>313</v>
      </c>
      <c r="R193" s="8" t="s">
        <v>1383</v>
      </c>
    </row>
    <row r="194" customFormat="false" ht="27.75" hidden="false" customHeight="true" outlineLevel="0" collapsed="false">
      <c r="A194" s="7" t="s">
        <v>1384</v>
      </c>
      <c r="B194" s="7" t="s">
        <v>619</v>
      </c>
      <c r="C194" s="7" t="s">
        <v>1385</v>
      </c>
      <c r="D194" s="7" t="s">
        <v>1386</v>
      </c>
      <c r="E194" s="7" t="s">
        <v>1387</v>
      </c>
      <c r="F194" s="7" t="s">
        <v>713</v>
      </c>
      <c r="G194" s="7" t="s">
        <v>56</v>
      </c>
      <c r="H194" s="7" t="s">
        <v>1263</v>
      </c>
      <c r="I194" s="7" t="s">
        <v>74</v>
      </c>
      <c r="J194" s="7" t="s">
        <v>1090</v>
      </c>
      <c r="K194" s="7" t="s">
        <v>1388</v>
      </c>
      <c r="L194" s="7" t="s">
        <v>715</v>
      </c>
      <c r="M194" s="7" t="s">
        <v>62</v>
      </c>
      <c r="N194" s="7" t="s">
        <v>1389</v>
      </c>
      <c r="O194" s="7" t="s">
        <v>79</v>
      </c>
      <c r="P194" s="7" t="s">
        <v>717</v>
      </c>
      <c r="Q194" s="7" t="s">
        <v>1390</v>
      </c>
      <c r="R194" s="7" t="s">
        <v>1391</v>
      </c>
    </row>
    <row r="195" customFormat="false" ht="27.75" hidden="false" customHeight="true" outlineLevel="0" collapsed="false">
      <c r="A195" s="8" t="s">
        <v>1392</v>
      </c>
      <c r="B195" s="8" t="s">
        <v>619</v>
      </c>
      <c r="C195" s="8" t="s">
        <v>1393</v>
      </c>
      <c r="D195" s="8" t="s">
        <v>1394</v>
      </c>
      <c r="E195" s="8" t="s">
        <v>1395</v>
      </c>
      <c r="F195" s="8" t="s">
        <v>713</v>
      </c>
      <c r="G195" s="8" t="s">
        <v>56</v>
      </c>
      <c r="H195" s="8" t="s">
        <v>1263</v>
      </c>
      <c r="I195" s="8" t="s">
        <v>74</v>
      </c>
      <c r="J195" s="8" t="s">
        <v>1396</v>
      </c>
      <c r="K195" s="8" t="s">
        <v>1397</v>
      </c>
      <c r="L195" s="8" t="s">
        <v>715</v>
      </c>
      <c r="M195" s="8" t="s">
        <v>62</v>
      </c>
      <c r="N195" s="8" t="s">
        <v>1398</v>
      </c>
      <c r="O195" s="8" t="s">
        <v>79</v>
      </c>
      <c r="P195" s="8" t="s">
        <v>717</v>
      </c>
      <c r="Q195" s="8" t="s">
        <v>1399</v>
      </c>
      <c r="R195" s="8" t="s">
        <v>1400</v>
      </c>
    </row>
    <row r="196" customFormat="false" ht="27.75" hidden="false" customHeight="true" outlineLevel="0" collapsed="false">
      <c r="A196" s="7" t="s">
        <v>1401</v>
      </c>
      <c r="B196" s="7" t="s">
        <v>619</v>
      </c>
      <c r="C196" s="7" t="s">
        <v>1402</v>
      </c>
      <c r="D196" s="7" t="s">
        <v>1403</v>
      </c>
      <c r="E196" s="7" t="s">
        <v>1404</v>
      </c>
      <c r="F196" s="7" t="s">
        <v>713</v>
      </c>
      <c r="G196" s="7" t="s">
        <v>1263</v>
      </c>
      <c r="H196" s="7" t="s">
        <v>1263</v>
      </c>
      <c r="I196" s="7" t="s">
        <v>58</v>
      </c>
      <c r="J196" s="7" t="s">
        <v>1405</v>
      </c>
      <c r="K196" s="7" t="s">
        <v>1406</v>
      </c>
      <c r="L196" s="7" t="s">
        <v>1100</v>
      </c>
      <c r="M196" s="7" t="s">
        <v>62</v>
      </c>
      <c r="N196" s="7" t="s">
        <v>1407</v>
      </c>
      <c r="O196" s="7"/>
      <c r="P196" s="7" t="s">
        <v>628</v>
      </c>
      <c r="Q196" s="7" t="s">
        <v>1408</v>
      </c>
      <c r="R196" s="7" t="s">
        <v>1409</v>
      </c>
    </row>
    <row r="197" customFormat="false" ht="27.75" hidden="false" customHeight="true" outlineLevel="0" collapsed="false">
      <c r="A197" s="8" t="s">
        <v>1410</v>
      </c>
      <c r="B197" s="8" t="s">
        <v>619</v>
      </c>
      <c r="C197" s="8" t="s">
        <v>1411</v>
      </c>
      <c r="D197" s="8" t="s">
        <v>1412</v>
      </c>
      <c r="E197" s="8" t="s">
        <v>1413</v>
      </c>
      <c r="F197" s="8" t="s">
        <v>713</v>
      </c>
      <c r="G197" s="8" t="s">
        <v>724</v>
      </c>
      <c r="H197" s="8" t="s">
        <v>1263</v>
      </c>
      <c r="I197" s="8" t="s">
        <v>74</v>
      </c>
      <c r="J197" s="8" t="s">
        <v>1396</v>
      </c>
      <c r="K197" s="8" t="s">
        <v>1414</v>
      </c>
      <c r="L197" s="8" t="s">
        <v>715</v>
      </c>
      <c r="M197" s="8" t="s">
        <v>62</v>
      </c>
      <c r="N197" s="8" t="s">
        <v>1415</v>
      </c>
      <c r="O197" s="8" t="s">
        <v>79</v>
      </c>
      <c r="P197" s="8" t="s">
        <v>717</v>
      </c>
      <c r="Q197" s="8" t="s">
        <v>1416</v>
      </c>
      <c r="R197" s="8" t="s">
        <v>1417</v>
      </c>
    </row>
    <row r="198" customFormat="false" ht="27.75" hidden="false" customHeight="true" outlineLevel="0" collapsed="false">
      <c r="A198" s="7" t="s">
        <v>1418</v>
      </c>
      <c r="B198" s="7" t="s">
        <v>619</v>
      </c>
      <c r="C198" s="7" t="s">
        <v>1419</v>
      </c>
      <c r="D198" s="7" t="s">
        <v>1420</v>
      </c>
      <c r="E198" s="7" t="s">
        <v>1421</v>
      </c>
      <c r="F198" s="7" t="s">
        <v>713</v>
      </c>
      <c r="G198" s="7" t="s">
        <v>666</v>
      </c>
      <c r="H198" s="7" t="s">
        <v>1263</v>
      </c>
      <c r="I198" s="7" t="s">
        <v>74</v>
      </c>
      <c r="J198" s="7" t="s">
        <v>1396</v>
      </c>
      <c r="K198" s="7" t="s">
        <v>1414</v>
      </c>
      <c r="L198" s="7" t="s">
        <v>715</v>
      </c>
      <c r="M198" s="7" t="s">
        <v>62</v>
      </c>
      <c r="N198" s="7" t="s">
        <v>1415</v>
      </c>
      <c r="O198" s="7" t="s">
        <v>79</v>
      </c>
      <c r="P198" s="7" t="s">
        <v>717</v>
      </c>
      <c r="Q198" s="7" t="s">
        <v>1416</v>
      </c>
      <c r="R198" s="7" t="s">
        <v>1422</v>
      </c>
    </row>
    <row r="199" customFormat="false" ht="27.75" hidden="false" customHeight="true" outlineLevel="0" collapsed="false">
      <c r="A199" s="8" t="s">
        <v>1423</v>
      </c>
      <c r="B199" s="8" t="s">
        <v>619</v>
      </c>
      <c r="C199" s="8" t="s">
        <v>1424</v>
      </c>
      <c r="D199" s="8" t="s">
        <v>1425</v>
      </c>
      <c r="E199" s="8" t="s">
        <v>1426</v>
      </c>
      <c r="F199" s="8" t="s">
        <v>713</v>
      </c>
      <c r="G199" s="8" t="s">
        <v>352</v>
      </c>
      <c r="H199" s="8" t="s">
        <v>1263</v>
      </c>
      <c r="I199" s="8" t="s">
        <v>74</v>
      </c>
      <c r="J199" s="8" t="s">
        <v>1396</v>
      </c>
      <c r="K199" s="8" t="s">
        <v>1414</v>
      </c>
      <c r="L199" s="8" t="s">
        <v>715</v>
      </c>
      <c r="M199" s="8" t="s">
        <v>62</v>
      </c>
      <c r="N199" s="8" t="s">
        <v>1415</v>
      </c>
      <c r="O199" s="8"/>
      <c r="P199" s="8" t="s">
        <v>717</v>
      </c>
      <c r="Q199" s="8" t="s">
        <v>1416</v>
      </c>
      <c r="R199" s="8" t="s">
        <v>1427</v>
      </c>
    </row>
    <row r="200" customFormat="false" ht="27.75" hidden="false" customHeight="true" outlineLevel="0" collapsed="false">
      <c r="A200" s="7" t="s">
        <v>1428</v>
      </c>
      <c r="B200" s="7" t="s">
        <v>619</v>
      </c>
      <c r="C200" s="7" t="s">
        <v>1429</v>
      </c>
      <c r="D200" s="7" t="s">
        <v>1430</v>
      </c>
      <c r="E200" s="7" t="s">
        <v>1431</v>
      </c>
      <c r="F200" s="7" t="s">
        <v>713</v>
      </c>
      <c r="G200" s="7" t="s">
        <v>395</v>
      </c>
      <c r="H200" s="7" t="s">
        <v>1263</v>
      </c>
      <c r="I200" s="7" t="s">
        <v>74</v>
      </c>
      <c r="J200" s="7" t="s">
        <v>1396</v>
      </c>
      <c r="K200" s="7" t="s">
        <v>1414</v>
      </c>
      <c r="L200" s="7" t="s">
        <v>715</v>
      </c>
      <c r="M200" s="7" t="s">
        <v>62</v>
      </c>
      <c r="N200" s="7" t="s">
        <v>1415</v>
      </c>
      <c r="O200" s="7" t="s">
        <v>79</v>
      </c>
      <c r="P200" s="7" t="s">
        <v>717</v>
      </c>
      <c r="Q200" s="7" t="s">
        <v>1416</v>
      </c>
      <c r="R200" s="7" t="s">
        <v>1432</v>
      </c>
    </row>
    <row r="201" customFormat="false" ht="27.75" hidden="false" customHeight="true" outlineLevel="0" collapsed="false">
      <c r="A201" s="8" t="s">
        <v>1433</v>
      </c>
      <c r="B201" s="8" t="s">
        <v>619</v>
      </c>
      <c r="C201" s="8" t="s">
        <v>1434</v>
      </c>
      <c r="D201" s="8" t="s">
        <v>1435</v>
      </c>
      <c r="E201" s="8" t="s">
        <v>1421</v>
      </c>
      <c r="F201" s="8" t="s">
        <v>713</v>
      </c>
      <c r="G201" s="8" t="s">
        <v>772</v>
      </c>
      <c r="H201" s="8" t="s">
        <v>1263</v>
      </c>
      <c r="I201" s="8" t="s">
        <v>74</v>
      </c>
      <c r="J201" s="8" t="s">
        <v>1396</v>
      </c>
      <c r="K201" s="8" t="s">
        <v>1414</v>
      </c>
      <c r="L201" s="8" t="s">
        <v>715</v>
      </c>
      <c r="M201" s="8" t="s">
        <v>62</v>
      </c>
      <c r="N201" s="8" t="s">
        <v>1415</v>
      </c>
      <c r="O201" s="8" t="s">
        <v>79</v>
      </c>
      <c r="P201" s="8" t="s">
        <v>717</v>
      </c>
      <c r="Q201" s="8" t="s">
        <v>1416</v>
      </c>
      <c r="R201" s="8" t="s">
        <v>1422</v>
      </c>
    </row>
    <row r="202" customFormat="false" ht="27.75" hidden="false" customHeight="true" outlineLevel="0" collapsed="false">
      <c r="A202" s="7" t="s">
        <v>1436</v>
      </c>
      <c r="B202" s="7" t="s">
        <v>619</v>
      </c>
      <c r="C202" s="7" t="s">
        <v>1437</v>
      </c>
      <c r="D202" s="7" t="s">
        <v>1438</v>
      </c>
      <c r="E202" s="7" t="s">
        <v>1439</v>
      </c>
      <c r="F202" s="7" t="s">
        <v>713</v>
      </c>
      <c r="G202" s="7" t="s">
        <v>816</v>
      </c>
      <c r="H202" s="7" t="s">
        <v>1263</v>
      </c>
      <c r="I202" s="7" t="s">
        <v>74</v>
      </c>
      <c r="J202" s="7" t="s">
        <v>1396</v>
      </c>
      <c r="K202" s="7" t="s">
        <v>1414</v>
      </c>
      <c r="L202" s="7" t="s">
        <v>715</v>
      </c>
      <c r="M202" s="7" t="s">
        <v>62</v>
      </c>
      <c r="N202" s="7" t="s">
        <v>1415</v>
      </c>
      <c r="O202" s="7" t="s">
        <v>79</v>
      </c>
      <c r="P202" s="7" t="s">
        <v>717</v>
      </c>
      <c r="Q202" s="7" t="s">
        <v>1416</v>
      </c>
      <c r="R202" s="7" t="s">
        <v>1440</v>
      </c>
    </row>
    <row r="203" customFormat="false" ht="27.75" hidden="false" customHeight="true" outlineLevel="0" collapsed="false">
      <c r="A203" s="8" t="s">
        <v>1441</v>
      </c>
      <c r="B203" s="8" t="s">
        <v>619</v>
      </c>
      <c r="C203" s="8" t="s">
        <v>1442</v>
      </c>
      <c r="D203" s="8" t="s">
        <v>1443</v>
      </c>
      <c r="E203" s="8" t="s">
        <v>1444</v>
      </c>
      <c r="F203" s="8" t="s">
        <v>713</v>
      </c>
      <c r="G203" s="8" t="s">
        <v>857</v>
      </c>
      <c r="H203" s="8" t="s">
        <v>1263</v>
      </c>
      <c r="I203" s="8" t="s">
        <v>74</v>
      </c>
      <c r="J203" s="8" t="s">
        <v>1396</v>
      </c>
      <c r="K203" s="8" t="s">
        <v>1414</v>
      </c>
      <c r="L203" s="8" t="s">
        <v>715</v>
      </c>
      <c r="M203" s="8" t="s">
        <v>62</v>
      </c>
      <c r="N203" s="8" t="s">
        <v>1415</v>
      </c>
      <c r="O203" s="8"/>
      <c r="P203" s="8" t="s">
        <v>717</v>
      </c>
      <c r="Q203" s="8" t="s">
        <v>1416</v>
      </c>
      <c r="R203" s="8" t="s">
        <v>1445</v>
      </c>
    </row>
    <row r="204" customFormat="false" ht="27.75" hidden="false" customHeight="true" outlineLevel="0" collapsed="false">
      <c r="A204" s="7" t="s">
        <v>1446</v>
      </c>
      <c r="B204" s="7" t="s">
        <v>1447</v>
      </c>
      <c r="C204" s="7" t="s">
        <v>1448</v>
      </c>
      <c r="D204" s="7" t="s">
        <v>1449</v>
      </c>
      <c r="E204" s="7" t="s">
        <v>1450</v>
      </c>
      <c r="F204" s="7" t="s">
        <v>1451</v>
      </c>
      <c r="G204" s="7" t="s">
        <v>563</v>
      </c>
      <c r="H204" s="7" t="s">
        <v>563</v>
      </c>
      <c r="I204" s="7" t="s">
        <v>58</v>
      </c>
      <c r="J204" s="7" t="s">
        <v>1452</v>
      </c>
      <c r="K204" s="7" t="s">
        <v>1453</v>
      </c>
      <c r="L204" s="7" t="s">
        <v>1454</v>
      </c>
      <c r="M204" s="7" t="s">
        <v>62</v>
      </c>
      <c r="N204" s="7" t="s">
        <v>1455</v>
      </c>
      <c r="O204" s="7"/>
      <c r="P204" s="7" t="s">
        <v>65</v>
      </c>
      <c r="Q204" s="7"/>
      <c r="R204" s="7" t="s">
        <v>1456</v>
      </c>
    </row>
    <row r="205" customFormat="false" ht="27.75" hidden="false" customHeight="true" outlineLevel="0" collapsed="false">
      <c r="A205" s="8" t="s">
        <v>1457</v>
      </c>
      <c r="B205" s="8" t="s">
        <v>1458</v>
      </c>
      <c r="C205" s="8" t="s">
        <v>1459</v>
      </c>
      <c r="D205" s="8" t="s">
        <v>1460</v>
      </c>
      <c r="E205" s="8" t="s">
        <v>1461</v>
      </c>
      <c r="F205" s="8" t="s">
        <v>1462</v>
      </c>
      <c r="G205" s="8" t="s">
        <v>56</v>
      </c>
      <c r="H205" s="8" t="s">
        <v>563</v>
      </c>
      <c r="I205" s="8" t="s">
        <v>58</v>
      </c>
      <c r="J205" s="8" t="s">
        <v>1463</v>
      </c>
      <c r="K205" s="8" t="s">
        <v>1464</v>
      </c>
      <c r="L205" s="8" t="s">
        <v>1465</v>
      </c>
      <c r="M205" s="8" t="s">
        <v>62</v>
      </c>
      <c r="N205" s="8" t="s">
        <v>1466</v>
      </c>
      <c r="O205" s="8"/>
      <c r="P205" s="8" t="s">
        <v>65</v>
      </c>
      <c r="Q205" s="8"/>
      <c r="R205" s="8" t="s">
        <v>1467</v>
      </c>
    </row>
    <row r="206" customFormat="false" ht="27.75" hidden="false" customHeight="true" outlineLevel="0" collapsed="false">
      <c r="A206" s="7" t="s">
        <v>1468</v>
      </c>
      <c r="B206" s="7" t="s">
        <v>1458</v>
      </c>
      <c r="C206" s="7" t="s">
        <v>1469</v>
      </c>
      <c r="D206" s="7" t="s">
        <v>1470</v>
      </c>
      <c r="E206" s="7" t="s">
        <v>1471</v>
      </c>
      <c r="F206" s="7" t="s">
        <v>1462</v>
      </c>
      <c r="G206" s="7" t="s">
        <v>56</v>
      </c>
      <c r="H206" s="7" t="s">
        <v>563</v>
      </c>
      <c r="I206" s="7" t="s">
        <v>58</v>
      </c>
      <c r="J206" s="7" t="s">
        <v>1452</v>
      </c>
      <c r="K206" s="7" t="s">
        <v>1472</v>
      </c>
      <c r="L206" s="7" t="s">
        <v>1473</v>
      </c>
      <c r="M206" s="7" t="s">
        <v>62</v>
      </c>
      <c r="N206" s="7" t="s">
        <v>1474</v>
      </c>
      <c r="O206" s="7"/>
      <c r="P206" s="7" t="s">
        <v>65</v>
      </c>
      <c r="Q206" s="7"/>
      <c r="R206" s="7" t="s">
        <v>1475</v>
      </c>
    </row>
    <row r="207" customFormat="false" ht="27.75" hidden="false" customHeight="true" outlineLevel="0" collapsed="false">
      <c r="A207" s="8" t="s">
        <v>1476</v>
      </c>
      <c r="B207" s="8" t="s">
        <v>1458</v>
      </c>
      <c r="C207" s="8" t="s">
        <v>1477</v>
      </c>
      <c r="D207" s="8" t="s">
        <v>1478</v>
      </c>
      <c r="E207" s="8" t="s">
        <v>1479</v>
      </c>
      <c r="F207" s="8" t="s">
        <v>1480</v>
      </c>
      <c r="G207" s="8" t="s">
        <v>56</v>
      </c>
      <c r="H207" s="8" t="s">
        <v>563</v>
      </c>
      <c r="I207" s="8" t="s">
        <v>58</v>
      </c>
      <c r="J207" s="8" t="s">
        <v>1463</v>
      </c>
      <c r="K207" s="8" t="s">
        <v>1481</v>
      </c>
      <c r="L207" s="8" t="s">
        <v>1482</v>
      </c>
      <c r="M207" s="8" t="s">
        <v>62</v>
      </c>
      <c r="N207" s="8" t="s">
        <v>1483</v>
      </c>
      <c r="O207" s="8"/>
      <c r="P207" s="8" t="s">
        <v>65</v>
      </c>
      <c r="Q207" s="8"/>
      <c r="R207" s="8" t="s">
        <v>1484</v>
      </c>
    </row>
    <row r="208" customFormat="false" ht="27.75" hidden="false" customHeight="true" outlineLevel="0" collapsed="false">
      <c r="A208" s="7" t="s">
        <v>1485</v>
      </c>
      <c r="B208" s="7" t="s">
        <v>1458</v>
      </c>
      <c r="C208" s="7" t="s">
        <v>1486</v>
      </c>
      <c r="D208" s="7" t="s">
        <v>1487</v>
      </c>
      <c r="E208" s="7" t="s">
        <v>1488</v>
      </c>
      <c r="F208" s="7" t="s">
        <v>1462</v>
      </c>
      <c r="G208" s="7" t="s">
        <v>56</v>
      </c>
      <c r="H208" s="7" t="s">
        <v>563</v>
      </c>
      <c r="I208" s="7" t="s">
        <v>58</v>
      </c>
      <c r="J208" s="7" t="s">
        <v>1452</v>
      </c>
      <c r="K208" s="7" t="s">
        <v>1489</v>
      </c>
      <c r="L208" s="7" t="s">
        <v>1473</v>
      </c>
      <c r="M208" s="7" t="s">
        <v>62</v>
      </c>
      <c r="N208" s="7" t="s">
        <v>1490</v>
      </c>
      <c r="O208" s="7"/>
      <c r="P208" s="7" t="s">
        <v>65</v>
      </c>
      <c r="Q208" s="7"/>
      <c r="R208" s="7" t="s">
        <v>1491</v>
      </c>
    </row>
    <row r="209" customFormat="false" ht="27.75" hidden="false" customHeight="true" outlineLevel="0" collapsed="false">
      <c r="A209" s="8" t="s">
        <v>1492</v>
      </c>
      <c r="B209" s="8" t="s">
        <v>1458</v>
      </c>
      <c r="C209" s="8" t="s">
        <v>1493</v>
      </c>
      <c r="D209" s="8" t="s">
        <v>1494</v>
      </c>
      <c r="E209" s="8" t="s">
        <v>1495</v>
      </c>
      <c r="F209" s="8" t="s">
        <v>1480</v>
      </c>
      <c r="G209" s="8" t="s">
        <v>56</v>
      </c>
      <c r="H209" s="8" t="s">
        <v>563</v>
      </c>
      <c r="I209" s="8" t="s">
        <v>58</v>
      </c>
      <c r="J209" s="8" t="s">
        <v>1463</v>
      </c>
      <c r="K209" s="8" t="s">
        <v>1496</v>
      </c>
      <c r="L209" s="8" t="s">
        <v>1482</v>
      </c>
      <c r="M209" s="8" t="s">
        <v>62</v>
      </c>
      <c r="N209" s="8" t="s">
        <v>1497</v>
      </c>
      <c r="O209" s="8" t="s">
        <v>160</v>
      </c>
      <c r="P209" s="8" t="s">
        <v>65</v>
      </c>
      <c r="Q209" s="8"/>
      <c r="R209" s="8" t="s">
        <v>1498</v>
      </c>
    </row>
    <row r="210" customFormat="false" ht="27.75" hidden="false" customHeight="true" outlineLevel="0" collapsed="false">
      <c r="A210" s="7" t="s">
        <v>1499</v>
      </c>
      <c r="B210" s="7" t="s">
        <v>1447</v>
      </c>
      <c r="C210" s="7" t="s">
        <v>1500</v>
      </c>
      <c r="D210" s="7" t="s">
        <v>1501</v>
      </c>
      <c r="E210" s="7" t="s">
        <v>1502</v>
      </c>
      <c r="F210" s="7" t="s">
        <v>1451</v>
      </c>
      <c r="G210" s="7" t="s">
        <v>563</v>
      </c>
      <c r="H210" s="7" t="s">
        <v>1503</v>
      </c>
      <c r="I210" s="7" t="s">
        <v>58</v>
      </c>
      <c r="J210" s="7" t="s">
        <v>1463</v>
      </c>
      <c r="K210" s="7" t="s">
        <v>1504</v>
      </c>
      <c r="L210" s="7" t="s">
        <v>1505</v>
      </c>
      <c r="M210" s="7" t="s">
        <v>62</v>
      </c>
      <c r="N210" s="7" t="s">
        <v>1506</v>
      </c>
      <c r="O210" s="7"/>
      <c r="P210" s="7" t="s">
        <v>65</v>
      </c>
      <c r="Q210" s="7"/>
      <c r="R210" s="7" t="s">
        <v>1507</v>
      </c>
    </row>
    <row r="211" customFormat="false" ht="27.75" hidden="false" customHeight="true" outlineLevel="0" collapsed="false">
      <c r="A211" s="8" t="s">
        <v>1508</v>
      </c>
      <c r="B211" s="8" t="s">
        <v>1447</v>
      </c>
      <c r="C211" s="8" t="s">
        <v>1509</v>
      </c>
      <c r="D211" s="8" t="s">
        <v>1510</v>
      </c>
      <c r="E211" s="8" t="s">
        <v>1511</v>
      </c>
      <c r="F211" s="8" t="s">
        <v>1451</v>
      </c>
      <c r="G211" s="8" t="s">
        <v>563</v>
      </c>
      <c r="H211" s="8" t="s">
        <v>1503</v>
      </c>
      <c r="I211" s="8" t="s">
        <v>58</v>
      </c>
      <c r="J211" s="8" t="s">
        <v>1463</v>
      </c>
      <c r="K211" s="8" t="s">
        <v>1512</v>
      </c>
      <c r="L211" s="8" t="s">
        <v>1513</v>
      </c>
      <c r="M211" s="8" t="s">
        <v>62</v>
      </c>
      <c r="N211" s="8" t="s">
        <v>1514</v>
      </c>
      <c r="O211" s="8"/>
      <c r="P211" s="8" t="s">
        <v>65</v>
      </c>
      <c r="Q211" s="8"/>
      <c r="R211" s="8" t="s">
        <v>1515</v>
      </c>
    </row>
    <row r="212" customFormat="false" ht="27.75" hidden="false" customHeight="true" outlineLevel="0" collapsed="false">
      <c r="A212" s="7" t="s">
        <v>1516</v>
      </c>
      <c r="B212" s="7" t="s">
        <v>1458</v>
      </c>
      <c r="C212" s="7" t="s">
        <v>1517</v>
      </c>
      <c r="D212" s="7" t="s">
        <v>1518</v>
      </c>
      <c r="E212" s="7" t="s">
        <v>1519</v>
      </c>
      <c r="F212" s="7" t="s">
        <v>1520</v>
      </c>
      <c r="G212" s="7" t="s">
        <v>56</v>
      </c>
      <c r="H212" s="7" t="s">
        <v>563</v>
      </c>
      <c r="I212" s="7" t="s">
        <v>58</v>
      </c>
      <c r="J212" s="7" t="s">
        <v>1521</v>
      </c>
      <c r="K212" s="7" t="s">
        <v>1522</v>
      </c>
      <c r="L212" s="7" t="s">
        <v>1523</v>
      </c>
      <c r="M212" s="7" t="s">
        <v>62</v>
      </c>
      <c r="N212" s="7" t="s">
        <v>1524</v>
      </c>
      <c r="O212" s="7"/>
      <c r="P212" s="7" t="s">
        <v>65</v>
      </c>
      <c r="Q212" s="7"/>
      <c r="R212" s="7" t="s">
        <v>1525</v>
      </c>
    </row>
    <row r="213" customFormat="false" ht="27.75" hidden="false" customHeight="true" outlineLevel="0" collapsed="false">
      <c r="A213" s="8" t="s">
        <v>1526</v>
      </c>
      <c r="B213" s="8" t="s">
        <v>1447</v>
      </c>
      <c r="C213" s="8" t="s">
        <v>1527</v>
      </c>
      <c r="D213" s="8" t="s">
        <v>1528</v>
      </c>
      <c r="E213" s="8" t="s">
        <v>1529</v>
      </c>
      <c r="F213" s="8" t="s">
        <v>1462</v>
      </c>
      <c r="G213" s="8" t="s">
        <v>56</v>
      </c>
      <c r="H213" s="8" t="s">
        <v>563</v>
      </c>
      <c r="I213" s="8" t="s">
        <v>74</v>
      </c>
      <c r="J213" s="8" t="s">
        <v>1530</v>
      </c>
      <c r="K213" s="8" t="s">
        <v>1531</v>
      </c>
      <c r="L213" s="8" t="s">
        <v>1532</v>
      </c>
      <c r="M213" s="8" t="s">
        <v>62</v>
      </c>
      <c r="N213" s="8" t="s">
        <v>1533</v>
      </c>
      <c r="O213" s="8"/>
      <c r="P213" s="8" t="s">
        <v>65</v>
      </c>
      <c r="Q213" s="8"/>
      <c r="R213" s="8" t="s">
        <v>1534</v>
      </c>
    </row>
    <row r="214" customFormat="false" ht="27.75" hidden="false" customHeight="true" outlineLevel="0" collapsed="false">
      <c r="A214" s="7" t="s">
        <v>1535</v>
      </c>
      <c r="B214" s="7" t="s">
        <v>1447</v>
      </c>
      <c r="C214" s="7" t="s">
        <v>1536</v>
      </c>
      <c r="D214" s="7" t="s">
        <v>1537</v>
      </c>
      <c r="E214" s="7"/>
      <c r="F214" s="7" t="s">
        <v>1462</v>
      </c>
      <c r="G214" s="7" t="s">
        <v>56</v>
      </c>
      <c r="H214" s="7" t="s">
        <v>563</v>
      </c>
      <c r="I214" s="7" t="s">
        <v>58</v>
      </c>
      <c r="J214" s="7" t="s">
        <v>1538</v>
      </c>
      <c r="K214" s="7" t="s">
        <v>1539</v>
      </c>
      <c r="L214" s="7" t="s">
        <v>1540</v>
      </c>
      <c r="M214" s="7" t="s">
        <v>62</v>
      </c>
      <c r="N214" s="7" t="s">
        <v>1541</v>
      </c>
      <c r="O214" s="7"/>
      <c r="P214" s="7" t="s">
        <v>65</v>
      </c>
      <c r="Q214" s="7"/>
      <c r="R214" s="7" t="s">
        <v>1542</v>
      </c>
    </row>
    <row r="215" customFormat="false" ht="27.75" hidden="false" customHeight="true" outlineLevel="0" collapsed="false">
      <c r="A215" s="8" t="s">
        <v>1543</v>
      </c>
      <c r="B215" s="8" t="s">
        <v>1447</v>
      </c>
      <c r="C215" s="8" t="s">
        <v>1544</v>
      </c>
      <c r="D215" s="8" t="s">
        <v>1545</v>
      </c>
      <c r="E215" s="8"/>
      <c r="F215" s="8" t="s">
        <v>1462</v>
      </c>
      <c r="G215" s="8" t="s">
        <v>56</v>
      </c>
      <c r="H215" s="8" t="s">
        <v>563</v>
      </c>
      <c r="I215" s="8" t="s">
        <v>58</v>
      </c>
      <c r="J215" s="8" t="s">
        <v>1538</v>
      </c>
      <c r="K215" s="8" t="s">
        <v>1546</v>
      </c>
      <c r="L215" s="8" t="s">
        <v>1547</v>
      </c>
      <c r="M215" s="8" t="s">
        <v>62</v>
      </c>
      <c r="N215" s="8" t="s">
        <v>1548</v>
      </c>
      <c r="O215" s="8"/>
      <c r="P215" s="8" t="s">
        <v>65</v>
      </c>
      <c r="Q215" s="8"/>
      <c r="R215" s="8" t="s">
        <v>1549</v>
      </c>
    </row>
    <row r="216" customFormat="false" ht="27.75" hidden="false" customHeight="true" outlineLevel="0" collapsed="false">
      <c r="A216" s="7" t="s">
        <v>1550</v>
      </c>
      <c r="B216" s="7" t="s">
        <v>1447</v>
      </c>
      <c r="C216" s="7" t="s">
        <v>1551</v>
      </c>
      <c r="D216" s="7" t="s">
        <v>1552</v>
      </c>
      <c r="E216" s="7" t="s">
        <v>1553</v>
      </c>
      <c r="F216" s="7" t="s">
        <v>1451</v>
      </c>
      <c r="G216" s="7" t="s">
        <v>563</v>
      </c>
      <c r="H216" s="7" t="s">
        <v>1503</v>
      </c>
      <c r="I216" s="7" t="s">
        <v>74</v>
      </c>
      <c r="J216" s="7" t="s">
        <v>1530</v>
      </c>
      <c r="K216" s="7" t="s">
        <v>1554</v>
      </c>
      <c r="L216" s="7" t="s">
        <v>1555</v>
      </c>
      <c r="M216" s="7" t="s">
        <v>62</v>
      </c>
      <c r="N216" s="7" t="s">
        <v>1556</v>
      </c>
      <c r="O216" s="7" t="s">
        <v>160</v>
      </c>
      <c r="P216" s="7" t="s">
        <v>65</v>
      </c>
      <c r="Q216" s="7"/>
      <c r="R216" s="7" t="s">
        <v>1557</v>
      </c>
    </row>
    <row r="217" customFormat="false" ht="27.75" hidden="false" customHeight="true" outlineLevel="0" collapsed="false">
      <c r="A217" s="8" t="s">
        <v>1558</v>
      </c>
      <c r="B217" s="8" t="s">
        <v>1447</v>
      </c>
      <c r="C217" s="8" t="s">
        <v>1559</v>
      </c>
      <c r="D217" s="8" t="s">
        <v>1560</v>
      </c>
      <c r="E217" s="8" t="s">
        <v>1561</v>
      </c>
      <c r="F217" s="8" t="s">
        <v>1462</v>
      </c>
      <c r="G217" s="8" t="s">
        <v>56</v>
      </c>
      <c r="H217" s="8" t="s">
        <v>563</v>
      </c>
      <c r="I217" s="8" t="s">
        <v>74</v>
      </c>
      <c r="J217" s="8" t="s">
        <v>1562</v>
      </c>
      <c r="K217" s="8" t="s">
        <v>1563</v>
      </c>
      <c r="L217" s="8" t="s">
        <v>1564</v>
      </c>
      <c r="M217" s="8" t="s">
        <v>62</v>
      </c>
      <c r="N217" s="8" t="s">
        <v>1565</v>
      </c>
      <c r="O217" s="8"/>
      <c r="P217" s="8" t="s">
        <v>65</v>
      </c>
      <c r="Q217" s="8"/>
      <c r="R217" s="8" t="s">
        <v>1566</v>
      </c>
    </row>
    <row r="218" customFormat="false" ht="27.75" hidden="false" customHeight="true" outlineLevel="0" collapsed="false">
      <c r="A218" s="7" t="s">
        <v>1567</v>
      </c>
      <c r="B218" s="7" t="s">
        <v>1447</v>
      </c>
      <c r="C218" s="7" t="s">
        <v>1568</v>
      </c>
      <c r="D218" s="7" t="s">
        <v>1569</v>
      </c>
      <c r="E218" s="7"/>
      <c r="F218" s="7" t="s">
        <v>1462</v>
      </c>
      <c r="G218" s="7" t="s">
        <v>56</v>
      </c>
      <c r="H218" s="7" t="s">
        <v>563</v>
      </c>
      <c r="I218" s="7" t="s">
        <v>74</v>
      </c>
      <c r="J218" s="7" t="s">
        <v>1570</v>
      </c>
      <c r="K218" s="7" t="s">
        <v>1571</v>
      </c>
      <c r="L218" s="7" t="s">
        <v>1572</v>
      </c>
      <c r="M218" s="7" t="s">
        <v>62</v>
      </c>
      <c r="N218" s="7" t="s">
        <v>1573</v>
      </c>
      <c r="O218" s="7" t="s">
        <v>79</v>
      </c>
      <c r="P218" s="7" t="s">
        <v>65</v>
      </c>
      <c r="Q218" s="7"/>
      <c r="R218" s="7" t="s">
        <v>1574</v>
      </c>
    </row>
    <row r="219" customFormat="false" ht="27.75" hidden="false" customHeight="true" outlineLevel="0" collapsed="false">
      <c r="A219" s="8" t="s">
        <v>1575</v>
      </c>
      <c r="B219" s="8" t="s">
        <v>1447</v>
      </c>
      <c r="C219" s="8" t="s">
        <v>1576</v>
      </c>
      <c r="D219" s="8" t="s">
        <v>1577</v>
      </c>
      <c r="E219" s="8"/>
      <c r="F219" s="8" t="s">
        <v>1578</v>
      </c>
      <c r="G219" s="8" t="s">
        <v>56</v>
      </c>
      <c r="H219" s="8" t="s">
        <v>563</v>
      </c>
      <c r="I219" s="8" t="s">
        <v>74</v>
      </c>
      <c r="J219" s="8" t="s">
        <v>1579</v>
      </c>
      <c r="K219" s="8" t="s">
        <v>1580</v>
      </c>
      <c r="L219" s="8" t="s">
        <v>1581</v>
      </c>
      <c r="M219" s="8" t="s">
        <v>62</v>
      </c>
      <c r="N219" s="8" t="s">
        <v>1582</v>
      </c>
      <c r="O219" s="8" t="s">
        <v>160</v>
      </c>
      <c r="P219" s="8" t="s">
        <v>65</v>
      </c>
      <c r="Q219" s="8"/>
      <c r="R219" s="8" t="s">
        <v>1583</v>
      </c>
    </row>
    <row r="220" customFormat="false" ht="27.75" hidden="false" customHeight="true" outlineLevel="0" collapsed="false">
      <c r="A220" s="7" t="s">
        <v>1584</v>
      </c>
      <c r="B220" s="7" t="s">
        <v>1447</v>
      </c>
      <c r="C220" s="7" t="s">
        <v>1585</v>
      </c>
      <c r="D220" s="7" t="s">
        <v>1586</v>
      </c>
      <c r="E220" s="7" t="s">
        <v>1587</v>
      </c>
      <c r="F220" s="7" t="s">
        <v>1588</v>
      </c>
      <c r="G220" s="7" t="s">
        <v>563</v>
      </c>
      <c r="H220" s="7" t="s">
        <v>1503</v>
      </c>
      <c r="I220" s="7" t="s">
        <v>74</v>
      </c>
      <c r="J220" s="7" t="s">
        <v>1589</v>
      </c>
      <c r="K220" s="7" t="s">
        <v>1590</v>
      </c>
      <c r="L220" s="7" t="s">
        <v>1591</v>
      </c>
      <c r="M220" s="7" t="s">
        <v>62</v>
      </c>
      <c r="N220" s="7" t="s">
        <v>1592</v>
      </c>
      <c r="O220" s="7" t="s">
        <v>160</v>
      </c>
      <c r="P220" s="7" t="s">
        <v>65</v>
      </c>
      <c r="Q220" s="7"/>
      <c r="R220" s="7" t="s">
        <v>1593</v>
      </c>
    </row>
    <row r="221" customFormat="false" ht="27.75" hidden="false" customHeight="true" outlineLevel="0" collapsed="false">
      <c r="A221" s="8" t="s">
        <v>1594</v>
      </c>
      <c r="B221" s="8" t="s">
        <v>1447</v>
      </c>
      <c r="C221" s="8" t="s">
        <v>1595</v>
      </c>
      <c r="D221" s="8" t="s">
        <v>1596</v>
      </c>
      <c r="E221" s="8" t="s">
        <v>1597</v>
      </c>
      <c r="F221" s="8" t="s">
        <v>1598</v>
      </c>
      <c r="G221" s="8" t="s">
        <v>56</v>
      </c>
      <c r="H221" s="8" t="s">
        <v>563</v>
      </c>
      <c r="I221" s="8" t="s">
        <v>58</v>
      </c>
      <c r="J221" s="8" t="s">
        <v>1452</v>
      </c>
      <c r="K221" s="8" t="s">
        <v>1599</v>
      </c>
      <c r="L221" s="8" t="s">
        <v>1600</v>
      </c>
      <c r="M221" s="8" t="s">
        <v>62</v>
      </c>
      <c r="N221" s="8" t="s">
        <v>1601</v>
      </c>
      <c r="O221" s="8"/>
      <c r="P221" s="8" t="s">
        <v>65</v>
      </c>
      <c r="Q221" s="8"/>
      <c r="R221" s="8" t="s">
        <v>1602</v>
      </c>
    </row>
    <row r="222" customFormat="false" ht="27.75" hidden="false" customHeight="true" outlineLevel="0" collapsed="false">
      <c r="A222" s="7" t="s">
        <v>1603</v>
      </c>
      <c r="B222" s="7" t="s">
        <v>1447</v>
      </c>
      <c r="C222" s="7" t="s">
        <v>1604</v>
      </c>
      <c r="D222" s="7" t="s">
        <v>1605</v>
      </c>
      <c r="E222" s="7"/>
      <c r="F222" s="7" t="s">
        <v>1598</v>
      </c>
      <c r="G222" s="7" t="s">
        <v>56</v>
      </c>
      <c r="H222" s="7" t="s">
        <v>563</v>
      </c>
      <c r="I222" s="7" t="s">
        <v>74</v>
      </c>
      <c r="J222" s="7" t="s">
        <v>1606</v>
      </c>
      <c r="K222" s="7" t="s">
        <v>1607</v>
      </c>
      <c r="L222" s="7" t="s">
        <v>1608</v>
      </c>
      <c r="M222" s="7" t="s">
        <v>62</v>
      </c>
      <c r="N222" s="7" t="s">
        <v>1609</v>
      </c>
      <c r="O222" s="7" t="s">
        <v>160</v>
      </c>
      <c r="P222" s="7" t="s">
        <v>65</v>
      </c>
      <c r="Q222" s="7"/>
      <c r="R222" s="7" t="s">
        <v>1610</v>
      </c>
    </row>
    <row r="223" customFormat="false" ht="27.75" hidden="false" customHeight="true" outlineLevel="0" collapsed="false">
      <c r="A223" s="8" t="s">
        <v>1611</v>
      </c>
      <c r="B223" s="8" t="s">
        <v>1447</v>
      </c>
      <c r="C223" s="8" t="s">
        <v>1612</v>
      </c>
      <c r="D223" s="8" t="s">
        <v>1613</v>
      </c>
      <c r="E223" s="8" t="s">
        <v>1614</v>
      </c>
      <c r="F223" s="8" t="s">
        <v>1598</v>
      </c>
      <c r="G223" s="8" t="s">
        <v>56</v>
      </c>
      <c r="H223" s="8" t="s">
        <v>563</v>
      </c>
      <c r="I223" s="8" t="s">
        <v>58</v>
      </c>
      <c r="J223" s="8" t="s">
        <v>1452</v>
      </c>
      <c r="K223" s="8" t="s">
        <v>1615</v>
      </c>
      <c r="L223" s="8" t="s">
        <v>1600</v>
      </c>
      <c r="M223" s="8" t="s">
        <v>62</v>
      </c>
      <c r="N223" s="8" t="s">
        <v>1616</v>
      </c>
      <c r="O223" s="8"/>
      <c r="P223" s="8" t="s">
        <v>65</v>
      </c>
      <c r="Q223" s="8"/>
      <c r="R223" s="8" t="s">
        <v>1617</v>
      </c>
    </row>
    <row r="224" customFormat="false" ht="27.75" hidden="false" customHeight="true" outlineLevel="0" collapsed="false">
      <c r="A224" s="7" t="s">
        <v>1618</v>
      </c>
      <c r="B224" s="7" t="s">
        <v>1447</v>
      </c>
      <c r="C224" s="7" t="s">
        <v>1619</v>
      </c>
      <c r="D224" s="7" t="s">
        <v>1620</v>
      </c>
      <c r="E224" s="7"/>
      <c r="F224" s="7" t="s">
        <v>1598</v>
      </c>
      <c r="G224" s="7" t="s">
        <v>56</v>
      </c>
      <c r="H224" s="7" t="s">
        <v>563</v>
      </c>
      <c r="I224" s="7" t="s">
        <v>58</v>
      </c>
      <c r="J224" s="7" t="s">
        <v>1452</v>
      </c>
      <c r="K224" s="7" t="s">
        <v>1621</v>
      </c>
      <c r="L224" s="7" t="s">
        <v>1622</v>
      </c>
      <c r="M224" s="7" t="s">
        <v>62</v>
      </c>
      <c r="N224" s="7" t="s">
        <v>1623</v>
      </c>
      <c r="O224" s="7"/>
      <c r="P224" s="7" t="s">
        <v>65</v>
      </c>
      <c r="Q224" s="7"/>
      <c r="R224" s="7" t="s">
        <v>1624</v>
      </c>
    </row>
    <row r="225" customFormat="false" ht="27.75" hidden="false" customHeight="true" outlineLevel="0" collapsed="false">
      <c r="A225" s="8" t="s">
        <v>1625</v>
      </c>
      <c r="B225" s="8" t="s">
        <v>1447</v>
      </c>
      <c r="C225" s="8" t="s">
        <v>1626</v>
      </c>
      <c r="D225" s="8" t="s">
        <v>1627</v>
      </c>
      <c r="E225" s="8" t="s">
        <v>1628</v>
      </c>
      <c r="F225" s="8" t="s">
        <v>1462</v>
      </c>
      <c r="G225" s="8" t="s">
        <v>56</v>
      </c>
      <c r="H225" s="8" t="s">
        <v>563</v>
      </c>
      <c r="I225" s="8" t="s">
        <v>58</v>
      </c>
      <c r="J225" s="8" t="s">
        <v>1463</v>
      </c>
      <c r="K225" s="8" t="s">
        <v>1629</v>
      </c>
      <c r="L225" s="8" t="s">
        <v>1630</v>
      </c>
      <c r="M225" s="8" t="s">
        <v>62</v>
      </c>
      <c r="N225" s="8" t="s">
        <v>1631</v>
      </c>
      <c r="O225" s="8"/>
      <c r="P225" s="8" t="s">
        <v>65</v>
      </c>
      <c r="Q225" s="8"/>
      <c r="R225" s="8" t="s">
        <v>1632</v>
      </c>
    </row>
    <row r="226" customFormat="false" ht="27.75" hidden="false" customHeight="true" outlineLevel="0" collapsed="false">
      <c r="A226" s="7" t="s">
        <v>1633</v>
      </c>
      <c r="B226" s="7" t="s">
        <v>1447</v>
      </c>
      <c r="C226" s="7" t="s">
        <v>1634</v>
      </c>
      <c r="D226" s="7" t="s">
        <v>1635</v>
      </c>
      <c r="E226" s="7" t="s">
        <v>1636</v>
      </c>
      <c r="F226" s="7" t="s">
        <v>1637</v>
      </c>
      <c r="G226" s="7" t="s">
        <v>56</v>
      </c>
      <c r="H226" s="7" t="s">
        <v>1638</v>
      </c>
      <c r="I226" s="7" t="s">
        <v>58</v>
      </c>
      <c r="J226" s="7" t="s">
        <v>1538</v>
      </c>
      <c r="K226" s="7" t="s">
        <v>1639</v>
      </c>
      <c r="L226" s="7" t="s">
        <v>1640</v>
      </c>
      <c r="M226" s="7" t="s">
        <v>62</v>
      </c>
      <c r="N226" s="7" t="s">
        <v>1641</v>
      </c>
      <c r="O226" s="7"/>
      <c r="P226" s="7" t="s">
        <v>65</v>
      </c>
      <c r="Q226" s="7"/>
      <c r="R226" s="7" t="s">
        <v>1642</v>
      </c>
    </row>
    <row r="227" customFormat="false" ht="27.75" hidden="false" customHeight="true" outlineLevel="0" collapsed="false">
      <c r="A227" s="8" t="s">
        <v>1643</v>
      </c>
      <c r="B227" s="8" t="s">
        <v>1447</v>
      </c>
      <c r="C227" s="8" t="s">
        <v>1644</v>
      </c>
      <c r="D227" s="8" t="s">
        <v>1645</v>
      </c>
      <c r="E227" s="8" t="s">
        <v>1646</v>
      </c>
      <c r="F227" s="8" t="s">
        <v>1637</v>
      </c>
      <c r="G227" s="8" t="s">
        <v>1647</v>
      </c>
      <c r="H227" s="8" t="s">
        <v>1648</v>
      </c>
      <c r="I227" s="8" t="s">
        <v>58</v>
      </c>
      <c r="J227" s="8" t="s">
        <v>1538</v>
      </c>
      <c r="K227" s="8" t="s">
        <v>1649</v>
      </c>
      <c r="L227" s="8" t="s">
        <v>1650</v>
      </c>
      <c r="M227" s="8" t="s">
        <v>62</v>
      </c>
      <c r="N227" s="8" t="s">
        <v>1651</v>
      </c>
      <c r="O227" s="8"/>
      <c r="P227" s="8" t="s">
        <v>65</v>
      </c>
      <c r="Q227" s="8"/>
      <c r="R227" s="8" t="s">
        <v>1652</v>
      </c>
    </row>
    <row r="228" customFormat="false" ht="27.75" hidden="false" customHeight="true" outlineLevel="0" collapsed="false">
      <c r="A228" s="7" t="s">
        <v>1653</v>
      </c>
      <c r="B228" s="7" t="s">
        <v>1458</v>
      </c>
      <c r="C228" s="7" t="s">
        <v>1654</v>
      </c>
      <c r="D228" s="7" t="s">
        <v>1655</v>
      </c>
      <c r="E228" s="7" t="s">
        <v>1656</v>
      </c>
      <c r="F228" s="7" t="s">
        <v>1462</v>
      </c>
      <c r="G228" s="7" t="s">
        <v>56</v>
      </c>
      <c r="H228" s="7" t="s">
        <v>563</v>
      </c>
      <c r="I228" s="7" t="s">
        <v>58</v>
      </c>
      <c r="J228" s="7" t="s">
        <v>1538</v>
      </c>
      <c r="K228" s="7" t="s">
        <v>1657</v>
      </c>
      <c r="L228" s="7" t="s">
        <v>1658</v>
      </c>
      <c r="M228" s="7" t="s">
        <v>62</v>
      </c>
      <c r="N228" s="7" t="s">
        <v>1659</v>
      </c>
      <c r="O228" s="7" t="s">
        <v>79</v>
      </c>
      <c r="P228" s="7" t="s">
        <v>65</v>
      </c>
      <c r="Q228" s="7"/>
      <c r="R228" s="7" t="s">
        <v>1660</v>
      </c>
    </row>
    <row r="229" customFormat="false" ht="27.75" hidden="false" customHeight="true" outlineLevel="0" collapsed="false">
      <c r="A229" s="8" t="s">
        <v>1661</v>
      </c>
      <c r="B229" s="8" t="s">
        <v>1458</v>
      </c>
      <c r="C229" s="8" t="s">
        <v>1662</v>
      </c>
      <c r="D229" s="8" t="s">
        <v>1663</v>
      </c>
      <c r="E229" s="8" t="s">
        <v>1664</v>
      </c>
      <c r="F229" s="8" t="s">
        <v>1665</v>
      </c>
      <c r="G229" s="8" t="s">
        <v>395</v>
      </c>
      <c r="H229" s="8" t="s">
        <v>1666</v>
      </c>
      <c r="I229" s="8" t="s">
        <v>74</v>
      </c>
      <c r="J229" s="8" t="s">
        <v>1530</v>
      </c>
      <c r="K229" s="8" t="s">
        <v>1667</v>
      </c>
      <c r="L229" s="8" t="s">
        <v>1668</v>
      </c>
      <c r="M229" s="8" t="s">
        <v>62</v>
      </c>
      <c r="N229" s="8" t="s">
        <v>1669</v>
      </c>
      <c r="O229" s="8" t="s">
        <v>79</v>
      </c>
      <c r="P229" s="8" t="s">
        <v>65</v>
      </c>
      <c r="Q229" s="8"/>
      <c r="R229" s="8" t="s">
        <v>1670</v>
      </c>
    </row>
    <row r="230" customFormat="false" ht="27.75" hidden="false" customHeight="true" outlineLevel="0" collapsed="false">
      <c r="A230" s="7" t="s">
        <v>1671</v>
      </c>
      <c r="B230" s="7" t="s">
        <v>1447</v>
      </c>
      <c r="C230" s="7" t="s">
        <v>1672</v>
      </c>
      <c r="D230" s="7" t="s">
        <v>1673</v>
      </c>
      <c r="E230" s="7"/>
      <c r="F230" s="7" t="s">
        <v>1462</v>
      </c>
      <c r="G230" s="7" t="s">
        <v>56</v>
      </c>
      <c r="H230" s="7" t="s">
        <v>563</v>
      </c>
      <c r="I230" s="7" t="s">
        <v>58</v>
      </c>
      <c r="J230" s="7" t="s">
        <v>1538</v>
      </c>
      <c r="K230" s="7" t="s">
        <v>1674</v>
      </c>
      <c r="L230" s="7" t="s">
        <v>1675</v>
      </c>
      <c r="M230" s="7" t="s">
        <v>62</v>
      </c>
      <c r="N230" s="7" t="s">
        <v>1676</v>
      </c>
      <c r="O230" s="7"/>
      <c r="P230" s="7" t="s">
        <v>65</v>
      </c>
      <c r="Q230" s="7"/>
      <c r="R230" s="7" t="s">
        <v>1677</v>
      </c>
    </row>
    <row r="231" customFormat="false" ht="27.75" hidden="false" customHeight="true" outlineLevel="0" collapsed="false">
      <c r="A231" s="8" t="s">
        <v>1678</v>
      </c>
      <c r="B231" s="8" t="s">
        <v>1447</v>
      </c>
      <c r="C231" s="8" t="s">
        <v>1679</v>
      </c>
      <c r="D231" s="8" t="s">
        <v>1680</v>
      </c>
      <c r="E231" s="8"/>
      <c r="F231" s="8" t="s">
        <v>1462</v>
      </c>
      <c r="G231" s="8" t="s">
        <v>56</v>
      </c>
      <c r="H231" s="8" t="s">
        <v>563</v>
      </c>
      <c r="I231" s="8" t="s">
        <v>58</v>
      </c>
      <c r="J231" s="8" t="s">
        <v>1538</v>
      </c>
      <c r="K231" s="8" t="s">
        <v>1681</v>
      </c>
      <c r="L231" s="8" t="s">
        <v>1682</v>
      </c>
      <c r="M231" s="8" t="s">
        <v>62</v>
      </c>
      <c r="N231" s="8" t="s">
        <v>1683</v>
      </c>
      <c r="O231" s="8"/>
      <c r="P231" s="8" t="s">
        <v>65</v>
      </c>
      <c r="Q231" s="8"/>
      <c r="R231" s="8" t="s">
        <v>1684</v>
      </c>
    </row>
    <row r="232" customFormat="false" ht="27.75" hidden="false" customHeight="true" outlineLevel="0" collapsed="false">
      <c r="A232" s="7" t="s">
        <v>1685</v>
      </c>
      <c r="B232" s="7" t="s">
        <v>1458</v>
      </c>
      <c r="C232" s="7" t="s">
        <v>1686</v>
      </c>
      <c r="D232" s="7" t="s">
        <v>1687</v>
      </c>
      <c r="E232" s="7" t="s">
        <v>1688</v>
      </c>
      <c r="F232" s="7" t="s">
        <v>1451</v>
      </c>
      <c r="G232" s="7" t="s">
        <v>56</v>
      </c>
      <c r="H232" s="7" t="s">
        <v>1503</v>
      </c>
      <c r="I232" s="7" t="s">
        <v>58</v>
      </c>
      <c r="J232" s="7" t="s">
        <v>1689</v>
      </c>
      <c r="K232" s="7" t="s">
        <v>1690</v>
      </c>
      <c r="L232" s="7" t="s">
        <v>1691</v>
      </c>
      <c r="M232" s="7" t="s">
        <v>62</v>
      </c>
      <c r="N232" s="7" t="s">
        <v>1692</v>
      </c>
      <c r="O232" s="7" t="s">
        <v>160</v>
      </c>
      <c r="P232" s="7" t="s">
        <v>65</v>
      </c>
      <c r="Q232" s="7"/>
      <c r="R232" s="7" t="s">
        <v>1693</v>
      </c>
    </row>
    <row r="233" customFormat="false" ht="27.75" hidden="false" customHeight="true" outlineLevel="0" collapsed="false">
      <c r="A233" s="8" t="s">
        <v>1694</v>
      </c>
      <c r="B233" s="8" t="s">
        <v>1458</v>
      </c>
      <c r="C233" s="8" t="s">
        <v>1695</v>
      </c>
      <c r="D233" s="8" t="s">
        <v>1696</v>
      </c>
      <c r="E233" s="8"/>
      <c r="F233" s="8" t="s">
        <v>1697</v>
      </c>
      <c r="G233" s="8" t="s">
        <v>56</v>
      </c>
      <c r="H233" s="8" t="s">
        <v>1503</v>
      </c>
      <c r="I233" s="8" t="s">
        <v>74</v>
      </c>
      <c r="J233" s="8" t="s">
        <v>1698</v>
      </c>
      <c r="K233" s="8" t="s">
        <v>1699</v>
      </c>
      <c r="L233" s="8" t="s">
        <v>1700</v>
      </c>
      <c r="M233" s="8" t="s">
        <v>62</v>
      </c>
      <c r="N233" s="8" t="s">
        <v>1701</v>
      </c>
      <c r="O233" s="8" t="s">
        <v>160</v>
      </c>
      <c r="P233" s="8" t="s">
        <v>65</v>
      </c>
      <c r="Q233" s="8"/>
      <c r="R233" s="8" t="s">
        <v>1702</v>
      </c>
    </row>
    <row r="234" customFormat="false" ht="27.75" hidden="false" customHeight="true" outlineLevel="0" collapsed="false">
      <c r="A234" s="7" t="s">
        <v>1703</v>
      </c>
      <c r="B234" s="7" t="s">
        <v>1458</v>
      </c>
      <c r="C234" s="7" t="s">
        <v>1704</v>
      </c>
      <c r="D234" s="7" t="s">
        <v>1705</v>
      </c>
      <c r="E234" s="7" t="s">
        <v>1706</v>
      </c>
      <c r="F234" s="7" t="s">
        <v>1707</v>
      </c>
      <c r="G234" s="7" t="s">
        <v>563</v>
      </c>
      <c r="H234" s="7" t="s">
        <v>1708</v>
      </c>
      <c r="I234" s="7" t="s">
        <v>74</v>
      </c>
      <c r="J234" s="7" t="s">
        <v>1709</v>
      </c>
      <c r="K234" s="7" t="s">
        <v>1710</v>
      </c>
      <c r="L234" s="7" t="s">
        <v>1711</v>
      </c>
      <c r="M234" s="7" t="s">
        <v>62</v>
      </c>
      <c r="N234" s="7" t="s">
        <v>1712</v>
      </c>
      <c r="O234" s="7" t="s">
        <v>160</v>
      </c>
      <c r="P234" s="7" t="s">
        <v>65</v>
      </c>
      <c r="Q234" s="7"/>
      <c r="R234" s="7" t="s">
        <v>1713</v>
      </c>
    </row>
    <row r="235" customFormat="false" ht="27.75" hidden="false" customHeight="true" outlineLevel="0" collapsed="false">
      <c r="A235" s="8" t="s">
        <v>1714</v>
      </c>
      <c r="B235" s="8" t="s">
        <v>1458</v>
      </c>
      <c r="C235" s="8" t="s">
        <v>1715</v>
      </c>
      <c r="D235" s="8" t="s">
        <v>1716</v>
      </c>
      <c r="E235" s="8"/>
      <c r="F235" s="8" t="s">
        <v>1598</v>
      </c>
      <c r="G235" s="8" t="s">
        <v>563</v>
      </c>
      <c r="H235" s="8" t="s">
        <v>1708</v>
      </c>
      <c r="I235" s="8" t="s">
        <v>74</v>
      </c>
      <c r="J235" s="8" t="s">
        <v>1717</v>
      </c>
      <c r="K235" s="8" t="s">
        <v>1718</v>
      </c>
      <c r="L235" s="8" t="s">
        <v>1719</v>
      </c>
      <c r="M235" s="8" t="s">
        <v>62</v>
      </c>
      <c r="N235" s="8" t="s">
        <v>1720</v>
      </c>
      <c r="O235" s="8" t="s">
        <v>160</v>
      </c>
      <c r="P235" s="8" t="s">
        <v>65</v>
      </c>
      <c r="Q235" s="8"/>
      <c r="R235" s="8" t="s">
        <v>1721</v>
      </c>
    </row>
    <row r="236" customFormat="false" ht="27.75" hidden="false" customHeight="true" outlineLevel="0" collapsed="false">
      <c r="A236" s="7" t="s">
        <v>1722</v>
      </c>
      <c r="B236" s="7" t="s">
        <v>1447</v>
      </c>
      <c r="C236" s="7" t="s">
        <v>1723</v>
      </c>
      <c r="D236" s="7" t="s">
        <v>1724</v>
      </c>
      <c r="E236" s="7" t="s">
        <v>1725</v>
      </c>
      <c r="F236" s="7" t="s">
        <v>1451</v>
      </c>
      <c r="G236" s="7" t="s">
        <v>563</v>
      </c>
      <c r="H236" s="7" t="s">
        <v>1503</v>
      </c>
      <c r="I236" s="7" t="s">
        <v>58</v>
      </c>
      <c r="J236" s="7" t="s">
        <v>1726</v>
      </c>
      <c r="K236" s="7" t="s">
        <v>1727</v>
      </c>
      <c r="L236" s="7" t="s">
        <v>1728</v>
      </c>
      <c r="M236" s="7" t="s">
        <v>62</v>
      </c>
      <c r="N236" s="7" t="s">
        <v>1729</v>
      </c>
      <c r="O236" s="7"/>
      <c r="P236" s="7" t="s">
        <v>65</v>
      </c>
      <c r="Q236" s="7"/>
      <c r="R236" s="7" t="s">
        <v>1730</v>
      </c>
    </row>
    <row r="237" customFormat="false" ht="27.75" hidden="false" customHeight="true" outlineLevel="0" collapsed="false">
      <c r="A237" s="8" t="s">
        <v>1731</v>
      </c>
      <c r="B237" s="8" t="s">
        <v>1447</v>
      </c>
      <c r="C237" s="8" t="s">
        <v>1732</v>
      </c>
      <c r="D237" s="8" t="s">
        <v>1733</v>
      </c>
      <c r="E237" s="8" t="s">
        <v>1734</v>
      </c>
      <c r="F237" s="8" t="s">
        <v>1451</v>
      </c>
      <c r="G237" s="8" t="s">
        <v>563</v>
      </c>
      <c r="H237" s="8" t="s">
        <v>1503</v>
      </c>
      <c r="I237" s="8" t="s">
        <v>58</v>
      </c>
      <c r="J237" s="8" t="s">
        <v>1735</v>
      </c>
      <c r="K237" s="8" t="s">
        <v>1736</v>
      </c>
      <c r="L237" s="8" t="s">
        <v>1728</v>
      </c>
      <c r="M237" s="8" t="s">
        <v>62</v>
      </c>
      <c r="N237" s="8" t="s">
        <v>1737</v>
      </c>
      <c r="O237" s="8"/>
      <c r="P237" s="8" t="s">
        <v>65</v>
      </c>
      <c r="Q237" s="8"/>
      <c r="R237" s="8" t="s">
        <v>1738</v>
      </c>
    </row>
    <row r="238" customFormat="false" ht="27.75" hidden="false" customHeight="true" outlineLevel="0" collapsed="false">
      <c r="A238" s="7" t="s">
        <v>1739</v>
      </c>
      <c r="B238" s="7" t="s">
        <v>1447</v>
      </c>
      <c r="C238" s="7" t="s">
        <v>1740</v>
      </c>
      <c r="D238" s="7" t="s">
        <v>1741</v>
      </c>
      <c r="E238" s="7" t="s">
        <v>1742</v>
      </c>
      <c r="F238" s="7" t="s">
        <v>1451</v>
      </c>
      <c r="G238" s="7" t="s">
        <v>563</v>
      </c>
      <c r="H238" s="7" t="s">
        <v>1503</v>
      </c>
      <c r="I238" s="7" t="s">
        <v>58</v>
      </c>
      <c r="J238" s="7" t="s">
        <v>1726</v>
      </c>
      <c r="K238" s="7" t="s">
        <v>1743</v>
      </c>
      <c r="L238" s="7" t="s">
        <v>1728</v>
      </c>
      <c r="M238" s="7" t="s">
        <v>62</v>
      </c>
      <c r="N238" s="7" t="s">
        <v>1744</v>
      </c>
      <c r="O238" s="7" t="s">
        <v>160</v>
      </c>
      <c r="P238" s="7" t="s">
        <v>65</v>
      </c>
      <c r="Q238" s="7"/>
      <c r="R238" s="7" t="s">
        <v>1745</v>
      </c>
    </row>
    <row r="239" customFormat="false" ht="27.75" hidden="false" customHeight="true" outlineLevel="0" collapsed="false">
      <c r="A239" s="8" t="s">
        <v>1746</v>
      </c>
      <c r="B239" s="8" t="s">
        <v>1447</v>
      </c>
      <c r="C239" s="8" t="s">
        <v>1747</v>
      </c>
      <c r="D239" s="8" t="s">
        <v>1748</v>
      </c>
      <c r="E239" s="8" t="s">
        <v>1749</v>
      </c>
      <c r="F239" s="8" t="s">
        <v>1750</v>
      </c>
      <c r="G239" s="8" t="s">
        <v>56</v>
      </c>
      <c r="H239" s="8" t="s">
        <v>563</v>
      </c>
      <c r="I239" s="8" t="s">
        <v>58</v>
      </c>
      <c r="J239" s="8" t="s">
        <v>1751</v>
      </c>
      <c r="K239" s="8" t="s">
        <v>1752</v>
      </c>
      <c r="L239" s="8" t="s">
        <v>1753</v>
      </c>
      <c r="M239" s="8" t="s">
        <v>62</v>
      </c>
      <c r="N239" s="8" t="s">
        <v>1754</v>
      </c>
      <c r="O239" s="8"/>
      <c r="P239" s="8" t="s">
        <v>65</v>
      </c>
      <c r="Q239" s="8"/>
      <c r="R239" s="8" t="s">
        <v>1755</v>
      </c>
    </row>
    <row r="240" customFormat="false" ht="27.75" hidden="false" customHeight="true" outlineLevel="0" collapsed="false">
      <c r="A240" s="7" t="s">
        <v>1756</v>
      </c>
      <c r="B240" s="7" t="s">
        <v>1447</v>
      </c>
      <c r="C240" s="7" t="s">
        <v>1757</v>
      </c>
      <c r="D240" s="7" t="s">
        <v>1758</v>
      </c>
      <c r="E240" s="7"/>
      <c r="F240" s="7" t="s">
        <v>1598</v>
      </c>
      <c r="G240" s="7" t="s">
        <v>56</v>
      </c>
      <c r="H240" s="7" t="s">
        <v>563</v>
      </c>
      <c r="I240" s="7" t="s">
        <v>58</v>
      </c>
      <c r="J240" s="7" t="s">
        <v>1751</v>
      </c>
      <c r="K240" s="7" t="s">
        <v>1759</v>
      </c>
      <c r="L240" s="7" t="s">
        <v>1760</v>
      </c>
      <c r="M240" s="7" t="s">
        <v>62</v>
      </c>
      <c r="N240" s="7" t="s">
        <v>1761</v>
      </c>
      <c r="O240" s="7"/>
      <c r="P240" s="7" t="s">
        <v>65</v>
      </c>
      <c r="Q240" s="7"/>
      <c r="R240" s="7" t="s">
        <v>1762</v>
      </c>
    </row>
    <row r="241" customFormat="false" ht="27.75" hidden="false" customHeight="true" outlineLevel="0" collapsed="false">
      <c r="A241" s="8" t="s">
        <v>1763</v>
      </c>
      <c r="B241" s="8" t="s">
        <v>1458</v>
      </c>
      <c r="C241" s="8" t="s">
        <v>1764</v>
      </c>
      <c r="D241" s="8" t="s">
        <v>1765</v>
      </c>
      <c r="E241" s="8" t="s">
        <v>1766</v>
      </c>
      <c r="F241" s="8" t="s">
        <v>364</v>
      </c>
      <c r="G241" s="8" t="s">
        <v>1767</v>
      </c>
      <c r="H241" s="8" t="s">
        <v>145</v>
      </c>
      <c r="I241" s="8" t="s">
        <v>58</v>
      </c>
      <c r="J241" s="8" t="s">
        <v>1768</v>
      </c>
      <c r="K241" s="8" t="s">
        <v>1769</v>
      </c>
      <c r="L241" s="8" t="s">
        <v>1770</v>
      </c>
      <c r="M241" s="8" t="s">
        <v>62</v>
      </c>
      <c r="N241" s="8" t="s">
        <v>1771</v>
      </c>
      <c r="O241" s="8"/>
      <c r="P241" s="8" t="s">
        <v>65</v>
      </c>
      <c r="Q241" s="8"/>
      <c r="R241" s="8" t="s">
        <v>1772</v>
      </c>
    </row>
    <row r="242" customFormat="false" ht="27.75" hidden="false" customHeight="true" outlineLevel="0" collapsed="false">
      <c r="A242" s="7" t="s">
        <v>1773</v>
      </c>
      <c r="B242" s="7" t="s">
        <v>1458</v>
      </c>
      <c r="C242" s="7" t="s">
        <v>1774</v>
      </c>
      <c r="D242" s="7" t="s">
        <v>1775</v>
      </c>
      <c r="E242" s="7" t="s">
        <v>1776</v>
      </c>
      <c r="F242" s="7" t="s">
        <v>266</v>
      </c>
      <c r="G242" s="7" t="s">
        <v>1777</v>
      </c>
      <c r="H242" s="7" t="s">
        <v>145</v>
      </c>
      <c r="I242" s="7" t="s">
        <v>58</v>
      </c>
      <c r="J242" s="7" t="s">
        <v>1768</v>
      </c>
      <c r="K242" s="7" t="s">
        <v>1778</v>
      </c>
      <c r="L242" s="7" t="s">
        <v>1779</v>
      </c>
      <c r="M242" s="7" t="s">
        <v>62</v>
      </c>
      <c r="N242" s="7" t="s">
        <v>1780</v>
      </c>
      <c r="O242" s="7"/>
      <c r="P242" s="7" t="s">
        <v>65</v>
      </c>
      <c r="Q242" s="7"/>
      <c r="R242" s="7" t="s">
        <v>1781</v>
      </c>
    </row>
    <row r="243" customFormat="false" ht="27.75" hidden="false" customHeight="true" outlineLevel="0" collapsed="false">
      <c r="A243" s="8" t="s">
        <v>1782</v>
      </c>
      <c r="B243" s="8" t="s">
        <v>1458</v>
      </c>
      <c r="C243" s="8" t="s">
        <v>1783</v>
      </c>
      <c r="D243" s="8" t="s">
        <v>1784</v>
      </c>
      <c r="E243" s="8"/>
      <c r="F243" s="8" t="s">
        <v>1462</v>
      </c>
      <c r="G243" s="8" t="s">
        <v>56</v>
      </c>
      <c r="H243" s="8" t="s">
        <v>563</v>
      </c>
      <c r="I243" s="8" t="s">
        <v>58</v>
      </c>
      <c r="J243" s="8" t="s">
        <v>1538</v>
      </c>
      <c r="K243" s="8" t="s">
        <v>1785</v>
      </c>
      <c r="L243" s="8" t="s">
        <v>1786</v>
      </c>
      <c r="M243" s="8" t="s">
        <v>62</v>
      </c>
      <c r="N243" s="8" t="s">
        <v>1787</v>
      </c>
      <c r="O243" s="8"/>
      <c r="P243" s="8" t="s">
        <v>65</v>
      </c>
      <c r="Q243" s="8"/>
      <c r="R243" s="8" t="s">
        <v>1788</v>
      </c>
    </row>
    <row r="244" customFormat="false" ht="27.75" hidden="false" customHeight="true" outlineLevel="0" collapsed="false">
      <c r="A244" s="7" t="s">
        <v>1789</v>
      </c>
      <c r="B244" s="7" t="s">
        <v>1447</v>
      </c>
      <c r="C244" s="7" t="s">
        <v>1790</v>
      </c>
      <c r="D244" s="7" t="s">
        <v>1791</v>
      </c>
      <c r="E244" s="7"/>
      <c r="F244" s="7" t="s">
        <v>1792</v>
      </c>
      <c r="G244" s="7" t="s">
        <v>563</v>
      </c>
      <c r="H244" s="7" t="s">
        <v>1503</v>
      </c>
      <c r="I244" s="7" t="s">
        <v>58</v>
      </c>
      <c r="J244" s="7" t="s">
        <v>1452</v>
      </c>
      <c r="K244" s="7" t="s">
        <v>1793</v>
      </c>
      <c r="L244" s="7" t="s">
        <v>1794</v>
      </c>
      <c r="M244" s="7" t="s">
        <v>62</v>
      </c>
      <c r="N244" s="7" t="s">
        <v>1795</v>
      </c>
      <c r="O244" s="7"/>
      <c r="P244" s="7" t="s">
        <v>65</v>
      </c>
      <c r="Q244" s="7"/>
      <c r="R244" s="7" t="s">
        <v>1796</v>
      </c>
    </row>
    <row r="245" customFormat="false" ht="27.75" hidden="false" customHeight="true" outlineLevel="0" collapsed="false">
      <c r="A245" s="8" t="s">
        <v>1797</v>
      </c>
      <c r="B245" s="8" t="s">
        <v>1447</v>
      </c>
      <c r="C245" s="8" t="s">
        <v>1798</v>
      </c>
      <c r="D245" s="8" t="s">
        <v>1799</v>
      </c>
      <c r="E245" s="8"/>
      <c r="F245" s="8" t="s">
        <v>1800</v>
      </c>
      <c r="G245" s="8" t="s">
        <v>563</v>
      </c>
      <c r="H245" s="8" t="s">
        <v>1503</v>
      </c>
      <c r="I245" s="8" t="s">
        <v>58</v>
      </c>
      <c r="J245" s="8" t="s">
        <v>1452</v>
      </c>
      <c r="K245" s="8" t="s">
        <v>1801</v>
      </c>
      <c r="L245" s="8" t="s">
        <v>1802</v>
      </c>
      <c r="M245" s="8" t="s">
        <v>62</v>
      </c>
      <c r="N245" s="8" t="s">
        <v>1803</v>
      </c>
      <c r="O245" s="8"/>
      <c r="P245" s="8" t="s">
        <v>65</v>
      </c>
      <c r="Q245" s="8"/>
      <c r="R245" s="8" t="s">
        <v>1804</v>
      </c>
    </row>
    <row r="246" customFormat="false" ht="27.75" hidden="false" customHeight="true" outlineLevel="0" collapsed="false">
      <c r="A246" s="7" t="s">
        <v>1805</v>
      </c>
      <c r="B246" s="7" t="s">
        <v>1447</v>
      </c>
      <c r="C246" s="7" t="s">
        <v>1806</v>
      </c>
      <c r="D246" s="7" t="s">
        <v>1807</v>
      </c>
      <c r="E246" s="7" t="s">
        <v>1808</v>
      </c>
      <c r="F246" s="7" t="s">
        <v>1809</v>
      </c>
      <c r="G246" s="7" t="s">
        <v>563</v>
      </c>
      <c r="H246" s="7" t="s">
        <v>563</v>
      </c>
      <c r="I246" s="7" t="s">
        <v>58</v>
      </c>
      <c r="J246" s="7" t="s">
        <v>1810</v>
      </c>
      <c r="K246" s="7" t="s">
        <v>1811</v>
      </c>
      <c r="L246" s="7" t="s">
        <v>1812</v>
      </c>
      <c r="M246" s="7" t="s">
        <v>62</v>
      </c>
      <c r="N246" s="7" t="s">
        <v>1813</v>
      </c>
      <c r="O246" s="7"/>
      <c r="P246" s="7" t="s">
        <v>65</v>
      </c>
      <c r="Q246" s="7"/>
      <c r="R246" s="7" t="s">
        <v>1814</v>
      </c>
    </row>
    <row r="247" customFormat="false" ht="27.75" hidden="false" customHeight="true" outlineLevel="0" collapsed="false">
      <c r="A247" s="8" t="s">
        <v>1815</v>
      </c>
      <c r="B247" s="8" t="s">
        <v>1458</v>
      </c>
      <c r="C247" s="8" t="s">
        <v>1816</v>
      </c>
      <c r="D247" s="8" t="s">
        <v>1817</v>
      </c>
      <c r="E247" s="8" t="s">
        <v>1818</v>
      </c>
      <c r="F247" s="8" t="s">
        <v>1520</v>
      </c>
      <c r="G247" s="8" t="s">
        <v>56</v>
      </c>
      <c r="H247" s="8" t="s">
        <v>563</v>
      </c>
      <c r="I247" s="8" t="s">
        <v>58</v>
      </c>
      <c r="J247" s="8" t="s">
        <v>1819</v>
      </c>
      <c r="K247" s="8" t="s">
        <v>1820</v>
      </c>
      <c r="L247" s="8" t="s">
        <v>1821</v>
      </c>
      <c r="M247" s="8" t="s">
        <v>62</v>
      </c>
      <c r="N247" s="8" t="s">
        <v>1822</v>
      </c>
      <c r="O247" s="8"/>
      <c r="P247" s="8" t="s">
        <v>65</v>
      </c>
      <c r="Q247" s="8"/>
      <c r="R247" s="8" t="s">
        <v>1823</v>
      </c>
    </row>
    <row r="248" customFormat="false" ht="27.75" hidden="false" customHeight="true" outlineLevel="0" collapsed="false">
      <c r="A248" s="7" t="s">
        <v>1824</v>
      </c>
      <c r="B248" s="7" t="s">
        <v>1458</v>
      </c>
      <c r="C248" s="7" t="s">
        <v>1825</v>
      </c>
      <c r="D248" s="7" t="s">
        <v>1826</v>
      </c>
      <c r="E248" s="7"/>
      <c r="F248" s="7" t="s">
        <v>1480</v>
      </c>
      <c r="G248" s="7" t="s">
        <v>56</v>
      </c>
      <c r="H248" s="7" t="s">
        <v>563</v>
      </c>
      <c r="I248" s="7" t="s">
        <v>74</v>
      </c>
      <c r="J248" s="7" t="s">
        <v>1827</v>
      </c>
      <c r="K248" s="7" t="s">
        <v>1828</v>
      </c>
      <c r="L248" s="7" t="s">
        <v>1829</v>
      </c>
      <c r="M248" s="7" t="s">
        <v>62</v>
      </c>
      <c r="N248" s="7" t="s">
        <v>1830</v>
      </c>
      <c r="O248" s="7"/>
      <c r="P248" s="7" t="s">
        <v>65</v>
      </c>
      <c r="Q248" s="7"/>
      <c r="R248" s="7" t="s">
        <v>1831</v>
      </c>
    </row>
    <row r="249" customFormat="false" ht="27.75" hidden="false" customHeight="true" outlineLevel="0" collapsed="false">
      <c r="A249" s="8" t="s">
        <v>1832</v>
      </c>
      <c r="B249" s="8" t="s">
        <v>1447</v>
      </c>
      <c r="C249" s="8" t="s">
        <v>1833</v>
      </c>
      <c r="D249" s="8" t="s">
        <v>1834</v>
      </c>
      <c r="E249" s="8"/>
      <c r="F249" s="8" t="s">
        <v>1462</v>
      </c>
      <c r="G249" s="8" t="s">
        <v>563</v>
      </c>
      <c r="H249" s="8" t="s">
        <v>1708</v>
      </c>
      <c r="I249" s="8" t="s">
        <v>74</v>
      </c>
      <c r="J249" s="8" t="s">
        <v>1835</v>
      </c>
      <c r="K249" s="8" t="s">
        <v>1836</v>
      </c>
      <c r="L249" s="8" t="s">
        <v>1837</v>
      </c>
      <c r="M249" s="8" t="s">
        <v>62</v>
      </c>
      <c r="N249" s="8" t="s">
        <v>1838</v>
      </c>
      <c r="O249" s="8"/>
      <c r="P249" s="8" t="s">
        <v>65</v>
      </c>
      <c r="Q249" s="8"/>
      <c r="R249" s="8" t="s">
        <v>1839</v>
      </c>
    </row>
    <row r="250" customFormat="false" ht="27.75" hidden="false" customHeight="true" outlineLevel="0" collapsed="false">
      <c r="A250" s="7" t="s">
        <v>1840</v>
      </c>
      <c r="B250" s="7" t="s">
        <v>1447</v>
      </c>
      <c r="C250" s="7" t="s">
        <v>1841</v>
      </c>
      <c r="D250" s="7" t="s">
        <v>1842</v>
      </c>
      <c r="E250" s="7"/>
      <c r="F250" s="7" t="s">
        <v>1598</v>
      </c>
      <c r="G250" s="7" t="s">
        <v>56</v>
      </c>
      <c r="H250" s="7" t="s">
        <v>563</v>
      </c>
      <c r="I250" s="7" t="s">
        <v>58</v>
      </c>
      <c r="J250" s="7" t="s">
        <v>1538</v>
      </c>
      <c r="K250" s="7" t="s">
        <v>1843</v>
      </c>
      <c r="L250" s="7" t="s">
        <v>1844</v>
      </c>
      <c r="M250" s="7" t="s">
        <v>62</v>
      </c>
      <c r="N250" s="7" t="s">
        <v>1845</v>
      </c>
      <c r="O250" s="7"/>
      <c r="P250" s="7" t="s">
        <v>65</v>
      </c>
      <c r="Q250" s="7"/>
      <c r="R250" s="7" t="s">
        <v>1846</v>
      </c>
    </row>
    <row r="251" customFormat="false" ht="27.75" hidden="false" customHeight="true" outlineLevel="0" collapsed="false">
      <c r="A251" s="8" t="s">
        <v>1847</v>
      </c>
      <c r="B251" s="8" t="s">
        <v>1458</v>
      </c>
      <c r="C251" s="8" t="s">
        <v>1848</v>
      </c>
      <c r="D251" s="8" t="s">
        <v>1849</v>
      </c>
      <c r="E251" s="8"/>
      <c r="F251" s="8" t="s">
        <v>1451</v>
      </c>
      <c r="G251" s="8" t="s">
        <v>56</v>
      </c>
      <c r="H251" s="8" t="s">
        <v>1503</v>
      </c>
      <c r="I251" s="8" t="s">
        <v>74</v>
      </c>
      <c r="J251" s="8" t="s">
        <v>1530</v>
      </c>
      <c r="K251" s="8" t="s">
        <v>1850</v>
      </c>
      <c r="L251" s="8" t="s">
        <v>1851</v>
      </c>
      <c r="M251" s="8" t="s">
        <v>62</v>
      </c>
      <c r="N251" s="8" t="s">
        <v>1852</v>
      </c>
      <c r="O251" s="8"/>
      <c r="P251" s="8" t="s">
        <v>65</v>
      </c>
      <c r="Q251" s="8"/>
      <c r="R251" s="8" t="s">
        <v>1853</v>
      </c>
    </row>
    <row r="252" customFormat="false" ht="27.75" hidden="false" customHeight="true" outlineLevel="0" collapsed="false">
      <c r="A252" s="7" t="s">
        <v>1854</v>
      </c>
      <c r="B252" s="7" t="s">
        <v>1458</v>
      </c>
      <c r="C252" s="7" t="s">
        <v>1855</v>
      </c>
      <c r="D252" s="7" t="s">
        <v>1856</v>
      </c>
      <c r="E252" s="7"/>
      <c r="F252" s="7" t="s">
        <v>1857</v>
      </c>
      <c r="G252" s="7" t="s">
        <v>56</v>
      </c>
      <c r="H252" s="7" t="s">
        <v>563</v>
      </c>
      <c r="I252" s="7" t="s">
        <v>58</v>
      </c>
      <c r="J252" s="7" t="s">
        <v>156</v>
      </c>
      <c r="K252" s="7" t="s">
        <v>1858</v>
      </c>
      <c r="L252" s="7" t="s">
        <v>1859</v>
      </c>
      <c r="M252" s="7" t="s">
        <v>62</v>
      </c>
      <c r="N252" s="7" t="s">
        <v>1860</v>
      </c>
      <c r="O252" s="7"/>
      <c r="P252" s="7" t="s">
        <v>65</v>
      </c>
      <c r="Q252" s="7"/>
      <c r="R252" s="7" t="s">
        <v>1861</v>
      </c>
    </row>
    <row r="253" customFormat="false" ht="27.75" hidden="false" customHeight="true" outlineLevel="0" collapsed="false">
      <c r="A253" s="8" t="s">
        <v>1862</v>
      </c>
      <c r="B253" s="8" t="s">
        <v>1447</v>
      </c>
      <c r="C253" s="8" t="s">
        <v>1863</v>
      </c>
      <c r="D253" s="8" t="s">
        <v>1864</v>
      </c>
      <c r="E253" s="8"/>
      <c r="F253" s="8" t="s">
        <v>1865</v>
      </c>
      <c r="G253" s="8" t="s">
        <v>56</v>
      </c>
      <c r="H253" s="8" t="s">
        <v>563</v>
      </c>
      <c r="I253" s="8" t="s">
        <v>58</v>
      </c>
      <c r="J253" s="8" t="s">
        <v>156</v>
      </c>
      <c r="K253" s="8" t="s">
        <v>1866</v>
      </c>
      <c r="L253" s="8" t="s">
        <v>1867</v>
      </c>
      <c r="M253" s="8" t="s">
        <v>62</v>
      </c>
      <c r="N253" s="8" t="s">
        <v>1868</v>
      </c>
      <c r="O253" s="8"/>
      <c r="P253" s="8" t="s">
        <v>65</v>
      </c>
      <c r="Q253" s="8"/>
      <c r="R253" s="8" t="s">
        <v>1869</v>
      </c>
    </row>
    <row r="254" customFormat="false" ht="27.75" hidden="false" customHeight="true" outlineLevel="0" collapsed="false">
      <c r="A254" s="7" t="s">
        <v>1870</v>
      </c>
      <c r="B254" s="7" t="s">
        <v>1447</v>
      </c>
      <c r="C254" s="7" t="s">
        <v>1871</v>
      </c>
      <c r="D254" s="7" t="s">
        <v>1872</v>
      </c>
      <c r="E254" s="7"/>
      <c r="F254" s="7" t="s">
        <v>1462</v>
      </c>
      <c r="G254" s="7" t="s">
        <v>56</v>
      </c>
      <c r="H254" s="7" t="s">
        <v>563</v>
      </c>
      <c r="I254" s="7" t="s">
        <v>58</v>
      </c>
      <c r="J254" s="7" t="s">
        <v>1538</v>
      </c>
      <c r="K254" s="7" t="s">
        <v>1873</v>
      </c>
      <c r="L254" s="7" t="s">
        <v>1540</v>
      </c>
      <c r="M254" s="7" t="s">
        <v>62</v>
      </c>
      <c r="N254" s="7" t="s">
        <v>1874</v>
      </c>
      <c r="O254" s="7"/>
      <c r="P254" s="7" t="s">
        <v>65</v>
      </c>
      <c r="Q254" s="7"/>
      <c r="R254" s="7" t="s">
        <v>1875</v>
      </c>
    </row>
    <row r="255" customFormat="false" ht="27.75" hidden="false" customHeight="true" outlineLevel="0" collapsed="false">
      <c r="A255" s="8" t="s">
        <v>1876</v>
      </c>
      <c r="B255" s="8" t="s">
        <v>1447</v>
      </c>
      <c r="C255" s="8" t="s">
        <v>1877</v>
      </c>
      <c r="D255" s="8" t="s">
        <v>1878</v>
      </c>
      <c r="E255" s="8" t="s">
        <v>1879</v>
      </c>
      <c r="F255" s="8" t="s">
        <v>1451</v>
      </c>
      <c r="G255" s="8" t="s">
        <v>563</v>
      </c>
      <c r="H255" s="8" t="s">
        <v>1503</v>
      </c>
      <c r="I255" s="8" t="s">
        <v>58</v>
      </c>
      <c r="J255" s="8" t="s">
        <v>1538</v>
      </c>
      <c r="K255" s="8" t="s">
        <v>1880</v>
      </c>
      <c r="L255" s="8" t="s">
        <v>1881</v>
      </c>
      <c r="M255" s="8" t="s">
        <v>62</v>
      </c>
      <c r="N255" s="8" t="s">
        <v>1882</v>
      </c>
      <c r="O255" s="8"/>
      <c r="P255" s="8" t="s">
        <v>65</v>
      </c>
      <c r="Q255" s="8"/>
      <c r="R255" s="8" t="s">
        <v>1883</v>
      </c>
    </row>
    <row r="256" customFormat="false" ht="27.75" hidden="false" customHeight="true" outlineLevel="0" collapsed="false">
      <c r="A256" s="7" t="s">
        <v>1884</v>
      </c>
      <c r="B256" s="7" t="s">
        <v>1458</v>
      </c>
      <c r="C256" s="7" t="s">
        <v>1885</v>
      </c>
      <c r="D256" s="7" t="s">
        <v>1886</v>
      </c>
      <c r="E256" s="7"/>
      <c r="F256" s="7" t="s">
        <v>1865</v>
      </c>
      <c r="G256" s="7" t="s">
        <v>56</v>
      </c>
      <c r="H256" s="7" t="s">
        <v>563</v>
      </c>
      <c r="I256" s="7" t="s">
        <v>58</v>
      </c>
      <c r="J256" s="7" t="s">
        <v>1887</v>
      </c>
      <c r="K256" s="7" t="s">
        <v>1888</v>
      </c>
      <c r="L256" s="7" t="s">
        <v>1867</v>
      </c>
      <c r="M256" s="7" t="s">
        <v>62</v>
      </c>
      <c r="N256" s="7" t="s">
        <v>1889</v>
      </c>
      <c r="O256" s="7" t="s">
        <v>160</v>
      </c>
      <c r="P256" s="7" t="s">
        <v>65</v>
      </c>
      <c r="Q256" s="7"/>
      <c r="R256" s="7" t="s">
        <v>1890</v>
      </c>
    </row>
    <row r="257" customFormat="false" ht="27.75" hidden="false" customHeight="true" outlineLevel="0" collapsed="false">
      <c r="A257" s="8" t="s">
        <v>1891</v>
      </c>
      <c r="B257" s="8" t="s">
        <v>1447</v>
      </c>
      <c r="C257" s="8" t="s">
        <v>1892</v>
      </c>
      <c r="D257" s="8" t="s">
        <v>1893</v>
      </c>
      <c r="E257" s="8" t="s">
        <v>1894</v>
      </c>
      <c r="F257" s="8" t="s">
        <v>1895</v>
      </c>
      <c r="G257" s="8" t="s">
        <v>563</v>
      </c>
      <c r="H257" s="8" t="s">
        <v>563</v>
      </c>
      <c r="I257" s="8" t="s">
        <v>58</v>
      </c>
      <c r="J257" s="8" t="s">
        <v>1810</v>
      </c>
      <c r="K257" s="8" t="s">
        <v>1896</v>
      </c>
      <c r="L257" s="8" t="s">
        <v>1897</v>
      </c>
      <c r="M257" s="8" t="s">
        <v>62</v>
      </c>
      <c r="N257" s="8" t="s">
        <v>1898</v>
      </c>
      <c r="O257" s="8"/>
      <c r="P257" s="8" t="s">
        <v>65</v>
      </c>
      <c r="Q257" s="8"/>
      <c r="R257" s="8" t="s">
        <v>1899</v>
      </c>
    </row>
    <row r="258" customFormat="false" ht="27.75" hidden="false" customHeight="true" outlineLevel="0" collapsed="false">
      <c r="A258" s="7" t="s">
        <v>1900</v>
      </c>
      <c r="B258" s="7" t="s">
        <v>1447</v>
      </c>
      <c r="C258" s="7" t="s">
        <v>1901</v>
      </c>
      <c r="D258" s="7" t="s">
        <v>1902</v>
      </c>
      <c r="E258" s="7" t="s">
        <v>1903</v>
      </c>
      <c r="F258" s="7" t="s">
        <v>1637</v>
      </c>
      <c r="G258" s="7" t="s">
        <v>1904</v>
      </c>
      <c r="H258" s="7" t="s">
        <v>73</v>
      </c>
      <c r="I258" s="7" t="s">
        <v>58</v>
      </c>
      <c r="J258" s="7" t="s">
        <v>1905</v>
      </c>
      <c r="K258" s="7" t="s">
        <v>1906</v>
      </c>
      <c r="L258" s="7" t="s">
        <v>1907</v>
      </c>
      <c r="M258" s="7" t="s">
        <v>62</v>
      </c>
      <c r="N258" s="7" t="s">
        <v>1908</v>
      </c>
      <c r="O258" s="7"/>
      <c r="P258" s="7" t="s">
        <v>65</v>
      </c>
      <c r="Q258" s="7"/>
      <c r="R258" s="7" t="s">
        <v>1909</v>
      </c>
    </row>
    <row r="259" customFormat="false" ht="27.75" hidden="false" customHeight="true" outlineLevel="0" collapsed="false">
      <c r="A259" s="8" t="s">
        <v>1910</v>
      </c>
      <c r="B259" s="8" t="s">
        <v>1447</v>
      </c>
      <c r="C259" s="8" t="s">
        <v>1911</v>
      </c>
      <c r="D259" s="8" t="s">
        <v>1912</v>
      </c>
      <c r="E259" s="8" t="s">
        <v>1913</v>
      </c>
      <c r="F259" s="8" t="s">
        <v>1578</v>
      </c>
      <c r="G259" s="8" t="s">
        <v>56</v>
      </c>
      <c r="H259" s="8" t="s">
        <v>563</v>
      </c>
      <c r="I259" s="8" t="s">
        <v>74</v>
      </c>
      <c r="J259" s="8" t="s">
        <v>1530</v>
      </c>
      <c r="K259" s="8" t="s">
        <v>1914</v>
      </c>
      <c r="L259" s="8" t="s">
        <v>1915</v>
      </c>
      <c r="M259" s="8" t="s">
        <v>62</v>
      </c>
      <c r="N259" s="8" t="s">
        <v>1916</v>
      </c>
      <c r="O259" s="8"/>
      <c r="P259" s="8" t="s">
        <v>65</v>
      </c>
      <c r="Q259" s="8"/>
      <c r="R259" s="8" t="s">
        <v>1617</v>
      </c>
    </row>
    <row r="260" customFormat="false" ht="27.75" hidden="false" customHeight="true" outlineLevel="0" collapsed="false">
      <c r="A260" s="7" t="s">
        <v>1917</v>
      </c>
      <c r="B260" s="7" t="s">
        <v>1447</v>
      </c>
      <c r="C260" s="7" t="s">
        <v>1918</v>
      </c>
      <c r="D260" s="7" t="s">
        <v>1919</v>
      </c>
      <c r="E260" s="7" t="s">
        <v>1920</v>
      </c>
      <c r="F260" s="7" t="s">
        <v>1578</v>
      </c>
      <c r="G260" s="7" t="s">
        <v>56</v>
      </c>
      <c r="H260" s="7" t="s">
        <v>563</v>
      </c>
      <c r="I260" s="7" t="s">
        <v>74</v>
      </c>
      <c r="J260" s="7" t="s">
        <v>1921</v>
      </c>
      <c r="K260" s="7" t="s">
        <v>1922</v>
      </c>
      <c r="L260" s="7" t="s">
        <v>1923</v>
      </c>
      <c r="M260" s="7" t="s">
        <v>62</v>
      </c>
      <c r="N260" s="7" t="s">
        <v>1924</v>
      </c>
      <c r="O260" s="7" t="s">
        <v>160</v>
      </c>
      <c r="P260" s="7" t="s">
        <v>65</v>
      </c>
      <c r="Q260" s="7"/>
      <c r="R260" s="7" t="s">
        <v>1925</v>
      </c>
    </row>
    <row r="261" customFormat="false" ht="27.75" hidden="false" customHeight="true" outlineLevel="0" collapsed="false">
      <c r="A261" s="8" t="s">
        <v>1926</v>
      </c>
      <c r="B261" s="8" t="s">
        <v>1447</v>
      </c>
      <c r="C261" s="8" t="s">
        <v>1927</v>
      </c>
      <c r="D261" s="8" t="s">
        <v>1928</v>
      </c>
      <c r="E261" s="8" t="s">
        <v>1929</v>
      </c>
      <c r="F261" s="8" t="s">
        <v>1451</v>
      </c>
      <c r="G261" s="8" t="s">
        <v>56</v>
      </c>
      <c r="H261" s="8" t="s">
        <v>1503</v>
      </c>
      <c r="I261" s="8" t="s">
        <v>58</v>
      </c>
      <c r="J261" s="8" t="s">
        <v>1538</v>
      </c>
      <c r="K261" s="8" t="s">
        <v>1930</v>
      </c>
      <c r="L261" s="8" t="s">
        <v>1931</v>
      </c>
      <c r="M261" s="8" t="s">
        <v>62</v>
      </c>
      <c r="N261" s="8" t="s">
        <v>1932</v>
      </c>
      <c r="O261" s="8"/>
      <c r="P261" s="8" t="s">
        <v>65</v>
      </c>
      <c r="Q261" s="8"/>
      <c r="R261" s="8" t="s">
        <v>1933</v>
      </c>
    </row>
    <row r="262" customFormat="false" ht="27.75" hidden="false" customHeight="true" outlineLevel="0" collapsed="false">
      <c r="A262" s="7" t="s">
        <v>1934</v>
      </c>
      <c r="B262" s="7" t="s">
        <v>1458</v>
      </c>
      <c r="C262" s="7" t="s">
        <v>1935</v>
      </c>
      <c r="D262" s="7" t="s">
        <v>1936</v>
      </c>
      <c r="E262" s="7"/>
      <c r="F262" s="7" t="s">
        <v>1937</v>
      </c>
      <c r="G262" s="7" t="s">
        <v>352</v>
      </c>
      <c r="H262" s="7" t="s">
        <v>1503</v>
      </c>
      <c r="I262" s="7" t="s">
        <v>74</v>
      </c>
      <c r="J262" s="7" t="s">
        <v>1938</v>
      </c>
      <c r="K262" s="7" t="s">
        <v>1939</v>
      </c>
      <c r="L262" s="7" t="s">
        <v>1940</v>
      </c>
      <c r="M262" s="7" t="s">
        <v>62</v>
      </c>
      <c r="N262" s="7" t="s">
        <v>1941</v>
      </c>
      <c r="O262" s="7"/>
      <c r="P262" s="7" t="s">
        <v>544</v>
      </c>
      <c r="Q262" s="7"/>
      <c r="R262" s="7" t="s">
        <v>1942</v>
      </c>
    </row>
    <row r="263" customFormat="false" ht="27.75" hidden="false" customHeight="true" outlineLevel="0" collapsed="false">
      <c r="A263" s="8" t="s">
        <v>1943</v>
      </c>
      <c r="B263" s="8" t="s">
        <v>1458</v>
      </c>
      <c r="C263" s="8" t="s">
        <v>1944</v>
      </c>
      <c r="D263" s="8" t="s">
        <v>1945</v>
      </c>
      <c r="E263" s="8" t="s">
        <v>1946</v>
      </c>
      <c r="F263" s="8" t="s">
        <v>1697</v>
      </c>
      <c r="G263" s="8" t="s">
        <v>395</v>
      </c>
      <c r="H263" s="8" t="s">
        <v>1503</v>
      </c>
      <c r="I263" s="8" t="s">
        <v>58</v>
      </c>
      <c r="J263" s="8" t="s">
        <v>1463</v>
      </c>
      <c r="K263" s="8" t="s">
        <v>1947</v>
      </c>
      <c r="L263" s="8" t="s">
        <v>1948</v>
      </c>
      <c r="M263" s="8" t="s">
        <v>62</v>
      </c>
      <c r="N263" s="8" t="s">
        <v>1949</v>
      </c>
      <c r="O263" s="8"/>
      <c r="P263" s="8" t="s">
        <v>65</v>
      </c>
      <c r="Q263" s="8"/>
      <c r="R263" s="8" t="s">
        <v>1950</v>
      </c>
    </row>
    <row r="264" customFormat="false" ht="27.75" hidden="false" customHeight="true" outlineLevel="0" collapsed="false">
      <c r="A264" s="7"/>
      <c r="B264" s="7"/>
      <c r="C264" s="7"/>
      <c r="D264" s="7"/>
      <c r="E264" s="7"/>
      <c r="F264" s="7"/>
      <c r="G264" s="7"/>
      <c r="H264" s="7"/>
      <c r="I264" s="7"/>
      <c r="J264" s="7"/>
      <c r="K264" s="7"/>
      <c r="L264" s="7"/>
      <c r="M264" s="7"/>
      <c r="N264" s="7"/>
      <c r="O264" s="7"/>
      <c r="P264" s="7"/>
      <c r="Q264" s="7"/>
      <c r="R264" s="7"/>
    </row>
    <row r="265" customFormat="false" ht="27.75" hidden="false" customHeight="true" outlineLevel="0" collapsed="false">
      <c r="A265" s="8"/>
      <c r="B265" s="8"/>
      <c r="C265" s="8"/>
      <c r="D265" s="8"/>
      <c r="E265" s="8"/>
      <c r="F265" s="8"/>
      <c r="G265" s="8"/>
      <c r="H265" s="8"/>
      <c r="I265" s="8"/>
      <c r="J265" s="8"/>
      <c r="K265" s="8"/>
      <c r="L265" s="8"/>
      <c r="M265" s="8"/>
      <c r="N265" s="8"/>
      <c r="O265" s="8"/>
      <c r="P265" s="8"/>
      <c r="Q265" s="8"/>
      <c r="R265" s="8"/>
    </row>
    <row r="266" customFormat="false" ht="27.75" hidden="false" customHeight="true" outlineLevel="0" collapsed="false">
      <c r="A266" s="7"/>
      <c r="B266" s="7"/>
      <c r="C266" s="7"/>
      <c r="D266" s="7"/>
      <c r="E266" s="7"/>
      <c r="F266" s="7"/>
      <c r="G266" s="7"/>
      <c r="H266" s="7"/>
      <c r="I266" s="7"/>
      <c r="J266" s="7"/>
      <c r="K266" s="7"/>
      <c r="L266" s="7"/>
      <c r="M266" s="7"/>
      <c r="N266" s="7"/>
      <c r="O266" s="7"/>
      <c r="P266" s="7"/>
      <c r="Q266" s="7"/>
      <c r="R266" s="7"/>
    </row>
    <row r="267" customFormat="false" ht="27.75" hidden="false" customHeight="true" outlineLevel="0" collapsed="false">
      <c r="A267" s="8"/>
      <c r="B267" s="8"/>
      <c r="C267" s="8"/>
      <c r="D267" s="8"/>
      <c r="E267" s="8"/>
      <c r="F267" s="8"/>
      <c r="G267" s="8"/>
      <c r="H267" s="8"/>
      <c r="I267" s="8"/>
      <c r="J267" s="8"/>
      <c r="K267" s="8"/>
      <c r="L267" s="8"/>
      <c r="M267" s="8"/>
      <c r="N267" s="8"/>
      <c r="O267" s="8"/>
      <c r="P267" s="8"/>
      <c r="Q267" s="8"/>
      <c r="R267" s="8"/>
    </row>
    <row r="268" customFormat="false" ht="27.75" hidden="false" customHeight="true" outlineLevel="0" collapsed="false">
      <c r="A268" s="7"/>
      <c r="B268" s="7"/>
      <c r="C268" s="7"/>
      <c r="D268" s="7"/>
      <c r="E268" s="7"/>
      <c r="F268" s="7"/>
      <c r="G268" s="7"/>
      <c r="H268" s="7"/>
      <c r="I268" s="7"/>
      <c r="J268" s="7"/>
      <c r="K268" s="7"/>
      <c r="L268" s="7"/>
      <c r="M268" s="7"/>
      <c r="N268" s="7"/>
      <c r="O268" s="7"/>
      <c r="P268" s="7"/>
      <c r="Q268" s="7"/>
      <c r="R268" s="7"/>
    </row>
    <row r="269" customFormat="false" ht="27.75" hidden="false" customHeight="true" outlineLevel="0" collapsed="false">
      <c r="A269" s="8"/>
      <c r="B269" s="8"/>
      <c r="C269" s="8"/>
      <c r="D269" s="8"/>
      <c r="E269" s="8"/>
      <c r="F269" s="8"/>
      <c r="G269" s="8"/>
      <c r="H269" s="8"/>
      <c r="I269" s="8"/>
      <c r="J269" s="8"/>
      <c r="K269" s="8"/>
      <c r="L269" s="8"/>
      <c r="M269" s="8"/>
      <c r="N269" s="8"/>
      <c r="O269" s="8"/>
      <c r="P269" s="8"/>
      <c r="Q269" s="8"/>
      <c r="R269" s="8"/>
    </row>
    <row r="270" customFormat="false" ht="27.75" hidden="false" customHeight="true" outlineLevel="0" collapsed="false">
      <c r="A270" s="7"/>
      <c r="B270" s="7"/>
      <c r="C270" s="7"/>
      <c r="D270" s="7"/>
      <c r="E270" s="7"/>
      <c r="F270" s="7"/>
      <c r="G270" s="7"/>
      <c r="H270" s="7"/>
      <c r="I270" s="7"/>
      <c r="J270" s="7"/>
      <c r="K270" s="7"/>
      <c r="L270" s="7"/>
      <c r="M270" s="7"/>
      <c r="N270" s="7"/>
      <c r="O270" s="7"/>
      <c r="P270" s="7"/>
      <c r="Q270" s="7"/>
      <c r="R270" s="7"/>
    </row>
    <row r="271" customFormat="false" ht="27.75" hidden="false" customHeight="true" outlineLevel="0" collapsed="false">
      <c r="A271" s="8"/>
      <c r="B271" s="8"/>
      <c r="C271" s="8"/>
      <c r="D271" s="8"/>
      <c r="E271" s="8"/>
      <c r="F271" s="8"/>
      <c r="G271" s="8"/>
      <c r="H271" s="8"/>
      <c r="I271" s="8"/>
      <c r="J271" s="8"/>
      <c r="K271" s="8"/>
      <c r="L271" s="8"/>
      <c r="M271" s="8"/>
      <c r="N271" s="8"/>
      <c r="O271" s="8"/>
      <c r="P271" s="8"/>
      <c r="Q271" s="8"/>
      <c r="R271" s="8"/>
    </row>
    <row r="272" customFormat="false" ht="27.75" hidden="false" customHeight="true" outlineLevel="0" collapsed="false">
      <c r="A272" s="7"/>
      <c r="B272" s="7"/>
      <c r="C272" s="7"/>
      <c r="D272" s="7"/>
      <c r="E272" s="7"/>
      <c r="F272" s="7"/>
      <c r="G272" s="7"/>
      <c r="H272" s="7"/>
      <c r="I272" s="7"/>
      <c r="J272" s="7"/>
      <c r="K272" s="7"/>
      <c r="L272" s="7"/>
      <c r="M272" s="7"/>
      <c r="N272" s="7"/>
      <c r="O272" s="7"/>
      <c r="P272" s="7"/>
      <c r="Q272" s="7"/>
      <c r="R272" s="7"/>
    </row>
    <row r="273" customFormat="false" ht="27.75" hidden="false" customHeight="true" outlineLevel="0" collapsed="false">
      <c r="A273" s="8"/>
      <c r="B273" s="8"/>
      <c r="C273" s="8"/>
      <c r="D273" s="8"/>
      <c r="E273" s="8"/>
      <c r="F273" s="8"/>
      <c r="G273" s="8"/>
      <c r="H273" s="8"/>
      <c r="I273" s="8"/>
      <c r="J273" s="8"/>
      <c r="K273" s="8"/>
      <c r="L273" s="8"/>
      <c r="M273" s="8"/>
      <c r="N273" s="8"/>
      <c r="O273" s="8"/>
      <c r="P273" s="8"/>
      <c r="Q273" s="8"/>
      <c r="R273" s="8"/>
    </row>
    <row r="274" customFormat="false" ht="27.75" hidden="false" customHeight="true" outlineLevel="0" collapsed="false">
      <c r="A274" s="7"/>
      <c r="B274" s="7"/>
      <c r="C274" s="7"/>
      <c r="D274" s="7"/>
      <c r="E274" s="7"/>
      <c r="F274" s="7"/>
      <c r="G274" s="7"/>
      <c r="H274" s="7"/>
      <c r="I274" s="7"/>
      <c r="J274" s="7"/>
      <c r="K274" s="7"/>
      <c r="L274" s="7"/>
      <c r="M274" s="7"/>
      <c r="N274" s="7"/>
      <c r="O274" s="7"/>
      <c r="P274" s="7"/>
      <c r="Q274" s="7"/>
      <c r="R274" s="7"/>
    </row>
    <row r="275" customFormat="false" ht="27.75" hidden="false" customHeight="true" outlineLevel="0" collapsed="false">
      <c r="A275" s="8"/>
      <c r="B275" s="8"/>
      <c r="C275" s="8"/>
      <c r="D275" s="8"/>
      <c r="E275" s="8"/>
      <c r="F275" s="8"/>
      <c r="G275" s="8"/>
      <c r="H275" s="8"/>
      <c r="I275" s="8"/>
      <c r="J275" s="8"/>
      <c r="K275" s="8"/>
      <c r="L275" s="8"/>
      <c r="M275" s="8"/>
      <c r="N275" s="8"/>
      <c r="O275" s="8"/>
      <c r="P275" s="8"/>
      <c r="Q275" s="8"/>
      <c r="R275" s="8"/>
    </row>
    <row r="276" customFormat="false" ht="27.75" hidden="false" customHeight="true" outlineLevel="0" collapsed="false">
      <c r="A276" s="7"/>
      <c r="B276" s="7"/>
      <c r="C276" s="7"/>
      <c r="D276" s="7"/>
      <c r="E276" s="7"/>
      <c r="F276" s="7"/>
      <c r="G276" s="7"/>
      <c r="H276" s="7"/>
      <c r="I276" s="7"/>
      <c r="J276" s="7"/>
      <c r="K276" s="7"/>
      <c r="L276" s="7"/>
      <c r="M276" s="7"/>
      <c r="N276" s="7"/>
      <c r="O276" s="7"/>
      <c r="P276" s="7"/>
      <c r="Q276" s="7"/>
      <c r="R276" s="7"/>
    </row>
    <row r="277" customFormat="false" ht="27.75" hidden="false" customHeight="true" outlineLevel="0" collapsed="false">
      <c r="A277" s="8"/>
      <c r="B277" s="8"/>
      <c r="C277" s="8"/>
      <c r="D277" s="8"/>
      <c r="E277" s="8"/>
      <c r="F277" s="8"/>
      <c r="G277" s="8"/>
      <c r="H277" s="8"/>
      <c r="I277" s="8"/>
      <c r="J277" s="8"/>
      <c r="K277" s="8"/>
      <c r="L277" s="8"/>
      <c r="M277" s="8"/>
      <c r="N277" s="8"/>
      <c r="O277" s="8"/>
      <c r="P277" s="8"/>
      <c r="Q277" s="8"/>
      <c r="R277" s="8"/>
    </row>
    <row r="278" customFormat="false" ht="27.75" hidden="false" customHeight="true" outlineLevel="0" collapsed="false">
      <c r="A278" s="7"/>
      <c r="B278" s="7"/>
      <c r="C278" s="7"/>
      <c r="D278" s="7"/>
      <c r="E278" s="7"/>
      <c r="F278" s="7"/>
      <c r="G278" s="7"/>
      <c r="H278" s="7"/>
      <c r="I278" s="7"/>
      <c r="J278" s="7"/>
      <c r="K278" s="7"/>
      <c r="L278" s="7"/>
      <c r="M278" s="7"/>
      <c r="N278" s="7"/>
      <c r="O278" s="7"/>
      <c r="P278" s="7"/>
      <c r="Q278" s="7"/>
      <c r="R278" s="7"/>
    </row>
    <row r="279" customFormat="false" ht="27.75" hidden="false" customHeight="true" outlineLevel="0" collapsed="false">
      <c r="A279" s="8"/>
      <c r="B279" s="8"/>
      <c r="C279" s="8"/>
      <c r="D279" s="8"/>
      <c r="E279" s="8"/>
      <c r="F279" s="8"/>
      <c r="G279" s="8"/>
      <c r="H279" s="8"/>
      <c r="I279" s="8"/>
      <c r="J279" s="8"/>
      <c r="K279" s="8"/>
      <c r="L279" s="8"/>
      <c r="M279" s="8"/>
      <c r="N279" s="8"/>
      <c r="O279" s="8"/>
      <c r="P279" s="8"/>
      <c r="Q279" s="8"/>
      <c r="R279" s="8"/>
    </row>
    <row r="280" customFormat="false" ht="27.75" hidden="false" customHeight="true" outlineLevel="0" collapsed="false">
      <c r="A280" s="7"/>
      <c r="B280" s="7"/>
      <c r="C280" s="7"/>
      <c r="D280" s="7"/>
      <c r="E280" s="7"/>
      <c r="F280" s="7"/>
      <c r="G280" s="7"/>
      <c r="H280" s="7"/>
      <c r="I280" s="7"/>
      <c r="J280" s="7"/>
      <c r="K280" s="7"/>
      <c r="L280" s="7"/>
      <c r="M280" s="7"/>
      <c r="N280" s="7"/>
      <c r="O280" s="7"/>
      <c r="P280" s="7"/>
      <c r="Q280" s="7"/>
      <c r="R280" s="7"/>
    </row>
    <row r="281" customFormat="false" ht="27.75" hidden="false" customHeight="true" outlineLevel="0" collapsed="false">
      <c r="A281" s="8"/>
      <c r="B281" s="8"/>
      <c r="C281" s="8"/>
      <c r="D281" s="8"/>
      <c r="E281" s="8"/>
      <c r="F281" s="8"/>
      <c r="G281" s="8"/>
      <c r="H281" s="8"/>
      <c r="I281" s="8"/>
      <c r="J281" s="8"/>
      <c r="K281" s="8"/>
      <c r="L281" s="8"/>
      <c r="M281" s="8"/>
      <c r="N281" s="8"/>
      <c r="O281" s="8"/>
      <c r="P281" s="8"/>
      <c r="Q281" s="8"/>
      <c r="R281" s="8"/>
    </row>
    <row r="282" customFormat="false" ht="27.75" hidden="false" customHeight="true" outlineLevel="0" collapsed="false">
      <c r="A282" s="7"/>
      <c r="B282" s="7"/>
      <c r="C282" s="7"/>
      <c r="D282" s="7"/>
      <c r="E282" s="7"/>
      <c r="F282" s="7"/>
      <c r="G282" s="7"/>
      <c r="H282" s="7"/>
      <c r="I282" s="7"/>
      <c r="J282" s="7"/>
      <c r="K282" s="7"/>
      <c r="L282" s="7"/>
      <c r="M282" s="7"/>
      <c r="N282" s="7"/>
      <c r="O282" s="7"/>
      <c r="P282" s="7"/>
      <c r="Q282" s="7"/>
      <c r="R282" s="7"/>
    </row>
    <row r="283" customFormat="false" ht="27.75" hidden="false" customHeight="true" outlineLevel="0" collapsed="false">
      <c r="A283" s="8"/>
      <c r="B283" s="8"/>
      <c r="C283" s="8"/>
      <c r="D283" s="8"/>
      <c r="E283" s="8"/>
      <c r="F283" s="8"/>
      <c r="G283" s="8"/>
      <c r="H283" s="8"/>
      <c r="I283" s="8"/>
      <c r="J283" s="8"/>
      <c r="K283" s="8"/>
      <c r="L283" s="8"/>
      <c r="M283" s="8"/>
      <c r="N283" s="8"/>
      <c r="O283" s="8"/>
      <c r="P283" s="8"/>
      <c r="Q283" s="8"/>
      <c r="R283" s="8"/>
    </row>
    <row r="284" customFormat="false" ht="27.75" hidden="false" customHeight="true" outlineLevel="0" collapsed="false">
      <c r="A284" s="7"/>
      <c r="B284" s="7"/>
      <c r="C284" s="7"/>
      <c r="D284" s="7"/>
      <c r="E284" s="7"/>
      <c r="F284" s="7"/>
      <c r="G284" s="7"/>
      <c r="H284" s="7"/>
      <c r="I284" s="7"/>
      <c r="J284" s="7"/>
      <c r="K284" s="7"/>
      <c r="L284" s="7"/>
      <c r="M284" s="7"/>
      <c r="N284" s="7"/>
      <c r="O284" s="7"/>
      <c r="P284" s="7"/>
      <c r="Q284" s="7"/>
      <c r="R284" s="7"/>
    </row>
    <row r="285" customFormat="false" ht="27.75" hidden="false" customHeight="true" outlineLevel="0" collapsed="false">
      <c r="A285" s="8"/>
      <c r="B285" s="8"/>
      <c r="C285" s="8"/>
      <c r="D285" s="8"/>
      <c r="E285" s="8"/>
      <c r="F285" s="8"/>
      <c r="G285" s="8"/>
      <c r="H285" s="8"/>
      <c r="I285" s="8"/>
      <c r="J285" s="8"/>
      <c r="K285" s="8"/>
      <c r="L285" s="8"/>
      <c r="M285" s="8"/>
      <c r="N285" s="8"/>
      <c r="O285" s="8"/>
      <c r="P285" s="8"/>
      <c r="Q285" s="8"/>
      <c r="R285" s="8"/>
    </row>
    <row r="286" customFormat="false" ht="27.75" hidden="false" customHeight="true" outlineLevel="0" collapsed="false">
      <c r="A286" s="7"/>
      <c r="B286" s="7"/>
      <c r="C286" s="7"/>
      <c r="D286" s="7"/>
      <c r="E286" s="7"/>
      <c r="F286" s="7"/>
      <c r="G286" s="7"/>
      <c r="H286" s="7"/>
      <c r="I286" s="7"/>
      <c r="J286" s="7"/>
      <c r="K286" s="7"/>
      <c r="L286" s="7"/>
      <c r="M286" s="7"/>
      <c r="N286" s="7"/>
      <c r="O286" s="7"/>
      <c r="P286" s="7"/>
      <c r="Q286" s="7"/>
      <c r="R286" s="7"/>
    </row>
    <row r="287" customFormat="false" ht="27.75" hidden="false" customHeight="true" outlineLevel="0" collapsed="false">
      <c r="A287" s="8"/>
      <c r="B287" s="8"/>
      <c r="C287" s="8"/>
      <c r="D287" s="8"/>
      <c r="E287" s="8"/>
      <c r="F287" s="8"/>
      <c r="G287" s="8"/>
      <c r="H287" s="8"/>
      <c r="I287" s="8"/>
      <c r="J287" s="8"/>
      <c r="K287" s="8"/>
      <c r="L287" s="8"/>
      <c r="M287" s="8"/>
      <c r="N287" s="8"/>
      <c r="O287" s="8"/>
      <c r="P287" s="8"/>
      <c r="Q287" s="8"/>
      <c r="R287" s="8"/>
    </row>
    <row r="288" customFormat="false" ht="27.75" hidden="false" customHeight="true" outlineLevel="0" collapsed="false">
      <c r="A288" s="7"/>
      <c r="B288" s="7"/>
      <c r="C288" s="7"/>
      <c r="D288" s="7"/>
      <c r="E288" s="7"/>
      <c r="F288" s="7"/>
      <c r="G288" s="7"/>
      <c r="H288" s="7"/>
      <c r="I288" s="7"/>
      <c r="J288" s="7"/>
      <c r="K288" s="7"/>
      <c r="L288" s="7"/>
      <c r="M288" s="7"/>
      <c r="N288" s="7"/>
      <c r="O288" s="7"/>
      <c r="P288" s="7"/>
      <c r="Q288" s="7"/>
      <c r="R288" s="7"/>
    </row>
    <row r="289" customFormat="false" ht="27.75" hidden="false" customHeight="true" outlineLevel="0" collapsed="false">
      <c r="A289" s="8"/>
      <c r="B289" s="8"/>
      <c r="C289" s="8"/>
      <c r="D289" s="8"/>
      <c r="E289" s="8"/>
      <c r="F289" s="8"/>
      <c r="G289" s="8"/>
      <c r="H289" s="8"/>
      <c r="I289" s="8"/>
      <c r="J289" s="8"/>
      <c r="K289" s="8"/>
      <c r="L289" s="8"/>
      <c r="M289" s="8"/>
      <c r="N289" s="8"/>
      <c r="O289" s="8"/>
      <c r="P289" s="8"/>
      <c r="Q289" s="8"/>
      <c r="R289" s="8"/>
    </row>
    <row r="290" customFormat="false" ht="27.75" hidden="false" customHeight="true" outlineLevel="0" collapsed="false">
      <c r="A290" s="7"/>
      <c r="B290" s="7"/>
      <c r="C290" s="7"/>
      <c r="D290" s="7"/>
      <c r="E290" s="7"/>
      <c r="F290" s="7"/>
      <c r="G290" s="7"/>
      <c r="H290" s="7"/>
      <c r="I290" s="7"/>
      <c r="J290" s="7"/>
      <c r="K290" s="7"/>
      <c r="L290" s="7"/>
      <c r="M290" s="7"/>
      <c r="N290" s="7"/>
      <c r="O290" s="7"/>
      <c r="P290" s="7"/>
      <c r="Q290" s="7"/>
      <c r="R290" s="7"/>
    </row>
    <row r="291" customFormat="false" ht="27.75" hidden="false" customHeight="true" outlineLevel="0" collapsed="false">
      <c r="A291" s="8"/>
      <c r="B291" s="8"/>
      <c r="C291" s="8"/>
      <c r="D291" s="8"/>
      <c r="E291" s="8"/>
      <c r="F291" s="8"/>
      <c r="G291" s="8"/>
      <c r="H291" s="8"/>
      <c r="I291" s="8"/>
      <c r="J291" s="8"/>
      <c r="K291" s="8"/>
      <c r="L291" s="8"/>
      <c r="M291" s="8"/>
      <c r="N291" s="8"/>
      <c r="O291" s="8"/>
      <c r="P291" s="8"/>
      <c r="Q291" s="8"/>
      <c r="R291" s="8"/>
    </row>
    <row r="292" customFormat="false" ht="27.75" hidden="false" customHeight="true" outlineLevel="0" collapsed="false">
      <c r="A292" s="7"/>
      <c r="B292" s="7"/>
      <c r="C292" s="7"/>
      <c r="D292" s="7"/>
      <c r="E292" s="7"/>
      <c r="F292" s="7"/>
      <c r="G292" s="7"/>
      <c r="H292" s="7"/>
      <c r="I292" s="7"/>
      <c r="J292" s="7"/>
      <c r="K292" s="7"/>
      <c r="L292" s="7"/>
      <c r="M292" s="7"/>
      <c r="N292" s="7"/>
      <c r="O292" s="7"/>
      <c r="P292" s="7"/>
      <c r="Q292" s="7"/>
      <c r="R292" s="7"/>
    </row>
    <row r="293" customFormat="false" ht="27.75" hidden="false" customHeight="true" outlineLevel="0" collapsed="false">
      <c r="A293" s="8"/>
      <c r="B293" s="8"/>
      <c r="C293" s="8"/>
      <c r="D293" s="8"/>
      <c r="E293" s="8"/>
      <c r="F293" s="8"/>
      <c r="G293" s="8"/>
      <c r="H293" s="8"/>
      <c r="I293" s="8"/>
      <c r="J293" s="8"/>
      <c r="K293" s="8"/>
      <c r="L293" s="8"/>
      <c r="M293" s="8"/>
      <c r="N293" s="8"/>
      <c r="O293" s="8"/>
      <c r="P293" s="8"/>
      <c r="Q293" s="8"/>
      <c r="R293" s="8"/>
    </row>
    <row r="294" customFormat="false" ht="27.75" hidden="false" customHeight="true" outlineLevel="0" collapsed="false">
      <c r="A294" s="7"/>
      <c r="B294" s="7"/>
      <c r="C294" s="7"/>
      <c r="D294" s="7"/>
      <c r="E294" s="7"/>
      <c r="F294" s="7"/>
      <c r="G294" s="7"/>
      <c r="H294" s="7"/>
      <c r="I294" s="7"/>
      <c r="J294" s="7"/>
      <c r="K294" s="7"/>
      <c r="L294" s="7"/>
      <c r="M294" s="7"/>
      <c r="N294" s="7"/>
      <c r="O294" s="7"/>
      <c r="P294" s="7"/>
      <c r="Q294" s="7"/>
      <c r="R294" s="7"/>
    </row>
    <row r="295" customFormat="false" ht="27.75" hidden="false" customHeight="true" outlineLevel="0" collapsed="false">
      <c r="A295" s="8"/>
      <c r="B295" s="8"/>
      <c r="C295" s="8"/>
      <c r="D295" s="8"/>
      <c r="E295" s="8"/>
      <c r="F295" s="8"/>
      <c r="G295" s="8"/>
      <c r="H295" s="8"/>
      <c r="I295" s="8"/>
      <c r="J295" s="8"/>
      <c r="K295" s="8"/>
      <c r="L295" s="8"/>
      <c r="M295" s="8"/>
      <c r="N295" s="8"/>
      <c r="O295" s="8"/>
      <c r="P295" s="8"/>
      <c r="Q295" s="8"/>
      <c r="R295" s="8"/>
    </row>
    <row r="296" customFormat="false" ht="27.75" hidden="false" customHeight="true" outlineLevel="0" collapsed="false">
      <c r="A296" s="7"/>
      <c r="B296" s="7"/>
      <c r="C296" s="7"/>
      <c r="D296" s="7"/>
      <c r="E296" s="7"/>
      <c r="F296" s="7"/>
      <c r="G296" s="7"/>
      <c r="H296" s="7"/>
      <c r="I296" s="7"/>
      <c r="J296" s="7"/>
      <c r="K296" s="7"/>
      <c r="L296" s="7"/>
      <c r="M296" s="7"/>
      <c r="N296" s="7"/>
      <c r="O296" s="7"/>
      <c r="P296" s="7"/>
      <c r="Q296" s="7"/>
      <c r="R296" s="7"/>
    </row>
    <row r="297" customFormat="false" ht="27.75" hidden="false" customHeight="true" outlineLevel="0" collapsed="false">
      <c r="A297" s="8"/>
      <c r="B297" s="8"/>
      <c r="C297" s="8"/>
      <c r="D297" s="8"/>
      <c r="E297" s="8"/>
      <c r="F297" s="8"/>
      <c r="G297" s="8"/>
      <c r="H297" s="8"/>
      <c r="I297" s="8"/>
      <c r="J297" s="8"/>
      <c r="K297" s="8"/>
      <c r="L297" s="8"/>
      <c r="M297" s="8"/>
      <c r="N297" s="8"/>
      <c r="O297" s="8"/>
      <c r="P297" s="8"/>
      <c r="Q297" s="8"/>
      <c r="R297" s="8"/>
    </row>
    <row r="298" customFormat="false" ht="27.75" hidden="false" customHeight="true" outlineLevel="0" collapsed="false">
      <c r="A298" s="7"/>
      <c r="B298" s="7"/>
      <c r="C298" s="7"/>
      <c r="D298" s="7"/>
      <c r="E298" s="7"/>
      <c r="F298" s="7"/>
      <c r="G298" s="7"/>
      <c r="H298" s="7"/>
      <c r="I298" s="7"/>
      <c r="J298" s="7"/>
      <c r="K298" s="7"/>
      <c r="L298" s="7"/>
      <c r="M298" s="7"/>
      <c r="N298" s="7"/>
      <c r="O298" s="7"/>
      <c r="P298" s="7"/>
      <c r="Q298" s="7"/>
      <c r="R298" s="7"/>
    </row>
    <row r="299" customFormat="false" ht="27.75" hidden="false" customHeight="true" outlineLevel="0" collapsed="false">
      <c r="A299" s="8"/>
      <c r="B299" s="8"/>
      <c r="C299" s="8"/>
      <c r="D299" s="8"/>
      <c r="E299" s="8"/>
      <c r="F299" s="8"/>
      <c r="G299" s="8"/>
      <c r="H299" s="8"/>
      <c r="I299" s="8"/>
      <c r="J299" s="8"/>
      <c r="K299" s="8"/>
      <c r="L299" s="8"/>
      <c r="M299" s="8"/>
      <c r="N299" s="8"/>
      <c r="O299" s="8"/>
      <c r="P299" s="8"/>
      <c r="Q299" s="8"/>
      <c r="R299" s="8"/>
    </row>
    <row r="300" customFormat="false" ht="27.75" hidden="false" customHeight="true" outlineLevel="0" collapsed="false">
      <c r="A300" s="7"/>
      <c r="B300" s="7"/>
      <c r="C300" s="7"/>
      <c r="D300" s="7"/>
      <c r="E300" s="7"/>
      <c r="F300" s="7"/>
      <c r="G300" s="7"/>
      <c r="H300" s="7"/>
      <c r="I300" s="7"/>
      <c r="J300" s="7"/>
      <c r="K300" s="7"/>
      <c r="L300" s="7"/>
      <c r="M300" s="7"/>
      <c r="N300" s="7"/>
      <c r="O300" s="7"/>
      <c r="P300" s="7"/>
      <c r="Q300" s="7"/>
      <c r="R300" s="7"/>
    </row>
    <row r="301" customFormat="false" ht="27.75" hidden="false" customHeight="true" outlineLevel="0" collapsed="false">
      <c r="A301" s="8"/>
      <c r="B301" s="8"/>
      <c r="C301" s="8"/>
      <c r="D301" s="8"/>
      <c r="E301" s="8"/>
      <c r="F301" s="8"/>
      <c r="G301" s="8"/>
      <c r="H301" s="8"/>
      <c r="I301" s="8"/>
      <c r="J301" s="8"/>
      <c r="K301" s="8"/>
      <c r="L301" s="8"/>
      <c r="M301" s="8"/>
      <c r="N301" s="8"/>
      <c r="O301" s="8"/>
      <c r="P301" s="8"/>
      <c r="Q301" s="8"/>
      <c r="R301" s="8"/>
    </row>
    <row r="302" customFormat="false" ht="27.75" hidden="false" customHeight="true" outlineLevel="0" collapsed="false">
      <c r="A302" s="7"/>
      <c r="B302" s="7"/>
      <c r="C302" s="7"/>
      <c r="D302" s="7"/>
      <c r="E302" s="7"/>
      <c r="F302" s="7"/>
      <c r="G302" s="7"/>
      <c r="H302" s="7"/>
      <c r="I302" s="7"/>
      <c r="J302" s="7"/>
      <c r="K302" s="7"/>
      <c r="L302" s="7"/>
      <c r="M302" s="7"/>
      <c r="N302" s="7"/>
      <c r="O302" s="7"/>
      <c r="P302" s="7"/>
      <c r="Q302" s="7"/>
      <c r="R302" s="7"/>
    </row>
    <row r="303" customFormat="false" ht="27.75" hidden="false" customHeight="true" outlineLevel="0" collapsed="false">
      <c r="A303" s="8"/>
      <c r="B303" s="8"/>
      <c r="C303" s="8"/>
      <c r="D303" s="8"/>
      <c r="E303" s="8"/>
      <c r="F303" s="8"/>
      <c r="G303" s="8"/>
      <c r="H303" s="8"/>
      <c r="I303" s="8"/>
      <c r="J303" s="8"/>
      <c r="K303" s="8"/>
      <c r="L303" s="8"/>
      <c r="M303" s="8"/>
      <c r="N303" s="8"/>
      <c r="O303" s="8"/>
      <c r="P303" s="8"/>
      <c r="Q303" s="8"/>
      <c r="R303" s="8"/>
    </row>
    <row r="304" customFormat="false" ht="27.75" hidden="false" customHeight="true" outlineLevel="0" collapsed="false">
      <c r="A304" s="7"/>
      <c r="B304" s="7"/>
      <c r="C304" s="7"/>
      <c r="D304" s="7"/>
      <c r="E304" s="7"/>
      <c r="F304" s="7"/>
      <c r="G304" s="7"/>
      <c r="H304" s="7"/>
      <c r="I304" s="7"/>
      <c r="J304" s="7"/>
      <c r="K304" s="7"/>
      <c r="L304" s="7"/>
      <c r="M304" s="7"/>
      <c r="N304" s="7"/>
      <c r="O304" s="7"/>
      <c r="P304" s="7"/>
      <c r="Q304" s="7"/>
      <c r="R304" s="7"/>
    </row>
    <row r="305" customFormat="false" ht="27.75" hidden="false" customHeight="true" outlineLevel="0" collapsed="false">
      <c r="A305" s="8"/>
      <c r="B305" s="8"/>
      <c r="C305" s="8"/>
      <c r="D305" s="8"/>
      <c r="E305" s="8"/>
      <c r="F305" s="8"/>
      <c r="G305" s="8"/>
      <c r="H305" s="8"/>
      <c r="I305" s="8"/>
      <c r="J305" s="8"/>
      <c r="K305" s="8"/>
      <c r="L305" s="8"/>
      <c r="M305" s="8"/>
      <c r="N305" s="8"/>
      <c r="O305" s="8"/>
      <c r="P305" s="8"/>
      <c r="Q305" s="8"/>
      <c r="R305" s="8"/>
    </row>
    <row r="306" customFormat="false" ht="27.75" hidden="false" customHeight="true" outlineLevel="0" collapsed="false">
      <c r="A306" s="7"/>
      <c r="B306" s="7"/>
      <c r="C306" s="7"/>
      <c r="D306" s="7"/>
      <c r="E306" s="7"/>
      <c r="F306" s="7"/>
      <c r="G306" s="7"/>
      <c r="H306" s="7"/>
      <c r="I306" s="7"/>
      <c r="J306" s="7"/>
      <c r="K306" s="7"/>
      <c r="L306" s="7"/>
      <c r="M306" s="7"/>
      <c r="N306" s="7"/>
      <c r="O306" s="7"/>
      <c r="P306" s="7"/>
      <c r="Q306" s="7"/>
      <c r="R306" s="7"/>
    </row>
    <row r="307" customFormat="false" ht="27.75" hidden="false" customHeight="true" outlineLevel="0" collapsed="false">
      <c r="A307" s="8"/>
      <c r="B307" s="8"/>
      <c r="C307" s="8"/>
      <c r="D307" s="8"/>
      <c r="E307" s="8"/>
      <c r="F307" s="8"/>
      <c r="G307" s="8"/>
      <c r="H307" s="8"/>
      <c r="I307" s="8"/>
      <c r="J307" s="8"/>
      <c r="K307" s="8"/>
      <c r="L307" s="8"/>
      <c r="M307" s="8"/>
      <c r="N307" s="8"/>
      <c r="O307" s="8"/>
      <c r="P307" s="8"/>
      <c r="Q307" s="8"/>
      <c r="R307" s="8"/>
    </row>
    <row r="308" customFormat="false" ht="27.75" hidden="false" customHeight="true" outlineLevel="0" collapsed="false">
      <c r="A308" s="7"/>
      <c r="B308" s="7"/>
      <c r="C308" s="7"/>
      <c r="D308" s="7"/>
      <c r="E308" s="7"/>
      <c r="F308" s="7"/>
      <c r="G308" s="7"/>
      <c r="H308" s="7"/>
      <c r="I308" s="7"/>
      <c r="J308" s="7"/>
      <c r="K308" s="7"/>
      <c r="L308" s="7"/>
      <c r="M308" s="7"/>
      <c r="N308" s="7"/>
      <c r="O308" s="7"/>
      <c r="P308" s="7"/>
      <c r="Q308" s="7"/>
      <c r="R308" s="7"/>
    </row>
    <row r="309" customFormat="false" ht="27.75" hidden="false" customHeight="true" outlineLevel="0" collapsed="false">
      <c r="A309" s="8"/>
      <c r="B309" s="8"/>
      <c r="C309" s="8"/>
      <c r="D309" s="8"/>
      <c r="E309" s="8"/>
      <c r="F309" s="8"/>
      <c r="G309" s="8"/>
      <c r="H309" s="8"/>
      <c r="I309" s="8"/>
      <c r="J309" s="8"/>
      <c r="K309" s="8"/>
      <c r="L309" s="8"/>
      <c r="M309" s="8"/>
      <c r="N309" s="8"/>
      <c r="O309" s="8"/>
      <c r="P309" s="8"/>
      <c r="Q309" s="8"/>
      <c r="R309" s="8"/>
    </row>
    <row r="310" customFormat="false" ht="27.75" hidden="false" customHeight="true" outlineLevel="0" collapsed="false">
      <c r="A310" s="7"/>
      <c r="B310" s="7"/>
      <c r="C310" s="7"/>
      <c r="D310" s="7"/>
      <c r="E310" s="7"/>
      <c r="F310" s="7"/>
      <c r="G310" s="7"/>
      <c r="H310" s="7"/>
      <c r="I310" s="7"/>
      <c r="J310" s="7"/>
      <c r="K310" s="7"/>
      <c r="L310" s="7"/>
      <c r="M310" s="7"/>
      <c r="N310" s="7"/>
      <c r="O310" s="7"/>
      <c r="P310" s="7"/>
      <c r="Q310" s="7"/>
      <c r="R310" s="7"/>
    </row>
    <row r="311" customFormat="false" ht="27.75" hidden="false" customHeight="true" outlineLevel="0" collapsed="false">
      <c r="A311" s="8"/>
      <c r="B311" s="8"/>
      <c r="C311" s="8"/>
      <c r="D311" s="8"/>
      <c r="E311" s="8"/>
      <c r="F311" s="8"/>
      <c r="G311" s="8"/>
      <c r="H311" s="8"/>
      <c r="I311" s="8"/>
      <c r="J311" s="8"/>
      <c r="K311" s="8"/>
      <c r="L311" s="8"/>
      <c r="M311" s="8"/>
      <c r="N311" s="8"/>
      <c r="O311" s="8"/>
      <c r="P311" s="8"/>
      <c r="Q311" s="8"/>
      <c r="R311" s="8"/>
    </row>
    <row r="312" customFormat="false" ht="27.75" hidden="false" customHeight="true" outlineLevel="0" collapsed="false">
      <c r="A312" s="7"/>
      <c r="B312" s="7"/>
      <c r="C312" s="7"/>
      <c r="D312" s="7"/>
      <c r="E312" s="7"/>
      <c r="F312" s="7"/>
      <c r="G312" s="7"/>
      <c r="H312" s="7"/>
      <c r="I312" s="7"/>
      <c r="J312" s="7"/>
      <c r="K312" s="7"/>
      <c r="L312" s="7"/>
      <c r="M312" s="7"/>
      <c r="N312" s="7"/>
      <c r="O312" s="7"/>
      <c r="P312" s="7"/>
      <c r="Q312" s="7"/>
      <c r="R312" s="7"/>
    </row>
    <row r="313" customFormat="false" ht="27.75" hidden="false" customHeight="true" outlineLevel="0" collapsed="false">
      <c r="A313" s="8"/>
      <c r="B313" s="8"/>
      <c r="C313" s="8"/>
      <c r="D313" s="8"/>
      <c r="E313" s="8"/>
      <c r="F313" s="8"/>
      <c r="G313" s="8"/>
      <c r="H313" s="8"/>
      <c r="I313" s="8"/>
      <c r="J313" s="8"/>
      <c r="K313" s="8"/>
      <c r="L313" s="8"/>
      <c r="M313" s="8"/>
      <c r="N313" s="8"/>
      <c r="O313" s="8"/>
      <c r="P313" s="8"/>
      <c r="Q313" s="8"/>
      <c r="R313" s="8"/>
    </row>
    <row r="314" customFormat="false" ht="27.75" hidden="false" customHeight="true" outlineLevel="0" collapsed="false">
      <c r="A314" s="7"/>
      <c r="B314" s="7"/>
      <c r="C314" s="7"/>
      <c r="D314" s="7"/>
      <c r="E314" s="7"/>
      <c r="F314" s="7"/>
      <c r="G314" s="7"/>
      <c r="H314" s="7"/>
      <c r="I314" s="7"/>
      <c r="J314" s="7"/>
      <c r="K314" s="7"/>
      <c r="L314" s="7"/>
      <c r="M314" s="7"/>
      <c r="N314" s="7"/>
      <c r="O314" s="7"/>
      <c r="P314" s="7"/>
      <c r="Q314" s="7"/>
      <c r="R314" s="7"/>
    </row>
    <row r="315" customFormat="false" ht="27.75" hidden="false" customHeight="true" outlineLevel="0" collapsed="false">
      <c r="A315" s="8"/>
      <c r="B315" s="8"/>
      <c r="C315" s="8"/>
      <c r="D315" s="8"/>
      <c r="E315" s="8"/>
      <c r="F315" s="8"/>
      <c r="G315" s="8"/>
      <c r="H315" s="8"/>
      <c r="I315" s="8"/>
      <c r="J315" s="8"/>
      <c r="K315" s="8"/>
      <c r="L315" s="8"/>
      <c r="M315" s="8"/>
      <c r="N315" s="8"/>
      <c r="O315" s="8"/>
      <c r="P315" s="8"/>
      <c r="Q315" s="8"/>
      <c r="R315" s="8"/>
    </row>
    <row r="316" customFormat="false" ht="27.75" hidden="false" customHeight="true" outlineLevel="0" collapsed="false">
      <c r="A316" s="7"/>
      <c r="B316" s="7"/>
      <c r="C316" s="7"/>
      <c r="D316" s="7"/>
      <c r="E316" s="7"/>
      <c r="F316" s="7"/>
      <c r="G316" s="7"/>
      <c r="H316" s="7"/>
      <c r="I316" s="7"/>
      <c r="J316" s="7"/>
      <c r="K316" s="7"/>
      <c r="L316" s="7"/>
      <c r="M316" s="7"/>
      <c r="N316" s="7"/>
      <c r="O316" s="7"/>
      <c r="P316" s="7"/>
      <c r="Q316" s="7"/>
      <c r="R316" s="7"/>
    </row>
    <row r="317" customFormat="false" ht="27.75" hidden="false" customHeight="true" outlineLevel="0" collapsed="false">
      <c r="A317" s="8"/>
      <c r="B317" s="8"/>
      <c r="C317" s="8"/>
      <c r="D317" s="8"/>
      <c r="E317" s="8"/>
      <c r="F317" s="8"/>
      <c r="G317" s="8"/>
      <c r="H317" s="8"/>
      <c r="I317" s="8"/>
      <c r="J317" s="8"/>
      <c r="K317" s="8"/>
      <c r="L317" s="8"/>
      <c r="M317" s="8"/>
      <c r="N317" s="8"/>
      <c r="O317" s="8"/>
      <c r="P317" s="8"/>
      <c r="Q317" s="8"/>
      <c r="R317" s="8"/>
    </row>
    <row r="318" customFormat="false" ht="27.75" hidden="false" customHeight="true" outlineLevel="0" collapsed="false">
      <c r="A318" s="7"/>
      <c r="B318" s="7"/>
      <c r="C318" s="7"/>
      <c r="D318" s="7"/>
      <c r="E318" s="7"/>
      <c r="F318" s="7"/>
      <c r="G318" s="7"/>
      <c r="H318" s="7"/>
      <c r="I318" s="7"/>
      <c r="J318" s="7"/>
      <c r="K318" s="7"/>
      <c r="L318" s="7"/>
      <c r="M318" s="7"/>
      <c r="N318" s="7"/>
      <c r="O318" s="7"/>
      <c r="P318" s="7"/>
      <c r="Q318" s="7"/>
      <c r="R318" s="7"/>
    </row>
    <row r="319" customFormat="false" ht="27.75" hidden="false" customHeight="true" outlineLevel="0" collapsed="false">
      <c r="A319" s="8"/>
      <c r="B319" s="8"/>
      <c r="C319" s="8"/>
      <c r="D319" s="8"/>
      <c r="E319" s="8"/>
      <c r="F319" s="8"/>
      <c r="G319" s="8"/>
      <c r="H319" s="8"/>
      <c r="I319" s="8"/>
      <c r="J319" s="8"/>
      <c r="K319" s="8"/>
      <c r="L319" s="8"/>
      <c r="M319" s="8"/>
      <c r="N319" s="8"/>
      <c r="O319" s="8"/>
      <c r="P319" s="8"/>
      <c r="Q319" s="8"/>
      <c r="R319" s="8"/>
    </row>
    <row r="320" customFormat="false" ht="27.75" hidden="false" customHeight="true" outlineLevel="0" collapsed="false">
      <c r="A320" s="7"/>
      <c r="B320" s="7"/>
      <c r="C320" s="7"/>
      <c r="D320" s="7"/>
      <c r="E320" s="7"/>
      <c r="F320" s="7"/>
      <c r="G320" s="7"/>
      <c r="H320" s="7"/>
      <c r="I320" s="7"/>
      <c r="J320" s="7"/>
      <c r="K320" s="7"/>
      <c r="L320" s="7"/>
      <c r="M320" s="7"/>
      <c r="N320" s="7"/>
      <c r="O320" s="7"/>
      <c r="P320" s="7"/>
      <c r="Q320" s="7"/>
      <c r="R320" s="7"/>
    </row>
    <row r="321" customFormat="false" ht="27.75" hidden="false" customHeight="true" outlineLevel="0" collapsed="false">
      <c r="A321" s="8"/>
      <c r="B321" s="8"/>
      <c r="C321" s="8"/>
      <c r="D321" s="8"/>
      <c r="E321" s="8"/>
      <c r="F321" s="8"/>
      <c r="G321" s="8"/>
      <c r="H321" s="8"/>
      <c r="I321" s="8"/>
      <c r="J321" s="8"/>
      <c r="K321" s="8"/>
      <c r="L321" s="8"/>
      <c r="M321" s="8"/>
      <c r="N321" s="8"/>
      <c r="O321" s="8"/>
      <c r="P321" s="8"/>
      <c r="Q321" s="8"/>
      <c r="R321" s="8"/>
    </row>
    <row r="322" customFormat="false" ht="27.75" hidden="false" customHeight="true" outlineLevel="0" collapsed="false">
      <c r="A322" s="7"/>
      <c r="B322" s="7"/>
      <c r="C322" s="7"/>
      <c r="D322" s="7"/>
      <c r="E322" s="7"/>
      <c r="F322" s="7"/>
      <c r="G322" s="7"/>
      <c r="H322" s="7"/>
      <c r="I322" s="7"/>
      <c r="J322" s="7"/>
      <c r="K322" s="7"/>
      <c r="L322" s="7"/>
      <c r="M322" s="7"/>
      <c r="N322" s="7"/>
      <c r="O322" s="7"/>
      <c r="P322" s="7"/>
      <c r="Q322" s="7"/>
      <c r="R322" s="7"/>
    </row>
    <row r="323" customFormat="false" ht="27.75" hidden="false" customHeight="true" outlineLevel="0" collapsed="false">
      <c r="A323" s="8"/>
      <c r="B323" s="8"/>
      <c r="C323" s="8"/>
      <c r="D323" s="8"/>
      <c r="E323" s="8"/>
      <c r="F323" s="8"/>
      <c r="G323" s="8"/>
      <c r="H323" s="8"/>
      <c r="I323" s="8"/>
      <c r="J323" s="8"/>
      <c r="K323" s="8"/>
      <c r="L323" s="8"/>
      <c r="M323" s="8"/>
      <c r="N323" s="8"/>
      <c r="O323" s="8"/>
      <c r="P323" s="8"/>
      <c r="Q323" s="8"/>
      <c r="R323" s="8"/>
    </row>
    <row r="324" customFormat="false" ht="27.75" hidden="false" customHeight="true" outlineLevel="0" collapsed="false">
      <c r="A324" s="7"/>
      <c r="B324" s="7"/>
      <c r="C324" s="7"/>
      <c r="D324" s="7"/>
      <c r="E324" s="7"/>
      <c r="F324" s="7"/>
      <c r="G324" s="7"/>
      <c r="H324" s="7"/>
      <c r="I324" s="7"/>
      <c r="J324" s="7"/>
      <c r="K324" s="7"/>
      <c r="L324" s="7"/>
      <c r="M324" s="7"/>
      <c r="N324" s="7"/>
      <c r="O324" s="7"/>
      <c r="P324" s="7"/>
      <c r="Q324" s="7"/>
      <c r="R324" s="7"/>
    </row>
    <row r="325" customFormat="false" ht="27.75" hidden="false" customHeight="true" outlineLevel="0" collapsed="false">
      <c r="A325" s="8"/>
      <c r="B325" s="8"/>
      <c r="C325" s="8"/>
      <c r="D325" s="8"/>
      <c r="E325" s="8"/>
      <c r="F325" s="8"/>
      <c r="G325" s="8"/>
      <c r="H325" s="8"/>
      <c r="I325" s="8"/>
      <c r="J325" s="8"/>
      <c r="K325" s="8"/>
      <c r="L325" s="8"/>
      <c r="M325" s="8"/>
      <c r="N325" s="8"/>
      <c r="O325" s="8"/>
      <c r="P325" s="8"/>
      <c r="Q325" s="8"/>
      <c r="R325" s="8"/>
    </row>
    <row r="326" customFormat="false" ht="27.75" hidden="false" customHeight="true" outlineLevel="0" collapsed="false">
      <c r="A326" s="7"/>
      <c r="B326" s="7"/>
      <c r="C326" s="7"/>
      <c r="D326" s="7"/>
      <c r="E326" s="7"/>
      <c r="F326" s="7"/>
      <c r="G326" s="7"/>
      <c r="H326" s="7"/>
      <c r="I326" s="7"/>
      <c r="J326" s="7"/>
      <c r="K326" s="7"/>
      <c r="L326" s="7"/>
      <c r="M326" s="7"/>
      <c r="N326" s="7"/>
      <c r="O326" s="7"/>
      <c r="P326" s="7"/>
      <c r="Q326" s="7"/>
      <c r="R326" s="7"/>
    </row>
    <row r="327" customFormat="false" ht="27.75" hidden="false" customHeight="true" outlineLevel="0" collapsed="false">
      <c r="A327" s="8"/>
      <c r="B327" s="8"/>
      <c r="C327" s="8"/>
      <c r="D327" s="8"/>
      <c r="E327" s="8"/>
      <c r="F327" s="8"/>
      <c r="G327" s="8"/>
      <c r="H327" s="8"/>
      <c r="I327" s="8"/>
      <c r="J327" s="8"/>
      <c r="K327" s="8"/>
      <c r="L327" s="8"/>
      <c r="M327" s="8"/>
      <c r="N327" s="8"/>
      <c r="O327" s="8"/>
      <c r="P327" s="8"/>
      <c r="Q327" s="8"/>
      <c r="R327" s="8"/>
    </row>
    <row r="328" customFormat="false" ht="27.75" hidden="false" customHeight="true" outlineLevel="0" collapsed="false">
      <c r="A328" s="7"/>
      <c r="B328" s="7"/>
      <c r="C328" s="7"/>
      <c r="D328" s="7"/>
      <c r="E328" s="7"/>
      <c r="F328" s="7"/>
      <c r="G328" s="7"/>
      <c r="H328" s="7"/>
      <c r="I328" s="7"/>
      <c r="J328" s="7"/>
      <c r="K328" s="7"/>
      <c r="L328" s="7"/>
      <c r="M328" s="7"/>
      <c r="N328" s="7"/>
      <c r="O328" s="7"/>
      <c r="P328" s="7"/>
      <c r="Q328" s="7"/>
      <c r="R328" s="7"/>
    </row>
    <row r="329" customFormat="false" ht="27.75" hidden="false" customHeight="true" outlineLevel="0" collapsed="false">
      <c r="A329" s="8"/>
      <c r="B329" s="8"/>
      <c r="C329" s="8"/>
      <c r="D329" s="8"/>
      <c r="E329" s="8"/>
      <c r="F329" s="8"/>
      <c r="G329" s="8"/>
      <c r="H329" s="8"/>
      <c r="I329" s="8"/>
      <c r="J329" s="8"/>
      <c r="K329" s="8"/>
      <c r="L329" s="8"/>
      <c r="M329" s="8"/>
      <c r="N329" s="8"/>
      <c r="O329" s="8"/>
      <c r="P329" s="8"/>
      <c r="Q329" s="8"/>
      <c r="R329" s="8"/>
    </row>
    <row r="330" customFormat="false" ht="27.75" hidden="false" customHeight="true" outlineLevel="0" collapsed="false">
      <c r="A330" s="7"/>
      <c r="B330" s="7"/>
      <c r="C330" s="7"/>
      <c r="D330" s="7"/>
      <c r="E330" s="7"/>
      <c r="F330" s="7"/>
      <c r="G330" s="7"/>
      <c r="H330" s="7"/>
      <c r="I330" s="7"/>
      <c r="J330" s="7"/>
      <c r="K330" s="7"/>
      <c r="L330" s="7"/>
      <c r="M330" s="7"/>
      <c r="N330" s="7"/>
      <c r="O330" s="7"/>
      <c r="P330" s="7"/>
      <c r="Q330" s="7"/>
      <c r="R330" s="7"/>
    </row>
    <row r="331" customFormat="false" ht="27.75" hidden="false" customHeight="true" outlineLevel="0" collapsed="false">
      <c r="A331" s="8"/>
      <c r="B331" s="8"/>
      <c r="C331" s="8"/>
      <c r="D331" s="8"/>
      <c r="E331" s="8"/>
      <c r="F331" s="8"/>
      <c r="G331" s="8"/>
      <c r="H331" s="8"/>
      <c r="I331" s="8"/>
      <c r="J331" s="8"/>
      <c r="K331" s="8"/>
      <c r="L331" s="8"/>
      <c r="M331" s="8"/>
      <c r="N331" s="8"/>
      <c r="O331" s="8"/>
      <c r="P331" s="8"/>
      <c r="Q331" s="8"/>
      <c r="R331" s="8"/>
    </row>
    <row r="332" customFormat="false" ht="27.75" hidden="false" customHeight="true" outlineLevel="0" collapsed="false">
      <c r="A332" s="7"/>
      <c r="B332" s="7"/>
      <c r="C332" s="7"/>
      <c r="D332" s="7"/>
      <c r="E332" s="7"/>
      <c r="F332" s="7"/>
      <c r="G332" s="7"/>
      <c r="H332" s="7"/>
      <c r="I332" s="7"/>
      <c r="J332" s="7"/>
      <c r="K332" s="7"/>
      <c r="L332" s="7"/>
      <c r="M332" s="7"/>
      <c r="N332" s="7"/>
      <c r="O332" s="7"/>
      <c r="P332" s="7"/>
      <c r="Q332" s="7"/>
      <c r="R332" s="7"/>
    </row>
    <row r="333" customFormat="false" ht="27.75" hidden="false" customHeight="true" outlineLevel="0" collapsed="false">
      <c r="A333" s="8"/>
      <c r="B333" s="8"/>
      <c r="C333" s="8"/>
      <c r="D333" s="8"/>
      <c r="E333" s="8"/>
      <c r="F333" s="8"/>
      <c r="G333" s="8"/>
      <c r="H333" s="8"/>
      <c r="I333" s="8"/>
      <c r="J333" s="8"/>
      <c r="K333" s="8"/>
      <c r="L333" s="8"/>
      <c r="M333" s="8"/>
      <c r="N333" s="8"/>
      <c r="O333" s="8"/>
      <c r="P333" s="8"/>
      <c r="Q333" s="8"/>
      <c r="R333" s="8"/>
    </row>
    <row r="334" customFormat="false" ht="27.75" hidden="false" customHeight="true" outlineLevel="0" collapsed="false">
      <c r="A334" s="7"/>
      <c r="B334" s="7"/>
      <c r="C334" s="7"/>
      <c r="D334" s="7"/>
      <c r="E334" s="7"/>
      <c r="F334" s="7"/>
      <c r="G334" s="7"/>
      <c r="H334" s="7"/>
      <c r="I334" s="7"/>
      <c r="J334" s="7"/>
      <c r="K334" s="7"/>
      <c r="L334" s="7"/>
      <c r="M334" s="7"/>
      <c r="N334" s="7"/>
      <c r="O334" s="7"/>
      <c r="P334" s="7"/>
      <c r="Q334" s="7"/>
      <c r="R334" s="7"/>
    </row>
    <row r="335" customFormat="false" ht="27.75" hidden="false" customHeight="true" outlineLevel="0" collapsed="false">
      <c r="A335" s="8"/>
      <c r="B335" s="8"/>
      <c r="C335" s="8"/>
      <c r="D335" s="8"/>
      <c r="E335" s="8"/>
      <c r="F335" s="8"/>
      <c r="G335" s="8"/>
      <c r="H335" s="8"/>
      <c r="I335" s="8"/>
      <c r="J335" s="8"/>
      <c r="K335" s="8"/>
      <c r="L335" s="8"/>
      <c r="M335" s="8"/>
      <c r="N335" s="8"/>
      <c r="O335" s="8"/>
      <c r="P335" s="8"/>
      <c r="Q335" s="8"/>
      <c r="R335" s="8"/>
    </row>
    <row r="336" customFormat="false" ht="27.75" hidden="false" customHeight="true" outlineLevel="0" collapsed="false">
      <c r="A336" s="7"/>
      <c r="B336" s="7"/>
      <c r="C336" s="7"/>
      <c r="D336" s="7"/>
      <c r="E336" s="7"/>
      <c r="F336" s="7"/>
      <c r="G336" s="7"/>
      <c r="H336" s="7"/>
      <c r="I336" s="7"/>
      <c r="J336" s="7"/>
      <c r="K336" s="7"/>
      <c r="L336" s="7"/>
      <c r="M336" s="7"/>
      <c r="N336" s="7"/>
      <c r="O336" s="7"/>
      <c r="P336" s="7"/>
      <c r="Q336" s="7"/>
      <c r="R336" s="7"/>
    </row>
    <row r="337" customFormat="false" ht="27.75" hidden="false" customHeight="true" outlineLevel="0" collapsed="false">
      <c r="A337" s="8"/>
      <c r="B337" s="8"/>
      <c r="C337" s="8"/>
      <c r="D337" s="8"/>
      <c r="E337" s="8"/>
      <c r="F337" s="8"/>
      <c r="G337" s="8"/>
      <c r="H337" s="8"/>
      <c r="I337" s="8"/>
      <c r="J337" s="8"/>
      <c r="K337" s="8"/>
      <c r="L337" s="8"/>
      <c r="M337" s="8"/>
      <c r="N337" s="8"/>
      <c r="O337" s="8"/>
      <c r="P337" s="8"/>
      <c r="Q337" s="8"/>
      <c r="R337" s="8"/>
    </row>
    <row r="338" customFormat="false" ht="27.75" hidden="false" customHeight="true" outlineLevel="0" collapsed="false">
      <c r="A338" s="7"/>
      <c r="B338" s="7"/>
      <c r="C338" s="7"/>
      <c r="D338" s="7"/>
      <c r="E338" s="7"/>
      <c r="F338" s="7"/>
      <c r="G338" s="7"/>
      <c r="H338" s="7"/>
      <c r="I338" s="7"/>
      <c r="J338" s="7"/>
      <c r="K338" s="7"/>
      <c r="L338" s="7"/>
      <c r="M338" s="7"/>
      <c r="N338" s="7"/>
      <c r="O338" s="7"/>
      <c r="P338" s="7"/>
      <c r="Q338" s="7"/>
      <c r="R338" s="7"/>
    </row>
    <row r="339" customFormat="false" ht="27.75" hidden="false" customHeight="true" outlineLevel="0" collapsed="false">
      <c r="A339" s="8"/>
      <c r="B339" s="8"/>
      <c r="C339" s="8"/>
      <c r="D339" s="8"/>
      <c r="E339" s="8"/>
      <c r="F339" s="8"/>
      <c r="G339" s="8"/>
      <c r="H339" s="8"/>
      <c r="I339" s="8"/>
      <c r="J339" s="8"/>
      <c r="K339" s="8"/>
      <c r="L339" s="8"/>
      <c r="M339" s="8"/>
      <c r="N339" s="8"/>
      <c r="O339" s="8"/>
      <c r="P339" s="8"/>
      <c r="Q339" s="8"/>
      <c r="R339" s="8"/>
    </row>
    <row r="340" customFormat="false" ht="27.75" hidden="false" customHeight="true" outlineLevel="0" collapsed="false">
      <c r="A340" s="7"/>
      <c r="B340" s="7"/>
      <c r="C340" s="7"/>
      <c r="D340" s="7"/>
      <c r="E340" s="7"/>
      <c r="F340" s="7"/>
      <c r="G340" s="7"/>
      <c r="H340" s="7"/>
      <c r="I340" s="7"/>
      <c r="J340" s="7"/>
      <c r="K340" s="7"/>
      <c r="L340" s="7"/>
      <c r="M340" s="7"/>
      <c r="N340" s="7"/>
      <c r="O340" s="7"/>
      <c r="P340" s="7"/>
      <c r="Q340" s="7"/>
      <c r="R340" s="7"/>
    </row>
    <row r="341" customFormat="false" ht="27.75" hidden="false" customHeight="true" outlineLevel="0" collapsed="false">
      <c r="A341" s="8"/>
      <c r="B341" s="8"/>
      <c r="C341" s="8"/>
      <c r="D341" s="8"/>
      <c r="E341" s="8"/>
      <c r="F341" s="8"/>
      <c r="G341" s="8"/>
      <c r="H341" s="8"/>
      <c r="I341" s="8"/>
      <c r="J341" s="8"/>
      <c r="K341" s="8"/>
      <c r="L341" s="8"/>
      <c r="M341" s="8"/>
      <c r="N341" s="8"/>
      <c r="O341" s="8"/>
      <c r="P341" s="8"/>
      <c r="Q341" s="8"/>
      <c r="R341" s="8"/>
    </row>
    <row r="342" customFormat="false" ht="27.75" hidden="false" customHeight="true" outlineLevel="0" collapsed="false">
      <c r="A342" s="7"/>
      <c r="B342" s="7"/>
      <c r="C342" s="7"/>
      <c r="D342" s="7"/>
      <c r="E342" s="7"/>
      <c r="F342" s="7"/>
      <c r="G342" s="7"/>
      <c r="H342" s="7"/>
      <c r="I342" s="7"/>
      <c r="J342" s="7"/>
      <c r="K342" s="7"/>
      <c r="L342" s="7"/>
      <c r="M342" s="7"/>
      <c r="N342" s="7"/>
      <c r="O342" s="7"/>
      <c r="P342" s="7"/>
      <c r="Q342" s="7"/>
      <c r="R342" s="7"/>
    </row>
    <row r="343" customFormat="false" ht="27.75" hidden="false" customHeight="true" outlineLevel="0" collapsed="false">
      <c r="A343" s="8"/>
      <c r="B343" s="8"/>
      <c r="C343" s="8"/>
      <c r="D343" s="8"/>
      <c r="E343" s="8"/>
      <c r="F343" s="8"/>
      <c r="G343" s="8"/>
      <c r="H343" s="8"/>
      <c r="I343" s="8"/>
      <c r="J343" s="8"/>
      <c r="K343" s="8"/>
      <c r="L343" s="8"/>
      <c r="M343" s="8"/>
      <c r="N343" s="8"/>
      <c r="O343" s="8"/>
      <c r="P343" s="8"/>
      <c r="Q343" s="8"/>
      <c r="R343" s="8"/>
    </row>
    <row r="344" customFormat="false" ht="27.75" hidden="false" customHeight="true" outlineLevel="0" collapsed="false">
      <c r="A344" s="7"/>
      <c r="B344" s="7"/>
      <c r="C344" s="7"/>
      <c r="D344" s="7"/>
      <c r="E344" s="7"/>
      <c r="F344" s="7"/>
      <c r="G344" s="7"/>
      <c r="H344" s="7"/>
      <c r="I344" s="7"/>
      <c r="J344" s="7"/>
      <c r="K344" s="7"/>
      <c r="L344" s="7"/>
      <c r="M344" s="7"/>
      <c r="N344" s="7"/>
      <c r="O344" s="7"/>
      <c r="P344" s="7"/>
      <c r="Q344" s="7"/>
      <c r="R344" s="7"/>
    </row>
    <row r="345" customFormat="false" ht="27.75" hidden="false" customHeight="true" outlineLevel="0" collapsed="false">
      <c r="A345" s="8"/>
      <c r="B345" s="8"/>
      <c r="C345" s="8"/>
      <c r="D345" s="8"/>
      <c r="E345" s="8"/>
      <c r="F345" s="8"/>
      <c r="G345" s="8"/>
      <c r="H345" s="8"/>
      <c r="I345" s="8"/>
      <c r="J345" s="8"/>
      <c r="K345" s="8"/>
      <c r="L345" s="8"/>
      <c r="M345" s="8"/>
      <c r="N345" s="8"/>
      <c r="O345" s="8"/>
      <c r="P345" s="8"/>
      <c r="Q345" s="8"/>
      <c r="R345" s="8"/>
    </row>
    <row r="346" customFormat="false" ht="27.75" hidden="false" customHeight="true" outlineLevel="0" collapsed="false">
      <c r="A346" s="7"/>
      <c r="B346" s="7"/>
      <c r="C346" s="7"/>
      <c r="D346" s="7"/>
      <c r="E346" s="7"/>
      <c r="F346" s="7"/>
      <c r="G346" s="7"/>
      <c r="H346" s="7"/>
      <c r="I346" s="7"/>
      <c r="J346" s="7"/>
      <c r="K346" s="7"/>
      <c r="L346" s="7"/>
      <c r="M346" s="7"/>
      <c r="N346" s="7"/>
      <c r="O346" s="7"/>
      <c r="P346" s="7"/>
      <c r="Q346" s="7"/>
      <c r="R346" s="7"/>
    </row>
    <row r="347" customFormat="false" ht="27.75" hidden="false" customHeight="true" outlineLevel="0" collapsed="false">
      <c r="A347" s="8"/>
      <c r="B347" s="8"/>
      <c r="C347" s="8"/>
      <c r="D347" s="8"/>
      <c r="E347" s="8"/>
      <c r="F347" s="8"/>
      <c r="G347" s="8"/>
      <c r="H347" s="8"/>
      <c r="I347" s="8"/>
      <c r="J347" s="8"/>
      <c r="K347" s="8"/>
      <c r="L347" s="8"/>
      <c r="M347" s="8"/>
      <c r="N347" s="8"/>
      <c r="O347" s="8"/>
      <c r="P347" s="8"/>
      <c r="Q347" s="8"/>
      <c r="R347" s="8"/>
    </row>
    <row r="348" customFormat="false" ht="27.75" hidden="false" customHeight="true" outlineLevel="0" collapsed="false">
      <c r="A348" s="7"/>
      <c r="B348" s="7"/>
      <c r="C348" s="7"/>
      <c r="D348" s="7"/>
      <c r="E348" s="7"/>
      <c r="F348" s="7"/>
      <c r="G348" s="7"/>
      <c r="H348" s="7"/>
      <c r="I348" s="7"/>
      <c r="J348" s="7"/>
      <c r="K348" s="7"/>
      <c r="L348" s="7"/>
      <c r="M348" s="7"/>
      <c r="N348" s="7"/>
      <c r="O348" s="7"/>
      <c r="P348" s="7"/>
      <c r="Q348" s="7"/>
      <c r="R348" s="7"/>
    </row>
    <row r="349" customFormat="false" ht="27.75" hidden="false" customHeight="true" outlineLevel="0" collapsed="false">
      <c r="A349" s="8"/>
      <c r="B349" s="8"/>
      <c r="C349" s="8"/>
      <c r="D349" s="8"/>
      <c r="E349" s="8"/>
      <c r="F349" s="8"/>
      <c r="G349" s="8"/>
      <c r="H349" s="8"/>
      <c r="I349" s="8"/>
      <c r="J349" s="8"/>
      <c r="K349" s="8"/>
      <c r="L349" s="8"/>
      <c r="M349" s="8"/>
      <c r="N349" s="8"/>
      <c r="O349" s="8"/>
      <c r="P349" s="8"/>
      <c r="Q349" s="8"/>
      <c r="R349" s="8"/>
    </row>
    <row r="350" customFormat="false" ht="27.75" hidden="false" customHeight="true" outlineLevel="0" collapsed="false">
      <c r="A350" s="7"/>
      <c r="B350" s="7"/>
      <c r="C350" s="7"/>
      <c r="D350" s="7"/>
      <c r="E350" s="7"/>
      <c r="F350" s="7"/>
      <c r="G350" s="7"/>
      <c r="H350" s="7"/>
      <c r="I350" s="7"/>
      <c r="J350" s="7"/>
      <c r="K350" s="7"/>
      <c r="L350" s="7"/>
      <c r="M350" s="7"/>
      <c r="N350" s="7"/>
      <c r="O350" s="7"/>
      <c r="P350" s="7"/>
      <c r="Q350" s="7"/>
      <c r="R350" s="7"/>
    </row>
    <row r="351" customFormat="false" ht="27.75" hidden="false" customHeight="true" outlineLevel="0" collapsed="false">
      <c r="A351" s="8"/>
      <c r="B351" s="8"/>
      <c r="C351" s="8"/>
      <c r="D351" s="8"/>
      <c r="E351" s="8"/>
      <c r="F351" s="8"/>
      <c r="G351" s="8"/>
      <c r="H351" s="8"/>
      <c r="I351" s="8"/>
      <c r="J351" s="8"/>
      <c r="K351" s="8"/>
      <c r="L351" s="8"/>
      <c r="M351" s="8"/>
      <c r="N351" s="8"/>
      <c r="O351" s="8"/>
      <c r="P351" s="8"/>
      <c r="Q351" s="8"/>
      <c r="R351" s="8"/>
    </row>
    <row r="352" customFormat="false" ht="27.75" hidden="false" customHeight="true" outlineLevel="0" collapsed="false">
      <c r="A352" s="7"/>
      <c r="B352" s="7"/>
      <c r="C352" s="7"/>
      <c r="D352" s="7"/>
      <c r="E352" s="7"/>
      <c r="F352" s="7"/>
      <c r="G352" s="7"/>
      <c r="H352" s="7"/>
      <c r="I352" s="7"/>
      <c r="J352" s="7"/>
      <c r="K352" s="7"/>
      <c r="L352" s="7"/>
      <c r="M352" s="7"/>
      <c r="N352" s="7"/>
      <c r="O352" s="7"/>
      <c r="P352" s="7"/>
      <c r="Q352" s="7"/>
      <c r="R352" s="7"/>
    </row>
    <row r="353" customFormat="false" ht="27.75" hidden="false" customHeight="true" outlineLevel="0" collapsed="false">
      <c r="A353" s="8"/>
      <c r="B353" s="8"/>
      <c r="C353" s="8"/>
      <c r="D353" s="8"/>
      <c r="E353" s="8"/>
      <c r="F353" s="8"/>
      <c r="G353" s="8"/>
      <c r="H353" s="8"/>
      <c r="I353" s="8"/>
      <c r="J353" s="8"/>
      <c r="K353" s="8"/>
      <c r="L353" s="8"/>
      <c r="M353" s="8"/>
      <c r="N353" s="8"/>
      <c r="O353" s="8"/>
      <c r="P353" s="8"/>
      <c r="Q353" s="8"/>
      <c r="R353" s="8"/>
    </row>
    <row r="354" customFormat="false" ht="27.75" hidden="false" customHeight="true" outlineLevel="0" collapsed="false">
      <c r="A354" s="7"/>
      <c r="B354" s="7"/>
      <c r="C354" s="7"/>
      <c r="D354" s="7"/>
      <c r="E354" s="7"/>
      <c r="F354" s="7"/>
      <c r="G354" s="7"/>
      <c r="H354" s="7"/>
      <c r="I354" s="7"/>
      <c r="J354" s="7"/>
      <c r="K354" s="7"/>
      <c r="L354" s="7"/>
      <c r="M354" s="7"/>
      <c r="N354" s="7"/>
      <c r="O354" s="7"/>
      <c r="P354" s="7"/>
      <c r="Q354" s="7"/>
      <c r="R354" s="7"/>
    </row>
    <row r="355" customFormat="false" ht="27.75" hidden="false" customHeight="true" outlineLevel="0" collapsed="false">
      <c r="A355" s="8"/>
      <c r="B355" s="8"/>
      <c r="C355" s="8"/>
      <c r="D355" s="8"/>
      <c r="E355" s="8"/>
      <c r="F355" s="8"/>
      <c r="G355" s="8"/>
      <c r="H355" s="8"/>
      <c r="I355" s="8"/>
      <c r="J355" s="8"/>
      <c r="K355" s="8"/>
      <c r="L355" s="8"/>
      <c r="M355" s="8"/>
      <c r="N355" s="8"/>
      <c r="O355" s="8"/>
      <c r="P355" s="8"/>
      <c r="Q355" s="8"/>
      <c r="R355" s="8"/>
    </row>
    <row r="356" customFormat="false" ht="27.75" hidden="false" customHeight="true" outlineLevel="0" collapsed="false">
      <c r="A356" s="7"/>
      <c r="B356" s="7"/>
      <c r="C356" s="7"/>
      <c r="D356" s="7"/>
      <c r="E356" s="7"/>
      <c r="F356" s="7"/>
      <c r="G356" s="7"/>
      <c r="H356" s="7"/>
      <c r="I356" s="7"/>
      <c r="J356" s="7"/>
      <c r="K356" s="7"/>
      <c r="L356" s="7"/>
      <c r="M356" s="7"/>
      <c r="N356" s="7"/>
      <c r="O356" s="7"/>
      <c r="P356" s="7"/>
      <c r="Q356" s="7"/>
      <c r="R356" s="7"/>
    </row>
    <row r="357" customFormat="false" ht="27.75" hidden="false" customHeight="true" outlineLevel="0" collapsed="false">
      <c r="A357" s="8"/>
      <c r="B357" s="8"/>
      <c r="C357" s="8"/>
      <c r="D357" s="8"/>
      <c r="E357" s="8"/>
      <c r="F357" s="8"/>
      <c r="G357" s="8"/>
      <c r="H357" s="8"/>
      <c r="I357" s="8"/>
      <c r="J357" s="8"/>
      <c r="K357" s="8"/>
      <c r="L357" s="8"/>
      <c r="M357" s="8"/>
      <c r="N357" s="8"/>
      <c r="O357" s="8"/>
      <c r="P357" s="8"/>
      <c r="Q357" s="8"/>
      <c r="R357" s="8"/>
    </row>
    <row r="358" customFormat="false" ht="27.75" hidden="false" customHeight="true" outlineLevel="0" collapsed="false">
      <c r="A358" s="7"/>
      <c r="B358" s="7"/>
      <c r="C358" s="7"/>
      <c r="D358" s="7"/>
      <c r="E358" s="7"/>
      <c r="F358" s="7"/>
      <c r="G358" s="7"/>
      <c r="H358" s="7"/>
      <c r="I358" s="7"/>
      <c r="J358" s="7"/>
      <c r="K358" s="7"/>
      <c r="L358" s="7"/>
      <c r="M358" s="7"/>
      <c r="N358" s="7"/>
      <c r="O358" s="7"/>
      <c r="P358" s="7"/>
      <c r="Q358" s="7"/>
      <c r="R358" s="7"/>
    </row>
    <row r="359" customFormat="false" ht="27.75" hidden="false" customHeight="true" outlineLevel="0" collapsed="false">
      <c r="A359" s="8"/>
      <c r="B359" s="8"/>
      <c r="C359" s="8"/>
      <c r="D359" s="8"/>
      <c r="E359" s="8"/>
      <c r="F359" s="8"/>
      <c r="G359" s="8"/>
      <c r="H359" s="8"/>
      <c r="I359" s="8"/>
      <c r="J359" s="8"/>
      <c r="K359" s="8"/>
      <c r="L359" s="8"/>
      <c r="M359" s="8"/>
      <c r="N359" s="8"/>
      <c r="O359" s="8"/>
      <c r="P359" s="8"/>
      <c r="Q359" s="8"/>
      <c r="R359" s="8"/>
    </row>
    <row r="360" customFormat="false" ht="27.75" hidden="false" customHeight="true" outlineLevel="0" collapsed="false">
      <c r="A360" s="7"/>
      <c r="B360" s="7"/>
      <c r="C360" s="7"/>
      <c r="D360" s="7"/>
      <c r="E360" s="7"/>
      <c r="F360" s="7"/>
      <c r="G360" s="7"/>
      <c r="H360" s="7"/>
      <c r="I360" s="7"/>
      <c r="J360" s="7"/>
      <c r="K360" s="7"/>
      <c r="L360" s="7"/>
      <c r="M360" s="7"/>
      <c r="N360" s="7"/>
      <c r="O360" s="7"/>
      <c r="P360" s="7"/>
      <c r="Q360" s="7"/>
      <c r="R360" s="7"/>
    </row>
    <row r="361" customFormat="false" ht="27.75" hidden="false" customHeight="true" outlineLevel="0" collapsed="false">
      <c r="A361" s="8"/>
      <c r="B361" s="8"/>
      <c r="C361" s="8"/>
      <c r="D361" s="8"/>
      <c r="E361" s="8"/>
      <c r="F361" s="8"/>
      <c r="G361" s="8"/>
      <c r="H361" s="8"/>
      <c r="I361" s="8"/>
      <c r="J361" s="8"/>
      <c r="K361" s="8"/>
      <c r="L361" s="8"/>
      <c r="M361" s="8"/>
      <c r="N361" s="8"/>
      <c r="O361" s="8"/>
      <c r="P361" s="8"/>
      <c r="Q361" s="8"/>
      <c r="R361" s="8"/>
    </row>
    <row r="362" customFormat="false" ht="27.75" hidden="false" customHeight="true" outlineLevel="0" collapsed="false">
      <c r="A362" s="7"/>
      <c r="B362" s="7"/>
      <c r="C362" s="7"/>
      <c r="D362" s="7"/>
      <c r="E362" s="7"/>
      <c r="F362" s="7"/>
      <c r="G362" s="7"/>
      <c r="H362" s="7"/>
      <c r="I362" s="7"/>
      <c r="J362" s="7"/>
      <c r="K362" s="7"/>
      <c r="L362" s="7"/>
      <c r="M362" s="7"/>
      <c r="N362" s="7"/>
      <c r="O362" s="7"/>
      <c r="P362" s="7"/>
      <c r="Q362" s="7"/>
      <c r="R362" s="7"/>
    </row>
    <row r="363" customFormat="false" ht="27.75" hidden="false" customHeight="true" outlineLevel="0" collapsed="false">
      <c r="A363" s="8"/>
      <c r="B363" s="8"/>
      <c r="C363" s="8"/>
      <c r="D363" s="8"/>
      <c r="E363" s="8"/>
      <c r="F363" s="8"/>
      <c r="G363" s="8"/>
      <c r="H363" s="8"/>
      <c r="I363" s="8"/>
      <c r="J363" s="8"/>
      <c r="K363" s="8"/>
      <c r="L363" s="8"/>
      <c r="M363" s="8"/>
      <c r="N363" s="8"/>
      <c r="O363" s="8"/>
      <c r="P363" s="8"/>
      <c r="Q363" s="8"/>
      <c r="R363" s="8"/>
    </row>
    <row r="364" customFormat="false" ht="27.75" hidden="false" customHeight="true" outlineLevel="0" collapsed="false">
      <c r="A364" s="7"/>
      <c r="B364" s="7"/>
      <c r="C364" s="7"/>
      <c r="D364" s="7"/>
      <c r="E364" s="7"/>
      <c r="F364" s="7"/>
      <c r="G364" s="7"/>
      <c r="H364" s="7"/>
      <c r="I364" s="7"/>
      <c r="J364" s="7"/>
      <c r="K364" s="7"/>
      <c r="L364" s="7"/>
      <c r="M364" s="7"/>
      <c r="N364" s="7"/>
      <c r="O364" s="7"/>
      <c r="P364" s="7"/>
      <c r="Q364" s="7"/>
      <c r="R364" s="7"/>
    </row>
    <row r="365" customFormat="false" ht="27.75" hidden="false" customHeight="true" outlineLevel="0" collapsed="false">
      <c r="A365" s="8"/>
      <c r="B365" s="8"/>
      <c r="C365" s="8"/>
      <c r="D365" s="8"/>
      <c r="E365" s="8"/>
      <c r="F365" s="8"/>
      <c r="G365" s="8"/>
      <c r="H365" s="8"/>
      <c r="I365" s="8"/>
      <c r="J365" s="8"/>
      <c r="K365" s="8"/>
      <c r="L365" s="8"/>
      <c r="M365" s="8"/>
      <c r="N365" s="8"/>
      <c r="O365" s="8"/>
      <c r="P365" s="8"/>
      <c r="Q365" s="8"/>
      <c r="R365" s="8"/>
    </row>
    <row r="366" customFormat="false" ht="27.75" hidden="false" customHeight="true" outlineLevel="0" collapsed="false">
      <c r="A366" s="7"/>
      <c r="B366" s="7"/>
      <c r="C366" s="7"/>
      <c r="D366" s="7"/>
      <c r="E366" s="7"/>
      <c r="F366" s="7"/>
      <c r="G366" s="7"/>
      <c r="H366" s="7"/>
      <c r="I366" s="7"/>
      <c r="J366" s="7"/>
      <c r="K366" s="7"/>
      <c r="L366" s="7"/>
      <c r="M366" s="7"/>
      <c r="N366" s="7"/>
      <c r="O366" s="7"/>
      <c r="P366" s="7"/>
      <c r="Q366" s="7"/>
      <c r="R366" s="7"/>
    </row>
    <row r="367" customFormat="false" ht="27.75" hidden="false" customHeight="true" outlineLevel="0" collapsed="false">
      <c r="A367" s="8"/>
      <c r="B367" s="8"/>
      <c r="C367" s="8"/>
      <c r="D367" s="8"/>
      <c r="E367" s="8"/>
      <c r="F367" s="8"/>
      <c r="G367" s="8"/>
      <c r="H367" s="8"/>
      <c r="I367" s="8"/>
      <c r="J367" s="8"/>
      <c r="K367" s="8"/>
      <c r="L367" s="8"/>
      <c r="M367" s="8"/>
      <c r="N367" s="8"/>
      <c r="O367" s="8"/>
      <c r="P367" s="8"/>
      <c r="Q367" s="8"/>
      <c r="R367" s="8"/>
    </row>
    <row r="368" customFormat="false" ht="27.75" hidden="false" customHeight="true" outlineLevel="0" collapsed="false">
      <c r="A368" s="7"/>
      <c r="B368" s="7"/>
      <c r="C368" s="7"/>
      <c r="D368" s="7"/>
      <c r="E368" s="7"/>
      <c r="F368" s="7"/>
      <c r="G368" s="7"/>
      <c r="H368" s="7"/>
      <c r="I368" s="7"/>
      <c r="J368" s="7"/>
      <c r="K368" s="7"/>
      <c r="L368" s="7"/>
      <c r="M368" s="7"/>
      <c r="N368" s="7"/>
      <c r="O368" s="7"/>
      <c r="P368" s="7"/>
      <c r="Q368" s="7"/>
      <c r="R368" s="7"/>
    </row>
    <row r="369" customFormat="false" ht="27.75" hidden="false" customHeight="true" outlineLevel="0" collapsed="false">
      <c r="A369" s="8"/>
      <c r="B369" s="8"/>
      <c r="C369" s="8"/>
      <c r="D369" s="8"/>
      <c r="E369" s="8"/>
      <c r="F369" s="8"/>
      <c r="G369" s="8"/>
      <c r="H369" s="8"/>
      <c r="I369" s="8"/>
      <c r="J369" s="8"/>
      <c r="K369" s="8"/>
      <c r="L369" s="8"/>
      <c r="M369" s="8"/>
      <c r="N369" s="8"/>
      <c r="O369" s="8"/>
      <c r="P369" s="8"/>
      <c r="Q369" s="8"/>
      <c r="R369" s="8"/>
    </row>
    <row r="370" customFormat="false" ht="27.75" hidden="false" customHeight="true" outlineLevel="0" collapsed="false">
      <c r="A370" s="7"/>
      <c r="B370" s="7"/>
      <c r="C370" s="7"/>
      <c r="D370" s="7"/>
      <c r="E370" s="7"/>
      <c r="F370" s="7"/>
      <c r="G370" s="7"/>
      <c r="H370" s="7"/>
      <c r="I370" s="7"/>
      <c r="J370" s="7"/>
      <c r="K370" s="7"/>
      <c r="L370" s="7"/>
      <c r="M370" s="7"/>
      <c r="N370" s="7"/>
      <c r="O370" s="7"/>
      <c r="P370" s="7"/>
      <c r="Q370" s="7"/>
      <c r="R370" s="7"/>
    </row>
    <row r="371" customFormat="false" ht="27.75" hidden="false" customHeight="true" outlineLevel="0" collapsed="false">
      <c r="A371" s="8"/>
      <c r="B371" s="8"/>
      <c r="C371" s="8"/>
      <c r="D371" s="8"/>
      <c r="E371" s="8"/>
      <c r="F371" s="8"/>
      <c r="G371" s="8"/>
      <c r="H371" s="8"/>
      <c r="I371" s="8"/>
      <c r="J371" s="8"/>
      <c r="K371" s="8"/>
      <c r="L371" s="8"/>
      <c r="M371" s="8"/>
      <c r="N371" s="8"/>
      <c r="O371" s="8"/>
      <c r="P371" s="8"/>
      <c r="Q371" s="8"/>
      <c r="R371" s="8"/>
    </row>
    <row r="372" customFormat="false" ht="27.75" hidden="false" customHeight="true" outlineLevel="0" collapsed="false">
      <c r="A372" s="7"/>
      <c r="B372" s="7"/>
      <c r="C372" s="7"/>
      <c r="D372" s="7"/>
      <c r="E372" s="7"/>
      <c r="F372" s="7"/>
      <c r="G372" s="7"/>
      <c r="H372" s="7"/>
      <c r="I372" s="7"/>
      <c r="J372" s="7"/>
      <c r="K372" s="7"/>
      <c r="L372" s="7"/>
      <c r="M372" s="7"/>
      <c r="N372" s="7"/>
      <c r="O372" s="7"/>
      <c r="P372" s="7"/>
      <c r="Q372" s="7"/>
      <c r="R372" s="7"/>
    </row>
    <row r="373" customFormat="false" ht="27.75" hidden="false" customHeight="true" outlineLevel="0" collapsed="false">
      <c r="A373" s="8"/>
      <c r="B373" s="8"/>
      <c r="C373" s="8"/>
      <c r="D373" s="8"/>
      <c r="E373" s="8"/>
      <c r="F373" s="8"/>
      <c r="G373" s="8"/>
      <c r="H373" s="8"/>
      <c r="I373" s="8"/>
      <c r="J373" s="8"/>
      <c r="K373" s="8"/>
      <c r="L373" s="8"/>
      <c r="M373" s="8"/>
      <c r="N373" s="8"/>
      <c r="O373" s="8"/>
      <c r="P373" s="8"/>
      <c r="Q373" s="8"/>
      <c r="R373" s="8"/>
    </row>
    <row r="374" customFormat="false" ht="27.75" hidden="false" customHeight="true" outlineLevel="0" collapsed="false">
      <c r="A374" s="7"/>
      <c r="B374" s="7"/>
      <c r="C374" s="7"/>
      <c r="D374" s="7"/>
      <c r="E374" s="7"/>
      <c r="F374" s="7"/>
      <c r="G374" s="7"/>
      <c r="H374" s="7"/>
      <c r="I374" s="7"/>
      <c r="J374" s="7"/>
      <c r="K374" s="7"/>
      <c r="L374" s="7"/>
      <c r="M374" s="7"/>
      <c r="N374" s="7"/>
      <c r="O374" s="7"/>
      <c r="P374" s="7"/>
      <c r="Q374" s="7"/>
      <c r="R374" s="7"/>
    </row>
    <row r="375" customFormat="false" ht="27.75" hidden="false" customHeight="true" outlineLevel="0" collapsed="false">
      <c r="A375" s="8"/>
      <c r="B375" s="8"/>
      <c r="C375" s="8"/>
      <c r="D375" s="8"/>
      <c r="E375" s="8"/>
      <c r="F375" s="8"/>
      <c r="G375" s="8"/>
      <c r="H375" s="8"/>
      <c r="I375" s="8"/>
      <c r="J375" s="8"/>
      <c r="K375" s="8"/>
      <c r="L375" s="8"/>
      <c r="M375" s="8"/>
      <c r="N375" s="8"/>
      <c r="O375" s="8"/>
      <c r="P375" s="8"/>
      <c r="Q375" s="8"/>
      <c r="R375" s="8"/>
    </row>
    <row r="376" customFormat="false" ht="27.75" hidden="false" customHeight="true" outlineLevel="0" collapsed="false">
      <c r="A376" s="7"/>
      <c r="B376" s="7"/>
      <c r="C376" s="7"/>
      <c r="D376" s="7"/>
      <c r="E376" s="7"/>
      <c r="F376" s="7"/>
      <c r="G376" s="7"/>
      <c r="H376" s="7"/>
      <c r="I376" s="7"/>
      <c r="J376" s="7"/>
      <c r="K376" s="7"/>
      <c r="L376" s="7"/>
      <c r="M376" s="7"/>
      <c r="N376" s="7"/>
      <c r="O376" s="7"/>
      <c r="P376" s="7"/>
      <c r="Q376" s="7"/>
      <c r="R376" s="7"/>
    </row>
    <row r="377" customFormat="false" ht="27.75" hidden="false" customHeight="true" outlineLevel="0" collapsed="false">
      <c r="A377" s="8"/>
      <c r="B377" s="8"/>
      <c r="C377" s="8"/>
      <c r="D377" s="8"/>
      <c r="E377" s="8"/>
      <c r="F377" s="8"/>
      <c r="G377" s="8"/>
      <c r="H377" s="8"/>
      <c r="I377" s="8"/>
      <c r="J377" s="8"/>
      <c r="K377" s="8"/>
      <c r="L377" s="8"/>
      <c r="M377" s="8"/>
      <c r="N377" s="8"/>
      <c r="O377" s="8"/>
      <c r="P377" s="8"/>
      <c r="Q377" s="8"/>
      <c r="R377" s="8"/>
    </row>
    <row r="378" customFormat="false" ht="27.75" hidden="false" customHeight="true" outlineLevel="0" collapsed="false">
      <c r="A378" s="7"/>
      <c r="B378" s="7"/>
      <c r="C378" s="7"/>
      <c r="D378" s="7"/>
      <c r="E378" s="7"/>
      <c r="F378" s="7"/>
      <c r="G378" s="7"/>
      <c r="H378" s="7"/>
      <c r="I378" s="7"/>
      <c r="J378" s="7"/>
      <c r="K378" s="7"/>
      <c r="L378" s="7"/>
      <c r="M378" s="7"/>
      <c r="N378" s="7"/>
      <c r="O378" s="7"/>
      <c r="P378" s="7"/>
      <c r="Q378" s="7"/>
      <c r="R378" s="7"/>
    </row>
    <row r="379" customFormat="false" ht="27.75" hidden="false" customHeight="true" outlineLevel="0" collapsed="false">
      <c r="A379" s="8"/>
      <c r="B379" s="8"/>
      <c r="C379" s="8"/>
      <c r="D379" s="8"/>
      <c r="E379" s="8"/>
      <c r="F379" s="8"/>
      <c r="G379" s="8"/>
      <c r="H379" s="8"/>
      <c r="I379" s="8"/>
      <c r="J379" s="8"/>
      <c r="K379" s="8"/>
      <c r="L379" s="8"/>
      <c r="M379" s="8"/>
      <c r="N379" s="8"/>
      <c r="O379" s="8"/>
      <c r="P379" s="8"/>
      <c r="Q379" s="8"/>
      <c r="R379" s="8"/>
    </row>
    <row r="380" customFormat="false" ht="27.75" hidden="false" customHeight="true" outlineLevel="0" collapsed="false">
      <c r="A380" s="7"/>
      <c r="B380" s="7"/>
      <c r="C380" s="7"/>
      <c r="D380" s="7"/>
      <c r="E380" s="7"/>
      <c r="F380" s="7"/>
      <c r="G380" s="7"/>
      <c r="H380" s="7"/>
      <c r="I380" s="7"/>
      <c r="J380" s="7"/>
      <c r="K380" s="7"/>
      <c r="L380" s="7"/>
      <c r="M380" s="7"/>
      <c r="N380" s="7"/>
      <c r="O380" s="7"/>
      <c r="P380" s="7"/>
      <c r="Q380" s="7"/>
      <c r="R380" s="7"/>
    </row>
    <row r="381" customFormat="false" ht="27.75" hidden="false" customHeight="true" outlineLevel="0" collapsed="false">
      <c r="A381" s="8"/>
      <c r="B381" s="8"/>
      <c r="C381" s="8"/>
      <c r="D381" s="8"/>
      <c r="E381" s="8"/>
      <c r="F381" s="8"/>
      <c r="G381" s="8"/>
      <c r="H381" s="8"/>
      <c r="I381" s="8"/>
      <c r="J381" s="8"/>
      <c r="K381" s="8"/>
      <c r="L381" s="8"/>
      <c r="M381" s="8"/>
      <c r="N381" s="8"/>
      <c r="O381" s="8"/>
      <c r="P381" s="8"/>
      <c r="Q381" s="8"/>
      <c r="R381" s="8"/>
    </row>
    <row r="382" customFormat="false" ht="27.75" hidden="false" customHeight="true" outlineLevel="0" collapsed="false">
      <c r="A382" s="7"/>
      <c r="B382" s="7"/>
      <c r="C382" s="7"/>
      <c r="D382" s="7"/>
      <c r="E382" s="7"/>
      <c r="F382" s="7"/>
      <c r="G382" s="7"/>
      <c r="H382" s="7"/>
      <c r="I382" s="7"/>
      <c r="J382" s="7"/>
      <c r="K382" s="7"/>
      <c r="L382" s="7"/>
      <c r="M382" s="7"/>
      <c r="N382" s="7"/>
      <c r="O382" s="7"/>
      <c r="P382" s="7"/>
      <c r="Q382" s="7"/>
      <c r="R382" s="7"/>
    </row>
    <row r="383" customFormat="false" ht="27.75" hidden="false" customHeight="true" outlineLevel="0" collapsed="false">
      <c r="A383" s="8"/>
      <c r="B383" s="8"/>
      <c r="C383" s="8"/>
      <c r="D383" s="8"/>
      <c r="E383" s="8"/>
      <c r="F383" s="8"/>
      <c r="G383" s="8"/>
      <c r="H383" s="8"/>
      <c r="I383" s="8"/>
      <c r="J383" s="8"/>
      <c r="K383" s="8"/>
      <c r="L383" s="8"/>
      <c r="M383" s="8"/>
      <c r="N383" s="8"/>
      <c r="O383" s="8"/>
      <c r="P383" s="8"/>
      <c r="Q383" s="8"/>
      <c r="R383" s="8"/>
    </row>
    <row r="384" customFormat="false" ht="27.75" hidden="false" customHeight="true" outlineLevel="0" collapsed="false">
      <c r="A384" s="7"/>
      <c r="B384" s="7"/>
      <c r="C384" s="7"/>
      <c r="D384" s="7"/>
      <c r="E384" s="7"/>
      <c r="F384" s="7"/>
      <c r="G384" s="7"/>
      <c r="H384" s="7"/>
      <c r="I384" s="7"/>
      <c r="J384" s="7"/>
      <c r="K384" s="7"/>
      <c r="L384" s="7"/>
      <c r="M384" s="7"/>
      <c r="N384" s="7"/>
      <c r="O384" s="7"/>
      <c r="P384" s="7"/>
      <c r="Q384" s="7"/>
      <c r="R384" s="7"/>
    </row>
    <row r="385" customFormat="false" ht="27.75" hidden="false" customHeight="true" outlineLevel="0" collapsed="false">
      <c r="A385" s="8"/>
      <c r="B385" s="8"/>
      <c r="C385" s="8"/>
      <c r="D385" s="8"/>
      <c r="E385" s="8"/>
      <c r="F385" s="8"/>
      <c r="G385" s="8"/>
      <c r="H385" s="8"/>
      <c r="I385" s="8"/>
      <c r="J385" s="8"/>
      <c r="K385" s="8"/>
      <c r="L385" s="8"/>
      <c r="M385" s="8"/>
      <c r="N385" s="8"/>
      <c r="O385" s="8"/>
      <c r="P385" s="8"/>
      <c r="Q385" s="8"/>
      <c r="R385" s="8"/>
    </row>
    <row r="386" customFormat="false" ht="27.75" hidden="false" customHeight="true" outlineLevel="0" collapsed="false">
      <c r="A386" s="7"/>
      <c r="B386" s="7"/>
      <c r="C386" s="7"/>
      <c r="D386" s="7"/>
      <c r="E386" s="7"/>
      <c r="F386" s="7"/>
      <c r="G386" s="7"/>
      <c r="H386" s="7"/>
      <c r="I386" s="7"/>
      <c r="J386" s="7"/>
      <c r="K386" s="7"/>
      <c r="L386" s="7"/>
      <c r="M386" s="7"/>
      <c r="N386" s="7"/>
      <c r="O386" s="7"/>
      <c r="P386" s="7"/>
      <c r="Q386" s="7"/>
      <c r="R386" s="7"/>
    </row>
    <row r="387" customFormat="false" ht="27.75" hidden="false" customHeight="true" outlineLevel="0" collapsed="false">
      <c r="A387" s="8"/>
      <c r="B387" s="8"/>
      <c r="C387" s="8"/>
      <c r="D387" s="8"/>
      <c r="E387" s="8"/>
      <c r="F387" s="8"/>
      <c r="G387" s="8"/>
      <c r="H387" s="8"/>
      <c r="I387" s="8"/>
      <c r="J387" s="8"/>
      <c r="K387" s="8"/>
      <c r="L387" s="8"/>
      <c r="M387" s="8"/>
      <c r="N387" s="8"/>
      <c r="O387" s="8"/>
      <c r="P387" s="8"/>
      <c r="Q387" s="8"/>
      <c r="R387" s="8"/>
    </row>
    <row r="388" customFormat="false" ht="27.75" hidden="false" customHeight="true" outlineLevel="0" collapsed="false">
      <c r="A388" s="7"/>
      <c r="B388" s="7"/>
      <c r="C388" s="7"/>
      <c r="D388" s="7"/>
      <c r="E388" s="7"/>
      <c r="F388" s="7"/>
      <c r="G388" s="7"/>
      <c r="H388" s="7"/>
      <c r="I388" s="7"/>
      <c r="J388" s="7"/>
      <c r="K388" s="7"/>
      <c r="L388" s="7"/>
      <c r="M388" s="7"/>
      <c r="N388" s="7"/>
      <c r="O388" s="7"/>
      <c r="P388" s="7"/>
      <c r="Q388" s="7"/>
      <c r="R388" s="7"/>
    </row>
    <row r="389" customFormat="false" ht="27.75" hidden="false" customHeight="true" outlineLevel="0" collapsed="false">
      <c r="A389" s="8"/>
      <c r="B389" s="8"/>
      <c r="C389" s="8"/>
      <c r="D389" s="8"/>
      <c r="E389" s="8"/>
      <c r="F389" s="8"/>
      <c r="G389" s="8"/>
      <c r="H389" s="8"/>
      <c r="I389" s="8"/>
      <c r="J389" s="8"/>
      <c r="K389" s="8"/>
      <c r="L389" s="8"/>
      <c r="M389" s="8"/>
      <c r="N389" s="8"/>
      <c r="O389" s="8"/>
      <c r="P389" s="8"/>
      <c r="Q389" s="8"/>
      <c r="R389" s="8"/>
    </row>
    <row r="390" customFormat="false" ht="27.75" hidden="false" customHeight="true" outlineLevel="0" collapsed="false">
      <c r="A390" s="7"/>
      <c r="B390" s="7"/>
      <c r="C390" s="7"/>
      <c r="D390" s="7"/>
      <c r="E390" s="7"/>
      <c r="F390" s="7"/>
      <c r="G390" s="7"/>
      <c r="H390" s="7"/>
      <c r="I390" s="7"/>
      <c r="J390" s="7"/>
      <c r="K390" s="7"/>
      <c r="L390" s="7"/>
      <c r="M390" s="7"/>
      <c r="N390" s="7"/>
      <c r="O390" s="7"/>
      <c r="P390" s="7"/>
      <c r="Q390" s="7"/>
      <c r="R390" s="7"/>
    </row>
    <row r="391" customFormat="false" ht="27.75" hidden="false" customHeight="true" outlineLevel="0" collapsed="false">
      <c r="A391" s="8"/>
      <c r="B391" s="8"/>
      <c r="C391" s="8"/>
      <c r="D391" s="8"/>
      <c r="E391" s="8"/>
      <c r="F391" s="8"/>
      <c r="G391" s="8"/>
      <c r="H391" s="8"/>
      <c r="I391" s="8"/>
      <c r="J391" s="8"/>
      <c r="K391" s="8"/>
      <c r="L391" s="8"/>
      <c r="M391" s="8"/>
      <c r="N391" s="8"/>
      <c r="O391" s="8"/>
      <c r="P391" s="8"/>
      <c r="Q391" s="8"/>
      <c r="R391" s="8"/>
    </row>
    <row r="392" customFormat="false" ht="27.75" hidden="false" customHeight="true" outlineLevel="0" collapsed="false">
      <c r="A392" s="7"/>
      <c r="B392" s="7"/>
      <c r="C392" s="7"/>
      <c r="D392" s="7"/>
      <c r="E392" s="7"/>
      <c r="F392" s="7"/>
      <c r="G392" s="7"/>
      <c r="H392" s="7"/>
      <c r="I392" s="7"/>
      <c r="J392" s="7"/>
      <c r="K392" s="7"/>
      <c r="L392" s="7"/>
      <c r="M392" s="7"/>
      <c r="N392" s="7"/>
      <c r="O392" s="7"/>
      <c r="P392" s="7"/>
      <c r="Q392" s="7"/>
      <c r="R392" s="7"/>
    </row>
    <row r="393" customFormat="false" ht="27.75" hidden="false" customHeight="true" outlineLevel="0" collapsed="false">
      <c r="A393" s="8"/>
      <c r="B393" s="8"/>
      <c r="C393" s="8"/>
      <c r="D393" s="8"/>
      <c r="E393" s="8"/>
      <c r="F393" s="8"/>
      <c r="G393" s="8"/>
      <c r="H393" s="8"/>
      <c r="I393" s="8"/>
      <c r="J393" s="8"/>
      <c r="K393" s="8"/>
      <c r="L393" s="8"/>
      <c r="M393" s="8"/>
      <c r="N393" s="8"/>
      <c r="O393" s="8"/>
      <c r="P393" s="8"/>
      <c r="Q393" s="8"/>
      <c r="R393" s="8"/>
    </row>
    <row r="394" customFormat="false" ht="27.75" hidden="false" customHeight="true" outlineLevel="0" collapsed="false">
      <c r="A394" s="7"/>
      <c r="B394" s="7"/>
      <c r="C394" s="7"/>
      <c r="D394" s="7"/>
      <c r="E394" s="7"/>
      <c r="F394" s="7"/>
      <c r="G394" s="7"/>
      <c r="H394" s="7"/>
      <c r="I394" s="7"/>
      <c r="J394" s="7"/>
      <c r="K394" s="7"/>
      <c r="L394" s="7"/>
      <c r="M394" s="7"/>
      <c r="N394" s="7"/>
      <c r="O394" s="7"/>
      <c r="P394" s="7"/>
      <c r="Q394" s="7"/>
      <c r="R394" s="7"/>
    </row>
    <row r="395" customFormat="false" ht="27.75" hidden="false" customHeight="true" outlineLevel="0" collapsed="false">
      <c r="A395" s="8"/>
      <c r="B395" s="8"/>
      <c r="C395" s="8"/>
      <c r="D395" s="8"/>
      <c r="E395" s="8"/>
      <c r="F395" s="8"/>
      <c r="G395" s="8"/>
      <c r="H395" s="8"/>
      <c r="I395" s="8"/>
      <c r="J395" s="8"/>
      <c r="K395" s="8"/>
      <c r="L395" s="8"/>
      <c r="M395" s="8"/>
      <c r="N395" s="8"/>
      <c r="O395" s="8"/>
      <c r="P395" s="8"/>
      <c r="Q395" s="8"/>
      <c r="R395" s="8"/>
    </row>
    <row r="396" customFormat="false" ht="27.75" hidden="false" customHeight="true" outlineLevel="0" collapsed="false">
      <c r="A396" s="7"/>
      <c r="B396" s="7"/>
      <c r="C396" s="7"/>
      <c r="D396" s="7"/>
      <c r="E396" s="7"/>
      <c r="F396" s="7"/>
      <c r="G396" s="7"/>
      <c r="H396" s="7"/>
      <c r="I396" s="7"/>
      <c r="J396" s="7"/>
      <c r="K396" s="7"/>
      <c r="L396" s="7"/>
      <c r="M396" s="7"/>
      <c r="N396" s="7"/>
      <c r="O396" s="7"/>
      <c r="P396" s="7"/>
      <c r="Q396" s="7"/>
      <c r="R396" s="7"/>
    </row>
    <row r="397" customFormat="false" ht="27.75" hidden="false" customHeight="true" outlineLevel="0" collapsed="false">
      <c r="A397" s="8"/>
      <c r="B397" s="8"/>
      <c r="C397" s="8"/>
      <c r="D397" s="8"/>
      <c r="E397" s="8"/>
      <c r="F397" s="8"/>
      <c r="G397" s="8"/>
      <c r="H397" s="8"/>
      <c r="I397" s="8"/>
      <c r="J397" s="8"/>
      <c r="K397" s="8"/>
      <c r="L397" s="8"/>
      <c r="M397" s="8"/>
      <c r="N397" s="8"/>
      <c r="O397" s="8"/>
      <c r="P397" s="8"/>
      <c r="Q397" s="8"/>
      <c r="R397" s="8"/>
    </row>
    <row r="398" customFormat="false" ht="27.75" hidden="false" customHeight="true" outlineLevel="0" collapsed="false">
      <c r="A398" s="7"/>
      <c r="B398" s="7"/>
      <c r="C398" s="7"/>
      <c r="D398" s="7"/>
      <c r="E398" s="7"/>
      <c r="F398" s="7"/>
      <c r="G398" s="7"/>
      <c r="H398" s="7"/>
      <c r="I398" s="7"/>
      <c r="J398" s="7"/>
      <c r="K398" s="7"/>
      <c r="L398" s="7"/>
      <c r="M398" s="7"/>
      <c r="N398" s="7"/>
      <c r="O398" s="7"/>
      <c r="P398" s="7"/>
      <c r="Q398" s="7"/>
      <c r="R398" s="7"/>
    </row>
    <row r="399" customFormat="false" ht="27.75" hidden="false" customHeight="true" outlineLevel="0" collapsed="false">
      <c r="A399" s="8"/>
      <c r="B399" s="8"/>
      <c r="C399" s="8"/>
      <c r="D399" s="8"/>
      <c r="E399" s="8"/>
      <c r="F399" s="8"/>
      <c r="G399" s="8"/>
      <c r="H399" s="8"/>
      <c r="I399" s="8"/>
      <c r="J399" s="8"/>
      <c r="K399" s="8"/>
      <c r="L399" s="8"/>
      <c r="M399" s="8"/>
      <c r="N399" s="8"/>
      <c r="O399" s="8"/>
      <c r="P399" s="8"/>
      <c r="Q399" s="8"/>
      <c r="R399" s="8"/>
    </row>
    <row r="400" customFormat="false" ht="27.75" hidden="false" customHeight="true" outlineLevel="0" collapsed="false">
      <c r="A400" s="7"/>
      <c r="B400" s="7"/>
      <c r="C400" s="7"/>
      <c r="D400" s="7"/>
      <c r="E400" s="7"/>
      <c r="F400" s="7"/>
      <c r="G400" s="7"/>
      <c r="H400" s="7"/>
      <c r="I400" s="7"/>
      <c r="J400" s="7"/>
      <c r="K400" s="7"/>
      <c r="L400" s="7"/>
      <c r="M400" s="7"/>
      <c r="N400" s="7"/>
      <c r="O400" s="7"/>
      <c r="P400" s="7"/>
      <c r="Q400" s="7"/>
      <c r="R400" s="7"/>
    </row>
    <row r="401" customFormat="false" ht="27.75" hidden="false" customHeight="true" outlineLevel="0" collapsed="false">
      <c r="A401" s="8"/>
      <c r="B401" s="8"/>
      <c r="C401" s="8"/>
      <c r="D401" s="8"/>
      <c r="E401" s="8"/>
      <c r="F401" s="8"/>
      <c r="G401" s="8"/>
      <c r="H401" s="8"/>
      <c r="I401" s="8"/>
      <c r="J401" s="8"/>
      <c r="K401" s="8"/>
      <c r="L401" s="8"/>
      <c r="M401" s="8"/>
      <c r="N401" s="8"/>
      <c r="O401" s="8"/>
      <c r="P401" s="8"/>
      <c r="Q401" s="8"/>
      <c r="R401" s="8"/>
    </row>
    <row r="402" customFormat="false" ht="27.75" hidden="false" customHeight="true" outlineLevel="0" collapsed="false">
      <c r="A402" s="7"/>
      <c r="B402" s="7"/>
      <c r="C402" s="7"/>
      <c r="D402" s="7"/>
      <c r="E402" s="7"/>
      <c r="F402" s="7"/>
      <c r="G402" s="7"/>
      <c r="H402" s="7"/>
      <c r="I402" s="7"/>
      <c r="J402" s="7"/>
      <c r="K402" s="7"/>
      <c r="L402" s="7"/>
      <c r="M402" s="7"/>
      <c r="N402" s="7"/>
      <c r="O402" s="7"/>
      <c r="P402" s="7"/>
      <c r="Q402" s="7"/>
      <c r="R402" s="7"/>
    </row>
    <row r="403" customFormat="false" ht="27.75" hidden="false" customHeight="true" outlineLevel="0" collapsed="false">
      <c r="A403" s="8"/>
      <c r="B403" s="8"/>
      <c r="C403" s="8"/>
      <c r="D403" s="8"/>
      <c r="E403" s="8"/>
      <c r="F403" s="8"/>
      <c r="G403" s="8"/>
      <c r="H403" s="8"/>
      <c r="I403" s="8"/>
      <c r="J403" s="8"/>
      <c r="K403" s="8"/>
      <c r="L403" s="8"/>
      <c r="M403" s="8"/>
      <c r="N403" s="8"/>
      <c r="O403" s="8"/>
      <c r="P403" s="8"/>
      <c r="Q403" s="8"/>
      <c r="R403" s="8"/>
    </row>
    <row r="404" customFormat="false" ht="27.75" hidden="false" customHeight="true" outlineLevel="0" collapsed="false">
      <c r="A404" s="7"/>
      <c r="B404" s="7"/>
      <c r="C404" s="7"/>
      <c r="D404" s="7"/>
      <c r="E404" s="7"/>
      <c r="F404" s="7"/>
      <c r="G404" s="7"/>
      <c r="H404" s="7"/>
      <c r="I404" s="7"/>
      <c r="J404" s="7"/>
      <c r="K404" s="7"/>
      <c r="L404" s="7"/>
      <c r="M404" s="7"/>
      <c r="N404" s="7"/>
      <c r="O404" s="7"/>
      <c r="P404" s="7"/>
      <c r="Q404" s="7"/>
      <c r="R404" s="7"/>
    </row>
    <row r="405" customFormat="false" ht="27.75" hidden="false" customHeight="true" outlineLevel="0" collapsed="false">
      <c r="A405" s="8"/>
      <c r="B405" s="8"/>
      <c r="C405" s="8"/>
      <c r="D405" s="8"/>
      <c r="E405" s="8"/>
      <c r="F405" s="8"/>
      <c r="G405" s="8"/>
      <c r="H405" s="8"/>
      <c r="I405" s="8"/>
      <c r="J405" s="8"/>
      <c r="K405" s="8"/>
      <c r="L405" s="8"/>
      <c r="M405" s="8"/>
      <c r="N405" s="8"/>
      <c r="O405" s="8"/>
      <c r="P405" s="8"/>
      <c r="Q405" s="8"/>
      <c r="R405" s="8"/>
    </row>
    <row r="406" customFormat="false" ht="27.75" hidden="false" customHeight="true" outlineLevel="0" collapsed="false">
      <c r="A406" s="7"/>
      <c r="B406" s="7"/>
      <c r="C406" s="7"/>
      <c r="D406" s="7"/>
      <c r="E406" s="7"/>
      <c r="F406" s="7"/>
      <c r="G406" s="7"/>
      <c r="H406" s="7"/>
      <c r="I406" s="7"/>
      <c r="J406" s="7"/>
      <c r="K406" s="7"/>
      <c r="L406" s="7"/>
      <c r="M406" s="7"/>
      <c r="N406" s="7"/>
      <c r="O406" s="7"/>
      <c r="P406" s="7"/>
      <c r="Q406" s="7"/>
      <c r="R406" s="7"/>
    </row>
    <row r="407" customFormat="false" ht="27.75" hidden="false" customHeight="true" outlineLevel="0" collapsed="false">
      <c r="A407" s="8"/>
      <c r="B407" s="8"/>
      <c r="C407" s="8"/>
      <c r="D407" s="8"/>
      <c r="E407" s="8"/>
      <c r="F407" s="8"/>
      <c r="G407" s="8"/>
      <c r="H407" s="8"/>
      <c r="I407" s="8"/>
      <c r="J407" s="8"/>
      <c r="K407" s="8"/>
      <c r="L407" s="8"/>
      <c r="M407" s="8"/>
      <c r="N407" s="8"/>
      <c r="O407" s="8"/>
      <c r="P407" s="8"/>
      <c r="Q407" s="8"/>
      <c r="R407" s="8"/>
    </row>
    <row r="408" customFormat="false" ht="27.75" hidden="false" customHeight="true" outlineLevel="0" collapsed="false">
      <c r="A408" s="7"/>
      <c r="B408" s="7"/>
      <c r="C408" s="7"/>
      <c r="D408" s="7"/>
      <c r="E408" s="7"/>
      <c r="F408" s="7"/>
      <c r="G408" s="7"/>
      <c r="H408" s="7"/>
      <c r="I408" s="7"/>
      <c r="J408" s="7"/>
      <c r="K408" s="7"/>
      <c r="L408" s="7"/>
      <c r="M408" s="7"/>
      <c r="N408" s="7"/>
      <c r="O408" s="7"/>
      <c r="P408" s="7"/>
      <c r="Q408" s="7"/>
      <c r="R408" s="7"/>
    </row>
    <row r="409" customFormat="false" ht="27.75" hidden="false" customHeight="true" outlineLevel="0" collapsed="false">
      <c r="A409" s="8"/>
      <c r="B409" s="8"/>
      <c r="C409" s="8"/>
      <c r="D409" s="8"/>
      <c r="E409" s="8"/>
      <c r="F409" s="8"/>
      <c r="G409" s="8"/>
      <c r="H409" s="8"/>
      <c r="I409" s="8"/>
      <c r="J409" s="8"/>
      <c r="K409" s="8"/>
      <c r="L409" s="8"/>
      <c r="M409" s="8"/>
      <c r="N409" s="8"/>
      <c r="O409" s="8"/>
      <c r="P409" s="8"/>
      <c r="Q409" s="8"/>
      <c r="R409" s="8"/>
    </row>
    <row r="410" customFormat="false" ht="27.75" hidden="false" customHeight="true" outlineLevel="0" collapsed="false">
      <c r="A410" s="7"/>
      <c r="B410" s="7"/>
      <c r="C410" s="7"/>
      <c r="D410" s="7"/>
      <c r="E410" s="7"/>
      <c r="F410" s="7"/>
      <c r="G410" s="7"/>
      <c r="H410" s="7"/>
      <c r="I410" s="7"/>
      <c r="J410" s="7"/>
      <c r="K410" s="7"/>
      <c r="L410" s="7"/>
      <c r="M410" s="7"/>
      <c r="N410" s="7"/>
      <c r="O410" s="7"/>
      <c r="P410" s="7"/>
      <c r="Q410" s="7"/>
      <c r="R410" s="7"/>
    </row>
    <row r="411" customFormat="false" ht="27.75" hidden="false" customHeight="true" outlineLevel="0" collapsed="false">
      <c r="A411" s="8"/>
      <c r="B411" s="8"/>
      <c r="C411" s="8"/>
      <c r="D411" s="8"/>
      <c r="E411" s="8"/>
      <c r="F411" s="8"/>
      <c r="G411" s="8"/>
      <c r="H411" s="8"/>
      <c r="I411" s="8"/>
      <c r="J411" s="8"/>
      <c r="K411" s="8"/>
      <c r="L411" s="8"/>
      <c r="M411" s="8"/>
      <c r="N411" s="8"/>
      <c r="O411" s="8"/>
      <c r="P411" s="8"/>
      <c r="Q411" s="8"/>
      <c r="R411" s="8"/>
    </row>
    <row r="412" customFormat="false" ht="27.75" hidden="false" customHeight="true" outlineLevel="0" collapsed="false">
      <c r="A412" s="7"/>
      <c r="B412" s="7"/>
      <c r="C412" s="7"/>
      <c r="D412" s="7"/>
      <c r="E412" s="7"/>
      <c r="F412" s="7"/>
      <c r="G412" s="7"/>
      <c r="H412" s="7"/>
      <c r="I412" s="7"/>
      <c r="J412" s="7"/>
      <c r="K412" s="7"/>
      <c r="L412" s="7"/>
      <c r="M412" s="7"/>
      <c r="N412" s="7"/>
      <c r="O412" s="7"/>
      <c r="P412" s="7"/>
      <c r="Q412" s="7"/>
      <c r="R412" s="7"/>
    </row>
    <row r="413" customFormat="false" ht="27.75" hidden="false" customHeight="true" outlineLevel="0" collapsed="false">
      <c r="A413" s="8"/>
      <c r="B413" s="8"/>
      <c r="C413" s="8"/>
      <c r="D413" s="8"/>
      <c r="E413" s="8"/>
      <c r="F413" s="8"/>
      <c r="G413" s="8"/>
      <c r="H413" s="8"/>
      <c r="I413" s="8"/>
      <c r="J413" s="8"/>
      <c r="K413" s="8"/>
      <c r="L413" s="8"/>
      <c r="M413" s="8"/>
      <c r="N413" s="8"/>
      <c r="O413" s="8"/>
      <c r="P413" s="8"/>
      <c r="Q413" s="8"/>
      <c r="R413" s="8"/>
    </row>
    <row r="414" customFormat="false" ht="27.75" hidden="false" customHeight="true" outlineLevel="0" collapsed="false">
      <c r="A414" s="7"/>
      <c r="B414" s="7"/>
      <c r="C414" s="7"/>
      <c r="D414" s="7"/>
      <c r="E414" s="7"/>
      <c r="F414" s="7"/>
      <c r="G414" s="7"/>
      <c r="H414" s="7"/>
      <c r="I414" s="7"/>
      <c r="J414" s="7"/>
      <c r="K414" s="7"/>
      <c r="L414" s="7"/>
      <c r="M414" s="7"/>
      <c r="N414" s="7"/>
      <c r="O414" s="7"/>
      <c r="P414" s="7"/>
      <c r="Q414" s="7"/>
      <c r="R414" s="7"/>
    </row>
    <row r="415" customFormat="false" ht="27.75" hidden="false" customHeight="true" outlineLevel="0" collapsed="false">
      <c r="A415" s="8"/>
      <c r="B415" s="8"/>
      <c r="C415" s="8"/>
      <c r="D415" s="8"/>
      <c r="E415" s="8"/>
      <c r="F415" s="8"/>
      <c r="G415" s="8"/>
      <c r="H415" s="8"/>
      <c r="I415" s="8"/>
      <c r="J415" s="8"/>
      <c r="K415" s="8"/>
      <c r="L415" s="8"/>
      <c r="M415" s="8"/>
      <c r="N415" s="8"/>
      <c r="O415" s="8"/>
      <c r="P415" s="8"/>
      <c r="Q415" s="8"/>
      <c r="R415" s="8"/>
    </row>
    <row r="416" customFormat="false" ht="27.75" hidden="false" customHeight="true" outlineLevel="0" collapsed="false">
      <c r="A416" s="7"/>
      <c r="B416" s="7"/>
      <c r="C416" s="7"/>
      <c r="D416" s="7"/>
      <c r="E416" s="7"/>
      <c r="F416" s="7"/>
      <c r="G416" s="7"/>
      <c r="H416" s="7"/>
      <c r="I416" s="7"/>
      <c r="J416" s="7"/>
      <c r="K416" s="7"/>
      <c r="L416" s="7"/>
      <c r="M416" s="7"/>
      <c r="N416" s="7"/>
      <c r="O416" s="7"/>
      <c r="P416" s="7"/>
      <c r="Q416" s="7"/>
      <c r="R416" s="7"/>
    </row>
    <row r="417" customFormat="false" ht="27.75" hidden="false" customHeight="true" outlineLevel="0" collapsed="false">
      <c r="A417" s="8"/>
      <c r="B417" s="8"/>
      <c r="C417" s="8"/>
      <c r="D417" s="8"/>
      <c r="E417" s="8"/>
      <c r="F417" s="8"/>
      <c r="G417" s="8"/>
      <c r="H417" s="8"/>
      <c r="I417" s="8"/>
      <c r="J417" s="8"/>
      <c r="K417" s="8"/>
      <c r="L417" s="8"/>
      <c r="M417" s="8"/>
      <c r="N417" s="8"/>
      <c r="O417" s="8"/>
      <c r="P417" s="8"/>
      <c r="Q417" s="8"/>
      <c r="R417" s="8"/>
    </row>
    <row r="418" customFormat="false" ht="27.75" hidden="false" customHeight="true" outlineLevel="0" collapsed="false">
      <c r="A418" s="7"/>
      <c r="B418" s="7"/>
      <c r="C418" s="7"/>
      <c r="D418" s="7"/>
      <c r="E418" s="7"/>
      <c r="F418" s="7"/>
      <c r="G418" s="7"/>
      <c r="H418" s="7"/>
      <c r="I418" s="7"/>
      <c r="J418" s="7"/>
      <c r="K418" s="7"/>
      <c r="L418" s="7"/>
      <c r="M418" s="7"/>
      <c r="N418" s="7"/>
      <c r="O418" s="7"/>
      <c r="P418" s="7"/>
      <c r="Q418" s="7"/>
      <c r="R418" s="7"/>
    </row>
    <row r="419" customFormat="false" ht="27.75" hidden="false" customHeight="true" outlineLevel="0" collapsed="false">
      <c r="A419" s="8"/>
      <c r="B419" s="8"/>
      <c r="C419" s="8"/>
      <c r="D419" s="8"/>
      <c r="E419" s="8"/>
      <c r="F419" s="8"/>
      <c r="G419" s="8"/>
      <c r="H419" s="8"/>
      <c r="I419" s="8"/>
      <c r="J419" s="8"/>
      <c r="K419" s="8"/>
      <c r="L419" s="8"/>
      <c r="M419" s="8"/>
      <c r="N419" s="8"/>
      <c r="O419" s="8"/>
      <c r="P419" s="8"/>
      <c r="Q419" s="8"/>
      <c r="R419" s="8"/>
    </row>
    <row r="420" customFormat="false" ht="27.75" hidden="false" customHeight="true" outlineLevel="0" collapsed="false">
      <c r="A420" s="7"/>
      <c r="B420" s="7"/>
      <c r="C420" s="7"/>
      <c r="D420" s="7"/>
      <c r="E420" s="7"/>
      <c r="F420" s="7"/>
      <c r="G420" s="7"/>
      <c r="H420" s="7"/>
      <c r="I420" s="7"/>
      <c r="J420" s="7"/>
      <c r="K420" s="7"/>
      <c r="L420" s="7"/>
      <c r="M420" s="7"/>
      <c r="N420" s="7"/>
      <c r="O420" s="7"/>
      <c r="P420" s="7"/>
      <c r="Q420" s="7"/>
      <c r="R420" s="7"/>
    </row>
    <row r="421" customFormat="false" ht="27.75" hidden="false" customHeight="true" outlineLevel="0" collapsed="false">
      <c r="A421" s="8"/>
      <c r="B421" s="8"/>
      <c r="C421" s="8"/>
      <c r="D421" s="8"/>
      <c r="E421" s="8"/>
      <c r="F421" s="8"/>
      <c r="G421" s="8"/>
      <c r="H421" s="8"/>
      <c r="I421" s="8"/>
      <c r="J421" s="8"/>
      <c r="K421" s="8"/>
      <c r="L421" s="8"/>
      <c r="M421" s="8"/>
      <c r="N421" s="8"/>
      <c r="O421" s="8"/>
      <c r="P421" s="8"/>
      <c r="Q421" s="8"/>
      <c r="R421" s="8"/>
    </row>
    <row r="422" customFormat="false" ht="27.75" hidden="false" customHeight="true" outlineLevel="0" collapsed="false">
      <c r="A422" s="7"/>
      <c r="B422" s="7"/>
      <c r="C422" s="7"/>
      <c r="D422" s="7"/>
      <c r="E422" s="7"/>
      <c r="F422" s="7"/>
      <c r="G422" s="7"/>
      <c r="H422" s="7"/>
      <c r="I422" s="7"/>
      <c r="J422" s="7"/>
      <c r="K422" s="7"/>
      <c r="L422" s="7"/>
      <c r="M422" s="7"/>
      <c r="N422" s="7"/>
      <c r="O422" s="7"/>
      <c r="P422" s="7"/>
      <c r="Q422" s="7"/>
      <c r="R422" s="7"/>
    </row>
    <row r="423" customFormat="false" ht="27.75" hidden="false" customHeight="true" outlineLevel="0" collapsed="false">
      <c r="A423" s="8"/>
      <c r="B423" s="8"/>
      <c r="C423" s="8"/>
      <c r="D423" s="8"/>
      <c r="E423" s="8"/>
      <c r="F423" s="8"/>
      <c r="G423" s="8"/>
      <c r="H423" s="8"/>
      <c r="I423" s="8"/>
      <c r="J423" s="8"/>
      <c r="K423" s="8"/>
      <c r="L423" s="8"/>
      <c r="M423" s="8"/>
      <c r="N423" s="8"/>
      <c r="O423" s="8"/>
      <c r="P423" s="8"/>
      <c r="Q423" s="8"/>
      <c r="R423" s="8"/>
    </row>
    <row r="424" customFormat="false" ht="27.75" hidden="false" customHeight="true" outlineLevel="0" collapsed="false">
      <c r="A424" s="7"/>
      <c r="B424" s="7"/>
      <c r="C424" s="7"/>
      <c r="D424" s="7"/>
      <c r="E424" s="7"/>
      <c r="F424" s="7"/>
      <c r="G424" s="7"/>
      <c r="H424" s="7"/>
      <c r="I424" s="7"/>
      <c r="J424" s="7"/>
      <c r="K424" s="7"/>
      <c r="L424" s="7"/>
      <c r="M424" s="7"/>
      <c r="N424" s="7"/>
      <c r="O424" s="7"/>
      <c r="P424" s="7"/>
      <c r="Q424" s="7"/>
      <c r="R424" s="7"/>
    </row>
    <row r="425" customFormat="false" ht="27.75" hidden="false" customHeight="true" outlineLevel="0" collapsed="false">
      <c r="A425" s="8"/>
      <c r="B425" s="8"/>
      <c r="C425" s="8"/>
      <c r="D425" s="8"/>
      <c r="E425" s="8"/>
      <c r="F425" s="8"/>
      <c r="G425" s="8"/>
      <c r="H425" s="8"/>
      <c r="I425" s="8"/>
      <c r="J425" s="8"/>
      <c r="K425" s="8"/>
      <c r="L425" s="8"/>
      <c r="M425" s="8"/>
      <c r="N425" s="8"/>
      <c r="O425" s="8"/>
      <c r="P425" s="8"/>
      <c r="Q425" s="8"/>
      <c r="R425" s="8"/>
    </row>
    <row r="426" customFormat="false" ht="27.75" hidden="false" customHeight="true" outlineLevel="0" collapsed="false">
      <c r="A426" s="7"/>
      <c r="B426" s="7"/>
      <c r="C426" s="7"/>
      <c r="D426" s="7"/>
      <c r="E426" s="7"/>
      <c r="F426" s="7"/>
      <c r="G426" s="7"/>
      <c r="H426" s="7"/>
      <c r="I426" s="7"/>
      <c r="J426" s="7"/>
      <c r="K426" s="7"/>
      <c r="L426" s="7"/>
      <c r="M426" s="7"/>
      <c r="N426" s="7"/>
      <c r="O426" s="7"/>
      <c r="P426" s="7"/>
      <c r="Q426" s="7"/>
      <c r="R426" s="7"/>
    </row>
    <row r="427" customFormat="false" ht="27.75" hidden="false" customHeight="true" outlineLevel="0" collapsed="false">
      <c r="A427" s="8"/>
      <c r="B427" s="8"/>
      <c r="C427" s="8"/>
      <c r="D427" s="8"/>
      <c r="E427" s="8"/>
      <c r="F427" s="8"/>
      <c r="G427" s="8"/>
      <c r="H427" s="8"/>
      <c r="I427" s="8"/>
      <c r="J427" s="8"/>
      <c r="K427" s="8"/>
      <c r="L427" s="8"/>
      <c r="M427" s="8"/>
      <c r="N427" s="8"/>
      <c r="O427" s="8"/>
      <c r="P427" s="8"/>
      <c r="Q427" s="8"/>
      <c r="R427" s="8"/>
    </row>
    <row r="428" customFormat="false" ht="27.75" hidden="false" customHeight="true" outlineLevel="0" collapsed="false">
      <c r="A428" s="7"/>
      <c r="B428" s="7"/>
      <c r="C428" s="7"/>
      <c r="D428" s="7"/>
      <c r="E428" s="7"/>
      <c r="F428" s="7"/>
      <c r="G428" s="7"/>
      <c r="H428" s="7"/>
      <c r="I428" s="7"/>
      <c r="J428" s="7"/>
      <c r="K428" s="7"/>
      <c r="L428" s="7"/>
      <c r="M428" s="7"/>
      <c r="N428" s="7"/>
      <c r="O428" s="7"/>
      <c r="P428" s="7"/>
      <c r="Q428" s="7"/>
      <c r="R428" s="7"/>
    </row>
    <row r="429" customFormat="false" ht="27.75" hidden="false" customHeight="true" outlineLevel="0" collapsed="false">
      <c r="A429" s="8"/>
      <c r="B429" s="8"/>
      <c r="C429" s="8"/>
      <c r="D429" s="8"/>
      <c r="E429" s="8"/>
      <c r="F429" s="8"/>
      <c r="G429" s="8"/>
      <c r="H429" s="8"/>
      <c r="I429" s="8"/>
      <c r="J429" s="8"/>
      <c r="K429" s="8"/>
      <c r="L429" s="8"/>
      <c r="M429" s="8"/>
      <c r="N429" s="8"/>
      <c r="O429" s="8"/>
      <c r="P429" s="8"/>
      <c r="Q429" s="8"/>
      <c r="R429" s="8"/>
    </row>
    <row r="430" customFormat="false" ht="27.75" hidden="false" customHeight="true" outlineLevel="0" collapsed="false">
      <c r="A430" s="7"/>
      <c r="B430" s="7"/>
      <c r="C430" s="7"/>
      <c r="D430" s="7"/>
      <c r="E430" s="7"/>
      <c r="F430" s="7"/>
      <c r="G430" s="7"/>
      <c r="H430" s="7"/>
      <c r="I430" s="7"/>
      <c r="J430" s="7"/>
      <c r="K430" s="7"/>
      <c r="L430" s="7"/>
      <c r="M430" s="7"/>
      <c r="N430" s="7"/>
      <c r="O430" s="7"/>
      <c r="P430" s="7"/>
      <c r="Q430" s="7"/>
      <c r="R430" s="7"/>
    </row>
    <row r="431" customFormat="false" ht="27.75" hidden="false" customHeight="true" outlineLevel="0" collapsed="false">
      <c r="A431" s="8"/>
      <c r="B431" s="8"/>
      <c r="C431" s="8"/>
      <c r="D431" s="8"/>
      <c r="E431" s="8"/>
      <c r="F431" s="8"/>
      <c r="G431" s="8"/>
      <c r="H431" s="8"/>
      <c r="I431" s="8"/>
      <c r="J431" s="8"/>
      <c r="K431" s="8"/>
      <c r="L431" s="8"/>
      <c r="M431" s="8"/>
      <c r="N431" s="8"/>
      <c r="O431" s="8"/>
      <c r="P431" s="8"/>
      <c r="Q431" s="8"/>
      <c r="R431" s="8"/>
    </row>
    <row r="432" customFormat="false" ht="27.75" hidden="false" customHeight="true" outlineLevel="0" collapsed="false">
      <c r="A432" s="7"/>
      <c r="B432" s="7"/>
      <c r="C432" s="7"/>
      <c r="D432" s="7"/>
      <c r="E432" s="7"/>
      <c r="F432" s="7"/>
      <c r="G432" s="7"/>
      <c r="H432" s="7"/>
      <c r="I432" s="7"/>
      <c r="J432" s="7"/>
      <c r="K432" s="7"/>
      <c r="L432" s="7"/>
      <c r="M432" s="7"/>
      <c r="N432" s="7"/>
      <c r="O432" s="7"/>
      <c r="P432" s="7"/>
      <c r="Q432" s="7"/>
      <c r="R432" s="7"/>
    </row>
    <row r="433" customFormat="false" ht="27.75" hidden="false" customHeight="true" outlineLevel="0" collapsed="false">
      <c r="A433" s="8"/>
      <c r="B433" s="8"/>
      <c r="C433" s="8"/>
      <c r="D433" s="8"/>
      <c r="E433" s="8"/>
      <c r="F433" s="8"/>
      <c r="G433" s="8"/>
      <c r="H433" s="8"/>
      <c r="I433" s="8"/>
      <c r="J433" s="8"/>
      <c r="K433" s="8"/>
      <c r="L433" s="8"/>
      <c r="M433" s="8"/>
      <c r="N433" s="8"/>
      <c r="O433" s="8"/>
      <c r="P433" s="8"/>
      <c r="Q433" s="8"/>
      <c r="R433" s="8"/>
    </row>
    <row r="434" customFormat="false" ht="27.75" hidden="false" customHeight="true" outlineLevel="0" collapsed="false">
      <c r="A434" s="7"/>
      <c r="B434" s="7"/>
      <c r="C434" s="7"/>
      <c r="D434" s="7"/>
      <c r="E434" s="7"/>
      <c r="F434" s="7"/>
      <c r="G434" s="7"/>
      <c r="H434" s="7"/>
      <c r="I434" s="7"/>
      <c r="J434" s="7"/>
      <c r="K434" s="7"/>
      <c r="L434" s="7"/>
      <c r="M434" s="7"/>
      <c r="N434" s="7"/>
      <c r="O434" s="7"/>
      <c r="P434" s="7"/>
      <c r="Q434" s="7"/>
      <c r="R434" s="7"/>
    </row>
    <row r="435" customFormat="false" ht="27.75" hidden="false" customHeight="true" outlineLevel="0" collapsed="false">
      <c r="A435" s="8"/>
      <c r="B435" s="8"/>
      <c r="C435" s="8"/>
      <c r="D435" s="8"/>
      <c r="E435" s="8"/>
      <c r="F435" s="8"/>
      <c r="G435" s="8"/>
      <c r="H435" s="8"/>
      <c r="I435" s="8"/>
      <c r="J435" s="8"/>
      <c r="K435" s="8"/>
      <c r="L435" s="8"/>
      <c r="M435" s="8"/>
      <c r="N435" s="8"/>
      <c r="O435" s="8"/>
      <c r="P435" s="8"/>
      <c r="Q435" s="8"/>
      <c r="R435" s="8"/>
    </row>
    <row r="436" customFormat="false" ht="27.75" hidden="false" customHeight="true" outlineLevel="0" collapsed="false">
      <c r="A436" s="7"/>
      <c r="B436" s="7"/>
      <c r="C436" s="7"/>
      <c r="D436" s="7"/>
      <c r="E436" s="7"/>
      <c r="F436" s="7"/>
      <c r="G436" s="7"/>
      <c r="H436" s="7"/>
      <c r="I436" s="7"/>
      <c r="J436" s="7"/>
      <c r="K436" s="7"/>
      <c r="L436" s="7"/>
      <c r="M436" s="7"/>
      <c r="N436" s="7"/>
      <c r="O436" s="7"/>
      <c r="P436" s="7"/>
      <c r="Q436" s="7"/>
      <c r="R436" s="7"/>
    </row>
    <row r="437" customFormat="false" ht="27.75" hidden="false" customHeight="true" outlineLevel="0" collapsed="false">
      <c r="A437" s="8"/>
      <c r="B437" s="8"/>
      <c r="C437" s="8"/>
      <c r="D437" s="8"/>
      <c r="E437" s="8"/>
      <c r="F437" s="8"/>
      <c r="G437" s="8"/>
      <c r="H437" s="8"/>
      <c r="I437" s="8"/>
      <c r="J437" s="8"/>
      <c r="K437" s="8"/>
      <c r="L437" s="8"/>
      <c r="M437" s="8"/>
      <c r="N437" s="8"/>
      <c r="O437" s="8"/>
      <c r="P437" s="8"/>
      <c r="Q437" s="8"/>
      <c r="R437" s="8"/>
    </row>
    <row r="438" customFormat="false" ht="27.75" hidden="false" customHeight="true" outlineLevel="0" collapsed="false">
      <c r="A438" s="7"/>
      <c r="B438" s="7"/>
      <c r="C438" s="7"/>
      <c r="D438" s="7"/>
      <c r="E438" s="7"/>
      <c r="F438" s="7"/>
      <c r="G438" s="7"/>
      <c r="H438" s="7"/>
      <c r="I438" s="7"/>
      <c r="J438" s="7"/>
      <c r="K438" s="7"/>
      <c r="L438" s="7"/>
      <c r="M438" s="7"/>
      <c r="N438" s="7"/>
      <c r="O438" s="7"/>
      <c r="P438" s="7"/>
      <c r="Q438" s="7"/>
      <c r="R438" s="7"/>
    </row>
    <row r="439" customFormat="false" ht="27.75" hidden="false" customHeight="true" outlineLevel="0" collapsed="false">
      <c r="A439" s="8"/>
      <c r="B439" s="8"/>
      <c r="C439" s="8"/>
      <c r="D439" s="8"/>
      <c r="E439" s="8"/>
      <c r="F439" s="8"/>
      <c r="G439" s="8"/>
      <c r="H439" s="8"/>
      <c r="I439" s="8"/>
      <c r="J439" s="8"/>
      <c r="K439" s="8"/>
      <c r="L439" s="8"/>
      <c r="M439" s="8"/>
      <c r="N439" s="8"/>
      <c r="O439" s="8"/>
      <c r="P439" s="8"/>
      <c r="Q439" s="8"/>
      <c r="R439" s="8"/>
    </row>
    <row r="440" customFormat="false" ht="27.75" hidden="false" customHeight="true" outlineLevel="0" collapsed="false">
      <c r="A440" s="7"/>
      <c r="B440" s="7"/>
      <c r="C440" s="7"/>
      <c r="D440" s="7"/>
      <c r="E440" s="7"/>
      <c r="F440" s="7"/>
      <c r="G440" s="7"/>
      <c r="H440" s="7"/>
      <c r="I440" s="7"/>
      <c r="J440" s="7"/>
      <c r="K440" s="7"/>
      <c r="L440" s="7"/>
      <c r="M440" s="7"/>
      <c r="N440" s="7"/>
      <c r="O440" s="7"/>
      <c r="P440" s="7"/>
      <c r="Q440" s="7"/>
      <c r="R440" s="7"/>
    </row>
    <row r="441" customFormat="false" ht="27.75" hidden="false" customHeight="true" outlineLevel="0" collapsed="false">
      <c r="A441" s="8"/>
      <c r="B441" s="8"/>
      <c r="C441" s="8"/>
      <c r="D441" s="8"/>
      <c r="E441" s="8"/>
      <c r="F441" s="8"/>
      <c r="G441" s="8"/>
      <c r="H441" s="8"/>
      <c r="I441" s="8"/>
      <c r="J441" s="8"/>
      <c r="K441" s="8"/>
      <c r="L441" s="8"/>
      <c r="M441" s="8"/>
      <c r="N441" s="8"/>
      <c r="O441" s="8"/>
      <c r="P441" s="8"/>
      <c r="Q441" s="8"/>
      <c r="R441" s="8"/>
    </row>
    <row r="442" customFormat="false" ht="27.75" hidden="false" customHeight="true" outlineLevel="0" collapsed="false">
      <c r="A442" s="7"/>
      <c r="B442" s="7"/>
      <c r="C442" s="7"/>
      <c r="D442" s="7"/>
      <c r="E442" s="7"/>
      <c r="F442" s="7"/>
      <c r="G442" s="7"/>
      <c r="H442" s="7"/>
      <c r="I442" s="7"/>
      <c r="J442" s="7"/>
      <c r="K442" s="7"/>
      <c r="L442" s="7"/>
      <c r="M442" s="7"/>
      <c r="N442" s="7"/>
      <c r="O442" s="7"/>
      <c r="P442" s="7"/>
      <c r="Q442" s="7"/>
      <c r="R442" s="7"/>
    </row>
    <row r="443" customFormat="false" ht="27.75" hidden="false" customHeight="true" outlineLevel="0" collapsed="false">
      <c r="A443" s="8"/>
      <c r="B443" s="8"/>
      <c r="C443" s="8"/>
      <c r="D443" s="8"/>
      <c r="E443" s="8"/>
      <c r="F443" s="8"/>
      <c r="G443" s="8"/>
      <c r="H443" s="8"/>
      <c r="I443" s="8"/>
      <c r="J443" s="8"/>
      <c r="K443" s="8"/>
      <c r="L443" s="8"/>
      <c r="M443" s="8"/>
      <c r="N443" s="8"/>
      <c r="O443" s="8"/>
      <c r="P443" s="8"/>
      <c r="Q443" s="8"/>
      <c r="R443" s="8"/>
    </row>
    <row r="444" customFormat="false" ht="27.75" hidden="false" customHeight="true" outlineLevel="0" collapsed="false">
      <c r="A444" s="7"/>
      <c r="B444" s="7"/>
      <c r="C444" s="7"/>
      <c r="D444" s="7"/>
      <c r="E444" s="7"/>
      <c r="F444" s="7"/>
      <c r="G444" s="7"/>
      <c r="H444" s="7"/>
      <c r="I444" s="7"/>
      <c r="J444" s="7"/>
      <c r="K444" s="7"/>
      <c r="L444" s="7"/>
      <c r="M444" s="7"/>
      <c r="N444" s="7"/>
      <c r="O444" s="7"/>
      <c r="P444" s="7"/>
      <c r="Q444" s="7"/>
      <c r="R444" s="7"/>
    </row>
    <row r="445" customFormat="false" ht="27.75" hidden="false" customHeight="true" outlineLevel="0" collapsed="false">
      <c r="A445" s="8"/>
      <c r="B445" s="8"/>
      <c r="C445" s="8"/>
      <c r="D445" s="8"/>
      <c r="E445" s="8"/>
      <c r="F445" s="8"/>
      <c r="G445" s="8"/>
      <c r="H445" s="8"/>
      <c r="I445" s="8"/>
      <c r="J445" s="8"/>
      <c r="K445" s="8"/>
      <c r="L445" s="8"/>
      <c r="M445" s="8"/>
      <c r="N445" s="8"/>
      <c r="O445" s="8"/>
      <c r="P445" s="8"/>
      <c r="Q445" s="8"/>
      <c r="R445" s="8"/>
    </row>
    <row r="446" customFormat="false" ht="27.75" hidden="false" customHeight="true" outlineLevel="0" collapsed="false">
      <c r="A446" s="7"/>
      <c r="B446" s="7"/>
      <c r="C446" s="7"/>
      <c r="D446" s="7"/>
      <c r="E446" s="7"/>
      <c r="F446" s="7"/>
      <c r="G446" s="7"/>
      <c r="H446" s="7"/>
      <c r="I446" s="7"/>
      <c r="J446" s="7"/>
      <c r="K446" s="7"/>
      <c r="L446" s="7"/>
      <c r="M446" s="7"/>
      <c r="N446" s="7"/>
      <c r="O446" s="7"/>
      <c r="P446" s="7"/>
      <c r="Q446" s="7"/>
      <c r="R446" s="7"/>
    </row>
    <row r="447" customFormat="false" ht="27.75" hidden="false" customHeight="true" outlineLevel="0" collapsed="false">
      <c r="A447" s="8"/>
      <c r="B447" s="8"/>
      <c r="C447" s="8"/>
      <c r="D447" s="8"/>
      <c r="E447" s="8"/>
      <c r="F447" s="8"/>
      <c r="G447" s="8"/>
      <c r="H447" s="8"/>
      <c r="I447" s="8"/>
      <c r="J447" s="8"/>
      <c r="K447" s="8"/>
      <c r="L447" s="8"/>
      <c r="M447" s="8"/>
      <c r="N447" s="8"/>
      <c r="O447" s="8"/>
      <c r="P447" s="8"/>
      <c r="Q447" s="8"/>
      <c r="R447" s="8"/>
    </row>
    <row r="448" customFormat="false" ht="27.75" hidden="false" customHeight="true" outlineLevel="0" collapsed="false">
      <c r="A448" s="7"/>
      <c r="B448" s="7"/>
      <c r="C448" s="7"/>
      <c r="D448" s="7"/>
      <c r="E448" s="7"/>
      <c r="F448" s="7"/>
      <c r="G448" s="7"/>
      <c r="H448" s="7"/>
      <c r="I448" s="7"/>
      <c r="J448" s="7"/>
      <c r="K448" s="7"/>
      <c r="L448" s="7"/>
      <c r="M448" s="7"/>
      <c r="N448" s="7"/>
      <c r="O448" s="7"/>
      <c r="P448" s="7"/>
      <c r="Q448" s="7"/>
      <c r="R448" s="7"/>
    </row>
    <row r="449" customFormat="false" ht="27.75" hidden="false" customHeight="true" outlineLevel="0" collapsed="false">
      <c r="A449" s="8"/>
      <c r="B449" s="8"/>
      <c r="C449" s="8"/>
      <c r="D449" s="8"/>
      <c r="E449" s="8"/>
      <c r="F449" s="8"/>
      <c r="G449" s="8"/>
      <c r="H449" s="8"/>
      <c r="I449" s="8"/>
      <c r="J449" s="8"/>
      <c r="K449" s="8"/>
      <c r="L449" s="8"/>
      <c r="M449" s="8"/>
      <c r="N449" s="8"/>
      <c r="O449" s="8"/>
      <c r="P449" s="8"/>
      <c r="Q449" s="8"/>
      <c r="R449" s="8"/>
    </row>
    <row r="450" customFormat="false" ht="27.75" hidden="false" customHeight="true" outlineLevel="0" collapsed="false">
      <c r="A450" s="7"/>
      <c r="B450" s="7"/>
      <c r="C450" s="7"/>
      <c r="D450" s="7"/>
      <c r="E450" s="7"/>
      <c r="F450" s="7"/>
      <c r="G450" s="7"/>
      <c r="H450" s="7"/>
      <c r="I450" s="7"/>
      <c r="J450" s="7"/>
      <c r="K450" s="7"/>
      <c r="L450" s="7"/>
      <c r="M450" s="7"/>
      <c r="N450" s="7"/>
      <c r="O450" s="7"/>
      <c r="P450" s="7"/>
      <c r="Q450" s="7"/>
      <c r="R450" s="7"/>
    </row>
    <row r="451" customFormat="false" ht="27.75" hidden="false" customHeight="true" outlineLevel="0" collapsed="false">
      <c r="A451" s="8"/>
      <c r="B451" s="8"/>
      <c r="C451" s="8"/>
      <c r="D451" s="8"/>
      <c r="E451" s="8"/>
      <c r="F451" s="8"/>
      <c r="G451" s="8"/>
      <c r="H451" s="8"/>
      <c r="I451" s="8"/>
      <c r="J451" s="8"/>
      <c r="K451" s="8"/>
      <c r="L451" s="8"/>
      <c r="M451" s="8"/>
      <c r="N451" s="8"/>
      <c r="O451" s="8"/>
      <c r="P451" s="8"/>
      <c r="Q451" s="8"/>
      <c r="R451" s="8"/>
    </row>
    <row r="452" customFormat="false" ht="27.75" hidden="false" customHeight="true" outlineLevel="0" collapsed="false">
      <c r="A452" s="7"/>
      <c r="B452" s="7"/>
      <c r="C452" s="7"/>
      <c r="D452" s="7"/>
      <c r="E452" s="7"/>
      <c r="F452" s="7"/>
      <c r="G452" s="7"/>
      <c r="H452" s="7"/>
      <c r="I452" s="7"/>
      <c r="J452" s="7"/>
      <c r="K452" s="7"/>
      <c r="L452" s="7"/>
      <c r="M452" s="7"/>
      <c r="N452" s="7"/>
      <c r="O452" s="7"/>
      <c r="P452" s="7"/>
      <c r="Q452" s="7"/>
      <c r="R452" s="7"/>
    </row>
    <row r="453" customFormat="false" ht="27.75" hidden="false" customHeight="true" outlineLevel="0" collapsed="false">
      <c r="A453" s="8"/>
      <c r="B453" s="8"/>
      <c r="C453" s="8"/>
      <c r="D453" s="8"/>
      <c r="E453" s="8"/>
      <c r="F453" s="8"/>
      <c r="G453" s="8"/>
      <c r="H453" s="8"/>
      <c r="I453" s="8"/>
      <c r="J453" s="8"/>
      <c r="K453" s="8"/>
      <c r="L453" s="8"/>
      <c r="M453" s="8"/>
      <c r="N453" s="8"/>
      <c r="O453" s="8"/>
      <c r="P453" s="8"/>
      <c r="Q453" s="8"/>
      <c r="R453" s="8"/>
    </row>
    <row r="454" customFormat="false" ht="27.75" hidden="false" customHeight="true" outlineLevel="0" collapsed="false">
      <c r="A454" s="7"/>
      <c r="B454" s="7"/>
      <c r="C454" s="7"/>
      <c r="D454" s="7"/>
      <c r="E454" s="7"/>
      <c r="F454" s="7"/>
      <c r="G454" s="7"/>
      <c r="H454" s="7"/>
      <c r="I454" s="7"/>
      <c r="J454" s="7"/>
      <c r="K454" s="7"/>
      <c r="L454" s="7"/>
      <c r="M454" s="7"/>
      <c r="N454" s="7"/>
      <c r="O454" s="7"/>
      <c r="P454" s="7"/>
      <c r="Q454" s="7"/>
      <c r="R454" s="7"/>
    </row>
    <row r="455" customFormat="false" ht="27.75" hidden="false" customHeight="true" outlineLevel="0" collapsed="false">
      <c r="A455" s="8"/>
      <c r="B455" s="8"/>
      <c r="C455" s="8"/>
      <c r="D455" s="8"/>
      <c r="E455" s="8"/>
      <c r="F455" s="8"/>
      <c r="G455" s="8"/>
      <c r="H455" s="8"/>
      <c r="I455" s="8"/>
      <c r="J455" s="8"/>
      <c r="K455" s="8"/>
      <c r="L455" s="8"/>
      <c r="M455" s="8"/>
      <c r="N455" s="8"/>
      <c r="O455" s="8"/>
      <c r="P455" s="8"/>
      <c r="Q455" s="8"/>
      <c r="R455" s="8"/>
    </row>
    <row r="456" customFormat="false" ht="27.75" hidden="false" customHeight="true" outlineLevel="0" collapsed="false">
      <c r="A456" s="7"/>
      <c r="B456" s="7"/>
      <c r="C456" s="7"/>
      <c r="D456" s="7"/>
      <c r="E456" s="7"/>
      <c r="F456" s="7"/>
      <c r="G456" s="7"/>
      <c r="H456" s="7"/>
      <c r="I456" s="7"/>
      <c r="J456" s="7"/>
      <c r="K456" s="7"/>
      <c r="L456" s="7"/>
      <c r="M456" s="7"/>
      <c r="N456" s="7"/>
      <c r="O456" s="7"/>
      <c r="P456" s="7"/>
      <c r="Q456" s="7"/>
      <c r="R456" s="7"/>
    </row>
    <row r="457" customFormat="false" ht="27.75" hidden="false" customHeight="true" outlineLevel="0" collapsed="false">
      <c r="A457" s="8"/>
      <c r="B457" s="8"/>
      <c r="C457" s="8"/>
      <c r="D457" s="8"/>
      <c r="E457" s="8"/>
      <c r="F457" s="8"/>
      <c r="G457" s="8"/>
      <c r="H457" s="8"/>
      <c r="I457" s="8"/>
      <c r="J457" s="8"/>
      <c r="K457" s="8"/>
      <c r="L457" s="8"/>
      <c r="M457" s="8"/>
      <c r="N457" s="8"/>
      <c r="O457" s="8"/>
      <c r="P457" s="8"/>
      <c r="Q457" s="8"/>
      <c r="R457" s="8"/>
    </row>
    <row r="458" customFormat="false" ht="27.75" hidden="false" customHeight="true" outlineLevel="0" collapsed="false">
      <c r="A458" s="7"/>
      <c r="B458" s="7"/>
      <c r="C458" s="7"/>
      <c r="D458" s="7"/>
      <c r="E458" s="7"/>
      <c r="F458" s="7"/>
      <c r="G458" s="7"/>
      <c r="H458" s="7"/>
      <c r="I458" s="7"/>
      <c r="J458" s="7"/>
      <c r="K458" s="7"/>
      <c r="L458" s="7"/>
      <c r="M458" s="7"/>
      <c r="N458" s="7"/>
      <c r="O458" s="7"/>
      <c r="P458" s="7"/>
      <c r="Q458" s="7"/>
      <c r="R458" s="7"/>
    </row>
    <row r="459" customFormat="false" ht="27.75" hidden="false" customHeight="true" outlineLevel="0" collapsed="false">
      <c r="A459" s="8"/>
      <c r="B459" s="8"/>
      <c r="C459" s="8"/>
      <c r="D459" s="8"/>
      <c r="E459" s="8"/>
      <c r="F459" s="8"/>
      <c r="G459" s="8"/>
      <c r="H459" s="8"/>
      <c r="I459" s="8"/>
      <c r="J459" s="8"/>
      <c r="K459" s="8"/>
      <c r="L459" s="8"/>
      <c r="M459" s="8"/>
      <c r="N459" s="8"/>
      <c r="O459" s="8"/>
      <c r="P459" s="8"/>
      <c r="Q459" s="8"/>
      <c r="R459" s="8"/>
    </row>
    <row r="460" customFormat="false" ht="27.75" hidden="false" customHeight="true" outlineLevel="0" collapsed="false">
      <c r="A460" s="7"/>
      <c r="B460" s="7"/>
      <c r="C460" s="7"/>
      <c r="D460" s="7"/>
      <c r="E460" s="7"/>
      <c r="F460" s="7"/>
      <c r="G460" s="7"/>
      <c r="H460" s="7"/>
      <c r="I460" s="7"/>
      <c r="J460" s="7"/>
      <c r="K460" s="7"/>
      <c r="L460" s="7"/>
      <c r="M460" s="7"/>
      <c r="N460" s="7"/>
      <c r="O460" s="7"/>
      <c r="P460" s="7"/>
      <c r="Q460" s="7"/>
      <c r="R460" s="7"/>
    </row>
    <row r="461" customFormat="false" ht="27.75" hidden="false" customHeight="true" outlineLevel="0" collapsed="false">
      <c r="A461" s="8"/>
      <c r="B461" s="8"/>
      <c r="C461" s="8"/>
      <c r="D461" s="8"/>
      <c r="E461" s="8"/>
      <c r="F461" s="8"/>
      <c r="G461" s="8"/>
      <c r="H461" s="8"/>
      <c r="I461" s="8"/>
      <c r="J461" s="8"/>
      <c r="K461" s="8"/>
      <c r="L461" s="8"/>
      <c r="M461" s="8"/>
      <c r="N461" s="8"/>
      <c r="O461" s="8"/>
      <c r="P461" s="8"/>
      <c r="Q461" s="8"/>
      <c r="R461" s="8"/>
    </row>
    <row r="462" customFormat="false" ht="27.75" hidden="false" customHeight="true" outlineLevel="0" collapsed="false">
      <c r="A462" s="7"/>
      <c r="B462" s="7"/>
      <c r="C462" s="7"/>
      <c r="D462" s="7"/>
      <c r="E462" s="7"/>
      <c r="F462" s="7"/>
      <c r="G462" s="7"/>
      <c r="H462" s="7"/>
      <c r="I462" s="7"/>
      <c r="J462" s="7"/>
      <c r="K462" s="7"/>
      <c r="L462" s="7"/>
      <c r="M462" s="7"/>
      <c r="N462" s="7"/>
      <c r="O462" s="7"/>
      <c r="P462" s="7"/>
      <c r="Q462" s="7"/>
      <c r="R462" s="7"/>
    </row>
    <row r="463" customFormat="false" ht="27.75" hidden="false" customHeight="true" outlineLevel="0" collapsed="false">
      <c r="A463" s="8"/>
      <c r="B463" s="8"/>
      <c r="C463" s="8"/>
      <c r="D463" s="8"/>
      <c r="E463" s="8"/>
      <c r="F463" s="8"/>
      <c r="G463" s="8"/>
      <c r="H463" s="8"/>
      <c r="I463" s="8"/>
      <c r="J463" s="8"/>
      <c r="K463" s="8"/>
      <c r="L463" s="8"/>
      <c r="M463" s="8"/>
      <c r="N463" s="8"/>
      <c r="O463" s="8"/>
      <c r="P463" s="8"/>
      <c r="Q463" s="8"/>
      <c r="R463" s="8"/>
    </row>
    <row r="464" customFormat="false" ht="27.75" hidden="false" customHeight="true" outlineLevel="0" collapsed="false">
      <c r="A464" s="7"/>
      <c r="B464" s="7"/>
      <c r="C464" s="7"/>
      <c r="D464" s="7"/>
      <c r="E464" s="7"/>
      <c r="F464" s="7"/>
      <c r="G464" s="7"/>
      <c r="H464" s="7"/>
      <c r="I464" s="7"/>
      <c r="J464" s="7"/>
      <c r="K464" s="7"/>
      <c r="L464" s="7"/>
      <c r="M464" s="7"/>
      <c r="N464" s="7"/>
      <c r="O464" s="7"/>
      <c r="P464" s="7"/>
      <c r="Q464" s="7"/>
      <c r="R464" s="7"/>
    </row>
    <row r="465" customFormat="false" ht="27.75" hidden="false" customHeight="true" outlineLevel="0" collapsed="false">
      <c r="A465" s="8"/>
      <c r="B465" s="8"/>
      <c r="C465" s="8"/>
      <c r="D465" s="8"/>
      <c r="E465" s="8"/>
      <c r="F465" s="8"/>
      <c r="G465" s="8"/>
      <c r="H465" s="8"/>
      <c r="I465" s="8"/>
      <c r="J465" s="8"/>
      <c r="K465" s="8"/>
      <c r="L465" s="8"/>
      <c r="M465" s="8"/>
      <c r="N465" s="8"/>
      <c r="O465" s="8"/>
      <c r="P465" s="8"/>
      <c r="Q465" s="8"/>
      <c r="R465" s="8"/>
    </row>
    <row r="466" customFormat="false" ht="27.75" hidden="false" customHeight="true" outlineLevel="0" collapsed="false">
      <c r="A466" s="7"/>
      <c r="B466" s="7"/>
      <c r="C466" s="7"/>
      <c r="D466" s="7"/>
      <c r="E466" s="7"/>
      <c r="F466" s="7"/>
      <c r="G466" s="7"/>
      <c r="H466" s="7"/>
      <c r="I466" s="7"/>
      <c r="J466" s="7"/>
      <c r="K466" s="7"/>
      <c r="L466" s="7"/>
      <c r="M466" s="7"/>
      <c r="N466" s="7"/>
      <c r="O466" s="7"/>
      <c r="P466" s="7"/>
      <c r="Q466" s="7"/>
      <c r="R466" s="7"/>
    </row>
    <row r="467" customFormat="false" ht="27.75" hidden="false" customHeight="true" outlineLevel="0" collapsed="false">
      <c r="A467" s="8"/>
      <c r="B467" s="8"/>
      <c r="C467" s="8"/>
      <c r="D467" s="8"/>
      <c r="E467" s="8"/>
      <c r="F467" s="8"/>
      <c r="G467" s="8"/>
      <c r="H467" s="8"/>
      <c r="I467" s="8"/>
      <c r="J467" s="8"/>
      <c r="K467" s="8"/>
      <c r="L467" s="8"/>
      <c r="M467" s="8"/>
      <c r="N467" s="8"/>
      <c r="O467" s="8"/>
      <c r="P467" s="8"/>
      <c r="Q467" s="8"/>
      <c r="R467" s="8"/>
    </row>
    <row r="468" customFormat="false" ht="27.75" hidden="false" customHeight="true" outlineLevel="0" collapsed="false">
      <c r="A468" s="7"/>
      <c r="B468" s="7"/>
      <c r="C468" s="7"/>
      <c r="D468" s="7"/>
      <c r="E468" s="7"/>
      <c r="F468" s="7"/>
      <c r="G468" s="7"/>
      <c r="H468" s="7"/>
      <c r="I468" s="7"/>
      <c r="J468" s="7"/>
      <c r="K468" s="7"/>
      <c r="L468" s="7"/>
      <c r="M468" s="7"/>
      <c r="N468" s="7"/>
      <c r="O468" s="7"/>
      <c r="P468" s="7"/>
      <c r="Q468" s="7"/>
      <c r="R468" s="7"/>
    </row>
    <row r="469" customFormat="false" ht="27.75" hidden="false" customHeight="true" outlineLevel="0" collapsed="false">
      <c r="A469" s="8"/>
      <c r="B469" s="8"/>
      <c r="C469" s="8"/>
      <c r="D469" s="8"/>
      <c r="E469" s="8"/>
      <c r="F469" s="8"/>
      <c r="G469" s="8"/>
      <c r="H469" s="8"/>
      <c r="I469" s="8"/>
      <c r="J469" s="8"/>
      <c r="K469" s="8"/>
      <c r="L469" s="8"/>
      <c r="M469" s="8"/>
      <c r="N469" s="8"/>
      <c r="O469" s="8"/>
      <c r="P469" s="8"/>
      <c r="Q469" s="8"/>
      <c r="R469" s="8"/>
    </row>
    <row r="470" customFormat="false" ht="27.75" hidden="false" customHeight="true" outlineLevel="0" collapsed="false">
      <c r="A470" s="7"/>
      <c r="B470" s="7"/>
      <c r="C470" s="7"/>
      <c r="D470" s="7"/>
      <c r="E470" s="7"/>
      <c r="F470" s="7"/>
      <c r="G470" s="7"/>
      <c r="H470" s="7"/>
      <c r="I470" s="7"/>
      <c r="J470" s="7"/>
      <c r="K470" s="7"/>
      <c r="L470" s="7"/>
      <c r="M470" s="7"/>
      <c r="N470" s="7"/>
      <c r="O470" s="7"/>
      <c r="P470" s="7"/>
      <c r="Q470" s="7"/>
      <c r="R470" s="7"/>
    </row>
    <row r="471" customFormat="false" ht="27.75" hidden="false" customHeight="true" outlineLevel="0" collapsed="false">
      <c r="A471" s="8"/>
      <c r="B471" s="8"/>
      <c r="C471" s="8"/>
      <c r="D471" s="8"/>
      <c r="E471" s="8"/>
      <c r="F471" s="8"/>
      <c r="G471" s="8"/>
      <c r="H471" s="8"/>
      <c r="I471" s="8"/>
      <c r="J471" s="8"/>
      <c r="K471" s="8"/>
      <c r="L471" s="8"/>
      <c r="M471" s="8"/>
      <c r="N471" s="8"/>
      <c r="O471" s="8"/>
      <c r="P471" s="8"/>
      <c r="Q471" s="8"/>
      <c r="R471" s="8"/>
    </row>
    <row r="472" customFormat="false" ht="27.75" hidden="false" customHeight="true" outlineLevel="0" collapsed="false">
      <c r="A472" s="7"/>
      <c r="B472" s="7"/>
      <c r="C472" s="7"/>
      <c r="D472" s="7"/>
      <c r="E472" s="7"/>
      <c r="F472" s="7"/>
      <c r="G472" s="7"/>
      <c r="H472" s="7"/>
      <c r="I472" s="7"/>
      <c r="J472" s="7"/>
      <c r="K472" s="7"/>
      <c r="L472" s="7"/>
      <c r="M472" s="7"/>
      <c r="N472" s="7"/>
      <c r="O472" s="7"/>
      <c r="P472" s="7"/>
      <c r="Q472" s="7"/>
      <c r="R472" s="7"/>
    </row>
    <row r="473" customFormat="false" ht="27.75" hidden="false" customHeight="true" outlineLevel="0" collapsed="false">
      <c r="A473" s="8"/>
      <c r="B473" s="8"/>
      <c r="C473" s="8"/>
      <c r="D473" s="8"/>
      <c r="E473" s="8"/>
      <c r="F473" s="8"/>
      <c r="G473" s="8"/>
      <c r="H473" s="8"/>
      <c r="I473" s="8"/>
      <c r="J473" s="8"/>
      <c r="K473" s="8"/>
      <c r="L473" s="8"/>
      <c r="M473" s="8"/>
      <c r="N473" s="8"/>
      <c r="O473" s="8"/>
      <c r="P473" s="8"/>
      <c r="Q473" s="8"/>
      <c r="R473" s="8"/>
    </row>
    <row r="474" customFormat="false" ht="27.75" hidden="false" customHeight="true" outlineLevel="0" collapsed="false">
      <c r="A474" s="7"/>
      <c r="B474" s="7"/>
      <c r="C474" s="7"/>
      <c r="D474" s="7"/>
      <c r="E474" s="7"/>
      <c r="F474" s="7"/>
      <c r="G474" s="7"/>
      <c r="H474" s="7"/>
      <c r="I474" s="7"/>
      <c r="J474" s="7"/>
      <c r="K474" s="7"/>
      <c r="L474" s="7"/>
      <c r="M474" s="7"/>
      <c r="N474" s="7"/>
      <c r="O474" s="7"/>
      <c r="P474" s="7"/>
      <c r="Q474" s="7"/>
      <c r="R474" s="7"/>
    </row>
    <row r="475" customFormat="false" ht="27.75" hidden="false" customHeight="true" outlineLevel="0" collapsed="false">
      <c r="A475" s="8"/>
      <c r="B475" s="8"/>
      <c r="C475" s="8"/>
      <c r="D475" s="8"/>
      <c r="E475" s="8"/>
      <c r="F475" s="8"/>
      <c r="G475" s="8"/>
      <c r="H475" s="8"/>
      <c r="I475" s="8"/>
      <c r="J475" s="8"/>
      <c r="K475" s="8"/>
      <c r="L475" s="8"/>
      <c r="M475" s="8"/>
      <c r="N475" s="8"/>
      <c r="O475" s="8"/>
      <c r="P475" s="8"/>
      <c r="Q475" s="8"/>
      <c r="R475" s="8"/>
    </row>
    <row r="476" customFormat="false" ht="27.75" hidden="false" customHeight="true" outlineLevel="0" collapsed="false">
      <c r="A476" s="7"/>
      <c r="B476" s="7"/>
      <c r="C476" s="7"/>
      <c r="D476" s="7"/>
      <c r="E476" s="7"/>
      <c r="F476" s="7"/>
      <c r="G476" s="7"/>
      <c r="H476" s="7"/>
      <c r="I476" s="7"/>
      <c r="J476" s="7"/>
      <c r="K476" s="7"/>
      <c r="L476" s="7"/>
      <c r="M476" s="7"/>
      <c r="N476" s="7"/>
      <c r="O476" s="7"/>
      <c r="P476" s="7"/>
      <c r="Q476" s="7"/>
      <c r="R476" s="7"/>
    </row>
    <row r="477" customFormat="false" ht="27.75" hidden="false" customHeight="true" outlineLevel="0" collapsed="false">
      <c r="A477" s="8"/>
      <c r="B477" s="8"/>
      <c r="C477" s="8"/>
      <c r="D477" s="8"/>
      <c r="E477" s="8"/>
      <c r="F477" s="8"/>
      <c r="G477" s="8"/>
      <c r="H477" s="8"/>
      <c r="I477" s="8"/>
      <c r="J477" s="8"/>
      <c r="K477" s="8"/>
      <c r="L477" s="8"/>
      <c r="M477" s="8"/>
      <c r="N477" s="8"/>
      <c r="O477" s="8"/>
      <c r="P477" s="8"/>
      <c r="Q477" s="8"/>
      <c r="R477" s="8"/>
    </row>
    <row r="478" customFormat="false" ht="27.75" hidden="false" customHeight="true" outlineLevel="0" collapsed="false">
      <c r="A478" s="7"/>
      <c r="B478" s="7"/>
      <c r="C478" s="7"/>
      <c r="D478" s="7"/>
      <c r="E478" s="7"/>
      <c r="F478" s="7"/>
      <c r="G478" s="7"/>
      <c r="H478" s="7"/>
      <c r="I478" s="7"/>
      <c r="J478" s="7"/>
      <c r="K478" s="7"/>
      <c r="L478" s="7"/>
      <c r="M478" s="7"/>
      <c r="N478" s="7"/>
      <c r="O478" s="7"/>
      <c r="P478" s="7"/>
      <c r="Q478" s="7"/>
      <c r="R478" s="7"/>
    </row>
    <row r="479" customFormat="false" ht="27.75" hidden="false" customHeight="true" outlineLevel="0" collapsed="false">
      <c r="A479" s="8"/>
      <c r="B479" s="8"/>
      <c r="C479" s="8"/>
      <c r="D479" s="8"/>
      <c r="E479" s="8"/>
      <c r="F479" s="8"/>
      <c r="G479" s="8"/>
      <c r="H479" s="8"/>
      <c r="I479" s="8"/>
      <c r="J479" s="8"/>
      <c r="K479" s="8"/>
      <c r="L479" s="8"/>
      <c r="M479" s="8"/>
      <c r="N479" s="8"/>
      <c r="O479" s="8"/>
      <c r="P479" s="8"/>
      <c r="Q479" s="8"/>
      <c r="R479" s="8"/>
    </row>
    <row r="480" customFormat="false" ht="27.75" hidden="false" customHeight="true" outlineLevel="0" collapsed="false">
      <c r="A480" s="7"/>
      <c r="B480" s="7"/>
      <c r="C480" s="7"/>
      <c r="D480" s="7"/>
      <c r="E480" s="7"/>
      <c r="F480" s="7"/>
      <c r="G480" s="7"/>
      <c r="H480" s="7"/>
      <c r="I480" s="7"/>
      <c r="J480" s="7"/>
      <c r="K480" s="7"/>
      <c r="L480" s="7"/>
      <c r="M480" s="7"/>
      <c r="N480" s="7"/>
      <c r="O480" s="7"/>
      <c r="P480" s="7"/>
      <c r="Q480" s="7"/>
      <c r="R480" s="7"/>
    </row>
    <row r="481" customFormat="false" ht="27.75" hidden="false" customHeight="true" outlineLevel="0" collapsed="false">
      <c r="A481" s="8"/>
      <c r="B481" s="8"/>
      <c r="C481" s="8"/>
      <c r="D481" s="8"/>
      <c r="E481" s="8"/>
      <c r="F481" s="8"/>
      <c r="G481" s="8"/>
      <c r="H481" s="8"/>
      <c r="I481" s="8"/>
      <c r="J481" s="8"/>
      <c r="K481" s="8"/>
      <c r="L481" s="8"/>
      <c r="M481" s="8"/>
      <c r="N481" s="8"/>
      <c r="O481" s="8"/>
      <c r="P481" s="8"/>
      <c r="Q481" s="8"/>
      <c r="R481" s="8"/>
    </row>
    <row r="482" customFormat="false" ht="27.75" hidden="false" customHeight="true" outlineLevel="0" collapsed="false">
      <c r="A482" s="7"/>
      <c r="B482" s="7"/>
      <c r="C482" s="7"/>
      <c r="D482" s="7"/>
      <c r="E482" s="7"/>
      <c r="F482" s="7"/>
      <c r="G482" s="7"/>
      <c r="H482" s="7"/>
      <c r="I482" s="7"/>
      <c r="J482" s="7"/>
      <c r="K482" s="7"/>
      <c r="L482" s="7"/>
      <c r="M482" s="7"/>
      <c r="N482" s="7"/>
      <c r="O482" s="7"/>
      <c r="P482" s="7"/>
      <c r="Q482" s="7"/>
      <c r="R482" s="7"/>
    </row>
    <row r="483" customFormat="false" ht="27.75" hidden="false" customHeight="true" outlineLevel="0" collapsed="false">
      <c r="A483" s="8"/>
      <c r="B483" s="8"/>
      <c r="C483" s="8"/>
      <c r="D483" s="8"/>
      <c r="E483" s="8"/>
      <c r="F483" s="8"/>
      <c r="G483" s="8"/>
      <c r="H483" s="8"/>
      <c r="I483" s="8"/>
      <c r="J483" s="8"/>
      <c r="K483" s="8"/>
      <c r="L483" s="8"/>
      <c r="M483" s="8"/>
      <c r="N483" s="8"/>
      <c r="O483" s="8"/>
      <c r="P483" s="8"/>
      <c r="Q483" s="8"/>
      <c r="R483" s="8"/>
    </row>
    <row r="484" customFormat="false" ht="27.75" hidden="false" customHeight="true" outlineLevel="0" collapsed="false">
      <c r="A484" s="7"/>
      <c r="B484" s="7"/>
      <c r="C484" s="7"/>
      <c r="D484" s="7"/>
      <c r="E484" s="7"/>
      <c r="F484" s="7"/>
      <c r="G484" s="7"/>
      <c r="H484" s="7"/>
      <c r="I484" s="7"/>
      <c r="J484" s="7"/>
      <c r="K484" s="7"/>
      <c r="L484" s="7"/>
      <c r="M484" s="7"/>
      <c r="N484" s="7"/>
      <c r="O484" s="7"/>
      <c r="P484" s="7"/>
      <c r="Q484" s="7"/>
      <c r="R484" s="7"/>
    </row>
    <row r="485" customFormat="false" ht="27.75" hidden="false" customHeight="true" outlineLevel="0" collapsed="false">
      <c r="A485" s="8"/>
      <c r="B485" s="8"/>
      <c r="C485" s="8"/>
      <c r="D485" s="8"/>
      <c r="E485" s="8"/>
      <c r="F485" s="8"/>
      <c r="G485" s="8"/>
      <c r="H485" s="8"/>
      <c r="I485" s="8"/>
      <c r="J485" s="8"/>
      <c r="K485" s="8"/>
      <c r="L485" s="8"/>
      <c r="M485" s="8"/>
      <c r="N485" s="8"/>
      <c r="O485" s="8"/>
      <c r="P485" s="8"/>
      <c r="Q485" s="8"/>
      <c r="R485" s="8"/>
    </row>
    <row r="486" customFormat="false" ht="27.75" hidden="false" customHeight="true" outlineLevel="0" collapsed="false">
      <c r="A486" s="7"/>
      <c r="B486" s="7"/>
      <c r="C486" s="7"/>
      <c r="D486" s="7"/>
      <c r="E486" s="7"/>
      <c r="F486" s="7"/>
      <c r="G486" s="7"/>
      <c r="H486" s="7"/>
      <c r="I486" s="7"/>
      <c r="J486" s="7"/>
      <c r="K486" s="7"/>
      <c r="L486" s="7"/>
      <c r="M486" s="7"/>
      <c r="N486" s="7"/>
      <c r="O486" s="7"/>
      <c r="P486" s="7"/>
      <c r="Q486" s="7"/>
      <c r="R486" s="7"/>
    </row>
    <row r="487" customFormat="false" ht="27.75" hidden="false" customHeight="true" outlineLevel="0" collapsed="false">
      <c r="A487" s="8"/>
      <c r="B487" s="8"/>
      <c r="C487" s="8"/>
      <c r="D487" s="8"/>
      <c r="E487" s="8"/>
      <c r="F487" s="8"/>
      <c r="G487" s="8"/>
      <c r="H487" s="8"/>
      <c r="I487" s="8"/>
      <c r="J487" s="8"/>
      <c r="K487" s="8"/>
      <c r="L487" s="8"/>
      <c r="M487" s="8"/>
      <c r="N487" s="8"/>
      <c r="O487" s="8"/>
      <c r="P487" s="8"/>
      <c r="Q487" s="8"/>
      <c r="R487" s="8"/>
    </row>
    <row r="488" customFormat="false" ht="27.75" hidden="false" customHeight="true" outlineLevel="0" collapsed="false">
      <c r="A488" s="7"/>
      <c r="B488" s="7"/>
      <c r="C488" s="7"/>
      <c r="D488" s="7"/>
      <c r="E488" s="7"/>
      <c r="F488" s="7"/>
      <c r="G488" s="7"/>
      <c r="H488" s="7"/>
      <c r="I488" s="7"/>
      <c r="J488" s="7"/>
      <c r="K488" s="7"/>
      <c r="L488" s="7"/>
      <c r="M488" s="7"/>
      <c r="N488" s="7"/>
      <c r="O488" s="7"/>
      <c r="P488" s="7"/>
      <c r="Q488" s="7"/>
      <c r="R488" s="7"/>
    </row>
    <row r="489" customFormat="false" ht="27.75" hidden="false" customHeight="true" outlineLevel="0" collapsed="false">
      <c r="A489" s="8"/>
      <c r="B489" s="8"/>
      <c r="C489" s="8"/>
      <c r="D489" s="8"/>
      <c r="E489" s="8"/>
      <c r="F489" s="8"/>
      <c r="G489" s="8"/>
      <c r="H489" s="8"/>
      <c r="I489" s="8"/>
      <c r="J489" s="8"/>
      <c r="K489" s="8"/>
      <c r="L489" s="8"/>
      <c r="M489" s="8"/>
      <c r="N489" s="8"/>
      <c r="O489" s="8"/>
      <c r="P489" s="8"/>
      <c r="Q489" s="8"/>
      <c r="R489" s="8"/>
    </row>
    <row r="490" customFormat="false" ht="27.75" hidden="false" customHeight="true" outlineLevel="0" collapsed="false">
      <c r="A490" s="7"/>
      <c r="B490" s="7"/>
      <c r="C490" s="7"/>
      <c r="D490" s="7"/>
      <c r="E490" s="7"/>
      <c r="F490" s="7"/>
      <c r="G490" s="7"/>
      <c r="H490" s="7"/>
      <c r="I490" s="7"/>
      <c r="J490" s="7"/>
      <c r="K490" s="7"/>
      <c r="L490" s="7"/>
      <c r="M490" s="7"/>
      <c r="N490" s="7"/>
      <c r="O490" s="7"/>
      <c r="P490" s="7"/>
      <c r="Q490" s="7"/>
      <c r="R490" s="7"/>
    </row>
    <row r="491" customFormat="false" ht="27.75" hidden="false" customHeight="true" outlineLevel="0" collapsed="false">
      <c r="A491" s="8"/>
      <c r="B491" s="8"/>
      <c r="C491" s="8"/>
      <c r="D491" s="8"/>
      <c r="E491" s="8"/>
      <c r="F491" s="8"/>
      <c r="G491" s="8"/>
      <c r="H491" s="8"/>
      <c r="I491" s="8"/>
      <c r="J491" s="8"/>
      <c r="K491" s="8"/>
      <c r="L491" s="8"/>
      <c r="M491" s="8"/>
      <c r="N491" s="8"/>
      <c r="O491" s="8"/>
      <c r="P491" s="8"/>
      <c r="Q491" s="8"/>
      <c r="R491" s="8"/>
    </row>
    <row r="492" customFormat="false" ht="27.75" hidden="false" customHeight="true" outlineLevel="0" collapsed="false">
      <c r="A492" s="7"/>
      <c r="B492" s="7"/>
      <c r="C492" s="7"/>
      <c r="D492" s="7"/>
      <c r="E492" s="7"/>
      <c r="F492" s="7"/>
      <c r="G492" s="7"/>
      <c r="H492" s="7"/>
      <c r="I492" s="7"/>
      <c r="J492" s="7"/>
      <c r="K492" s="7"/>
      <c r="L492" s="7"/>
      <c r="M492" s="7"/>
      <c r="N492" s="7"/>
      <c r="O492" s="7"/>
      <c r="P492" s="7"/>
      <c r="Q492" s="7"/>
      <c r="R492" s="7"/>
    </row>
    <row r="493" customFormat="false" ht="27.75" hidden="false" customHeight="true" outlineLevel="0" collapsed="false">
      <c r="A493" s="8"/>
      <c r="B493" s="8"/>
      <c r="C493" s="8"/>
      <c r="D493" s="8"/>
      <c r="E493" s="8"/>
      <c r="F493" s="8"/>
      <c r="G493" s="8"/>
      <c r="H493" s="8"/>
      <c r="I493" s="8"/>
      <c r="J493" s="8"/>
      <c r="K493" s="8"/>
      <c r="L493" s="8"/>
      <c r="M493" s="8"/>
      <c r="N493" s="8"/>
      <c r="O493" s="8"/>
      <c r="P493" s="8"/>
      <c r="Q493" s="8"/>
      <c r="R493" s="8"/>
    </row>
    <row r="494" customFormat="false" ht="27.75" hidden="false" customHeight="true" outlineLevel="0" collapsed="false">
      <c r="A494" s="7"/>
      <c r="B494" s="7"/>
      <c r="C494" s="7"/>
      <c r="D494" s="7"/>
      <c r="E494" s="7"/>
      <c r="F494" s="7"/>
      <c r="G494" s="7"/>
      <c r="H494" s="7"/>
      <c r="I494" s="7"/>
      <c r="J494" s="7"/>
      <c r="K494" s="7"/>
      <c r="L494" s="7"/>
      <c r="M494" s="7"/>
      <c r="N494" s="7"/>
      <c r="O494" s="7"/>
      <c r="P494" s="7"/>
      <c r="Q494" s="7"/>
      <c r="R494" s="7"/>
    </row>
    <row r="495" customFormat="false" ht="27.75" hidden="false" customHeight="true" outlineLevel="0" collapsed="false">
      <c r="A495" s="8"/>
      <c r="B495" s="8"/>
      <c r="C495" s="8"/>
      <c r="D495" s="8"/>
      <c r="E495" s="8"/>
      <c r="F495" s="8"/>
      <c r="G495" s="8"/>
      <c r="H495" s="8"/>
      <c r="I495" s="8"/>
      <c r="J495" s="8"/>
      <c r="K495" s="8"/>
      <c r="L495" s="8"/>
      <c r="M495" s="8"/>
      <c r="N495" s="8"/>
      <c r="O495" s="8"/>
      <c r="P495" s="8"/>
      <c r="Q495" s="8"/>
      <c r="R495" s="8"/>
    </row>
    <row r="496" customFormat="false" ht="27.75" hidden="false" customHeight="true" outlineLevel="0" collapsed="false">
      <c r="A496" s="7"/>
      <c r="B496" s="7"/>
      <c r="C496" s="7"/>
      <c r="D496" s="7"/>
      <c r="E496" s="7"/>
      <c r="F496" s="7"/>
      <c r="G496" s="7"/>
      <c r="H496" s="7"/>
      <c r="I496" s="7"/>
      <c r="J496" s="7"/>
      <c r="K496" s="7"/>
      <c r="L496" s="7"/>
      <c r="M496" s="7"/>
      <c r="N496" s="7"/>
      <c r="O496" s="7"/>
      <c r="P496" s="7"/>
      <c r="Q496" s="7"/>
      <c r="R496" s="7"/>
    </row>
    <row r="497" customFormat="false" ht="27.75" hidden="false" customHeight="true" outlineLevel="0" collapsed="false">
      <c r="A497" s="8"/>
      <c r="B497" s="8"/>
      <c r="C497" s="8"/>
      <c r="D497" s="8"/>
      <c r="E497" s="8"/>
      <c r="F497" s="8"/>
      <c r="G497" s="8"/>
      <c r="H497" s="8"/>
      <c r="I497" s="8"/>
      <c r="J497" s="8"/>
      <c r="K497" s="8"/>
      <c r="L497" s="8"/>
      <c r="M497" s="8"/>
      <c r="N497" s="8"/>
      <c r="O497" s="8"/>
      <c r="P497" s="8"/>
      <c r="Q497" s="8"/>
      <c r="R497" s="8"/>
    </row>
    <row r="498" customFormat="false" ht="27.75" hidden="false" customHeight="true" outlineLevel="0" collapsed="false">
      <c r="A498" s="7"/>
      <c r="B498" s="7"/>
      <c r="C498" s="7"/>
      <c r="D498" s="7"/>
      <c r="E498" s="7"/>
      <c r="F498" s="7"/>
      <c r="G498" s="7"/>
      <c r="H498" s="7"/>
      <c r="I498" s="7"/>
      <c r="J498" s="7"/>
      <c r="K498" s="7"/>
      <c r="L498" s="7"/>
      <c r="M498" s="7"/>
      <c r="N498" s="7"/>
      <c r="O498" s="7"/>
      <c r="P498" s="7"/>
      <c r="Q498" s="7"/>
      <c r="R498" s="7"/>
    </row>
    <row r="499" customFormat="false" ht="27.75" hidden="false" customHeight="true" outlineLevel="0" collapsed="false">
      <c r="A499" s="8"/>
      <c r="B499" s="8"/>
      <c r="C499" s="8"/>
      <c r="D499" s="8"/>
      <c r="E499" s="8"/>
      <c r="F499" s="8"/>
      <c r="G499" s="8"/>
      <c r="H499" s="8"/>
      <c r="I499" s="8"/>
      <c r="J499" s="8"/>
      <c r="K499" s="8"/>
      <c r="L499" s="8"/>
      <c r="M499" s="8"/>
      <c r="N499" s="8"/>
      <c r="O499" s="8"/>
      <c r="P499" s="8"/>
      <c r="Q499" s="8"/>
      <c r="R499" s="8"/>
    </row>
    <row r="500" customFormat="false" ht="27.75" hidden="false" customHeight="true" outlineLevel="0" collapsed="false">
      <c r="A500" s="7"/>
      <c r="B500" s="7"/>
      <c r="C500" s="7"/>
      <c r="D500" s="7"/>
      <c r="E500" s="7"/>
      <c r="F500" s="7"/>
      <c r="G500" s="7"/>
      <c r="H500" s="7"/>
      <c r="I500" s="7"/>
      <c r="J500" s="7"/>
      <c r="K500" s="7"/>
      <c r="L500" s="7"/>
      <c r="M500" s="7"/>
      <c r="N500" s="7"/>
      <c r="O500" s="7"/>
      <c r="P500" s="7"/>
      <c r="Q500" s="7"/>
      <c r="R500" s="7"/>
    </row>
    <row r="501" customFormat="false" ht="27.75" hidden="false" customHeight="true" outlineLevel="0" collapsed="false">
      <c r="A501" s="8"/>
      <c r="B501" s="8"/>
      <c r="C501" s="8"/>
      <c r="D501" s="8"/>
      <c r="E501" s="8"/>
      <c r="F501" s="8"/>
      <c r="G501" s="8"/>
      <c r="H501" s="8"/>
      <c r="I501" s="8"/>
      <c r="J501" s="8"/>
      <c r="K501" s="8"/>
      <c r="L501" s="8"/>
      <c r="M501" s="8"/>
      <c r="N501" s="8"/>
      <c r="O501" s="8"/>
      <c r="P501" s="8"/>
      <c r="Q501" s="8"/>
      <c r="R501" s="8"/>
    </row>
  </sheetData>
  <dataValidations count="6">
    <dataValidation allowBlank="false" errorStyle="stop" operator="between" showDropDown="false" showErrorMessage="false" showInputMessage="false" sqref="B2:B501" type="list">
      <formula1>"Q1,Q2,Q3,Q4"</formula1>
      <formula2>0</formula2>
    </dataValidation>
    <dataValidation allowBlank="false" errorStyle="stop" operator="between" showDropDown="false" showErrorMessage="false" showInputMessage="false" sqref="I2:I501" type="list">
      <formula1>"1,2,3"</formula1>
      <formula2>0</formula2>
    </dataValidation>
    <dataValidation allowBlank="true" errorStyle="stop" operator="between" showDropDown="false" showErrorMessage="false" showInputMessage="false" sqref="G2:G501" type="list">
      <formula1>"oncology,immunology,neuro,rare,cross-TA,N/A"</formula1>
      <formula2>0</formula2>
    </dataValidation>
    <dataValidation allowBlank="true" errorStyle="stop" operator="between" showDropDown="false" showErrorMessage="false" showInputMessage="false" sqref="H2:H501" type="list">
      <formula1>"small mol,biologic,nucleic acid,cell-gene,platform,N/A"</formula1>
      <formula2>0</formula2>
    </dataValidation>
    <dataValidation allowBlank="true" errorStyle="stop" operator="between" showDropDown="false" showErrorMessage="false" showInputMessage="false" sqref="O2:O501" type="list">
      <formula1>"EXTRAPOLATION,ANALOGY,LIMITED EVIDENCE,INDUSTRY ESTIMATE,MANAGEMENT COMMENTARY NOT GUIDED,SOURCE NEEDED,DISCONFIRMING"</formula1>
      <formula2>0</formula2>
    </dataValidation>
    <dataValidation allowBlank="false" errorStyle="stop" operator="between" showDropDown="false" showErrorMessage="false" showInputMessage="false" sqref="P2:P501"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10"/>
    <col collapsed="false" customWidth="true" hidden="false" outlineLevel="0" max="3" min="3" style="1" width="26"/>
    <col collapsed="false" customWidth="true" hidden="false" outlineLevel="0" max="4" min="4" style="1" width="55"/>
    <col collapsed="false" customWidth="true" hidden="false" outlineLevel="0" max="6" min="5" style="1" width="22"/>
    <col collapsed="false" customWidth="true" hidden="false" outlineLevel="0" max="7" min="7" style="1" width="18"/>
    <col collapsed="false" customWidth="true" hidden="false" outlineLevel="0" max="8" min="8" style="1" width="16"/>
    <col collapsed="false" customWidth="true" hidden="false" outlineLevel="0" max="9" min="9" style="1" width="12"/>
    <col collapsed="false" customWidth="true" hidden="false" outlineLevel="0" max="10" min="10" style="1" width="22"/>
    <col collapsed="false" customWidth="true" hidden="false" outlineLevel="0" max="11" min="11" style="1" width="32"/>
    <col collapsed="false" customWidth="true" hidden="false" outlineLevel="0" max="12" min="12" style="1" width="40"/>
    <col collapsed="false" customWidth="true" hidden="false" outlineLevel="0" max="13" min="13" style="1" width="14"/>
    <col collapsed="false" customWidth="true" hidden="false" outlineLevel="0" max="14" min="14" style="1" width="50"/>
    <col collapsed="false" customWidth="true" hidden="false" outlineLevel="0" max="15" min="15" style="1" width="28"/>
    <col collapsed="false" customWidth="true" hidden="false" outlineLevel="0" max="16" min="16" style="1" width="18"/>
    <col collapsed="false" customWidth="true" hidden="false" outlineLevel="0" max="17" min="17" style="1" width="28"/>
    <col collapsed="false" customWidth="true" hidden="false" outlineLevel="0" max="18" min="18" style="1" width="45"/>
    <col collapsed="false" customWidth="true" hidden="false" outlineLevel="0" max="19" min="19" style="1" width="14"/>
    <col collapsed="false" customWidth="true" hidden="false" outlineLevel="0" max="22" min="20" style="1" width="22"/>
    <col collapsed="false" customWidth="true" hidden="false" outlineLevel="0" max="23" min="23" style="1" width="16"/>
    <col collapsed="false" customWidth="true" hidden="false" outlineLevel="0" max="24" min="24" style="1" width="18"/>
    <col collapsed="false" customWidth="true" hidden="false" outlineLevel="0" max="25" min="25" style="1" width="16"/>
    <col collapsed="false" customWidth="true" hidden="false" outlineLevel="0" max="26" min="26" style="1" width="30"/>
  </cols>
  <sheetData>
    <row r="1" customFormat="false" ht="36" hidden="false" customHeight="true" outlineLevel="0" collapsed="false">
      <c r="A1" s="6" t="s">
        <v>32</v>
      </c>
      <c r="B1" s="6" t="s">
        <v>33</v>
      </c>
      <c r="C1" s="6" t="s">
        <v>34</v>
      </c>
      <c r="D1" s="6" t="s">
        <v>35</v>
      </c>
      <c r="E1" s="6" t="s">
        <v>36</v>
      </c>
      <c r="F1" s="6" t="s">
        <v>37</v>
      </c>
      <c r="G1" s="6" t="s">
        <v>38</v>
      </c>
      <c r="H1" s="6" t="s">
        <v>39</v>
      </c>
      <c r="I1" s="6" t="s">
        <v>40</v>
      </c>
      <c r="J1" s="6" t="s">
        <v>41</v>
      </c>
      <c r="K1" s="6" t="s">
        <v>42</v>
      </c>
      <c r="L1" s="6" t="s">
        <v>43</v>
      </c>
      <c r="M1" s="6" t="s">
        <v>44</v>
      </c>
      <c r="N1" s="6" t="s">
        <v>45</v>
      </c>
      <c r="O1" s="6" t="s">
        <v>46</v>
      </c>
      <c r="P1" s="6" t="s">
        <v>47</v>
      </c>
      <c r="Q1" s="6" t="s">
        <v>48</v>
      </c>
      <c r="R1" s="6" t="s">
        <v>49</v>
      </c>
      <c r="S1" s="6" t="s">
        <v>1951</v>
      </c>
      <c r="T1" s="6" t="s">
        <v>1952</v>
      </c>
      <c r="U1" s="6" t="s">
        <v>1953</v>
      </c>
      <c r="V1" s="6" t="s">
        <v>1954</v>
      </c>
      <c r="W1" s="6" t="s">
        <v>1955</v>
      </c>
      <c r="X1" s="6" t="s">
        <v>1956</v>
      </c>
      <c r="Y1" s="6" t="s">
        <v>1957</v>
      </c>
      <c r="Z1" s="6" t="s">
        <v>1958</v>
      </c>
    </row>
    <row r="2" customFormat="false" ht="27.75" hidden="false" customHeight="true" outlineLevel="0" collapsed="false">
      <c r="A2" s="7" t="s">
        <v>1959</v>
      </c>
      <c r="B2" s="7" t="s">
        <v>1960</v>
      </c>
      <c r="C2" s="7" t="s">
        <v>1961</v>
      </c>
      <c r="D2" s="7" t="s">
        <v>1962</v>
      </c>
      <c r="E2" s="7" t="s">
        <v>1963</v>
      </c>
      <c r="F2" s="7" t="s">
        <v>1964</v>
      </c>
      <c r="G2" s="7" t="s">
        <v>56</v>
      </c>
      <c r="H2" s="7" t="s">
        <v>145</v>
      </c>
      <c r="I2" s="7" t="s">
        <v>58</v>
      </c>
      <c r="J2" s="7" t="s">
        <v>1965</v>
      </c>
      <c r="K2" s="7" t="s">
        <v>1966</v>
      </c>
      <c r="L2" s="7" t="s">
        <v>1967</v>
      </c>
      <c r="M2" s="7" t="s">
        <v>62</v>
      </c>
      <c r="N2" s="7" t="s">
        <v>1968</v>
      </c>
      <c r="O2" s="7"/>
      <c r="P2" s="7" t="s">
        <v>65</v>
      </c>
      <c r="Q2" s="7" t="s">
        <v>1969</v>
      </c>
      <c r="R2" s="7" t="s">
        <v>1970</v>
      </c>
      <c r="S2" s="7" t="s">
        <v>1971</v>
      </c>
      <c r="T2" s="7" t="s">
        <v>246</v>
      </c>
      <c r="U2" s="7" t="s">
        <v>1972</v>
      </c>
      <c r="V2" s="7" t="s">
        <v>1973</v>
      </c>
      <c r="W2" s="7" t="s">
        <v>1974</v>
      </c>
      <c r="X2" s="7" t="s">
        <v>1975</v>
      </c>
      <c r="Y2" s="7" t="s">
        <v>65</v>
      </c>
      <c r="Z2" s="7" t="s">
        <v>1976</v>
      </c>
    </row>
    <row r="3" customFormat="false" ht="27.75" hidden="false" customHeight="true" outlineLevel="0" collapsed="false">
      <c r="A3" s="8" t="s">
        <v>1977</v>
      </c>
      <c r="B3" s="8" t="s">
        <v>1960</v>
      </c>
      <c r="C3" s="8" t="s">
        <v>1961</v>
      </c>
      <c r="D3" s="8" t="s">
        <v>1978</v>
      </c>
      <c r="E3" s="8" t="s">
        <v>1979</v>
      </c>
      <c r="F3" s="8" t="s">
        <v>1980</v>
      </c>
      <c r="G3" s="8" t="s">
        <v>56</v>
      </c>
      <c r="H3" s="8" t="s">
        <v>145</v>
      </c>
      <c r="I3" s="8" t="s">
        <v>58</v>
      </c>
      <c r="J3" s="8" t="s">
        <v>1965</v>
      </c>
      <c r="K3" s="8" t="s">
        <v>1981</v>
      </c>
      <c r="L3" s="8" t="s">
        <v>1982</v>
      </c>
      <c r="M3" s="8" t="s">
        <v>62</v>
      </c>
      <c r="N3" s="8" t="s">
        <v>1983</v>
      </c>
      <c r="O3" s="8"/>
      <c r="P3" s="8" t="s">
        <v>65</v>
      </c>
      <c r="Q3" s="8" t="s">
        <v>1969</v>
      </c>
      <c r="R3" s="8" t="s">
        <v>1984</v>
      </c>
      <c r="S3" s="8" t="s">
        <v>1971</v>
      </c>
      <c r="T3" s="8" t="s">
        <v>1985</v>
      </c>
      <c r="U3" s="8" t="s">
        <v>1972</v>
      </c>
      <c r="V3" s="8" t="s">
        <v>1973</v>
      </c>
      <c r="W3" s="8" t="s">
        <v>1986</v>
      </c>
      <c r="X3" s="8" t="s">
        <v>1987</v>
      </c>
      <c r="Y3" s="8" t="s">
        <v>65</v>
      </c>
      <c r="Z3" s="8" t="s">
        <v>1976</v>
      </c>
    </row>
    <row r="4" customFormat="false" ht="27.75" hidden="false" customHeight="true" outlineLevel="0" collapsed="false">
      <c r="A4" s="7" t="s">
        <v>1988</v>
      </c>
      <c r="B4" s="7" t="s">
        <v>1960</v>
      </c>
      <c r="C4" s="7" t="s">
        <v>1961</v>
      </c>
      <c r="D4" s="7" t="s">
        <v>1989</v>
      </c>
      <c r="E4" s="7" t="s">
        <v>1990</v>
      </c>
      <c r="F4" s="7" t="s">
        <v>1991</v>
      </c>
      <c r="G4" s="7" t="s">
        <v>56</v>
      </c>
      <c r="H4" s="7" t="s">
        <v>73</v>
      </c>
      <c r="I4" s="7" t="s">
        <v>58</v>
      </c>
      <c r="J4" s="7" t="s">
        <v>1965</v>
      </c>
      <c r="K4" s="7" t="s">
        <v>1992</v>
      </c>
      <c r="L4" s="7" t="s">
        <v>1993</v>
      </c>
      <c r="M4" s="7" t="s">
        <v>62</v>
      </c>
      <c r="N4" s="7" t="s">
        <v>1994</v>
      </c>
      <c r="O4" s="7"/>
      <c r="P4" s="7" t="s">
        <v>65</v>
      </c>
      <c r="Q4" s="7" t="s">
        <v>1969</v>
      </c>
      <c r="R4" s="7" t="s">
        <v>1995</v>
      </c>
      <c r="S4" s="7" t="s">
        <v>1996</v>
      </c>
      <c r="T4" s="7" t="s">
        <v>97</v>
      </c>
      <c r="U4" s="7" t="s">
        <v>1997</v>
      </c>
      <c r="V4" s="7" t="s">
        <v>1973</v>
      </c>
      <c r="W4" s="7" t="s">
        <v>1998</v>
      </c>
      <c r="X4" s="7" t="s">
        <v>1999</v>
      </c>
      <c r="Y4" s="7" t="s">
        <v>544</v>
      </c>
      <c r="Z4" s="7" t="s">
        <v>1976</v>
      </c>
    </row>
    <row r="5" customFormat="false" ht="27.75" hidden="false" customHeight="true" outlineLevel="0" collapsed="false">
      <c r="A5" s="8" t="s">
        <v>2000</v>
      </c>
      <c r="B5" s="8" t="s">
        <v>1960</v>
      </c>
      <c r="C5" s="8" t="s">
        <v>1961</v>
      </c>
      <c r="D5" s="8" t="s">
        <v>2001</v>
      </c>
      <c r="E5" s="8" t="s">
        <v>2002</v>
      </c>
      <c r="F5" s="8" t="s">
        <v>2003</v>
      </c>
      <c r="G5" s="8" t="s">
        <v>2004</v>
      </c>
      <c r="H5" s="8" t="s">
        <v>145</v>
      </c>
      <c r="I5" s="8" t="s">
        <v>58</v>
      </c>
      <c r="J5" s="8" t="s">
        <v>1965</v>
      </c>
      <c r="K5" s="8" t="s">
        <v>2005</v>
      </c>
      <c r="L5" s="8" t="s">
        <v>2006</v>
      </c>
      <c r="M5" s="8" t="s">
        <v>62</v>
      </c>
      <c r="N5" s="8" t="s">
        <v>2007</v>
      </c>
      <c r="O5" s="8"/>
      <c r="P5" s="8" t="s">
        <v>65</v>
      </c>
      <c r="Q5" s="8" t="s">
        <v>1969</v>
      </c>
      <c r="R5" s="8" t="s">
        <v>2008</v>
      </c>
      <c r="S5" s="8" t="s">
        <v>2009</v>
      </c>
      <c r="T5" s="8" t="s">
        <v>2010</v>
      </c>
      <c r="U5" s="8" t="s">
        <v>771</v>
      </c>
      <c r="V5" s="8" t="s">
        <v>2011</v>
      </c>
      <c r="W5" s="8" t="s">
        <v>2012</v>
      </c>
      <c r="X5" s="8" t="s">
        <v>2013</v>
      </c>
      <c r="Y5" s="8" t="s">
        <v>65</v>
      </c>
      <c r="Z5" s="8" t="s">
        <v>2014</v>
      </c>
    </row>
    <row r="6" customFormat="false" ht="27.75" hidden="false" customHeight="true" outlineLevel="0" collapsed="false">
      <c r="A6" s="7" t="s">
        <v>2015</v>
      </c>
      <c r="B6" s="7" t="s">
        <v>1960</v>
      </c>
      <c r="C6" s="7" t="s">
        <v>1961</v>
      </c>
      <c r="D6" s="7" t="s">
        <v>2016</v>
      </c>
      <c r="E6" s="7" t="s">
        <v>2017</v>
      </c>
      <c r="F6" s="7" t="s">
        <v>2018</v>
      </c>
      <c r="G6" s="7" t="s">
        <v>56</v>
      </c>
      <c r="H6" s="7" t="s">
        <v>145</v>
      </c>
      <c r="I6" s="7" t="s">
        <v>58</v>
      </c>
      <c r="J6" s="7" t="s">
        <v>1965</v>
      </c>
      <c r="K6" s="7" t="s">
        <v>2019</v>
      </c>
      <c r="L6" s="7" t="s">
        <v>2020</v>
      </c>
      <c r="M6" s="7" t="s">
        <v>62</v>
      </c>
      <c r="N6" s="7" t="s">
        <v>2021</v>
      </c>
      <c r="O6" s="7"/>
      <c r="P6" s="7" t="s">
        <v>65</v>
      </c>
      <c r="Q6" s="7" t="s">
        <v>1969</v>
      </c>
      <c r="R6" s="7" t="s">
        <v>2022</v>
      </c>
      <c r="S6" s="7" t="s">
        <v>2023</v>
      </c>
      <c r="T6" s="7" t="s">
        <v>108</v>
      </c>
      <c r="U6" s="7" t="s">
        <v>266</v>
      </c>
      <c r="V6" s="7" t="s">
        <v>1973</v>
      </c>
      <c r="W6" s="7" t="s">
        <v>2024</v>
      </c>
      <c r="X6" s="7" t="s">
        <v>1987</v>
      </c>
      <c r="Y6" s="7" t="s">
        <v>65</v>
      </c>
      <c r="Z6" s="7" t="s">
        <v>1976</v>
      </c>
    </row>
    <row r="7" customFormat="false" ht="27.75" hidden="false" customHeight="true" outlineLevel="0" collapsed="false">
      <c r="A7" s="8" t="s">
        <v>2025</v>
      </c>
      <c r="B7" s="8" t="s">
        <v>1960</v>
      </c>
      <c r="C7" s="8" t="s">
        <v>1961</v>
      </c>
      <c r="D7" s="8" t="s">
        <v>2026</v>
      </c>
      <c r="E7" s="8" t="s">
        <v>2027</v>
      </c>
      <c r="F7" s="8" t="s">
        <v>2028</v>
      </c>
      <c r="G7" s="8" t="s">
        <v>2029</v>
      </c>
      <c r="H7" s="8" t="s">
        <v>145</v>
      </c>
      <c r="I7" s="8" t="s">
        <v>58</v>
      </c>
      <c r="J7" s="8" t="s">
        <v>1965</v>
      </c>
      <c r="K7" s="8" t="s">
        <v>2030</v>
      </c>
      <c r="L7" s="8" t="s">
        <v>2031</v>
      </c>
      <c r="M7" s="8" t="s">
        <v>62</v>
      </c>
      <c r="N7" s="8" t="s">
        <v>2032</v>
      </c>
      <c r="O7" s="8" t="s">
        <v>79</v>
      </c>
      <c r="P7" s="8" t="s">
        <v>65</v>
      </c>
      <c r="Q7" s="8" t="s">
        <v>1969</v>
      </c>
      <c r="R7" s="8" t="s">
        <v>2033</v>
      </c>
      <c r="S7" s="8" t="s">
        <v>2034</v>
      </c>
      <c r="T7" s="8" t="s">
        <v>246</v>
      </c>
      <c r="U7" s="8" t="s">
        <v>2035</v>
      </c>
      <c r="V7" s="8" t="s">
        <v>1973</v>
      </c>
      <c r="W7" s="8"/>
      <c r="X7" s="8"/>
      <c r="Y7" s="8" t="s">
        <v>65</v>
      </c>
      <c r="Z7" s="8" t="s">
        <v>1976</v>
      </c>
    </row>
    <row r="8" customFormat="false" ht="27.75" hidden="false" customHeight="true" outlineLevel="0" collapsed="false">
      <c r="A8" s="7" t="s">
        <v>2036</v>
      </c>
      <c r="B8" s="7" t="s">
        <v>1960</v>
      </c>
      <c r="C8" s="7" t="s">
        <v>1961</v>
      </c>
      <c r="D8" s="7" t="s">
        <v>2037</v>
      </c>
      <c r="E8" s="7" t="s">
        <v>2038</v>
      </c>
      <c r="F8" s="7" t="s">
        <v>2039</v>
      </c>
      <c r="G8" s="7" t="s">
        <v>2040</v>
      </c>
      <c r="H8" s="7" t="s">
        <v>145</v>
      </c>
      <c r="I8" s="7" t="s">
        <v>58</v>
      </c>
      <c r="J8" s="7" t="s">
        <v>1965</v>
      </c>
      <c r="K8" s="7" t="s">
        <v>2041</v>
      </c>
      <c r="L8" s="7" t="s">
        <v>2042</v>
      </c>
      <c r="M8" s="7" t="s">
        <v>62</v>
      </c>
      <c r="N8" s="7" t="s">
        <v>2043</v>
      </c>
      <c r="O8" s="7" t="s">
        <v>79</v>
      </c>
      <c r="P8" s="7" t="s">
        <v>65</v>
      </c>
      <c r="Q8" s="7" t="s">
        <v>1969</v>
      </c>
      <c r="R8" s="7" t="s">
        <v>2044</v>
      </c>
      <c r="S8" s="7" t="s">
        <v>2045</v>
      </c>
      <c r="T8" s="7" t="s">
        <v>246</v>
      </c>
      <c r="U8" s="7" t="s">
        <v>2046</v>
      </c>
      <c r="V8" s="7" t="s">
        <v>1973</v>
      </c>
      <c r="W8" s="7"/>
      <c r="X8" s="7" t="s">
        <v>2047</v>
      </c>
      <c r="Y8" s="7" t="s">
        <v>65</v>
      </c>
      <c r="Z8" s="7" t="s">
        <v>2048</v>
      </c>
    </row>
    <row r="9" customFormat="false" ht="27.75" hidden="false" customHeight="true" outlineLevel="0" collapsed="false">
      <c r="A9" s="8" t="s">
        <v>2049</v>
      </c>
      <c r="B9" s="8" t="s">
        <v>1960</v>
      </c>
      <c r="C9" s="8" t="s">
        <v>1961</v>
      </c>
      <c r="D9" s="8" t="s">
        <v>2050</v>
      </c>
      <c r="E9" s="8" t="s">
        <v>2051</v>
      </c>
      <c r="F9" s="8" t="s">
        <v>2052</v>
      </c>
      <c r="G9" s="8" t="s">
        <v>2053</v>
      </c>
      <c r="H9" s="8" t="s">
        <v>145</v>
      </c>
      <c r="I9" s="8" t="s">
        <v>58</v>
      </c>
      <c r="J9" s="8" t="s">
        <v>1965</v>
      </c>
      <c r="K9" s="8" t="s">
        <v>2054</v>
      </c>
      <c r="L9" s="8" t="s">
        <v>2055</v>
      </c>
      <c r="M9" s="8" t="s">
        <v>62</v>
      </c>
      <c r="N9" s="8" t="s">
        <v>2056</v>
      </c>
      <c r="O9" s="8"/>
      <c r="P9" s="8" t="s">
        <v>65</v>
      </c>
      <c r="Q9" s="8" t="s">
        <v>1969</v>
      </c>
      <c r="R9" s="8" t="s">
        <v>2057</v>
      </c>
      <c r="S9" s="8" t="s">
        <v>2058</v>
      </c>
      <c r="T9" s="8" t="s">
        <v>246</v>
      </c>
      <c r="U9" s="8" t="s">
        <v>815</v>
      </c>
      <c r="V9" s="8" t="s">
        <v>1973</v>
      </c>
      <c r="W9" s="8" t="s">
        <v>2059</v>
      </c>
      <c r="X9" s="8" t="s">
        <v>2060</v>
      </c>
      <c r="Y9" s="8" t="s">
        <v>544</v>
      </c>
      <c r="Z9" s="8" t="s">
        <v>1976</v>
      </c>
    </row>
    <row r="10" customFormat="false" ht="27.75" hidden="false" customHeight="true" outlineLevel="0" collapsed="false">
      <c r="A10" s="7" t="s">
        <v>2061</v>
      </c>
      <c r="B10" s="7" t="s">
        <v>1960</v>
      </c>
      <c r="C10" s="7" t="s">
        <v>1961</v>
      </c>
      <c r="D10" s="7" t="s">
        <v>2062</v>
      </c>
      <c r="E10" s="7" t="s">
        <v>2063</v>
      </c>
      <c r="F10" s="7" t="s">
        <v>2064</v>
      </c>
      <c r="G10" s="7" t="s">
        <v>56</v>
      </c>
      <c r="H10" s="7" t="s">
        <v>2065</v>
      </c>
      <c r="I10" s="7" t="s">
        <v>58</v>
      </c>
      <c r="J10" s="7" t="s">
        <v>1965</v>
      </c>
      <c r="K10" s="7" t="s">
        <v>2066</v>
      </c>
      <c r="L10" s="7" t="s">
        <v>2067</v>
      </c>
      <c r="M10" s="7" t="s">
        <v>62</v>
      </c>
      <c r="N10" s="7" t="s">
        <v>2068</v>
      </c>
      <c r="O10" s="7" t="s">
        <v>79</v>
      </c>
      <c r="P10" s="7" t="s">
        <v>65</v>
      </c>
      <c r="Q10" s="7" t="s">
        <v>1969</v>
      </c>
      <c r="R10" s="7" t="s">
        <v>2069</v>
      </c>
      <c r="S10" s="7" t="s">
        <v>2070</v>
      </c>
      <c r="T10" s="7" t="s">
        <v>246</v>
      </c>
      <c r="U10" s="7" t="s">
        <v>2071</v>
      </c>
      <c r="V10" s="7" t="s">
        <v>1973</v>
      </c>
      <c r="W10" s="7"/>
      <c r="X10" s="7" t="s">
        <v>2072</v>
      </c>
      <c r="Y10" s="7" t="s">
        <v>65</v>
      </c>
      <c r="Z10" s="7" t="s">
        <v>1976</v>
      </c>
    </row>
    <row r="11" customFormat="false" ht="27.75" hidden="false" customHeight="true" outlineLevel="0" collapsed="false">
      <c r="A11" s="8" t="s">
        <v>2073</v>
      </c>
      <c r="B11" s="8" t="s">
        <v>1960</v>
      </c>
      <c r="C11" s="8" t="s">
        <v>1961</v>
      </c>
      <c r="D11" s="8" t="s">
        <v>2074</v>
      </c>
      <c r="E11" s="8" t="s">
        <v>2075</v>
      </c>
      <c r="F11" s="8" t="s">
        <v>2076</v>
      </c>
      <c r="G11" s="8" t="s">
        <v>56</v>
      </c>
      <c r="H11" s="8" t="s">
        <v>145</v>
      </c>
      <c r="I11" s="8" t="s">
        <v>58</v>
      </c>
      <c r="J11" s="8" t="s">
        <v>1965</v>
      </c>
      <c r="K11" s="8" t="s">
        <v>2077</v>
      </c>
      <c r="L11" s="8" t="s">
        <v>2078</v>
      </c>
      <c r="M11" s="8" t="s">
        <v>62</v>
      </c>
      <c r="N11" s="8" t="s">
        <v>2079</v>
      </c>
      <c r="O11" s="8" t="s">
        <v>79</v>
      </c>
      <c r="P11" s="8" t="s">
        <v>65</v>
      </c>
      <c r="Q11" s="8" t="s">
        <v>1969</v>
      </c>
      <c r="R11" s="8" t="s">
        <v>2080</v>
      </c>
      <c r="S11" s="8" t="s">
        <v>2081</v>
      </c>
      <c r="T11" s="8" t="s">
        <v>246</v>
      </c>
      <c r="U11" s="8" t="s">
        <v>2082</v>
      </c>
      <c r="V11" s="8" t="s">
        <v>1973</v>
      </c>
      <c r="W11" s="8"/>
      <c r="X11" s="8" t="s">
        <v>2083</v>
      </c>
      <c r="Y11" s="8" t="s">
        <v>65</v>
      </c>
      <c r="Z11" s="8" t="s">
        <v>1976</v>
      </c>
    </row>
    <row r="12" customFormat="false" ht="27.75" hidden="false" customHeight="true" outlineLevel="0" collapsed="false">
      <c r="A12" s="7" t="s">
        <v>2084</v>
      </c>
      <c r="B12" s="7" t="s">
        <v>1960</v>
      </c>
      <c r="C12" s="7" t="s">
        <v>1961</v>
      </c>
      <c r="D12" s="7" t="s">
        <v>2085</v>
      </c>
      <c r="E12" s="7" t="s">
        <v>2086</v>
      </c>
      <c r="F12" s="7" t="s">
        <v>2087</v>
      </c>
      <c r="G12" s="7" t="s">
        <v>56</v>
      </c>
      <c r="H12" s="7" t="s">
        <v>73</v>
      </c>
      <c r="I12" s="7" t="s">
        <v>58</v>
      </c>
      <c r="J12" s="7" t="s">
        <v>1965</v>
      </c>
      <c r="K12" s="7" t="s">
        <v>2088</v>
      </c>
      <c r="L12" s="7" t="s">
        <v>2089</v>
      </c>
      <c r="M12" s="7" t="s">
        <v>62</v>
      </c>
      <c r="N12" s="7" t="s">
        <v>2090</v>
      </c>
      <c r="O12" s="7" t="s">
        <v>79</v>
      </c>
      <c r="P12" s="7" t="s">
        <v>65</v>
      </c>
      <c r="Q12" s="7" t="s">
        <v>1969</v>
      </c>
      <c r="R12" s="7" t="s">
        <v>2091</v>
      </c>
      <c r="S12" s="7" t="s">
        <v>2092</v>
      </c>
      <c r="T12" s="7" t="s">
        <v>246</v>
      </c>
      <c r="U12" s="7" t="s">
        <v>2093</v>
      </c>
      <c r="V12" s="7" t="s">
        <v>1973</v>
      </c>
      <c r="W12" s="7"/>
      <c r="X12" s="7"/>
      <c r="Y12" s="7" t="s">
        <v>65</v>
      </c>
      <c r="Z12" s="7" t="s">
        <v>1976</v>
      </c>
    </row>
    <row r="13" customFormat="false" ht="27.75" hidden="false" customHeight="true" outlineLevel="0" collapsed="false">
      <c r="A13" s="8" t="s">
        <v>2094</v>
      </c>
      <c r="B13" s="8" t="s">
        <v>1960</v>
      </c>
      <c r="C13" s="8" t="s">
        <v>2095</v>
      </c>
      <c r="D13" s="8" t="s">
        <v>2096</v>
      </c>
      <c r="E13" s="8" t="s">
        <v>2097</v>
      </c>
      <c r="F13" s="8" t="s">
        <v>2087</v>
      </c>
      <c r="G13" s="8" t="s">
        <v>2029</v>
      </c>
      <c r="H13" s="8" t="s">
        <v>73</v>
      </c>
      <c r="I13" s="8" t="s">
        <v>58</v>
      </c>
      <c r="J13" s="8" t="s">
        <v>2098</v>
      </c>
      <c r="K13" s="8" t="s">
        <v>2099</v>
      </c>
      <c r="L13" s="8" t="s">
        <v>2100</v>
      </c>
      <c r="M13" s="8" t="s">
        <v>62</v>
      </c>
      <c r="N13" s="8" t="s">
        <v>2101</v>
      </c>
      <c r="O13" s="8"/>
      <c r="P13" s="8" t="s">
        <v>65</v>
      </c>
      <c r="Q13" s="8" t="s">
        <v>1969</v>
      </c>
      <c r="R13" s="8" t="s">
        <v>2102</v>
      </c>
      <c r="S13" s="8" t="s">
        <v>2103</v>
      </c>
      <c r="T13" s="8" t="s">
        <v>246</v>
      </c>
      <c r="U13" s="8" t="s">
        <v>2093</v>
      </c>
      <c r="V13" s="8" t="s">
        <v>2104</v>
      </c>
      <c r="W13" s="8"/>
      <c r="X13" s="8"/>
      <c r="Y13" s="8" t="s">
        <v>65</v>
      </c>
      <c r="Z13" s="8" t="s">
        <v>2048</v>
      </c>
    </row>
    <row r="14" customFormat="false" ht="27.75" hidden="false" customHeight="true" outlineLevel="0" collapsed="false">
      <c r="A14" s="7" t="s">
        <v>2105</v>
      </c>
      <c r="B14" s="7" t="s">
        <v>1960</v>
      </c>
      <c r="C14" s="7" t="s">
        <v>1961</v>
      </c>
      <c r="D14" s="7" t="s">
        <v>2106</v>
      </c>
      <c r="E14" s="7" t="s">
        <v>2107</v>
      </c>
      <c r="F14" s="7" t="s">
        <v>2087</v>
      </c>
      <c r="G14" s="7" t="s">
        <v>2108</v>
      </c>
      <c r="H14" s="7" t="s">
        <v>73</v>
      </c>
      <c r="I14" s="7" t="s">
        <v>58</v>
      </c>
      <c r="J14" s="7" t="s">
        <v>1965</v>
      </c>
      <c r="K14" s="7" t="s">
        <v>2088</v>
      </c>
      <c r="L14" s="7" t="s">
        <v>2109</v>
      </c>
      <c r="M14" s="7" t="s">
        <v>62</v>
      </c>
      <c r="N14" s="7" t="s">
        <v>2110</v>
      </c>
      <c r="O14" s="7" t="s">
        <v>79</v>
      </c>
      <c r="P14" s="7" t="s">
        <v>65</v>
      </c>
      <c r="Q14" s="7" t="s">
        <v>1969</v>
      </c>
      <c r="R14" s="7" t="s">
        <v>2111</v>
      </c>
      <c r="S14" s="7" t="s">
        <v>2112</v>
      </c>
      <c r="T14" s="7" t="s">
        <v>246</v>
      </c>
      <c r="U14" s="7" t="s">
        <v>2093</v>
      </c>
      <c r="V14" s="7" t="s">
        <v>1973</v>
      </c>
      <c r="W14" s="7"/>
      <c r="X14" s="7"/>
      <c r="Y14" s="7" t="s">
        <v>65</v>
      </c>
      <c r="Z14" s="7" t="s">
        <v>1976</v>
      </c>
    </row>
    <row r="15" customFormat="false" ht="27.75" hidden="false" customHeight="true" outlineLevel="0" collapsed="false">
      <c r="A15" s="8" t="s">
        <v>2113</v>
      </c>
      <c r="B15" s="8" t="s">
        <v>1960</v>
      </c>
      <c r="C15" s="8" t="s">
        <v>1961</v>
      </c>
      <c r="D15" s="8" t="s">
        <v>2114</v>
      </c>
      <c r="E15" s="8" t="s">
        <v>2115</v>
      </c>
      <c r="F15" s="8" t="s">
        <v>2116</v>
      </c>
      <c r="G15" s="8" t="s">
        <v>2117</v>
      </c>
      <c r="H15" s="8" t="s">
        <v>145</v>
      </c>
      <c r="I15" s="8" t="s">
        <v>58</v>
      </c>
      <c r="J15" s="8" t="s">
        <v>1965</v>
      </c>
      <c r="K15" s="8" t="s">
        <v>2118</v>
      </c>
      <c r="L15" s="8" t="s">
        <v>2119</v>
      </c>
      <c r="M15" s="8" t="s">
        <v>62</v>
      </c>
      <c r="N15" s="8" t="s">
        <v>2120</v>
      </c>
      <c r="O15" s="8"/>
      <c r="P15" s="8" t="s">
        <v>65</v>
      </c>
      <c r="Q15" s="8" t="s">
        <v>1969</v>
      </c>
      <c r="R15" s="8" t="s">
        <v>2121</v>
      </c>
      <c r="S15" s="8" t="s">
        <v>2122</v>
      </c>
      <c r="T15" s="8" t="s">
        <v>2123</v>
      </c>
      <c r="U15" s="8" t="s">
        <v>846</v>
      </c>
      <c r="V15" s="8" t="s">
        <v>1973</v>
      </c>
      <c r="W15" s="8" t="s">
        <v>1998</v>
      </c>
      <c r="X15" s="8" t="s">
        <v>1987</v>
      </c>
      <c r="Y15" s="8" t="s">
        <v>65</v>
      </c>
      <c r="Z15" s="8" t="s">
        <v>1976</v>
      </c>
    </row>
    <row r="16" customFormat="false" ht="27.75" hidden="false" customHeight="true" outlineLevel="0" collapsed="false">
      <c r="A16" s="7" t="s">
        <v>2124</v>
      </c>
      <c r="B16" s="7" t="s">
        <v>1960</v>
      </c>
      <c r="C16" s="7" t="s">
        <v>1961</v>
      </c>
      <c r="D16" s="7" t="s">
        <v>2125</v>
      </c>
      <c r="E16" s="7" t="s">
        <v>2126</v>
      </c>
      <c r="F16" s="7" t="s">
        <v>2127</v>
      </c>
      <c r="G16" s="7" t="s">
        <v>2128</v>
      </c>
      <c r="H16" s="7" t="s">
        <v>145</v>
      </c>
      <c r="I16" s="7" t="s">
        <v>58</v>
      </c>
      <c r="J16" s="7" t="s">
        <v>1965</v>
      </c>
      <c r="K16" s="7" t="s">
        <v>2129</v>
      </c>
      <c r="L16" s="7" t="s">
        <v>2130</v>
      </c>
      <c r="M16" s="7" t="s">
        <v>62</v>
      </c>
      <c r="N16" s="7" t="s">
        <v>2131</v>
      </c>
      <c r="O16" s="7"/>
      <c r="P16" s="7" t="s">
        <v>65</v>
      </c>
      <c r="Q16" s="7" t="s">
        <v>1969</v>
      </c>
      <c r="R16" s="7" t="s">
        <v>2132</v>
      </c>
      <c r="S16" s="7" t="s">
        <v>2133</v>
      </c>
      <c r="T16" s="7" t="s">
        <v>2123</v>
      </c>
      <c r="U16" s="7" t="s">
        <v>2134</v>
      </c>
      <c r="V16" s="7" t="s">
        <v>1973</v>
      </c>
      <c r="W16" s="7" t="s">
        <v>1998</v>
      </c>
      <c r="X16" s="7" t="s">
        <v>2135</v>
      </c>
      <c r="Y16" s="7" t="s">
        <v>65</v>
      </c>
      <c r="Z16" s="7" t="s">
        <v>1976</v>
      </c>
    </row>
    <row r="17" customFormat="false" ht="27.75" hidden="false" customHeight="true" outlineLevel="0" collapsed="false">
      <c r="A17" s="8" t="s">
        <v>2136</v>
      </c>
      <c r="B17" s="8" t="s">
        <v>1960</v>
      </c>
      <c r="C17" s="8" t="s">
        <v>1961</v>
      </c>
      <c r="D17" s="8" t="s">
        <v>2137</v>
      </c>
      <c r="E17" s="8" t="s">
        <v>2138</v>
      </c>
      <c r="F17" s="8" t="s">
        <v>2139</v>
      </c>
      <c r="G17" s="8" t="s">
        <v>2140</v>
      </c>
      <c r="H17" s="8" t="s">
        <v>109</v>
      </c>
      <c r="I17" s="8" t="s">
        <v>58</v>
      </c>
      <c r="J17" s="8" t="s">
        <v>1965</v>
      </c>
      <c r="K17" s="8" t="s">
        <v>2141</v>
      </c>
      <c r="L17" s="8" t="s">
        <v>2142</v>
      </c>
      <c r="M17" s="8" t="s">
        <v>62</v>
      </c>
      <c r="N17" s="8" t="s">
        <v>2143</v>
      </c>
      <c r="O17" s="8"/>
      <c r="P17" s="8" t="s">
        <v>65</v>
      </c>
      <c r="Q17" s="8" t="s">
        <v>1969</v>
      </c>
      <c r="R17" s="8" t="s">
        <v>2144</v>
      </c>
      <c r="S17" s="8" t="s">
        <v>2145</v>
      </c>
      <c r="T17" s="8" t="s">
        <v>55</v>
      </c>
      <c r="U17" s="8" t="s">
        <v>2146</v>
      </c>
      <c r="V17" s="8" t="s">
        <v>1973</v>
      </c>
      <c r="W17" s="8" t="s">
        <v>2147</v>
      </c>
      <c r="X17" s="8" t="s">
        <v>2148</v>
      </c>
      <c r="Y17" s="8" t="s">
        <v>544</v>
      </c>
      <c r="Z17" s="8" t="s">
        <v>2014</v>
      </c>
    </row>
    <row r="18" customFormat="false" ht="27.75" hidden="false" customHeight="true" outlineLevel="0" collapsed="false">
      <c r="A18" s="7" t="s">
        <v>2149</v>
      </c>
      <c r="B18" s="7" t="s">
        <v>1960</v>
      </c>
      <c r="C18" s="7" t="s">
        <v>2150</v>
      </c>
      <c r="D18" s="7" t="s">
        <v>2151</v>
      </c>
      <c r="E18" s="7" t="s">
        <v>2040</v>
      </c>
      <c r="F18" s="7" t="s">
        <v>2139</v>
      </c>
      <c r="G18" s="7" t="s">
        <v>2140</v>
      </c>
      <c r="H18" s="7" t="s">
        <v>109</v>
      </c>
      <c r="I18" s="7" t="s">
        <v>58</v>
      </c>
      <c r="J18" s="7" t="s">
        <v>1965</v>
      </c>
      <c r="K18" s="7" t="s">
        <v>2152</v>
      </c>
      <c r="L18" s="7" t="s">
        <v>2153</v>
      </c>
      <c r="M18" s="7" t="s">
        <v>62</v>
      </c>
      <c r="N18" s="7" t="s">
        <v>2154</v>
      </c>
      <c r="O18" s="7" t="s">
        <v>79</v>
      </c>
      <c r="P18" s="7" t="s">
        <v>65</v>
      </c>
      <c r="Q18" s="7" t="s">
        <v>1969</v>
      </c>
      <c r="R18" s="7" t="s">
        <v>2155</v>
      </c>
      <c r="S18" s="7" t="s">
        <v>2156</v>
      </c>
      <c r="T18" s="7" t="s">
        <v>55</v>
      </c>
      <c r="U18" s="7" t="s">
        <v>2146</v>
      </c>
      <c r="V18" s="7" t="s">
        <v>1973</v>
      </c>
      <c r="W18" s="7"/>
      <c r="X18" s="7"/>
      <c r="Y18" s="7" t="s">
        <v>65</v>
      </c>
      <c r="Z18" s="7" t="s">
        <v>2014</v>
      </c>
    </row>
    <row r="19" customFormat="false" ht="27.75" hidden="false" customHeight="true" outlineLevel="0" collapsed="false">
      <c r="A19" s="8" t="s">
        <v>2157</v>
      </c>
      <c r="B19" s="8" t="s">
        <v>1960</v>
      </c>
      <c r="C19" s="8" t="s">
        <v>1961</v>
      </c>
      <c r="D19" s="8" t="s">
        <v>2158</v>
      </c>
      <c r="E19" s="8" t="s">
        <v>2159</v>
      </c>
      <c r="F19" s="8" t="s">
        <v>2160</v>
      </c>
      <c r="G19" s="8" t="s">
        <v>56</v>
      </c>
      <c r="H19" s="8" t="s">
        <v>145</v>
      </c>
      <c r="I19" s="8" t="s">
        <v>58</v>
      </c>
      <c r="J19" s="8" t="s">
        <v>1965</v>
      </c>
      <c r="K19" s="8" t="s">
        <v>2161</v>
      </c>
      <c r="L19" s="8" t="s">
        <v>2162</v>
      </c>
      <c r="M19" s="8" t="s">
        <v>62</v>
      </c>
      <c r="N19" s="8" t="s">
        <v>2163</v>
      </c>
      <c r="O19" s="8" t="s">
        <v>79</v>
      </c>
      <c r="P19" s="8" t="s">
        <v>65</v>
      </c>
      <c r="Q19" s="8" t="s">
        <v>1969</v>
      </c>
      <c r="R19" s="8" t="s">
        <v>2164</v>
      </c>
      <c r="S19" s="8" t="s">
        <v>2165</v>
      </c>
      <c r="T19" s="8" t="s">
        <v>55</v>
      </c>
      <c r="U19" s="8" t="s">
        <v>2082</v>
      </c>
      <c r="V19" s="8" t="s">
        <v>2166</v>
      </c>
      <c r="W19" s="8"/>
      <c r="X19" s="8"/>
      <c r="Y19" s="8" t="s">
        <v>65</v>
      </c>
      <c r="Z19" s="8" t="s">
        <v>1976</v>
      </c>
    </row>
    <row r="20" customFormat="false" ht="27.75" hidden="false" customHeight="true" outlineLevel="0" collapsed="false">
      <c r="A20" s="7" t="s">
        <v>2167</v>
      </c>
      <c r="B20" s="7" t="s">
        <v>1960</v>
      </c>
      <c r="C20" s="7" t="s">
        <v>1961</v>
      </c>
      <c r="D20" s="7" t="s">
        <v>2168</v>
      </c>
      <c r="E20" s="7" t="s">
        <v>2169</v>
      </c>
      <c r="F20" s="7" t="s">
        <v>2170</v>
      </c>
      <c r="G20" s="7" t="s">
        <v>2171</v>
      </c>
      <c r="H20" s="7" t="s">
        <v>145</v>
      </c>
      <c r="I20" s="7" t="s">
        <v>58</v>
      </c>
      <c r="J20" s="7" t="s">
        <v>1965</v>
      </c>
      <c r="K20" s="7" t="s">
        <v>2172</v>
      </c>
      <c r="L20" s="7" t="s">
        <v>2173</v>
      </c>
      <c r="M20" s="7" t="s">
        <v>62</v>
      </c>
      <c r="N20" s="7" t="s">
        <v>2174</v>
      </c>
      <c r="O20" s="7"/>
      <c r="P20" s="7" t="s">
        <v>65</v>
      </c>
      <c r="Q20" s="7" t="s">
        <v>1969</v>
      </c>
      <c r="R20" s="7" t="s">
        <v>2175</v>
      </c>
      <c r="S20" s="7" t="s">
        <v>2176</v>
      </c>
      <c r="T20" s="7" t="s">
        <v>55</v>
      </c>
      <c r="U20" s="7" t="s">
        <v>2177</v>
      </c>
      <c r="V20" s="7" t="s">
        <v>2011</v>
      </c>
      <c r="W20" s="7" t="s">
        <v>2178</v>
      </c>
      <c r="X20" s="7" t="s">
        <v>2179</v>
      </c>
      <c r="Y20" s="7" t="s">
        <v>65</v>
      </c>
      <c r="Z20" s="7" t="s">
        <v>2014</v>
      </c>
    </row>
    <row r="21" customFormat="false" ht="27.75" hidden="false" customHeight="true" outlineLevel="0" collapsed="false">
      <c r="A21" s="8" t="s">
        <v>2180</v>
      </c>
      <c r="B21" s="8" t="s">
        <v>1960</v>
      </c>
      <c r="C21" s="8" t="s">
        <v>1961</v>
      </c>
      <c r="D21" s="8" t="s">
        <v>2181</v>
      </c>
      <c r="E21" s="8" t="s">
        <v>2182</v>
      </c>
      <c r="F21" s="8" t="s">
        <v>2170</v>
      </c>
      <c r="G21" s="8" t="s">
        <v>2183</v>
      </c>
      <c r="H21" s="8" t="s">
        <v>109</v>
      </c>
      <c r="I21" s="8" t="s">
        <v>58</v>
      </c>
      <c r="J21" s="8" t="s">
        <v>1965</v>
      </c>
      <c r="K21" s="8" t="s">
        <v>2172</v>
      </c>
      <c r="L21" s="8" t="s">
        <v>2184</v>
      </c>
      <c r="M21" s="8" t="s">
        <v>62</v>
      </c>
      <c r="N21" s="8" t="s">
        <v>2185</v>
      </c>
      <c r="O21" s="8" t="s">
        <v>79</v>
      </c>
      <c r="P21" s="8" t="s">
        <v>65</v>
      </c>
      <c r="Q21" s="8" t="s">
        <v>1969</v>
      </c>
      <c r="R21" s="8" t="s">
        <v>2186</v>
      </c>
      <c r="S21" s="8" t="s">
        <v>2187</v>
      </c>
      <c r="T21" s="8" t="s">
        <v>55</v>
      </c>
      <c r="U21" s="8" t="s">
        <v>2177</v>
      </c>
      <c r="V21" s="8" t="s">
        <v>2011</v>
      </c>
      <c r="W21" s="8"/>
      <c r="X21" s="8" t="s">
        <v>2188</v>
      </c>
      <c r="Y21" s="8" t="s">
        <v>65</v>
      </c>
      <c r="Z21" s="8" t="s">
        <v>2014</v>
      </c>
    </row>
    <row r="22" customFormat="false" ht="27.75" hidden="false" customHeight="true" outlineLevel="0" collapsed="false">
      <c r="A22" s="7" t="s">
        <v>2189</v>
      </c>
      <c r="B22" s="7" t="s">
        <v>1960</v>
      </c>
      <c r="C22" s="7" t="s">
        <v>1961</v>
      </c>
      <c r="D22" s="7" t="s">
        <v>2190</v>
      </c>
      <c r="E22" s="7" t="s">
        <v>2191</v>
      </c>
      <c r="F22" s="7" t="s">
        <v>2192</v>
      </c>
      <c r="G22" s="7" t="s">
        <v>2193</v>
      </c>
      <c r="H22" s="7" t="s">
        <v>145</v>
      </c>
      <c r="I22" s="7" t="s">
        <v>58</v>
      </c>
      <c r="J22" s="7" t="s">
        <v>1965</v>
      </c>
      <c r="K22" s="7" t="s">
        <v>2194</v>
      </c>
      <c r="L22" s="7" t="s">
        <v>2195</v>
      </c>
      <c r="M22" s="7" t="s">
        <v>62</v>
      </c>
      <c r="N22" s="7" t="s">
        <v>2196</v>
      </c>
      <c r="O22" s="7"/>
      <c r="P22" s="7" t="s">
        <v>65</v>
      </c>
      <c r="Q22" s="7" t="s">
        <v>1969</v>
      </c>
      <c r="R22" s="7" t="s">
        <v>2197</v>
      </c>
      <c r="S22" s="7" t="s">
        <v>2198</v>
      </c>
      <c r="T22" s="7" t="s">
        <v>2199</v>
      </c>
      <c r="U22" s="7" t="s">
        <v>890</v>
      </c>
      <c r="V22" s="7" t="s">
        <v>1973</v>
      </c>
      <c r="W22" s="7" t="s">
        <v>2200</v>
      </c>
      <c r="X22" s="7" t="s">
        <v>2201</v>
      </c>
      <c r="Y22" s="7" t="s">
        <v>65</v>
      </c>
      <c r="Z22" s="7" t="s">
        <v>1976</v>
      </c>
    </row>
    <row r="23" customFormat="false" ht="27.75" hidden="false" customHeight="true" outlineLevel="0" collapsed="false">
      <c r="A23" s="8" t="s">
        <v>2202</v>
      </c>
      <c r="B23" s="8" t="s">
        <v>1960</v>
      </c>
      <c r="C23" s="8" t="s">
        <v>1961</v>
      </c>
      <c r="D23" s="8" t="s">
        <v>2203</v>
      </c>
      <c r="E23" s="8" t="s">
        <v>2204</v>
      </c>
      <c r="F23" s="8" t="s">
        <v>2205</v>
      </c>
      <c r="G23" s="8" t="s">
        <v>2193</v>
      </c>
      <c r="H23" s="8" t="s">
        <v>145</v>
      </c>
      <c r="I23" s="8" t="s">
        <v>58</v>
      </c>
      <c r="J23" s="8" t="s">
        <v>1965</v>
      </c>
      <c r="K23" s="8" t="s">
        <v>2206</v>
      </c>
      <c r="L23" s="8" t="s">
        <v>2207</v>
      </c>
      <c r="M23" s="8" t="s">
        <v>62</v>
      </c>
      <c r="N23" s="8" t="s">
        <v>2208</v>
      </c>
      <c r="O23" s="8"/>
      <c r="P23" s="8" t="s">
        <v>65</v>
      </c>
      <c r="Q23" s="8" t="s">
        <v>1969</v>
      </c>
      <c r="R23" s="8" t="s">
        <v>2209</v>
      </c>
      <c r="S23" s="8" t="s">
        <v>2198</v>
      </c>
      <c r="T23" s="8" t="s">
        <v>2199</v>
      </c>
      <c r="U23" s="8" t="s">
        <v>846</v>
      </c>
      <c r="V23" s="8" t="s">
        <v>1973</v>
      </c>
      <c r="W23" s="8" t="s">
        <v>2147</v>
      </c>
      <c r="X23" s="8" t="s">
        <v>2210</v>
      </c>
      <c r="Y23" s="8" t="s">
        <v>65</v>
      </c>
      <c r="Z23" s="8" t="s">
        <v>1976</v>
      </c>
    </row>
    <row r="24" customFormat="false" ht="27.75" hidden="false" customHeight="true" outlineLevel="0" collapsed="false">
      <c r="A24" s="7" t="s">
        <v>2211</v>
      </c>
      <c r="B24" s="7" t="s">
        <v>1960</v>
      </c>
      <c r="C24" s="7" t="s">
        <v>1961</v>
      </c>
      <c r="D24" s="7" t="s">
        <v>2212</v>
      </c>
      <c r="E24" s="7" t="s">
        <v>2213</v>
      </c>
      <c r="F24" s="7" t="s">
        <v>2214</v>
      </c>
      <c r="G24" s="7" t="s">
        <v>2040</v>
      </c>
      <c r="H24" s="7" t="s">
        <v>145</v>
      </c>
      <c r="I24" s="7" t="s">
        <v>58</v>
      </c>
      <c r="J24" s="7" t="s">
        <v>1965</v>
      </c>
      <c r="K24" s="7" t="s">
        <v>2215</v>
      </c>
      <c r="L24" s="7" t="s">
        <v>2216</v>
      </c>
      <c r="M24" s="7" t="s">
        <v>62</v>
      </c>
      <c r="N24" s="7" t="s">
        <v>2217</v>
      </c>
      <c r="O24" s="7" t="s">
        <v>79</v>
      </c>
      <c r="P24" s="7" t="s">
        <v>65</v>
      </c>
      <c r="Q24" s="7" t="s">
        <v>1969</v>
      </c>
      <c r="R24" s="7" t="s">
        <v>2218</v>
      </c>
      <c r="S24" s="7" t="s">
        <v>2219</v>
      </c>
      <c r="T24" s="7" t="s">
        <v>2220</v>
      </c>
      <c r="U24" s="7" t="s">
        <v>2221</v>
      </c>
      <c r="V24" s="7" t="s">
        <v>1973</v>
      </c>
      <c r="W24" s="7"/>
      <c r="X24" s="7" t="s">
        <v>2222</v>
      </c>
      <c r="Y24" s="7" t="s">
        <v>65</v>
      </c>
      <c r="Z24" s="7" t="s">
        <v>1976</v>
      </c>
    </row>
    <row r="25" customFormat="false" ht="27.75" hidden="false" customHeight="true" outlineLevel="0" collapsed="false">
      <c r="A25" s="8" t="s">
        <v>2223</v>
      </c>
      <c r="B25" s="8" t="s">
        <v>1960</v>
      </c>
      <c r="C25" s="8" t="s">
        <v>1961</v>
      </c>
      <c r="D25" s="8" t="s">
        <v>2224</v>
      </c>
      <c r="E25" s="8" t="s">
        <v>2225</v>
      </c>
      <c r="F25" s="8" t="s">
        <v>2226</v>
      </c>
      <c r="G25" s="8" t="s">
        <v>56</v>
      </c>
      <c r="H25" s="8" t="s">
        <v>2227</v>
      </c>
      <c r="I25" s="8" t="s">
        <v>58</v>
      </c>
      <c r="J25" s="8" t="s">
        <v>1965</v>
      </c>
      <c r="K25" s="8" t="s">
        <v>2228</v>
      </c>
      <c r="L25" s="8" t="s">
        <v>2229</v>
      </c>
      <c r="M25" s="8" t="s">
        <v>62</v>
      </c>
      <c r="N25" s="8" t="s">
        <v>2230</v>
      </c>
      <c r="O25" s="8" t="s">
        <v>79</v>
      </c>
      <c r="P25" s="8" t="s">
        <v>65</v>
      </c>
      <c r="Q25" s="8" t="s">
        <v>1969</v>
      </c>
      <c r="R25" s="8" t="s">
        <v>2231</v>
      </c>
      <c r="S25" s="8" t="s">
        <v>2232</v>
      </c>
      <c r="T25" s="8" t="s">
        <v>2220</v>
      </c>
      <c r="U25" s="8" t="s">
        <v>2233</v>
      </c>
      <c r="V25" s="8" t="s">
        <v>1973</v>
      </c>
      <c r="W25" s="8"/>
      <c r="X25" s="8" t="s">
        <v>2188</v>
      </c>
      <c r="Y25" s="8" t="s">
        <v>65</v>
      </c>
      <c r="Z25" s="8" t="s">
        <v>1976</v>
      </c>
    </row>
    <row r="26" customFormat="false" ht="27.75" hidden="false" customHeight="true" outlineLevel="0" collapsed="false">
      <c r="A26" s="7" t="s">
        <v>2234</v>
      </c>
      <c r="B26" s="7" t="s">
        <v>1960</v>
      </c>
      <c r="C26" s="7" t="s">
        <v>1961</v>
      </c>
      <c r="D26" s="7" t="s">
        <v>2235</v>
      </c>
      <c r="E26" s="7" t="s">
        <v>2236</v>
      </c>
      <c r="F26" s="7" t="s">
        <v>2237</v>
      </c>
      <c r="G26" s="7" t="s">
        <v>2238</v>
      </c>
      <c r="H26" s="7" t="s">
        <v>145</v>
      </c>
      <c r="I26" s="7" t="s">
        <v>58</v>
      </c>
      <c r="J26" s="7" t="s">
        <v>1965</v>
      </c>
      <c r="K26" s="7" t="s">
        <v>2239</v>
      </c>
      <c r="L26" s="7" t="s">
        <v>2240</v>
      </c>
      <c r="M26" s="7" t="s">
        <v>62</v>
      </c>
      <c r="N26" s="7" t="s">
        <v>2241</v>
      </c>
      <c r="O26" s="7"/>
      <c r="P26" s="7" t="s">
        <v>65</v>
      </c>
      <c r="Q26" s="7" t="s">
        <v>1969</v>
      </c>
      <c r="R26" s="7" t="s">
        <v>2242</v>
      </c>
      <c r="S26" s="7" t="s">
        <v>2243</v>
      </c>
      <c r="T26" s="7" t="s">
        <v>2123</v>
      </c>
      <c r="U26" s="7" t="s">
        <v>785</v>
      </c>
      <c r="V26" s="7" t="s">
        <v>1973</v>
      </c>
      <c r="W26" s="7" t="s">
        <v>2244</v>
      </c>
      <c r="X26" s="7" t="s">
        <v>2245</v>
      </c>
      <c r="Y26" s="7" t="s">
        <v>65</v>
      </c>
      <c r="Z26" s="7" t="s">
        <v>1976</v>
      </c>
    </row>
    <row r="27" customFormat="false" ht="27.75" hidden="false" customHeight="true" outlineLevel="0" collapsed="false">
      <c r="A27" s="8" t="s">
        <v>2246</v>
      </c>
      <c r="B27" s="8" t="s">
        <v>1960</v>
      </c>
      <c r="C27" s="8" t="s">
        <v>1961</v>
      </c>
      <c r="D27" s="8" t="s">
        <v>2247</v>
      </c>
      <c r="E27" s="8" t="s">
        <v>2248</v>
      </c>
      <c r="F27" s="8" t="s">
        <v>2249</v>
      </c>
      <c r="G27" s="8" t="s">
        <v>2250</v>
      </c>
      <c r="H27" s="8" t="s">
        <v>145</v>
      </c>
      <c r="I27" s="8" t="s">
        <v>58</v>
      </c>
      <c r="J27" s="8" t="s">
        <v>1965</v>
      </c>
      <c r="K27" s="8" t="s">
        <v>2251</v>
      </c>
      <c r="L27" s="8" t="s">
        <v>2252</v>
      </c>
      <c r="M27" s="8" t="s">
        <v>62</v>
      </c>
      <c r="N27" s="8" t="s">
        <v>2253</v>
      </c>
      <c r="O27" s="8"/>
      <c r="P27" s="8" t="s">
        <v>65</v>
      </c>
      <c r="Q27" s="8" t="s">
        <v>1969</v>
      </c>
      <c r="R27" s="8" t="s">
        <v>2254</v>
      </c>
      <c r="S27" s="8" t="s">
        <v>2255</v>
      </c>
      <c r="T27" s="8" t="s">
        <v>1985</v>
      </c>
      <c r="U27" s="8" t="s">
        <v>785</v>
      </c>
      <c r="V27" s="8" t="s">
        <v>2011</v>
      </c>
      <c r="W27" s="8" t="s">
        <v>2012</v>
      </c>
      <c r="X27" s="8" t="s">
        <v>2256</v>
      </c>
      <c r="Y27" s="8" t="s">
        <v>65</v>
      </c>
      <c r="Z27" s="8" t="s">
        <v>1976</v>
      </c>
    </row>
    <row r="28" customFormat="false" ht="27.75" hidden="false" customHeight="true" outlineLevel="0" collapsed="false">
      <c r="A28" s="7" t="s">
        <v>2257</v>
      </c>
      <c r="B28" s="7" t="s">
        <v>1960</v>
      </c>
      <c r="C28" s="7" t="s">
        <v>1961</v>
      </c>
      <c r="D28" s="7" t="s">
        <v>2258</v>
      </c>
      <c r="E28" s="7" t="s">
        <v>2259</v>
      </c>
      <c r="F28" s="7" t="s">
        <v>2260</v>
      </c>
      <c r="G28" s="7" t="s">
        <v>395</v>
      </c>
      <c r="H28" s="7" t="s">
        <v>145</v>
      </c>
      <c r="I28" s="7" t="s">
        <v>58</v>
      </c>
      <c r="J28" s="7" t="s">
        <v>1965</v>
      </c>
      <c r="K28" s="7" t="s">
        <v>2261</v>
      </c>
      <c r="L28" s="7" t="s">
        <v>2262</v>
      </c>
      <c r="M28" s="7" t="s">
        <v>62</v>
      </c>
      <c r="N28" s="7" t="s">
        <v>2263</v>
      </c>
      <c r="O28" s="7" t="s">
        <v>79</v>
      </c>
      <c r="P28" s="7" t="s">
        <v>65</v>
      </c>
      <c r="Q28" s="7" t="s">
        <v>1969</v>
      </c>
      <c r="R28" s="7" t="s">
        <v>2264</v>
      </c>
      <c r="S28" s="7" t="s">
        <v>2265</v>
      </c>
      <c r="T28" s="7" t="s">
        <v>2266</v>
      </c>
      <c r="U28" s="7" t="s">
        <v>785</v>
      </c>
      <c r="V28" s="7" t="s">
        <v>1973</v>
      </c>
      <c r="W28" s="7"/>
      <c r="X28" s="7"/>
      <c r="Y28" s="7" t="s">
        <v>65</v>
      </c>
      <c r="Z28" s="7" t="s">
        <v>2048</v>
      </c>
    </row>
    <row r="29" customFormat="false" ht="27.75" hidden="false" customHeight="true" outlineLevel="0" collapsed="false">
      <c r="A29" s="8" t="s">
        <v>2267</v>
      </c>
      <c r="B29" s="8" t="s">
        <v>1960</v>
      </c>
      <c r="C29" s="8" t="s">
        <v>1961</v>
      </c>
      <c r="D29" s="8" t="s">
        <v>2268</v>
      </c>
      <c r="E29" s="8" t="s">
        <v>2269</v>
      </c>
      <c r="F29" s="8" t="s">
        <v>2270</v>
      </c>
      <c r="G29" s="8" t="s">
        <v>2040</v>
      </c>
      <c r="H29" s="8" t="s">
        <v>145</v>
      </c>
      <c r="I29" s="8" t="s">
        <v>58</v>
      </c>
      <c r="J29" s="8" t="s">
        <v>1965</v>
      </c>
      <c r="K29" s="8" t="s">
        <v>2239</v>
      </c>
      <c r="L29" s="8" t="s">
        <v>2271</v>
      </c>
      <c r="M29" s="8" t="s">
        <v>62</v>
      </c>
      <c r="N29" s="8" t="s">
        <v>2272</v>
      </c>
      <c r="O29" s="8" t="s">
        <v>79</v>
      </c>
      <c r="P29" s="8" t="s">
        <v>65</v>
      </c>
      <c r="Q29" s="8" t="s">
        <v>1969</v>
      </c>
      <c r="R29" s="8" t="s">
        <v>2273</v>
      </c>
      <c r="S29" s="8" t="s">
        <v>2274</v>
      </c>
      <c r="T29" s="8" t="s">
        <v>246</v>
      </c>
      <c r="U29" s="8" t="s">
        <v>785</v>
      </c>
      <c r="V29" s="8" t="s">
        <v>1973</v>
      </c>
      <c r="W29" s="8"/>
      <c r="X29" s="8" t="s">
        <v>2275</v>
      </c>
      <c r="Y29" s="8" t="s">
        <v>65</v>
      </c>
      <c r="Z29" s="8" t="s">
        <v>2048</v>
      </c>
    </row>
    <row r="30" customFormat="false" ht="27.75" hidden="false" customHeight="true" outlineLevel="0" collapsed="false">
      <c r="A30" s="7" t="s">
        <v>2276</v>
      </c>
      <c r="B30" s="7" t="s">
        <v>1960</v>
      </c>
      <c r="C30" s="7" t="s">
        <v>1961</v>
      </c>
      <c r="D30" s="7" t="s">
        <v>2277</v>
      </c>
      <c r="E30" s="7" t="s">
        <v>2278</v>
      </c>
      <c r="F30" s="7" t="s">
        <v>2279</v>
      </c>
      <c r="G30" s="7" t="s">
        <v>2280</v>
      </c>
      <c r="H30" s="7" t="s">
        <v>145</v>
      </c>
      <c r="I30" s="7" t="s">
        <v>58</v>
      </c>
      <c r="J30" s="7" t="s">
        <v>2281</v>
      </c>
      <c r="K30" s="7" t="s">
        <v>2282</v>
      </c>
      <c r="L30" s="7" t="s">
        <v>2283</v>
      </c>
      <c r="M30" s="7" t="s">
        <v>62</v>
      </c>
      <c r="N30" s="7" t="s">
        <v>2284</v>
      </c>
      <c r="O30" s="7" t="s">
        <v>160</v>
      </c>
      <c r="P30" s="7" t="s">
        <v>65</v>
      </c>
      <c r="Q30" s="7" t="s">
        <v>1969</v>
      </c>
      <c r="R30" s="7" t="s">
        <v>2285</v>
      </c>
      <c r="S30" s="7" t="s">
        <v>2286</v>
      </c>
      <c r="T30" s="7" t="s">
        <v>2287</v>
      </c>
      <c r="U30" s="7" t="s">
        <v>846</v>
      </c>
      <c r="V30" s="7" t="s">
        <v>1973</v>
      </c>
      <c r="W30" s="7"/>
      <c r="X30" s="7" t="s">
        <v>2288</v>
      </c>
      <c r="Y30" s="7" t="s">
        <v>65</v>
      </c>
      <c r="Z30" s="7" t="s">
        <v>1976</v>
      </c>
    </row>
    <row r="31" customFormat="false" ht="27.75" hidden="false" customHeight="true" outlineLevel="0" collapsed="false">
      <c r="A31" s="8" t="s">
        <v>2289</v>
      </c>
      <c r="B31" s="8" t="s">
        <v>1960</v>
      </c>
      <c r="C31" s="8" t="s">
        <v>2290</v>
      </c>
      <c r="D31" s="8" t="s">
        <v>2291</v>
      </c>
      <c r="E31" s="8" t="s">
        <v>2292</v>
      </c>
      <c r="F31" s="8" t="s">
        <v>2293</v>
      </c>
      <c r="G31" s="8" t="s">
        <v>2294</v>
      </c>
      <c r="H31" s="8" t="s">
        <v>145</v>
      </c>
      <c r="I31" s="8" t="s">
        <v>58</v>
      </c>
      <c r="J31" s="8" t="s">
        <v>1965</v>
      </c>
      <c r="K31" s="8" t="s">
        <v>2295</v>
      </c>
      <c r="L31" s="8" t="s">
        <v>2296</v>
      </c>
      <c r="M31" s="8" t="s">
        <v>62</v>
      </c>
      <c r="N31" s="8" t="s">
        <v>2297</v>
      </c>
      <c r="O31" s="8"/>
      <c r="P31" s="8" t="s">
        <v>65</v>
      </c>
      <c r="Q31" s="8" t="s">
        <v>1969</v>
      </c>
      <c r="R31" s="8" t="s">
        <v>2298</v>
      </c>
      <c r="S31" s="8" t="s">
        <v>2299</v>
      </c>
      <c r="T31" s="8" t="s">
        <v>2287</v>
      </c>
      <c r="U31" s="8" t="s">
        <v>771</v>
      </c>
      <c r="V31" s="8" t="s">
        <v>1973</v>
      </c>
      <c r="W31" s="8" t="s">
        <v>2300</v>
      </c>
      <c r="X31" s="8" t="s">
        <v>2301</v>
      </c>
      <c r="Y31" s="8" t="s">
        <v>544</v>
      </c>
      <c r="Z31" s="8" t="s">
        <v>1976</v>
      </c>
    </row>
    <row r="32" customFormat="false" ht="27.75" hidden="false" customHeight="true" outlineLevel="0" collapsed="false">
      <c r="A32" s="7" t="s">
        <v>2302</v>
      </c>
      <c r="B32" s="7" t="s">
        <v>1960</v>
      </c>
      <c r="C32" s="7" t="s">
        <v>1961</v>
      </c>
      <c r="D32" s="7" t="s">
        <v>2303</v>
      </c>
      <c r="E32" s="7" t="s">
        <v>2304</v>
      </c>
      <c r="F32" s="7" t="s">
        <v>2293</v>
      </c>
      <c r="G32" s="7" t="s">
        <v>352</v>
      </c>
      <c r="H32" s="7" t="s">
        <v>145</v>
      </c>
      <c r="I32" s="7" t="s">
        <v>58</v>
      </c>
      <c r="J32" s="7" t="s">
        <v>1965</v>
      </c>
      <c r="K32" s="7" t="s">
        <v>2305</v>
      </c>
      <c r="L32" s="7" t="s">
        <v>2306</v>
      </c>
      <c r="M32" s="7" t="s">
        <v>62</v>
      </c>
      <c r="N32" s="7" t="s">
        <v>2307</v>
      </c>
      <c r="O32" s="7" t="s">
        <v>79</v>
      </c>
      <c r="P32" s="7" t="s">
        <v>65</v>
      </c>
      <c r="Q32" s="7" t="s">
        <v>1969</v>
      </c>
      <c r="R32" s="7" t="s">
        <v>2308</v>
      </c>
      <c r="S32" s="7" t="s">
        <v>2309</v>
      </c>
      <c r="T32" s="7" t="s">
        <v>2287</v>
      </c>
      <c r="U32" s="7" t="s">
        <v>771</v>
      </c>
      <c r="V32" s="7" t="s">
        <v>1973</v>
      </c>
      <c r="W32" s="7"/>
      <c r="X32" s="7" t="s">
        <v>2310</v>
      </c>
      <c r="Y32" s="7" t="s">
        <v>65</v>
      </c>
      <c r="Z32" s="7" t="s">
        <v>1976</v>
      </c>
    </row>
    <row r="33" customFormat="false" ht="27.75" hidden="false" customHeight="true" outlineLevel="0" collapsed="false">
      <c r="A33" s="8" t="s">
        <v>2311</v>
      </c>
      <c r="B33" s="8" t="s">
        <v>1960</v>
      </c>
      <c r="C33" s="8" t="s">
        <v>1961</v>
      </c>
      <c r="D33" s="8" t="s">
        <v>2312</v>
      </c>
      <c r="E33" s="8" t="s">
        <v>2313</v>
      </c>
      <c r="F33" s="8" t="s">
        <v>2314</v>
      </c>
      <c r="G33" s="8" t="s">
        <v>2315</v>
      </c>
      <c r="H33" s="8" t="s">
        <v>145</v>
      </c>
      <c r="I33" s="8" t="s">
        <v>58</v>
      </c>
      <c r="J33" s="8" t="s">
        <v>1965</v>
      </c>
      <c r="K33" s="8" t="s">
        <v>2316</v>
      </c>
      <c r="L33" s="8" t="s">
        <v>2317</v>
      </c>
      <c r="M33" s="8" t="s">
        <v>62</v>
      </c>
      <c r="N33" s="8" t="s">
        <v>2318</v>
      </c>
      <c r="O33" s="8" t="s">
        <v>79</v>
      </c>
      <c r="P33" s="8" t="s">
        <v>65</v>
      </c>
      <c r="Q33" s="8" t="s">
        <v>1969</v>
      </c>
      <c r="R33" s="8" t="s">
        <v>2319</v>
      </c>
      <c r="S33" s="8" t="s">
        <v>2320</v>
      </c>
      <c r="T33" s="8" t="s">
        <v>144</v>
      </c>
      <c r="U33" s="8" t="s">
        <v>890</v>
      </c>
      <c r="V33" s="8" t="s">
        <v>1973</v>
      </c>
      <c r="W33" s="8"/>
      <c r="X33" s="8"/>
      <c r="Y33" s="8" t="s">
        <v>65</v>
      </c>
      <c r="Z33" s="8" t="s">
        <v>1976</v>
      </c>
    </row>
    <row r="34" customFormat="false" ht="27.75" hidden="false" customHeight="true" outlineLevel="0" collapsed="false">
      <c r="A34" s="7" t="s">
        <v>2321</v>
      </c>
      <c r="B34" s="7" t="s">
        <v>1960</v>
      </c>
      <c r="C34" s="7" t="s">
        <v>1961</v>
      </c>
      <c r="D34" s="7" t="s">
        <v>2322</v>
      </c>
      <c r="E34" s="7" t="s">
        <v>2040</v>
      </c>
      <c r="F34" s="7" t="s">
        <v>2314</v>
      </c>
      <c r="G34" s="7" t="s">
        <v>2323</v>
      </c>
      <c r="H34" s="7" t="s">
        <v>145</v>
      </c>
      <c r="I34" s="7" t="s">
        <v>58</v>
      </c>
      <c r="J34" s="7" t="s">
        <v>1965</v>
      </c>
      <c r="K34" s="7" t="s">
        <v>2324</v>
      </c>
      <c r="L34" s="7" t="s">
        <v>2325</v>
      </c>
      <c r="M34" s="7" t="s">
        <v>62</v>
      </c>
      <c r="N34" s="7" t="s">
        <v>2326</v>
      </c>
      <c r="O34" s="7" t="s">
        <v>79</v>
      </c>
      <c r="P34" s="7" t="s">
        <v>65</v>
      </c>
      <c r="Q34" s="7" t="s">
        <v>1969</v>
      </c>
      <c r="R34" s="7" t="s">
        <v>2327</v>
      </c>
      <c r="S34" s="7" t="s">
        <v>2328</v>
      </c>
      <c r="T34" s="7" t="s">
        <v>144</v>
      </c>
      <c r="U34" s="7" t="s">
        <v>890</v>
      </c>
      <c r="V34" s="7" t="s">
        <v>1973</v>
      </c>
      <c r="W34" s="7"/>
      <c r="X34" s="7"/>
      <c r="Y34" s="7" t="s">
        <v>65</v>
      </c>
      <c r="Z34" s="7" t="s">
        <v>1976</v>
      </c>
    </row>
    <row r="35" customFormat="false" ht="27.75" hidden="false" customHeight="true" outlineLevel="0" collapsed="false">
      <c r="A35" s="8" t="s">
        <v>2329</v>
      </c>
      <c r="B35" s="8" t="s">
        <v>1960</v>
      </c>
      <c r="C35" s="8" t="s">
        <v>1961</v>
      </c>
      <c r="D35" s="8" t="s">
        <v>2330</v>
      </c>
      <c r="E35" s="8" t="s">
        <v>2331</v>
      </c>
      <c r="F35" s="8" t="s">
        <v>2332</v>
      </c>
      <c r="G35" s="8" t="s">
        <v>352</v>
      </c>
      <c r="H35" s="8" t="s">
        <v>73</v>
      </c>
      <c r="I35" s="8" t="s">
        <v>58</v>
      </c>
      <c r="J35" s="8" t="s">
        <v>1965</v>
      </c>
      <c r="K35" s="8" t="s">
        <v>2333</v>
      </c>
      <c r="L35" s="8" t="s">
        <v>2334</v>
      </c>
      <c r="M35" s="8" t="s">
        <v>62</v>
      </c>
      <c r="N35" s="8" t="s">
        <v>2335</v>
      </c>
      <c r="O35" s="8" t="s">
        <v>79</v>
      </c>
      <c r="P35" s="8" t="s">
        <v>65</v>
      </c>
      <c r="Q35" s="8" t="s">
        <v>1969</v>
      </c>
      <c r="R35" s="8" t="s">
        <v>2336</v>
      </c>
      <c r="S35" s="8" t="s">
        <v>2337</v>
      </c>
      <c r="T35" s="8" t="s">
        <v>144</v>
      </c>
      <c r="U35" s="8" t="s">
        <v>2233</v>
      </c>
      <c r="V35" s="8" t="s">
        <v>1973</v>
      </c>
      <c r="W35" s="8"/>
      <c r="X35" s="8" t="s">
        <v>2338</v>
      </c>
      <c r="Y35" s="8" t="s">
        <v>65</v>
      </c>
      <c r="Z35" s="8" t="s">
        <v>2048</v>
      </c>
    </row>
    <row r="36" customFormat="false" ht="27.75" hidden="false" customHeight="true" outlineLevel="0" collapsed="false">
      <c r="A36" s="7" t="s">
        <v>2339</v>
      </c>
      <c r="B36" s="7" t="s">
        <v>1960</v>
      </c>
      <c r="C36" s="7" t="s">
        <v>2290</v>
      </c>
      <c r="D36" s="7" t="s">
        <v>2340</v>
      </c>
      <c r="E36" s="7" t="s">
        <v>2341</v>
      </c>
      <c r="F36" s="7" t="s">
        <v>2342</v>
      </c>
      <c r="G36" s="7" t="s">
        <v>2343</v>
      </c>
      <c r="H36" s="7" t="s">
        <v>109</v>
      </c>
      <c r="I36" s="7" t="s">
        <v>58</v>
      </c>
      <c r="J36" s="7" t="s">
        <v>1965</v>
      </c>
      <c r="K36" s="7" t="s">
        <v>2344</v>
      </c>
      <c r="L36" s="7" t="s">
        <v>2345</v>
      </c>
      <c r="M36" s="7" t="s">
        <v>62</v>
      </c>
      <c r="N36" s="7" t="s">
        <v>2346</v>
      </c>
      <c r="O36" s="7"/>
      <c r="P36" s="7" t="s">
        <v>65</v>
      </c>
      <c r="Q36" s="7" t="s">
        <v>1969</v>
      </c>
      <c r="R36" s="7" t="s">
        <v>2347</v>
      </c>
      <c r="S36" s="7" t="s">
        <v>2348</v>
      </c>
      <c r="T36" s="7" t="s">
        <v>144</v>
      </c>
      <c r="U36" s="7" t="s">
        <v>815</v>
      </c>
      <c r="V36" s="7" t="s">
        <v>1973</v>
      </c>
      <c r="W36" s="7"/>
      <c r="X36" s="7" t="s">
        <v>2349</v>
      </c>
      <c r="Y36" s="7" t="s">
        <v>544</v>
      </c>
      <c r="Z36" s="7" t="s">
        <v>1976</v>
      </c>
    </row>
    <row r="37" customFormat="false" ht="27.75" hidden="false" customHeight="true" outlineLevel="0" collapsed="false">
      <c r="A37" s="8" t="s">
        <v>2350</v>
      </c>
      <c r="B37" s="8" t="s">
        <v>1960</v>
      </c>
      <c r="C37" s="8" t="s">
        <v>2351</v>
      </c>
      <c r="D37" s="8" t="s">
        <v>2352</v>
      </c>
      <c r="E37" s="8" t="s">
        <v>2353</v>
      </c>
      <c r="F37" s="8" t="s">
        <v>2354</v>
      </c>
      <c r="G37" s="8" t="s">
        <v>352</v>
      </c>
      <c r="H37" s="8" t="s">
        <v>109</v>
      </c>
      <c r="I37" s="8" t="s">
        <v>58</v>
      </c>
      <c r="J37" s="8" t="s">
        <v>1965</v>
      </c>
      <c r="K37" s="8" t="s">
        <v>2355</v>
      </c>
      <c r="L37" s="8" t="s">
        <v>2356</v>
      </c>
      <c r="M37" s="8" t="s">
        <v>62</v>
      </c>
      <c r="N37" s="8" t="s">
        <v>2357</v>
      </c>
      <c r="O37" s="8"/>
      <c r="P37" s="8" t="s">
        <v>65</v>
      </c>
      <c r="Q37" s="8" t="s">
        <v>1969</v>
      </c>
      <c r="R37" s="8" t="s">
        <v>2358</v>
      </c>
      <c r="S37" s="8" t="s">
        <v>2359</v>
      </c>
      <c r="T37" s="8" t="s">
        <v>340</v>
      </c>
      <c r="U37" s="8" t="s">
        <v>2360</v>
      </c>
      <c r="V37" s="8" t="s">
        <v>2104</v>
      </c>
      <c r="W37" s="8" t="s">
        <v>2361</v>
      </c>
      <c r="X37" s="8" t="s">
        <v>2361</v>
      </c>
      <c r="Y37" s="8" t="s">
        <v>65</v>
      </c>
      <c r="Z37" s="8" t="s">
        <v>2014</v>
      </c>
    </row>
    <row r="38" customFormat="false" ht="27.75" hidden="false" customHeight="true" outlineLevel="0" collapsed="false">
      <c r="A38" s="7" t="s">
        <v>2362</v>
      </c>
      <c r="B38" s="7" t="s">
        <v>1960</v>
      </c>
      <c r="C38" s="7" t="s">
        <v>2363</v>
      </c>
      <c r="D38" s="7" t="s">
        <v>2364</v>
      </c>
      <c r="E38" s="7" t="s">
        <v>2365</v>
      </c>
      <c r="F38" s="7" t="s">
        <v>2366</v>
      </c>
      <c r="G38" s="7" t="s">
        <v>56</v>
      </c>
      <c r="H38" s="7" t="s">
        <v>109</v>
      </c>
      <c r="I38" s="7" t="s">
        <v>58</v>
      </c>
      <c r="J38" s="7" t="s">
        <v>2367</v>
      </c>
      <c r="K38" s="7" t="s">
        <v>2368</v>
      </c>
      <c r="L38" s="7" t="s">
        <v>2369</v>
      </c>
      <c r="M38" s="7" t="s">
        <v>62</v>
      </c>
      <c r="N38" s="7" t="s">
        <v>2370</v>
      </c>
      <c r="O38" s="7" t="s">
        <v>79</v>
      </c>
      <c r="P38" s="7" t="s">
        <v>65</v>
      </c>
      <c r="Q38" s="7" t="s">
        <v>1969</v>
      </c>
      <c r="R38" s="7" t="s">
        <v>2371</v>
      </c>
      <c r="S38" s="7" t="s">
        <v>2372</v>
      </c>
      <c r="T38" s="7" t="s">
        <v>340</v>
      </c>
      <c r="U38" s="7" t="s">
        <v>2373</v>
      </c>
      <c r="V38" s="7" t="s">
        <v>2011</v>
      </c>
      <c r="W38" s="7"/>
      <c r="X38" s="7"/>
      <c r="Y38" s="7" t="s">
        <v>65</v>
      </c>
      <c r="Z38" s="7" t="s">
        <v>2014</v>
      </c>
    </row>
    <row r="39" customFormat="false" ht="27.75" hidden="false" customHeight="true" outlineLevel="0" collapsed="false">
      <c r="A39" s="8" t="s">
        <v>2374</v>
      </c>
      <c r="B39" s="8" t="s">
        <v>1960</v>
      </c>
      <c r="C39" s="8" t="s">
        <v>1961</v>
      </c>
      <c r="D39" s="8" t="s">
        <v>2375</v>
      </c>
      <c r="E39" s="8" t="s">
        <v>2376</v>
      </c>
      <c r="F39" s="8" t="s">
        <v>2377</v>
      </c>
      <c r="G39" s="8" t="s">
        <v>56</v>
      </c>
      <c r="H39" s="8" t="s">
        <v>109</v>
      </c>
      <c r="I39" s="8" t="s">
        <v>58</v>
      </c>
      <c r="J39" s="8" t="s">
        <v>1965</v>
      </c>
      <c r="K39" s="8" t="s">
        <v>2378</v>
      </c>
      <c r="L39" s="8" t="s">
        <v>2379</v>
      </c>
      <c r="M39" s="8" t="s">
        <v>62</v>
      </c>
      <c r="N39" s="8" t="s">
        <v>2380</v>
      </c>
      <c r="O39" s="8" t="s">
        <v>79</v>
      </c>
      <c r="P39" s="8" t="s">
        <v>65</v>
      </c>
      <c r="Q39" s="8" t="s">
        <v>1969</v>
      </c>
      <c r="R39" s="8" t="s">
        <v>2381</v>
      </c>
      <c r="S39" s="8" t="s">
        <v>2382</v>
      </c>
      <c r="T39" s="8" t="s">
        <v>1985</v>
      </c>
      <c r="U39" s="8" t="s">
        <v>2383</v>
      </c>
      <c r="V39" s="8" t="s">
        <v>2011</v>
      </c>
      <c r="W39" s="8"/>
      <c r="X39" s="8"/>
      <c r="Y39" s="8" t="s">
        <v>65</v>
      </c>
      <c r="Z39" s="8" t="s">
        <v>2014</v>
      </c>
    </row>
    <row r="40" customFormat="false" ht="27.75" hidden="false" customHeight="true" outlineLevel="0" collapsed="false">
      <c r="A40" s="7" t="s">
        <v>2384</v>
      </c>
      <c r="B40" s="7" t="s">
        <v>1960</v>
      </c>
      <c r="C40" s="7" t="s">
        <v>2385</v>
      </c>
      <c r="D40" s="7" t="s">
        <v>2386</v>
      </c>
      <c r="E40" s="7" t="s">
        <v>2387</v>
      </c>
      <c r="F40" s="7" t="s">
        <v>2388</v>
      </c>
      <c r="G40" s="7" t="s">
        <v>1767</v>
      </c>
      <c r="H40" s="7" t="s">
        <v>145</v>
      </c>
      <c r="I40" s="7" t="s">
        <v>58</v>
      </c>
      <c r="J40" s="7" t="s">
        <v>2389</v>
      </c>
      <c r="K40" s="7" t="s">
        <v>2390</v>
      </c>
      <c r="L40" s="7" t="s">
        <v>2391</v>
      </c>
      <c r="M40" s="7" t="s">
        <v>62</v>
      </c>
      <c r="N40" s="7" t="s">
        <v>2392</v>
      </c>
      <c r="O40" s="7"/>
      <c r="P40" s="7" t="s">
        <v>65</v>
      </c>
      <c r="Q40" s="7" t="s">
        <v>1969</v>
      </c>
      <c r="R40" s="7" t="s">
        <v>2393</v>
      </c>
      <c r="S40" s="7" t="s">
        <v>2394</v>
      </c>
      <c r="T40" s="7" t="s">
        <v>2395</v>
      </c>
      <c r="U40" s="7" t="s">
        <v>1031</v>
      </c>
      <c r="V40" s="7" t="s">
        <v>2385</v>
      </c>
      <c r="W40" s="7" t="s">
        <v>2396</v>
      </c>
      <c r="X40" s="7" t="s">
        <v>2397</v>
      </c>
      <c r="Y40" s="7" t="s">
        <v>65</v>
      </c>
      <c r="Z40" s="7" t="s">
        <v>2398</v>
      </c>
    </row>
    <row r="41" customFormat="false" ht="27.75" hidden="false" customHeight="true" outlineLevel="0" collapsed="false">
      <c r="A41" s="8" t="s">
        <v>2399</v>
      </c>
      <c r="B41" s="8" t="s">
        <v>1960</v>
      </c>
      <c r="C41" s="8" t="s">
        <v>2385</v>
      </c>
      <c r="D41" s="8" t="s">
        <v>2400</v>
      </c>
      <c r="E41" s="8" t="s">
        <v>2401</v>
      </c>
      <c r="F41" s="8" t="s">
        <v>2402</v>
      </c>
      <c r="G41" s="8" t="s">
        <v>56</v>
      </c>
      <c r="H41" s="8" t="s">
        <v>109</v>
      </c>
      <c r="I41" s="8" t="s">
        <v>58</v>
      </c>
      <c r="J41" s="8" t="s">
        <v>1965</v>
      </c>
      <c r="K41" s="8" t="s">
        <v>2005</v>
      </c>
      <c r="L41" s="8" t="s">
        <v>2403</v>
      </c>
      <c r="M41" s="8" t="s">
        <v>62</v>
      </c>
      <c r="N41" s="8" t="s">
        <v>2404</v>
      </c>
      <c r="O41" s="8"/>
      <c r="P41" s="8" t="s">
        <v>65</v>
      </c>
      <c r="Q41" s="8" t="s">
        <v>1969</v>
      </c>
      <c r="R41" s="8" t="s">
        <v>2405</v>
      </c>
      <c r="S41" s="8" t="s">
        <v>2406</v>
      </c>
      <c r="T41" s="8" t="s">
        <v>771</v>
      </c>
      <c r="U41" s="8" t="s">
        <v>846</v>
      </c>
      <c r="V41" s="8" t="s">
        <v>2385</v>
      </c>
      <c r="W41" s="8" t="s">
        <v>2407</v>
      </c>
      <c r="X41" s="8" t="s">
        <v>2407</v>
      </c>
      <c r="Y41" s="8" t="s">
        <v>65</v>
      </c>
      <c r="Z41" s="8" t="s">
        <v>2408</v>
      </c>
    </row>
    <row r="42" customFormat="false" ht="27.75" hidden="false" customHeight="true" outlineLevel="0" collapsed="false">
      <c r="A42" s="7" t="s">
        <v>2409</v>
      </c>
      <c r="B42" s="7" t="s">
        <v>1960</v>
      </c>
      <c r="C42" s="7" t="s">
        <v>1961</v>
      </c>
      <c r="D42" s="7" t="s">
        <v>2410</v>
      </c>
      <c r="E42" s="7" t="s">
        <v>2411</v>
      </c>
      <c r="F42" s="7" t="s">
        <v>2412</v>
      </c>
      <c r="G42" s="7" t="s">
        <v>56</v>
      </c>
      <c r="H42" s="7" t="s">
        <v>145</v>
      </c>
      <c r="I42" s="7" t="s">
        <v>58</v>
      </c>
      <c r="J42" s="7" t="s">
        <v>1965</v>
      </c>
      <c r="K42" s="7" t="s">
        <v>2161</v>
      </c>
      <c r="L42" s="7" t="s">
        <v>2413</v>
      </c>
      <c r="M42" s="7" t="s">
        <v>62</v>
      </c>
      <c r="N42" s="7" t="s">
        <v>2414</v>
      </c>
      <c r="O42" s="7"/>
      <c r="P42" s="7" t="s">
        <v>65</v>
      </c>
      <c r="Q42" s="7" t="s">
        <v>1969</v>
      </c>
      <c r="R42" s="7" t="s">
        <v>2415</v>
      </c>
      <c r="S42" s="7" t="s">
        <v>2416</v>
      </c>
      <c r="T42" s="7" t="s">
        <v>108</v>
      </c>
      <c r="U42" s="7" t="s">
        <v>2082</v>
      </c>
      <c r="V42" s="7" t="s">
        <v>1973</v>
      </c>
      <c r="W42" s="7" t="s">
        <v>2147</v>
      </c>
      <c r="X42" s="7" t="s">
        <v>2417</v>
      </c>
      <c r="Y42" s="7" t="s">
        <v>65</v>
      </c>
      <c r="Z42" s="7" t="s">
        <v>1976</v>
      </c>
    </row>
    <row r="43" customFormat="false" ht="27.75" hidden="false" customHeight="true" outlineLevel="0" collapsed="false">
      <c r="A43" s="8" t="s">
        <v>2418</v>
      </c>
      <c r="B43" s="8" t="s">
        <v>1960</v>
      </c>
      <c r="C43" s="8" t="s">
        <v>2419</v>
      </c>
      <c r="D43" s="8" t="s">
        <v>2420</v>
      </c>
      <c r="E43" s="8" t="s">
        <v>2421</v>
      </c>
      <c r="F43" s="8" t="s">
        <v>2422</v>
      </c>
      <c r="G43" s="8" t="s">
        <v>352</v>
      </c>
      <c r="H43" s="8" t="s">
        <v>109</v>
      </c>
      <c r="I43" s="8" t="s">
        <v>58</v>
      </c>
      <c r="J43" s="8" t="s">
        <v>1965</v>
      </c>
      <c r="K43" s="8" t="s">
        <v>2423</v>
      </c>
      <c r="L43" s="8" t="s">
        <v>2424</v>
      </c>
      <c r="M43" s="8" t="s">
        <v>62</v>
      </c>
      <c r="N43" s="8" t="s">
        <v>2425</v>
      </c>
      <c r="O43" s="8"/>
      <c r="P43" s="8" t="s">
        <v>65</v>
      </c>
      <c r="Q43" s="8" t="s">
        <v>1969</v>
      </c>
      <c r="R43" s="8" t="s">
        <v>2426</v>
      </c>
      <c r="S43" s="8" t="s">
        <v>2427</v>
      </c>
      <c r="T43" s="8" t="s">
        <v>108</v>
      </c>
      <c r="U43" s="8" t="s">
        <v>2428</v>
      </c>
      <c r="V43" s="8" t="s">
        <v>2429</v>
      </c>
      <c r="W43" s="8" t="s">
        <v>2430</v>
      </c>
      <c r="X43" s="8" t="s">
        <v>2431</v>
      </c>
      <c r="Y43" s="8" t="s">
        <v>544</v>
      </c>
      <c r="Z43" s="8" t="s">
        <v>1976</v>
      </c>
    </row>
    <row r="44" customFormat="false" ht="27.75" hidden="false" customHeight="true" outlineLevel="0" collapsed="false">
      <c r="A44" s="7" t="s">
        <v>2432</v>
      </c>
      <c r="B44" s="7" t="s">
        <v>1960</v>
      </c>
      <c r="C44" s="7" t="s">
        <v>1961</v>
      </c>
      <c r="D44" s="7" t="s">
        <v>2433</v>
      </c>
      <c r="E44" s="7" t="s">
        <v>2434</v>
      </c>
      <c r="F44" s="7" t="s">
        <v>2435</v>
      </c>
      <c r="G44" s="7" t="s">
        <v>56</v>
      </c>
      <c r="H44" s="7" t="s">
        <v>73</v>
      </c>
      <c r="I44" s="7" t="s">
        <v>58</v>
      </c>
      <c r="J44" s="7" t="s">
        <v>1965</v>
      </c>
      <c r="K44" s="7" t="s">
        <v>2436</v>
      </c>
      <c r="L44" s="7" t="s">
        <v>2437</v>
      </c>
      <c r="M44" s="7" t="s">
        <v>62</v>
      </c>
      <c r="N44" s="7" t="s">
        <v>2438</v>
      </c>
      <c r="O44" s="7"/>
      <c r="P44" s="7" t="s">
        <v>65</v>
      </c>
      <c r="Q44" s="7" t="s">
        <v>1969</v>
      </c>
      <c r="R44" s="7" t="s">
        <v>2439</v>
      </c>
      <c r="S44" s="7" t="s">
        <v>2440</v>
      </c>
      <c r="T44" s="7" t="s">
        <v>108</v>
      </c>
      <c r="U44" s="7" t="s">
        <v>2441</v>
      </c>
      <c r="V44" s="7" t="s">
        <v>2011</v>
      </c>
      <c r="W44" s="7" t="s">
        <v>2442</v>
      </c>
      <c r="X44" s="7" t="s">
        <v>2443</v>
      </c>
      <c r="Y44" s="7" t="s">
        <v>65</v>
      </c>
      <c r="Z44" s="7" t="s">
        <v>2014</v>
      </c>
    </row>
    <row r="45" customFormat="false" ht="27.75" hidden="false" customHeight="true" outlineLevel="0" collapsed="false">
      <c r="A45" s="8" t="s">
        <v>2444</v>
      </c>
      <c r="B45" s="8" t="s">
        <v>1960</v>
      </c>
      <c r="C45" s="8" t="s">
        <v>2445</v>
      </c>
      <c r="D45" s="8" t="s">
        <v>2446</v>
      </c>
      <c r="E45" s="8" t="s">
        <v>2447</v>
      </c>
      <c r="F45" s="8" t="s">
        <v>2448</v>
      </c>
      <c r="G45" s="8" t="s">
        <v>56</v>
      </c>
      <c r="H45" s="8" t="s">
        <v>109</v>
      </c>
      <c r="I45" s="8" t="s">
        <v>58</v>
      </c>
      <c r="J45" s="8" t="s">
        <v>1965</v>
      </c>
      <c r="K45" s="8" t="s">
        <v>2423</v>
      </c>
      <c r="L45" s="8" t="s">
        <v>2449</v>
      </c>
      <c r="M45" s="8" t="s">
        <v>62</v>
      </c>
      <c r="N45" s="8" t="s">
        <v>2450</v>
      </c>
      <c r="O45" s="8" t="s">
        <v>79</v>
      </c>
      <c r="P45" s="8" t="s">
        <v>65</v>
      </c>
      <c r="Q45" s="8" t="s">
        <v>1969</v>
      </c>
      <c r="R45" s="8" t="s">
        <v>2451</v>
      </c>
      <c r="S45" s="8" t="s">
        <v>2452</v>
      </c>
      <c r="T45" s="8" t="s">
        <v>108</v>
      </c>
      <c r="U45" s="8" t="s">
        <v>2035</v>
      </c>
      <c r="V45" s="8" t="s">
        <v>2011</v>
      </c>
      <c r="W45" s="8"/>
      <c r="X45" s="8"/>
      <c r="Y45" s="8" t="s">
        <v>65</v>
      </c>
      <c r="Z45" s="8" t="s">
        <v>2014</v>
      </c>
    </row>
    <row r="46" customFormat="false" ht="27.75" hidden="false" customHeight="true" outlineLevel="0" collapsed="false">
      <c r="A46" s="7" t="s">
        <v>2453</v>
      </c>
      <c r="B46" s="7" t="s">
        <v>1960</v>
      </c>
      <c r="C46" s="7" t="s">
        <v>2454</v>
      </c>
      <c r="D46" s="7" t="s">
        <v>2455</v>
      </c>
      <c r="E46" s="7" t="s">
        <v>2456</v>
      </c>
      <c r="F46" s="7" t="s">
        <v>2457</v>
      </c>
      <c r="G46" s="7" t="s">
        <v>56</v>
      </c>
      <c r="H46" s="7" t="s">
        <v>109</v>
      </c>
      <c r="I46" s="7" t="s">
        <v>58</v>
      </c>
      <c r="J46" s="7" t="s">
        <v>2458</v>
      </c>
      <c r="K46" s="7" t="s">
        <v>2459</v>
      </c>
      <c r="L46" s="7" t="s">
        <v>2460</v>
      </c>
      <c r="M46" s="7" t="s">
        <v>62</v>
      </c>
      <c r="N46" s="7" t="s">
        <v>2461</v>
      </c>
      <c r="O46" s="7" t="s">
        <v>79</v>
      </c>
      <c r="P46" s="7" t="s">
        <v>65</v>
      </c>
      <c r="Q46" s="7" t="s">
        <v>1969</v>
      </c>
      <c r="R46" s="7" t="s">
        <v>2462</v>
      </c>
      <c r="S46" s="7" t="s">
        <v>2463</v>
      </c>
      <c r="T46" s="7" t="s">
        <v>120</v>
      </c>
      <c r="U46" s="7" t="s">
        <v>2035</v>
      </c>
      <c r="V46" s="7" t="s">
        <v>2011</v>
      </c>
      <c r="W46" s="7"/>
      <c r="X46" s="7"/>
      <c r="Y46" s="7" t="s">
        <v>65</v>
      </c>
      <c r="Z46" s="7" t="s">
        <v>2014</v>
      </c>
    </row>
    <row r="47" customFormat="false" ht="27.75" hidden="false" customHeight="true" outlineLevel="0" collapsed="false">
      <c r="A47" s="8" t="s">
        <v>2464</v>
      </c>
      <c r="B47" s="8" t="s">
        <v>1960</v>
      </c>
      <c r="C47" s="8" t="s">
        <v>2363</v>
      </c>
      <c r="D47" s="8" t="s">
        <v>2465</v>
      </c>
      <c r="E47" s="8" t="s">
        <v>2466</v>
      </c>
      <c r="F47" s="8" t="s">
        <v>2467</v>
      </c>
      <c r="G47" s="8" t="s">
        <v>2468</v>
      </c>
      <c r="H47" s="8" t="s">
        <v>2065</v>
      </c>
      <c r="I47" s="8" t="s">
        <v>58</v>
      </c>
      <c r="J47" s="8" t="s">
        <v>1965</v>
      </c>
      <c r="K47" s="8" t="s">
        <v>2469</v>
      </c>
      <c r="L47" s="8" t="s">
        <v>2470</v>
      </c>
      <c r="M47" s="8" t="s">
        <v>62</v>
      </c>
      <c r="N47" s="8" t="s">
        <v>2471</v>
      </c>
      <c r="O47" s="8" t="s">
        <v>79</v>
      </c>
      <c r="P47" s="8" t="s">
        <v>65</v>
      </c>
      <c r="Q47" s="8" t="s">
        <v>1969</v>
      </c>
      <c r="R47" s="8" t="s">
        <v>2472</v>
      </c>
      <c r="S47" s="8" t="s">
        <v>2473</v>
      </c>
      <c r="T47" s="8" t="s">
        <v>120</v>
      </c>
      <c r="U47" s="8" t="s">
        <v>2474</v>
      </c>
      <c r="V47" s="8" t="s">
        <v>2011</v>
      </c>
      <c r="W47" s="8"/>
      <c r="X47" s="8"/>
      <c r="Y47" s="8" t="s">
        <v>65</v>
      </c>
      <c r="Z47" s="8" t="s">
        <v>2014</v>
      </c>
    </row>
    <row r="48" customFormat="false" ht="27.75" hidden="false" customHeight="true" outlineLevel="0" collapsed="false">
      <c r="A48" s="7" t="s">
        <v>2475</v>
      </c>
      <c r="B48" s="7" t="s">
        <v>1960</v>
      </c>
      <c r="C48" s="7" t="s">
        <v>1961</v>
      </c>
      <c r="D48" s="7" t="s">
        <v>2476</v>
      </c>
      <c r="E48" s="7" t="s">
        <v>2477</v>
      </c>
      <c r="F48" s="7" t="s">
        <v>2478</v>
      </c>
      <c r="G48" s="7" t="s">
        <v>56</v>
      </c>
      <c r="H48" s="7" t="s">
        <v>145</v>
      </c>
      <c r="I48" s="7" t="s">
        <v>58</v>
      </c>
      <c r="J48" s="7" t="s">
        <v>1965</v>
      </c>
      <c r="K48" s="7" t="s">
        <v>2479</v>
      </c>
      <c r="L48" s="7" t="s">
        <v>2480</v>
      </c>
      <c r="M48" s="7" t="s">
        <v>62</v>
      </c>
      <c r="N48" s="7" t="s">
        <v>2481</v>
      </c>
      <c r="O48" s="7" t="s">
        <v>79</v>
      </c>
      <c r="P48" s="7" t="s">
        <v>65</v>
      </c>
      <c r="Q48" s="7" t="s">
        <v>1969</v>
      </c>
      <c r="R48" s="7" t="s">
        <v>2482</v>
      </c>
      <c r="S48" s="7" t="s">
        <v>2483</v>
      </c>
      <c r="T48" s="7" t="s">
        <v>2484</v>
      </c>
      <c r="U48" s="7" t="s">
        <v>2485</v>
      </c>
      <c r="V48" s="7" t="s">
        <v>1973</v>
      </c>
      <c r="W48" s="7" t="s">
        <v>2486</v>
      </c>
      <c r="X48" s="7"/>
      <c r="Y48" s="7" t="s">
        <v>65</v>
      </c>
      <c r="Z48" s="7" t="s">
        <v>1976</v>
      </c>
    </row>
    <row r="49" customFormat="false" ht="27.75" hidden="false" customHeight="true" outlineLevel="0" collapsed="false">
      <c r="A49" s="8" t="s">
        <v>2487</v>
      </c>
      <c r="B49" s="8" t="s">
        <v>1960</v>
      </c>
      <c r="C49" s="8" t="s">
        <v>1961</v>
      </c>
      <c r="D49" s="8" t="s">
        <v>2488</v>
      </c>
      <c r="E49" s="8" t="s">
        <v>2489</v>
      </c>
      <c r="F49" s="8" t="s">
        <v>2490</v>
      </c>
      <c r="G49" s="8" t="s">
        <v>56</v>
      </c>
      <c r="H49" s="8" t="s">
        <v>145</v>
      </c>
      <c r="I49" s="8" t="s">
        <v>58</v>
      </c>
      <c r="J49" s="8" t="s">
        <v>1965</v>
      </c>
      <c r="K49" s="8" t="s">
        <v>2479</v>
      </c>
      <c r="L49" s="8" t="s">
        <v>2491</v>
      </c>
      <c r="M49" s="8" t="s">
        <v>62</v>
      </c>
      <c r="N49" s="8" t="s">
        <v>2492</v>
      </c>
      <c r="O49" s="8" t="s">
        <v>79</v>
      </c>
      <c r="P49" s="8" t="s">
        <v>65</v>
      </c>
      <c r="Q49" s="8" t="s">
        <v>1969</v>
      </c>
      <c r="R49" s="8" t="s">
        <v>2493</v>
      </c>
      <c r="S49" s="8" t="s">
        <v>2494</v>
      </c>
      <c r="T49" s="8" t="s">
        <v>2484</v>
      </c>
      <c r="U49" s="8" t="s">
        <v>2495</v>
      </c>
      <c r="V49" s="8" t="s">
        <v>1973</v>
      </c>
      <c r="W49" s="8"/>
      <c r="X49" s="8"/>
      <c r="Y49" s="8" t="s">
        <v>65</v>
      </c>
      <c r="Z49" s="8" t="s">
        <v>1976</v>
      </c>
    </row>
    <row r="50" customFormat="false" ht="27.75" hidden="false" customHeight="true" outlineLevel="0" collapsed="false">
      <c r="A50" s="7" t="s">
        <v>2496</v>
      </c>
      <c r="B50" s="7" t="s">
        <v>1960</v>
      </c>
      <c r="C50" s="7" t="s">
        <v>1961</v>
      </c>
      <c r="D50" s="7" t="s">
        <v>2497</v>
      </c>
      <c r="E50" s="7" t="s">
        <v>2498</v>
      </c>
      <c r="F50" s="7" t="s">
        <v>2499</v>
      </c>
      <c r="G50" s="7" t="s">
        <v>56</v>
      </c>
      <c r="H50" s="7" t="s">
        <v>73</v>
      </c>
      <c r="I50" s="7" t="s">
        <v>58</v>
      </c>
      <c r="J50" s="7" t="s">
        <v>1965</v>
      </c>
      <c r="K50" s="7" t="s">
        <v>2088</v>
      </c>
      <c r="L50" s="7" t="s">
        <v>2500</v>
      </c>
      <c r="M50" s="7" t="s">
        <v>62</v>
      </c>
      <c r="N50" s="7" t="s">
        <v>2501</v>
      </c>
      <c r="O50" s="7" t="s">
        <v>79</v>
      </c>
      <c r="P50" s="7" t="s">
        <v>65</v>
      </c>
      <c r="Q50" s="7" t="s">
        <v>1969</v>
      </c>
      <c r="R50" s="7" t="s">
        <v>2502</v>
      </c>
      <c r="S50" s="7" t="s">
        <v>2394</v>
      </c>
      <c r="T50" s="7" t="s">
        <v>2503</v>
      </c>
      <c r="U50" s="7" t="s">
        <v>2093</v>
      </c>
      <c r="V50" s="7" t="s">
        <v>1973</v>
      </c>
      <c r="W50" s="7"/>
      <c r="X50" s="7"/>
      <c r="Y50" s="7" t="s">
        <v>65</v>
      </c>
      <c r="Z50" s="7" t="s">
        <v>1976</v>
      </c>
    </row>
    <row r="51" customFormat="false" ht="27.75" hidden="false" customHeight="true" outlineLevel="0" collapsed="false">
      <c r="A51" s="8" t="s">
        <v>2504</v>
      </c>
      <c r="B51" s="8" t="s">
        <v>1960</v>
      </c>
      <c r="C51" s="8" t="s">
        <v>1961</v>
      </c>
      <c r="D51" s="8" t="s">
        <v>2505</v>
      </c>
      <c r="E51" s="8" t="s">
        <v>2506</v>
      </c>
      <c r="F51" s="8" t="s">
        <v>2499</v>
      </c>
      <c r="G51" s="8" t="s">
        <v>352</v>
      </c>
      <c r="H51" s="8" t="s">
        <v>73</v>
      </c>
      <c r="I51" s="8" t="s">
        <v>58</v>
      </c>
      <c r="J51" s="8" t="s">
        <v>1965</v>
      </c>
      <c r="K51" s="8" t="s">
        <v>2088</v>
      </c>
      <c r="L51" s="8" t="s">
        <v>2507</v>
      </c>
      <c r="M51" s="8" t="s">
        <v>62</v>
      </c>
      <c r="N51" s="8" t="s">
        <v>2508</v>
      </c>
      <c r="O51" s="8" t="s">
        <v>79</v>
      </c>
      <c r="P51" s="8" t="s">
        <v>65</v>
      </c>
      <c r="Q51" s="8" t="s">
        <v>1969</v>
      </c>
      <c r="R51" s="8" t="s">
        <v>2509</v>
      </c>
      <c r="S51" s="8" t="s">
        <v>2187</v>
      </c>
      <c r="T51" s="8" t="s">
        <v>2503</v>
      </c>
      <c r="U51" s="8" t="s">
        <v>2093</v>
      </c>
      <c r="V51" s="8" t="s">
        <v>1973</v>
      </c>
      <c r="W51" s="8"/>
      <c r="X51" s="8"/>
      <c r="Y51" s="8" t="s">
        <v>65</v>
      </c>
      <c r="Z51" s="8" t="s">
        <v>1976</v>
      </c>
    </row>
    <row r="52" customFormat="false" ht="27.75" hidden="false" customHeight="true" outlineLevel="0" collapsed="false">
      <c r="A52" s="7" t="s">
        <v>2510</v>
      </c>
      <c r="B52" s="7" t="s">
        <v>1960</v>
      </c>
      <c r="C52" s="7" t="s">
        <v>1961</v>
      </c>
      <c r="D52" s="7" t="s">
        <v>2511</v>
      </c>
      <c r="E52" s="7" t="s">
        <v>2512</v>
      </c>
      <c r="F52" s="7" t="s">
        <v>2513</v>
      </c>
      <c r="G52" s="7" t="s">
        <v>2117</v>
      </c>
      <c r="H52" s="7" t="s">
        <v>2514</v>
      </c>
      <c r="I52" s="7" t="s">
        <v>58</v>
      </c>
      <c r="J52" s="7" t="s">
        <v>1965</v>
      </c>
      <c r="K52" s="7" t="s">
        <v>2515</v>
      </c>
      <c r="L52" s="7" t="s">
        <v>2516</v>
      </c>
      <c r="M52" s="7" t="s">
        <v>62</v>
      </c>
      <c r="N52" s="7" t="s">
        <v>2517</v>
      </c>
      <c r="O52" s="7"/>
      <c r="P52" s="7" t="s">
        <v>65</v>
      </c>
      <c r="Q52" s="7" t="s">
        <v>1969</v>
      </c>
      <c r="R52" s="7" t="s">
        <v>2518</v>
      </c>
      <c r="S52" s="7" t="s">
        <v>2265</v>
      </c>
      <c r="T52" s="7" t="s">
        <v>2503</v>
      </c>
      <c r="U52" s="7" t="s">
        <v>2519</v>
      </c>
      <c r="V52" s="7" t="s">
        <v>1973</v>
      </c>
      <c r="W52" s="7" t="s">
        <v>2520</v>
      </c>
      <c r="X52" s="7" t="s">
        <v>2521</v>
      </c>
      <c r="Y52" s="7" t="s">
        <v>65</v>
      </c>
      <c r="Z52" s="7" t="s">
        <v>1976</v>
      </c>
    </row>
    <row r="53" customFormat="false" ht="27.75" hidden="false" customHeight="true" outlineLevel="0" collapsed="false">
      <c r="A53" s="8" t="s">
        <v>2522</v>
      </c>
      <c r="B53" s="8" t="s">
        <v>1960</v>
      </c>
      <c r="C53" s="8" t="s">
        <v>2523</v>
      </c>
      <c r="D53" s="8" t="s">
        <v>2524</v>
      </c>
      <c r="E53" s="8" t="s">
        <v>2525</v>
      </c>
      <c r="F53" s="8" t="s">
        <v>2526</v>
      </c>
      <c r="G53" s="8" t="s">
        <v>2527</v>
      </c>
      <c r="H53" s="8" t="s">
        <v>145</v>
      </c>
      <c r="I53" s="8" t="s">
        <v>58</v>
      </c>
      <c r="J53" s="8" t="s">
        <v>1965</v>
      </c>
      <c r="K53" s="8" t="s">
        <v>2528</v>
      </c>
      <c r="L53" s="8" t="s">
        <v>2529</v>
      </c>
      <c r="M53" s="8" t="s">
        <v>62</v>
      </c>
      <c r="N53" s="8" t="s">
        <v>2530</v>
      </c>
      <c r="O53" s="8" t="s">
        <v>2531</v>
      </c>
      <c r="P53" s="8" t="s">
        <v>65</v>
      </c>
      <c r="Q53" s="8" t="s">
        <v>1969</v>
      </c>
      <c r="R53" s="8" t="s">
        <v>2532</v>
      </c>
      <c r="S53" s="8" t="s">
        <v>2533</v>
      </c>
      <c r="T53" s="8" t="s">
        <v>2503</v>
      </c>
      <c r="U53" s="8" t="s">
        <v>2534</v>
      </c>
      <c r="V53" s="8" t="s">
        <v>2385</v>
      </c>
      <c r="W53" s="8" t="s">
        <v>2148</v>
      </c>
      <c r="X53" s="8" t="s">
        <v>2535</v>
      </c>
      <c r="Y53" s="8" t="s">
        <v>65</v>
      </c>
      <c r="Z53" s="8" t="s">
        <v>2398</v>
      </c>
    </row>
    <row r="54" customFormat="false" ht="27.75" hidden="false" customHeight="true" outlineLevel="0" collapsed="false">
      <c r="A54" s="7" t="s">
        <v>2536</v>
      </c>
      <c r="B54" s="7" t="s">
        <v>1960</v>
      </c>
      <c r="C54" s="7" t="s">
        <v>1961</v>
      </c>
      <c r="D54" s="7" t="s">
        <v>2537</v>
      </c>
      <c r="E54" s="7" t="s">
        <v>2466</v>
      </c>
      <c r="F54" s="7" t="s">
        <v>2538</v>
      </c>
      <c r="G54" s="7" t="s">
        <v>56</v>
      </c>
      <c r="H54" s="7" t="s">
        <v>73</v>
      </c>
      <c r="I54" s="7" t="s">
        <v>58</v>
      </c>
      <c r="J54" s="7" t="s">
        <v>1965</v>
      </c>
      <c r="K54" s="7" t="s">
        <v>2469</v>
      </c>
      <c r="L54" s="7" t="s">
        <v>2539</v>
      </c>
      <c r="M54" s="7" t="s">
        <v>62</v>
      </c>
      <c r="N54" s="7" t="s">
        <v>2540</v>
      </c>
      <c r="O54" s="7" t="s">
        <v>79</v>
      </c>
      <c r="P54" s="7" t="s">
        <v>65</v>
      </c>
      <c r="Q54" s="7" t="s">
        <v>1969</v>
      </c>
      <c r="R54" s="7" t="s">
        <v>2541</v>
      </c>
      <c r="S54" s="7" t="s">
        <v>2542</v>
      </c>
      <c r="T54" s="7" t="s">
        <v>2543</v>
      </c>
      <c r="U54" s="7" t="s">
        <v>2474</v>
      </c>
      <c r="V54" s="7" t="s">
        <v>2011</v>
      </c>
      <c r="W54" s="7"/>
      <c r="X54" s="7"/>
      <c r="Y54" s="7" t="s">
        <v>65</v>
      </c>
      <c r="Z54" s="7" t="s">
        <v>2014</v>
      </c>
    </row>
    <row r="55" customFormat="false" ht="27.75" hidden="false" customHeight="true" outlineLevel="0" collapsed="false">
      <c r="A55" s="8" t="s">
        <v>2544</v>
      </c>
      <c r="B55" s="8" t="s">
        <v>1960</v>
      </c>
      <c r="C55" s="8" t="s">
        <v>2290</v>
      </c>
      <c r="D55" s="8" t="s">
        <v>2545</v>
      </c>
      <c r="E55" s="8" t="s">
        <v>2546</v>
      </c>
      <c r="F55" s="8" t="s">
        <v>2547</v>
      </c>
      <c r="G55" s="8" t="s">
        <v>2548</v>
      </c>
      <c r="H55" s="8" t="s">
        <v>145</v>
      </c>
      <c r="I55" s="8" t="s">
        <v>58</v>
      </c>
      <c r="J55" s="8" t="s">
        <v>1965</v>
      </c>
      <c r="K55" s="8" t="s">
        <v>2549</v>
      </c>
      <c r="L55" s="8" t="s">
        <v>2550</v>
      </c>
      <c r="M55" s="8" t="s">
        <v>62</v>
      </c>
      <c r="N55" s="8" t="s">
        <v>2551</v>
      </c>
      <c r="O55" s="8" t="s">
        <v>79</v>
      </c>
      <c r="P55" s="8" t="s">
        <v>65</v>
      </c>
      <c r="Q55" s="8" t="s">
        <v>1969</v>
      </c>
      <c r="R55" s="8" t="s">
        <v>2552</v>
      </c>
      <c r="S55" s="8" t="s">
        <v>2553</v>
      </c>
      <c r="T55" s="8" t="s">
        <v>2554</v>
      </c>
      <c r="U55" s="8" t="s">
        <v>1077</v>
      </c>
      <c r="V55" s="8" t="s">
        <v>1973</v>
      </c>
      <c r="W55" s="8"/>
      <c r="X55" s="8" t="s">
        <v>2245</v>
      </c>
      <c r="Y55" s="8" t="s">
        <v>65</v>
      </c>
      <c r="Z55" s="8" t="s">
        <v>1976</v>
      </c>
    </row>
    <row r="56" customFormat="false" ht="27.75" hidden="false" customHeight="true" outlineLevel="0" collapsed="false">
      <c r="A56" s="7" t="s">
        <v>2555</v>
      </c>
      <c r="B56" s="7" t="s">
        <v>1960</v>
      </c>
      <c r="C56" s="7" t="s">
        <v>1961</v>
      </c>
      <c r="D56" s="7" t="s">
        <v>2556</v>
      </c>
      <c r="E56" s="7" t="s">
        <v>2557</v>
      </c>
      <c r="F56" s="7" t="s">
        <v>2547</v>
      </c>
      <c r="G56" s="7" t="s">
        <v>2558</v>
      </c>
      <c r="H56" s="7" t="s">
        <v>145</v>
      </c>
      <c r="I56" s="7" t="s">
        <v>58</v>
      </c>
      <c r="J56" s="7" t="s">
        <v>1965</v>
      </c>
      <c r="K56" s="7" t="s">
        <v>2549</v>
      </c>
      <c r="L56" s="7" t="s">
        <v>2550</v>
      </c>
      <c r="M56" s="7" t="s">
        <v>62</v>
      </c>
      <c r="N56" s="7" t="s">
        <v>2559</v>
      </c>
      <c r="O56" s="7"/>
      <c r="P56" s="7" t="s">
        <v>65</v>
      </c>
      <c r="Q56" s="7" t="s">
        <v>1969</v>
      </c>
      <c r="R56" s="7" t="s">
        <v>2560</v>
      </c>
      <c r="S56" s="7" t="s">
        <v>2187</v>
      </c>
      <c r="T56" s="7" t="s">
        <v>2554</v>
      </c>
      <c r="U56" s="7" t="s">
        <v>1077</v>
      </c>
      <c r="V56" s="7" t="s">
        <v>1973</v>
      </c>
      <c r="W56" s="7"/>
      <c r="X56" s="7" t="s">
        <v>2561</v>
      </c>
      <c r="Y56" s="7" t="s">
        <v>65</v>
      </c>
      <c r="Z56" s="7" t="s">
        <v>1976</v>
      </c>
    </row>
    <row r="57" customFormat="false" ht="27.75" hidden="false" customHeight="true" outlineLevel="0" collapsed="false">
      <c r="A57" s="8" t="s">
        <v>2562</v>
      </c>
      <c r="B57" s="8" t="s">
        <v>1960</v>
      </c>
      <c r="C57" s="8" t="s">
        <v>2563</v>
      </c>
      <c r="D57" s="8" t="s">
        <v>2564</v>
      </c>
      <c r="E57" s="8" t="s">
        <v>2565</v>
      </c>
      <c r="F57" s="8" t="s">
        <v>2566</v>
      </c>
      <c r="G57" s="8" t="s">
        <v>352</v>
      </c>
      <c r="H57" s="8" t="s">
        <v>145</v>
      </c>
      <c r="I57" s="8" t="s">
        <v>58</v>
      </c>
      <c r="J57" s="8" t="s">
        <v>1965</v>
      </c>
      <c r="K57" s="8" t="s">
        <v>2567</v>
      </c>
      <c r="L57" s="8" t="s">
        <v>2568</v>
      </c>
      <c r="M57" s="8" t="s">
        <v>62</v>
      </c>
      <c r="N57" s="8" t="s">
        <v>2569</v>
      </c>
      <c r="O57" s="8"/>
      <c r="P57" s="8" t="s">
        <v>65</v>
      </c>
      <c r="Q57" s="8" t="s">
        <v>1969</v>
      </c>
      <c r="R57" s="8" t="s">
        <v>2570</v>
      </c>
      <c r="S57" s="8" t="s">
        <v>2571</v>
      </c>
      <c r="T57" s="8" t="s">
        <v>2572</v>
      </c>
      <c r="U57" s="8" t="s">
        <v>266</v>
      </c>
      <c r="V57" s="8" t="s">
        <v>2104</v>
      </c>
      <c r="W57" s="8" t="s">
        <v>2573</v>
      </c>
      <c r="X57" s="8" t="s">
        <v>2573</v>
      </c>
      <c r="Y57" s="8" t="s">
        <v>65</v>
      </c>
      <c r="Z57" s="8" t="s">
        <v>2398</v>
      </c>
    </row>
    <row r="58" customFormat="false" ht="27.75" hidden="false" customHeight="true" outlineLevel="0" collapsed="false">
      <c r="A58" s="7" t="s">
        <v>2574</v>
      </c>
      <c r="B58" s="7" t="s">
        <v>1960</v>
      </c>
      <c r="C58" s="7" t="s">
        <v>1961</v>
      </c>
      <c r="D58" s="7" t="s">
        <v>2575</v>
      </c>
      <c r="E58" s="7" t="s">
        <v>2576</v>
      </c>
      <c r="F58" s="7" t="s">
        <v>2577</v>
      </c>
      <c r="G58" s="7" t="s">
        <v>2578</v>
      </c>
      <c r="H58" s="7" t="s">
        <v>145</v>
      </c>
      <c r="I58" s="7" t="s">
        <v>58</v>
      </c>
      <c r="J58" s="7" t="s">
        <v>2579</v>
      </c>
      <c r="K58" s="7" t="s">
        <v>2580</v>
      </c>
      <c r="L58" s="7" t="s">
        <v>2581</v>
      </c>
      <c r="M58" s="7" t="s">
        <v>62</v>
      </c>
      <c r="N58" s="7" t="s">
        <v>2582</v>
      </c>
      <c r="O58" s="7" t="s">
        <v>160</v>
      </c>
      <c r="P58" s="7" t="s">
        <v>65</v>
      </c>
      <c r="Q58" s="7" t="s">
        <v>1969</v>
      </c>
      <c r="R58" s="7" t="s">
        <v>2583</v>
      </c>
      <c r="S58" s="7" t="s">
        <v>2584</v>
      </c>
      <c r="T58" s="7" t="s">
        <v>2585</v>
      </c>
      <c r="U58" s="7" t="s">
        <v>846</v>
      </c>
      <c r="V58" s="7" t="s">
        <v>1973</v>
      </c>
      <c r="W58" s="7"/>
      <c r="X58" s="7"/>
      <c r="Y58" s="7" t="s">
        <v>65</v>
      </c>
      <c r="Z58" s="7" t="s">
        <v>2398</v>
      </c>
    </row>
    <row r="59" customFormat="false" ht="27.75" hidden="false" customHeight="true" outlineLevel="0" collapsed="false">
      <c r="A59" s="8" t="s">
        <v>2586</v>
      </c>
      <c r="B59" s="8" t="s">
        <v>1960</v>
      </c>
      <c r="C59" s="8" t="s">
        <v>1961</v>
      </c>
      <c r="D59" s="8" t="s">
        <v>2587</v>
      </c>
      <c r="E59" s="8" t="s">
        <v>2588</v>
      </c>
      <c r="F59" s="8" t="s">
        <v>2589</v>
      </c>
      <c r="G59" s="8" t="s">
        <v>352</v>
      </c>
      <c r="H59" s="8" t="s">
        <v>145</v>
      </c>
      <c r="I59" s="8" t="s">
        <v>58</v>
      </c>
      <c r="J59" s="8" t="s">
        <v>2590</v>
      </c>
      <c r="K59" s="8" t="s">
        <v>2591</v>
      </c>
      <c r="L59" s="8" t="s">
        <v>2592</v>
      </c>
      <c r="M59" s="8" t="s">
        <v>62</v>
      </c>
      <c r="N59" s="8" t="s">
        <v>2593</v>
      </c>
      <c r="O59" s="8" t="s">
        <v>160</v>
      </c>
      <c r="P59" s="8" t="s">
        <v>65</v>
      </c>
      <c r="Q59" s="8" t="s">
        <v>1969</v>
      </c>
      <c r="R59" s="8" t="s">
        <v>2594</v>
      </c>
      <c r="S59" s="8" t="s">
        <v>2595</v>
      </c>
      <c r="T59" s="8" t="s">
        <v>2123</v>
      </c>
      <c r="U59" s="8" t="s">
        <v>846</v>
      </c>
      <c r="V59" s="8" t="s">
        <v>1973</v>
      </c>
      <c r="W59" s="8"/>
      <c r="X59" s="8"/>
      <c r="Y59" s="8" t="s">
        <v>65</v>
      </c>
      <c r="Z59" s="8" t="s">
        <v>2398</v>
      </c>
    </row>
    <row r="60" customFormat="false" ht="27.75" hidden="false" customHeight="true" outlineLevel="0" collapsed="false">
      <c r="A60" s="7" t="s">
        <v>2596</v>
      </c>
      <c r="B60" s="7" t="s">
        <v>1960</v>
      </c>
      <c r="C60" s="7" t="s">
        <v>2150</v>
      </c>
      <c r="D60" s="7" t="s">
        <v>2597</v>
      </c>
      <c r="E60" s="7" t="s">
        <v>2598</v>
      </c>
      <c r="F60" s="7" t="s">
        <v>2599</v>
      </c>
      <c r="G60" s="7" t="s">
        <v>56</v>
      </c>
      <c r="H60" s="7" t="s">
        <v>109</v>
      </c>
      <c r="I60" s="7" t="s">
        <v>58</v>
      </c>
      <c r="J60" s="7" t="s">
        <v>1965</v>
      </c>
      <c r="K60" s="7" t="s">
        <v>2600</v>
      </c>
      <c r="L60" s="7" t="s">
        <v>2601</v>
      </c>
      <c r="M60" s="7" t="s">
        <v>62</v>
      </c>
      <c r="N60" s="7" t="s">
        <v>2602</v>
      </c>
      <c r="O60" s="7"/>
      <c r="P60" s="7" t="s">
        <v>65</v>
      </c>
      <c r="Q60" s="7" t="s">
        <v>1969</v>
      </c>
      <c r="R60" s="7" t="s">
        <v>2603</v>
      </c>
      <c r="S60" s="7" t="s">
        <v>2604</v>
      </c>
      <c r="T60" s="7" t="s">
        <v>2605</v>
      </c>
      <c r="U60" s="7" t="s">
        <v>2606</v>
      </c>
      <c r="V60" s="7" t="s">
        <v>2429</v>
      </c>
      <c r="W60" s="7" t="s">
        <v>2607</v>
      </c>
      <c r="X60" s="7" t="s">
        <v>2607</v>
      </c>
      <c r="Y60" s="7" t="s">
        <v>544</v>
      </c>
      <c r="Z60" s="7" t="s">
        <v>2608</v>
      </c>
    </row>
    <row r="61" customFormat="false" ht="27.75" hidden="false" customHeight="true" outlineLevel="0" collapsed="false">
      <c r="A61" s="8" t="s">
        <v>2609</v>
      </c>
      <c r="B61" s="8" t="s">
        <v>1960</v>
      </c>
      <c r="C61" s="8" t="s">
        <v>2150</v>
      </c>
      <c r="D61" s="8" t="s">
        <v>2610</v>
      </c>
      <c r="E61" s="8" t="s">
        <v>2611</v>
      </c>
      <c r="F61" s="8" t="s">
        <v>2612</v>
      </c>
      <c r="G61" s="8" t="s">
        <v>56</v>
      </c>
      <c r="H61" s="8" t="s">
        <v>109</v>
      </c>
      <c r="I61" s="8" t="s">
        <v>58</v>
      </c>
      <c r="J61" s="8" t="s">
        <v>1965</v>
      </c>
      <c r="K61" s="8" t="s">
        <v>2613</v>
      </c>
      <c r="L61" s="8" t="s">
        <v>2614</v>
      </c>
      <c r="M61" s="8" t="s">
        <v>62</v>
      </c>
      <c r="N61" s="8" t="s">
        <v>2615</v>
      </c>
      <c r="O61" s="8"/>
      <c r="P61" s="8" t="s">
        <v>65</v>
      </c>
      <c r="Q61" s="8" t="s">
        <v>1969</v>
      </c>
      <c r="R61" s="8" t="s">
        <v>2616</v>
      </c>
      <c r="S61" s="8" t="s">
        <v>2617</v>
      </c>
      <c r="T61" s="8" t="s">
        <v>2612</v>
      </c>
      <c r="U61" s="8" t="s">
        <v>2134</v>
      </c>
      <c r="V61" s="8" t="s">
        <v>2429</v>
      </c>
      <c r="W61" s="8" t="s">
        <v>2618</v>
      </c>
      <c r="X61" s="8" t="s">
        <v>2618</v>
      </c>
      <c r="Y61" s="8" t="s">
        <v>544</v>
      </c>
      <c r="Z61" s="8" t="s">
        <v>2608</v>
      </c>
    </row>
    <row r="62" customFormat="false" ht="27.75" hidden="false" customHeight="true" outlineLevel="0" collapsed="false">
      <c r="A62" s="7" t="s">
        <v>2619</v>
      </c>
      <c r="B62" s="7" t="s">
        <v>1960</v>
      </c>
      <c r="C62" s="7" t="s">
        <v>1961</v>
      </c>
      <c r="D62" s="7" t="s">
        <v>2620</v>
      </c>
      <c r="E62" s="7" t="s">
        <v>2621</v>
      </c>
      <c r="F62" s="7" t="s">
        <v>2293</v>
      </c>
      <c r="G62" s="7" t="s">
        <v>2294</v>
      </c>
      <c r="H62" s="7" t="s">
        <v>145</v>
      </c>
      <c r="I62" s="7" t="s">
        <v>58</v>
      </c>
      <c r="J62" s="7" t="s">
        <v>1965</v>
      </c>
      <c r="K62" s="7" t="s">
        <v>2295</v>
      </c>
      <c r="L62" s="7" t="s">
        <v>2622</v>
      </c>
      <c r="M62" s="7" t="s">
        <v>62</v>
      </c>
      <c r="N62" s="7" t="s">
        <v>2623</v>
      </c>
      <c r="O62" s="7" t="s">
        <v>79</v>
      </c>
      <c r="P62" s="7" t="s">
        <v>65</v>
      </c>
      <c r="Q62" s="7" t="s">
        <v>1969</v>
      </c>
      <c r="R62" s="7" t="s">
        <v>2624</v>
      </c>
      <c r="S62" s="7" t="s">
        <v>2625</v>
      </c>
      <c r="T62" s="7" t="s">
        <v>2287</v>
      </c>
      <c r="U62" s="7" t="s">
        <v>771</v>
      </c>
      <c r="V62" s="7" t="s">
        <v>1973</v>
      </c>
      <c r="W62" s="7"/>
      <c r="X62" s="7"/>
      <c r="Y62" s="7" t="s">
        <v>65</v>
      </c>
      <c r="Z62" s="7" t="s">
        <v>1976</v>
      </c>
    </row>
    <row r="63" customFormat="false" ht="27.75" hidden="false" customHeight="true" outlineLevel="0" collapsed="false">
      <c r="A63" s="8" t="s">
        <v>2626</v>
      </c>
      <c r="B63" s="8" t="s">
        <v>1960</v>
      </c>
      <c r="C63" s="8" t="s">
        <v>1961</v>
      </c>
      <c r="D63" s="8" t="s">
        <v>2627</v>
      </c>
      <c r="E63" s="8" t="s">
        <v>2628</v>
      </c>
      <c r="F63" s="8" t="s">
        <v>2629</v>
      </c>
      <c r="G63" s="8" t="s">
        <v>2117</v>
      </c>
      <c r="H63" s="8" t="s">
        <v>145</v>
      </c>
      <c r="I63" s="8" t="s">
        <v>74</v>
      </c>
      <c r="J63" s="8" t="s">
        <v>2630</v>
      </c>
      <c r="K63" s="8" t="s">
        <v>2631</v>
      </c>
      <c r="L63" s="8" t="s">
        <v>2632</v>
      </c>
      <c r="M63" s="8" t="s">
        <v>62</v>
      </c>
      <c r="N63" s="8" t="s">
        <v>2633</v>
      </c>
      <c r="O63" s="8" t="s">
        <v>79</v>
      </c>
      <c r="P63" s="8" t="s">
        <v>65</v>
      </c>
      <c r="Q63" s="8" t="s">
        <v>1969</v>
      </c>
      <c r="R63" s="8" t="s">
        <v>2634</v>
      </c>
      <c r="S63" s="8" t="s">
        <v>2635</v>
      </c>
      <c r="T63" s="8" t="s">
        <v>108</v>
      </c>
      <c r="U63" s="8" t="s">
        <v>771</v>
      </c>
      <c r="V63" s="8" t="s">
        <v>1973</v>
      </c>
      <c r="W63" s="8"/>
      <c r="X63" s="8"/>
      <c r="Y63" s="8" t="s">
        <v>65</v>
      </c>
      <c r="Z63" s="8" t="s">
        <v>1976</v>
      </c>
    </row>
    <row r="64" customFormat="false" ht="27.75" hidden="false" customHeight="true" outlineLevel="0" collapsed="false">
      <c r="A64" s="7" t="s">
        <v>2636</v>
      </c>
      <c r="B64" s="7" t="s">
        <v>1960</v>
      </c>
      <c r="C64" s="7" t="s">
        <v>1961</v>
      </c>
      <c r="D64" s="7" t="s">
        <v>2637</v>
      </c>
      <c r="E64" s="7" t="s">
        <v>2638</v>
      </c>
      <c r="F64" s="7" t="s">
        <v>2639</v>
      </c>
      <c r="G64" s="7" t="s">
        <v>56</v>
      </c>
      <c r="H64" s="7" t="s">
        <v>145</v>
      </c>
      <c r="I64" s="7" t="s">
        <v>58</v>
      </c>
      <c r="J64" s="7" t="s">
        <v>1965</v>
      </c>
      <c r="K64" s="7" t="s">
        <v>2005</v>
      </c>
      <c r="L64" s="7" t="s">
        <v>2632</v>
      </c>
      <c r="M64" s="7" t="s">
        <v>62</v>
      </c>
      <c r="N64" s="7" t="s">
        <v>2640</v>
      </c>
      <c r="O64" s="7"/>
      <c r="P64" s="7" t="s">
        <v>65</v>
      </c>
      <c r="Q64" s="7" t="s">
        <v>1969</v>
      </c>
      <c r="R64" s="7" t="s">
        <v>2641</v>
      </c>
      <c r="S64" s="7" t="s">
        <v>2198</v>
      </c>
      <c r="T64" s="7" t="s">
        <v>2199</v>
      </c>
      <c r="U64" s="7" t="s">
        <v>771</v>
      </c>
      <c r="V64" s="7" t="s">
        <v>1973</v>
      </c>
      <c r="W64" s="7" t="s">
        <v>2147</v>
      </c>
      <c r="X64" s="7" t="s">
        <v>2210</v>
      </c>
      <c r="Y64" s="7" t="s">
        <v>65</v>
      </c>
      <c r="Z64" s="7" t="s">
        <v>1976</v>
      </c>
    </row>
    <row r="65" customFormat="false" ht="27.75" hidden="false" customHeight="true" outlineLevel="0" collapsed="false">
      <c r="A65" s="8" t="s">
        <v>2642</v>
      </c>
      <c r="B65" s="8" t="s">
        <v>1960</v>
      </c>
      <c r="C65" s="8" t="s">
        <v>1961</v>
      </c>
      <c r="D65" s="8" t="s">
        <v>2643</v>
      </c>
      <c r="E65" s="8" t="s">
        <v>2644</v>
      </c>
      <c r="F65" s="8" t="s">
        <v>2003</v>
      </c>
      <c r="G65" s="8" t="s">
        <v>2004</v>
      </c>
      <c r="H65" s="8" t="s">
        <v>145</v>
      </c>
      <c r="I65" s="8" t="s">
        <v>74</v>
      </c>
      <c r="J65" s="8" t="s">
        <v>2645</v>
      </c>
      <c r="K65" s="8" t="s">
        <v>2646</v>
      </c>
      <c r="L65" s="8" t="s">
        <v>2647</v>
      </c>
      <c r="M65" s="8" t="s">
        <v>62</v>
      </c>
      <c r="N65" s="8" t="s">
        <v>2648</v>
      </c>
      <c r="O65" s="8"/>
      <c r="P65" s="8" t="s">
        <v>65</v>
      </c>
      <c r="Q65" s="8" t="s">
        <v>1969</v>
      </c>
      <c r="R65" s="8" t="s">
        <v>2649</v>
      </c>
      <c r="S65" s="8" t="s">
        <v>2650</v>
      </c>
      <c r="T65" s="8" t="s">
        <v>2010</v>
      </c>
      <c r="U65" s="8" t="s">
        <v>771</v>
      </c>
      <c r="V65" s="8" t="s">
        <v>1973</v>
      </c>
      <c r="W65" s="8"/>
      <c r="X65" s="8"/>
      <c r="Y65" s="8" t="s">
        <v>65</v>
      </c>
      <c r="Z65" s="8" t="s">
        <v>2014</v>
      </c>
    </row>
    <row r="66" customFormat="false" ht="27.75" hidden="false" customHeight="true" outlineLevel="0" collapsed="false">
      <c r="A66" s="7" t="s">
        <v>2651</v>
      </c>
      <c r="B66" s="7" t="s">
        <v>1960</v>
      </c>
      <c r="C66" s="7" t="s">
        <v>1961</v>
      </c>
      <c r="D66" s="7" t="s">
        <v>2652</v>
      </c>
      <c r="E66" s="7" t="s">
        <v>2653</v>
      </c>
      <c r="F66" s="7" t="s">
        <v>2270</v>
      </c>
      <c r="G66" s="7" t="s">
        <v>56</v>
      </c>
      <c r="H66" s="7" t="s">
        <v>109</v>
      </c>
      <c r="I66" s="7" t="s">
        <v>58</v>
      </c>
      <c r="J66" s="7" t="s">
        <v>1965</v>
      </c>
      <c r="K66" s="7" t="s">
        <v>2239</v>
      </c>
      <c r="L66" s="7" t="s">
        <v>2654</v>
      </c>
      <c r="M66" s="7" t="s">
        <v>62</v>
      </c>
      <c r="N66" s="7" t="s">
        <v>2655</v>
      </c>
      <c r="O66" s="7" t="s">
        <v>79</v>
      </c>
      <c r="P66" s="7" t="s">
        <v>65</v>
      </c>
      <c r="Q66" s="7" t="s">
        <v>1969</v>
      </c>
      <c r="R66" s="7" t="s">
        <v>2656</v>
      </c>
      <c r="S66" s="7" t="s">
        <v>2657</v>
      </c>
      <c r="T66" s="7" t="s">
        <v>246</v>
      </c>
      <c r="U66" s="7" t="s">
        <v>785</v>
      </c>
      <c r="V66" s="7" t="s">
        <v>2011</v>
      </c>
      <c r="W66" s="7"/>
      <c r="X66" s="7"/>
      <c r="Y66" s="7" t="s">
        <v>65</v>
      </c>
      <c r="Z66" s="7" t="s">
        <v>2014</v>
      </c>
    </row>
    <row r="67" customFormat="false" ht="27.75" hidden="false" customHeight="true" outlineLevel="0" collapsed="false">
      <c r="A67" s="8" t="s">
        <v>2658</v>
      </c>
      <c r="B67" s="8" t="s">
        <v>1960</v>
      </c>
      <c r="C67" s="8" t="s">
        <v>1961</v>
      </c>
      <c r="D67" s="8" t="s">
        <v>2659</v>
      </c>
      <c r="E67" s="8" t="s">
        <v>2660</v>
      </c>
      <c r="F67" s="8" t="s">
        <v>2661</v>
      </c>
      <c r="G67" s="8" t="s">
        <v>56</v>
      </c>
      <c r="H67" s="8" t="s">
        <v>145</v>
      </c>
      <c r="I67" s="8" t="s">
        <v>58</v>
      </c>
      <c r="J67" s="8" t="s">
        <v>1965</v>
      </c>
      <c r="K67" s="8" t="s">
        <v>2662</v>
      </c>
      <c r="L67" s="8" t="s">
        <v>2663</v>
      </c>
      <c r="M67" s="8" t="s">
        <v>62</v>
      </c>
      <c r="N67" s="8" t="s">
        <v>2664</v>
      </c>
      <c r="O67" s="8" t="s">
        <v>79</v>
      </c>
      <c r="P67" s="8" t="s">
        <v>65</v>
      </c>
      <c r="Q67" s="8" t="s">
        <v>1969</v>
      </c>
      <c r="R67" s="8" t="s">
        <v>2665</v>
      </c>
      <c r="S67" s="8" t="s">
        <v>2666</v>
      </c>
      <c r="T67" s="8" t="s">
        <v>55</v>
      </c>
      <c r="U67" s="8" t="s">
        <v>2046</v>
      </c>
      <c r="V67" s="8" t="s">
        <v>2011</v>
      </c>
      <c r="W67" s="8"/>
      <c r="X67" s="8"/>
      <c r="Y67" s="8" t="s">
        <v>65</v>
      </c>
      <c r="Z67" s="8" t="s">
        <v>2014</v>
      </c>
    </row>
    <row r="68" customFormat="false" ht="27.75" hidden="false" customHeight="true" outlineLevel="0" collapsed="false">
      <c r="A68" s="7" t="s">
        <v>2667</v>
      </c>
      <c r="B68" s="7" t="s">
        <v>1960</v>
      </c>
      <c r="C68" s="7" t="s">
        <v>1961</v>
      </c>
      <c r="D68" s="7" t="s">
        <v>2668</v>
      </c>
      <c r="E68" s="7" t="s">
        <v>2669</v>
      </c>
      <c r="F68" s="7" t="s">
        <v>2670</v>
      </c>
      <c r="G68" s="7" t="s">
        <v>2671</v>
      </c>
      <c r="H68" s="7" t="s">
        <v>73</v>
      </c>
      <c r="I68" s="7" t="s">
        <v>58</v>
      </c>
      <c r="J68" s="7" t="s">
        <v>1965</v>
      </c>
      <c r="K68" s="7" t="s">
        <v>2672</v>
      </c>
      <c r="L68" s="7" t="s">
        <v>2673</v>
      </c>
      <c r="M68" s="7" t="s">
        <v>62</v>
      </c>
      <c r="N68" s="7" t="s">
        <v>2674</v>
      </c>
      <c r="O68" s="7" t="s">
        <v>79</v>
      </c>
      <c r="P68" s="7" t="s">
        <v>65</v>
      </c>
      <c r="Q68" s="7" t="s">
        <v>1969</v>
      </c>
      <c r="R68" s="7" t="s">
        <v>2675</v>
      </c>
      <c r="S68" s="7" t="s">
        <v>2676</v>
      </c>
      <c r="T68" s="7" t="s">
        <v>2220</v>
      </c>
      <c r="U68" s="7" t="s">
        <v>841</v>
      </c>
      <c r="V68" s="7" t="s">
        <v>2166</v>
      </c>
      <c r="W68" s="7"/>
      <c r="X68" s="7"/>
      <c r="Y68" s="7" t="s">
        <v>65</v>
      </c>
      <c r="Z68" s="7" t="s">
        <v>2398</v>
      </c>
    </row>
    <row r="69" customFormat="false" ht="27.75" hidden="false" customHeight="true" outlineLevel="0" collapsed="false">
      <c r="A69" s="8" t="s">
        <v>2677</v>
      </c>
      <c r="B69" s="8" t="s">
        <v>1960</v>
      </c>
      <c r="C69" s="8" t="s">
        <v>2454</v>
      </c>
      <c r="D69" s="8" t="s">
        <v>2678</v>
      </c>
      <c r="E69" s="8" t="s">
        <v>2679</v>
      </c>
      <c r="F69" s="8" t="s">
        <v>2680</v>
      </c>
      <c r="G69" s="8" t="s">
        <v>56</v>
      </c>
      <c r="H69" s="8" t="s">
        <v>109</v>
      </c>
      <c r="I69" s="8" t="s">
        <v>74</v>
      </c>
      <c r="J69" s="8" t="s">
        <v>2681</v>
      </c>
      <c r="K69" s="8" t="s">
        <v>2682</v>
      </c>
      <c r="L69" s="8" t="s">
        <v>2683</v>
      </c>
      <c r="M69" s="8" t="s">
        <v>62</v>
      </c>
      <c r="N69" s="8" t="s">
        <v>2684</v>
      </c>
      <c r="O69" s="8" t="s">
        <v>64</v>
      </c>
      <c r="P69" s="8" t="s">
        <v>65</v>
      </c>
      <c r="Q69" s="8" t="s">
        <v>1969</v>
      </c>
      <c r="R69" s="8" t="s">
        <v>2685</v>
      </c>
      <c r="S69" s="8" t="s">
        <v>2686</v>
      </c>
      <c r="T69" s="8" t="s">
        <v>2220</v>
      </c>
      <c r="U69" s="8" t="s">
        <v>2687</v>
      </c>
      <c r="V69" s="8" t="s">
        <v>2011</v>
      </c>
      <c r="W69" s="8"/>
      <c r="X69" s="8"/>
      <c r="Y69" s="8" t="s">
        <v>65</v>
      </c>
      <c r="Z69" s="8" t="s">
        <v>2014</v>
      </c>
    </row>
    <row r="70" customFormat="false" ht="27.75" hidden="false" customHeight="true" outlineLevel="0" collapsed="false">
      <c r="A70" s="7" t="s">
        <v>2688</v>
      </c>
      <c r="B70" s="7" t="s">
        <v>1960</v>
      </c>
      <c r="C70" s="7" t="s">
        <v>1961</v>
      </c>
      <c r="D70" s="7" t="s">
        <v>2689</v>
      </c>
      <c r="E70" s="7" t="s">
        <v>2040</v>
      </c>
      <c r="F70" s="7" t="s">
        <v>2690</v>
      </c>
      <c r="G70" s="7" t="s">
        <v>2691</v>
      </c>
      <c r="H70" s="7" t="s">
        <v>109</v>
      </c>
      <c r="I70" s="7" t="s">
        <v>74</v>
      </c>
      <c r="J70" s="7" t="s">
        <v>2692</v>
      </c>
      <c r="K70" s="7" t="s">
        <v>2693</v>
      </c>
      <c r="L70" s="7" t="s">
        <v>2694</v>
      </c>
      <c r="M70" s="7" t="s">
        <v>62</v>
      </c>
      <c r="N70" s="7" t="s">
        <v>2695</v>
      </c>
      <c r="O70" s="7" t="s">
        <v>79</v>
      </c>
      <c r="P70" s="7" t="s">
        <v>65</v>
      </c>
      <c r="Q70" s="7" t="s">
        <v>1969</v>
      </c>
      <c r="R70" s="7" t="s">
        <v>2696</v>
      </c>
      <c r="S70" s="7" t="s">
        <v>2697</v>
      </c>
      <c r="T70" s="7" t="s">
        <v>72</v>
      </c>
      <c r="U70" s="7" t="s">
        <v>2428</v>
      </c>
      <c r="V70" s="7" t="s">
        <v>2166</v>
      </c>
      <c r="W70" s="7"/>
      <c r="X70" s="7"/>
      <c r="Y70" s="7" t="s">
        <v>65</v>
      </c>
      <c r="Z70" s="7" t="s">
        <v>2698</v>
      </c>
    </row>
    <row r="71" customFormat="false" ht="27.75" hidden="false" customHeight="true" outlineLevel="0" collapsed="false">
      <c r="A71" s="8" t="s">
        <v>2699</v>
      </c>
      <c r="B71" s="8" t="s">
        <v>1960</v>
      </c>
      <c r="C71" s="8" t="s">
        <v>1961</v>
      </c>
      <c r="D71" s="8" t="s">
        <v>2700</v>
      </c>
      <c r="E71" s="8" t="s">
        <v>2701</v>
      </c>
      <c r="F71" s="8" t="s">
        <v>2702</v>
      </c>
      <c r="G71" s="8" t="s">
        <v>352</v>
      </c>
      <c r="H71" s="8" t="s">
        <v>145</v>
      </c>
      <c r="I71" s="8" t="s">
        <v>58</v>
      </c>
      <c r="J71" s="8" t="s">
        <v>1768</v>
      </c>
      <c r="K71" s="8" t="s">
        <v>2703</v>
      </c>
      <c r="L71" s="8" t="s">
        <v>2704</v>
      </c>
      <c r="M71" s="8" t="s">
        <v>62</v>
      </c>
      <c r="N71" s="8" t="s">
        <v>2705</v>
      </c>
      <c r="O71" s="8"/>
      <c r="P71" s="8" t="s">
        <v>65</v>
      </c>
      <c r="Q71" s="8" t="s">
        <v>1969</v>
      </c>
      <c r="R71" s="8" t="s">
        <v>2706</v>
      </c>
      <c r="S71" s="8" t="s">
        <v>2707</v>
      </c>
      <c r="T71" s="8" t="s">
        <v>108</v>
      </c>
      <c r="U71" s="8" t="s">
        <v>266</v>
      </c>
      <c r="V71" s="8" t="s">
        <v>1973</v>
      </c>
      <c r="W71" s="8"/>
      <c r="X71" s="8"/>
      <c r="Y71" s="8" t="s">
        <v>65</v>
      </c>
      <c r="Z71" s="8" t="s">
        <v>1976</v>
      </c>
    </row>
    <row r="72" customFormat="false" ht="27.75" hidden="false" customHeight="true" outlineLevel="0" collapsed="false">
      <c r="A72" s="7"/>
      <c r="B72" s="7"/>
      <c r="C72" s="7"/>
      <c r="D72" s="7"/>
      <c r="E72" s="7"/>
      <c r="F72" s="7"/>
      <c r="G72" s="7"/>
      <c r="H72" s="7"/>
      <c r="I72" s="7"/>
      <c r="J72" s="7"/>
      <c r="K72" s="7"/>
      <c r="L72" s="7"/>
      <c r="M72" s="7"/>
      <c r="N72" s="7"/>
      <c r="O72" s="7"/>
      <c r="P72" s="7"/>
      <c r="Q72" s="7"/>
      <c r="R72" s="7"/>
      <c r="S72" s="7"/>
      <c r="T72" s="7"/>
      <c r="U72" s="7"/>
      <c r="V72" s="7"/>
      <c r="W72" s="7"/>
      <c r="X72" s="7"/>
      <c r="Y72" s="7"/>
      <c r="Z72" s="7"/>
    </row>
    <row r="73" customFormat="false" ht="27.75" hidden="false" customHeight="true" outlineLevel="0" collapsed="false">
      <c r="A73" s="8"/>
      <c r="B73" s="8"/>
      <c r="C73" s="8"/>
      <c r="D73" s="8"/>
      <c r="E73" s="8"/>
      <c r="F73" s="8"/>
      <c r="G73" s="8"/>
      <c r="H73" s="8"/>
      <c r="I73" s="8"/>
      <c r="J73" s="8"/>
      <c r="K73" s="8"/>
      <c r="L73" s="8"/>
      <c r="M73" s="8"/>
      <c r="N73" s="8"/>
      <c r="O73" s="8"/>
      <c r="P73" s="8"/>
      <c r="Q73" s="8"/>
      <c r="R73" s="8"/>
      <c r="S73" s="8"/>
      <c r="T73" s="8"/>
      <c r="U73" s="8"/>
      <c r="V73" s="8"/>
      <c r="W73" s="8"/>
      <c r="X73" s="8"/>
      <c r="Y73" s="8"/>
      <c r="Z73" s="8"/>
    </row>
    <row r="74" customFormat="false" ht="27.75" hidden="false" customHeight="true" outlineLevel="0" collapsed="false">
      <c r="A74" s="7"/>
      <c r="B74" s="7"/>
      <c r="C74" s="7"/>
      <c r="D74" s="7"/>
      <c r="E74" s="7"/>
      <c r="F74" s="7"/>
      <c r="G74" s="7"/>
      <c r="H74" s="7"/>
      <c r="I74" s="7"/>
      <c r="J74" s="7"/>
      <c r="K74" s="7"/>
      <c r="L74" s="7"/>
      <c r="M74" s="7"/>
      <c r="N74" s="7"/>
      <c r="O74" s="7"/>
      <c r="P74" s="7"/>
      <c r="Q74" s="7"/>
      <c r="R74" s="7"/>
      <c r="S74" s="7"/>
      <c r="T74" s="7"/>
      <c r="U74" s="7"/>
      <c r="V74" s="7"/>
      <c r="W74" s="7"/>
      <c r="X74" s="7"/>
      <c r="Y74" s="7"/>
      <c r="Z74" s="7"/>
    </row>
    <row r="75" customFormat="false" ht="27.75" hidden="false" customHeight="true" outlineLevel="0" collapsed="false">
      <c r="A75" s="8"/>
      <c r="B75" s="8"/>
      <c r="C75" s="8"/>
      <c r="D75" s="8"/>
      <c r="E75" s="8"/>
      <c r="F75" s="8"/>
      <c r="G75" s="8"/>
      <c r="H75" s="8"/>
      <c r="I75" s="8"/>
      <c r="J75" s="8"/>
      <c r="K75" s="8"/>
      <c r="L75" s="8"/>
      <c r="M75" s="8"/>
      <c r="N75" s="8"/>
      <c r="O75" s="8"/>
      <c r="P75" s="8"/>
      <c r="Q75" s="8"/>
      <c r="R75" s="8"/>
      <c r="S75" s="8"/>
      <c r="T75" s="8"/>
      <c r="U75" s="8"/>
      <c r="V75" s="8"/>
      <c r="W75" s="8"/>
      <c r="X75" s="8"/>
      <c r="Y75" s="8"/>
      <c r="Z75" s="8"/>
    </row>
    <row r="76" customFormat="false" ht="27.75" hidden="false" customHeight="true" outlineLevel="0" collapsed="false">
      <c r="A76" s="7"/>
      <c r="B76" s="7"/>
      <c r="C76" s="7"/>
      <c r="D76" s="7"/>
      <c r="E76" s="7"/>
      <c r="F76" s="7"/>
      <c r="G76" s="7"/>
      <c r="H76" s="7"/>
      <c r="I76" s="7"/>
      <c r="J76" s="7"/>
      <c r="K76" s="7"/>
      <c r="L76" s="7"/>
      <c r="M76" s="7"/>
      <c r="N76" s="7"/>
      <c r="O76" s="7"/>
      <c r="P76" s="7"/>
      <c r="Q76" s="7"/>
      <c r="R76" s="7"/>
      <c r="S76" s="7"/>
      <c r="T76" s="7"/>
      <c r="U76" s="7"/>
      <c r="V76" s="7"/>
      <c r="W76" s="7"/>
      <c r="X76" s="7"/>
      <c r="Y76" s="7"/>
      <c r="Z76" s="7"/>
    </row>
    <row r="77" customFormat="false" ht="27.75" hidden="false" customHeight="true" outlineLevel="0" collapsed="false">
      <c r="A77" s="8"/>
      <c r="B77" s="8"/>
      <c r="C77" s="8"/>
      <c r="D77" s="8"/>
      <c r="E77" s="8"/>
      <c r="F77" s="8"/>
      <c r="G77" s="8"/>
      <c r="H77" s="8"/>
      <c r="I77" s="8"/>
      <c r="J77" s="8"/>
      <c r="K77" s="8"/>
      <c r="L77" s="8"/>
      <c r="M77" s="8"/>
      <c r="N77" s="8"/>
      <c r="O77" s="8"/>
      <c r="P77" s="8"/>
      <c r="Q77" s="8"/>
      <c r="R77" s="8"/>
      <c r="S77" s="8"/>
      <c r="T77" s="8"/>
      <c r="U77" s="8"/>
      <c r="V77" s="8"/>
      <c r="W77" s="8"/>
      <c r="X77" s="8"/>
      <c r="Y77" s="8"/>
      <c r="Z77" s="8"/>
    </row>
    <row r="78" customFormat="false" ht="27.75" hidden="false" customHeight="true" outlineLevel="0" collapsed="false">
      <c r="A78" s="7"/>
      <c r="B78" s="7"/>
      <c r="C78" s="7"/>
      <c r="D78" s="7"/>
      <c r="E78" s="7"/>
      <c r="F78" s="7"/>
      <c r="G78" s="7"/>
      <c r="H78" s="7"/>
      <c r="I78" s="7"/>
      <c r="J78" s="7"/>
      <c r="K78" s="7"/>
      <c r="L78" s="7"/>
      <c r="M78" s="7"/>
      <c r="N78" s="7"/>
      <c r="O78" s="7"/>
      <c r="P78" s="7"/>
      <c r="Q78" s="7"/>
      <c r="R78" s="7"/>
      <c r="S78" s="7"/>
      <c r="T78" s="7"/>
      <c r="U78" s="7"/>
      <c r="V78" s="7"/>
      <c r="W78" s="7"/>
      <c r="X78" s="7"/>
      <c r="Y78" s="7"/>
      <c r="Z78" s="7"/>
    </row>
    <row r="79" customFormat="false" ht="27.75" hidden="false" customHeight="true" outlineLevel="0" collapsed="false">
      <c r="A79" s="8"/>
      <c r="B79" s="8"/>
      <c r="C79" s="8"/>
      <c r="D79" s="8"/>
      <c r="E79" s="8"/>
      <c r="F79" s="8"/>
      <c r="G79" s="8"/>
      <c r="H79" s="8"/>
      <c r="I79" s="8"/>
      <c r="J79" s="8"/>
      <c r="K79" s="8"/>
      <c r="L79" s="8"/>
      <c r="M79" s="8"/>
      <c r="N79" s="8"/>
      <c r="O79" s="8"/>
      <c r="P79" s="8"/>
      <c r="Q79" s="8"/>
      <c r="R79" s="8"/>
      <c r="S79" s="8"/>
      <c r="T79" s="8"/>
      <c r="U79" s="8"/>
      <c r="V79" s="8"/>
      <c r="W79" s="8"/>
      <c r="X79" s="8"/>
      <c r="Y79" s="8"/>
      <c r="Z79" s="8"/>
    </row>
    <row r="80" customFormat="false" ht="27.75" hidden="false" customHeight="true" outlineLevel="0" collapsed="false">
      <c r="A80" s="7"/>
      <c r="B80" s="7"/>
      <c r="C80" s="7"/>
      <c r="D80" s="7"/>
      <c r="E80" s="7"/>
      <c r="F80" s="7"/>
      <c r="G80" s="7"/>
      <c r="H80" s="7"/>
      <c r="I80" s="7"/>
      <c r="J80" s="7"/>
      <c r="K80" s="7"/>
      <c r="L80" s="7"/>
      <c r="M80" s="7"/>
      <c r="N80" s="7"/>
      <c r="O80" s="7"/>
      <c r="P80" s="7"/>
      <c r="Q80" s="7"/>
      <c r="R80" s="7"/>
      <c r="S80" s="7"/>
      <c r="T80" s="7"/>
      <c r="U80" s="7"/>
      <c r="V80" s="7"/>
      <c r="W80" s="7"/>
      <c r="X80" s="7"/>
      <c r="Y80" s="7"/>
      <c r="Z80" s="7"/>
    </row>
    <row r="81" customFormat="false" ht="27.75" hidden="false" customHeight="true" outlineLevel="0" collapsed="false">
      <c r="A81" s="8"/>
      <c r="B81" s="8"/>
      <c r="C81" s="8"/>
      <c r="D81" s="8"/>
      <c r="E81" s="8"/>
      <c r="F81" s="8"/>
      <c r="G81" s="8"/>
      <c r="H81" s="8"/>
      <c r="I81" s="8"/>
      <c r="J81" s="8"/>
      <c r="K81" s="8"/>
      <c r="L81" s="8"/>
      <c r="M81" s="8"/>
      <c r="N81" s="8"/>
      <c r="O81" s="8"/>
      <c r="P81" s="8"/>
      <c r="Q81" s="8"/>
      <c r="R81" s="8"/>
      <c r="S81" s="8"/>
      <c r="T81" s="8"/>
      <c r="U81" s="8"/>
      <c r="V81" s="8"/>
      <c r="W81" s="8"/>
      <c r="X81" s="8"/>
      <c r="Y81" s="8"/>
      <c r="Z81" s="8"/>
    </row>
    <row r="82" customFormat="false" ht="27.75" hidden="false" customHeight="true" outlineLevel="0" collapsed="false">
      <c r="A82" s="7"/>
      <c r="B82" s="7"/>
      <c r="C82" s="7"/>
      <c r="D82" s="7"/>
      <c r="E82" s="7"/>
      <c r="F82" s="7"/>
      <c r="G82" s="7"/>
      <c r="H82" s="7"/>
      <c r="I82" s="7"/>
      <c r="J82" s="7"/>
      <c r="K82" s="7"/>
      <c r="L82" s="7"/>
      <c r="M82" s="7"/>
      <c r="N82" s="7"/>
      <c r="O82" s="7"/>
      <c r="P82" s="7"/>
      <c r="Q82" s="7"/>
      <c r="R82" s="7"/>
      <c r="S82" s="7"/>
      <c r="T82" s="7"/>
      <c r="U82" s="7"/>
      <c r="V82" s="7"/>
      <c r="W82" s="7"/>
      <c r="X82" s="7"/>
      <c r="Y82" s="7"/>
      <c r="Z82" s="7"/>
    </row>
    <row r="83" customFormat="false" ht="27.75" hidden="false" customHeight="true" outlineLevel="0" collapsed="false">
      <c r="A83" s="8"/>
      <c r="B83" s="8"/>
      <c r="C83" s="8"/>
      <c r="D83" s="8"/>
      <c r="E83" s="8"/>
      <c r="F83" s="8"/>
      <c r="G83" s="8"/>
      <c r="H83" s="8"/>
      <c r="I83" s="8"/>
      <c r="J83" s="8"/>
      <c r="K83" s="8"/>
      <c r="L83" s="8"/>
      <c r="M83" s="8"/>
      <c r="N83" s="8"/>
      <c r="O83" s="8"/>
      <c r="P83" s="8"/>
      <c r="Q83" s="8"/>
      <c r="R83" s="8"/>
      <c r="S83" s="8"/>
      <c r="T83" s="8"/>
      <c r="U83" s="8"/>
      <c r="V83" s="8"/>
      <c r="W83" s="8"/>
      <c r="X83" s="8"/>
      <c r="Y83" s="8"/>
      <c r="Z83" s="8"/>
    </row>
    <row r="84" customFormat="false" ht="27.75" hidden="false" customHeight="true" outlineLevel="0" collapsed="false">
      <c r="A84" s="7"/>
      <c r="B84" s="7"/>
      <c r="C84" s="7"/>
      <c r="D84" s="7"/>
      <c r="E84" s="7"/>
      <c r="F84" s="7"/>
      <c r="G84" s="7"/>
      <c r="H84" s="7"/>
      <c r="I84" s="7"/>
      <c r="J84" s="7"/>
      <c r="K84" s="7"/>
      <c r="L84" s="7"/>
      <c r="M84" s="7"/>
      <c r="N84" s="7"/>
      <c r="O84" s="7"/>
      <c r="P84" s="7"/>
      <c r="Q84" s="7"/>
      <c r="R84" s="7"/>
      <c r="S84" s="7"/>
      <c r="T84" s="7"/>
      <c r="U84" s="7"/>
      <c r="V84" s="7"/>
      <c r="W84" s="7"/>
      <c r="X84" s="7"/>
      <c r="Y84" s="7"/>
      <c r="Z84" s="7"/>
    </row>
    <row r="85" customFormat="false" ht="27.75" hidden="false" customHeight="true" outlineLevel="0" collapsed="false">
      <c r="A85" s="8"/>
      <c r="B85" s="8"/>
      <c r="C85" s="8"/>
      <c r="D85" s="8"/>
      <c r="E85" s="8"/>
      <c r="F85" s="8"/>
      <c r="G85" s="8"/>
      <c r="H85" s="8"/>
      <c r="I85" s="8"/>
      <c r="J85" s="8"/>
      <c r="K85" s="8"/>
      <c r="L85" s="8"/>
      <c r="M85" s="8"/>
      <c r="N85" s="8"/>
      <c r="O85" s="8"/>
      <c r="P85" s="8"/>
      <c r="Q85" s="8"/>
      <c r="R85" s="8"/>
      <c r="S85" s="8"/>
      <c r="T85" s="8"/>
      <c r="U85" s="8"/>
      <c r="V85" s="8"/>
      <c r="W85" s="8"/>
      <c r="X85" s="8"/>
      <c r="Y85" s="8"/>
      <c r="Z85" s="8"/>
    </row>
    <row r="86" customFormat="false" ht="27.75" hidden="false" customHeight="true" outlineLevel="0" collapsed="false">
      <c r="A86" s="7"/>
      <c r="B86" s="7"/>
      <c r="C86" s="7"/>
      <c r="D86" s="7"/>
      <c r="E86" s="7"/>
      <c r="F86" s="7"/>
      <c r="G86" s="7"/>
      <c r="H86" s="7"/>
      <c r="I86" s="7"/>
      <c r="J86" s="7"/>
      <c r="K86" s="7"/>
      <c r="L86" s="7"/>
      <c r="M86" s="7"/>
      <c r="N86" s="7"/>
      <c r="O86" s="7"/>
      <c r="P86" s="7"/>
      <c r="Q86" s="7"/>
      <c r="R86" s="7"/>
      <c r="S86" s="7"/>
      <c r="T86" s="7"/>
      <c r="U86" s="7"/>
      <c r="V86" s="7"/>
      <c r="W86" s="7"/>
      <c r="X86" s="7"/>
      <c r="Y86" s="7"/>
      <c r="Z86" s="7"/>
    </row>
    <row r="87" customFormat="false" ht="27.75" hidden="false" customHeight="true" outlineLevel="0" collapsed="false">
      <c r="A87" s="8"/>
      <c r="B87" s="8"/>
      <c r="C87" s="8"/>
      <c r="D87" s="8"/>
      <c r="E87" s="8"/>
      <c r="F87" s="8"/>
      <c r="G87" s="8"/>
      <c r="H87" s="8"/>
      <c r="I87" s="8"/>
      <c r="J87" s="8"/>
      <c r="K87" s="8"/>
      <c r="L87" s="8"/>
      <c r="M87" s="8"/>
      <c r="N87" s="8"/>
      <c r="O87" s="8"/>
      <c r="P87" s="8"/>
      <c r="Q87" s="8"/>
      <c r="R87" s="8"/>
      <c r="S87" s="8"/>
      <c r="T87" s="8"/>
      <c r="U87" s="8"/>
      <c r="V87" s="8"/>
      <c r="W87" s="8"/>
      <c r="X87" s="8"/>
      <c r="Y87" s="8"/>
      <c r="Z87" s="8"/>
    </row>
    <row r="88" customFormat="false" ht="27.75" hidden="false" customHeight="true" outlineLevel="0" collapsed="false">
      <c r="A88" s="7"/>
      <c r="B88" s="7"/>
      <c r="C88" s="7"/>
      <c r="D88" s="7"/>
      <c r="E88" s="7"/>
      <c r="F88" s="7"/>
      <c r="G88" s="7"/>
      <c r="H88" s="7"/>
      <c r="I88" s="7"/>
      <c r="J88" s="7"/>
      <c r="K88" s="7"/>
      <c r="L88" s="7"/>
      <c r="M88" s="7"/>
      <c r="N88" s="7"/>
      <c r="O88" s="7"/>
      <c r="P88" s="7"/>
      <c r="Q88" s="7"/>
      <c r="R88" s="7"/>
      <c r="S88" s="7"/>
      <c r="T88" s="7"/>
      <c r="U88" s="7"/>
      <c r="V88" s="7"/>
      <c r="W88" s="7"/>
      <c r="X88" s="7"/>
      <c r="Y88" s="7"/>
      <c r="Z88" s="7"/>
    </row>
    <row r="89" customFormat="false" ht="27.75" hidden="false" customHeight="true" outlineLevel="0" collapsed="false">
      <c r="A89" s="8"/>
      <c r="B89" s="8"/>
      <c r="C89" s="8"/>
      <c r="D89" s="8"/>
      <c r="E89" s="8"/>
      <c r="F89" s="8"/>
      <c r="G89" s="8"/>
      <c r="H89" s="8"/>
      <c r="I89" s="8"/>
      <c r="J89" s="8"/>
      <c r="K89" s="8"/>
      <c r="L89" s="8"/>
      <c r="M89" s="8"/>
      <c r="N89" s="8"/>
      <c r="O89" s="8"/>
      <c r="P89" s="8"/>
      <c r="Q89" s="8"/>
      <c r="R89" s="8"/>
      <c r="S89" s="8"/>
      <c r="T89" s="8"/>
      <c r="U89" s="8"/>
      <c r="V89" s="8"/>
      <c r="W89" s="8"/>
      <c r="X89" s="8"/>
      <c r="Y89" s="8"/>
      <c r="Z89" s="8"/>
    </row>
    <row r="90" customFormat="false" ht="27.75" hidden="false" customHeight="true" outlineLevel="0" collapsed="false">
      <c r="A90" s="7"/>
      <c r="B90" s="7"/>
      <c r="C90" s="7"/>
      <c r="D90" s="7"/>
      <c r="E90" s="7"/>
      <c r="F90" s="7"/>
      <c r="G90" s="7"/>
      <c r="H90" s="7"/>
      <c r="I90" s="7"/>
      <c r="J90" s="7"/>
      <c r="K90" s="7"/>
      <c r="L90" s="7"/>
      <c r="M90" s="7"/>
      <c r="N90" s="7"/>
      <c r="O90" s="7"/>
      <c r="P90" s="7"/>
      <c r="Q90" s="7"/>
      <c r="R90" s="7"/>
      <c r="S90" s="7"/>
      <c r="T90" s="7"/>
      <c r="U90" s="7"/>
      <c r="V90" s="7"/>
      <c r="W90" s="7"/>
      <c r="X90" s="7"/>
      <c r="Y90" s="7"/>
      <c r="Z90" s="7"/>
    </row>
    <row r="91" customFormat="false" ht="27.75" hidden="false" customHeight="true" outlineLevel="0" collapsed="false">
      <c r="A91" s="8"/>
      <c r="B91" s="8"/>
      <c r="C91" s="8"/>
      <c r="D91" s="8"/>
      <c r="E91" s="8"/>
      <c r="F91" s="8"/>
      <c r="G91" s="8"/>
      <c r="H91" s="8"/>
      <c r="I91" s="8"/>
      <c r="J91" s="8"/>
      <c r="K91" s="8"/>
      <c r="L91" s="8"/>
      <c r="M91" s="8"/>
      <c r="N91" s="8"/>
      <c r="O91" s="8"/>
      <c r="P91" s="8"/>
      <c r="Q91" s="8"/>
      <c r="R91" s="8"/>
      <c r="S91" s="8"/>
      <c r="T91" s="8"/>
      <c r="U91" s="8"/>
      <c r="V91" s="8"/>
      <c r="W91" s="8"/>
      <c r="X91" s="8"/>
      <c r="Y91" s="8"/>
      <c r="Z91" s="8"/>
    </row>
    <row r="92" customFormat="false" ht="27.75" hidden="false" customHeight="true" outlineLevel="0" collapsed="false">
      <c r="A92" s="7"/>
      <c r="B92" s="7"/>
      <c r="C92" s="7"/>
      <c r="D92" s="7"/>
      <c r="E92" s="7"/>
      <c r="F92" s="7"/>
      <c r="G92" s="7"/>
      <c r="H92" s="7"/>
      <c r="I92" s="7"/>
      <c r="J92" s="7"/>
      <c r="K92" s="7"/>
      <c r="L92" s="7"/>
      <c r="M92" s="7"/>
      <c r="N92" s="7"/>
      <c r="O92" s="7"/>
      <c r="P92" s="7"/>
      <c r="Q92" s="7"/>
      <c r="R92" s="7"/>
      <c r="S92" s="7"/>
      <c r="T92" s="7"/>
      <c r="U92" s="7"/>
      <c r="V92" s="7"/>
      <c r="W92" s="7"/>
      <c r="X92" s="7"/>
      <c r="Y92" s="7"/>
      <c r="Z92" s="7"/>
    </row>
    <row r="93" customFormat="false" ht="27.75" hidden="false" customHeight="true" outlineLevel="0" collapsed="false">
      <c r="A93" s="8"/>
      <c r="B93" s="8"/>
      <c r="C93" s="8"/>
      <c r="D93" s="8"/>
      <c r="E93" s="8"/>
      <c r="F93" s="8"/>
      <c r="G93" s="8"/>
      <c r="H93" s="8"/>
      <c r="I93" s="8"/>
      <c r="J93" s="8"/>
      <c r="K93" s="8"/>
      <c r="L93" s="8"/>
      <c r="M93" s="8"/>
      <c r="N93" s="8"/>
      <c r="O93" s="8"/>
      <c r="P93" s="8"/>
      <c r="Q93" s="8"/>
      <c r="R93" s="8"/>
      <c r="S93" s="8"/>
      <c r="T93" s="8"/>
      <c r="U93" s="8"/>
      <c r="V93" s="8"/>
      <c r="W93" s="8"/>
      <c r="X93" s="8"/>
      <c r="Y93" s="8"/>
      <c r="Z93" s="8"/>
    </row>
    <row r="94" customFormat="false" ht="27.75" hidden="false" customHeight="true" outlineLevel="0" collapsed="false">
      <c r="A94" s="7"/>
      <c r="B94" s="7"/>
      <c r="C94" s="7"/>
      <c r="D94" s="7"/>
      <c r="E94" s="7"/>
      <c r="F94" s="7"/>
      <c r="G94" s="7"/>
      <c r="H94" s="7"/>
      <c r="I94" s="7"/>
      <c r="J94" s="7"/>
      <c r="K94" s="7"/>
      <c r="L94" s="7"/>
      <c r="M94" s="7"/>
      <c r="N94" s="7"/>
      <c r="O94" s="7"/>
      <c r="P94" s="7"/>
      <c r="Q94" s="7"/>
      <c r="R94" s="7"/>
      <c r="S94" s="7"/>
      <c r="T94" s="7"/>
      <c r="U94" s="7"/>
      <c r="V94" s="7"/>
      <c r="W94" s="7"/>
      <c r="X94" s="7"/>
      <c r="Y94" s="7"/>
      <c r="Z94" s="7"/>
    </row>
    <row r="95" customFormat="false" ht="27.75" hidden="false" customHeight="true" outlineLevel="0" collapsed="false">
      <c r="A95" s="8"/>
      <c r="B95" s="8"/>
      <c r="C95" s="8"/>
      <c r="D95" s="8"/>
      <c r="E95" s="8"/>
      <c r="F95" s="8"/>
      <c r="G95" s="8"/>
      <c r="H95" s="8"/>
      <c r="I95" s="8"/>
      <c r="J95" s="8"/>
      <c r="K95" s="8"/>
      <c r="L95" s="8"/>
      <c r="M95" s="8"/>
      <c r="N95" s="8"/>
      <c r="O95" s="8"/>
      <c r="P95" s="8"/>
      <c r="Q95" s="8"/>
      <c r="R95" s="8"/>
      <c r="S95" s="8"/>
      <c r="T95" s="8"/>
      <c r="U95" s="8"/>
      <c r="V95" s="8"/>
      <c r="W95" s="8"/>
      <c r="X95" s="8"/>
      <c r="Y95" s="8"/>
      <c r="Z95" s="8"/>
    </row>
    <row r="96" customFormat="false" ht="27.75" hidden="false" customHeight="true" outlineLevel="0" collapsed="false">
      <c r="A96" s="7"/>
      <c r="B96" s="7"/>
      <c r="C96" s="7"/>
      <c r="D96" s="7"/>
      <c r="E96" s="7"/>
      <c r="F96" s="7"/>
      <c r="G96" s="7"/>
      <c r="H96" s="7"/>
      <c r="I96" s="7"/>
      <c r="J96" s="7"/>
      <c r="K96" s="7"/>
      <c r="L96" s="7"/>
      <c r="M96" s="7"/>
      <c r="N96" s="7"/>
      <c r="O96" s="7"/>
      <c r="P96" s="7"/>
      <c r="Q96" s="7"/>
      <c r="R96" s="7"/>
      <c r="S96" s="7"/>
      <c r="T96" s="7"/>
      <c r="U96" s="7"/>
      <c r="V96" s="7"/>
      <c r="W96" s="7"/>
      <c r="X96" s="7"/>
      <c r="Y96" s="7"/>
      <c r="Z96" s="7"/>
    </row>
    <row r="97" customFormat="false" ht="27.75" hidden="false" customHeight="true" outlineLevel="0" collapsed="false">
      <c r="A97" s="8"/>
      <c r="B97" s="8"/>
      <c r="C97" s="8"/>
      <c r="D97" s="8"/>
      <c r="E97" s="8"/>
      <c r="F97" s="8"/>
      <c r="G97" s="8"/>
      <c r="H97" s="8"/>
      <c r="I97" s="8"/>
      <c r="J97" s="8"/>
      <c r="K97" s="8"/>
      <c r="L97" s="8"/>
      <c r="M97" s="8"/>
      <c r="N97" s="8"/>
      <c r="O97" s="8"/>
      <c r="P97" s="8"/>
      <c r="Q97" s="8"/>
      <c r="R97" s="8"/>
      <c r="S97" s="8"/>
      <c r="T97" s="8"/>
      <c r="U97" s="8"/>
      <c r="V97" s="8"/>
      <c r="W97" s="8"/>
      <c r="X97" s="8"/>
      <c r="Y97" s="8"/>
      <c r="Z97" s="8"/>
    </row>
    <row r="98" customFormat="false" ht="27.75" hidden="false" customHeight="true" outlineLevel="0" collapsed="false">
      <c r="A98" s="7"/>
      <c r="B98" s="7"/>
      <c r="C98" s="7"/>
      <c r="D98" s="7"/>
      <c r="E98" s="7"/>
      <c r="F98" s="7"/>
      <c r="G98" s="7"/>
      <c r="H98" s="7"/>
      <c r="I98" s="7"/>
      <c r="J98" s="7"/>
      <c r="K98" s="7"/>
      <c r="L98" s="7"/>
      <c r="M98" s="7"/>
      <c r="N98" s="7"/>
      <c r="O98" s="7"/>
      <c r="P98" s="7"/>
      <c r="Q98" s="7"/>
      <c r="R98" s="7"/>
      <c r="S98" s="7"/>
      <c r="T98" s="7"/>
      <c r="U98" s="7"/>
      <c r="V98" s="7"/>
      <c r="W98" s="7"/>
      <c r="X98" s="7"/>
      <c r="Y98" s="7"/>
      <c r="Z98" s="7"/>
    </row>
    <row r="99" customFormat="false" ht="27.75" hidden="false" customHeight="true" outlineLevel="0" collapsed="false">
      <c r="A99" s="8"/>
      <c r="B99" s="8"/>
      <c r="C99" s="8"/>
      <c r="D99" s="8"/>
      <c r="E99" s="8"/>
      <c r="F99" s="8"/>
      <c r="G99" s="8"/>
      <c r="H99" s="8"/>
      <c r="I99" s="8"/>
      <c r="J99" s="8"/>
      <c r="K99" s="8"/>
      <c r="L99" s="8"/>
      <c r="M99" s="8"/>
      <c r="N99" s="8"/>
      <c r="O99" s="8"/>
      <c r="P99" s="8"/>
      <c r="Q99" s="8"/>
      <c r="R99" s="8"/>
      <c r="S99" s="8"/>
      <c r="T99" s="8"/>
      <c r="U99" s="8"/>
      <c r="V99" s="8"/>
      <c r="W99" s="8"/>
      <c r="X99" s="8"/>
      <c r="Y99" s="8"/>
      <c r="Z99" s="8"/>
    </row>
    <row r="100" customFormat="false" ht="27.75" hidden="false" customHeight="true" outlineLevel="0" collapsed="false">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ustomFormat="false" ht="27.75" hidden="false" customHeight="true" outlineLevel="0" collapsed="false">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ustomFormat="false" ht="27.75" hidden="false" customHeight="true" outlineLevel="0" collapsed="false">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ustomFormat="false" ht="27.75" hidden="false" customHeight="true" outlineLevel="0" collapsed="false">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ustomFormat="false" ht="27.75" hidden="false" customHeight="true" outlineLevel="0" collapsed="false">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ustomFormat="false" ht="27.75" hidden="false" customHeight="true" outlineLevel="0" collapsed="false">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ustomFormat="false" ht="27.75" hidden="false" customHeight="true" outlineLevel="0" collapsed="false">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ustomFormat="false" ht="27.75" hidden="false" customHeight="true" outlineLevel="0" collapsed="false">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ustomFormat="false" ht="27.75" hidden="false" customHeight="true" outlineLevel="0" collapsed="false">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ustomFormat="false" ht="27.75" hidden="false" customHeight="true" outlineLevel="0" collapsed="false">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ustomFormat="false" ht="27.75" hidden="false" customHeight="true" outlineLevel="0" collapsed="false">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ustomFormat="false" ht="27.75" hidden="false" customHeight="true" outlineLevel="0" collapsed="false">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ustomFormat="false" ht="27.75" hidden="false" customHeight="true" outlineLevel="0" collapsed="false">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ustomFormat="false" ht="27.75" hidden="false" customHeight="true" outlineLevel="0" collapsed="false">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ustomFormat="false" ht="27.75" hidden="false" customHeight="true" outlineLevel="0" collapsed="false">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ustomFormat="false" ht="27.75" hidden="false" customHeight="true" outlineLevel="0" collapsed="false">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ustomFormat="false" ht="27.75" hidden="false" customHeight="true" outlineLevel="0" collapsed="false">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ustomFormat="false" ht="27.75" hidden="false" customHeight="true" outlineLevel="0" collapsed="false">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ustomFormat="false" ht="27.75" hidden="false" customHeight="true" outlineLevel="0" collapsed="false">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ustomFormat="false" ht="27.75" hidden="false" customHeight="true" outlineLevel="0" collapsed="false">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ustomFormat="false" ht="27.75" hidden="false" customHeight="true" outlineLevel="0" collapsed="false">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ustomFormat="false" ht="27.75" hidden="false" customHeight="true" outlineLevel="0" collapsed="false">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ustomFormat="false" ht="27.75" hidden="false" customHeight="true" outlineLevel="0" collapsed="false">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ustomFormat="false" ht="27.75" hidden="false" customHeight="true" outlineLevel="0" collapsed="false">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ustomFormat="false" ht="27.75" hidden="false" customHeight="true" outlineLevel="0" collapsed="false">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ustomFormat="false" ht="27.75" hidden="false" customHeight="true" outlineLevel="0" collapsed="false">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ustomFormat="false" ht="27.75" hidden="false" customHeight="true" outlineLevel="0" collapsed="false">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ustomFormat="false" ht="27.75" hidden="false" customHeight="true" outlineLevel="0" collapsed="false">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ustomFormat="false" ht="27.75" hidden="false" customHeight="true" outlineLevel="0" collapsed="false">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ustomFormat="false" ht="27.75" hidden="false" customHeight="true" outlineLevel="0" collapsed="false">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ustomFormat="false" ht="27.75" hidden="false" customHeight="true" outlineLevel="0" collapsed="false">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ustomFormat="false" ht="27.75" hidden="false" customHeight="true" outlineLevel="0" collapsed="false">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ustomFormat="false" ht="27.75" hidden="false" customHeight="true" outlineLevel="0" collapsed="false">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ustomFormat="false" ht="27.75" hidden="false" customHeight="true" outlineLevel="0" collapsed="false">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ustomFormat="false" ht="27.75" hidden="false" customHeight="true" outlineLevel="0" collapsed="false">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ustomFormat="false" ht="27.75" hidden="false" customHeight="true" outlineLevel="0" collapsed="false">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ustomFormat="false" ht="27.75" hidden="false" customHeight="true" outlineLevel="0" collapsed="false">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ustomFormat="false" ht="27.75" hidden="false" customHeight="true" outlineLevel="0" collapsed="false">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ustomFormat="false" ht="27.75" hidden="false" customHeight="true" outlineLevel="0" collapsed="false">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ustomFormat="false" ht="27.75" hidden="false" customHeight="true" outlineLevel="0" collapsed="false">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ustomFormat="false" ht="27.75" hidden="false" customHeight="true" outlineLevel="0" collapsed="false">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ustomFormat="false" ht="27.75" hidden="false" customHeight="true" outlineLevel="0" collapsed="false">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ustomFormat="false" ht="27.75" hidden="false" customHeight="true" outlineLevel="0" collapsed="false">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ustomFormat="false" ht="27.75" hidden="false" customHeight="true" outlineLevel="0" collapsed="false">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ustomFormat="false" ht="27.75" hidden="false" customHeight="true" outlineLevel="0" collapsed="false">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ustomFormat="false" ht="27.75" hidden="false" customHeight="true" outlineLevel="0" collapsed="false">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ustomFormat="false" ht="27.75" hidden="false" customHeight="true" outlineLevel="0" collapsed="false">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ustomFormat="false" ht="27.75" hidden="false" customHeight="true" outlineLevel="0" collapsed="false">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ustomFormat="false" ht="27.75" hidden="false" customHeight="true" outlineLevel="0" collapsed="false">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ustomFormat="false" ht="27.75" hidden="false" customHeight="true" outlineLevel="0" collapsed="false">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ustomFormat="false" ht="27.75" hidden="false" customHeight="true" outlineLevel="0" collapsed="false">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ustomFormat="false" ht="27.75" hidden="false" customHeight="true" outlineLevel="0" collapsed="false">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ustomFormat="false" ht="27.75" hidden="false" customHeight="true" outlineLevel="0" collapsed="false">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ustomFormat="false" ht="27.75" hidden="false" customHeight="true" outlineLevel="0" collapsed="false">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ustomFormat="false" ht="27.75" hidden="false" customHeight="true" outlineLevel="0" collapsed="false">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ustomFormat="false" ht="27.75" hidden="false" customHeight="true" outlineLevel="0" collapsed="false">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ustomFormat="false" ht="27.75" hidden="false" customHeight="true" outlineLevel="0" collapsed="false">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ustomFormat="false" ht="27.75" hidden="false" customHeight="true" outlineLevel="0" collapsed="false">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ustomFormat="false" ht="27.75" hidden="false" customHeight="true" outlineLevel="0" collapsed="false">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ustomFormat="false" ht="27.75" hidden="false" customHeight="true" outlineLevel="0" collapsed="false">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ustomFormat="false" ht="27.75" hidden="false" customHeight="true" outlineLevel="0" collapsed="false">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ustomFormat="false" ht="27.75" hidden="false" customHeight="true" outlineLevel="0" collapsed="false">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ustomFormat="false" ht="27.75" hidden="false" customHeight="true" outlineLevel="0" collapsed="false">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ustomFormat="false" ht="27.75" hidden="false" customHeight="true" outlineLevel="0" collapsed="false">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ustomFormat="false" ht="27.75" hidden="false" customHeight="true" outlineLevel="0" collapsed="false">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ustomFormat="false" ht="27.75" hidden="false" customHeight="true" outlineLevel="0" collapsed="false">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ustomFormat="false" ht="27.75" hidden="false" customHeight="true" outlineLevel="0" collapsed="false">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ustomFormat="false" ht="27.75" hidden="false" customHeight="true" outlineLevel="0" collapsed="false">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ustomFormat="false" ht="27.75" hidden="false" customHeight="true" outlineLevel="0" collapsed="false">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ustomFormat="false" ht="27.75" hidden="false" customHeight="true" outlineLevel="0" collapsed="false">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ustomFormat="false" ht="27.75" hidden="false" customHeight="true" outlineLevel="0" collapsed="false">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ustomFormat="false" ht="27.75" hidden="false" customHeight="true" outlineLevel="0" collapsed="false">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ustomFormat="false" ht="27.75" hidden="false" customHeight="true" outlineLevel="0" collapsed="false">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ustomFormat="false" ht="27.75" hidden="false" customHeight="true" outlineLevel="0" collapsed="false">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ustomFormat="false" ht="27.75" hidden="false" customHeight="true" outlineLevel="0" collapsed="false">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ustomFormat="false" ht="27.75" hidden="false" customHeight="true" outlineLevel="0" collapsed="false">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ustomFormat="false" ht="27.75" hidden="false" customHeight="true" outlineLevel="0" collapsed="false">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ustomFormat="false" ht="27.75" hidden="false" customHeight="true" outlineLevel="0" collapsed="false">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ustomFormat="false" ht="27.75" hidden="false" customHeight="true" outlineLevel="0" collapsed="false">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ustomFormat="false" ht="27.75" hidden="false" customHeight="true" outlineLevel="0" collapsed="false">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ustomFormat="false" ht="27.75" hidden="false" customHeight="true" outlineLevel="0" collapsed="false">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ustomFormat="false" ht="27.75" hidden="false" customHeight="true" outlineLevel="0" collapsed="false">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ustomFormat="false" ht="27.75" hidden="false" customHeight="true" outlineLevel="0" collapsed="false">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ustomFormat="false" ht="27.75" hidden="false" customHeight="true" outlineLevel="0" collapsed="false">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ustomFormat="false" ht="27.75" hidden="false" customHeight="true" outlineLevel="0" collapsed="false">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ustomFormat="false" ht="27.75" hidden="false" customHeight="true" outlineLevel="0" collapsed="false">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ustomFormat="false" ht="27.75" hidden="false" customHeight="true" outlineLevel="0" collapsed="false">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ustomFormat="false" ht="27.75" hidden="false" customHeight="true" outlineLevel="0" collapsed="false">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ustomFormat="false" ht="27.75" hidden="false" customHeight="true" outlineLevel="0" collapsed="false">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ustomFormat="false" ht="27.75" hidden="false" customHeight="true" outlineLevel="0" collapsed="false">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ustomFormat="false" ht="27.75" hidden="false" customHeight="true" outlineLevel="0" collapsed="false">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ustomFormat="false" ht="27.75" hidden="false" customHeight="true" outlineLevel="0" collapsed="false">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ustomFormat="false" ht="27.75" hidden="false" customHeight="true" outlineLevel="0" collapsed="false">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ustomFormat="false" ht="27.75" hidden="false" customHeight="true" outlineLevel="0" collapsed="false">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ustomFormat="false" ht="27.75" hidden="false" customHeight="true" outlineLevel="0" collapsed="false">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ustomFormat="false" ht="27.75" hidden="false" customHeight="true" outlineLevel="0" collapsed="false">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ustomFormat="false" ht="27.75" hidden="false" customHeight="true" outlineLevel="0" collapsed="false">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ustomFormat="false" ht="27.75" hidden="false" customHeight="true" outlineLevel="0" collapsed="false">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ustomFormat="false" ht="27.75" hidden="false" customHeight="true" outlineLevel="0" collapsed="false">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ustomFormat="false" ht="27.75" hidden="false" customHeight="true" outlineLevel="0" collapsed="false">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ustomFormat="false" ht="27.75" hidden="false" customHeight="true" outlineLevel="0" collapsed="false">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ustomFormat="false" ht="27.75" hidden="false" customHeight="true" outlineLevel="0" collapsed="false">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ustomFormat="false" ht="27.75" hidden="false" customHeight="true" outlineLevel="0" collapsed="false">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ustomFormat="false" ht="27.75" hidden="false" customHeight="true" outlineLevel="0" collapsed="false">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ustomFormat="false" ht="27.75" hidden="false" customHeight="true" outlineLevel="0" collapsed="false">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ustomFormat="false" ht="27.75" hidden="false" customHeight="true" outlineLevel="0" collapsed="false">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ustomFormat="false" ht="27.75" hidden="false" customHeight="true" outlineLevel="0" collapsed="false">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ustomFormat="false" ht="27.75" hidden="false" customHeight="true" outlineLevel="0" collapsed="false">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ustomFormat="false" ht="27.75" hidden="false" customHeight="true" outlineLevel="0" collapsed="false">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ustomFormat="false" ht="27.75" hidden="false" customHeight="true" outlineLevel="0" collapsed="false">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ustomFormat="false" ht="27.75" hidden="false" customHeight="true" outlineLevel="0" collapsed="false">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ustomFormat="false" ht="27.75" hidden="false" customHeight="true" outlineLevel="0" collapsed="false">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ustomFormat="false" ht="27.75" hidden="false" customHeight="true" outlineLevel="0" collapsed="false">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ustomFormat="false" ht="27.75" hidden="false" customHeight="true" outlineLevel="0" collapsed="false">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ustomFormat="false" ht="27.75" hidden="false" customHeight="true" outlineLevel="0" collapsed="false">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ustomFormat="false" ht="27.75" hidden="false" customHeight="true" outlineLevel="0" collapsed="false">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ustomFormat="false" ht="27.75" hidden="false" customHeight="true" outlineLevel="0" collapsed="false">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ustomFormat="false" ht="27.75" hidden="false" customHeight="true" outlineLevel="0" collapsed="false">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ustomFormat="false" ht="27.75" hidden="false" customHeight="true" outlineLevel="0" collapsed="false">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ustomFormat="false" ht="27.75" hidden="false" customHeight="true" outlineLevel="0" collapsed="false">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ustomFormat="false" ht="27.75" hidden="false" customHeight="true" outlineLevel="0" collapsed="false">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ustomFormat="false" ht="27.75" hidden="false" customHeight="true" outlineLevel="0" collapsed="false">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ustomFormat="false" ht="27.75" hidden="false" customHeight="true" outlineLevel="0" collapsed="false">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ustomFormat="false" ht="27.75" hidden="false" customHeight="true" outlineLevel="0" collapsed="false">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ustomFormat="false" ht="27.75" hidden="false" customHeight="true" outlineLevel="0" collapsed="false">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ustomFormat="false" ht="27.75" hidden="false" customHeight="true" outlineLevel="0" collapsed="false">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ustomFormat="false" ht="27.75" hidden="false" customHeight="true" outlineLevel="0" collapsed="false">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ustomFormat="false" ht="27.75" hidden="false" customHeight="true" outlineLevel="0" collapsed="false">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ustomFormat="false" ht="27.75" hidden="false" customHeight="true" outlineLevel="0" collapsed="false">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ustomFormat="false" ht="27.75" hidden="false" customHeight="true" outlineLevel="0" collapsed="false">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ustomFormat="false" ht="27.75" hidden="false" customHeight="true" outlineLevel="0" collapsed="false">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ustomFormat="false" ht="27.75" hidden="false" customHeight="true" outlineLevel="0" collapsed="false">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ustomFormat="false" ht="27.75" hidden="false" customHeight="true" outlineLevel="0" collapsed="false">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ustomFormat="false" ht="27.75" hidden="false" customHeight="true" outlineLevel="0" collapsed="false">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ustomFormat="false" ht="27.75" hidden="false" customHeight="true" outlineLevel="0" collapsed="false">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ustomFormat="false" ht="27.75" hidden="false" customHeight="true" outlineLevel="0" collapsed="false">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ustomFormat="false" ht="27.75" hidden="false" customHeight="true" outlineLevel="0" collapsed="false">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ustomFormat="false" ht="27.75" hidden="false" customHeight="true" outlineLevel="0" collapsed="false">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ustomFormat="false" ht="27.75" hidden="false" customHeight="true" outlineLevel="0" collapsed="false">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ustomFormat="false" ht="27.75" hidden="false" customHeight="true" outlineLevel="0" collapsed="false">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ustomFormat="false" ht="27.75" hidden="false" customHeight="true" outlineLevel="0" collapsed="false">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ustomFormat="false" ht="27.75" hidden="false" customHeight="true" outlineLevel="0" collapsed="false">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ustomFormat="false" ht="27.75" hidden="false" customHeight="true" outlineLevel="0" collapsed="false">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ustomFormat="false" ht="27.75" hidden="false" customHeight="true" outlineLevel="0" collapsed="false">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ustomFormat="false" ht="27.75" hidden="false" customHeight="true" outlineLevel="0" collapsed="false">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ustomFormat="false" ht="27.75" hidden="false" customHeight="true" outlineLevel="0" collapsed="false">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ustomFormat="false" ht="27.75" hidden="false" customHeight="true" outlineLevel="0" collapsed="false">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ustomFormat="false" ht="27.75" hidden="false" customHeight="true" outlineLevel="0" collapsed="false">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ustomFormat="false" ht="27.75" hidden="false" customHeight="true" outlineLevel="0" collapsed="false">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ustomFormat="false" ht="27.75" hidden="false" customHeight="true" outlineLevel="0" collapsed="false">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ustomFormat="false" ht="27.75" hidden="false" customHeight="true" outlineLevel="0" collapsed="false">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ustomFormat="false" ht="27.75" hidden="false" customHeight="true" outlineLevel="0" collapsed="false">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ustomFormat="false" ht="27.75" hidden="false" customHeight="true" outlineLevel="0" collapsed="false">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ustomFormat="false" ht="27.75" hidden="false" customHeight="true" outlineLevel="0" collapsed="false">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ustomFormat="false" ht="27.75" hidden="false" customHeight="true" outlineLevel="0" collapsed="false">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ustomFormat="false" ht="27.75" hidden="false" customHeight="true" outlineLevel="0" collapsed="false">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ustomFormat="false" ht="27.75" hidden="false" customHeight="true" outlineLevel="0" collapsed="false">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ustomFormat="false" ht="27.75" hidden="false" customHeight="true" outlineLevel="0" collapsed="false">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ustomFormat="false" ht="27.75" hidden="false" customHeight="true" outlineLevel="0" collapsed="false">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ustomFormat="false" ht="27.75" hidden="false" customHeight="true" outlineLevel="0" collapsed="false">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ustomFormat="false" ht="27.75" hidden="false" customHeight="true" outlineLevel="0" collapsed="false">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ustomFormat="false" ht="27.75" hidden="false" customHeight="true" outlineLevel="0" collapsed="false">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ustomFormat="false" ht="27.75" hidden="false" customHeight="true" outlineLevel="0" collapsed="false">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ustomFormat="false" ht="27.75" hidden="false" customHeight="true" outlineLevel="0" collapsed="false">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ustomFormat="false" ht="27.75" hidden="false" customHeight="true" outlineLevel="0" collapsed="false">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ustomFormat="false" ht="27.75" hidden="false" customHeight="true" outlineLevel="0" collapsed="false">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ustomFormat="false" ht="27.75" hidden="false" customHeight="true" outlineLevel="0" collapsed="false">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ustomFormat="false" ht="27.75" hidden="false" customHeight="true" outlineLevel="0" collapsed="false">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ustomFormat="false" ht="27.75" hidden="false" customHeight="true" outlineLevel="0" collapsed="false">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ustomFormat="false" ht="27.75" hidden="false" customHeight="true" outlineLevel="0" collapsed="false">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ustomFormat="false" ht="27.75" hidden="false" customHeight="true" outlineLevel="0" collapsed="false">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ustomFormat="false" ht="27.75" hidden="false" customHeight="true" outlineLevel="0" collapsed="false">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ustomFormat="false" ht="27.75" hidden="false" customHeight="true" outlineLevel="0" collapsed="false">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ustomFormat="false" ht="27.75" hidden="false" customHeight="true" outlineLevel="0" collapsed="false">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ustomFormat="false" ht="27.75" hidden="false" customHeight="true" outlineLevel="0" collapsed="false">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ustomFormat="false" ht="27.75" hidden="false" customHeight="true" outlineLevel="0" collapsed="false">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ustomFormat="false" ht="27.75" hidden="false" customHeight="true" outlineLevel="0" collapsed="false">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ustomFormat="false" ht="27.75" hidden="false" customHeight="true" outlineLevel="0" collapsed="false">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ustomFormat="false" ht="27.75" hidden="false" customHeight="true" outlineLevel="0" collapsed="false">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ustomFormat="false" ht="27.75" hidden="false" customHeight="true" outlineLevel="0" collapsed="false">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ustomFormat="false" ht="27.75" hidden="false" customHeight="true" outlineLevel="0" collapsed="false">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ustomFormat="false" ht="27.75" hidden="false" customHeight="true" outlineLevel="0" collapsed="false">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ustomFormat="false" ht="27.75" hidden="false" customHeight="true" outlineLevel="0" collapsed="false">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ustomFormat="false" ht="27.75" hidden="false" customHeight="true" outlineLevel="0" collapsed="false">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ustomFormat="false" ht="27.75" hidden="false" customHeight="true" outlineLevel="0" collapsed="false">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ustomFormat="false" ht="27.75" hidden="false" customHeight="true" outlineLevel="0" collapsed="false">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ustomFormat="false" ht="27.75" hidden="false" customHeight="true" outlineLevel="0" collapsed="false">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ustomFormat="false" ht="27.75" hidden="false" customHeight="true" outlineLevel="0" collapsed="false">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ustomFormat="false" ht="27.75" hidden="false" customHeight="true" outlineLevel="0" collapsed="false">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ustomFormat="false" ht="27.75" hidden="false" customHeight="true" outlineLevel="0" collapsed="false">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ustomFormat="false" ht="27.75" hidden="false" customHeight="true" outlineLevel="0" collapsed="false">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ustomFormat="false" ht="27.75" hidden="false" customHeight="true" outlineLevel="0" collapsed="false">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ustomFormat="false" ht="27.75" hidden="false" customHeight="true" outlineLevel="0" collapsed="false">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ustomFormat="false" ht="27.75" hidden="false" customHeight="true" outlineLevel="0" collapsed="false">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ustomFormat="false" ht="27.75" hidden="false" customHeight="true" outlineLevel="0" collapsed="false">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ustomFormat="false" ht="27.75" hidden="false" customHeight="true" outlineLevel="0" collapsed="false">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ustomFormat="false" ht="27.75" hidden="false" customHeight="true" outlineLevel="0" collapsed="false">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ustomFormat="false" ht="27.75" hidden="false" customHeight="true" outlineLevel="0" collapsed="false">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ustomFormat="false" ht="27.75" hidden="false" customHeight="true" outlineLevel="0" collapsed="false">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ustomFormat="false" ht="27.75" hidden="false" customHeight="true" outlineLevel="0" collapsed="false">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ustomFormat="false" ht="27.75" hidden="false" customHeight="true" outlineLevel="0" collapsed="false">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ustomFormat="false" ht="27.75" hidden="false" customHeight="true" outlineLevel="0" collapsed="false">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ustomFormat="false" ht="27.75" hidden="false" customHeight="true" outlineLevel="0" collapsed="false">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ustomFormat="false" ht="27.75" hidden="false" customHeight="true" outlineLevel="0" collapsed="false">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ustomFormat="false" ht="27.75" hidden="false" customHeight="true" outlineLevel="0" collapsed="false">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ustomFormat="false" ht="27.75" hidden="false" customHeight="true" outlineLevel="0" collapsed="false">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ustomFormat="false" ht="27.75" hidden="false" customHeight="true" outlineLevel="0" collapsed="false">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ustomFormat="false" ht="27.75" hidden="false" customHeight="true" outlineLevel="0" collapsed="false">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ustomFormat="false" ht="27.75" hidden="false" customHeight="true" outlineLevel="0" collapsed="false">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ustomFormat="false" ht="27.75" hidden="false" customHeight="true" outlineLevel="0" collapsed="false">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ustomFormat="false" ht="27.75" hidden="false" customHeight="true" outlineLevel="0" collapsed="false">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ustomFormat="false" ht="27.75" hidden="false" customHeight="true" outlineLevel="0" collapsed="false">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ustomFormat="false" ht="27.75" hidden="false" customHeight="true" outlineLevel="0" collapsed="false">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ustomFormat="false" ht="27.75" hidden="false" customHeight="true" outlineLevel="0" collapsed="false">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ustomFormat="false" ht="27.75" hidden="false" customHeight="true" outlineLevel="0" collapsed="false">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ustomFormat="false" ht="27.75" hidden="false" customHeight="true" outlineLevel="0" collapsed="false">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ustomFormat="false" ht="27.75" hidden="false" customHeight="true" outlineLevel="0" collapsed="false">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ustomFormat="false" ht="27.75" hidden="false" customHeight="true" outlineLevel="0" collapsed="false">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ustomFormat="false" ht="27.75" hidden="false" customHeight="true" outlineLevel="0" collapsed="false">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ustomFormat="false" ht="27.75" hidden="false" customHeight="true" outlineLevel="0" collapsed="false">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ustomFormat="false" ht="27.75" hidden="false" customHeight="true" outlineLevel="0" collapsed="false">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ustomFormat="false" ht="27.75" hidden="false" customHeight="true" outlineLevel="0" collapsed="false">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ustomFormat="false" ht="27.75" hidden="false" customHeight="true" outlineLevel="0" collapsed="false">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ustomFormat="false" ht="27.75" hidden="false" customHeight="true" outlineLevel="0" collapsed="false">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ustomFormat="false" ht="27.75" hidden="false" customHeight="true" outlineLevel="0" collapsed="false">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ustomFormat="false" ht="27.75" hidden="false" customHeight="true" outlineLevel="0" collapsed="false">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ustomFormat="false" ht="27.75" hidden="false" customHeight="true" outlineLevel="0" collapsed="false">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ustomFormat="false" ht="27.75" hidden="false" customHeight="true" outlineLevel="0" collapsed="false">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ustomFormat="false" ht="27.75" hidden="false" customHeight="true" outlineLevel="0" collapsed="false">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ustomFormat="false" ht="27.75" hidden="false" customHeight="true" outlineLevel="0" collapsed="false">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ustomFormat="false" ht="27.75" hidden="false" customHeight="true" outlineLevel="0" collapsed="false">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ustomFormat="false" ht="27.75" hidden="false" customHeight="true" outlineLevel="0" collapsed="false">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ustomFormat="false" ht="27.75" hidden="false" customHeight="true" outlineLevel="0" collapsed="false">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ustomFormat="false" ht="27.75" hidden="false" customHeight="true" outlineLevel="0" collapsed="false">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ustomFormat="false" ht="27.75" hidden="false" customHeight="true" outlineLevel="0" collapsed="false">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ustomFormat="false" ht="27.75" hidden="false" customHeight="true" outlineLevel="0" collapsed="false">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ustomFormat="false" ht="27.75" hidden="false" customHeight="true" outlineLevel="0" collapsed="false">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ustomFormat="false" ht="27.75" hidden="false" customHeight="true" outlineLevel="0" collapsed="false">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ustomFormat="false" ht="27.75" hidden="false" customHeight="true" outlineLevel="0" collapsed="false">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ustomFormat="false" ht="27.75" hidden="false" customHeight="true" outlineLevel="0" collapsed="false">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ustomFormat="false" ht="27.75" hidden="false" customHeight="true" outlineLevel="0" collapsed="false">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ustomFormat="false" ht="27.75" hidden="false" customHeight="true" outlineLevel="0" collapsed="false">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ustomFormat="false" ht="27.75" hidden="false" customHeight="true" outlineLevel="0" collapsed="false">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ustomFormat="false" ht="27.75" hidden="false" customHeight="true" outlineLevel="0" collapsed="false">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ustomFormat="false" ht="27.75" hidden="false" customHeight="true" outlineLevel="0" collapsed="false">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ustomFormat="false" ht="27.75" hidden="false" customHeight="true" outlineLevel="0" collapsed="false">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ustomFormat="false" ht="27.75" hidden="false" customHeight="true" outlineLevel="0" collapsed="false">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ustomFormat="false" ht="27.75" hidden="false" customHeight="true" outlineLevel="0" collapsed="false">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ustomFormat="false" ht="27.75" hidden="false" customHeight="true" outlineLevel="0" collapsed="false">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ustomFormat="false" ht="27.75" hidden="false" customHeight="true" outlineLevel="0" collapsed="false">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ustomFormat="false" ht="27.75" hidden="false" customHeight="true" outlineLevel="0" collapsed="false">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ustomFormat="false" ht="27.75" hidden="false" customHeight="true" outlineLevel="0" collapsed="false">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ustomFormat="false" ht="27.75" hidden="false" customHeight="true" outlineLevel="0" collapsed="false">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ustomFormat="false" ht="27.75" hidden="false" customHeight="true" outlineLevel="0" collapsed="false">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ustomFormat="false" ht="27.75" hidden="false" customHeight="true" outlineLevel="0" collapsed="false">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ustomFormat="false" ht="27.75" hidden="false" customHeight="true" outlineLevel="0" collapsed="false">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ustomFormat="false" ht="27.75" hidden="false" customHeight="true" outlineLevel="0" collapsed="false">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ustomFormat="false" ht="27.75" hidden="false" customHeight="true" outlineLevel="0" collapsed="false">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ustomFormat="false" ht="27.75" hidden="false" customHeight="true" outlineLevel="0" collapsed="false">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ustomFormat="false" ht="27.75" hidden="false" customHeight="true" outlineLevel="0" collapsed="false">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ustomFormat="false" ht="27.75" hidden="false" customHeight="true" outlineLevel="0" collapsed="false">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ustomFormat="false" ht="27.75" hidden="false" customHeight="true" outlineLevel="0" collapsed="false">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ustomFormat="false" ht="27.75" hidden="false" customHeight="true" outlineLevel="0" collapsed="false">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ustomFormat="false" ht="27.75" hidden="false" customHeight="true" outlineLevel="0" collapsed="false">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ustomFormat="false" ht="27.75" hidden="false" customHeight="true" outlineLevel="0" collapsed="false">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ustomFormat="false" ht="27.75" hidden="false" customHeight="true" outlineLevel="0" collapsed="false">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ustomFormat="false" ht="27.75" hidden="false" customHeight="true" outlineLevel="0" collapsed="false">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ustomFormat="false" ht="27.75" hidden="false" customHeight="true" outlineLevel="0" collapsed="false">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ustomFormat="false" ht="27.75" hidden="false" customHeight="true" outlineLevel="0" collapsed="false">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ustomFormat="false" ht="27.75" hidden="false" customHeight="true" outlineLevel="0" collapsed="false">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ustomFormat="false" ht="27.75" hidden="false" customHeight="true" outlineLevel="0" collapsed="false">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ustomFormat="false" ht="27.75" hidden="false" customHeight="true" outlineLevel="0" collapsed="false">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ustomFormat="false" ht="27.75" hidden="false" customHeight="true" outlineLevel="0" collapsed="false">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ustomFormat="false" ht="27.75" hidden="false" customHeight="true" outlineLevel="0" collapsed="false">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ustomFormat="false" ht="27.75" hidden="false" customHeight="true" outlineLevel="0" collapsed="false">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ustomFormat="false" ht="27.75" hidden="false" customHeight="true" outlineLevel="0" collapsed="false">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ustomFormat="false" ht="27.75" hidden="false" customHeight="true" outlineLevel="0" collapsed="false">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ustomFormat="false" ht="27.75" hidden="false" customHeight="true" outlineLevel="0" collapsed="false">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ustomFormat="false" ht="27.75" hidden="false" customHeight="true" outlineLevel="0" collapsed="false">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ustomFormat="false" ht="27.75" hidden="false" customHeight="true" outlineLevel="0" collapsed="false">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ustomFormat="false" ht="27.75" hidden="false" customHeight="true" outlineLevel="0" collapsed="false">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ustomFormat="false" ht="27.75" hidden="false" customHeight="true" outlineLevel="0" collapsed="false">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ustomFormat="false" ht="27.75" hidden="false" customHeight="true" outlineLevel="0" collapsed="false">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ustomFormat="false" ht="27.75" hidden="false" customHeight="true" outlineLevel="0" collapsed="false">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ustomFormat="false" ht="27.75" hidden="false" customHeight="true" outlineLevel="0" collapsed="false">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ustomFormat="false" ht="27.75" hidden="false" customHeight="true" outlineLevel="0" collapsed="false">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ustomFormat="false" ht="27.75" hidden="false" customHeight="true" outlineLevel="0" collapsed="false">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ustomFormat="false" ht="27.75" hidden="false" customHeight="true" outlineLevel="0" collapsed="false">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ustomFormat="false" ht="27.75" hidden="false" customHeight="true" outlineLevel="0" collapsed="false">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ustomFormat="false" ht="27.75" hidden="false" customHeight="true" outlineLevel="0" collapsed="false">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ustomFormat="false" ht="27.75" hidden="false" customHeight="true" outlineLevel="0" collapsed="false">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ustomFormat="false" ht="27.75" hidden="false" customHeight="true" outlineLevel="0" collapsed="false">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ustomFormat="false" ht="27.75" hidden="false" customHeight="true" outlineLevel="0" collapsed="false">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ustomFormat="false" ht="27.75" hidden="false" customHeight="true" outlineLevel="0" collapsed="false">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ustomFormat="false" ht="27.75" hidden="false" customHeight="true" outlineLevel="0" collapsed="false">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ustomFormat="false" ht="27.75" hidden="false" customHeight="true" outlineLevel="0" collapsed="false">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ustomFormat="false" ht="27.75" hidden="false" customHeight="true" outlineLevel="0" collapsed="false">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ustomFormat="false" ht="27.75" hidden="false" customHeight="true" outlineLevel="0" collapsed="false">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ustomFormat="false" ht="27.75" hidden="false" customHeight="true" outlineLevel="0" collapsed="false">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ustomFormat="false" ht="27.75" hidden="false" customHeight="true" outlineLevel="0" collapsed="false">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ustomFormat="false" ht="27.75" hidden="false" customHeight="true" outlineLevel="0" collapsed="false">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ustomFormat="false" ht="27.75" hidden="false" customHeight="true" outlineLevel="0" collapsed="false">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ustomFormat="false" ht="27.75" hidden="false" customHeight="true" outlineLevel="0" collapsed="false">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ustomFormat="false" ht="27.75" hidden="false" customHeight="true" outlineLevel="0" collapsed="false">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ustomFormat="false" ht="27.75" hidden="false" customHeight="true" outlineLevel="0" collapsed="false">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ustomFormat="false" ht="27.75" hidden="false" customHeight="true" outlineLevel="0" collapsed="false">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ustomFormat="false" ht="27.75" hidden="false" customHeight="true" outlineLevel="0" collapsed="false">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ustomFormat="false" ht="27.75" hidden="false" customHeight="true" outlineLevel="0" collapsed="false">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ustomFormat="false" ht="27.75" hidden="false" customHeight="true" outlineLevel="0" collapsed="false">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ustomFormat="false" ht="27.75" hidden="false" customHeight="true" outlineLevel="0" collapsed="false">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ustomFormat="false" ht="27.75" hidden="false" customHeight="true" outlineLevel="0" collapsed="false">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ustomFormat="false" ht="27.75" hidden="false" customHeight="true" outlineLevel="0" collapsed="false">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ustomFormat="false" ht="27.75" hidden="false" customHeight="true" outlineLevel="0" collapsed="false">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ustomFormat="false" ht="27.75" hidden="false" customHeight="true" outlineLevel="0" collapsed="false">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ustomFormat="false" ht="27.75" hidden="false" customHeight="true" outlineLevel="0" collapsed="false">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ustomFormat="false" ht="27.75" hidden="false" customHeight="true" outlineLevel="0" collapsed="false">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ustomFormat="false" ht="27.75" hidden="false" customHeight="true" outlineLevel="0" collapsed="false">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ustomFormat="false" ht="27.75" hidden="false" customHeight="true" outlineLevel="0" collapsed="false">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ustomFormat="false" ht="27.75" hidden="false" customHeight="true" outlineLevel="0" collapsed="false">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ustomFormat="false" ht="27.75" hidden="false" customHeight="true" outlineLevel="0" collapsed="false">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ustomFormat="false" ht="27.75" hidden="false" customHeight="true" outlineLevel="0" collapsed="false">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ustomFormat="false" ht="27.75" hidden="false" customHeight="true" outlineLevel="0" collapsed="false">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ustomFormat="false" ht="27.75" hidden="false" customHeight="true" outlineLevel="0" collapsed="false">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ustomFormat="false" ht="27.75" hidden="false" customHeight="true" outlineLevel="0" collapsed="false">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ustomFormat="false" ht="27.75" hidden="false" customHeight="true" outlineLevel="0" collapsed="false">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ustomFormat="false" ht="27.75" hidden="false" customHeight="true" outlineLevel="0" collapsed="false">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ustomFormat="false" ht="27.75" hidden="false" customHeight="true" outlineLevel="0" collapsed="false">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ustomFormat="false" ht="27.75" hidden="false" customHeight="true" outlineLevel="0" collapsed="false">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ustomFormat="false" ht="27.75" hidden="false" customHeight="true" outlineLevel="0" collapsed="false">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ustomFormat="false" ht="27.75" hidden="false" customHeight="true" outlineLevel="0" collapsed="false">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ustomFormat="false" ht="27.75" hidden="false" customHeight="true" outlineLevel="0" collapsed="false">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ustomFormat="false" ht="27.75" hidden="false" customHeight="true" outlineLevel="0" collapsed="false">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ustomFormat="false" ht="27.75" hidden="false" customHeight="true" outlineLevel="0" collapsed="false">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ustomFormat="false" ht="27.75" hidden="false" customHeight="true" outlineLevel="0" collapsed="false">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ustomFormat="false" ht="27.75" hidden="false" customHeight="true" outlineLevel="0" collapsed="false">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ustomFormat="false" ht="27.75" hidden="false" customHeight="true" outlineLevel="0" collapsed="false">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ustomFormat="false" ht="27.75" hidden="false" customHeight="true" outlineLevel="0" collapsed="false">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ustomFormat="false" ht="27.75" hidden="false" customHeight="true" outlineLevel="0" collapsed="false">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ustomFormat="false" ht="27.75" hidden="false" customHeight="true" outlineLevel="0" collapsed="false">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ustomFormat="false" ht="27.75" hidden="false" customHeight="true" outlineLevel="0" collapsed="false">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ustomFormat="false" ht="27.75" hidden="false" customHeight="true" outlineLevel="0" collapsed="false">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ustomFormat="false" ht="27.75" hidden="false" customHeight="true" outlineLevel="0" collapsed="false">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ustomFormat="false" ht="27.75" hidden="false" customHeight="true" outlineLevel="0" collapsed="false">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ustomFormat="false" ht="27.75" hidden="false" customHeight="true" outlineLevel="0" collapsed="false">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ustomFormat="false" ht="27.75" hidden="false" customHeight="true" outlineLevel="0" collapsed="false">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ustomFormat="false" ht="27.75" hidden="false" customHeight="true" outlineLevel="0" collapsed="false">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ustomFormat="false" ht="27.75" hidden="false" customHeight="true" outlineLevel="0" collapsed="false">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ustomFormat="false" ht="27.75" hidden="false" customHeight="true" outlineLevel="0" collapsed="false">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ustomFormat="false" ht="27.75" hidden="false" customHeight="true" outlineLevel="0" collapsed="false">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ustomFormat="false" ht="27.75" hidden="false" customHeight="true" outlineLevel="0" collapsed="false">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ustomFormat="false" ht="27.75" hidden="false" customHeight="true" outlineLevel="0" collapsed="false">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ustomFormat="false" ht="27.75" hidden="false" customHeight="true" outlineLevel="0" collapsed="false">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ustomFormat="false" ht="27.75" hidden="false" customHeight="true" outlineLevel="0" collapsed="false">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ustomFormat="false" ht="27.75" hidden="false" customHeight="true" outlineLevel="0" collapsed="false">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ustomFormat="false" ht="27.75" hidden="false" customHeight="true" outlineLevel="0" collapsed="false">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ustomFormat="false" ht="27.75" hidden="false" customHeight="true" outlineLevel="0" collapsed="false">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ustomFormat="false" ht="27.75" hidden="false" customHeight="true" outlineLevel="0" collapsed="false">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ustomFormat="false" ht="27.75" hidden="false" customHeight="true" outlineLevel="0" collapsed="false">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ustomFormat="false" ht="27.75" hidden="false" customHeight="true" outlineLevel="0" collapsed="false">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ustomFormat="false" ht="27.75" hidden="false" customHeight="true" outlineLevel="0" collapsed="false">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ustomFormat="false" ht="27.75" hidden="false" customHeight="true" outlineLevel="0" collapsed="false">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ustomFormat="false" ht="27.75" hidden="false" customHeight="true" outlineLevel="0" collapsed="false">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ustomFormat="false" ht="27.75" hidden="false" customHeight="true" outlineLevel="0" collapsed="false">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ustomFormat="false" ht="27.75" hidden="false" customHeight="true" outlineLevel="0" collapsed="false">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ustomFormat="false" ht="27.75" hidden="false" customHeight="true" outlineLevel="0" collapsed="false">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ustomFormat="false" ht="27.75" hidden="false" customHeight="true" outlineLevel="0" collapsed="false">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ustomFormat="false" ht="27.75" hidden="false" customHeight="true" outlineLevel="0" collapsed="false">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ustomFormat="false" ht="27.75" hidden="false" customHeight="true" outlineLevel="0" collapsed="false">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ustomFormat="false" ht="27.75" hidden="false" customHeight="true" outlineLevel="0" collapsed="false">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ustomFormat="false" ht="27.75" hidden="false" customHeight="true" outlineLevel="0" collapsed="false">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ustomFormat="false" ht="27.75" hidden="false" customHeight="true" outlineLevel="0" collapsed="false">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ustomFormat="false" ht="27.75" hidden="false" customHeight="true" outlineLevel="0" collapsed="false">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ustomFormat="false" ht="27.75" hidden="false" customHeight="true" outlineLevel="0" collapsed="false">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ustomFormat="false" ht="27.75" hidden="false" customHeight="true" outlineLevel="0" collapsed="false">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ustomFormat="false" ht="27.75" hidden="false" customHeight="true" outlineLevel="0" collapsed="false">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ustomFormat="false" ht="27.75" hidden="false" customHeight="true" outlineLevel="0" collapsed="false">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ustomFormat="false" ht="27.75" hidden="false" customHeight="true" outlineLevel="0" collapsed="false">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ustomFormat="false" ht="27.75" hidden="false" customHeight="true" outlineLevel="0" collapsed="false">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ustomFormat="false" ht="27.75" hidden="false" customHeight="true" outlineLevel="0" collapsed="false">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ustomFormat="false" ht="27.75" hidden="false" customHeight="true" outlineLevel="0" collapsed="false">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ustomFormat="false" ht="27.75" hidden="false" customHeight="true" outlineLevel="0" collapsed="false">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ustomFormat="false" ht="27.75" hidden="false" customHeight="true" outlineLevel="0" collapsed="false">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ustomFormat="false" ht="27.75" hidden="false" customHeight="true" outlineLevel="0" collapsed="false">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ustomFormat="false" ht="27.75" hidden="false" customHeight="true" outlineLevel="0" collapsed="false">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ustomFormat="false" ht="27.75" hidden="false" customHeight="true" outlineLevel="0" collapsed="false">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ustomFormat="false" ht="27.75" hidden="false" customHeight="true" outlineLevel="0" collapsed="false">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ustomFormat="false" ht="27.75" hidden="false" customHeight="true" outlineLevel="0" collapsed="false">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ustomFormat="false" ht="27.75" hidden="false" customHeight="true" outlineLevel="0" collapsed="false">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ustomFormat="false" ht="27.75" hidden="false" customHeight="true" outlineLevel="0" collapsed="false">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ustomFormat="false" ht="27.75" hidden="false" customHeight="true" outlineLevel="0" collapsed="false">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ustomFormat="false" ht="27.75" hidden="false" customHeight="true" outlineLevel="0" collapsed="false">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ustomFormat="false" ht="27.75" hidden="false" customHeight="true" outlineLevel="0" collapsed="false">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ustomFormat="false" ht="27.75" hidden="false" customHeight="true" outlineLevel="0" collapsed="false">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ustomFormat="false" ht="27.75" hidden="false" customHeight="true" outlineLevel="0" collapsed="false">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ustomFormat="false" ht="27.75" hidden="false" customHeight="true" outlineLevel="0" collapsed="false">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ustomFormat="false" ht="27.75" hidden="false" customHeight="true" outlineLevel="0" collapsed="false">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ustomFormat="false" ht="27.75" hidden="false" customHeight="true" outlineLevel="0" collapsed="false">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ustomFormat="false" ht="27.75" hidden="false" customHeight="true" outlineLevel="0" collapsed="false">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ustomFormat="false" ht="27.75" hidden="false" customHeight="true" outlineLevel="0" collapsed="false">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ustomFormat="false" ht="27.75" hidden="false" customHeight="true" outlineLevel="0" collapsed="false">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ustomFormat="false" ht="27.75" hidden="false" customHeight="true" outlineLevel="0" collapsed="false">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ustomFormat="false" ht="27.75" hidden="false" customHeight="true" outlineLevel="0" collapsed="false">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sheetData>
  <dataValidations count="7">
    <dataValidation allowBlank="false" errorStyle="stop" operator="between" showDropDown="false" showErrorMessage="false" showInputMessage="false" sqref="B2:B501" type="list">
      <formula1>"Q1,Q2,Q3,Q4"</formula1>
      <formula2>0</formula2>
    </dataValidation>
    <dataValidation allowBlank="true" errorStyle="stop" operator="between" showDropDown="false" showErrorMessage="false" showInputMessage="false" sqref="G2:G501" type="list">
      <formula1>"oncology,immunology,neuro,rare,cross-TA,N/A"</formula1>
      <formula2>0</formula2>
    </dataValidation>
    <dataValidation allowBlank="true" errorStyle="stop" operator="between" showDropDown="false" showErrorMessage="false" showInputMessage="false" sqref="H2:H501" type="list">
      <formula1>"small mol,biologic,nucleic acid,cell-gene,platform,N/A"</formula1>
      <formula2>0</formula2>
    </dataValidation>
    <dataValidation allowBlank="false" errorStyle="stop" operator="between" showDropDown="false" showErrorMessage="false" showInputMessage="false" sqref="I2:I501" type="list">
      <formula1>"1,2,3"</formula1>
      <formula2>0</formula2>
    </dataValidation>
    <dataValidation allowBlank="true" errorStyle="stop" operator="between" showDropDown="false" showErrorMessage="false" showInputMessage="false" sqref="O2:O501" type="list">
      <formula1>"EXTRAPOLATION,ANALOGY,LIMITED EVIDENCE,INDUSTRY ESTIMATE,MANAGEMENT COMMENTARY NOT GUIDED,SOURCE NEEDED,DISCONFIRMING"</formula1>
      <formula2>0</formula2>
    </dataValidation>
    <dataValidation allowBlank="false" errorStyle="stop" operator="between" showDropDown="false" showErrorMessage="false" showInputMessage="false" sqref="P2:P501" type="list">
      <formula1>"TRUE,FALSE"</formula1>
      <formula2>0</formula2>
    </dataValidation>
    <dataValidation allowBlank="true" errorStyle="stop" operator="between" showDropDown="false" showErrorMessage="false" showInputMessage="false" sqref="V2:V501" type="list">
      <formula1>"license,equity investment,M&amp;A,platform partnership,collaboration,option,research services"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14"/>
    <col collapsed="false" customWidth="true" hidden="false" outlineLevel="0" max="3" min="3" style="1" width="22"/>
    <col collapsed="false" customWidth="true" hidden="false" outlineLevel="0" max="4" min="4" style="1" width="24"/>
    <col collapsed="false" customWidth="true" hidden="false" outlineLevel="0" max="5" min="5" style="1" width="22"/>
    <col collapsed="false" customWidth="true" hidden="false" outlineLevel="0" max="6" min="6" style="1" width="14"/>
    <col collapsed="false" customWidth="true" hidden="false" outlineLevel="0" max="7" min="7" style="1" width="16"/>
    <col collapsed="false" customWidth="true" hidden="false" outlineLevel="0" max="8" min="8" style="1" width="14"/>
    <col collapsed="false" customWidth="true" hidden="false" outlineLevel="0" max="10" min="9" style="1" width="26"/>
    <col collapsed="false" customWidth="true" hidden="false" outlineLevel="0" max="11" min="11" style="1" width="12"/>
    <col collapsed="false" customWidth="true" hidden="false" outlineLevel="0" max="12" min="12" style="1" width="32"/>
    <col collapsed="false" customWidth="true" hidden="false" outlineLevel="0" max="13" min="13" style="1" width="36"/>
    <col collapsed="false" customWidth="true" hidden="false" outlineLevel="0" max="14" min="14" style="1" width="44"/>
    <col collapsed="false" customWidth="true" hidden="false" outlineLevel="0" max="15" min="15" style="1" width="22"/>
    <col collapsed="false" customWidth="true" hidden="false" outlineLevel="0" max="16" min="16" style="1" width="14"/>
    <col collapsed="false" customWidth="true" hidden="false" outlineLevel="0" max="17" min="17" style="1" width="40"/>
    <col collapsed="false" customWidth="true" hidden="false" outlineLevel="0" max="18" min="18" style="1" width="50"/>
    <col collapsed="false" customWidth="true" hidden="false" outlineLevel="0" max="19" min="19" style="1" width="18"/>
    <col collapsed="false" customWidth="true" hidden="false" outlineLevel="0" max="20" min="20" style="1" width="8"/>
    <col collapsed="false" customWidth="true" hidden="false" outlineLevel="0" max="21" min="21" style="1" width="22"/>
    <col collapsed="false" customWidth="true" hidden="false" outlineLevel="0" max="22" min="22" style="1" width="18"/>
    <col collapsed="false" customWidth="true" hidden="false" outlineLevel="0" max="23" min="23" style="1" width="16"/>
    <col collapsed="false" customWidth="true" hidden="false" outlineLevel="0" max="24" min="24" style="1" width="22"/>
    <col collapsed="false" customWidth="true" hidden="false" outlineLevel="0" max="25" min="25" style="1" width="14"/>
    <col collapsed="false" customWidth="true" hidden="false" outlineLevel="0" max="26" min="26" style="1" width="24"/>
  </cols>
  <sheetData>
    <row r="1" customFormat="false" ht="36" hidden="false" customHeight="true" outlineLevel="0" collapsed="false">
      <c r="A1" s="6" t="s">
        <v>32</v>
      </c>
      <c r="B1" s="6" t="s">
        <v>1951</v>
      </c>
      <c r="C1" s="6" t="s">
        <v>1952</v>
      </c>
      <c r="D1" s="6" t="s">
        <v>1953</v>
      </c>
      <c r="E1" s="6" t="s">
        <v>1954</v>
      </c>
      <c r="F1" s="6" t="s">
        <v>1955</v>
      </c>
      <c r="G1" s="6" t="s">
        <v>1956</v>
      </c>
      <c r="H1" s="6" t="s">
        <v>1957</v>
      </c>
      <c r="I1" s="6" t="s">
        <v>1958</v>
      </c>
      <c r="J1" s="6" t="s">
        <v>34</v>
      </c>
      <c r="K1" s="6" t="s">
        <v>40</v>
      </c>
      <c r="L1" s="6" t="s">
        <v>42</v>
      </c>
      <c r="M1" s="6" t="s">
        <v>43</v>
      </c>
      <c r="N1" s="6" t="s">
        <v>45</v>
      </c>
      <c r="O1" s="6" t="s">
        <v>46</v>
      </c>
      <c r="P1" s="6" t="s">
        <v>47</v>
      </c>
      <c r="Q1" s="6" t="s">
        <v>49</v>
      </c>
      <c r="R1" s="6" t="s">
        <v>35</v>
      </c>
      <c r="S1" s="6" t="s">
        <v>36</v>
      </c>
      <c r="T1" s="6" t="s">
        <v>33</v>
      </c>
      <c r="U1" s="6" t="s">
        <v>37</v>
      </c>
      <c r="V1" s="6" t="s">
        <v>38</v>
      </c>
      <c r="W1" s="6" t="s">
        <v>39</v>
      </c>
      <c r="X1" s="6" t="s">
        <v>41</v>
      </c>
      <c r="Y1" s="6" t="s">
        <v>44</v>
      </c>
      <c r="Z1" s="6" t="s">
        <v>48</v>
      </c>
    </row>
    <row r="2" customFormat="false" ht="27.75" hidden="false" customHeight="true" outlineLevel="0" collapsed="false">
      <c r="A2" s="7" t="s">
        <v>2651</v>
      </c>
      <c r="B2" s="7" t="s">
        <v>2657</v>
      </c>
      <c r="C2" s="7" t="s">
        <v>246</v>
      </c>
      <c r="D2" s="7" t="s">
        <v>785</v>
      </c>
      <c r="E2" s="7" t="s">
        <v>2011</v>
      </c>
      <c r="F2" s="7"/>
      <c r="G2" s="7"/>
      <c r="H2" s="7" t="s">
        <v>65</v>
      </c>
      <c r="I2" s="7" t="s">
        <v>2014</v>
      </c>
      <c r="J2" s="7" t="s">
        <v>1961</v>
      </c>
      <c r="K2" s="7" t="s">
        <v>58</v>
      </c>
      <c r="L2" s="7" t="s">
        <v>2239</v>
      </c>
      <c r="M2" s="7" t="s">
        <v>2654</v>
      </c>
      <c r="N2" s="7" t="s">
        <v>2655</v>
      </c>
      <c r="O2" s="7" t="s">
        <v>79</v>
      </c>
      <c r="P2" s="7" t="s">
        <v>65</v>
      </c>
      <c r="Q2" s="7" t="s">
        <v>2656</v>
      </c>
      <c r="R2" s="7" t="s">
        <v>2652</v>
      </c>
      <c r="S2" s="7" t="s">
        <v>2653</v>
      </c>
      <c r="T2" s="7" t="s">
        <v>1960</v>
      </c>
      <c r="U2" s="7" t="s">
        <v>2270</v>
      </c>
      <c r="V2" s="7" t="s">
        <v>56</v>
      </c>
      <c r="W2" s="7" t="s">
        <v>109</v>
      </c>
      <c r="X2" s="7" t="s">
        <v>1965</v>
      </c>
      <c r="Y2" s="7" t="s">
        <v>62</v>
      </c>
      <c r="Z2" s="7" t="s">
        <v>1969</v>
      </c>
    </row>
    <row r="3" customFormat="false" ht="27.75" hidden="false" customHeight="true" outlineLevel="0" collapsed="false">
      <c r="A3" s="8" t="s">
        <v>2642</v>
      </c>
      <c r="B3" s="8" t="s">
        <v>2650</v>
      </c>
      <c r="C3" s="8" t="s">
        <v>2010</v>
      </c>
      <c r="D3" s="8" t="s">
        <v>771</v>
      </c>
      <c r="E3" s="8" t="s">
        <v>1973</v>
      </c>
      <c r="F3" s="8"/>
      <c r="G3" s="8"/>
      <c r="H3" s="8" t="s">
        <v>65</v>
      </c>
      <c r="I3" s="8" t="s">
        <v>2014</v>
      </c>
      <c r="J3" s="8" t="s">
        <v>1961</v>
      </c>
      <c r="K3" s="8" t="s">
        <v>74</v>
      </c>
      <c r="L3" s="8" t="s">
        <v>2646</v>
      </c>
      <c r="M3" s="8" t="s">
        <v>2647</v>
      </c>
      <c r="N3" s="8" t="s">
        <v>2648</v>
      </c>
      <c r="O3" s="8"/>
      <c r="P3" s="8" t="s">
        <v>65</v>
      </c>
      <c r="Q3" s="8" t="s">
        <v>2649</v>
      </c>
      <c r="R3" s="8" t="s">
        <v>2643</v>
      </c>
      <c r="S3" s="8" t="s">
        <v>2644</v>
      </c>
      <c r="T3" s="8" t="s">
        <v>1960</v>
      </c>
      <c r="U3" s="8" t="s">
        <v>2003</v>
      </c>
      <c r="V3" s="8" t="s">
        <v>2004</v>
      </c>
      <c r="W3" s="8" t="s">
        <v>145</v>
      </c>
      <c r="X3" s="8" t="s">
        <v>2645</v>
      </c>
      <c r="Y3" s="8" t="s">
        <v>62</v>
      </c>
      <c r="Z3" s="8" t="s">
        <v>1969</v>
      </c>
    </row>
    <row r="4" customFormat="false" ht="27.75" hidden="false" customHeight="true" outlineLevel="0" collapsed="false">
      <c r="A4" s="7" t="s">
        <v>2211</v>
      </c>
      <c r="B4" s="7" t="s">
        <v>2219</v>
      </c>
      <c r="C4" s="7" t="s">
        <v>2220</v>
      </c>
      <c r="D4" s="7" t="s">
        <v>2221</v>
      </c>
      <c r="E4" s="7" t="s">
        <v>1973</v>
      </c>
      <c r="F4" s="7"/>
      <c r="G4" s="7" t="s">
        <v>2222</v>
      </c>
      <c r="H4" s="7" t="s">
        <v>65</v>
      </c>
      <c r="I4" s="7" t="s">
        <v>1976</v>
      </c>
      <c r="J4" s="7" t="s">
        <v>1961</v>
      </c>
      <c r="K4" s="7" t="s">
        <v>58</v>
      </c>
      <c r="L4" s="7" t="s">
        <v>2215</v>
      </c>
      <c r="M4" s="7" t="s">
        <v>2216</v>
      </c>
      <c r="N4" s="7" t="s">
        <v>2217</v>
      </c>
      <c r="O4" s="7" t="s">
        <v>79</v>
      </c>
      <c r="P4" s="7" t="s">
        <v>65</v>
      </c>
      <c r="Q4" s="7" t="s">
        <v>2218</v>
      </c>
      <c r="R4" s="7" t="s">
        <v>2212</v>
      </c>
      <c r="S4" s="7" t="s">
        <v>2213</v>
      </c>
      <c r="T4" s="7" t="s">
        <v>1960</v>
      </c>
      <c r="U4" s="7" t="s">
        <v>2214</v>
      </c>
      <c r="V4" s="7" t="s">
        <v>2040</v>
      </c>
      <c r="W4" s="7" t="s">
        <v>145</v>
      </c>
      <c r="X4" s="7" t="s">
        <v>1965</v>
      </c>
      <c r="Y4" s="7" t="s">
        <v>62</v>
      </c>
      <c r="Z4" s="7" t="s">
        <v>1969</v>
      </c>
    </row>
    <row r="5" customFormat="false" ht="27.75" hidden="false" customHeight="true" outlineLevel="0" collapsed="false">
      <c r="A5" s="8" t="s">
        <v>2677</v>
      </c>
      <c r="B5" s="8" t="s">
        <v>2686</v>
      </c>
      <c r="C5" s="8" t="s">
        <v>2220</v>
      </c>
      <c r="D5" s="8" t="s">
        <v>2687</v>
      </c>
      <c r="E5" s="8" t="s">
        <v>2011</v>
      </c>
      <c r="F5" s="8"/>
      <c r="G5" s="8"/>
      <c r="H5" s="8" t="s">
        <v>65</v>
      </c>
      <c r="I5" s="8" t="s">
        <v>2014</v>
      </c>
      <c r="J5" s="8" t="s">
        <v>2454</v>
      </c>
      <c r="K5" s="8" t="s">
        <v>74</v>
      </c>
      <c r="L5" s="8" t="s">
        <v>2682</v>
      </c>
      <c r="M5" s="8" t="s">
        <v>2683</v>
      </c>
      <c r="N5" s="8" t="s">
        <v>2684</v>
      </c>
      <c r="O5" s="8" t="s">
        <v>64</v>
      </c>
      <c r="P5" s="8" t="s">
        <v>65</v>
      </c>
      <c r="Q5" s="8" t="s">
        <v>2685</v>
      </c>
      <c r="R5" s="8" t="s">
        <v>2678</v>
      </c>
      <c r="S5" s="8" t="s">
        <v>2679</v>
      </c>
      <c r="T5" s="8" t="s">
        <v>1960</v>
      </c>
      <c r="U5" s="8" t="s">
        <v>2680</v>
      </c>
      <c r="V5" s="8" t="s">
        <v>56</v>
      </c>
      <c r="W5" s="8" t="s">
        <v>109</v>
      </c>
      <c r="X5" s="8" t="s">
        <v>2681</v>
      </c>
      <c r="Y5" s="8" t="s">
        <v>62</v>
      </c>
      <c r="Z5" s="8" t="s">
        <v>1969</v>
      </c>
    </row>
    <row r="6" customFormat="false" ht="27.75" hidden="false" customHeight="true" outlineLevel="0" collapsed="false">
      <c r="A6" s="7" t="s">
        <v>2658</v>
      </c>
      <c r="B6" s="7" t="s">
        <v>2666</v>
      </c>
      <c r="C6" s="7" t="s">
        <v>55</v>
      </c>
      <c r="D6" s="7" t="s">
        <v>2046</v>
      </c>
      <c r="E6" s="7" t="s">
        <v>2011</v>
      </c>
      <c r="F6" s="7"/>
      <c r="G6" s="7"/>
      <c r="H6" s="7" t="s">
        <v>65</v>
      </c>
      <c r="I6" s="7" t="s">
        <v>2014</v>
      </c>
      <c r="J6" s="7" t="s">
        <v>1961</v>
      </c>
      <c r="K6" s="7" t="s">
        <v>58</v>
      </c>
      <c r="L6" s="7" t="s">
        <v>2662</v>
      </c>
      <c r="M6" s="7" t="s">
        <v>2663</v>
      </c>
      <c r="N6" s="7" t="s">
        <v>2664</v>
      </c>
      <c r="O6" s="7" t="s">
        <v>79</v>
      </c>
      <c r="P6" s="7" t="s">
        <v>65</v>
      </c>
      <c r="Q6" s="7" t="s">
        <v>2665</v>
      </c>
      <c r="R6" s="7" t="s">
        <v>2659</v>
      </c>
      <c r="S6" s="7" t="s">
        <v>2660</v>
      </c>
      <c r="T6" s="7" t="s">
        <v>1960</v>
      </c>
      <c r="U6" s="7" t="s">
        <v>2661</v>
      </c>
      <c r="V6" s="7" t="s">
        <v>56</v>
      </c>
      <c r="W6" s="7" t="s">
        <v>145</v>
      </c>
      <c r="X6" s="7" t="s">
        <v>1965</v>
      </c>
      <c r="Y6" s="7" t="s">
        <v>62</v>
      </c>
      <c r="Z6" s="7" t="s">
        <v>1969</v>
      </c>
    </row>
    <row r="7" customFormat="false" ht="27.75" hidden="false" customHeight="true" outlineLevel="0" collapsed="false">
      <c r="A7" s="8" t="s">
        <v>2699</v>
      </c>
      <c r="B7" s="8" t="s">
        <v>2707</v>
      </c>
      <c r="C7" s="8" t="s">
        <v>108</v>
      </c>
      <c r="D7" s="8" t="s">
        <v>266</v>
      </c>
      <c r="E7" s="8" t="s">
        <v>1973</v>
      </c>
      <c r="F7" s="8"/>
      <c r="G7" s="8"/>
      <c r="H7" s="8" t="s">
        <v>65</v>
      </c>
      <c r="I7" s="8" t="s">
        <v>1976</v>
      </c>
      <c r="J7" s="8" t="s">
        <v>1961</v>
      </c>
      <c r="K7" s="8" t="s">
        <v>58</v>
      </c>
      <c r="L7" s="8" t="s">
        <v>2703</v>
      </c>
      <c r="M7" s="8" t="s">
        <v>2704</v>
      </c>
      <c r="N7" s="8" t="s">
        <v>2705</v>
      </c>
      <c r="O7" s="8"/>
      <c r="P7" s="8" t="s">
        <v>65</v>
      </c>
      <c r="Q7" s="8" t="s">
        <v>2706</v>
      </c>
      <c r="R7" s="8" t="s">
        <v>2700</v>
      </c>
      <c r="S7" s="8" t="s">
        <v>2701</v>
      </c>
      <c r="T7" s="8" t="s">
        <v>1960</v>
      </c>
      <c r="U7" s="8" t="s">
        <v>2702</v>
      </c>
      <c r="V7" s="8" t="s">
        <v>352</v>
      </c>
      <c r="W7" s="8" t="s">
        <v>145</v>
      </c>
      <c r="X7" s="8" t="s">
        <v>1768</v>
      </c>
      <c r="Y7" s="8" t="s">
        <v>62</v>
      </c>
      <c r="Z7" s="8" t="s">
        <v>1969</v>
      </c>
    </row>
    <row r="8" customFormat="false" ht="27.75" hidden="false" customHeight="true" outlineLevel="0" collapsed="false">
      <c r="A8" s="7" t="s">
        <v>2596</v>
      </c>
      <c r="B8" s="7" t="s">
        <v>2604</v>
      </c>
      <c r="C8" s="7" t="s">
        <v>2605</v>
      </c>
      <c r="D8" s="7" t="s">
        <v>2606</v>
      </c>
      <c r="E8" s="7" t="s">
        <v>2429</v>
      </c>
      <c r="F8" s="7" t="s">
        <v>2607</v>
      </c>
      <c r="G8" s="7" t="s">
        <v>2607</v>
      </c>
      <c r="H8" s="7" t="s">
        <v>544</v>
      </c>
      <c r="I8" s="7" t="s">
        <v>2608</v>
      </c>
      <c r="J8" s="7" t="s">
        <v>2150</v>
      </c>
      <c r="K8" s="7" t="s">
        <v>58</v>
      </c>
      <c r="L8" s="7" t="s">
        <v>2600</v>
      </c>
      <c r="M8" s="7" t="s">
        <v>2601</v>
      </c>
      <c r="N8" s="7" t="s">
        <v>2602</v>
      </c>
      <c r="O8" s="7"/>
      <c r="P8" s="7" t="s">
        <v>65</v>
      </c>
      <c r="Q8" s="7" t="s">
        <v>2603</v>
      </c>
      <c r="R8" s="7" t="s">
        <v>2597</v>
      </c>
      <c r="S8" s="7" t="s">
        <v>2598</v>
      </c>
      <c r="T8" s="7" t="s">
        <v>1960</v>
      </c>
      <c r="U8" s="7" t="s">
        <v>2599</v>
      </c>
      <c r="V8" s="7" t="s">
        <v>56</v>
      </c>
      <c r="W8" s="7" t="s">
        <v>109</v>
      </c>
      <c r="X8" s="7" t="s">
        <v>1965</v>
      </c>
      <c r="Y8" s="7" t="s">
        <v>62</v>
      </c>
      <c r="Z8" s="7" t="s">
        <v>1969</v>
      </c>
    </row>
    <row r="9" customFormat="false" ht="27.75" hidden="false" customHeight="true" outlineLevel="0" collapsed="false">
      <c r="A9" s="8" t="s">
        <v>2180</v>
      </c>
      <c r="B9" s="8" t="s">
        <v>2187</v>
      </c>
      <c r="C9" s="8" t="s">
        <v>55</v>
      </c>
      <c r="D9" s="8" t="s">
        <v>2177</v>
      </c>
      <c r="E9" s="8" t="s">
        <v>2011</v>
      </c>
      <c r="F9" s="8"/>
      <c r="G9" s="8" t="s">
        <v>2188</v>
      </c>
      <c r="H9" s="8" t="s">
        <v>65</v>
      </c>
      <c r="I9" s="8" t="s">
        <v>2014</v>
      </c>
      <c r="J9" s="8" t="s">
        <v>1961</v>
      </c>
      <c r="K9" s="8" t="s">
        <v>58</v>
      </c>
      <c r="L9" s="8" t="s">
        <v>2172</v>
      </c>
      <c r="M9" s="8" t="s">
        <v>2184</v>
      </c>
      <c r="N9" s="8" t="s">
        <v>2185</v>
      </c>
      <c r="O9" s="8" t="s">
        <v>79</v>
      </c>
      <c r="P9" s="8" t="s">
        <v>65</v>
      </c>
      <c r="Q9" s="8" t="s">
        <v>2186</v>
      </c>
      <c r="R9" s="8" t="s">
        <v>2181</v>
      </c>
      <c r="S9" s="8" t="s">
        <v>2182</v>
      </c>
      <c r="T9" s="8" t="s">
        <v>1960</v>
      </c>
      <c r="U9" s="8" t="s">
        <v>2170</v>
      </c>
      <c r="V9" s="8" t="s">
        <v>2183</v>
      </c>
      <c r="W9" s="8" t="s">
        <v>109</v>
      </c>
      <c r="X9" s="8" t="s">
        <v>1965</v>
      </c>
      <c r="Y9" s="8" t="s">
        <v>62</v>
      </c>
      <c r="Z9" s="8" t="s">
        <v>1969</v>
      </c>
    </row>
    <row r="10" customFormat="false" ht="27.75" hidden="false" customHeight="true" outlineLevel="0" collapsed="false">
      <c r="A10" s="7" t="s">
        <v>2504</v>
      </c>
      <c r="B10" s="7" t="s">
        <v>2187</v>
      </c>
      <c r="C10" s="7" t="s">
        <v>2503</v>
      </c>
      <c r="D10" s="7" t="s">
        <v>2093</v>
      </c>
      <c r="E10" s="7" t="s">
        <v>1973</v>
      </c>
      <c r="F10" s="7"/>
      <c r="G10" s="7"/>
      <c r="H10" s="7" t="s">
        <v>65</v>
      </c>
      <c r="I10" s="7" t="s">
        <v>1976</v>
      </c>
      <c r="J10" s="7" t="s">
        <v>1961</v>
      </c>
      <c r="K10" s="7" t="s">
        <v>58</v>
      </c>
      <c r="L10" s="7" t="s">
        <v>2088</v>
      </c>
      <c r="M10" s="7" t="s">
        <v>2507</v>
      </c>
      <c r="N10" s="7" t="s">
        <v>2508</v>
      </c>
      <c r="O10" s="7" t="s">
        <v>79</v>
      </c>
      <c r="P10" s="7" t="s">
        <v>65</v>
      </c>
      <c r="Q10" s="7" t="s">
        <v>2509</v>
      </c>
      <c r="R10" s="7" t="s">
        <v>2505</v>
      </c>
      <c r="S10" s="7" t="s">
        <v>2506</v>
      </c>
      <c r="T10" s="7" t="s">
        <v>1960</v>
      </c>
      <c r="U10" s="7" t="s">
        <v>2499</v>
      </c>
      <c r="V10" s="7" t="s">
        <v>352</v>
      </c>
      <c r="W10" s="7" t="s">
        <v>73</v>
      </c>
      <c r="X10" s="7" t="s">
        <v>1965</v>
      </c>
      <c r="Y10" s="7" t="s">
        <v>62</v>
      </c>
      <c r="Z10" s="7" t="s">
        <v>1969</v>
      </c>
    </row>
    <row r="11" customFormat="false" ht="27.75" hidden="false" customHeight="true" outlineLevel="0" collapsed="false">
      <c r="A11" s="8" t="s">
        <v>2555</v>
      </c>
      <c r="B11" s="8" t="s">
        <v>2187</v>
      </c>
      <c r="C11" s="8" t="s">
        <v>2554</v>
      </c>
      <c r="D11" s="8" t="s">
        <v>1077</v>
      </c>
      <c r="E11" s="8" t="s">
        <v>1973</v>
      </c>
      <c r="F11" s="8"/>
      <c r="G11" s="8" t="s">
        <v>2561</v>
      </c>
      <c r="H11" s="8" t="s">
        <v>65</v>
      </c>
      <c r="I11" s="8" t="s">
        <v>1976</v>
      </c>
      <c r="J11" s="8" t="s">
        <v>1961</v>
      </c>
      <c r="K11" s="8" t="s">
        <v>58</v>
      </c>
      <c r="L11" s="8" t="s">
        <v>2549</v>
      </c>
      <c r="M11" s="8" t="s">
        <v>2550</v>
      </c>
      <c r="N11" s="8" t="s">
        <v>2559</v>
      </c>
      <c r="O11" s="8"/>
      <c r="P11" s="8" t="s">
        <v>65</v>
      </c>
      <c r="Q11" s="8" t="s">
        <v>2560</v>
      </c>
      <c r="R11" s="8" t="s">
        <v>2556</v>
      </c>
      <c r="S11" s="8" t="s">
        <v>2557</v>
      </c>
      <c r="T11" s="8" t="s">
        <v>1960</v>
      </c>
      <c r="U11" s="8" t="s">
        <v>2547</v>
      </c>
      <c r="V11" s="8" t="s">
        <v>2558</v>
      </c>
      <c r="W11" s="8" t="s">
        <v>145</v>
      </c>
      <c r="X11" s="8" t="s">
        <v>1965</v>
      </c>
      <c r="Y11" s="8" t="s">
        <v>62</v>
      </c>
      <c r="Z11" s="8" t="s">
        <v>1969</v>
      </c>
    </row>
    <row r="12" customFormat="false" ht="27.75" hidden="false" customHeight="true" outlineLevel="0" collapsed="false">
      <c r="A12" s="7" t="s">
        <v>2487</v>
      </c>
      <c r="B12" s="7" t="s">
        <v>2494</v>
      </c>
      <c r="C12" s="7" t="s">
        <v>2484</v>
      </c>
      <c r="D12" s="7" t="s">
        <v>2495</v>
      </c>
      <c r="E12" s="7" t="s">
        <v>1973</v>
      </c>
      <c r="F12" s="7"/>
      <c r="G12" s="7"/>
      <c r="H12" s="7" t="s">
        <v>65</v>
      </c>
      <c r="I12" s="7" t="s">
        <v>1976</v>
      </c>
      <c r="J12" s="7" t="s">
        <v>1961</v>
      </c>
      <c r="K12" s="7" t="s">
        <v>58</v>
      </c>
      <c r="L12" s="7" t="s">
        <v>2479</v>
      </c>
      <c r="M12" s="7" t="s">
        <v>2491</v>
      </c>
      <c r="N12" s="7" t="s">
        <v>2492</v>
      </c>
      <c r="O12" s="7" t="s">
        <v>79</v>
      </c>
      <c r="P12" s="7" t="s">
        <v>65</v>
      </c>
      <c r="Q12" s="7" t="s">
        <v>2493</v>
      </c>
      <c r="R12" s="7" t="s">
        <v>2488</v>
      </c>
      <c r="S12" s="7" t="s">
        <v>2489</v>
      </c>
      <c r="T12" s="7" t="s">
        <v>1960</v>
      </c>
      <c r="U12" s="7" t="s">
        <v>2490</v>
      </c>
      <c r="V12" s="7" t="s">
        <v>56</v>
      </c>
      <c r="W12" s="7" t="s">
        <v>145</v>
      </c>
      <c r="X12" s="7" t="s">
        <v>1965</v>
      </c>
      <c r="Y12" s="7" t="s">
        <v>62</v>
      </c>
      <c r="Z12" s="7" t="s">
        <v>1969</v>
      </c>
    </row>
    <row r="13" customFormat="false" ht="27.75" hidden="false" customHeight="true" outlineLevel="0" collapsed="false">
      <c r="A13" s="8" t="s">
        <v>2246</v>
      </c>
      <c r="B13" s="8" t="s">
        <v>2255</v>
      </c>
      <c r="C13" s="8" t="s">
        <v>1985</v>
      </c>
      <c r="D13" s="8" t="s">
        <v>785</v>
      </c>
      <c r="E13" s="8" t="s">
        <v>2011</v>
      </c>
      <c r="F13" s="8" t="s">
        <v>2012</v>
      </c>
      <c r="G13" s="8" t="s">
        <v>2256</v>
      </c>
      <c r="H13" s="8" t="s">
        <v>65</v>
      </c>
      <c r="I13" s="8" t="s">
        <v>1976</v>
      </c>
      <c r="J13" s="8" t="s">
        <v>1961</v>
      </c>
      <c r="K13" s="8" t="s">
        <v>58</v>
      </c>
      <c r="L13" s="8" t="s">
        <v>2251</v>
      </c>
      <c r="M13" s="8" t="s">
        <v>2252</v>
      </c>
      <c r="N13" s="8" t="s">
        <v>2253</v>
      </c>
      <c r="O13" s="8"/>
      <c r="P13" s="8" t="s">
        <v>65</v>
      </c>
      <c r="Q13" s="8" t="s">
        <v>2254</v>
      </c>
      <c r="R13" s="8" t="s">
        <v>2247</v>
      </c>
      <c r="S13" s="8" t="s">
        <v>2248</v>
      </c>
      <c r="T13" s="8" t="s">
        <v>1960</v>
      </c>
      <c r="U13" s="8" t="s">
        <v>2249</v>
      </c>
      <c r="V13" s="8" t="s">
        <v>2250</v>
      </c>
      <c r="W13" s="8" t="s">
        <v>145</v>
      </c>
      <c r="X13" s="8" t="s">
        <v>1965</v>
      </c>
      <c r="Y13" s="8" t="s">
        <v>62</v>
      </c>
      <c r="Z13" s="8" t="s">
        <v>1969</v>
      </c>
    </row>
    <row r="14" customFormat="false" ht="27.75" hidden="false" customHeight="true" outlineLevel="0" collapsed="false">
      <c r="A14" s="7" t="s">
        <v>2475</v>
      </c>
      <c r="B14" s="7" t="s">
        <v>2483</v>
      </c>
      <c r="C14" s="7" t="s">
        <v>2484</v>
      </c>
      <c r="D14" s="7" t="s">
        <v>2485</v>
      </c>
      <c r="E14" s="7" t="s">
        <v>1973</v>
      </c>
      <c r="F14" s="7" t="s">
        <v>2486</v>
      </c>
      <c r="G14" s="7"/>
      <c r="H14" s="7" t="s">
        <v>65</v>
      </c>
      <c r="I14" s="7" t="s">
        <v>1976</v>
      </c>
      <c r="J14" s="7" t="s">
        <v>1961</v>
      </c>
      <c r="K14" s="7" t="s">
        <v>58</v>
      </c>
      <c r="L14" s="7" t="s">
        <v>2479</v>
      </c>
      <c r="M14" s="7" t="s">
        <v>2480</v>
      </c>
      <c r="N14" s="7" t="s">
        <v>2481</v>
      </c>
      <c r="O14" s="7" t="s">
        <v>79</v>
      </c>
      <c r="P14" s="7" t="s">
        <v>65</v>
      </c>
      <c r="Q14" s="7" t="s">
        <v>2482</v>
      </c>
      <c r="R14" s="7" t="s">
        <v>2476</v>
      </c>
      <c r="S14" s="7" t="s">
        <v>2477</v>
      </c>
      <c r="T14" s="7" t="s">
        <v>1960</v>
      </c>
      <c r="U14" s="7" t="s">
        <v>2478</v>
      </c>
      <c r="V14" s="7" t="s">
        <v>56</v>
      </c>
      <c r="W14" s="7" t="s">
        <v>145</v>
      </c>
      <c r="X14" s="7" t="s">
        <v>1965</v>
      </c>
      <c r="Y14" s="7" t="s">
        <v>62</v>
      </c>
      <c r="Z14" s="7" t="s">
        <v>1969</v>
      </c>
    </row>
    <row r="15" customFormat="false" ht="27.75" hidden="false" customHeight="true" outlineLevel="0" collapsed="false">
      <c r="A15" s="8" t="s">
        <v>2061</v>
      </c>
      <c r="B15" s="8" t="s">
        <v>2070</v>
      </c>
      <c r="C15" s="8" t="s">
        <v>246</v>
      </c>
      <c r="D15" s="8" t="s">
        <v>2071</v>
      </c>
      <c r="E15" s="8" t="s">
        <v>1973</v>
      </c>
      <c r="F15" s="8"/>
      <c r="G15" s="8" t="s">
        <v>2072</v>
      </c>
      <c r="H15" s="8" t="s">
        <v>65</v>
      </c>
      <c r="I15" s="8" t="s">
        <v>1976</v>
      </c>
      <c r="J15" s="8" t="s">
        <v>1961</v>
      </c>
      <c r="K15" s="8" t="s">
        <v>58</v>
      </c>
      <c r="L15" s="8" t="s">
        <v>2066</v>
      </c>
      <c r="M15" s="8" t="s">
        <v>2067</v>
      </c>
      <c r="N15" s="8" t="s">
        <v>2068</v>
      </c>
      <c r="O15" s="8" t="s">
        <v>79</v>
      </c>
      <c r="P15" s="8" t="s">
        <v>65</v>
      </c>
      <c r="Q15" s="8" t="s">
        <v>2069</v>
      </c>
      <c r="R15" s="8" t="s">
        <v>2062</v>
      </c>
      <c r="S15" s="8" t="s">
        <v>2063</v>
      </c>
      <c r="T15" s="8" t="s">
        <v>1960</v>
      </c>
      <c r="U15" s="8" t="s">
        <v>2064</v>
      </c>
      <c r="V15" s="8" t="s">
        <v>56</v>
      </c>
      <c r="W15" s="8" t="s">
        <v>2065</v>
      </c>
      <c r="X15" s="8" t="s">
        <v>1965</v>
      </c>
      <c r="Y15" s="8" t="s">
        <v>62</v>
      </c>
      <c r="Z15" s="8" t="s">
        <v>1969</v>
      </c>
    </row>
    <row r="16" customFormat="false" ht="27.75" hidden="false" customHeight="true" outlineLevel="0" collapsed="false">
      <c r="A16" s="7" t="s">
        <v>2399</v>
      </c>
      <c r="B16" s="7" t="s">
        <v>2406</v>
      </c>
      <c r="C16" s="7" t="s">
        <v>771</v>
      </c>
      <c r="D16" s="7" t="s">
        <v>846</v>
      </c>
      <c r="E16" s="7" t="s">
        <v>2385</v>
      </c>
      <c r="F16" s="7" t="s">
        <v>2407</v>
      </c>
      <c r="G16" s="7" t="s">
        <v>2407</v>
      </c>
      <c r="H16" s="7" t="s">
        <v>65</v>
      </c>
      <c r="I16" s="7" t="s">
        <v>2408</v>
      </c>
      <c r="J16" s="7" t="s">
        <v>2385</v>
      </c>
      <c r="K16" s="7" t="s">
        <v>58</v>
      </c>
      <c r="L16" s="7" t="s">
        <v>2005</v>
      </c>
      <c r="M16" s="7" t="s">
        <v>2403</v>
      </c>
      <c r="N16" s="7" t="s">
        <v>2404</v>
      </c>
      <c r="O16" s="7"/>
      <c r="P16" s="7" t="s">
        <v>65</v>
      </c>
      <c r="Q16" s="7" t="s">
        <v>2405</v>
      </c>
      <c r="R16" s="7" t="s">
        <v>2400</v>
      </c>
      <c r="S16" s="7" t="s">
        <v>2401</v>
      </c>
      <c r="T16" s="7" t="s">
        <v>1960</v>
      </c>
      <c r="U16" s="7" t="s">
        <v>2402</v>
      </c>
      <c r="V16" s="7" t="s">
        <v>56</v>
      </c>
      <c r="W16" s="7" t="s">
        <v>109</v>
      </c>
      <c r="X16" s="7" t="s">
        <v>1965</v>
      </c>
      <c r="Y16" s="7" t="s">
        <v>62</v>
      </c>
      <c r="Z16" s="7" t="s">
        <v>1969</v>
      </c>
    </row>
    <row r="17" customFormat="false" ht="27.75" hidden="false" customHeight="true" outlineLevel="0" collapsed="false">
      <c r="A17" s="8" t="s">
        <v>2105</v>
      </c>
      <c r="B17" s="8" t="s">
        <v>2112</v>
      </c>
      <c r="C17" s="8" t="s">
        <v>246</v>
      </c>
      <c r="D17" s="8" t="s">
        <v>2093</v>
      </c>
      <c r="E17" s="8" t="s">
        <v>1973</v>
      </c>
      <c r="F17" s="8"/>
      <c r="G17" s="8"/>
      <c r="H17" s="8" t="s">
        <v>65</v>
      </c>
      <c r="I17" s="8" t="s">
        <v>1976</v>
      </c>
      <c r="J17" s="8" t="s">
        <v>1961</v>
      </c>
      <c r="K17" s="8" t="s">
        <v>58</v>
      </c>
      <c r="L17" s="8" t="s">
        <v>2088</v>
      </c>
      <c r="M17" s="8" t="s">
        <v>2109</v>
      </c>
      <c r="N17" s="8" t="s">
        <v>2110</v>
      </c>
      <c r="O17" s="8" t="s">
        <v>79</v>
      </c>
      <c r="P17" s="8" t="s">
        <v>65</v>
      </c>
      <c r="Q17" s="8" t="s">
        <v>2111</v>
      </c>
      <c r="R17" s="8" t="s">
        <v>2106</v>
      </c>
      <c r="S17" s="8" t="s">
        <v>2107</v>
      </c>
      <c r="T17" s="8" t="s">
        <v>1960</v>
      </c>
      <c r="U17" s="8" t="s">
        <v>2087</v>
      </c>
      <c r="V17" s="8" t="s">
        <v>2108</v>
      </c>
      <c r="W17" s="8" t="s">
        <v>73</v>
      </c>
      <c r="X17" s="8" t="s">
        <v>1965</v>
      </c>
      <c r="Y17" s="8" t="s">
        <v>62</v>
      </c>
      <c r="Z17" s="8" t="s">
        <v>1969</v>
      </c>
    </row>
    <row r="18" customFormat="false" ht="27.75" hidden="false" customHeight="true" outlineLevel="0" collapsed="false">
      <c r="A18" s="7" t="s">
        <v>2025</v>
      </c>
      <c r="B18" s="7" t="s">
        <v>2034</v>
      </c>
      <c r="C18" s="7" t="s">
        <v>246</v>
      </c>
      <c r="D18" s="7" t="s">
        <v>2035</v>
      </c>
      <c r="E18" s="7" t="s">
        <v>1973</v>
      </c>
      <c r="F18" s="7"/>
      <c r="G18" s="7"/>
      <c r="H18" s="7" t="s">
        <v>65</v>
      </c>
      <c r="I18" s="7" t="s">
        <v>1976</v>
      </c>
      <c r="J18" s="7" t="s">
        <v>1961</v>
      </c>
      <c r="K18" s="7" t="s">
        <v>58</v>
      </c>
      <c r="L18" s="7" t="s">
        <v>2030</v>
      </c>
      <c r="M18" s="7" t="s">
        <v>2031</v>
      </c>
      <c r="N18" s="7" t="s">
        <v>2032</v>
      </c>
      <c r="O18" s="7" t="s">
        <v>79</v>
      </c>
      <c r="P18" s="7" t="s">
        <v>65</v>
      </c>
      <c r="Q18" s="7" t="s">
        <v>2033</v>
      </c>
      <c r="R18" s="7" t="s">
        <v>2026</v>
      </c>
      <c r="S18" s="7" t="s">
        <v>2027</v>
      </c>
      <c r="T18" s="7" t="s">
        <v>1960</v>
      </c>
      <c r="U18" s="7" t="s">
        <v>2028</v>
      </c>
      <c r="V18" s="7" t="s">
        <v>2029</v>
      </c>
      <c r="W18" s="7" t="s">
        <v>145</v>
      </c>
      <c r="X18" s="7" t="s">
        <v>1965</v>
      </c>
      <c r="Y18" s="7" t="s">
        <v>62</v>
      </c>
      <c r="Z18" s="7" t="s">
        <v>1969</v>
      </c>
    </row>
    <row r="19" customFormat="false" ht="27.75" hidden="false" customHeight="true" outlineLevel="0" collapsed="false">
      <c r="A19" s="8" t="s">
        <v>2444</v>
      </c>
      <c r="B19" s="8" t="s">
        <v>2452</v>
      </c>
      <c r="C19" s="8" t="s">
        <v>108</v>
      </c>
      <c r="D19" s="8" t="s">
        <v>2035</v>
      </c>
      <c r="E19" s="8" t="s">
        <v>2011</v>
      </c>
      <c r="F19" s="8"/>
      <c r="G19" s="8"/>
      <c r="H19" s="8" t="s">
        <v>65</v>
      </c>
      <c r="I19" s="8" t="s">
        <v>2014</v>
      </c>
      <c r="J19" s="8" t="s">
        <v>2445</v>
      </c>
      <c r="K19" s="8" t="s">
        <v>58</v>
      </c>
      <c r="L19" s="8" t="s">
        <v>2423</v>
      </c>
      <c r="M19" s="8" t="s">
        <v>2449</v>
      </c>
      <c r="N19" s="8" t="s">
        <v>2450</v>
      </c>
      <c r="O19" s="8" t="s">
        <v>79</v>
      </c>
      <c r="P19" s="8" t="s">
        <v>65</v>
      </c>
      <c r="Q19" s="8" t="s">
        <v>2451</v>
      </c>
      <c r="R19" s="8" t="s">
        <v>2446</v>
      </c>
      <c r="S19" s="8" t="s">
        <v>2447</v>
      </c>
      <c r="T19" s="8" t="s">
        <v>1960</v>
      </c>
      <c r="U19" s="8" t="s">
        <v>2448</v>
      </c>
      <c r="V19" s="8" t="s">
        <v>56</v>
      </c>
      <c r="W19" s="8" t="s">
        <v>109</v>
      </c>
      <c r="X19" s="8" t="s">
        <v>1965</v>
      </c>
      <c r="Y19" s="8" t="s">
        <v>62</v>
      </c>
      <c r="Z19" s="8" t="s">
        <v>1969</v>
      </c>
    </row>
    <row r="20" customFormat="false" ht="27.75" hidden="false" customHeight="true" outlineLevel="0" collapsed="false">
      <c r="A20" s="7" t="s">
        <v>2453</v>
      </c>
      <c r="B20" s="7" t="s">
        <v>2463</v>
      </c>
      <c r="C20" s="7" t="s">
        <v>120</v>
      </c>
      <c r="D20" s="7" t="s">
        <v>2035</v>
      </c>
      <c r="E20" s="7" t="s">
        <v>2011</v>
      </c>
      <c r="F20" s="7"/>
      <c r="G20" s="7"/>
      <c r="H20" s="7" t="s">
        <v>65</v>
      </c>
      <c r="I20" s="7" t="s">
        <v>2014</v>
      </c>
      <c r="J20" s="7" t="s">
        <v>2454</v>
      </c>
      <c r="K20" s="7" t="s">
        <v>58</v>
      </c>
      <c r="L20" s="7" t="s">
        <v>2459</v>
      </c>
      <c r="M20" s="7" t="s">
        <v>2460</v>
      </c>
      <c r="N20" s="7" t="s">
        <v>2461</v>
      </c>
      <c r="O20" s="7" t="s">
        <v>79</v>
      </c>
      <c r="P20" s="7" t="s">
        <v>65</v>
      </c>
      <c r="Q20" s="7" t="s">
        <v>2462</v>
      </c>
      <c r="R20" s="7" t="s">
        <v>2455</v>
      </c>
      <c r="S20" s="7" t="s">
        <v>2456</v>
      </c>
      <c r="T20" s="7" t="s">
        <v>1960</v>
      </c>
      <c r="U20" s="7" t="s">
        <v>2457</v>
      </c>
      <c r="V20" s="7" t="s">
        <v>56</v>
      </c>
      <c r="W20" s="7" t="s">
        <v>109</v>
      </c>
      <c r="X20" s="7" t="s">
        <v>2458</v>
      </c>
      <c r="Y20" s="7" t="s">
        <v>62</v>
      </c>
      <c r="Z20" s="7" t="s">
        <v>1969</v>
      </c>
    </row>
    <row r="21" customFormat="false" ht="27.75" hidden="false" customHeight="true" outlineLevel="0" collapsed="false">
      <c r="A21" s="8" t="s">
        <v>1959</v>
      </c>
      <c r="B21" s="8" t="s">
        <v>1971</v>
      </c>
      <c r="C21" s="8" t="s">
        <v>246</v>
      </c>
      <c r="D21" s="8" t="s">
        <v>1972</v>
      </c>
      <c r="E21" s="8" t="s">
        <v>1973</v>
      </c>
      <c r="F21" s="8" t="s">
        <v>1974</v>
      </c>
      <c r="G21" s="8" t="s">
        <v>1975</v>
      </c>
      <c r="H21" s="8" t="s">
        <v>65</v>
      </c>
      <c r="I21" s="8" t="s">
        <v>1976</v>
      </c>
      <c r="J21" s="8" t="s">
        <v>1961</v>
      </c>
      <c r="K21" s="8" t="s">
        <v>58</v>
      </c>
      <c r="L21" s="8" t="s">
        <v>1966</v>
      </c>
      <c r="M21" s="8" t="s">
        <v>1967</v>
      </c>
      <c r="N21" s="8" t="s">
        <v>1968</v>
      </c>
      <c r="O21" s="8"/>
      <c r="P21" s="8" t="s">
        <v>65</v>
      </c>
      <c r="Q21" s="8" t="s">
        <v>1970</v>
      </c>
      <c r="R21" s="8" t="s">
        <v>1962</v>
      </c>
      <c r="S21" s="8" t="s">
        <v>1963</v>
      </c>
      <c r="T21" s="8" t="s">
        <v>1960</v>
      </c>
      <c r="U21" s="8" t="s">
        <v>1964</v>
      </c>
      <c r="V21" s="8" t="s">
        <v>56</v>
      </c>
      <c r="W21" s="8" t="s">
        <v>145</v>
      </c>
      <c r="X21" s="8" t="s">
        <v>1965</v>
      </c>
      <c r="Y21" s="8" t="s">
        <v>62</v>
      </c>
      <c r="Z21" s="8" t="s">
        <v>1969</v>
      </c>
    </row>
    <row r="22" customFormat="false" ht="27.75" hidden="false" customHeight="true" outlineLevel="0" collapsed="false">
      <c r="A22" s="7" t="s">
        <v>1977</v>
      </c>
      <c r="B22" s="7" t="s">
        <v>1971</v>
      </c>
      <c r="C22" s="7" t="s">
        <v>1985</v>
      </c>
      <c r="D22" s="7" t="s">
        <v>1972</v>
      </c>
      <c r="E22" s="7" t="s">
        <v>1973</v>
      </c>
      <c r="F22" s="7" t="s">
        <v>1986</v>
      </c>
      <c r="G22" s="7" t="s">
        <v>1987</v>
      </c>
      <c r="H22" s="7" t="s">
        <v>65</v>
      </c>
      <c r="I22" s="7" t="s">
        <v>1976</v>
      </c>
      <c r="J22" s="7" t="s">
        <v>1961</v>
      </c>
      <c r="K22" s="7" t="s">
        <v>58</v>
      </c>
      <c r="L22" s="7" t="s">
        <v>1981</v>
      </c>
      <c r="M22" s="7" t="s">
        <v>1982</v>
      </c>
      <c r="N22" s="7" t="s">
        <v>1983</v>
      </c>
      <c r="O22" s="7"/>
      <c r="P22" s="7" t="s">
        <v>65</v>
      </c>
      <c r="Q22" s="7" t="s">
        <v>1984</v>
      </c>
      <c r="R22" s="7" t="s">
        <v>1978</v>
      </c>
      <c r="S22" s="7" t="s">
        <v>1979</v>
      </c>
      <c r="T22" s="7" t="s">
        <v>1960</v>
      </c>
      <c r="U22" s="7" t="s">
        <v>1980</v>
      </c>
      <c r="V22" s="7" t="s">
        <v>56</v>
      </c>
      <c r="W22" s="7" t="s">
        <v>145</v>
      </c>
      <c r="X22" s="7" t="s">
        <v>1965</v>
      </c>
      <c r="Y22" s="7" t="s">
        <v>62</v>
      </c>
      <c r="Z22" s="7" t="s">
        <v>1969</v>
      </c>
    </row>
    <row r="23" customFormat="false" ht="27.75" hidden="false" customHeight="true" outlineLevel="0" collapsed="false">
      <c r="A23" s="8" t="s">
        <v>2329</v>
      </c>
      <c r="B23" s="8" t="s">
        <v>2337</v>
      </c>
      <c r="C23" s="8" t="s">
        <v>144</v>
      </c>
      <c r="D23" s="8" t="s">
        <v>2233</v>
      </c>
      <c r="E23" s="8" t="s">
        <v>1973</v>
      </c>
      <c r="F23" s="8"/>
      <c r="G23" s="8" t="s">
        <v>2338</v>
      </c>
      <c r="H23" s="8" t="s">
        <v>65</v>
      </c>
      <c r="I23" s="8" t="s">
        <v>2048</v>
      </c>
      <c r="J23" s="8" t="s">
        <v>1961</v>
      </c>
      <c r="K23" s="8" t="s">
        <v>58</v>
      </c>
      <c r="L23" s="8" t="s">
        <v>2333</v>
      </c>
      <c r="M23" s="8" t="s">
        <v>2334</v>
      </c>
      <c r="N23" s="8" t="s">
        <v>2335</v>
      </c>
      <c r="O23" s="8" t="s">
        <v>79</v>
      </c>
      <c r="P23" s="8" t="s">
        <v>65</v>
      </c>
      <c r="Q23" s="8" t="s">
        <v>2336</v>
      </c>
      <c r="R23" s="8" t="s">
        <v>2330</v>
      </c>
      <c r="S23" s="8" t="s">
        <v>2331</v>
      </c>
      <c r="T23" s="8" t="s">
        <v>1960</v>
      </c>
      <c r="U23" s="8" t="s">
        <v>2332</v>
      </c>
      <c r="V23" s="8" t="s">
        <v>352</v>
      </c>
      <c r="W23" s="8" t="s">
        <v>73</v>
      </c>
      <c r="X23" s="8" t="s">
        <v>1965</v>
      </c>
      <c r="Y23" s="8" t="s">
        <v>62</v>
      </c>
      <c r="Z23" s="8" t="s">
        <v>1969</v>
      </c>
    </row>
    <row r="24" customFormat="false" ht="27.75" hidden="false" customHeight="true" outlineLevel="0" collapsed="false">
      <c r="A24" s="7" t="s">
        <v>2536</v>
      </c>
      <c r="B24" s="7" t="s">
        <v>2542</v>
      </c>
      <c r="C24" s="7" t="s">
        <v>2543</v>
      </c>
      <c r="D24" s="7" t="s">
        <v>2474</v>
      </c>
      <c r="E24" s="7" t="s">
        <v>2011</v>
      </c>
      <c r="F24" s="7"/>
      <c r="G24" s="7"/>
      <c r="H24" s="7" t="s">
        <v>65</v>
      </c>
      <c r="I24" s="7" t="s">
        <v>2014</v>
      </c>
      <c r="J24" s="7" t="s">
        <v>1961</v>
      </c>
      <c r="K24" s="7" t="s">
        <v>58</v>
      </c>
      <c r="L24" s="7" t="s">
        <v>2469</v>
      </c>
      <c r="M24" s="7" t="s">
        <v>2539</v>
      </c>
      <c r="N24" s="7" t="s">
        <v>2540</v>
      </c>
      <c r="O24" s="7" t="s">
        <v>79</v>
      </c>
      <c r="P24" s="7" t="s">
        <v>65</v>
      </c>
      <c r="Q24" s="7" t="s">
        <v>2541</v>
      </c>
      <c r="R24" s="7" t="s">
        <v>2537</v>
      </c>
      <c r="S24" s="7" t="s">
        <v>2466</v>
      </c>
      <c r="T24" s="7" t="s">
        <v>1960</v>
      </c>
      <c r="U24" s="7" t="s">
        <v>2538</v>
      </c>
      <c r="V24" s="7" t="s">
        <v>56</v>
      </c>
      <c r="W24" s="7" t="s">
        <v>73</v>
      </c>
      <c r="X24" s="7" t="s">
        <v>1965</v>
      </c>
      <c r="Y24" s="7" t="s">
        <v>62</v>
      </c>
      <c r="Z24" s="7" t="s">
        <v>1969</v>
      </c>
    </row>
    <row r="25" customFormat="false" ht="27.75" hidden="false" customHeight="true" outlineLevel="0" collapsed="false">
      <c r="A25" s="8" t="s">
        <v>2302</v>
      </c>
      <c r="B25" s="8" t="s">
        <v>2309</v>
      </c>
      <c r="C25" s="8" t="s">
        <v>2287</v>
      </c>
      <c r="D25" s="8" t="s">
        <v>771</v>
      </c>
      <c r="E25" s="8" t="s">
        <v>1973</v>
      </c>
      <c r="F25" s="8"/>
      <c r="G25" s="8" t="s">
        <v>2310</v>
      </c>
      <c r="H25" s="8" t="s">
        <v>65</v>
      </c>
      <c r="I25" s="8" t="s">
        <v>1976</v>
      </c>
      <c r="J25" s="8" t="s">
        <v>1961</v>
      </c>
      <c r="K25" s="8" t="s">
        <v>58</v>
      </c>
      <c r="L25" s="8" t="s">
        <v>2305</v>
      </c>
      <c r="M25" s="8" t="s">
        <v>2306</v>
      </c>
      <c r="N25" s="8" t="s">
        <v>2307</v>
      </c>
      <c r="O25" s="8" t="s">
        <v>79</v>
      </c>
      <c r="P25" s="8" t="s">
        <v>65</v>
      </c>
      <c r="Q25" s="8" t="s">
        <v>2308</v>
      </c>
      <c r="R25" s="8" t="s">
        <v>2303</v>
      </c>
      <c r="S25" s="8" t="s">
        <v>2304</v>
      </c>
      <c r="T25" s="8" t="s">
        <v>1960</v>
      </c>
      <c r="U25" s="8" t="s">
        <v>2293</v>
      </c>
      <c r="V25" s="8" t="s">
        <v>352</v>
      </c>
      <c r="W25" s="8" t="s">
        <v>145</v>
      </c>
      <c r="X25" s="8" t="s">
        <v>1965</v>
      </c>
      <c r="Y25" s="8" t="s">
        <v>62</v>
      </c>
      <c r="Z25" s="8" t="s">
        <v>1969</v>
      </c>
    </row>
    <row r="26" customFormat="false" ht="27.75" hidden="false" customHeight="true" outlineLevel="0" collapsed="false">
      <c r="A26" s="7" t="s">
        <v>2586</v>
      </c>
      <c r="B26" s="7" t="s">
        <v>2595</v>
      </c>
      <c r="C26" s="7" t="s">
        <v>2123</v>
      </c>
      <c r="D26" s="7" t="s">
        <v>846</v>
      </c>
      <c r="E26" s="7" t="s">
        <v>1973</v>
      </c>
      <c r="F26" s="7"/>
      <c r="G26" s="7"/>
      <c r="H26" s="7" t="s">
        <v>65</v>
      </c>
      <c r="I26" s="7" t="s">
        <v>2398</v>
      </c>
      <c r="J26" s="7" t="s">
        <v>1961</v>
      </c>
      <c r="K26" s="7" t="s">
        <v>58</v>
      </c>
      <c r="L26" s="7" t="s">
        <v>2591</v>
      </c>
      <c r="M26" s="7" t="s">
        <v>2592</v>
      </c>
      <c r="N26" s="7" t="s">
        <v>2593</v>
      </c>
      <c r="O26" s="7" t="s">
        <v>160</v>
      </c>
      <c r="P26" s="7" t="s">
        <v>65</v>
      </c>
      <c r="Q26" s="7" t="s">
        <v>2594</v>
      </c>
      <c r="R26" s="7" t="s">
        <v>2587</v>
      </c>
      <c r="S26" s="7" t="s">
        <v>2588</v>
      </c>
      <c r="T26" s="7" t="s">
        <v>1960</v>
      </c>
      <c r="U26" s="7" t="s">
        <v>2589</v>
      </c>
      <c r="V26" s="7" t="s">
        <v>352</v>
      </c>
      <c r="W26" s="7" t="s">
        <v>145</v>
      </c>
      <c r="X26" s="7" t="s">
        <v>2590</v>
      </c>
      <c r="Y26" s="7" t="s">
        <v>62</v>
      </c>
      <c r="Z26" s="7" t="s">
        <v>1969</v>
      </c>
    </row>
    <row r="27" customFormat="false" ht="27.75" hidden="false" customHeight="true" outlineLevel="0" collapsed="false">
      <c r="A27" s="8" t="s">
        <v>2432</v>
      </c>
      <c r="B27" s="8" t="s">
        <v>2440</v>
      </c>
      <c r="C27" s="8" t="s">
        <v>108</v>
      </c>
      <c r="D27" s="8" t="s">
        <v>2441</v>
      </c>
      <c r="E27" s="8" t="s">
        <v>2011</v>
      </c>
      <c r="F27" s="8" t="s">
        <v>2442</v>
      </c>
      <c r="G27" s="8" t="s">
        <v>2443</v>
      </c>
      <c r="H27" s="8" t="s">
        <v>65</v>
      </c>
      <c r="I27" s="8" t="s">
        <v>2014</v>
      </c>
      <c r="J27" s="8" t="s">
        <v>1961</v>
      </c>
      <c r="K27" s="8" t="s">
        <v>58</v>
      </c>
      <c r="L27" s="8" t="s">
        <v>2436</v>
      </c>
      <c r="M27" s="8" t="s">
        <v>2437</v>
      </c>
      <c r="N27" s="8" t="s">
        <v>2438</v>
      </c>
      <c r="O27" s="8"/>
      <c r="P27" s="8" t="s">
        <v>65</v>
      </c>
      <c r="Q27" s="8" t="s">
        <v>2439</v>
      </c>
      <c r="R27" s="8" t="s">
        <v>2433</v>
      </c>
      <c r="S27" s="8" t="s">
        <v>2434</v>
      </c>
      <c r="T27" s="8" t="s">
        <v>1960</v>
      </c>
      <c r="U27" s="8" t="s">
        <v>2435</v>
      </c>
      <c r="V27" s="8" t="s">
        <v>56</v>
      </c>
      <c r="W27" s="8" t="s">
        <v>73</v>
      </c>
      <c r="X27" s="8" t="s">
        <v>1965</v>
      </c>
      <c r="Y27" s="8" t="s">
        <v>62</v>
      </c>
      <c r="Z27" s="8" t="s">
        <v>1969</v>
      </c>
    </row>
    <row r="28" customFormat="false" ht="27.75" hidden="false" customHeight="true" outlineLevel="0" collapsed="false">
      <c r="A28" s="7" t="s">
        <v>2522</v>
      </c>
      <c r="B28" s="7" t="s">
        <v>2533</v>
      </c>
      <c r="C28" s="7" t="s">
        <v>2503</v>
      </c>
      <c r="D28" s="7" t="s">
        <v>2534</v>
      </c>
      <c r="E28" s="7" t="s">
        <v>2385</v>
      </c>
      <c r="F28" s="7" t="s">
        <v>2148</v>
      </c>
      <c r="G28" s="7" t="s">
        <v>2535</v>
      </c>
      <c r="H28" s="7" t="s">
        <v>65</v>
      </c>
      <c r="I28" s="7" t="s">
        <v>2398</v>
      </c>
      <c r="J28" s="7" t="s">
        <v>2523</v>
      </c>
      <c r="K28" s="7" t="s">
        <v>58</v>
      </c>
      <c r="L28" s="7" t="s">
        <v>2528</v>
      </c>
      <c r="M28" s="7" t="s">
        <v>2529</v>
      </c>
      <c r="N28" s="7" t="s">
        <v>2530</v>
      </c>
      <c r="O28" s="7" t="s">
        <v>2531</v>
      </c>
      <c r="P28" s="7" t="s">
        <v>65</v>
      </c>
      <c r="Q28" s="7" t="s">
        <v>2532</v>
      </c>
      <c r="R28" s="7" t="s">
        <v>2524</v>
      </c>
      <c r="S28" s="7" t="s">
        <v>2525</v>
      </c>
      <c r="T28" s="7" t="s">
        <v>1960</v>
      </c>
      <c r="U28" s="7" t="s">
        <v>2526</v>
      </c>
      <c r="V28" s="7" t="s">
        <v>2527</v>
      </c>
      <c r="W28" s="7" t="s">
        <v>145</v>
      </c>
      <c r="X28" s="7" t="s">
        <v>1965</v>
      </c>
      <c r="Y28" s="7" t="s">
        <v>62</v>
      </c>
      <c r="Z28" s="7" t="s">
        <v>1969</v>
      </c>
    </row>
    <row r="29" customFormat="false" ht="27.75" hidden="false" customHeight="true" outlineLevel="0" collapsed="false">
      <c r="A29" s="8" t="s">
        <v>2339</v>
      </c>
      <c r="B29" s="8" t="s">
        <v>2348</v>
      </c>
      <c r="C29" s="8" t="s">
        <v>144</v>
      </c>
      <c r="D29" s="8" t="s">
        <v>815</v>
      </c>
      <c r="E29" s="8" t="s">
        <v>1973</v>
      </c>
      <c r="F29" s="8"/>
      <c r="G29" s="8" t="s">
        <v>2349</v>
      </c>
      <c r="H29" s="8" t="s">
        <v>544</v>
      </c>
      <c r="I29" s="8" t="s">
        <v>1976</v>
      </c>
      <c r="J29" s="8" t="s">
        <v>2290</v>
      </c>
      <c r="K29" s="8" t="s">
        <v>58</v>
      </c>
      <c r="L29" s="8" t="s">
        <v>2344</v>
      </c>
      <c r="M29" s="8" t="s">
        <v>2345</v>
      </c>
      <c r="N29" s="8" t="s">
        <v>2346</v>
      </c>
      <c r="O29" s="8"/>
      <c r="P29" s="8" t="s">
        <v>65</v>
      </c>
      <c r="Q29" s="8" t="s">
        <v>2347</v>
      </c>
      <c r="R29" s="8" t="s">
        <v>2340</v>
      </c>
      <c r="S29" s="8" t="s">
        <v>2341</v>
      </c>
      <c r="T29" s="8" t="s">
        <v>1960</v>
      </c>
      <c r="U29" s="8" t="s">
        <v>2342</v>
      </c>
      <c r="V29" s="8" t="s">
        <v>2343</v>
      </c>
      <c r="W29" s="8" t="s">
        <v>109</v>
      </c>
      <c r="X29" s="8" t="s">
        <v>1965</v>
      </c>
      <c r="Y29" s="8" t="s">
        <v>62</v>
      </c>
      <c r="Z29" s="8" t="s">
        <v>1969</v>
      </c>
    </row>
    <row r="30" customFormat="false" ht="27.75" hidden="false" customHeight="true" outlineLevel="0" collapsed="false">
      <c r="A30" s="7" t="s">
        <v>2189</v>
      </c>
      <c r="B30" s="7" t="s">
        <v>2198</v>
      </c>
      <c r="C30" s="7" t="s">
        <v>2199</v>
      </c>
      <c r="D30" s="7" t="s">
        <v>890</v>
      </c>
      <c r="E30" s="7" t="s">
        <v>1973</v>
      </c>
      <c r="F30" s="7" t="s">
        <v>2200</v>
      </c>
      <c r="G30" s="7" t="s">
        <v>2201</v>
      </c>
      <c r="H30" s="7" t="s">
        <v>65</v>
      </c>
      <c r="I30" s="7" t="s">
        <v>1976</v>
      </c>
      <c r="J30" s="7" t="s">
        <v>1961</v>
      </c>
      <c r="K30" s="7" t="s">
        <v>58</v>
      </c>
      <c r="L30" s="7" t="s">
        <v>2194</v>
      </c>
      <c r="M30" s="7" t="s">
        <v>2195</v>
      </c>
      <c r="N30" s="7" t="s">
        <v>2196</v>
      </c>
      <c r="O30" s="7"/>
      <c r="P30" s="7" t="s">
        <v>65</v>
      </c>
      <c r="Q30" s="7" t="s">
        <v>2197</v>
      </c>
      <c r="R30" s="7" t="s">
        <v>2190</v>
      </c>
      <c r="S30" s="7" t="s">
        <v>2191</v>
      </c>
      <c r="T30" s="7" t="s">
        <v>1960</v>
      </c>
      <c r="U30" s="7" t="s">
        <v>2192</v>
      </c>
      <c r="V30" s="7" t="s">
        <v>2193</v>
      </c>
      <c r="W30" s="7" t="s">
        <v>145</v>
      </c>
      <c r="X30" s="7" t="s">
        <v>1965</v>
      </c>
      <c r="Y30" s="7" t="s">
        <v>62</v>
      </c>
      <c r="Z30" s="7" t="s">
        <v>1969</v>
      </c>
    </row>
    <row r="31" customFormat="false" ht="27.75" hidden="false" customHeight="true" outlineLevel="0" collapsed="false">
      <c r="A31" s="8" t="s">
        <v>2202</v>
      </c>
      <c r="B31" s="8" t="s">
        <v>2198</v>
      </c>
      <c r="C31" s="8" t="s">
        <v>2199</v>
      </c>
      <c r="D31" s="8" t="s">
        <v>846</v>
      </c>
      <c r="E31" s="8" t="s">
        <v>1973</v>
      </c>
      <c r="F31" s="8" t="s">
        <v>2147</v>
      </c>
      <c r="G31" s="8" t="s">
        <v>2210</v>
      </c>
      <c r="H31" s="8" t="s">
        <v>65</v>
      </c>
      <c r="I31" s="8" t="s">
        <v>1976</v>
      </c>
      <c r="J31" s="8" t="s">
        <v>1961</v>
      </c>
      <c r="K31" s="8" t="s">
        <v>58</v>
      </c>
      <c r="L31" s="8" t="s">
        <v>2206</v>
      </c>
      <c r="M31" s="8" t="s">
        <v>2207</v>
      </c>
      <c r="N31" s="8" t="s">
        <v>2208</v>
      </c>
      <c r="O31" s="8"/>
      <c r="P31" s="8" t="s">
        <v>65</v>
      </c>
      <c r="Q31" s="8" t="s">
        <v>2209</v>
      </c>
      <c r="R31" s="8" t="s">
        <v>2203</v>
      </c>
      <c r="S31" s="8" t="s">
        <v>2204</v>
      </c>
      <c r="T31" s="8" t="s">
        <v>1960</v>
      </c>
      <c r="U31" s="8" t="s">
        <v>2205</v>
      </c>
      <c r="V31" s="8" t="s">
        <v>2193</v>
      </c>
      <c r="W31" s="8" t="s">
        <v>145</v>
      </c>
      <c r="X31" s="8" t="s">
        <v>1965</v>
      </c>
      <c r="Y31" s="8" t="s">
        <v>62</v>
      </c>
      <c r="Z31" s="8" t="s">
        <v>1969</v>
      </c>
    </row>
    <row r="32" customFormat="false" ht="27.75" hidden="false" customHeight="true" outlineLevel="0" collapsed="false">
      <c r="A32" s="7" t="s">
        <v>2636</v>
      </c>
      <c r="B32" s="7" t="s">
        <v>2198</v>
      </c>
      <c r="C32" s="7" t="s">
        <v>2199</v>
      </c>
      <c r="D32" s="7" t="s">
        <v>771</v>
      </c>
      <c r="E32" s="7" t="s">
        <v>1973</v>
      </c>
      <c r="F32" s="7" t="s">
        <v>2147</v>
      </c>
      <c r="G32" s="7" t="s">
        <v>2210</v>
      </c>
      <c r="H32" s="7" t="s">
        <v>65</v>
      </c>
      <c r="I32" s="7" t="s">
        <v>1976</v>
      </c>
      <c r="J32" s="7" t="s">
        <v>1961</v>
      </c>
      <c r="K32" s="7" t="s">
        <v>58</v>
      </c>
      <c r="L32" s="7" t="s">
        <v>2005</v>
      </c>
      <c r="M32" s="7" t="s">
        <v>2632</v>
      </c>
      <c r="N32" s="7" t="s">
        <v>2640</v>
      </c>
      <c r="O32" s="7"/>
      <c r="P32" s="7" t="s">
        <v>65</v>
      </c>
      <c r="Q32" s="7" t="s">
        <v>2641</v>
      </c>
      <c r="R32" s="7" t="s">
        <v>2637</v>
      </c>
      <c r="S32" s="7" t="s">
        <v>2638</v>
      </c>
      <c r="T32" s="7" t="s">
        <v>1960</v>
      </c>
      <c r="U32" s="7" t="s">
        <v>2639</v>
      </c>
      <c r="V32" s="7" t="s">
        <v>56</v>
      </c>
      <c r="W32" s="7" t="s">
        <v>145</v>
      </c>
      <c r="X32" s="7" t="s">
        <v>1965</v>
      </c>
      <c r="Y32" s="7" t="s">
        <v>62</v>
      </c>
      <c r="Z32" s="7" t="s">
        <v>1969</v>
      </c>
    </row>
    <row r="33" customFormat="false" ht="27.75" hidden="false" customHeight="true" outlineLevel="0" collapsed="false">
      <c r="A33" s="8" t="s">
        <v>2562</v>
      </c>
      <c r="B33" s="8" t="s">
        <v>2571</v>
      </c>
      <c r="C33" s="8" t="s">
        <v>2572</v>
      </c>
      <c r="D33" s="8" t="s">
        <v>266</v>
      </c>
      <c r="E33" s="8" t="s">
        <v>2104</v>
      </c>
      <c r="F33" s="8" t="s">
        <v>2573</v>
      </c>
      <c r="G33" s="8" t="s">
        <v>2573</v>
      </c>
      <c r="H33" s="8" t="s">
        <v>65</v>
      </c>
      <c r="I33" s="8" t="s">
        <v>2398</v>
      </c>
      <c r="J33" s="8" t="s">
        <v>2563</v>
      </c>
      <c r="K33" s="8" t="s">
        <v>58</v>
      </c>
      <c r="L33" s="8" t="s">
        <v>2567</v>
      </c>
      <c r="M33" s="8" t="s">
        <v>2568</v>
      </c>
      <c r="N33" s="8" t="s">
        <v>2569</v>
      </c>
      <c r="O33" s="8"/>
      <c r="P33" s="8" t="s">
        <v>65</v>
      </c>
      <c r="Q33" s="8" t="s">
        <v>2570</v>
      </c>
      <c r="R33" s="8" t="s">
        <v>2564</v>
      </c>
      <c r="S33" s="8" t="s">
        <v>2565</v>
      </c>
      <c r="T33" s="8" t="s">
        <v>1960</v>
      </c>
      <c r="U33" s="8" t="s">
        <v>2566</v>
      </c>
      <c r="V33" s="8" t="s">
        <v>352</v>
      </c>
      <c r="W33" s="8" t="s">
        <v>145</v>
      </c>
      <c r="X33" s="8" t="s">
        <v>1965</v>
      </c>
      <c r="Y33" s="8" t="s">
        <v>62</v>
      </c>
      <c r="Z33" s="8" t="s">
        <v>1969</v>
      </c>
    </row>
    <row r="34" customFormat="false" ht="27.75" hidden="false" customHeight="true" outlineLevel="0" collapsed="false">
      <c r="A34" s="7" t="s">
        <v>2544</v>
      </c>
      <c r="B34" s="7" t="s">
        <v>2553</v>
      </c>
      <c r="C34" s="7" t="s">
        <v>2554</v>
      </c>
      <c r="D34" s="7" t="s">
        <v>1077</v>
      </c>
      <c r="E34" s="7" t="s">
        <v>1973</v>
      </c>
      <c r="F34" s="7"/>
      <c r="G34" s="7" t="s">
        <v>2245</v>
      </c>
      <c r="H34" s="7" t="s">
        <v>65</v>
      </c>
      <c r="I34" s="7" t="s">
        <v>1976</v>
      </c>
      <c r="J34" s="7" t="s">
        <v>2290</v>
      </c>
      <c r="K34" s="7" t="s">
        <v>58</v>
      </c>
      <c r="L34" s="7" t="s">
        <v>2549</v>
      </c>
      <c r="M34" s="7" t="s">
        <v>2550</v>
      </c>
      <c r="N34" s="7" t="s">
        <v>2551</v>
      </c>
      <c r="O34" s="7" t="s">
        <v>79</v>
      </c>
      <c r="P34" s="7" t="s">
        <v>65</v>
      </c>
      <c r="Q34" s="7" t="s">
        <v>2552</v>
      </c>
      <c r="R34" s="7" t="s">
        <v>2545</v>
      </c>
      <c r="S34" s="7" t="s">
        <v>2546</v>
      </c>
      <c r="T34" s="7" t="s">
        <v>1960</v>
      </c>
      <c r="U34" s="7" t="s">
        <v>2547</v>
      </c>
      <c r="V34" s="7" t="s">
        <v>2548</v>
      </c>
      <c r="W34" s="7" t="s">
        <v>145</v>
      </c>
      <c r="X34" s="7" t="s">
        <v>1965</v>
      </c>
      <c r="Y34" s="7" t="s">
        <v>62</v>
      </c>
      <c r="Z34" s="7" t="s">
        <v>1969</v>
      </c>
    </row>
    <row r="35" customFormat="false" ht="27.75" hidden="false" customHeight="true" outlineLevel="0" collapsed="false">
      <c r="A35" s="8" t="s">
        <v>2036</v>
      </c>
      <c r="B35" s="8" t="s">
        <v>2045</v>
      </c>
      <c r="C35" s="8" t="s">
        <v>246</v>
      </c>
      <c r="D35" s="8" t="s">
        <v>2046</v>
      </c>
      <c r="E35" s="8" t="s">
        <v>1973</v>
      </c>
      <c r="F35" s="8"/>
      <c r="G35" s="8" t="s">
        <v>2047</v>
      </c>
      <c r="H35" s="8" t="s">
        <v>65</v>
      </c>
      <c r="I35" s="8" t="s">
        <v>2048</v>
      </c>
      <c r="J35" s="8" t="s">
        <v>1961</v>
      </c>
      <c r="K35" s="8" t="s">
        <v>58</v>
      </c>
      <c r="L35" s="8" t="s">
        <v>2041</v>
      </c>
      <c r="M35" s="8" t="s">
        <v>2042</v>
      </c>
      <c r="N35" s="8" t="s">
        <v>2043</v>
      </c>
      <c r="O35" s="8" t="s">
        <v>79</v>
      </c>
      <c r="P35" s="8" t="s">
        <v>65</v>
      </c>
      <c r="Q35" s="8" t="s">
        <v>2044</v>
      </c>
      <c r="R35" s="8" t="s">
        <v>2037</v>
      </c>
      <c r="S35" s="8" t="s">
        <v>2038</v>
      </c>
      <c r="T35" s="8" t="s">
        <v>1960</v>
      </c>
      <c r="U35" s="8" t="s">
        <v>2039</v>
      </c>
      <c r="V35" s="8" t="s">
        <v>2040</v>
      </c>
      <c r="W35" s="8" t="s">
        <v>145</v>
      </c>
      <c r="X35" s="8" t="s">
        <v>1965</v>
      </c>
      <c r="Y35" s="8" t="s">
        <v>62</v>
      </c>
      <c r="Z35" s="8" t="s">
        <v>1969</v>
      </c>
    </row>
    <row r="36" customFormat="false" ht="27.75" hidden="false" customHeight="true" outlineLevel="0" collapsed="false">
      <c r="A36" s="7" t="s">
        <v>2667</v>
      </c>
      <c r="B36" s="7" t="s">
        <v>2676</v>
      </c>
      <c r="C36" s="7" t="s">
        <v>2220</v>
      </c>
      <c r="D36" s="7" t="s">
        <v>841</v>
      </c>
      <c r="E36" s="7" t="s">
        <v>2166</v>
      </c>
      <c r="F36" s="7"/>
      <c r="G36" s="7"/>
      <c r="H36" s="7" t="s">
        <v>65</v>
      </c>
      <c r="I36" s="7" t="s">
        <v>2398</v>
      </c>
      <c r="J36" s="7" t="s">
        <v>1961</v>
      </c>
      <c r="K36" s="7" t="s">
        <v>58</v>
      </c>
      <c r="L36" s="7" t="s">
        <v>2672</v>
      </c>
      <c r="M36" s="7" t="s">
        <v>2673</v>
      </c>
      <c r="N36" s="7" t="s">
        <v>2674</v>
      </c>
      <c r="O36" s="7" t="s">
        <v>79</v>
      </c>
      <c r="P36" s="7" t="s">
        <v>65</v>
      </c>
      <c r="Q36" s="7" t="s">
        <v>2675</v>
      </c>
      <c r="R36" s="7" t="s">
        <v>2668</v>
      </c>
      <c r="S36" s="7" t="s">
        <v>2669</v>
      </c>
      <c r="T36" s="7" t="s">
        <v>1960</v>
      </c>
      <c r="U36" s="7" t="s">
        <v>2670</v>
      </c>
      <c r="V36" s="7" t="s">
        <v>2671</v>
      </c>
      <c r="W36" s="7" t="s">
        <v>73</v>
      </c>
      <c r="X36" s="7" t="s">
        <v>1965</v>
      </c>
      <c r="Y36" s="7" t="s">
        <v>62</v>
      </c>
      <c r="Z36" s="7" t="s">
        <v>1969</v>
      </c>
    </row>
    <row r="37" customFormat="false" ht="27.75" hidden="false" customHeight="true" outlineLevel="0" collapsed="false">
      <c r="A37" s="8" t="s">
        <v>2464</v>
      </c>
      <c r="B37" s="8" t="s">
        <v>2473</v>
      </c>
      <c r="C37" s="8" t="s">
        <v>120</v>
      </c>
      <c r="D37" s="8" t="s">
        <v>2474</v>
      </c>
      <c r="E37" s="8" t="s">
        <v>2011</v>
      </c>
      <c r="F37" s="8"/>
      <c r="G37" s="8"/>
      <c r="H37" s="8" t="s">
        <v>65</v>
      </c>
      <c r="I37" s="8" t="s">
        <v>2014</v>
      </c>
      <c r="J37" s="8" t="s">
        <v>2363</v>
      </c>
      <c r="K37" s="8" t="s">
        <v>58</v>
      </c>
      <c r="L37" s="8" t="s">
        <v>2469</v>
      </c>
      <c r="M37" s="8" t="s">
        <v>2470</v>
      </c>
      <c r="N37" s="8" t="s">
        <v>2471</v>
      </c>
      <c r="O37" s="8" t="s">
        <v>79</v>
      </c>
      <c r="P37" s="8" t="s">
        <v>65</v>
      </c>
      <c r="Q37" s="8" t="s">
        <v>2472</v>
      </c>
      <c r="R37" s="8" t="s">
        <v>2465</v>
      </c>
      <c r="S37" s="8" t="s">
        <v>2466</v>
      </c>
      <c r="T37" s="8" t="s">
        <v>1960</v>
      </c>
      <c r="U37" s="8" t="s">
        <v>2467</v>
      </c>
      <c r="V37" s="8" t="s">
        <v>2468</v>
      </c>
      <c r="W37" s="8" t="s">
        <v>2065</v>
      </c>
      <c r="X37" s="8" t="s">
        <v>1965</v>
      </c>
      <c r="Y37" s="8" t="s">
        <v>62</v>
      </c>
      <c r="Z37" s="8" t="s">
        <v>1969</v>
      </c>
    </row>
    <row r="38" customFormat="false" ht="27.75" hidden="false" customHeight="true" outlineLevel="0" collapsed="false">
      <c r="A38" s="7" t="s">
        <v>2257</v>
      </c>
      <c r="B38" s="7" t="s">
        <v>2265</v>
      </c>
      <c r="C38" s="7" t="s">
        <v>2266</v>
      </c>
      <c r="D38" s="7" t="s">
        <v>785</v>
      </c>
      <c r="E38" s="7" t="s">
        <v>1973</v>
      </c>
      <c r="F38" s="7"/>
      <c r="G38" s="7"/>
      <c r="H38" s="7" t="s">
        <v>65</v>
      </c>
      <c r="I38" s="7" t="s">
        <v>2048</v>
      </c>
      <c r="J38" s="7" t="s">
        <v>1961</v>
      </c>
      <c r="K38" s="7" t="s">
        <v>58</v>
      </c>
      <c r="L38" s="7" t="s">
        <v>2261</v>
      </c>
      <c r="M38" s="7" t="s">
        <v>2262</v>
      </c>
      <c r="N38" s="7" t="s">
        <v>2263</v>
      </c>
      <c r="O38" s="7" t="s">
        <v>79</v>
      </c>
      <c r="P38" s="7" t="s">
        <v>65</v>
      </c>
      <c r="Q38" s="7" t="s">
        <v>2264</v>
      </c>
      <c r="R38" s="7" t="s">
        <v>2258</v>
      </c>
      <c r="S38" s="7" t="s">
        <v>2259</v>
      </c>
      <c r="T38" s="7" t="s">
        <v>1960</v>
      </c>
      <c r="U38" s="7" t="s">
        <v>2260</v>
      </c>
      <c r="V38" s="7" t="s">
        <v>395</v>
      </c>
      <c r="W38" s="7" t="s">
        <v>145</v>
      </c>
      <c r="X38" s="7" t="s">
        <v>1965</v>
      </c>
      <c r="Y38" s="7" t="s">
        <v>62</v>
      </c>
      <c r="Z38" s="7" t="s">
        <v>1969</v>
      </c>
    </row>
    <row r="39" customFormat="false" ht="27.75" hidden="false" customHeight="true" outlineLevel="0" collapsed="false">
      <c r="A39" s="8" t="s">
        <v>2510</v>
      </c>
      <c r="B39" s="8" t="s">
        <v>2265</v>
      </c>
      <c r="C39" s="8" t="s">
        <v>2503</v>
      </c>
      <c r="D39" s="8" t="s">
        <v>2519</v>
      </c>
      <c r="E39" s="8" t="s">
        <v>1973</v>
      </c>
      <c r="F39" s="8" t="s">
        <v>2520</v>
      </c>
      <c r="G39" s="8" t="s">
        <v>2521</v>
      </c>
      <c r="H39" s="8" t="s">
        <v>65</v>
      </c>
      <c r="I39" s="8" t="s">
        <v>1976</v>
      </c>
      <c r="J39" s="8" t="s">
        <v>1961</v>
      </c>
      <c r="K39" s="8" t="s">
        <v>58</v>
      </c>
      <c r="L39" s="8" t="s">
        <v>2515</v>
      </c>
      <c r="M39" s="8" t="s">
        <v>2516</v>
      </c>
      <c r="N39" s="8" t="s">
        <v>2517</v>
      </c>
      <c r="O39" s="8"/>
      <c r="P39" s="8" t="s">
        <v>65</v>
      </c>
      <c r="Q39" s="8" t="s">
        <v>2518</v>
      </c>
      <c r="R39" s="8" t="s">
        <v>2511</v>
      </c>
      <c r="S39" s="8" t="s">
        <v>2512</v>
      </c>
      <c r="T39" s="8" t="s">
        <v>1960</v>
      </c>
      <c r="U39" s="8" t="s">
        <v>2513</v>
      </c>
      <c r="V39" s="8" t="s">
        <v>2117</v>
      </c>
      <c r="W39" s="8" t="s">
        <v>2514</v>
      </c>
      <c r="X39" s="8" t="s">
        <v>1965</v>
      </c>
      <c r="Y39" s="8" t="s">
        <v>62</v>
      </c>
      <c r="Z39" s="8" t="s">
        <v>1969</v>
      </c>
    </row>
    <row r="40" customFormat="false" ht="27.75" hidden="false" customHeight="true" outlineLevel="0" collapsed="false">
      <c r="A40" s="7" t="s">
        <v>2384</v>
      </c>
      <c r="B40" s="7" t="s">
        <v>2394</v>
      </c>
      <c r="C40" s="7" t="s">
        <v>2395</v>
      </c>
      <c r="D40" s="7" t="s">
        <v>1031</v>
      </c>
      <c r="E40" s="7" t="s">
        <v>2385</v>
      </c>
      <c r="F40" s="7" t="s">
        <v>2396</v>
      </c>
      <c r="G40" s="7" t="s">
        <v>2397</v>
      </c>
      <c r="H40" s="7" t="s">
        <v>65</v>
      </c>
      <c r="I40" s="7" t="s">
        <v>2398</v>
      </c>
      <c r="J40" s="7" t="s">
        <v>2385</v>
      </c>
      <c r="K40" s="7" t="s">
        <v>58</v>
      </c>
      <c r="L40" s="7" t="s">
        <v>2390</v>
      </c>
      <c r="M40" s="7" t="s">
        <v>2391</v>
      </c>
      <c r="N40" s="7" t="s">
        <v>2392</v>
      </c>
      <c r="O40" s="7"/>
      <c r="P40" s="7" t="s">
        <v>65</v>
      </c>
      <c r="Q40" s="7" t="s">
        <v>2393</v>
      </c>
      <c r="R40" s="7" t="s">
        <v>2386</v>
      </c>
      <c r="S40" s="7" t="s">
        <v>2387</v>
      </c>
      <c r="T40" s="7" t="s">
        <v>1960</v>
      </c>
      <c r="U40" s="7" t="s">
        <v>2388</v>
      </c>
      <c r="V40" s="7" t="s">
        <v>1767</v>
      </c>
      <c r="W40" s="7" t="s">
        <v>145</v>
      </c>
      <c r="X40" s="7" t="s">
        <v>2389</v>
      </c>
      <c r="Y40" s="7" t="s">
        <v>62</v>
      </c>
      <c r="Z40" s="7" t="s">
        <v>1969</v>
      </c>
    </row>
    <row r="41" customFormat="false" ht="27.75" hidden="false" customHeight="true" outlineLevel="0" collapsed="false">
      <c r="A41" s="8" t="s">
        <v>2496</v>
      </c>
      <c r="B41" s="8" t="s">
        <v>2394</v>
      </c>
      <c r="C41" s="8" t="s">
        <v>2503</v>
      </c>
      <c r="D41" s="8" t="s">
        <v>2093</v>
      </c>
      <c r="E41" s="8" t="s">
        <v>1973</v>
      </c>
      <c r="F41" s="8"/>
      <c r="G41" s="8"/>
      <c r="H41" s="8" t="s">
        <v>65</v>
      </c>
      <c r="I41" s="8" t="s">
        <v>1976</v>
      </c>
      <c r="J41" s="8" t="s">
        <v>1961</v>
      </c>
      <c r="K41" s="8" t="s">
        <v>58</v>
      </c>
      <c r="L41" s="8" t="s">
        <v>2088</v>
      </c>
      <c r="M41" s="8" t="s">
        <v>2500</v>
      </c>
      <c r="N41" s="8" t="s">
        <v>2501</v>
      </c>
      <c r="O41" s="8" t="s">
        <v>79</v>
      </c>
      <c r="P41" s="8" t="s">
        <v>65</v>
      </c>
      <c r="Q41" s="8" t="s">
        <v>2502</v>
      </c>
      <c r="R41" s="8" t="s">
        <v>2497</v>
      </c>
      <c r="S41" s="8" t="s">
        <v>2498</v>
      </c>
      <c r="T41" s="8" t="s">
        <v>1960</v>
      </c>
      <c r="U41" s="8" t="s">
        <v>2499</v>
      </c>
      <c r="V41" s="8" t="s">
        <v>56</v>
      </c>
      <c r="W41" s="8" t="s">
        <v>73</v>
      </c>
      <c r="X41" s="8" t="s">
        <v>1965</v>
      </c>
      <c r="Y41" s="8" t="s">
        <v>62</v>
      </c>
      <c r="Z41" s="8" t="s">
        <v>1969</v>
      </c>
    </row>
    <row r="42" customFormat="false" ht="27.75" hidden="false" customHeight="true" outlineLevel="0" collapsed="false">
      <c r="A42" s="7" t="s">
        <v>2688</v>
      </c>
      <c r="B42" s="7" t="s">
        <v>2697</v>
      </c>
      <c r="C42" s="7" t="s">
        <v>72</v>
      </c>
      <c r="D42" s="7" t="s">
        <v>2428</v>
      </c>
      <c r="E42" s="7" t="s">
        <v>2166</v>
      </c>
      <c r="F42" s="7"/>
      <c r="G42" s="7"/>
      <c r="H42" s="7" t="s">
        <v>65</v>
      </c>
      <c r="I42" s="7" t="s">
        <v>2698</v>
      </c>
      <c r="J42" s="7" t="s">
        <v>1961</v>
      </c>
      <c r="K42" s="7" t="s">
        <v>74</v>
      </c>
      <c r="L42" s="7" t="s">
        <v>2693</v>
      </c>
      <c r="M42" s="7" t="s">
        <v>2694</v>
      </c>
      <c r="N42" s="7" t="s">
        <v>2695</v>
      </c>
      <c r="O42" s="7" t="s">
        <v>79</v>
      </c>
      <c r="P42" s="7" t="s">
        <v>65</v>
      </c>
      <c r="Q42" s="7" t="s">
        <v>2696</v>
      </c>
      <c r="R42" s="7" t="s">
        <v>2689</v>
      </c>
      <c r="S42" s="7" t="s">
        <v>2040</v>
      </c>
      <c r="T42" s="7" t="s">
        <v>1960</v>
      </c>
      <c r="U42" s="7" t="s">
        <v>2690</v>
      </c>
      <c r="V42" s="7" t="s">
        <v>2691</v>
      </c>
      <c r="W42" s="7" t="s">
        <v>109</v>
      </c>
      <c r="X42" s="7" t="s">
        <v>2692</v>
      </c>
      <c r="Y42" s="7" t="s">
        <v>62</v>
      </c>
      <c r="Z42" s="7" t="s">
        <v>1969</v>
      </c>
    </row>
    <row r="43" customFormat="false" ht="27.75" hidden="false" customHeight="true" outlineLevel="0" collapsed="false">
      <c r="A43" s="8" t="s">
        <v>2015</v>
      </c>
      <c r="B43" s="8" t="s">
        <v>2023</v>
      </c>
      <c r="C43" s="8" t="s">
        <v>108</v>
      </c>
      <c r="D43" s="8" t="s">
        <v>266</v>
      </c>
      <c r="E43" s="8" t="s">
        <v>1973</v>
      </c>
      <c r="F43" s="8" t="s">
        <v>2024</v>
      </c>
      <c r="G43" s="8" t="s">
        <v>1987</v>
      </c>
      <c r="H43" s="8" t="s">
        <v>65</v>
      </c>
      <c r="I43" s="8" t="s">
        <v>1976</v>
      </c>
      <c r="J43" s="8" t="s">
        <v>1961</v>
      </c>
      <c r="K43" s="8" t="s">
        <v>58</v>
      </c>
      <c r="L43" s="8" t="s">
        <v>2019</v>
      </c>
      <c r="M43" s="8" t="s">
        <v>2020</v>
      </c>
      <c r="N43" s="8" t="s">
        <v>2021</v>
      </c>
      <c r="O43" s="8"/>
      <c r="P43" s="8" t="s">
        <v>65</v>
      </c>
      <c r="Q43" s="8" t="s">
        <v>2022</v>
      </c>
      <c r="R43" s="8" t="s">
        <v>2016</v>
      </c>
      <c r="S43" s="8" t="s">
        <v>2017</v>
      </c>
      <c r="T43" s="8" t="s">
        <v>1960</v>
      </c>
      <c r="U43" s="8" t="s">
        <v>2018</v>
      </c>
      <c r="V43" s="8" t="s">
        <v>56</v>
      </c>
      <c r="W43" s="8" t="s">
        <v>145</v>
      </c>
      <c r="X43" s="8" t="s">
        <v>1965</v>
      </c>
      <c r="Y43" s="8" t="s">
        <v>62</v>
      </c>
      <c r="Z43" s="8" t="s">
        <v>1969</v>
      </c>
    </row>
    <row r="44" customFormat="false" ht="27.75" hidden="false" customHeight="true" outlineLevel="0" collapsed="false">
      <c r="A44" s="7" t="s">
        <v>2350</v>
      </c>
      <c r="B44" s="7" t="s">
        <v>2359</v>
      </c>
      <c r="C44" s="7" t="s">
        <v>340</v>
      </c>
      <c r="D44" s="7" t="s">
        <v>2360</v>
      </c>
      <c r="E44" s="7" t="s">
        <v>2104</v>
      </c>
      <c r="F44" s="7" t="s">
        <v>2361</v>
      </c>
      <c r="G44" s="7" t="s">
        <v>2361</v>
      </c>
      <c r="H44" s="7" t="s">
        <v>65</v>
      </c>
      <c r="I44" s="7" t="s">
        <v>2014</v>
      </c>
      <c r="J44" s="7" t="s">
        <v>2351</v>
      </c>
      <c r="K44" s="7" t="s">
        <v>58</v>
      </c>
      <c r="L44" s="7" t="s">
        <v>2355</v>
      </c>
      <c r="M44" s="7" t="s">
        <v>2356</v>
      </c>
      <c r="N44" s="7" t="s">
        <v>2357</v>
      </c>
      <c r="O44" s="7"/>
      <c r="P44" s="7" t="s">
        <v>65</v>
      </c>
      <c r="Q44" s="7" t="s">
        <v>2358</v>
      </c>
      <c r="R44" s="7" t="s">
        <v>2352</v>
      </c>
      <c r="S44" s="7" t="s">
        <v>2353</v>
      </c>
      <c r="T44" s="7" t="s">
        <v>1960</v>
      </c>
      <c r="U44" s="7" t="s">
        <v>2354</v>
      </c>
      <c r="V44" s="7" t="s">
        <v>352</v>
      </c>
      <c r="W44" s="7" t="s">
        <v>109</v>
      </c>
      <c r="X44" s="7" t="s">
        <v>1965</v>
      </c>
      <c r="Y44" s="7" t="s">
        <v>62</v>
      </c>
      <c r="Z44" s="7" t="s">
        <v>1969</v>
      </c>
    </row>
    <row r="45" customFormat="false" ht="27.75" hidden="false" customHeight="true" outlineLevel="0" collapsed="false">
      <c r="A45" s="8" t="s">
        <v>2136</v>
      </c>
      <c r="B45" s="8" t="s">
        <v>2145</v>
      </c>
      <c r="C45" s="8" t="s">
        <v>55</v>
      </c>
      <c r="D45" s="8" t="s">
        <v>2146</v>
      </c>
      <c r="E45" s="8" t="s">
        <v>1973</v>
      </c>
      <c r="F45" s="8" t="s">
        <v>2147</v>
      </c>
      <c r="G45" s="8" t="s">
        <v>2148</v>
      </c>
      <c r="H45" s="8" t="s">
        <v>544</v>
      </c>
      <c r="I45" s="8" t="s">
        <v>2014</v>
      </c>
      <c r="J45" s="8" t="s">
        <v>1961</v>
      </c>
      <c r="K45" s="8" t="s">
        <v>58</v>
      </c>
      <c r="L45" s="8" t="s">
        <v>2141</v>
      </c>
      <c r="M45" s="8" t="s">
        <v>2142</v>
      </c>
      <c r="N45" s="8" t="s">
        <v>2143</v>
      </c>
      <c r="O45" s="8"/>
      <c r="P45" s="8" t="s">
        <v>65</v>
      </c>
      <c r="Q45" s="8" t="s">
        <v>2144</v>
      </c>
      <c r="R45" s="8" t="s">
        <v>2137</v>
      </c>
      <c r="S45" s="8" t="s">
        <v>2138</v>
      </c>
      <c r="T45" s="8" t="s">
        <v>1960</v>
      </c>
      <c r="U45" s="8" t="s">
        <v>2139</v>
      </c>
      <c r="V45" s="8" t="s">
        <v>2140</v>
      </c>
      <c r="W45" s="8" t="s">
        <v>109</v>
      </c>
      <c r="X45" s="8" t="s">
        <v>1965</v>
      </c>
      <c r="Y45" s="8" t="s">
        <v>62</v>
      </c>
      <c r="Z45" s="8" t="s">
        <v>1969</v>
      </c>
    </row>
    <row r="46" customFormat="false" ht="27.75" hidden="false" customHeight="true" outlineLevel="0" collapsed="false">
      <c r="A46" s="7" t="s">
        <v>2409</v>
      </c>
      <c r="B46" s="7" t="s">
        <v>2416</v>
      </c>
      <c r="C46" s="7" t="s">
        <v>108</v>
      </c>
      <c r="D46" s="7" t="s">
        <v>2082</v>
      </c>
      <c r="E46" s="7" t="s">
        <v>1973</v>
      </c>
      <c r="F46" s="7" t="s">
        <v>2147</v>
      </c>
      <c r="G46" s="7" t="s">
        <v>2417</v>
      </c>
      <c r="H46" s="7" t="s">
        <v>65</v>
      </c>
      <c r="I46" s="7" t="s">
        <v>1976</v>
      </c>
      <c r="J46" s="7" t="s">
        <v>1961</v>
      </c>
      <c r="K46" s="7" t="s">
        <v>58</v>
      </c>
      <c r="L46" s="7" t="s">
        <v>2161</v>
      </c>
      <c r="M46" s="7" t="s">
        <v>2413</v>
      </c>
      <c r="N46" s="7" t="s">
        <v>2414</v>
      </c>
      <c r="O46" s="7"/>
      <c r="P46" s="7" t="s">
        <v>65</v>
      </c>
      <c r="Q46" s="7" t="s">
        <v>2415</v>
      </c>
      <c r="R46" s="7" t="s">
        <v>2410</v>
      </c>
      <c r="S46" s="7" t="s">
        <v>2411</v>
      </c>
      <c r="T46" s="7" t="s">
        <v>1960</v>
      </c>
      <c r="U46" s="7" t="s">
        <v>2412</v>
      </c>
      <c r="V46" s="7" t="s">
        <v>56</v>
      </c>
      <c r="W46" s="7" t="s">
        <v>145</v>
      </c>
      <c r="X46" s="7" t="s">
        <v>1965</v>
      </c>
      <c r="Y46" s="7" t="s">
        <v>62</v>
      </c>
      <c r="Z46" s="7" t="s">
        <v>1969</v>
      </c>
    </row>
    <row r="47" customFormat="false" ht="27.75" hidden="false" customHeight="true" outlineLevel="0" collapsed="false">
      <c r="A47" s="8" t="s">
        <v>2267</v>
      </c>
      <c r="B47" s="8" t="s">
        <v>2274</v>
      </c>
      <c r="C47" s="8" t="s">
        <v>246</v>
      </c>
      <c r="D47" s="8" t="s">
        <v>785</v>
      </c>
      <c r="E47" s="8" t="s">
        <v>1973</v>
      </c>
      <c r="F47" s="8"/>
      <c r="G47" s="8" t="s">
        <v>2275</v>
      </c>
      <c r="H47" s="8" t="s">
        <v>65</v>
      </c>
      <c r="I47" s="8" t="s">
        <v>2048</v>
      </c>
      <c r="J47" s="8" t="s">
        <v>1961</v>
      </c>
      <c r="K47" s="8" t="s">
        <v>58</v>
      </c>
      <c r="L47" s="8" t="s">
        <v>2239</v>
      </c>
      <c r="M47" s="8" t="s">
        <v>2271</v>
      </c>
      <c r="N47" s="8" t="s">
        <v>2272</v>
      </c>
      <c r="O47" s="8" t="s">
        <v>79</v>
      </c>
      <c r="P47" s="8" t="s">
        <v>65</v>
      </c>
      <c r="Q47" s="8" t="s">
        <v>2273</v>
      </c>
      <c r="R47" s="8" t="s">
        <v>2268</v>
      </c>
      <c r="S47" s="8" t="s">
        <v>2269</v>
      </c>
      <c r="T47" s="8" t="s">
        <v>1960</v>
      </c>
      <c r="U47" s="8" t="s">
        <v>2270</v>
      </c>
      <c r="V47" s="8" t="s">
        <v>2040</v>
      </c>
      <c r="W47" s="8" t="s">
        <v>145</v>
      </c>
      <c r="X47" s="8" t="s">
        <v>1965</v>
      </c>
      <c r="Y47" s="8" t="s">
        <v>62</v>
      </c>
      <c r="Z47" s="8" t="s">
        <v>1969</v>
      </c>
    </row>
    <row r="48" customFormat="false" ht="27.75" hidden="false" customHeight="true" outlineLevel="0" collapsed="false">
      <c r="A48" s="7" t="s">
        <v>2626</v>
      </c>
      <c r="B48" s="7" t="s">
        <v>2635</v>
      </c>
      <c r="C48" s="7" t="s">
        <v>108</v>
      </c>
      <c r="D48" s="7" t="s">
        <v>771</v>
      </c>
      <c r="E48" s="7" t="s">
        <v>1973</v>
      </c>
      <c r="F48" s="7"/>
      <c r="G48" s="7"/>
      <c r="H48" s="7" t="s">
        <v>65</v>
      </c>
      <c r="I48" s="7" t="s">
        <v>1976</v>
      </c>
      <c r="J48" s="7" t="s">
        <v>1961</v>
      </c>
      <c r="K48" s="7" t="s">
        <v>74</v>
      </c>
      <c r="L48" s="7" t="s">
        <v>2631</v>
      </c>
      <c r="M48" s="7" t="s">
        <v>2632</v>
      </c>
      <c r="N48" s="7" t="s">
        <v>2633</v>
      </c>
      <c r="O48" s="7" t="s">
        <v>79</v>
      </c>
      <c r="P48" s="7" t="s">
        <v>65</v>
      </c>
      <c r="Q48" s="7" t="s">
        <v>2634</v>
      </c>
      <c r="R48" s="7" t="s">
        <v>2627</v>
      </c>
      <c r="S48" s="7" t="s">
        <v>2628</v>
      </c>
      <c r="T48" s="7" t="s">
        <v>1960</v>
      </c>
      <c r="U48" s="7" t="s">
        <v>2629</v>
      </c>
      <c r="V48" s="7" t="s">
        <v>2117</v>
      </c>
      <c r="W48" s="7" t="s">
        <v>145</v>
      </c>
      <c r="X48" s="7" t="s">
        <v>2630</v>
      </c>
      <c r="Y48" s="7" t="s">
        <v>62</v>
      </c>
      <c r="Z48" s="7" t="s">
        <v>1969</v>
      </c>
    </row>
    <row r="49" customFormat="false" ht="27.75" hidden="false" customHeight="true" outlineLevel="0" collapsed="false">
      <c r="A49" s="8" t="s">
        <v>2223</v>
      </c>
      <c r="B49" s="8" t="s">
        <v>2232</v>
      </c>
      <c r="C49" s="8" t="s">
        <v>2220</v>
      </c>
      <c r="D49" s="8" t="s">
        <v>2233</v>
      </c>
      <c r="E49" s="8" t="s">
        <v>1973</v>
      </c>
      <c r="F49" s="8"/>
      <c r="G49" s="8" t="s">
        <v>2188</v>
      </c>
      <c r="H49" s="8" t="s">
        <v>65</v>
      </c>
      <c r="I49" s="8" t="s">
        <v>1976</v>
      </c>
      <c r="J49" s="8" t="s">
        <v>1961</v>
      </c>
      <c r="K49" s="8" t="s">
        <v>58</v>
      </c>
      <c r="L49" s="8" t="s">
        <v>2228</v>
      </c>
      <c r="M49" s="8" t="s">
        <v>2229</v>
      </c>
      <c r="N49" s="8" t="s">
        <v>2230</v>
      </c>
      <c r="O49" s="8" t="s">
        <v>79</v>
      </c>
      <c r="P49" s="8" t="s">
        <v>65</v>
      </c>
      <c r="Q49" s="8" t="s">
        <v>2231</v>
      </c>
      <c r="R49" s="8" t="s">
        <v>2224</v>
      </c>
      <c r="S49" s="8" t="s">
        <v>2225</v>
      </c>
      <c r="T49" s="8" t="s">
        <v>1960</v>
      </c>
      <c r="U49" s="8" t="s">
        <v>2226</v>
      </c>
      <c r="V49" s="8" t="s">
        <v>56</v>
      </c>
      <c r="W49" s="8" t="s">
        <v>2227</v>
      </c>
      <c r="X49" s="8" t="s">
        <v>1965</v>
      </c>
      <c r="Y49" s="8" t="s">
        <v>62</v>
      </c>
      <c r="Z49" s="8" t="s">
        <v>1969</v>
      </c>
    </row>
    <row r="50" customFormat="false" ht="27.75" hidden="false" customHeight="true" outlineLevel="0" collapsed="false">
      <c r="A50" s="7" t="s">
        <v>2167</v>
      </c>
      <c r="B50" s="7" t="s">
        <v>2176</v>
      </c>
      <c r="C50" s="7" t="s">
        <v>55</v>
      </c>
      <c r="D50" s="7" t="s">
        <v>2177</v>
      </c>
      <c r="E50" s="7" t="s">
        <v>2011</v>
      </c>
      <c r="F50" s="7" t="s">
        <v>2178</v>
      </c>
      <c r="G50" s="7" t="s">
        <v>2179</v>
      </c>
      <c r="H50" s="7" t="s">
        <v>65</v>
      </c>
      <c r="I50" s="7" t="s">
        <v>2014</v>
      </c>
      <c r="J50" s="7" t="s">
        <v>1961</v>
      </c>
      <c r="K50" s="7" t="s">
        <v>58</v>
      </c>
      <c r="L50" s="7" t="s">
        <v>2172</v>
      </c>
      <c r="M50" s="7" t="s">
        <v>2173</v>
      </c>
      <c r="N50" s="7" t="s">
        <v>2174</v>
      </c>
      <c r="O50" s="7"/>
      <c r="P50" s="7" t="s">
        <v>65</v>
      </c>
      <c r="Q50" s="7" t="s">
        <v>2175</v>
      </c>
      <c r="R50" s="7" t="s">
        <v>2168</v>
      </c>
      <c r="S50" s="7" t="s">
        <v>2169</v>
      </c>
      <c r="T50" s="7" t="s">
        <v>1960</v>
      </c>
      <c r="U50" s="7" t="s">
        <v>2170</v>
      </c>
      <c r="V50" s="7" t="s">
        <v>2171</v>
      </c>
      <c r="W50" s="7" t="s">
        <v>145</v>
      </c>
      <c r="X50" s="7" t="s">
        <v>1965</v>
      </c>
      <c r="Y50" s="7" t="s">
        <v>62</v>
      </c>
      <c r="Z50" s="7" t="s">
        <v>1969</v>
      </c>
    </row>
    <row r="51" customFormat="false" ht="27.75" hidden="false" customHeight="true" outlineLevel="0" collapsed="false">
      <c r="A51" s="8" t="s">
        <v>1988</v>
      </c>
      <c r="B51" s="8" t="s">
        <v>1996</v>
      </c>
      <c r="C51" s="8" t="s">
        <v>97</v>
      </c>
      <c r="D51" s="8" t="s">
        <v>1997</v>
      </c>
      <c r="E51" s="8" t="s">
        <v>1973</v>
      </c>
      <c r="F51" s="8" t="s">
        <v>1998</v>
      </c>
      <c r="G51" s="8" t="s">
        <v>1999</v>
      </c>
      <c r="H51" s="8" t="s">
        <v>544</v>
      </c>
      <c r="I51" s="8" t="s">
        <v>1976</v>
      </c>
      <c r="J51" s="8" t="s">
        <v>1961</v>
      </c>
      <c r="K51" s="8" t="s">
        <v>58</v>
      </c>
      <c r="L51" s="8" t="s">
        <v>1992</v>
      </c>
      <c r="M51" s="8" t="s">
        <v>1993</v>
      </c>
      <c r="N51" s="8" t="s">
        <v>1994</v>
      </c>
      <c r="O51" s="8"/>
      <c r="P51" s="8" t="s">
        <v>65</v>
      </c>
      <c r="Q51" s="8" t="s">
        <v>1995</v>
      </c>
      <c r="R51" s="8" t="s">
        <v>1989</v>
      </c>
      <c r="S51" s="8" t="s">
        <v>1990</v>
      </c>
      <c r="T51" s="8" t="s">
        <v>1960</v>
      </c>
      <c r="U51" s="8" t="s">
        <v>1991</v>
      </c>
      <c r="V51" s="8" t="s">
        <v>56</v>
      </c>
      <c r="W51" s="8" t="s">
        <v>73</v>
      </c>
      <c r="X51" s="8" t="s">
        <v>1965</v>
      </c>
      <c r="Y51" s="8" t="s">
        <v>62</v>
      </c>
      <c r="Z51" s="8" t="s">
        <v>1969</v>
      </c>
    </row>
    <row r="52" customFormat="false" ht="27.75" hidden="false" customHeight="true" outlineLevel="0" collapsed="false">
      <c r="A52" s="7" t="s">
        <v>2321</v>
      </c>
      <c r="B52" s="7" t="s">
        <v>2328</v>
      </c>
      <c r="C52" s="7" t="s">
        <v>144</v>
      </c>
      <c r="D52" s="7" t="s">
        <v>890</v>
      </c>
      <c r="E52" s="7" t="s">
        <v>1973</v>
      </c>
      <c r="F52" s="7"/>
      <c r="G52" s="7"/>
      <c r="H52" s="7" t="s">
        <v>65</v>
      </c>
      <c r="I52" s="7" t="s">
        <v>1976</v>
      </c>
      <c r="J52" s="7" t="s">
        <v>1961</v>
      </c>
      <c r="K52" s="7" t="s">
        <v>58</v>
      </c>
      <c r="L52" s="7" t="s">
        <v>2324</v>
      </c>
      <c r="M52" s="7" t="s">
        <v>2325</v>
      </c>
      <c r="N52" s="7" t="s">
        <v>2326</v>
      </c>
      <c r="O52" s="7" t="s">
        <v>79</v>
      </c>
      <c r="P52" s="7" t="s">
        <v>65</v>
      </c>
      <c r="Q52" s="7" t="s">
        <v>2327</v>
      </c>
      <c r="R52" s="7" t="s">
        <v>2322</v>
      </c>
      <c r="S52" s="7" t="s">
        <v>2040</v>
      </c>
      <c r="T52" s="7" t="s">
        <v>1960</v>
      </c>
      <c r="U52" s="7" t="s">
        <v>2314</v>
      </c>
      <c r="V52" s="7" t="s">
        <v>2323</v>
      </c>
      <c r="W52" s="7" t="s">
        <v>145</v>
      </c>
      <c r="X52" s="7" t="s">
        <v>1965</v>
      </c>
      <c r="Y52" s="7" t="s">
        <v>62</v>
      </c>
      <c r="Z52" s="7" t="s">
        <v>1969</v>
      </c>
    </row>
    <row r="53" customFormat="false" ht="27.75" hidden="false" customHeight="true" outlineLevel="0" collapsed="false">
      <c r="A53" s="8" t="s">
        <v>2000</v>
      </c>
      <c r="B53" s="8" t="s">
        <v>2009</v>
      </c>
      <c r="C53" s="8" t="s">
        <v>2010</v>
      </c>
      <c r="D53" s="8" t="s">
        <v>771</v>
      </c>
      <c r="E53" s="8" t="s">
        <v>2011</v>
      </c>
      <c r="F53" s="8" t="s">
        <v>2012</v>
      </c>
      <c r="G53" s="8" t="s">
        <v>2013</v>
      </c>
      <c r="H53" s="8" t="s">
        <v>65</v>
      </c>
      <c r="I53" s="8" t="s">
        <v>2014</v>
      </c>
      <c r="J53" s="8" t="s">
        <v>1961</v>
      </c>
      <c r="K53" s="8" t="s">
        <v>58</v>
      </c>
      <c r="L53" s="8" t="s">
        <v>2005</v>
      </c>
      <c r="M53" s="8" t="s">
        <v>2006</v>
      </c>
      <c r="N53" s="8" t="s">
        <v>2007</v>
      </c>
      <c r="O53" s="8"/>
      <c r="P53" s="8" t="s">
        <v>65</v>
      </c>
      <c r="Q53" s="8" t="s">
        <v>2008</v>
      </c>
      <c r="R53" s="8" t="s">
        <v>2001</v>
      </c>
      <c r="S53" s="8" t="s">
        <v>2002</v>
      </c>
      <c r="T53" s="8" t="s">
        <v>1960</v>
      </c>
      <c r="U53" s="8" t="s">
        <v>2003</v>
      </c>
      <c r="V53" s="8" t="s">
        <v>2004</v>
      </c>
      <c r="W53" s="8" t="s">
        <v>145</v>
      </c>
      <c r="X53" s="8" t="s">
        <v>1965</v>
      </c>
      <c r="Y53" s="8" t="s">
        <v>62</v>
      </c>
      <c r="Z53" s="8" t="s">
        <v>1969</v>
      </c>
    </row>
    <row r="54" customFormat="false" ht="27.75" hidden="false" customHeight="true" outlineLevel="0" collapsed="false">
      <c r="A54" s="7" t="s">
        <v>2619</v>
      </c>
      <c r="B54" s="7" t="s">
        <v>2625</v>
      </c>
      <c r="C54" s="7" t="s">
        <v>2287</v>
      </c>
      <c r="D54" s="7" t="s">
        <v>771</v>
      </c>
      <c r="E54" s="7" t="s">
        <v>1973</v>
      </c>
      <c r="F54" s="7"/>
      <c r="G54" s="7"/>
      <c r="H54" s="7" t="s">
        <v>65</v>
      </c>
      <c r="I54" s="7" t="s">
        <v>1976</v>
      </c>
      <c r="J54" s="7" t="s">
        <v>1961</v>
      </c>
      <c r="K54" s="7" t="s">
        <v>58</v>
      </c>
      <c r="L54" s="7" t="s">
        <v>2295</v>
      </c>
      <c r="M54" s="7" t="s">
        <v>2622</v>
      </c>
      <c r="N54" s="7" t="s">
        <v>2623</v>
      </c>
      <c r="O54" s="7" t="s">
        <v>79</v>
      </c>
      <c r="P54" s="7" t="s">
        <v>65</v>
      </c>
      <c r="Q54" s="7" t="s">
        <v>2624</v>
      </c>
      <c r="R54" s="7" t="s">
        <v>2620</v>
      </c>
      <c r="S54" s="7" t="s">
        <v>2621</v>
      </c>
      <c r="T54" s="7" t="s">
        <v>1960</v>
      </c>
      <c r="U54" s="7" t="s">
        <v>2293</v>
      </c>
      <c r="V54" s="7" t="s">
        <v>2294</v>
      </c>
      <c r="W54" s="7" t="s">
        <v>145</v>
      </c>
      <c r="X54" s="7" t="s">
        <v>1965</v>
      </c>
      <c r="Y54" s="7" t="s">
        <v>62</v>
      </c>
      <c r="Z54" s="7" t="s">
        <v>1969</v>
      </c>
    </row>
    <row r="55" customFormat="false" ht="27.75" hidden="false" customHeight="true" outlineLevel="0" collapsed="false">
      <c r="A55" s="8" t="s">
        <v>2418</v>
      </c>
      <c r="B55" s="8" t="s">
        <v>2427</v>
      </c>
      <c r="C55" s="8" t="s">
        <v>108</v>
      </c>
      <c r="D55" s="8" t="s">
        <v>2428</v>
      </c>
      <c r="E55" s="8" t="s">
        <v>2429</v>
      </c>
      <c r="F55" s="8" t="s">
        <v>2430</v>
      </c>
      <c r="G55" s="8" t="s">
        <v>2431</v>
      </c>
      <c r="H55" s="8" t="s">
        <v>544</v>
      </c>
      <c r="I55" s="8" t="s">
        <v>1976</v>
      </c>
      <c r="J55" s="8" t="s">
        <v>2419</v>
      </c>
      <c r="K55" s="8" t="s">
        <v>58</v>
      </c>
      <c r="L55" s="8" t="s">
        <v>2423</v>
      </c>
      <c r="M55" s="8" t="s">
        <v>2424</v>
      </c>
      <c r="N55" s="8" t="s">
        <v>2425</v>
      </c>
      <c r="O55" s="8"/>
      <c r="P55" s="8" t="s">
        <v>65</v>
      </c>
      <c r="Q55" s="8" t="s">
        <v>2426</v>
      </c>
      <c r="R55" s="8" t="s">
        <v>2420</v>
      </c>
      <c r="S55" s="8" t="s">
        <v>2421</v>
      </c>
      <c r="T55" s="8" t="s">
        <v>1960</v>
      </c>
      <c r="U55" s="8" t="s">
        <v>2422</v>
      </c>
      <c r="V55" s="8" t="s">
        <v>352</v>
      </c>
      <c r="W55" s="8" t="s">
        <v>109</v>
      </c>
      <c r="X55" s="8" t="s">
        <v>1965</v>
      </c>
      <c r="Y55" s="8" t="s">
        <v>62</v>
      </c>
      <c r="Z55" s="8" t="s">
        <v>1969</v>
      </c>
    </row>
    <row r="56" customFormat="false" ht="27.75" hidden="false" customHeight="true" outlineLevel="0" collapsed="false">
      <c r="A56" s="7" t="s">
        <v>2049</v>
      </c>
      <c r="B56" s="7" t="s">
        <v>2058</v>
      </c>
      <c r="C56" s="7" t="s">
        <v>246</v>
      </c>
      <c r="D56" s="7" t="s">
        <v>815</v>
      </c>
      <c r="E56" s="7" t="s">
        <v>1973</v>
      </c>
      <c r="F56" s="7" t="s">
        <v>2059</v>
      </c>
      <c r="G56" s="7" t="s">
        <v>2060</v>
      </c>
      <c r="H56" s="7" t="s">
        <v>544</v>
      </c>
      <c r="I56" s="7" t="s">
        <v>1976</v>
      </c>
      <c r="J56" s="7" t="s">
        <v>1961</v>
      </c>
      <c r="K56" s="7" t="s">
        <v>58</v>
      </c>
      <c r="L56" s="7" t="s">
        <v>2054</v>
      </c>
      <c r="M56" s="7" t="s">
        <v>2055</v>
      </c>
      <c r="N56" s="7" t="s">
        <v>2056</v>
      </c>
      <c r="O56" s="7"/>
      <c r="P56" s="7" t="s">
        <v>65</v>
      </c>
      <c r="Q56" s="7" t="s">
        <v>2057</v>
      </c>
      <c r="R56" s="7" t="s">
        <v>2050</v>
      </c>
      <c r="S56" s="7" t="s">
        <v>2051</v>
      </c>
      <c r="T56" s="7" t="s">
        <v>1960</v>
      </c>
      <c r="U56" s="7" t="s">
        <v>2052</v>
      </c>
      <c r="V56" s="7" t="s">
        <v>2053</v>
      </c>
      <c r="W56" s="7" t="s">
        <v>145</v>
      </c>
      <c r="X56" s="7" t="s">
        <v>1965</v>
      </c>
      <c r="Y56" s="7" t="s">
        <v>62</v>
      </c>
      <c r="Z56" s="7" t="s">
        <v>1969</v>
      </c>
    </row>
    <row r="57" customFormat="false" ht="27.75" hidden="false" customHeight="true" outlineLevel="0" collapsed="false">
      <c r="A57" s="8" t="s">
        <v>2113</v>
      </c>
      <c r="B57" s="8" t="s">
        <v>2122</v>
      </c>
      <c r="C57" s="8" t="s">
        <v>2123</v>
      </c>
      <c r="D57" s="8" t="s">
        <v>846</v>
      </c>
      <c r="E57" s="8" t="s">
        <v>1973</v>
      </c>
      <c r="F57" s="8" t="s">
        <v>1998</v>
      </c>
      <c r="G57" s="8" t="s">
        <v>1987</v>
      </c>
      <c r="H57" s="8" t="s">
        <v>65</v>
      </c>
      <c r="I57" s="8" t="s">
        <v>1976</v>
      </c>
      <c r="J57" s="8" t="s">
        <v>1961</v>
      </c>
      <c r="K57" s="8" t="s">
        <v>58</v>
      </c>
      <c r="L57" s="8" t="s">
        <v>2118</v>
      </c>
      <c r="M57" s="8" t="s">
        <v>2119</v>
      </c>
      <c r="N57" s="8" t="s">
        <v>2120</v>
      </c>
      <c r="O57" s="8"/>
      <c r="P57" s="8" t="s">
        <v>65</v>
      </c>
      <c r="Q57" s="8" t="s">
        <v>2121</v>
      </c>
      <c r="R57" s="8" t="s">
        <v>2114</v>
      </c>
      <c r="S57" s="8" t="s">
        <v>2115</v>
      </c>
      <c r="T57" s="8" t="s">
        <v>1960</v>
      </c>
      <c r="U57" s="8" t="s">
        <v>2116</v>
      </c>
      <c r="V57" s="8" t="s">
        <v>2117</v>
      </c>
      <c r="W57" s="8" t="s">
        <v>145</v>
      </c>
      <c r="X57" s="8" t="s">
        <v>1965</v>
      </c>
      <c r="Y57" s="8" t="s">
        <v>62</v>
      </c>
      <c r="Z57" s="8" t="s">
        <v>1969</v>
      </c>
    </row>
    <row r="58" customFormat="false" ht="27.75" hidden="false" customHeight="true" outlineLevel="0" collapsed="false">
      <c r="A58" s="7" t="s">
        <v>2609</v>
      </c>
      <c r="B58" s="7" t="s">
        <v>2617</v>
      </c>
      <c r="C58" s="7" t="s">
        <v>2612</v>
      </c>
      <c r="D58" s="7" t="s">
        <v>2134</v>
      </c>
      <c r="E58" s="7" t="s">
        <v>2429</v>
      </c>
      <c r="F58" s="7" t="s">
        <v>2618</v>
      </c>
      <c r="G58" s="7" t="s">
        <v>2618</v>
      </c>
      <c r="H58" s="7" t="s">
        <v>544</v>
      </c>
      <c r="I58" s="7" t="s">
        <v>2608</v>
      </c>
      <c r="J58" s="7" t="s">
        <v>2150</v>
      </c>
      <c r="K58" s="7" t="s">
        <v>58</v>
      </c>
      <c r="L58" s="7" t="s">
        <v>2613</v>
      </c>
      <c r="M58" s="7" t="s">
        <v>2614</v>
      </c>
      <c r="N58" s="7" t="s">
        <v>2615</v>
      </c>
      <c r="O58" s="7"/>
      <c r="P58" s="7" t="s">
        <v>65</v>
      </c>
      <c r="Q58" s="7" t="s">
        <v>2616</v>
      </c>
      <c r="R58" s="7" t="s">
        <v>2610</v>
      </c>
      <c r="S58" s="7" t="s">
        <v>2611</v>
      </c>
      <c r="T58" s="7" t="s">
        <v>1960</v>
      </c>
      <c r="U58" s="7" t="s">
        <v>2612</v>
      </c>
      <c r="V58" s="7" t="s">
        <v>56</v>
      </c>
      <c r="W58" s="7" t="s">
        <v>109</v>
      </c>
      <c r="X58" s="7" t="s">
        <v>1965</v>
      </c>
      <c r="Y58" s="7" t="s">
        <v>62</v>
      </c>
      <c r="Z58" s="7" t="s">
        <v>1969</v>
      </c>
    </row>
    <row r="59" customFormat="false" ht="27.75" hidden="false" customHeight="true" outlineLevel="0" collapsed="false">
      <c r="A59" s="8" t="s">
        <v>2094</v>
      </c>
      <c r="B59" s="8" t="s">
        <v>2103</v>
      </c>
      <c r="C59" s="8" t="s">
        <v>246</v>
      </c>
      <c r="D59" s="8" t="s">
        <v>2093</v>
      </c>
      <c r="E59" s="8" t="s">
        <v>2104</v>
      </c>
      <c r="F59" s="8"/>
      <c r="G59" s="8"/>
      <c r="H59" s="8" t="s">
        <v>65</v>
      </c>
      <c r="I59" s="8" t="s">
        <v>2048</v>
      </c>
      <c r="J59" s="8" t="s">
        <v>2095</v>
      </c>
      <c r="K59" s="8" t="s">
        <v>58</v>
      </c>
      <c r="L59" s="8" t="s">
        <v>2099</v>
      </c>
      <c r="M59" s="8" t="s">
        <v>2100</v>
      </c>
      <c r="N59" s="8" t="s">
        <v>2101</v>
      </c>
      <c r="O59" s="8"/>
      <c r="P59" s="8" t="s">
        <v>65</v>
      </c>
      <c r="Q59" s="8" t="s">
        <v>2102</v>
      </c>
      <c r="R59" s="8" t="s">
        <v>2096</v>
      </c>
      <c r="S59" s="8" t="s">
        <v>2097</v>
      </c>
      <c r="T59" s="8" t="s">
        <v>1960</v>
      </c>
      <c r="U59" s="8" t="s">
        <v>2087</v>
      </c>
      <c r="V59" s="8" t="s">
        <v>2029</v>
      </c>
      <c r="W59" s="8" t="s">
        <v>73</v>
      </c>
      <c r="X59" s="8" t="s">
        <v>2098</v>
      </c>
      <c r="Y59" s="8" t="s">
        <v>62</v>
      </c>
      <c r="Z59" s="8" t="s">
        <v>1969</v>
      </c>
    </row>
    <row r="60" customFormat="false" ht="27.75" hidden="false" customHeight="true" outlineLevel="0" collapsed="false">
      <c r="A60" s="7" t="s">
        <v>2362</v>
      </c>
      <c r="B60" s="7" t="s">
        <v>2372</v>
      </c>
      <c r="C60" s="7" t="s">
        <v>340</v>
      </c>
      <c r="D60" s="7" t="s">
        <v>2373</v>
      </c>
      <c r="E60" s="7" t="s">
        <v>2011</v>
      </c>
      <c r="F60" s="7"/>
      <c r="G60" s="7"/>
      <c r="H60" s="7" t="s">
        <v>65</v>
      </c>
      <c r="I60" s="7" t="s">
        <v>2014</v>
      </c>
      <c r="J60" s="7" t="s">
        <v>2363</v>
      </c>
      <c r="K60" s="7" t="s">
        <v>58</v>
      </c>
      <c r="L60" s="7" t="s">
        <v>2368</v>
      </c>
      <c r="M60" s="7" t="s">
        <v>2369</v>
      </c>
      <c r="N60" s="7" t="s">
        <v>2370</v>
      </c>
      <c r="O60" s="7" t="s">
        <v>79</v>
      </c>
      <c r="P60" s="7" t="s">
        <v>65</v>
      </c>
      <c r="Q60" s="7" t="s">
        <v>2371</v>
      </c>
      <c r="R60" s="7" t="s">
        <v>2364</v>
      </c>
      <c r="S60" s="7" t="s">
        <v>2365</v>
      </c>
      <c r="T60" s="7" t="s">
        <v>1960</v>
      </c>
      <c r="U60" s="7" t="s">
        <v>2366</v>
      </c>
      <c r="V60" s="7" t="s">
        <v>56</v>
      </c>
      <c r="W60" s="7" t="s">
        <v>109</v>
      </c>
      <c r="X60" s="7" t="s">
        <v>2367</v>
      </c>
      <c r="Y60" s="7" t="s">
        <v>62</v>
      </c>
      <c r="Z60" s="7" t="s">
        <v>1969</v>
      </c>
    </row>
    <row r="61" customFormat="false" ht="27.75" hidden="false" customHeight="true" outlineLevel="0" collapsed="false">
      <c r="A61" s="8" t="s">
        <v>2234</v>
      </c>
      <c r="B61" s="8" t="s">
        <v>2243</v>
      </c>
      <c r="C61" s="8" t="s">
        <v>2123</v>
      </c>
      <c r="D61" s="8" t="s">
        <v>785</v>
      </c>
      <c r="E61" s="8" t="s">
        <v>1973</v>
      </c>
      <c r="F61" s="8" t="s">
        <v>2244</v>
      </c>
      <c r="G61" s="8" t="s">
        <v>2245</v>
      </c>
      <c r="H61" s="8" t="s">
        <v>65</v>
      </c>
      <c r="I61" s="8" t="s">
        <v>1976</v>
      </c>
      <c r="J61" s="8" t="s">
        <v>1961</v>
      </c>
      <c r="K61" s="8" t="s">
        <v>58</v>
      </c>
      <c r="L61" s="8" t="s">
        <v>2239</v>
      </c>
      <c r="M61" s="8" t="s">
        <v>2240</v>
      </c>
      <c r="N61" s="8" t="s">
        <v>2241</v>
      </c>
      <c r="O61" s="8"/>
      <c r="P61" s="8" t="s">
        <v>65</v>
      </c>
      <c r="Q61" s="8" t="s">
        <v>2242</v>
      </c>
      <c r="R61" s="8" t="s">
        <v>2235</v>
      </c>
      <c r="S61" s="8" t="s">
        <v>2236</v>
      </c>
      <c r="T61" s="8" t="s">
        <v>1960</v>
      </c>
      <c r="U61" s="8" t="s">
        <v>2237</v>
      </c>
      <c r="V61" s="8" t="s">
        <v>2238</v>
      </c>
      <c r="W61" s="8" t="s">
        <v>145</v>
      </c>
      <c r="X61" s="8" t="s">
        <v>1965</v>
      </c>
      <c r="Y61" s="8" t="s">
        <v>62</v>
      </c>
      <c r="Z61" s="8" t="s">
        <v>1969</v>
      </c>
    </row>
    <row r="62" customFormat="false" ht="27.75" hidden="false" customHeight="true" outlineLevel="0" collapsed="false">
      <c r="A62" s="7" t="s">
        <v>2289</v>
      </c>
      <c r="B62" s="7" t="s">
        <v>2299</v>
      </c>
      <c r="C62" s="7" t="s">
        <v>2287</v>
      </c>
      <c r="D62" s="7" t="s">
        <v>771</v>
      </c>
      <c r="E62" s="7" t="s">
        <v>1973</v>
      </c>
      <c r="F62" s="7" t="s">
        <v>2300</v>
      </c>
      <c r="G62" s="7" t="s">
        <v>2301</v>
      </c>
      <c r="H62" s="7" t="s">
        <v>544</v>
      </c>
      <c r="I62" s="7" t="s">
        <v>1976</v>
      </c>
      <c r="J62" s="7" t="s">
        <v>2290</v>
      </c>
      <c r="K62" s="7" t="s">
        <v>58</v>
      </c>
      <c r="L62" s="7" t="s">
        <v>2295</v>
      </c>
      <c r="M62" s="7" t="s">
        <v>2296</v>
      </c>
      <c r="N62" s="7" t="s">
        <v>2297</v>
      </c>
      <c r="O62" s="7"/>
      <c r="P62" s="7" t="s">
        <v>65</v>
      </c>
      <c r="Q62" s="7" t="s">
        <v>2298</v>
      </c>
      <c r="R62" s="7" t="s">
        <v>2291</v>
      </c>
      <c r="S62" s="7" t="s">
        <v>2292</v>
      </c>
      <c r="T62" s="7" t="s">
        <v>1960</v>
      </c>
      <c r="U62" s="7" t="s">
        <v>2293</v>
      </c>
      <c r="V62" s="7" t="s">
        <v>2294</v>
      </c>
      <c r="W62" s="7" t="s">
        <v>145</v>
      </c>
      <c r="X62" s="7" t="s">
        <v>1965</v>
      </c>
      <c r="Y62" s="7" t="s">
        <v>62</v>
      </c>
      <c r="Z62" s="7" t="s">
        <v>1969</v>
      </c>
    </row>
    <row r="63" customFormat="false" ht="27.75" hidden="false" customHeight="true" outlineLevel="0" collapsed="false">
      <c r="A63" s="8" t="s">
        <v>2124</v>
      </c>
      <c r="B63" s="8" t="s">
        <v>2133</v>
      </c>
      <c r="C63" s="8" t="s">
        <v>2123</v>
      </c>
      <c r="D63" s="8" t="s">
        <v>2134</v>
      </c>
      <c r="E63" s="8" t="s">
        <v>1973</v>
      </c>
      <c r="F63" s="8" t="s">
        <v>1998</v>
      </c>
      <c r="G63" s="8" t="s">
        <v>2135</v>
      </c>
      <c r="H63" s="8" t="s">
        <v>65</v>
      </c>
      <c r="I63" s="8" t="s">
        <v>1976</v>
      </c>
      <c r="J63" s="8" t="s">
        <v>1961</v>
      </c>
      <c r="K63" s="8" t="s">
        <v>58</v>
      </c>
      <c r="L63" s="8" t="s">
        <v>2129</v>
      </c>
      <c r="M63" s="8" t="s">
        <v>2130</v>
      </c>
      <c r="N63" s="8" t="s">
        <v>2131</v>
      </c>
      <c r="O63" s="8"/>
      <c r="P63" s="8" t="s">
        <v>65</v>
      </c>
      <c r="Q63" s="8" t="s">
        <v>2132</v>
      </c>
      <c r="R63" s="8" t="s">
        <v>2125</v>
      </c>
      <c r="S63" s="8" t="s">
        <v>2126</v>
      </c>
      <c r="T63" s="8" t="s">
        <v>1960</v>
      </c>
      <c r="U63" s="8" t="s">
        <v>2127</v>
      </c>
      <c r="V63" s="8" t="s">
        <v>2128</v>
      </c>
      <c r="W63" s="8" t="s">
        <v>145</v>
      </c>
      <c r="X63" s="8" t="s">
        <v>1965</v>
      </c>
      <c r="Y63" s="8" t="s">
        <v>62</v>
      </c>
      <c r="Z63" s="8" t="s">
        <v>1969</v>
      </c>
    </row>
    <row r="64" customFormat="false" ht="27.75" hidden="false" customHeight="true" outlineLevel="0" collapsed="false">
      <c r="A64" s="7" t="s">
        <v>2084</v>
      </c>
      <c r="B64" s="7" t="s">
        <v>2092</v>
      </c>
      <c r="C64" s="7" t="s">
        <v>246</v>
      </c>
      <c r="D64" s="7" t="s">
        <v>2093</v>
      </c>
      <c r="E64" s="7" t="s">
        <v>1973</v>
      </c>
      <c r="F64" s="7"/>
      <c r="G64" s="7"/>
      <c r="H64" s="7" t="s">
        <v>65</v>
      </c>
      <c r="I64" s="7" t="s">
        <v>1976</v>
      </c>
      <c r="J64" s="7" t="s">
        <v>1961</v>
      </c>
      <c r="K64" s="7" t="s">
        <v>58</v>
      </c>
      <c r="L64" s="7" t="s">
        <v>2088</v>
      </c>
      <c r="M64" s="7" t="s">
        <v>2089</v>
      </c>
      <c r="N64" s="7" t="s">
        <v>2090</v>
      </c>
      <c r="O64" s="7" t="s">
        <v>79</v>
      </c>
      <c r="P64" s="7" t="s">
        <v>65</v>
      </c>
      <c r="Q64" s="7" t="s">
        <v>2091</v>
      </c>
      <c r="R64" s="7" t="s">
        <v>2085</v>
      </c>
      <c r="S64" s="7" t="s">
        <v>2086</v>
      </c>
      <c r="T64" s="7" t="s">
        <v>1960</v>
      </c>
      <c r="U64" s="7" t="s">
        <v>2087</v>
      </c>
      <c r="V64" s="7" t="s">
        <v>56</v>
      </c>
      <c r="W64" s="7" t="s">
        <v>73</v>
      </c>
      <c r="X64" s="7" t="s">
        <v>1965</v>
      </c>
      <c r="Y64" s="7" t="s">
        <v>62</v>
      </c>
      <c r="Z64" s="7" t="s">
        <v>1969</v>
      </c>
    </row>
    <row r="65" customFormat="false" ht="27.75" hidden="false" customHeight="true" outlineLevel="0" collapsed="false">
      <c r="A65" s="8" t="s">
        <v>2574</v>
      </c>
      <c r="B65" s="8" t="s">
        <v>2584</v>
      </c>
      <c r="C65" s="8" t="s">
        <v>2585</v>
      </c>
      <c r="D65" s="8" t="s">
        <v>846</v>
      </c>
      <c r="E65" s="8" t="s">
        <v>1973</v>
      </c>
      <c r="F65" s="8"/>
      <c r="G65" s="8"/>
      <c r="H65" s="8" t="s">
        <v>65</v>
      </c>
      <c r="I65" s="8" t="s">
        <v>2398</v>
      </c>
      <c r="J65" s="8" t="s">
        <v>1961</v>
      </c>
      <c r="K65" s="8" t="s">
        <v>58</v>
      </c>
      <c r="L65" s="8" t="s">
        <v>2580</v>
      </c>
      <c r="M65" s="8" t="s">
        <v>2581</v>
      </c>
      <c r="N65" s="8" t="s">
        <v>2582</v>
      </c>
      <c r="O65" s="8" t="s">
        <v>160</v>
      </c>
      <c r="P65" s="8" t="s">
        <v>65</v>
      </c>
      <c r="Q65" s="8" t="s">
        <v>2583</v>
      </c>
      <c r="R65" s="8" t="s">
        <v>2575</v>
      </c>
      <c r="S65" s="8" t="s">
        <v>2576</v>
      </c>
      <c r="T65" s="8" t="s">
        <v>1960</v>
      </c>
      <c r="U65" s="8" t="s">
        <v>2577</v>
      </c>
      <c r="V65" s="8" t="s">
        <v>2578</v>
      </c>
      <c r="W65" s="8" t="s">
        <v>145</v>
      </c>
      <c r="X65" s="8" t="s">
        <v>2579</v>
      </c>
      <c r="Y65" s="8" t="s">
        <v>62</v>
      </c>
      <c r="Z65" s="8" t="s">
        <v>1969</v>
      </c>
    </row>
    <row r="66" customFormat="false" ht="27.75" hidden="false" customHeight="true" outlineLevel="0" collapsed="false">
      <c r="A66" s="7" t="s">
        <v>2276</v>
      </c>
      <c r="B66" s="7" t="s">
        <v>2286</v>
      </c>
      <c r="C66" s="7" t="s">
        <v>2287</v>
      </c>
      <c r="D66" s="7" t="s">
        <v>846</v>
      </c>
      <c r="E66" s="7" t="s">
        <v>1973</v>
      </c>
      <c r="F66" s="7"/>
      <c r="G66" s="7" t="s">
        <v>2288</v>
      </c>
      <c r="H66" s="7" t="s">
        <v>65</v>
      </c>
      <c r="I66" s="7" t="s">
        <v>1976</v>
      </c>
      <c r="J66" s="7" t="s">
        <v>1961</v>
      </c>
      <c r="K66" s="7" t="s">
        <v>58</v>
      </c>
      <c r="L66" s="7" t="s">
        <v>2282</v>
      </c>
      <c r="M66" s="7" t="s">
        <v>2283</v>
      </c>
      <c r="N66" s="7" t="s">
        <v>2284</v>
      </c>
      <c r="O66" s="7" t="s">
        <v>160</v>
      </c>
      <c r="P66" s="7" t="s">
        <v>65</v>
      </c>
      <c r="Q66" s="7" t="s">
        <v>2285</v>
      </c>
      <c r="R66" s="7" t="s">
        <v>2277</v>
      </c>
      <c r="S66" s="7" t="s">
        <v>2278</v>
      </c>
      <c r="T66" s="7" t="s">
        <v>1960</v>
      </c>
      <c r="U66" s="7" t="s">
        <v>2279</v>
      </c>
      <c r="V66" s="7" t="s">
        <v>2280</v>
      </c>
      <c r="W66" s="7" t="s">
        <v>145</v>
      </c>
      <c r="X66" s="7" t="s">
        <v>2281</v>
      </c>
      <c r="Y66" s="7" t="s">
        <v>62</v>
      </c>
      <c r="Z66" s="7" t="s">
        <v>1969</v>
      </c>
    </row>
    <row r="67" customFormat="false" ht="27.75" hidden="false" customHeight="true" outlineLevel="0" collapsed="false">
      <c r="A67" s="8" t="s">
        <v>2149</v>
      </c>
      <c r="B67" s="8" t="s">
        <v>2156</v>
      </c>
      <c r="C67" s="8" t="s">
        <v>55</v>
      </c>
      <c r="D67" s="8" t="s">
        <v>2146</v>
      </c>
      <c r="E67" s="8" t="s">
        <v>1973</v>
      </c>
      <c r="F67" s="8"/>
      <c r="G67" s="8"/>
      <c r="H67" s="8" t="s">
        <v>65</v>
      </c>
      <c r="I67" s="8" t="s">
        <v>2014</v>
      </c>
      <c r="J67" s="8" t="s">
        <v>2150</v>
      </c>
      <c r="K67" s="8" t="s">
        <v>58</v>
      </c>
      <c r="L67" s="8" t="s">
        <v>2152</v>
      </c>
      <c r="M67" s="8" t="s">
        <v>2153</v>
      </c>
      <c r="N67" s="8" t="s">
        <v>2154</v>
      </c>
      <c r="O67" s="8" t="s">
        <v>79</v>
      </c>
      <c r="P67" s="8" t="s">
        <v>65</v>
      </c>
      <c r="Q67" s="8" t="s">
        <v>2155</v>
      </c>
      <c r="R67" s="8" t="s">
        <v>2151</v>
      </c>
      <c r="S67" s="8" t="s">
        <v>2040</v>
      </c>
      <c r="T67" s="8" t="s">
        <v>1960</v>
      </c>
      <c r="U67" s="8" t="s">
        <v>2139</v>
      </c>
      <c r="V67" s="8" t="s">
        <v>2140</v>
      </c>
      <c r="W67" s="8" t="s">
        <v>109</v>
      </c>
      <c r="X67" s="8" t="s">
        <v>1965</v>
      </c>
      <c r="Y67" s="8" t="s">
        <v>62</v>
      </c>
      <c r="Z67" s="8" t="s">
        <v>1969</v>
      </c>
    </row>
    <row r="68" customFormat="false" ht="27.75" hidden="false" customHeight="true" outlineLevel="0" collapsed="false">
      <c r="A68" s="7" t="s">
        <v>2374</v>
      </c>
      <c r="B68" s="7" t="s">
        <v>2382</v>
      </c>
      <c r="C68" s="7" t="s">
        <v>1985</v>
      </c>
      <c r="D68" s="7" t="s">
        <v>2383</v>
      </c>
      <c r="E68" s="7" t="s">
        <v>2011</v>
      </c>
      <c r="F68" s="7"/>
      <c r="G68" s="7"/>
      <c r="H68" s="7" t="s">
        <v>65</v>
      </c>
      <c r="I68" s="7" t="s">
        <v>2014</v>
      </c>
      <c r="J68" s="7" t="s">
        <v>1961</v>
      </c>
      <c r="K68" s="7" t="s">
        <v>58</v>
      </c>
      <c r="L68" s="7" t="s">
        <v>2378</v>
      </c>
      <c r="M68" s="7" t="s">
        <v>2379</v>
      </c>
      <c r="N68" s="7" t="s">
        <v>2380</v>
      </c>
      <c r="O68" s="7" t="s">
        <v>79</v>
      </c>
      <c r="P68" s="7" t="s">
        <v>65</v>
      </c>
      <c r="Q68" s="7" t="s">
        <v>2381</v>
      </c>
      <c r="R68" s="7" t="s">
        <v>2375</v>
      </c>
      <c r="S68" s="7" t="s">
        <v>2376</v>
      </c>
      <c r="T68" s="7" t="s">
        <v>1960</v>
      </c>
      <c r="U68" s="7" t="s">
        <v>2377</v>
      </c>
      <c r="V68" s="7" t="s">
        <v>56</v>
      </c>
      <c r="W68" s="7" t="s">
        <v>109</v>
      </c>
      <c r="X68" s="7" t="s">
        <v>1965</v>
      </c>
      <c r="Y68" s="7" t="s">
        <v>62</v>
      </c>
      <c r="Z68" s="7" t="s">
        <v>1969</v>
      </c>
    </row>
    <row r="69" customFormat="false" ht="27.75" hidden="false" customHeight="true" outlineLevel="0" collapsed="false">
      <c r="A69" s="8" t="s">
        <v>2073</v>
      </c>
      <c r="B69" s="8" t="s">
        <v>2081</v>
      </c>
      <c r="C69" s="8" t="s">
        <v>246</v>
      </c>
      <c r="D69" s="8" t="s">
        <v>2082</v>
      </c>
      <c r="E69" s="8" t="s">
        <v>1973</v>
      </c>
      <c r="F69" s="8"/>
      <c r="G69" s="8" t="s">
        <v>2083</v>
      </c>
      <c r="H69" s="8" t="s">
        <v>65</v>
      </c>
      <c r="I69" s="8" t="s">
        <v>1976</v>
      </c>
      <c r="J69" s="8" t="s">
        <v>1961</v>
      </c>
      <c r="K69" s="8" t="s">
        <v>58</v>
      </c>
      <c r="L69" s="8" t="s">
        <v>2077</v>
      </c>
      <c r="M69" s="8" t="s">
        <v>2078</v>
      </c>
      <c r="N69" s="8" t="s">
        <v>2079</v>
      </c>
      <c r="O69" s="8" t="s">
        <v>79</v>
      </c>
      <c r="P69" s="8" t="s">
        <v>65</v>
      </c>
      <c r="Q69" s="8" t="s">
        <v>2080</v>
      </c>
      <c r="R69" s="8" t="s">
        <v>2074</v>
      </c>
      <c r="S69" s="8" t="s">
        <v>2075</v>
      </c>
      <c r="T69" s="8" t="s">
        <v>1960</v>
      </c>
      <c r="U69" s="8" t="s">
        <v>2076</v>
      </c>
      <c r="V69" s="8" t="s">
        <v>56</v>
      </c>
      <c r="W69" s="8" t="s">
        <v>145</v>
      </c>
      <c r="X69" s="8" t="s">
        <v>1965</v>
      </c>
      <c r="Y69" s="8" t="s">
        <v>62</v>
      </c>
      <c r="Z69" s="8" t="s">
        <v>1969</v>
      </c>
    </row>
    <row r="70" customFormat="false" ht="27.75" hidden="false" customHeight="true" outlineLevel="0" collapsed="false">
      <c r="A70" s="7" t="s">
        <v>2311</v>
      </c>
      <c r="B70" s="7" t="s">
        <v>2320</v>
      </c>
      <c r="C70" s="7" t="s">
        <v>144</v>
      </c>
      <c r="D70" s="7" t="s">
        <v>890</v>
      </c>
      <c r="E70" s="7" t="s">
        <v>1973</v>
      </c>
      <c r="F70" s="7"/>
      <c r="G70" s="7"/>
      <c r="H70" s="7" t="s">
        <v>65</v>
      </c>
      <c r="I70" s="7" t="s">
        <v>1976</v>
      </c>
      <c r="J70" s="7" t="s">
        <v>1961</v>
      </c>
      <c r="K70" s="7" t="s">
        <v>58</v>
      </c>
      <c r="L70" s="7" t="s">
        <v>2316</v>
      </c>
      <c r="M70" s="7" t="s">
        <v>2317</v>
      </c>
      <c r="N70" s="7" t="s">
        <v>2318</v>
      </c>
      <c r="O70" s="7" t="s">
        <v>79</v>
      </c>
      <c r="P70" s="7" t="s">
        <v>65</v>
      </c>
      <c r="Q70" s="7" t="s">
        <v>2319</v>
      </c>
      <c r="R70" s="7" t="s">
        <v>2312</v>
      </c>
      <c r="S70" s="7" t="s">
        <v>2313</v>
      </c>
      <c r="T70" s="7" t="s">
        <v>1960</v>
      </c>
      <c r="U70" s="7" t="s">
        <v>2314</v>
      </c>
      <c r="V70" s="7" t="s">
        <v>2315</v>
      </c>
      <c r="W70" s="7" t="s">
        <v>145</v>
      </c>
      <c r="X70" s="7" t="s">
        <v>1965</v>
      </c>
      <c r="Y70" s="7" t="s">
        <v>62</v>
      </c>
      <c r="Z70" s="7" t="s">
        <v>1969</v>
      </c>
    </row>
    <row r="71" customFormat="false" ht="27.75" hidden="false" customHeight="true" outlineLevel="0" collapsed="false">
      <c r="A71" s="8" t="s">
        <v>2157</v>
      </c>
      <c r="B71" s="8" t="s">
        <v>2165</v>
      </c>
      <c r="C71" s="8" t="s">
        <v>55</v>
      </c>
      <c r="D71" s="8" t="s">
        <v>2082</v>
      </c>
      <c r="E71" s="8" t="s">
        <v>2166</v>
      </c>
      <c r="F71" s="8"/>
      <c r="G71" s="8"/>
      <c r="H71" s="8" t="s">
        <v>65</v>
      </c>
      <c r="I71" s="8" t="s">
        <v>1976</v>
      </c>
      <c r="J71" s="8" t="s">
        <v>1961</v>
      </c>
      <c r="K71" s="8" t="s">
        <v>58</v>
      </c>
      <c r="L71" s="8" t="s">
        <v>2161</v>
      </c>
      <c r="M71" s="8" t="s">
        <v>2162</v>
      </c>
      <c r="N71" s="8" t="s">
        <v>2163</v>
      </c>
      <c r="O71" s="8" t="s">
        <v>79</v>
      </c>
      <c r="P71" s="8" t="s">
        <v>65</v>
      </c>
      <c r="Q71" s="8" t="s">
        <v>2164</v>
      </c>
      <c r="R71" s="8" t="s">
        <v>2158</v>
      </c>
      <c r="S71" s="8" t="s">
        <v>2159</v>
      </c>
      <c r="T71" s="8" t="s">
        <v>1960</v>
      </c>
      <c r="U71" s="8" t="s">
        <v>2160</v>
      </c>
      <c r="V71" s="8" t="s">
        <v>56</v>
      </c>
      <c r="W71" s="8" t="s">
        <v>145</v>
      </c>
      <c r="X71" s="8" t="s">
        <v>1965</v>
      </c>
      <c r="Y71" s="8" t="s">
        <v>62</v>
      </c>
      <c r="Z71" s="8" t="s">
        <v>1969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12"/>
    <col collapsed="false" customWidth="true" hidden="false" outlineLevel="0" max="3" min="3" style="0" width="22"/>
    <col collapsed="false" customWidth="true" hidden="false" outlineLevel="0" max="4" min="4" style="0" width="24"/>
    <col collapsed="false" customWidth="true" hidden="false" outlineLevel="0" max="5" min="5" style="0" width="18"/>
    <col collapsed="false" customWidth="true" hidden="false" outlineLevel="0" max="6" min="6" style="0" width="14"/>
    <col collapsed="false" customWidth="true" hidden="false" outlineLevel="0" max="7" min="7" style="0" width="18"/>
    <col collapsed="false" customWidth="true" hidden="false" outlineLevel="0" max="8" min="8" style="0" width="10"/>
    <col collapsed="false" customWidth="true" hidden="false" outlineLevel="0" max="9" min="9" style="0" width="22"/>
    <col collapsed="false" customWidth="true" hidden="false" outlineLevel="0" max="10" min="10" style="0" width="8"/>
    <col collapsed="false" customWidth="true" hidden="false" outlineLevel="0" max="11" min="11" style="0" width="50"/>
  </cols>
  <sheetData>
    <row r="1" customFormat="false" ht="19.7" hidden="false" customHeight="false" outlineLevel="0" collapsed="false">
      <c r="A1" s="9" t="s">
        <v>2708</v>
      </c>
    </row>
    <row r="2" customFormat="false" ht="15" hidden="false" customHeight="false" outlineLevel="0" collapsed="false">
      <c r="A2" s="10" t="s">
        <v>2709</v>
      </c>
    </row>
    <row r="4" customFormat="false" ht="31.5" hidden="false" customHeight="true" outlineLevel="0" collapsed="false">
      <c r="A4" s="6" t="s">
        <v>32</v>
      </c>
      <c r="B4" s="6" t="s">
        <v>2710</v>
      </c>
      <c r="C4" s="6" t="s">
        <v>2711</v>
      </c>
      <c r="D4" s="6" t="s">
        <v>2712</v>
      </c>
      <c r="E4" s="6" t="s">
        <v>2713</v>
      </c>
      <c r="F4" s="6" t="s">
        <v>2714</v>
      </c>
      <c r="G4" s="6" t="s">
        <v>2715</v>
      </c>
      <c r="H4" s="6" t="s">
        <v>2716</v>
      </c>
      <c r="I4" s="6" t="s">
        <v>2717</v>
      </c>
      <c r="J4" s="6" t="s">
        <v>2718</v>
      </c>
      <c r="K4" s="6" t="s">
        <v>2719</v>
      </c>
    </row>
    <row r="5" customFormat="false" ht="24" hidden="false" customHeight="true" outlineLevel="0" collapsed="false">
      <c r="A5" s="11" t="s">
        <v>2720</v>
      </c>
      <c r="B5" s="11"/>
      <c r="C5" s="11"/>
      <c r="D5" s="11"/>
      <c r="E5" s="11"/>
      <c r="F5" s="11"/>
      <c r="G5" s="11"/>
      <c r="H5" s="11"/>
      <c r="I5" s="11"/>
      <c r="J5" s="11"/>
      <c r="K5" s="11"/>
    </row>
    <row r="6" customFormat="false" ht="42" hidden="false" customHeight="true" outlineLevel="0" collapsed="false">
      <c r="A6" s="12" t="s">
        <v>2276</v>
      </c>
      <c r="B6" s="13" t="s">
        <v>2286</v>
      </c>
      <c r="C6" s="12" t="s">
        <v>2287</v>
      </c>
      <c r="D6" s="12" t="s">
        <v>846</v>
      </c>
      <c r="E6" s="13" t="s">
        <v>1973</v>
      </c>
      <c r="F6" s="13" t="s">
        <v>2721</v>
      </c>
      <c r="G6" s="13" t="s">
        <v>2288</v>
      </c>
      <c r="H6" s="13" t="s">
        <v>65</v>
      </c>
      <c r="I6" s="12" t="s">
        <v>1976</v>
      </c>
      <c r="J6" s="13" t="s">
        <v>58</v>
      </c>
      <c r="K6" s="12" t="s">
        <v>2722</v>
      </c>
    </row>
    <row r="7" customFormat="false" ht="42" hidden="false" customHeight="true" outlineLevel="0" collapsed="false">
      <c r="A7" s="14" t="s">
        <v>2574</v>
      </c>
      <c r="B7" s="15" t="s">
        <v>2584</v>
      </c>
      <c r="C7" s="14" t="s">
        <v>2585</v>
      </c>
      <c r="D7" s="14" t="s">
        <v>846</v>
      </c>
      <c r="E7" s="15" t="s">
        <v>1973</v>
      </c>
      <c r="F7" s="15" t="s">
        <v>2721</v>
      </c>
      <c r="G7" s="15" t="s">
        <v>2721</v>
      </c>
      <c r="H7" s="15" t="s">
        <v>65</v>
      </c>
      <c r="I7" s="14" t="s">
        <v>2398</v>
      </c>
      <c r="J7" s="15" t="s">
        <v>58</v>
      </c>
      <c r="K7" s="14" t="s">
        <v>2723</v>
      </c>
    </row>
    <row r="8" customFormat="false" ht="24" hidden="false" customHeight="true" outlineLevel="0" collapsed="false">
      <c r="A8" s="11" t="s">
        <v>2724</v>
      </c>
      <c r="B8" s="11"/>
      <c r="C8" s="11"/>
      <c r="D8" s="11"/>
      <c r="E8" s="11"/>
      <c r="F8" s="11"/>
      <c r="G8" s="11"/>
      <c r="H8" s="11"/>
      <c r="I8" s="11"/>
      <c r="J8" s="11"/>
      <c r="K8" s="11"/>
    </row>
    <row r="9" customFormat="false" ht="42" hidden="false" customHeight="true" outlineLevel="0" collapsed="false">
      <c r="A9" s="14" t="s">
        <v>2113</v>
      </c>
      <c r="B9" s="15" t="s">
        <v>2122</v>
      </c>
      <c r="C9" s="14" t="s">
        <v>2123</v>
      </c>
      <c r="D9" s="14" t="s">
        <v>846</v>
      </c>
      <c r="E9" s="15" t="s">
        <v>1973</v>
      </c>
      <c r="F9" s="15" t="s">
        <v>1998</v>
      </c>
      <c r="G9" s="15" t="s">
        <v>1987</v>
      </c>
      <c r="H9" s="15" t="s">
        <v>65</v>
      </c>
      <c r="I9" s="14" t="s">
        <v>1976</v>
      </c>
      <c r="J9" s="15" t="s">
        <v>58</v>
      </c>
      <c r="K9" s="14" t="s">
        <v>2725</v>
      </c>
    </row>
    <row r="10" customFormat="false" ht="42" hidden="false" customHeight="true" outlineLevel="0" collapsed="false">
      <c r="A10" s="12" t="s">
        <v>2049</v>
      </c>
      <c r="B10" s="13" t="s">
        <v>2058</v>
      </c>
      <c r="C10" s="12" t="s">
        <v>246</v>
      </c>
      <c r="D10" s="12" t="s">
        <v>815</v>
      </c>
      <c r="E10" s="13" t="s">
        <v>1973</v>
      </c>
      <c r="F10" s="13" t="s">
        <v>2059</v>
      </c>
      <c r="G10" s="13" t="s">
        <v>2060</v>
      </c>
      <c r="H10" s="13" t="s">
        <v>544</v>
      </c>
      <c r="I10" s="12" t="s">
        <v>1976</v>
      </c>
      <c r="J10" s="13" t="s">
        <v>58</v>
      </c>
      <c r="K10" s="12" t="s">
        <v>2726</v>
      </c>
    </row>
    <row r="11" customFormat="false" ht="42" hidden="false" customHeight="true" outlineLevel="0" collapsed="false">
      <c r="A11" s="14" t="s">
        <v>2418</v>
      </c>
      <c r="B11" s="15" t="s">
        <v>2427</v>
      </c>
      <c r="C11" s="14" t="s">
        <v>108</v>
      </c>
      <c r="D11" s="14" t="s">
        <v>2428</v>
      </c>
      <c r="E11" s="15" t="s">
        <v>2429</v>
      </c>
      <c r="F11" s="15" t="s">
        <v>2430</v>
      </c>
      <c r="G11" s="15" t="s">
        <v>2431</v>
      </c>
      <c r="H11" s="15" t="s">
        <v>544</v>
      </c>
      <c r="I11" s="14" t="s">
        <v>1976</v>
      </c>
      <c r="J11" s="15" t="s">
        <v>58</v>
      </c>
      <c r="K11" s="14" t="s">
        <v>2727</v>
      </c>
    </row>
    <row r="12" customFormat="false" ht="42" hidden="false" customHeight="true" outlineLevel="0" collapsed="false">
      <c r="A12" s="12" t="s">
        <v>2000</v>
      </c>
      <c r="B12" s="13" t="s">
        <v>2009</v>
      </c>
      <c r="C12" s="12" t="s">
        <v>2010</v>
      </c>
      <c r="D12" s="12" t="s">
        <v>771</v>
      </c>
      <c r="E12" s="13" t="s">
        <v>2011</v>
      </c>
      <c r="F12" s="13" t="s">
        <v>2012</v>
      </c>
      <c r="G12" s="13" t="s">
        <v>2013</v>
      </c>
      <c r="H12" s="13" t="s">
        <v>65</v>
      </c>
      <c r="I12" s="12" t="s">
        <v>2014</v>
      </c>
      <c r="J12" s="13" t="s">
        <v>58</v>
      </c>
      <c r="K12" s="12" t="s">
        <v>2728</v>
      </c>
    </row>
    <row r="13" customFormat="false" ht="24" hidden="false" customHeight="true" outlineLevel="0" collapsed="false">
      <c r="A13" s="11" t="s">
        <v>2729</v>
      </c>
      <c r="B13" s="11"/>
      <c r="C13" s="11"/>
      <c r="D13" s="11"/>
      <c r="E13" s="11"/>
      <c r="F13" s="11"/>
      <c r="G13" s="11"/>
      <c r="H13" s="11"/>
      <c r="I13" s="11"/>
      <c r="J13" s="11"/>
      <c r="K13" s="11"/>
    </row>
    <row r="14" customFormat="false" ht="42" hidden="false" customHeight="true" outlineLevel="0" collapsed="false">
      <c r="A14" s="12" t="s">
        <v>2223</v>
      </c>
      <c r="B14" s="13" t="s">
        <v>2232</v>
      </c>
      <c r="C14" s="12" t="s">
        <v>2220</v>
      </c>
      <c r="D14" s="12" t="s">
        <v>2233</v>
      </c>
      <c r="E14" s="13" t="s">
        <v>1973</v>
      </c>
      <c r="F14" s="13" t="s">
        <v>2721</v>
      </c>
      <c r="G14" s="13" t="s">
        <v>2188</v>
      </c>
      <c r="H14" s="13" t="s">
        <v>65</v>
      </c>
      <c r="I14" s="12" t="s">
        <v>1976</v>
      </c>
      <c r="J14" s="13" t="s">
        <v>58</v>
      </c>
      <c r="K14" s="12" t="s">
        <v>2730</v>
      </c>
    </row>
    <row r="15" customFormat="false" ht="42" hidden="false" customHeight="true" outlineLevel="0" collapsed="false">
      <c r="A15" s="14" t="s">
        <v>2350</v>
      </c>
      <c r="B15" s="15" t="s">
        <v>2359</v>
      </c>
      <c r="C15" s="14" t="s">
        <v>340</v>
      </c>
      <c r="D15" s="14" t="s">
        <v>2360</v>
      </c>
      <c r="E15" s="15" t="s">
        <v>2104</v>
      </c>
      <c r="F15" s="15" t="s">
        <v>2361</v>
      </c>
      <c r="G15" s="15" t="s">
        <v>2361</v>
      </c>
      <c r="H15" s="15" t="s">
        <v>65</v>
      </c>
      <c r="I15" s="14" t="s">
        <v>2014</v>
      </c>
      <c r="J15" s="15" t="s">
        <v>58</v>
      </c>
      <c r="K15" s="14" t="s">
        <v>2731</v>
      </c>
    </row>
    <row r="16" customFormat="false" ht="42" hidden="false" customHeight="true" outlineLevel="0" collapsed="false">
      <c r="A16" s="12" t="s">
        <v>2015</v>
      </c>
      <c r="B16" s="13" t="s">
        <v>2023</v>
      </c>
      <c r="C16" s="12" t="s">
        <v>108</v>
      </c>
      <c r="D16" s="12" t="s">
        <v>266</v>
      </c>
      <c r="E16" s="13" t="s">
        <v>1973</v>
      </c>
      <c r="F16" s="13" t="s">
        <v>2024</v>
      </c>
      <c r="G16" s="13" t="s">
        <v>1987</v>
      </c>
      <c r="H16" s="13" t="s">
        <v>65</v>
      </c>
      <c r="I16" s="12" t="s">
        <v>1976</v>
      </c>
      <c r="J16" s="13" t="s">
        <v>58</v>
      </c>
      <c r="K16" s="12" t="s">
        <v>2732</v>
      </c>
    </row>
    <row r="17" customFormat="false" ht="42" hidden="false" customHeight="true" outlineLevel="0" collapsed="false">
      <c r="A17" s="14" t="s">
        <v>2496</v>
      </c>
      <c r="B17" s="15" t="s">
        <v>2394</v>
      </c>
      <c r="C17" s="14" t="s">
        <v>2503</v>
      </c>
      <c r="D17" s="14" t="s">
        <v>2093</v>
      </c>
      <c r="E17" s="15" t="s">
        <v>1973</v>
      </c>
      <c r="F17" s="15" t="s">
        <v>2721</v>
      </c>
      <c r="G17" s="15" t="s">
        <v>2721</v>
      </c>
      <c r="H17" s="15" t="s">
        <v>65</v>
      </c>
      <c r="I17" s="14" t="s">
        <v>1976</v>
      </c>
      <c r="J17" s="15" t="s">
        <v>58</v>
      </c>
      <c r="K17" s="14" t="s">
        <v>2733</v>
      </c>
    </row>
    <row r="18" customFormat="false" ht="42" hidden="false" customHeight="true" outlineLevel="0" collapsed="false">
      <c r="A18" s="12" t="s">
        <v>2464</v>
      </c>
      <c r="B18" s="13" t="s">
        <v>2473</v>
      </c>
      <c r="C18" s="12" t="s">
        <v>120</v>
      </c>
      <c r="D18" s="12" t="s">
        <v>2474</v>
      </c>
      <c r="E18" s="13" t="s">
        <v>2011</v>
      </c>
      <c r="F18" s="13" t="s">
        <v>2721</v>
      </c>
      <c r="G18" s="13" t="s">
        <v>2721</v>
      </c>
      <c r="H18" s="13" t="s">
        <v>65</v>
      </c>
      <c r="I18" s="12" t="s">
        <v>2014</v>
      </c>
      <c r="J18" s="13" t="s">
        <v>58</v>
      </c>
      <c r="K18" s="12" t="s">
        <v>2734</v>
      </c>
    </row>
    <row r="19" customFormat="false" ht="42" hidden="false" customHeight="true" outlineLevel="0" collapsed="false">
      <c r="A19" s="14" t="s">
        <v>2544</v>
      </c>
      <c r="B19" s="15" t="s">
        <v>2553</v>
      </c>
      <c r="C19" s="14" t="s">
        <v>2554</v>
      </c>
      <c r="D19" s="14" t="s">
        <v>1077</v>
      </c>
      <c r="E19" s="15" t="s">
        <v>1973</v>
      </c>
      <c r="F19" s="15" t="s">
        <v>2721</v>
      </c>
      <c r="G19" s="15" t="s">
        <v>2245</v>
      </c>
      <c r="H19" s="15" t="s">
        <v>65</v>
      </c>
      <c r="I19" s="14" t="s">
        <v>1976</v>
      </c>
      <c r="J19" s="15" t="s">
        <v>58</v>
      </c>
      <c r="K19" s="14" t="s">
        <v>2735</v>
      </c>
    </row>
    <row r="20" customFormat="false" ht="42" hidden="false" customHeight="true" outlineLevel="0" collapsed="false">
      <c r="A20" s="12" t="s">
        <v>2562</v>
      </c>
      <c r="B20" s="13" t="s">
        <v>2571</v>
      </c>
      <c r="C20" s="12" t="s">
        <v>2572</v>
      </c>
      <c r="D20" s="12" t="s">
        <v>266</v>
      </c>
      <c r="E20" s="13" t="s">
        <v>2104</v>
      </c>
      <c r="F20" s="13" t="s">
        <v>2573</v>
      </c>
      <c r="G20" s="13" t="s">
        <v>2573</v>
      </c>
      <c r="H20" s="13" t="s">
        <v>65</v>
      </c>
      <c r="I20" s="12" t="s">
        <v>2398</v>
      </c>
      <c r="J20" s="13" t="s">
        <v>58</v>
      </c>
      <c r="K20" s="12" t="s">
        <v>2736</v>
      </c>
    </row>
    <row r="21" customFormat="false" ht="42" hidden="false" customHeight="true" outlineLevel="0" collapsed="false">
      <c r="A21" s="14" t="s">
        <v>2202</v>
      </c>
      <c r="B21" s="15" t="s">
        <v>2198</v>
      </c>
      <c r="C21" s="14" t="s">
        <v>2199</v>
      </c>
      <c r="D21" s="14" t="s">
        <v>846</v>
      </c>
      <c r="E21" s="15" t="s">
        <v>1973</v>
      </c>
      <c r="F21" s="15" t="s">
        <v>2147</v>
      </c>
      <c r="G21" s="15" t="s">
        <v>2210</v>
      </c>
      <c r="H21" s="15" t="s">
        <v>65</v>
      </c>
      <c r="I21" s="14" t="s">
        <v>1976</v>
      </c>
      <c r="J21" s="15" t="s">
        <v>58</v>
      </c>
      <c r="K21" s="14" t="s">
        <v>2737</v>
      </c>
    </row>
    <row r="22" customFormat="false" ht="42" hidden="false" customHeight="true" outlineLevel="0" collapsed="false">
      <c r="A22" s="12" t="s">
        <v>2522</v>
      </c>
      <c r="B22" s="13" t="s">
        <v>2533</v>
      </c>
      <c r="C22" s="12" t="s">
        <v>2503</v>
      </c>
      <c r="D22" s="12" t="s">
        <v>2534</v>
      </c>
      <c r="E22" s="13" t="s">
        <v>2385</v>
      </c>
      <c r="F22" s="13" t="s">
        <v>2148</v>
      </c>
      <c r="G22" s="13" t="s">
        <v>2535</v>
      </c>
      <c r="H22" s="13" t="s">
        <v>65</v>
      </c>
      <c r="I22" s="12" t="s">
        <v>2398</v>
      </c>
      <c r="J22" s="13" t="s">
        <v>58</v>
      </c>
      <c r="K22" s="12" t="s">
        <v>2738</v>
      </c>
    </row>
    <row r="23" customFormat="false" ht="42" hidden="false" customHeight="true" outlineLevel="0" collapsed="false">
      <c r="A23" s="14" t="s">
        <v>2432</v>
      </c>
      <c r="B23" s="15" t="s">
        <v>2440</v>
      </c>
      <c r="C23" s="14" t="s">
        <v>108</v>
      </c>
      <c r="D23" s="14" t="s">
        <v>2441</v>
      </c>
      <c r="E23" s="15" t="s">
        <v>2011</v>
      </c>
      <c r="F23" s="15" t="s">
        <v>2442</v>
      </c>
      <c r="G23" s="15" t="s">
        <v>2443</v>
      </c>
      <c r="H23" s="15" t="s">
        <v>65</v>
      </c>
      <c r="I23" s="14" t="s">
        <v>2014</v>
      </c>
      <c r="J23" s="15" t="s">
        <v>58</v>
      </c>
      <c r="K23" s="14" t="s">
        <v>2739</v>
      </c>
    </row>
    <row r="24" customFormat="false" ht="42" hidden="false" customHeight="true" outlineLevel="0" collapsed="false">
      <c r="A24" s="12" t="s">
        <v>2586</v>
      </c>
      <c r="B24" s="13" t="s">
        <v>2595</v>
      </c>
      <c r="C24" s="12" t="s">
        <v>2123</v>
      </c>
      <c r="D24" s="12" t="s">
        <v>846</v>
      </c>
      <c r="E24" s="13" t="s">
        <v>1973</v>
      </c>
      <c r="F24" s="13" t="s">
        <v>2721</v>
      </c>
      <c r="G24" s="13" t="s">
        <v>2721</v>
      </c>
      <c r="H24" s="13" t="s">
        <v>65</v>
      </c>
      <c r="I24" s="12" t="s">
        <v>2398</v>
      </c>
      <c r="J24" s="13" t="s">
        <v>58</v>
      </c>
      <c r="K24" s="12" t="s">
        <v>2740</v>
      </c>
    </row>
    <row r="25" customFormat="false" ht="42" hidden="false" customHeight="true" outlineLevel="0" collapsed="false">
      <c r="A25" s="14" t="s">
        <v>2536</v>
      </c>
      <c r="B25" s="15" t="s">
        <v>2542</v>
      </c>
      <c r="C25" s="14" t="s">
        <v>2543</v>
      </c>
      <c r="D25" s="14" t="s">
        <v>2474</v>
      </c>
      <c r="E25" s="15" t="s">
        <v>2011</v>
      </c>
      <c r="F25" s="15" t="s">
        <v>2721</v>
      </c>
      <c r="G25" s="15" t="s">
        <v>2721</v>
      </c>
      <c r="H25" s="15" t="s">
        <v>65</v>
      </c>
      <c r="I25" s="14" t="s">
        <v>2014</v>
      </c>
      <c r="J25" s="15" t="s">
        <v>58</v>
      </c>
      <c r="K25" s="14" t="s">
        <v>2741</v>
      </c>
    </row>
    <row r="26" customFormat="false" ht="24" hidden="false" customHeight="true" outlineLevel="0" collapsed="false">
      <c r="A26" s="11" t="s">
        <v>2742</v>
      </c>
      <c r="B26" s="11"/>
      <c r="C26" s="11"/>
      <c r="D26" s="11"/>
      <c r="E26" s="11"/>
      <c r="F26" s="11"/>
      <c r="G26" s="11"/>
      <c r="H26" s="11"/>
      <c r="I26" s="11"/>
      <c r="J26" s="11"/>
      <c r="K26" s="11"/>
    </row>
    <row r="27" customFormat="false" ht="42" hidden="false" customHeight="true" outlineLevel="0" collapsed="false">
      <c r="A27" s="14" t="s">
        <v>1959</v>
      </c>
      <c r="B27" s="15" t="s">
        <v>1971</v>
      </c>
      <c r="C27" s="14" t="s">
        <v>246</v>
      </c>
      <c r="D27" s="14" t="s">
        <v>1972</v>
      </c>
      <c r="E27" s="15" t="s">
        <v>1973</v>
      </c>
      <c r="F27" s="15" t="s">
        <v>1974</v>
      </c>
      <c r="G27" s="15" t="s">
        <v>1975</v>
      </c>
      <c r="H27" s="15" t="s">
        <v>65</v>
      </c>
      <c r="I27" s="14" t="s">
        <v>1976</v>
      </c>
      <c r="J27" s="15" t="s">
        <v>58</v>
      </c>
      <c r="K27" s="14" t="s">
        <v>2743</v>
      </c>
    </row>
    <row r="28" customFormat="false" ht="42" hidden="false" customHeight="true" outlineLevel="0" collapsed="false">
      <c r="A28" s="12" t="s">
        <v>1977</v>
      </c>
      <c r="B28" s="13" t="s">
        <v>1971</v>
      </c>
      <c r="C28" s="12" t="s">
        <v>1985</v>
      </c>
      <c r="D28" s="12" t="s">
        <v>1972</v>
      </c>
      <c r="E28" s="13" t="s">
        <v>1973</v>
      </c>
      <c r="F28" s="13" t="s">
        <v>1986</v>
      </c>
      <c r="G28" s="13" t="s">
        <v>1987</v>
      </c>
      <c r="H28" s="13" t="s">
        <v>65</v>
      </c>
      <c r="I28" s="12" t="s">
        <v>1976</v>
      </c>
      <c r="J28" s="13" t="s">
        <v>58</v>
      </c>
      <c r="K28" s="12" t="s">
        <v>2744</v>
      </c>
    </row>
    <row r="29" customFormat="false" ht="42" hidden="false" customHeight="true" outlineLevel="0" collapsed="false">
      <c r="A29" s="14" t="s">
        <v>2025</v>
      </c>
      <c r="B29" s="15" t="s">
        <v>2034</v>
      </c>
      <c r="C29" s="14" t="s">
        <v>246</v>
      </c>
      <c r="D29" s="14" t="s">
        <v>2035</v>
      </c>
      <c r="E29" s="15" t="s">
        <v>1973</v>
      </c>
      <c r="F29" s="15" t="s">
        <v>2721</v>
      </c>
      <c r="G29" s="15" t="s">
        <v>2721</v>
      </c>
      <c r="H29" s="15" t="s">
        <v>65</v>
      </c>
      <c r="I29" s="14" t="s">
        <v>1976</v>
      </c>
      <c r="J29" s="15" t="s">
        <v>58</v>
      </c>
      <c r="K29" s="14" t="s">
        <v>2745</v>
      </c>
    </row>
    <row r="30" customFormat="false" ht="42" hidden="false" customHeight="true" outlineLevel="0" collapsed="false">
      <c r="A30" s="12" t="s">
        <v>2399</v>
      </c>
      <c r="B30" s="13" t="s">
        <v>2406</v>
      </c>
      <c r="C30" s="12" t="s">
        <v>771</v>
      </c>
      <c r="D30" s="12" t="s">
        <v>846</v>
      </c>
      <c r="E30" s="13" t="s">
        <v>2385</v>
      </c>
      <c r="F30" s="13" t="s">
        <v>2407</v>
      </c>
      <c r="G30" s="13" t="s">
        <v>2407</v>
      </c>
      <c r="H30" s="13" t="s">
        <v>65</v>
      </c>
      <c r="I30" s="12" t="s">
        <v>2408</v>
      </c>
      <c r="J30" s="13" t="s">
        <v>58</v>
      </c>
      <c r="K30" s="12" t="s">
        <v>2746</v>
      </c>
    </row>
    <row r="31" customFormat="false" ht="42" hidden="false" customHeight="true" outlineLevel="0" collapsed="false">
      <c r="A31" s="14" t="s">
        <v>2061</v>
      </c>
      <c r="B31" s="15" t="s">
        <v>2070</v>
      </c>
      <c r="C31" s="14" t="s">
        <v>246</v>
      </c>
      <c r="D31" s="14" t="s">
        <v>2071</v>
      </c>
      <c r="E31" s="15" t="s">
        <v>1973</v>
      </c>
      <c r="F31" s="15" t="s">
        <v>2721</v>
      </c>
      <c r="G31" s="15" t="s">
        <v>2072</v>
      </c>
      <c r="H31" s="15" t="s">
        <v>65</v>
      </c>
      <c r="I31" s="14" t="s">
        <v>1976</v>
      </c>
      <c r="J31" s="15" t="s">
        <v>58</v>
      </c>
      <c r="K31" s="14" t="s">
        <v>2747</v>
      </c>
    </row>
    <row r="32" customFormat="false" ht="24" hidden="false" customHeight="true" outlineLevel="0" collapsed="false">
      <c r="A32" s="11" t="s">
        <v>2748</v>
      </c>
      <c r="B32" s="11"/>
      <c r="C32" s="11"/>
      <c r="D32" s="11"/>
      <c r="E32" s="11"/>
      <c r="F32" s="11"/>
      <c r="G32" s="11"/>
      <c r="H32" s="11"/>
      <c r="I32" s="11"/>
      <c r="J32" s="11"/>
      <c r="K32" s="11"/>
    </row>
    <row r="33" customFormat="false" ht="42" hidden="false" customHeight="true" outlineLevel="0" collapsed="false">
      <c r="A33" s="14" t="s">
        <v>2555</v>
      </c>
      <c r="B33" s="15" t="s">
        <v>2187</v>
      </c>
      <c r="C33" s="14" t="s">
        <v>2554</v>
      </c>
      <c r="D33" s="14" t="s">
        <v>1077</v>
      </c>
      <c r="E33" s="15" t="s">
        <v>1973</v>
      </c>
      <c r="F33" s="15" t="s">
        <v>2721</v>
      </c>
      <c r="G33" s="15" t="s">
        <v>2561</v>
      </c>
      <c r="H33" s="15" t="s">
        <v>65</v>
      </c>
      <c r="I33" s="14" t="s">
        <v>1976</v>
      </c>
      <c r="J33" s="15" t="s">
        <v>58</v>
      </c>
      <c r="K33" s="14" t="s">
        <v>2749</v>
      </c>
    </row>
    <row r="34" customFormat="false" ht="42" hidden="false" customHeight="true" outlineLevel="0" collapsed="false">
      <c r="A34" s="12" t="s">
        <v>2699</v>
      </c>
      <c r="B34" s="13" t="s">
        <v>2707</v>
      </c>
      <c r="C34" s="12" t="s">
        <v>108</v>
      </c>
      <c r="D34" s="12" t="s">
        <v>266</v>
      </c>
      <c r="E34" s="13" t="s">
        <v>1973</v>
      </c>
      <c r="F34" s="13" t="s">
        <v>2721</v>
      </c>
      <c r="G34" s="13" t="s">
        <v>2721</v>
      </c>
      <c r="H34" s="13" t="s">
        <v>65</v>
      </c>
      <c r="I34" s="12" t="s">
        <v>1976</v>
      </c>
      <c r="J34" s="13" t="s">
        <v>58</v>
      </c>
      <c r="K34" s="12" t="s">
        <v>2750</v>
      </c>
    </row>
    <row r="35" customFormat="false" ht="42" hidden="false" customHeight="true" outlineLevel="0" collapsed="false">
      <c r="A35" s="14" t="s">
        <v>2658</v>
      </c>
      <c r="B35" s="15" t="s">
        <v>2666</v>
      </c>
      <c r="C35" s="14" t="s">
        <v>55</v>
      </c>
      <c r="D35" s="14" t="s">
        <v>2046</v>
      </c>
      <c r="E35" s="15" t="s">
        <v>2011</v>
      </c>
      <c r="F35" s="15" t="s">
        <v>2721</v>
      </c>
      <c r="G35" s="15" t="s">
        <v>2721</v>
      </c>
      <c r="H35" s="15" t="s">
        <v>65</v>
      </c>
      <c r="I35" s="14" t="s">
        <v>2014</v>
      </c>
      <c r="J35" s="15" t="s">
        <v>58</v>
      </c>
      <c r="K35" s="14" t="s">
        <v>2751</v>
      </c>
    </row>
    <row r="36" customFormat="false" ht="42" hidden="false" customHeight="true" outlineLevel="0" collapsed="false">
      <c r="A36" s="12" t="s">
        <v>2642</v>
      </c>
      <c r="B36" s="13" t="s">
        <v>2650</v>
      </c>
      <c r="C36" s="12" t="s">
        <v>2010</v>
      </c>
      <c r="D36" s="12" t="s">
        <v>771</v>
      </c>
      <c r="E36" s="13" t="s">
        <v>1973</v>
      </c>
      <c r="F36" s="13" t="s">
        <v>2721</v>
      </c>
      <c r="G36" s="13" t="s">
        <v>2721</v>
      </c>
      <c r="H36" s="13" t="s">
        <v>65</v>
      </c>
      <c r="I36" s="12" t="s">
        <v>2014</v>
      </c>
      <c r="J36" s="13" t="s">
        <v>74</v>
      </c>
      <c r="K36" s="12" t="s">
        <v>2752</v>
      </c>
    </row>
    <row r="37" customFormat="false" ht="42" hidden="false" customHeight="true" outlineLevel="0" collapsed="false">
      <c r="A37" s="14" t="s">
        <v>2651</v>
      </c>
      <c r="B37" s="15" t="s">
        <v>2657</v>
      </c>
      <c r="C37" s="14" t="s">
        <v>246</v>
      </c>
      <c r="D37" s="14" t="s">
        <v>785</v>
      </c>
      <c r="E37" s="15" t="s">
        <v>2011</v>
      </c>
      <c r="F37" s="15" t="s">
        <v>2721</v>
      </c>
      <c r="G37" s="15" t="s">
        <v>2721</v>
      </c>
      <c r="H37" s="15" t="s">
        <v>65</v>
      </c>
      <c r="I37" s="14" t="s">
        <v>2014</v>
      </c>
      <c r="J37" s="15" t="s">
        <v>58</v>
      </c>
      <c r="K37" s="14" t="s">
        <v>2753</v>
      </c>
    </row>
  </sheetData>
  <mergeCells count="5">
    <mergeCell ref="A5:K5"/>
    <mergeCell ref="A8:K8"/>
    <mergeCell ref="A13:K13"/>
    <mergeCell ref="A26:K26"/>
    <mergeCell ref="A32:K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0"/>
    <col collapsed="false" customWidth="true" hidden="false" outlineLevel="0" max="4" min="2" style="1" width="14"/>
    <col collapsed="false" customWidth="true" hidden="false" outlineLevel="0" max="5" min="5" style="1" width="22"/>
    <col collapsed="false" customWidth="true" hidden="false" outlineLevel="0" max="6" min="6" style="1" width="36"/>
  </cols>
  <sheetData>
    <row r="1" customFormat="false" ht="21.75" hidden="false" customHeight="true" outlineLevel="0" collapsed="false">
      <c r="A1" s="16" t="s">
        <v>2754</v>
      </c>
    </row>
    <row r="2" customFormat="false" ht="15" hidden="false" customHeight="true" outlineLevel="0" collapsed="false">
      <c r="A2" s="17" t="s">
        <v>2755</v>
      </c>
    </row>
    <row r="4" customFormat="false" ht="27.75" hidden="false" customHeight="true" outlineLevel="0" collapsed="false">
      <c r="A4" s="6" t="s">
        <v>2756</v>
      </c>
      <c r="B4" s="6" t="s">
        <v>2757</v>
      </c>
      <c r="C4" s="6" t="s">
        <v>2758</v>
      </c>
      <c r="D4" s="6" t="s">
        <v>2759</v>
      </c>
      <c r="E4" s="6" t="s">
        <v>2760</v>
      </c>
      <c r="F4" s="6" t="s">
        <v>2761</v>
      </c>
    </row>
    <row r="5" customFormat="false" ht="15" hidden="false" customHeight="true" outlineLevel="0" collapsed="false">
      <c r="A5" s="18" t="s">
        <v>2762</v>
      </c>
      <c r="B5" s="19" t="n">
        <f aca="false">COUNTA(Matrix!A2:A501)</f>
        <v>262</v>
      </c>
      <c r="C5" s="19" t="n">
        <f aca="false">COUNTA(Deals!A2:A501)</f>
        <v>70</v>
      </c>
      <c r="D5" s="19" t="n">
        <f aca="false">B5+C5</f>
        <v>332</v>
      </c>
      <c r="E5" s="19" t="s">
        <v>2763</v>
      </c>
      <c r="F5" s="19" t="str">
        <f aca="false">IF((B5+C5)&gt;=150,"PASS","BELOW TARGET")</f>
        <v>PASS</v>
      </c>
    </row>
    <row r="6" customFormat="false" ht="15" hidden="false" customHeight="true" outlineLevel="0" collapsed="false">
      <c r="A6" s="20" t="s">
        <v>2764</v>
      </c>
      <c r="B6" s="21" t="n">
        <f aca="false">COUNTIF(Matrix!I2:I502,"1")+COUNTIF(Matrix!I2:I502,1)</f>
        <v>203</v>
      </c>
      <c r="C6" s="21" t="n">
        <f aca="false">COUNTIF(Deals!I2:I502,"1")+COUNTIF(Deals!I2:I502,1)</f>
        <v>66</v>
      </c>
      <c r="D6" s="21" t="n">
        <f aca="false">B6+C6</f>
        <v>269</v>
      </c>
      <c r="E6" s="21" t="s">
        <v>2765</v>
      </c>
      <c r="F6" s="21" t="str">
        <f aca="false">IF((B5+C5)=0,"-",IF((B6+C6)/(B5+C5)&gt;=0.7,"PASS","BELOW TARGET"))</f>
        <v>PASS</v>
      </c>
    </row>
    <row r="7" customFormat="false" ht="15" hidden="false" customHeight="true" outlineLevel="0" collapsed="false">
      <c r="A7" s="18" t="s">
        <v>2766</v>
      </c>
      <c r="B7" s="19" t="n">
        <f aca="false">COUNTIF(Matrix!I2:I502,"2")+COUNTIF(Matrix!I2:I502,2)</f>
        <v>52</v>
      </c>
      <c r="C7" s="19" t="n">
        <f aca="false">COUNTIF(Deals!I2:I502,"2")+COUNTIF(Deals!I2:I502,2)</f>
        <v>4</v>
      </c>
      <c r="D7" s="19" t="n">
        <f aca="false">B7+C7</f>
        <v>56</v>
      </c>
      <c r="E7" s="19" t="s">
        <v>2767</v>
      </c>
      <c r="F7" s="19"/>
    </row>
    <row r="8" customFormat="false" ht="15" hidden="false" customHeight="true" outlineLevel="0" collapsed="false">
      <c r="A8" s="20" t="s">
        <v>2768</v>
      </c>
      <c r="B8" s="22" t="n">
        <f aca="false">IFERROR((B6+B7)/B5,0)</f>
        <v>0.973282442748092</v>
      </c>
      <c r="C8" s="22" t="n">
        <f aca="false">IFERROR((C6+C7)/C5,0)</f>
        <v>1</v>
      </c>
      <c r="D8" s="22" t="n">
        <f aca="false">IFERROR((B6+B7+C6+C7)/(B5+C5),0)</f>
        <v>0.978915662650602</v>
      </c>
      <c r="E8" s="21" t="s">
        <v>2769</v>
      </c>
      <c r="F8" s="21" t="str">
        <f aca="false">IF((B5+C5)=0,"-",IF(D8&gt;=0.85,"PASS","BELOW TARGET"))</f>
        <v>PASS</v>
      </c>
    </row>
    <row r="9" customFormat="false" ht="15" hidden="false" customHeight="true" outlineLevel="0" collapsed="false">
      <c r="A9" s="18" t="s">
        <v>2770</v>
      </c>
      <c r="B9" s="19" t="n">
        <f aca="false">COUNTIF(Matrix!I2:I502,"3")+COUNTIF(Matrix!I2:I502,3)</f>
        <v>7</v>
      </c>
      <c r="C9" s="19" t="n">
        <f aca="false">COUNTIF(Deals!I2:I502,"3")+COUNTIF(Deals!I2:I502,3)</f>
        <v>0</v>
      </c>
      <c r="D9" s="19" t="n">
        <f aca="false">B9+C9</f>
        <v>7</v>
      </c>
      <c r="E9" s="19" t="s">
        <v>2771</v>
      </c>
      <c r="F9" s="19"/>
    </row>
    <row r="10" customFormat="false" ht="15" hidden="false" customHeight="true" outlineLevel="0" collapsed="false">
      <c r="A10" s="20" t="s">
        <v>2772</v>
      </c>
      <c r="B10" s="21" t="n">
        <f aca="false">COUNTIF(Matrix!P2:P502,"TRUE")</f>
        <v>114</v>
      </c>
      <c r="C10" s="21" t="n">
        <f aca="false">COUNTIF(Deals!P2:P502,"TRUE")</f>
        <v>0</v>
      </c>
      <c r="D10" s="21" t="n">
        <f aca="false">B10+C10</f>
        <v>114</v>
      </c>
      <c r="E10" s="21" t="s">
        <v>2773</v>
      </c>
      <c r="F10" s="21" t="str">
        <f aca="false">IF(B10+C10=0,"NO CONSULTING SOURCES",IF((B10+C10)=(B9+C9),"PASS","FAIL — non-Tier3 consulting rows present"))</f>
        <v>FAIL — non-Tier3 consulting rows present</v>
      </c>
    </row>
    <row r="11" customFormat="false" ht="15" hidden="false" customHeight="true" outlineLevel="0" collapsed="false">
      <c r="A11" s="18" t="s">
        <v>2774</v>
      </c>
      <c r="B11" s="19" t="n">
        <f aca="false">COUNTIF(Matrix!O2:O501,"DISCONFIRMING")</f>
        <v>40</v>
      </c>
      <c r="C11" s="19" t="n">
        <f aca="false">COUNTIF(Deals!O2:O501,"DISCONFIRMING")</f>
        <v>3</v>
      </c>
      <c r="D11" s="19" t="n">
        <f aca="false">B11+C11</f>
        <v>43</v>
      </c>
      <c r="E11" s="19" t="s">
        <v>2775</v>
      </c>
      <c r="F11" s="19" t="str">
        <f aca="false">IF((B5+C5)=0,"-",IF((B11+C11)/(B5+C5)&gt;=0.15,"PASS","BELOW TARGET"))</f>
        <v>BELOW TARGET</v>
      </c>
    </row>
    <row r="12" customFormat="false" ht="15" hidden="false" customHeight="true" outlineLevel="0" collapsed="false">
      <c r="A12" s="20" t="s">
        <v>2776</v>
      </c>
      <c r="B12" s="21" t="n">
        <f aca="false">COUNTIF(Matrix!O2:O501,"SOURCE NEEDED")</f>
        <v>3</v>
      </c>
      <c r="C12" s="21" t="n">
        <f aca="false">COUNTIF(Deals!O2:O501,"SOURCE NEEDED")</f>
        <v>0</v>
      </c>
      <c r="D12" s="21" t="n">
        <f aca="false">B12+C12</f>
        <v>3</v>
      </c>
      <c r="E12" s="21" t="s">
        <v>2777</v>
      </c>
      <c r="F12" s="21" t="str">
        <f aca="false">IF((B12+C12)=0,"PASS","RESOLVE BEFORE PUBLISH")</f>
        <v>RESOLVE BEFORE PUBLISH</v>
      </c>
    </row>
    <row r="13" customFormat="false" ht="15" hidden="false" customHeight="true" outlineLevel="0" collapsed="false">
      <c r="A13" s="18" t="s">
        <v>2778</v>
      </c>
      <c r="B13" s="19" t="n">
        <f aca="false">COUNTIF(Matrix!B2:B502,"Q1")</f>
        <v>55</v>
      </c>
      <c r="C13" s="19" t="n">
        <f aca="false">COUNTIF(Deals!B2:B502,"Q1")</f>
        <v>0</v>
      </c>
      <c r="D13" s="19" t="n">
        <f aca="false">B13+C13</f>
        <v>55</v>
      </c>
      <c r="E13" s="19" t="s">
        <v>2779</v>
      </c>
      <c r="F13" s="19" t="str">
        <f aca="false">IF((B13+C13)&gt;=30,"PASS","BELOW")</f>
        <v>PASS</v>
      </c>
    </row>
    <row r="14" customFormat="false" ht="15" hidden="false" customHeight="true" outlineLevel="0" collapsed="false">
      <c r="A14" s="20" t="s">
        <v>2780</v>
      </c>
      <c r="B14" s="21" t="n">
        <f aca="false">COUNTIF(Matrix!B2:B502,"Q2")</f>
        <v>147</v>
      </c>
      <c r="C14" s="21" t="n">
        <f aca="false">COUNTIF(Deals!B2:B502,"Q2")</f>
        <v>0</v>
      </c>
      <c r="D14" s="21" t="n">
        <f aca="false">B14+C14</f>
        <v>147</v>
      </c>
      <c r="E14" s="21" t="s">
        <v>2779</v>
      </c>
      <c r="F14" s="21" t="str">
        <f aca="false">IF((B14+C14)&gt;=30,"PASS","BELOW")</f>
        <v>PASS</v>
      </c>
    </row>
    <row r="15" customFormat="false" ht="15" hidden="false" customHeight="true" outlineLevel="0" collapsed="false">
      <c r="A15" s="18" t="s">
        <v>2781</v>
      </c>
      <c r="B15" s="19" t="n">
        <f aca="false">COUNTIF(Matrix!B2:B502,"Q3*")</f>
        <v>60</v>
      </c>
      <c r="C15" s="19" t="n">
        <f aca="false">COUNTIF(Deals!B2:B502,"Q3*")</f>
        <v>0</v>
      </c>
      <c r="D15" s="19" t="n">
        <f aca="false">B15+C15</f>
        <v>60</v>
      </c>
      <c r="E15" s="19" t="s">
        <v>2779</v>
      </c>
      <c r="F15" s="19" t="str">
        <f aca="false">IF((B15+C15)&gt;=30,"PASS","BELOW")</f>
        <v>PASS</v>
      </c>
    </row>
    <row r="16" customFormat="false" ht="15" hidden="false" customHeight="true" outlineLevel="0" collapsed="false">
      <c r="A16" s="20" t="s">
        <v>2782</v>
      </c>
      <c r="B16" s="21" t="n">
        <f aca="false">COUNTIF(Matrix!B2:B502,"Q4")</f>
        <v>0</v>
      </c>
      <c r="C16" s="21" t="n">
        <f aca="false">COUNTIF(Deals!B2:B502,"Q4")</f>
        <v>70</v>
      </c>
      <c r="D16" s="21" t="n">
        <f aca="false">B16+C16</f>
        <v>70</v>
      </c>
      <c r="E16" s="21" t="s">
        <v>2779</v>
      </c>
      <c r="F16" s="21" t="str">
        <f aca="false">IF((B16+C16)&gt;=30,"PASS","BELOW")</f>
        <v>PASS</v>
      </c>
    </row>
    <row r="17" customFormat="false" ht="15" hidden="false" customHeight="true" outlineLevel="0" collapsed="false">
      <c r="A17" s="20" t="s">
        <v>2783</v>
      </c>
      <c r="B17" s="21" t="n">
        <f aca="false">COUNTIF(Matrix!O2:O502,"DISCONFIRMING")+COUNTIF(Matrix!O2:O502,"LIMITED EVIDENCE")</f>
        <v>74</v>
      </c>
      <c r="C17" s="21" t="n">
        <f aca="false">COUNTIF(Deals!O2:O502,"DISCONFIRMING")+COUNTIF(Deals!O2:O502,"LIMITED EVIDENCE")</f>
        <v>37</v>
      </c>
      <c r="D17" s="22" t="n">
        <f aca="false">IFERROR((B17+C17)/(B5+C5),0)</f>
        <v>0.33433734939759</v>
      </c>
      <c r="E17" s="21" t="s">
        <v>2784</v>
      </c>
      <c r="F17" s="21" t="str">
        <f aca="false">IF((B5+C5)=0,"-",IF((B17+C17)/(B5+C5)&gt;=0.15,"PASS","BELOW"))</f>
        <v>PASS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4"/>
    <col collapsed="false" customWidth="true" hidden="false" outlineLevel="0" max="2" min="2" style="1" width="32"/>
    <col collapsed="false" customWidth="true" hidden="false" outlineLevel="0" max="3" min="3" style="1" width="40"/>
    <col collapsed="false" customWidth="true" hidden="false" outlineLevel="0" max="4" min="4" style="1" width="32"/>
    <col collapsed="false" customWidth="true" hidden="false" outlineLevel="0" max="5" min="5" style="1" width="18"/>
    <col collapsed="false" customWidth="true" hidden="false" outlineLevel="0" max="6" min="6" style="1" width="36"/>
    <col collapsed="false" customWidth="true" hidden="false" outlineLevel="0" max="7" min="7" style="1" width="40"/>
  </cols>
  <sheetData>
    <row r="1" customFormat="false" ht="21.75" hidden="false" customHeight="true" outlineLevel="0" collapsed="false">
      <c r="A1" s="16" t="s">
        <v>2785</v>
      </c>
    </row>
    <row r="2" customFormat="false" ht="15" hidden="false" customHeight="true" outlineLevel="0" collapsed="false">
      <c r="A2" s="17" t="s">
        <v>2786</v>
      </c>
    </row>
    <row r="4" customFormat="false" ht="27.75" hidden="false" customHeight="true" outlineLevel="0" collapsed="false">
      <c r="A4" s="6" t="s">
        <v>2787</v>
      </c>
      <c r="B4" s="6" t="s">
        <v>42</v>
      </c>
      <c r="C4" s="6" t="s">
        <v>2788</v>
      </c>
      <c r="D4" s="6" t="s">
        <v>2789</v>
      </c>
      <c r="E4" s="6" t="s">
        <v>2790</v>
      </c>
      <c r="F4" s="6" t="s">
        <v>2791</v>
      </c>
      <c r="G4" s="6" t="s">
        <v>2792</v>
      </c>
    </row>
    <row r="5" customFormat="false" ht="24" hidden="false" customHeight="true" outlineLevel="0" collapsed="false">
      <c r="A5" s="8"/>
      <c r="B5" s="8"/>
      <c r="C5" s="8"/>
      <c r="D5" s="8"/>
      <c r="E5" s="8"/>
      <c r="F5" s="8"/>
      <c r="G5" s="8"/>
    </row>
    <row r="6" customFormat="false" ht="24" hidden="false" customHeight="true" outlineLevel="0" collapsed="false">
      <c r="A6" s="7"/>
      <c r="B6" s="7"/>
      <c r="C6" s="7"/>
      <c r="D6" s="7"/>
      <c r="E6" s="7"/>
      <c r="F6" s="7"/>
      <c r="G6" s="7"/>
    </row>
    <row r="7" customFormat="false" ht="24" hidden="false" customHeight="true" outlineLevel="0" collapsed="false">
      <c r="A7" s="8"/>
      <c r="B7" s="8"/>
      <c r="C7" s="8"/>
      <c r="D7" s="8"/>
      <c r="E7" s="8"/>
      <c r="F7" s="8"/>
      <c r="G7" s="8"/>
    </row>
    <row r="8" customFormat="false" ht="24" hidden="false" customHeight="true" outlineLevel="0" collapsed="false">
      <c r="A8" s="7"/>
      <c r="B8" s="7"/>
      <c r="C8" s="7"/>
      <c r="D8" s="7"/>
      <c r="E8" s="7"/>
      <c r="F8" s="7"/>
      <c r="G8" s="7"/>
    </row>
    <row r="9" customFormat="false" ht="24" hidden="false" customHeight="true" outlineLevel="0" collapsed="false">
      <c r="A9" s="8"/>
      <c r="B9" s="8"/>
      <c r="C9" s="8"/>
      <c r="D9" s="8"/>
      <c r="E9" s="8"/>
      <c r="F9" s="8"/>
      <c r="G9" s="8"/>
    </row>
    <row r="10" customFormat="false" ht="24" hidden="false" customHeight="true" outlineLevel="0" collapsed="false">
      <c r="A10" s="7"/>
      <c r="B10" s="7"/>
      <c r="C10" s="7"/>
      <c r="D10" s="7"/>
      <c r="E10" s="7"/>
      <c r="F10" s="7"/>
      <c r="G10" s="7"/>
    </row>
    <row r="11" customFormat="false" ht="24" hidden="false" customHeight="true" outlineLevel="0" collapsed="false">
      <c r="A11" s="8"/>
      <c r="B11" s="8"/>
      <c r="C11" s="8"/>
      <c r="D11" s="8"/>
      <c r="E11" s="8"/>
      <c r="F11" s="8"/>
      <c r="G11" s="8"/>
    </row>
    <row r="12" customFormat="false" ht="24" hidden="false" customHeight="true" outlineLevel="0" collapsed="false">
      <c r="A12" s="7"/>
      <c r="B12" s="7"/>
      <c r="C12" s="7"/>
      <c r="D12" s="7"/>
      <c r="E12" s="7"/>
      <c r="F12" s="7"/>
      <c r="G12" s="7"/>
    </row>
    <row r="13" customFormat="false" ht="24" hidden="false" customHeight="true" outlineLevel="0" collapsed="false">
      <c r="A13" s="8"/>
      <c r="B13" s="8"/>
      <c r="C13" s="8"/>
      <c r="D13" s="8"/>
      <c r="E13" s="8"/>
      <c r="F13" s="8"/>
      <c r="G13" s="8"/>
    </row>
    <row r="14" customFormat="false" ht="24" hidden="false" customHeight="true" outlineLevel="0" collapsed="false">
      <c r="A14" s="7"/>
      <c r="B14" s="7"/>
      <c r="C14" s="7"/>
      <c r="D14" s="7"/>
      <c r="E14" s="7"/>
      <c r="F14" s="7"/>
      <c r="G14" s="7"/>
    </row>
    <row r="15" customFormat="false" ht="24" hidden="false" customHeight="true" outlineLevel="0" collapsed="false">
      <c r="A15" s="8"/>
      <c r="B15" s="8"/>
      <c r="C15" s="8"/>
      <c r="D15" s="8"/>
      <c r="E15" s="8"/>
      <c r="F15" s="8"/>
      <c r="G15" s="8"/>
    </row>
    <row r="16" customFormat="false" ht="24" hidden="false" customHeight="true" outlineLevel="0" collapsed="false">
      <c r="A16" s="7"/>
      <c r="B16" s="7"/>
      <c r="C16" s="7"/>
      <c r="D16" s="7"/>
      <c r="E16" s="7"/>
      <c r="F16" s="7"/>
      <c r="G16" s="7"/>
    </row>
    <row r="17" customFormat="false" ht="24" hidden="false" customHeight="true" outlineLevel="0" collapsed="false">
      <c r="A17" s="8"/>
      <c r="B17" s="8"/>
      <c r="C17" s="8"/>
      <c r="D17" s="8"/>
      <c r="E17" s="8"/>
      <c r="F17" s="8"/>
      <c r="G17" s="8"/>
    </row>
    <row r="18" customFormat="false" ht="24" hidden="false" customHeight="true" outlineLevel="0" collapsed="false">
      <c r="A18" s="7"/>
      <c r="B18" s="7"/>
      <c r="C18" s="7"/>
      <c r="D18" s="7"/>
      <c r="E18" s="7"/>
      <c r="F18" s="7"/>
      <c r="G18" s="7"/>
    </row>
    <row r="19" customFormat="false" ht="24" hidden="false" customHeight="true" outlineLevel="0" collapsed="false">
      <c r="A19" s="8"/>
      <c r="B19" s="8"/>
      <c r="C19" s="8"/>
      <c r="D19" s="8"/>
      <c r="E19" s="8"/>
      <c r="F19" s="8"/>
      <c r="G19" s="8"/>
    </row>
    <row r="20" customFormat="false" ht="24" hidden="false" customHeight="true" outlineLevel="0" collapsed="false">
      <c r="A20" s="7"/>
      <c r="B20" s="7"/>
      <c r="C20" s="7"/>
      <c r="D20" s="7"/>
      <c r="E20" s="7"/>
      <c r="F20" s="7"/>
      <c r="G20" s="7"/>
    </row>
    <row r="21" customFormat="false" ht="24" hidden="false" customHeight="true" outlineLevel="0" collapsed="false">
      <c r="A21" s="8"/>
      <c r="B21" s="8"/>
      <c r="C21" s="8"/>
      <c r="D21" s="8"/>
      <c r="E21" s="8"/>
      <c r="F21" s="8"/>
      <c r="G21" s="8"/>
    </row>
    <row r="22" customFormat="false" ht="24" hidden="false" customHeight="true" outlineLevel="0" collapsed="false">
      <c r="A22" s="7"/>
      <c r="B22" s="7"/>
      <c r="C22" s="7"/>
      <c r="D22" s="7"/>
      <c r="E22" s="7"/>
      <c r="F22" s="7"/>
      <c r="G22" s="7"/>
    </row>
    <row r="23" customFormat="false" ht="24" hidden="false" customHeight="true" outlineLevel="0" collapsed="false">
      <c r="A23" s="8"/>
      <c r="B23" s="8"/>
      <c r="C23" s="8"/>
      <c r="D23" s="8"/>
      <c r="E23" s="8"/>
      <c r="F23" s="8"/>
      <c r="G23" s="8"/>
    </row>
    <row r="24" customFormat="false" ht="24" hidden="false" customHeight="true" outlineLevel="0" collapsed="false">
      <c r="A24" s="7"/>
      <c r="B24" s="7"/>
      <c r="C24" s="7"/>
      <c r="D24" s="7"/>
      <c r="E24" s="7"/>
      <c r="F24" s="7"/>
      <c r="G24" s="7"/>
    </row>
    <row r="25" customFormat="false" ht="24" hidden="false" customHeight="true" outlineLevel="0" collapsed="false">
      <c r="A25" s="8"/>
      <c r="B25" s="8"/>
      <c r="C25" s="8"/>
      <c r="D25" s="8"/>
      <c r="E25" s="8"/>
      <c r="F25" s="8"/>
      <c r="G25" s="8"/>
    </row>
    <row r="26" customFormat="false" ht="24" hidden="false" customHeight="true" outlineLevel="0" collapsed="false">
      <c r="A26" s="7"/>
      <c r="B26" s="7"/>
      <c r="C26" s="7"/>
      <c r="D26" s="7"/>
      <c r="E26" s="7"/>
      <c r="F26" s="7"/>
      <c r="G26" s="7"/>
    </row>
    <row r="27" customFormat="false" ht="24" hidden="false" customHeight="true" outlineLevel="0" collapsed="false">
      <c r="A27" s="8"/>
      <c r="B27" s="8"/>
      <c r="C27" s="8"/>
      <c r="D27" s="8"/>
      <c r="E27" s="8"/>
      <c r="F27" s="8"/>
      <c r="G27" s="8"/>
    </row>
    <row r="28" customFormat="false" ht="24" hidden="false" customHeight="true" outlineLevel="0" collapsed="false">
      <c r="A28" s="7"/>
      <c r="B28" s="7"/>
      <c r="C28" s="7"/>
      <c r="D28" s="7"/>
      <c r="E28" s="7"/>
      <c r="F28" s="7"/>
      <c r="G28" s="7"/>
    </row>
    <row r="29" customFormat="false" ht="24" hidden="false" customHeight="true" outlineLevel="0" collapsed="false">
      <c r="A29" s="8"/>
      <c r="B29" s="8"/>
      <c r="C29" s="8"/>
      <c r="D29" s="8"/>
      <c r="E29" s="8"/>
      <c r="F29" s="8"/>
      <c r="G29" s="8"/>
    </row>
    <row r="30" customFormat="false" ht="24" hidden="false" customHeight="true" outlineLevel="0" collapsed="false">
      <c r="A30" s="7"/>
      <c r="B30" s="7"/>
      <c r="C30" s="7"/>
      <c r="D30" s="7"/>
      <c r="E30" s="7"/>
      <c r="F30" s="7"/>
      <c r="G30" s="7"/>
    </row>
    <row r="31" customFormat="false" ht="24" hidden="false" customHeight="true" outlineLevel="0" collapsed="false">
      <c r="A31" s="8"/>
      <c r="B31" s="8"/>
      <c r="C31" s="8"/>
      <c r="D31" s="8"/>
      <c r="E31" s="8"/>
      <c r="F31" s="8"/>
      <c r="G31" s="8"/>
    </row>
    <row r="32" customFormat="false" ht="24" hidden="false" customHeight="true" outlineLevel="0" collapsed="false">
      <c r="A32" s="7"/>
      <c r="B32" s="7"/>
      <c r="C32" s="7"/>
      <c r="D32" s="7"/>
      <c r="E32" s="7"/>
      <c r="F32" s="7"/>
      <c r="G32" s="7"/>
    </row>
    <row r="33" customFormat="false" ht="24" hidden="false" customHeight="true" outlineLevel="0" collapsed="false">
      <c r="A33" s="8"/>
      <c r="B33" s="8"/>
      <c r="C33" s="8"/>
      <c r="D33" s="8"/>
      <c r="E33" s="8"/>
      <c r="F33" s="8"/>
      <c r="G33" s="8"/>
    </row>
    <row r="34" customFormat="false" ht="24" hidden="false" customHeight="true" outlineLevel="0" collapsed="false">
      <c r="A34" s="7"/>
      <c r="B34" s="7"/>
      <c r="C34" s="7"/>
      <c r="D34" s="7"/>
      <c r="E34" s="7"/>
      <c r="F34" s="7"/>
      <c r="G34" s="7"/>
    </row>
    <row r="35" customFormat="false" ht="24" hidden="false" customHeight="true" outlineLevel="0" collapsed="false">
      <c r="A35" s="8"/>
      <c r="B35" s="8"/>
      <c r="C35" s="8"/>
      <c r="D35" s="8"/>
      <c r="E35" s="8"/>
      <c r="F35" s="8"/>
      <c r="G35" s="8"/>
    </row>
    <row r="36" customFormat="false" ht="24" hidden="false" customHeight="true" outlineLevel="0" collapsed="false">
      <c r="A36" s="7"/>
      <c r="B36" s="7"/>
      <c r="C36" s="7"/>
      <c r="D36" s="7"/>
      <c r="E36" s="7"/>
      <c r="F36" s="7"/>
      <c r="G36" s="7"/>
    </row>
    <row r="37" customFormat="false" ht="24" hidden="false" customHeight="true" outlineLevel="0" collapsed="false">
      <c r="A37" s="8"/>
      <c r="B37" s="8"/>
      <c r="C37" s="8"/>
      <c r="D37" s="8"/>
      <c r="E37" s="8"/>
      <c r="F37" s="8"/>
      <c r="G37" s="8"/>
    </row>
    <row r="38" customFormat="false" ht="24" hidden="false" customHeight="true" outlineLevel="0" collapsed="false">
      <c r="A38" s="7"/>
      <c r="B38" s="7"/>
      <c r="C38" s="7"/>
      <c r="D38" s="7"/>
      <c r="E38" s="7"/>
      <c r="F38" s="7"/>
      <c r="G38" s="7"/>
    </row>
    <row r="39" customFormat="false" ht="24" hidden="false" customHeight="true" outlineLevel="0" collapsed="false">
      <c r="A39" s="8"/>
      <c r="B39" s="8"/>
      <c r="C39" s="8"/>
      <c r="D39" s="8"/>
      <c r="E39" s="8"/>
      <c r="F39" s="8"/>
      <c r="G39" s="8"/>
    </row>
    <row r="40" customFormat="false" ht="24" hidden="false" customHeight="true" outlineLevel="0" collapsed="false">
      <c r="A40" s="7"/>
      <c r="B40" s="7"/>
      <c r="C40" s="7"/>
      <c r="D40" s="7"/>
      <c r="E40" s="7"/>
      <c r="F40" s="7"/>
      <c r="G40" s="7"/>
    </row>
    <row r="41" customFormat="false" ht="24" hidden="false" customHeight="true" outlineLevel="0" collapsed="false">
      <c r="A41" s="8"/>
      <c r="B41" s="8"/>
      <c r="C41" s="8"/>
      <c r="D41" s="8"/>
      <c r="E41" s="8"/>
      <c r="F41" s="8"/>
      <c r="G41" s="8"/>
    </row>
    <row r="42" customFormat="false" ht="24" hidden="false" customHeight="true" outlineLevel="0" collapsed="false">
      <c r="A42" s="7"/>
      <c r="B42" s="7"/>
      <c r="C42" s="7"/>
      <c r="D42" s="7"/>
      <c r="E42" s="7"/>
      <c r="F42" s="7"/>
      <c r="G42" s="7"/>
    </row>
    <row r="43" customFormat="false" ht="24" hidden="false" customHeight="true" outlineLevel="0" collapsed="false">
      <c r="A43" s="8"/>
      <c r="B43" s="8"/>
      <c r="C43" s="8"/>
      <c r="D43" s="8"/>
      <c r="E43" s="8"/>
      <c r="F43" s="8"/>
      <c r="G43" s="8"/>
    </row>
    <row r="44" customFormat="false" ht="24" hidden="false" customHeight="true" outlineLevel="0" collapsed="false">
      <c r="A44" s="7"/>
      <c r="B44" s="7"/>
      <c r="C44" s="7"/>
      <c r="D44" s="7"/>
      <c r="E44" s="7"/>
      <c r="F44" s="7"/>
      <c r="G44" s="7"/>
    </row>
    <row r="45" customFormat="false" ht="24" hidden="false" customHeight="true" outlineLevel="0" collapsed="false">
      <c r="A45" s="8"/>
      <c r="B45" s="8"/>
      <c r="C45" s="8"/>
      <c r="D45" s="8"/>
      <c r="E45" s="8"/>
      <c r="F45" s="8"/>
      <c r="G45" s="8"/>
    </row>
    <row r="46" customFormat="false" ht="24" hidden="false" customHeight="true" outlineLevel="0" collapsed="false">
      <c r="A46" s="7"/>
      <c r="B46" s="7"/>
      <c r="C46" s="7"/>
      <c r="D46" s="7"/>
      <c r="E46" s="7"/>
      <c r="F46" s="7"/>
      <c r="G46" s="7"/>
    </row>
    <row r="47" customFormat="false" ht="24" hidden="false" customHeight="true" outlineLevel="0" collapsed="false">
      <c r="A47" s="8"/>
      <c r="B47" s="8"/>
      <c r="C47" s="8"/>
      <c r="D47" s="8"/>
      <c r="E47" s="8"/>
      <c r="F47" s="8"/>
      <c r="G47" s="8"/>
    </row>
    <row r="48" customFormat="false" ht="24" hidden="false" customHeight="true" outlineLevel="0" collapsed="false">
      <c r="A48" s="7"/>
      <c r="B48" s="7"/>
      <c r="C48" s="7"/>
      <c r="D48" s="7"/>
      <c r="E48" s="7"/>
      <c r="F48" s="7"/>
      <c r="G48" s="7"/>
    </row>
    <row r="49" customFormat="false" ht="24" hidden="false" customHeight="true" outlineLevel="0" collapsed="false">
      <c r="A49" s="8"/>
      <c r="B49" s="8"/>
      <c r="C49" s="8"/>
      <c r="D49" s="8"/>
      <c r="E49" s="8"/>
      <c r="F49" s="8"/>
      <c r="G49" s="8"/>
    </row>
    <row r="50" customFormat="false" ht="24" hidden="false" customHeight="true" outlineLevel="0" collapsed="false">
      <c r="A50" s="7"/>
      <c r="B50" s="7"/>
      <c r="C50" s="7"/>
      <c r="D50" s="7"/>
      <c r="E50" s="7"/>
      <c r="F50" s="7"/>
      <c r="G50" s="7"/>
    </row>
    <row r="51" customFormat="false" ht="24" hidden="false" customHeight="true" outlineLevel="0" collapsed="false">
      <c r="A51" s="8"/>
      <c r="B51" s="8"/>
      <c r="C51" s="8"/>
      <c r="D51" s="8"/>
      <c r="E51" s="8"/>
      <c r="F51" s="8"/>
      <c r="G51" s="8"/>
    </row>
    <row r="52" customFormat="false" ht="24" hidden="false" customHeight="true" outlineLevel="0" collapsed="false">
      <c r="A52" s="7"/>
      <c r="B52" s="7"/>
      <c r="C52" s="7"/>
      <c r="D52" s="7"/>
      <c r="E52" s="7"/>
      <c r="F52" s="7"/>
      <c r="G52" s="7"/>
    </row>
    <row r="53" customFormat="false" ht="24" hidden="false" customHeight="true" outlineLevel="0" collapsed="false">
      <c r="A53" s="8"/>
      <c r="B53" s="8"/>
      <c r="C53" s="8"/>
      <c r="D53" s="8"/>
      <c r="E53" s="8"/>
      <c r="F53" s="8"/>
      <c r="G53" s="8"/>
    </row>
    <row r="54" customFormat="false" ht="24" hidden="false" customHeight="true" outlineLevel="0" collapsed="false">
      <c r="A54" s="7"/>
      <c r="B54" s="7"/>
      <c r="C54" s="7"/>
      <c r="D54" s="7"/>
      <c r="E54" s="7"/>
      <c r="F54" s="7"/>
      <c r="G54" s="7"/>
    </row>
    <row r="55" customFormat="false" ht="24" hidden="false" customHeight="true" outlineLevel="0" collapsed="false">
      <c r="A55" s="8"/>
      <c r="B55" s="8"/>
      <c r="C55" s="8"/>
      <c r="D55" s="8"/>
      <c r="E55" s="8"/>
      <c r="F55" s="8"/>
      <c r="G55" s="8"/>
    </row>
    <row r="56" customFormat="false" ht="24" hidden="false" customHeight="true" outlineLevel="0" collapsed="false">
      <c r="A56" s="7"/>
      <c r="B56" s="7"/>
      <c r="C56" s="7"/>
      <c r="D56" s="7"/>
      <c r="E56" s="7"/>
      <c r="F56" s="7"/>
      <c r="G56" s="7"/>
    </row>
    <row r="57" customFormat="false" ht="24" hidden="false" customHeight="true" outlineLevel="0" collapsed="false">
      <c r="A57" s="8"/>
      <c r="B57" s="8"/>
      <c r="C57" s="8"/>
      <c r="D57" s="8"/>
      <c r="E57" s="8"/>
      <c r="F57" s="8"/>
      <c r="G57" s="8"/>
    </row>
    <row r="58" customFormat="false" ht="24" hidden="false" customHeight="true" outlineLevel="0" collapsed="false">
      <c r="A58" s="7"/>
      <c r="B58" s="7"/>
      <c r="C58" s="7"/>
      <c r="D58" s="7"/>
      <c r="E58" s="7"/>
      <c r="F58" s="7"/>
      <c r="G58" s="7"/>
    </row>
    <row r="59" customFormat="false" ht="24" hidden="false" customHeight="true" outlineLevel="0" collapsed="false">
      <c r="A59" s="8"/>
      <c r="B59" s="8"/>
      <c r="C59" s="8"/>
      <c r="D59" s="8"/>
      <c r="E59" s="8"/>
      <c r="F59" s="8"/>
      <c r="G59" s="8"/>
    </row>
    <row r="60" customFormat="false" ht="24" hidden="false" customHeight="true" outlineLevel="0" collapsed="false">
      <c r="A60" s="7"/>
      <c r="B60" s="7"/>
      <c r="C60" s="7"/>
      <c r="D60" s="7"/>
      <c r="E60" s="7"/>
      <c r="F60" s="7"/>
      <c r="G60" s="7"/>
    </row>
    <row r="61" customFormat="false" ht="24" hidden="false" customHeight="true" outlineLevel="0" collapsed="false">
      <c r="A61" s="8"/>
      <c r="B61" s="8"/>
      <c r="C61" s="8"/>
      <c r="D61" s="8"/>
      <c r="E61" s="8"/>
      <c r="F61" s="8"/>
      <c r="G61" s="8"/>
    </row>
    <row r="62" customFormat="false" ht="24" hidden="false" customHeight="true" outlineLevel="0" collapsed="false">
      <c r="A62" s="7"/>
      <c r="B62" s="7"/>
      <c r="C62" s="7"/>
      <c r="D62" s="7"/>
      <c r="E62" s="7"/>
      <c r="F62" s="7"/>
      <c r="G62" s="7"/>
    </row>
    <row r="63" customFormat="false" ht="24" hidden="false" customHeight="true" outlineLevel="0" collapsed="false">
      <c r="A63" s="8"/>
      <c r="B63" s="8"/>
      <c r="C63" s="8"/>
      <c r="D63" s="8"/>
      <c r="E63" s="8"/>
      <c r="F63" s="8"/>
      <c r="G63" s="8"/>
    </row>
    <row r="64" customFormat="false" ht="24" hidden="false" customHeight="true" outlineLevel="0" collapsed="false">
      <c r="A64" s="7"/>
      <c r="B64" s="7"/>
      <c r="C64" s="7"/>
      <c r="D64" s="7"/>
      <c r="E64" s="7"/>
      <c r="F64" s="7"/>
      <c r="G64" s="7"/>
    </row>
    <row r="65" customFormat="false" ht="24" hidden="false" customHeight="true" outlineLevel="0" collapsed="false">
      <c r="A65" s="8"/>
      <c r="B65" s="8"/>
      <c r="C65" s="8"/>
      <c r="D65" s="8"/>
      <c r="E65" s="8"/>
      <c r="F65" s="8"/>
      <c r="G65" s="8"/>
    </row>
    <row r="66" customFormat="false" ht="24" hidden="false" customHeight="true" outlineLevel="0" collapsed="false">
      <c r="A66" s="7"/>
      <c r="B66" s="7"/>
      <c r="C66" s="7"/>
      <c r="D66" s="7"/>
      <c r="E66" s="7"/>
      <c r="F66" s="7"/>
      <c r="G66" s="7"/>
    </row>
    <row r="67" customFormat="false" ht="24" hidden="false" customHeight="true" outlineLevel="0" collapsed="false">
      <c r="A67" s="8"/>
      <c r="B67" s="8"/>
      <c r="C67" s="8"/>
      <c r="D67" s="8"/>
      <c r="E67" s="8"/>
      <c r="F67" s="8"/>
      <c r="G67" s="8"/>
    </row>
    <row r="68" customFormat="false" ht="24" hidden="false" customHeight="true" outlineLevel="0" collapsed="false">
      <c r="A68" s="7"/>
      <c r="B68" s="7"/>
      <c r="C68" s="7"/>
      <c r="D68" s="7"/>
      <c r="E68" s="7"/>
      <c r="F68" s="7"/>
      <c r="G68" s="7"/>
    </row>
    <row r="69" customFormat="false" ht="24" hidden="false" customHeight="true" outlineLevel="0" collapsed="false">
      <c r="A69" s="8"/>
      <c r="B69" s="8"/>
      <c r="C69" s="8"/>
      <c r="D69" s="8"/>
      <c r="E69" s="8"/>
      <c r="F69" s="8"/>
      <c r="G69" s="8"/>
    </row>
    <row r="70" customFormat="false" ht="24" hidden="false" customHeight="true" outlineLevel="0" collapsed="false">
      <c r="A70" s="7"/>
      <c r="B70" s="7"/>
      <c r="C70" s="7"/>
      <c r="D70" s="7"/>
      <c r="E70" s="7"/>
      <c r="F70" s="7"/>
      <c r="G70" s="7"/>
    </row>
    <row r="71" customFormat="false" ht="24" hidden="false" customHeight="true" outlineLevel="0" collapsed="false">
      <c r="A71" s="8"/>
      <c r="B71" s="8"/>
      <c r="C71" s="8"/>
      <c r="D71" s="8"/>
      <c r="E71" s="8"/>
      <c r="F71" s="8"/>
      <c r="G71" s="8"/>
    </row>
    <row r="72" customFormat="false" ht="24" hidden="false" customHeight="true" outlineLevel="0" collapsed="false">
      <c r="A72" s="7"/>
      <c r="B72" s="7"/>
      <c r="C72" s="7"/>
      <c r="D72" s="7"/>
      <c r="E72" s="7"/>
      <c r="F72" s="7"/>
      <c r="G72" s="7"/>
    </row>
    <row r="73" customFormat="false" ht="24" hidden="false" customHeight="true" outlineLevel="0" collapsed="false">
      <c r="A73" s="8"/>
      <c r="B73" s="8"/>
      <c r="C73" s="8"/>
      <c r="D73" s="8"/>
      <c r="E73" s="8"/>
      <c r="F73" s="8"/>
      <c r="G73" s="8"/>
    </row>
    <row r="74" customFormat="false" ht="24" hidden="false" customHeight="true" outlineLevel="0" collapsed="false">
      <c r="A74" s="7"/>
      <c r="B74" s="7"/>
      <c r="C74" s="7"/>
      <c r="D74" s="7"/>
      <c r="E74" s="7"/>
      <c r="F74" s="7"/>
      <c r="G74" s="7"/>
    </row>
    <row r="75" customFormat="false" ht="24" hidden="false" customHeight="true" outlineLevel="0" collapsed="false">
      <c r="A75" s="8"/>
      <c r="B75" s="8"/>
      <c r="C75" s="8"/>
      <c r="D75" s="8"/>
      <c r="E75" s="8"/>
      <c r="F75" s="8"/>
      <c r="G75" s="8"/>
    </row>
    <row r="76" customFormat="false" ht="24" hidden="false" customHeight="true" outlineLevel="0" collapsed="false">
      <c r="A76" s="7"/>
      <c r="B76" s="7"/>
      <c r="C76" s="7"/>
      <c r="D76" s="7"/>
      <c r="E76" s="7"/>
      <c r="F76" s="7"/>
      <c r="G76" s="7"/>
    </row>
    <row r="77" customFormat="false" ht="24" hidden="false" customHeight="true" outlineLevel="0" collapsed="false">
      <c r="A77" s="8"/>
      <c r="B77" s="8"/>
      <c r="C77" s="8"/>
      <c r="D77" s="8"/>
      <c r="E77" s="8"/>
      <c r="F77" s="8"/>
      <c r="G77" s="8"/>
    </row>
    <row r="78" customFormat="false" ht="24" hidden="false" customHeight="true" outlineLevel="0" collapsed="false">
      <c r="A78" s="7"/>
      <c r="B78" s="7"/>
      <c r="C78" s="7"/>
      <c r="D78" s="7"/>
      <c r="E78" s="7"/>
      <c r="F78" s="7"/>
      <c r="G78" s="7"/>
    </row>
    <row r="79" customFormat="false" ht="24" hidden="false" customHeight="true" outlineLevel="0" collapsed="false">
      <c r="A79" s="8"/>
      <c r="B79" s="8"/>
      <c r="C79" s="8"/>
      <c r="D79" s="8"/>
      <c r="E79" s="8"/>
      <c r="F79" s="8"/>
      <c r="G79" s="8"/>
    </row>
    <row r="80" customFormat="false" ht="24" hidden="false" customHeight="true" outlineLevel="0" collapsed="false">
      <c r="A80" s="7"/>
      <c r="B80" s="7"/>
      <c r="C80" s="7"/>
      <c r="D80" s="7"/>
      <c r="E80" s="7"/>
      <c r="F80" s="7"/>
      <c r="G80" s="7"/>
    </row>
    <row r="81" customFormat="false" ht="24" hidden="false" customHeight="true" outlineLevel="0" collapsed="false">
      <c r="A81" s="8"/>
      <c r="B81" s="8"/>
      <c r="C81" s="8"/>
      <c r="D81" s="8"/>
      <c r="E81" s="8"/>
      <c r="F81" s="8"/>
      <c r="G81" s="8"/>
    </row>
    <row r="82" customFormat="false" ht="24" hidden="false" customHeight="true" outlineLevel="0" collapsed="false">
      <c r="A82" s="7"/>
      <c r="B82" s="7"/>
      <c r="C82" s="7"/>
      <c r="D82" s="7"/>
      <c r="E82" s="7"/>
      <c r="F82" s="7"/>
      <c r="G82" s="7"/>
    </row>
    <row r="83" customFormat="false" ht="24" hidden="false" customHeight="true" outlineLevel="0" collapsed="false">
      <c r="A83" s="8"/>
      <c r="B83" s="8"/>
      <c r="C83" s="8"/>
      <c r="D83" s="8"/>
      <c r="E83" s="8"/>
      <c r="F83" s="8"/>
      <c r="G83" s="8"/>
    </row>
    <row r="84" customFormat="false" ht="24" hidden="false" customHeight="true" outlineLevel="0" collapsed="false">
      <c r="A84" s="7"/>
      <c r="B84" s="7"/>
      <c r="C84" s="7"/>
      <c r="D84" s="7"/>
      <c r="E84" s="7"/>
      <c r="F84" s="7"/>
      <c r="G84" s="7"/>
    </row>
    <row r="85" customFormat="false" ht="24" hidden="false" customHeight="true" outlineLevel="0" collapsed="false">
      <c r="A85" s="8"/>
      <c r="B85" s="8"/>
      <c r="C85" s="8"/>
      <c r="D85" s="8"/>
      <c r="E85" s="8"/>
      <c r="F85" s="8"/>
      <c r="G85" s="8"/>
    </row>
    <row r="86" customFormat="false" ht="24" hidden="false" customHeight="true" outlineLevel="0" collapsed="false">
      <c r="A86" s="7"/>
      <c r="B86" s="7"/>
      <c r="C86" s="7"/>
      <c r="D86" s="7"/>
      <c r="E86" s="7"/>
      <c r="F86" s="7"/>
      <c r="G86" s="7"/>
    </row>
    <row r="87" customFormat="false" ht="24" hidden="false" customHeight="true" outlineLevel="0" collapsed="false">
      <c r="A87" s="8"/>
      <c r="B87" s="8"/>
      <c r="C87" s="8"/>
      <c r="D87" s="8"/>
      <c r="E87" s="8"/>
      <c r="F87" s="8"/>
      <c r="G87" s="8"/>
    </row>
    <row r="88" customFormat="false" ht="24" hidden="false" customHeight="true" outlineLevel="0" collapsed="false">
      <c r="A88" s="7"/>
      <c r="B88" s="7"/>
      <c r="C88" s="7"/>
      <c r="D88" s="7"/>
      <c r="E88" s="7"/>
      <c r="F88" s="7"/>
      <c r="G88" s="7"/>
    </row>
    <row r="89" customFormat="false" ht="24" hidden="false" customHeight="true" outlineLevel="0" collapsed="false">
      <c r="A89" s="8"/>
      <c r="B89" s="8"/>
      <c r="C89" s="8"/>
      <c r="D89" s="8"/>
      <c r="E89" s="8"/>
      <c r="F89" s="8"/>
      <c r="G89" s="8"/>
    </row>
    <row r="90" customFormat="false" ht="24" hidden="false" customHeight="true" outlineLevel="0" collapsed="false">
      <c r="A90" s="7"/>
      <c r="B90" s="7"/>
      <c r="C90" s="7"/>
      <c r="D90" s="7"/>
      <c r="E90" s="7"/>
      <c r="F90" s="7"/>
      <c r="G90" s="7"/>
    </row>
    <row r="91" customFormat="false" ht="24" hidden="false" customHeight="true" outlineLevel="0" collapsed="false">
      <c r="A91" s="8"/>
      <c r="B91" s="8"/>
      <c r="C91" s="8"/>
      <c r="D91" s="8"/>
      <c r="E91" s="8"/>
      <c r="F91" s="8"/>
      <c r="G91" s="8"/>
    </row>
    <row r="92" customFormat="false" ht="24" hidden="false" customHeight="true" outlineLevel="0" collapsed="false">
      <c r="A92" s="7"/>
      <c r="B92" s="7"/>
      <c r="C92" s="7"/>
      <c r="D92" s="7"/>
      <c r="E92" s="7"/>
      <c r="F92" s="7"/>
      <c r="G92" s="7"/>
    </row>
    <row r="93" customFormat="false" ht="24" hidden="false" customHeight="true" outlineLevel="0" collapsed="false">
      <c r="A93" s="8"/>
      <c r="B93" s="8"/>
      <c r="C93" s="8"/>
      <c r="D93" s="8"/>
      <c r="E93" s="8"/>
      <c r="F93" s="8"/>
      <c r="G93" s="8"/>
    </row>
    <row r="94" customFormat="false" ht="24" hidden="false" customHeight="true" outlineLevel="0" collapsed="false">
      <c r="A94" s="7"/>
      <c r="B94" s="7"/>
      <c r="C94" s="7"/>
      <c r="D94" s="7"/>
      <c r="E94" s="7"/>
      <c r="F94" s="7"/>
      <c r="G94" s="7"/>
    </row>
    <row r="95" customFormat="false" ht="24" hidden="false" customHeight="true" outlineLevel="0" collapsed="false">
      <c r="A95" s="8"/>
      <c r="B95" s="8"/>
      <c r="C95" s="8"/>
      <c r="D95" s="8"/>
      <c r="E95" s="8"/>
      <c r="F95" s="8"/>
      <c r="G95" s="8"/>
    </row>
    <row r="96" customFormat="false" ht="24" hidden="false" customHeight="true" outlineLevel="0" collapsed="false">
      <c r="A96" s="7"/>
      <c r="B96" s="7"/>
      <c r="C96" s="7"/>
      <c r="D96" s="7"/>
      <c r="E96" s="7"/>
      <c r="F96" s="7"/>
      <c r="G96" s="7"/>
    </row>
    <row r="97" customFormat="false" ht="24" hidden="false" customHeight="true" outlineLevel="0" collapsed="false">
      <c r="A97" s="8"/>
      <c r="B97" s="8"/>
      <c r="C97" s="8"/>
      <c r="D97" s="8"/>
      <c r="E97" s="8"/>
      <c r="F97" s="8"/>
      <c r="G97" s="8"/>
    </row>
    <row r="98" customFormat="false" ht="24" hidden="false" customHeight="true" outlineLevel="0" collapsed="false">
      <c r="A98" s="7"/>
      <c r="B98" s="7"/>
      <c r="C98" s="7"/>
      <c r="D98" s="7"/>
      <c r="E98" s="7"/>
      <c r="F98" s="7"/>
      <c r="G98" s="7"/>
    </row>
    <row r="99" customFormat="false" ht="24" hidden="false" customHeight="true" outlineLevel="0" collapsed="false">
      <c r="A99" s="8"/>
      <c r="B99" s="8"/>
      <c r="C99" s="8"/>
      <c r="D99" s="8"/>
      <c r="E99" s="8"/>
      <c r="F99" s="8"/>
      <c r="G99" s="8"/>
    </row>
    <row r="100" customFormat="false" ht="24" hidden="false" customHeight="true" outlineLevel="0" collapsed="false">
      <c r="A100" s="7"/>
      <c r="B100" s="7"/>
      <c r="C100" s="7"/>
      <c r="D100" s="7"/>
      <c r="E100" s="7"/>
      <c r="F100" s="7"/>
      <c r="G100" s="7"/>
    </row>
    <row r="101" customFormat="false" ht="24" hidden="false" customHeight="true" outlineLevel="0" collapsed="false">
      <c r="A101" s="8"/>
      <c r="B101" s="8"/>
      <c r="C101" s="8"/>
      <c r="D101" s="8"/>
      <c r="E101" s="8"/>
      <c r="F101" s="8"/>
      <c r="G101" s="8"/>
    </row>
    <row r="102" customFormat="false" ht="24" hidden="false" customHeight="true" outlineLevel="0" collapsed="false">
      <c r="A102" s="7"/>
      <c r="B102" s="7"/>
      <c r="C102" s="7"/>
      <c r="D102" s="7"/>
      <c r="E102" s="7"/>
      <c r="F102" s="7"/>
      <c r="G102" s="7"/>
    </row>
    <row r="103" customFormat="false" ht="24" hidden="false" customHeight="true" outlineLevel="0" collapsed="false">
      <c r="A103" s="8"/>
      <c r="B103" s="8"/>
      <c r="C103" s="8"/>
      <c r="D103" s="8"/>
      <c r="E103" s="8"/>
      <c r="F103" s="8"/>
      <c r="G103" s="8"/>
    </row>
    <row r="104" customFormat="false" ht="24" hidden="false" customHeight="true" outlineLevel="0" collapsed="false">
      <c r="A104" s="7"/>
      <c r="B104" s="7"/>
      <c r="C104" s="7"/>
      <c r="D104" s="7"/>
      <c r="E104" s="7"/>
      <c r="F104" s="7"/>
      <c r="G104" s="7"/>
    </row>
    <row r="105" customFormat="false" ht="24" hidden="false" customHeight="true" outlineLevel="0" collapsed="false">
      <c r="A105" s="8"/>
      <c r="B105" s="8"/>
      <c r="C105" s="8"/>
      <c r="D105" s="8"/>
      <c r="E105" s="8"/>
      <c r="F105" s="8"/>
      <c r="G105" s="8"/>
    </row>
    <row r="106" customFormat="false" ht="24" hidden="false" customHeight="true" outlineLevel="0" collapsed="false">
      <c r="A106" s="7"/>
      <c r="B106" s="7"/>
      <c r="C106" s="7"/>
      <c r="D106" s="7"/>
      <c r="E106" s="7"/>
      <c r="F106" s="7"/>
      <c r="G106" s="7"/>
    </row>
    <row r="107" customFormat="false" ht="24" hidden="false" customHeight="true" outlineLevel="0" collapsed="false">
      <c r="A107" s="8"/>
      <c r="B107" s="8"/>
      <c r="C107" s="8"/>
      <c r="D107" s="8"/>
      <c r="E107" s="8"/>
      <c r="F107" s="8"/>
      <c r="G107" s="8"/>
    </row>
    <row r="108" customFormat="false" ht="24" hidden="false" customHeight="true" outlineLevel="0" collapsed="false">
      <c r="A108" s="7"/>
      <c r="B108" s="7"/>
      <c r="C108" s="7"/>
      <c r="D108" s="7"/>
      <c r="E108" s="7"/>
      <c r="F108" s="7"/>
      <c r="G108" s="7"/>
    </row>
    <row r="109" customFormat="false" ht="24" hidden="false" customHeight="true" outlineLevel="0" collapsed="false">
      <c r="A109" s="8"/>
      <c r="B109" s="8"/>
      <c r="C109" s="8"/>
      <c r="D109" s="8"/>
      <c r="E109" s="8"/>
      <c r="F109" s="8"/>
      <c r="G109" s="8"/>
    </row>
    <row r="110" customFormat="false" ht="24" hidden="false" customHeight="true" outlineLevel="0" collapsed="false">
      <c r="A110" s="7"/>
      <c r="B110" s="7"/>
      <c r="C110" s="7"/>
      <c r="D110" s="7"/>
      <c r="E110" s="7"/>
      <c r="F110" s="7"/>
      <c r="G110" s="7"/>
    </row>
    <row r="111" customFormat="false" ht="24" hidden="false" customHeight="true" outlineLevel="0" collapsed="false">
      <c r="A111" s="8"/>
      <c r="B111" s="8"/>
      <c r="C111" s="8"/>
      <c r="D111" s="8"/>
      <c r="E111" s="8"/>
      <c r="F111" s="8"/>
      <c r="G111" s="8"/>
    </row>
    <row r="112" customFormat="false" ht="24" hidden="false" customHeight="true" outlineLevel="0" collapsed="false">
      <c r="A112" s="7"/>
      <c r="B112" s="7"/>
      <c r="C112" s="7"/>
      <c r="D112" s="7"/>
      <c r="E112" s="7"/>
      <c r="F112" s="7"/>
      <c r="G112" s="7"/>
    </row>
    <row r="113" customFormat="false" ht="24" hidden="false" customHeight="true" outlineLevel="0" collapsed="false">
      <c r="A113" s="8"/>
      <c r="B113" s="8"/>
      <c r="C113" s="8"/>
      <c r="D113" s="8"/>
      <c r="E113" s="8"/>
      <c r="F113" s="8"/>
      <c r="G113" s="8"/>
    </row>
    <row r="114" customFormat="false" ht="24" hidden="false" customHeight="true" outlineLevel="0" collapsed="false">
      <c r="A114" s="7"/>
      <c r="B114" s="7"/>
      <c r="C114" s="7"/>
      <c r="D114" s="7"/>
      <c r="E114" s="7"/>
      <c r="F114" s="7"/>
      <c r="G114" s="7"/>
    </row>
    <row r="115" customFormat="false" ht="24" hidden="false" customHeight="true" outlineLevel="0" collapsed="false">
      <c r="A115" s="8"/>
      <c r="B115" s="8"/>
      <c r="C115" s="8"/>
      <c r="D115" s="8"/>
      <c r="E115" s="8"/>
      <c r="F115" s="8"/>
      <c r="G115" s="8"/>
    </row>
    <row r="116" customFormat="false" ht="24" hidden="false" customHeight="true" outlineLevel="0" collapsed="false">
      <c r="A116" s="7"/>
      <c r="B116" s="7"/>
      <c r="C116" s="7"/>
      <c r="D116" s="7"/>
      <c r="E116" s="7"/>
      <c r="F116" s="7"/>
      <c r="G116" s="7"/>
    </row>
    <row r="117" customFormat="false" ht="24" hidden="false" customHeight="true" outlineLevel="0" collapsed="false">
      <c r="A117" s="8"/>
      <c r="B117" s="8"/>
      <c r="C117" s="8"/>
      <c r="D117" s="8"/>
      <c r="E117" s="8"/>
      <c r="F117" s="8"/>
      <c r="G117" s="8"/>
    </row>
    <row r="118" customFormat="false" ht="24" hidden="false" customHeight="true" outlineLevel="0" collapsed="false">
      <c r="A118" s="7"/>
      <c r="B118" s="7"/>
      <c r="C118" s="7"/>
      <c r="D118" s="7"/>
      <c r="E118" s="7"/>
      <c r="F118" s="7"/>
      <c r="G118" s="7"/>
    </row>
    <row r="119" customFormat="false" ht="24" hidden="false" customHeight="true" outlineLevel="0" collapsed="false">
      <c r="A119" s="8"/>
      <c r="B119" s="8"/>
      <c r="C119" s="8"/>
      <c r="D119" s="8"/>
      <c r="E119" s="8"/>
      <c r="F119" s="8"/>
      <c r="G119" s="8"/>
    </row>
    <row r="120" customFormat="false" ht="24" hidden="false" customHeight="true" outlineLevel="0" collapsed="false">
      <c r="A120" s="7"/>
      <c r="B120" s="7"/>
      <c r="C120" s="7"/>
      <c r="D120" s="7"/>
      <c r="E120" s="7"/>
      <c r="F120" s="7"/>
      <c r="G120" s="7"/>
    </row>
    <row r="121" customFormat="false" ht="24" hidden="false" customHeight="true" outlineLevel="0" collapsed="false">
      <c r="A121" s="8"/>
      <c r="B121" s="8"/>
      <c r="C121" s="8"/>
      <c r="D121" s="8"/>
      <c r="E121" s="8"/>
      <c r="F121" s="8"/>
      <c r="G121" s="8"/>
    </row>
    <row r="122" customFormat="false" ht="24" hidden="false" customHeight="true" outlineLevel="0" collapsed="false">
      <c r="A122" s="7"/>
      <c r="B122" s="7"/>
      <c r="C122" s="7"/>
      <c r="D122" s="7"/>
      <c r="E122" s="7"/>
      <c r="F122" s="7"/>
      <c r="G122" s="7"/>
    </row>
    <row r="123" customFormat="false" ht="24" hidden="false" customHeight="true" outlineLevel="0" collapsed="false">
      <c r="A123" s="8"/>
      <c r="B123" s="8"/>
      <c r="C123" s="8"/>
      <c r="D123" s="8"/>
      <c r="E123" s="8"/>
      <c r="F123" s="8"/>
      <c r="G123" s="8"/>
    </row>
    <row r="124" customFormat="false" ht="24" hidden="false" customHeight="true" outlineLevel="0" collapsed="false">
      <c r="A124" s="7"/>
      <c r="B124" s="7"/>
      <c r="C124" s="7"/>
      <c r="D124" s="7"/>
      <c r="E124" s="7"/>
      <c r="F124" s="7"/>
      <c r="G124" s="7"/>
    </row>
    <row r="125" customFormat="false" ht="24" hidden="false" customHeight="true" outlineLevel="0" collapsed="false">
      <c r="A125" s="8"/>
      <c r="B125" s="8"/>
      <c r="C125" s="8"/>
      <c r="D125" s="8"/>
      <c r="E125" s="8"/>
      <c r="F125" s="8"/>
      <c r="G125" s="8"/>
    </row>
    <row r="126" customFormat="false" ht="24" hidden="false" customHeight="true" outlineLevel="0" collapsed="false">
      <c r="A126" s="7"/>
      <c r="B126" s="7"/>
      <c r="C126" s="7"/>
      <c r="D126" s="7"/>
      <c r="E126" s="7"/>
      <c r="F126" s="7"/>
      <c r="G126" s="7"/>
    </row>
    <row r="127" customFormat="false" ht="24" hidden="false" customHeight="true" outlineLevel="0" collapsed="false">
      <c r="A127" s="8"/>
      <c r="B127" s="8"/>
      <c r="C127" s="8"/>
      <c r="D127" s="8"/>
      <c r="E127" s="8"/>
      <c r="F127" s="8"/>
      <c r="G127" s="8"/>
    </row>
    <row r="128" customFormat="false" ht="24" hidden="false" customHeight="true" outlineLevel="0" collapsed="false">
      <c r="A128" s="7"/>
      <c r="B128" s="7"/>
      <c r="C128" s="7"/>
      <c r="D128" s="7"/>
      <c r="E128" s="7"/>
      <c r="F128" s="7"/>
      <c r="G128" s="7"/>
    </row>
    <row r="129" customFormat="false" ht="24" hidden="false" customHeight="true" outlineLevel="0" collapsed="false">
      <c r="A129" s="8"/>
      <c r="B129" s="8"/>
      <c r="C129" s="8"/>
      <c r="D129" s="8"/>
      <c r="E129" s="8"/>
      <c r="F129" s="8"/>
      <c r="G129" s="8"/>
    </row>
    <row r="130" customFormat="false" ht="24" hidden="false" customHeight="true" outlineLevel="0" collapsed="false">
      <c r="A130" s="7"/>
      <c r="B130" s="7"/>
      <c r="C130" s="7"/>
      <c r="D130" s="7"/>
      <c r="E130" s="7"/>
      <c r="F130" s="7"/>
      <c r="G130" s="7"/>
    </row>
    <row r="131" customFormat="false" ht="24" hidden="false" customHeight="true" outlineLevel="0" collapsed="false">
      <c r="A131" s="8"/>
      <c r="B131" s="8"/>
      <c r="C131" s="8"/>
      <c r="D131" s="8"/>
      <c r="E131" s="8"/>
      <c r="F131" s="8"/>
      <c r="G131" s="8"/>
    </row>
    <row r="132" customFormat="false" ht="24" hidden="false" customHeight="true" outlineLevel="0" collapsed="false">
      <c r="A132" s="7"/>
      <c r="B132" s="7"/>
      <c r="C132" s="7"/>
      <c r="D132" s="7"/>
      <c r="E132" s="7"/>
      <c r="F132" s="7"/>
      <c r="G132" s="7"/>
    </row>
    <row r="133" customFormat="false" ht="24" hidden="false" customHeight="true" outlineLevel="0" collapsed="false">
      <c r="A133" s="8"/>
      <c r="B133" s="8"/>
      <c r="C133" s="8"/>
      <c r="D133" s="8"/>
      <c r="E133" s="8"/>
      <c r="F133" s="8"/>
      <c r="G133" s="8"/>
    </row>
    <row r="134" customFormat="false" ht="24" hidden="false" customHeight="true" outlineLevel="0" collapsed="false">
      <c r="A134" s="7"/>
      <c r="B134" s="7"/>
      <c r="C134" s="7"/>
      <c r="D134" s="7"/>
      <c r="E134" s="7"/>
      <c r="F134" s="7"/>
      <c r="G134" s="7"/>
    </row>
    <row r="135" customFormat="false" ht="24" hidden="false" customHeight="true" outlineLevel="0" collapsed="false">
      <c r="A135" s="8"/>
      <c r="B135" s="8"/>
      <c r="C135" s="8"/>
      <c r="D135" s="8"/>
      <c r="E135" s="8"/>
      <c r="F135" s="8"/>
      <c r="G135" s="8"/>
    </row>
    <row r="136" customFormat="false" ht="24" hidden="false" customHeight="true" outlineLevel="0" collapsed="false">
      <c r="A136" s="7"/>
      <c r="B136" s="7"/>
      <c r="C136" s="7"/>
      <c r="D136" s="7"/>
      <c r="E136" s="7"/>
      <c r="F136" s="7"/>
      <c r="G136" s="7"/>
    </row>
    <row r="137" customFormat="false" ht="24" hidden="false" customHeight="true" outlineLevel="0" collapsed="false">
      <c r="A137" s="8"/>
      <c r="B137" s="8"/>
      <c r="C137" s="8"/>
      <c r="D137" s="8"/>
      <c r="E137" s="8"/>
      <c r="F137" s="8"/>
      <c r="G137" s="8"/>
    </row>
    <row r="138" customFormat="false" ht="24" hidden="false" customHeight="true" outlineLevel="0" collapsed="false">
      <c r="A138" s="7"/>
      <c r="B138" s="7"/>
      <c r="C138" s="7"/>
      <c r="D138" s="7"/>
      <c r="E138" s="7"/>
      <c r="F138" s="7"/>
      <c r="G138" s="7"/>
    </row>
    <row r="139" customFormat="false" ht="24" hidden="false" customHeight="true" outlineLevel="0" collapsed="false">
      <c r="A139" s="8"/>
      <c r="B139" s="8"/>
      <c r="C139" s="8"/>
      <c r="D139" s="8"/>
      <c r="E139" s="8"/>
      <c r="F139" s="8"/>
      <c r="G139" s="8"/>
    </row>
    <row r="140" customFormat="false" ht="24" hidden="false" customHeight="true" outlineLevel="0" collapsed="false">
      <c r="A140" s="7"/>
      <c r="B140" s="7"/>
      <c r="C140" s="7"/>
      <c r="D140" s="7"/>
      <c r="E140" s="7"/>
      <c r="F140" s="7"/>
      <c r="G140" s="7"/>
    </row>
    <row r="141" customFormat="false" ht="24" hidden="false" customHeight="true" outlineLevel="0" collapsed="false">
      <c r="A141" s="8"/>
      <c r="B141" s="8"/>
      <c r="C141" s="8"/>
      <c r="D141" s="8"/>
      <c r="E141" s="8"/>
      <c r="F141" s="8"/>
      <c r="G141" s="8"/>
    </row>
    <row r="142" customFormat="false" ht="24" hidden="false" customHeight="true" outlineLevel="0" collapsed="false">
      <c r="A142" s="7"/>
      <c r="B142" s="7"/>
      <c r="C142" s="7"/>
      <c r="D142" s="7"/>
      <c r="E142" s="7"/>
      <c r="F142" s="7"/>
      <c r="G142" s="7"/>
    </row>
    <row r="143" customFormat="false" ht="24" hidden="false" customHeight="true" outlineLevel="0" collapsed="false">
      <c r="A143" s="8"/>
      <c r="B143" s="8"/>
      <c r="C143" s="8"/>
      <c r="D143" s="8"/>
      <c r="E143" s="8"/>
      <c r="F143" s="8"/>
      <c r="G143" s="8"/>
    </row>
    <row r="144" customFormat="false" ht="24" hidden="false" customHeight="true" outlineLevel="0" collapsed="false">
      <c r="A144" s="7"/>
      <c r="B144" s="7"/>
      <c r="C144" s="7"/>
      <c r="D144" s="7"/>
      <c r="E144" s="7"/>
      <c r="F144" s="7"/>
      <c r="G144" s="7"/>
    </row>
    <row r="145" customFormat="false" ht="24" hidden="false" customHeight="true" outlineLevel="0" collapsed="false">
      <c r="A145" s="8"/>
      <c r="B145" s="8"/>
      <c r="C145" s="8"/>
      <c r="D145" s="8"/>
      <c r="E145" s="8"/>
      <c r="F145" s="8"/>
      <c r="G145" s="8"/>
    </row>
    <row r="146" customFormat="false" ht="24" hidden="false" customHeight="true" outlineLevel="0" collapsed="false">
      <c r="A146" s="7"/>
      <c r="B146" s="7"/>
      <c r="C146" s="7"/>
      <c r="D146" s="7"/>
      <c r="E146" s="7"/>
      <c r="F146" s="7"/>
      <c r="G146" s="7"/>
    </row>
    <row r="147" customFormat="false" ht="24" hidden="false" customHeight="true" outlineLevel="0" collapsed="false">
      <c r="A147" s="8"/>
      <c r="B147" s="8"/>
      <c r="C147" s="8"/>
      <c r="D147" s="8"/>
      <c r="E147" s="8"/>
      <c r="F147" s="8"/>
      <c r="G147" s="8"/>
    </row>
    <row r="148" customFormat="false" ht="24" hidden="false" customHeight="true" outlineLevel="0" collapsed="false">
      <c r="A148" s="7"/>
      <c r="B148" s="7"/>
      <c r="C148" s="7"/>
      <c r="D148" s="7"/>
      <c r="E148" s="7"/>
      <c r="F148" s="7"/>
      <c r="G148" s="7"/>
    </row>
    <row r="149" customFormat="false" ht="24" hidden="false" customHeight="true" outlineLevel="0" collapsed="false">
      <c r="A149" s="8"/>
      <c r="B149" s="8"/>
      <c r="C149" s="8"/>
      <c r="D149" s="8"/>
      <c r="E149" s="8"/>
      <c r="F149" s="8"/>
      <c r="G149" s="8"/>
    </row>
    <row r="150" customFormat="false" ht="24" hidden="false" customHeight="true" outlineLevel="0" collapsed="false">
      <c r="A150" s="7"/>
      <c r="B150" s="7"/>
      <c r="C150" s="7"/>
      <c r="D150" s="7"/>
      <c r="E150" s="7"/>
      <c r="F150" s="7"/>
      <c r="G150" s="7"/>
    </row>
    <row r="151" customFormat="false" ht="24" hidden="false" customHeight="true" outlineLevel="0" collapsed="false">
      <c r="A151" s="8"/>
      <c r="B151" s="8"/>
      <c r="C151" s="8"/>
      <c r="D151" s="8"/>
      <c r="E151" s="8"/>
      <c r="F151" s="8"/>
      <c r="G151" s="8"/>
    </row>
    <row r="152" customFormat="false" ht="24" hidden="false" customHeight="true" outlineLevel="0" collapsed="false">
      <c r="A152" s="7"/>
      <c r="B152" s="7"/>
      <c r="C152" s="7"/>
      <c r="D152" s="7"/>
      <c r="E152" s="7"/>
      <c r="F152" s="7"/>
      <c r="G152" s="7"/>
    </row>
    <row r="153" customFormat="false" ht="24" hidden="false" customHeight="true" outlineLevel="0" collapsed="false">
      <c r="A153" s="8"/>
      <c r="B153" s="8"/>
      <c r="C153" s="8"/>
      <c r="D153" s="8"/>
      <c r="E153" s="8"/>
      <c r="F153" s="8"/>
      <c r="G153" s="8"/>
    </row>
    <row r="154" customFormat="false" ht="24" hidden="false" customHeight="true" outlineLevel="0" collapsed="false">
      <c r="A154" s="7"/>
      <c r="B154" s="7"/>
      <c r="C154" s="7"/>
      <c r="D154" s="7"/>
      <c r="E154" s="7"/>
      <c r="F154" s="7"/>
      <c r="G154" s="7"/>
    </row>
    <row r="155" customFormat="false" ht="24" hidden="false" customHeight="true" outlineLevel="0" collapsed="false">
      <c r="A155" s="8"/>
      <c r="B155" s="8"/>
      <c r="C155" s="8"/>
      <c r="D155" s="8"/>
      <c r="E155" s="8"/>
      <c r="F155" s="8"/>
      <c r="G155" s="8"/>
    </row>
    <row r="156" customFormat="false" ht="24" hidden="false" customHeight="true" outlineLevel="0" collapsed="false">
      <c r="A156" s="7"/>
      <c r="B156" s="7"/>
      <c r="C156" s="7"/>
      <c r="D156" s="7"/>
      <c r="E156" s="7"/>
      <c r="F156" s="7"/>
      <c r="G156" s="7"/>
    </row>
    <row r="157" customFormat="false" ht="24" hidden="false" customHeight="true" outlineLevel="0" collapsed="false">
      <c r="A157" s="8"/>
      <c r="B157" s="8"/>
      <c r="C157" s="8"/>
      <c r="D157" s="8"/>
      <c r="E157" s="8"/>
      <c r="F157" s="8"/>
      <c r="G157" s="8"/>
    </row>
    <row r="158" customFormat="false" ht="24" hidden="false" customHeight="true" outlineLevel="0" collapsed="false">
      <c r="A158" s="7"/>
      <c r="B158" s="7"/>
      <c r="C158" s="7"/>
      <c r="D158" s="7"/>
      <c r="E158" s="7"/>
      <c r="F158" s="7"/>
      <c r="G158" s="7"/>
    </row>
    <row r="159" customFormat="false" ht="24" hidden="false" customHeight="true" outlineLevel="0" collapsed="false">
      <c r="A159" s="8"/>
      <c r="B159" s="8"/>
      <c r="C159" s="8"/>
      <c r="D159" s="8"/>
      <c r="E159" s="8"/>
      <c r="F159" s="8"/>
      <c r="G159" s="8"/>
    </row>
    <row r="160" customFormat="false" ht="24" hidden="false" customHeight="true" outlineLevel="0" collapsed="false">
      <c r="A160" s="7"/>
      <c r="B160" s="7"/>
      <c r="C160" s="7"/>
      <c r="D160" s="7"/>
      <c r="E160" s="7"/>
      <c r="F160" s="7"/>
      <c r="G160" s="7"/>
    </row>
    <row r="161" customFormat="false" ht="24" hidden="false" customHeight="true" outlineLevel="0" collapsed="false">
      <c r="A161" s="8"/>
      <c r="B161" s="8"/>
      <c r="C161" s="8"/>
      <c r="D161" s="8"/>
      <c r="E161" s="8"/>
      <c r="F161" s="8"/>
      <c r="G161" s="8"/>
    </row>
    <row r="162" customFormat="false" ht="24" hidden="false" customHeight="true" outlineLevel="0" collapsed="false">
      <c r="A162" s="7"/>
      <c r="B162" s="7"/>
      <c r="C162" s="7"/>
      <c r="D162" s="7"/>
      <c r="E162" s="7"/>
      <c r="F162" s="7"/>
      <c r="G162" s="7"/>
    </row>
    <row r="163" customFormat="false" ht="24" hidden="false" customHeight="true" outlineLevel="0" collapsed="false">
      <c r="A163" s="8"/>
      <c r="B163" s="8"/>
      <c r="C163" s="8"/>
      <c r="D163" s="8"/>
      <c r="E163" s="8"/>
      <c r="F163" s="8"/>
      <c r="G163" s="8"/>
    </row>
    <row r="164" customFormat="false" ht="24" hidden="false" customHeight="true" outlineLevel="0" collapsed="false">
      <c r="A164" s="7"/>
      <c r="B164" s="7"/>
      <c r="C164" s="7"/>
      <c r="D164" s="7"/>
      <c r="E164" s="7"/>
      <c r="F164" s="7"/>
      <c r="G164" s="7"/>
    </row>
    <row r="165" customFormat="false" ht="24" hidden="false" customHeight="true" outlineLevel="0" collapsed="false">
      <c r="A165" s="8"/>
      <c r="B165" s="8"/>
      <c r="C165" s="8"/>
      <c r="D165" s="8"/>
      <c r="E165" s="8"/>
      <c r="F165" s="8"/>
      <c r="G165" s="8"/>
    </row>
    <row r="166" customFormat="false" ht="24" hidden="false" customHeight="true" outlineLevel="0" collapsed="false">
      <c r="A166" s="7"/>
      <c r="B166" s="7"/>
      <c r="C166" s="7"/>
      <c r="D166" s="7"/>
      <c r="E166" s="7"/>
      <c r="F166" s="7"/>
      <c r="G166" s="7"/>
    </row>
    <row r="167" customFormat="false" ht="24" hidden="false" customHeight="true" outlineLevel="0" collapsed="false">
      <c r="A167" s="8"/>
      <c r="B167" s="8"/>
      <c r="C167" s="8"/>
      <c r="D167" s="8"/>
      <c r="E167" s="8"/>
      <c r="F167" s="8"/>
      <c r="G167" s="8"/>
    </row>
    <row r="168" customFormat="false" ht="24" hidden="false" customHeight="true" outlineLevel="0" collapsed="false">
      <c r="A168" s="7"/>
      <c r="B168" s="7"/>
      <c r="C168" s="7"/>
      <c r="D168" s="7"/>
      <c r="E168" s="7"/>
      <c r="F168" s="7"/>
      <c r="G168" s="7"/>
    </row>
    <row r="169" customFormat="false" ht="24" hidden="false" customHeight="true" outlineLevel="0" collapsed="false">
      <c r="A169" s="8"/>
      <c r="B169" s="8"/>
      <c r="C169" s="8"/>
      <c r="D169" s="8"/>
      <c r="E169" s="8"/>
      <c r="F169" s="8"/>
      <c r="G169" s="8"/>
    </row>
    <row r="170" customFormat="false" ht="24" hidden="false" customHeight="true" outlineLevel="0" collapsed="false">
      <c r="A170" s="7"/>
      <c r="B170" s="7"/>
      <c r="C170" s="7"/>
      <c r="D170" s="7"/>
      <c r="E170" s="7"/>
      <c r="F170" s="7"/>
      <c r="G170" s="7"/>
    </row>
    <row r="171" customFormat="false" ht="24" hidden="false" customHeight="true" outlineLevel="0" collapsed="false">
      <c r="A171" s="8"/>
      <c r="B171" s="8"/>
      <c r="C171" s="8"/>
      <c r="D171" s="8"/>
      <c r="E171" s="8"/>
      <c r="F171" s="8"/>
      <c r="G171" s="8"/>
    </row>
    <row r="172" customFormat="false" ht="24" hidden="false" customHeight="true" outlineLevel="0" collapsed="false">
      <c r="A172" s="7"/>
      <c r="B172" s="7"/>
      <c r="C172" s="7"/>
      <c r="D172" s="7"/>
      <c r="E172" s="7"/>
      <c r="F172" s="7"/>
      <c r="G172" s="7"/>
    </row>
    <row r="173" customFormat="false" ht="24" hidden="false" customHeight="true" outlineLevel="0" collapsed="false">
      <c r="A173" s="8"/>
      <c r="B173" s="8"/>
      <c r="C173" s="8"/>
      <c r="D173" s="8"/>
      <c r="E173" s="8"/>
      <c r="F173" s="8"/>
      <c r="G173" s="8"/>
    </row>
    <row r="174" customFormat="false" ht="24" hidden="false" customHeight="true" outlineLevel="0" collapsed="false">
      <c r="A174" s="7"/>
      <c r="B174" s="7"/>
      <c r="C174" s="7"/>
      <c r="D174" s="7"/>
      <c r="E174" s="7"/>
      <c r="F174" s="7"/>
      <c r="G174" s="7"/>
    </row>
    <row r="175" customFormat="false" ht="24" hidden="false" customHeight="true" outlineLevel="0" collapsed="false">
      <c r="A175" s="8"/>
      <c r="B175" s="8"/>
      <c r="C175" s="8"/>
      <c r="D175" s="8"/>
      <c r="E175" s="8"/>
      <c r="F175" s="8"/>
      <c r="G175" s="8"/>
    </row>
    <row r="176" customFormat="false" ht="24" hidden="false" customHeight="true" outlineLevel="0" collapsed="false">
      <c r="A176" s="7"/>
      <c r="B176" s="7"/>
      <c r="C176" s="7"/>
      <c r="D176" s="7"/>
      <c r="E176" s="7"/>
      <c r="F176" s="7"/>
      <c r="G176" s="7"/>
    </row>
    <row r="177" customFormat="false" ht="24" hidden="false" customHeight="true" outlineLevel="0" collapsed="false">
      <c r="A177" s="8"/>
      <c r="B177" s="8"/>
      <c r="C177" s="8"/>
      <c r="D177" s="8"/>
      <c r="E177" s="8"/>
      <c r="F177" s="8"/>
      <c r="G177" s="8"/>
    </row>
    <row r="178" customFormat="false" ht="24" hidden="false" customHeight="true" outlineLevel="0" collapsed="false">
      <c r="A178" s="7"/>
      <c r="B178" s="7"/>
      <c r="C178" s="7"/>
      <c r="D178" s="7"/>
      <c r="E178" s="7"/>
      <c r="F178" s="7"/>
      <c r="G178" s="7"/>
    </row>
    <row r="179" customFormat="false" ht="24" hidden="false" customHeight="true" outlineLevel="0" collapsed="false">
      <c r="A179" s="8"/>
      <c r="B179" s="8"/>
      <c r="C179" s="8"/>
      <c r="D179" s="8"/>
      <c r="E179" s="8"/>
      <c r="F179" s="8"/>
      <c r="G179" s="8"/>
    </row>
    <row r="180" customFormat="false" ht="24" hidden="false" customHeight="true" outlineLevel="0" collapsed="false">
      <c r="A180" s="7"/>
      <c r="B180" s="7"/>
      <c r="C180" s="7"/>
      <c r="D180" s="7"/>
      <c r="E180" s="7"/>
      <c r="F180" s="7"/>
      <c r="G180" s="7"/>
    </row>
    <row r="181" customFormat="false" ht="24" hidden="false" customHeight="true" outlineLevel="0" collapsed="false">
      <c r="A181" s="8"/>
      <c r="B181" s="8"/>
      <c r="C181" s="8"/>
      <c r="D181" s="8"/>
      <c r="E181" s="8"/>
      <c r="F181" s="8"/>
      <c r="G181" s="8"/>
    </row>
    <row r="182" customFormat="false" ht="24" hidden="false" customHeight="true" outlineLevel="0" collapsed="false">
      <c r="A182" s="7"/>
      <c r="B182" s="7"/>
      <c r="C182" s="7"/>
      <c r="D182" s="7"/>
      <c r="E182" s="7"/>
      <c r="F182" s="7"/>
      <c r="G182" s="7"/>
    </row>
    <row r="183" customFormat="false" ht="24" hidden="false" customHeight="true" outlineLevel="0" collapsed="false">
      <c r="A183" s="8"/>
      <c r="B183" s="8"/>
      <c r="C183" s="8"/>
      <c r="D183" s="8"/>
      <c r="E183" s="8"/>
      <c r="F183" s="8"/>
      <c r="G183" s="8"/>
    </row>
    <row r="184" customFormat="false" ht="24" hidden="false" customHeight="true" outlineLevel="0" collapsed="false">
      <c r="A184" s="7"/>
      <c r="B184" s="7"/>
      <c r="C184" s="7"/>
      <c r="D184" s="7"/>
      <c r="E184" s="7"/>
      <c r="F184" s="7"/>
      <c r="G184" s="7"/>
    </row>
    <row r="185" customFormat="false" ht="24" hidden="false" customHeight="true" outlineLevel="0" collapsed="false">
      <c r="A185" s="8"/>
      <c r="B185" s="8"/>
      <c r="C185" s="8"/>
      <c r="D185" s="8"/>
      <c r="E185" s="8"/>
      <c r="F185" s="8"/>
      <c r="G185" s="8"/>
    </row>
    <row r="186" customFormat="false" ht="24" hidden="false" customHeight="true" outlineLevel="0" collapsed="false">
      <c r="A186" s="7"/>
      <c r="B186" s="7"/>
      <c r="C186" s="7"/>
      <c r="D186" s="7"/>
      <c r="E186" s="7"/>
      <c r="F186" s="7"/>
      <c r="G186" s="7"/>
    </row>
    <row r="187" customFormat="false" ht="24" hidden="false" customHeight="true" outlineLevel="0" collapsed="false">
      <c r="A187" s="8"/>
      <c r="B187" s="8"/>
      <c r="C187" s="8"/>
      <c r="D187" s="8"/>
      <c r="E187" s="8"/>
      <c r="F187" s="8"/>
      <c r="G187" s="8"/>
    </row>
    <row r="188" customFormat="false" ht="24" hidden="false" customHeight="true" outlineLevel="0" collapsed="false">
      <c r="A188" s="7"/>
      <c r="B188" s="7"/>
      <c r="C188" s="7"/>
      <c r="D188" s="7"/>
      <c r="E188" s="7"/>
      <c r="F188" s="7"/>
      <c r="G188" s="7"/>
    </row>
    <row r="189" customFormat="false" ht="24" hidden="false" customHeight="true" outlineLevel="0" collapsed="false">
      <c r="A189" s="8"/>
      <c r="B189" s="8"/>
      <c r="C189" s="8"/>
      <c r="D189" s="8"/>
      <c r="E189" s="8"/>
      <c r="F189" s="8"/>
      <c r="G189" s="8"/>
    </row>
    <row r="190" customFormat="false" ht="24" hidden="false" customHeight="true" outlineLevel="0" collapsed="false">
      <c r="A190" s="7"/>
      <c r="B190" s="7"/>
      <c r="C190" s="7"/>
      <c r="D190" s="7"/>
      <c r="E190" s="7"/>
      <c r="F190" s="7"/>
      <c r="G190" s="7"/>
    </row>
    <row r="191" customFormat="false" ht="24" hidden="false" customHeight="true" outlineLevel="0" collapsed="false">
      <c r="A191" s="8"/>
      <c r="B191" s="8"/>
      <c r="C191" s="8"/>
      <c r="D191" s="8"/>
      <c r="E191" s="8"/>
      <c r="F191" s="8"/>
      <c r="G191" s="8"/>
    </row>
    <row r="192" customFormat="false" ht="24" hidden="false" customHeight="true" outlineLevel="0" collapsed="false">
      <c r="A192" s="7"/>
      <c r="B192" s="7"/>
      <c r="C192" s="7"/>
      <c r="D192" s="7"/>
      <c r="E192" s="7"/>
      <c r="F192" s="7"/>
      <c r="G192" s="7"/>
    </row>
    <row r="193" customFormat="false" ht="24" hidden="false" customHeight="true" outlineLevel="0" collapsed="false">
      <c r="A193" s="8"/>
      <c r="B193" s="8"/>
      <c r="C193" s="8"/>
      <c r="D193" s="8"/>
      <c r="E193" s="8"/>
      <c r="F193" s="8"/>
      <c r="G193" s="8"/>
    </row>
    <row r="194" customFormat="false" ht="24" hidden="false" customHeight="true" outlineLevel="0" collapsed="false">
      <c r="A194" s="7"/>
      <c r="B194" s="7"/>
      <c r="C194" s="7"/>
      <c r="D194" s="7"/>
      <c r="E194" s="7"/>
      <c r="F194" s="7"/>
      <c r="G194" s="7"/>
    </row>
    <row r="195" customFormat="false" ht="24" hidden="false" customHeight="true" outlineLevel="0" collapsed="false">
      <c r="A195" s="8"/>
      <c r="B195" s="8"/>
      <c r="C195" s="8"/>
      <c r="D195" s="8"/>
      <c r="E195" s="8"/>
      <c r="F195" s="8"/>
      <c r="G195" s="8"/>
    </row>
    <row r="196" customFormat="false" ht="24" hidden="false" customHeight="true" outlineLevel="0" collapsed="false">
      <c r="A196" s="7"/>
      <c r="B196" s="7"/>
      <c r="C196" s="7"/>
      <c r="D196" s="7"/>
      <c r="E196" s="7"/>
      <c r="F196" s="7"/>
      <c r="G196" s="7"/>
    </row>
    <row r="197" customFormat="false" ht="24" hidden="false" customHeight="true" outlineLevel="0" collapsed="false">
      <c r="A197" s="8"/>
      <c r="B197" s="8"/>
      <c r="C197" s="8"/>
      <c r="D197" s="8"/>
      <c r="E197" s="8"/>
      <c r="F197" s="8"/>
      <c r="G197" s="8"/>
    </row>
    <row r="198" customFormat="false" ht="24" hidden="false" customHeight="true" outlineLevel="0" collapsed="false">
      <c r="A198" s="7"/>
      <c r="B198" s="7"/>
      <c r="C198" s="7"/>
      <c r="D198" s="7"/>
      <c r="E198" s="7"/>
      <c r="F198" s="7"/>
      <c r="G198" s="7"/>
    </row>
    <row r="199" customFormat="false" ht="24" hidden="false" customHeight="true" outlineLevel="0" collapsed="false">
      <c r="A199" s="8"/>
      <c r="B199" s="8"/>
      <c r="C199" s="8"/>
      <c r="D199" s="8"/>
      <c r="E199" s="8"/>
      <c r="F199" s="8"/>
      <c r="G199" s="8"/>
    </row>
    <row r="200" customFormat="false" ht="24" hidden="false" customHeight="true" outlineLevel="0" collapsed="false">
      <c r="A200" s="7"/>
      <c r="B200" s="7"/>
      <c r="C200" s="7"/>
      <c r="D200" s="7"/>
      <c r="E200" s="7"/>
      <c r="F200" s="7"/>
      <c r="G200" s="7"/>
    </row>
    <row r="201" customFormat="false" ht="24" hidden="false" customHeight="true" outlineLevel="0" collapsed="false">
      <c r="A201" s="8"/>
      <c r="B201" s="8"/>
      <c r="C201" s="8"/>
      <c r="D201" s="8"/>
      <c r="E201" s="8"/>
      <c r="F201" s="8"/>
      <c r="G201" s="8"/>
    </row>
    <row r="202" customFormat="false" ht="24" hidden="false" customHeight="true" outlineLevel="0" collapsed="false">
      <c r="A202" s="7"/>
      <c r="B202" s="7"/>
      <c r="C202" s="7"/>
      <c r="D202" s="7"/>
      <c r="E202" s="7"/>
      <c r="F202" s="7"/>
      <c r="G202" s="7"/>
    </row>
    <row r="203" customFormat="false" ht="24" hidden="false" customHeight="true" outlineLevel="0" collapsed="false">
      <c r="A203" s="8"/>
      <c r="B203" s="8"/>
      <c r="C203" s="8"/>
      <c r="D203" s="8"/>
      <c r="E203" s="8"/>
      <c r="F203" s="8"/>
      <c r="G203" s="8"/>
    </row>
    <row r="204" customFormat="false" ht="24" hidden="false" customHeight="true" outlineLevel="0" collapsed="false">
      <c r="A204" s="7"/>
      <c r="B204" s="7"/>
      <c r="C204" s="7"/>
      <c r="D204" s="7"/>
      <c r="E204" s="7"/>
      <c r="F204" s="7"/>
      <c r="G204" s="7"/>
    </row>
    <row r="205" customFormat="false" ht="24" hidden="false" customHeight="true" outlineLevel="0" collapsed="false">
      <c r="A205" s="8"/>
      <c r="B205" s="8"/>
      <c r="C205" s="8"/>
      <c r="D205" s="8"/>
      <c r="E205" s="8"/>
      <c r="F205" s="8"/>
      <c r="G205" s="8"/>
    </row>
    <row r="206" customFormat="false" ht="24" hidden="false" customHeight="true" outlineLevel="0" collapsed="false">
      <c r="A206" s="7"/>
      <c r="B206" s="7"/>
      <c r="C206" s="7"/>
      <c r="D206" s="7"/>
      <c r="E206" s="7"/>
      <c r="F206" s="7"/>
      <c r="G206" s="7"/>
    </row>
    <row r="207" customFormat="false" ht="24" hidden="false" customHeight="true" outlineLevel="0" collapsed="false">
      <c r="A207" s="8"/>
      <c r="B207" s="8"/>
      <c r="C207" s="8"/>
      <c r="D207" s="8"/>
      <c r="E207" s="8"/>
      <c r="F207" s="8"/>
      <c r="G207" s="8"/>
    </row>
    <row r="208" customFormat="false" ht="24" hidden="false" customHeight="true" outlineLevel="0" collapsed="false">
      <c r="A208" s="7"/>
      <c r="B208" s="7"/>
      <c r="C208" s="7"/>
      <c r="D208" s="7"/>
      <c r="E208" s="7"/>
      <c r="F208" s="7"/>
      <c r="G208" s="7"/>
    </row>
    <row r="209" customFormat="false" ht="24" hidden="false" customHeight="true" outlineLevel="0" collapsed="false">
      <c r="A209" s="8"/>
      <c r="B209" s="8"/>
      <c r="C209" s="8"/>
      <c r="D209" s="8"/>
      <c r="E209" s="8"/>
      <c r="F209" s="8"/>
      <c r="G209" s="8"/>
    </row>
    <row r="210" customFormat="false" ht="24" hidden="false" customHeight="true" outlineLevel="0" collapsed="false">
      <c r="A210" s="7"/>
      <c r="B210" s="7"/>
      <c r="C210" s="7"/>
      <c r="D210" s="7"/>
      <c r="E210" s="7"/>
      <c r="F210" s="7"/>
      <c r="G210" s="7"/>
    </row>
    <row r="211" customFormat="false" ht="24" hidden="false" customHeight="true" outlineLevel="0" collapsed="false">
      <c r="A211" s="8"/>
      <c r="B211" s="8"/>
      <c r="C211" s="8"/>
      <c r="D211" s="8"/>
      <c r="E211" s="8"/>
      <c r="F211" s="8"/>
      <c r="G211" s="8"/>
    </row>
    <row r="212" customFormat="false" ht="24" hidden="false" customHeight="true" outlineLevel="0" collapsed="false">
      <c r="A212" s="7"/>
      <c r="B212" s="7"/>
      <c r="C212" s="7"/>
      <c r="D212" s="7"/>
      <c r="E212" s="7"/>
      <c r="F212" s="7"/>
      <c r="G212" s="7"/>
    </row>
    <row r="213" customFormat="false" ht="24" hidden="false" customHeight="true" outlineLevel="0" collapsed="false">
      <c r="A213" s="8"/>
      <c r="B213" s="8"/>
      <c r="C213" s="8"/>
      <c r="D213" s="8"/>
      <c r="E213" s="8"/>
      <c r="F213" s="8"/>
      <c r="G213" s="8"/>
    </row>
    <row r="214" customFormat="false" ht="24" hidden="false" customHeight="true" outlineLevel="0" collapsed="false">
      <c r="A214" s="7"/>
      <c r="B214" s="7"/>
      <c r="C214" s="7"/>
      <c r="D214" s="7"/>
      <c r="E214" s="7"/>
      <c r="F214" s="7"/>
      <c r="G214" s="7"/>
    </row>
    <row r="215" customFormat="false" ht="24" hidden="false" customHeight="true" outlineLevel="0" collapsed="false">
      <c r="A215" s="8"/>
      <c r="B215" s="8"/>
      <c r="C215" s="8"/>
      <c r="D215" s="8"/>
      <c r="E215" s="8"/>
      <c r="F215" s="8"/>
      <c r="G215" s="8"/>
    </row>
    <row r="216" customFormat="false" ht="24" hidden="false" customHeight="true" outlineLevel="0" collapsed="false">
      <c r="A216" s="7"/>
      <c r="B216" s="7"/>
      <c r="C216" s="7"/>
      <c r="D216" s="7"/>
      <c r="E216" s="7"/>
      <c r="F216" s="7"/>
      <c r="G216" s="7"/>
    </row>
    <row r="217" customFormat="false" ht="24" hidden="false" customHeight="true" outlineLevel="0" collapsed="false">
      <c r="A217" s="8"/>
      <c r="B217" s="8"/>
      <c r="C217" s="8"/>
      <c r="D217" s="8"/>
      <c r="E217" s="8"/>
      <c r="F217" s="8"/>
      <c r="G217" s="8"/>
    </row>
    <row r="218" customFormat="false" ht="24" hidden="false" customHeight="true" outlineLevel="0" collapsed="false">
      <c r="A218" s="7"/>
      <c r="B218" s="7"/>
      <c r="C218" s="7"/>
      <c r="D218" s="7"/>
      <c r="E218" s="7"/>
      <c r="F218" s="7"/>
      <c r="G218" s="7"/>
    </row>
    <row r="219" customFormat="false" ht="24" hidden="false" customHeight="true" outlineLevel="0" collapsed="false">
      <c r="A219" s="8"/>
      <c r="B219" s="8"/>
      <c r="C219" s="8"/>
      <c r="D219" s="8"/>
      <c r="E219" s="8"/>
      <c r="F219" s="8"/>
      <c r="G219" s="8"/>
    </row>
    <row r="220" customFormat="false" ht="24" hidden="false" customHeight="true" outlineLevel="0" collapsed="false">
      <c r="A220" s="7"/>
      <c r="B220" s="7"/>
      <c r="C220" s="7"/>
      <c r="D220" s="7"/>
      <c r="E220" s="7"/>
      <c r="F220" s="7"/>
      <c r="G220" s="7"/>
    </row>
    <row r="221" customFormat="false" ht="24" hidden="false" customHeight="true" outlineLevel="0" collapsed="false">
      <c r="A221" s="8"/>
      <c r="B221" s="8"/>
      <c r="C221" s="8"/>
      <c r="D221" s="8"/>
      <c r="E221" s="8"/>
      <c r="F221" s="8"/>
      <c r="G221" s="8"/>
    </row>
    <row r="222" customFormat="false" ht="24" hidden="false" customHeight="true" outlineLevel="0" collapsed="false">
      <c r="A222" s="7"/>
      <c r="B222" s="7"/>
      <c r="C222" s="7"/>
      <c r="D222" s="7"/>
      <c r="E222" s="7"/>
      <c r="F222" s="7"/>
      <c r="G222" s="7"/>
    </row>
    <row r="223" customFormat="false" ht="24" hidden="false" customHeight="true" outlineLevel="0" collapsed="false">
      <c r="A223" s="8"/>
      <c r="B223" s="8"/>
      <c r="C223" s="8"/>
      <c r="D223" s="8"/>
      <c r="E223" s="8"/>
      <c r="F223" s="8"/>
      <c r="G223" s="8"/>
    </row>
    <row r="224" customFormat="false" ht="24" hidden="false" customHeight="true" outlineLevel="0" collapsed="false">
      <c r="A224" s="7"/>
      <c r="B224" s="7"/>
      <c r="C224" s="7"/>
      <c r="D224" s="7"/>
      <c r="E224" s="7"/>
      <c r="F224" s="7"/>
      <c r="G224" s="7"/>
    </row>
    <row r="225" customFormat="false" ht="24" hidden="false" customHeight="true" outlineLevel="0" collapsed="false">
      <c r="A225" s="8"/>
      <c r="B225" s="8"/>
      <c r="C225" s="8"/>
      <c r="D225" s="8"/>
      <c r="E225" s="8"/>
      <c r="F225" s="8"/>
      <c r="G225" s="8"/>
    </row>
    <row r="226" customFormat="false" ht="24" hidden="false" customHeight="true" outlineLevel="0" collapsed="false">
      <c r="A226" s="7"/>
      <c r="B226" s="7"/>
      <c r="C226" s="7"/>
      <c r="D226" s="7"/>
      <c r="E226" s="7"/>
      <c r="F226" s="7"/>
      <c r="G226" s="7"/>
    </row>
    <row r="227" customFormat="false" ht="24" hidden="false" customHeight="true" outlineLevel="0" collapsed="false">
      <c r="A227" s="8"/>
      <c r="B227" s="8"/>
      <c r="C227" s="8"/>
      <c r="D227" s="8"/>
      <c r="E227" s="8"/>
      <c r="F227" s="8"/>
      <c r="G227" s="8"/>
    </row>
    <row r="228" customFormat="false" ht="24" hidden="false" customHeight="true" outlineLevel="0" collapsed="false">
      <c r="A228" s="7"/>
      <c r="B228" s="7"/>
      <c r="C228" s="7"/>
      <c r="D228" s="7"/>
      <c r="E228" s="7"/>
      <c r="F228" s="7"/>
      <c r="G228" s="7"/>
    </row>
    <row r="229" customFormat="false" ht="24" hidden="false" customHeight="true" outlineLevel="0" collapsed="false">
      <c r="A229" s="8"/>
      <c r="B229" s="8"/>
      <c r="C229" s="8"/>
      <c r="D229" s="8"/>
      <c r="E229" s="8"/>
      <c r="F229" s="8"/>
      <c r="G229" s="8"/>
    </row>
    <row r="230" customFormat="false" ht="24" hidden="false" customHeight="true" outlineLevel="0" collapsed="false">
      <c r="A230" s="7"/>
      <c r="B230" s="7"/>
      <c r="C230" s="7"/>
      <c r="D230" s="7"/>
      <c r="E230" s="7"/>
      <c r="F230" s="7"/>
      <c r="G230" s="7"/>
    </row>
    <row r="231" customFormat="false" ht="24" hidden="false" customHeight="true" outlineLevel="0" collapsed="false">
      <c r="A231" s="8"/>
      <c r="B231" s="8"/>
      <c r="C231" s="8"/>
      <c r="D231" s="8"/>
      <c r="E231" s="8"/>
      <c r="F231" s="8"/>
      <c r="G231" s="8"/>
    </row>
    <row r="232" customFormat="false" ht="24" hidden="false" customHeight="true" outlineLevel="0" collapsed="false">
      <c r="A232" s="7"/>
      <c r="B232" s="7"/>
      <c r="C232" s="7"/>
      <c r="D232" s="7"/>
      <c r="E232" s="7"/>
      <c r="F232" s="7"/>
      <c r="G232" s="7"/>
    </row>
    <row r="233" customFormat="false" ht="24" hidden="false" customHeight="true" outlineLevel="0" collapsed="false">
      <c r="A233" s="8"/>
      <c r="B233" s="8"/>
      <c r="C233" s="8"/>
      <c r="D233" s="8"/>
      <c r="E233" s="8"/>
      <c r="F233" s="8"/>
      <c r="G233" s="8"/>
    </row>
    <row r="234" customFormat="false" ht="24" hidden="false" customHeight="true" outlineLevel="0" collapsed="false">
      <c r="A234" s="7"/>
      <c r="B234" s="7"/>
      <c r="C234" s="7"/>
      <c r="D234" s="7"/>
      <c r="E234" s="7"/>
      <c r="F234" s="7"/>
      <c r="G234" s="7"/>
    </row>
    <row r="235" customFormat="false" ht="24" hidden="false" customHeight="true" outlineLevel="0" collapsed="false">
      <c r="A235" s="8"/>
      <c r="B235" s="8"/>
      <c r="C235" s="8"/>
      <c r="D235" s="8"/>
      <c r="E235" s="8"/>
      <c r="F235" s="8"/>
      <c r="G235" s="8"/>
    </row>
    <row r="236" customFormat="false" ht="24" hidden="false" customHeight="true" outlineLevel="0" collapsed="false">
      <c r="A236" s="7"/>
      <c r="B236" s="7"/>
      <c r="C236" s="7"/>
      <c r="D236" s="7"/>
      <c r="E236" s="7"/>
      <c r="F236" s="7"/>
      <c r="G236" s="7"/>
    </row>
    <row r="237" customFormat="false" ht="24" hidden="false" customHeight="true" outlineLevel="0" collapsed="false">
      <c r="A237" s="8"/>
      <c r="B237" s="8"/>
      <c r="C237" s="8"/>
      <c r="D237" s="8"/>
      <c r="E237" s="8"/>
      <c r="F237" s="8"/>
      <c r="G237" s="8"/>
    </row>
    <row r="238" customFormat="false" ht="24" hidden="false" customHeight="true" outlineLevel="0" collapsed="false">
      <c r="A238" s="7"/>
      <c r="B238" s="7"/>
      <c r="C238" s="7"/>
      <c r="D238" s="7"/>
      <c r="E238" s="7"/>
      <c r="F238" s="7"/>
      <c r="G238" s="7"/>
    </row>
    <row r="239" customFormat="false" ht="24" hidden="false" customHeight="true" outlineLevel="0" collapsed="false">
      <c r="A239" s="8"/>
      <c r="B239" s="8"/>
      <c r="C239" s="8"/>
      <c r="D239" s="8"/>
      <c r="E239" s="8"/>
      <c r="F239" s="8"/>
      <c r="G239" s="8"/>
    </row>
    <row r="240" customFormat="false" ht="24" hidden="false" customHeight="true" outlineLevel="0" collapsed="false">
      <c r="A240" s="7"/>
      <c r="B240" s="7"/>
      <c r="C240" s="7"/>
      <c r="D240" s="7"/>
      <c r="E240" s="7"/>
      <c r="F240" s="7"/>
      <c r="G240" s="7"/>
    </row>
    <row r="241" customFormat="false" ht="24" hidden="false" customHeight="true" outlineLevel="0" collapsed="false">
      <c r="A241" s="8"/>
      <c r="B241" s="8"/>
      <c r="C241" s="8"/>
      <c r="D241" s="8"/>
      <c r="E241" s="8"/>
      <c r="F241" s="8"/>
      <c r="G241" s="8"/>
    </row>
    <row r="242" customFormat="false" ht="24" hidden="false" customHeight="true" outlineLevel="0" collapsed="false">
      <c r="A242" s="7"/>
      <c r="B242" s="7"/>
      <c r="C242" s="7"/>
      <c r="D242" s="7"/>
      <c r="E242" s="7"/>
      <c r="F242" s="7"/>
      <c r="G242" s="7"/>
    </row>
    <row r="243" customFormat="false" ht="24" hidden="false" customHeight="true" outlineLevel="0" collapsed="false">
      <c r="A243" s="8"/>
      <c r="B243" s="8"/>
      <c r="C243" s="8"/>
      <c r="D243" s="8"/>
      <c r="E243" s="8"/>
      <c r="F243" s="8"/>
      <c r="G243" s="8"/>
    </row>
    <row r="244" customFormat="false" ht="24" hidden="false" customHeight="true" outlineLevel="0" collapsed="false">
      <c r="A244" s="7"/>
      <c r="B244" s="7"/>
      <c r="C244" s="7"/>
      <c r="D244" s="7"/>
      <c r="E244" s="7"/>
      <c r="F244" s="7"/>
      <c r="G244" s="7"/>
    </row>
    <row r="245" customFormat="false" ht="24" hidden="false" customHeight="true" outlineLevel="0" collapsed="false">
      <c r="A245" s="8"/>
      <c r="B245" s="8"/>
      <c r="C245" s="8"/>
      <c r="D245" s="8"/>
      <c r="E245" s="8"/>
      <c r="F245" s="8"/>
      <c r="G245" s="8"/>
    </row>
    <row r="246" customFormat="false" ht="24" hidden="false" customHeight="true" outlineLevel="0" collapsed="false">
      <c r="A246" s="7"/>
      <c r="B246" s="7"/>
      <c r="C246" s="7"/>
      <c r="D246" s="7"/>
      <c r="E246" s="7"/>
      <c r="F246" s="7"/>
      <c r="G246" s="7"/>
    </row>
    <row r="247" customFormat="false" ht="24" hidden="false" customHeight="true" outlineLevel="0" collapsed="false">
      <c r="A247" s="8"/>
      <c r="B247" s="8"/>
      <c r="C247" s="8"/>
      <c r="D247" s="8"/>
      <c r="E247" s="8"/>
      <c r="F247" s="8"/>
      <c r="G247" s="8"/>
    </row>
    <row r="248" customFormat="false" ht="24" hidden="false" customHeight="true" outlineLevel="0" collapsed="false">
      <c r="A248" s="7"/>
      <c r="B248" s="7"/>
      <c r="C248" s="7"/>
      <c r="D248" s="7"/>
      <c r="E248" s="7"/>
      <c r="F248" s="7"/>
      <c r="G248" s="7"/>
    </row>
    <row r="249" customFormat="false" ht="24" hidden="false" customHeight="true" outlineLevel="0" collapsed="false">
      <c r="A249" s="8"/>
      <c r="B249" s="8"/>
      <c r="C249" s="8"/>
      <c r="D249" s="8"/>
      <c r="E249" s="8"/>
      <c r="F249" s="8"/>
      <c r="G249" s="8"/>
    </row>
    <row r="250" customFormat="false" ht="24" hidden="false" customHeight="true" outlineLevel="0" collapsed="false">
      <c r="A250" s="7"/>
      <c r="B250" s="7"/>
      <c r="C250" s="7"/>
      <c r="D250" s="7"/>
      <c r="E250" s="7"/>
      <c r="F250" s="7"/>
      <c r="G250" s="7"/>
    </row>
    <row r="251" customFormat="false" ht="24" hidden="false" customHeight="true" outlineLevel="0" collapsed="false">
      <c r="A251" s="8"/>
      <c r="B251" s="8"/>
      <c r="C251" s="8"/>
      <c r="D251" s="8"/>
      <c r="E251" s="8"/>
      <c r="F251" s="8"/>
      <c r="G251" s="8"/>
    </row>
    <row r="252" customFormat="false" ht="24" hidden="false" customHeight="true" outlineLevel="0" collapsed="false">
      <c r="A252" s="7"/>
      <c r="B252" s="7"/>
      <c r="C252" s="7"/>
      <c r="D252" s="7"/>
      <c r="E252" s="7"/>
      <c r="F252" s="7"/>
      <c r="G252" s="7"/>
    </row>
    <row r="253" customFormat="false" ht="24" hidden="false" customHeight="true" outlineLevel="0" collapsed="false">
      <c r="A253" s="8"/>
      <c r="B253" s="8"/>
      <c r="C253" s="8"/>
      <c r="D253" s="8"/>
      <c r="E253" s="8"/>
      <c r="F253" s="8"/>
      <c r="G253" s="8"/>
    </row>
    <row r="254" customFormat="false" ht="24" hidden="false" customHeight="true" outlineLevel="0" collapsed="false">
      <c r="A254" s="7"/>
      <c r="B254" s="7"/>
      <c r="C254" s="7"/>
      <c r="D254" s="7"/>
      <c r="E254" s="7"/>
      <c r="F254" s="7"/>
      <c r="G254" s="7"/>
    </row>
    <row r="255" customFormat="false" ht="24" hidden="false" customHeight="true" outlineLevel="0" collapsed="false">
      <c r="A255" s="8"/>
      <c r="B255" s="8"/>
      <c r="C255" s="8"/>
      <c r="D255" s="8"/>
      <c r="E255" s="8"/>
      <c r="F255" s="8"/>
      <c r="G255" s="8"/>
    </row>
    <row r="256" customFormat="false" ht="24" hidden="false" customHeight="true" outlineLevel="0" collapsed="false">
      <c r="A256" s="7"/>
      <c r="B256" s="7"/>
      <c r="C256" s="7"/>
      <c r="D256" s="7"/>
      <c r="E256" s="7"/>
      <c r="F256" s="7"/>
      <c r="G256" s="7"/>
    </row>
    <row r="257" customFormat="false" ht="24" hidden="false" customHeight="true" outlineLevel="0" collapsed="false">
      <c r="A257" s="8"/>
      <c r="B257" s="8"/>
      <c r="C257" s="8"/>
      <c r="D257" s="8"/>
      <c r="E257" s="8"/>
      <c r="F257" s="8"/>
      <c r="G257" s="8"/>
    </row>
    <row r="258" customFormat="false" ht="24" hidden="false" customHeight="true" outlineLevel="0" collapsed="false">
      <c r="A258" s="7"/>
      <c r="B258" s="7"/>
      <c r="C258" s="7"/>
      <c r="D258" s="7"/>
      <c r="E258" s="7"/>
      <c r="F258" s="7"/>
      <c r="G258" s="7"/>
    </row>
    <row r="259" customFormat="false" ht="24" hidden="false" customHeight="true" outlineLevel="0" collapsed="false">
      <c r="A259" s="8"/>
      <c r="B259" s="8"/>
      <c r="C259" s="8"/>
      <c r="D259" s="8"/>
      <c r="E259" s="8"/>
      <c r="F259" s="8"/>
      <c r="G259" s="8"/>
    </row>
    <row r="260" customFormat="false" ht="24" hidden="false" customHeight="true" outlineLevel="0" collapsed="false">
      <c r="A260" s="7"/>
      <c r="B260" s="7"/>
      <c r="C260" s="7"/>
      <c r="D260" s="7"/>
      <c r="E260" s="7"/>
      <c r="F260" s="7"/>
      <c r="G260" s="7"/>
    </row>
    <row r="261" customFormat="false" ht="24" hidden="false" customHeight="true" outlineLevel="0" collapsed="false">
      <c r="A261" s="8"/>
      <c r="B261" s="8"/>
      <c r="C261" s="8"/>
      <c r="D261" s="8"/>
      <c r="E261" s="8"/>
      <c r="F261" s="8"/>
      <c r="G261" s="8"/>
    </row>
    <row r="262" customFormat="false" ht="24" hidden="false" customHeight="true" outlineLevel="0" collapsed="false">
      <c r="A262" s="7"/>
      <c r="B262" s="7"/>
      <c r="C262" s="7"/>
      <c r="D262" s="7"/>
      <c r="E262" s="7"/>
      <c r="F262" s="7"/>
      <c r="G262" s="7"/>
    </row>
    <row r="263" customFormat="false" ht="24" hidden="false" customHeight="true" outlineLevel="0" collapsed="false">
      <c r="A263" s="8"/>
      <c r="B263" s="8"/>
      <c r="C263" s="8"/>
      <c r="D263" s="8"/>
      <c r="E263" s="8"/>
      <c r="F263" s="8"/>
      <c r="G263" s="8"/>
    </row>
    <row r="264" customFormat="false" ht="24" hidden="false" customHeight="true" outlineLevel="0" collapsed="false">
      <c r="A264" s="7"/>
      <c r="B264" s="7"/>
      <c r="C264" s="7"/>
      <c r="D264" s="7"/>
      <c r="E264" s="7"/>
      <c r="F264" s="7"/>
      <c r="G264" s="7"/>
    </row>
    <row r="265" customFormat="false" ht="24" hidden="false" customHeight="true" outlineLevel="0" collapsed="false">
      <c r="A265" s="8"/>
      <c r="B265" s="8"/>
      <c r="C265" s="8"/>
      <c r="D265" s="8"/>
      <c r="E265" s="8"/>
      <c r="F265" s="8"/>
      <c r="G265" s="8"/>
    </row>
    <row r="266" customFormat="false" ht="24" hidden="false" customHeight="true" outlineLevel="0" collapsed="false">
      <c r="A266" s="7"/>
      <c r="B266" s="7"/>
      <c r="C266" s="7"/>
      <c r="D266" s="7"/>
      <c r="E266" s="7"/>
      <c r="F266" s="7"/>
      <c r="G266" s="7"/>
    </row>
    <row r="267" customFormat="false" ht="24" hidden="false" customHeight="true" outlineLevel="0" collapsed="false">
      <c r="A267" s="8"/>
      <c r="B267" s="8"/>
      <c r="C267" s="8"/>
      <c r="D267" s="8"/>
      <c r="E267" s="8"/>
      <c r="F267" s="8"/>
      <c r="G267" s="8"/>
    </row>
    <row r="268" customFormat="false" ht="24" hidden="false" customHeight="true" outlineLevel="0" collapsed="false">
      <c r="A268" s="7"/>
      <c r="B268" s="7"/>
      <c r="C268" s="7"/>
      <c r="D268" s="7"/>
      <c r="E268" s="7"/>
      <c r="F268" s="7"/>
      <c r="G268" s="7"/>
    </row>
    <row r="269" customFormat="false" ht="24" hidden="false" customHeight="true" outlineLevel="0" collapsed="false">
      <c r="A269" s="8"/>
      <c r="B269" s="8"/>
      <c r="C269" s="8"/>
      <c r="D269" s="8"/>
      <c r="E269" s="8"/>
      <c r="F269" s="8"/>
      <c r="G269" s="8"/>
    </row>
    <row r="270" customFormat="false" ht="24" hidden="false" customHeight="true" outlineLevel="0" collapsed="false">
      <c r="A270" s="7"/>
      <c r="B270" s="7"/>
      <c r="C270" s="7"/>
      <c r="D270" s="7"/>
      <c r="E270" s="7"/>
      <c r="F270" s="7"/>
      <c r="G270" s="7"/>
    </row>
    <row r="271" customFormat="false" ht="24" hidden="false" customHeight="true" outlineLevel="0" collapsed="false">
      <c r="A271" s="8"/>
      <c r="B271" s="8"/>
      <c r="C271" s="8"/>
      <c r="D271" s="8"/>
      <c r="E271" s="8"/>
      <c r="F271" s="8"/>
      <c r="G271" s="8"/>
    </row>
    <row r="272" customFormat="false" ht="24" hidden="false" customHeight="true" outlineLevel="0" collapsed="false">
      <c r="A272" s="7"/>
      <c r="B272" s="7"/>
      <c r="C272" s="7"/>
      <c r="D272" s="7"/>
      <c r="E272" s="7"/>
      <c r="F272" s="7"/>
      <c r="G272" s="7"/>
    </row>
    <row r="273" customFormat="false" ht="24" hidden="false" customHeight="true" outlineLevel="0" collapsed="false">
      <c r="A273" s="8"/>
      <c r="B273" s="8"/>
      <c r="C273" s="8"/>
      <c r="D273" s="8"/>
      <c r="E273" s="8"/>
      <c r="F273" s="8"/>
      <c r="G273" s="8"/>
    </row>
    <row r="274" customFormat="false" ht="24" hidden="false" customHeight="true" outlineLevel="0" collapsed="false">
      <c r="A274" s="7"/>
      <c r="B274" s="7"/>
      <c r="C274" s="7"/>
      <c r="D274" s="7"/>
      <c r="E274" s="7"/>
      <c r="F274" s="7"/>
      <c r="G274" s="7"/>
    </row>
    <row r="275" customFormat="false" ht="24" hidden="false" customHeight="true" outlineLevel="0" collapsed="false">
      <c r="A275" s="8"/>
      <c r="B275" s="8"/>
      <c r="C275" s="8"/>
      <c r="D275" s="8"/>
      <c r="E275" s="8"/>
      <c r="F275" s="8"/>
      <c r="G275" s="8"/>
    </row>
    <row r="276" customFormat="false" ht="24" hidden="false" customHeight="true" outlineLevel="0" collapsed="false">
      <c r="A276" s="7"/>
      <c r="B276" s="7"/>
      <c r="C276" s="7"/>
      <c r="D276" s="7"/>
      <c r="E276" s="7"/>
      <c r="F276" s="7"/>
      <c r="G276" s="7"/>
    </row>
    <row r="277" customFormat="false" ht="24" hidden="false" customHeight="true" outlineLevel="0" collapsed="false">
      <c r="A277" s="8"/>
      <c r="B277" s="8"/>
      <c r="C277" s="8"/>
      <c r="D277" s="8"/>
      <c r="E277" s="8"/>
      <c r="F277" s="8"/>
      <c r="G277" s="8"/>
    </row>
    <row r="278" customFormat="false" ht="24" hidden="false" customHeight="true" outlineLevel="0" collapsed="false">
      <c r="A278" s="7"/>
      <c r="B278" s="7"/>
      <c r="C278" s="7"/>
      <c r="D278" s="7"/>
      <c r="E278" s="7"/>
      <c r="F278" s="7"/>
      <c r="G278" s="7"/>
    </row>
    <row r="279" customFormat="false" ht="24" hidden="false" customHeight="true" outlineLevel="0" collapsed="false">
      <c r="A279" s="8"/>
      <c r="B279" s="8"/>
      <c r="C279" s="8"/>
      <c r="D279" s="8"/>
      <c r="E279" s="8"/>
      <c r="F279" s="8"/>
      <c r="G279" s="8"/>
    </row>
    <row r="280" customFormat="false" ht="24" hidden="false" customHeight="true" outlineLevel="0" collapsed="false">
      <c r="A280" s="7"/>
      <c r="B280" s="7"/>
      <c r="C280" s="7"/>
      <c r="D280" s="7"/>
      <c r="E280" s="7"/>
      <c r="F280" s="7"/>
      <c r="G280" s="7"/>
    </row>
    <row r="281" customFormat="false" ht="24" hidden="false" customHeight="true" outlineLevel="0" collapsed="false">
      <c r="A281" s="8"/>
      <c r="B281" s="8"/>
      <c r="C281" s="8"/>
      <c r="D281" s="8"/>
      <c r="E281" s="8"/>
      <c r="F281" s="8"/>
      <c r="G281" s="8"/>
    </row>
    <row r="282" customFormat="false" ht="24" hidden="false" customHeight="true" outlineLevel="0" collapsed="false">
      <c r="A282" s="7"/>
      <c r="B282" s="7"/>
      <c r="C282" s="7"/>
      <c r="D282" s="7"/>
      <c r="E282" s="7"/>
      <c r="F282" s="7"/>
      <c r="G282" s="7"/>
    </row>
    <row r="283" customFormat="false" ht="24" hidden="false" customHeight="true" outlineLevel="0" collapsed="false">
      <c r="A283" s="8"/>
      <c r="B283" s="8"/>
      <c r="C283" s="8"/>
      <c r="D283" s="8"/>
      <c r="E283" s="8"/>
      <c r="F283" s="8"/>
      <c r="G283" s="8"/>
    </row>
    <row r="284" customFormat="false" ht="24" hidden="false" customHeight="true" outlineLevel="0" collapsed="false">
      <c r="A284" s="7"/>
      <c r="B284" s="7"/>
      <c r="C284" s="7"/>
      <c r="D284" s="7"/>
      <c r="E284" s="7"/>
      <c r="F284" s="7"/>
      <c r="G284" s="7"/>
    </row>
    <row r="285" customFormat="false" ht="24" hidden="false" customHeight="true" outlineLevel="0" collapsed="false">
      <c r="A285" s="8"/>
      <c r="B285" s="8"/>
      <c r="C285" s="8"/>
      <c r="D285" s="8"/>
      <c r="E285" s="8"/>
      <c r="F285" s="8"/>
      <c r="G285" s="8"/>
    </row>
    <row r="286" customFormat="false" ht="24" hidden="false" customHeight="true" outlineLevel="0" collapsed="false">
      <c r="A286" s="7"/>
      <c r="B286" s="7"/>
      <c r="C286" s="7"/>
      <c r="D286" s="7"/>
      <c r="E286" s="7"/>
      <c r="F286" s="7"/>
      <c r="G286" s="7"/>
    </row>
    <row r="287" customFormat="false" ht="24" hidden="false" customHeight="true" outlineLevel="0" collapsed="false">
      <c r="A287" s="8"/>
      <c r="B287" s="8"/>
      <c r="C287" s="8"/>
      <c r="D287" s="8"/>
      <c r="E287" s="8"/>
      <c r="F287" s="8"/>
      <c r="G287" s="8"/>
    </row>
    <row r="288" customFormat="false" ht="24" hidden="false" customHeight="true" outlineLevel="0" collapsed="false">
      <c r="A288" s="7"/>
      <c r="B288" s="7"/>
      <c r="C288" s="7"/>
      <c r="D288" s="7"/>
      <c r="E288" s="7"/>
      <c r="F288" s="7"/>
      <c r="G288" s="7"/>
    </row>
    <row r="289" customFormat="false" ht="24" hidden="false" customHeight="true" outlineLevel="0" collapsed="false">
      <c r="A289" s="8"/>
      <c r="B289" s="8"/>
      <c r="C289" s="8"/>
      <c r="D289" s="8"/>
      <c r="E289" s="8"/>
      <c r="F289" s="8"/>
      <c r="G289" s="8"/>
    </row>
    <row r="290" customFormat="false" ht="24" hidden="false" customHeight="true" outlineLevel="0" collapsed="false">
      <c r="A290" s="7"/>
      <c r="B290" s="7"/>
      <c r="C290" s="7"/>
      <c r="D290" s="7"/>
      <c r="E290" s="7"/>
      <c r="F290" s="7"/>
      <c r="G290" s="7"/>
    </row>
    <row r="291" customFormat="false" ht="24" hidden="false" customHeight="true" outlineLevel="0" collapsed="false">
      <c r="A291" s="8"/>
      <c r="B291" s="8"/>
      <c r="C291" s="8"/>
      <c r="D291" s="8"/>
      <c r="E291" s="8"/>
      <c r="F291" s="8"/>
      <c r="G291" s="8"/>
    </row>
    <row r="292" customFormat="false" ht="24" hidden="false" customHeight="true" outlineLevel="0" collapsed="false">
      <c r="A292" s="7"/>
      <c r="B292" s="7"/>
      <c r="C292" s="7"/>
      <c r="D292" s="7"/>
      <c r="E292" s="7"/>
      <c r="F292" s="7"/>
      <c r="G292" s="7"/>
    </row>
    <row r="293" customFormat="false" ht="24" hidden="false" customHeight="true" outlineLevel="0" collapsed="false">
      <c r="A293" s="8"/>
      <c r="B293" s="8"/>
      <c r="C293" s="8"/>
      <c r="D293" s="8"/>
      <c r="E293" s="8"/>
      <c r="F293" s="8"/>
      <c r="G293" s="8"/>
    </row>
    <row r="294" customFormat="false" ht="24" hidden="false" customHeight="true" outlineLevel="0" collapsed="false">
      <c r="A294" s="7"/>
      <c r="B294" s="7"/>
      <c r="C294" s="7"/>
      <c r="D294" s="7"/>
      <c r="E294" s="7"/>
      <c r="F294" s="7"/>
      <c r="G294" s="7"/>
    </row>
    <row r="295" customFormat="false" ht="24" hidden="false" customHeight="true" outlineLevel="0" collapsed="false">
      <c r="A295" s="8"/>
      <c r="B295" s="8"/>
      <c r="C295" s="8"/>
      <c r="D295" s="8"/>
      <c r="E295" s="8"/>
      <c r="F295" s="8"/>
      <c r="G295" s="8"/>
    </row>
    <row r="296" customFormat="false" ht="24" hidden="false" customHeight="true" outlineLevel="0" collapsed="false">
      <c r="A296" s="7"/>
      <c r="B296" s="7"/>
      <c r="C296" s="7"/>
      <c r="D296" s="7"/>
      <c r="E296" s="7"/>
      <c r="F296" s="7"/>
      <c r="G296" s="7"/>
    </row>
    <row r="297" customFormat="false" ht="24" hidden="false" customHeight="true" outlineLevel="0" collapsed="false">
      <c r="A297" s="8"/>
      <c r="B297" s="8"/>
      <c r="C297" s="8"/>
      <c r="D297" s="8"/>
      <c r="E297" s="8"/>
      <c r="F297" s="8"/>
      <c r="G297" s="8"/>
    </row>
    <row r="298" customFormat="false" ht="24" hidden="false" customHeight="true" outlineLevel="0" collapsed="false">
      <c r="A298" s="7"/>
      <c r="B298" s="7"/>
      <c r="C298" s="7"/>
      <c r="D298" s="7"/>
      <c r="E298" s="7"/>
      <c r="F298" s="7"/>
      <c r="G298" s="7"/>
    </row>
    <row r="299" customFormat="false" ht="24" hidden="false" customHeight="true" outlineLevel="0" collapsed="false">
      <c r="A299" s="8"/>
      <c r="B299" s="8"/>
      <c r="C299" s="8"/>
      <c r="D299" s="8"/>
      <c r="E299" s="8"/>
      <c r="F299" s="8"/>
      <c r="G299" s="8"/>
    </row>
    <row r="300" customFormat="false" ht="24" hidden="false" customHeight="true" outlineLevel="0" collapsed="false">
      <c r="A300" s="7"/>
      <c r="B300" s="7"/>
      <c r="C300" s="7"/>
      <c r="D300" s="7"/>
      <c r="E300" s="7"/>
      <c r="F300" s="7"/>
      <c r="G300" s="7"/>
    </row>
    <row r="301" customFormat="false" ht="24" hidden="false" customHeight="true" outlineLevel="0" collapsed="false">
      <c r="A301" s="8"/>
      <c r="B301" s="8"/>
      <c r="C301" s="8"/>
      <c r="D301" s="8"/>
      <c r="E301" s="8"/>
      <c r="F301" s="8"/>
      <c r="G301" s="8"/>
    </row>
    <row r="302" customFormat="false" ht="24" hidden="false" customHeight="true" outlineLevel="0" collapsed="false">
      <c r="A302" s="7"/>
      <c r="B302" s="7"/>
      <c r="C302" s="7"/>
      <c r="D302" s="7"/>
      <c r="E302" s="7"/>
      <c r="F302" s="7"/>
      <c r="G302" s="7"/>
    </row>
    <row r="303" customFormat="false" ht="24" hidden="false" customHeight="true" outlineLevel="0" collapsed="false">
      <c r="A303" s="8"/>
      <c r="B303" s="8"/>
      <c r="C303" s="8"/>
      <c r="D303" s="8"/>
      <c r="E303" s="8"/>
      <c r="F303" s="8"/>
      <c r="G303" s="8"/>
    </row>
    <row r="304" customFormat="false" ht="24" hidden="false" customHeight="true" outlineLevel="0" collapsed="false">
      <c r="A304" s="7"/>
      <c r="B304" s="7"/>
      <c r="C304" s="7"/>
      <c r="D304" s="7"/>
      <c r="E304" s="7"/>
      <c r="F304" s="7"/>
      <c r="G304" s="7"/>
    </row>
    <row r="305" customFormat="false" ht="24" hidden="false" customHeight="true" outlineLevel="0" collapsed="false">
      <c r="A305" s="8"/>
      <c r="B305" s="8"/>
      <c r="C305" s="8"/>
      <c r="D305" s="8"/>
      <c r="E305" s="8"/>
      <c r="F305" s="8"/>
      <c r="G305" s="8"/>
    </row>
    <row r="306" customFormat="false" ht="24" hidden="false" customHeight="true" outlineLevel="0" collapsed="false">
      <c r="A306" s="7"/>
      <c r="B306" s="7"/>
      <c r="C306" s="7"/>
      <c r="D306" s="7"/>
      <c r="E306" s="7"/>
      <c r="F306" s="7"/>
      <c r="G306" s="7"/>
    </row>
    <row r="307" customFormat="false" ht="24" hidden="false" customHeight="true" outlineLevel="0" collapsed="false">
      <c r="A307" s="8"/>
      <c r="B307" s="8"/>
      <c r="C307" s="8"/>
      <c r="D307" s="8"/>
      <c r="E307" s="8"/>
      <c r="F307" s="8"/>
      <c r="G307" s="8"/>
    </row>
    <row r="308" customFormat="false" ht="24" hidden="false" customHeight="true" outlineLevel="0" collapsed="false">
      <c r="A308" s="7"/>
      <c r="B308" s="7"/>
      <c r="C308" s="7"/>
      <c r="D308" s="7"/>
      <c r="E308" s="7"/>
      <c r="F308" s="7"/>
      <c r="G308" s="7"/>
    </row>
    <row r="309" customFormat="false" ht="24" hidden="false" customHeight="true" outlineLevel="0" collapsed="false">
      <c r="A309" s="8"/>
      <c r="B309" s="8"/>
      <c r="C309" s="8"/>
      <c r="D309" s="8"/>
      <c r="E309" s="8"/>
      <c r="F309" s="8"/>
      <c r="G309" s="8"/>
    </row>
    <row r="310" customFormat="false" ht="24" hidden="false" customHeight="true" outlineLevel="0" collapsed="false">
      <c r="A310" s="7"/>
      <c r="B310" s="7"/>
      <c r="C310" s="7"/>
      <c r="D310" s="7"/>
      <c r="E310" s="7"/>
      <c r="F310" s="7"/>
      <c r="G310" s="7"/>
    </row>
    <row r="311" customFormat="false" ht="24" hidden="false" customHeight="true" outlineLevel="0" collapsed="false">
      <c r="A311" s="8"/>
      <c r="B311" s="8"/>
      <c r="C311" s="8"/>
      <c r="D311" s="8"/>
      <c r="E311" s="8"/>
      <c r="F311" s="8"/>
      <c r="G311" s="8"/>
    </row>
    <row r="312" customFormat="false" ht="24" hidden="false" customHeight="true" outlineLevel="0" collapsed="false">
      <c r="A312" s="7"/>
      <c r="B312" s="7"/>
      <c r="C312" s="7"/>
      <c r="D312" s="7"/>
      <c r="E312" s="7"/>
      <c r="F312" s="7"/>
      <c r="G312" s="7"/>
    </row>
    <row r="313" customFormat="false" ht="24" hidden="false" customHeight="true" outlineLevel="0" collapsed="false">
      <c r="A313" s="8"/>
      <c r="B313" s="8"/>
      <c r="C313" s="8"/>
      <c r="D313" s="8"/>
      <c r="E313" s="8"/>
      <c r="F313" s="8"/>
      <c r="G313" s="8"/>
    </row>
    <row r="314" customFormat="false" ht="24" hidden="false" customHeight="true" outlineLevel="0" collapsed="false">
      <c r="A314" s="7"/>
      <c r="B314" s="7"/>
      <c r="C314" s="7"/>
      <c r="D314" s="7"/>
      <c r="E314" s="7"/>
      <c r="F314" s="7"/>
      <c r="G314" s="7"/>
    </row>
    <row r="315" customFormat="false" ht="24" hidden="false" customHeight="true" outlineLevel="0" collapsed="false">
      <c r="A315" s="8"/>
      <c r="B315" s="8"/>
      <c r="C315" s="8"/>
      <c r="D315" s="8"/>
      <c r="E315" s="8"/>
      <c r="F315" s="8"/>
      <c r="G315" s="8"/>
    </row>
    <row r="316" customFormat="false" ht="24" hidden="false" customHeight="true" outlineLevel="0" collapsed="false">
      <c r="A316" s="7"/>
      <c r="B316" s="7"/>
      <c r="C316" s="7"/>
      <c r="D316" s="7"/>
      <c r="E316" s="7"/>
      <c r="F316" s="7"/>
      <c r="G316" s="7"/>
    </row>
    <row r="317" customFormat="false" ht="24" hidden="false" customHeight="true" outlineLevel="0" collapsed="false">
      <c r="A317" s="8"/>
      <c r="B317" s="8"/>
      <c r="C317" s="8"/>
      <c r="D317" s="8"/>
      <c r="E317" s="8"/>
      <c r="F317" s="8"/>
      <c r="G317" s="8"/>
    </row>
    <row r="318" customFormat="false" ht="24" hidden="false" customHeight="true" outlineLevel="0" collapsed="false">
      <c r="A318" s="7"/>
      <c r="B318" s="7"/>
      <c r="C318" s="7"/>
      <c r="D318" s="7"/>
      <c r="E318" s="7"/>
      <c r="F318" s="7"/>
      <c r="G318" s="7"/>
    </row>
    <row r="319" customFormat="false" ht="24" hidden="false" customHeight="true" outlineLevel="0" collapsed="false">
      <c r="A319" s="8"/>
      <c r="B319" s="8"/>
      <c r="C319" s="8"/>
      <c r="D319" s="8"/>
      <c r="E319" s="8"/>
      <c r="F319" s="8"/>
      <c r="G319" s="8"/>
    </row>
    <row r="320" customFormat="false" ht="24" hidden="false" customHeight="true" outlineLevel="0" collapsed="false">
      <c r="A320" s="7"/>
      <c r="B320" s="7"/>
      <c r="C320" s="7"/>
      <c r="D320" s="7"/>
      <c r="E320" s="7"/>
      <c r="F320" s="7"/>
      <c r="G320" s="7"/>
    </row>
    <row r="321" customFormat="false" ht="24" hidden="false" customHeight="true" outlineLevel="0" collapsed="false">
      <c r="A321" s="8"/>
      <c r="B321" s="8"/>
      <c r="C321" s="8"/>
      <c r="D321" s="8"/>
      <c r="E321" s="8"/>
      <c r="F321" s="8"/>
      <c r="G321" s="8"/>
    </row>
    <row r="322" customFormat="false" ht="24" hidden="false" customHeight="true" outlineLevel="0" collapsed="false">
      <c r="A322" s="7"/>
      <c r="B322" s="7"/>
      <c r="C322" s="7"/>
      <c r="D322" s="7"/>
      <c r="E322" s="7"/>
      <c r="F322" s="7"/>
      <c r="G322" s="7"/>
    </row>
    <row r="323" customFormat="false" ht="24" hidden="false" customHeight="true" outlineLevel="0" collapsed="false">
      <c r="A323" s="8"/>
      <c r="B323" s="8"/>
      <c r="C323" s="8"/>
      <c r="D323" s="8"/>
      <c r="E323" s="8"/>
      <c r="F323" s="8"/>
      <c r="G323" s="8"/>
    </row>
    <row r="324" customFormat="false" ht="24" hidden="false" customHeight="true" outlineLevel="0" collapsed="false">
      <c r="A324" s="7"/>
      <c r="B324" s="7"/>
      <c r="C324" s="7"/>
      <c r="D324" s="7"/>
      <c r="E324" s="7"/>
      <c r="F324" s="7"/>
      <c r="G324" s="7"/>
    </row>
    <row r="325" customFormat="false" ht="24" hidden="false" customHeight="true" outlineLevel="0" collapsed="false">
      <c r="A325" s="8"/>
      <c r="B325" s="8"/>
      <c r="C325" s="8"/>
      <c r="D325" s="8"/>
      <c r="E325" s="8"/>
      <c r="F325" s="8"/>
      <c r="G325" s="8"/>
    </row>
    <row r="326" customFormat="false" ht="24" hidden="false" customHeight="true" outlineLevel="0" collapsed="false">
      <c r="A326" s="7"/>
      <c r="B326" s="7"/>
      <c r="C326" s="7"/>
      <c r="D326" s="7"/>
      <c r="E326" s="7"/>
      <c r="F326" s="7"/>
      <c r="G326" s="7"/>
    </row>
    <row r="327" customFormat="false" ht="24" hidden="false" customHeight="true" outlineLevel="0" collapsed="false">
      <c r="A327" s="8"/>
      <c r="B327" s="8"/>
      <c r="C327" s="8"/>
      <c r="D327" s="8"/>
      <c r="E327" s="8"/>
      <c r="F327" s="8"/>
      <c r="G327" s="8"/>
    </row>
    <row r="328" customFormat="false" ht="24" hidden="false" customHeight="true" outlineLevel="0" collapsed="false">
      <c r="A328" s="7"/>
      <c r="B328" s="7"/>
      <c r="C328" s="7"/>
      <c r="D328" s="7"/>
      <c r="E328" s="7"/>
      <c r="F328" s="7"/>
      <c r="G328" s="7"/>
    </row>
    <row r="329" customFormat="false" ht="24" hidden="false" customHeight="true" outlineLevel="0" collapsed="false">
      <c r="A329" s="8"/>
      <c r="B329" s="8"/>
      <c r="C329" s="8"/>
      <c r="D329" s="8"/>
      <c r="E329" s="8"/>
      <c r="F329" s="8"/>
      <c r="G329" s="8"/>
    </row>
    <row r="330" customFormat="false" ht="24" hidden="false" customHeight="true" outlineLevel="0" collapsed="false">
      <c r="A330" s="7"/>
      <c r="B330" s="7"/>
      <c r="C330" s="7"/>
      <c r="D330" s="7"/>
      <c r="E330" s="7"/>
      <c r="F330" s="7"/>
      <c r="G330" s="7"/>
    </row>
    <row r="331" customFormat="false" ht="24" hidden="false" customHeight="true" outlineLevel="0" collapsed="false">
      <c r="A331" s="8"/>
      <c r="B331" s="8"/>
      <c r="C331" s="8"/>
      <c r="D331" s="8"/>
      <c r="E331" s="8"/>
      <c r="F331" s="8"/>
      <c r="G331" s="8"/>
    </row>
    <row r="332" customFormat="false" ht="24" hidden="false" customHeight="true" outlineLevel="0" collapsed="false">
      <c r="A332" s="7"/>
      <c r="B332" s="7"/>
      <c r="C332" s="7"/>
      <c r="D332" s="7"/>
      <c r="E332" s="7"/>
      <c r="F332" s="7"/>
      <c r="G332" s="7"/>
    </row>
    <row r="333" customFormat="false" ht="24" hidden="false" customHeight="true" outlineLevel="0" collapsed="false">
      <c r="A333" s="8"/>
      <c r="B333" s="8"/>
      <c r="C333" s="8"/>
      <c r="D333" s="8"/>
      <c r="E333" s="8"/>
      <c r="F333" s="8"/>
      <c r="G333" s="8"/>
    </row>
    <row r="334" customFormat="false" ht="24" hidden="false" customHeight="true" outlineLevel="0" collapsed="false">
      <c r="A334" s="7"/>
      <c r="B334" s="7"/>
      <c r="C334" s="7"/>
      <c r="D334" s="7"/>
      <c r="E334" s="7"/>
      <c r="F334" s="7"/>
      <c r="G334" s="7"/>
    </row>
    <row r="335" customFormat="false" ht="24" hidden="false" customHeight="true" outlineLevel="0" collapsed="false">
      <c r="A335" s="8"/>
      <c r="B335" s="8"/>
      <c r="C335" s="8"/>
      <c r="D335" s="8"/>
      <c r="E335" s="8"/>
      <c r="F335" s="8"/>
      <c r="G335" s="8"/>
    </row>
    <row r="336" customFormat="false" ht="24" hidden="false" customHeight="true" outlineLevel="0" collapsed="false">
      <c r="A336" s="7"/>
      <c r="B336" s="7"/>
      <c r="C336" s="7"/>
      <c r="D336" s="7"/>
      <c r="E336" s="7"/>
      <c r="F336" s="7"/>
      <c r="G336" s="7"/>
    </row>
    <row r="337" customFormat="false" ht="24" hidden="false" customHeight="true" outlineLevel="0" collapsed="false">
      <c r="A337" s="8"/>
      <c r="B337" s="8"/>
      <c r="C337" s="8"/>
      <c r="D337" s="8"/>
      <c r="E337" s="8"/>
      <c r="F337" s="8"/>
      <c r="G337" s="8"/>
    </row>
    <row r="338" customFormat="false" ht="24" hidden="false" customHeight="true" outlineLevel="0" collapsed="false">
      <c r="A338" s="7"/>
      <c r="B338" s="7"/>
      <c r="C338" s="7"/>
      <c r="D338" s="7"/>
      <c r="E338" s="7"/>
      <c r="F338" s="7"/>
      <c r="G338" s="7"/>
    </row>
    <row r="339" customFormat="false" ht="24" hidden="false" customHeight="true" outlineLevel="0" collapsed="false">
      <c r="A339" s="8"/>
      <c r="B339" s="8"/>
      <c r="C339" s="8"/>
      <c r="D339" s="8"/>
      <c r="E339" s="8"/>
      <c r="F339" s="8"/>
      <c r="G339" s="8"/>
    </row>
    <row r="340" customFormat="false" ht="24" hidden="false" customHeight="true" outlineLevel="0" collapsed="false">
      <c r="A340" s="7"/>
      <c r="B340" s="7"/>
      <c r="C340" s="7"/>
      <c r="D340" s="7"/>
      <c r="E340" s="7"/>
      <c r="F340" s="7"/>
      <c r="G340" s="7"/>
    </row>
    <row r="341" customFormat="false" ht="24" hidden="false" customHeight="true" outlineLevel="0" collapsed="false">
      <c r="A341" s="8"/>
      <c r="B341" s="8"/>
      <c r="C341" s="8"/>
      <c r="D341" s="8"/>
      <c r="E341" s="8"/>
      <c r="F341" s="8"/>
      <c r="G341" s="8"/>
    </row>
    <row r="342" customFormat="false" ht="24" hidden="false" customHeight="true" outlineLevel="0" collapsed="false">
      <c r="A342" s="7"/>
      <c r="B342" s="7"/>
      <c r="C342" s="7"/>
      <c r="D342" s="7"/>
      <c r="E342" s="7"/>
      <c r="F342" s="7"/>
      <c r="G342" s="7"/>
    </row>
    <row r="343" customFormat="false" ht="24" hidden="false" customHeight="true" outlineLevel="0" collapsed="false">
      <c r="A343" s="8"/>
      <c r="B343" s="8"/>
      <c r="C343" s="8"/>
      <c r="D343" s="8"/>
      <c r="E343" s="8"/>
      <c r="F343" s="8"/>
      <c r="G343" s="8"/>
    </row>
    <row r="344" customFormat="false" ht="24" hidden="false" customHeight="true" outlineLevel="0" collapsed="false">
      <c r="A344" s="7"/>
      <c r="B344" s="7"/>
      <c r="C344" s="7"/>
      <c r="D344" s="7"/>
      <c r="E344" s="7"/>
      <c r="F344" s="7"/>
      <c r="G344" s="7"/>
    </row>
    <row r="345" customFormat="false" ht="24" hidden="false" customHeight="true" outlineLevel="0" collapsed="false">
      <c r="A345" s="8"/>
      <c r="B345" s="8"/>
      <c r="C345" s="8"/>
      <c r="D345" s="8"/>
      <c r="E345" s="8"/>
      <c r="F345" s="8"/>
      <c r="G345" s="8"/>
    </row>
    <row r="346" customFormat="false" ht="24" hidden="false" customHeight="true" outlineLevel="0" collapsed="false">
      <c r="A346" s="7"/>
      <c r="B346" s="7"/>
      <c r="C346" s="7"/>
      <c r="D346" s="7"/>
      <c r="E346" s="7"/>
      <c r="F346" s="7"/>
      <c r="G346" s="7"/>
    </row>
    <row r="347" customFormat="false" ht="24" hidden="false" customHeight="true" outlineLevel="0" collapsed="false">
      <c r="A347" s="8"/>
      <c r="B347" s="8"/>
      <c r="C347" s="8"/>
      <c r="D347" s="8"/>
      <c r="E347" s="8"/>
      <c r="F347" s="8"/>
      <c r="G347" s="8"/>
    </row>
    <row r="348" customFormat="false" ht="24" hidden="false" customHeight="true" outlineLevel="0" collapsed="false">
      <c r="A348" s="7"/>
      <c r="B348" s="7"/>
      <c r="C348" s="7"/>
      <c r="D348" s="7"/>
      <c r="E348" s="7"/>
      <c r="F348" s="7"/>
      <c r="G348" s="7"/>
    </row>
    <row r="349" customFormat="false" ht="24" hidden="false" customHeight="true" outlineLevel="0" collapsed="false">
      <c r="A349" s="8"/>
      <c r="B349" s="8"/>
      <c r="C349" s="8"/>
      <c r="D349" s="8"/>
      <c r="E349" s="8"/>
      <c r="F349" s="8"/>
      <c r="G349" s="8"/>
    </row>
    <row r="350" customFormat="false" ht="24" hidden="false" customHeight="true" outlineLevel="0" collapsed="false">
      <c r="A350" s="7"/>
      <c r="B350" s="7"/>
      <c r="C350" s="7"/>
      <c r="D350" s="7"/>
      <c r="E350" s="7"/>
      <c r="F350" s="7"/>
      <c r="G350" s="7"/>
    </row>
    <row r="351" customFormat="false" ht="24" hidden="false" customHeight="true" outlineLevel="0" collapsed="false">
      <c r="A351" s="8"/>
      <c r="B351" s="8"/>
      <c r="C351" s="8"/>
      <c r="D351" s="8"/>
      <c r="E351" s="8"/>
      <c r="F351" s="8"/>
      <c r="G351" s="8"/>
    </row>
    <row r="352" customFormat="false" ht="24" hidden="false" customHeight="true" outlineLevel="0" collapsed="false">
      <c r="A352" s="7"/>
      <c r="B352" s="7"/>
      <c r="C352" s="7"/>
      <c r="D352" s="7"/>
      <c r="E352" s="7"/>
      <c r="F352" s="7"/>
      <c r="G352" s="7"/>
    </row>
    <row r="353" customFormat="false" ht="24" hidden="false" customHeight="true" outlineLevel="0" collapsed="false">
      <c r="A353" s="8"/>
      <c r="B353" s="8"/>
      <c r="C353" s="8"/>
      <c r="D353" s="8"/>
      <c r="E353" s="8"/>
      <c r="F353" s="8"/>
      <c r="G353" s="8"/>
    </row>
    <row r="354" customFormat="false" ht="24" hidden="false" customHeight="true" outlineLevel="0" collapsed="false">
      <c r="A354" s="7"/>
      <c r="B354" s="7"/>
      <c r="C354" s="7"/>
      <c r="D354" s="7"/>
      <c r="E354" s="7"/>
      <c r="F354" s="7"/>
      <c r="G354" s="7"/>
    </row>
    <row r="355" customFormat="false" ht="24" hidden="false" customHeight="true" outlineLevel="0" collapsed="false">
      <c r="A355" s="8"/>
      <c r="B355" s="8"/>
      <c r="C355" s="8"/>
      <c r="D355" s="8"/>
      <c r="E355" s="8"/>
      <c r="F355" s="8"/>
      <c r="G355" s="8"/>
    </row>
    <row r="356" customFormat="false" ht="24" hidden="false" customHeight="true" outlineLevel="0" collapsed="false">
      <c r="A356" s="7"/>
      <c r="B356" s="7"/>
      <c r="C356" s="7"/>
      <c r="D356" s="7"/>
      <c r="E356" s="7"/>
      <c r="F356" s="7"/>
      <c r="G356" s="7"/>
    </row>
    <row r="357" customFormat="false" ht="24" hidden="false" customHeight="true" outlineLevel="0" collapsed="false">
      <c r="A357" s="8"/>
      <c r="B357" s="8"/>
      <c r="C357" s="8"/>
      <c r="D357" s="8"/>
      <c r="E357" s="8"/>
      <c r="F357" s="8"/>
      <c r="G357" s="8"/>
    </row>
    <row r="358" customFormat="false" ht="24" hidden="false" customHeight="true" outlineLevel="0" collapsed="false">
      <c r="A358" s="7"/>
      <c r="B358" s="7"/>
      <c r="C358" s="7"/>
      <c r="D358" s="7"/>
      <c r="E358" s="7"/>
      <c r="F358" s="7"/>
      <c r="G358" s="7"/>
    </row>
    <row r="359" customFormat="false" ht="24" hidden="false" customHeight="true" outlineLevel="0" collapsed="false">
      <c r="A359" s="8"/>
      <c r="B359" s="8"/>
      <c r="C359" s="8"/>
      <c r="D359" s="8"/>
      <c r="E359" s="8"/>
      <c r="F359" s="8"/>
      <c r="G359" s="8"/>
    </row>
    <row r="360" customFormat="false" ht="24" hidden="false" customHeight="true" outlineLevel="0" collapsed="false">
      <c r="A360" s="7"/>
      <c r="B360" s="7"/>
      <c r="C360" s="7"/>
      <c r="D360" s="7"/>
      <c r="E360" s="7"/>
      <c r="F360" s="7"/>
      <c r="G360" s="7"/>
    </row>
    <row r="361" customFormat="false" ht="24" hidden="false" customHeight="true" outlineLevel="0" collapsed="false">
      <c r="A361" s="8"/>
      <c r="B361" s="8"/>
      <c r="C361" s="8"/>
      <c r="D361" s="8"/>
      <c r="E361" s="8"/>
      <c r="F361" s="8"/>
      <c r="G361" s="8"/>
    </row>
    <row r="362" customFormat="false" ht="24" hidden="false" customHeight="true" outlineLevel="0" collapsed="false">
      <c r="A362" s="7"/>
      <c r="B362" s="7"/>
      <c r="C362" s="7"/>
      <c r="D362" s="7"/>
      <c r="E362" s="7"/>
      <c r="F362" s="7"/>
      <c r="G362" s="7"/>
    </row>
    <row r="363" customFormat="false" ht="24" hidden="false" customHeight="true" outlineLevel="0" collapsed="false">
      <c r="A363" s="8"/>
      <c r="B363" s="8"/>
      <c r="C363" s="8"/>
      <c r="D363" s="8"/>
      <c r="E363" s="8"/>
      <c r="F363" s="8"/>
      <c r="G363" s="8"/>
    </row>
    <row r="364" customFormat="false" ht="24" hidden="false" customHeight="true" outlineLevel="0" collapsed="false">
      <c r="A364" s="7"/>
      <c r="B364" s="7"/>
      <c r="C364" s="7"/>
      <c r="D364" s="7"/>
      <c r="E364" s="7"/>
      <c r="F364" s="7"/>
      <c r="G364" s="7"/>
    </row>
    <row r="365" customFormat="false" ht="24" hidden="false" customHeight="true" outlineLevel="0" collapsed="false">
      <c r="A365" s="8"/>
      <c r="B365" s="8"/>
      <c r="C365" s="8"/>
      <c r="D365" s="8"/>
      <c r="E365" s="8"/>
      <c r="F365" s="8"/>
      <c r="G365" s="8"/>
    </row>
    <row r="366" customFormat="false" ht="24" hidden="false" customHeight="true" outlineLevel="0" collapsed="false">
      <c r="A366" s="7"/>
      <c r="B366" s="7"/>
      <c r="C366" s="7"/>
      <c r="D366" s="7"/>
      <c r="E366" s="7"/>
      <c r="F366" s="7"/>
      <c r="G366" s="7"/>
    </row>
    <row r="367" customFormat="false" ht="24" hidden="false" customHeight="true" outlineLevel="0" collapsed="false">
      <c r="A367" s="8"/>
      <c r="B367" s="8"/>
      <c r="C367" s="8"/>
      <c r="D367" s="8"/>
      <c r="E367" s="8"/>
      <c r="F367" s="8"/>
      <c r="G367" s="8"/>
    </row>
    <row r="368" customFormat="false" ht="24" hidden="false" customHeight="true" outlineLevel="0" collapsed="false">
      <c r="A368" s="7"/>
      <c r="B368" s="7"/>
      <c r="C368" s="7"/>
      <c r="D368" s="7"/>
      <c r="E368" s="7"/>
      <c r="F368" s="7"/>
      <c r="G368" s="7"/>
    </row>
    <row r="369" customFormat="false" ht="24" hidden="false" customHeight="true" outlineLevel="0" collapsed="false">
      <c r="A369" s="8"/>
      <c r="B369" s="8"/>
      <c r="C369" s="8"/>
      <c r="D369" s="8"/>
      <c r="E369" s="8"/>
      <c r="F369" s="8"/>
      <c r="G369" s="8"/>
    </row>
    <row r="370" customFormat="false" ht="24" hidden="false" customHeight="true" outlineLevel="0" collapsed="false">
      <c r="A370" s="7"/>
      <c r="B370" s="7"/>
      <c r="C370" s="7"/>
      <c r="D370" s="7"/>
      <c r="E370" s="7"/>
      <c r="F370" s="7"/>
      <c r="G370" s="7"/>
    </row>
    <row r="371" customFormat="false" ht="24" hidden="false" customHeight="true" outlineLevel="0" collapsed="false">
      <c r="A371" s="8"/>
      <c r="B371" s="8"/>
      <c r="C371" s="8"/>
      <c r="D371" s="8"/>
      <c r="E371" s="8"/>
      <c r="F371" s="8"/>
      <c r="G371" s="8"/>
    </row>
    <row r="372" customFormat="false" ht="24" hidden="false" customHeight="true" outlineLevel="0" collapsed="false">
      <c r="A372" s="7"/>
      <c r="B372" s="7"/>
      <c r="C372" s="7"/>
      <c r="D372" s="7"/>
      <c r="E372" s="7"/>
      <c r="F372" s="7"/>
      <c r="G372" s="7"/>
    </row>
    <row r="373" customFormat="false" ht="24" hidden="false" customHeight="true" outlineLevel="0" collapsed="false">
      <c r="A373" s="8"/>
      <c r="B373" s="8"/>
      <c r="C373" s="8"/>
      <c r="D373" s="8"/>
      <c r="E373" s="8"/>
      <c r="F373" s="8"/>
      <c r="G373" s="8"/>
    </row>
    <row r="374" customFormat="false" ht="24" hidden="false" customHeight="true" outlineLevel="0" collapsed="false">
      <c r="A374" s="7"/>
      <c r="B374" s="7"/>
      <c r="C374" s="7"/>
      <c r="D374" s="7"/>
      <c r="E374" s="7"/>
      <c r="F374" s="7"/>
      <c r="G374" s="7"/>
    </row>
    <row r="375" customFormat="false" ht="24" hidden="false" customHeight="true" outlineLevel="0" collapsed="false">
      <c r="A375" s="8"/>
      <c r="B375" s="8"/>
      <c r="C375" s="8"/>
      <c r="D375" s="8"/>
      <c r="E375" s="8"/>
      <c r="F375" s="8"/>
      <c r="G375" s="8"/>
    </row>
    <row r="376" customFormat="false" ht="24" hidden="false" customHeight="true" outlineLevel="0" collapsed="false">
      <c r="A376" s="7"/>
      <c r="B376" s="7"/>
      <c r="C376" s="7"/>
      <c r="D376" s="7"/>
      <c r="E376" s="7"/>
      <c r="F376" s="7"/>
      <c r="G376" s="7"/>
    </row>
    <row r="377" customFormat="false" ht="24" hidden="false" customHeight="true" outlineLevel="0" collapsed="false">
      <c r="A377" s="8"/>
      <c r="B377" s="8"/>
      <c r="C377" s="8"/>
      <c r="D377" s="8"/>
      <c r="E377" s="8"/>
      <c r="F377" s="8"/>
      <c r="G377" s="8"/>
    </row>
    <row r="378" customFormat="false" ht="24" hidden="false" customHeight="true" outlineLevel="0" collapsed="false">
      <c r="A378" s="7"/>
      <c r="B378" s="7"/>
      <c r="C378" s="7"/>
      <c r="D378" s="7"/>
      <c r="E378" s="7"/>
      <c r="F378" s="7"/>
      <c r="G378" s="7"/>
    </row>
    <row r="379" customFormat="false" ht="24" hidden="false" customHeight="true" outlineLevel="0" collapsed="false">
      <c r="A379" s="8"/>
      <c r="B379" s="8"/>
      <c r="C379" s="8"/>
      <c r="D379" s="8"/>
      <c r="E379" s="8"/>
      <c r="F379" s="8"/>
      <c r="G379" s="8"/>
    </row>
    <row r="380" customFormat="false" ht="24" hidden="false" customHeight="true" outlineLevel="0" collapsed="false">
      <c r="A380" s="7"/>
      <c r="B380" s="7"/>
      <c r="C380" s="7"/>
      <c r="D380" s="7"/>
      <c r="E380" s="7"/>
      <c r="F380" s="7"/>
      <c r="G380" s="7"/>
    </row>
    <row r="381" customFormat="false" ht="24" hidden="false" customHeight="true" outlineLevel="0" collapsed="false">
      <c r="A381" s="8"/>
      <c r="B381" s="8"/>
      <c r="C381" s="8"/>
      <c r="D381" s="8"/>
      <c r="E381" s="8"/>
      <c r="F381" s="8"/>
      <c r="G381" s="8"/>
    </row>
    <row r="382" customFormat="false" ht="24" hidden="false" customHeight="true" outlineLevel="0" collapsed="false">
      <c r="A382" s="7"/>
      <c r="B382" s="7"/>
      <c r="C382" s="7"/>
      <c r="D382" s="7"/>
      <c r="E382" s="7"/>
      <c r="F382" s="7"/>
      <c r="G382" s="7"/>
    </row>
    <row r="383" customFormat="false" ht="24" hidden="false" customHeight="true" outlineLevel="0" collapsed="false">
      <c r="A383" s="8"/>
      <c r="B383" s="8"/>
      <c r="C383" s="8"/>
      <c r="D383" s="8"/>
      <c r="E383" s="8"/>
      <c r="F383" s="8"/>
      <c r="G383" s="8"/>
    </row>
    <row r="384" customFormat="false" ht="24" hidden="false" customHeight="true" outlineLevel="0" collapsed="false">
      <c r="A384" s="7"/>
      <c r="B384" s="7"/>
      <c r="C384" s="7"/>
      <c r="D384" s="7"/>
      <c r="E384" s="7"/>
      <c r="F384" s="7"/>
      <c r="G384" s="7"/>
    </row>
    <row r="385" customFormat="false" ht="24" hidden="false" customHeight="true" outlineLevel="0" collapsed="false">
      <c r="A385" s="8"/>
      <c r="B385" s="8"/>
      <c r="C385" s="8"/>
      <c r="D385" s="8"/>
      <c r="E385" s="8"/>
      <c r="F385" s="8"/>
      <c r="G385" s="8"/>
    </row>
    <row r="386" customFormat="false" ht="24" hidden="false" customHeight="true" outlineLevel="0" collapsed="false">
      <c r="A386" s="7"/>
      <c r="B386" s="7"/>
      <c r="C386" s="7"/>
      <c r="D386" s="7"/>
      <c r="E386" s="7"/>
      <c r="F386" s="7"/>
      <c r="G386" s="7"/>
    </row>
    <row r="387" customFormat="false" ht="24" hidden="false" customHeight="true" outlineLevel="0" collapsed="false">
      <c r="A387" s="8"/>
      <c r="B387" s="8"/>
      <c r="C387" s="8"/>
      <c r="D387" s="8"/>
      <c r="E387" s="8"/>
      <c r="F387" s="8"/>
      <c r="G387" s="8"/>
    </row>
    <row r="388" customFormat="false" ht="24" hidden="false" customHeight="true" outlineLevel="0" collapsed="false">
      <c r="A388" s="7"/>
      <c r="B388" s="7"/>
      <c r="C388" s="7"/>
      <c r="D388" s="7"/>
      <c r="E388" s="7"/>
      <c r="F388" s="7"/>
      <c r="G388" s="7"/>
    </row>
    <row r="389" customFormat="false" ht="24" hidden="false" customHeight="true" outlineLevel="0" collapsed="false">
      <c r="A389" s="8"/>
      <c r="B389" s="8"/>
      <c r="C389" s="8"/>
      <c r="D389" s="8"/>
      <c r="E389" s="8"/>
      <c r="F389" s="8"/>
      <c r="G389" s="8"/>
    </row>
    <row r="390" customFormat="false" ht="24" hidden="false" customHeight="true" outlineLevel="0" collapsed="false">
      <c r="A390" s="7"/>
      <c r="B390" s="7"/>
      <c r="C390" s="7"/>
      <c r="D390" s="7"/>
      <c r="E390" s="7"/>
      <c r="F390" s="7"/>
      <c r="G390" s="7"/>
    </row>
    <row r="391" customFormat="false" ht="24" hidden="false" customHeight="true" outlineLevel="0" collapsed="false">
      <c r="A391" s="8"/>
      <c r="B391" s="8"/>
      <c r="C391" s="8"/>
      <c r="D391" s="8"/>
      <c r="E391" s="8"/>
      <c r="F391" s="8"/>
      <c r="G391" s="8"/>
    </row>
    <row r="392" customFormat="false" ht="24" hidden="false" customHeight="true" outlineLevel="0" collapsed="false">
      <c r="A392" s="7"/>
      <c r="B392" s="7"/>
      <c r="C392" s="7"/>
      <c r="D392" s="7"/>
      <c r="E392" s="7"/>
      <c r="F392" s="7"/>
      <c r="G392" s="7"/>
    </row>
    <row r="393" customFormat="false" ht="24" hidden="false" customHeight="true" outlineLevel="0" collapsed="false">
      <c r="A393" s="8"/>
      <c r="B393" s="8"/>
      <c r="C393" s="8"/>
      <c r="D393" s="8"/>
      <c r="E393" s="8"/>
      <c r="F393" s="8"/>
      <c r="G393" s="8"/>
    </row>
    <row r="394" customFormat="false" ht="24" hidden="false" customHeight="true" outlineLevel="0" collapsed="false">
      <c r="A394" s="7"/>
      <c r="B394" s="7"/>
      <c r="C394" s="7"/>
      <c r="D394" s="7"/>
      <c r="E394" s="7"/>
      <c r="F394" s="7"/>
      <c r="G394" s="7"/>
    </row>
    <row r="395" customFormat="false" ht="24" hidden="false" customHeight="true" outlineLevel="0" collapsed="false">
      <c r="A395" s="8"/>
      <c r="B395" s="8"/>
      <c r="C395" s="8"/>
      <c r="D395" s="8"/>
      <c r="E395" s="8"/>
      <c r="F395" s="8"/>
      <c r="G395" s="8"/>
    </row>
    <row r="396" customFormat="false" ht="24" hidden="false" customHeight="true" outlineLevel="0" collapsed="false">
      <c r="A396" s="7"/>
      <c r="B396" s="7"/>
      <c r="C396" s="7"/>
      <c r="D396" s="7"/>
      <c r="E396" s="7"/>
      <c r="F396" s="7"/>
      <c r="G396" s="7"/>
    </row>
    <row r="397" customFormat="false" ht="24" hidden="false" customHeight="true" outlineLevel="0" collapsed="false">
      <c r="A397" s="8"/>
      <c r="B397" s="8"/>
      <c r="C397" s="8"/>
      <c r="D397" s="8"/>
      <c r="E397" s="8"/>
      <c r="F397" s="8"/>
      <c r="G397" s="8"/>
    </row>
    <row r="398" customFormat="false" ht="24" hidden="false" customHeight="true" outlineLevel="0" collapsed="false">
      <c r="A398" s="7"/>
      <c r="B398" s="7"/>
      <c r="C398" s="7"/>
      <c r="D398" s="7"/>
      <c r="E398" s="7"/>
      <c r="F398" s="7"/>
      <c r="G398" s="7"/>
    </row>
    <row r="399" customFormat="false" ht="24" hidden="false" customHeight="true" outlineLevel="0" collapsed="false">
      <c r="A399" s="8"/>
      <c r="B399" s="8"/>
      <c r="C399" s="8"/>
      <c r="D399" s="8"/>
      <c r="E399" s="8"/>
      <c r="F399" s="8"/>
      <c r="G399" s="8"/>
    </row>
    <row r="400" customFormat="false" ht="24" hidden="false" customHeight="true" outlineLevel="0" collapsed="false">
      <c r="A400" s="7"/>
      <c r="B400" s="7"/>
      <c r="C400" s="7"/>
      <c r="D400" s="7"/>
      <c r="E400" s="7"/>
      <c r="F400" s="7"/>
      <c r="G400" s="7"/>
    </row>
    <row r="401" customFormat="false" ht="24" hidden="false" customHeight="true" outlineLevel="0" collapsed="false">
      <c r="A401" s="8"/>
      <c r="B401" s="8"/>
      <c r="C401" s="8"/>
      <c r="D401" s="8"/>
      <c r="E401" s="8"/>
      <c r="F401" s="8"/>
      <c r="G401" s="8"/>
    </row>
    <row r="402" customFormat="false" ht="24" hidden="false" customHeight="true" outlineLevel="0" collapsed="false">
      <c r="A402" s="7"/>
      <c r="B402" s="7"/>
      <c r="C402" s="7"/>
      <c r="D402" s="7"/>
      <c r="E402" s="7"/>
      <c r="F402" s="7"/>
      <c r="G402" s="7"/>
    </row>
    <row r="403" customFormat="false" ht="24" hidden="false" customHeight="true" outlineLevel="0" collapsed="false">
      <c r="A403" s="8"/>
      <c r="B403" s="8"/>
      <c r="C403" s="8"/>
      <c r="D403" s="8"/>
      <c r="E403" s="8"/>
      <c r="F403" s="8"/>
      <c r="G403" s="8"/>
    </row>
    <row r="404" customFormat="false" ht="24" hidden="false" customHeight="true" outlineLevel="0" collapsed="false">
      <c r="A404" s="7"/>
      <c r="B404" s="7"/>
      <c r="C404" s="7"/>
      <c r="D404" s="7"/>
      <c r="E404" s="7"/>
      <c r="F404" s="7"/>
      <c r="G404" s="7"/>
    </row>
    <row r="405" customFormat="false" ht="24" hidden="false" customHeight="true" outlineLevel="0" collapsed="false">
      <c r="A405" s="8"/>
      <c r="B405" s="8"/>
      <c r="C405" s="8"/>
      <c r="D405" s="8"/>
      <c r="E405" s="8"/>
      <c r="F405" s="8"/>
      <c r="G405" s="8"/>
    </row>
    <row r="406" customFormat="false" ht="24" hidden="false" customHeight="true" outlineLevel="0" collapsed="false">
      <c r="A406" s="7"/>
      <c r="B406" s="7"/>
      <c r="C406" s="7"/>
      <c r="D406" s="7"/>
      <c r="E406" s="7"/>
      <c r="F406" s="7"/>
      <c r="G406" s="7"/>
    </row>
    <row r="407" customFormat="false" ht="24" hidden="false" customHeight="true" outlineLevel="0" collapsed="false">
      <c r="A407" s="8"/>
      <c r="B407" s="8"/>
      <c r="C407" s="8"/>
      <c r="D407" s="8"/>
      <c r="E407" s="8"/>
      <c r="F407" s="8"/>
      <c r="G407" s="8"/>
    </row>
    <row r="408" customFormat="false" ht="24" hidden="false" customHeight="true" outlineLevel="0" collapsed="false">
      <c r="A408" s="7"/>
      <c r="B408" s="7"/>
      <c r="C408" s="7"/>
      <c r="D408" s="7"/>
      <c r="E408" s="7"/>
      <c r="F408" s="7"/>
      <c r="G408" s="7"/>
    </row>
    <row r="409" customFormat="false" ht="24" hidden="false" customHeight="true" outlineLevel="0" collapsed="false">
      <c r="A409" s="8"/>
      <c r="B409" s="8"/>
      <c r="C409" s="8"/>
      <c r="D409" s="8"/>
      <c r="E409" s="8"/>
      <c r="F409" s="8"/>
      <c r="G409" s="8"/>
    </row>
    <row r="410" customFormat="false" ht="24" hidden="false" customHeight="true" outlineLevel="0" collapsed="false">
      <c r="A410" s="7"/>
      <c r="B410" s="7"/>
      <c r="C410" s="7"/>
      <c r="D410" s="7"/>
      <c r="E410" s="7"/>
      <c r="F410" s="7"/>
      <c r="G410" s="7"/>
    </row>
    <row r="411" customFormat="false" ht="24" hidden="false" customHeight="true" outlineLevel="0" collapsed="false">
      <c r="A411" s="8"/>
      <c r="B411" s="8"/>
      <c r="C411" s="8"/>
      <c r="D411" s="8"/>
      <c r="E411" s="8"/>
      <c r="F411" s="8"/>
      <c r="G411" s="8"/>
    </row>
    <row r="412" customFormat="false" ht="24" hidden="false" customHeight="true" outlineLevel="0" collapsed="false">
      <c r="A412" s="7"/>
      <c r="B412" s="7"/>
      <c r="C412" s="7"/>
      <c r="D412" s="7"/>
      <c r="E412" s="7"/>
      <c r="F412" s="7"/>
      <c r="G412" s="7"/>
    </row>
    <row r="413" customFormat="false" ht="24" hidden="false" customHeight="true" outlineLevel="0" collapsed="false">
      <c r="A413" s="8"/>
      <c r="B413" s="8"/>
      <c r="C413" s="8"/>
      <c r="D413" s="8"/>
      <c r="E413" s="8"/>
      <c r="F413" s="8"/>
      <c r="G413" s="8"/>
    </row>
    <row r="414" customFormat="false" ht="24" hidden="false" customHeight="true" outlineLevel="0" collapsed="false">
      <c r="A414" s="7"/>
      <c r="B414" s="7"/>
      <c r="C414" s="7"/>
      <c r="D414" s="7"/>
      <c r="E414" s="7"/>
      <c r="F414" s="7"/>
      <c r="G414" s="7"/>
    </row>
    <row r="415" customFormat="false" ht="24" hidden="false" customHeight="true" outlineLevel="0" collapsed="false">
      <c r="A415" s="8"/>
      <c r="B415" s="8"/>
      <c r="C415" s="8"/>
      <c r="D415" s="8"/>
      <c r="E415" s="8"/>
      <c r="F415" s="8"/>
      <c r="G415" s="8"/>
    </row>
    <row r="416" customFormat="false" ht="24" hidden="false" customHeight="true" outlineLevel="0" collapsed="false">
      <c r="A416" s="7"/>
      <c r="B416" s="7"/>
      <c r="C416" s="7"/>
      <c r="D416" s="7"/>
      <c r="E416" s="7"/>
      <c r="F416" s="7"/>
      <c r="G416" s="7"/>
    </row>
    <row r="417" customFormat="false" ht="24" hidden="false" customHeight="true" outlineLevel="0" collapsed="false">
      <c r="A417" s="8"/>
      <c r="B417" s="8"/>
      <c r="C417" s="8"/>
      <c r="D417" s="8"/>
      <c r="E417" s="8"/>
      <c r="F417" s="8"/>
      <c r="G417" s="8"/>
    </row>
    <row r="418" customFormat="false" ht="24" hidden="false" customHeight="true" outlineLevel="0" collapsed="false">
      <c r="A418" s="7"/>
      <c r="B418" s="7"/>
      <c r="C418" s="7"/>
      <c r="D418" s="7"/>
      <c r="E418" s="7"/>
      <c r="F418" s="7"/>
      <c r="G418" s="7"/>
    </row>
    <row r="419" customFormat="false" ht="24" hidden="false" customHeight="true" outlineLevel="0" collapsed="false">
      <c r="A419" s="8"/>
      <c r="B419" s="8"/>
      <c r="C419" s="8"/>
      <c r="D419" s="8"/>
      <c r="E419" s="8"/>
      <c r="F419" s="8"/>
      <c r="G419" s="8"/>
    </row>
    <row r="420" customFormat="false" ht="24" hidden="false" customHeight="true" outlineLevel="0" collapsed="false">
      <c r="A420" s="7"/>
      <c r="B420" s="7"/>
      <c r="C420" s="7"/>
      <c r="D420" s="7"/>
      <c r="E420" s="7"/>
      <c r="F420" s="7"/>
      <c r="G420" s="7"/>
    </row>
    <row r="421" customFormat="false" ht="24" hidden="false" customHeight="true" outlineLevel="0" collapsed="false">
      <c r="A421" s="8"/>
      <c r="B421" s="8"/>
      <c r="C421" s="8"/>
      <c r="D421" s="8"/>
      <c r="E421" s="8"/>
      <c r="F421" s="8"/>
      <c r="G421" s="8"/>
    </row>
    <row r="422" customFormat="false" ht="24" hidden="false" customHeight="true" outlineLevel="0" collapsed="false">
      <c r="A422" s="7"/>
      <c r="B422" s="7"/>
      <c r="C422" s="7"/>
      <c r="D422" s="7"/>
      <c r="E422" s="7"/>
      <c r="F422" s="7"/>
      <c r="G422" s="7"/>
    </row>
    <row r="423" customFormat="false" ht="24" hidden="false" customHeight="true" outlineLevel="0" collapsed="false">
      <c r="A423" s="8"/>
      <c r="B423" s="8"/>
      <c r="C423" s="8"/>
      <c r="D423" s="8"/>
      <c r="E423" s="8"/>
      <c r="F423" s="8"/>
      <c r="G423" s="8"/>
    </row>
    <row r="424" customFormat="false" ht="24" hidden="false" customHeight="true" outlineLevel="0" collapsed="false">
      <c r="A424" s="7"/>
      <c r="B424" s="7"/>
      <c r="C424" s="7"/>
      <c r="D424" s="7"/>
      <c r="E424" s="7"/>
      <c r="F424" s="7"/>
      <c r="G424" s="7"/>
    </row>
    <row r="425" customFormat="false" ht="24" hidden="false" customHeight="true" outlineLevel="0" collapsed="false">
      <c r="A425" s="8"/>
      <c r="B425" s="8"/>
      <c r="C425" s="8"/>
      <c r="D425" s="8"/>
      <c r="E425" s="8"/>
      <c r="F425" s="8"/>
      <c r="G425" s="8"/>
    </row>
    <row r="426" customFormat="false" ht="24" hidden="false" customHeight="true" outlineLevel="0" collapsed="false">
      <c r="A426" s="7"/>
      <c r="B426" s="7"/>
      <c r="C426" s="7"/>
      <c r="D426" s="7"/>
      <c r="E426" s="7"/>
      <c r="F426" s="7"/>
      <c r="G426" s="7"/>
    </row>
    <row r="427" customFormat="false" ht="24" hidden="false" customHeight="true" outlineLevel="0" collapsed="false">
      <c r="A427" s="8"/>
      <c r="B427" s="8"/>
      <c r="C427" s="8"/>
      <c r="D427" s="8"/>
      <c r="E427" s="8"/>
      <c r="F427" s="8"/>
      <c r="G427" s="8"/>
    </row>
    <row r="428" customFormat="false" ht="24" hidden="false" customHeight="true" outlineLevel="0" collapsed="false">
      <c r="A428" s="7"/>
      <c r="B428" s="7"/>
      <c r="C428" s="7"/>
      <c r="D428" s="7"/>
      <c r="E428" s="7"/>
      <c r="F428" s="7"/>
      <c r="G428" s="7"/>
    </row>
    <row r="429" customFormat="false" ht="24" hidden="false" customHeight="true" outlineLevel="0" collapsed="false">
      <c r="A429" s="8"/>
      <c r="B429" s="8"/>
      <c r="C429" s="8"/>
      <c r="D429" s="8"/>
      <c r="E429" s="8"/>
      <c r="F429" s="8"/>
      <c r="G429" s="8"/>
    </row>
    <row r="430" customFormat="false" ht="24" hidden="false" customHeight="true" outlineLevel="0" collapsed="false">
      <c r="A430" s="7"/>
      <c r="B430" s="7"/>
      <c r="C430" s="7"/>
      <c r="D430" s="7"/>
      <c r="E430" s="7"/>
      <c r="F430" s="7"/>
      <c r="G430" s="7"/>
    </row>
    <row r="431" customFormat="false" ht="24" hidden="false" customHeight="true" outlineLevel="0" collapsed="false">
      <c r="A431" s="8"/>
      <c r="B431" s="8"/>
      <c r="C431" s="8"/>
      <c r="D431" s="8"/>
      <c r="E431" s="8"/>
      <c r="F431" s="8"/>
      <c r="G431" s="8"/>
    </row>
    <row r="432" customFormat="false" ht="24" hidden="false" customHeight="true" outlineLevel="0" collapsed="false">
      <c r="A432" s="7"/>
      <c r="B432" s="7"/>
      <c r="C432" s="7"/>
      <c r="D432" s="7"/>
      <c r="E432" s="7"/>
      <c r="F432" s="7"/>
      <c r="G432" s="7"/>
    </row>
    <row r="433" customFormat="false" ht="24" hidden="false" customHeight="true" outlineLevel="0" collapsed="false">
      <c r="A433" s="8"/>
      <c r="B433" s="8"/>
      <c r="C433" s="8"/>
      <c r="D433" s="8"/>
      <c r="E433" s="8"/>
      <c r="F433" s="8"/>
      <c r="G433" s="8"/>
    </row>
    <row r="434" customFormat="false" ht="24" hidden="false" customHeight="true" outlineLevel="0" collapsed="false">
      <c r="A434" s="7"/>
      <c r="B434" s="7"/>
      <c r="C434" s="7"/>
      <c r="D434" s="7"/>
      <c r="E434" s="7"/>
      <c r="F434" s="7"/>
      <c r="G434" s="7"/>
    </row>
    <row r="435" customFormat="false" ht="24" hidden="false" customHeight="true" outlineLevel="0" collapsed="false">
      <c r="A435" s="8"/>
      <c r="B435" s="8"/>
      <c r="C435" s="8"/>
      <c r="D435" s="8"/>
      <c r="E435" s="8"/>
      <c r="F435" s="8"/>
      <c r="G435" s="8"/>
    </row>
    <row r="436" customFormat="false" ht="24" hidden="false" customHeight="true" outlineLevel="0" collapsed="false">
      <c r="A436" s="7"/>
      <c r="B436" s="7"/>
      <c r="C436" s="7"/>
      <c r="D436" s="7"/>
      <c r="E436" s="7"/>
      <c r="F436" s="7"/>
      <c r="G436" s="7"/>
    </row>
    <row r="437" customFormat="false" ht="24" hidden="false" customHeight="true" outlineLevel="0" collapsed="false">
      <c r="A437" s="8"/>
      <c r="B437" s="8"/>
      <c r="C437" s="8"/>
      <c r="D437" s="8"/>
      <c r="E437" s="8"/>
      <c r="F437" s="8"/>
      <c r="G437" s="8"/>
    </row>
    <row r="438" customFormat="false" ht="24" hidden="false" customHeight="true" outlineLevel="0" collapsed="false">
      <c r="A438" s="7"/>
      <c r="B438" s="7"/>
      <c r="C438" s="7"/>
      <c r="D438" s="7"/>
      <c r="E438" s="7"/>
      <c r="F438" s="7"/>
      <c r="G438" s="7"/>
    </row>
    <row r="439" customFormat="false" ht="24" hidden="false" customHeight="true" outlineLevel="0" collapsed="false">
      <c r="A439" s="8"/>
      <c r="B439" s="8"/>
      <c r="C439" s="8"/>
      <c r="D439" s="8"/>
      <c r="E439" s="8"/>
      <c r="F439" s="8"/>
      <c r="G439" s="8"/>
    </row>
    <row r="440" customFormat="false" ht="24" hidden="false" customHeight="true" outlineLevel="0" collapsed="false">
      <c r="A440" s="7"/>
      <c r="B440" s="7"/>
      <c r="C440" s="7"/>
      <c r="D440" s="7"/>
      <c r="E440" s="7"/>
      <c r="F440" s="7"/>
      <c r="G440" s="7"/>
    </row>
    <row r="441" customFormat="false" ht="24" hidden="false" customHeight="true" outlineLevel="0" collapsed="false">
      <c r="A441" s="8"/>
      <c r="B441" s="8"/>
      <c r="C441" s="8"/>
      <c r="D441" s="8"/>
      <c r="E441" s="8"/>
      <c r="F441" s="8"/>
      <c r="G441" s="8"/>
    </row>
    <row r="442" customFormat="false" ht="24" hidden="false" customHeight="true" outlineLevel="0" collapsed="false">
      <c r="A442" s="7"/>
      <c r="B442" s="7"/>
      <c r="C442" s="7"/>
      <c r="D442" s="7"/>
      <c r="E442" s="7"/>
      <c r="F442" s="7"/>
      <c r="G442" s="7"/>
    </row>
    <row r="443" customFormat="false" ht="24" hidden="false" customHeight="true" outlineLevel="0" collapsed="false">
      <c r="A443" s="8"/>
      <c r="B443" s="8"/>
      <c r="C443" s="8"/>
      <c r="D443" s="8"/>
      <c r="E443" s="8"/>
      <c r="F443" s="8"/>
      <c r="G443" s="8"/>
    </row>
    <row r="444" customFormat="false" ht="24" hidden="false" customHeight="true" outlineLevel="0" collapsed="false">
      <c r="A444" s="7"/>
      <c r="B444" s="7"/>
      <c r="C444" s="7"/>
      <c r="D444" s="7"/>
      <c r="E444" s="7"/>
      <c r="F444" s="7"/>
      <c r="G444" s="7"/>
    </row>
    <row r="445" customFormat="false" ht="24" hidden="false" customHeight="true" outlineLevel="0" collapsed="false">
      <c r="A445" s="8"/>
      <c r="B445" s="8"/>
      <c r="C445" s="8"/>
      <c r="D445" s="8"/>
      <c r="E445" s="8"/>
      <c r="F445" s="8"/>
      <c r="G445" s="8"/>
    </row>
    <row r="446" customFormat="false" ht="24" hidden="false" customHeight="true" outlineLevel="0" collapsed="false">
      <c r="A446" s="7"/>
      <c r="B446" s="7"/>
      <c r="C446" s="7"/>
      <c r="D446" s="7"/>
      <c r="E446" s="7"/>
      <c r="F446" s="7"/>
      <c r="G446" s="7"/>
    </row>
    <row r="447" customFormat="false" ht="24" hidden="false" customHeight="true" outlineLevel="0" collapsed="false">
      <c r="A447" s="8"/>
      <c r="B447" s="8"/>
      <c r="C447" s="8"/>
      <c r="D447" s="8"/>
      <c r="E447" s="8"/>
      <c r="F447" s="8"/>
      <c r="G447" s="8"/>
    </row>
    <row r="448" customFormat="false" ht="24" hidden="false" customHeight="true" outlineLevel="0" collapsed="false">
      <c r="A448" s="7"/>
      <c r="B448" s="7"/>
      <c r="C448" s="7"/>
      <c r="D448" s="7"/>
      <c r="E448" s="7"/>
      <c r="F448" s="7"/>
      <c r="G448" s="7"/>
    </row>
    <row r="449" customFormat="false" ht="24" hidden="false" customHeight="true" outlineLevel="0" collapsed="false">
      <c r="A449" s="8"/>
      <c r="B449" s="8"/>
      <c r="C449" s="8"/>
      <c r="D449" s="8"/>
      <c r="E449" s="8"/>
      <c r="F449" s="8"/>
      <c r="G449" s="8"/>
    </row>
    <row r="450" customFormat="false" ht="24" hidden="false" customHeight="true" outlineLevel="0" collapsed="false">
      <c r="A450" s="7"/>
      <c r="B450" s="7"/>
      <c r="C450" s="7"/>
      <c r="D450" s="7"/>
      <c r="E450" s="7"/>
      <c r="F450" s="7"/>
      <c r="G450" s="7"/>
    </row>
    <row r="451" customFormat="false" ht="24" hidden="false" customHeight="true" outlineLevel="0" collapsed="false">
      <c r="A451" s="8"/>
      <c r="B451" s="8"/>
      <c r="C451" s="8"/>
      <c r="D451" s="8"/>
      <c r="E451" s="8"/>
      <c r="F451" s="8"/>
      <c r="G451" s="8"/>
    </row>
    <row r="452" customFormat="false" ht="24" hidden="false" customHeight="true" outlineLevel="0" collapsed="false">
      <c r="A452" s="7"/>
      <c r="B452" s="7"/>
      <c r="C452" s="7"/>
      <c r="D452" s="7"/>
      <c r="E452" s="7"/>
      <c r="F452" s="7"/>
      <c r="G452" s="7"/>
    </row>
    <row r="453" customFormat="false" ht="24" hidden="false" customHeight="true" outlineLevel="0" collapsed="false">
      <c r="A453" s="8"/>
      <c r="B453" s="8"/>
      <c r="C453" s="8"/>
      <c r="D453" s="8"/>
      <c r="E453" s="8"/>
      <c r="F453" s="8"/>
      <c r="G453" s="8"/>
    </row>
    <row r="454" customFormat="false" ht="24" hidden="false" customHeight="true" outlineLevel="0" collapsed="false">
      <c r="A454" s="7"/>
      <c r="B454" s="7"/>
      <c r="C454" s="7"/>
      <c r="D454" s="7"/>
      <c r="E454" s="7"/>
      <c r="F454" s="7"/>
      <c r="G454" s="7"/>
    </row>
    <row r="455" customFormat="false" ht="24" hidden="false" customHeight="true" outlineLevel="0" collapsed="false">
      <c r="A455" s="8"/>
      <c r="B455" s="8"/>
      <c r="C455" s="8"/>
      <c r="D455" s="8"/>
      <c r="E455" s="8"/>
      <c r="F455" s="8"/>
      <c r="G455" s="8"/>
    </row>
    <row r="456" customFormat="false" ht="24" hidden="false" customHeight="true" outlineLevel="0" collapsed="false">
      <c r="A456" s="7"/>
      <c r="B456" s="7"/>
      <c r="C456" s="7"/>
      <c r="D456" s="7"/>
      <c r="E456" s="7"/>
      <c r="F456" s="7"/>
      <c r="G456" s="7"/>
    </row>
    <row r="457" customFormat="false" ht="24" hidden="false" customHeight="true" outlineLevel="0" collapsed="false">
      <c r="A457" s="8"/>
      <c r="B457" s="8"/>
      <c r="C457" s="8"/>
      <c r="D457" s="8"/>
      <c r="E457" s="8"/>
      <c r="F457" s="8"/>
      <c r="G457" s="8"/>
    </row>
    <row r="458" customFormat="false" ht="24" hidden="false" customHeight="true" outlineLevel="0" collapsed="false">
      <c r="A458" s="7"/>
      <c r="B458" s="7"/>
      <c r="C458" s="7"/>
      <c r="D458" s="7"/>
      <c r="E458" s="7"/>
      <c r="F458" s="7"/>
      <c r="G458" s="7"/>
    </row>
    <row r="459" customFormat="false" ht="24" hidden="false" customHeight="true" outlineLevel="0" collapsed="false">
      <c r="A459" s="8"/>
      <c r="B459" s="8"/>
      <c r="C459" s="8"/>
      <c r="D459" s="8"/>
      <c r="E459" s="8"/>
      <c r="F459" s="8"/>
      <c r="G459" s="8"/>
    </row>
    <row r="460" customFormat="false" ht="24" hidden="false" customHeight="true" outlineLevel="0" collapsed="false">
      <c r="A460" s="7"/>
      <c r="B460" s="7"/>
      <c r="C460" s="7"/>
      <c r="D460" s="7"/>
      <c r="E460" s="7"/>
      <c r="F460" s="7"/>
      <c r="G460" s="7"/>
    </row>
    <row r="461" customFormat="false" ht="24" hidden="false" customHeight="true" outlineLevel="0" collapsed="false">
      <c r="A461" s="8"/>
      <c r="B461" s="8"/>
      <c r="C461" s="8"/>
      <c r="D461" s="8"/>
      <c r="E461" s="8"/>
      <c r="F461" s="8"/>
      <c r="G461" s="8"/>
    </row>
    <row r="462" customFormat="false" ht="24" hidden="false" customHeight="true" outlineLevel="0" collapsed="false">
      <c r="A462" s="7"/>
      <c r="B462" s="7"/>
      <c r="C462" s="7"/>
      <c r="D462" s="7"/>
      <c r="E462" s="7"/>
      <c r="F462" s="7"/>
      <c r="G462" s="7"/>
    </row>
    <row r="463" customFormat="false" ht="24" hidden="false" customHeight="true" outlineLevel="0" collapsed="false">
      <c r="A463" s="8"/>
      <c r="B463" s="8"/>
      <c r="C463" s="8"/>
      <c r="D463" s="8"/>
      <c r="E463" s="8"/>
      <c r="F463" s="8"/>
      <c r="G463" s="8"/>
    </row>
    <row r="464" customFormat="false" ht="24" hidden="false" customHeight="true" outlineLevel="0" collapsed="false">
      <c r="A464" s="7"/>
      <c r="B464" s="7"/>
      <c r="C464" s="7"/>
      <c r="D464" s="7"/>
      <c r="E464" s="7"/>
      <c r="F464" s="7"/>
      <c r="G464" s="7"/>
    </row>
    <row r="465" customFormat="false" ht="24" hidden="false" customHeight="true" outlineLevel="0" collapsed="false">
      <c r="A465" s="8"/>
      <c r="B465" s="8"/>
      <c r="C465" s="8"/>
      <c r="D465" s="8"/>
      <c r="E465" s="8"/>
      <c r="F465" s="8"/>
      <c r="G465" s="8"/>
    </row>
    <row r="466" customFormat="false" ht="24" hidden="false" customHeight="true" outlineLevel="0" collapsed="false">
      <c r="A466" s="7"/>
      <c r="B466" s="7"/>
      <c r="C466" s="7"/>
      <c r="D466" s="7"/>
      <c r="E466" s="7"/>
      <c r="F466" s="7"/>
      <c r="G466" s="7"/>
    </row>
    <row r="467" customFormat="false" ht="24" hidden="false" customHeight="true" outlineLevel="0" collapsed="false">
      <c r="A467" s="8"/>
      <c r="B467" s="8"/>
      <c r="C467" s="8"/>
      <c r="D467" s="8"/>
      <c r="E467" s="8"/>
      <c r="F467" s="8"/>
      <c r="G467" s="8"/>
    </row>
    <row r="468" customFormat="false" ht="24" hidden="false" customHeight="true" outlineLevel="0" collapsed="false">
      <c r="A468" s="7"/>
      <c r="B468" s="7"/>
      <c r="C468" s="7"/>
      <c r="D468" s="7"/>
      <c r="E468" s="7"/>
      <c r="F468" s="7"/>
      <c r="G468" s="7"/>
    </row>
    <row r="469" customFormat="false" ht="24" hidden="false" customHeight="true" outlineLevel="0" collapsed="false">
      <c r="A469" s="8"/>
      <c r="B469" s="8"/>
      <c r="C469" s="8"/>
      <c r="D469" s="8"/>
      <c r="E469" s="8"/>
      <c r="F469" s="8"/>
      <c r="G469" s="8"/>
    </row>
    <row r="470" customFormat="false" ht="24" hidden="false" customHeight="true" outlineLevel="0" collapsed="false">
      <c r="A470" s="7"/>
      <c r="B470" s="7"/>
      <c r="C470" s="7"/>
      <c r="D470" s="7"/>
      <c r="E470" s="7"/>
      <c r="F470" s="7"/>
      <c r="G470" s="7"/>
    </row>
    <row r="471" customFormat="false" ht="24" hidden="false" customHeight="true" outlineLevel="0" collapsed="false">
      <c r="A471" s="8"/>
      <c r="B471" s="8"/>
      <c r="C471" s="8"/>
      <c r="D471" s="8"/>
      <c r="E471" s="8"/>
      <c r="F471" s="8"/>
      <c r="G471" s="8"/>
    </row>
    <row r="472" customFormat="false" ht="24" hidden="false" customHeight="true" outlineLevel="0" collapsed="false">
      <c r="A472" s="7"/>
      <c r="B472" s="7"/>
      <c r="C472" s="7"/>
      <c r="D472" s="7"/>
      <c r="E472" s="7"/>
      <c r="F472" s="7"/>
      <c r="G472" s="7"/>
    </row>
    <row r="473" customFormat="false" ht="24" hidden="false" customHeight="true" outlineLevel="0" collapsed="false">
      <c r="A473" s="8"/>
      <c r="B473" s="8"/>
      <c r="C473" s="8"/>
      <c r="D473" s="8"/>
      <c r="E473" s="8"/>
      <c r="F473" s="8"/>
      <c r="G473" s="8"/>
    </row>
    <row r="474" customFormat="false" ht="24" hidden="false" customHeight="true" outlineLevel="0" collapsed="false">
      <c r="A474" s="7"/>
      <c r="B474" s="7"/>
      <c r="C474" s="7"/>
      <c r="D474" s="7"/>
      <c r="E474" s="7"/>
      <c r="F474" s="7"/>
      <c r="G474" s="7"/>
    </row>
    <row r="475" customFormat="false" ht="24" hidden="false" customHeight="true" outlineLevel="0" collapsed="false">
      <c r="A475" s="8"/>
      <c r="B475" s="8"/>
      <c r="C475" s="8"/>
      <c r="D475" s="8"/>
      <c r="E475" s="8"/>
      <c r="F475" s="8"/>
      <c r="G475" s="8"/>
    </row>
    <row r="476" customFormat="false" ht="24" hidden="false" customHeight="true" outlineLevel="0" collapsed="false">
      <c r="A476" s="7"/>
      <c r="B476" s="7"/>
      <c r="C476" s="7"/>
      <c r="D476" s="7"/>
      <c r="E476" s="7"/>
      <c r="F476" s="7"/>
      <c r="G476" s="7"/>
    </row>
    <row r="477" customFormat="false" ht="24" hidden="false" customHeight="true" outlineLevel="0" collapsed="false">
      <c r="A477" s="8"/>
      <c r="B477" s="8"/>
      <c r="C477" s="8"/>
      <c r="D477" s="8"/>
      <c r="E477" s="8"/>
      <c r="F477" s="8"/>
      <c r="G477" s="8"/>
    </row>
    <row r="478" customFormat="false" ht="24" hidden="false" customHeight="true" outlineLevel="0" collapsed="false">
      <c r="A478" s="7"/>
      <c r="B478" s="7"/>
      <c r="C478" s="7"/>
      <c r="D478" s="7"/>
      <c r="E478" s="7"/>
      <c r="F478" s="7"/>
      <c r="G478" s="7"/>
    </row>
    <row r="479" customFormat="false" ht="24" hidden="false" customHeight="true" outlineLevel="0" collapsed="false">
      <c r="A479" s="8"/>
      <c r="B479" s="8"/>
      <c r="C479" s="8"/>
      <c r="D479" s="8"/>
      <c r="E479" s="8"/>
      <c r="F479" s="8"/>
      <c r="G479" s="8"/>
    </row>
    <row r="480" customFormat="false" ht="24" hidden="false" customHeight="true" outlineLevel="0" collapsed="false">
      <c r="A480" s="7"/>
      <c r="B480" s="7"/>
      <c r="C480" s="7"/>
      <c r="D480" s="7"/>
      <c r="E480" s="7"/>
      <c r="F480" s="7"/>
      <c r="G480" s="7"/>
    </row>
    <row r="481" customFormat="false" ht="24" hidden="false" customHeight="true" outlineLevel="0" collapsed="false">
      <c r="A481" s="8"/>
      <c r="B481" s="8"/>
      <c r="C481" s="8"/>
      <c r="D481" s="8"/>
      <c r="E481" s="8"/>
      <c r="F481" s="8"/>
      <c r="G481" s="8"/>
    </row>
    <row r="482" customFormat="false" ht="24" hidden="false" customHeight="true" outlineLevel="0" collapsed="false">
      <c r="A482" s="7"/>
      <c r="B482" s="7"/>
      <c r="C482" s="7"/>
      <c r="D482" s="7"/>
      <c r="E482" s="7"/>
      <c r="F482" s="7"/>
      <c r="G482" s="7"/>
    </row>
    <row r="483" customFormat="false" ht="24" hidden="false" customHeight="true" outlineLevel="0" collapsed="false">
      <c r="A483" s="8"/>
      <c r="B483" s="8"/>
      <c r="C483" s="8"/>
      <c r="D483" s="8"/>
      <c r="E483" s="8"/>
      <c r="F483" s="8"/>
      <c r="G483" s="8"/>
    </row>
    <row r="484" customFormat="false" ht="24" hidden="false" customHeight="true" outlineLevel="0" collapsed="false">
      <c r="A484" s="7"/>
      <c r="B484" s="7"/>
      <c r="C484" s="7"/>
      <c r="D484" s="7"/>
      <c r="E484" s="7"/>
      <c r="F484" s="7"/>
      <c r="G484" s="7"/>
    </row>
    <row r="485" customFormat="false" ht="24" hidden="false" customHeight="true" outlineLevel="0" collapsed="false">
      <c r="A485" s="8"/>
      <c r="B485" s="8"/>
      <c r="C485" s="8"/>
      <c r="D485" s="8"/>
      <c r="E485" s="8"/>
      <c r="F485" s="8"/>
      <c r="G485" s="8"/>
    </row>
    <row r="486" customFormat="false" ht="24" hidden="false" customHeight="true" outlineLevel="0" collapsed="false">
      <c r="A486" s="7"/>
      <c r="B486" s="7"/>
      <c r="C486" s="7"/>
      <c r="D486" s="7"/>
      <c r="E486" s="7"/>
      <c r="F486" s="7"/>
      <c r="G486" s="7"/>
    </row>
    <row r="487" customFormat="false" ht="24" hidden="false" customHeight="true" outlineLevel="0" collapsed="false">
      <c r="A487" s="8"/>
      <c r="B487" s="8"/>
      <c r="C487" s="8"/>
      <c r="D487" s="8"/>
      <c r="E487" s="8"/>
      <c r="F487" s="8"/>
      <c r="G487" s="8"/>
    </row>
    <row r="488" customFormat="false" ht="24" hidden="false" customHeight="true" outlineLevel="0" collapsed="false">
      <c r="A488" s="7"/>
      <c r="B488" s="7"/>
      <c r="C488" s="7"/>
      <c r="D488" s="7"/>
      <c r="E488" s="7"/>
      <c r="F488" s="7"/>
      <c r="G488" s="7"/>
    </row>
    <row r="489" customFormat="false" ht="24" hidden="false" customHeight="true" outlineLevel="0" collapsed="false">
      <c r="A489" s="8"/>
      <c r="B489" s="8"/>
      <c r="C489" s="8"/>
      <c r="D489" s="8"/>
      <c r="E489" s="8"/>
      <c r="F489" s="8"/>
      <c r="G489" s="8"/>
    </row>
    <row r="490" customFormat="false" ht="24" hidden="false" customHeight="true" outlineLevel="0" collapsed="false">
      <c r="A490" s="7"/>
      <c r="B490" s="7"/>
      <c r="C490" s="7"/>
      <c r="D490" s="7"/>
      <c r="E490" s="7"/>
      <c r="F490" s="7"/>
      <c r="G490" s="7"/>
    </row>
    <row r="491" customFormat="false" ht="24" hidden="false" customHeight="true" outlineLevel="0" collapsed="false">
      <c r="A491" s="8"/>
      <c r="B491" s="8"/>
      <c r="C491" s="8"/>
      <c r="D491" s="8"/>
      <c r="E491" s="8"/>
      <c r="F491" s="8"/>
      <c r="G491" s="8"/>
    </row>
    <row r="492" customFormat="false" ht="24" hidden="false" customHeight="true" outlineLevel="0" collapsed="false">
      <c r="A492" s="7"/>
      <c r="B492" s="7"/>
      <c r="C492" s="7"/>
      <c r="D492" s="7"/>
      <c r="E492" s="7"/>
      <c r="F492" s="7"/>
      <c r="G492" s="7"/>
    </row>
    <row r="493" customFormat="false" ht="24" hidden="false" customHeight="true" outlineLevel="0" collapsed="false">
      <c r="A493" s="8"/>
      <c r="B493" s="8"/>
      <c r="C493" s="8"/>
      <c r="D493" s="8"/>
      <c r="E493" s="8"/>
      <c r="F493" s="8"/>
      <c r="G493" s="8"/>
    </row>
    <row r="494" customFormat="false" ht="24" hidden="false" customHeight="true" outlineLevel="0" collapsed="false">
      <c r="A494" s="7"/>
      <c r="B494" s="7"/>
      <c r="C494" s="7"/>
      <c r="D494" s="7"/>
      <c r="E494" s="7"/>
      <c r="F494" s="7"/>
      <c r="G494" s="7"/>
    </row>
    <row r="495" customFormat="false" ht="24" hidden="false" customHeight="true" outlineLevel="0" collapsed="false">
      <c r="A495" s="8"/>
      <c r="B495" s="8"/>
      <c r="C495" s="8"/>
      <c r="D495" s="8"/>
      <c r="E495" s="8"/>
      <c r="F495" s="8"/>
      <c r="G495" s="8"/>
    </row>
    <row r="496" customFormat="false" ht="24" hidden="false" customHeight="true" outlineLevel="0" collapsed="false">
      <c r="A496" s="7"/>
      <c r="B496" s="7"/>
      <c r="C496" s="7"/>
      <c r="D496" s="7"/>
      <c r="E496" s="7"/>
      <c r="F496" s="7"/>
      <c r="G496" s="7"/>
    </row>
    <row r="497" customFormat="false" ht="24" hidden="false" customHeight="true" outlineLevel="0" collapsed="false">
      <c r="A497" s="8"/>
      <c r="B497" s="8"/>
      <c r="C497" s="8"/>
      <c r="D497" s="8"/>
      <c r="E497" s="8"/>
      <c r="F497" s="8"/>
      <c r="G497" s="8"/>
    </row>
    <row r="498" customFormat="false" ht="24" hidden="false" customHeight="true" outlineLevel="0" collapsed="false">
      <c r="A498" s="7"/>
      <c r="B498" s="7"/>
      <c r="C498" s="7"/>
      <c r="D498" s="7"/>
      <c r="E498" s="7"/>
      <c r="F498" s="7"/>
      <c r="G498" s="7"/>
    </row>
    <row r="499" customFormat="false" ht="24" hidden="false" customHeight="true" outlineLevel="0" collapsed="false">
      <c r="A499" s="8"/>
      <c r="B499" s="8"/>
      <c r="C499" s="8"/>
      <c r="D499" s="8"/>
      <c r="E499" s="8"/>
      <c r="F499" s="8"/>
      <c r="G499" s="8"/>
    </row>
    <row r="500" customFormat="false" ht="24" hidden="false" customHeight="true" outlineLevel="0" collapsed="false">
      <c r="A500" s="7"/>
      <c r="B500" s="7"/>
      <c r="C500" s="7"/>
      <c r="D500" s="7"/>
      <c r="E500" s="7"/>
      <c r="F500" s="7"/>
      <c r="G500" s="7"/>
    </row>
    <row r="501" customFormat="false" ht="24" hidden="false" customHeight="true" outlineLevel="0" collapsed="false">
      <c r="A501" s="8"/>
      <c r="B501" s="8"/>
      <c r="C501" s="8"/>
      <c r="D501" s="8"/>
      <c r="E501" s="8"/>
      <c r="F501" s="8"/>
      <c r="G501" s="8"/>
    </row>
    <row r="502" customFormat="false" ht="24" hidden="false" customHeight="true" outlineLevel="0" collapsed="false">
      <c r="A502" s="7"/>
      <c r="B502" s="7"/>
      <c r="C502" s="7"/>
      <c r="D502" s="7"/>
      <c r="E502" s="7"/>
      <c r="F502" s="7"/>
      <c r="G502" s="7"/>
    </row>
    <row r="503" customFormat="false" ht="24" hidden="false" customHeight="true" outlineLevel="0" collapsed="false">
      <c r="A503" s="8"/>
      <c r="B503" s="8"/>
      <c r="C503" s="8"/>
      <c r="D503" s="8"/>
      <c r="E503" s="8"/>
      <c r="F503" s="8"/>
      <c r="G503" s="8"/>
    </row>
    <row r="504" customFormat="false" ht="24" hidden="false" customHeight="true" outlineLevel="0" collapsed="false">
      <c r="A504" s="7"/>
      <c r="B504" s="7"/>
      <c r="C504" s="7"/>
      <c r="D504" s="7"/>
      <c r="E504" s="7"/>
      <c r="F504" s="7"/>
      <c r="G504" s="7"/>
    </row>
  </sheetData>
  <dataValidations count="2">
    <dataValidation allowBlank="false" errorStyle="stop" operator="between" showDropDown="false" showErrorMessage="false" showInputMessage="false" sqref="D5:D505" type="list">
      <formula1>"sell-side report,buy-side whitepaper,consensus aggregator,AI vendor marketing,company blog uncorroborated,social media,podcast,other"</formula1>
      <formula2>0</formula2>
    </dataValidation>
    <dataValidation allowBlank="true" errorStyle="stop" operator="between" showDropDown="false" showErrorMessage="false" showInputMessage="false" sqref="F5:F505" type="list">
      <formula1>"traced to underlying primary source,dropped entirely,downgraded to Tier 3 appendix,flagged for re-research"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2026-05-11T18:42:39Z</dcterms:created>
  <dc:creator>openpyxl</dc:creator>
  <dc:description/>
  <dc:language>en-US</dc:language>
  <cp:lastModifiedBy/>
  <dcterms:modified xsi:type="dcterms:W3CDTF">2026-05-12T01:51:25Z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