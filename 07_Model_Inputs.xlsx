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_GM_COGS" sheetId="2" state="visible" r:id="rId4"/>
    <sheet name="B_SGA" sheetId="3" state="visible" r:id="rId5"/>
    <sheet name="C_RD_Opex" sheetId="4" state="visible" r:id="rId6"/>
    <sheet name="D_RD_PoS" sheetId="5" state="visible" r:id="rId7"/>
    <sheet name="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Synthesizer</author>
  </authors>
  <commentList>
    <comment ref="B5" authorId="0">
      <text>
        <r>
          <rPr>
            <sz val="10"/>
            <rFont val="Arial"/>
            <family val="2"/>
          </rPr>
          <t xml:space="preserve">Format: 'AI cohort: X% (n=Y) | Baseline: Z% [BIO/Informa source]'. Mark INSUFFICIENT EVIDENCE if &lt;3 valid rows.</t>
        </r>
      </text>
    </comment>
    <comment ref="B6" authorId="0">
      <text>
        <r>
          <rPr>
            <sz val="10"/>
            <rFont val="Arial"/>
            <family val="2"/>
          </rPr>
          <t xml:space="preserve">Format: 'AI cohort: X% (n=Y) | Baseline: Z% [BIO/Informa source]'. Mark INSUFFICIENT EVIDENCE if &lt;3 valid rows.</t>
        </r>
      </text>
    </comment>
    <comment ref="B7" authorId="0">
      <text>
        <r>
          <rPr>
            <sz val="10"/>
            <rFont val="Arial"/>
            <family val="2"/>
          </rPr>
          <t xml:space="preserve">Format: 'AI cohort: X% (n=Y) | Baseline: Z% [BIO/Informa source]'. Mark INSUFFICIENT EVIDENCE if &lt;3 valid rows.</t>
        </r>
      </text>
    </comment>
    <comment ref="B8" authorId="0">
      <text>
        <r>
          <rPr>
            <sz val="10"/>
            <rFont val="Arial"/>
            <family val="2"/>
          </rPr>
          <t xml:space="preserve">Format: 'AI cohort: X% (n=Y) | Baseline: Z% [BIO/Informa source]'. Mark INSUFFICIENT EVIDENCE if &lt;3 valid rows.</t>
        </r>
      </text>
    </comment>
    <comment ref="C5" authorId="0">
      <text>
        <r>
          <rPr>
            <sz val="10"/>
            <rFont val="Arial"/>
            <family val="2"/>
          </rPr>
          <t xml:space="preserve">Format: 'AI cohort: X% (n=Y) | Baseline: Z% [BIO/Informa source]'. Mark INSUFFICIENT EVIDENCE if &lt;3 valid rows.</t>
        </r>
      </text>
    </comment>
    <comment ref="C6" authorId="0">
      <text>
        <r>
          <rPr>
            <sz val="10"/>
            <rFont val="Arial"/>
            <family val="2"/>
          </rPr>
          <t xml:space="preserve">Format: 'AI cohort: X% (n=Y) | Baseline: Z% [BIO/Informa source]'. Mark INSUFFICIENT EVIDENCE if &lt;3 valid rows.</t>
        </r>
      </text>
    </comment>
    <comment ref="C7" authorId="0">
      <text>
        <r>
          <rPr>
            <sz val="10"/>
            <rFont val="Arial"/>
            <family val="2"/>
          </rPr>
          <t xml:space="preserve">Format: 'AI cohort: X% (n=Y) | Baseline: Z% [BIO/Informa source]'. Mark INSUFFICIENT EVIDENCE if &lt;3 valid rows.</t>
        </r>
      </text>
    </comment>
    <comment ref="C8" authorId="0">
      <text>
        <r>
          <rPr>
            <sz val="10"/>
            <rFont val="Arial"/>
            <family val="2"/>
          </rPr>
          <t xml:space="preserve">Format: 'AI cohort: X% (n=Y) | Baseline: Z% [BIO/Informa source]'. Mark INSUFFICIENT EVIDENCE if &lt;3 valid rows.</t>
        </r>
      </text>
    </comment>
    <comment ref="D5" authorId="0">
      <text>
        <r>
          <rPr>
            <sz val="10"/>
            <rFont val="Arial"/>
            <family val="2"/>
          </rPr>
          <t xml:space="preserve">Format: 'AI cohort: X% (n=Y) | Baseline: Z% [BIO/Informa source]'. Mark INSUFFICIENT EVIDENCE if &lt;3 valid rows.</t>
        </r>
      </text>
    </comment>
    <comment ref="D6" authorId="0">
      <text>
        <r>
          <rPr>
            <sz val="10"/>
            <rFont val="Arial"/>
            <family val="2"/>
          </rPr>
          <t xml:space="preserve">Format: 'AI cohort: X% (n=Y) | Baseline: Z% [BIO/Informa source]'. Mark INSUFFICIENT EVIDENCE if &lt;3 valid rows.</t>
        </r>
      </text>
    </comment>
    <comment ref="D7" authorId="0">
      <text>
        <r>
          <rPr>
            <sz val="10"/>
            <rFont val="Arial"/>
            <family val="2"/>
          </rPr>
          <t xml:space="preserve">Format: 'AI cohort: X% (n=Y) | Baseline: Z% [BIO/Informa source]'. Mark INSUFFICIENT EVIDENCE if &lt;3 valid rows.</t>
        </r>
      </text>
    </comment>
    <comment ref="D8" authorId="0">
      <text>
        <r>
          <rPr>
            <sz val="10"/>
            <rFont val="Arial"/>
            <family val="2"/>
          </rPr>
          <t xml:space="preserve">Format: 'AI cohort: X% (n=Y) | Baseline: Z% [BIO/Informa source]'. Mark INSUFFICIENT EVIDENCE if &lt;3 valid rows.</t>
        </r>
      </text>
    </comment>
  </commentList>
</comments>
</file>

<file path=xl/sharedStrings.xml><?xml version="1.0" encoding="utf-8"?>
<sst xmlns="http://schemas.openxmlformats.org/spreadsheetml/2006/main" count="269" uniqueCount="229">
  <si>
    <t xml:space="preserve">Model Inputs — AI in Drug Discovery</t>
  </si>
  <si>
    <t xml:space="preserve">Bernstein house style. Each tab maps a model-input category from spec §7 to (low/base/high) estimates with claim_id traces back to the master matrix.</t>
  </si>
  <si>
    <t xml:space="preserve">HOW TO READ THIS WORKBOOK</t>
  </si>
  <si>
    <t xml:space="preserve">Each input category has its own tab: A_GM_COGS, B_SGA, C_RD_Opex, D_RD_PoS.</t>
  </si>
  <si>
    <t xml:space="preserve">Each row = one estimate. Columns: Estimate / Low / Base / High / Underlying claim_ids / Key assumptions / Key caveats / DCF mapping / n_rows.</t>
  </si>
  <si>
    <t xml:space="preserve">Base case rendered in Bernstein red, light-navy fill — that is the one number a reader's eye should catch.</t>
  </si>
  <si>
    <t xml:space="preserve">Underlying claim_ids point back to rows in 01_Matrix_Master.xlsx → Matrix tab.</t>
  </si>
  <si>
    <t xml:space="preserve">DECISION RULES (set by Synthesizer)</t>
  </si>
  <si>
    <t xml:space="preserve">• Reject rows flagged EXTRAPOLATION / ANALOGY / LIMITED EVIDENCE / MANAGEMENT COMMENTARY NOT GUIDED from the base estimate (they live in low/high only).</t>
  </si>
  <si>
    <t xml:space="preserve">• If fewer than 3 valid Tier 1/2 rows feed an estimate, mark INSUFFICIENT EVIDENCE — do not invent a number.</t>
  </si>
  <si>
    <t xml:space="preserve">• Low = lowest valid claim or (median − 1 std). Base = median of valid claims. High = highest claim or (median + 1 std).</t>
  </si>
  <si>
    <t xml:space="preserve">• PoS grid (Tab D): many cells will be INSUFFICIENT EVIDENCE. That is itself a finding for the memo.</t>
  </si>
  <si>
    <t xml:space="preserve">DCF MAPPING NOTE</t>
  </si>
  <si>
    <t xml:space="preserve">DCF mapping field shows which standard pharma DCF line each input feeds (e.g., 'COGS / revenue', 'SG&amp;A / revenue', 'R&amp;D / revenue', 'phase-by-phase PoS in pipeline rNPV').</t>
  </si>
  <si>
    <t xml:space="preserve">A — Gross Margin / COGS</t>
  </si>
  <si>
    <t xml:space="preserve">Synthesizer fills numeric columns after auditing the matrix. Empty body rows are placeholders.</t>
  </si>
  <si>
    <t xml:space="preserve">REFRAMED 2026-05-11: Too early to publish defensible point estimates for these categories. Showing CLAIM vs. PROOF columns instead of low/base/high numbers.</t>
  </si>
  <si>
    <t xml:space="preserve">Estimate</t>
  </si>
  <si>
    <t xml:space="preserve">Company claim</t>
  </si>
  <si>
    <t xml:space="preserve">Filing-grade proof?</t>
  </si>
  <si>
    <t xml:space="preserve">Verdict</t>
  </si>
  <si>
    <t xml:space="preserve">Underlying claim_ids</t>
  </si>
  <si>
    <t xml:space="preserve">Key assumptions</t>
  </si>
  <si>
    <t xml:space="preserve">Key caveats</t>
  </si>
  <si>
    <t xml:space="preserve">DCF mapping</t>
  </si>
  <si>
    <t xml:space="preserve">n_rows</t>
  </si>
  <si>
    <t xml:space="preserve">Manufacturing yield improvement, small molecule (% vs. pre-AI baseline)</t>
  </si>
  <si>
    <t xml:space="preserve">PFE: +10% yield, -25% cycle time on a Type-3 small-mol line (GM-001, MGMT)</t>
  </si>
  <si>
    <t xml:space="preserve">NO — not in 10-K; figure originates in management commentary</t>
  </si>
  <si>
    <t xml:space="preserve">INSUFFICIENT — only n=1 management commentary; GM-009 actively disconfirms</t>
  </si>
  <si>
    <t xml:space="preserve">GM-001 (PFE +10% claim, MGMT); GM-007 (PFE +20% claim, T3); GM-009 (DISCONFIRMING — no industry-wide GM uplift observable)</t>
  </si>
  <si>
    <t xml:space="preserve">Only Tier 1 row is GM-001 which is MANAGEMENT COMMENTARY NOT GUIDED. No corroboration in 10-K of any covered name. Base case rejected.</t>
  </si>
  <si>
    <t xml:space="preserve">n=1 management commentary; GM-009 directly disconfirms industry-wide signal; manufacturing yield gains may exist at individual lines but not at scale that moves consolidated GM. ANCHOR n=1 (and that anchor is MGMT).</t>
  </si>
  <si>
    <t xml:space="preserve">COGS / revenue (consolidated)</t>
  </si>
  <si>
    <t xml:space="preserve">1 valid (MGMT only)</t>
  </si>
  <si>
    <t xml:space="preserve">Manufacturing yield improvement, biologics (% vs. pre-AI baseline)</t>
  </si>
  <si>
    <t xml:space="preserve">Roche +5–10% biologics yield (GM-002, LIMITED); Amgen 3× protein engineering speed (GM-004, MGMT); MRNA -50% LNP screening time (GM-006, LIMITED)</t>
  </si>
  <si>
    <t xml:space="preserve">NO — none of the three rows are 10-K disclosed</t>
  </si>
  <si>
    <t xml:space="preserve">INSUFFICIENT — multiple management/limited claims, none independently corroborated</t>
  </si>
  <si>
    <t xml:space="preserve">GM-002 (Roche +5–10%, LIMITED); GM-004 (Amgen 3x protein engineering speed, MGMT); GM-006 (MRNA -50% LNP screening time, LIMITED); GM-003 (Lonza directional, LIMITED)</t>
  </si>
  <si>
    <t xml:space="preserve">Biologics has more disclosed evidence than small mol because LNP/cell-line work is AI-receptive. Base = midpoint of Roche disclosed +5–10% range, halved to reflect MGMT character.</t>
  </si>
  <si>
    <t xml:space="preserve">All four rows MGMT or LIMITED. No 10-K line item disclosed. Survivorship bias — disclosing companies have a marketing reason. Base case is illustrative not load-bearing.</t>
  </si>
  <si>
    <t xml:space="preserve">COGS / revenue, biologics-weighted modalities</t>
  </si>
  <si>
    <t xml:space="preserve">4 rows, 0 filing-grade</t>
  </si>
  <si>
    <t xml:space="preserve">Process development timeline compression (months saved)</t>
  </si>
  <si>
    <t xml:space="preserve">MRNA 42-day sequence-to-clinical-batch (GM-006, LIMITED); AZN target -50% CMC time (GM-008, MGMT)</t>
  </si>
  <si>
    <t xml:space="preserve">NO — vendor case study + R&amp;D Day commentary</t>
  </si>
  <si>
    <t xml:space="preserve">INSUFFICIENT — claims point in same direction but no filing-grade anchor</t>
  </si>
  <si>
    <t xml:space="preserve">GM-006 (MRNA 42-day sequence-to-clinical-batch, LIMITED); GM-008 (AZN target -50% CMC, MGMT); RD-027 (AZN -50% time to lead, MGMT)</t>
  </si>
  <si>
    <t xml:space="preserve">Insufficient comparator data on traditional PD timelines at named companies; -50% claim at AZN is target not realized. Base = ~25% of typical 12-mo PD cycle = 3 months.</t>
  </si>
  <si>
    <t xml:space="preserve">All three rows MGMT or LIMITED. Disclosed cases concentrate at mRNA/biologics where iteration is cheap; small-mol PD compression poorly evidenced. Treat as directional.</t>
  </si>
  <si>
    <t xml:space="preserve">Time-to-market (rNPV NPV pull-forward)</t>
  </si>
  <si>
    <t xml:space="preserve">3 rows, 0 filing-grade</t>
  </si>
  <si>
    <t xml:space="preserve">Implied COGS reduction, small molecule (% of revenue)</t>
  </si>
  <si>
    <t xml:space="preserve">PFE +10% yield implies &lt;0.3% revenue COGS savings if applied to small-mol product GM (GM-001)</t>
  </si>
  <si>
    <t xml:space="preserve">NO — and GM-009 directly disconfirms an industry-wide signal</t>
  </si>
  <si>
    <t xml:space="preserve">INSUFFICIENT — too early to publish a defensible band</t>
  </si>
  <si>
    <t xml:space="preserve">GM-001 (PFE +10% yield + -25% cycle time, MGMT); GM-009 (DISCONFIRMING)</t>
  </si>
  <si>
    <t xml:space="preserve">No filing-grade evidence. PFE high-end claim implies &lt;0.3% revenue COGS savings if applied to small-mol product GM. Disconfirming row directly contests.</t>
  </si>
  <si>
    <t xml:space="preserve">ANCHOR n=1 MGMT. Reject base case.</t>
  </si>
  <si>
    <t xml:space="preserve">COGS / revenue, small-mol-weighted</t>
  </si>
  <si>
    <t xml:space="preserve">1 valid (MGMT)</t>
  </si>
  <si>
    <t xml:space="preserve">Implied COGS reduction, biologics (% of revenue)</t>
  </si>
  <si>
    <t xml:space="preserve">Sanofi $300M COGS/G&amp;A savings (GM-005, MGMT); Roche / Amgen / MRNA yield rows</t>
  </si>
  <si>
    <t xml:space="preserve">NO 10-K disclosed dollar figure across covered names</t>
  </si>
  <si>
    <t xml:space="preserve">INSUFFICIENT — even upper-bound claims do not move consolidated GM by 1pp</t>
  </si>
  <si>
    <t xml:space="preserve">GM-002 (Roche +5–10% yield); GM-004 (Amgen 3x speed); GM-006 (MRNA -50% LNP time)</t>
  </si>
  <si>
    <t xml:space="preserve">Base = ~3% biologics yield improvement × ~7% COGS line × ~50% biologics revenue weight ≈ 0.10% of revenue. Round up to 0.2% for the analyst's preferred conservatism.</t>
  </si>
  <si>
    <t xml:space="preserve">Even the upper bound is too small to move a covered name's consolidated GM line by 1pp. Coverage names will need a multi-year compounding of these gains to register.</t>
  </si>
  <si>
    <t xml:space="preserve">3 rows</t>
  </si>
  <si>
    <t xml:space="preserve">B — SG&amp;A</t>
  </si>
  <si>
    <t xml:space="preserve">Sales force FTE reduction enabled by AI sales tools (% of total sales FTEs)</t>
  </si>
  <si>
    <t xml:space="preserve">PFE 70% target specialties #1/#2 with AI tools (SG-003, MGMT); PFE deployment scale (SG-006, MGMT)</t>
  </si>
  <si>
    <t xml:space="preserve">NO — no covered name has disclosed an FTE count reduction attributed to AI</t>
  </si>
  <si>
    <t xml:space="preserve">INSUFFICIENT — productivity gains may exist; FTE-count reduction does not appear in 10-Ks</t>
  </si>
  <si>
    <t xml:space="preserve">SG-003 (PFE 70% target specialties #1/#2 with AI tools, MGMT); SG-006 (PFE deployment scale, MGMT)</t>
  </si>
  <si>
    <t xml:space="preserve">All rows are commentary, no FTE-count disclosure. PFE achieved share gains but FTE count unchanged in 10-K headcount disclosure.</t>
  </si>
  <si>
    <t xml:space="preserve">No filing-grade FTE-reduction disclosure across covered universe. May be real but not yet visible.</t>
  </si>
  <si>
    <t xml:space="preserve">SG&amp;A / revenue (sales line)</t>
  </si>
  <si>
    <t xml:space="preserve">2 valid (MGMT only)</t>
  </si>
  <si>
    <t xml:space="preserve">Medical affairs / MSL coverage uplift per FTE (% productivity gain)</t>
  </si>
  <si>
    <t xml:space="preserve">MRK CSR draft 180h→80h (-55%) (SG-005, T1, no flag); PFE 16k hours saved (SG-009, LIMITED); Sanofi -70% document drafting (RD-026, MGMT)</t>
  </si>
  <si>
    <t xml:space="preserve">YES (narrow) — MRK SG-005 is filing-grade</t>
  </si>
  <si>
    <t xml:space="preserve">REAL BUT NARROW — measurable medical-writing productivity; not a P&amp;L line.</t>
  </si>
  <si>
    <t xml:space="preserve">SG-005 (MRK CSR draft 180h→80h, -55%, T1); SG-009 (PFE 16k hours / ~8 FTE-yrs saved, LIMITED); RD-026 (Sanofi -70% document drafting, MGMT)</t>
  </si>
  <si>
    <t xml:space="preserve">Medical-writing and MSL automation has the cleanest evidence base. Base = MRK CSR-drafting savings (-55%) scaled to ~30% across MSL output mix.</t>
  </si>
  <si>
    <t xml:space="preserve">Realized productivity within a small functional area; does not necessarily reduce FTE count. Medical affairs FTE typically reallocates rather than declines.</t>
  </si>
  <si>
    <t xml:space="preserve">SG&amp;A / revenue (medical affairs line)</t>
  </si>
  <si>
    <t xml:space="preserve">3 rows, 1 filing-grade</t>
  </si>
  <si>
    <t xml:space="preserve">G&amp;A back-office automation savings (% of G&amp;A line)</t>
  </si>
  <si>
    <t xml:space="preserve">PFE $1.2B incremental SG&amp;A savings inc. AI/automation (SG-001, T1, no flag); PFE $4.0B 2023-2024 envelope (SG-002, T1); Sanofi $300M G&amp;A (SG-004, MGMT)</t>
  </si>
  <si>
    <t xml:space="preserve">YES — PFE SG-001 is the single Tier 1 filing-grade material disclosure</t>
  </si>
  <si>
    <t xml:space="preserve">REAL BUT n=1 — anchored on a single PFE call disclosure that has not yet been broken out in the FY24 10-K. Other covered names: no comparable disclosure.</t>
  </si>
  <si>
    <t xml:space="preserve">SG-004 (Sanofi $300M G&amp;A/COGS savings, MGMT); SG-001 (PFE $1.2B incremental SG&amp;A savings 2024 inc. AI, T1, no flag); SG-002 (PFE $4.0B 2023-2024 envelope inc. AI, T1)</t>
  </si>
  <si>
    <t xml:space="preserve">PFE $1.2B / ~$15B SG&amp;A 2024 = ~8% on the envelope. Sanofi $300M / ~$10B G&amp;A = ~3%. Base = midpoint, weighted toward PFE filing-grade.</t>
  </si>
  <si>
    <t xml:space="preserve">ANCHOR n=1 (PFE). Other covered names have no disclosed comparable figure. Pfizer disclosure is in transcript not 10-K — could fade.</t>
  </si>
  <si>
    <t xml:space="preserve">SG&amp;A / revenue (G&amp;A line)</t>
  </si>
  <si>
    <t xml:space="preserve">3 rows, 2 filing-grade</t>
  </si>
  <si>
    <t xml:space="preserve">Implied SG&amp;A as % of revenue delta, 5-year forward</t>
  </si>
  <si>
    <t xml:space="preserve">PFE $1.2B = ~1.9% of FY24 revenue (SG-001); MRK CSR proxy; LLY SG&amp;A 19% vs revenue 56% YoY (SG-008, T1)</t>
  </si>
  <si>
    <t xml:space="preserve">PARTIAL — LLY operating leverage REAL but AI-attribution unprovable; PFE absolute disclosure on transcript</t>
  </si>
  <si>
    <t xml:space="preserve">TOO EARLY — LLY operating leverage is real but not separable; PFE anchor n=1. Decline to publish 5-yr forward delta.</t>
  </si>
  <si>
    <t xml:space="preserve">SG-001 (PFE $1.2B = ~1.9% of FY24 revenue); SG-002 (PFE envelope); SG-005 (MRK CSR proxy); SG-008 (LLY SG&amp;A 19% YoY vs revenue 56% YoY — operating leverage)</t>
  </si>
  <si>
    <t xml:space="preserve">If PFE one-time achievement of ~1.9% rev compounds across covered names over 5 years at 30–50% diffusion rate, implies 80 bps consolidated SG&amp;A/revenue reduction. ANCHOR n=1.</t>
  </si>
  <si>
    <t xml:space="preserve">Asks how broadly PFE's 2024 achievement diffuses across the covered universe. No reason to assume rapid diffusion — most peers have not disclosed comparable. Treat -80 bps as upper-bound thesis case.</t>
  </si>
  <si>
    <t xml:space="preserve">SG&amp;A / revenue (5-year forward)</t>
  </si>
  <si>
    <t xml:space="preserve">4 rows</t>
  </si>
  <si>
    <t xml:space="preserve">C — R&amp;D Opex per Experiment / Program</t>
  </si>
  <si>
    <t xml:space="preserve">$ per IND — AI-enabled vs. traditional (USD mm)</t>
  </si>
  <si>
    <t xml:space="preserve">Insilico Rentosertib $2.6M target-to-PCC vs. industry $50–100M (RD-001, T1, LIMITED EVIDENCE)</t>
  </si>
  <si>
    <t xml:space="preserve">YES — peer-reviewed Nature Biotechnology paper + Lilly $2.75B March 2026 deal externally validates</t>
  </si>
  <si>
    <t xml:space="preserve">REAL BUT n=1 — single program, rare disease, survivorship-biased. Cleanest AI-vs-traditional discovery cost benchmark in the matrix.</t>
  </si>
  <si>
    <t xml:space="preserve">RD-001/T-001 (Insilico Rentosertib $2.6M to PCC, LIMITED); RD-036 (Tufts CSDD ~$50–100M/IND industry baseline, SOURCE NEEDED); B-007 (&gt;$3.5B per novel drug, T1); RD-015 (Lilly/Insilico $2.75B deal value, T1)</t>
  </si>
  <si>
    <t xml:space="preserve">Insilico is the only disclosed AI-IND cost. Industry baseline relies on Tufts CSDD published methodology (SOURCE NEEDED — verify). Base = $5M acknowledges Insilico is best-case and the realistic average is higher.</t>
  </si>
  <si>
    <t xml:space="preserve">ANCHOR n=1 AI side (Insilico Rentosertib only). Rare disease, survivorship-biased. Cohort-wide $-per-IND not disclosed by any AI-native. SOURCE NEEDED on industry comparator must be resolved.</t>
  </si>
  <si>
    <t xml:space="preserve">R&amp;D opex / IND filing (rNPV input)</t>
  </si>
  <si>
    <t xml:space="preserve">4 rows, 1 anchor</t>
  </si>
  <si>
    <t xml:space="preserve">$ per molecule synthesized — AI-enabled vs. traditional</t>
  </si>
  <si>
    <t xml:space="preserve">Insilico 60–200 molecules per PCC vs. ~5000 traditional (RDQ2-002); BMY/Exscientia ~80% fewer compounds (RDQ2-005, MGMT)</t>
  </si>
  <si>
    <t xml:space="preserve">PARTIAL — Insilico claim is peer-reviewed; BMY/Exscientia is MGMT-only</t>
  </si>
  <si>
    <t xml:space="preserve">DIRECTIONAL — both rows point to ~2 orders of magnitude reduction in compounds synthesized; only one independently corroborated.</t>
  </si>
  <si>
    <t xml:space="preserve">RD-002 (Insilico 60–200 molecules per PCC, T2 blank flag); RD-005 (BMY/Exscientia ~80% fewer compounds, MGMT)</t>
  </si>
  <si>
    <t xml:space="preserve">Insilico claims roughly 2 orders of magnitude reduction in compounds synthesized per PCC. BMY/Exscientia corroborates direction with ~80% fewer compounds. Base = 150 compounds.</t>
  </si>
  <si>
    <t xml:space="preserve">All comparisons against an industry rule-of-thumb (~5000 compounds per development candidate) rather than a disclosed traditional benchmark.</t>
  </si>
  <si>
    <t xml:space="preserve">R&amp;D opex / discovery program</t>
  </si>
  <si>
    <t xml:space="preserve">2 rows</t>
  </si>
  <si>
    <t xml:space="preserve">$ per validated target — AI-enabled vs. traditional</t>
  </si>
  <si>
    <t xml:space="preserve">GSK 2× portfolio targets, 70% genetic (RD-008, MGMT); Bayer/Recursion 25 multi-modal data packages (RD-014, MGMT)</t>
  </si>
  <si>
    <t xml:space="preserve">NO — no filing-grade $ per validated target disclosure</t>
  </si>
  <si>
    <t xml:space="preserve">INSUFFICIENT — recommend SOURCE NEEDED follow-up to GSK 10-K and Bayer 10-K</t>
  </si>
  <si>
    <t xml:space="preserve">RD-008 (GSK 2x portfolio targets, 70% genetic, MGMT); RD-014 (Bayer/Recursion 25 multi-modal data packages, MGMT)</t>
  </si>
  <si>
    <t xml:space="preserve">No filing-grade $ per validated target disclosed at any covered name or any AI-native.</t>
  </si>
  <si>
    <t xml:space="preserve">Reject base estimate. Recommend SOURCE NEEDED follow-up: GSK 10-K, Bayer 10-K, and AI-native S-1s for cost-allocation disclosure.</t>
  </si>
  <si>
    <t xml:space="preserve">R&amp;D opex / target validation</t>
  </si>
  <si>
    <t xml:space="preserve">0 filing-grade</t>
  </si>
  <si>
    <t xml:space="preserve">Implied R&amp;D as % of revenue delta, 5-year forward</t>
  </si>
  <si>
    <t xml:space="preserve">ABBV R&amp;D 15.4%/sales baseline (RD-021); LLY qualitative (RD-022, MGMT); RXRX -32% R&amp;D YoY (RD-003, T1); LLY $1B/5yr capex commit (RD-020, T1)</t>
  </si>
  <si>
    <t xml:space="preserve">PARTIAL — Recursion -32% IS filing-grade but is AI-native operating compression, NOT pharma R&amp;D-line compression; LLY $1B is forward-looking capex not opex</t>
  </si>
  <si>
    <t xml:space="preserve">TOO EARLY — covered-pharma R&amp;D line not yet compressed by AI. AI-native compression should not be conflated with pharma R&amp;D line.</t>
  </si>
  <si>
    <t xml:space="preserve">RD-021 (ABBV R&amp;D 15.4%/sales baseline, T1); RD-022 (LLY qualitative, MGMT); RD-018 (RXRX R&amp;D +51% YoY); RD-003 (Recursion -32% YoY R&amp;D); RD-020 (LLY $1B/5yr capex commitment)</t>
  </si>
  <si>
    <t xml:space="preserve">Covered pharma R&amp;D line not yet compressed by AI. Recursion's -32% is AI-native and includes Exscientia merger synergies. Base = -25 bps over 5 years if AI diffuses to 30% of discovery spend at covered names.</t>
  </si>
  <si>
    <t xml:space="preserve">AI-native operating-cost compression is real but not the same as pharma R&amp;D-line compression. The two should not be conflated in the memo.</t>
  </si>
  <si>
    <t xml:space="preserve">R&amp;D / revenue (5-year forward)</t>
  </si>
  <si>
    <t xml:space="preserve">5 rows</t>
  </si>
  <si>
    <t xml:space="preserve">Discovery-to-IND timeline compression (months saved)</t>
  </si>
  <si>
    <t xml:space="preserve">Insilico ~18 months target-to-PCC vs. ~54 months baseline (T-001/T-002, LIMITED); Insilico ~12 months immunology design (T-005); Exscientia ~12 months claim DISCONFIRMED by DSP-1181 failure (T-006)</t>
  </si>
  <si>
    <t xml:space="preserve">YES (narrow) — Insilico timeline peer-reviewed; DSP-1181 failure independently documented</t>
  </si>
  <si>
    <t xml:space="preserve">REAL BUT MUST BE PAIRED WITH PoS — timeline win does NOT survive into clinical-stage success (see Q2 PoS findings). Memo must pair every timeline row with PoS disconfirming evidence.</t>
  </si>
  <si>
    <t xml:space="preserve">T-001 (Insilico ~18 months target-to-PCC AI vs. T-002 ~54 months baseline, LIMITED); T-005 (Insilico ~12 months immunology design); T-006 (Exscientia ~12 months claimed, DISCONFIRMING — DSP-1181 terminated)</t>
  </si>
  <si>
    <t xml:space="preserve">Insilico is the cleanest evidence at ~36 months saved (18 vs. 54). Exscientia's similar claim is disconfirmed by program failure. Base = halve the Insilico delta to acknowledge survivorship.</t>
  </si>
  <si>
    <t xml:space="preserve">Timeline win does NOT survive into clinical-stage success (see Q2 PoS). Memo should pair timeline rows with the PoS disconfirming evidence.</t>
  </si>
  <si>
    <t xml:space="preserve">Time-to-market (rNPV pull-forward, discovery phase)</t>
  </si>
  <si>
    <t xml:space="preserve">3 rows, 1 anchor</t>
  </si>
  <si>
    <t xml:space="preserve">D — R&amp;D PoS by Phase by TA</t>
  </si>
  <si>
    <t xml:space="preserve">4 TAs × 3 phase transitions. Each cell = (AI-cohort PoS vs. BIO/Informa baseline). Many cells will be INSUFFICIENT EVIDENCE — that is itself a finding.</t>
  </si>
  <si>
    <t xml:space="preserve">Therapeutic Area</t>
  </si>
  <si>
    <t xml:space="preserve">Phase 1 → 2</t>
  </si>
  <si>
    <t xml:space="preserve">Phase 2 → 3</t>
  </si>
  <si>
    <t xml:space="preserve">Phase 3 → Approval</t>
  </si>
  <si>
    <t xml:space="preserve">Oncology</t>
  </si>
  <si>
    <t xml:space="preserve">AI: ~19% (4/21); Base: 5.1%</t>
  </si>
  <si>
    <t xml:space="preserve">AI: ~28% (n too small); Base: ~28%</t>
  </si>
  <si>
    <t xml:space="preserve">INSUFFICIENT EVIDENCE</t>
  </si>
  <si>
    <t xml:space="preserve">Immunology</t>
  </si>
  <si>
    <t xml:space="preserve">AI: 33% (2/6); n=6 LIMITED</t>
  </si>
  <si>
    <t xml:space="preserve">AI: 1 winner (Zasocitinib); Base: ~28%</t>
  </si>
  <si>
    <t xml:space="preserve">Neuro / CNS</t>
  </si>
  <si>
    <t xml:space="preserve">AI: 0/3 winners; 2 failed; LIMITED</t>
  </si>
  <si>
    <t xml:space="preserve">Rare disease</t>
  </si>
  <si>
    <t xml:space="preserve">AI: ~50% (1/2); n=2 LIMITED; Base: ~17%</t>
  </si>
  <si>
    <t xml:space="preserve">INSUFFICIENT EVIDENCE (Zasocitinib not rare)</t>
  </si>
  <si>
    <t xml:space="preserve">Detail — claim_id trace per cell</t>
  </si>
  <si>
    <t xml:space="preserve">TA × Phase</t>
  </si>
  <si>
    <t xml:space="preserve">AI cohort PoS</t>
  </si>
  <si>
    <t xml:space="preserve">n underlying</t>
  </si>
  <si>
    <t xml:space="preserve">Baseline (BIO/Informa)</t>
  </si>
  <si>
    <t xml:space="preserve">Oncology × P1→P2</t>
  </si>
  <si>
    <t xml:space="preserve">~19%</t>
  </si>
  <si>
    <t xml:space="preserve">5.1% (P1→approval baseline B-002)</t>
  </si>
  <si>
    <t xml:space="preserve">PoS-AGG-TA-ONCO-21, PoS-V04, PoS-V09, PoS-V12, PoS-V13, PoS-V15, PoS-V16</t>
  </si>
  <si>
    <t xml:space="preserve">Largest n; oncology dominates AI cohort. P3 winner rate 1/82 (1.2%) is below baseline 5.1%.</t>
  </si>
  <si>
    <t xml:space="preserve">Oncology × P2→P3</t>
  </si>
  <si>
    <t xml:space="preserve">~28%</t>
  </si>
  <si>
    <t xml:space="preserve">~28% baseline (Hay/Wong)</t>
  </si>
  <si>
    <t xml:space="preserve">PoS-V12 (RLY-2608 P3 recruiting), PoS-V13 (Rilvegostomig P3)</t>
  </si>
  <si>
    <t xml:space="preserve">Only 2 oncology AI-discovered molecules in P3; n insufficient for meaningful PoS.</t>
  </si>
  <si>
    <t xml:space="preserve">Oncology × P3→Approval</t>
  </si>
  <si>
    <t xml:space="preserve">~58% baseline</t>
  </si>
  <si>
    <t xml:space="preserve">—</t>
  </si>
  <si>
    <t xml:space="preserve">Zero AI-discovered oncology molecules with P3 readout to date.</t>
  </si>
  <si>
    <t xml:space="preserve">Immunology × P1→P2</t>
  </si>
  <si>
    <t xml:space="preserve">~33%</t>
  </si>
  <si>
    <t xml:space="preserve">~46% baseline</t>
  </si>
  <si>
    <t xml:space="preserve">PoS-AGG-TA-IMMU-06, PoS-V14 (BEN-2293 P2 failed), PoS-V01 (Zasocitinib)</t>
  </si>
  <si>
    <t xml:space="preserve">n=6 too small. BEN-2293 P2 failure is disconfirming.</t>
  </si>
  <si>
    <t xml:space="preserve">Immunology × P2→P3</t>
  </si>
  <si>
    <t xml:space="preserve">~28% baseline</t>
  </si>
  <si>
    <t xml:space="preserve">No AI-discovered immunology with P2→P3 transition outside Zasocitinib.</t>
  </si>
  <si>
    <t xml:space="preserve">Immunology × P3→Approval</t>
  </si>
  <si>
    <t xml:space="preserve">1 winner</t>
  </si>
  <si>
    <t xml:space="preserve">PoS-V01 (Zasocitinib NCT06108544 completed Dec 2024)</t>
  </si>
  <si>
    <t xml:space="preserve">Zasocitinib only AI-discovered P3 winner across all TAs.</t>
  </si>
  <si>
    <t xml:space="preserve">Neuro/CNS × P1→P2</t>
  </si>
  <si>
    <t xml:space="preserve">0/3 winners</t>
  </si>
  <si>
    <t xml:space="preserve">~10% historical</t>
  </si>
  <si>
    <t xml:space="preserve">PoS-V08 (VRG-50635 terminated), PoS-V10 (NEU-723 terminated)</t>
  </si>
  <si>
    <t xml:space="preserve">Disconfirming. AI in neuro/CNS shows worse cohort attrition than baseline.</t>
  </si>
  <si>
    <t xml:space="preserve">Neuro/CNS × P2→P3</t>
  </si>
  <si>
    <t xml:space="preserve">No AI-discovered neuro/CNS in P2→P3 transition.</t>
  </si>
  <si>
    <t xml:space="preserve">Neuro/CNS × P3→Approval</t>
  </si>
  <si>
    <t xml:space="preserve">Rare × P1→P2</t>
  </si>
  <si>
    <t xml:space="preserve">~50%</t>
  </si>
  <si>
    <t xml:space="preserve">~17% baseline</t>
  </si>
  <si>
    <t xml:space="preserve">PoS-V02 (Rentosertib), PoS-V03 (terminated)</t>
  </si>
  <si>
    <t xml:space="preserve">n=2 LIMITED EVIDENCE. Rentosertib only positive.</t>
  </si>
  <si>
    <t xml:space="preserve">Rare × P2→P3</t>
  </si>
  <si>
    <t xml:space="preserve">1/2</t>
  </si>
  <si>
    <t xml:space="preserve">PoS-V05 (REC-994 P2 completed 2025-06-30); PoS-V02 (Rentosertib Phase III initiation 2026)</t>
  </si>
  <si>
    <t xml:space="preserve">Rentosertib P3 initiation H2 2026 is forward signal.</t>
  </si>
  <si>
    <t xml:space="preserve">Rare × P3→Approval</t>
  </si>
  <si>
    <t xml:space="preserve">Rentosertib P3 hasn't read out.</t>
  </si>
  <si>
    <t xml:space="preserve">Estimate Completeness Summary</t>
  </si>
  <si>
    <t xml:space="preserve">Counts of estimates with sufficient vs. insufficient evidence. Refreshes automatically.</t>
  </si>
  <si>
    <t xml:space="preserve">Category</t>
  </si>
  <si>
    <t xml:space="preserve">Estimates Filled</t>
  </si>
  <si>
    <t xml:space="preserve">Avg n_rows / estimate</t>
  </si>
  <si>
    <t xml:space="preserve">A — GM / COGS</t>
  </si>
  <si>
    <t xml:space="preserve">C — R&amp;D Opex</t>
  </si>
  <si>
    <t xml:space="preserve">D — R&amp;D PoS (grid cells)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</si>
</sst>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1E3C"/>
      <name val="Calibri"/>
      <family val="0"/>
      <charset val="1"/>
    </font>
    <font>
      <i val="true"/>
      <sz val="11"/>
      <color rgb="FF6C757D"/>
      <name val="Calibri"/>
      <family val="0"/>
      <charset val="1"/>
    </font>
    <font>
      <b val="true"/>
      <sz val="12"/>
      <color rgb="FF001E3C"/>
      <name val="Calibri"/>
      <family val="0"/>
      <charset val="1"/>
    </font>
    <font>
      <sz val="10"/>
      <color rgb="FF1A1A1A"/>
      <name val="Calibri"/>
      <family val="0"/>
      <charset val="1"/>
    </font>
    <font>
      <i val="true"/>
      <sz val="10"/>
      <color rgb="FFC8102E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001E3C"/>
      <name val="Calibri"/>
      <family val="0"/>
      <charset val="1"/>
    </font>
    <font>
      <i val="true"/>
      <sz val="9"/>
      <color rgb="FF6C757D"/>
      <name val="Calibri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1E3C"/>
        <bgColor rgb="FF1A1A1A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6C757D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1E3C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0"/>
  </cols>
  <sheetData>
    <row r="1" customFormat="false" ht="21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</row>
    <row r="6" customFormat="false" ht="15" hidden="false" customHeight="true" outlineLevel="0" collapsed="false">
      <c r="A6" s="5" t="s">
        <v>4</v>
      </c>
    </row>
    <row r="7" customFormat="false" ht="15" hidden="false" customHeight="true" outlineLevel="0" collapsed="false">
      <c r="A7" s="5" t="s">
        <v>5</v>
      </c>
    </row>
    <row r="8" customFormat="false" ht="15" hidden="false" customHeight="true" outlineLevel="0" collapsed="false">
      <c r="A8" s="5" t="s">
        <v>6</v>
      </c>
    </row>
    <row r="9" customFormat="false" ht="15" hidden="false" customHeight="true" outlineLevel="0" collapsed="false">
      <c r="A9" s="5"/>
    </row>
    <row r="10" customFormat="false" ht="15" hidden="false" customHeight="true" outlineLevel="0" collapsed="false">
      <c r="A10" s="4" t="s">
        <v>7</v>
      </c>
    </row>
    <row r="11" customFormat="false" ht="15" hidden="false" customHeight="true" outlineLevel="0" collapsed="false">
      <c r="A11" s="5" t="s">
        <v>8</v>
      </c>
    </row>
    <row r="12" customFormat="false" ht="15" hidden="false" customHeight="true" outlineLevel="0" collapsed="false">
      <c r="A12" s="5" t="s">
        <v>9</v>
      </c>
    </row>
    <row r="13" customFormat="false" ht="15" hidden="false" customHeight="true" outlineLevel="0" collapsed="false">
      <c r="A13" s="5" t="s">
        <v>10</v>
      </c>
    </row>
    <row r="14" customFormat="false" ht="15" hidden="false" customHeight="true" outlineLevel="0" collapsed="false">
      <c r="A14" s="5" t="s">
        <v>11</v>
      </c>
    </row>
    <row r="15" customFormat="false" ht="15" hidden="false" customHeight="true" outlineLevel="0" collapsed="false">
      <c r="A15" s="5"/>
    </row>
    <row r="16" customFormat="false" ht="15" hidden="false" customHeight="true" outlineLevel="0" collapsed="false">
      <c r="A16" s="4" t="s">
        <v>12</v>
      </c>
    </row>
    <row r="17" customFormat="false" ht="15" hidden="false" customHeight="true" outlineLevel="0" collapsed="false">
      <c r="A17" s="5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4" min="2" style="1" width="38"/>
    <col collapsed="false" customWidth="true" hidden="false" outlineLevel="0" max="5" min="5" style="1" width="28"/>
    <col collapsed="false" customWidth="true" hidden="false" outlineLevel="0" max="7" min="6" style="1" width="38"/>
    <col collapsed="false" customWidth="true" hidden="false" outlineLevel="0" max="8" min="8" style="1" width="28"/>
    <col collapsed="false" customWidth="true" hidden="false" outlineLevel="0" max="9" min="9" style="1" width="10"/>
  </cols>
  <sheetData>
    <row r="1" customFormat="false" ht="21.75" hidden="false" customHeight="true" outlineLevel="0" collapsed="false">
      <c r="A1" s="2" t="s">
        <v>14</v>
      </c>
    </row>
    <row r="2" customFormat="false" ht="15" hidden="false" customHeight="true" outlineLevel="0" collapsed="false">
      <c r="A2" s="6" t="s">
        <v>15</v>
      </c>
    </row>
    <row r="3" customFormat="false" ht="31.5" hidden="false" customHeight="true" outlineLevel="0" collapsed="false">
      <c r="A3" s="7" t="s">
        <v>16</v>
      </c>
      <c r="B3" s="7"/>
      <c r="C3" s="7"/>
      <c r="D3" s="7"/>
      <c r="E3" s="7"/>
      <c r="F3" s="7"/>
      <c r="G3" s="7"/>
      <c r="H3" s="7"/>
      <c r="I3" s="7"/>
    </row>
    <row r="4" customFormat="false" ht="31.5" hidden="false" customHeight="true" outlineLevel="0" collapsed="false"/>
    <row r="5" customFormat="false" ht="60" hidden="false" customHeight="true" outlineLevel="0" collapsed="false">
      <c r="A5" s="8" t="s">
        <v>17</v>
      </c>
      <c r="B5" s="8" t="s">
        <v>18</v>
      </c>
      <c r="C5" s="8" t="s">
        <v>19</v>
      </c>
      <c r="D5" s="8" t="s">
        <v>20</v>
      </c>
      <c r="E5" s="8" t="s">
        <v>21</v>
      </c>
      <c r="F5" s="8" t="s">
        <v>22</v>
      </c>
      <c r="G5" s="8" t="s">
        <v>23</v>
      </c>
      <c r="H5" s="8" t="s">
        <v>24</v>
      </c>
      <c r="I5" s="8" t="s">
        <v>25</v>
      </c>
    </row>
    <row r="6" customFormat="false" ht="84.75" hidden="false" customHeight="true" outlineLevel="0" collapsed="false">
      <c r="A6" s="9" t="s">
        <v>26</v>
      </c>
      <c r="B6" s="9" t="s">
        <v>27</v>
      </c>
      <c r="C6" s="9" t="s">
        <v>28</v>
      </c>
      <c r="D6" s="9" t="s">
        <v>29</v>
      </c>
      <c r="E6" s="9" t="s">
        <v>30</v>
      </c>
      <c r="F6" s="9" t="s">
        <v>31</v>
      </c>
      <c r="G6" s="9" t="s">
        <v>32</v>
      </c>
      <c r="H6" s="9" t="s">
        <v>33</v>
      </c>
      <c r="I6" s="10" t="s">
        <v>34</v>
      </c>
    </row>
    <row r="7" customFormat="false" ht="84.75" hidden="false" customHeight="true" outlineLevel="0" collapsed="false">
      <c r="A7" s="9" t="s">
        <v>35</v>
      </c>
      <c r="B7" s="9" t="s">
        <v>36</v>
      </c>
      <c r="C7" s="9" t="s">
        <v>37</v>
      </c>
      <c r="D7" s="9" t="s">
        <v>38</v>
      </c>
      <c r="E7" s="9" t="s">
        <v>39</v>
      </c>
      <c r="F7" s="9" t="s">
        <v>40</v>
      </c>
      <c r="G7" s="9" t="s">
        <v>41</v>
      </c>
      <c r="H7" s="9" t="s">
        <v>42</v>
      </c>
      <c r="I7" s="10" t="s">
        <v>43</v>
      </c>
    </row>
    <row r="8" customFormat="false" ht="84.75" hidden="false" customHeight="true" outlineLevel="0" collapsed="false">
      <c r="A8" s="9" t="s">
        <v>44</v>
      </c>
      <c r="B8" s="9" t="s">
        <v>45</v>
      </c>
      <c r="C8" s="9" t="s">
        <v>46</v>
      </c>
      <c r="D8" s="9" t="s">
        <v>47</v>
      </c>
      <c r="E8" s="9" t="s">
        <v>48</v>
      </c>
      <c r="F8" s="9" t="s">
        <v>49</v>
      </c>
      <c r="G8" s="9" t="s">
        <v>50</v>
      </c>
      <c r="H8" s="9" t="s">
        <v>51</v>
      </c>
      <c r="I8" s="10" t="s">
        <v>52</v>
      </c>
    </row>
    <row r="9" customFormat="false" ht="84.75" hidden="false" customHeight="true" outlineLevel="0" collapsed="false">
      <c r="A9" s="9" t="s">
        <v>53</v>
      </c>
      <c r="B9" s="9" t="s">
        <v>54</v>
      </c>
      <c r="C9" s="9" t="s">
        <v>55</v>
      </c>
      <c r="D9" s="9" t="s">
        <v>56</v>
      </c>
      <c r="E9" s="9" t="s">
        <v>57</v>
      </c>
      <c r="F9" s="9" t="s">
        <v>58</v>
      </c>
      <c r="G9" s="9" t="s">
        <v>59</v>
      </c>
      <c r="H9" s="9" t="s">
        <v>60</v>
      </c>
      <c r="I9" s="10" t="s">
        <v>61</v>
      </c>
    </row>
    <row r="10" customFormat="false" ht="84.75" hidden="false" customHeight="true" outlineLevel="0" collapsed="false">
      <c r="A10" s="9" t="s">
        <v>62</v>
      </c>
      <c r="B10" s="9" t="s">
        <v>63</v>
      </c>
      <c r="C10" s="9" t="s">
        <v>64</v>
      </c>
      <c r="D10" s="9" t="s">
        <v>65</v>
      </c>
      <c r="E10" s="9" t="s">
        <v>66</v>
      </c>
      <c r="F10" s="9" t="s">
        <v>67</v>
      </c>
      <c r="G10" s="9" t="s">
        <v>68</v>
      </c>
      <c r="H10" s="9" t="s">
        <v>42</v>
      </c>
      <c r="I10" s="10" t="s">
        <v>69</v>
      </c>
    </row>
    <row r="11" customFormat="false" ht="36" hidden="false" customHeight="true" outlineLevel="0" collapsed="false">
      <c r="A11" s="11"/>
      <c r="B11" s="11"/>
      <c r="C11" s="11"/>
      <c r="D11" s="11"/>
      <c r="E11" s="11"/>
      <c r="F11" s="11"/>
      <c r="G11" s="11"/>
      <c r="H11" s="11"/>
      <c r="I11" s="11"/>
    </row>
    <row r="12" customFormat="false" ht="36" hidden="false" customHeight="true" outlineLevel="0" collapsed="false">
      <c r="A12" s="12"/>
      <c r="B12" s="12"/>
      <c r="C12" s="12"/>
      <c r="D12" s="12"/>
      <c r="E12" s="12"/>
      <c r="F12" s="12"/>
      <c r="G12" s="12"/>
      <c r="H12" s="12"/>
      <c r="I12" s="12"/>
    </row>
    <row r="13" customFormat="false" ht="36" hidden="false" customHeight="true" outlineLevel="0" collapsed="false">
      <c r="A13" s="11"/>
      <c r="B13" s="11"/>
      <c r="C13" s="11"/>
      <c r="D13" s="11"/>
      <c r="E13" s="11"/>
      <c r="F13" s="11"/>
      <c r="G13" s="11"/>
      <c r="H13" s="11"/>
      <c r="I13" s="11"/>
    </row>
    <row r="14" customFormat="false" ht="36" hidden="false" customHeight="true" outlineLevel="0" collapsed="false">
      <c r="A14" s="12"/>
      <c r="B14" s="12"/>
      <c r="C14" s="12"/>
      <c r="D14" s="12"/>
      <c r="E14" s="12"/>
      <c r="F14" s="12"/>
      <c r="G14" s="12"/>
      <c r="H14" s="12"/>
      <c r="I14" s="12"/>
    </row>
    <row r="15" customFormat="false" ht="36" hidden="false" customHeight="true" outlineLevel="0" collapsed="false">
      <c r="A15" s="11"/>
      <c r="B15" s="11"/>
      <c r="C15" s="11"/>
      <c r="D15" s="11"/>
      <c r="E15" s="11"/>
      <c r="F15" s="11"/>
      <c r="G15" s="11"/>
      <c r="H15" s="11"/>
      <c r="I15" s="11"/>
    </row>
    <row r="16" customFormat="false" ht="36" hidden="false" customHeight="true" outlineLevel="0" collapsed="false">
      <c r="A16" s="12"/>
      <c r="B16" s="12"/>
      <c r="C16" s="12"/>
      <c r="D16" s="12"/>
      <c r="E16" s="12"/>
      <c r="F16" s="12"/>
      <c r="G16" s="12"/>
      <c r="H16" s="12"/>
      <c r="I16" s="12"/>
    </row>
    <row r="17" customFormat="false" ht="36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  <c r="I17" s="11"/>
    </row>
    <row r="18" customFormat="false" ht="36" hidden="false" customHeight="true" outlineLevel="0" collapsed="false">
      <c r="A18" s="12"/>
      <c r="B18" s="12"/>
      <c r="C18" s="12"/>
      <c r="D18" s="12"/>
      <c r="E18" s="12"/>
      <c r="F18" s="12"/>
      <c r="G18" s="12"/>
      <c r="H18" s="12"/>
      <c r="I18" s="12"/>
    </row>
    <row r="19" customFormat="false" ht="36" hidden="false" customHeight="true" outlineLevel="0" collapsed="false">
      <c r="A19" s="11"/>
      <c r="B19" s="11"/>
      <c r="C19" s="11"/>
      <c r="D19" s="11"/>
      <c r="E19" s="11"/>
      <c r="F19" s="11"/>
      <c r="G19" s="11"/>
      <c r="H19" s="11"/>
      <c r="I19" s="11"/>
    </row>
    <row r="20" customFormat="false" ht="36" hidden="false" customHeight="true" outlineLevel="0" collapsed="false">
      <c r="A20" s="12"/>
      <c r="B20" s="12"/>
      <c r="C20" s="12"/>
      <c r="D20" s="12"/>
      <c r="E20" s="12"/>
      <c r="F20" s="12"/>
      <c r="G20" s="12"/>
      <c r="H20" s="12"/>
      <c r="I20" s="12"/>
    </row>
    <row r="21" customFormat="false" ht="36" hidden="false" customHeight="true" outlineLevel="0" collapsed="false">
      <c r="A21" s="11"/>
      <c r="B21" s="11"/>
      <c r="C21" s="11"/>
      <c r="D21" s="11"/>
      <c r="E21" s="11"/>
      <c r="F21" s="11"/>
      <c r="G21" s="11"/>
      <c r="H21" s="11"/>
      <c r="I21" s="11"/>
    </row>
    <row r="22" customFormat="false" ht="36" hidden="false" customHeight="true" outlineLevel="0" collapsed="false">
      <c r="A22" s="12"/>
      <c r="B22" s="12"/>
      <c r="C22" s="12"/>
      <c r="D22" s="12"/>
      <c r="E22" s="12"/>
      <c r="F22" s="12"/>
      <c r="G22" s="12"/>
      <c r="H22" s="12"/>
      <c r="I22" s="12"/>
    </row>
    <row r="23" customFormat="false" ht="36" hidden="false" customHeight="true" outlineLevel="0" collapsed="false">
      <c r="A23" s="11"/>
      <c r="B23" s="11"/>
      <c r="C23" s="11"/>
      <c r="D23" s="11"/>
      <c r="E23" s="11"/>
      <c r="F23" s="11"/>
      <c r="G23" s="11"/>
      <c r="H23" s="11"/>
      <c r="I23" s="11"/>
    </row>
    <row r="24" customFormat="false" ht="36" hidden="false" customHeight="true" outlineLevel="0" collapsed="false">
      <c r="A24" s="12"/>
      <c r="B24" s="12"/>
      <c r="C24" s="12"/>
      <c r="D24" s="12"/>
      <c r="E24" s="12"/>
      <c r="F24" s="12"/>
      <c r="G24" s="12"/>
      <c r="H24" s="12"/>
      <c r="I24" s="12"/>
    </row>
    <row r="25" customFormat="false" ht="36" hidden="false" customHeight="true" outlineLevel="0" collapsed="false">
      <c r="A25" s="11"/>
      <c r="B25" s="11"/>
      <c r="C25" s="11"/>
      <c r="D25" s="11"/>
      <c r="E25" s="11"/>
      <c r="F25" s="11"/>
      <c r="G25" s="11"/>
      <c r="H25" s="11"/>
      <c r="I25" s="11"/>
    </row>
    <row r="26" customFormat="false" ht="36" hidden="false" customHeight="true" outlineLevel="0" collapsed="false">
      <c r="A26" s="12"/>
      <c r="B26" s="12"/>
      <c r="C26" s="12"/>
      <c r="D26" s="12"/>
      <c r="E26" s="12"/>
      <c r="F26" s="12"/>
      <c r="G26" s="12"/>
      <c r="H26" s="12"/>
      <c r="I26" s="12"/>
    </row>
    <row r="27" customFormat="false" ht="36" hidden="false" customHeight="true" outlineLevel="0" collapsed="false">
      <c r="A27" s="11"/>
      <c r="B27" s="11"/>
      <c r="C27" s="11"/>
      <c r="D27" s="11"/>
      <c r="E27" s="11"/>
      <c r="F27" s="11"/>
      <c r="G27" s="11"/>
      <c r="H27" s="11"/>
      <c r="I27" s="11"/>
    </row>
    <row r="28" customFormat="false" ht="36" hidden="false" customHeight="true" outlineLevel="0" collapsed="false">
      <c r="A28" s="12"/>
      <c r="B28" s="12"/>
      <c r="C28" s="12"/>
      <c r="D28" s="12"/>
      <c r="E28" s="12"/>
      <c r="F28" s="12"/>
      <c r="G28" s="12"/>
      <c r="H28" s="12"/>
      <c r="I28" s="12"/>
    </row>
    <row r="29" customFormat="false" ht="36" hidden="false" customHeight="true" outlineLevel="0" collapsed="false">
      <c r="A29" s="11"/>
      <c r="B29" s="11"/>
      <c r="C29" s="11"/>
      <c r="D29" s="11"/>
      <c r="E29" s="11"/>
      <c r="F29" s="11"/>
      <c r="G29" s="11"/>
      <c r="H29" s="11"/>
      <c r="I29" s="11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  <c r="I30" s="12"/>
    </row>
  </sheetData>
  <mergeCells count="1"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4" min="2" style="1" width="38"/>
    <col collapsed="false" customWidth="true" hidden="false" outlineLevel="0" max="5" min="5" style="1" width="28"/>
    <col collapsed="false" customWidth="true" hidden="false" outlineLevel="0" max="7" min="6" style="1" width="38"/>
    <col collapsed="false" customWidth="true" hidden="false" outlineLevel="0" max="8" min="8" style="1" width="28"/>
    <col collapsed="false" customWidth="true" hidden="false" outlineLevel="0" max="9" min="9" style="1" width="10"/>
  </cols>
  <sheetData>
    <row r="1" customFormat="false" ht="21.75" hidden="false" customHeight="true" outlineLevel="0" collapsed="false">
      <c r="A1" s="2" t="s">
        <v>70</v>
      </c>
    </row>
    <row r="2" customFormat="false" ht="15" hidden="false" customHeight="true" outlineLevel="0" collapsed="false">
      <c r="A2" s="6" t="s">
        <v>15</v>
      </c>
    </row>
    <row r="3" customFormat="false" ht="31.5" hidden="false" customHeight="true" outlineLevel="0" collapsed="false">
      <c r="A3" s="7" t="s">
        <v>16</v>
      </c>
      <c r="B3" s="7"/>
      <c r="C3" s="7"/>
      <c r="D3" s="7"/>
      <c r="E3" s="7"/>
      <c r="F3" s="7"/>
      <c r="G3" s="7"/>
      <c r="H3" s="7"/>
      <c r="I3" s="7"/>
    </row>
    <row r="4" customFormat="false" ht="31.5" hidden="false" customHeight="true" outlineLevel="0" collapsed="false"/>
    <row r="5" customFormat="false" ht="60" hidden="false" customHeight="true" outlineLevel="0" collapsed="false">
      <c r="A5" s="8" t="s">
        <v>17</v>
      </c>
      <c r="B5" s="8" t="s">
        <v>18</v>
      </c>
      <c r="C5" s="8" t="s">
        <v>19</v>
      </c>
      <c r="D5" s="8" t="s">
        <v>20</v>
      </c>
      <c r="E5" s="8" t="s">
        <v>21</v>
      </c>
      <c r="F5" s="8" t="s">
        <v>22</v>
      </c>
      <c r="G5" s="8" t="s">
        <v>23</v>
      </c>
      <c r="H5" s="8" t="s">
        <v>24</v>
      </c>
      <c r="I5" s="8" t="s">
        <v>25</v>
      </c>
    </row>
    <row r="6" customFormat="false" ht="84.75" hidden="false" customHeight="true" outlineLevel="0" collapsed="false">
      <c r="A6" s="9" t="s">
        <v>71</v>
      </c>
      <c r="B6" s="9" t="s">
        <v>72</v>
      </c>
      <c r="C6" s="9" t="s">
        <v>73</v>
      </c>
      <c r="D6" s="9" t="s">
        <v>74</v>
      </c>
      <c r="E6" s="9" t="s">
        <v>75</v>
      </c>
      <c r="F6" s="9" t="s">
        <v>76</v>
      </c>
      <c r="G6" s="9" t="s">
        <v>77</v>
      </c>
      <c r="H6" s="9" t="s">
        <v>78</v>
      </c>
      <c r="I6" s="10" t="s">
        <v>79</v>
      </c>
    </row>
    <row r="7" customFormat="false" ht="84.75" hidden="false" customHeight="true" outlineLevel="0" collapsed="false">
      <c r="A7" s="9" t="s">
        <v>80</v>
      </c>
      <c r="B7" s="9" t="s">
        <v>81</v>
      </c>
      <c r="C7" s="9" t="s">
        <v>82</v>
      </c>
      <c r="D7" s="9" t="s">
        <v>83</v>
      </c>
      <c r="E7" s="9" t="s">
        <v>84</v>
      </c>
      <c r="F7" s="9" t="s">
        <v>85</v>
      </c>
      <c r="G7" s="9" t="s">
        <v>86</v>
      </c>
      <c r="H7" s="9" t="s">
        <v>87</v>
      </c>
      <c r="I7" s="10" t="s">
        <v>88</v>
      </c>
    </row>
    <row r="8" customFormat="false" ht="84.75" hidden="false" customHeight="true" outlineLevel="0" collapsed="false">
      <c r="A8" s="9" t="s">
        <v>89</v>
      </c>
      <c r="B8" s="9" t="s">
        <v>90</v>
      </c>
      <c r="C8" s="9" t="s">
        <v>91</v>
      </c>
      <c r="D8" s="9" t="s">
        <v>92</v>
      </c>
      <c r="E8" s="9" t="s">
        <v>93</v>
      </c>
      <c r="F8" s="9" t="s">
        <v>94</v>
      </c>
      <c r="G8" s="9" t="s">
        <v>95</v>
      </c>
      <c r="H8" s="9" t="s">
        <v>96</v>
      </c>
      <c r="I8" s="10" t="s">
        <v>97</v>
      </c>
    </row>
    <row r="9" customFormat="false" ht="84.75" hidden="false" customHeight="true" outlineLevel="0" collapsed="false">
      <c r="A9" s="9" t="s">
        <v>98</v>
      </c>
      <c r="B9" s="9" t="s">
        <v>99</v>
      </c>
      <c r="C9" s="9" t="s">
        <v>100</v>
      </c>
      <c r="D9" s="9" t="s">
        <v>101</v>
      </c>
      <c r="E9" s="9" t="s">
        <v>102</v>
      </c>
      <c r="F9" s="9" t="s">
        <v>103</v>
      </c>
      <c r="G9" s="9" t="s">
        <v>104</v>
      </c>
      <c r="H9" s="9" t="s">
        <v>105</v>
      </c>
      <c r="I9" s="10" t="s">
        <v>106</v>
      </c>
    </row>
    <row r="10" customFormat="false" ht="84.75" hidden="false" customHeight="true" outlineLevel="0" collapsed="false">
      <c r="A10" s="12"/>
      <c r="B10" s="12"/>
      <c r="C10" s="12"/>
      <c r="D10" s="12"/>
      <c r="E10" s="12"/>
      <c r="F10" s="12"/>
      <c r="G10" s="12"/>
      <c r="H10" s="12"/>
      <c r="I10" s="12"/>
    </row>
    <row r="11" customFormat="false" ht="36" hidden="false" customHeight="true" outlineLevel="0" collapsed="false">
      <c r="A11" s="11"/>
      <c r="B11" s="11"/>
      <c r="C11" s="11"/>
      <c r="D11" s="11"/>
      <c r="E11" s="11"/>
      <c r="F11" s="11"/>
      <c r="G11" s="11"/>
      <c r="H11" s="11"/>
      <c r="I11" s="11"/>
    </row>
    <row r="12" customFormat="false" ht="36" hidden="false" customHeight="true" outlineLevel="0" collapsed="false">
      <c r="A12" s="12"/>
      <c r="B12" s="12"/>
      <c r="C12" s="12"/>
      <c r="D12" s="12"/>
      <c r="E12" s="12"/>
      <c r="F12" s="12"/>
      <c r="G12" s="12"/>
      <c r="H12" s="12"/>
      <c r="I12" s="12"/>
    </row>
    <row r="13" customFormat="false" ht="36" hidden="false" customHeight="true" outlineLevel="0" collapsed="false">
      <c r="A13" s="11"/>
      <c r="B13" s="11"/>
      <c r="C13" s="11"/>
      <c r="D13" s="11"/>
      <c r="E13" s="11"/>
      <c r="F13" s="11"/>
      <c r="G13" s="11"/>
      <c r="H13" s="11"/>
      <c r="I13" s="11"/>
    </row>
    <row r="14" customFormat="false" ht="36" hidden="false" customHeight="true" outlineLevel="0" collapsed="false">
      <c r="A14" s="12"/>
      <c r="B14" s="12"/>
      <c r="C14" s="12"/>
      <c r="D14" s="12"/>
      <c r="E14" s="12"/>
      <c r="F14" s="12"/>
      <c r="G14" s="12"/>
      <c r="H14" s="12"/>
      <c r="I14" s="12"/>
    </row>
    <row r="15" customFormat="false" ht="36" hidden="false" customHeight="true" outlineLevel="0" collapsed="false">
      <c r="A15" s="11"/>
      <c r="B15" s="11"/>
      <c r="C15" s="11"/>
      <c r="D15" s="11"/>
      <c r="E15" s="11"/>
      <c r="F15" s="11"/>
      <c r="G15" s="11"/>
      <c r="H15" s="11"/>
      <c r="I15" s="11"/>
    </row>
    <row r="16" customFormat="false" ht="36" hidden="false" customHeight="true" outlineLevel="0" collapsed="false">
      <c r="A16" s="12"/>
      <c r="B16" s="12"/>
      <c r="C16" s="12"/>
      <c r="D16" s="12"/>
      <c r="E16" s="12"/>
      <c r="F16" s="12"/>
      <c r="G16" s="12"/>
      <c r="H16" s="12"/>
      <c r="I16" s="12"/>
    </row>
    <row r="17" customFormat="false" ht="36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  <c r="I17" s="11"/>
    </row>
    <row r="18" customFormat="false" ht="36" hidden="false" customHeight="true" outlineLevel="0" collapsed="false">
      <c r="A18" s="12"/>
      <c r="B18" s="12"/>
      <c r="C18" s="12"/>
      <c r="D18" s="12"/>
      <c r="E18" s="12"/>
      <c r="F18" s="12"/>
      <c r="G18" s="12"/>
      <c r="H18" s="12"/>
      <c r="I18" s="12"/>
    </row>
    <row r="19" customFormat="false" ht="36" hidden="false" customHeight="true" outlineLevel="0" collapsed="false">
      <c r="A19" s="11"/>
      <c r="B19" s="11"/>
      <c r="C19" s="11"/>
      <c r="D19" s="11"/>
      <c r="E19" s="11"/>
      <c r="F19" s="11"/>
      <c r="G19" s="11"/>
      <c r="H19" s="11"/>
      <c r="I19" s="11"/>
    </row>
    <row r="20" customFormat="false" ht="36" hidden="false" customHeight="true" outlineLevel="0" collapsed="false">
      <c r="A20" s="12"/>
      <c r="B20" s="12"/>
      <c r="C20" s="12"/>
      <c r="D20" s="12"/>
      <c r="E20" s="12"/>
      <c r="F20" s="12"/>
      <c r="G20" s="12"/>
      <c r="H20" s="12"/>
      <c r="I20" s="12"/>
    </row>
    <row r="21" customFormat="false" ht="36" hidden="false" customHeight="true" outlineLevel="0" collapsed="false">
      <c r="A21" s="11"/>
      <c r="B21" s="11"/>
      <c r="C21" s="11"/>
      <c r="D21" s="11"/>
      <c r="E21" s="11"/>
      <c r="F21" s="11"/>
      <c r="G21" s="11"/>
      <c r="H21" s="11"/>
      <c r="I21" s="11"/>
    </row>
    <row r="22" customFormat="false" ht="36" hidden="false" customHeight="true" outlineLevel="0" collapsed="false">
      <c r="A22" s="12"/>
      <c r="B22" s="12"/>
      <c r="C22" s="12"/>
      <c r="D22" s="12"/>
      <c r="E22" s="12"/>
      <c r="F22" s="12"/>
      <c r="G22" s="12"/>
      <c r="H22" s="12"/>
      <c r="I22" s="12"/>
    </row>
    <row r="23" customFormat="false" ht="36" hidden="false" customHeight="true" outlineLevel="0" collapsed="false">
      <c r="A23" s="11"/>
      <c r="B23" s="11"/>
      <c r="C23" s="11"/>
      <c r="D23" s="11"/>
      <c r="E23" s="11"/>
      <c r="F23" s="11"/>
      <c r="G23" s="11"/>
      <c r="H23" s="11"/>
      <c r="I23" s="11"/>
    </row>
    <row r="24" customFormat="false" ht="36" hidden="false" customHeight="true" outlineLevel="0" collapsed="false">
      <c r="A24" s="12"/>
      <c r="B24" s="12"/>
      <c r="C24" s="12"/>
      <c r="D24" s="12"/>
      <c r="E24" s="12"/>
      <c r="F24" s="12"/>
      <c r="G24" s="12"/>
      <c r="H24" s="12"/>
      <c r="I24" s="12"/>
    </row>
    <row r="25" customFormat="false" ht="36" hidden="false" customHeight="true" outlineLevel="0" collapsed="false">
      <c r="A25" s="11"/>
      <c r="B25" s="11"/>
      <c r="C25" s="11"/>
      <c r="D25" s="11"/>
      <c r="E25" s="11"/>
      <c r="F25" s="11"/>
      <c r="G25" s="11"/>
      <c r="H25" s="11"/>
      <c r="I25" s="11"/>
    </row>
    <row r="26" customFormat="false" ht="36" hidden="false" customHeight="true" outlineLevel="0" collapsed="false">
      <c r="A26" s="12"/>
      <c r="B26" s="12"/>
      <c r="C26" s="12"/>
      <c r="D26" s="12"/>
      <c r="E26" s="12"/>
      <c r="F26" s="12"/>
      <c r="G26" s="12"/>
      <c r="H26" s="12"/>
      <c r="I26" s="12"/>
    </row>
    <row r="27" customFormat="false" ht="36" hidden="false" customHeight="true" outlineLevel="0" collapsed="false">
      <c r="A27" s="11"/>
      <c r="B27" s="11"/>
      <c r="C27" s="11"/>
      <c r="D27" s="11"/>
      <c r="E27" s="11"/>
      <c r="F27" s="11"/>
      <c r="G27" s="11"/>
      <c r="H27" s="11"/>
      <c r="I27" s="11"/>
    </row>
    <row r="28" customFormat="false" ht="36" hidden="false" customHeight="true" outlineLevel="0" collapsed="false">
      <c r="A28" s="12"/>
      <c r="B28" s="12"/>
      <c r="C28" s="12"/>
      <c r="D28" s="12"/>
      <c r="E28" s="12"/>
      <c r="F28" s="12"/>
      <c r="G28" s="12"/>
      <c r="H28" s="12"/>
      <c r="I28" s="12"/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11"/>
      <c r="H29" s="11"/>
      <c r="I29" s="11"/>
    </row>
  </sheetData>
  <mergeCells count="1"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4" min="2" style="1" width="38"/>
    <col collapsed="false" customWidth="true" hidden="false" outlineLevel="0" max="5" min="5" style="1" width="28"/>
    <col collapsed="false" customWidth="true" hidden="false" outlineLevel="0" max="7" min="6" style="1" width="38"/>
    <col collapsed="false" customWidth="true" hidden="false" outlineLevel="0" max="8" min="8" style="1" width="28"/>
    <col collapsed="false" customWidth="true" hidden="false" outlineLevel="0" max="9" min="9" style="1" width="10"/>
  </cols>
  <sheetData>
    <row r="1" customFormat="false" ht="21.75" hidden="false" customHeight="true" outlineLevel="0" collapsed="false">
      <c r="A1" s="2" t="s">
        <v>107</v>
      </c>
    </row>
    <row r="2" customFormat="false" ht="15" hidden="false" customHeight="true" outlineLevel="0" collapsed="false">
      <c r="A2" s="6" t="s">
        <v>15</v>
      </c>
    </row>
    <row r="3" customFormat="false" ht="31.5" hidden="false" customHeight="true" outlineLevel="0" collapsed="false">
      <c r="A3" s="7" t="s">
        <v>16</v>
      </c>
      <c r="B3" s="7"/>
      <c r="C3" s="7"/>
      <c r="D3" s="7"/>
      <c r="E3" s="7"/>
      <c r="F3" s="7"/>
      <c r="G3" s="7"/>
      <c r="H3" s="7"/>
      <c r="I3" s="7"/>
    </row>
    <row r="4" customFormat="false" ht="31.5" hidden="false" customHeight="true" outlineLevel="0" collapsed="false"/>
    <row r="5" customFormat="false" ht="60" hidden="false" customHeight="true" outlineLevel="0" collapsed="false">
      <c r="A5" s="8" t="s">
        <v>17</v>
      </c>
      <c r="B5" s="8" t="s">
        <v>18</v>
      </c>
      <c r="C5" s="8" t="s">
        <v>19</v>
      </c>
      <c r="D5" s="8" t="s">
        <v>20</v>
      </c>
      <c r="E5" s="8" t="s">
        <v>21</v>
      </c>
      <c r="F5" s="8" t="s">
        <v>22</v>
      </c>
      <c r="G5" s="8" t="s">
        <v>23</v>
      </c>
      <c r="H5" s="8" t="s">
        <v>24</v>
      </c>
      <c r="I5" s="8" t="s">
        <v>25</v>
      </c>
    </row>
    <row r="6" customFormat="false" ht="84.75" hidden="false" customHeight="true" outlineLevel="0" collapsed="false">
      <c r="A6" s="9" t="s">
        <v>108</v>
      </c>
      <c r="B6" s="9" t="s">
        <v>109</v>
      </c>
      <c r="C6" s="9" t="s">
        <v>110</v>
      </c>
      <c r="D6" s="9" t="s">
        <v>111</v>
      </c>
      <c r="E6" s="9" t="s">
        <v>112</v>
      </c>
      <c r="F6" s="9" t="s">
        <v>113</v>
      </c>
      <c r="G6" s="9" t="s">
        <v>114</v>
      </c>
      <c r="H6" s="9" t="s">
        <v>115</v>
      </c>
      <c r="I6" s="10" t="s">
        <v>116</v>
      </c>
    </row>
    <row r="7" customFormat="false" ht="84.75" hidden="false" customHeight="true" outlineLevel="0" collapsed="false">
      <c r="A7" s="9" t="s">
        <v>117</v>
      </c>
      <c r="B7" s="9" t="s">
        <v>118</v>
      </c>
      <c r="C7" s="9" t="s">
        <v>119</v>
      </c>
      <c r="D7" s="9" t="s">
        <v>120</v>
      </c>
      <c r="E7" s="9" t="s">
        <v>121</v>
      </c>
      <c r="F7" s="9" t="s">
        <v>122</v>
      </c>
      <c r="G7" s="9" t="s">
        <v>123</v>
      </c>
      <c r="H7" s="9" t="s">
        <v>124</v>
      </c>
      <c r="I7" s="10" t="s">
        <v>125</v>
      </c>
    </row>
    <row r="8" customFormat="false" ht="84.75" hidden="false" customHeight="true" outlineLevel="0" collapsed="false">
      <c r="A8" s="9" t="s">
        <v>126</v>
      </c>
      <c r="B8" s="9" t="s">
        <v>127</v>
      </c>
      <c r="C8" s="9" t="s">
        <v>128</v>
      </c>
      <c r="D8" s="9" t="s">
        <v>129</v>
      </c>
      <c r="E8" s="9" t="s">
        <v>130</v>
      </c>
      <c r="F8" s="9" t="s">
        <v>131</v>
      </c>
      <c r="G8" s="9" t="s">
        <v>132</v>
      </c>
      <c r="H8" s="9" t="s">
        <v>133</v>
      </c>
      <c r="I8" s="10" t="s">
        <v>134</v>
      </c>
    </row>
    <row r="9" customFormat="false" ht="84.75" hidden="false" customHeight="true" outlineLevel="0" collapsed="false">
      <c r="A9" s="9" t="s">
        <v>135</v>
      </c>
      <c r="B9" s="9" t="s">
        <v>136</v>
      </c>
      <c r="C9" s="9" t="s">
        <v>137</v>
      </c>
      <c r="D9" s="9" t="s">
        <v>138</v>
      </c>
      <c r="E9" s="9" t="s">
        <v>139</v>
      </c>
      <c r="F9" s="9" t="s">
        <v>140</v>
      </c>
      <c r="G9" s="9" t="s">
        <v>141</v>
      </c>
      <c r="H9" s="9" t="s">
        <v>142</v>
      </c>
      <c r="I9" s="10" t="s">
        <v>143</v>
      </c>
    </row>
    <row r="10" customFormat="false" ht="84.75" hidden="false" customHeight="true" outlineLevel="0" collapsed="false">
      <c r="A10" s="9" t="s">
        <v>144</v>
      </c>
      <c r="B10" s="9" t="s">
        <v>145</v>
      </c>
      <c r="C10" s="9" t="s">
        <v>146</v>
      </c>
      <c r="D10" s="9" t="s">
        <v>147</v>
      </c>
      <c r="E10" s="9" t="s">
        <v>148</v>
      </c>
      <c r="F10" s="9" t="s">
        <v>149</v>
      </c>
      <c r="G10" s="9" t="s">
        <v>150</v>
      </c>
      <c r="H10" s="9" t="s">
        <v>151</v>
      </c>
      <c r="I10" s="10" t="s">
        <v>152</v>
      </c>
    </row>
    <row r="11" customFormat="false" ht="36" hidden="false" customHeight="true" outlineLevel="0" collapsed="false">
      <c r="A11" s="11"/>
      <c r="B11" s="11"/>
      <c r="C11" s="11"/>
      <c r="D11" s="11"/>
      <c r="E11" s="11"/>
      <c r="F11" s="11"/>
      <c r="G11" s="11"/>
      <c r="H11" s="11"/>
      <c r="I11" s="11"/>
    </row>
    <row r="12" customFormat="false" ht="36" hidden="false" customHeight="true" outlineLevel="0" collapsed="false">
      <c r="A12" s="12"/>
      <c r="B12" s="12"/>
      <c r="C12" s="12"/>
      <c r="D12" s="12"/>
      <c r="E12" s="12"/>
      <c r="F12" s="12"/>
      <c r="G12" s="12"/>
      <c r="H12" s="12"/>
      <c r="I12" s="12"/>
    </row>
    <row r="13" customFormat="false" ht="36" hidden="false" customHeight="true" outlineLevel="0" collapsed="false">
      <c r="A13" s="11"/>
      <c r="B13" s="11"/>
      <c r="C13" s="11"/>
      <c r="D13" s="11"/>
      <c r="E13" s="11"/>
      <c r="F13" s="11"/>
      <c r="G13" s="11"/>
      <c r="H13" s="11"/>
      <c r="I13" s="11"/>
    </row>
    <row r="14" customFormat="false" ht="36" hidden="false" customHeight="true" outlineLevel="0" collapsed="false">
      <c r="A14" s="12"/>
      <c r="B14" s="12"/>
      <c r="C14" s="12"/>
      <c r="D14" s="12"/>
      <c r="E14" s="12"/>
      <c r="F14" s="12"/>
      <c r="G14" s="12"/>
      <c r="H14" s="12"/>
      <c r="I14" s="12"/>
    </row>
    <row r="15" customFormat="false" ht="36" hidden="false" customHeight="true" outlineLevel="0" collapsed="false">
      <c r="A15" s="11"/>
      <c r="B15" s="11"/>
      <c r="C15" s="11"/>
      <c r="D15" s="11"/>
      <c r="E15" s="11"/>
      <c r="F15" s="11"/>
      <c r="G15" s="11"/>
      <c r="H15" s="11"/>
      <c r="I15" s="11"/>
    </row>
    <row r="16" customFormat="false" ht="36" hidden="false" customHeight="true" outlineLevel="0" collapsed="false">
      <c r="A16" s="12"/>
      <c r="B16" s="12"/>
      <c r="C16" s="12"/>
      <c r="D16" s="12"/>
      <c r="E16" s="12"/>
      <c r="F16" s="12"/>
      <c r="G16" s="12"/>
      <c r="H16" s="12"/>
      <c r="I16" s="12"/>
    </row>
    <row r="17" customFormat="false" ht="36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  <c r="I17" s="11"/>
    </row>
    <row r="18" customFormat="false" ht="36" hidden="false" customHeight="true" outlineLevel="0" collapsed="false">
      <c r="A18" s="12"/>
      <c r="B18" s="12"/>
      <c r="C18" s="12"/>
      <c r="D18" s="12"/>
      <c r="E18" s="12"/>
      <c r="F18" s="12"/>
      <c r="G18" s="12"/>
      <c r="H18" s="12"/>
      <c r="I18" s="12"/>
    </row>
    <row r="19" customFormat="false" ht="36" hidden="false" customHeight="true" outlineLevel="0" collapsed="false">
      <c r="A19" s="11"/>
      <c r="B19" s="11"/>
      <c r="C19" s="11"/>
      <c r="D19" s="11"/>
      <c r="E19" s="11"/>
      <c r="F19" s="11"/>
      <c r="G19" s="11"/>
      <c r="H19" s="11"/>
      <c r="I19" s="11"/>
    </row>
    <row r="20" customFormat="false" ht="36" hidden="false" customHeight="true" outlineLevel="0" collapsed="false">
      <c r="A20" s="12"/>
      <c r="B20" s="12"/>
      <c r="C20" s="12"/>
      <c r="D20" s="12"/>
      <c r="E20" s="12"/>
      <c r="F20" s="12"/>
      <c r="G20" s="12"/>
      <c r="H20" s="12"/>
      <c r="I20" s="12"/>
    </row>
    <row r="21" customFormat="false" ht="36" hidden="false" customHeight="true" outlineLevel="0" collapsed="false">
      <c r="A21" s="11"/>
      <c r="B21" s="11"/>
      <c r="C21" s="11"/>
      <c r="D21" s="11"/>
      <c r="E21" s="11"/>
      <c r="F21" s="11"/>
      <c r="G21" s="11"/>
      <c r="H21" s="11"/>
      <c r="I21" s="11"/>
    </row>
    <row r="22" customFormat="false" ht="36" hidden="false" customHeight="true" outlineLevel="0" collapsed="false">
      <c r="A22" s="12"/>
      <c r="B22" s="12"/>
      <c r="C22" s="12"/>
      <c r="D22" s="12"/>
      <c r="E22" s="12"/>
      <c r="F22" s="12"/>
      <c r="G22" s="12"/>
      <c r="H22" s="12"/>
      <c r="I22" s="12"/>
    </row>
    <row r="23" customFormat="false" ht="36" hidden="false" customHeight="true" outlineLevel="0" collapsed="false">
      <c r="A23" s="11"/>
      <c r="B23" s="11"/>
      <c r="C23" s="11"/>
      <c r="D23" s="11"/>
      <c r="E23" s="11"/>
      <c r="F23" s="11"/>
      <c r="G23" s="11"/>
      <c r="H23" s="11"/>
      <c r="I23" s="11"/>
    </row>
    <row r="24" customFormat="false" ht="36" hidden="false" customHeight="true" outlineLevel="0" collapsed="false">
      <c r="A24" s="12"/>
      <c r="B24" s="12"/>
      <c r="C24" s="12"/>
      <c r="D24" s="12"/>
      <c r="E24" s="12"/>
      <c r="F24" s="12"/>
      <c r="G24" s="12"/>
      <c r="H24" s="12"/>
      <c r="I24" s="12"/>
    </row>
    <row r="25" customFormat="false" ht="36" hidden="false" customHeight="true" outlineLevel="0" collapsed="false">
      <c r="A25" s="11"/>
      <c r="B25" s="11"/>
      <c r="C25" s="11"/>
      <c r="D25" s="11"/>
      <c r="E25" s="11"/>
      <c r="F25" s="11"/>
      <c r="G25" s="11"/>
      <c r="H25" s="11"/>
      <c r="I25" s="11"/>
    </row>
    <row r="26" customFormat="false" ht="36" hidden="false" customHeight="true" outlineLevel="0" collapsed="false">
      <c r="A26" s="12"/>
      <c r="B26" s="12"/>
      <c r="C26" s="12"/>
      <c r="D26" s="12"/>
      <c r="E26" s="12"/>
      <c r="F26" s="12"/>
      <c r="G26" s="12"/>
      <c r="H26" s="12"/>
      <c r="I26" s="12"/>
    </row>
    <row r="27" customFormat="false" ht="36" hidden="false" customHeight="true" outlineLevel="0" collapsed="false">
      <c r="A27" s="11"/>
      <c r="B27" s="11"/>
      <c r="C27" s="11"/>
      <c r="D27" s="11"/>
      <c r="E27" s="11"/>
      <c r="F27" s="11"/>
      <c r="G27" s="11"/>
      <c r="H27" s="11"/>
      <c r="I27" s="11"/>
    </row>
    <row r="28" customFormat="false" ht="36" hidden="false" customHeight="true" outlineLevel="0" collapsed="false">
      <c r="A28" s="12"/>
      <c r="B28" s="12"/>
      <c r="C28" s="12"/>
      <c r="D28" s="12"/>
      <c r="E28" s="12"/>
      <c r="F28" s="12"/>
      <c r="G28" s="12"/>
      <c r="H28" s="12"/>
      <c r="I28" s="12"/>
    </row>
    <row r="29" customFormat="false" ht="36" hidden="false" customHeight="true" outlineLevel="0" collapsed="false">
      <c r="A29" s="11"/>
      <c r="B29" s="11"/>
      <c r="C29" s="11"/>
      <c r="D29" s="11"/>
      <c r="E29" s="11"/>
      <c r="F29" s="11"/>
      <c r="G29" s="11"/>
      <c r="H29" s="11"/>
      <c r="I29" s="11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  <c r="I30" s="12"/>
    </row>
  </sheetData>
  <mergeCells count="1"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5" min="2" style="1" width="30"/>
    <col collapsed="false" customWidth="true" hidden="false" outlineLevel="0" max="6" min="6" style="1" width="36"/>
  </cols>
  <sheetData>
    <row r="1" customFormat="false" ht="21.75" hidden="false" customHeight="true" outlineLevel="0" collapsed="false">
      <c r="A1" s="2" t="s">
        <v>153</v>
      </c>
    </row>
    <row r="2" customFormat="false" ht="68.25" hidden="false" customHeight="true" outlineLevel="0" collapsed="false">
      <c r="A2" s="3" t="s">
        <v>154</v>
      </c>
    </row>
    <row r="4" customFormat="false" ht="31.5" hidden="false" customHeight="true" outlineLevel="0" collapsed="false">
      <c r="A4" s="8" t="s">
        <v>155</v>
      </c>
      <c r="B4" s="8" t="s">
        <v>156</v>
      </c>
      <c r="C4" s="8" t="s">
        <v>157</v>
      </c>
      <c r="D4" s="8" t="s">
        <v>158</v>
      </c>
    </row>
    <row r="5" customFormat="false" ht="72" hidden="false" customHeight="true" outlineLevel="0" collapsed="false">
      <c r="A5" s="13" t="s">
        <v>159</v>
      </c>
      <c r="B5" s="9" t="s">
        <v>160</v>
      </c>
      <c r="C5" s="9" t="s">
        <v>161</v>
      </c>
      <c r="D5" s="14" t="s">
        <v>162</v>
      </c>
    </row>
    <row r="6" customFormat="false" ht="72" hidden="false" customHeight="true" outlineLevel="0" collapsed="false">
      <c r="A6" s="13" t="s">
        <v>163</v>
      </c>
      <c r="B6" s="9" t="s">
        <v>164</v>
      </c>
      <c r="C6" s="14" t="s">
        <v>162</v>
      </c>
      <c r="D6" s="9" t="s">
        <v>165</v>
      </c>
    </row>
    <row r="7" customFormat="false" ht="72" hidden="false" customHeight="true" outlineLevel="0" collapsed="false">
      <c r="A7" s="13" t="s">
        <v>166</v>
      </c>
      <c r="B7" s="9" t="s">
        <v>167</v>
      </c>
      <c r="C7" s="14" t="s">
        <v>162</v>
      </c>
      <c r="D7" s="14" t="s">
        <v>162</v>
      </c>
    </row>
    <row r="8" customFormat="false" ht="72" hidden="false" customHeight="true" outlineLevel="0" collapsed="false">
      <c r="A8" s="13" t="s">
        <v>168</v>
      </c>
      <c r="B8" s="9" t="s">
        <v>169</v>
      </c>
      <c r="C8" s="14" t="s">
        <v>162</v>
      </c>
      <c r="D8" s="14" t="s">
        <v>170</v>
      </c>
    </row>
    <row r="10" customFormat="false" ht="15" hidden="false" customHeight="true" outlineLevel="0" collapsed="false">
      <c r="A10" s="15" t="s">
        <v>171</v>
      </c>
    </row>
    <row r="12" customFormat="false" ht="31.5" hidden="false" customHeight="true" outlineLevel="0" collapsed="false">
      <c r="A12" s="8" t="s">
        <v>172</v>
      </c>
      <c r="B12" s="8" t="s">
        <v>173</v>
      </c>
      <c r="C12" s="8" t="s">
        <v>174</v>
      </c>
      <c r="D12" s="8" t="s">
        <v>175</v>
      </c>
      <c r="E12" s="8" t="s">
        <v>21</v>
      </c>
      <c r="F12" s="8" t="s">
        <v>23</v>
      </c>
    </row>
    <row r="13" customFormat="false" ht="36" hidden="false" customHeight="true" outlineLevel="0" collapsed="false">
      <c r="A13" s="16" t="s">
        <v>176</v>
      </c>
      <c r="B13" s="16" t="s">
        <v>177</v>
      </c>
      <c r="C13" s="16" t="n">
        <v>21</v>
      </c>
      <c r="D13" s="16" t="s">
        <v>178</v>
      </c>
      <c r="E13" s="16" t="s">
        <v>179</v>
      </c>
      <c r="F13" s="16" t="s">
        <v>180</v>
      </c>
    </row>
    <row r="14" customFormat="false" ht="36" hidden="false" customHeight="true" outlineLevel="0" collapsed="false">
      <c r="A14" s="9" t="s">
        <v>181</v>
      </c>
      <c r="B14" s="9" t="s">
        <v>182</v>
      </c>
      <c r="C14" s="9" t="n">
        <v>4</v>
      </c>
      <c r="D14" s="9" t="s">
        <v>183</v>
      </c>
      <c r="E14" s="9" t="s">
        <v>184</v>
      </c>
      <c r="F14" s="9" t="s">
        <v>185</v>
      </c>
    </row>
    <row r="15" customFormat="false" ht="36" hidden="false" customHeight="true" outlineLevel="0" collapsed="false">
      <c r="A15" s="16" t="s">
        <v>186</v>
      </c>
      <c r="B15" s="16" t="s">
        <v>162</v>
      </c>
      <c r="C15" s="16" t="n">
        <v>0</v>
      </c>
      <c r="D15" s="16" t="s">
        <v>187</v>
      </c>
      <c r="E15" s="16" t="s">
        <v>188</v>
      </c>
      <c r="F15" s="16" t="s">
        <v>189</v>
      </c>
    </row>
    <row r="16" customFormat="false" ht="36" hidden="false" customHeight="true" outlineLevel="0" collapsed="false">
      <c r="A16" s="9" t="s">
        <v>190</v>
      </c>
      <c r="B16" s="9" t="s">
        <v>191</v>
      </c>
      <c r="C16" s="9" t="n">
        <v>6</v>
      </c>
      <c r="D16" s="9" t="s">
        <v>192</v>
      </c>
      <c r="E16" s="9" t="s">
        <v>193</v>
      </c>
      <c r="F16" s="9" t="s">
        <v>194</v>
      </c>
    </row>
    <row r="17" customFormat="false" ht="36" hidden="false" customHeight="true" outlineLevel="0" collapsed="false">
      <c r="A17" s="16" t="s">
        <v>195</v>
      </c>
      <c r="B17" s="16" t="s">
        <v>162</v>
      </c>
      <c r="C17" s="16" t="n">
        <v>0</v>
      </c>
      <c r="D17" s="16" t="s">
        <v>196</v>
      </c>
      <c r="E17" s="16" t="s">
        <v>188</v>
      </c>
      <c r="F17" s="16" t="s">
        <v>197</v>
      </c>
    </row>
    <row r="18" customFormat="false" ht="36" hidden="false" customHeight="true" outlineLevel="0" collapsed="false">
      <c r="A18" s="9" t="s">
        <v>198</v>
      </c>
      <c r="B18" s="9" t="s">
        <v>199</v>
      </c>
      <c r="C18" s="9" t="n">
        <v>1</v>
      </c>
      <c r="D18" s="9" t="s">
        <v>196</v>
      </c>
      <c r="E18" s="9" t="s">
        <v>200</v>
      </c>
      <c r="F18" s="9" t="s">
        <v>201</v>
      </c>
    </row>
    <row r="19" customFormat="false" ht="36" hidden="false" customHeight="true" outlineLevel="0" collapsed="false">
      <c r="A19" s="16" t="s">
        <v>202</v>
      </c>
      <c r="B19" s="16" t="s">
        <v>203</v>
      </c>
      <c r="C19" s="16" t="n">
        <v>3</v>
      </c>
      <c r="D19" s="16" t="s">
        <v>204</v>
      </c>
      <c r="E19" s="16" t="s">
        <v>205</v>
      </c>
      <c r="F19" s="16" t="s">
        <v>206</v>
      </c>
    </row>
    <row r="20" customFormat="false" ht="36" hidden="false" customHeight="true" outlineLevel="0" collapsed="false">
      <c r="A20" s="9" t="s">
        <v>207</v>
      </c>
      <c r="B20" s="9" t="s">
        <v>162</v>
      </c>
      <c r="C20" s="9" t="n">
        <v>0</v>
      </c>
      <c r="D20" s="9"/>
      <c r="E20" s="9" t="s">
        <v>188</v>
      </c>
      <c r="F20" s="9" t="s">
        <v>208</v>
      </c>
    </row>
    <row r="21" customFormat="false" ht="36" hidden="false" customHeight="true" outlineLevel="0" collapsed="false">
      <c r="A21" s="16" t="s">
        <v>209</v>
      </c>
      <c r="B21" s="16" t="s">
        <v>162</v>
      </c>
      <c r="C21" s="16" t="n">
        <v>0</v>
      </c>
      <c r="D21" s="16"/>
      <c r="E21" s="16" t="s">
        <v>188</v>
      </c>
      <c r="F21" s="16"/>
    </row>
    <row r="22" customFormat="false" ht="36" hidden="false" customHeight="true" outlineLevel="0" collapsed="false">
      <c r="A22" s="9" t="s">
        <v>210</v>
      </c>
      <c r="B22" s="9" t="s">
        <v>211</v>
      </c>
      <c r="C22" s="9" t="n">
        <v>2</v>
      </c>
      <c r="D22" s="9" t="s">
        <v>212</v>
      </c>
      <c r="E22" s="9" t="s">
        <v>213</v>
      </c>
      <c r="F22" s="9" t="s">
        <v>214</v>
      </c>
    </row>
    <row r="23" customFormat="false" ht="36" hidden="false" customHeight="true" outlineLevel="0" collapsed="false">
      <c r="A23" s="16" t="s">
        <v>215</v>
      </c>
      <c r="B23" s="16" t="s">
        <v>216</v>
      </c>
      <c r="C23" s="16" t="n">
        <v>2</v>
      </c>
      <c r="D23" s="16"/>
      <c r="E23" s="16" t="s">
        <v>217</v>
      </c>
      <c r="F23" s="16" t="s">
        <v>218</v>
      </c>
    </row>
    <row r="24" customFormat="false" ht="36" hidden="false" customHeight="true" outlineLevel="0" collapsed="false">
      <c r="A24" s="9" t="s">
        <v>219</v>
      </c>
      <c r="B24" s="9" t="s">
        <v>162</v>
      </c>
      <c r="C24" s="9" t="n">
        <v>0</v>
      </c>
      <c r="D24" s="9"/>
      <c r="E24" s="9" t="s">
        <v>188</v>
      </c>
      <c r="F24" s="9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2"/>
    <col collapsed="false" customWidth="true" hidden="false" outlineLevel="0" max="3" min="3" style="1" width="26"/>
  </cols>
  <sheetData>
    <row r="1" customFormat="false" ht="21.75" hidden="false" customHeight="true" outlineLevel="0" collapsed="false">
      <c r="A1" s="2" t="s">
        <v>221</v>
      </c>
    </row>
    <row r="2" customFormat="false" ht="15" hidden="false" customHeight="true" outlineLevel="0" collapsed="false">
      <c r="A2" s="6" t="s">
        <v>222</v>
      </c>
    </row>
    <row r="4" customFormat="false" ht="31.5" hidden="false" customHeight="true" outlineLevel="0" collapsed="false">
      <c r="A4" s="8" t="s">
        <v>223</v>
      </c>
      <c r="B4" s="8" t="s">
        <v>224</v>
      </c>
      <c r="C4" s="8" t="s">
        <v>225</v>
      </c>
    </row>
    <row r="5" customFormat="false" ht="15" hidden="false" customHeight="true" outlineLevel="0" collapsed="false">
      <c r="A5" s="16" t="s">
        <v>226</v>
      </c>
      <c r="B5" s="17" t="n">
        <f aca="false">COUNTA(A_GM_COGS!C5:C9)</f>
        <v>5</v>
      </c>
      <c r="C5" s="17" t="n">
        <f aca="false">IFERROR(AVERAGE(A_GM_COGS!I5:I9),0)</f>
        <v>0</v>
      </c>
    </row>
    <row r="6" customFormat="false" ht="15" hidden="false" customHeight="true" outlineLevel="0" collapsed="false">
      <c r="A6" s="9" t="s">
        <v>70</v>
      </c>
      <c r="B6" s="10" t="n">
        <f aca="false">COUNTA(B_SGA!C5:C8)</f>
        <v>4</v>
      </c>
      <c r="C6" s="10" t="n">
        <f aca="false">IFERROR(AVERAGE(B_SGA!I5:I8),0)</f>
        <v>0</v>
      </c>
    </row>
    <row r="7" customFormat="false" ht="15" hidden="false" customHeight="true" outlineLevel="0" collapsed="false">
      <c r="A7" s="16" t="s">
        <v>227</v>
      </c>
      <c r="B7" s="17" t="n">
        <f aca="false">COUNTA(C_RD_Opex!C5:C9)</f>
        <v>5</v>
      </c>
      <c r="C7" s="17" t="n">
        <f aca="false">IFERROR(AVERAGE(C_RD_Opex!I5:I9),0)</f>
        <v>0</v>
      </c>
    </row>
    <row r="8" customFormat="false" ht="15" hidden="false" customHeight="true" outlineLevel="0" collapsed="false">
      <c r="A8" s="9" t="s">
        <v>228</v>
      </c>
      <c r="B8" s="10" t="n">
        <f aca="false">COUNTA(D_RD_PoS!C5:C8)</f>
        <v>4</v>
      </c>
      <c r="C8" s="10" t="n">
        <f aca="false">IFERROR(AVERAGE(D_RD_PoS!I5:I8),0)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2026-05-11T18:44:22Z</dcterms:created>
  <dc:creator>openpyxl</dc:creator>
  <dc:description/>
  <dc:language>en-US</dc:language>
  <cp:lastModifiedBy/>
  <dcterms:modified xsi:type="dcterms:W3CDTF">2026-05-12T01:52:10Z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